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SOJA" sheetId="2" state="visible" r:id="rId2"/>
    <sheet name="ALGODAO" sheetId="3" state="visible" r:id="rId3"/>
    <sheet name="TABACO" sheetId="4" state="visible" r:id="rId4"/>
    <sheet name="CACAU" sheetId="5" state="visible" r:id="rId5"/>
    <sheet name="MILHO" sheetId="6" state="visible" r:id="rId6"/>
    <sheet name="ETO_SEMANAL" sheetId="7" state="visible" r:id="rId7"/>
    <sheet name="CURVAS_KC" sheetId="8" state="visible" r:id="rId8"/>
    <sheet name="LAMINA_HORA" sheetId="9" state="visible" r:id="rId9"/>
    <sheet name="PARAMETROS" sheetId="10" state="visible" r:id="rId10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"/>
    <numFmt numFmtId="167" formatCode="#,##0.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37562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v6 (aba por cultura)</t>
        </is>
      </c>
    </row>
    <row r="2">
      <c r="A2" s="2" t="inlineStr">
        <is>
          <t>Clima (ETo SEMANAL) + Kc linear por DAE (emergencia 5 dias).</t>
        </is>
      </c>
    </row>
    <row r="4" ht="34" customHeight="1">
      <c r="B4" s="3" t="inlineStr">
        <is>
          <t>ABAS POR CULTURA:  Uma aba para cada cultura: SOJA, ALGODAO, TABACO, CACAU, MILHO. Cada uma agrupada por modulo (M1/M2/M3/RDM).</t>
        </is>
      </c>
    </row>
    <row r="5" ht="34" customHeight="1">
      <c r="B5" s="3" t="inlineStr">
        <is>
          <t>PASSO 1:  Atualize a aba ETO_SEMANAL a cada semana: ETo (mm/sem) e chuva (mm/sem). A semana atual e escolhida pela Data de referencia.</t>
        </is>
      </c>
    </row>
    <row r="6" ht="34" customHeight="1">
      <c r="B6" s="3" t="inlineStr">
        <is>
          <t>PASSO 2:  Em cada aba de cultura, veja a coluna Decisao (IRRIGAR / Acompanhar / Aguardar).</t>
        </is>
      </c>
    </row>
    <row r="7" ht="34" customHeight="1">
      <c r="B7" s="3" t="inlineStr">
        <is>
          <t>PASSO 3:  Nas parcelas IRRIGAR, digite o % (percentimetro) -&gt; a planilha mostra a Lamina (mm) e as Horas.</t>
        </is>
      </c>
    </row>
    <row r="8" ht="34" customHeight="1">
      <c r="B8" s="3" t="inlineStr">
        <is>
          <t>Kc:  CURVAS_KC: Kc LINEAR diario por DAE. DAE = DAP - 5 (emergencia). Algodao do arquivo; soja/milho/tabaco por fase.</t>
        </is>
      </c>
    </row>
    <row r="9" ht="34" customHeight="1">
      <c r="B9" s="3" t="inlineStr">
        <is>
          <t>CONTA:  ETc semanal = Kc(DAE) x ETo semanal. Nec. liquida = ETc - chuva. Nec. bruta = / 0,90.</t>
        </is>
      </c>
    </row>
    <row r="10" ht="34" customHeight="1">
      <c r="B10" s="3" t="inlineStr">
        <is>
          <t>MODULOS:  M1: pivo 1-34 + 75,76 | M2: casa R8-R12 | M3: casa R13-R18 | RDM: 101-133.</t>
        </is>
      </c>
    </row>
    <row r="11" ht="34" customHeight="1">
      <c r="B11" s="3" t="inlineStr">
        <is>
          <t>PENDENCIAS:  Cacau sem curva de Kc; variedade fora da lista usa classe padrao (edite a coluna Classe).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U9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SOJA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Modulo 1  -  36 pivos</t>
        </is>
      </c>
    </row>
    <row r="6">
      <c r="A6" s="6" t="inlineStr">
        <is>
          <t>Pivô 01</t>
        </is>
      </c>
      <c r="B6" s="6" t="inlineStr">
        <is>
          <t>R0</t>
        </is>
      </c>
      <c r="C6" s="7" t="inlineStr">
        <is>
          <t>BMX DOMINIO IPRO</t>
        </is>
      </c>
      <c r="D6" s="8" t="inlineStr">
        <is>
          <t>MEDIA</t>
        </is>
      </c>
      <c r="E6" s="9" t="n">
        <v>70</v>
      </c>
      <c r="F6" s="10" t="n">
        <v>46327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plantado)",IFERROR(INDEX(CURVAS_KC!$B$5:$I$224,MATCH(MIN(MAX($H6,1),220),CURVAS_KC!$A$5:$A$224,0),MATCH($T6,CURVAS_KC!$B$4:$I$4,0)),"PENDENTE")))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>
        <is>
          <t>SOJA_MEDIA</t>
        </is>
      </c>
      <c r="U6" s="8" t="inlineStr">
        <is>
          <t>P1</t>
        </is>
      </c>
    </row>
    <row r="7">
      <c r="A7" s="6" t="inlineStr">
        <is>
          <t>Pivô 01</t>
        </is>
      </c>
      <c r="B7" s="6" t="inlineStr">
        <is>
          <t>R0</t>
        </is>
      </c>
      <c r="C7" s="7" t="inlineStr">
        <is>
          <t>BMX DOMINIO IPRO</t>
        </is>
      </c>
      <c r="D7" s="8" t="inlineStr">
        <is>
          <t>MEDIA</t>
        </is>
      </c>
      <c r="E7" s="9" t="n">
        <v>71</v>
      </c>
      <c r="F7" s="10" t="n">
        <v>46331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plantado)",IFERROR(INDEX(CURVAS_KC!$B$5:$I$224,MATCH(MIN(MAX($H7,1),220),CURVAS_KC!$A$5:$A$224,0),MATCH($T7,CURVAS_KC!$B$4:$I$4,0)),"PENDENTE")))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>
        <is>
          <t>SOJA_MEDIA</t>
        </is>
      </c>
      <c r="U7" s="8" t="inlineStr">
        <is>
          <t>P1</t>
        </is>
      </c>
    </row>
    <row r="8">
      <c r="A8" s="6" t="inlineStr">
        <is>
          <t>Pivô 02</t>
        </is>
      </c>
      <c r="B8" s="6" t="inlineStr">
        <is>
          <t>R0</t>
        </is>
      </c>
      <c r="C8" s="7" t="inlineStr">
        <is>
          <t>CZ 37B07 I2X</t>
        </is>
      </c>
      <c r="D8" s="8" t="inlineStr">
        <is>
          <t>PRECOCE</t>
        </is>
      </c>
      <c r="E8" s="9" t="n">
        <v>124</v>
      </c>
      <c r="F8" s="10" t="n">
        <v>46287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plantado)",IFERROR(INDEX(CURVAS_KC!$B$5:$I$224,MATCH(MIN(MAX($H8,1),220),CURVAS_KC!$A$5:$A$224,0),MATCH($T8,CURVAS_KC!$B$4:$I$4,0)),"PENDENTE")))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>
        <is>
          <t>SOJA_PRECOCE</t>
        </is>
      </c>
      <c r="U8" s="8" t="inlineStr">
        <is>
          <t>P2</t>
        </is>
      </c>
    </row>
    <row r="9">
      <c r="A9" s="6" t="inlineStr">
        <is>
          <t>Pivô 02</t>
        </is>
      </c>
      <c r="B9" s="6" t="inlineStr">
        <is>
          <t>R0</t>
        </is>
      </c>
      <c r="C9" s="7" t="inlineStr">
        <is>
          <t>BMX DOMINIO IPRO</t>
        </is>
      </c>
      <c r="D9" s="8" t="inlineStr">
        <is>
          <t>MEDIA</t>
        </is>
      </c>
      <c r="E9" s="9" t="n">
        <v>134</v>
      </c>
      <c r="F9" s="10" t="n">
        <v>46327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plantado)",IFERROR(INDEX(CURVAS_KC!$B$5:$I$224,MATCH(MIN(MAX($H9,1),220),CURVAS_KC!$A$5:$A$224,0),MATCH($T9,CURVAS_KC!$B$4:$I$4,0)),"PENDENTE")))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>
        <is>
          <t>SOJA_MEDIA</t>
        </is>
      </c>
      <c r="U9" s="8" t="inlineStr">
        <is>
          <t>P2</t>
        </is>
      </c>
    </row>
    <row r="10">
      <c r="A10" s="6" t="inlineStr">
        <is>
          <t>Pivô 02</t>
        </is>
      </c>
      <c r="B10" s="6" t="inlineStr">
        <is>
          <t>R0</t>
        </is>
      </c>
      <c r="C10" s="7" t="inlineStr">
        <is>
          <t>BMX DOMINIO IPRO</t>
        </is>
      </c>
      <c r="D10" s="8" t="inlineStr">
        <is>
          <t>MEDIA</t>
        </is>
      </c>
      <c r="E10" s="9" t="n">
        <v>38</v>
      </c>
      <c r="F10" s="10" t="n">
        <v>46331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plantado)",IFERROR(INDEX(CURVAS_KC!$B$5:$I$224,MATCH(MIN(MAX($H10,1),220),CURVAS_KC!$A$5:$A$224,0),MATCH($T10,CURVAS_KC!$B$4:$I$4,0)),"PENDENTE")))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>
        <is>
          <t>SOJA_MEDIA</t>
        </is>
      </c>
      <c r="U10" s="8" t="inlineStr">
        <is>
          <t>P2</t>
        </is>
      </c>
    </row>
    <row r="11">
      <c r="A11" s="6" t="inlineStr">
        <is>
          <t>Pivô 03</t>
        </is>
      </c>
      <c r="B11" s="6" t="inlineStr">
        <is>
          <t>R0</t>
        </is>
      </c>
      <c r="C11" s="7" t="inlineStr">
        <is>
          <t>COMBATE IPRO</t>
        </is>
      </c>
      <c r="D11" s="8" t="inlineStr">
        <is>
          <t>PRECOCE</t>
        </is>
      </c>
      <c r="E11" s="9" t="n">
        <v>150</v>
      </c>
      <c r="F11" s="10" t="n">
        <v>46288</v>
      </c>
      <c r="G11" s="11">
        <f>IF($F11="","",IF($F11&gt;DATA_REF,"",DATA_REF-$F11))</f>
        <v/>
      </c>
      <c r="H11" s="11">
        <f>IF($G11="","",MAX(0,$G11-'PARAMETROS'!$B$9))</f>
        <v/>
      </c>
      <c r="I11" s="12">
        <f>IF($T11="","PENDENTE",IF($G11="","(nao plantado)",IFERROR(INDEX(CURVAS_KC!$B$5:$I$224,MATCH(MIN(MAX($H11,1),220),CURVAS_KC!$A$5:$A$224,0),MATCH($T11,CURVAS_KC!$B$4:$I$4,0)),"PENDENTE")))</f>
        <v/>
      </c>
      <c r="J11" s="13">
        <f>ETO_SEM</f>
        <v/>
      </c>
      <c r="K11" s="13">
        <f>CHUVA_SEM</f>
        <v/>
      </c>
      <c r="L11" s="14">
        <f>IF(OR($I11="PENDENTE",$I11="(nao plantado)",$J11=""),"",$I11*$J11)</f>
        <v/>
      </c>
      <c r="M11" s="14">
        <f>IF($L11="","",MAX(0,$L11-N($K11)))</f>
        <v/>
      </c>
      <c r="N11" s="14">
        <f>IF($M11="","",$M11/EF_APLIC)</f>
        <v/>
      </c>
      <c r="O11" s="8" t="n"/>
      <c r="P11" s="15">
        <f>IF(OR($U11="",$O11=""),"",IFERROR(INDEX(LAMINA_HORA!$C$5:$V$114,MATCH($U11,LAMINA_HORA!$A$5:$A$114,0),MATCH($O11,LAMINA_HORA!$C$3:$V$3,0)),"?"))</f>
        <v/>
      </c>
      <c r="Q11" s="15">
        <f>IF(OR($U11="",$O11=""),"",IFERROR(INDEX(LAMINA_HORA!$W$5:$AP$114,MATCH($U11,LAMINA_HORA!$A$5:$A$114,0),MATCH($O11,LAMINA_HORA!$W$3:$AP$3,0)),"?"))</f>
        <v/>
      </c>
      <c r="R11" s="16">
        <f>IF($I11="PENDENTE","Definir Kc/classe",IF($I11="(nao plantado)","Aguardar plantio",IF($M11="","-",IF($M11&gt;=TURNO,"IRRIGAR",IF($M11&gt;=TURNO*FRAC_ACOMP,"Acompanhar","Aguardar")))))</f>
        <v/>
      </c>
      <c r="S11" s="16">
        <f>IF(OR($M11="",$M11=0),"-",IF($M11&gt;=2*TURNO,"Alta",IF($M11&gt;=TURNO,"Media","Baixa")))</f>
        <v/>
      </c>
      <c r="T11" s="17" t="inlineStr">
        <is>
          <t>SOJA_PRECOCE</t>
        </is>
      </c>
      <c r="U11" s="8" t="inlineStr">
        <is>
          <t>P3</t>
        </is>
      </c>
    </row>
    <row r="12">
      <c r="A12" s="6" t="inlineStr">
        <is>
          <t>Pivô 03</t>
        </is>
      </c>
      <c r="B12" s="6" t="inlineStr">
        <is>
          <t>R0</t>
        </is>
      </c>
      <c r="C12" s="7" t="inlineStr">
        <is>
          <t>MURALHA IPRO</t>
        </is>
      </c>
      <c r="D12" s="8" t="inlineStr">
        <is>
          <t>MEDIA</t>
        </is>
      </c>
      <c r="E12" s="9" t="n">
        <v>77</v>
      </c>
      <c r="F12" s="10" t="n">
        <v>46328</v>
      </c>
      <c r="G12" s="11">
        <f>IF($F12="","",IF($F12&gt;DATA_REF,"",DATA_REF-$F12))</f>
        <v/>
      </c>
      <c r="H12" s="11">
        <f>IF($G12="","",MAX(0,$G12-'PARAMETROS'!$B$9))</f>
        <v/>
      </c>
      <c r="I12" s="12">
        <f>IF($T12="","PENDENTE",IF($G12="","(nao plantado)",IFERROR(INDEX(CURVAS_KC!$B$5:$I$224,MATCH(MIN(MAX($H12,1),220),CURVAS_KC!$A$5:$A$224,0),MATCH($T12,CURVAS_KC!$B$4:$I$4,0)),"PENDENTE")))</f>
        <v/>
      </c>
      <c r="J12" s="13">
        <f>ETO_SEM</f>
        <v/>
      </c>
      <c r="K12" s="13">
        <f>CHUVA_SEM</f>
        <v/>
      </c>
      <c r="L12" s="14">
        <f>IF(OR($I12="PENDENTE",$I12="(nao plantado)",$J12=""),"",$I12*$J12)</f>
        <v/>
      </c>
      <c r="M12" s="14">
        <f>IF($L12="","",MAX(0,$L12-N($K12)))</f>
        <v/>
      </c>
      <c r="N12" s="14">
        <f>IF($M12="","",$M12/EF_APLIC)</f>
        <v/>
      </c>
      <c r="O12" s="8" t="n"/>
      <c r="P12" s="15">
        <f>IF(OR($U12="",$O12=""),"",IFERROR(INDEX(LAMINA_HORA!$C$5:$V$114,MATCH($U12,LAMINA_HORA!$A$5:$A$114,0),MATCH($O12,LAMINA_HORA!$C$3:$V$3,0)),"?"))</f>
        <v/>
      </c>
      <c r="Q12" s="15">
        <f>IF(OR($U12="",$O12=""),"",IFERROR(INDEX(LAMINA_HORA!$W$5:$AP$114,MATCH($U12,LAMINA_HORA!$A$5:$A$114,0),MATCH($O12,LAMINA_HORA!$W$3:$AP$3,0)),"?"))</f>
        <v/>
      </c>
      <c r="R12" s="16">
        <f>IF($I12="PENDENTE","Definir Kc/classe",IF($I12="(nao plantado)","Aguardar plantio",IF($M12="","-",IF($M12&gt;=TURNO,"IRRIGAR",IF($M12&gt;=TURNO*FRAC_ACOMP,"Acompanhar","Aguardar")))))</f>
        <v/>
      </c>
      <c r="S12" s="16">
        <f>IF(OR($M12="",$M12=0),"-",IF($M12&gt;=2*TURNO,"Alta",IF($M12&gt;=TURNO,"Media","Baixa")))</f>
        <v/>
      </c>
      <c r="T12" s="17" t="inlineStr">
        <is>
          <t>SOJA_MEDIA</t>
        </is>
      </c>
      <c r="U12" s="8" t="inlineStr">
        <is>
          <t>P3</t>
        </is>
      </c>
    </row>
    <row r="13">
      <c r="A13" s="6" t="inlineStr">
        <is>
          <t>Pivô 03</t>
        </is>
      </c>
      <c r="B13" s="6" t="inlineStr">
        <is>
          <t>R0</t>
        </is>
      </c>
      <c r="C13" s="7" t="inlineStr">
        <is>
          <t>BMX DOMINIO IPRO</t>
        </is>
      </c>
      <c r="D13" s="8" t="inlineStr">
        <is>
          <t>MEDIA</t>
        </is>
      </c>
      <c r="E13" s="9" t="n">
        <v>162</v>
      </c>
      <c r="F13" s="10" t="n">
        <v>46332</v>
      </c>
      <c r="G13" s="11">
        <f>IF($F13="","",IF($F13&gt;DATA_REF,"",DATA_REF-$F13))</f>
        <v/>
      </c>
      <c r="H13" s="11">
        <f>IF($G13="","",MAX(0,$G13-'PARAMETROS'!$B$9))</f>
        <v/>
      </c>
      <c r="I13" s="12">
        <f>IF($T13="","PENDENTE",IF($G13="","(nao plantado)",IFERROR(INDEX(CURVAS_KC!$B$5:$I$224,MATCH(MIN(MAX($H13,1),220),CURVAS_KC!$A$5:$A$224,0),MATCH($T13,CURVAS_KC!$B$4:$I$4,0)),"PENDENTE")))</f>
        <v/>
      </c>
      <c r="J13" s="13">
        <f>ETO_SEM</f>
        <v/>
      </c>
      <c r="K13" s="13">
        <f>CHUVA_SEM</f>
        <v/>
      </c>
      <c r="L13" s="14">
        <f>IF(OR($I13="PENDENTE",$I13="(nao plantado)",$J13=""),"",$I13*$J13)</f>
        <v/>
      </c>
      <c r="M13" s="14">
        <f>IF($L13="","",MAX(0,$L13-N($K13)))</f>
        <v/>
      </c>
      <c r="N13" s="14">
        <f>IF($M13="","",$M13/EF_APLIC)</f>
        <v/>
      </c>
      <c r="O13" s="8" t="n"/>
      <c r="P13" s="15">
        <f>IF(OR($U13="",$O13=""),"",IFERROR(INDEX(LAMINA_HORA!$C$5:$V$114,MATCH($U13,LAMINA_HORA!$A$5:$A$114,0),MATCH($O13,LAMINA_HORA!$C$3:$V$3,0)),"?"))</f>
        <v/>
      </c>
      <c r="Q13" s="15">
        <f>IF(OR($U13="",$O13=""),"",IFERROR(INDEX(LAMINA_HORA!$W$5:$AP$114,MATCH($U13,LAMINA_HORA!$A$5:$A$114,0),MATCH($O13,LAMINA_HORA!$W$3:$AP$3,0)),"?"))</f>
        <v/>
      </c>
      <c r="R13" s="16">
        <f>IF($I13="PENDENTE","Definir Kc/classe",IF($I13="(nao plantado)","Aguardar plantio",IF($M13="","-",IF($M13&gt;=TURNO,"IRRIGAR",IF($M13&gt;=TURNO*FRAC_ACOMP,"Acompanhar","Aguardar")))))</f>
        <v/>
      </c>
      <c r="S13" s="16">
        <f>IF(OR($M13="",$M13=0),"-",IF($M13&gt;=2*TURNO,"Alta",IF($M13&gt;=TURNO,"Media","Baixa")))</f>
        <v/>
      </c>
      <c r="T13" s="17" t="inlineStr">
        <is>
          <t>SOJA_MEDIA</t>
        </is>
      </c>
      <c r="U13" s="8" t="inlineStr">
        <is>
          <t>P3</t>
        </is>
      </c>
    </row>
    <row r="14">
      <c r="A14" s="6" t="inlineStr">
        <is>
          <t>Pivô 04</t>
        </is>
      </c>
      <c r="B14" s="6" t="inlineStr">
        <is>
          <t>R0</t>
        </is>
      </c>
      <c r="C14" s="7" t="inlineStr">
        <is>
          <t>COMBATE IPRO</t>
        </is>
      </c>
      <c r="D14" s="8" t="inlineStr">
        <is>
          <t>PRECOCE</t>
        </is>
      </c>
      <c r="E14" s="9" t="n">
        <v>63</v>
      </c>
      <c r="F14" s="10" t="n">
        <v>46288</v>
      </c>
      <c r="G14" s="11">
        <f>IF($F14="","",IF($F14&gt;DATA_REF,"",DATA_REF-$F14))</f>
        <v/>
      </c>
      <c r="H14" s="11">
        <f>IF($G14="","",MAX(0,$G14-'PARAMETROS'!$B$9))</f>
        <v/>
      </c>
      <c r="I14" s="12">
        <f>IF($T14="","PENDENTE",IF($G14="","(nao plantado)",IFERROR(INDEX(CURVAS_KC!$B$5:$I$224,MATCH(MIN(MAX($H14,1),220),CURVAS_KC!$A$5:$A$224,0),MATCH($T14,CURVAS_KC!$B$4:$I$4,0)),"PENDENTE")))</f>
        <v/>
      </c>
      <c r="J14" s="13">
        <f>ETO_SEM</f>
        <v/>
      </c>
      <c r="K14" s="13">
        <f>CHUVA_SEM</f>
        <v/>
      </c>
      <c r="L14" s="14">
        <f>IF(OR($I14="PENDENTE",$I14="(nao plantado)",$J14=""),"",$I14*$J14)</f>
        <v/>
      </c>
      <c r="M14" s="14">
        <f>IF($L14="","",MAX(0,$L14-N($K14)))</f>
        <v/>
      </c>
      <c r="N14" s="14">
        <f>IF($M14="","",$M14/EF_APLIC)</f>
        <v/>
      </c>
      <c r="O14" s="8" t="n"/>
      <c r="P14" s="15">
        <f>IF(OR($U14="",$O14=""),"",IFERROR(INDEX(LAMINA_HORA!$C$5:$V$114,MATCH($U14,LAMINA_HORA!$A$5:$A$114,0),MATCH($O14,LAMINA_HORA!$C$3:$V$3,0)),"?"))</f>
        <v/>
      </c>
      <c r="Q14" s="15">
        <f>IF(OR($U14="",$O14=""),"",IFERROR(INDEX(LAMINA_HORA!$W$5:$AP$114,MATCH($U14,LAMINA_HORA!$A$5:$A$114,0),MATCH($O14,LAMINA_HORA!$W$3:$AP$3,0)),"?"))</f>
        <v/>
      </c>
      <c r="R14" s="16">
        <f>IF($I14="PENDENTE","Definir Kc/classe",IF($I14="(nao plantado)","Aguardar plantio",IF($M14="","-",IF($M14&gt;=TURNO,"IRRIGAR",IF($M14&gt;=TURNO*FRAC_ACOMP,"Acompanhar","Aguardar")))))</f>
        <v/>
      </c>
      <c r="S14" s="16">
        <f>IF(OR($M14="",$M14=0),"-",IF($M14&gt;=2*TURNO,"Alta",IF($M14&gt;=TURNO,"Media","Baixa")))</f>
        <v/>
      </c>
      <c r="T14" s="17" t="inlineStr">
        <is>
          <t>SOJA_PRECOCE</t>
        </is>
      </c>
      <c r="U14" s="8" t="inlineStr">
        <is>
          <t>P4</t>
        </is>
      </c>
    </row>
    <row r="15">
      <c r="A15" s="6" t="inlineStr">
        <is>
          <t>Pivô 04</t>
        </is>
      </c>
      <c r="B15" s="6" t="inlineStr">
        <is>
          <t>R0</t>
        </is>
      </c>
      <c r="C15" s="7" t="inlineStr">
        <is>
          <t>BMX DOMINIO IPRO</t>
        </is>
      </c>
      <c r="D15" s="8" t="inlineStr">
        <is>
          <t>MEDIA</t>
        </is>
      </c>
      <c r="E15" s="9" t="n">
        <v>240</v>
      </c>
      <c r="F15" s="10" t="n">
        <v>46332</v>
      </c>
      <c r="G15" s="11">
        <f>IF($F15="","",IF($F15&gt;DATA_REF,"",DATA_REF-$F15))</f>
        <v/>
      </c>
      <c r="H15" s="11">
        <f>IF($G15="","",MAX(0,$G15-'PARAMETROS'!$B$9))</f>
        <v/>
      </c>
      <c r="I15" s="12">
        <f>IF($T15="","PENDENTE",IF($G15="","(nao plantado)",IFERROR(INDEX(CURVAS_KC!$B$5:$I$224,MATCH(MIN(MAX($H15,1),220),CURVAS_KC!$A$5:$A$224,0),MATCH($T15,CURVAS_KC!$B$4:$I$4,0)),"PENDENTE")))</f>
        <v/>
      </c>
      <c r="J15" s="13">
        <f>ETO_SEM</f>
        <v/>
      </c>
      <c r="K15" s="13">
        <f>CHUVA_SEM</f>
        <v/>
      </c>
      <c r="L15" s="14">
        <f>IF(OR($I15="PENDENTE",$I15="(nao plantado)",$J15=""),"",$I15*$J15)</f>
        <v/>
      </c>
      <c r="M15" s="14">
        <f>IF($L15="","",MAX(0,$L15-N($K15)))</f>
        <v/>
      </c>
      <c r="N15" s="14">
        <f>IF($M15="","",$M15/EF_APLIC)</f>
        <v/>
      </c>
      <c r="O15" s="8" t="n"/>
      <c r="P15" s="15">
        <f>IF(OR($U15="",$O15=""),"",IFERROR(INDEX(LAMINA_HORA!$C$5:$V$114,MATCH($U15,LAMINA_HORA!$A$5:$A$114,0),MATCH($O15,LAMINA_HORA!$C$3:$V$3,0)),"?"))</f>
        <v/>
      </c>
      <c r="Q15" s="15">
        <f>IF(OR($U15="",$O15=""),"",IFERROR(INDEX(LAMINA_HORA!$W$5:$AP$114,MATCH($U15,LAMINA_HORA!$A$5:$A$114,0),MATCH($O15,LAMINA_HORA!$W$3:$AP$3,0)),"?"))</f>
        <v/>
      </c>
      <c r="R15" s="16">
        <f>IF($I15="PENDENTE","Definir Kc/classe",IF($I15="(nao plantado)","Aguardar plantio",IF($M15="","-",IF($M15&gt;=TURNO,"IRRIGAR",IF($M15&gt;=TURNO*FRAC_ACOMP,"Acompanhar","Aguardar")))))</f>
        <v/>
      </c>
      <c r="S15" s="16">
        <f>IF(OR($M15="",$M15=0),"-",IF($M15&gt;=2*TURNO,"Alta",IF($M15&gt;=TURNO,"Media","Baixa")))</f>
        <v/>
      </c>
      <c r="T15" s="17" t="inlineStr">
        <is>
          <t>SOJA_MEDIA</t>
        </is>
      </c>
      <c r="U15" s="8" t="inlineStr">
        <is>
          <t>P4</t>
        </is>
      </c>
    </row>
    <row r="16">
      <c r="A16" s="6" t="inlineStr">
        <is>
          <t>Pivô 05</t>
        </is>
      </c>
      <c r="B16" s="6" t="inlineStr">
        <is>
          <t>R1</t>
        </is>
      </c>
      <c r="C16" s="7" t="inlineStr">
        <is>
          <t>COMBATE IPRO</t>
        </is>
      </c>
      <c r="D16" s="8" t="inlineStr">
        <is>
          <t>PRECOCE</t>
        </is>
      </c>
      <c r="E16" s="9" t="n">
        <v>150</v>
      </c>
      <c r="F16" s="10" t="n">
        <v>46289</v>
      </c>
      <c r="G16" s="11">
        <f>IF($F16="","",IF($F16&gt;DATA_REF,"",DATA_REF-$F16))</f>
        <v/>
      </c>
      <c r="H16" s="11">
        <f>IF($G16="","",MAX(0,$G16-'PARAMETROS'!$B$9))</f>
        <v/>
      </c>
      <c r="I16" s="12">
        <f>IF($T16="","PENDENTE",IF($G16="","(nao plantado)",IFERROR(INDEX(CURVAS_KC!$B$5:$I$224,MATCH(MIN(MAX($H16,1),220),CURVAS_KC!$A$5:$A$224,0),MATCH($T16,CURVAS_KC!$B$4:$I$4,0)),"PENDENTE")))</f>
        <v/>
      </c>
      <c r="J16" s="13">
        <f>ETO_SEM</f>
        <v/>
      </c>
      <c r="K16" s="13">
        <f>CHUVA_SEM</f>
        <v/>
      </c>
      <c r="L16" s="14">
        <f>IF(OR($I16="PENDENTE",$I16="(nao plantado)",$J16=""),"",$I16*$J16)</f>
        <v/>
      </c>
      <c r="M16" s="14">
        <f>IF($L16="","",MAX(0,$L16-N($K16)))</f>
        <v/>
      </c>
      <c r="N16" s="14">
        <f>IF($M16="","",$M16/EF_APLIC)</f>
        <v/>
      </c>
      <c r="O16" s="8" t="n"/>
      <c r="P16" s="15">
        <f>IF(OR($U16="",$O16=""),"",IFERROR(INDEX(LAMINA_HORA!$C$5:$V$114,MATCH($U16,LAMINA_HORA!$A$5:$A$114,0),MATCH($O16,LAMINA_HORA!$C$3:$V$3,0)),"?"))</f>
        <v/>
      </c>
      <c r="Q16" s="15">
        <f>IF(OR($U16="",$O16=""),"",IFERROR(INDEX(LAMINA_HORA!$W$5:$AP$114,MATCH($U16,LAMINA_HORA!$A$5:$A$114,0),MATCH($O16,LAMINA_HORA!$W$3:$AP$3,0)),"?"))</f>
        <v/>
      </c>
      <c r="R16" s="16">
        <f>IF($I16="PENDENTE","Definir Kc/classe",IF($I16="(nao plantado)","Aguardar plantio",IF($M16="","-",IF($M16&gt;=TURNO,"IRRIGAR",IF($M16&gt;=TURNO*FRAC_ACOMP,"Acompanhar","Aguardar")))))</f>
        <v/>
      </c>
      <c r="S16" s="16">
        <f>IF(OR($M16="",$M16=0),"-",IF($M16&gt;=2*TURNO,"Alta",IF($M16&gt;=TURNO,"Media","Baixa")))</f>
        <v/>
      </c>
      <c r="T16" s="17" t="inlineStr">
        <is>
          <t>SOJA_PRECOCE</t>
        </is>
      </c>
      <c r="U16" s="8" t="inlineStr">
        <is>
          <t>P5</t>
        </is>
      </c>
    </row>
    <row r="17">
      <c r="A17" s="6" t="inlineStr">
        <is>
          <t>Pivô 05</t>
        </is>
      </c>
      <c r="B17" s="6" t="inlineStr">
        <is>
          <t>R1</t>
        </is>
      </c>
      <c r="C17" s="7" t="inlineStr">
        <is>
          <t>BMX DOMINIO IPRO</t>
        </is>
      </c>
      <c r="D17" s="8" t="inlineStr">
        <is>
          <t>MEDIA</t>
        </is>
      </c>
      <c r="E17" s="9" t="n">
        <v>37</v>
      </c>
      <c r="F17" s="10" t="n">
        <v>46332</v>
      </c>
      <c r="G17" s="11">
        <f>IF($F17="","",IF($F17&gt;DATA_REF,"",DATA_REF-$F17))</f>
        <v/>
      </c>
      <c r="H17" s="11">
        <f>IF($G17="","",MAX(0,$G17-'PARAMETROS'!$B$9))</f>
        <v/>
      </c>
      <c r="I17" s="12">
        <f>IF($T17="","PENDENTE",IF($G17="","(nao plantado)",IFERROR(INDEX(CURVAS_KC!$B$5:$I$224,MATCH(MIN(MAX($H17,1),220),CURVAS_KC!$A$5:$A$224,0),MATCH($T17,CURVAS_KC!$B$4:$I$4,0)),"PENDENTE")))</f>
        <v/>
      </c>
      <c r="J17" s="13">
        <f>ETO_SEM</f>
        <v/>
      </c>
      <c r="K17" s="13">
        <f>CHUVA_SEM</f>
        <v/>
      </c>
      <c r="L17" s="14">
        <f>IF(OR($I17="PENDENTE",$I17="(nao plantado)",$J17=""),"",$I17*$J17)</f>
        <v/>
      </c>
      <c r="M17" s="14">
        <f>IF($L17="","",MAX(0,$L17-N($K17)))</f>
        <v/>
      </c>
      <c r="N17" s="14">
        <f>IF($M17="","",$M17/EF_APLIC)</f>
        <v/>
      </c>
      <c r="O17" s="8" t="n"/>
      <c r="P17" s="15">
        <f>IF(OR($U17="",$O17=""),"",IFERROR(INDEX(LAMINA_HORA!$C$5:$V$114,MATCH($U17,LAMINA_HORA!$A$5:$A$114,0),MATCH($O17,LAMINA_HORA!$C$3:$V$3,0)),"?"))</f>
        <v/>
      </c>
      <c r="Q17" s="15">
        <f>IF(OR($U17="",$O17=""),"",IFERROR(INDEX(LAMINA_HORA!$W$5:$AP$114,MATCH($U17,LAMINA_HORA!$A$5:$A$114,0),MATCH($O17,LAMINA_HORA!$W$3:$AP$3,0)),"?"))</f>
        <v/>
      </c>
      <c r="R17" s="16">
        <f>IF($I17="PENDENTE","Definir Kc/classe",IF($I17="(nao plantado)","Aguardar plantio",IF($M17="","-",IF($M17&gt;=TURNO,"IRRIGAR",IF($M17&gt;=TURNO*FRAC_ACOMP,"Acompanhar","Aguardar")))))</f>
        <v/>
      </c>
      <c r="S17" s="16">
        <f>IF(OR($M17="",$M17=0),"-",IF($M17&gt;=2*TURNO,"Alta",IF($M17&gt;=TURNO,"Media","Baixa")))</f>
        <v/>
      </c>
      <c r="T17" s="17" t="inlineStr">
        <is>
          <t>SOJA_MEDIA</t>
        </is>
      </c>
      <c r="U17" s="8" t="inlineStr">
        <is>
          <t>P5</t>
        </is>
      </c>
    </row>
    <row r="18">
      <c r="A18" s="6" t="inlineStr">
        <is>
          <t>Pivô 06</t>
        </is>
      </c>
      <c r="B18" s="6" t="inlineStr">
        <is>
          <t>R1</t>
        </is>
      </c>
      <c r="C18" s="7" t="inlineStr">
        <is>
          <t>COMBATE IPRO</t>
        </is>
      </c>
      <c r="D18" s="8" t="inlineStr">
        <is>
          <t>PRECOCE</t>
        </is>
      </c>
      <c r="E18" s="9" t="n">
        <v>150</v>
      </c>
      <c r="F18" s="10" t="n">
        <v>46289</v>
      </c>
      <c r="G18" s="11">
        <f>IF($F18="","",IF($F18&gt;DATA_REF,"",DATA_REF-$F18))</f>
        <v/>
      </c>
      <c r="H18" s="11">
        <f>IF($G18="","",MAX(0,$G18-'PARAMETROS'!$B$9))</f>
        <v/>
      </c>
      <c r="I18" s="12">
        <f>IF($T18="","PENDENTE",IF($G18="","(nao plantado)",IFERROR(INDEX(CURVAS_KC!$B$5:$I$224,MATCH(MIN(MAX($H18,1),220),CURVAS_KC!$A$5:$A$224,0),MATCH($T18,CURVAS_KC!$B$4:$I$4,0)),"PENDENTE")))</f>
        <v/>
      </c>
      <c r="J18" s="13">
        <f>ETO_SEM</f>
        <v/>
      </c>
      <c r="K18" s="13">
        <f>CHUVA_SEM</f>
        <v/>
      </c>
      <c r="L18" s="14">
        <f>IF(OR($I18="PENDENTE",$I18="(nao plantado)",$J18=""),"",$I18*$J18)</f>
        <v/>
      </c>
      <c r="M18" s="14">
        <f>IF($L18="","",MAX(0,$L18-N($K18)))</f>
        <v/>
      </c>
      <c r="N18" s="14">
        <f>IF($M18="","",$M18/EF_APLIC)</f>
        <v/>
      </c>
      <c r="O18" s="8" t="n"/>
      <c r="P18" s="15">
        <f>IF(OR($U18="",$O18=""),"",IFERROR(INDEX(LAMINA_HORA!$C$5:$V$114,MATCH($U18,LAMINA_HORA!$A$5:$A$114,0),MATCH($O18,LAMINA_HORA!$C$3:$V$3,0)),"?"))</f>
        <v/>
      </c>
      <c r="Q18" s="15">
        <f>IF(OR($U18="",$O18=""),"",IFERROR(INDEX(LAMINA_HORA!$W$5:$AP$114,MATCH($U18,LAMINA_HORA!$A$5:$A$114,0),MATCH($O18,LAMINA_HORA!$W$3:$AP$3,0)),"?"))</f>
        <v/>
      </c>
      <c r="R18" s="16">
        <f>IF($I18="PENDENTE","Definir Kc/classe",IF($I18="(nao plantado)","Aguardar plantio",IF($M18="","-",IF($M18&gt;=TURNO,"IRRIGAR",IF($M18&gt;=TURNO*FRAC_ACOMP,"Acompanhar","Aguardar")))))</f>
        <v/>
      </c>
      <c r="S18" s="16">
        <f>IF(OR($M18="",$M18=0),"-",IF($M18&gt;=2*TURNO,"Alta",IF($M18&gt;=TURNO,"Media","Baixa")))</f>
        <v/>
      </c>
      <c r="T18" s="17" t="inlineStr">
        <is>
          <t>SOJA_PRECOCE</t>
        </is>
      </c>
      <c r="U18" s="8" t="inlineStr">
        <is>
          <t>P6</t>
        </is>
      </c>
    </row>
    <row r="19">
      <c r="A19" s="6" t="inlineStr">
        <is>
          <t>Pivô 10</t>
        </is>
      </c>
      <c r="B19" s="6" t="inlineStr">
        <is>
          <t>R3</t>
        </is>
      </c>
      <c r="C19" s="7" t="inlineStr">
        <is>
          <t>ATAQUE I2X</t>
        </is>
      </c>
      <c r="D19" s="8" t="inlineStr">
        <is>
          <t>TARDIA</t>
        </is>
      </c>
      <c r="E19" s="9" t="n">
        <v>13</v>
      </c>
      <c r="F19" s="10" t="n">
        <v>46327</v>
      </c>
      <c r="G19" s="11">
        <f>IF($F19="","",IF($F19&gt;DATA_REF,"",DATA_REF-$F19))</f>
        <v/>
      </c>
      <c r="H19" s="11">
        <f>IF($G19="","",MAX(0,$G19-'PARAMETROS'!$B$9))</f>
        <v/>
      </c>
      <c r="I19" s="12">
        <f>IF($T19="","PENDENTE",IF($G19="","(nao plantado)",IFERROR(INDEX(CURVAS_KC!$B$5:$I$224,MATCH(MIN(MAX($H19,1),220),CURVAS_KC!$A$5:$A$224,0),MATCH($T19,CURVAS_KC!$B$4:$I$4,0)),"PENDENTE")))</f>
        <v/>
      </c>
      <c r="J19" s="13">
        <f>ETO_SEM</f>
        <v/>
      </c>
      <c r="K19" s="13">
        <f>CHUVA_SEM</f>
        <v/>
      </c>
      <c r="L19" s="14">
        <f>IF(OR($I19="PENDENTE",$I19="(nao plantado)",$J19=""),"",$I19*$J19)</f>
        <v/>
      </c>
      <c r="M19" s="14">
        <f>IF($L19="","",MAX(0,$L19-N($K19)))</f>
        <v/>
      </c>
      <c r="N19" s="14">
        <f>IF($M19="","",$M19/EF_APLIC)</f>
        <v/>
      </c>
      <c r="O19" s="8" t="n"/>
      <c r="P19" s="15">
        <f>IF(OR($U19="",$O19=""),"",IFERROR(INDEX(LAMINA_HORA!$C$5:$V$114,MATCH($U19,LAMINA_HORA!$A$5:$A$114,0),MATCH($O19,LAMINA_HORA!$C$3:$V$3,0)),"?"))</f>
        <v/>
      </c>
      <c r="Q19" s="15">
        <f>IF(OR($U19="",$O19=""),"",IFERROR(INDEX(LAMINA_HORA!$W$5:$AP$114,MATCH($U19,LAMINA_HORA!$A$5:$A$114,0),MATCH($O19,LAMINA_HORA!$W$3:$AP$3,0)),"?"))</f>
        <v/>
      </c>
      <c r="R19" s="16">
        <f>IF($I19="PENDENTE","Definir Kc/classe",IF($I19="(nao plantado)","Aguardar plantio",IF($M19="","-",IF($M19&gt;=TURNO,"IRRIGAR",IF($M19&gt;=TURNO*FRAC_ACOMP,"Acompanhar","Aguardar")))))</f>
        <v/>
      </c>
      <c r="S19" s="16">
        <f>IF(OR($M19="",$M19=0),"-",IF($M19&gt;=2*TURNO,"Alta",IF($M19&gt;=TURNO,"Media","Baixa")))</f>
        <v/>
      </c>
      <c r="T19" s="17" t="inlineStr">
        <is>
          <t>SOJA_TARDIA</t>
        </is>
      </c>
      <c r="U19" s="8" t="inlineStr">
        <is>
          <t>P10</t>
        </is>
      </c>
    </row>
    <row r="20">
      <c r="A20" s="6" t="inlineStr">
        <is>
          <t>Pivô 10</t>
        </is>
      </c>
      <c r="B20" s="6" t="inlineStr">
        <is>
          <t>R3</t>
        </is>
      </c>
      <c r="C20" s="7" t="inlineStr">
        <is>
          <t>ATAQUE I2X</t>
        </is>
      </c>
      <c r="D20" s="8" t="inlineStr">
        <is>
          <t>TARDIA</t>
        </is>
      </c>
      <c r="E20" s="9" t="n">
        <v>13</v>
      </c>
      <c r="F20" s="10" t="n">
        <v>46327</v>
      </c>
      <c r="G20" s="11">
        <f>IF($F20="","",IF($F20&gt;DATA_REF,"",DATA_REF-$F20))</f>
        <v/>
      </c>
      <c r="H20" s="11">
        <f>IF($G20="","",MAX(0,$G20-'PARAMETROS'!$B$9))</f>
        <v/>
      </c>
      <c r="I20" s="12">
        <f>IF($T20="","PENDENTE",IF($G20="","(nao plantado)",IFERROR(INDEX(CURVAS_KC!$B$5:$I$224,MATCH(MIN(MAX($H20,1),220),CURVAS_KC!$A$5:$A$224,0),MATCH($T20,CURVAS_KC!$B$4:$I$4,0)),"PENDENTE")))</f>
        <v/>
      </c>
      <c r="J20" s="13">
        <f>ETO_SEM</f>
        <v/>
      </c>
      <c r="K20" s="13">
        <f>CHUVA_SEM</f>
        <v/>
      </c>
      <c r="L20" s="14">
        <f>IF(OR($I20="PENDENTE",$I20="(nao plantado)",$J20=""),"",$I20*$J20)</f>
        <v/>
      </c>
      <c r="M20" s="14">
        <f>IF($L20="","",MAX(0,$L20-N($K20)))</f>
        <v/>
      </c>
      <c r="N20" s="14">
        <f>IF($M20="","",$M20/EF_APLIC)</f>
        <v/>
      </c>
      <c r="O20" s="8" t="n"/>
      <c r="P20" s="15">
        <f>IF(OR($U20="",$O20=""),"",IFERROR(INDEX(LAMINA_HORA!$C$5:$V$114,MATCH($U20,LAMINA_HORA!$A$5:$A$114,0),MATCH($O20,LAMINA_HORA!$C$3:$V$3,0)),"?"))</f>
        <v/>
      </c>
      <c r="Q20" s="15">
        <f>IF(OR($U20="",$O20=""),"",IFERROR(INDEX(LAMINA_HORA!$W$5:$AP$114,MATCH($U20,LAMINA_HORA!$A$5:$A$114,0),MATCH($O20,LAMINA_HORA!$W$3:$AP$3,0)),"?"))</f>
        <v/>
      </c>
      <c r="R20" s="16">
        <f>IF($I20="PENDENTE","Definir Kc/classe",IF($I20="(nao plantado)","Aguardar plantio",IF($M20="","-",IF($M20&gt;=TURNO,"IRRIGAR",IF($M20&gt;=TURNO*FRAC_ACOMP,"Acompanhar","Aguardar")))))</f>
        <v/>
      </c>
      <c r="S20" s="16">
        <f>IF(OR($M20="",$M20=0),"-",IF($M20&gt;=2*TURNO,"Alta",IF($M20&gt;=TURNO,"Media","Baixa")))</f>
        <v/>
      </c>
      <c r="T20" s="17" t="inlineStr">
        <is>
          <t>SOJA_TARDIA</t>
        </is>
      </c>
      <c r="U20" s="8" t="inlineStr">
        <is>
          <t>P10</t>
        </is>
      </c>
    </row>
    <row r="21">
      <c r="A21" s="6" t="inlineStr">
        <is>
          <t>Pivô 11</t>
        </is>
      </c>
      <c r="B21" s="6" t="inlineStr">
        <is>
          <t>R5</t>
        </is>
      </c>
      <c r="C21" s="7" t="inlineStr">
        <is>
          <t>BMX DOMINIO IPRO</t>
        </is>
      </c>
      <c r="D21" s="8" t="inlineStr">
        <is>
          <t>MEDIA</t>
        </is>
      </c>
      <c r="E21" s="9" t="n">
        <v>75</v>
      </c>
      <c r="F21" s="10" t="n">
        <v>46328</v>
      </c>
      <c r="G21" s="11">
        <f>IF($F21="","",IF($F21&gt;DATA_REF,"",DATA_REF-$F21))</f>
        <v/>
      </c>
      <c r="H21" s="11">
        <f>IF($G21="","",MAX(0,$G21-'PARAMETROS'!$B$9))</f>
        <v/>
      </c>
      <c r="I21" s="12">
        <f>IF($T21="","PENDENTE",IF($G21="","(nao plantado)",IFERROR(INDEX(CURVAS_KC!$B$5:$I$224,MATCH(MIN(MAX($H21,1),220),CURVAS_KC!$A$5:$A$224,0),MATCH($T21,CURVAS_KC!$B$4:$I$4,0)),"PENDENTE")))</f>
        <v/>
      </c>
      <c r="J21" s="13">
        <f>ETO_SEM</f>
        <v/>
      </c>
      <c r="K21" s="13">
        <f>CHUVA_SEM</f>
        <v/>
      </c>
      <c r="L21" s="14">
        <f>IF(OR($I21="PENDENTE",$I21="(nao plantado)",$J21=""),"",$I21*$J21)</f>
        <v/>
      </c>
      <c r="M21" s="14">
        <f>IF($L21="","",MAX(0,$L21-N($K21)))</f>
        <v/>
      </c>
      <c r="N21" s="14">
        <f>IF($M21="","",$M21/EF_APLIC)</f>
        <v/>
      </c>
      <c r="O21" s="8" t="n"/>
      <c r="P21" s="15">
        <f>IF(OR($U21="",$O21=""),"",IFERROR(INDEX(LAMINA_HORA!$C$5:$V$114,MATCH($U21,LAMINA_HORA!$A$5:$A$114,0),MATCH($O21,LAMINA_HORA!$C$3:$V$3,0)),"?"))</f>
        <v/>
      </c>
      <c r="Q21" s="15">
        <f>IF(OR($U21="",$O21=""),"",IFERROR(INDEX(LAMINA_HORA!$W$5:$AP$114,MATCH($U21,LAMINA_HORA!$A$5:$A$114,0),MATCH($O21,LAMINA_HORA!$W$3:$AP$3,0)),"?"))</f>
        <v/>
      </c>
      <c r="R21" s="16">
        <f>IF($I21="PENDENTE","Definir Kc/classe",IF($I21="(nao plantado)","Aguardar plantio",IF($M21="","-",IF($M21&gt;=TURNO,"IRRIGAR",IF($M21&gt;=TURNO*FRAC_ACOMP,"Acompanhar","Aguardar")))))</f>
        <v/>
      </c>
      <c r="S21" s="16">
        <f>IF(OR($M21="",$M21=0),"-",IF($M21&gt;=2*TURNO,"Alta",IF($M21&gt;=TURNO,"Media","Baixa")))</f>
        <v/>
      </c>
      <c r="T21" s="17" t="inlineStr">
        <is>
          <t>SOJA_MEDIA</t>
        </is>
      </c>
      <c r="U21" s="8" t="inlineStr">
        <is>
          <t>P11</t>
        </is>
      </c>
    </row>
    <row r="22">
      <c r="A22" s="6" t="inlineStr">
        <is>
          <t>Pivô 12</t>
        </is>
      </c>
      <c r="B22" s="6" t="inlineStr">
        <is>
          <t>R5</t>
        </is>
      </c>
      <c r="C22" s="7" t="inlineStr">
        <is>
          <t>COMBATE IPRO</t>
        </is>
      </c>
      <c r="D22" s="8" t="inlineStr">
        <is>
          <t>PRECOCE</t>
        </is>
      </c>
      <c r="E22" s="9" t="n">
        <v>150</v>
      </c>
      <c r="F22" s="10" t="n">
        <v>46304</v>
      </c>
      <c r="G22" s="11">
        <f>IF($F22="","",IF($F22&gt;DATA_REF,"",DATA_REF-$F22))</f>
        <v/>
      </c>
      <c r="H22" s="11">
        <f>IF($G22="","",MAX(0,$G22-'PARAMETROS'!$B$9))</f>
        <v/>
      </c>
      <c r="I22" s="12">
        <f>IF($T22="","PENDENTE",IF($G22="","(nao plantado)",IFERROR(INDEX(CURVAS_KC!$B$5:$I$224,MATCH(MIN(MAX($H22,1),220),CURVAS_KC!$A$5:$A$224,0),MATCH($T22,CURVAS_KC!$B$4:$I$4,0)),"PENDENTE")))</f>
        <v/>
      </c>
      <c r="J22" s="13">
        <f>ETO_SEM</f>
        <v/>
      </c>
      <c r="K22" s="13">
        <f>CHUVA_SEM</f>
        <v/>
      </c>
      <c r="L22" s="14">
        <f>IF(OR($I22="PENDENTE",$I22="(nao plantado)",$J22=""),"",$I22*$J22)</f>
        <v/>
      </c>
      <c r="M22" s="14">
        <f>IF($L22="","",MAX(0,$L22-N($K22)))</f>
        <v/>
      </c>
      <c r="N22" s="14">
        <f>IF($M22="","",$M22/EF_APLIC)</f>
        <v/>
      </c>
      <c r="O22" s="8" t="n"/>
      <c r="P22" s="15">
        <f>IF(OR($U22="",$O22=""),"",IFERROR(INDEX(LAMINA_HORA!$C$5:$V$114,MATCH($U22,LAMINA_HORA!$A$5:$A$114,0),MATCH($O22,LAMINA_HORA!$C$3:$V$3,0)),"?"))</f>
        <v/>
      </c>
      <c r="Q22" s="15">
        <f>IF(OR($U22="",$O22=""),"",IFERROR(INDEX(LAMINA_HORA!$W$5:$AP$114,MATCH($U22,LAMINA_HORA!$A$5:$A$114,0),MATCH($O22,LAMINA_HORA!$W$3:$AP$3,0)),"?"))</f>
        <v/>
      </c>
      <c r="R22" s="16">
        <f>IF($I22="PENDENTE","Definir Kc/classe",IF($I22="(nao plantado)","Aguardar plantio",IF($M22="","-",IF($M22&gt;=TURNO,"IRRIGAR",IF($M22&gt;=TURNO*FRAC_ACOMP,"Acompanhar","Aguardar")))))</f>
        <v/>
      </c>
      <c r="S22" s="16">
        <f>IF(OR($M22="",$M22=0),"-",IF($M22&gt;=2*TURNO,"Alta",IF($M22&gt;=TURNO,"Media","Baixa")))</f>
        <v/>
      </c>
      <c r="T22" s="17" t="inlineStr">
        <is>
          <t>SOJA_PRECOCE</t>
        </is>
      </c>
      <c r="U22" s="8" t="inlineStr">
        <is>
          <t>P12</t>
        </is>
      </c>
    </row>
    <row r="23">
      <c r="A23" s="6" t="inlineStr">
        <is>
          <t>Pivô 13</t>
        </is>
      </c>
      <c r="B23" s="6" t="inlineStr">
        <is>
          <t>R5</t>
        </is>
      </c>
      <c r="C23" s="7" t="inlineStr">
        <is>
          <t>COMBATE IPRO</t>
        </is>
      </c>
      <c r="D23" s="8" t="inlineStr">
        <is>
          <t>PRECOCE</t>
        </is>
      </c>
      <c r="E23" s="9" t="n">
        <v>71</v>
      </c>
      <c r="F23" s="10" t="n">
        <v>46304</v>
      </c>
      <c r="G23" s="11">
        <f>IF($F23="","",IF($F23&gt;DATA_REF,"",DATA_REF-$F23))</f>
        <v/>
      </c>
      <c r="H23" s="11">
        <f>IF($G23="","",MAX(0,$G23-'PARAMETROS'!$B$9))</f>
        <v/>
      </c>
      <c r="I23" s="12">
        <f>IF($T23="","PENDENTE",IF($G23="","(nao plantado)",IFERROR(INDEX(CURVAS_KC!$B$5:$I$224,MATCH(MIN(MAX($H23,1),220),CURVAS_KC!$A$5:$A$224,0),MATCH($T23,CURVAS_KC!$B$4:$I$4,0)),"PENDENTE")))</f>
        <v/>
      </c>
      <c r="J23" s="13">
        <f>ETO_SEM</f>
        <v/>
      </c>
      <c r="K23" s="13">
        <f>CHUVA_SEM</f>
        <v/>
      </c>
      <c r="L23" s="14">
        <f>IF(OR($I23="PENDENTE",$I23="(nao plantado)",$J23=""),"",$I23*$J23)</f>
        <v/>
      </c>
      <c r="M23" s="14">
        <f>IF($L23="","",MAX(0,$L23-N($K23)))</f>
        <v/>
      </c>
      <c r="N23" s="14">
        <f>IF($M23="","",$M23/EF_APLIC)</f>
        <v/>
      </c>
      <c r="O23" s="8" t="n"/>
      <c r="P23" s="15">
        <f>IF(OR($U23="",$O23=""),"",IFERROR(INDEX(LAMINA_HORA!$C$5:$V$114,MATCH($U23,LAMINA_HORA!$A$5:$A$114,0),MATCH($O23,LAMINA_HORA!$C$3:$V$3,0)),"?"))</f>
        <v/>
      </c>
      <c r="Q23" s="15">
        <f>IF(OR($U23="",$O23=""),"",IFERROR(INDEX(LAMINA_HORA!$W$5:$AP$114,MATCH($U23,LAMINA_HORA!$A$5:$A$114,0),MATCH($O23,LAMINA_HORA!$W$3:$AP$3,0)),"?"))</f>
        <v/>
      </c>
      <c r="R23" s="16">
        <f>IF($I23="PENDENTE","Definir Kc/classe",IF($I23="(nao plantado)","Aguardar plantio",IF($M23="","-",IF($M23&gt;=TURNO,"IRRIGAR",IF($M23&gt;=TURNO*FRAC_ACOMP,"Acompanhar","Aguardar")))))</f>
        <v/>
      </c>
      <c r="S23" s="16">
        <f>IF(OR($M23="",$M23=0),"-",IF($M23&gt;=2*TURNO,"Alta",IF($M23&gt;=TURNO,"Media","Baixa")))</f>
        <v/>
      </c>
      <c r="T23" s="17" t="inlineStr">
        <is>
          <t>SOJA_PRECOCE</t>
        </is>
      </c>
      <c r="U23" s="8" t="inlineStr">
        <is>
          <t>P13</t>
        </is>
      </c>
    </row>
    <row r="24">
      <c r="A24" s="6" t="inlineStr">
        <is>
          <t>Pivô 14</t>
        </is>
      </c>
      <c r="B24" s="6" t="inlineStr">
        <is>
          <t>R6</t>
        </is>
      </c>
      <c r="C24" s="7" t="inlineStr">
        <is>
          <t>COMBATE IPRO</t>
        </is>
      </c>
      <c r="D24" s="8" t="inlineStr">
        <is>
          <t>PRECOCE</t>
        </is>
      </c>
      <c r="E24" s="9" t="n">
        <v>150</v>
      </c>
      <c r="F24" s="10" t="n">
        <v>46319</v>
      </c>
      <c r="G24" s="11">
        <f>IF($F24="","",IF($F24&gt;DATA_REF,"",DATA_REF-$F24))</f>
        <v/>
      </c>
      <c r="H24" s="11">
        <f>IF($G24="","",MAX(0,$G24-'PARAMETROS'!$B$9))</f>
        <v/>
      </c>
      <c r="I24" s="12">
        <f>IF($T24="","PENDENTE",IF($G24="","(nao plantado)",IFERROR(INDEX(CURVAS_KC!$B$5:$I$224,MATCH(MIN(MAX($H24,1),220),CURVAS_KC!$A$5:$A$224,0),MATCH($T24,CURVAS_KC!$B$4:$I$4,0)),"PENDENTE")))</f>
        <v/>
      </c>
      <c r="J24" s="13">
        <f>ETO_SEM</f>
        <v/>
      </c>
      <c r="K24" s="13">
        <f>CHUVA_SEM</f>
        <v/>
      </c>
      <c r="L24" s="14">
        <f>IF(OR($I24="PENDENTE",$I24="(nao plantado)",$J24=""),"",$I24*$J24)</f>
        <v/>
      </c>
      <c r="M24" s="14">
        <f>IF($L24="","",MAX(0,$L24-N($K24)))</f>
        <v/>
      </c>
      <c r="N24" s="14">
        <f>IF($M24="","",$M24/EF_APLIC)</f>
        <v/>
      </c>
      <c r="O24" s="8" t="n"/>
      <c r="P24" s="15">
        <f>IF(OR($U24="",$O24=""),"",IFERROR(INDEX(LAMINA_HORA!$C$5:$V$114,MATCH($U24,LAMINA_HORA!$A$5:$A$114,0),MATCH($O24,LAMINA_HORA!$C$3:$V$3,0)),"?"))</f>
        <v/>
      </c>
      <c r="Q24" s="15">
        <f>IF(OR($U24="",$O24=""),"",IFERROR(INDEX(LAMINA_HORA!$W$5:$AP$114,MATCH($U24,LAMINA_HORA!$A$5:$A$114,0),MATCH($O24,LAMINA_HORA!$W$3:$AP$3,0)),"?"))</f>
        <v/>
      </c>
      <c r="R24" s="16">
        <f>IF($I24="PENDENTE","Definir Kc/classe",IF($I24="(nao plantado)","Aguardar plantio",IF($M24="","-",IF($M24&gt;=TURNO,"IRRIGAR",IF($M24&gt;=TURNO*FRAC_ACOMP,"Acompanhar","Aguardar")))))</f>
        <v/>
      </c>
      <c r="S24" s="16">
        <f>IF(OR($M24="",$M24=0),"-",IF($M24&gt;=2*TURNO,"Alta",IF($M24&gt;=TURNO,"Media","Baixa")))</f>
        <v/>
      </c>
      <c r="T24" s="17" t="inlineStr">
        <is>
          <t>SOJA_PRECOCE</t>
        </is>
      </c>
      <c r="U24" s="8" t="inlineStr">
        <is>
          <t>P14</t>
        </is>
      </c>
    </row>
    <row r="25">
      <c r="A25" s="6" t="inlineStr">
        <is>
          <t>Pivô 15</t>
        </is>
      </c>
      <c r="B25" s="6" t="inlineStr">
        <is>
          <t>R1</t>
        </is>
      </c>
      <c r="C25" s="7" t="inlineStr">
        <is>
          <t>CZ 37B07 I2X</t>
        </is>
      </c>
      <c r="D25" s="8" t="inlineStr">
        <is>
          <t>PRECOCE</t>
        </is>
      </c>
      <c r="E25" s="9" t="n">
        <v>150</v>
      </c>
      <c r="F25" s="10" t="n">
        <v>46297</v>
      </c>
      <c r="G25" s="11">
        <f>IF($F25="","",IF($F25&gt;DATA_REF,"",DATA_REF-$F25))</f>
        <v/>
      </c>
      <c r="H25" s="11">
        <f>IF($G25="","",MAX(0,$G25-'PARAMETROS'!$B$9))</f>
        <v/>
      </c>
      <c r="I25" s="12">
        <f>IF($T25="","PENDENTE",IF($G25="","(nao plantado)",IFERROR(INDEX(CURVAS_KC!$B$5:$I$224,MATCH(MIN(MAX($H25,1),220),CURVAS_KC!$A$5:$A$224,0),MATCH($T25,CURVAS_KC!$B$4:$I$4,0)),"PENDENTE")))</f>
        <v/>
      </c>
      <c r="J25" s="13">
        <f>ETO_SEM</f>
        <v/>
      </c>
      <c r="K25" s="13">
        <f>CHUVA_SEM</f>
        <v/>
      </c>
      <c r="L25" s="14">
        <f>IF(OR($I25="PENDENTE",$I25="(nao plantado)",$J25=""),"",$I25*$J25)</f>
        <v/>
      </c>
      <c r="M25" s="14">
        <f>IF($L25="","",MAX(0,$L25-N($K25)))</f>
        <v/>
      </c>
      <c r="N25" s="14">
        <f>IF($M25="","",$M25/EF_APLIC)</f>
        <v/>
      </c>
      <c r="O25" s="8" t="n"/>
      <c r="P25" s="15">
        <f>IF(OR($U25="",$O25=""),"",IFERROR(INDEX(LAMINA_HORA!$C$5:$V$114,MATCH($U25,LAMINA_HORA!$A$5:$A$114,0),MATCH($O25,LAMINA_HORA!$C$3:$V$3,0)),"?"))</f>
        <v/>
      </c>
      <c r="Q25" s="15">
        <f>IF(OR($U25="",$O25=""),"",IFERROR(INDEX(LAMINA_HORA!$W$5:$AP$114,MATCH($U25,LAMINA_HORA!$A$5:$A$114,0),MATCH($O25,LAMINA_HORA!$W$3:$AP$3,0)),"?"))</f>
        <v/>
      </c>
      <c r="R25" s="16">
        <f>IF($I25="PENDENTE","Definir Kc/classe",IF($I25="(nao plantado)","Aguardar plantio",IF($M25="","-",IF($M25&gt;=TURNO,"IRRIGAR",IF($M25&gt;=TURNO*FRAC_ACOMP,"Acompanhar","Aguardar")))))</f>
        <v/>
      </c>
      <c r="S25" s="16">
        <f>IF(OR($M25="",$M25=0),"-",IF($M25&gt;=2*TURNO,"Alta",IF($M25&gt;=TURNO,"Media","Baixa")))</f>
        <v/>
      </c>
      <c r="T25" s="17" t="inlineStr">
        <is>
          <t>SOJA_PRECOCE</t>
        </is>
      </c>
      <c r="U25" s="8" t="inlineStr">
        <is>
          <t>P15</t>
        </is>
      </c>
    </row>
    <row r="26">
      <c r="A26" s="6" t="inlineStr">
        <is>
          <t>Pivô 16</t>
        </is>
      </c>
      <c r="B26" s="6" t="inlineStr">
        <is>
          <t>R1</t>
        </is>
      </c>
      <c r="C26" s="7" t="inlineStr">
        <is>
          <t>ATAQUE I2X</t>
        </is>
      </c>
      <c r="D26" s="8" t="inlineStr">
        <is>
          <t>TARDIA</t>
        </is>
      </c>
      <c r="E26" s="9" t="n">
        <v>150</v>
      </c>
      <c r="F26" s="10" t="n">
        <v>46311</v>
      </c>
      <c r="G26" s="11">
        <f>IF($F26="","",IF($F26&gt;DATA_REF,"",DATA_REF-$F26))</f>
        <v/>
      </c>
      <c r="H26" s="11">
        <f>IF($G26="","",MAX(0,$G26-'PARAMETROS'!$B$9))</f>
        <v/>
      </c>
      <c r="I26" s="12">
        <f>IF($T26="","PENDENTE",IF($G26="","(nao plantado)",IFERROR(INDEX(CURVAS_KC!$B$5:$I$224,MATCH(MIN(MAX($H26,1),220),CURVAS_KC!$A$5:$A$224,0),MATCH($T26,CURVAS_KC!$B$4:$I$4,0)),"PENDENTE")))</f>
        <v/>
      </c>
      <c r="J26" s="13">
        <f>ETO_SEM</f>
        <v/>
      </c>
      <c r="K26" s="13">
        <f>CHUVA_SEM</f>
        <v/>
      </c>
      <c r="L26" s="14">
        <f>IF(OR($I26="PENDENTE",$I26="(nao plantado)",$J26=""),"",$I26*$J26)</f>
        <v/>
      </c>
      <c r="M26" s="14">
        <f>IF($L26="","",MAX(0,$L26-N($K26)))</f>
        <v/>
      </c>
      <c r="N26" s="14">
        <f>IF($M26="","",$M26/EF_APLIC)</f>
        <v/>
      </c>
      <c r="O26" s="8" t="n"/>
      <c r="P26" s="15">
        <f>IF(OR($U26="",$O26=""),"",IFERROR(INDEX(LAMINA_HORA!$C$5:$V$114,MATCH($U26,LAMINA_HORA!$A$5:$A$114,0),MATCH($O26,LAMINA_HORA!$C$3:$V$3,0)),"?"))</f>
        <v/>
      </c>
      <c r="Q26" s="15">
        <f>IF(OR($U26="",$O26=""),"",IFERROR(INDEX(LAMINA_HORA!$W$5:$AP$114,MATCH($U26,LAMINA_HORA!$A$5:$A$114,0),MATCH($O26,LAMINA_HORA!$W$3:$AP$3,0)),"?"))</f>
        <v/>
      </c>
      <c r="R26" s="16">
        <f>IF($I26="PENDENTE","Definir Kc/classe",IF($I26="(nao plantado)","Aguardar plantio",IF($M26="","-",IF($M26&gt;=TURNO,"IRRIGAR",IF($M26&gt;=TURNO*FRAC_ACOMP,"Acompanhar","Aguardar")))))</f>
        <v/>
      </c>
      <c r="S26" s="16">
        <f>IF(OR($M26="",$M26=0),"-",IF($M26&gt;=2*TURNO,"Alta",IF($M26&gt;=TURNO,"Media","Baixa")))</f>
        <v/>
      </c>
      <c r="T26" s="17" t="inlineStr">
        <is>
          <t>SOJA_TARDIA</t>
        </is>
      </c>
      <c r="U26" s="8" t="inlineStr">
        <is>
          <t>P16</t>
        </is>
      </c>
    </row>
    <row r="27">
      <c r="A27" s="6" t="inlineStr">
        <is>
          <t>Pivô 17</t>
        </is>
      </c>
      <c r="B27" s="6" t="inlineStr">
        <is>
          <t>R2</t>
        </is>
      </c>
      <c r="C27" s="7" t="inlineStr">
        <is>
          <t>CZ 37B07 I2X</t>
        </is>
      </c>
      <c r="D27" s="8" t="inlineStr">
        <is>
          <t>PRECOCE</t>
        </is>
      </c>
      <c r="E27" s="9" t="n">
        <v>150</v>
      </c>
      <c r="F27" s="10" t="n">
        <v>46297</v>
      </c>
      <c r="G27" s="11">
        <f>IF($F27="","",IF($F27&gt;DATA_REF,"",DATA_REF-$F27))</f>
        <v/>
      </c>
      <c r="H27" s="11">
        <f>IF($G27="","",MAX(0,$G27-'PARAMETROS'!$B$9))</f>
        <v/>
      </c>
      <c r="I27" s="12">
        <f>IF($T27="","PENDENTE",IF($G27="","(nao plantado)",IFERROR(INDEX(CURVAS_KC!$B$5:$I$224,MATCH(MIN(MAX($H27,1),220),CURVAS_KC!$A$5:$A$224,0),MATCH($T27,CURVAS_KC!$B$4:$I$4,0)),"PENDENTE")))</f>
        <v/>
      </c>
      <c r="J27" s="13">
        <f>ETO_SEM</f>
        <v/>
      </c>
      <c r="K27" s="13">
        <f>CHUVA_SEM</f>
        <v/>
      </c>
      <c r="L27" s="14">
        <f>IF(OR($I27="PENDENTE",$I27="(nao plantado)",$J27=""),"",$I27*$J27)</f>
        <v/>
      </c>
      <c r="M27" s="14">
        <f>IF($L27="","",MAX(0,$L27-N($K27)))</f>
        <v/>
      </c>
      <c r="N27" s="14">
        <f>IF($M27="","",$M27/EF_APLIC)</f>
        <v/>
      </c>
      <c r="O27" s="8" t="n"/>
      <c r="P27" s="15">
        <f>IF(OR($U27="",$O27=""),"",IFERROR(INDEX(LAMINA_HORA!$C$5:$V$114,MATCH($U27,LAMINA_HORA!$A$5:$A$114,0),MATCH($O27,LAMINA_HORA!$C$3:$V$3,0)),"?"))</f>
        <v/>
      </c>
      <c r="Q27" s="15">
        <f>IF(OR($U27="",$O27=""),"",IFERROR(INDEX(LAMINA_HORA!$W$5:$AP$114,MATCH($U27,LAMINA_HORA!$A$5:$A$114,0),MATCH($O27,LAMINA_HORA!$W$3:$AP$3,0)),"?"))</f>
        <v/>
      </c>
      <c r="R27" s="16">
        <f>IF($I27="PENDENTE","Definir Kc/classe",IF($I27="(nao plantado)","Aguardar plantio",IF($M27="","-",IF($M27&gt;=TURNO,"IRRIGAR",IF($M27&gt;=TURNO*FRAC_ACOMP,"Acompanhar","Aguardar")))))</f>
        <v/>
      </c>
      <c r="S27" s="16">
        <f>IF(OR($M27="",$M27=0),"-",IF($M27&gt;=2*TURNO,"Alta",IF($M27&gt;=TURNO,"Media","Baixa")))</f>
        <v/>
      </c>
      <c r="T27" s="17" t="inlineStr">
        <is>
          <t>SOJA_PRECOCE</t>
        </is>
      </c>
      <c r="U27" s="8" t="inlineStr">
        <is>
          <t>P17</t>
        </is>
      </c>
    </row>
    <row r="28">
      <c r="A28" s="6" t="inlineStr">
        <is>
          <t>Pivô 19</t>
        </is>
      </c>
      <c r="B28" s="6" t="inlineStr">
        <is>
          <t>R3</t>
        </is>
      </c>
      <c r="C28" s="7" t="inlineStr">
        <is>
          <t>NEO 761 I2X</t>
        </is>
      </c>
      <c r="D28" s="8" t="inlineStr">
        <is>
          <t>PRECOCE</t>
        </is>
      </c>
      <c r="E28" s="9" t="n">
        <v>150</v>
      </c>
      <c r="F28" s="10" t="n">
        <v>46298</v>
      </c>
      <c r="G28" s="11">
        <f>IF($F28="","",IF($F28&gt;DATA_REF,"",DATA_REF-$F28))</f>
        <v/>
      </c>
      <c r="H28" s="11">
        <f>IF($G28="","",MAX(0,$G28-'PARAMETROS'!$B$9))</f>
        <v/>
      </c>
      <c r="I28" s="12">
        <f>IF($T28="","PENDENTE",IF($G28="","(nao plantado)",IFERROR(INDEX(CURVAS_KC!$B$5:$I$224,MATCH(MIN(MAX($H28,1),220),CURVAS_KC!$A$5:$A$224,0),MATCH($T28,CURVAS_KC!$B$4:$I$4,0)),"PENDENTE")))</f>
        <v/>
      </c>
      <c r="J28" s="13">
        <f>ETO_SEM</f>
        <v/>
      </c>
      <c r="K28" s="13">
        <f>CHUVA_SEM</f>
        <v/>
      </c>
      <c r="L28" s="14">
        <f>IF(OR($I28="PENDENTE",$I28="(nao plantado)",$J28=""),"",$I28*$J28)</f>
        <v/>
      </c>
      <c r="M28" s="14">
        <f>IF($L28="","",MAX(0,$L28-N($K28)))</f>
        <v/>
      </c>
      <c r="N28" s="14">
        <f>IF($M28="","",$M28/EF_APLIC)</f>
        <v/>
      </c>
      <c r="O28" s="8" t="n"/>
      <c r="P28" s="15">
        <f>IF(OR($U28="",$O28=""),"",IFERROR(INDEX(LAMINA_HORA!$C$5:$V$114,MATCH($U28,LAMINA_HORA!$A$5:$A$114,0),MATCH($O28,LAMINA_HORA!$C$3:$V$3,0)),"?"))</f>
        <v/>
      </c>
      <c r="Q28" s="15">
        <f>IF(OR($U28="",$O28=""),"",IFERROR(INDEX(LAMINA_HORA!$W$5:$AP$114,MATCH($U28,LAMINA_HORA!$A$5:$A$114,0),MATCH($O28,LAMINA_HORA!$W$3:$AP$3,0)),"?"))</f>
        <v/>
      </c>
      <c r="R28" s="16">
        <f>IF($I28="PENDENTE","Definir Kc/classe",IF($I28="(nao plantado)","Aguardar plantio",IF($M28="","-",IF($M28&gt;=TURNO,"IRRIGAR",IF($M28&gt;=TURNO*FRAC_ACOMP,"Acompanhar","Aguardar")))))</f>
        <v/>
      </c>
      <c r="S28" s="16">
        <f>IF(OR($M28="",$M28=0),"-",IF($M28&gt;=2*TURNO,"Alta",IF($M28&gt;=TURNO,"Media","Baixa")))</f>
        <v/>
      </c>
      <c r="T28" s="17" t="inlineStr">
        <is>
          <t>SOJA_PRECOCE</t>
        </is>
      </c>
      <c r="U28" s="8" t="inlineStr">
        <is>
          <t>P19</t>
        </is>
      </c>
    </row>
    <row r="29">
      <c r="A29" s="6" t="inlineStr">
        <is>
          <t>Pivô 20</t>
        </is>
      </c>
      <c r="B29" s="6" t="inlineStr">
        <is>
          <t>R3</t>
        </is>
      </c>
      <c r="C29" s="7" t="inlineStr">
        <is>
          <t>NEO 761 I2X</t>
        </is>
      </c>
      <c r="D29" s="8" t="inlineStr">
        <is>
          <t>PRECOCE</t>
        </is>
      </c>
      <c r="E29" s="9" t="n">
        <v>150</v>
      </c>
      <c r="F29" s="10" t="n">
        <v>46299</v>
      </c>
      <c r="G29" s="11">
        <f>IF($F29="","",IF($F29&gt;DATA_REF,"",DATA_REF-$F29))</f>
        <v/>
      </c>
      <c r="H29" s="11">
        <f>IF($G29="","",MAX(0,$G29-'PARAMETROS'!$B$9))</f>
        <v/>
      </c>
      <c r="I29" s="12">
        <f>IF($T29="","PENDENTE",IF($G29="","(nao plantado)",IFERROR(INDEX(CURVAS_KC!$B$5:$I$224,MATCH(MIN(MAX($H29,1),220),CURVAS_KC!$A$5:$A$224,0),MATCH($T29,CURVAS_KC!$B$4:$I$4,0)),"PENDENTE")))</f>
        <v/>
      </c>
      <c r="J29" s="13">
        <f>ETO_SEM</f>
        <v/>
      </c>
      <c r="K29" s="13">
        <f>CHUVA_SEM</f>
        <v/>
      </c>
      <c r="L29" s="14">
        <f>IF(OR($I29="PENDENTE",$I29="(nao plantado)",$J29=""),"",$I29*$J29)</f>
        <v/>
      </c>
      <c r="M29" s="14">
        <f>IF($L29="","",MAX(0,$L29-N($K29)))</f>
        <v/>
      </c>
      <c r="N29" s="14">
        <f>IF($M29="","",$M29/EF_APLIC)</f>
        <v/>
      </c>
      <c r="O29" s="8" t="n"/>
      <c r="P29" s="15">
        <f>IF(OR($U29="",$O29=""),"",IFERROR(INDEX(LAMINA_HORA!$C$5:$V$114,MATCH($U29,LAMINA_HORA!$A$5:$A$114,0),MATCH($O29,LAMINA_HORA!$C$3:$V$3,0)),"?"))</f>
        <v/>
      </c>
      <c r="Q29" s="15">
        <f>IF(OR($U29="",$O29=""),"",IFERROR(INDEX(LAMINA_HORA!$W$5:$AP$114,MATCH($U29,LAMINA_HORA!$A$5:$A$114,0),MATCH($O29,LAMINA_HORA!$W$3:$AP$3,0)),"?"))</f>
        <v/>
      </c>
      <c r="R29" s="16">
        <f>IF($I29="PENDENTE","Definir Kc/classe",IF($I29="(nao plantado)","Aguardar plantio",IF($M29="","-",IF($M29&gt;=TURNO,"IRRIGAR",IF($M29&gt;=TURNO*FRAC_ACOMP,"Acompanhar","Aguardar")))))</f>
        <v/>
      </c>
      <c r="S29" s="16">
        <f>IF(OR($M29="",$M29=0),"-",IF($M29&gt;=2*TURNO,"Alta",IF($M29&gt;=TURNO,"Media","Baixa")))</f>
        <v/>
      </c>
      <c r="T29" s="17" t="inlineStr">
        <is>
          <t>SOJA_PRECOCE</t>
        </is>
      </c>
      <c r="U29" s="8" t="inlineStr">
        <is>
          <t>P20</t>
        </is>
      </c>
    </row>
    <row r="30">
      <c r="A30" s="6" t="inlineStr">
        <is>
          <t>Pivô 21</t>
        </is>
      </c>
      <c r="B30" s="6" t="inlineStr">
        <is>
          <t>R4</t>
        </is>
      </c>
      <c r="C30" s="7" t="inlineStr">
        <is>
          <t>NEO 761 I2X</t>
        </is>
      </c>
      <c r="D30" s="8" t="inlineStr">
        <is>
          <t>PRECOCE</t>
        </is>
      </c>
      <c r="E30" s="9" t="n">
        <v>150</v>
      </c>
      <c r="F30" s="10" t="n">
        <v>46298</v>
      </c>
      <c r="G30" s="11">
        <f>IF($F30="","",IF($F30&gt;DATA_REF,"",DATA_REF-$F30))</f>
        <v/>
      </c>
      <c r="H30" s="11">
        <f>IF($G30="","",MAX(0,$G30-'PARAMETROS'!$B$9))</f>
        <v/>
      </c>
      <c r="I30" s="12">
        <f>IF($T30="","PENDENTE",IF($G30="","(nao plantado)",IFERROR(INDEX(CURVAS_KC!$B$5:$I$224,MATCH(MIN(MAX($H30,1),220),CURVAS_KC!$A$5:$A$224,0),MATCH($T30,CURVAS_KC!$B$4:$I$4,0)),"PENDENTE")))</f>
        <v/>
      </c>
      <c r="J30" s="13">
        <f>ETO_SEM</f>
        <v/>
      </c>
      <c r="K30" s="13">
        <f>CHUVA_SEM</f>
        <v/>
      </c>
      <c r="L30" s="14">
        <f>IF(OR($I30="PENDENTE",$I30="(nao plantado)",$J30=""),"",$I30*$J30)</f>
        <v/>
      </c>
      <c r="M30" s="14">
        <f>IF($L30="","",MAX(0,$L30-N($K30)))</f>
        <v/>
      </c>
      <c r="N30" s="14">
        <f>IF($M30="","",$M30/EF_APLIC)</f>
        <v/>
      </c>
      <c r="O30" s="8" t="n"/>
      <c r="P30" s="15">
        <f>IF(OR($U30="",$O30=""),"",IFERROR(INDEX(LAMINA_HORA!$C$5:$V$114,MATCH($U30,LAMINA_HORA!$A$5:$A$114,0),MATCH($O30,LAMINA_HORA!$C$3:$V$3,0)),"?"))</f>
        <v/>
      </c>
      <c r="Q30" s="15">
        <f>IF(OR($U30="",$O30=""),"",IFERROR(INDEX(LAMINA_HORA!$W$5:$AP$114,MATCH($U30,LAMINA_HORA!$A$5:$A$114,0),MATCH($O30,LAMINA_HORA!$W$3:$AP$3,0)),"?"))</f>
        <v/>
      </c>
      <c r="R30" s="16">
        <f>IF($I30="PENDENTE","Definir Kc/classe",IF($I30="(nao plantado)","Aguardar plantio",IF($M30="","-",IF($M30&gt;=TURNO,"IRRIGAR",IF($M30&gt;=TURNO*FRAC_ACOMP,"Acompanhar","Aguardar")))))</f>
        <v/>
      </c>
      <c r="S30" s="16">
        <f>IF(OR($M30="",$M30=0),"-",IF($M30&gt;=2*TURNO,"Alta",IF($M30&gt;=TURNO,"Media","Baixa")))</f>
        <v/>
      </c>
      <c r="T30" s="17" t="inlineStr">
        <is>
          <t>SOJA_PRECOCE</t>
        </is>
      </c>
      <c r="U30" s="8" t="inlineStr">
        <is>
          <t>P21</t>
        </is>
      </c>
    </row>
    <row r="31">
      <c r="A31" s="6" t="inlineStr">
        <is>
          <t>Pivô 21</t>
        </is>
      </c>
      <c r="B31" s="6" t="inlineStr">
        <is>
          <t>R4</t>
        </is>
      </c>
      <c r="C31" s="7" t="inlineStr">
        <is>
          <t>BMX DOMINIO IPRO</t>
        </is>
      </c>
      <c r="D31" s="8" t="inlineStr">
        <is>
          <t>MEDIA</t>
        </is>
      </c>
      <c r="E31" s="9" t="n">
        <v>213</v>
      </c>
      <c r="F31" s="10" t="n">
        <v>46329</v>
      </c>
      <c r="G31" s="11">
        <f>IF($F31="","",IF($F31&gt;DATA_REF,"",DATA_REF-$F31))</f>
        <v/>
      </c>
      <c r="H31" s="11">
        <f>IF($G31="","",MAX(0,$G31-'PARAMETROS'!$B$9))</f>
        <v/>
      </c>
      <c r="I31" s="12">
        <f>IF($T31="","PENDENTE",IF($G31="","(nao plantado)",IFERROR(INDEX(CURVAS_KC!$B$5:$I$224,MATCH(MIN(MAX($H31,1),220),CURVAS_KC!$A$5:$A$224,0),MATCH($T31,CURVAS_KC!$B$4:$I$4,0)),"PENDENTE")))</f>
        <v/>
      </c>
      <c r="J31" s="13">
        <f>ETO_SEM</f>
        <v/>
      </c>
      <c r="K31" s="13">
        <f>CHUVA_SEM</f>
        <v/>
      </c>
      <c r="L31" s="14">
        <f>IF(OR($I31="PENDENTE",$I31="(nao plantado)",$J31=""),"",$I31*$J31)</f>
        <v/>
      </c>
      <c r="M31" s="14">
        <f>IF($L31="","",MAX(0,$L31-N($K31)))</f>
        <v/>
      </c>
      <c r="N31" s="14">
        <f>IF($M31="","",$M31/EF_APLIC)</f>
        <v/>
      </c>
      <c r="O31" s="8" t="n"/>
      <c r="P31" s="15">
        <f>IF(OR($U31="",$O31=""),"",IFERROR(INDEX(LAMINA_HORA!$C$5:$V$114,MATCH($U31,LAMINA_HORA!$A$5:$A$114,0),MATCH($O31,LAMINA_HORA!$C$3:$V$3,0)),"?"))</f>
        <v/>
      </c>
      <c r="Q31" s="15">
        <f>IF(OR($U31="",$O31=""),"",IFERROR(INDEX(LAMINA_HORA!$W$5:$AP$114,MATCH($U31,LAMINA_HORA!$A$5:$A$114,0),MATCH($O31,LAMINA_HORA!$W$3:$AP$3,0)),"?"))</f>
        <v/>
      </c>
      <c r="R31" s="16">
        <f>IF($I31="PENDENTE","Definir Kc/classe",IF($I31="(nao plantado)","Aguardar plantio",IF($M31="","-",IF($M31&gt;=TURNO,"IRRIGAR",IF($M31&gt;=TURNO*FRAC_ACOMP,"Acompanhar","Aguardar")))))</f>
        <v/>
      </c>
      <c r="S31" s="16">
        <f>IF(OR($M31="",$M31=0),"-",IF($M31&gt;=2*TURNO,"Alta",IF($M31&gt;=TURNO,"Media","Baixa")))</f>
        <v/>
      </c>
      <c r="T31" s="17" t="inlineStr">
        <is>
          <t>SOJA_MEDIA</t>
        </is>
      </c>
      <c r="U31" s="8" t="inlineStr">
        <is>
          <t>P21</t>
        </is>
      </c>
    </row>
    <row r="32">
      <c r="A32" s="6" t="inlineStr">
        <is>
          <t>Pivô 22</t>
        </is>
      </c>
      <c r="B32" s="6" t="inlineStr">
        <is>
          <t>R4</t>
        </is>
      </c>
      <c r="C32" s="7" t="inlineStr">
        <is>
          <t>NEO 761 I2X</t>
        </is>
      </c>
      <c r="D32" s="8" t="inlineStr">
        <is>
          <t>PRECOCE</t>
        </is>
      </c>
      <c r="E32" s="9" t="n">
        <v>150</v>
      </c>
      <c r="F32" s="10" t="n">
        <v>46299</v>
      </c>
      <c r="G32" s="11">
        <f>IF($F32="","",IF($F32&gt;DATA_REF,"",DATA_REF-$F32))</f>
        <v/>
      </c>
      <c r="H32" s="11">
        <f>IF($G32="","",MAX(0,$G32-'PARAMETROS'!$B$9))</f>
        <v/>
      </c>
      <c r="I32" s="12">
        <f>IF($T32="","PENDENTE",IF($G32="","(nao plantado)",IFERROR(INDEX(CURVAS_KC!$B$5:$I$224,MATCH(MIN(MAX($H32,1),220),CURVAS_KC!$A$5:$A$224,0),MATCH($T32,CURVAS_KC!$B$4:$I$4,0)),"PENDENTE")))</f>
        <v/>
      </c>
      <c r="J32" s="13">
        <f>ETO_SEM</f>
        <v/>
      </c>
      <c r="K32" s="13">
        <f>CHUVA_SEM</f>
        <v/>
      </c>
      <c r="L32" s="14">
        <f>IF(OR($I32="PENDENTE",$I32="(nao plantado)",$J32=""),"",$I32*$J32)</f>
        <v/>
      </c>
      <c r="M32" s="14">
        <f>IF($L32="","",MAX(0,$L32-N($K32)))</f>
        <v/>
      </c>
      <c r="N32" s="14">
        <f>IF($M32="","",$M32/EF_APLIC)</f>
        <v/>
      </c>
      <c r="O32" s="8" t="n"/>
      <c r="P32" s="15">
        <f>IF(OR($U32="",$O32=""),"",IFERROR(INDEX(LAMINA_HORA!$C$5:$V$114,MATCH($U32,LAMINA_HORA!$A$5:$A$114,0),MATCH($O32,LAMINA_HORA!$C$3:$V$3,0)),"?"))</f>
        <v/>
      </c>
      <c r="Q32" s="15">
        <f>IF(OR($U32="",$O32=""),"",IFERROR(INDEX(LAMINA_HORA!$W$5:$AP$114,MATCH($U32,LAMINA_HORA!$A$5:$A$114,0),MATCH($O32,LAMINA_HORA!$W$3:$AP$3,0)),"?"))</f>
        <v/>
      </c>
      <c r="R32" s="16">
        <f>IF($I32="PENDENTE","Definir Kc/classe",IF($I32="(nao plantado)","Aguardar plantio",IF($M32="","-",IF($M32&gt;=TURNO,"IRRIGAR",IF($M32&gt;=TURNO*FRAC_ACOMP,"Acompanhar","Aguardar")))))</f>
        <v/>
      </c>
      <c r="S32" s="16">
        <f>IF(OR($M32="",$M32=0),"-",IF($M32&gt;=2*TURNO,"Alta",IF($M32&gt;=TURNO,"Media","Baixa")))</f>
        <v/>
      </c>
      <c r="T32" s="17" t="inlineStr">
        <is>
          <t>SOJA_PRECOCE</t>
        </is>
      </c>
      <c r="U32" s="8" t="inlineStr">
        <is>
          <t>P22</t>
        </is>
      </c>
    </row>
    <row r="33">
      <c r="A33" s="6" t="inlineStr">
        <is>
          <t>Pivô 22</t>
        </is>
      </c>
      <c r="B33" s="6" t="inlineStr">
        <is>
          <t>R4</t>
        </is>
      </c>
      <c r="C33" s="7" t="inlineStr">
        <is>
          <t>BMX DOMINIO IPRO</t>
        </is>
      </c>
      <c r="D33" s="8" t="inlineStr">
        <is>
          <t>MEDIA</t>
        </is>
      </c>
      <c r="E33" s="9" t="n">
        <v>110</v>
      </c>
      <c r="F33" s="10" t="n">
        <v>46329</v>
      </c>
      <c r="G33" s="11">
        <f>IF($F33="","",IF($F33&gt;DATA_REF,"",DATA_REF-$F33))</f>
        <v/>
      </c>
      <c r="H33" s="11">
        <f>IF($G33="","",MAX(0,$G33-'PARAMETROS'!$B$9))</f>
        <v/>
      </c>
      <c r="I33" s="12">
        <f>IF($T33="","PENDENTE",IF($G33="","(nao plantado)",IFERROR(INDEX(CURVAS_KC!$B$5:$I$224,MATCH(MIN(MAX($H33,1),220),CURVAS_KC!$A$5:$A$224,0),MATCH($T33,CURVAS_KC!$B$4:$I$4,0)),"PENDENTE")))</f>
        <v/>
      </c>
      <c r="J33" s="13">
        <f>ETO_SEM</f>
        <v/>
      </c>
      <c r="K33" s="13">
        <f>CHUVA_SEM</f>
        <v/>
      </c>
      <c r="L33" s="14">
        <f>IF(OR($I33="PENDENTE",$I33="(nao plantado)",$J33=""),"",$I33*$J33)</f>
        <v/>
      </c>
      <c r="M33" s="14">
        <f>IF($L33="","",MAX(0,$L33-N($K33)))</f>
        <v/>
      </c>
      <c r="N33" s="14">
        <f>IF($M33="","",$M33/EF_APLIC)</f>
        <v/>
      </c>
      <c r="O33" s="8" t="n"/>
      <c r="P33" s="15">
        <f>IF(OR($U33="",$O33=""),"",IFERROR(INDEX(LAMINA_HORA!$C$5:$V$114,MATCH($U33,LAMINA_HORA!$A$5:$A$114,0),MATCH($O33,LAMINA_HORA!$C$3:$V$3,0)),"?"))</f>
        <v/>
      </c>
      <c r="Q33" s="15">
        <f>IF(OR($U33="",$O33=""),"",IFERROR(INDEX(LAMINA_HORA!$W$5:$AP$114,MATCH($U33,LAMINA_HORA!$A$5:$A$114,0),MATCH($O33,LAMINA_HORA!$W$3:$AP$3,0)),"?"))</f>
        <v/>
      </c>
      <c r="R33" s="16">
        <f>IF($I33="PENDENTE","Definir Kc/classe",IF($I33="(nao plantado)","Aguardar plantio",IF($M33="","-",IF($M33&gt;=TURNO,"IRRIGAR",IF($M33&gt;=TURNO*FRAC_ACOMP,"Acompanhar","Aguardar")))))</f>
        <v/>
      </c>
      <c r="S33" s="16">
        <f>IF(OR($M33="",$M33=0),"-",IF($M33&gt;=2*TURNO,"Alta",IF($M33&gt;=TURNO,"Media","Baixa")))</f>
        <v/>
      </c>
      <c r="T33" s="17" t="inlineStr">
        <is>
          <t>SOJA_MEDIA</t>
        </is>
      </c>
      <c r="U33" s="8" t="inlineStr">
        <is>
          <t>P22</t>
        </is>
      </c>
    </row>
    <row r="34">
      <c r="A34" s="6" t="inlineStr">
        <is>
          <t>Pivô 23</t>
        </is>
      </c>
      <c r="B34" s="6" t="inlineStr">
        <is>
          <t>R6</t>
        </is>
      </c>
      <c r="C34" s="7" t="inlineStr">
        <is>
          <t>BMX DOMINIO IPRO</t>
        </is>
      </c>
      <c r="D34" s="8" t="inlineStr">
        <is>
          <t>MEDIA</t>
        </is>
      </c>
      <c r="E34" s="9" t="n">
        <v>40</v>
      </c>
      <c r="F34" s="10" t="n">
        <v>46329</v>
      </c>
      <c r="G34" s="11">
        <f>IF($F34="","",IF($F34&gt;DATA_REF,"",DATA_REF-$F34))</f>
        <v/>
      </c>
      <c r="H34" s="11">
        <f>IF($G34="","",MAX(0,$G34-'PARAMETROS'!$B$9))</f>
        <v/>
      </c>
      <c r="I34" s="12">
        <f>IF($T34="","PENDENTE",IF($G34="","(nao plantado)",IFERROR(INDEX(CURVAS_KC!$B$5:$I$224,MATCH(MIN(MAX($H34,1),220),CURVAS_KC!$A$5:$A$224,0),MATCH($T34,CURVAS_KC!$B$4:$I$4,0)),"PENDENTE")))</f>
        <v/>
      </c>
      <c r="J34" s="13">
        <f>ETO_SEM</f>
        <v/>
      </c>
      <c r="K34" s="13">
        <f>CHUVA_SEM</f>
        <v/>
      </c>
      <c r="L34" s="14">
        <f>IF(OR($I34="PENDENTE",$I34="(nao plantado)",$J34=""),"",$I34*$J34)</f>
        <v/>
      </c>
      <c r="M34" s="14">
        <f>IF($L34="","",MAX(0,$L34-N($K34)))</f>
        <v/>
      </c>
      <c r="N34" s="14">
        <f>IF($M34="","",$M34/EF_APLIC)</f>
        <v/>
      </c>
      <c r="O34" s="8" t="n"/>
      <c r="P34" s="15">
        <f>IF(OR($U34="",$O34=""),"",IFERROR(INDEX(LAMINA_HORA!$C$5:$V$114,MATCH($U34,LAMINA_HORA!$A$5:$A$114,0),MATCH($O34,LAMINA_HORA!$C$3:$V$3,0)),"?"))</f>
        <v/>
      </c>
      <c r="Q34" s="15">
        <f>IF(OR($U34="",$O34=""),"",IFERROR(INDEX(LAMINA_HORA!$W$5:$AP$114,MATCH($U34,LAMINA_HORA!$A$5:$A$114,0),MATCH($O34,LAMINA_HORA!$W$3:$AP$3,0)),"?"))</f>
        <v/>
      </c>
      <c r="R34" s="16">
        <f>IF($I34="PENDENTE","Definir Kc/classe",IF($I34="(nao plantado)","Aguardar plantio",IF($M34="","-",IF($M34&gt;=TURNO,"IRRIGAR",IF($M34&gt;=TURNO*FRAC_ACOMP,"Acompanhar","Aguardar")))))</f>
        <v/>
      </c>
      <c r="S34" s="16">
        <f>IF(OR($M34="",$M34=0),"-",IF($M34&gt;=2*TURNO,"Alta",IF($M34&gt;=TURNO,"Media","Baixa")))</f>
        <v/>
      </c>
      <c r="T34" s="17" t="inlineStr">
        <is>
          <t>SOJA_MEDIA</t>
        </is>
      </c>
      <c r="U34" s="8" t="inlineStr">
        <is>
          <t>P23</t>
        </is>
      </c>
    </row>
    <row r="35">
      <c r="A35" s="6" t="inlineStr">
        <is>
          <t>Pivô 24</t>
        </is>
      </c>
      <c r="B35" s="6" t="inlineStr">
        <is>
          <t>R6</t>
        </is>
      </c>
      <c r="C35" s="7" t="inlineStr">
        <is>
          <t>BMX Olimpo IPRO</t>
        </is>
      </c>
      <c r="D35" s="8" t="inlineStr">
        <is>
          <t>MEDIA</t>
        </is>
      </c>
      <c r="E35" s="9" t="n">
        <v>150</v>
      </c>
      <c r="F35" s="10" t="n">
        <v>46300</v>
      </c>
      <c r="G35" s="11">
        <f>IF($F35="","",IF($F35&gt;DATA_REF,"",DATA_REF-$F35))</f>
        <v/>
      </c>
      <c r="H35" s="11">
        <f>IF($G35="","",MAX(0,$G35-'PARAMETROS'!$B$9))</f>
        <v/>
      </c>
      <c r="I35" s="12">
        <f>IF($T35="","PENDENTE",IF($G35="","(nao plantado)",IFERROR(INDEX(CURVAS_KC!$B$5:$I$224,MATCH(MIN(MAX($H35,1),220),CURVAS_KC!$A$5:$A$224,0),MATCH($T35,CURVAS_KC!$B$4:$I$4,0)),"PENDENTE")))</f>
        <v/>
      </c>
      <c r="J35" s="13">
        <f>ETO_SEM</f>
        <v/>
      </c>
      <c r="K35" s="13">
        <f>CHUVA_SEM</f>
        <v/>
      </c>
      <c r="L35" s="14">
        <f>IF(OR($I35="PENDENTE",$I35="(nao plantado)",$J35=""),"",$I35*$J35)</f>
        <v/>
      </c>
      <c r="M35" s="14">
        <f>IF($L35="","",MAX(0,$L35-N($K35)))</f>
        <v/>
      </c>
      <c r="N35" s="14">
        <f>IF($M35="","",$M35/EF_APLIC)</f>
        <v/>
      </c>
      <c r="O35" s="8" t="n"/>
      <c r="P35" s="15">
        <f>IF(OR($U35="",$O35=""),"",IFERROR(INDEX(LAMINA_HORA!$C$5:$V$114,MATCH($U35,LAMINA_HORA!$A$5:$A$114,0),MATCH($O35,LAMINA_HORA!$C$3:$V$3,0)),"?"))</f>
        <v/>
      </c>
      <c r="Q35" s="15">
        <f>IF(OR($U35="",$O35=""),"",IFERROR(INDEX(LAMINA_HORA!$W$5:$AP$114,MATCH($U35,LAMINA_HORA!$A$5:$A$114,0),MATCH($O35,LAMINA_HORA!$W$3:$AP$3,0)),"?"))</f>
        <v/>
      </c>
      <c r="R35" s="16">
        <f>IF($I35="PENDENTE","Definir Kc/classe",IF($I35="(nao plantado)","Aguardar plantio",IF($M35="","-",IF($M35&gt;=TURNO,"IRRIGAR",IF($M35&gt;=TURNO*FRAC_ACOMP,"Acompanhar","Aguardar")))))</f>
        <v/>
      </c>
      <c r="S35" s="16">
        <f>IF(OR($M35="",$M35=0),"-",IF($M35&gt;=2*TURNO,"Alta",IF($M35&gt;=TURNO,"Media","Baixa")))</f>
        <v/>
      </c>
      <c r="T35" s="17" t="inlineStr">
        <is>
          <t>SOJA_MEDIA</t>
        </is>
      </c>
      <c r="U35" s="8" t="inlineStr">
        <is>
          <t>P24</t>
        </is>
      </c>
    </row>
    <row r="36">
      <c r="A36" s="6" t="inlineStr">
        <is>
          <t>Pivô 24</t>
        </is>
      </c>
      <c r="B36" s="6" t="inlineStr">
        <is>
          <t>R6</t>
        </is>
      </c>
      <c r="C36" s="7" t="inlineStr">
        <is>
          <t>BMX DOMINIO IPRO</t>
        </is>
      </c>
      <c r="D36" s="8" t="inlineStr">
        <is>
          <t>MEDIA</t>
        </is>
      </c>
      <c r="E36" s="9" t="n">
        <v>59</v>
      </c>
      <c r="F36" s="10" t="n">
        <v>46330</v>
      </c>
      <c r="G36" s="11">
        <f>IF($F36="","",IF($F36&gt;DATA_REF,"",DATA_REF-$F36))</f>
        <v/>
      </c>
      <c r="H36" s="11">
        <f>IF($G36="","",MAX(0,$G36-'PARAMETROS'!$B$9))</f>
        <v/>
      </c>
      <c r="I36" s="12">
        <f>IF($T36="","PENDENTE",IF($G36="","(nao plantado)",IFERROR(INDEX(CURVAS_KC!$B$5:$I$224,MATCH(MIN(MAX($H36,1),220),CURVAS_KC!$A$5:$A$224,0),MATCH($T36,CURVAS_KC!$B$4:$I$4,0)),"PENDENTE")))</f>
        <v/>
      </c>
      <c r="J36" s="13">
        <f>ETO_SEM</f>
        <v/>
      </c>
      <c r="K36" s="13">
        <f>CHUVA_SEM</f>
        <v/>
      </c>
      <c r="L36" s="14">
        <f>IF(OR($I36="PENDENTE",$I36="(nao plantado)",$J36=""),"",$I36*$J36)</f>
        <v/>
      </c>
      <c r="M36" s="14">
        <f>IF($L36="","",MAX(0,$L36-N($K36)))</f>
        <v/>
      </c>
      <c r="N36" s="14">
        <f>IF($M36="","",$M36/EF_APLIC)</f>
        <v/>
      </c>
      <c r="O36" s="8" t="n"/>
      <c r="P36" s="15">
        <f>IF(OR($U36="",$O36=""),"",IFERROR(INDEX(LAMINA_HORA!$C$5:$V$114,MATCH($U36,LAMINA_HORA!$A$5:$A$114,0),MATCH($O36,LAMINA_HORA!$C$3:$V$3,0)),"?"))</f>
        <v/>
      </c>
      <c r="Q36" s="15">
        <f>IF(OR($U36="",$O36=""),"",IFERROR(INDEX(LAMINA_HORA!$W$5:$AP$114,MATCH($U36,LAMINA_HORA!$A$5:$A$114,0),MATCH($O36,LAMINA_HORA!$W$3:$AP$3,0)),"?"))</f>
        <v/>
      </c>
      <c r="R36" s="16">
        <f>IF($I36="PENDENTE","Definir Kc/classe",IF($I36="(nao plantado)","Aguardar plantio",IF($M36="","-",IF($M36&gt;=TURNO,"IRRIGAR",IF($M36&gt;=TURNO*FRAC_ACOMP,"Acompanhar","Aguardar")))))</f>
        <v/>
      </c>
      <c r="S36" s="16">
        <f>IF(OR($M36="",$M36=0),"-",IF($M36&gt;=2*TURNO,"Alta",IF($M36&gt;=TURNO,"Media","Baixa")))</f>
        <v/>
      </c>
      <c r="T36" s="17" t="inlineStr">
        <is>
          <t>SOJA_MEDIA</t>
        </is>
      </c>
      <c r="U36" s="8" t="inlineStr">
        <is>
          <t>P24</t>
        </is>
      </c>
    </row>
    <row r="37">
      <c r="A37" s="6" t="inlineStr">
        <is>
          <t>Pivô 25</t>
        </is>
      </c>
      <c r="B37" s="6" t="inlineStr">
        <is>
          <t>R7</t>
        </is>
      </c>
      <c r="C37" s="7" t="inlineStr">
        <is>
          <t>BMX DOMINIO IPRO</t>
        </is>
      </c>
      <c r="D37" s="8" t="inlineStr">
        <is>
          <t>MEDIA</t>
        </is>
      </c>
      <c r="E37" s="9" t="n">
        <v>171</v>
      </c>
      <c r="F37" s="10" t="n">
        <v>46330</v>
      </c>
      <c r="G37" s="11">
        <f>IF($F37="","",IF($F37&gt;DATA_REF,"",DATA_REF-$F37))</f>
        <v/>
      </c>
      <c r="H37" s="11">
        <f>IF($G37="","",MAX(0,$G37-'PARAMETROS'!$B$9))</f>
        <v/>
      </c>
      <c r="I37" s="12">
        <f>IF($T37="","PENDENTE",IF($G37="","(nao plantado)",IFERROR(INDEX(CURVAS_KC!$B$5:$I$224,MATCH(MIN(MAX($H37,1),220),CURVAS_KC!$A$5:$A$224,0),MATCH($T37,CURVAS_KC!$B$4:$I$4,0)),"PENDENTE")))</f>
        <v/>
      </c>
      <c r="J37" s="13">
        <f>ETO_SEM</f>
        <v/>
      </c>
      <c r="K37" s="13">
        <f>CHUVA_SEM</f>
        <v/>
      </c>
      <c r="L37" s="14">
        <f>IF(OR($I37="PENDENTE",$I37="(nao plantado)",$J37=""),"",$I37*$J37)</f>
        <v/>
      </c>
      <c r="M37" s="14">
        <f>IF($L37="","",MAX(0,$L37-N($K37)))</f>
        <v/>
      </c>
      <c r="N37" s="14">
        <f>IF($M37="","",$M37/EF_APLIC)</f>
        <v/>
      </c>
      <c r="O37" s="8" t="n"/>
      <c r="P37" s="15">
        <f>IF(OR($U37="",$O37=""),"",IFERROR(INDEX(LAMINA_HORA!$C$5:$V$114,MATCH($U37,LAMINA_HORA!$A$5:$A$114,0),MATCH($O37,LAMINA_HORA!$C$3:$V$3,0)),"?"))</f>
        <v/>
      </c>
      <c r="Q37" s="15">
        <f>IF(OR($U37="",$O37=""),"",IFERROR(INDEX(LAMINA_HORA!$W$5:$AP$114,MATCH($U37,LAMINA_HORA!$A$5:$A$114,0),MATCH($O37,LAMINA_HORA!$W$3:$AP$3,0)),"?"))</f>
        <v/>
      </c>
      <c r="R37" s="16">
        <f>IF($I37="PENDENTE","Definir Kc/classe",IF($I37="(nao plantado)","Aguardar plantio",IF($M37="","-",IF($M37&gt;=TURNO,"IRRIGAR",IF($M37&gt;=TURNO*FRAC_ACOMP,"Acompanhar","Aguardar")))))</f>
        <v/>
      </c>
      <c r="S37" s="16">
        <f>IF(OR($M37="",$M37=0),"-",IF($M37&gt;=2*TURNO,"Alta",IF($M37&gt;=TURNO,"Media","Baixa")))</f>
        <v/>
      </c>
      <c r="T37" s="17" t="inlineStr">
        <is>
          <t>SOJA_MEDIA</t>
        </is>
      </c>
      <c r="U37" s="8" t="inlineStr">
        <is>
          <t>P25</t>
        </is>
      </c>
    </row>
    <row r="38">
      <c r="A38" s="6" t="inlineStr">
        <is>
          <t>Pivô 25</t>
        </is>
      </c>
      <c r="B38" s="6" t="inlineStr">
        <is>
          <t>R7</t>
        </is>
      </c>
      <c r="C38" s="7" t="inlineStr">
        <is>
          <t>BMX DOMINIO IPRO</t>
        </is>
      </c>
      <c r="D38" s="8" t="inlineStr">
        <is>
          <t>MEDIA</t>
        </is>
      </c>
      <c r="E38" s="9" t="n">
        <v>171</v>
      </c>
      <c r="F38" s="10" t="n">
        <v>46330</v>
      </c>
      <c r="G38" s="11">
        <f>IF($F38="","",IF($F38&gt;DATA_REF,"",DATA_REF-$F38))</f>
        <v/>
      </c>
      <c r="H38" s="11">
        <f>IF($G38="","",MAX(0,$G38-'PARAMETROS'!$B$9))</f>
        <v/>
      </c>
      <c r="I38" s="12">
        <f>IF($T38="","PENDENTE",IF($G38="","(nao plantado)",IFERROR(INDEX(CURVAS_KC!$B$5:$I$224,MATCH(MIN(MAX($H38,1),220),CURVAS_KC!$A$5:$A$224,0),MATCH($T38,CURVAS_KC!$B$4:$I$4,0)),"PENDENTE")))</f>
        <v/>
      </c>
      <c r="J38" s="13">
        <f>ETO_SEM</f>
        <v/>
      </c>
      <c r="K38" s="13">
        <f>CHUVA_SEM</f>
        <v/>
      </c>
      <c r="L38" s="14">
        <f>IF(OR($I38="PENDENTE",$I38="(nao plantado)",$J38=""),"",$I38*$J38)</f>
        <v/>
      </c>
      <c r="M38" s="14">
        <f>IF($L38="","",MAX(0,$L38-N($K38)))</f>
        <v/>
      </c>
      <c r="N38" s="14">
        <f>IF($M38="","",$M38/EF_APLIC)</f>
        <v/>
      </c>
      <c r="O38" s="8" t="n"/>
      <c r="P38" s="15">
        <f>IF(OR($U38="",$O38=""),"",IFERROR(INDEX(LAMINA_HORA!$C$5:$V$114,MATCH($U38,LAMINA_HORA!$A$5:$A$114,0),MATCH($O38,LAMINA_HORA!$C$3:$V$3,0)),"?"))</f>
        <v/>
      </c>
      <c r="Q38" s="15">
        <f>IF(OR($U38="",$O38=""),"",IFERROR(INDEX(LAMINA_HORA!$W$5:$AP$114,MATCH($U38,LAMINA_HORA!$A$5:$A$114,0),MATCH($O38,LAMINA_HORA!$W$3:$AP$3,0)),"?"))</f>
        <v/>
      </c>
      <c r="R38" s="16">
        <f>IF($I38="PENDENTE","Definir Kc/classe",IF($I38="(nao plantado)","Aguardar plantio",IF($M38="","-",IF($M38&gt;=TURNO,"IRRIGAR",IF($M38&gt;=TURNO*FRAC_ACOMP,"Acompanhar","Aguardar")))))</f>
        <v/>
      </c>
      <c r="S38" s="16">
        <f>IF(OR($M38="",$M38=0),"-",IF($M38&gt;=2*TURNO,"Alta",IF($M38&gt;=TURNO,"Media","Baixa")))</f>
        <v/>
      </c>
      <c r="T38" s="17" t="inlineStr">
        <is>
          <t>SOJA_MEDIA</t>
        </is>
      </c>
      <c r="U38" s="8" t="inlineStr">
        <is>
          <t>P25</t>
        </is>
      </c>
    </row>
    <row r="39">
      <c r="A39" s="6" t="inlineStr">
        <is>
          <t>Pivô 26</t>
        </is>
      </c>
      <c r="B39" s="6" t="inlineStr">
        <is>
          <t>R7</t>
        </is>
      </c>
      <c r="C39" s="7" t="inlineStr">
        <is>
          <t>ST 76KA72</t>
        </is>
      </c>
      <c r="D39" s="8" t="inlineStr">
        <is>
          <t>PRECOCE</t>
        </is>
      </c>
      <c r="E39" s="9" t="n">
        <v>150</v>
      </c>
      <c r="F39" s="10" t="n">
        <v>46302</v>
      </c>
      <c r="G39" s="11">
        <f>IF($F39="","",IF($F39&gt;DATA_REF,"",DATA_REF-$F39))</f>
        <v/>
      </c>
      <c r="H39" s="11">
        <f>IF($G39="","",MAX(0,$G39-'PARAMETROS'!$B$9))</f>
        <v/>
      </c>
      <c r="I39" s="12">
        <f>IF($T39="","PENDENTE",IF($G39="","(nao plantado)",IFERROR(INDEX(CURVAS_KC!$B$5:$I$224,MATCH(MIN(MAX($H39,1),220),CURVAS_KC!$A$5:$A$224,0),MATCH($T39,CURVAS_KC!$B$4:$I$4,0)),"PENDENTE")))</f>
        <v/>
      </c>
      <c r="J39" s="13">
        <f>ETO_SEM</f>
        <v/>
      </c>
      <c r="K39" s="13">
        <f>CHUVA_SEM</f>
        <v/>
      </c>
      <c r="L39" s="14">
        <f>IF(OR($I39="PENDENTE",$I39="(nao plantado)",$J39=""),"",$I39*$J39)</f>
        <v/>
      </c>
      <c r="M39" s="14">
        <f>IF($L39="","",MAX(0,$L39-N($K39)))</f>
        <v/>
      </c>
      <c r="N39" s="14">
        <f>IF($M39="","",$M39/EF_APLIC)</f>
        <v/>
      </c>
      <c r="O39" s="8" t="n"/>
      <c r="P39" s="15">
        <f>IF(OR($U39="",$O39=""),"",IFERROR(INDEX(LAMINA_HORA!$C$5:$V$114,MATCH($U39,LAMINA_HORA!$A$5:$A$114,0),MATCH($O39,LAMINA_HORA!$C$3:$V$3,0)),"?"))</f>
        <v/>
      </c>
      <c r="Q39" s="15">
        <f>IF(OR($U39="",$O39=""),"",IFERROR(INDEX(LAMINA_HORA!$W$5:$AP$114,MATCH($U39,LAMINA_HORA!$A$5:$A$114,0),MATCH($O39,LAMINA_HORA!$W$3:$AP$3,0)),"?"))</f>
        <v/>
      </c>
      <c r="R39" s="16">
        <f>IF($I39="PENDENTE","Definir Kc/classe",IF($I39="(nao plantado)","Aguardar plantio",IF($M39="","-",IF($M39&gt;=TURNO,"IRRIGAR",IF($M39&gt;=TURNO*FRAC_ACOMP,"Acompanhar","Aguardar")))))</f>
        <v/>
      </c>
      <c r="S39" s="16">
        <f>IF(OR($M39="",$M39=0),"-",IF($M39&gt;=2*TURNO,"Alta",IF($M39&gt;=TURNO,"Media","Baixa")))</f>
        <v/>
      </c>
      <c r="T39" s="17" t="inlineStr">
        <is>
          <t>SOJA_PRECOCE</t>
        </is>
      </c>
      <c r="U39" s="8" t="inlineStr">
        <is>
          <t>P26</t>
        </is>
      </c>
    </row>
    <row r="40">
      <c r="A40" s="6" t="inlineStr">
        <is>
          <t>Pivô 27</t>
        </is>
      </c>
      <c r="B40" s="6" t="inlineStr">
        <is>
          <t>R7</t>
        </is>
      </c>
      <c r="C40" s="7" t="inlineStr">
        <is>
          <t>BMX DOMINIO IPRO</t>
        </is>
      </c>
      <c r="D40" s="8" t="inlineStr">
        <is>
          <t>MEDIA</t>
        </is>
      </c>
      <c r="E40" s="9" t="n">
        <v>313</v>
      </c>
      <c r="F40" s="10" t="n">
        <v>46330</v>
      </c>
      <c r="G40" s="11">
        <f>IF($F40="","",IF($F40&gt;DATA_REF,"",DATA_REF-$F40))</f>
        <v/>
      </c>
      <c r="H40" s="11">
        <f>IF($G40="","",MAX(0,$G40-'PARAMETROS'!$B$9))</f>
        <v/>
      </c>
      <c r="I40" s="12">
        <f>IF($T40="","PENDENTE",IF($G40="","(nao plantado)",IFERROR(INDEX(CURVAS_KC!$B$5:$I$224,MATCH(MIN(MAX($H40,1),220),CURVAS_KC!$A$5:$A$224,0),MATCH($T40,CURVAS_KC!$B$4:$I$4,0)),"PENDENTE")))</f>
        <v/>
      </c>
      <c r="J40" s="13">
        <f>ETO_SEM</f>
        <v/>
      </c>
      <c r="K40" s="13">
        <f>CHUVA_SEM</f>
        <v/>
      </c>
      <c r="L40" s="14">
        <f>IF(OR($I40="PENDENTE",$I40="(nao plantado)",$J40=""),"",$I40*$J40)</f>
        <v/>
      </c>
      <c r="M40" s="14">
        <f>IF($L40="","",MAX(0,$L40-N($K40)))</f>
        <v/>
      </c>
      <c r="N40" s="14">
        <f>IF($M40="","",$M40/EF_APLIC)</f>
        <v/>
      </c>
      <c r="O40" s="8" t="n"/>
      <c r="P40" s="15">
        <f>IF(OR($U40="",$O40=""),"",IFERROR(INDEX(LAMINA_HORA!$C$5:$V$114,MATCH($U40,LAMINA_HORA!$A$5:$A$114,0),MATCH($O40,LAMINA_HORA!$C$3:$V$3,0)),"?"))</f>
        <v/>
      </c>
      <c r="Q40" s="15">
        <f>IF(OR($U40="",$O40=""),"",IFERROR(INDEX(LAMINA_HORA!$W$5:$AP$114,MATCH($U40,LAMINA_HORA!$A$5:$A$114,0),MATCH($O40,LAMINA_HORA!$W$3:$AP$3,0)),"?"))</f>
        <v/>
      </c>
      <c r="R40" s="16">
        <f>IF($I40="PENDENTE","Definir Kc/classe",IF($I40="(nao plantado)","Aguardar plantio",IF($M40="","-",IF($M40&gt;=TURNO,"IRRIGAR",IF($M40&gt;=TURNO*FRAC_ACOMP,"Acompanhar","Aguardar")))))</f>
        <v/>
      </c>
      <c r="S40" s="16">
        <f>IF(OR($M40="",$M40=0),"-",IF($M40&gt;=2*TURNO,"Alta",IF($M40&gt;=TURNO,"Media","Baixa")))</f>
        <v/>
      </c>
      <c r="T40" s="17" t="inlineStr">
        <is>
          <t>SOJA_MEDIA</t>
        </is>
      </c>
      <c r="U40" s="8" t="inlineStr">
        <is>
          <t>P27</t>
        </is>
      </c>
    </row>
    <row r="41">
      <c r="A41" s="6" t="inlineStr">
        <is>
          <t>Pivô 33</t>
        </is>
      </c>
      <c r="B41" s="6" t="inlineStr">
        <is>
          <t>C3Z3/R7</t>
        </is>
      </c>
      <c r="C41" s="7" t="inlineStr">
        <is>
          <t>ATAQUE I2X</t>
        </is>
      </c>
      <c r="D41" s="8" t="inlineStr">
        <is>
          <t>TARDIA</t>
        </is>
      </c>
      <c r="E41" s="9" t="n">
        <v>138</v>
      </c>
      <c r="F41" s="10" t="n">
        <v>46302</v>
      </c>
      <c r="G41" s="11">
        <f>IF($F41="","",IF($F41&gt;DATA_REF,"",DATA_REF-$F41))</f>
        <v/>
      </c>
      <c r="H41" s="11">
        <f>IF($G41="","",MAX(0,$G41-'PARAMETROS'!$B$9))</f>
        <v/>
      </c>
      <c r="I41" s="12">
        <f>IF($T41="","PENDENTE",IF($G41="","(nao plantado)",IFERROR(INDEX(CURVAS_KC!$B$5:$I$224,MATCH(MIN(MAX($H41,1),220),CURVAS_KC!$A$5:$A$224,0),MATCH($T41,CURVAS_KC!$B$4:$I$4,0)),"PENDENTE")))</f>
        <v/>
      </c>
      <c r="J41" s="13">
        <f>ETO_SEM</f>
        <v/>
      </c>
      <c r="K41" s="13">
        <f>CHUVA_SEM</f>
        <v/>
      </c>
      <c r="L41" s="14">
        <f>IF(OR($I41="PENDENTE",$I41="(nao plantado)",$J41=""),"",$I41*$J41)</f>
        <v/>
      </c>
      <c r="M41" s="14">
        <f>IF($L41="","",MAX(0,$L41-N($K41)))</f>
        <v/>
      </c>
      <c r="N41" s="14">
        <f>IF($M41="","",$M41/EF_APLIC)</f>
        <v/>
      </c>
      <c r="O41" s="8" t="n"/>
      <c r="P41" s="15">
        <f>IF(OR($U41="",$O41=""),"",IFERROR(INDEX(LAMINA_HORA!$C$5:$V$114,MATCH($U41,LAMINA_HORA!$A$5:$A$114,0),MATCH($O41,LAMINA_HORA!$C$3:$V$3,0)),"?"))</f>
        <v/>
      </c>
      <c r="Q41" s="15">
        <f>IF(OR($U41="",$O41=""),"",IFERROR(INDEX(LAMINA_HORA!$W$5:$AP$114,MATCH($U41,LAMINA_HORA!$A$5:$A$114,0),MATCH($O41,LAMINA_HORA!$W$3:$AP$3,0)),"?"))</f>
        <v/>
      </c>
      <c r="R41" s="16">
        <f>IF($I41="PENDENTE","Definir Kc/classe",IF($I41="(nao plantado)","Aguardar plantio",IF($M41="","-",IF($M41&gt;=TURNO,"IRRIGAR",IF($M41&gt;=TURNO*FRAC_ACOMP,"Acompanhar","Aguardar")))))</f>
        <v/>
      </c>
      <c r="S41" s="16">
        <f>IF(OR($M41="",$M41=0),"-",IF($M41&gt;=2*TURNO,"Alta",IF($M41&gt;=TURNO,"Media","Baixa")))</f>
        <v/>
      </c>
      <c r="T41" s="17" t="inlineStr">
        <is>
          <t>SOJA_TARDIA</t>
        </is>
      </c>
      <c r="U41" s="8" t="inlineStr">
        <is>
          <t>P33</t>
        </is>
      </c>
    </row>
    <row r="43">
      <c r="A43" s="5" t="inlineStr">
        <is>
          <t>Modulo 2  -  15 pivos</t>
        </is>
      </c>
    </row>
    <row r="44">
      <c r="A44" s="6" t="inlineStr">
        <is>
          <t>Pivô 35</t>
        </is>
      </c>
      <c r="B44" s="6" t="inlineStr">
        <is>
          <t>R8</t>
        </is>
      </c>
      <c r="C44" s="7" t="inlineStr">
        <is>
          <t>COMPLETA IPRO</t>
        </is>
      </c>
      <c r="D44" s="8" t="inlineStr">
        <is>
          <t>MEDIA</t>
        </is>
      </c>
      <c r="E44" s="9" t="n">
        <v>150</v>
      </c>
      <c r="F44" s="10" t="n">
        <v>46303</v>
      </c>
      <c r="G44" s="11">
        <f>IF($F44="","",IF($F44&gt;DATA_REF,"",DATA_REF-$F44))</f>
        <v/>
      </c>
      <c r="H44" s="11">
        <f>IF($G44="","",MAX(0,$G44-'PARAMETROS'!$B$9))</f>
        <v/>
      </c>
      <c r="I44" s="12">
        <f>IF($T44="","PENDENTE",IF($G44="","(nao plantado)",IFERROR(INDEX(CURVAS_KC!$B$5:$I$224,MATCH(MIN(MAX($H44,1),220),CURVAS_KC!$A$5:$A$224,0),MATCH($T44,CURVAS_KC!$B$4:$I$4,0)),"PENDENTE")))</f>
        <v/>
      </c>
      <c r="J44" s="13">
        <f>ETO_SEM</f>
        <v/>
      </c>
      <c r="K44" s="13">
        <f>CHUVA_SEM</f>
        <v/>
      </c>
      <c r="L44" s="14">
        <f>IF(OR($I44="PENDENTE",$I44="(nao plantado)",$J44=""),"",$I44*$J44)</f>
        <v/>
      </c>
      <c r="M44" s="14">
        <f>IF($L44="","",MAX(0,$L44-N($K44)))</f>
        <v/>
      </c>
      <c r="N44" s="14">
        <f>IF($M44="","",$M44/EF_APLIC)</f>
        <v/>
      </c>
      <c r="O44" s="8" t="n"/>
      <c r="P44" s="15">
        <f>IF(OR($U44="",$O44=""),"",IFERROR(INDEX(LAMINA_HORA!$C$5:$V$114,MATCH($U44,LAMINA_HORA!$A$5:$A$114,0),MATCH($O44,LAMINA_HORA!$C$3:$V$3,0)),"?"))</f>
        <v/>
      </c>
      <c r="Q44" s="15">
        <f>IF(OR($U44="",$O44=""),"",IFERROR(INDEX(LAMINA_HORA!$W$5:$AP$114,MATCH($U44,LAMINA_HORA!$A$5:$A$114,0),MATCH($O44,LAMINA_HORA!$W$3:$AP$3,0)),"?"))</f>
        <v/>
      </c>
      <c r="R44" s="16">
        <f>IF($I44="PENDENTE","Definir Kc/classe",IF($I44="(nao plantado)","Aguardar plantio",IF($M44="","-",IF($M44&gt;=TURNO,"IRRIGAR",IF($M44&gt;=TURNO*FRAC_ACOMP,"Acompanhar","Aguardar")))))</f>
        <v/>
      </c>
      <c r="S44" s="16">
        <f>IF(OR($M44="",$M44=0),"-",IF($M44&gt;=2*TURNO,"Alta",IF($M44&gt;=TURNO,"Media","Baixa")))</f>
        <v/>
      </c>
      <c r="T44" s="17" t="inlineStr">
        <is>
          <t>SOJA_MEDIA</t>
        </is>
      </c>
      <c r="U44" s="8" t="inlineStr">
        <is>
          <t>P35</t>
        </is>
      </c>
    </row>
    <row r="45">
      <c r="A45" s="6" t="inlineStr">
        <is>
          <t>Pivô 36</t>
        </is>
      </c>
      <c r="B45" s="6" t="inlineStr">
        <is>
          <t>R8</t>
        </is>
      </c>
      <c r="C45" s="7" t="inlineStr">
        <is>
          <t>COMPLETA IPRO</t>
        </is>
      </c>
      <c r="D45" s="8" t="inlineStr">
        <is>
          <t>MEDIA</t>
        </is>
      </c>
      <c r="E45" s="9" t="n">
        <v>150</v>
      </c>
      <c r="F45" s="10" t="n">
        <v>46303</v>
      </c>
      <c r="G45" s="11">
        <f>IF($F45="","",IF($F45&gt;DATA_REF,"",DATA_REF-$F45))</f>
        <v/>
      </c>
      <c r="H45" s="11">
        <f>IF($G45="","",MAX(0,$G45-'PARAMETROS'!$B$9))</f>
        <v/>
      </c>
      <c r="I45" s="12">
        <f>IF($T45="","PENDENTE",IF($G45="","(nao plantado)",IFERROR(INDEX(CURVAS_KC!$B$5:$I$224,MATCH(MIN(MAX($H45,1),220),CURVAS_KC!$A$5:$A$224,0),MATCH($T45,CURVAS_KC!$B$4:$I$4,0)),"PENDENTE")))</f>
        <v/>
      </c>
      <c r="J45" s="13">
        <f>ETO_SEM</f>
        <v/>
      </c>
      <c r="K45" s="13">
        <f>CHUVA_SEM</f>
        <v/>
      </c>
      <c r="L45" s="14">
        <f>IF(OR($I45="PENDENTE",$I45="(nao plantado)",$J45=""),"",$I45*$J45)</f>
        <v/>
      </c>
      <c r="M45" s="14">
        <f>IF($L45="","",MAX(0,$L45-N($K45)))</f>
        <v/>
      </c>
      <c r="N45" s="14">
        <f>IF($M45="","",$M45/EF_APLIC)</f>
        <v/>
      </c>
      <c r="O45" s="8" t="n"/>
      <c r="P45" s="15">
        <f>IF(OR($U45="",$O45=""),"",IFERROR(INDEX(LAMINA_HORA!$C$5:$V$114,MATCH($U45,LAMINA_HORA!$A$5:$A$114,0),MATCH($O45,LAMINA_HORA!$C$3:$V$3,0)),"?"))</f>
        <v/>
      </c>
      <c r="Q45" s="15">
        <f>IF(OR($U45="",$O45=""),"",IFERROR(INDEX(LAMINA_HORA!$W$5:$AP$114,MATCH($U45,LAMINA_HORA!$A$5:$A$114,0),MATCH($O45,LAMINA_HORA!$W$3:$AP$3,0)),"?"))</f>
        <v/>
      </c>
      <c r="R45" s="16">
        <f>IF($I45="PENDENTE","Definir Kc/classe",IF($I45="(nao plantado)","Aguardar plantio",IF($M45="","-",IF($M45&gt;=TURNO,"IRRIGAR",IF($M45&gt;=TURNO*FRAC_ACOMP,"Acompanhar","Aguardar")))))</f>
        <v/>
      </c>
      <c r="S45" s="16">
        <f>IF(OR($M45="",$M45=0),"-",IF($M45&gt;=2*TURNO,"Alta",IF($M45&gt;=TURNO,"Media","Baixa")))</f>
        <v/>
      </c>
      <c r="T45" s="17" t="inlineStr">
        <is>
          <t>SOJA_MEDIA</t>
        </is>
      </c>
      <c r="U45" s="8" t="inlineStr">
        <is>
          <t>P36</t>
        </is>
      </c>
    </row>
    <row r="46">
      <c r="A46" s="6" t="inlineStr">
        <is>
          <t>Pivô 37</t>
        </is>
      </c>
      <c r="B46" s="6" t="inlineStr">
        <is>
          <t>R8</t>
        </is>
      </c>
      <c r="C46" s="7" t="inlineStr">
        <is>
          <t>COMPLETA IPRO</t>
        </is>
      </c>
      <c r="D46" s="8" t="inlineStr">
        <is>
          <t>MEDIA</t>
        </is>
      </c>
      <c r="E46" s="9" t="n">
        <v>72</v>
      </c>
      <c r="F46" s="10" t="n">
        <v>46304</v>
      </c>
      <c r="G46" s="11">
        <f>IF($F46="","",IF($F46&gt;DATA_REF,"",DATA_REF-$F46))</f>
        <v/>
      </c>
      <c r="H46" s="11">
        <f>IF($G46="","",MAX(0,$G46-'PARAMETROS'!$B$9))</f>
        <v/>
      </c>
      <c r="I46" s="12">
        <f>IF($T46="","PENDENTE",IF($G46="","(nao plantado)",IFERROR(INDEX(CURVAS_KC!$B$5:$I$224,MATCH(MIN(MAX($H46,1),220),CURVAS_KC!$A$5:$A$224,0),MATCH($T46,CURVAS_KC!$B$4:$I$4,0)),"PENDENTE")))</f>
        <v/>
      </c>
      <c r="J46" s="13">
        <f>ETO_SEM</f>
        <v/>
      </c>
      <c r="K46" s="13">
        <f>CHUVA_SEM</f>
        <v/>
      </c>
      <c r="L46" s="14">
        <f>IF(OR($I46="PENDENTE",$I46="(nao plantado)",$J46=""),"",$I46*$J46)</f>
        <v/>
      </c>
      <c r="M46" s="14">
        <f>IF($L46="","",MAX(0,$L46-N($K46)))</f>
        <v/>
      </c>
      <c r="N46" s="14">
        <f>IF($M46="","",$M46/EF_APLIC)</f>
        <v/>
      </c>
      <c r="O46" s="8" t="n"/>
      <c r="P46" s="15">
        <f>IF(OR($U46="",$O46=""),"",IFERROR(INDEX(LAMINA_HORA!$C$5:$V$114,MATCH($U46,LAMINA_HORA!$A$5:$A$114,0),MATCH($O46,LAMINA_HORA!$C$3:$V$3,0)),"?"))</f>
        <v/>
      </c>
      <c r="Q46" s="15">
        <f>IF(OR($U46="",$O46=""),"",IFERROR(INDEX(LAMINA_HORA!$W$5:$AP$114,MATCH($U46,LAMINA_HORA!$A$5:$A$114,0),MATCH($O46,LAMINA_HORA!$W$3:$AP$3,0)),"?"))</f>
        <v/>
      </c>
      <c r="R46" s="16">
        <f>IF($I46="PENDENTE","Definir Kc/classe",IF($I46="(nao plantado)","Aguardar plantio",IF($M46="","-",IF($M46&gt;=TURNO,"IRRIGAR",IF($M46&gt;=TURNO*FRAC_ACOMP,"Acompanhar","Aguardar")))))</f>
        <v/>
      </c>
      <c r="S46" s="16">
        <f>IF(OR($M46="",$M46=0),"-",IF($M46&gt;=2*TURNO,"Alta",IF($M46&gt;=TURNO,"Media","Baixa")))</f>
        <v/>
      </c>
      <c r="T46" s="17" t="inlineStr">
        <is>
          <t>SOJA_MEDIA</t>
        </is>
      </c>
      <c r="U46" s="8" t="inlineStr">
        <is>
          <t>P37</t>
        </is>
      </c>
    </row>
    <row r="47">
      <c r="A47" s="6" t="inlineStr">
        <is>
          <t>Pivô 38</t>
        </is>
      </c>
      <c r="B47" s="6" t="inlineStr">
        <is>
          <t>R8</t>
        </is>
      </c>
      <c r="C47" s="7" t="inlineStr">
        <is>
          <t>COMPLETA IPRO</t>
        </is>
      </c>
      <c r="D47" s="8" t="inlineStr">
        <is>
          <t>MEDIA</t>
        </is>
      </c>
      <c r="E47" s="9" t="n">
        <v>141</v>
      </c>
      <c r="F47" s="10" t="n">
        <v>46304</v>
      </c>
      <c r="G47" s="11">
        <f>IF($F47="","",IF($F47&gt;DATA_REF,"",DATA_REF-$F47))</f>
        <v/>
      </c>
      <c r="H47" s="11">
        <f>IF($G47="","",MAX(0,$G47-'PARAMETROS'!$B$9))</f>
        <v/>
      </c>
      <c r="I47" s="12">
        <f>IF($T47="","PENDENTE",IF($G47="","(nao plantado)",IFERROR(INDEX(CURVAS_KC!$B$5:$I$224,MATCH(MIN(MAX($H47,1),220),CURVAS_KC!$A$5:$A$224,0),MATCH($T47,CURVAS_KC!$B$4:$I$4,0)),"PENDENTE")))</f>
        <v/>
      </c>
      <c r="J47" s="13">
        <f>ETO_SEM</f>
        <v/>
      </c>
      <c r="K47" s="13">
        <f>CHUVA_SEM</f>
        <v/>
      </c>
      <c r="L47" s="14">
        <f>IF(OR($I47="PENDENTE",$I47="(nao plantado)",$J47=""),"",$I47*$J47)</f>
        <v/>
      </c>
      <c r="M47" s="14">
        <f>IF($L47="","",MAX(0,$L47-N($K47)))</f>
        <v/>
      </c>
      <c r="N47" s="14">
        <f>IF($M47="","",$M47/EF_APLIC)</f>
        <v/>
      </c>
      <c r="O47" s="8" t="n"/>
      <c r="P47" s="15">
        <f>IF(OR($U47="",$O47=""),"",IFERROR(INDEX(LAMINA_HORA!$C$5:$V$114,MATCH($U47,LAMINA_HORA!$A$5:$A$114,0),MATCH($O47,LAMINA_HORA!$C$3:$V$3,0)),"?"))</f>
        <v/>
      </c>
      <c r="Q47" s="15">
        <f>IF(OR($U47="",$O47=""),"",IFERROR(INDEX(LAMINA_HORA!$W$5:$AP$114,MATCH($U47,LAMINA_HORA!$A$5:$A$114,0),MATCH($O47,LAMINA_HORA!$W$3:$AP$3,0)),"?"))</f>
        <v/>
      </c>
      <c r="R47" s="16">
        <f>IF($I47="PENDENTE","Definir Kc/classe",IF($I47="(nao plantado)","Aguardar plantio",IF($M47="","-",IF($M47&gt;=TURNO,"IRRIGAR",IF($M47&gt;=TURNO*FRAC_ACOMP,"Acompanhar","Aguardar")))))</f>
        <v/>
      </c>
      <c r="S47" s="16">
        <f>IF(OR($M47="",$M47=0),"-",IF($M47&gt;=2*TURNO,"Alta",IF($M47&gt;=TURNO,"Media","Baixa")))</f>
        <v/>
      </c>
      <c r="T47" s="17" t="inlineStr">
        <is>
          <t>SOJA_MEDIA</t>
        </is>
      </c>
      <c r="U47" s="8" t="inlineStr">
        <is>
          <t>P38</t>
        </is>
      </c>
    </row>
    <row r="48">
      <c r="A48" s="6" t="inlineStr">
        <is>
          <t>Pivô 40</t>
        </is>
      </c>
      <c r="B48" s="6" t="inlineStr">
        <is>
          <t>R10</t>
        </is>
      </c>
      <c r="C48" s="7" t="inlineStr">
        <is>
          <t>BMX Olimpo IPRO</t>
        </is>
      </c>
      <c r="D48" s="8" t="inlineStr">
        <is>
          <t>MEDIA</t>
        </is>
      </c>
      <c r="E48" s="9" t="n">
        <v>150</v>
      </c>
      <c r="F48" s="10" t="n">
        <v>46305</v>
      </c>
      <c r="G48" s="11">
        <f>IF($F48="","",IF($F48&gt;DATA_REF,"",DATA_REF-$F48))</f>
        <v/>
      </c>
      <c r="H48" s="11">
        <f>IF($G48="","",MAX(0,$G48-'PARAMETROS'!$B$9))</f>
        <v/>
      </c>
      <c r="I48" s="12">
        <f>IF($T48="","PENDENTE",IF($G48="","(nao plantado)",IFERROR(INDEX(CURVAS_KC!$B$5:$I$224,MATCH(MIN(MAX($H48,1),220),CURVAS_KC!$A$5:$A$224,0),MATCH($T48,CURVAS_KC!$B$4:$I$4,0)),"PENDENTE")))</f>
        <v/>
      </c>
      <c r="J48" s="13">
        <f>ETO_SEM</f>
        <v/>
      </c>
      <c r="K48" s="13">
        <f>CHUVA_SEM</f>
        <v/>
      </c>
      <c r="L48" s="14">
        <f>IF(OR($I48="PENDENTE",$I48="(nao plantado)",$J48=""),"",$I48*$J48)</f>
        <v/>
      </c>
      <c r="M48" s="14">
        <f>IF($L48="","",MAX(0,$L48-N($K48)))</f>
        <v/>
      </c>
      <c r="N48" s="14">
        <f>IF($M48="","",$M48/EF_APLIC)</f>
        <v/>
      </c>
      <c r="O48" s="8" t="n"/>
      <c r="P48" s="15">
        <f>IF(OR($U48="",$O48=""),"",IFERROR(INDEX(LAMINA_HORA!$C$5:$V$114,MATCH($U48,LAMINA_HORA!$A$5:$A$114,0),MATCH($O48,LAMINA_HORA!$C$3:$V$3,0)),"?"))</f>
        <v/>
      </c>
      <c r="Q48" s="15">
        <f>IF(OR($U48="",$O48=""),"",IFERROR(INDEX(LAMINA_HORA!$W$5:$AP$114,MATCH($U48,LAMINA_HORA!$A$5:$A$114,0),MATCH($O48,LAMINA_HORA!$W$3:$AP$3,0)),"?"))</f>
        <v/>
      </c>
      <c r="R48" s="16">
        <f>IF($I48="PENDENTE","Definir Kc/classe",IF($I48="(nao plantado)","Aguardar plantio",IF($M48="","-",IF($M48&gt;=TURNO,"IRRIGAR",IF($M48&gt;=TURNO*FRAC_ACOMP,"Acompanhar","Aguardar")))))</f>
        <v/>
      </c>
      <c r="S48" s="16">
        <f>IF(OR($M48="",$M48=0),"-",IF($M48&gt;=2*TURNO,"Alta",IF($M48&gt;=TURNO,"Media","Baixa")))</f>
        <v/>
      </c>
      <c r="T48" s="17" t="inlineStr">
        <is>
          <t>SOJA_MEDIA</t>
        </is>
      </c>
      <c r="U48" s="8" t="inlineStr">
        <is>
          <t>P40</t>
        </is>
      </c>
    </row>
    <row r="49">
      <c r="A49" s="6" t="inlineStr">
        <is>
          <t>Pivô 41</t>
        </is>
      </c>
      <c r="B49" s="6" t="inlineStr">
        <is>
          <t>R9</t>
        </is>
      </c>
      <c r="C49" s="7" t="inlineStr">
        <is>
          <t>NEO 761 I2X</t>
        </is>
      </c>
      <c r="D49" s="8" t="inlineStr">
        <is>
          <t>PRECOCE</t>
        </is>
      </c>
      <c r="E49" s="9" t="n">
        <v>138</v>
      </c>
      <c r="F49" s="10" t="n">
        <v>46305</v>
      </c>
      <c r="G49" s="11">
        <f>IF($F49="","",IF($F49&gt;DATA_REF,"",DATA_REF-$F49))</f>
        <v/>
      </c>
      <c r="H49" s="11">
        <f>IF($G49="","",MAX(0,$G49-'PARAMETROS'!$B$9))</f>
        <v/>
      </c>
      <c r="I49" s="12">
        <f>IF($T49="","PENDENTE",IF($G49="","(nao plantado)",IFERROR(INDEX(CURVAS_KC!$B$5:$I$224,MATCH(MIN(MAX($H49,1),220),CURVAS_KC!$A$5:$A$224,0),MATCH($T49,CURVAS_KC!$B$4:$I$4,0)),"PENDENTE")))</f>
        <v/>
      </c>
      <c r="J49" s="13">
        <f>ETO_SEM</f>
        <v/>
      </c>
      <c r="K49" s="13">
        <f>CHUVA_SEM</f>
        <v/>
      </c>
      <c r="L49" s="14">
        <f>IF(OR($I49="PENDENTE",$I49="(nao plantado)",$J49=""),"",$I49*$J49)</f>
        <v/>
      </c>
      <c r="M49" s="14">
        <f>IF($L49="","",MAX(0,$L49-N($K49)))</f>
        <v/>
      </c>
      <c r="N49" s="14">
        <f>IF($M49="","",$M49/EF_APLIC)</f>
        <v/>
      </c>
      <c r="O49" s="8" t="n"/>
      <c r="P49" s="15">
        <f>IF(OR($U49="",$O49=""),"",IFERROR(INDEX(LAMINA_HORA!$C$5:$V$114,MATCH($U49,LAMINA_HORA!$A$5:$A$114,0),MATCH($O49,LAMINA_HORA!$C$3:$V$3,0)),"?"))</f>
        <v/>
      </c>
      <c r="Q49" s="15">
        <f>IF(OR($U49="",$O49=""),"",IFERROR(INDEX(LAMINA_HORA!$W$5:$AP$114,MATCH($U49,LAMINA_HORA!$A$5:$A$114,0),MATCH($O49,LAMINA_HORA!$W$3:$AP$3,0)),"?"))</f>
        <v/>
      </c>
      <c r="R49" s="16">
        <f>IF($I49="PENDENTE","Definir Kc/classe",IF($I49="(nao plantado)","Aguardar plantio",IF($M49="","-",IF($M49&gt;=TURNO,"IRRIGAR",IF($M49&gt;=TURNO*FRAC_ACOMP,"Acompanhar","Aguardar")))))</f>
        <v/>
      </c>
      <c r="S49" s="16">
        <f>IF(OR($M49="",$M49=0),"-",IF($M49&gt;=2*TURNO,"Alta",IF($M49&gt;=TURNO,"Media","Baixa")))</f>
        <v/>
      </c>
      <c r="T49" s="17" t="inlineStr">
        <is>
          <t>SOJA_PRECOCE</t>
        </is>
      </c>
      <c r="U49" s="8" t="inlineStr">
        <is>
          <t>P41</t>
        </is>
      </c>
    </row>
    <row r="50">
      <c r="A50" s="6" t="inlineStr">
        <is>
          <t>Pivô 42</t>
        </is>
      </c>
      <c r="B50" s="6" t="inlineStr">
        <is>
          <t>R9</t>
        </is>
      </c>
      <c r="C50" s="7" t="inlineStr">
        <is>
          <t>BMX Olimpo IPRO</t>
        </is>
      </c>
      <c r="D50" s="8" t="inlineStr">
        <is>
          <t>MEDIA</t>
        </is>
      </c>
      <c r="E50" s="9" t="n">
        <v>100</v>
      </c>
      <c r="F50" s="10" t="n">
        <v>46307</v>
      </c>
      <c r="G50" s="11">
        <f>IF($F50="","",IF($F50&gt;DATA_REF,"",DATA_REF-$F50))</f>
        <v/>
      </c>
      <c r="H50" s="11">
        <f>IF($G50="","",MAX(0,$G50-'PARAMETROS'!$B$9))</f>
        <v/>
      </c>
      <c r="I50" s="12">
        <f>IF($T50="","PENDENTE",IF($G50="","(nao plantado)",IFERROR(INDEX(CURVAS_KC!$B$5:$I$224,MATCH(MIN(MAX($H50,1),220),CURVAS_KC!$A$5:$A$224,0),MATCH($T50,CURVAS_KC!$B$4:$I$4,0)),"PENDENTE")))</f>
        <v/>
      </c>
      <c r="J50" s="13">
        <f>ETO_SEM</f>
        <v/>
      </c>
      <c r="K50" s="13">
        <f>CHUVA_SEM</f>
        <v/>
      </c>
      <c r="L50" s="14">
        <f>IF(OR($I50="PENDENTE",$I50="(nao plantado)",$J50=""),"",$I50*$J50)</f>
        <v/>
      </c>
      <c r="M50" s="14">
        <f>IF($L50="","",MAX(0,$L50-N($K50)))</f>
        <v/>
      </c>
      <c r="N50" s="14">
        <f>IF($M50="","",$M50/EF_APLIC)</f>
        <v/>
      </c>
      <c r="O50" s="8" t="n"/>
      <c r="P50" s="15">
        <f>IF(OR($U50="",$O50=""),"",IFERROR(INDEX(LAMINA_HORA!$C$5:$V$114,MATCH($U50,LAMINA_HORA!$A$5:$A$114,0),MATCH($O50,LAMINA_HORA!$C$3:$V$3,0)),"?"))</f>
        <v/>
      </c>
      <c r="Q50" s="15">
        <f>IF(OR($U50="",$O50=""),"",IFERROR(INDEX(LAMINA_HORA!$W$5:$AP$114,MATCH($U50,LAMINA_HORA!$A$5:$A$114,0),MATCH($O50,LAMINA_HORA!$W$3:$AP$3,0)),"?"))</f>
        <v/>
      </c>
      <c r="R50" s="16">
        <f>IF($I50="PENDENTE","Definir Kc/classe",IF($I50="(nao plantado)","Aguardar plantio",IF($M50="","-",IF($M50&gt;=TURNO,"IRRIGAR",IF($M50&gt;=TURNO*FRAC_ACOMP,"Acompanhar","Aguardar")))))</f>
        <v/>
      </c>
      <c r="S50" s="16">
        <f>IF(OR($M50="",$M50=0),"-",IF($M50&gt;=2*TURNO,"Alta",IF($M50&gt;=TURNO,"Media","Baixa")))</f>
        <v/>
      </c>
      <c r="T50" s="17" t="inlineStr">
        <is>
          <t>SOJA_MEDIA</t>
        </is>
      </c>
      <c r="U50" s="8" t="inlineStr">
        <is>
          <t>P42</t>
        </is>
      </c>
    </row>
    <row r="51">
      <c r="A51" s="6" t="inlineStr">
        <is>
          <t>Pivô 43</t>
        </is>
      </c>
      <c r="B51" s="6" t="inlineStr">
        <is>
          <t>R9</t>
        </is>
      </c>
      <c r="C51" s="7" t="inlineStr">
        <is>
          <t>NEO 761 I2X</t>
        </is>
      </c>
      <c r="D51" s="8" t="inlineStr">
        <is>
          <t>PRECOCE</t>
        </is>
      </c>
      <c r="E51" s="9" t="n">
        <v>138</v>
      </c>
      <c r="F51" s="10" t="n">
        <v>46307</v>
      </c>
      <c r="G51" s="11">
        <f>IF($F51="","",IF($F51&gt;DATA_REF,"",DATA_REF-$F51))</f>
        <v/>
      </c>
      <c r="H51" s="11">
        <f>IF($G51="","",MAX(0,$G51-'PARAMETROS'!$B$9))</f>
        <v/>
      </c>
      <c r="I51" s="12">
        <f>IF($T51="","PENDENTE",IF($G51="","(nao plantado)",IFERROR(INDEX(CURVAS_KC!$B$5:$I$224,MATCH(MIN(MAX($H51,1),220),CURVAS_KC!$A$5:$A$224,0),MATCH($T51,CURVAS_KC!$B$4:$I$4,0)),"PENDENTE")))</f>
        <v/>
      </c>
      <c r="J51" s="13">
        <f>ETO_SEM</f>
        <v/>
      </c>
      <c r="K51" s="13">
        <f>CHUVA_SEM</f>
        <v/>
      </c>
      <c r="L51" s="14">
        <f>IF(OR($I51="PENDENTE",$I51="(nao plantado)",$J51=""),"",$I51*$J51)</f>
        <v/>
      </c>
      <c r="M51" s="14">
        <f>IF($L51="","",MAX(0,$L51-N($K51)))</f>
        <v/>
      </c>
      <c r="N51" s="14">
        <f>IF($M51="","",$M51/EF_APLIC)</f>
        <v/>
      </c>
      <c r="O51" s="8" t="n"/>
      <c r="P51" s="15">
        <f>IF(OR($U51="",$O51=""),"",IFERROR(INDEX(LAMINA_HORA!$C$5:$V$114,MATCH($U51,LAMINA_HORA!$A$5:$A$114,0),MATCH($O51,LAMINA_HORA!$C$3:$V$3,0)),"?"))</f>
        <v/>
      </c>
      <c r="Q51" s="15">
        <f>IF(OR($U51="",$O51=""),"",IFERROR(INDEX(LAMINA_HORA!$W$5:$AP$114,MATCH($U51,LAMINA_HORA!$A$5:$A$114,0),MATCH($O51,LAMINA_HORA!$W$3:$AP$3,0)),"?"))</f>
        <v/>
      </c>
      <c r="R51" s="16">
        <f>IF($I51="PENDENTE","Definir Kc/classe",IF($I51="(nao plantado)","Aguardar plantio",IF($M51="","-",IF($M51&gt;=TURNO,"IRRIGAR",IF($M51&gt;=TURNO*FRAC_ACOMP,"Acompanhar","Aguardar")))))</f>
        <v/>
      </c>
      <c r="S51" s="16">
        <f>IF(OR($M51="",$M51=0),"-",IF($M51&gt;=2*TURNO,"Alta",IF($M51&gt;=TURNO,"Media","Baixa")))</f>
        <v/>
      </c>
      <c r="T51" s="17" t="inlineStr">
        <is>
          <t>SOJA_PRECOCE</t>
        </is>
      </c>
      <c r="U51" s="8" t="inlineStr">
        <is>
          <t>P43</t>
        </is>
      </c>
    </row>
    <row r="52">
      <c r="A52" s="6" t="inlineStr">
        <is>
          <t>Pivô 45</t>
        </is>
      </c>
      <c r="B52" s="6" t="inlineStr">
        <is>
          <t>R11</t>
        </is>
      </c>
      <c r="C52" s="7" t="inlineStr">
        <is>
          <t>CZ 58B10 I2X</t>
        </is>
      </c>
      <c r="D52" s="8" t="inlineStr">
        <is>
          <t>MEDIA</t>
        </is>
      </c>
      <c r="E52" s="9" t="n">
        <v>123</v>
      </c>
      <c r="F52" s="10" t="n">
        <v>46338</v>
      </c>
      <c r="G52" s="11">
        <f>IF($F52="","",IF($F52&gt;DATA_REF,"",DATA_REF-$F52))</f>
        <v/>
      </c>
      <c r="H52" s="11">
        <f>IF($G52="","",MAX(0,$G52-'PARAMETROS'!$B$9))</f>
        <v/>
      </c>
      <c r="I52" s="12">
        <f>IF($T52="","PENDENTE",IF($G52="","(nao plantado)",IFERROR(INDEX(CURVAS_KC!$B$5:$I$224,MATCH(MIN(MAX($H52,1),220),CURVAS_KC!$A$5:$A$224,0),MATCH($T52,CURVAS_KC!$B$4:$I$4,0)),"PENDENTE")))</f>
        <v/>
      </c>
      <c r="J52" s="13">
        <f>ETO_SEM</f>
        <v/>
      </c>
      <c r="K52" s="13">
        <f>CHUVA_SEM</f>
        <v/>
      </c>
      <c r="L52" s="14">
        <f>IF(OR($I52="PENDENTE",$I52="(nao plantado)",$J52=""),"",$I52*$J52)</f>
        <v/>
      </c>
      <c r="M52" s="14">
        <f>IF($L52="","",MAX(0,$L52-N($K52)))</f>
        <v/>
      </c>
      <c r="N52" s="14">
        <f>IF($M52="","",$M52/EF_APLIC)</f>
        <v/>
      </c>
      <c r="O52" s="8" t="n"/>
      <c r="P52" s="15">
        <f>IF(OR($U52="",$O52=""),"",IFERROR(INDEX(LAMINA_HORA!$C$5:$V$114,MATCH($U52,LAMINA_HORA!$A$5:$A$114,0),MATCH($O52,LAMINA_HORA!$C$3:$V$3,0)),"?"))</f>
        <v/>
      </c>
      <c r="Q52" s="15">
        <f>IF(OR($U52="",$O52=""),"",IFERROR(INDEX(LAMINA_HORA!$W$5:$AP$114,MATCH($U52,LAMINA_HORA!$A$5:$A$114,0),MATCH($O52,LAMINA_HORA!$W$3:$AP$3,0)),"?"))</f>
        <v/>
      </c>
      <c r="R52" s="16">
        <f>IF($I52="PENDENTE","Definir Kc/classe",IF($I52="(nao plantado)","Aguardar plantio",IF($M52="","-",IF($M52&gt;=TURNO,"IRRIGAR",IF($M52&gt;=TURNO*FRAC_ACOMP,"Acompanhar","Aguardar")))))</f>
        <v/>
      </c>
      <c r="S52" s="16">
        <f>IF(OR($M52="",$M52=0),"-",IF($M52&gt;=2*TURNO,"Alta",IF($M52&gt;=TURNO,"Media","Baixa")))</f>
        <v/>
      </c>
      <c r="T52" s="17" t="inlineStr">
        <is>
          <t>SOJA_MEDIA</t>
        </is>
      </c>
      <c r="U52" s="8" t="inlineStr">
        <is>
          <t>P45</t>
        </is>
      </c>
    </row>
    <row r="53">
      <c r="A53" s="6" t="inlineStr">
        <is>
          <t>Pivô 46</t>
        </is>
      </c>
      <c r="B53" s="6" t="inlineStr">
        <is>
          <t>R11</t>
        </is>
      </c>
      <c r="C53" s="7" t="inlineStr">
        <is>
          <t>M8434 12X</t>
        </is>
      </c>
      <c r="D53" s="8" t="inlineStr">
        <is>
          <t>MEDIA</t>
        </is>
      </c>
      <c r="E53" s="9" t="n">
        <v>160</v>
      </c>
      <c r="F53" s="10" t="n">
        <v>46331</v>
      </c>
      <c r="G53" s="11">
        <f>IF($F53="","",IF($F53&gt;DATA_REF,"",DATA_REF-$F53))</f>
        <v/>
      </c>
      <c r="H53" s="11">
        <f>IF($G53="","",MAX(0,$G53-'PARAMETROS'!$B$9))</f>
        <v/>
      </c>
      <c r="I53" s="12">
        <f>IF($T53="","PENDENTE",IF($G53="","(nao plantado)",IFERROR(INDEX(CURVAS_KC!$B$5:$I$224,MATCH(MIN(MAX($H53,1),220),CURVAS_KC!$A$5:$A$224,0),MATCH($T53,CURVAS_KC!$B$4:$I$4,0)),"PENDENTE")))</f>
        <v/>
      </c>
      <c r="J53" s="13">
        <f>ETO_SEM</f>
        <v/>
      </c>
      <c r="K53" s="13">
        <f>CHUVA_SEM</f>
        <v/>
      </c>
      <c r="L53" s="14">
        <f>IF(OR($I53="PENDENTE",$I53="(nao plantado)",$J53=""),"",$I53*$J53)</f>
        <v/>
      </c>
      <c r="M53" s="14">
        <f>IF($L53="","",MAX(0,$L53-N($K53)))</f>
        <v/>
      </c>
      <c r="N53" s="14">
        <f>IF($M53="","",$M53/EF_APLIC)</f>
        <v/>
      </c>
      <c r="O53" s="8" t="n"/>
      <c r="P53" s="15">
        <f>IF(OR($U53="",$O53=""),"",IFERROR(INDEX(LAMINA_HORA!$C$5:$V$114,MATCH($U53,LAMINA_HORA!$A$5:$A$114,0),MATCH($O53,LAMINA_HORA!$C$3:$V$3,0)),"?"))</f>
        <v/>
      </c>
      <c r="Q53" s="15">
        <f>IF(OR($U53="",$O53=""),"",IFERROR(INDEX(LAMINA_HORA!$W$5:$AP$114,MATCH($U53,LAMINA_HORA!$A$5:$A$114,0),MATCH($O53,LAMINA_HORA!$W$3:$AP$3,0)),"?"))</f>
        <v/>
      </c>
      <c r="R53" s="16">
        <f>IF($I53="PENDENTE","Definir Kc/classe",IF($I53="(nao plantado)","Aguardar plantio",IF($M53="","-",IF($M53&gt;=TURNO,"IRRIGAR",IF($M53&gt;=TURNO*FRAC_ACOMP,"Acompanhar","Aguardar")))))</f>
        <v/>
      </c>
      <c r="S53" s="16">
        <f>IF(OR($M53="",$M53=0),"-",IF($M53&gt;=2*TURNO,"Alta",IF($M53&gt;=TURNO,"Media","Baixa")))</f>
        <v/>
      </c>
      <c r="T53" s="17" t="inlineStr">
        <is>
          <t>SOJA_MEDIA</t>
        </is>
      </c>
      <c r="U53" s="8" t="inlineStr">
        <is>
          <t>P46</t>
        </is>
      </c>
    </row>
    <row r="54">
      <c r="A54" s="6" t="inlineStr">
        <is>
          <t>Pivô 47</t>
        </is>
      </c>
      <c r="B54" s="6" t="inlineStr">
        <is>
          <t>R11</t>
        </is>
      </c>
      <c r="C54" s="7" t="inlineStr">
        <is>
          <t>M8434 12X</t>
        </is>
      </c>
      <c r="D54" s="8" t="inlineStr">
        <is>
          <t>MEDIA</t>
        </is>
      </c>
      <c r="E54" s="9" t="n">
        <v>160</v>
      </c>
      <c r="F54" s="10" t="n">
        <v>46312</v>
      </c>
      <c r="G54" s="11">
        <f>IF($F54="","",IF($F54&gt;DATA_REF,"",DATA_REF-$F54))</f>
        <v/>
      </c>
      <c r="H54" s="11">
        <f>IF($G54="","",MAX(0,$G54-'PARAMETROS'!$B$9))</f>
        <v/>
      </c>
      <c r="I54" s="12">
        <f>IF($T54="","PENDENTE",IF($G54="","(nao plantado)",IFERROR(INDEX(CURVAS_KC!$B$5:$I$224,MATCH(MIN(MAX($H54,1),220),CURVAS_KC!$A$5:$A$224,0),MATCH($T54,CURVAS_KC!$B$4:$I$4,0)),"PENDENTE")))</f>
        <v/>
      </c>
      <c r="J54" s="13">
        <f>ETO_SEM</f>
        <v/>
      </c>
      <c r="K54" s="13">
        <f>CHUVA_SEM</f>
        <v/>
      </c>
      <c r="L54" s="14">
        <f>IF(OR($I54="PENDENTE",$I54="(nao plantado)",$J54=""),"",$I54*$J54)</f>
        <v/>
      </c>
      <c r="M54" s="14">
        <f>IF($L54="","",MAX(0,$L54-N($K54)))</f>
        <v/>
      </c>
      <c r="N54" s="14">
        <f>IF($M54="","",$M54/EF_APLIC)</f>
        <v/>
      </c>
      <c r="O54" s="8" t="n"/>
      <c r="P54" s="15">
        <f>IF(OR($U54="",$O54=""),"",IFERROR(INDEX(LAMINA_HORA!$C$5:$V$114,MATCH($U54,LAMINA_HORA!$A$5:$A$114,0),MATCH($O54,LAMINA_HORA!$C$3:$V$3,0)),"?"))</f>
        <v/>
      </c>
      <c r="Q54" s="15">
        <f>IF(OR($U54="",$O54=""),"",IFERROR(INDEX(LAMINA_HORA!$W$5:$AP$114,MATCH($U54,LAMINA_HORA!$A$5:$A$114,0),MATCH($O54,LAMINA_HORA!$W$3:$AP$3,0)),"?"))</f>
        <v/>
      </c>
      <c r="R54" s="16">
        <f>IF($I54="PENDENTE","Definir Kc/classe",IF($I54="(nao plantado)","Aguardar plantio",IF($M54="","-",IF($M54&gt;=TURNO,"IRRIGAR",IF($M54&gt;=TURNO*FRAC_ACOMP,"Acompanhar","Aguardar")))))</f>
        <v/>
      </c>
      <c r="S54" s="16">
        <f>IF(OR($M54="",$M54=0),"-",IF($M54&gt;=2*TURNO,"Alta",IF($M54&gt;=TURNO,"Media","Baixa")))</f>
        <v/>
      </c>
      <c r="T54" s="17" t="inlineStr">
        <is>
          <t>SOJA_MEDIA</t>
        </is>
      </c>
      <c r="U54" s="8" t="inlineStr">
        <is>
          <t>P47</t>
        </is>
      </c>
    </row>
    <row r="55">
      <c r="A55" s="6" t="inlineStr">
        <is>
          <t>Pivô 48</t>
        </is>
      </c>
      <c r="B55" s="6" t="inlineStr">
        <is>
          <t>R11</t>
        </is>
      </c>
      <c r="C55" s="7" t="inlineStr">
        <is>
          <t>M8434 12X</t>
        </is>
      </c>
      <c r="D55" s="8" t="inlineStr">
        <is>
          <t>MEDIA</t>
        </is>
      </c>
      <c r="E55" s="9" t="n">
        <v>160</v>
      </c>
      <c r="F55" s="10" t="n">
        <v>46314</v>
      </c>
      <c r="G55" s="11">
        <f>IF($F55="","",IF($F55&gt;DATA_REF,"",DATA_REF-$F55))</f>
        <v/>
      </c>
      <c r="H55" s="11">
        <f>IF($G55="","",MAX(0,$G55-'PARAMETROS'!$B$9))</f>
        <v/>
      </c>
      <c r="I55" s="12">
        <f>IF($T55="","PENDENTE",IF($G55="","(nao plantado)",IFERROR(INDEX(CURVAS_KC!$B$5:$I$224,MATCH(MIN(MAX($H55,1),220),CURVAS_KC!$A$5:$A$224,0),MATCH($T55,CURVAS_KC!$B$4:$I$4,0)),"PENDENTE")))</f>
        <v/>
      </c>
      <c r="J55" s="13">
        <f>ETO_SEM</f>
        <v/>
      </c>
      <c r="K55" s="13">
        <f>CHUVA_SEM</f>
        <v/>
      </c>
      <c r="L55" s="14">
        <f>IF(OR($I55="PENDENTE",$I55="(nao plantado)",$J55=""),"",$I55*$J55)</f>
        <v/>
      </c>
      <c r="M55" s="14">
        <f>IF($L55="","",MAX(0,$L55-N($K55)))</f>
        <v/>
      </c>
      <c r="N55" s="14">
        <f>IF($M55="","",$M55/EF_APLIC)</f>
        <v/>
      </c>
      <c r="O55" s="8" t="n"/>
      <c r="P55" s="15">
        <f>IF(OR($U55="",$O55=""),"",IFERROR(INDEX(LAMINA_HORA!$C$5:$V$114,MATCH($U55,LAMINA_HORA!$A$5:$A$114,0),MATCH($O55,LAMINA_HORA!$C$3:$V$3,0)),"?"))</f>
        <v/>
      </c>
      <c r="Q55" s="15">
        <f>IF(OR($U55="",$O55=""),"",IFERROR(INDEX(LAMINA_HORA!$W$5:$AP$114,MATCH($U55,LAMINA_HORA!$A$5:$A$114,0),MATCH($O55,LAMINA_HORA!$W$3:$AP$3,0)),"?"))</f>
        <v/>
      </c>
      <c r="R55" s="16">
        <f>IF($I55="PENDENTE","Definir Kc/classe",IF($I55="(nao plantado)","Aguardar plantio",IF($M55="","-",IF($M55&gt;=TURNO,"IRRIGAR",IF($M55&gt;=TURNO*FRAC_ACOMP,"Acompanhar","Aguardar")))))</f>
        <v/>
      </c>
      <c r="S55" s="16">
        <f>IF(OR($M55="",$M55=0),"-",IF($M55&gt;=2*TURNO,"Alta",IF($M55&gt;=TURNO,"Media","Baixa")))</f>
        <v/>
      </c>
      <c r="T55" s="17" t="inlineStr">
        <is>
          <t>SOJA_MEDIA</t>
        </is>
      </c>
      <c r="U55" s="8" t="inlineStr">
        <is>
          <t>P48</t>
        </is>
      </c>
    </row>
    <row r="56">
      <c r="A56" s="6" t="inlineStr">
        <is>
          <t>Pivô 49</t>
        </is>
      </c>
      <c r="B56" s="6" t="inlineStr">
        <is>
          <t>R11</t>
        </is>
      </c>
      <c r="C56" s="7" t="inlineStr">
        <is>
          <t>M8434 12X</t>
        </is>
      </c>
      <c r="D56" s="8" t="inlineStr">
        <is>
          <t>MEDIA</t>
        </is>
      </c>
      <c r="E56" s="9" t="n">
        <v>125</v>
      </c>
      <c r="F56" s="10" t="n">
        <v>46314</v>
      </c>
      <c r="G56" s="11">
        <f>IF($F56="","",IF($F56&gt;DATA_REF,"",DATA_REF-$F56))</f>
        <v/>
      </c>
      <c r="H56" s="11">
        <f>IF($G56="","",MAX(0,$G56-'PARAMETROS'!$B$9))</f>
        <v/>
      </c>
      <c r="I56" s="12">
        <f>IF($T56="","PENDENTE",IF($G56="","(nao plantado)",IFERROR(INDEX(CURVAS_KC!$B$5:$I$224,MATCH(MIN(MAX($H56,1),220),CURVAS_KC!$A$5:$A$224,0),MATCH($T56,CURVAS_KC!$B$4:$I$4,0)),"PENDENTE")))</f>
        <v/>
      </c>
      <c r="J56" s="13">
        <f>ETO_SEM</f>
        <v/>
      </c>
      <c r="K56" s="13">
        <f>CHUVA_SEM</f>
        <v/>
      </c>
      <c r="L56" s="14">
        <f>IF(OR($I56="PENDENTE",$I56="(nao plantado)",$J56=""),"",$I56*$J56)</f>
        <v/>
      </c>
      <c r="M56" s="14">
        <f>IF($L56="","",MAX(0,$L56-N($K56)))</f>
        <v/>
      </c>
      <c r="N56" s="14">
        <f>IF($M56="","",$M56/EF_APLIC)</f>
        <v/>
      </c>
      <c r="O56" s="8" t="n"/>
      <c r="P56" s="15">
        <f>IF(OR($U56="",$O56=""),"",IFERROR(INDEX(LAMINA_HORA!$C$5:$V$114,MATCH($U56,LAMINA_HORA!$A$5:$A$114,0),MATCH($O56,LAMINA_HORA!$C$3:$V$3,0)),"?"))</f>
        <v/>
      </c>
      <c r="Q56" s="15">
        <f>IF(OR($U56="",$O56=""),"",IFERROR(INDEX(LAMINA_HORA!$W$5:$AP$114,MATCH($U56,LAMINA_HORA!$A$5:$A$114,0),MATCH($O56,LAMINA_HORA!$W$3:$AP$3,0)),"?"))</f>
        <v/>
      </c>
      <c r="R56" s="16">
        <f>IF($I56="PENDENTE","Definir Kc/classe",IF($I56="(nao plantado)","Aguardar plantio",IF($M56="","-",IF($M56&gt;=TURNO,"IRRIGAR",IF($M56&gt;=TURNO*FRAC_ACOMP,"Acompanhar","Aguardar")))))</f>
        <v/>
      </c>
      <c r="S56" s="16">
        <f>IF(OR($M56="",$M56=0),"-",IF($M56&gt;=2*TURNO,"Alta",IF($M56&gt;=TURNO,"Media","Baixa")))</f>
        <v/>
      </c>
      <c r="T56" s="17" t="inlineStr">
        <is>
          <t>SOJA_MEDIA</t>
        </is>
      </c>
      <c r="U56" s="8" t="inlineStr">
        <is>
          <t>P49</t>
        </is>
      </c>
    </row>
    <row r="57">
      <c r="A57" s="6" t="inlineStr">
        <is>
          <t>Pivô 52</t>
        </is>
      </c>
      <c r="B57" s="6" t="inlineStr">
        <is>
          <t>R12</t>
        </is>
      </c>
      <c r="C57" s="7" t="inlineStr">
        <is>
          <t>M8434 12X</t>
        </is>
      </c>
      <c r="D57" s="8" t="inlineStr">
        <is>
          <t>MEDIA</t>
        </is>
      </c>
      <c r="E57" s="9" t="n">
        <v>160</v>
      </c>
      <c r="F57" s="10" t="n">
        <v>46331</v>
      </c>
      <c r="G57" s="11">
        <f>IF($F57="","",IF($F57&gt;DATA_REF,"",DATA_REF-$F57))</f>
        <v/>
      </c>
      <c r="H57" s="11">
        <f>IF($G57="","",MAX(0,$G57-'PARAMETROS'!$B$9))</f>
        <v/>
      </c>
      <c r="I57" s="12">
        <f>IF($T57="","PENDENTE",IF($G57="","(nao plantado)",IFERROR(INDEX(CURVAS_KC!$B$5:$I$224,MATCH(MIN(MAX($H57,1),220),CURVAS_KC!$A$5:$A$224,0),MATCH($T57,CURVAS_KC!$B$4:$I$4,0)),"PENDENTE")))</f>
        <v/>
      </c>
      <c r="J57" s="13">
        <f>ETO_SEM</f>
        <v/>
      </c>
      <c r="K57" s="13">
        <f>CHUVA_SEM</f>
        <v/>
      </c>
      <c r="L57" s="14">
        <f>IF(OR($I57="PENDENTE",$I57="(nao plantado)",$J57=""),"",$I57*$J57)</f>
        <v/>
      </c>
      <c r="M57" s="14">
        <f>IF($L57="","",MAX(0,$L57-N($K57)))</f>
        <v/>
      </c>
      <c r="N57" s="14">
        <f>IF($M57="","",$M57/EF_APLIC)</f>
        <v/>
      </c>
      <c r="O57" s="8" t="n"/>
      <c r="P57" s="15">
        <f>IF(OR($U57="",$O57=""),"",IFERROR(INDEX(LAMINA_HORA!$C$5:$V$114,MATCH($U57,LAMINA_HORA!$A$5:$A$114,0),MATCH($O57,LAMINA_HORA!$C$3:$V$3,0)),"?"))</f>
        <v/>
      </c>
      <c r="Q57" s="15">
        <f>IF(OR($U57="",$O57=""),"",IFERROR(INDEX(LAMINA_HORA!$W$5:$AP$114,MATCH($U57,LAMINA_HORA!$A$5:$A$114,0),MATCH($O57,LAMINA_HORA!$W$3:$AP$3,0)),"?"))</f>
        <v/>
      </c>
      <c r="R57" s="16">
        <f>IF($I57="PENDENTE","Definir Kc/classe",IF($I57="(nao plantado)","Aguardar plantio",IF($M57="","-",IF($M57&gt;=TURNO,"IRRIGAR",IF($M57&gt;=TURNO*FRAC_ACOMP,"Acompanhar","Aguardar")))))</f>
        <v/>
      </c>
      <c r="S57" s="16">
        <f>IF(OR($M57="",$M57=0),"-",IF($M57&gt;=2*TURNO,"Alta",IF($M57&gt;=TURNO,"Media","Baixa")))</f>
        <v/>
      </c>
      <c r="T57" s="17" t="inlineStr">
        <is>
          <t>SOJA_MEDIA</t>
        </is>
      </c>
      <c r="U57" s="8" t="inlineStr">
        <is>
          <t>P52</t>
        </is>
      </c>
    </row>
    <row r="58">
      <c r="A58" s="6" t="inlineStr">
        <is>
          <t>Pivô 73</t>
        </is>
      </c>
      <c r="B58" s="6" t="inlineStr">
        <is>
          <t>R12</t>
        </is>
      </c>
      <c r="C58" s="7" t="inlineStr">
        <is>
          <t>ATAQUE I2X</t>
        </is>
      </c>
      <c r="D58" s="8" t="inlineStr">
        <is>
          <t>TARDIA</t>
        </is>
      </c>
      <c r="E58" s="9" t="n">
        <v>160</v>
      </c>
      <c r="F58" s="10" t="n">
        <v>46296</v>
      </c>
      <c r="G58" s="11">
        <f>IF($F58="","",IF($F58&gt;DATA_REF,"",DATA_REF-$F58))</f>
        <v/>
      </c>
      <c r="H58" s="11">
        <f>IF($G58="","",MAX(0,$G58-'PARAMETROS'!$B$9))</f>
        <v/>
      </c>
      <c r="I58" s="12">
        <f>IF($T58="","PENDENTE",IF($G58="","(nao plantado)",IFERROR(INDEX(CURVAS_KC!$B$5:$I$224,MATCH(MIN(MAX($H58,1),220),CURVAS_KC!$A$5:$A$224,0),MATCH($T58,CURVAS_KC!$B$4:$I$4,0)),"PENDENTE")))</f>
        <v/>
      </c>
      <c r="J58" s="13">
        <f>ETO_SEM</f>
        <v/>
      </c>
      <c r="K58" s="13">
        <f>CHUVA_SEM</f>
        <v/>
      </c>
      <c r="L58" s="14">
        <f>IF(OR($I58="PENDENTE",$I58="(nao plantado)",$J58=""),"",$I58*$J58)</f>
        <v/>
      </c>
      <c r="M58" s="14">
        <f>IF($L58="","",MAX(0,$L58-N($K58)))</f>
        <v/>
      </c>
      <c r="N58" s="14">
        <f>IF($M58="","",$M58/EF_APLIC)</f>
        <v/>
      </c>
      <c r="O58" s="8" t="n"/>
      <c r="P58" s="15">
        <f>IF(OR($U58="",$O58=""),"",IFERROR(INDEX(LAMINA_HORA!$C$5:$V$114,MATCH($U58,LAMINA_HORA!$A$5:$A$114,0),MATCH($O58,LAMINA_HORA!$C$3:$V$3,0)),"?"))</f>
        <v/>
      </c>
      <c r="Q58" s="15">
        <f>IF(OR($U58="",$O58=""),"",IFERROR(INDEX(LAMINA_HORA!$W$5:$AP$114,MATCH($U58,LAMINA_HORA!$A$5:$A$114,0),MATCH($O58,LAMINA_HORA!$W$3:$AP$3,0)),"?"))</f>
        <v/>
      </c>
      <c r="R58" s="16">
        <f>IF($I58="PENDENTE","Definir Kc/classe",IF($I58="(nao plantado)","Aguardar plantio",IF($M58="","-",IF($M58&gt;=TURNO,"IRRIGAR",IF($M58&gt;=TURNO*FRAC_ACOMP,"Acompanhar","Aguardar")))))</f>
        <v/>
      </c>
      <c r="S58" s="16">
        <f>IF(OR($M58="",$M58=0),"-",IF($M58&gt;=2*TURNO,"Alta",IF($M58&gt;=TURNO,"Media","Baixa")))</f>
        <v/>
      </c>
      <c r="T58" s="17" t="inlineStr">
        <is>
          <t>SOJA_TARDIA</t>
        </is>
      </c>
      <c r="U58" s="8" t="inlineStr">
        <is>
          <t>P73</t>
        </is>
      </c>
    </row>
    <row r="60">
      <c r="A60" s="5" t="inlineStr">
        <is>
          <t>Modulo 3  -  19 pivos</t>
        </is>
      </c>
    </row>
    <row r="61">
      <c r="A61" s="6" t="inlineStr">
        <is>
          <t>Pivô 44</t>
        </is>
      </c>
      <c r="B61" s="6" t="inlineStr">
        <is>
          <t>R13</t>
        </is>
      </c>
      <c r="C61" s="7" t="inlineStr">
        <is>
          <t>NEO 761 I2X</t>
        </is>
      </c>
      <c r="D61" s="8" t="inlineStr">
        <is>
          <t>PRECOCE</t>
        </is>
      </c>
      <c r="E61" s="9" t="n">
        <v>75</v>
      </c>
      <c r="F61" s="10" t="n">
        <v>46296</v>
      </c>
      <c r="G61" s="11">
        <f>IF($F61="","",IF($F61&gt;DATA_REF,"",DATA_REF-$F61))</f>
        <v/>
      </c>
      <c r="H61" s="11">
        <f>IF($G61="","",MAX(0,$G61-'PARAMETROS'!$B$9))</f>
        <v/>
      </c>
      <c r="I61" s="12">
        <f>IF($T61="","PENDENTE",IF($G61="","(nao plantado)",IFERROR(INDEX(CURVAS_KC!$B$5:$I$224,MATCH(MIN(MAX($H61,1),220),CURVAS_KC!$A$5:$A$224,0),MATCH($T61,CURVAS_KC!$B$4:$I$4,0)),"PENDENTE")))</f>
        <v/>
      </c>
      <c r="J61" s="13">
        <f>ETO_SEM</f>
        <v/>
      </c>
      <c r="K61" s="13">
        <f>CHUVA_SEM</f>
        <v/>
      </c>
      <c r="L61" s="14">
        <f>IF(OR($I61="PENDENTE",$I61="(nao plantado)",$J61=""),"",$I61*$J61)</f>
        <v/>
      </c>
      <c r="M61" s="14">
        <f>IF($L61="","",MAX(0,$L61-N($K61)))</f>
        <v/>
      </c>
      <c r="N61" s="14">
        <f>IF($M61="","",$M61/EF_APLIC)</f>
        <v/>
      </c>
      <c r="O61" s="8" t="n"/>
      <c r="P61" s="15">
        <f>IF(OR($U61="",$O61=""),"",IFERROR(INDEX(LAMINA_HORA!$C$5:$V$114,MATCH($U61,LAMINA_HORA!$A$5:$A$114,0),MATCH($O61,LAMINA_HORA!$C$3:$V$3,0)),"?"))</f>
        <v/>
      </c>
      <c r="Q61" s="15">
        <f>IF(OR($U61="",$O61=""),"",IFERROR(INDEX(LAMINA_HORA!$W$5:$AP$114,MATCH($U61,LAMINA_HORA!$A$5:$A$114,0),MATCH($O61,LAMINA_HORA!$W$3:$AP$3,0)),"?"))</f>
        <v/>
      </c>
      <c r="R61" s="16">
        <f>IF($I61="PENDENTE","Definir Kc/classe",IF($I61="(nao plantado)","Aguardar plantio",IF($M61="","-",IF($M61&gt;=TURNO,"IRRIGAR",IF($M61&gt;=TURNO*FRAC_ACOMP,"Acompanhar","Aguardar")))))</f>
        <v/>
      </c>
      <c r="S61" s="16">
        <f>IF(OR($M61="",$M61=0),"-",IF($M61&gt;=2*TURNO,"Alta",IF($M61&gt;=TURNO,"Media","Baixa")))</f>
        <v/>
      </c>
      <c r="T61" s="17" t="inlineStr">
        <is>
          <t>SOJA_PRECOCE</t>
        </is>
      </c>
      <c r="U61" s="8" t="inlineStr">
        <is>
          <t>P44</t>
        </is>
      </c>
    </row>
    <row r="62">
      <c r="A62" s="6" t="inlineStr">
        <is>
          <t>Pivô 50</t>
        </is>
      </c>
      <c r="B62" s="6" t="inlineStr">
        <is>
          <t>R14</t>
        </is>
      </c>
      <c r="C62" s="7" t="inlineStr">
        <is>
          <t>CZ 48B18 IPRO</t>
        </is>
      </c>
      <c r="D62" s="8" t="inlineStr">
        <is>
          <t>MEDIA</t>
        </is>
      </c>
      <c r="E62" s="9" t="n">
        <v>120</v>
      </c>
      <c r="F62" s="10" t="n">
        <v>46352</v>
      </c>
      <c r="G62" s="11">
        <f>IF($F62="","",IF($F62&gt;DATA_REF,"",DATA_REF-$F62))</f>
        <v/>
      </c>
      <c r="H62" s="11">
        <f>IF($G62="","",MAX(0,$G62-'PARAMETROS'!$B$9))</f>
        <v/>
      </c>
      <c r="I62" s="12">
        <f>IF($T62="","PENDENTE",IF($G62="","(nao plantado)",IFERROR(INDEX(CURVAS_KC!$B$5:$I$224,MATCH(MIN(MAX($H62,1),220),CURVAS_KC!$A$5:$A$224,0),MATCH($T62,CURVAS_KC!$B$4:$I$4,0)),"PENDENTE")))</f>
        <v/>
      </c>
      <c r="J62" s="13">
        <f>ETO_SEM</f>
        <v/>
      </c>
      <c r="K62" s="13">
        <f>CHUVA_SEM</f>
        <v/>
      </c>
      <c r="L62" s="14">
        <f>IF(OR($I62="PENDENTE",$I62="(nao plantado)",$J62=""),"",$I62*$J62)</f>
        <v/>
      </c>
      <c r="M62" s="14">
        <f>IF($L62="","",MAX(0,$L62-N($K62)))</f>
        <v/>
      </c>
      <c r="N62" s="14">
        <f>IF($M62="","",$M62/EF_APLIC)</f>
        <v/>
      </c>
      <c r="O62" s="8" t="n"/>
      <c r="P62" s="15">
        <f>IF(OR($U62="",$O62=""),"",IFERROR(INDEX(LAMINA_HORA!$C$5:$V$114,MATCH($U62,LAMINA_HORA!$A$5:$A$114,0),MATCH($O62,LAMINA_HORA!$C$3:$V$3,0)),"?"))</f>
        <v/>
      </c>
      <c r="Q62" s="15">
        <f>IF(OR($U62="",$O62=""),"",IFERROR(INDEX(LAMINA_HORA!$W$5:$AP$114,MATCH($U62,LAMINA_HORA!$A$5:$A$114,0),MATCH($O62,LAMINA_HORA!$W$3:$AP$3,0)),"?"))</f>
        <v/>
      </c>
      <c r="R62" s="16">
        <f>IF($I62="PENDENTE","Definir Kc/classe",IF($I62="(nao plantado)","Aguardar plantio",IF($M62="","-",IF($M62&gt;=TURNO,"IRRIGAR",IF($M62&gt;=TURNO*FRAC_ACOMP,"Acompanhar","Aguardar")))))</f>
        <v/>
      </c>
      <c r="S62" s="16">
        <f>IF(OR($M62="",$M62=0),"-",IF($M62&gt;=2*TURNO,"Alta",IF($M62&gt;=TURNO,"Media","Baixa")))</f>
        <v/>
      </c>
      <c r="T62" s="17" t="inlineStr">
        <is>
          <t>SOJA_MEDIA</t>
        </is>
      </c>
      <c r="U62" s="8" t="inlineStr">
        <is>
          <t>P50</t>
        </is>
      </c>
    </row>
    <row r="63">
      <c r="A63" s="6" t="inlineStr">
        <is>
          <t>Pivô 51</t>
        </is>
      </c>
      <c r="B63" s="6" t="inlineStr">
        <is>
          <t>R14</t>
        </is>
      </c>
      <c r="C63" s="7" t="inlineStr">
        <is>
          <t>CZ 48B18 IPRO</t>
        </is>
      </c>
      <c r="D63" s="8" t="inlineStr">
        <is>
          <t>MEDIA</t>
        </is>
      </c>
      <c r="E63" s="9" t="n">
        <v>120</v>
      </c>
      <c r="F63" s="10" t="n">
        <v>46316</v>
      </c>
      <c r="G63" s="11">
        <f>IF($F63="","",IF($F63&gt;DATA_REF,"",DATA_REF-$F63))</f>
        <v/>
      </c>
      <c r="H63" s="11">
        <f>IF($G63="","",MAX(0,$G63-'PARAMETROS'!$B$9))</f>
        <v/>
      </c>
      <c r="I63" s="12">
        <f>IF($T63="","PENDENTE",IF($G63="","(nao plantado)",IFERROR(INDEX(CURVAS_KC!$B$5:$I$224,MATCH(MIN(MAX($H63,1),220),CURVAS_KC!$A$5:$A$224,0),MATCH($T63,CURVAS_KC!$B$4:$I$4,0)),"PENDENTE")))</f>
        <v/>
      </c>
      <c r="J63" s="13">
        <f>ETO_SEM</f>
        <v/>
      </c>
      <c r="K63" s="13">
        <f>CHUVA_SEM</f>
        <v/>
      </c>
      <c r="L63" s="14">
        <f>IF(OR($I63="PENDENTE",$I63="(nao plantado)",$J63=""),"",$I63*$J63)</f>
        <v/>
      </c>
      <c r="M63" s="14">
        <f>IF($L63="","",MAX(0,$L63-N($K63)))</f>
        <v/>
      </c>
      <c r="N63" s="14">
        <f>IF($M63="","",$M63/EF_APLIC)</f>
        <v/>
      </c>
      <c r="O63" s="8" t="n"/>
      <c r="P63" s="15">
        <f>IF(OR($U63="",$O63=""),"",IFERROR(INDEX(LAMINA_HORA!$C$5:$V$114,MATCH($U63,LAMINA_HORA!$A$5:$A$114,0),MATCH($O63,LAMINA_HORA!$C$3:$V$3,0)),"?"))</f>
        <v/>
      </c>
      <c r="Q63" s="15">
        <f>IF(OR($U63="",$O63=""),"",IFERROR(INDEX(LAMINA_HORA!$W$5:$AP$114,MATCH($U63,LAMINA_HORA!$A$5:$A$114,0),MATCH($O63,LAMINA_HORA!$W$3:$AP$3,0)),"?"))</f>
        <v/>
      </c>
      <c r="R63" s="16">
        <f>IF($I63="PENDENTE","Definir Kc/classe",IF($I63="(nao plantado)","Aguardar plantio",IF($M63="","-",IF($M63&gt;=TURNO,"IRRIGAR",IF($M63&gt;=TURNO*FRAC_ACOMP,"Acompanhar","Aguardar")))))</f>
        <v/>
      </c>
      <c r="S63" s="16">
        <f>IF(OR($M63="",$M63=0),"-",IF($M63&gt;=2*TURNO,"Alta",IF($M63&gt;=TURNO,"Media","Baixa")))</f>
        <v/>
      </c>
      <c r="T63" s="17" t="inlineStr">
        <is>
          <t>SOJA_MEDIA</t>
        </is>
      </c>
      <c r="U63" s="8" t="inlineStr">
        <is>
          <t>P51</t>
        </is>
      </c>
    </row>
    <row r="64">
      <c r="A64" s="6" t="inlineStr">
        <is>
          <t>Pivô 53</t>
        </is>
      </c>
      <c r="B64" s="6" t="inlineStr">
        <is>
          <t>R13</t>
        </is>
      </c>
      <c r="C64" s="7" t="inlineStr">
        <is>
          <t>CZ 48B18 IPRO</t>
        </is>
      </c>
      <c r="D64" s="8" t="inlineStr">
        <is>
          <t>MEDIA</t>
        </is>
      </c>
      <c r="E64" s="9" t="n">
        <v>75</v>
      </c>
      <c r="F64" s="10" t="n">
        <v>46317</v>
      </c>
      <c r="G64" s="11">
        <f>IF($F64="","",IF($F64&gt;DATA_REF,"",DATA_REF-$F64))</f>
        <v/>
      </c>
      <c r="H64" s="11">
        <f>IF($G64="","",MAX(0,$G64-'PARAMETROS'!$B$9))</f>
        <v/>
      </c>
      <c r="I64" s="12">
        <f>IF($T64="","PENDENTE",IF($G64="","(nao plantado)",IFERROR(INDEX(CURVAS_KC!$B$5:$I$224,MATCH(MIN(MAX($H64,1),220),CURVAS_KC!$A$5:$A$224,0),MATCH($T64,CURVAS_KC!$B$4:$I$4,0)),"PENDENTE")))</f>
        <v/>
      </c>
      <c r="J64" s="13">
        <f>ETO_SEM</f>
        <v/>
      </c>
      <c r="K64" s="13">
        <f>CHUVA_SEM</f>
        <v/>
      </c>
      <c r="L64" s="14">
        <f>IF(OR($I64="PENDENTE",$I64="(nao plantado)",$J64=""),"",$I64*$J64)</f>
        <v/>
      </c>
      <c r="M64" s="14">
        <f>IF($L64="","",MAX(0,$L64-N($K64)))</f>
        <v/>
      </c>
      <c r="N64" s="14">
        <f>IF($M64="","",$M64/EF_APLIC)</f>
        <v/>
      </c>
      <c r="O64" s="8" t="n"/>
      <c r="P64" s="15">
        <f>IF(OR($U64="",$O64=""),"",IFERROR(INDEX(LAMINA_HORA!$C$5:$V$114,MATCH($U64,LAMINA_HORA!$A$5:$A$114,0),MATCH($O64,LAMINA_HORA!$C$3:$V$3,0)),"?"))</f>
        <v/>
      </c>
      <c r="Q64" s="15">
        <f>IF(OR($U64="",$O64=""),"",IFERROR(INDEX(LAMINA_HORA!$W$5:$AP$114,MATCH($U64,LAMINA_HORA!$A$5:$A$114,0),MATCH($O64,LAMINA_HORA!$W$3:$AP$3,0)),"?"))</f>
        <v/>
      </c>
      <c r="R64" s="16">
        <f>IF($I64="PENDENTE","Definir Kc/classe",IF($I64="(nao plantado)","Aguardar plantio",IF($M64="","-",IF($M64&gt;=TURNO,"IRRIGAR",IF($M64&gt;=TURNO*FRAC_ACOMP,"Acompanhar","Aguardar")))))</f>
        <v/>
      </c>
      <c r="S64" s="16">
        <f>IF(OR($M64="",$M64=0),"-",IF($M64&gt;=2*TURNO,"Alta",IF($M64&gt;=TURNO,"Media","Baixa")))</f>
        <v/>
      </c>
      <c r="T64" s="17" t="inlineStr">
        <is>
          <t>SOJA_MEDIA</t>
        </is>
      </c>
      <c r="U64" s="8" t="inlineStr">
        <is>
          <t>P53</t>
        </is>
      </c>
    </row>
    <row r="65">
      <c r="A65" s="6" t="inlineStr">
        <is>
          <t>Pivô 54</t>
        </is>
      </c>
      <c r="B65" s="6" t="inlineStr">
        <is>
          <t>R13</t>
        </is>
      </c>
      <c r="C65" s="7" t="inlineStr">
        <is>
          <t>CZ 48B18 IPRO</t>
        </is>
      </c>
      <c r="D65" s="8" t="inlineStr">
        <is>
          <t>MEDIA</t>
        </is>
      </c>
      <c r="E65" s="9" t="n">
        <v>120</v>
      </c>
      <c r="F65" s="10" t="n">
        <v>46316</v>
      </c>
      <c r="G65" s="11">
        <f>IF($F65="","",IF($F65&gt;DATA_REF,"",DATA_REF-$F65))</f>
        <v/>
      </c>
      <c r="H65" s="11">
        <f>IF($G65="","",MAX(0,$G65-'PARAMETROS'!$B$9))</f>
        <v/>
      </c>
      <c r="I65" s="12">
        <f>IF($T65="","PENDENTE",IF($G65="","(nao plantado)",IFERROR(INDEX(CURVAS_KC!$B$5:$I$224,MATCH(MIN(MAX($H65,1),220),CURVAS_KC!$A$5:$A$224,0),MATCH($T65,CURVAS_KC!$B$4:$I$4,0)),"PENDENTE")))</f>
        <v/>
      </c>
      <c r="J65" s="13">
        <f>ETO_SEM</f>
        <v/>
      </c>
      <c r="K65" s="13">
        <f>CHUVA_SEM</f>
        <v/>
      </c>
      <c r="L65" s="14">
        <f>IF(OR($I65="PENDENTE",$I65="(nao plantado)",$J65=""),"",$I65*$J65)</f>
        <v/>
      </c>
      <c r="M65" s="14">
        <f>IF($L65="","",MAX(0,$L65-N($K65)))</f>
        <v/>
      </c>
      <c r="N65" s="14">
        <f>IF($M65="","",$M65/EF_APLIC)</f>
        <v/>
      </c>
      <c r="O65" s="8" t="n"/>
      <c r="P65" s="15">
        <f>IF(OR($U65="",$O65=""),"",IFERROR(INDEX(LAMINA_HORA!$C$5:$V$114,MATCH($U65,LAMINA_HORA!$A$5:$A$114,0),MATCH($O65,LAMINA_HORA!$C$3:$V$3,0)),"?"))</f>
        <v/>
      </c>
      <c r="Q65" s="15">
        <f>IF(OR($U65="",$O65=""),"",IFERROR(INDEX(LAMINA_HORA!$W$5:$AP$114,MATCH($U65,LAMINA_HORA!$A$5:$A$114,0),MATCH($O65,LAMINA_HORA!$W$3:$AP$3,0)),"?"))</f>
        <v/>
      </c>
      <c r="R65" s="16">
        <f>IF($I65="PENDENTE","Definir Kc/classe",IF($I65="(nao plantado)","Aguardar plantio",IF($M65="","-",IF($M65&gt;=TURNO,"IRRIGAR",IF($M65&gt;=TURNO*FRAC_ACOMP,"Acompanhar","Aguardar")))))</f>
        <v/>
      </c>
      <c r="S65" s="16">
        <f>IF(OR($M65="",$M65=0),"-",IF($M65&gt;=2*TURNO,"Alta",IF($M65&gt;=TURNO,"Media","Baixa")))</f>
        <v/>
      </c>
      <c r="T65" s="17" t="inlineStr">
        <is>
          <t>SOJA_MEDIA</t>
        </is>
      </c>
      <c r="U65" s="8" t="inlineStr">
        <is>
          <t>P54</t>
        </is>
      </c>
    </row>
    <row r="66">
      <c r="A66" s="6" t="inlineStr">
        <is>
          <t>Pivô 55</t>
        </is>
      </c>
      <c r="B66" s="6" t="inlineStr">
        <is>
          <t>R13</t>
        </is>
      </c>
      <c r="C66" s="7" t="inlineStr">
        <is>
          <t>CZ 48B18 IPRO</t>
        </is>
      </c>
      <c r="D66" s="8" t="inlineStr">
        <is>
          <t>MEDIA</t>
        </is>
      </c>
      <c r="E66" s="9" t="n">
        <v>150</v>
      </c>
      <c r="F66" s="10" t="n">
        <v>46318</v>
      </c>
      <c r="G66" s="11">
        <f>IF($F66="","",IF($F66&gt;DATA_REF,"",DATA_REF-$F66))</f>
        <v/>
      </c>
      <c r="H66" s="11">
        <f>IF($G66="","",MAX(0,$G66-'PARAMETROS'!$B$9))</f>
        <v/>
      </c>
      <c r="I66" s="12">
        <f>IF($T66="","PENDENTE",IF($G66="","(nao plantado)",IFERROR(INDEX(CURVAS_KC!$B$5:$I$224,MATCH(MIN(MAX($H66,1),220),CURVAS_KC!$A$5:$A$224,0),MATCH($T66,CURVAS_KC!$B$4:$I$4,0)),"PENDENTE")))</f>
        <v/>
      </c>
      <c r="J66" s="13">
        <f>ETO_SEM</f>
        <v/>
      </c>
      <c r="K66" s="13">
        <f>CHUVA_SEM</f>
        <v/>
      </c>
      <c r="L66" s="14">
        <f>IF(OR($I66="PENDENTE",$I66="(nao plantado)",$J66=""),"",$I66*$J66)</f>
        <v/>
      </c>
      <c r="M66" s="14">
        <f>IF($L66="","",MAX(0,$L66-N($K66)))</f>
        <v/>
      </c>
      <c r="N66" s="14">
        <f>IF($M66="","",$M66/EF_APLIC)</f>
        <v/>
      </c>
      <c r="O66" s="8" t="n"/>
      <c r="P66" s="15">
        <f>IF(OR($U66="",$O66=""),"",IFERROR(INDEX(LAMINA_HORA!$C$5:$V$114,MATCH($U66,LAMINA_HORA!$A$5:$A$114,0),MATCH($O66,LAMINA_HORA!$C$3:$V$3,0)),"?"))</f>
        <v/>
      </c>
      <c r="Q66" s="15">
        <f>IF(OR($U66="",$O66=""),"",IFERROR(INDEX(LAMINA_HORA!$W$5:$AP$114,MATCH($U66,LAMINA_HORA!$A$5:$A$114,0),MATCH($O66,LAMINA_HORA!$W$3:$AP$3,0)),"?"))</f>
        <v/>
      </c>
      <c r="R66" s="16">
        <f>IF($I66="PENDENTE","Definir Kc/classe",IF($I66="(nao plantado)","Aguardar plantio",IF($M66="","-",IF($M66&gt;=TURNO,"IRRIGAR",IF($M66&gt;=TURNO*FRAC_ACOMP,"Acompanhar","Aguardar")))))</f>
        <v/>
      </c>
      <c r="S66" s="16">
        <f>IF(OR($M66="",$M66=0),"-",IF($M66&gt;=2*TURNO,"Alta",IF($M66&gt;=TURNO,"Media","Baixa")))</f>
        <v/>
      </c>
      <c r="T66" s="17" t="inlineStr">
        <is>
          <t>SOJA_MEDIA</t>
        </is>
      </c>
      <c r="U66" s="8" t="inlineStr">
        <is>
          <t>P55</t>
        </is>
      </c>
    </row>
    <row r="67">
      <c r="A67" s="6" t="inlineStr">
        <is>
          <t>Pivô 56</t>
        </is>
      </c>
      <c r="B67" s="6" t="inlineStr">
        <is>
          <t>R14</t>
        </is>
      </c>
      <c r="C67" s="7" t="inlineStr">
        <is>
          <t>CZ 48B18 IPRO</t>
        </is>
      </c>
      <c r="D67" s="8" t="inlineStr">
        <is>
          <t>MEDIA</t>
        </is>
      </c>
      <c r="E67" s="9" t="n">
        <v>55</v>
      </c>
      <c r="F67" s="10" t="n">
        <v>46315</v>
      </c>
      <c r="G67" s="11">
        <f>IF($F67="","",IF($F67&gt;DATA_REF,"",DATA_REF-$F67))</f>
        <v/>
      </c>
      <c r="H67" s="11">
        <f>IF($G67="","",MAX(0,$G67-'PARAMETROS'!$B$9))</f>
        <v/>
      </c>
      <c r="I67" s="12">
        <f>IF($T67="","PENDENTE",IF($G67="","(nao plantado)",IFERROR(INDEX(CURVAS_KC!$B$5:$I$224,MATCH(MIN(MAX($H67,1),220),CURVAS_KC!$A$5:$A$224,0),MATCH($T67,CURVAS_KC!$B$4:$I$4,0)),"PENDENTE")))</f>
        <v/>
      </c>
      <c r="J67" s="13">
        <f>ETO_SEM</f>
        <v/>
      </c>
      <c r="K67" s="13">
        <f>CHUVA_SEM</f>
        <v/>
      </c>
      <c r="L67" s="14">
        <f>IF(OR($I67="PENDENTE",$I67="(nao plantado)",$J67=""),"",$I67*$J67)</f>
        <v/>
      </c>
      <c r="M67" s="14">
        <f>IF($L67="","",MAX(0,$L67-N($K67)))</f>
        <v/>
      </c>
      <c r="N67" s="14">
        <f>IF($M67="","",$M67/EF_APLIC)</f>
        <v/>
      </c>
      <c r="O67" s="8" t="n"/>
      <c r="P67" s="15">
        <f>IF(OR($U67="",$O67=""),"",IFERROR(INDEX(LAMINA_HORA!$C$5:$V$114,MATCH($U67,LAMINA_HORA!$A$5:$A$114,0),MATCH($O67,LAMINA_HORA!$C$3:$V$3,0)),"?"))</f>
        <v/>
      </c>
      <c r="Q67" s="15">
        <f>IF(OR($U67="",$O67=""),"",IFERROR(INDEX(LAMINA_HORA!$W$5:$AP$114,MATCH($U67,LAMINA_HORA!$A$5:$A$114,0),MATCH($O67,LAMINA_HORA!$W$3:$AP$3,0)),"?"))</f>
        <v/>
      </c>
      <c r="R67" s="16">
        <f>IF($I67="PENDENTE","Definir Kc/classe",IF($I67="(nao plantado)","Aguardar plantio",IF($M67="","-",IF($M67&gt;=TURNO,"IRRIGAR",IF($M67&gt;=TURNO*FRAC_ACOMP,"Acompanhar","Aguardar")))))</f>
        <v/>
      </c>
      <c r="S67" s="16">
        <f>IF(OR($M67="",$M67=0),"-",IF($M67&gt;=2*TURNO,"Alta",IF($M67&gt;=TURNO,"Media","Baixa")))</f>
        <v/>
      </c>
      <c r="T67" s="17" t="inlineStr">
        <is>
          <t>SOJA_MEDIA</t>
        </is>
      </c>
      <c r="U67" s="8" t="inlineStr">
        <is>
          <t>P56</t>
        </is>
      </c>
    </row>
    <row r="68">
      <c r="A68" s="6" t="inlineStr">
        <is>
          <t>Pivô 57</t>
        </is>
      </c>
      <c r="B68" s="6" t="inlineStr">
        <is>
          <t>R15</t>
        </is>
      </c>
      <c r="C68" s="7" t="inlineStr">
        <is>
          <t>BMX Olimpo IPRO</t>
        </is>
      </c>
      <c r="D68" s="8" t="inlineStr">
        <is>
          <t>MEDIA</t>
        </is>
      </c>
      <c r="E68" s="9" t="n">
        <v>150</v>
      </c>
      <c r="F68" s="10" t="n">
        <v>46354</v>
      </c>
      <c r="G68" s="11">
        <f>IF($F68="","",IF($F68&gt;DATA_REF,"",DATA_REF-$F68))</f>
        <v/>
      </c>
      <c r="H68" s="11">
        <f>IF($G68="","",MAX(0,$G68-'PARAMETROS'!$B$9))</f>
        <v/>
      </c>
      <c r="I68" s="12">
        <f>IF($T68="","PENDENTE",IF($G68="","(nao plantado)",IFERROR(INDEX(CURVAS_KC!$B$5:$I$224,MATCH(MIN(MAX($H68,1),220),CURVAS_KC!$A$5:$A$224,0),MATCH($T68,CURVAS_KC!$B$4:$I$4,0)),"PENDENTE")))</f>
        <v/>
      </c>
      <c r="J68" s="13">
        <f>ETO_SEM</f>
        <v/>
      </c>
      <c r="K68" s="13">
        <f>CHUVA_SEM</f>
        <v/>
      </c>
      <c r="L68" s="14">
        <f>IF(OR($I68="PENDENTE",$I68="(nao plantado)",$J68=""),"",$I68*$J68)</f>
        <v/>
      </c>
      <c r="M68" s="14">
        <f>IF($L68="","",MAX(0,$L68-N($K68)))</f>
        <v/>
      </c>
      <c r="N68" s="14">
        <f>IF($M68="","",$M68/EF_APLIC)</f>
        <v/>
      </c>
      <c r="O68" s="8" t="n"/>
      <c r="P68" s="15">
        <f>IF(OR($U68="",$O68=""),"",IFERROR(INDEX(LAMINA_HORA!$C$5:$V$114,MATCH($U68,LAMINA_HORA!$A$5:$A$114,0),MATCH($O68,LAMINA_HORA!$C$3:$V$3,0)),"?"))</f>
        <v/>
      </c>
      <c r="Q68" s="15">
        <f>IF(OR($U68="",$O68=""),"",IFERROR(INDEX(LAMINA_HORA!$W$5:$AP$114,MATCH($U68,LAMINA_HORA!$A$5:$A$114,0),MATCH($O68,LAMINA_HORA!$W$3:$AP$3,0)),"?"))</f>
        <v/>
      </c>
      <c r="R68" s="16">
        <f>IF($I68="PENDENTE","Definir Kc/classe",IF($I68="(nao plantado)","Aguardar plantio",IF($M68="","-",IF($M68&gt;=TURNO,"IRRIGAR",IF($M68&gt;=TURNO*FRAC_ACOMP,"Acompanhar","Aguardar")))))</f>
        <v/>
      </c>
      <c r="S68" s="16">
        <f>IF(OR($M68="",$M68=0),"-",IF($M68&gt;=2*TURNO,"Alta",IF($M68&gt;=TURNO,"Media","Baixa")))</f>
        <v/>
      </c>
      <c r="T68" s="17" t="inlineStr">
        <is>
          <t>SOJA_MEDIA</t>
        </is>
      </c>
      <c r="U68" s="8" t="inlineStr">
        <is>
          <t>P57</t>
        </is>
      </c>
    </row>
    <row r="69">
      <c r="A69" s="6" t="inlineStr">
        <is>
          <t>Pivô 58</t>
        </is>
      </c>
      <c r="B69" s="6" t="inlineStr">
        <is>
          <t>R15</t>
        </is>
      </c>
      <c r="C69" s="7" t="inlineStr">
        <is>
          <t>BMX Olimpo IPRO</t>
        </is>
      </c>
      <c r="D69" s="8" t="inlineStr">
        <is>
          <t>MEDIA</t>
        </is>
      </c>
      <c r="E69" s="9" t="n">
        <v>150</v>
      </c>
      <c r="F69" s="10" t="n">
        <v>46315</v>
      </c>
      <c r="G69" s="11">
        <f>IF($F69="","",IF($F69&gt;DATA_REF,"",DATA_REF-$F69))</f>
        <v/>
      </c>
      <c r="H69" s="11">
        <f>IF($G69="","",MAX(0,$G69-'PARAMETROS'!$B$9))</f>
        <v/>
      </c>
      <c r="I69" s="12">
        <f>IF($T69="","PENDENTE",IF($G69="","(nao plantado)",IFERROR(INDEX(CURVAS_KC!$B$5:$I$224,MATCH(MIN(MAX($H69,1),220),CURVAS_KC!$A$5:$A$224,0),MATCH($T69,CURVAS_KC!$B$4:$I$4,0)),"PENDENTE")))</f>
        <v/>
      </c>
      <c r="J69" s="13">
        <f>ETO_SEM</f>
        <v/>
      </c>
      <c r="K69" s="13">
        <f>CHUVA_SEM</f>
        <v/>
      </c>
      <c r="L69" s="14">
        <f>IF(OR($I69="PENDENTE",$I69="(nao plantado)",$J69=""),"",$I69*$J69)</f>
        <v/>
      </c>
      <c r="M69" s="14">
        <f>IF($L69="","",MAX(0,$L69-N($K69)))</f>
        <v/>
      </c>
      <c r="N69" s="14">
        <f>IF($M69="","",$M69/EF_APLIC)</f>
        <v/>
      </c>
      <c r="O69" s="8" t="n"/>
      <c r="P69" s="15">
        <f>IF(OR($U69="",$O69=""),"",IFERROR(INDEX(LAMINA_HORA!$C$5:$V$114,MATCH($U69,LAMINA_HORA!$A$5:$A$114,0),MATCH($O69,LAMINA_HORA!$C$3:$V$3,0)),"?"))</f>
        <v/>
      </c>
      <c r="Q69" s="15">
        <f>IF(OR($U69="",$O69=""),"",IFERROR(INDEX(LAMINA_HORA!$W$5:$AP$114,MATCH($U69,LAMINA_HORA!$A$5:$A$114,0),MATCH($O69,LAMINA_HORA!$W$3:$AP$3,0)),"?"))</f>
        <v/>
      </c>
      <c r="R69" s="16">
        <f>IF($I69="PENDENTE","Definir Kc/classe",IF($I69="(nao plantado)","Aguardar plantio",IF($M69="","-",IF($M69&gt;=TURNO,"IRRIGAR",IF($M69&gt;=TURNO*FRAC_ACOMP,"Acompanhar","Aguardar")))))</f>
        <v/>
      </c>
      <c r="S69" s="16">
        <f>IF(OR($M69="",$M69=0),"-",IF($M69&gt;=2*TURNO,"Alta",IF($M69&gt;=TURNO,"Media","Baixa")))</f>
        <v/>
      </c>
      <c r="T69" s="17" t="inlineStr">
        <is>
          <t>SOJA_MEDIA</t>
        </is>
      </c>
      <c r="U69" s="8" t="inlineStr">
        <is>
          <t>P58</t>
        </is>
      </c>
    </row>
    <row r="70">
      <c r="A70" s="6" t="inlineStr">
        <is>
          <t>Pivô 59</t>
        </is>
      </c>
      <c r="B70" s="6" t="inlineStr">
        <is>
          <t>R15</t>
        </is>
      </c>
      <c r="C70" s="7" t="inlineStr">
        <is>
          <t>BMX Olimpo IPRO</t>
        </is>
      </c>
      <c r="D70" s="8" t="inlineStr">
        <is>
          <t>MEDIA</t>
        </is>
      </c>
      <c r="E70" s="9" t="n">
        <v>143</v>
      </c>
      <c r="F70" s="10" t="n">
        <v>46354</v>
      </c>
      <c r="G70" s="11">
        <f>IF($F70="","",IF($F70&gt;DATA_REF,"",DATA_REF-$F70))</f>
        <v/>
      </c>
      <c r="H70" s="11">
        <f>IF($G70="","",MAX(0,$G70-'PARAMETROS'!$B$9))</f>
        <v/>
      </c>
      <c r="I70" s="12">
        <f>IF($T70="","PENDENTE",IF($G70="","(nao plantado)",IFERROR(INDEX(CURVAS_KC!$B$5:$I$224,MATCH(MIN(MAX($H70,1),220),CURVAS_KC!$A$5:$A$224,0),MATCH($T70,CURVAS_KC!$B$4:$I$4,0)),"PENDENTE")))</f>
        <v/>
      </c>
      <c r="J70" s="13">
        <f>ETO_SEM</f>
        <v/>
      </c>
      <c r="K70" s="13">
        <f>CHUVA_SEM</f>
        <v/>
      </c>
      <c r="L70" s="14">
        <f>IF(OR($I70="PENDENTE",$I70="(nao plantado)",$J70=""),"",$I70*$J70)</f>
        <v/>
      </c>
      <c r="M70" s="14">
        <f>IF($L70="","",MAX(0,$L70-N($K70)))</f>
        <v/>
      </c>
      <c r="N70" s="14">
        <f>IF($M70="","",$M70/EF_APLIC)</f>
        <v/>
      </c>
      <c r="O70" s="8" t="n"/>
      <c r="P70" s="15">
        <f>IF(OR($U70="",$O70=""),"",IFERROR(INDEX(LAMINA_HORA!$C$5:$V$114,MATCH($U70,LAMINA_HORA!$A$5:$A$114,0),MATCH($O70,LAMINA_HORA!$C$3:$V$3,0)),"?"))</f>
        <v/>
      </c>
      <c r="Q70" s="15">
        <f>IF(OR($U70="",$O70=""),"",IFERROR(INDEX(LAMINA_HORA!$W$5:$AP$114,MATCH($U70,LAMINA_HORA!$A$5:$A$114,0),MATCH($O70,LAMINA_HORA!$W$3:$AP$3,0)),"?"))</f>
        <v/>
      </c>
      <c r="R70" s="16">
        <f>IF($I70="PENDENTE","Definir Kc/classe",IF($I70="(nao plantado)","Aguardar plantio",IF($M70="","-",IF($M70&gt;=TURNO,"IRRIGAR",IF($M70&gt;=TURNO*FRAC_ACOMP,"Acompanhar","Aguardar")))))</f>
        <v/>
      </c>
      <c r="S70" s="16">
        <f>IF(OR($M70="",$M70=0),"-",IF($M70&gt;=2*TURNO,"Alta",IF($M70&gt;=TURNO,"Media","Baixa")))</f>
        <v/>
      </c>
      <c r="T70" s="17" t="inlineStr">
        <is>
          <t>SOJA_MEDIA</t>
        </is>
      </c>
      <c r="U70" s="8" t="inlineStr">
        <is>
          <t>P59</t>
        </is>
      </c>
    </row>
    <row r="71">
      <c r="A71" s="6" t="inlineStr">
        <is>
          <t>Pivô 60</t>
        </is>
      </c>
      <c r="B71" s="6" t="inlineStr">
        <is>
          <t>R15</t>
        </is>
      </c>
      <c r="C71" s="7" t="inlineStr">
        <is>
          <t>BMX Olimpo IPRO</t>
        </is>
      </c>
      <c r="D71" s="8" t="inlineStr">
        <is>
          <t>MEDIA</t>
        </is>
      </c>
      <c r="E71" s="9" t="n">
        <v>150</v>
      </c>
      <c r="F71" s="10" t="n">
        <v>46350</v>
      </c>
      <c r="G71" s="11">
        <f>IF($F71="","",IF($F71&gt;DATA_REF,"",DATA_REF-$F71))</f>
        <v/>
      </c>
      <c r="H71" s="11">
        <f>IF($G71="","",MAX(0,$G71-'PARAMETROS'!$B$9))</f>
        <v/>
      </c>
      <c r="I71" s="12">
        <f>IF($T71="","PENDENTE",IF($G71="","(nao plantado)",IFERROR(INDEX(CURVAS_KC!$B$5:$I$224,MATCH(MIN(MAX($H71,1),220),CURVAS_KC!$A$5:$A$224,0),MATCH($T71,CURVAS_KC!$B$4:$I$4,0)),"PENDENTE")))</f>
        <v/>
      </c>
      <c r="J71" s="13">
        <f>ETO_SEM</f>
        <v/>
      </c>
      <c r="K71" s="13">
        <f>CHUVA_SEM</f>
        <v/>
      </c>
      <c r="L71" s="14">
        <f>IF(OR($I71="PENDENTE",$I71="(nao plantado)",$J71=""),"",$I71*$J71)</f>
        <v/>
      </c>
      <c r="M71" s="14">
        <f>IF($L71="","",MAX(0,$L71-N($K71)))</f>
        <v/>
      </c>
      <c r="N71" s="14">
        <f>IF($M71="","",$M71/EF_APLIC)</f>
        <v/>
      </c>
      <c r="O71" s="8" t="n"/>
      <c r="P71" s="15">
        <f>IF(OR($U71="",$O71=""),"",IFERROR(INDEX(LAMINA_HORA!$C$5:$V$114,MATCH($U71,LAMINA_HORA!$A$5:$A$114,0),MATCH($O71,LAMINA_HORA!$C$3:$V$3,0)),"?"))</f>
        <v/>
      </c>
      <c r="Q71" s="15">
        <f>IF(OR($U71="",$O71=""),"",IFERROR(INDEX(LAMINA_HORA!$W$5:$AP$114,MATCH($U71,LAMINA_HORA!$A$5:$A$114,0),MATCH($O71,LAMINA_HORA!$W$3:$AP$3,0)),"?"))</f>
        <v/>
      </c>
      <c r="R71" s="16">
        <f>IF($I71="PENDENTE","Definir Kc/classe",IF($I71="(nao plantado)","Aguardar plantio",IF($M71="","-",IF($M71&gt;=TURNO,"IRRIGAR",IF($M71&gt;=TURNO*FRAC_ACOMP,"Acompanhar","Aguardar")))))</f>
        <v/>
      </c>
      <c r="S71" s="16">
        <f>IF(OR($M71="",$M71=0),"-",IF($M71&gt;=2*TURNO,"Alta",IF($M71&gt;=TURNO,"Media","Baixa")))</f>
        <v/>
      </c>
      <c r="T71" s="17" t="inlineStr">
        <is>
          <t>SOJA_MEDIA</t>
        </is>
      </c>
      <c r="U71" s="8" t="inlineStr">
        <is>
          <t>P60</t>
        </is>
      </c>
    </row>
    <row r="72">
      <c r="A72" s="6" t="inlineStr">
        <is>
          <t>Pivô 61</t>
        </is>
      </c>
      <c r="B72" s="6" t="inlineStr">
        <is>
          <t>R16</t>
        </is>
      </c>
      <c r="C72" s="7" t="inlineStr">
        <is>
          <t>BMX Olimpo IPRO</t>
        </is>
      </c>
      <c r="D72" s="8" t="inlineStr">
        <is>
          <t>MEDIA</t>
        </is>
      </c>
      <c r="E72" s="9" t="n">
        <v>145</v>
      </c>
      <c r="F72" s="10" t="n">
        <v>46368</v>
      </c>
      <c r="G72" s="11">
        <f>IF($F72="","",IF($F72&gt;DATA_REF,"",DATA_REF-$F72))</f>
        <v/>
      </c>
      <c r="H72" s="11">
        <f>IF($G72="","",MAX(0,$G72-'PARAMETROS'!$B$9))</f>
        <v/>
      </c>
      <c r="I72" s="12">
        <f>IF($T72="","PENDENTE",IF($G72="","(nao plantado)",IFERROR(INDEX(CURVAS_KC!$B$5:$I$224,MATCH(MIN(MAX($H72,1),220),CURVAS_KC!$A$5:$A$224,0),MATCH($T72,CURVAS_KC!$B$4:$I$4,0)),"PENDENTE")))</f>
        <v/>
      </c>
      <c r="J72" s="13">
        <f>ETO_SEM</f>
        <v/>
      </c>
      <c r="K72" s="13">
        <f>CHUVA_SEM</f>
        <v/>
      </c>
      <c r="L72" s="14">
        <f>IF(OR($I72="PENDENTE",$I72="(nao plantado)",$J72=""),"",$I72*$J72)</f>
        <v/>
      </c>
      <c r="M72" s="14">
        <f>IF($L72="","",MAX(0,$L72-N($K72)))</f>
        <v/>
      </c>
      <c r="N72" s="14">
        <f>IF($M72="","",$M72/EF_APLIC)</f>
        <v/>
      </c>
      <c r="O72" s="8" t="n"/>
      <c r="P72" s="15">
        <f>IF(OR($U72="",$O72=""),"",IFERROR(INDEX(LAMINA_HORA!$C$5:$V$114,MATCH($U72,LAMINA_HORA!$A$5:$A$114,0),MATCH($O72,LAMINA_HORA!$C$3:$V$3,0)),"?"))</f>
        <v/>
      </c>
      <c r="Q72" s="15">
        <f>IF(OR($U72="",$O72=""),"",IFERROR(INDEX(LAMINA_HORA!$W$5:$AP$114,MATCH($U72,LAMINA_HORA!$A$5:$A$114,0),MATCH($O72,LAMINA_HORA!$W$3:$AP$3,0)),"?"))</f>
        <v/>
      </c>
      <c r="R72" s="16">
        <f>IF($I72="PENDENTE","Definir Kc/classe",IF($I72="(nao plantado)","Aguardar plantio",IF($M72="","-",IF($M72&gt;=TURNO,"IRRIGAR",IF($M72&gt;=TURNO*FRAC_ACOMP,"Acompanhar","Aguardar")))))</f>
        <v/>
      </c>
      <c r="S72" s="16">
        <f>IF(OR($M72="",$M72=0),"-",IF($M72&gt;=2*TURNO,"Alta",IF($M72&gt;=TURNO,"Media","Baixa")))</f>
        <v/>
      </c>
      <c r="T72" s="17" t="inlineStr">
        <is>
          <t>SOJA_MEDIA</t>
        </is>
      </c>
      <c r="U72" s="8" t="inlineStr">
        <is>
          <t>P61</t>
        </is>
      </c>
    </row>
    <row r="73">
      <c r="A73" s="6" t="inlineStr">
        <is>
          <t>Pivô 63</t>
        </is>
      </c>
      <c r="B73" s="6" t="inlineStr">
        <is>
          <t>R18</t>
        </is>
      </c>
      <c r="C73" s="7" t="inlineStr">
        <is>
          <t>NEO 761 I2X</t>
        </is>
      </c>
      <c r="D73" s="8" t="inlineStr">
        <is>
          <t>PRECOCE</t>
        </is>
      </c>
      <c r="E73" s="9" t="n">
        <v>80</v>
      </c>
      <c r="F73" s="10" t="n">
        <v>46294</v>
      </c>
      <c r="G73" s="11">
        <f>IF($F73="","",IF($F73&gt;DATA_REF,"",DATA_REF-$F73))</f>
        <v/>
      </c>
      <c r="H73" s="11">
        <f>IF($G73="","",MAX(0,$G73-'PARAMETROS'!$B$9))</f>
        <v/>
      </c>
      <c r="I73" s="12">
        <f>IF($T73="","PENDENTE",IF($G73="","(nao plantado)",IFERROR(INDEX(CURVAS_KC!$B$5:$I$224,MATCH(MIN(MAX($H73,1),220),CURVAS_KC!$A$5:$A$224,0),MATCH($T73,CURVAS_KC!$B$4:$I$4,0)),"PENDENTE")))</f>
        <v/>
      </c>
      <c r="J73" s="13">
        <f>ETO_SEM</f>
        <v/>
      </c>
      <c r="K73" s="13">
        <f>CHUVA_SEM</f>
        <v/>
      </c>
      <c r="L73" s="14">
        <f>IF(OR($I73="PENDENTE",$I73="(nao plantado)",$J73=""),"",$I73*$J73)</f>
        <v/>
      </c>
      <c r="M73" s="14">
        <f>IF($L73="","",MAX(0,$L73-N($K73)))</f>
        <v/>
      </c>
      <c r="N73" s="14">
        <f>IF($M73="","",$M73/EF_APLIC)</f>
        <v/>
      </c>
      <c r="O73" s="8" t="n"/>
      <c r="P73" s="15">
        <f>IF(OR($U73="",$O73=""),"",IFERROR(INDEX(LAMINA_HORA!$C$5:$V$114,MATCH($U73,LAMINA_HORA!$A$5:$A$114,0),MATCH($O73,LAMINA_HORA!$C$3:$V$3,0)),"?"))</f>
        <v/>
      </c>
      <c r="Q73" s="15">
        <f>IF(OR($U73="",$O73=""),"",IFERROR(INDEX(LAMINA_HORA!$W$5:$AP$114,MATCH($U73,LAMINA_HORA!$A$5:$A$114,0),MATCH($O73,LAMINA_HORA!$W$3:$AP$3,0)),"?"))</f>
        <v/>
      </c>
      <c r="R73" s="16">
        <f>IF($I73="PENDENTE","Definir Kc/classe",IF($I73="(nao plantado)","Aguardar plantio",IF($M73="","-",IF($M73&gt;=TURNO,"IRRIGAR",IF($M73&gt;=TURNO*FRAC_ACOMP,"Acompanhar","Aguardar")))))</f>
        <v/>
      </c>
      <c r="S73" s="16">
        <f>IF(OR($M73="",$M73=0),"-",IF($M73&gt;=2*TURNO,"Alta",IF($M73&gt;=TURNO,"Media","Baixa")))</f>
        <v/>
      </c>
      <c r="T73" s="17" t="inlineStr">
        <is>
          <t>SOJA_PRECOCE</t>
        </is>
      </c>
      <c r="U73" s="8" t="inlineStr">
        <is>
          <t>P63</t>
        </is>
      </c>
    </row>
    <row r="74">
      <c r="A74" s="6" t="inlineStr">
        <is>
          <t>Pivô 64</t>
        </is>
      </c>
      <c r="B74" s="6" t="inlineStr">
        <is>
          <t>R18</t>
        </is>
      </c>
      <c r="C74" s="7" t="inlineStr">
        <is>
          <t>NEO 761 I2X</t>
        </is>
      </c>
      <c r="D74" s="8" t="inlineStr">
        <is>
          <t>PRECOCE</t>
        </is>
      </c>
      <c r="E74" s="9" t="n">
        <v>80</v>
      </c>
      <c r="F74" s="10" t="n">
        <v>46295</v>
      </c>
      <c r="G74" s="11">
        <f>IF($F74="","",IF($F74&gt;DATA_REF,"",DATA_REF-$F74))</f>
        <v/>
      </c>
      <c r="H74" s="11">
        <f>IF($G74="","",MAX(0,$G74-'PARAMETROS'!$B$9))</f>
        <v/>
      </c>
      <c r="I74" s="12">
        <f>IF($T74="","PENDENTE",IF($G74="","(nao plantado)",IFERROR(INDEX(CURVAS_KC!$B$5:$I$224,MATCH(MIN(MAX($H74,1),220),CURVAS_KC!$A$5:$A$224,0),MATCH($T74,CURVAS_KC!$B$4:$I$4,0)),"PENDENTE")))</f>
        <v/>
      </c>
      <c r="J74" s="13">
        <f>ETO_SEM</f>
        <v/>
      </c>
      <c r="K74" s="13">
        <f>CHUVA_SEM</f>
        <v/>
      </c>
      <c r="L74" s="14">
        <f>IF(OR($I74="PENDENTE",$I74="(nao plantado)",$J74=""),"",$I74*$J74)</f>
        <v/>
      </c>
      <c r="M74" s="14">
        <f>IF($L74="","",MAX(0,$L74-N($K74)))</f>
        <v/>
      </c>
      <c r="N74" s="14">
        <f>IF($M74="","",$M74/EF_APLIC)</f>
        <v/>
      </c>
      <c r="O74" s="8" t="n"/>
      <c r="P74" s="15">
        <f>IF(OR($U74="",$O74=""),"",IFERROR(INDEX(LAMINA_HORA!$C$5:$V$114,MATCH($U74,LAMINA_HORA!$A$5:$A$114,0),MATCH($O74,LAMINA_HORA!$C$3:$V$3,0)),"?"))</f>
        <v/>
      </c>
      <c r="Q74" s="15">
        <f>IF(OR($U74="",$O74=""),"",IFERROR(INDEX(LAMINA_HORA!$W$5:$AP$114,MATCH($U74,LAMINA_HORA!$A$5:$A$114,0),MATCH($O74,LAMINA_HORA!$W$3:$AP$3,0)),"?"))</f>
        <v/>
      </c>
      <c r="R74" s="16">
        <f>IF($I74="PENDENTE","Definir Kc/classe",IF($I74="(nao plantado)","Aguardar plantio",IF($M74="","-",IF($M74&gt;=TURNO,"IRRIGAR",IF($M74&gt;=TURNO*FRAC_ACOMP,"Acompanhar","Aguardar")))))</f>
        <v/>
      </c>
      <c r="S74" s="16">
        <f>IF(OR($M74="",$M74=0),"-",IF($M74&gt;=2*TURNO,"Alta",IF($M74&gt;=TURNO,"Media","Baixa")))</f>
        <v/>
      </c>
      <c r="T74" s="17" t="inlineStr">
        <is>
          <t>SOJA_PRECOCE</t>
        </is>
      </c>
      <c r="U74" s="8" t="inlineStr">
        <is>
          <t>P64</t>
        </is>
      </c>
    </row>
    <row r="75">
      <c r="A75" s="6" t="inlineStr">
        <is>
          <t>Pivô 65</t>
        </is>
      </c>
      <c r="B75" s="6" t="inlineStr">
        <is>
          <t>R18</t>
        </is>
      </c>
      <c r="C75" s="7" t="inlineStr">
        <is>
          <t>NEO 761 I2X</t>
        </is>
      </c>
      <c r="D75" s="8" t="inlineStr">
        <is>
          <t>PRECOCE</t>
        </is>
      </c>
      <c r="E75" s="9" t="n">
        <v>150</v>
      </c>
      <c r="F75" s="10" t="n">
        <v>46295</v>
      </c>
      <c r="G75" s="11">
        <f>IF($F75="","",IF($F75&gt;DATA_REF,"",DATA_REF-$F75))</f>
        <v/>
      </c>
      <c r="H75" s="11">
        <f>IF($G75="","",MAX(0,$G75-'PARAMETROS'!$B$9))</f>
        <v/>
      </c>
      <c r="I75" s="12">
        <f>IF($T75="","PENDENTE",IF($G75="","(nao plantado)",IFERROR(INDEX(CURVAS_KC!$B$5:$I$224,MATCH(MIN(MAX($H75,1),220),CURVAS_KC!$A$5:$A$224,0),MATCH($T75,CURVAS_KC!$B$4:$I$4,0)),"PENDENTE")))</f>
        <v/>
      </c>
      <c r="J75" s="13">
        <f>ETO_SEM</f>
        <v/>
      </c>
      <c r="K75" s="13">
        <f>CHUVA_SEM</f>
        <v/>
      </c>
      <c r="L75" s="14">
        <f>IF(OR($I75="PENDENTE",$I75="(nao plantado)",$J75=""),"",$I75*$J75)</f>
        <v/>
      </c>
      <c r="M75" s="14">
        <f>IF($L75="","",MAX(0,$L75-N($K75)))</f>
        <v/>
      </c>
      <c r="N75" s="14">
        <f>IF($M75="","",$M75/EF_APLIC)</f>
        <v/>
      </c>
      <c r="O75" s="8" t="n"/>
      <c r="P75" s="15">
        <f>IF(OR($U75="",$O75=""),"",IFERROR(INDEX(LAMINA_HORA!$C$5:$V$114,MATCH($U75,LAMINA_HORA!$A$5:$A$114,0),MATCH($O75,LAMINA_HORA!$C$3:$V$3,0)),"?"))</f>
        <v/>
      </c>
      <c r="Q75" s="15">
        <f>IF(OR($U75="",$O75=""),"",IFERROR(INDEX(LAMINA_HORA!$W$5:$AP$114,MATCH($U75,LAMINA_HORA!$A$5:$A$114,0),MATCH($O75,LAMINA_HORA!$W$3:$AP$3,0)),"?"))</f>
        <v/>
      </c>
      <c r="R75" s="16">
        <f>IF($I75="PENDENTE","Definir Kc/classe",IF($I75="(nao plantado)","Aguardar plantio",IF($M75="","-",IF($M75&gt;=TURNO,"IRRIGAR",IF($M75&gt;=TURNO*FRAC_ACOMP,"Acompanhar","Aguardar")))))</f>
        <v/>
      </c>
      <c r="S75" s="16">
        <f>IF(OR($M75="",$M75=0),"-",IF($M75&gt;=2*TURNO,"Alta",IF($M75&gt;=TURNO,"Media","Baixa")))</f>
        <v/>
      </c>
      <c r="T75" s="17" t="inlineStr">
        <is>
          <t>SOJA_PRECOCE</t>
        </is>
      </c>
      <c r="U75" s="8" t="inlineStr">
        <is>
          <t>P65</t>
        </is>
      </c>
    </row>
    <row r="76">
      <c r="A76" s="6" t="inlineStr">
        <is>
          <t>Pivô 66</t>
        </is>
      </c>
      <c r="B76" s="6" t="inlineStr">
        <is>
          <t>R15</t>
        </is>
      </c>
      <c r="C76" s="7" t="inlineStr">
        <is>
          <t>NEO 761 I2X</t>
        </is>
      </c>
      <c r="D76" s="8" t="inlineStr">
        <is>
          <t>PRECOCE</t>
        </is>
      </c>
      <c r="E76" s="9" t="n">
        <v>100</v>
      </c>
      <c r="F76" s="10" t="n">
        <v>46286</v>
      </c>
      <c r="G76" s="11">
        <f>IF($F76="","",IF($F76&gt;DATA_REF,"",DATA_REF-$F76))</f>
        <v/>
      </c>
      <c r="H76" s="11">
        <f>IF($G76="","",MAX(0,$G76-'PARAMETROS'!$B$9))</f>
        <v/>
      </c>
      <c r="I76" s="12">
        <f>IF($T76="","PENDENTE",IF($G76="","(nao plantado)",IFERROR(INDEX(CURVAS_KC!$B$5:$I$224,MATCH(MIN(MAX($H76,1),220),CURVAS_KC!$A$5:$A$224,0),MATCH($T76,CURVAS_KC!$B$4:$I$4,0)),"PENDENTE")))</f>
        <v/>
      </c>
      <c r="J76" s="13">
        <f>ETO_SEM</f>
        <v/>
      </c>
      <c r="K76" s="13">
        <f>CHUVA_SEM</f>
        <v/>
      </c>
      <c r="L76" s="14">
        <f>IF(OR($I76="PENDENTE",$I76="(nao plantado)",$J76=""),"",$I76*$J76)</f>
        <v/>
      </c>
      <c r="M76" s="14">
        <f>IF($L76="","",MAX(0,$L76-N($K76)))</f>
        <v/>
      </c>
      <c r="N76" s="14">
        <f>IF($M76="","",$M76/EF_APLIC)</f>
        <v/>
      </c>
      <c r="O76" s="8" t="n"/>
      <c r="P76" s="15">
        <f>IF(OR($U76="",$O76=""),"",IFERROR(INDEX(LAMINA_HORA!$C$5:$V$114,MATCH($U76,LAMINA_HORA!$A$5:$A$114,0),MATCH($O76,LAMINA_HORA!$C$3:$V$3,0)),"?"))</f>
        <v/>
      </c>
      <c r="Q76" s="15">
        <f>IF(OR($U76="",$O76=""),"",IFERROR(INDEX(LAMINA_HORA!$W$5:$AP$114,MATCH($U76,LAMINA_HORA!$A$5:$A$114,0),MATCH($O76,LAMINA_HORA!$W$3:$AP$3,0)),"?"))</f>
        <v/>
      </c>
      <c r="R76" s="16">
        <f>IF($I76="PENDENTE","Definir Kc/classe",IF($I76="(nao plantado)","Aguardar plantio",IF($M76="","-",IF($M76&gt;=TURNO,"IRRIGAR",IF($M76&gt;=TURNO*FRAC_ACOMP,"Acompanhar","Aguardar")))))</f>
        <v/>
      </c>
      <c r="S76" s="16">
        <f>IF(OR($M76="",$M76=0),"-",IF($M76&gt;=2*TURNO,"Alta",IF($M76&gt;=TURNO,"Media","Baixa")))</f>
        <v/>
      </c>
      <c r="T76" s="17" t="inlineStr">
        <is>
          <t>SOJA_PRECOCE</t>
        </is>
      </c>
      <c r="U76" s="8" t="inlineStr">
        <is>
          <t>P66</t>
        </is>
      </c>
    </row>
    <row r="77">
      <c r="A77" s="6" t="inlineStr">
        <is>
          <t>Pivô 67</t>
        </is>
      </c>
      <c r="B77" s="6" t="inlineStr">
        <is>
          <t>R16</t>
        </is>
      </c>
      <c r="C77" s="7" t="inlineStr">
        <is>
          <t>NEO 761 I2X</t>
        </is>
      </c>
      <c r="D77" s="8" t="inlineStr">
        <is>
          <t>PRECOCE</t>
        </is>
      </c>
      <c r="E77" s="9" t="n">
        <v>80</v>
      </c>
      <c r="F77" s="10" t="n">
        <v>46286</v>
      </c>
      <c r="G77" s="11">
        <f>IF($F77="","",IF($F77&gt;DATA_REF,"",DATA_REF-$F77))</f>
        <v/>
      </c>
      <c r="H77" s="11">
        <f>IF($G77="","",MAX(0,$G77-'PARAMETROS'!$B$9))</f>
        <v/>
      </c>
      <c r="I77" s="12">
        <f>IF($T77="","PENDENTE",IF($G77="","(nao plantado)",IFERROR(INDEX(CURVAS_KC!$B$5:$I$224,MATCH(MIN(MAX($H77,1),220),CURVAS_KC!$A$5:$A$224,0),MATCH($T77,CURVAS_KC!$B$4:$I$4,0)),"PENDENTE")))</f>
        <v/>
      </c>
      <c r="J77" s="13">
        <f>ETO_SEM</f>
        <v/>
      </c>
      <c r="K77" s="13">
        <f>CHUVA_SEM</f>
        <v/>
      </c>
      <c r="L77" s="14">
        <f>IF(OR($I77="PENDENTE",$I77="(nao plantado)",$J77=""),"",$I77*$J77)</f>
        <v/>
      </c>
      <c r="M77" s="14">
        <f>IF($L77="","",MAX(0,$L77-N($K77)))</f>
        <v/>
      </c>
      <c r="N77" s="14">
        <f>IF($M77="","",$M77/EF_APLIC)</f>
        <v/>
      </c>
      <c r="O77" s="8" t="n"/>
      <c r="P77" s="15">
        <f>IF(OR($U77="",$O77=""),"",IFERROR(INDEX(LAMINA_HORA!$C$5:$V$114,MATCH($U77,LAMINA_HORA!$A$5:$A$114,0),MATCH($O77,LAMINA_HORA!$C$3:$V$3,0)),"?"))</f>
        <v/>
      </c>
      <c r="Q77" s="15">
        <f>IF(OR($U77="",$O77=""),"",IFERROR(INDEX(LAMINA_HORA!$W$5:$AP$114,MATCH($U77,LAMINA_HORA!$A$5:$A$114,0),MATCH($O77,LAMINA_HORA!$W$3:$AP$3,0)),"?"))</f>
        <v/>
      </c>
      <c r="R77" s="16">
        <f>IF($I77="PENDENTE","Definir Kc/classe",IF($I77="(nao plantado)","Aguardar plantio",IF($M77="","-",IF($M77&gt;=TURNO,"IRRIGAR",IF($M77&gt;=TURNO*FRAC_ACOMP,"Acompanhar","Aguardar")))))</f>
        <v/>
      </c>
      <c r="S77" s="16">
        <f>IF(OR($M77="",$M77=0),"-",IF($M77&gt;=2*TURNO,"Alta",IF($M77&gt;=TURNO,"Media","Baixa")))</f>
        <v/>
      </c>
      <c r="T77" s="17" t="inlineStr">
        <is>
          <t>SOJA_PRECOCE</t>
        </is>
      </c>
      <c r="U77" s="8" t="inlineStr">
        <is>
          <t>P67</t>
        </is>
      </c>
    </row>
    <row r="78">
      <c r="A78" s="6" t="inlineStr">
        <is>
          <t>Pivô 68</t>
        </is>
      </c>
      <c r="B78" s="6" t="inlineStr">
        <is>
          <t>R16</t>
        </is>
      </c>
      <c r="C78" s="7" t="inlineStr">
        <is>
          <t>COMPLETA IPRO</t>
        </is>
      </c>
      <c r="D78" s="8" t="inlineStr">
        <is>
          <t>MEDIA</t>
        </is>
      </c>
      <c r="E78" s="9" t="n">
        <v>80</v>
      </c>
      <c r="F78" s="10" t="n">
        <v>46290</v>
      </c>
      <c r="G78" s="11">
        <f>IF($F78="","",IF($F78&gt;DATA_REF,"",DATA_REF-$F78))</f>
        <v/>
      </c>
      <c r="H78" s="11">
        <f>IF($G78="","",MAX(0,$G78-'PARAMETROS'!$B$9))</f>
        <v/>
      </c>
      <c r="I78" s="12">
        <f>IF($T78="","PENDENTE",IF($G78="","(nao plantado)",IFERROR(INDEX(CURVAS_KC!$B$5:$I$224,MATCH(MIN(MAX($H78,1),220),CURVAS_KC!$A$5:$A$224,0),MATCH($T78,CURVAS_KC!$B$4:$I$4,0)),"PENDENTE")))</f>
        <v/>
      </c>
      <c r="J78" s="13">
        <f>ETO_SEM</f>
        <v/>
      </c>
      <c r="K78" s="13">
        <f>CHUVA_SEM</f>
        <v/>
      </c>
      <c r="L78" s="14">
        <f>IF(OR($I78="PENDENTE",$I78="(nao plantado)",$J78=""),"",$I78*$J78)</f>
        <v/>
      </c>
      <c r="M78" s="14">
        <f>IF($L78="","",MAX(0,$L78-N($K78)))</f>
        <v/>
      </c>
      <c r="N78" s="14">
        <f>IF($M78="","",$M78/EF_APLIC)</f>
        <v/>
      </c>
      <c r="O78" s="8" t="n"/>
      <c r="P78" s="15">
        <f>IF(OR($U78="",$O78=""),"",IFERROR(INDEX(LAMINA_HORA!$C$5:$V$114,MATCH($U78,LAMINA_HORA!$A$5:$A$114,0),MATCH($O78,LAMINA_HORA!$C$3:$V$3,0)),"?"))</f>
        <v/>
      </c>
      <c r="Q78" s="15">
        <f>IF(OR($U78="",$O78=""),"",IFERROR(INDEX(LAMINA_HORA!$W$5:$AP$114,MATCH($U78,LAMINA_HORA!$A$5:$A$114,0),MATCH($O78,LAMINA_HORA!$W$3:$AP$3,0)),"?"))</f>
        <v/>
      </c>
      <c r="R78" s="16">
        <f>IF($I78="PENDENTE","Definir Kc/classe",IF($I78="(nao plantado)","Aguardar plantio",IF($M78="","-",IF($M78&gt;=TURNO,"IRRIGAR",IF($M78&gt;=TURNO*FRAC_ACOMP,"Acompanhar","Aguardar")))))</f>
        <v/>
      </c>
      <c r="S78" s="16">
        <f>IF(OR($M78="",$M78=0),"-",IF($M78&gt;=2*TURNO,"Alta",IF($M78&gt;=TURNO,"Media","Baixa")))</f>
        <v/>
      </c>
      <c r="T78" s="17" t="inlineStr">
        <is>
          <t>SOJA_MEDIA</t>
        </is>
      </c>
      <c r="U78" s="8" t="inlineStr">
        <is>
          <t>P68</t>
        </is>
      </c>
    </row>
    <row r="79">
      <c r="A79" s="6" t="inlineStr">
        <is>
          <t>Pivô 72</t>
        </is>
      </c>
      <c r="B79" s="6" t="inlineStr">
        <is>
          <t>R17</t>
        </is>
      </c>
      <c r="C79" s="7" t="inlineStr">
        <is>
          <t>COMBATE IPRO</t>
        </is>
      </c>
      <c r="D79" s="8" t="inlineStr">
        <is>
          <t>PRECOCE</t>
        </is>
      </c>
      <c r="E79" s="9" t="n">
        <v>125</v>
      </c>
      <c r="F79" s="10" t="n">
        <v>46294</v>
      </c>
      <c r="G79" s="11">
        <f>IF($F79="","",IF($F79&gt;DATA_REF,"",DATA_REF-$F79))</f>
        <v/>
      </c>
      <c r="H79" s="11">
        <f>IF($G79="","",MAX(0,$G79-'PARAMETROS'!$B$9))</f>
        <v/>
      </c>
      <c r="I79" s="12">
        <f>IF($T79="","PENDENTE",IF($G79="","(nao plantado)",IFERROR(INDEX(CURVAS_KC!$B$5:$I$224,MATCH(MIN(MAX($H79,1),220),CURVAS_KC!$A$5:$A$224,0),MATCH($T79,CURVAS_KC!$B$4:$I$4,0)),"PENDENTE")))</f>
        <v/>
      </c>
      <c r="J79" s="13">
        <f>ETO_SEM</f>
        <v/>
      </c>
      <c r="K79" s="13">
        <f>CHUVA_SEM</f>
        <v/>
      </c>
      <c r="L79" s="14">
        <f>IF(OR($I79="PENDENTE",$I79="(nao plantado)",$J79=""),"",$I79*$J79)</f>
        <v/>
      </c>
      <c r="M79" s="14">
        <f>IF($L79="","",MAX(0,$L79-N($K79)))</f>
        <v/>
      </c>
      <c r="N79" s="14">
        <f>IF($M79="","",$M79/EF_APLIC)</f>
        <v/>
      </c>
      <c r="O79" s="8" t="n"/>
      <c r="P79" s="15">
        <f>IF(OR($U79="",$O79=""),"",IFERROR(INDEX(LAMINA_HORA!$C$5:$V$114,MATCH($U79,LAMINA_HORA!$A$5:$A$114,0),MATCH($O79,LAMINA_HORA!$C$3:$V$3,0)),"?"))</f>
        <v/>
      </c>
      <c r="Q79" s="15">
        <f>IF(OR($U79="",$O79=""),"",IFERROR(INDEX(LAMINA_HORA!$W$5:$AP$114,MATCH($U79,LAMINA_HORA!$A$5:$A$114,0),MATCH($O79,LAMINA_HORA!$W$3:$AP$3,0)),"?"))</f>
        <v/>
      </c>
      <c r="R79" s="16">
        <f>IF($I79="PENDENTE","Definir Kc/classe",IF($I79="(nao plantado)","Aguardar plantio",IF($M79="","-",IF($M79&gt;=TURNO,"IRRIGAR",IF($M79&gt;=TURNO*FRAC_ACOMP,"Acompanhar","Aguardar")))))</f>
        <v/>
      </c>
      <c r="S79" s="16">
        <f>IF(OR($M79="",$M79=0),"-",IF($M79&gt;=2*TURNO,"Alta",IF($M79&gt;=TURNO,"Media","Baixa")))</f>
        <v/>
      </c>
      <c r="T79" s="17" t="inlineStr">
        <is>
          <t>SOJA_PRECOCE</t>
        </is>
      </c>
      <c r="U79" s="8" t="inlineStr">
        <is>
          <t>P72</t>
        </is>
      </c>
    </row>
    <row r="81">
      <c r="A81" s="5" t="inlineStr">
        <is>
          <t>RDM  -  14 pivos</t>
        </is>
      </c>
    </row>
    <row r="82">
      <c r="A82" s="6" t="inlineStr">
        <is>
          <t>Pivô 104</t>
        </is>
      </c>
      <c r="B82" s="6" t="inlineStr">
        <is>
          <t>RM4</t>
        </is>
      </c>
      <c r="C82" s="7" t="inlineStr">
        <is>
          <t>COMBATE IPRO</t>
        </is>
      </c>
      <c r="D82" s="8" t="inlineStr">
        <is>
          <t>PRECOCE</t>
        </is>
      </c>
      <c r="E82" s="9" t="n">
        <v>100</v>
      </c>
      <c r="F82" s="10" t="n">
        <v>46291</v>
      </c>
      <c r="G82" s="11">
        <f>IF($F82="","",IF($F82&gt;DATA_REF,"",DATA_REF-$F82))</f>
        <v/>
      </c>
      <c r="H82" s="11">
        <f>IF($G82="","",MAX(0,$G82-'PARAMETROS'!$B$9))</f>
        <v/>
      </c>
      <c r="I82" s="12">
        <f>IF($T82="","PENDENTE",IF($G82="","(nao plantado)",IFERROR(INDEX(CURVAS_KC!$B$5:$I$224,MATCH(MIN(MAX($H82,1),220),CURVAS_KC!$A$5:$A$224,0),MATCH($T82,CURVAS_KC!$B$4:$I$4,0)),"PENDENTE")))</f>
        <v/>
      </c>
      <c r="J82" s="13">
        <f>ETO_SEM</f>
        <v/>
      </c>
      <c r="K82" s="13">
        <f>CHUVA_SEM</f>
        <v/>
      </c>
      <c r="L82" s="14">
        <f>IF(OR($I82="PENDENTE",$I82="(nao plantado)",$J82=""),"",$I82*$J82)</f>
        <v/>
      </c>
      <c r="M82" s="14">
        <f>IF($L82="","",MAX(0,$L82-N($K82)))</f>
        <v/>
      </c>
      <c r="N82" s="14">
        <f>IF($M82="","",$M82/EF_APLIC)</f>
        <v/>
      </c>
      <c r="O82" s="8" t="n"/>
      <c r="P82" s="15">
        <f>IF(OR($U82="",$O82=""),"",IFERROR(INDEX(LAMINA_HORA!$C$5:$V$114,MATCH($U82,LAMINA_HORA!$A$5:$A$114,0),MATCH($O82,LAMINA_HORA!$C$3:$V$3,0)),"?"))</f>
        <v/>
      </c>
      <c r="Q82" s="15">
        <f>IF(OR($U82="",$O82=""),"",IFERROR(INDEX(LAMINA_HORA!$W$5:$AP$114,MATCH($U82,LAMINA_HORA!$A$5:$A$114,0),MATCH($O82,LAMINA_HORA!$W$3:$AP$3,0)),"?"))</f>
        <v/>
      </c>
      <c r="R82" s="16">
        <f>IF($I82="PENDENTE","Definir Kc/classe",IF($I82="(nao plantado)","Aguardar plantio",IF($M82="","-",IF($M82&gt;=TURNO,"IRRIGAR",IF($M82&gt;=TURNO*FRAC_ACOMP,"Acompanhar","Aguardar")))))</f>
        <v/>
      </c>
      <c r="S82" s="16">
        <f>IF(OR($M82="",$M82=0),"-",IF($M82&gt;=2*TURNO,"Alta",IF($M82&gt;=TURNO,"Media","Baixa")))</f>
        <v/>
      </c>
      <c r="T82" s="17" t="inlineStr">
        <is>
          <t>SOJA_PRECOCE</t>
        </is>
      </c>
      <c r="U82" s="8" t="inlineStr">
        <is>
          <t>P104</t>
        </is>
      </c>
    </row>
    <row r="83">
      <c r="A83" s="6" t="inlineStr">
        <is>
          <t>Pivô 105</t>
        </is>
      </c>
      <c r="B83" s="6" t="inlineStr">
        <is>
          <t>RM3</t>
        </is>
      </c>
      <c r="C83" s="7" t="inlineStr">
        <is>
          <t>COMBATE IPRO</t>
        </is>
      </c>
      <c r="D83" s="8" t="inlineStr">
        <is>
          <t>PRECOCE</t>
        </is>
      </c>
      <c r="E83" s="9" t="n">
        <v>100</v>
      </c>
      <c r="F83" s="10" t="n">
        <v>46293</v>
      </c>
      <c r="G83" s="11">
        <f>IF($F83="","",IF($F83&gt;DATA_REF,"",DATA_REF-$F83))</f>
        <v/>
      </c>
      <c r="H83" s="11">
        <f>IF($G83="","",MAX(0,$G83-'PARAMETROS'!$B$9))</f>
        <v/>
      </c>
      <c r="I83" s="12">
        <f>IF($T83="","PENDENTE",IF($G83="","(nao plantado)",IFERROR(INDEX(CURVAS_KC!$B$5:$I$224,MATCH(MIN(MAX($H83,1),220),CURVAS_KC!$A$5:$A$224,0),MATCH($T83,CURVAS_KC!$B$4:$I$4,0)),"PENDENTE")))</f>
        <v/>
      </c>
      <c r="J83" s="13">
        <f>ETO_SEM</f>
        <v/>
      </c>
      <c r="K83" s="13">
        <f>CHUVA_SEM</f>
        <v/>
      </c>
      <c r="L83" s="14">
        <f>IF(OR($I83="PENDENTE",$I83="(nao plantado)",$J83=""),"",$I83*$J83)</f>
        <v/>
      </c>
      <c r="M83" s="14">
        <f>IF($L83="","",MAX(0,$L83-N($K83)))</f>
        <v/>
      </c>
      <c r="N83" s="14">
        <f>IF($M83="","",$M83/EF_APLIC)</f>
        <v/>
      </c>
      <c r="O83" s="8" t="n"/>
      <c r="P83" s="15">
        <f>IF(OR($U83="",$O83=""),"",IFERROR(INDEX(LAMINA_HORA!$C$5:$V$114,MATCH($U83,LAMINA_HORA!$A$5:$A$114,0),MATCH($O83,LAMINA_HORA!$C$3:$V$3,0)),"?"))</f>
        <v/>
      </c>
      <c r="Q83" s="15">
        <f>IF(OR($U83="",$O83=""),"",IFERROR(INDEX(LAMINA_HORA!$W$5:$AP$114,MATCH($U83,LAMINA_HORA!$A$5:$A$114,0),MATCH($O83,LAMINA_HORA!$W$3:$AP$3,0)),"?"))</f>
        <v/>
      </c>
      <c r="R83" s="16">
        <f>IF($I83="PENDENTE","Definir Kc/classe",IF($I83="(nao plantado)","Aguardar plantio",IF($M83="","-",IF($M83&gt;=TURNO,"IRRIGAR",IF($M83&gt;=TURNO*FRAC_ACOMP,"Acompanhar","Aguardar")))))</f>
        <v/>
      </c>
      <c r="S83" s="16">
        <f>IF(OR($M83="",$M83=0),"-",IF($M83&gt;=2*TURNO,"Alta",IF($M83&gt;=TURNO,"Media","Baixa")))</f>
        <v/>
      </c>
      <c r="T83" s="17" t="inlineStr">
        <is>
          <t>SOJA_PRECOCE</t>
        </is>
      </c>
      <c r="U83" s="8" t="inlineStr">
        <is>
          <t>P105</t>
        </is>
      </c>
    </row>
    <row r="84">
      <c r="A84" s="6" t="inlineStr">
        <is>
          <t>Pivô 106</t>
        </is>
      </c>
      <c r="B84" s="6" t="inlineStr">
        <is>
          <t>RM2</t>
        </is>
      </c>
      <c r="C84" s="7" t="inlineStr">
        <is>
          <t>NEO 761 I2X</t>
        </is>
      </c>
      <c r="D84" s="8" t="inlineStr">
        <is>
          <t>PRECOCE</t>
        </is>
      </c>
      <c r="E84" s="9" t="n">
        <v>100</v>
      </c>
      <c r="F84" s="10" t="n">
        <v>46291</v>
      </c>
      <c r="G84" s="11">
        <f>IF($F84="","",IF($F84&gt;DATA_REF,"",DATA_REF-$F84))</f>
        <v/>
      </c>
      <c r="H84" s="11">
        <f>IF($G84="","",MAX(0,$G84-'PARAMETROS'!$B$9))</f>
        <v/>
      </c>
      <c r="I84" s="12">
        <f>IF($T84="","PENDENTE",IF($G84="","(nao plantado)",IFERROR(INDEX(CURVAS_KC!$B$5:$I$224,MATCH(MIN(MAX($H84,1),220),CURVAS_KC!$A$5:$A$224,0),MATCH($T84,CURVAS_KC!$B$4:$I$4,0)),"PENDENTE")))</f>
        <v/>
      </c>
      <c r="J84" s="13">
        <f>ETO_SEM</f>
        <v/>
      </c>
      <c r="K84" s="13">
        <f>CHUVA_SEM</f>
        <v/>
      </c>
      <c r="L84" s="14">
        <f>IF(OR($I84="PENDENTE",$I84="(nao plantado)",$J84=""),"",$I84*$J84)</f>
        <v/>
      </c>
      <c r="M84" s="14">
        <f>IF($L84="","",MAX(0,$L84-N($K84)))</f>
        <v/>
      </c>
      <c r="N84" s="14">
        <f>IF($M84="","",$M84/EF_APLIC)</f>
        <v/>
      </c>
      <c r="O84" s="8" t="n"/>
      <c r="P84" s="15">
        <f>IF(OR($U84="",$O84=""),"",IFERROR(INDEX(LAMINA_HORA!$C$5:$V$114,MATCH($U84,LAMINA_HORA!$A$5:$A$114,0),MATCH($O84,LAMINA_HORA!$C$3:$V$3,0)),"?"))</f>
        <v/>
      </c>
      <c r="Q84" s="15">
        <f>IF(OR($U84="",$O84=""),"",IFERROR(INDEX(LAMINA_HORA!$W$5:$AP$114,MATCH($U84,LAMINA_HORA!$A$5:$A$114,0),MATCH($O84,LAMINA_HORA!$W$3:$AP$3,0)),"?"))</f>
        <v/>
      </c>
      <c r="R84" s="16">
        <f>IF($I84="PENDENTE","Definir Kc/classe",IF($I84="(nao plantado)","Aguardar plantio",IF($M84="","-",IF($M84&gt;=TURNO,"IRRIGAR",IF($M84&gt;=TURNO*FRAC_ACOMP,"Acompanhar","Aguardar")))))</f>
        <v/>
      </c>
      <c r="S84" s="16">
        <f>IF(OR($M84="",$M84=0),"-",IF($M84&gt;=2*TURNO,"Alta",IF($M84&gt;=TURNO,"Media","Baixa")))</f>
        <v/>
      </c>
      <c r="T84" s="17" t="inlineStr">
        <is>
          <t>SOJA_PRECOCE</t>
        </is>
      </c>
      <c r="U84" s="8" t="inlineStr">
        <is>
          <t>P106</t>
        </is>
      </c>
    </row>
    <row r="85">
      <c r="A85" s="6" t="inlineStr">
        <is>
          <t>Pivô 107</t>
        </is>
      </c>
      <c r="B85" s="6" t="inlineStr">
        <is>
          <t>RM3</t>
        </is>
      </c>
      <c r="C85" s="7" t="inlineStr">
        <is>
          <t>NEO 761 I2X</t>
        </is>
      </c>
      <c r="D85" s="8" t="inlineStr">
        <is>
          <t>PRECOCE</t>
        </is>
      </c>
      <c r="E85" s="9" t="n">
        <v>100</v>
      </c>
      <c r="F85" s="10" t="n">
        <v>46293</v>
      </c>
      <c r="G85" s="11">
        <f>IF($F85="","",IF($F85&gt;DATA_REF,"",DATA_REF-$F85))</f>
        <v/>
      </c>
      <c r="H85" s="11">
        <f>IF($G85="","",MAX(0,$G85-'PARAMETROS'!$B$9))</f>
        <v/>
      </c>
      <c r="I85" s="12">
        <f>IF($T85="","PENDENTE",IF($G85="","(nao plantado)",IFERROR(INDEX(CURVAS_KC!$B$5:$I$224,MATCH(MIN(MAX($H85,1),220),CURVAS_KC!$A$5:$A$224,0),MATCH($T85,CURVAS_KC!$B$4:$I$4,0)),"PENDENTE")))</f>
        <v/>
      </c>
      <c r="J85" s="13">
        <f>ETO_SEM</f>
        <v/>
      </c>
      <c r="K85" s="13">
        <f>CHUVA_SEM</f>
        <v/>
      </c>
      <c r="L85" s="14">
        <f>IF(OR($I85="PENDENTE",$I85="(nao plantado)",$J85=""),"",$I85*$J85)</f>
        <v/>
      </c>
      <c r="M85" s="14">
        <f>IF($L85="","",MAX(0,$L85-N($K85)))</f>
        <v/>
      </c>
      <c r="N85" s="14">
        <f>IF($M85="","",$M85/EF_APLIC)</f>
        <v/>
      </c>
      <c r="O85" s="8" t="n"/>
      <c r="P85" s="15">
        <f>IF(OR($U85="",$O85=""),"",IFERROR(INDEX(LAMINA_HORA!$C$5:$V$114,MATCH($U85,LAMINA_HORA!$A$5:$A$114,0),MATCH($O85,LAMINA_HORA!$C$3:$V$3,0)),"?"))</f>
        <v/>
      </c>
      <c r="Q85" s="15">
        <f>IF(OR($U85="",$O85=""),"",IFERROR(INDEX(LAMINA_HORA!$W$5:$AP$114,MATCH($U85,LAMINA_HORA!$A$5:$A$114,0),MATCH($O85,LAMINA_HORA!$W$3:$AP$3,0)),"?"))</f>
        <v/>
      </c>
      <c r="R85" s="16">
        <f>IF($I85="PENDENTE","Definir Kc/classe",IF($I85="(nao plantado)","Aguardar plantio",IF($M85="","-",IF($M85&gt;=TURNO,"IRRIGAR",IF($M85&gt;=TURNO*FRAC_ACOMP,"Acompanhar","Aguardar")))))</f>
        <v/>
      </c>
      <c r="S85" s="16">
        <f>IF(OR($M85="",$M85=0),"-",IF($M85&gt;=2*TURNO,"Alta",IF($M85&gt;=TURNO,"Media","Baixa")))</f>
        <v/>
      </c>
      <c r="T85" s="17" t="inlineStr">
        <is>
          <t>SOJA_PRECOCE</t>
        </is>
      </c>
      <c r="U85" s="8" t="inlineStr">
        <is>
          <t>P107</t>
        </is>
      </c>
    </row>
    <row r="86">
      <c r="A86" s="6" t="inlineStr">
        <is>
          <t>Pivô 109</t>
        </is>
      </c>
      <c r="B86" s="6" t="inlineStr">
        <is>
          <t>RM1</t>
        </is>
      </c>
      <c r="C86" s="7" t="inlineStr">
        <is>
          <t>NEO 690 I2X</t>
        </is>
      </c>
      <c r="D86" s="8" t="inlineStr">
        <is>
          <t>PRECOCE</t>
        </is>
      </c>
      <c r="E86" s="9" t="n">
        <v>100</v>
      </c>
      <c r="F86" s="10" t="n">
        <v>46290</v>
      </c>
      <c r="G86" s="11">
        <f>IF($F86="","",IF($F86&gt;DATA_REF,"",DATA_REF-$F86))</f>
        <v/>
      </c>
      <c r="H86" s="11">
        <f>IF($G86="","",MAX(0,$G86-'PARAMETROS'!$B$9))</f>
        <v/>
      </c>
      <c r="I86" s="12">
        <f>IF($T86="","PENDENTE",IF($G86="","(nao plantado)",IFERROR(INDEX(CURVAS_KC!$B$5:$I$224,MATCH(MIN(MAX($H86,1),220),CURVAS_KC!$A$5:$A$224,0),MATCH($T86,CURVAS_KC!$B$4:$I$4,0)),"PENDENTE")))</f>
        <v/>
      </c>
      <c r="J86" s="13">
        <f>ETO_SEM</f>
        <v/>
      </c>
      <c r="K86" s="13">
        <f>CHUVA_SEM</f>
        <v/>
      </c>
      <c r="L86" s="14">
        <f>IF(OR($I86="PENDENTE",$I86="(nao plantado)",$J86=""),"",$I86*$J86)</f>
        <v/>
      </c>
      <c r="M86" s="14">
        <f>IF($L86="","",MAX(0,$L86-N($K86)))</f>
        <v/>
      </c>
      <c r="N86" s="14">
        <f>IF($M86="","",$M86/EF_APLIC)</f>
        <v/>
      </c>
      <c r="O86" s="8" t="n"/>
      <c r="P86" s="15">
        <f>IF(OR($U86="",$O86=""),"",IFERROR(INDEX(LAMINA_HORA!$C$5:$V$114,MATCH($U86,LAMINA_HORA!$A$5:$A$114,0),MATCH($O86,LAMINA_HORA!$C$3:$V$3,0)),"?"))</f>
        <v/>
      </c>
      <c r="Q86" s="15">
        <f>IF(OR($U86="",$O86=""),"",IFERROR(INDEX(LAMINA_HORA!$W$5:$AP$114,MATCH($U86,LAMINA_HORA!$A$5:$A$114,0),MATCH($O86,LAMINA_HORA!$W$3:$AP$3,0)),"?"))</f>
        <v/>
      </c>
      <c r="R86" s="16">
        <f>IF($I86="PENDENTE","Definir Kc/classe",IF($I86="(nao plantado)","Aguardar plantio",IF($M86="","-",IF($M86&gt;=TURNO,"IRRIGAR",IF($M86&gt;=TURNO*FRAC_ACOMP,"Acompanhar","Aguardar")))))</f>
        <v/>
      </c>
      <c r="S86" s="16">
        <f>IF(OR($M86="",$M86=0),"-",IF($M86&gt;=2*TURNO,"Alta",IF($M86&gt;=TURNO,"Media","Baixa")))</f>
        <v/>
      </c>
      <c r="T86" s="17" t="inlineStr">
        <is>
          <t>SOJA_PRECOCE</t>
        </is>
      </c>
      <c r="U86" s="8" t="inlineStr">
        <is>
          <t>P109</t>
        </is>
      </c>
    </row>
    <row r="87">
      <c r="A87" s="6" t="inlineStr">
        <is>
          <t>Pivô 110</t>
        </is>
      </c>
      <c r="B87" s="6" t="inlineStr">
        <is>
          <t>RM4</t>
        </is>
      </c>
      <c r="C87" s="7" t="inlineStr">
        <is>
          <t>NEO 690 I2X</t>
        </is>
      </c>
      <c r="D87" s="8" t="inlineStr">
        <is>
          <t>PRECOCE</t>
        </is>
      </c>
      <c r="E87" s="9" t="n">
        <v>100</v>
      </c>
      <c r="F87" s="10" t="n">
        <v>46290</v>
      </c>
      <c r="G87" s="11">
        <f>IF($F87="","",IF($F87&gt;DATA_REF,"",DATA_REF-$F87))</f>
        <v/>
      </c>
      <c r="H87" s="11">
        <f>IF($G87="","",MAX(0,$G87-'PARAMETROS'!$B$9))</f>
        <v/>
      </c>
      <c r="I87" s="12">
        <f>IF($T87="","PENDENTE",IF($G87="","(nao plantado)",IFERROR(INDEX(CURVAS_KC!$B$5:$I$224,MATCH(MIN(MAX($H87,1),220),CURVAS_KC!$A$5:$A$224,0),MATCH($T87,CURVAS_KC!$B$4:$I$4,0)),"PENDENTE")))</f>
        <v/>
      </c>
      <c r="J87" s="13">
        <f>ETO_SEM</f>
        <v/>
      </c>
      <c r="K87" s="13">
        <f>CHUVA_SEM</f>
        <v/>
      </c>
      <c r="L87" s="14">
        <f>IF(OR($I87="PENDENTE",$I87="(nao plantado)",$J87=""),"",$I87*$J87)</f>
        <v/>
      </c>
      <c r="M87" s="14">
        <f>IF($L87="","",MAX(0,$L87-N($K87)))</f>
        <v/>
      </c>
      <c r="N87" s="14">
        <f>IF($M87="","",$M87/EF_APLIC)</f>
        <v/>
      </c>
      <c r="O87" s="8" t="n"/>
      <c r="P87" s="15">
        <f>IF(OR($U87="",$O87=""),"",IFERROR(INDEX(LAMINA_HORA!$C$5:$V$114,MATCH($U87,LAMINA_HORA!$A$5:$A$114,0),MATCH($O87,LAMINA_HORA!$C$3:$V$3,0)),"?"))</f>
        <v/>
      </c>
      <c r="Q87" s="15">
        <f>IF(OR($U87="",$O87=""),"",IFERROR(INDEX(LAMINA_HORA!$W$5:$AP$114,MATCH($U87,LAMINA_HORA!$A$5:$A$114,0),MATCH($O87,LAMINA_HORA!$W$3:$AP$3,0)),"?"))</f>
        <v/>
      </c>
      <c r="R87" s="16">
        <f>IF($I87="PENDENTE","Definir Kc/classe",IF($I87="(nao plantado)","Aguardar plantio",IF($M87="","-",IF($M87&gt;=TURNO,"IRRIGAR",IF($M87&gt;=TURNO*FRAC_ACOMP,"Acompanhar","Aguardar")))))</f>
        <v/>
      </c>
      <c r="S87" s="16">
        <f>IF(OR($M87="",$M87=0),"-",IF($M87&gt;=2*TURNO,"Alta",IF($M87&gt;=TURNO,"Media","Baixa")))</f>
        <v/>
      </c>
      <c r="T87" s="17" t="inlineStr">
        <is>
          <t>SOJA_PRECOCE</t>
        </is>
      </c>
      <c r="U87" s="8" t="inlineStr">
        <is>
          <t>P110</t>
        </is>
      </c>
    </row>
    <row r="88">
      <c r="A88" s="6" t="inlineStr">
        <is>
          <t>Pivô 112</t>
        </is>
      </c>
      <c r="B88" s="6" t="inlineStr">
        <is>
          <t>RM5</t>
        </is>
      </c>
      <c r="C88" s="7" t="inlineStr">
        <is>
          <t>NEO 761 I2X</t>
        </is>
      </c>
      <c r="D88" s="8" t="inlineStr">
        <is>
          <t>PRECOCE</t>
        </is>
      </c>
      <c r="E88" s="9" t="n">
        <v>150</v>
      </c>
      <c r="F88" s="10" t="n">
        <v>46307</v>
      </c>
      <c r="G88" s="11">
        <f>IF($F88="","",IF($F88&gt;DATA_REF,"",DATA_REF-$F88))</f>
        <v/>
      </c>
      <c r="H88" s="11">
        <f>IF($G88="","",MAX(0,$G88-'PARAMETROS'!$B$9))</f>
        <v/>
      </c>
      <c r="I88" s="12">
        <f>IF($T88="","PENDENTE",IF($G88="","(nao plantado)",IFERROR(INDEX(CURVAS_KC!$B$5:$I$224,MATCH(MIN(MAX($H88,1),220),CURVAS_KC!$A$5:$A$224,0),MATCH($T88,CURVAS_KC!$B$4:$I$4,0)),"PENDENTE")))</f>
        <v/>
      </c>
      <c r="J88" s="13">
        <f>ETO_SEM</f>
        <v/>
      </c>
      <c r="K88" s="13">
        <f>CHUVA_SEM</f>
        <v/>
      </c>
      <c r="L88" s="14">
        <f>IF(OR($I88="PENDENTE",$I88="(nao plantado)",$J88=""),"",$I88*$J88)</f>
        <v/>
      </c>
      <c r="M88" s="14">
        <f>IF($L88="","",MAX(0,$L88-N($K88)))</f>
        <v/>
      </c>
      <c r="N88" s="14">
        <f>IF($M88="","",$M88/EF_APLIC)</f>
        <v/>
      </c>
      <c r="O88" s="8" t="n"/>
      <c r="P88" s="15">
        <f>IF(OR($U88="",$O88=""),"",IFERROR(INDEX(LAMINA_HORA!$C$5:$V$114,MATCH($U88,LAMINA_HORA!$A$5:$A$114,0),MATCH($O88,LAMINA_HORA!$C$3:$V$3,0)),"?"))</f>
        <v/>
      </c>
      <c r="Q88" s="15">
        <f>IF(OR($U88="",$O88=""),"",IFERROR(INDEX(LAMINA_HORA!$W$5:$AP$114,MATCH($U88,LAMINA_HORA!$A$5:$A$114,0),MATCH($O88,LAMINA_HORA!$W$3:$AP$3,0)),"?"))</f>
        <v/>
      </c>
      <c r="R88" s="16">
        <f>IF($I88="PENDENTE","Definir Kc/classe",IF($I88="(nao plantado)","Aguardar plantio",IF($M88="","-",IF($M88&gt;=TURNO,"IRRIGAR",IF($M88&gt;=TURNO*FRAC_ACOMP,"Acompanhar","Aguardar")))))</f>
        <v/>
      </c>
      <c r="S88" s="16">
        <f>IF(OR($M88="",$M88=0),"-",IF($M88&gt;=2*TURNO,"Alta",IF($M88&gt;=TURNO,"Media","Baixa")))</f>
        <v/>
      </c>
      <c r="T88" s="17" t="inlineStr">
        <is>
          <t>SOJA_PRECOCE</t>
        </is>
      </c>
      <c r="U88" s="8" t="inlineStr">
        <is>
          <t>P112</t>
        </is>
      </c>
    </row>
    <row r="89">
      <c r="A89" s="6" t="inlineStr">
        <is>
          <t>Pivô 113</t>
        </is>
      </c>
      <c r="B89" s="6" t="inlineStr">
        <is>
          <t>RM5</t>
        </is>
      </c>
      <c r="C89" s="7" t="inlineStr">
        <is>
          <t>NEO 761 I2X</t>
        </is>
      </c>
      <c r="D89" s="8" t="inlineStr">
        <is>
          <t>PRECOCE</t>
        </is>
      </c>
      <c r="E89" s="9" t="n">
        <v>150</v>
      </c>
      <c r="F89" s="10" t="n">
        <v>46307</v>
      </c>
      <c r="G89" s="11">
        <f>IF($F89="","",IF($F89&gt;DATA_REF,"",DATA_REF-$F89))</f>
        <v/>
      </c>
      <c r="H89" s="11">
        <f>IF($G89="","",MAX(0,$G89-'PARAMETROS'!$B$9))</f>
        <v/>
      </c>
      <c r="I89" s="12">
        <f>IF($T89="","PENDENTE",IF($G89="","(nao plantado)",IFERROR(INDEX(CURVAS_KC!$B$5:$I$224,MATCH(MIN(MAX($H89,1),220),CURVAS_KC!$A$5:$A$224,0),MATCH($T89,CURVAS_KC!$B$4:$I$4,0)),"PENDENTE")))</f>
        <v/>
      </c>
      <c r="J89" s="13">
        <f>ETO_SEM</f>
        <v/>
      </c>
      <c r="K89" s="13">
        <f>CHUVA_SEM</f>
        <v/>
      </c>
      <c r="L89" s="14">
        <f>IF(OR($I89="PENDENTE",$I89="(nao plantado)",$J89=""),"",$I89*$J89)</f>
        <v/>
      </c>
      <c r="M89" s="14">
        <f>IF($L89="","",MAX(0,$L89-N($K89)))</f>
        <v/>
      </c>
      <c r="N89" s="14">
        <f>IF($M89="","",$M89/EF_APLIC)</f>
        <v/>
      </c>
      <c r="O89" s="8" t="n"/>
      <c r="P89" s="15">
        <f>IF(OR($U89="",$O89=""),"",IFERROR(INDEX(LAMINA_HORA!$C$5:$V$114,MATCH($U89,LAMINA_HORA!$A$5:$A$114,0),MATCH($O89,LAMINA_HORA!$C$3:$V$3,0)),"?"))</f>
        <v/>
      </c>
      <c r="Q89" s="15">
        <f>IF(OR($U89="",$O89=""),"",IFERROR(INDEX(LAMINA_HORA!$W$5:$AP$114,MATCH($U89,LAMINA_HORA!$A$5:$A$114,0),MATCH($O89,LAMINA_HORA!$W$3:$AP$3,0)),"?"))</f>
        <v/>
      </c>
      <c r="R89" s="16">
        <f>IF($I89="PENDENTE","Definir Kc/classe",IF($I89="(nao plantado)","Aguardar plantio",IF($M89="","-",IF($M89&gt;=TURNO,"IRRIGAR",IF($M89&gt;=TURNO*FRAC_ACOMP,"Acompanhar","Aguardar")))))</f>
        <v/>
      </c>
      <c r="S89" s="16">
        <f>IF(OR($M89="",$M89=0),"-",IF($M89&gt;=2*TURNO,"Alta",IF($M89&gt;=TURNO,"Media","Baixa")))</f>
        <v/>
      </c>
      <c r="T89" s="17" t="inlineStr">
        <is>
          <t>SOJA_PRECOCE</t>
        </is>
      </c>
      <c r="U89" s="8" t="inlineStr">
        <is>
          <t>P113</t>
        </is>
      </c>
    </row>
    <row r="90">
      <c r="A90" s="6" t="inlineStr">
        <is>
          <t>Pivô 121</t>
        </is>
      </c>
      <c r="B90" s="6" t="inlineStr">
        <is>
          <t>RM7</t>
        </is>
      </c>
      <c r="C90" s="7" t="inlineStr">
        <is>
          <t>BMX Olimpo IPRO</t>
        </is>
      </c>
      <c r="D90" s="8" t="inlineStr">
        <is>
          <t>MEDIA</t>
        </is>
      </c>
      <c r="E90" s="9" t="n">
        <v>145</v>
      </c>
      <c r="F90" s="10" t="n">
        <v>46309</v>
      </c>
      <c r="G90" s="11">
        <f>IF($F90="","",IF($F90&gt;DATA_REF,"",DATA_REF-$F90))</f>
        <v/>
      </c>
      <c r="H90" s="11">
        <f>IF($G90="","",MAX(0,$G90-'PARAMETROS'!$B$9))</f>
        <v/>
      </c>
      <c r="I90" s="12">
        <f>IF($T90="","PENDENTE",IF($G90="","(nao plantado)",IFERROR(INDEX(CURVAS_KC!$B$5:$I$224,MATCH(MIN(MAX($H90,1),220),CURVAS_KC!$A$5:$A$224,0),MATCH($T90,CURVAS_KC!$B$4:$I$4,0)),"PENDENTE")))</f>
        <v/>
      </c>
      <c r="J90" s="13">
        <f>ETO_SEM</f>
        <v/>
      </c>
      <c r="K90" s="13">
        <f>CHUVA_SEM</f>
        <v/>
      </c>
      <c r="L90" s="14">
        <f>IF(OR($I90="PENDENTE",$I90="(nao plantado)",$J90=""),"",$I90*$J90)</f>
        <v/>
      </c>
      <c r="M90" s="14">
        <f>IF($L90="","",MAX(0,$L90-N($K90)))</f>
        <v/>
      </c>
      <c r="N90" s="14">
        <f>IF($M90="","",$M90/EF_APLIC)</f>
        <v/>
      </c>
      <c r="O90" s="8" t="n"/>
      <c r="P90" s="15">
        <f>IF(OR($U90="",$O90=""),"",IFERROR(INDEX(LAMINA_HORA!$C$5:$V$114,MATCH($U90,LAMINA_HORA!$A$5:$A$114,0),MATCH($O90,LAMINA_HORA!$C$3:$V$3,0)),"?"))</f>
        <v/>
      </c>
      <c r="Q90" s="15">
        <f>IF(OR($U90="",$O90=""),"",IFERROR(INDEX(LAMINA_HORA!$W$5:$AP$114,MATCH($U90,LAMINA_HORA!$A$5:$A$114,0),MATCH($O90,LAMINA_HORA!$W$3:$AP$3,0)),"?"))</f>
        <v/>
      </c>
      <c r="R90" s="16">
        <f>IF($I90="PENDENTE","Definir Kc/classe",IF($I90="(nao plantado)","Aguardar plantio",IF($M90="","-",IF($M90&gt;=TURNO,"IRRIGAR",IF($M90&gt;=TURNO*FRAC_ACOMP,"Acompanhar","Aguardar")))))</f>
        <v/>
      </c>
      <c r="S90" s="16">
        <f>IF(OR($M90="",$M90=0),"-",IF($M90&gt;=2*TURNO,"Alta",IF($M90&gt;=TURNO,"Media","Baixa")))</f>
        <v/>
      </c>
      <c r="T90" s="17" t="inlineStr">
        <is>
          <t>SOJA_MEDIA</t>
        </is>
      </c>
      <c r="U90" s="8" t="inlineStr">
        <is>
          <t>P121</t>
        </is>
      </c>
    </row>
    <row r="91">
      <c r="A91" s="6" t="inlineStr">
        <is>
          <t>Pivô 122</t>
        </is>
      </c>
      <c r="B91" s="6" t="inlineStr">
        <is>
          <t>RM7</t>
        </is>
      </c>
      <c r="C91" s="7" t="inlineStr">
        <is>
          <t>NEO 761 I2X</t>
        </is>
      </c>
      <c r="D91" s="8" t="inlineStr">
        <is>
          <t>PRECOCE</t>
        </is>
      </c>
      <c r="E91" s="9" t="n">
        <v>150</v>
      </c>
      <c r="F91" s="10" t="n">
        <v>46309</v>
      </c>
      <c r="G91" s="11">
        <f>IF($F91="","",IF($F91&gt;DATA_REF,"",DATA_REF-$F91))</f>
        <v/>
      </c>
      <c r="H91" s="11">
        <f>IF($G91="","",MAX(0,$G91-'PARAMETROS'!$B$9))</f>
        <v/>
      </c>
      <c r="I91" s="12">
        <f>IF($T91="","PENDENTE",IF($G91="","(nao plantado)",IFERROR(INDEX(CURVAS_KC!$B$5:$I$224,MATCH(MIN(MAX($H91,1),220),CURVAS_KC!$A$5:$A$224,0),MATCH($T91,CURVAS_KC!$B$4:$I$4,0)),"PENDENTE")))</f>
        <v/>
      </c>
      <c r="J91" s="13">
        <f>ETO_SEM</f>
        <v/>
      </c>
      <c r="K91" s="13">
        <f>CHUVA_SEM</f>
        <v/>
      </c>
      <c r="L91" s="14">
        <f>IF(OR($I91="PENDENTE",$I91="(nao plantado)",$J91=""),"",$I91*$J91)</f>
        <v/>
      </c>
      <c r="M91" s="14">
        <f>IF($L91="","",MAX(0,$L91-N($K91)))</f>
        <v/>
      </c>
      <c r="N91" s="14">
        <f>IF($M91="","",$M91/EF_APLIC)</f>
        <v/>
      </c>
      <c r="O91" s="8" t="n"/>
      <c r="P91" s="15">
        <f>IF(OR($U91="",$O91=""),"",IFERROR(INDEX(LAMINA_HORA!$C$5:$V$114,MATCH($U91,LAMINA_HORA!$A$5:$A$114,0),MATCH($O91,LAMINA_HORA!$C$3:$V$3,0)),"?"))</f>
        <v/>
      </c>
      <c r="Q91" s="15">
        <f>IF(OR($U91="",$O91=""),"",IFERROR(INDEX(LAMINA_HORA!$W$5:$AP$114,MATCH($U91,LAMINA_HORA!$A$5:$A$114,0),MATCH($O91,LAMINA_HORA!$W$3:$AP$3,0)),"?"))</f>
        <v/>
      </c>
      <c r="R91" s="16">
        <f>IF($I91="PENDENTE","Definir Kc/classe",IF($I91="(nao plantado)","Aguardar plantio",IF($M91="","-",IF($M91&gt;=TURNO,"IRRIGAR",IF($M91&gt;=TURNO*FRAC_ACOMP,"Acompanhar","Aguardar")))))</f>
        <v/>
      </c>
      <c r="S91" s="16">
        <f>IF(OR($M91="",$M91=0),"-",IF($M91&gt;=2*TURNO,"Alta",IF($M91&gt;=TURNO,"Media","Baixa")))</f>
        <v/>
      </c>
      <c r="T91" s="17" t="inlineStr">
        <is>
          <t>SOJA_PRECOCE</t>
        </is>
      </c>
      <c r="U91" s="8" t="inlineStr">
        <is>
          <t>P122</t>
        </is>
      </c>
    </row>
    <row r="92">
      <c r="A92" s="6" t="inlineStr">
        <is>
          <t>Pivô 123</t>
        </is>
      </c>
      <c r="B92" s="6" t="inlineStr">
        <is>
          <t>RM7</t>
        </is>
      </c>
      <c r="C92" s="7" t="inlineStr">
        <is>
          <t>NEO 761 I2X</t>
        </is>
      </c>
      <c r="D92" s="8" t="inlineStr">
        <is>
          <t>PRECOCE</t>
        </is>
      </c>
      <c r="E92" s="9" t="n">
        <v>148</v>
      </c>
      <c r="F92" s="10" t="n">
        <v>46310</v>
      </c>
      <c r="G92" s="11">
        <f>IF($F92="","",IF($F92&gt;DATA_REF,"",DATA_REF-$F92))</f>
        <v/>
      </c>
      <c r="H92" s="11">
        <f>IF($G92="","",MAX(0,$G92-'PARAMETROS'!$B$9))</f>
        <v/>
      </c>
      <c r="I92" s="12">
        <f>IF($T92="","PENDENTE",IF($G92="","(nao plantado)",IFERROR(INDEX(CURVAS_KC!$B$5:$I$224,MATCH(MIN(MAX($H92,1),220),CURVAS_KC!$A$5:$A$224,0),MATCH($T92,CURVAS_KC!$B$4:$I$4,0)),"PENDENTE")))</f>
        <v/>
      </c>
      <c r="J92" s="13">
        <f>ETO_SEM</f>
        <v/>
      </c>
      <c r="K92" s="13">
        <f>CHUVA_SEM</f>
        <v/>
      </c>
      <c r="L92" s="14">
        <f>IF(OR($I92="PENDENTE",$I92="(nao plantado)",$J92=""),"",$I92*$J92)</f>
        <v/>
      </c>
      <c r="M92" s="14">
        <f>IF($L92="","",MAX(0,$L92-N($K92)))</f>
        <v/>
      </c>
      <c r="N92" s="14">
        <f>IF($M92="","",$M92/EF_APLIC)</f>
        <v/>
      </c>
      <c r="O92" s="8" t="n"/>
      <c r="P92" s="15">
        <f>IF(OR($U92="",$O92=""),"",IFERROR(INDEX(LAMINA_HORA!$C$5:$V$114,MATCH($U92,LAMINA_HORA!$A$5:$A$114,0),MATCH($O92,LAMINA_HORA!$C$3:$V$3,0)),"?"))</f>
        <v/>
      </c>
      <c r="Q92" s="15">
        <f>IF(OR($U92="",$O92=""),"",IFERROR(INDEX(LAMINA_HORA!$W$5:$AP$114,MATCH($U92,LAMINA_HORA!$A$5:$A$114,0),MATCH($O92,LAMINA_HORA!$W$3:$AP$3,0)),"?"))</f>
        <v/>
      </c>
      <c r="R92" s="16">
        <f>IF($I92="PENDENTE","Definir Kc/classe",IF($I92="(nao plantado)","Aguardar plantio",IF($M92="","-",IF($M92&gt;=TURNO,"IRRIGAR",IF($M92&gt;=TURNO*FRAC_ACOMP,"Acompanhar","Aguardar")))))</f>
        <v/>
      </c>
      <c r="S92" s="16">
        <f>IF(OR($M92="",$M92=0),"-",IF($M92&gt;=2*TURNO,"Alta",IF($M92&gt;=TURNO,"Media","Baixa")))</f>
        <v/>
      </c>
      <c r="T92" s="17" t="inlineStr">
        <is>
          <t>SOJA_PRECOCE</t>
        </is>
      </c>
      <c r="U92" s="8" t="inlineStr">
        <is>
          <t>P123</t>
        </is>
      </c>
    </row>
    <row r="93">
      <c r="A93" s="6" t="inlineStr">
        <is>
          <t>Pivô 124</t>
        </is>
      </c>
      <c r="B93" s="6" t="inlineStr">
        <is>
          <t>RM7</t>
        </is>
      </c>
      <c r="C93" s="7" t="inlineStr">
        <is>
          <t>BMX Olimpo IPRO</t>
        </is>
      </c>
      <c r="D93" s="8" t="inlineStr">
        <is>
          <t>MEDIA</t>
        </is>
      </c>
      <c r="E93" s="9" t="n">
        <v>150</v>
      </c>
      <c r="F93" s="10" t="n">
        <v>46310</v>
      </c>
      <c r="G93" s="11">
        <f>IF($F93="","",IF($F93&gt;DATA_REF,"",DATA_REF-$F93))</f>
        <v/>
      </c>
      <c r="H93" s="11">
        <f>IF($G93="","",MAX(0,$G93-'PARAMETROS'!$B$9))</f>
        <v/>
      </c>
      <c r="I93" s="12">
        <f>IF($T93="","PENDENTE",IF($G93="","(nao plantado)",IFERROR(INDEX(CURVAS_KC!$B$5:$I$224,MATCH(MIN(MAX($H93,1),220),CURVAS_KC!$A$5:$A$224,0),MATCH($T93,CURVAS_KC!$B$4:$I$4,0)),"PENDENTE")))</f>
        <v/>
      </c>
      <c r="J93" s="13">
        <f>ETO_SEM</f>
        <v/>
      </c>
      <c r="K93" s="13">
        <f>CHUVA_SEM</f>
        <v/>
      </c>
      <c r="L93" s="14">
        <f>IF(OR($I93="PENDENTE",$I93="(nao plantado)",$J93=""),"",$I93*$J93)</f>
        <v/>
      </c>
      <c r="M93" s="14">
        <f>IF($L93="","",MAX(0,$L93-N($K93)))</f>
        <v/>
      </c>
      <c r="N93" s="14">
        <f>IF($M93="","",$M93/EF_APLIC)</f>
        <v/>
      </c>
      <c r="O93" s="8" t="n"/>
      <c r="P93" s="15">
        <f>IF(OR($U93="",$O93=""),"",IFERROR(INDEX(LAMINA_HORA!$C$5:$V$114,MATCH($U93,LAMINA_HORA!$A$5:$A$114,0),MATCH($O93,LAMINA_HORA!$C$3:$V$3,0)),"?"))</f>
        <v/>
      </c>
      <c r="Q93" s="15">
        <f>IF(OR($U93="",$O93=""),"",IFERROR(INDEX(LAMINA_HORA!$W$5:$AP$114,MATCH($U93,LAMINA_HORA!$A$5:$A$114,0),MATCH($O93,LAMINA_HORA!$W$3:$AP$3,0)),"?"))</f>
        <v/>
      </c>
      <c r="R93" s="16">
        <f>IF($I93="PENDENTE","Definir Kc/classe",IF($I93="(nao plantado)","Aguardar plantio",IF($M93="","-",IF($M93&gt;=TURNO,"IRRIGAR",IF($M93&gt;=TURNO*FRAC_ACOMP,"Acompanhar","Aguardar")))))</f>
        <v/>
      </c>
      <c r="S93" s="16">
        <f>IF(OR($M93="",$M93=0),"-",IF($M93&gt;=2*TURNO,"Alta",IF($M93&gt;=TURNO,"Media","Baixa")))</f>
        <v/>
      </c>
      <c r="T93" s="17" t="inlineStr">
        <is>
          <t>SOJA_MEDIA</t>
        </is>
      </c>
      <c r="U93" s="8" t="inlineStr">
        <is>
          <t>P124</t>
        </is>
      </c>
    </row>
    <row r="94">
      <c r="A94" s="6" t="inlineStr">
        <is>
          <t>Pivô 127</t>
        </is>
      </c>
      <c r="B94" s="6" t="inlineStr">
        <is>
          <t>RM7</t>
        </is>
      </c>
      <c r="C94" s="7" t="inlineStr">
        <is>
          <t>NEO 761 I2X</t>
        </is>
      </c>
      <c r="D94" s="8" t="inlineStr">
        <is>
          <t>PRECOCE</t>
        </is>
      </c>
      <c r="E94" s="9" t="n">
        <v>100</v>
      </c>
      <c r="F94" s="10" t="n">
        <v>46308</v>
      </c>
      <c r="G94" s="11">
        <f>IF($F94="","",IF($F94&gt;DATA_REF,"",DATA_REF-$F94))</f>
        <v/>
      </c>
      <c r="H94" s="11">
        <f>IF($G94="","",MAX(0,$G94-'PARAMETROS'!$B$9))</f>
        <v/>
      </c>
      <c r="I94" s="12">
        <f>IF($T94="","PENDENTE",IF($G94="","(nao plantado)",IFERROR(INDEX(CURVAS_KC!$B$5:$I$224,MATCH(MIN(MAX($H94,1),220),CURVAS_KC!$A$5:$A$224,0),MATCH($T94,CURVAS_KC!$B$4:$I$4,0)),"PENDENTE")))</f>
        <v/>
      </c>
      <c r="J94" s="13">
        <f>ETO_SEM</f>
        <v/>
      </c>
      <c r="K94" s="13">
        <f>CHUVA_SEM</f>
        <v/>
      </c>
      <c r="L94" s="14">
        <f>IF(OR($I94="PENDENTE",$I94="(nao plantado)",$J94=""),"",$I94*$J94)</f>
        <v/>
      </c>
      <c r="M94" s="14">
        <f>IF($L94="","",MAX(0,$L94-N($K94)))</f>
        <v/>
      </c>
      <c r="N94" s="14">
        <f>IF($M94="","",$M94/EF_APLIC)</f>
        <v/>
      </c>
      <c r="O94" s="8" t="n"/>
      <c r="P94" s="15">
        <f>IF(OR($U94="",$O94=""),"",IFERROR(INDEX(LAMINA_HORA!$C$5:$V$114,MATCH($U94,LAMINA_HORA!$A$5:$A$114,0),MATCH($O94,LAMINA_HORA!$C$3:$V$3,0)),"?"))</f>
        <v/>
      </c>
      <c r="Q94" s="15">
        <f>IF(OR($U94="",$O94=""),"",IFERROR(INDEX(LAMINA_HORA!$W$5:$AP$114,MATCH($U94,LAMINA_HORA!$A$5:$A$114,0),MATCH($O94,LAMINA_HORA!$W$3:$AP$3,0)),"?"))</f>
        <v/>
      </c>
      <c r="R94" s="16">
        <f>IF($I94="PENDENTE","Definir Kc/classe",IF($I94="(nao plantado)","Aguardar plantio",IF($M94="","-",IF($M94&gt;=TURNO,"IRRIGAR",IF($M94&gt;=TURNO*FRAC_ACOMP,"Acompanhar","Aguardar")))))</f>
        <v/>
      </c>
      <c r="S94" s="16">
        <f>IF(OR($M94="",$M94=0),"-",IF($M94&gt;=2*TURNO,"Alta",IF($M94&gt;=TURNO,"Media","Baixa")))</f>
        <v/>
      </c>
      <c r="T94" s="17" t="inlineStr">
        <is>
          <t>SOJA_PRECOCE</t>
        </is>
      </c>
      <c r="U94" s="8" t="inlineStr">
        <is>
          <t>P127</t>
        </is>
      </c>
    </row>
    <row r="95">
      <c r="A95" s="6" t="inlineStr">
        <is>
          <t>Pivô 129</t>
        </is>
      </c>
      <c r="B95" s="6" t="inlineStr">
        <is>
          <t>RM6</t>
        </is>
      </c>
      <c r="C95" s="7" t="inlineStr">
        <is>
          <t>NEO 761 I2X</t>
        </is>
      </c>
      <c r="D95" s="8" t="inlineStr">
        <is>
          <t>PRECOCE</t>
        </is>
      </c>
      <c r="E95" s="9" t="n">
        <v>100</v>
      </c>
      <c r="F95" s="10" t="n">
        <v>46308</v>
      </c>
      <c r="G95" s="11">
        <f>IF($F95="","",IF($F95&gt;DATA_REF,"",DATA_REF-$F95))</f>
        <v/>
      </c>
      <c r="H95" s="11">
        <f>IF($G95="","",MAX(0,$G95-'PARAMETROS'!$B$9))</f>
        <v/>
      </c>
      <c r="I95" s="12">
        <f>IF($T95="","PENDENTE",IF($G95="","(nao plantado)",IFERROR(INDEX(CURVAS_KC!$B$5:$I$224,MATCH(MIN(MAX($H95,1),220),CURVAS_KC!$A$5:$A$224,0),MATCH($T95,CURVAS_KC!$B$4:$I$4,0)),"PENDENTE")))</f>
        <v/>
      </c>
      <c r="J95" s="13">
        <f>ETO_SEM</f>
        <v/>
      </c>
      <c r="K95" s="13">
        <f>CHUVA_SEM</f>
        <v/>
      </c>
      <c r="L95" s="14">
        <f>IF(OR($I95="PENDENTE",$I95="(nao plantado)",$J95=""),"",$I95*$J95)</f>
        <v/>
      </c>
      <c r="M95" s="14">
        <f>IF($L95="","",MAX(0,$L95-N($K95)))</f>
        <v/>
      </c>
      <c r="N95" s="14">
        <f>IF($M95="","",$M95/EF_APLIC)</f>
        <v/>
      </c>
      <c r="O95" s="8" t="n"/>
      <c r="P95" s="15">
        <f>IF(OR($U95="",$O95=""),"",IFERROR(INDEX(LAMINA_HORA!$C$5:$V$114,MATCH($U95,LAMINA_HORA!$A$5:$A$114,0),MATCH($O95,LAMINA_HORA!$C$3:$V$3,0)),"?"))</f>
        <v/>
      </c>
      <c r="Q95" s="15">
        <f>IF(OR($U95="",$O95=""),"",IFERROR(INDEX(LAMINA_HORA!$W$5:$AP$114,MATCH($U95,LAMINA_HORA!$A$5:$A$114,0),MATCH($O95,LAMINA_HORA!$W$3:$AP$3,0)),"?"))</f>
        <v/>
      </c>
      <c r="R95" s="16">
        <f>IF($I95="PENDENTE","Definir Kc/classe",IF($I95="(nao plantado)","Aguardar plantio",IF($M95="","-",IF($M95&gt;=TURNO,"IRRIGAR",IF($M95&gt;=TURNO*FRAC_ACOMP,"Acompanhar","Aguardar")))))</f>
        <v/>
      </c>
      <c r="S95" s="16">
        <f>IF(OR($M95="",$M95=0),"-",IF($M95&gt;=2*TURNO,"Alta",IF($M95&gt;=TURNO,"Media","Baixa")))</f>
        <v/>
      </c>
      <c r="T95" s="17" t="inlineStr">
        <is>
          <t>SOJA_PRECOCE</t>
        </is>
      </c>
      <c r="U95" s="8" t="inlineStr">
        <is>
          <t>P129</t>
        </is>
      </c>
    </row>
    <row r="98">
      <c r="A98" s="18" t="inlineStr">
        <is>
          <t>ETc semanal = Kc(DAE) x ETo da semana (ETO_SEMANAL). Nec. liquida = ETc - chuva; bruta = /0,90. IRRIGAR = necessidade atingiu o alvo/turno. Digite o % para ver lamina e horas.</t>
        </is>
      </c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20" t="n"/>
    </row>
  </sheetData>
  <mergeCells count="5">
    <mergeCell ref="A98:U98"/>
    <mergeCell ref="A43:U43"/>
    <mergeCell ref="A60:U60"/>
    <mergeCell ref="A81:U81"/>
    <mergeCell ref="A5:U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U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ALGODAO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6">
      <c r="A6" s="18" t="inlineStr">
        <is>
          <t>ETc semanal = Kc(DAE) x ETo da semana (ETO_SEMANAL). Nec. liquida = ETc - chuva; bruta = /0,90. IRRIGAR = necessidade atingiu o alvo/turno. Digite o % para ver lamina e horas.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</row>
  </sheetData>
  <mergeCells count="1">
    <mergeCell ref="A6:U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U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TABACO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RDM  -  5 pivos</t>
        </is>
      </c>
    </row>
    <row r="6">
      <c r="A6" s="6" t="inlineStr">
        <is>
          <t>Pivô 118</t>
        </is>
      </c>
      <c r="B6" s="6" t="inlineStr">
        <is>
          <t>RM6</t>
        </is>
      </c>
      <c r="C6" s="7" t="inlineStr">
        <is>
          <t>PVH-2343</t>
        </is>
      </c>
      <c r="D6" s="8" t="inlineStr"/>
      <c r="E6" s="9" t="n">
        <v>147</v>
      </c>
      <c r="F6" s="10" t="n">
        <v>46389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plantado)",IFERROR(INDEX(CURVAS_KC!$B$5:$I$224,MATCH(MIN(MAX($H6,1),220),CURVAS_KC!$A$5:$A$224,0),MATCH($T6,CURVAS_KC!$B$4:$I$4,0)),"PENDENTE")))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>
        <is>
          <t>TABACO</t>
        </is>
      </c>
      <c r="U6" s="8" t="inlineStr">
        <is>
          <t>P118</t>
        </is>
      </c>
    </row>
    <row r="7">
      <c r="A7" s="6" t="inlineStr">
        <is>
          <t>Pivô 119</t>
        </is>
      </c>
      <c r="B7" s="6" t="inlineStr">
        <is>
          <t>RM6</t>
        </is>
      </c>
      <c r="C7" s="7" t="inlineStr">
        <is>
          <t>PVH-2343</t>
        </is>
      </c>
      <c r="D7" s="8" t="inlineStr"/>
      <c r="E7" s="9" t="n">
        <v>150</v>
      </c>
      <c r="F7" s="10" t="n">
        <v>46380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plantado)",IFERROR(INDEX(CURVAS_KC!$B$5:$I$224,MATCH(MIN(MAX($H7,1),220),CURVAS_KC!$A$5:$A$224,0),MATCH($T7,CURVAS_KC!$B$4:$I$4,0)),"PENDENTE")))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>
        <is>
          <t>TABACO</t>
        </is>
      </c>
      <c r="U7" s="8" t="inlineStr">
        <is>
          <t>P119</t>
        </is>
      </c>
    </row>
    <row r="8">
      <c r="A8" s="6" t="inlineStr">
        <is>
          <t>Pivô 120</t>
        </is>
      </c>
      <c r="B8" s="6" t="inlineStr">
        <is>
          <t>RM7</t>
        </is>
      </c>
      <c r="C8" s="7" t="inlineStr">
        <is>
          <t>PVH-2343</t>
        </is>
      </c>
      <c r="D8" s="8" t="inlineStr"/>
      <c r="E8" s="9" t="n">
        <v>147</v>
      </c>
      <c r="F8" s="10" t="n">
        <v>46399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plantado)",IFERROR(INDEX(CURVAS_KC!$B$5:$I$224,MATCH(MIN(MAX($H8,1),220),CURVAS_KC!$A$5:$A$224,0),MATCH($T8,CURVAS_KC!$B$4:$I$4,0)),"PENDENTE")))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>
        <is>
          <t>TABACO</t>
        </is>
      </c>
      <c r="U8" s="8" t="inlineStr">
        <is>
          <t>P120</t>
        </is>
      </c>
    </row>
    <row r="9">
      <c r="A9" s="6" t="inlineStr">
        <is>
          <t>Pivô 126</t>
        </is>
      </c>
      <c r="B9" s="6" t="inlineStr">
        <is>
          <t>RM7</t>
        </is>
      </c>
      <c r="C9" s="7" t="inlineStr">
        <is>
          <t>PVH-2343</t>
        </is>
      </c>
      <c r="D9" s="8" t="inlineStr"/>
      <c r="E9" s="9" t="n">
        <v>140</v>
      </c>
      <c r="F9" s="10" t="n">
        <v>46371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plantado)",IFERROR(INDEX(CURVAS_KC!$B$5:$I$224,MATCH(MIN(MAX($H9,1),220),CURVAS_KC!$A$5:$A$224,0),MATCH($T9,CURVAS_KC!$B$4:$I$4,0)),"PENDENTE")))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>
        <is>
          <t>TABACO</t>
        </is>
      </c>
      <c r="U9" s="8" t="inlineStr">
        <is>
          <t>P126</t>
        </is>
      </c>
    </row>
    <row r="10">
      <c r="A10" s="6" t="inlineStr">
        <is>
          <t>Pivô 128</t>
        </is>
      </c>
      <c r="B10" s="6" t="inlineStr">
        <is>
          <t>RM6</t>
        </is>
      </c>
      <c r="C10" s="7" t="inlineStr">
        <is>
          <t>PVH-2343</t>
        </is>
      </c>
      <c r="D10" s="8" t="inlineStr"/>
      <c r="E10" s="9" t="n">
        <v>140</v>
      </c>
      <c r="F10" s="10" t="n">
        <v>46345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plantado)",IFERROR(INDEX(CURVAS_KC!$B$5:$I$224,MATCH(MIN(MAX($H10,1),220),CURVAS_KC!$A$5:$A$224,0),MATCH($T10,CURVAS_KC!$B$4:$I$4,0)),"PENDENTE")))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>
        <is>
          <t>TABACO</t>
        </is>
      </c>
      <c r="U10" s="8" t="inlineStr">
        <is>
          <t>P128</t>
        </is>
      </c>
    </row>
    <row r="13">
      <c r="A13" s="18" t="inlineStr">
        <is>
          <t>ETc semanal = Kc(DAE) x ETo da semana (ETO_SEMANAL). Nec. liquida = ETc - chuva; bruta = /0,90. IRRIGAR = necessidade atingiu o alvo/turno. Digite o % para ver lamina e horas.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20" t="n"/>
    </row>
  </sheetData>
  <mergeCells count="2">
    <mergeCell ref="A5:U5"/>
    <mergeCell ref="A13:U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U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CACAU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5">
      <c r="A5" s="5" t="inlineStr">
        <is>
          <t>Modulo 1  -  13 pivos</t>
        </is>
      </c>
    </row>
    <row r="6">
      <c r="A6" s="6" t="inlineStr">
        <is>
          <t>Pivô 01</t>
        </is>
      </c>
      <c r="B6" s="6" t="inlineStr">
        <is>
          <t>R0</t>
        </is>
      </c>
      <c r="C6" s="7" t="inlineStr">
        <is>
          <t>PS1319/FA13/CCN51</t>
        </is>
      </c>
      <c r="D6" s="8" t="inlineStr"/>
      <c r="E6" s="9" t="n">
        <v>47.5</v>
      </c>
      <c r="F6" s="10" t="n">
        <v>45901</v>
      </c>
      <c r="G6" s="11">
        <f>IF($F6="","",IF($F6&gt;DATA_REF,"",DATA_REF-$F6))</f>
        <v/>
      </c>
      <c r="H6" s="11">
        <f>IF($G6="","",MAX(0,$G6-'PARAMETROS'!$B$9))</f>
        <v/>
      </c>
      <c r="I6" s="12">
        <f>IF($T6="","PENDENTE",IF($G6="","(nao plantado)",IFERROR(INDEX(CURVAS_KC!$B$5:$I$224,MATCH(MIN(MAX($H6,1),220),CURVAS_KC!$A$5:$A$224,0),MATCH($T6,CURVAS_KC!$B$4:$I$4,0)),"PENDENTE")))</f>
        <v/>
      </c>
      <c r="J6" s="13">
        <f>ETO_SEM</f>
        <v/>
      </c>
      <c r="K6" s="13">
        <f>CHUVA_SEM</f>
        <v/>
      </c>
      <c r="L6" s="14">
        <f>IF(OR($I6="PENDENTE",$I6="(nao plantado)",$J6=""),"",$I6*$J6)</f>
        <v/>
      </c>
      <c r="M6" s="14">
        <f>IF($L6="","",MAX(0,$L6-N($K6)))</f>
        <v/>
      </c>
      <c r="N6" s="14">
        <f>IF($M6="","",$M6/EF_APLIC)</f>
        <v/>
      </c>
      <c r="O6" s="8" t="n"/>
      <c r="P6" s="15">
        <f>IF(OR($U6="",$O6=""),"",IFERROR(INDEX(LAMINA_HORA!$C$5:$V$114,MATCH($U6,LAMINA_HORA!$A$5:$A$114,0),MATCH($O6,LAMINA_HORA!$C$3:$V$3,0)),"?"))</f>
        <v/>
      </c>
      <c r="Q6" s="15">
        <f>IF(OR($U6="",$O6=""),"",IFERROR(INDEX(LAMINA_HORA!$W$5:$AP$114,MATCH($U6,LAMINA_HORA!$A$5:$A$114,0),MATCH($O6,LAMINA_HORA!$W$3:$AP$3,0)),"?"))</f>
        <v/>
      </c>
      <c r="R6" s="16">
        <f>IF($I6="PENDENTE","Definir Kc/classe",IF($I6="(nao plantado)","Aguardar plantio",IF($M6="","-",IF($M6&gt;=TURNO,"IRRIGAR",IF($M6&gt;=TURNO*FRAC_ACOMP,"Acompanhar","Aguardar")))))</f>
        <v/>
      </c>
      <c r="S6" s="16">
        <f>IF(OR($M6="",$M6=0),"-",IF($M6&gt;=2*TURNO,"Alta",IF($M6&gt;=TURNO,"Media","Baixa")))</f>
        <v/>
      </c>
      <c r="T6" s="17" t="inlineStr"/>
      <c r="U6" s="8" t="inlineStr">
        <is>
          <t>P1</t>
        </is>
      </c>
    </row>
    <row r="7">
      <c r="A7" s="6" t="inlineStr">
        <is>
          <t>Pivô 02</t>
        </is>
      </c>
      <c r="B7" s="6" t="inlineStr">
        <is>
          <t>R0</t>
        </is>
      </c>
      <c r="C7" s="7" t="inlineStr">
        <is>
          <t>PS1319/FA13/CCN51</t>
        </is>
      </c>
      <c r="D7" s="8" t="inlineStr"/>
      <c r="E7" s="9" t="n">
        <v>131.5</v>
      </c>
      <c r="F7" s="10" t="n">
        <v>45901</v>
      </c>
      <c r="G7" s="11">
        <f>IF($F7="","",IF($F7&gt;DATA_REF,"",DATA_REF-$F7))</f>
        <v/>
      </c>
      <c r="H7" s="11">
        <f>IF($G7="","",MAX(0,$G7-'PARAMETROS'!$B$9))</f>
        <v/>
      </c>
      <c r="I7" s="12">
        <f>IF($T7="","PENDENTE",IF($G7="","(nao plantado)",IFERROR(INDEX(CURVAS_KC!$B$5:$I$224,MATCH(MIN(MAX($H7,1),220),CURVAS_KC!$A$5:$A$224,0),MATCH($T7,CURVAS_KC!$B$4:$I$4,0)),"PENDENTE")))</f>
        <v/>
      </c>
      <c r="J7" s="13">
        <f>ETO_SEM</f>
        <v/>
      </c>
      <c r="K7" s="13">
        <f>CHUVA_SEM</f>
        <v/>
      </c>
      <c r="L7" s="14">
        <f>IF(OR($I7="PENDENTE",$I7="(nao plantado)",$J7=""),"",$I7*$J7)</f>
        <v/>
      </c>
      <c r="M7" s="14">
        <f>IF($L7="","",MAX(0,$L7-N($K7)))</f>
        <v/>
      </c>
      <c r="N7" s="14">
        <f>IF($M7="","",$M7/EF_APLIC)</f>
        <v/>
      </c>
      <c r="O7" s="8" t="n"/>
      <c r="P7" s="15">
        <f>IF(OR($U7="",$O7=""),"",IFERROR(INDEX(LAMINA_HORA!$C$5:$V$114,MATCH($U7,LAMINA_HORA!$A$5:$A$114,0),MATCH($O7,LAMINA_HORA!$C$3:$V$3,0)),"?"))</f>
        <v/>
      </c>
      <c r="Q7" s="15">
        <f>IF(OR($U7="",$O7=""),"",IFERROR(INDEX(LAMINA_HORA!$W$5:$AP$114,MATCH($U7,LAMINA_HORA!$A$5:$A$114,0),MATCH($O7,LAMINA_HORA!$W$3:$AP$3,0)),"?"))</f>
        <v/>
      </c>
      <c r="R7" s="16">
        <f>IF($I7="PENDENTE","Definir Kc/classe",IF($I7="(nao plantado)","Aguardar plantio",IF($M7="","-",IF($M7&gt;=TURNO,"IRRIGAR",IF($M7&gt;=TURNO*FRAC_ACOMP,"Acompanhar","Aguardar")))))</f>
        <v/>
      </c>
      <c r="S7" s="16">
        <f>IF(OR($M7="",$M7=0),"-",IF($M7&gt;=2*TURNO,"Alta",IF($M7&gt;=TURNO,"Media","Baixa")))</f>
        <v/>
      </c>
      <c r="T7" s="17" t="inlineStr"/>
      <c r="U7" s="8" t="inlineStr">
        <is>
          <t>P2</t>
        </is>
      </c>
    </row>
    <row r="8">
      <c r="A8" s="6" t="inlineStr">
        <is>
          <t>Pivô 03</t>
        </is>
      </c>
      <c r="B8" s="6" t="inlineStr">
        <is>
          <t>R0</t>
        </is>
      </c>
      <c r="C8" s="7" t="inlineStr">
        <is>
          <t>PS1319/FA13/CCN51</t>
        </is>
      </c>
      <c r="D8" s="8" t="inlineStr"/>
      <c r="E8" s="9" t="n">
        <v>82.8</v>
      </c>
      <c r="F8" s="10" t="n">
        <v>45901</v>
      </c>
      <c r="G8" s="11">
        <f>IF($F8="","",IF($F8&gt;DATA_REF,"",DATA_REF-$F8))</f>
        <v/>
      </c>
      <c r="H8" s="11">
        <f>IF($G8="","",MAX(0,$G8-'PARAMETROS'!$B$9))</f>
        <v/>
      </c>
      <c r="I8" s="12">
        <f>IF($T8="","PENDENTE",IF($G8="","(nao plantado)",IFERROR(INDEX(CURVAS_KC!$B$5:$I$224,MATCH(MIN(MAX($H8,1),220),CURVAS_KC!$A$5:$A$224,0),MATCH($T8,CURVAS_KC!$B$4:$I$4,0)),"PENDENTE")))</f>
        <v/>
      </c>
      <c r="J8" s="13">
        <f>ETO_SEM</f>
        <v/>
      </c>
      <c r="K8" s="13">
        <f>CHUVA_SEM</f>
        <v/>
      </c>
      <c r="L8" s="14">
        <f>IF(OR($I8="PENDENTE",$I8="(nao plantado)",$J8=""),"",$I8*$J8)</f>
        <v/>
      </c>
      <c r="M8" s="14">
        <f>IF($L8="","",MAX(0,$L8-N($K8)))</f>
        <v/>
      </c>
      <c r="N8" s="14">
        <f>IF($M8="","",$M8/EF_APLIC)</f>
        <v/>
      </c>
      <c r="O8" s="8" t="n"/>
      <c r="P8" s="15">
        <f>IF(OR($U8="",$O8=""),"",IFERROR(INDEX(LAMINA_HORA!$C$5:$V$114,MATCH($U8,LAMINA_HORA!$A$5:$A$114,0),MATCH($O8,LAMINA_HORA!$C$3:$V$3,0)),"?"))</f>
        <v/>
      </c>
      <c r="Q8" s="15">
        <f>IF(OR($U8="",$O8=""),"",IFERROR(INDEX(LAMINA_HORA!$W$5:$AP$114,MATCH($U8,LAMINA_HORA!$A$5:$A$114,0),MATCH($O8,LAMINA_HORA!$W$3:$AP$3,0)),"?"))</f>
        <v/>
      </c>
      <c r="R8" s="16">
        <f>IF($I8="PENDENTE","Definir Kc/classe",IF($I8="(nao plantado)","Aguardar plantio",IF($M8="","-",IF($M8&gt;=TURNO,"IRRIGAR",IF($M8&gt;=TURNO*FRAC_ACOMP,"Acompanhar","Aguardar")))))</f>
        <v/>
      </c>
      <c r="S8" s="16">
        <f>IF(OR($M8="",$M8=0),"-",IF($M8&gt;=2*TURNO,"Alta",IF($M8&gt;=TURNO,"Media","Baixa")))</f>
        <v/>
      </c>
      <c r="T8" s="17" t="inlineStr"/>
      <c r="U8" s="8" t="inlineStr">
        <is>
          <t>P3</t>
        </is>
      </c>
    </row>
    <row r="9">
      <c r="A9" s="6" t="inlineStr">
        <is>
          <t>Pivô 25</t>
        </is>
      </c>
      <c r="B9" s="6" t="inlineStr">
        <is>
          <t>R7</t>
        </is>
      </c>
      <c r="C9" s="7" t="inlineStr">
        <is>
          <t>PS1319/FA13/CCN51</t>
        </is>
      </c>
      <c r="D9" s="8" t="inlineStr"/>
      <c r="E9" s="9" t="n">
        <v>100</v>
      </c>
      <c r="F9" s="10" t="n">
        <v>45901</v>
      </c>
      <c r="G9" s="11">
        <f>IF($F9="","",IF($F9&gt;DATA_REF,"",DATA_REF-$F9))</f>
        <v/>
      </c>
      <c r="H9" s="11">
        <f>IF($G9="","",MAX(0,$G9-'PARAMETROS'!$B$9))</f>
        <v/>
      </c>
      <c r="I9" s="12">
        <f>IF($T9="","PENDENTE",IF($G9="","(nao plantado)",IFERROR(INDEX(CURVAS_KC!$B$5:$I$224,MATCH(MIN(MAX($H9,1),220),CURVAS_KC!$A$5:$A$224,0),MATCH($T9,CURVAS_KC!$B$4:$I$4,0)),"PENDENTE")))</f>
        <v/>
      </c>
      <c r="J9" s="13">
        <f>ETO_SEM</f>
        <v/>
      </c>
      <c r="K9" s="13">
        <f>CHUVA_SEM</f>
        <v/>
      </c>
      <c r="L9" s="14">
        <f>IF(OR($I9="PENDENTE",$I9="(nao plantado)",$J9=""),"",$I9*$J9)</f>
        <v/>
      </c>
      <c r="M9" s="14">
        <f>IF($L9="","",MAX(0,$L9-N($K9)))</f>
        <v/>
      </c>
      <c r="N9" s="14">
        <f>IF($M9="","",$M9/EF_APLIC)</f>
        <v/>
      </c>
      <c r="O9" s="8" t="n"/>
      <c r="P9" s="15">
        <f>IF(OR($U9="",$O9=""),"",IFERROR(INDEX(LAMINA_HORA!$C$5:$V$114,MATCH($U9,LAMINA_HORA!$A$5:$A$114,0),MATCH($O9,LAMINA_HORA!$C$3:$V$3,0)),"?"))</f>
        <v/>
      </c>
      <c r="Q9" s="15">
        <f>IF(OR($U9="",$O9=""),"",IFERROR(INDEX(LAMINA_HORA!$W$5:$AP$114,MATCH($U9,LAMINA_HORA!$A$5:$A$114,0),MATCH($O9,LAMINA_HORA!$W$3:$AP$3,0)),"?"))</f>
        <v/>
      </c>
      <c r="R9" s="16">
        <f>IF($I9="PENDENTE","Definir Kc/classe",IF($I9="(nao plantado)","Aguardar plantio",IF($M9="","-",IF($M9&gt;=TURNO,"IRRIGAR",IF($M9&gt;=TURNO*FRAC_ACOMP,"Acompanhar","Aguardar")))))</f>
        <v/>
      </c>
      <c r="S9" s="16">
        <f>IF(OR($M9="",$M9=0),"-",IF($M9&gt;=2*TURNO,"Alta",IF($M9&gt;=TURNO,"Media","Baixa")))</f>
        <v/>
      </c>
      <c r="T9" s="17" t="inlineStr"/>
      <c r="U9" s="8" t="inlineStr">
        <is>
          <t>P25</t>
        </is>
      </c>
    </row>
    <row r="10">
      <c r="A10" s="6" t="inlineStr">
        <is>
          <t>Pivô 27</t>
        </is>
      </c>
      <c r="B10" s="6" t="inlineStr">
        <is>
          <t>R7</t>
        </is>
      </c>
      <c r="C10" s="7" t="inlineStr">
        <is>
          <t>PS1319/FA13/CCN51</t>
        </is>
      </c>
      <c r="D10" s="8" t="inlineStr"/>
      <c r="E10" s="9" t="n">
        <v>100</v>
      </c>
      <c r="F10" s="10" t="n">
        <v>45901</v>
      </c>
      <c r="G10" s="11">
        <f>IF($F10="","",IF($F10&gt;DATA_REF,"",DATA_REF-$F10))</f>
        <v/>
      </c>
      <c r="H10" s="11">
        <f>IF($G10="","",MAX(0,$G10-'PARAMETROS'!$B$9))</f>
        <v/>
      </c>
      <c r="I10" s="12">
        <f>IF($T10="","PENDENTE",IF($G10="","(nao plantado)",IFERROR(INDEX(CURVAS_KC!$B$5:$I$224,MATCH(MIN(MAX($H10,1),220),CURVAS_KC!$A$5:$A$224,0),MATCH($T10,CURVAS_KC!$B$4:$I$4,0)),"PENDENTE")))</f>
        <v/>
      </c>
      <c r="J10" s="13">
        <f>ETO_SEM</f>
        <v/>
      </c>
      <c r="K10" s="13">
        <f>CHUVA_SEM</f>
        <v/>
      </c>
      <c r="L10" s="14">
        <f>IF(OR($I10="PENDENTE",$I10="(nao plantado)",$J10=""),"",$I10*$J10)</f>
        <v/>
      </c>
      <c r="M10" s="14">
        <f>IF($L10="","",MAX(0,$L10-N($K10)))</f>
        <v/>
      </c>
      <c r="N10" s="14">
        <f>IF($M10="","",$M10/EF_APLIC)</f>
        <v/>
      </c>
      <c r="O10" s="8" t="n"/>
      <c r="P10" s="15">
        <f>IF(OR($U10="",$O10=""),"",IFERROR(INDEX(LAMINA_HORA!$C$5:$V$114,MATCH($U10,LAMINA_HORA!$A$5:$A$114,0),MATCH($O10,LAMINA_HORA!$C$3:$V$3,0)),"?"))</f>
        <v/>
      </c>
      <c r="Q10" s="15">
        <f>IF(OR($U10="",$O10=""),"",IFERROR(INDEX(LAMINA_HORA!$W$5:$AP$114,MATCH($U10,LAMINA_HORA!$A$5:$A$114,0),MATCH($O10,LAMINA_HORA!$W$3:$AP$3,0)),"?"))</f>
        <v/>
      </c>
      <c r="R10" s="16">
        <f>IF($I10="PENDENTE","Definir Kc/classe",IF($I10="(nao plantado)","Aguardar plantio",IF($M10="","-",IF($M10&gt;=TURNO,"IRRIGAR",IF($M10&gt;=TURNO*FRAC_ACOMP,"Acompanhar","Aguardar")))))</f>
        <v/>
      </c>
      <c r="S10" s="16">
        <f>IF(OR($M10="",$M10=0),"-",IF($M10&gt;=2*TURNO,"Alta",IF($M10&gt;=TURNO,"Media","Baixa")))</f>
        <v/>
      </c>
      <c r="T10" s="17" t="inlineStr"/>
      <c r="U10" s="8" t="inlineStr">
        <is>
          <t>P27</t>
        </is>
      </c>
    </row>
    <row r="11">
      <c r="A11" s="6" t="inlineStr">
        <is>
          <t>Pivô 28</t>
        </is>
      </c>
      <c r="B11" s="6" t="inlineStr">
        <is>
          <t>R7</t>
        </is>
      </c>
      <c r="C11" s="7" t="inlineStr">
        <is>
          <t>PS1319/FA13/CCN51</t>
        </is>
      </c>
      <c r="D11" s="8" t="inlineStr"/>
      <c r="E11" s="9" t="n">
        <v>133</v>
      </c>
      <c r="F11" s="10" t="n">
        <v>46196</v>
      </c>
      <c r="G11" s="11">
        <f>IF($F11="","",IF($F11&gt;DATA_REF,"",DATA_REF-$F11))</f>
        <v/>
      </c>
      <c r="H11" s="11">
        <f>IF($G11="","",MAX(0,$G11-'PARAMETROS'!$B$9))</f>
        <v/>
      </c>
      <c r="I11" s="12">
        <f>IF($T11="","PENDENTE",IF($G11="","(nao plantado)",IFERROR(INDEX(CURVAS_KC!$B$5:$I$224,MATCH(MIN(MAX($H11,1),220),CURVAS_KC!$A$5:$A$224,0),MATCH($T11,CURVAS_KC!$B$4:$I$4,0)),"PENDENTE")))</f>
        <v/>
      </c>
      <c r="J11" s="13">
        <f>ETO_SEM</f>
        <v/>
      </c>
      <c r="K11" s="13">
        <f>CHUVA_SEM</f>
        <v/>
      </c>
      <c r="L11" s="14">
        <f>IF(OR($I11="PENDENTE",$I11="(nao plantado)",$J11=""),"",$I11*$J11)</f>
        <v/>
      </c>
      <c r="M11" s="14">
        <f>IF($L11="","",MAX(0,$L11-N($K11)))</f>
        <v/>
      </c>
      <c r="N11" s="14">
        <f>IF($M11="","",$M11/EF_APLIC)</f>
        <v/>
      </c>
      <c r="O11" s="8" t="n"/>
      <c r="P11" s="15">
        <f>IF(OR($U11="",$O11=""),"",IFERROR(INDEX(LAMINA_HORA!$C$5:$V$114,MATCH($U11,LAMINA_HORA!$A$5:$A$114,0),MATCH($O11,LAMINA_HORA!$C$3:$V$3,0)),"?"))</f>
        <v/>
      </c>
      <c r="Q11" s="15">
        <f>IF(OR($U11="",$O11=""),"",IFERROR(INDEX(LAMINA_HORA!$W$5:$AP$114,MATCH($U11,LAMINA_HORA!$A$5:$A$114,0),MATCH($O11,LAMINA_HORA!$W$3:$AP$3,0)),"?"))</f>
        <v/>
      </c>
      <c r="R11" s="16">
        <f>IF($I11="PENDENTE","Definir Kc/classe",IF($I11="(nao plantado)","Aguardar plantio",IF($M11="","-",IF($M11&gt;=TURNO,"IRRIGAR",IF($M11&gt;=TURNO*FRAC_ACOMP,"Acompanhar","Aguardar")))))</f>
        <v/>
      </c>
      <c r="S11" s="16">
        <f>IF(OR($M11="",$M11=0),"-",IF($M11&gt;=2*TURNO,"Alta",IF($M11&gt;=TURNO,"Media","Baixa")))</f>
        <v/>
      </c>
      <c r="T11" s="17" t="inlineStr"/>
      <c r="U11" s="8" t="inlineStr">
        <is>
          <t>P28</t>
        </is>
      </c>
    </row>
    <row r="12">
      <c r="A12" s="6" t="inlineStr">
        <is>
          <t>Pivô 29</t>
        </is>
      </c>
      <c r="B12" s="6" t="inlineStr">
        <is>
          <t>R7</t>
        </is>
      </c>
      <c r="C12" s="7" t="inlineStr">
        <is>
          <t>PS1319/FA13/CCN51</t>
        </is>
      </c>
      <c r="D12" s="8" t="inlineStr"/>
      <c r="E12" s="9" t="n">
        <v>80</v>
      </c>
      <c r="F12" s="10" t="n">
        <v>45901</v>
      </c>
      <c r="G12" s="11">
        <f>IF($F12="","",IF($F12&gt;DATA_REF,"",DATA_REF-$F12))</f>
        <v/>
      </c>
      <c r="H12" s="11">
        <f>IF($G12="","",MAX(0,$G12-'PARAMETROS'!$B$9))</f>
        <v/>
      </c>
      <c r="I12" s="12">
        <f>IF($T12="","PENDENTE",IF($G12="","(nao plantado)",IFERROR(INDEX(CURVAS_KC!$B$5:$I$224,MATCH(MIN(MAX($H12,1),220),CURVAS_KC!$A$5:$A$224,0),MATCH($T12,CURVAS_KC!$B$4:$I$4,0)),"PENDENTE")))</f>
        <v/>
      </c>
      <c r="J12" s="13">
        <f>ETO_SEM</f>
        <v/>
      </c>
      <c r="K12" s="13">
        <f>CHUVA_SEM</f>
        <v/>
      </c>
      <c r="L12" s="14">
        <f>IF(OR($I12="PENDENTE",$I12="(nao plantado)",$J12=""),"",$I12*$J12)</f>
        <v/>
      </c>
      <c r="M12" s="14">
        <f>IF($L12="","",MAX(0,$L12-N($K12)))</f>
        <v/>
      </c>
      <c r="N12" s="14">
        <f>IF($M12="","",$M12/EF_APLIC)</f>
        <v/>
      </c>
      <c r="O12" s="8" t="n"/>
      <c r="P12" s="15">
        <f>IF(OR($U12="",$O12=""),"",IFERROR(INDEX(LAMINA_HORA!$C$5:$V$114,MATCH($U12,LAMINA_HORA!$A$5:$A$114,0),MATCH($O12,LAMINA_HORA!$C$3:$V$3,0)),"?"))</f>
        <v/>
      </c>
      <c r="Q12" s="15">
        <f>IF(OR($U12="",$O12=""),"",IFERROR(INDEX(LAMINA_HORA!$W$5:$AP$114,MATCH($U12,LAMINA_HORA!$A$5:$A$114,0),MATCH($O12,LAMINA_HORA!$W$3:$AP$3,0)),"?"))</f>
        <v/>
      </c>
      <c r="R12" s="16">
        <f>IF($I12="PENDENTE","Definir Kc/classe",IF($I12="(nao plantado)","Aguardar plantio",IF($M12="","-",IF($M12&gt;=TURNO,"IRRIGAR",IF($M12&gt;=TURNO*FRAC_ACOMP,"Acompanhar","Aguardar")))))</f>
        <v/>
      </c>
      <c r="S12" s="16">
        <f>IF(OR($M12="",$M12=0),"-",IF($M12&gt;=2*TURNO,"Alta",IF($M12&gt;=TURNO,"Media","Baixa")))</f>
        <v/>
      </c>
      <c r="T12" s="17" t="inlineStr"/>
      <c r="U12" s="8" t="inlineStr">
        <is>
          <t>P29</t>
        </is>
      </c>
    </row>
    <row r="13">
      <c r="A13" s="6" t="inlineStr">
        <is>
          <t>Pivô 30</t>
        </is>
      </c>
      <c r="B13" s="6" t="inlineStr">
        <is>
          <t>C3Z3/R7</t>
        </is>
      </c>
      <c r="C13" s="7" t="inlineStr">
        <is>
          <t>PS1319/FA13/CCN51</t>
        </is>
      </c>
      <c r="D13" s="8" t="inlineStr"/>
      <c r="E13" s="9" t="n">
        <v>150</v>
      </c>
      <c r="F13" s="10" t="n">
        <v>46447</v>
      </c>
      <c r="G13" s="11">
        <f>IF($F13="","",IF($F13&gt;DATA_REF,"",DATA_REF-$F13))</f>
        <v/>
      </c>
      <c r="H13" s="11">
        <f>IF($G13="","",MAX(0,$G13-'PARAMETROS'!$B$9))</f>
        <v/>
      </c>
      <c r="I13" s="12">
        <f>IF($T13="","PENDENTE",IF($G13="","(nao plantado)",IFERROR(INDEX(CURVAS_KC!$B$5:$I$224,MATCH(MIN(MAX($H13,1),220),CURVAS_KC!$A$5:$A$224,0),MATCH($T13,CURVAS_KC!$B$4:$I$4,0)),"PENDENTE")))</f>
        <v/>
      </c>
      <c r="J13" s="13">
        <f>ETO_SEM</f>
        <v/>
      </c>
      <c r="K13" s="13">
        <f>CHUVA_SEM</f>
        <v/>
      </c>
      <c r="L13" s="14">
        <f>IF(OR($I13="PENDENTE",$I13="(nao plantado)",$J13=""),"",$I13*$J13)</f>
        <v/>
      </c>
      <c r="M13" s="14">
        <f>IF($L13="","",MAX(0,$L13-N($K13)))</f>
        <v/>
      </c>
      <c r="N13" s="14">
        <f>IF($M13="","",$M13/EF_APLIC)</f>
        <v/>
      </c>
      <c r="O13" s="8" t="n"/>
      <c r="P13" s="15">
        <f>IF(OR($U13="",$O13=""),"",IFERROR(INDEX(LAMINA_HORA!$C$5:$V$114,MATCH($U13,LAMINA_HORA!$A$5:$A$114,0),MATCH($O13,LAMINA_HORA!$C$3:$V$3,0)),"?"))</f>
        <v/>
      </c>
      <c r="Q13" s="15">
        <f>IF(OR($U13="",$O13=""),"",IFERROR(INDEX(LAMINA_HORA!$W$5:$AP$114,MATCH($U13,LAMINA_HORA!$A$5:$A$114,0),MATCH($O13,LAMINA_HORA!$W$3:$AP$3,0)),"?"))</f>
        <v/>
      </c>
      <c r="R13" s="16">
        <f>IF($I13="PENDENTE","Definir Kc/classe",IF($I13="(nao plantado)","Aguardar plantio",IF($M13="","-",IF($M13&gt;=TURNO,"IRRIGAR",IF($M13&gt;=TURNO*FRAC_ACOMP,"Acompanhar","Aguardar")))))</f>
        <v/>
      </c>
      <c r="S13" s="16">
        <f>IF(OR($M13="",$M13=0),"-",IF($M13&gt;=2*TURNO,"Alta",IF($M13&gt;=TURNO,"Media","Baixa")))</f>
        <v/>
      </c>
      <c r="T13" s="17" t="inlineStr"/>
      <c r="U13" s="8" t="inlineStr">
        <is>
          <t>P30</t>
        </is>
      </c>
    </row>
    <row r="14">
      <c r="A14" s="6" t="inlineStr">
        <is>
          <t>Pivô 31</t>
        </is>
      </c>
      <c r="B14" s="6" t="inlineStr">
        <is>
          <t>C3Z3/R7</t>
        </is>
      </c>
      <c r="C14" s="7" t="inlineStr">
        <is>
          <t>PS1319/FA13/CCN51</t>
        </is>
      </c>
      <c r="D14" s="8" t="inlineStr"/>
      <c r="E14" s="9" t="n">
        <v>150</v>
      </c>
      <c r="F14" s="10" t="n">
        <v>46357</v>
      </c>
      <c r="G14" s="11">
        <f>IF($F14="","",IF($F14&gt;DATA_REF,"",DATA_REF-$F14))</f>
        <v/>
      </c>
      <c r="H14" s="11">
        <f>IF($G14="","",MAX(0,$G14-'PARAMETROS'!$B$9))</f>
        <v/>
      </c>
      <c r="I14" s="12">
        <f>IF($T14="","PENDENTE",IF($G14="","(nao plantado)",IFERROR(INDEX(CURVAS_KC!$B$5:$I$224,MATCH(MIN(MAX($H14,1),220),CURVAS_KC!$A$5:$A$224,0),MATCH($T14,CURVAS_KC!$B$4:$I$4,0)),"PENDENTE")))</f>
        <v/>
      </c>
      <c r="J14" s="13">
        <f>ETO_SEM</f>
        <v/>
      </c>
      <c r="K14" s="13">
        <f>CHUVA_SEM</f>
        <v/>
      </c>
      <c r="L14" s="14">
        <f>IF(OR($I14="PENDENTE",$I14="(nao plantado)",$J14=""),"",$I14*$J14)</f>
        <v/>
      </c>
      <c r="M14" s="14">
        <f>IF($L14="","",MAX(0,$L14-N($K14)))</f>
        <v/>
      </c>
      <c r="N14" s="14">
        <f>IF($M14="","",$M14/EF_APLIC)</f>
        <v/>
      </c>
      <c r="O14" s="8" t="n"/>
      <c r="P14" s="15">
        <f>IF(OR($U14="",$O14=""),"",IFERROR(INDEX(LAMINA_HORA!$C$5:$V$114,MATCH($U14,LAMINA_HORA!$A$5:$A$114,0),MATCH($O14,LAMINA_HORA!$C$3:$V$3,0)),"?"))</f>
        <v/>
      </c>
      <c r="Q14" s="15">
        <f>IF(OR($U14="",$O14=""),"",IFERROR(INDEX(LAMINA_HORA!$W$5:$AP$114,MATCH($U14,LAMINA_HORA!$A$5:$A$114,0),MATCH($O14,LAMINA_HORA!$W$3:$AP$3,0)),"?"))</f>
        <v/>
      </c>
      <c r="R14" s="16">
        <f>IF($I14="PENDENTE","Definir Kc/classe",IF($I14="(nao plantado)","Aguardar plantio",IF($M14="","-",IF($M14&gt;=TURNO,"IRRIGAR",IF($M14&gt;=TURNO*FRAC_ACOMP,"Acompanhar","Aguardar")))))</f>
        <v/>
      </c>
      <c r="S14" s="16">
        <f>IF(OR($M14="",$M14=0),"-",IF($M14&gt;=2*TURNO,"Alta",IF($M14&gt;=TURNO,"Media","Baixa")))</f>
        <v/>
      </c>
      <c r="T14" s="17" t="inlineStr"/>
      <c r="U14" s="8" t="inlineStr">
        <is>
          <t>P31</t>
        </is>
      </c>
    </row>
    <row r="15">
      <c r="A15" s="6" t="inlineStr">
        <is>
          <t>Pivô 32</t>
        </is>
      </c>
      <c r="B15" s="6" t="inlineStr">
        <is>
          <t>C3Z3/R7</t>
        </is>
      </c>
      <c r="C15" s="7" t="inlineStr">
        <is>
          <t>PS1319/FA13/CCN51</t>
        </is>
      </c>
      <c r="D15" s="8" t="inlineStr"/>
      <c r="E15" s="9" t="n">
        <v>133</v>
      </c>
      <c r="F15" s="10" t="n">
        <v>45923</v>
      </c>
      <c r="G15" s="11">
        <f>IF($F15="","",IF($F15&gt;DATA_REF,"",DATA_REF-$F15))</f>
        <v/>
      </c>
      <c r="H15" s="11">
        <f>IF($G15="","",MAX(0,$G15-'PARAMETROS'!$B$9))</f>
        <v/>
      </c>
      <c r="I15" s="12">
        <f>IF($T15="","PENDENTE",IF($G15="","(nao plantado)",IFERROR(INDEX(CURVAS_KC!$B$5:$I$224,MATCH(MIN(MAX($H15,1),220),CURVAS_KC!$A$5:$A$224,0),MATCH($T15,CURVAS_KC!$B$4:$I$4,0)),"PENDENTE")))</f>
        <v/>
      </c>
      <c r="J15" s="13">
        <f>ETO_SEM</f>
        <v/>
      </c>
      <c r="K15" s="13">
        <f>CHUVA_SEM</f>
        <v/>
      </c>
      <c r="L15" s="14">
        <f>IF(OR($I15="PENDENTE",$I15="(nao plantado)",$J15=""),"",$I15*$J15)</f>
        <v/>
      </c>
      <c r="M15" s="14">
        <f>IF($L15="","",MAX(0,$L15-N($K15)))</f>
        <v/>
      </c>
      <c r="N15" s="14">
        <f>IF($M15="","",$M15/EF_APLIC)</f>
        <v/>
      </c>
      <c r="O15" s="8" t="n"/>
      <c r="P15" s="15">
        <f>IF(OR($U15="",$O15=""),"",IFERROR(INDEX(LAMINA_HORA!$C$5:$V$114,MATCH($U15,LAMINA_HORA!$A$5:$A$114,0),MATCH($O15,LAMINA_HORA!$C$3:$V$3,0)),"?"))</f>
        <v/>
      </c>
      <c r="Q15" s="15">
        <f>IF(OR($U15="",$O15=""),"",IFERROR(INDEX(LAMINA_HORA!$W$5:$AP$114,MATCH($U15,LAMINA_HORA!$A$5:$A$114,0),MATCH($O15,LAMINA_HORA!$W$3:$AP$3,0)),"?"))</f>
        <v/>
      </c>
      <c r="R15" s="16">
        <f>IF($I15="PENDENTE","Definir Kc/classe",IF($I15="(nao plantado)","Aguardar plantio",IF($M15="","-",IF($M15&gt;=TURNO,"IRRIGAR",IF($M15&gt;=TURNO*FRAC_ACOMP,"Acompanhar","Aguardar")))))</f>
        <v/>
      </c>
      <c r="S15" s="16">
        <f>IF(OR($M15="",$M15=0),"-",IF($M15&gt;=2*TURNO,"Alta",IF($M15&gt;=TURNO,"Media","Baixa")))</f>
        <v/>
      </c>
      <c r="T15" s="17" t="inlineStr"/>
      <c r="U15" s="8" t="inlineStr">
        <is>
          <t>P32</t>
        </is>
      </c>
    </row>
    <row r="16">
      <c r="A16" s="6" t="inlineStr">
        <is>
          <t>Pivô 34</t>
        </is>
      </c>
      <c r="B16" s="6" t="inlineStr">
        <is>
          <t>C3Z3/R7</t>
        </is>
      </c>
      <c r="C16" s="7" t="inlineStr">
        <is>
          <t>PS1319/FA13/CCN51</t>
        </is>
      </c>
      <c r="D16" s="8" t="inlineStr"/>
      <c r="E16" s="9" t="n">
        <v>150</v>
      </c>
      <c r="F16" s="10" t="n">
        <v>46326</v>
      </c>
      <c r="G16" s="11">
        <f>IF($F16="","",IF($F16&gt;DATA_REF,"",DATA_REF-$F16))</f>
        <v/>
      </c>
      <c r="H16" s="11">
        <f>IF($G16="","",MAX(0,$G16-'PARAMETROS'!$B$9))</f>
        <v/>
      </c>
      <c r="I16" s="12">
        <f>IF($T16="","PENDENTE",IF($G16="","(nao plantado)",IFERROR(INDEX(CURVAS_KC!$B$5:$I$224,MATCH(MIN(MAX($H16,1),220),CURVAS_KC!$A$5:$A$224,0),MATCH($T16,CURVAS_KC!$B$4:$I$4,0)),"PENDENTE")))</f>
        <v/>
      </c>
      <c r="J16" s="13">
        <f>ETO_SEM</f>
        <v/>
      </c>
      <c r="K16" s="13">
        <f>CHUVA_SEM</f>
        <v/>
      </c>
      <c r="L16" s="14">
        <f>IF(OR($I16="PENDENTE",$I16="(nao plantado)",$J16=""),"",$I16*$J16)</f>
        <v/>
      </c>
      <c r="M16" s="14">
        <f>IF($L16="","",MAX(0,$L16-N($K16)))</f>
        <v/>
      </c>
      <c r="N16" s="14">
        <f>IF($M16="","",$M16/EF_APLIC)</f>
        <v/>
      </c>
      <c r="O16" s="8" t="n"/>
      <c r="P16" s="15">
        <f>IF(OR($U16="",$O16=""),"",IFERROR(INDEX(LAMINA_HORA!$C$5:$V$114,MATCH($U16,LAMINA_HORA!$A$5:$A$114,0),MATCH($O16,LAMINA_HORA!$C$3:$V$3,0)),"?"))</f>
        <v/>
      </c>
      <c r="Q16" s="15">
        <f>IF(OR($U16="",$O16=""),"",IFERROR(INDEX(LAMINA_HORA!$W$5:$AP$114,MATCH($U16,LAMINA_HORA!$A$5:$A$114,0),MATCH($O16,LAMINA_HORA!$W$3:$AP$3,0)),"?"))</f>
        <v/>
      </c>
      <c r="R16" s="16">
        <f>IF($I16="PENDENTE","Definir Kc/classe",IF($I16="(nao plantado)","Aguardar plantio",IF($M16="","-",IF($M16&gt;=TURNO,"IRRIGAR",IF($M16&gt;=TURNO*FRAC_ACOMP,"Acompanhar","Aguardar")))))</f>
        <v/>
      </c>
      <c r="S16" s="16">
        <f>IF(OR($M16="",$M16=0),"-",IF($M16&gt;=2*TURNO,"Alta",IF($M16&gt;=TURNO,"Media","Baixa")))</f>
        <v/>
      </c>
      <c r="T16" s="17" t="inlineStr"/>
      <c r="U16" s="8" t="inlineStr">
        <is>
          <t>P34</t>
        </is>
      </c>
    </row>
    <row r="17">
      <c r="A17" s="6" t="inlineStr">
        <is>
          <t>Pivô 75</t>
        </is>
      </c>
      <c r="B17" s="6" t="inlineStr">
        <is>
          <t>C3Z3/R7</t>
        </is>
      </c>
      <c r="C17" s="7" t="inlineStr">
        <is>
          <t>PS1319/FA13/CCN51</t>
        </is>
      </c>
      <c r="D17" s="8" t="inlineStr"/>
      <c r="E17" s="9" t="n">
        <v>9</v>
      </c>
      <c r="F17" s="10" t="n">
        <v>45923</v>
      </c>
      <c r="G17" s="11">
        <f>IF($F17="","",IF($F17&gt;DATA_REF,"",DATA_REF-$F17))</f>
        <v/>
      </c>
      <c r="H17" s="11">
        <f>IF($G17="","",MAX(0,$G17-'PARAMETROS'!$B$9))</f>
        <v/>
      </c>
      <c r="I17" s="12">
        <f>IF($T17="","PENDENTE",IF($G17="","(nao plantado)",IFERROR(INDEX(CURVAS_KC!$B$5:$I$224,MATCH(MIN(MAX($H17,1),220),CURVAS_KC!$A$5:$A$224,0),MATCH($T17,CURVAS_KC!$B$4:$I$4,0)),"PENDENTE")))</f>
        <v/>
      </c>
      <c r="J17" s="13">
        <f>ETO_SEM</f>
        <v/>
      </c>
      <c r="K17" s="13">
        <f>CHUVA_SEM</f>
        <v/>
      </c>
      <c r="L17" s="14">
        <f>IF(OR($I17="PENDENTE",$I17="(nao plantado)",$J17=""),"",$I17*$J17)</f>
        <v/>
      </c>
      <c r="M17" s="14">
        <f>IF($L17="","",MAX(0,$L17-N($K17)))</f>
        <v/>
      </c>
      <c r="N17" s="14">
        <f>IF($M17="","",$M17/EF_APLIC)</f>
        <v/>
      </c>
      <c r="O17" s="8" t="n"/>
      <c r="P17" s="15">
        <f>IF(OR($U17="",$O17=""),"",IFERROR(INDEX(LAMINA_HORA!$C$5:$V$114,MATCH($U17,LAMINA_HORA!$A$5:$A$114,0),MATCH($O17,LAMINA_HORA!$C$3:$V$3,0)),"?"))</f>
        <v/>
      </c>
      <c r="Q17" s="15">
        <f>IF(OR($U17="",$O17=""),"",IFERROR(INDEX(LAMINA_HORA!$W$5:$AP$114,MATCH($U17,LAMINA_HORA!$A$5:$A$114,0),MATCH($O17,LAMINA_HORA!$W$3:$AP$3,0)),"?"))</f>
        <v/>
      </c>
      <c r="R17" s="16">
        <f>IF($I17="PENDENTE","Definir Kc/classe",IF($I17="(nao plantado)","Aguardar plantio",IF($M17="","-",IF($M17&gt;=TURNO,"IRRIGAR",IF($M17&gt;=TURNO*FRAC_ACOMP,"Acompanhar","Aguardar")))))</f>
        <v/>
      </c>
      <c r="S17" s="16">
        <f>IF(OR($M17="",$M17=0),"-",IF($M17&gt;=2*TURNO,"Alta",IF($M17&gt;=TURNO,"Media","Baixa")))</f>
        <v/>
      </c>
      <c r="T17" s="17" t="inlineStr"/>
      <c r="U17" s="8" t="inlineStr">
        <is>
          <t>P75</t>
        </is>
      </c>
    </row>
    <row r="18">
      <c r="A18" s="6" t="inlineStr">
        <is>
          <t>Pivô 76</t>
        </is>
      </c>
      <c r="B18" s="6" t="inlineStr">
        <is>
          <t>C3Z3/R7</t>
        </is>
      </c>
      <c r="C18" s="7" t="inlineStr">
        <is>
          <t>PS1319/FA13/CCN51</t>
        </is>
      </c>
      <c r="D18" s="8" t="inlineStr"/>
      <c r="E18" s="9" t="n">
        <v>84</v>
      </c>
      <c r="F18" s="10" t="n">
        <v>45923</v>
      </c>
      <c r="G18" s="11">
        <f>IF($F18="","",IF($F18&gt;DATA_REF,"",DATA_REF-$F18))</f>
        <v/>
      </c>
      <c r="H18" s="11">
        <f>IF($G18="","",MAX(0,$G18-'PARAMETROS'!$B$9))</f>
        <v/>
      </c>
      <c r="I18" s="12">
        <f>IF($T18="","PENDENTE",IF($G18="","(nao plantado)",IFERROR(INDEX(CURVAS_KC!$B$5:$I$224,MATCH(MIN(MAX($H18,1),220),CURVAS_KC!$A$5:$A$224,0),MATCH($T18,CURVAS_KC!$B$4:$I$4,0)),"PENDENTE")))</f>
        <v/>
      </c>
      <c r="J18" s="13">
        <f>ETO_SEM</f>
        <v/>
      </c>
      <c r="K18" s="13">
        <f>CHUVA_SEM</f>
        <v/>
      </c>
      <c r="L18" s="14">
        <f>IF(OR($I18="PENDENTE",$I18="(nao plantado)",$J18=""),"",$I18*$J18)</f>
        <v/>
      </c>
      <c r="M18" s="14">
        <f>IF($L18="","",MAX(0,$L18-N($K18)))</f>
        <v/>
      </c>
      <c r="N18" s="14">
        <f>IF($M18="","",$M18/EF_APLIC)</f>
        <v/>
      </c>
      <c r="O18" s="8" t="n"/>
      <c r="P18" s="15">
        <f>IF(OR($U18="",$O18=""),"",IFERROR(INDEX(LAMINA_HORA!$C$5:$V$114,MATCH($U18,LAMINA_HORA!$A$5:$A$114,0),MATCH($O18,LAMINA_HORA!$C$3:$V$3,0)),"?"))</f>
        <v/>
      </c>
      <c r="Q18" s="15">
        <f>IF(OR($U18="",$O18=""),"",IFERROR(INDEX(LAMINA_HORA!$W$5:$AP$114,MATCH($U18,LAMINA_HORA!$A$5:$A$114,0),MATCH($O18,LAMINA_HORA!$W$3:$AP$3,0)),"?"))</f>
        <v/>
      </c>
      <c r="R18" s="16">
        <f>IF($I18="PENDENTE","Definir Kc/classe",IF($I18="(nao plantado)","Aguardar plantio",IF($M18="","-",IF($M18&gt;=TURNO,"IRRIGAR",IF($M18&gt;=TURNO*FRAC_ACOMP,"Acompanhar","Aguardar")))))</f>
        <v/>
      </c>
      <c r="S18" s="16">
        <f>IF(OR($M18="",$M18=0),"-",IF($M18&gt;=2*TURNO,"Alta",IF($M18&gt;=TURNO,"Media","Baixa")))</f>
        <v/>
      </c>
      <c r="T18" s="17" t="inlineStr"/>
      <c r="U18" s="8" t="inlineStr">
        <is>
          <t>P76</t>
        </is>
      </c>
    </row>
    <row r="21">
      <c r="A21" s="18" t="inlineStr">
        <is>
          <t>ETc semanal = Kc(DAE) x ETo da semana (ETO_SEMANAL). Nec. liquida = ETc - chuva; bruta = /0,90. IRRIGAR = necessidade atingiu o alvo/turno. Digite o % para ver lamina e horas.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20" t="n"/>
    </row>
  </sheetData>
  <mergeCells count="2">
    <mergeCell ref="A5:U5"/>
    <mergeCell ref="A21:U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D966"/>
    <outlinePr summaryBelow="1" summaryRight="1"/>
    <pageSetUpPr/>
  </sheetPr>
  <dimension ref="A1:U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5" customWidth="1" min="3" max="3"/>
    <col width="8" customWidth="1" min="4" max="4"/>
    <col width="7" customWidth="1" min="5" max="5"/>
    <col width="11" customWidth="1" min="6" max="6"/>
    <col width="6" customWidth="1" min="7" max="7"/>
    <col width="6" customWidth="1" min="8" max="8"/>
    <col width="6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7" customWidth="1" min="15" max="15"/>
    <col width="10" customWidth="1" min="16" max="16"/>
    <col width="6" customWidth="1" min="17" max="17"/>
    <col width="11" customWidth="1" min="18" max="18"/>
    <col width="10" customWidth="1" min="19" max="19"/>
    <col hidden="1" width="11" customWidth="1" min="20" max="20"/>
    <col width="6" customWidth="1" min="21" max="21"/>
  </cols>
  <sheetData>
    <row r="1" ht="20" customHeight="1">
      <c r="A1" s="1" t="inlineStr">
        <is>
          <t>MILHO 26/27 - manejo por modulo</t>
        </is>
      </c>
    </row>
    <row r="2">
      <c r="A2" s="2" t="inlineStr">
        <is>
          <t>ETc = Kc(DAE) x ETo semanal. DAE = DAP - 5. Agrupado por modulo. Atualize ETO_SEMANAL.</t>
        </is>
      </c>
    </row>
    <row r="4" ht="30" customHeight="1">
      <c r="A4" s="4" t="inlineStr">
        <is>
          <t>Pivo</t>
        </is>
      </c>
      <c r="B4" s="4" t="inlineStr">
        <is>
          <t>Casa b.</t>
        </is>
      </c>
      <c r="C4" s="4" t="inlineStr">
        <is>
          <t>Variedade</t>
        </is>
      </c>
      <c r="D4" s="4" t="inlineStr">
        <is>
          <t>Classe</t>
        </is>
      </c>
      <c r="E4" s="4" t="inlineStr">
        <is>
          <t>Area(ha)</t>
        </is>
      </c>
      <c r="F4" s="4" t="inlineStr">
        <is>
          <t>Plantio</t>
        </is>
      </c>
      <c r="G4" s="4" t="inlineStr">
        <is>
          <t>DAP</t>
        </is>
      </c>
      <c r="H4" s="4" t="inlineStr">
        <is>
          <t>DAE</t>
        </is>
      </c>
      <c r="I4" s="4" t="inlineStr">
        <is>
          <t>Kc</t>
        </is>
      </c>
      <c r="J4" s="4" t="inlineStr">
        <is>
          <t>ETo sem</t>
        </is>
      </c>
      <c r="K4" s="4" t="inlineStr">
        <is>
          <t>Chuva sem</t>
        </is>
      </c>
      <c r="L4" s="4" t="inlineStr">
        <is>
          <t>ETc sem</t>
        </is>
      </c>
      <c r="M4" s="4" t="inlineStr">
        <is>
          <t>Nec liq</t>
        </is>
      </c>
      <c r="N4" s="4" t="inlineStr">
        <is>
          <t>Nec bruta</t>
        </is>
      </c>
      <c r="O4" s="4" t="inlineStr">
        <is>
          <t>% aplic</t>
        </is>
      </c>
      <c r="P4" s="4" t="inlineStr">
        <is>
          <t>Lamina(mm)</t>
        </is>
      </c>
      <c r="Q4" s="4" t="inlineStr">
        <is>
          <t>Horas</t>
        </is>
      </c>
      <c r="R4" s="4" t="inlineStr">
        <is>
          <t>Decisao</t>
        </is>
      </c>
      <c r="S4" s="4" t="inlineStr">
        <is>
          <t>Prioridade</t>
        </is>
      </c>
      <c r="T4" s="4" t="inlineStr">
        <is>
          <t>ColKc</t>
        </is>
      </c>
      <c r="U4" s="4" t="inlineStr">
        <is>
          <t>Cod</t>
        </is>
      </c>
    </row>
    <row r="6">
      <c r="A6" s="18" t="inlineStr">
        <is>
          <t>ETc semanal = Kc(DAE) x ETo da semana (ETO_SEMANAL). Nec. liquida = ETc - chuva; bruta = /0,90. IRRIGAR = necessidade atingiu o alvo/turno. Digite o % para ver lamina e horas.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20" t="n"/>
    </row>
  </sheetData>
  <mergeCells count="1">
    <mergeCell ref="A6:U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F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21" t="inlineStr">
        <is>
          <t>Chuva da semana atual (mm):</t>
        </is>
      </c>
      <c r="B2" s="22">
        <f>IFERROR(INDEX(ETO_SEMANAL!$C$6:$C$65,MATCH(DATA_REF,ETO_SEMANAL!$A$6:$A$65,1)),"")</f>
        <v/>
      </c>
    </row>
    <row r="3">
      <c r="A3" s="21" t="inlineStr">
        <is>
          <t>ETo da semana atual (mm):</t>
        </is>
      </c>
      <c r="B3" s="22">
        <f>IFERROR(INDEX(ETO_SEMANAL!$B$6:$B$65,MATCH(DATA_REF,ETO_SEMANAL!$A$6:$A$65,1)),"")</f>
        <v/>
      </c>
      <c r="F3" s="18" t="inlineStr">
        <is>
          <t>A semana atual e escolhida pela Data de referencia (PARAMETROS). Preenchido com 35 mm/sem (placeholder).</t>
        </is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10" t="n">
        <v>46265</v>
      </c>
      <c r="B6" s="23" t="n">
        <v>35</v>
      </c>
      <c r="C6" s="23" t="n">
        <v>0</v>
      </c>
      <c r="D6" s="18" t="n"/>
    </row>
    <row r="7">
      <c r="A7" s="10" t="n">
        <v>46272</v>
      </c>
      <c r="B7" s="23" t="n">
        <v>35</v>
      </c>
      <c r="C7" s="23" t="n">
        <v>0</v>
      </c>
      <c r="D7" s="18" t="n"/>
    </row>
    <row r="8">
      <c r="A8" s="10" t="n">
        <v>46279</v>
      </c>
      <c r="B8" s="23" t="n">
        <v>35</v>
      </c>
      <c r="C8" s="23" t="n">
        <v>0</v>
      </c>
      <c r="D8" s="18" t="n"/>
    </row>
    <row r="9">
      <c r="A9" s="10" t="n">
        <v>46286</v>
      </c>
      <c r="B9" s="23" t="n">
        <v>35</v>
      </c>
      <c r="C9" s="23" t="n">
        <v>0</v>
      </c>
      <c r="D9" s="18" t="n"/>
    </row>
    <row r="10">
      <c r="A10" s="10" t="n">
        <v>46293</v>
      </c>
      <c r="B10" s="23" t="n">
        <v>35</v>
      </c>
      <c r="C10" s="23" t="n">
        <v>0</v>
      </c>
      <c r="D10" s="18" t="n"/>
    </row>
    <row r="11">
      <c r="A11" s="10" t="n">
        <v>46300</v>
      </c>
      <c r="B11" s="23" t="n">
        <v>35</v>
      </c>
      <c r="C11" s="23" t="n">
        <v>0</v>
      </c>
      <c r="D11" s="18" t="n"/>
    </row>
    <row r="12">
      <c r="A12" s="24" t="n">
        <v>46307</v>
      </c>
      <c r="B12" s="23" t="n"/>
      <c r="C12" s="23" t="n"/>
      <c r="D12" s="18" t="n"/>
    </row>
    <row r="13">
      <c r="A13" s="24" t="n">
        <v>46314</v>
      </c>
      <c r="B13" s="23" t="n"/>
      <c r="C13" s="23" t="n"/>
      <c r="D13" s="18" t="n"/>
    </row>
    <row r="14">
      <c r="A14" s="24" t="n">
        <v>46321</v>
      </c>
      <c r="B14" s="23" t="n"/>
      <c r="C14" s="23" t="n"/>
      <c r="D14" s="18" t="n"/>
    </row>
    <row r="15">
      <c r="A15" s="24" t="n">
        <v>46328</v>
      </c>
      <c r="B15" s="23" t="n"/>
      <c r="C15" s="23" t="n"/>
      <c r="D15" s="18" t="n"/>
    </row>
    <row r="16">
      <c r="A16" s="24" t="n">
        <v>46335</v>
      </c>
      <c r="B16" s="23" t="n"/>
      <c r="C16" s="23" t="n"/>
      <c r="D16" s="18" t="n"/>
    </row>
    <row r="17">
      <c r="A17" s="24" t="n">
        <v>46342</v>
      </c>
      <c r="B17" s="23" t="n"/>
      <c r="C17" s="23" t="n"/>
      <c r="D17" s="18" t="n"/>
    </row>
    <row r="18">
      <c r="A18" s="24" t="n">
        <v>46349</v>
      </c>
      <c r="B18" s="23" t="n"/>
      <c r="C18" s="23" t="n"/>
      <c r="D18" s="18" t="n"/>
    </row>
    <row r="19">
      <c r="A19" s="24" t="n">
        <v>46356</v>
      </c>
      <c r="B19" s="23" t="n"/>
      <c r="C19" s="23" t="n"/>
      <c r="D19" s="18" t="n"/>
    </row>
    <row r="20">
      <c r="A20" s="24" t="n">
        <v>46363</v>
      </c>
      <c r="B20" s="23" t="n"/>
      <c r="C20" s="23" t="n"/>
      <c r="D20" s="18" t="n"/>
    </row>
    <row r="21">
      <c r="A21" s="24" t="n">
        <v>46370</v>
      </c>
      <c r="B21" s="23" t="n"/>
      <c r="C21" s="23" t="n"/>
      <c r="D21" s="18" t="n"/>
    </row>
    <row r="22">
      <c r="A22" s="24" t="n">
        <v>46377</v>
      </c>
      <c r="B22" s="23" t="n"/>
      <c r="C22" s="23" t="n"/>
      <c r="D22" s="18" t="n"/>
    </row>
    <row r="23">
      <c r="A23" s="24" t="n">
        <v>46384</v>
      </c>
      <c r="B23" s="23" t="n"/>
      <c r="C23" s="23" t="n"/>
      <c r="D23" s="18" t="n"/>
    </row>
    <row r="24">
      <c r="A24" s="24" t="n">
        <v>46391</v>
      </c>
      <c r="B24" s="23" t="n"/>
      <c r="C24" s="23" t="n"/>
      <c r="D24" s="18" t="n"/>
    </row>
    <row r="25">
      <c r="A25" s="24" t="n">
        <v>46398</v>
      </c>
      <c r="B25" s="23" t="n"/>
      <c r="C25" s="23" t="n"/>
      <c r="D25" s="18" t="n"/>
    </row>
    <row r="26">
      <c r="A26" s="24" t="n">
        <v>46405</v>
      </c>
      <c r="B26" s="23" t="n"/>
      <c r="C26" s="23" t="n"/>
      <c r="D26" s="18" t="n"/>
    </row>
    <row r="27">
      <c r="A27" s="24" t="n">
        <v>46412</v>
      </c>
      <c r="B27" s="23" t="n"/>
      <c r="C27" s="23" t="n"/>
      <c r="D27" s="18" t="n"/>
    </row>
    <row r="28">
      <c r="A28" s="24" t="n">
        <v>46419</v>
      </c>
      <c r="B28" s="23" t="n"/>
      <c r="C28" s="23" t="n"/>
      <c r="D28" s="18" t="n"/>
    </row>
    <row r="29">
      <c r="A29" s="24" t="n">
        <v>46426</v>
      </c>
      <c r="B29" s="23" t="n"/>
      <c r="C29" s="23" t="n"/>
      <c r="D29" s="18" t="n"/>
    </row>
    <row r="30">
      <c r="A30" s="24" t="n">
        <v>46433</v>
      </c>
      <c r="B30" s="23" t="n"/>
      <c r="C30" s="23" t="n"/>
      <c r="D30" s="18" t="n"/>
    </row>
    <row r="31">
      <c r="A31" s="24" t="n">
        <v>46440</v>
      </c>
      <c r="B31" s="23" t="n"/>
      <c r="C31" s="23" t="n"/>
      <c r="D31" s="18" t="n"/>
    </row>
    <row r="32">
      <c r="A32" s="24" t="n">
        <v>46447</v>
      </c>
      <c r="B32" s="23" t="n"/>
      <c r="C32" s="23" t="n"/>
      <c r="D32" s="18" t="n"/>
    </row>
    <row r="33">
      <c r="A33" s="24" t="n">
        <v>46454</v>
      </c>
      <c r="B33" s="23" t="n"/>
      <c r="C33" s="23" t="n"/>
      <c r="D33" s="18" t="n"/>
    </row>
    <row r="34">
      <c r="A34" s="24" t="n">
        <v>46461</v>
      </c>
      <c r="B34" s="23" t="n"/>
      <c r="C34" s="23" t="n"/>
      <c r="D34" s="18" t="n"/>
    </row>
    <row r="35">
      <c r="A35" s="24" t="n">
        <v>46468</v>
      </c>
      <c r="B35" s="23" t="n"/>
      <c r="C35" s="23" t="n"/>
      <c r="D35" s="18" t="n"/>
    </row>
    <row r="36">
      <c r="A36" s="24" t="n">
        <v>46475</v>
      </c>
      <c r="B36" s="23" t="n"/>
      <c r="C36" s="23" t="n"/>
      <c r="D36" s="18" t="n"/>
    </row>
    <row r="37">
      <c r="A37" s="24" t="n">
        <v>46482</v>
      </c>
      <c r="B37" s="23" t="n"/>
      <c r="C37" s="23" t="n"/>
      <c r="D37" s="18" t="n"/>
    </row>
    <row r="38">
      <c r="A38" s="24" t="n">
        <v>46489</v>
      </c>
      <c r="B38" s="23" t="n"/>
      <c r="C38" s="23" t="n"/>
      <c r="D38" s="18" t="n"/>
    </row>
    <row r="39">
      <c r="A39" s="24" t="n">
        <v>46496</v>
      </c>
      <c r="B39" s="23" t="n"/>
      <c r="C39" s="23" t="n"/>
      <c r="D39" s="18" t="n"/>
    </row>
    <row r="40">
      <c r="A40" s="24" t="n">
        <v>46503</v>
      </c>
      <c r="B40" s="23" t="n"/>
      <c r="C40" s="23" t="n"/>
      <c r="D40" s="18" t="n"/>
    </row>
    <row r="41">
      <c r="A41" s="24" t="n">
        <v>46510</v>
      </c>
      <c r="B41" s="23" t="n"/>
      <c r="C41" s="23" t="n"/>
      <c r="D41" s="18" t="n"/>
    </row>
    <row r="42">
      <c r="A42" s="24" t="n">
        <v>46517</v>
      </c>
      <c r="B42" s="23" t="n"/>
      <c r="C42" s="23" t="n"/>
      <c r="D42" s="18" t="n"/>
    </row>
    <row r="43">
      <c r="A43" s="24" t="n">
        <v>46524</v>
      </c>
      <c r="B43" s="23" t="n"/>
      <c r="C43" s="23" t="n"/>
      <c r="D43" s="18" t="n"/>
    </row>
    <row r="44">
      <c r="A44" s="24" t="n">
        <v>46531</v>
      </c>
      <c r="B44" s="23" t="n"/>
      <c r="C44" s="23" t="n"/>
      <c r="D44" s="18" t="n"/>
    </row>
    <row r="45">
      <c r="A45" s="24" t="n">
        <v>46538</v>
      </c>
      <c r="B45" s="23" t="n"/>
      <c r="C45" s="23" t="n"/>
      <c r="D45" s="18" t="n"/>
    </row>
    <row r="46">
      <c r="A46" s="24" t="n">
        <v>46545</v>
      </c>
      <c r="B46" s="23" t="n"/>
      <c r="C46" s="23" t="n"/>
      <c r="D46" s="18" t="n"/>
    </row>
    <row r="47">
      <c r="A47" s="24" t="n">
        <v>46552</v>
      </c>
      <c r="B47" s="23" t="n"/>
      <c r="C47" s="23" t="n"/>
      <c r="D47" s="18" t="n"/>
    </row>
    <row r="48">
      <c r="A48" s="24" t="n">
        <v>46559</v>
      </c>
      <c r="B48" s="23" t="n"/>
      <c r="C48" s="23" t="n"/>
      <c r="D48" s="18" t="n"/>
    </row>
    <row r="49">
      <c r="A49" s="24" t="n">
        <v>46566</v>
      </c>
      <c r="B49" s="23" t="n"/>
      <c r="C49" s="23" t="n"/>
      <c r="D49" s="18" t="n"/>
    </row>
    <row r="50">
      <c r="A50" s="24" t="n">
        <v>46573</v>
      </c>
      <c r="B50" s="23" t="n"/>
      <c r="C50" s="23" t="n"/>
      <c r="D50" s="18" t="n"/>
    </row>
    <row r="51">
      <c r="A51" s="24" t="n">
        <v>46580</v>
      </c>
      <c r="B51" s="23" t="n"/>
      <c r="C51" s="23" t="n"/>
      <c r="D51" s="18" t="n"/>
    </row>
    <row r="52">
      <c r="A52" s="24" t="n">
        <v>46587</v>
      </c>
      <c r="B52" s="23" t="n"/>
      <c r="C52" s="23" t="n"/>
      <c r="D52" s="18" t="n"/>
    </row>
    <row r="53">
      <c r="A53" s="24" t="n">
        <v>46594</v>
      </c>
      <c r="B53" s="23" t="n"/>
      <c r="C53" s="23" t="n"/>
      <c r="D53" s="18" t="n"/>
    </row>
    <row r="54">
      <c r="A54" s="24" t="n">
        <v>46601</v>
      </c>
      <c r="B54" s="23" t="n"/>
      <c r="C54" s="23" t="n"/>
      <c r="D54" s="18" t="n"/>
    </row>
    <row r="55">
      <c r="A55" s="24" t="n">
        <v>46608</v>
      </c>
      <c r="B55" s="23" t="n"/>
      <c r="C55" s="23" t="n"/>
      <c r="D55" s="18" t="n"/>
    </row>
    <row r="56">
      <c r="A56" s="24" t="n">
        <v>46615</v>
      </c>
      <c r="B56" s="23" t="n"/>
      <c r="C56" s="23" t="n"/>
      <c r="D56" s="18" t="n"/>
    </row>
    <row r="57">
      <c r="A57" s="24" t="n">
        <v>46622</v>
      </c>
      <c r="B57" s="23" t="n"/>
      <c r="C57" s="23" t="n"/>
      <c r="D57" s="18" t="n"/>
    </row>
    <row r="58">
      <c r="A58" s="24" t="n">
        <v>46629</v>
      </c>
      <c r="B58" s="23" t="n"/>
      <c r="C58" s="23" t="n"/>
      <c r="D58" s="18" t="n"/>
    </row>
    <row r="59">
      <c r="A59" s="24" t="n">
        <v>46636</v>
      </c>
      <c r="B59" s="23" t="n"/>
      <c r="C59" s="23" t="n"/>
      <c r="D59" s="18" t="n"/>
    </row>
    <row r="60">
      <c r="A60" s="24" t="n">
        <v>46643</v>
      </c>
      <c r="B60" s="23" t="n"/>
      <c r="C60" s="23" t="n"/>
      <c r="D60" s="18" t="n"/>
    </row>
    <row r="61">
      <c r="A61" s="24" t="n">
        <v>46650</v>
      </c>
      <c r="B61" s="23" t="n"/>
      <c r="C61" s="23" t="n"/>
      <c r="D61" s="18" t="n"/>
    </row>
    <row r="62">
      <c r="A62" s="24" t="n">
        <v>46657</v>
      </c>
      <c r="B62" s="23" t="n"/>
      <c r="C62" s="23" t="n"/>
      <c r="D62" s="18" t="n"/>
    </row>
    <row r="63">
      <c r="A63" s="24" t="n">
        <v>46664</v>
      </c>
      <c r="B63" s="23" t="n"/>
      <c r="C63" s="23" t="n"/>
      <c r="D63" s="18" t="n"/>
    </row>
    <row r="64">
      <c r="A64" s="24" t="n">
        <v>46671</v>
      </c>
      <c r="B64" s="23" t="n"/>
      <c r="C64" s="23" t="n"/>
      <c r="D64" s="18" t="n"/>
    </row>
    <row r="65">
      <c r="A65" s="24" t="n">
        <v>46678</v>
      </c>
      <c r="B65" s="23" t="n"/>
      <c r="C65" s="23" t="n"/>
      <c r="D65" s="1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I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Algodao: arquivo diario. Soja/milho/tabaco: linear por fase. Indice = DAE.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</row>
    <row r="5">
      <c r="A5" s="25" t="n">
        <v>1</v>
      </c>
      <c r="B5" s="26" t="n">
        <v>0.35</v>
      </c>
      <c r="C5" s="26" t="n">
        <v>0.35</v>
      </c>
      <c r="D5" s="26" t="n">
        <v>0.35</v>
      </c>
      <c r="E5" s="26" t="n">
        <v>0.5</v>
      </c>
      <c r="F5" s="26" t="n">
        <v>0.35</v>
      </c>
      <c r="G5" s="26" t="n">
        <v>0.35</v>
      </c>
      <c r="H5" s="26" t="n">
        <v>0.65</v>
      </c>
      <c r="I5" s="26" t="n">
        <v>0.35</v>
      </c>
    </row>
    <row r="6">
      <c r="A6" s="25" t="n">
        <v>2</v>
      </c>
      <c r="B6" s="26" t="n">
        <v>0.374</v>
      </c>
      <c r="C6" s="26" t="n">
        <v>0.35</v>
      </c>
      <c r="D6" s="26" t="n">
        <v>0.37</v>
      </c>
      <c r="E6" s="26" t="n">
        <v>0.5</v>
      </c>
      <c r="F6" s="26" t="n">
        <v>0.35</v>
      </c>
      <c r="G6" s="26" t="n">
        <v>0.35</v>
      </c>
      <c r="H6" s="26" t="n">
        <v>0.65</v>
      </c>
      <c r="I6" s="26" t="n">
        <v>0.35</v>
      </c>
    </row>
    <row r="7">
      <c r="A7" s="25" t="n">
        <v>3</v>
      </c>
      <c r="B7" s="26" t="n">
        <v>0.399</v>
      </c>
      <c r="C7" s="26" t="n">
        <v>0.35</v>
      </c>
      <c r="D7" s="26" t="n">
        <v>0.391</v>
      </c>
      <c r="E7" s="26" t="n">
        <v>0.5</v>
      </c>
      <c r="F7" s="26" t="n">
        <v>0.35</v>
      </c>
      <c r="G7" s="26" t="n">
        <v>0.35</v>
      </c>
      <c r="H7" s="26" t="n">
        <v>0.65</v>
      </c>
      <c r="I7" s="26" t="n">
        <v>0.35</v>
      </c>
    </row>
    <row r="8">
      <c r="A8" s="25" t="n">
        <v>4</v>
      </c>
      <c r="B8" s="26" t="n">
        <v>0.423</v>
      </c>
      <c r="C8" s="26" t="n">
        <v>0.35</v>
      </c>
      <c r="D8" s="26" t="n">
        <v>0.411</v>
      </c>
      <c r="E8" s="26" t="n">
        <v>0.5</v>
      </c>
      <c r="F8" s="26" t="n">
        <v>0.35</v>
      </c>
      <c r="G8" s="26" t="n">
        <v>0.35</v>
      </c>
      <c r="H8" s="26" t="n">
        <v>0.65</v>
      </c>
      <c r="I8" s="26" t="n">
        <v>0.35</v>
      </c>
    </row>
    <row r="9">
      <c r="A9" s="25" t="n">
        <v>5</v>
      </c>
      <c r="B9" s="26" t="n">
        <v>0.447</v>
      </c>
      <c r="C9" s="26" t="n">
        <v>0.35</v>
      </c>
      <c r="D9" s="26" t="n">
        <v>0.432</v>
      </c>
      <c r="E9" s="26" t="n">
        <v>0.5</v>
      </c>
      <c r="F9" s="26" t="n">
        <v>0.35</v>
      </c>
      <c r="G9" s="26" t="n">
        <v>0.35</v>
      </c>
      <c r="H9" s="26" t="n">
        <v>0.65</v>
      </c>
      <c r="I9" s="26" t="n">
        <v>0.35</v>
      </c>
    </row>
    <row r="10">
      <c r="A10" s="25" t="n">
        <v>6</v>
      </c>
      <c r="B10" s="26" t="n">
        <v>0.471</v>
      </c>
      <c r="C10" s="26" t="n">
        <v>0.35</v>
      </c>
      <c r="D10" s="26" t="n">
        <v>0.452</v>
      </c>
      <c r="E10" s="26" t="n">
        <v>0.5</v>
      </c>
      <c r="F10" s="26" t="n">
        <v>0.35</v>
      </c>
      <c r="G10" s="26" t="n">
        <v>0.35</v>
      </c>
      <c r="H10" s="26" t="n">
        <v>0.65</v>
      </c>
      <c r="I10" s="26" t="n">
        <v>0.35</v>
      </c>
    </row>
    <row r="11">
      <c r="A11" s="25" t="n">
        <v>7</v>
      </c>
      <c r="B11" s="26" t="n">
        <v>0.496</v>
      </c>
      <c r="C11" s="26" t="n">
        <v>0.35</v>
      </c>
      <c r="D11" s="26" t="n">
        <v>0.473</v>
      </c>
      <c r="E11" s="26" t="n">
        <v>0.5</v>
      </c>
      <c r="F11" s="26" t="n">
        <v>0.35</v>
      </c>
      <c r="G11" s="26" t="n">
        <v>0.35</v>
      </c>
      <c r="H11" s="26" t="n">
        <v>0.65</v>
      </c>
      <c r="I11" s="26" t="n">
        <v>0.35</v>
      </c>
    </row>
    <row r="12">
      <c r="A12" s="25" t="n">
        <v>8</v>
      </c>
      <c r="B12" s="26" t="n">
        <v>0.52</v>
      </c>
      <c r="C12" s="26" t="n">
        <v>0.35</v>
      </c>
      <c r="D12" s="26" t="n">
        <v>0.493</v>
      </c>
      <c r="E12" s="26" t="n">
        <v>0.5</v>
      </c>
      <c r="F12" s="26" t="n">
        <v>0.35</v>
      </c>
      <c r="G12" s="26" t="n">
        <v>0.35</v>
      </c>
      <c r="H12" s="26" t="n">
        <v>0.65</v>
      </c>
      <c r="I12" s="26" t="n">
        <v>0.35</v>
      </c>
    </row>
    <row r="13">
      <c r="A13" s="25" t="n">
        <v>9</v>
      </c>
      <c r="B13" s="26" t="n">
        <v>0.544</v>
      </c>
      <c r="C13" s="26" t="n">
        <v>0.45</v>
      </c>
      <c r="D13" s="26" t="n">
        <v>0.514</v>
      </c>
      <c r="E13" s="26" t="n">
        <v>0.5</v>
      </c>
      <c r="F13" s="26" t="n">
        <v>0.369</v>
      </c>
      <c r="G13" s="26" t="n">
        <v>0.35</v>
      </c>
      <c r="H13" s="26" t="n">
        <v>0.65</v>
      </c>
      <c r="I13" s="26" t="n">
        <v>0.35</v>
      </c>
    </row>
    <row r="14">
      <c r="A14" s="25" t="n">
        <v>10</v>
      </c>
      <c r="B14" s="26" t="n">
        <v>0.569</v>
      </c>
      <c r="C14" s="26" t="n">
        <v>0.461</v>
      </c>
      <c r="D14" s="26" t="n">
        <v>0.534</v>
      </c>
      <c r="E14" s="26" t="n">
        <v>0.5</v>
      </c>
      <c r="F14" s="26" t="n">
        <v>0.387</v>
      </c>
      <c r="G14" s="26" t="n">
        <v>0.35</v>
      </c>
      <c r="H14" s="26" t="n">
        <v>0.65</v>
      </c>
      <c r="I14" s="26" t="n">
        <v>0.35</v>
      </c>
    </row>
    <row r="15">
      <c r="A15" s="25" t="n">
        <v>11</v>
      </c>
      <c r="B15" s="26" t="n">
        <v>0.593</v>
      </c>
      <c r="C15" s="26" t="n">
        <v>0.473</v>
      </c>
      <c r="D15" s="26" t="n">
        <v>0.554</v>
      </c>
      <c r="E15" s="26" t="n">
        <v>0.5</v>
      </c>
      <c r="F15" s="26" t="n">
        <v>0.406</v>
      </c>
      <c r="G15" s="26" t="n">
        <v>0.369</v>
      </c>
      <c r="H15" s="26" t="n">
        <v>0.65</v>
      </c>
      <c r="I15" s="26" t="n">
        <v>0.382</v>
      </c>
    </row>
    <row r="16">
      <c r="A16" s="25" t="n">
        <v>12</v>
      </c>
      <c r="B16" s="26" t="n">
        <v>0.617</v>
      </c>
      <c r="C16" s="26" t="n">
        <v>0.484</v>
      </c>
      <c r="D16" s="26" t="n">
        <v>0.575</v>
      </c>
      <c r="E16" s="26" t="n">
        <v>0.5</v>
      </c>
      <c r="F16" s="26" t="n">
        <v>0.424</v>
      </c>
      <c r="G16" s="26" t="n">
        <v>0.387</v>
      </c>
      <c r="H16" s="26" t="n">
        <v>0.65</v>
      </c>
      <c r="I16" s="26" t="n">
        <v>0.414</v>
      </c>
    </row>
    <row r="17">
      <c r="A17" s="25" t="n">
        <v>13</v>
      </c>
      <c r="B17" s="26" t="n">
        <v>0.641</v>
      </c>
      <c r="C17" s="26" t="n">
        <v>0.496</v>
      </c>
      <c r="D17" s="26" t="n">
        <v>0.595</v>
      </c>
      <c r="E17" s="26" t="n">
        <v>0.514</v>
      </c>
      <c r="F17" s="26" t="n">
        <v>0.443</v>
      </c>
      <c r="G17" s="26" t="n">
        <v>0.406</v>
      </c>
      <c r="H17" s="26" t="n">
        <v>0.65</v>
      </c>
      <c r="I17" s="26" t="n">
        <v>0.446</v>
      </c>
    </row>
    <row r="18">
      <c r="A18" s="25" t="n">
        <v>14</v>
      </c>
      <c r="B18" s="26" t="n">
        <v>0.666</v>
      </c>
      <c r="C18" s="26" t="n">
        <v>0.507</v>
      </c>
      <c r="D18" s="26" t="n">
        <v>0.616</v>
      </c>
      <c r="E18" s="26" t="n">
        <v>0.529</v>
      </c>
      <c r="F18" s="26" t="n">
        <v>0.461</v>
      </c>
      <c r="G18" s="26" t="n">
        <v>0.424</v>
      </c>
      <c r="H18" s="26" t="n">
        <v>0.65</v>
      </c>
      <c r="I18" s="26" t="n">
        <v>0.478</v>
      </c>
    </row>
    <row r="19">
      <c r="A19" s="25" t="n">
        <v>15</v>
      </c>
      <c r="B19" s="26" t="n">
        <v>0.6899999999999999</v>
      </c>
      <c r="C19" s="26" t="n">
        <v>0.519</v>
      </c>
      <c r="D19" s="26" t="n">
        <v>0.636</v>
      </c>
      <c r="E19" s="26" t="n">
        <v>0.543</v>
      </c>
      <c r="F19" s="26" t="n">
        <v>0.48</v>
      </c>
      <c r="G19" s="26" t="n">
        <v>0.443</v>
      </c>
      <c r="H19" s="26" t="n">
        <v>0.65</v>
      </c>
      <c r="I19" s="26" t="n">
        <v>0.51</v>
      </c>
    </row>
    <row r="20">
      <c r="A20" s="25" t="n">
        <v>16</v>
      </c>
      <c r="B20" s="26" t="n">
        <v>0.714</v>
      </c>
      <c r="C20" s="26" t="n">
        <v>0.53</v>
      </c>
      <c r="D20" s="26" t="n">
        <v>0.657</v>
      </c>
      <c r="E20" s="26" t="n">
        <v>0.5570000000000001</v>
      </c>
      <c r="F20" s="26" t="n">
        <v>0.499</v>
      </c>
      <c r="G20" s="26" t="n">
        <v>0.461</v>
      </c>
      <c r="H20" s="26" t="n">
        <v>0.654</v>
      </c>
      <c r="I20" s="26" t="n">
        <v>0.542</v>
      </c>
    </row>
    <row r="21">
      <c r="A21" s="25" t="n">
        <v>17</v>
      </c>
      <c r="B21" s="26" t="n">
        <v>0.739</v>
      </c>
      <c r="C21" s="26" t="n">
        <v>0.541</v>
      </c>
      <c r="D21" s="26" t="n">
        <v>0.677</v>
      </c>
      <c r="E21" s="26" t="n">
        <v>0.571</v>
      </c>
      <c r="F21" s="26" t="n">
        <v>0.517</v>
      </c>
      <c r="G21" s="26" t="n">
        <v>0.48</v>
      </c>
      <c r="H21" s="26" t="n">
        <v>0.659</v>
      </c>
      <c r="I21" s="26" t="n">
        <v>0.574</v>
      </c>
    </row>
    <row r="22">
      <c r="A22" s="25" t="n">
        <v>18</v>
      </c>
      <c r="B22" s="26" t="n">
        <v>0.763</v>
      </c>
      <c r="C22" s="26" t="n">
        <v>0.553</v>
      </c>
      <c r="D22" s="26" t="n">
        <v>0.698</v>
      </c>
      <c r="E22" s="26" t="n">
        <v>0.586</v>
      </c>
      <c r="F22" s="26" t="n">
        <v>0.536</v>
      </c>
      <c r="G22" s="26" t="n">
        <v>0.499</v>
      </c>
      <c r="H22" s="26" t="n">
        <v>0.663</v>
      </c>
      <c r="I22" s="26" t="n">
        <v>0.606</v>
      </c>
    </row>
    <row r="23">
      <c r="A23" s="25" t="n">
        <v>19</v>
      </c>
      <c r="B23" s="26" t="n">
        <v>0.787</v>
      </c>
      <c r="C23" s="26" t="n">
        <v>0.5639999999999999</v>
      </c>
      <c r="D23" s="26" t="n">
        <v>0.718</v>
      </c>
      <c r="E23" s="26" t="n">
        <v>0.6</v>
      </c>
      <c r="F23" s="26" t="n">
        <v>0.554</v>
      </c>
      <c r="G23" s="26" t="n">
        <v>0.517</v>
      </c>
      <c r="H23" s="26" t="n">
        <v>0.668</v>
      </c>
      <c r="I23" s="26" t="n">
        <v>0.638</v>
      </c>
    </row>
    <row r="24">
      <c r="A24" s="25" t="n">
        <v>20</v>
      </c>
      <c r="B24" s="26" t="n">
        <v>0.8110000000000001</v>
      </c>
      <c r="C24" s="26" t="n">
        <v>0.576</v>
      </c>
      <c r="D24" s="26" t="n">
        <v>0.738</v>
      </c>
      <c r="E24" s="26" t="n">
        <v>0.614</v>
      </c>
      <c r="F24" s="26" t="n">
        <v>0.573</v>
      </c>
      <c r="G24" s="26" t="n">
        <v>0.536</v>
      </c>
      <c r="H24" s="26" t="n">
        <v>0.672</v>
      </c>
      <c r="I24" s="26" t="n">
        <v>0.67</v>
      </c>
    </row>
    <row r="25">
      <c r="A25" s="25" t="n">
        <v>21</v>
      </c>
      <c r="B25" s="26" t="n">
        <v>0.836</v>
      </c>
      <c r="C25" s="26" t="n">
        <v>0.587</v>
      </c>
      <c r="D25" s="26" t="n">
        <v>0.759</v>
      </c>
      <c r="E25" s="26" t="n">
        <v>0.629</v>
      </c>
      <c r="F25" s="26" t="n">
        <v>0.591</v>
      </c>
      <c r="G25" s="26" t="n">
        <v>0.554</v>
      </c>
      <c r="H25" s="26" t="n">
        <v>0.677</v>
      </c>
      <c r="I25" s="26" t="n">
        <v>0.702</v>
      </c>
    </row>
    <row r="26">
      <c r="A26" s="25" t="n">
        <v>22</v>
      </c>
      <c r="B26" s="26" t="n">
        <v>0.86</v>
      </c>
      <c r="C26" s="26" t="n">
        <v>0.599</v>
      </c>
      <c r="D26" s="26" t="n">
        <v>0.779</v>
      </c>
      <c r="E26" s="26" t="n">
        <v>0.643</v>
      </c>
      <c r="F26" s="26" t="n">
        <v>0.61</v>
      </c>
      <c r="G26" s="26" t="n">
        <v>0.573</v>
      </c>
      <c r="H26" s="26" t="n">
        <v>0.681</v>
      </c>
      <c r="I26" s="26" t="n">
        <v>0.734</v>
      </c>
    </row>
    <row r="27">
      <c r="A27" s="25" t="n">
        <v>23</v>
      </c>
      <c r="B27" s="26" t="n">
        <v>0.884</v>
      </c>
      <c r="C27" s="26" t="n">
        <v>0.61</v>
      </c>
      <c r="D27" s="26" t="n">
        <v>0.8</v>
      </c>
      <c r="E27" s="26" t="n">
        <v>0.657</v>
      </c>
      <c r="F27" s="26" t="n">
        <v>0.629</v>
      </c>
      <c r="G27" s="26" t="n">
        <v>0.591</v>
      </c>
      <c r="H27" s="26" t="n">
        <v>0.6860000000000001</v>
      </c>
      <c r="I27" s="26" t="n">
        <v>0.766</v>
      </c>
    </row>
    <row r="28">
      <c r="A28" s="25" t="n">
        <v>24</v>
      </c>
      <c r="B28" s="26" t="n">
        <v>0.909</v>
      </c>
      <c r="C28" s="26" t="n">
        <v>0.621</v>
      </c>
      <c r="D28" s="26" t="n">
        <v>0.82</v>
      </c>
      <c r="E28" s="26" t="n">
        <v>0.671</v>
      </c>
      <c r="F28" s="26" t="n">
        <v>0.647</v>
      </c>
      <c r="G28" s="26" t="n">
        <v>0.61</v>
      </c>
      <c r="H28" s="26" t="n">
        <v>0.6899999999999999</v>
      </c>
      <c r="I28" s="26" t="n">
        <v>0.798</v>
      </c>
    </row>
    <row r="29">
      <c r="A29" s="25" t="n">
        <v>25</v>
      </c>
      <c r="B29" s="26" t="n">
        <v>0.9330000000000001</v>
      </c>
      <c r="C29" s="26" t="n">
        <v>0.633</v>
      </c>
      <c r="D29" s="26" t="n">
        <v>0.841</v>
      </c>
      <c r="E29" s="26" t="n">
        <v>0.6860000000000001</v>
      </c>
      <c r="F29" s="26" t="n">
        <v>0.666</v>
      </c>
      <c r="G29" s="26" t="n">
        <v>0.629</v>
      </c>
      <c r="H29" s="26" t="n">
        <v>0.694</v>
      </c>
      <c r="I29" s="26" t="n">
        <v>0.83</v>
      </c>
    </row>
    <row r="30">
      <c r="A30" s="25" t="n">
        <v>26</v>
      </c>
      <c r="B30" s="26" t="n">
        <v>0.957</v>
      </c>
      <c r="C30" s="26" t="n">
        <v>0.644</v>
      </c>
      <c r="D30" s="26" t="n">
        <v>0.861</v>
      </c>
      <c r="E30" s="26" t="n">
        <v>0.7</v>
      </c>
      <c r="F30" s="26" t="n">
        <v>0.6840000000000001</v>
      </c>
      <c r="G30" s="26" t="n">
        <v>0.647</v>
      </c>
      <c r="H30" s="26" t="n">
        <v>0.699</v>
      </c>
      <c r="I30" s="26" t="n">
        <v>0.862</v>
      </c>
    </row>
    <row r="31">
      <c r="A31" s="25" t="n">
        <v>27</v>
      </c>
      <c r="B31" s="26" t="n">
        <v>0.981</v>
      </c>
      <c r="C31" s="26" t="n">
        <v>0.656</v>
      </c>
      <c r="D31" s="26" t="n">
        <v>0.882</v>
      </c>
      <c r="E31" s="26" t="n">
        <v>0.714</v>
      </c>
      <c r="F31" s="26" t="n">
        <v>0.703</v>
      </c>
      <c r="G31" s="26" t="n">
        <v>0.666</v>
      </c>
      <c r="H31" s="26" t="n">
        <v>0.703</v>
      </c>
      <c r="I31" s="26" t="n">
        <v>0.894</v>
      </c>
    </row>
    <row r="32">
      <c r="A32" s="25" t="n">
        <v>28</v>
      </c>
      <c r="B32" s="26" t="n">
        <v>1.006</v>
      </c>
      <c r="C32" s="26" t="n">
        <v>0.667</v>
      </c>
      <c r="D32" s="26" t="n">
        <v>0.902</v>
      </c>
      <c r="E32" s="26" t="n">
        <v>0.729</v>
      </c>
      <c r="F32" s="26" t="n">
        <v>0.721</v>
      </c>
      <c r="G32" s="26" t="n">
        <v>0.6840000000000001</v>
      </c>
      <c r="H32" s="26" t="n">
        <v>0.708</v>
      </c>
      <c r="I32" s="26" t="n">
        <v>0.926</v>
      </c>
    </row>
    <row r="33">
      <c r="A33" s="25" t="n">
        <v>29</v>
      </c>
      <c r="B33" s="26" t="n">
        <v>1.03</v>
      </c>
      <c r="C33" s="26" t="n">
        <v>0.679</v>
      </c>
      <c r="D33" s="26" t="n">
        <v>0.922</v>
      </c>
      <c r="E33" s="26" t="n">
        <v>0.743</v>
      </c>
      <c r="F33" s="26" t="n">
        <v>0.74</v>
      </c>
      <c r="G33" s="26" t="n">
        <v>0.703</v>
      </c>
      <c r="H33" s="26" t="n">
        <v>0.712</v>
      </c>
      <c r="I33" s="26" t="n">
        <v>0.958</v>
      </c>
    </row>
    <row r="34">
      <c r="A34" s="25" t="n">
        <v>30</v>
      </c>
      <c r="B34" s="26" t="n">
        <v>1.054</v>
      </c>
      <c r="C34" s="26" t="n">
        <v>0.6899999999999999</v>
      </c>
      <c r="D34" s="26" t="n">
        <v>0.9429999999999999</v>
      </c>
      <c r="E34" s="26" t="n">
        <v>0.757</v>
      </c>
      <c r="F34" s="26" t="n">
        <v>0.759</v>
      </c>
      <c r="G34" s="26" t="n">
        <v>0.721</v>
      </c>
      <c r="H34" s="26" t="n">
        <v>0.717</v>
      </c>
      <c r="I34" s="26" t="n">
        <v>0.99</v>
      </c>
    </row>
    <row r="35">
      <c r="A35" s="25" t="n">
        <v>31</v>
      </c>
      <c r="B35" s="26" t="n">
        <v>1.079</v>
      </c>
      <c r="C35" s="26" t="n">
        <v>0.701</v>
      </c>
      <c r="D35" s="26" t="n">
        <v>0.963</v>
      </c>
      <c r="E35" s="26" t="n">
        <v>0.771</v>
      </c>
      <c r="F35" s="26" t="n">
        <v>0.777</v>
      </c>
      <c r="G35" s="26" t="n">
        <v>0.74</v>
      </c>
      <c r="H35" s="26" t="n">
        <v>0.721</v>
      </c>
      <c r="I35" s="26" t="n">
        <v>1.022</v>
      </c>
    </row>
    <row r="36">
      <c r="A36" s="25" t="n">
        <v>32</v>
      </c>
      <c r="B36" s="26" t="n">
        <v>1.103</v>
      </c>
      <c r="C36" s="26" t="n">
        <v>0.713</v>
      </c>
      <c r="D36" s="26" t="n">
        <v>0.984</v>
      </c>
      <c r="E36" s="26" t="n">
        <v>0.786</v>
      </c>
      <c r="F36" s="26" t="n">
        <v>0.796</v>
      </c>
      <c r="G36" s="26" t="n">
        <v>0.759</v>
      </c>
      <c r="H36" s="26" t="n">
        <v>0.726</v>
      </c>
      <c r="I36" s="26" t="n">
        <v>1.054</v>
      </c>
    </row>
    <row r="37">
      <c r="A37" s="25" t="n">
        <v>33</v>
      </c>
      <c r="B37" s="26" t="n">
        <v>1.127</v>
      </c>
      <c r="C37" s="26" t="n">
        <v>0.724</v>
      </c>
      <c r="D37" s="26" t="n">
        <v>1.004</v>
      </c>
      <c r="E37" s="26" t="n">
        <v>0.8</v>
      </c>
      <c r="F37" s="26" t="n">
        <v>0.8139999999999999</v>
      </c>
      <c r="G37" s="26" t="n">
        <v>0.777</v>
      </c>
      <c r="H37" s="26" t="n">
        <v>0.73</v>
      </c>
      <c r="I37" s="26" t="n">
        <v>1.086</v>
      </c>
    </row>
    <row r="38">
      <c r="A38" s="25" t="n">
        <v>34</v>
      </c>
      <c r="B38" s="26" t="n">
        <v>1.151</v>
      </c>
      <c r="C38" s="26" t="n">
        <v>0.736</v>
      </c>
      <c r="D38" s="26" t="n">
        <v>1.025</v>
      </c>
      <c r="E38" s="26" t="n">
        <v>0.8139999999999999</v>
      </c>
      <c r="F38" s="26" t="n">
        <v>0.833</v>
      </c>
      <c r="G38" s="26" t="n">
        <v>0.796</v>
      </c>
      <c r="H38" s="26" t="n">
        <v>0.734</v>
      </c>
      <c r="I38" s="26" t="n">
        <v>1.118</v>
      </c>
    </row>
    <row r="39">
      <c r="A39" s="25" t="n">
        <v>35</v>
      </c>
      <c r="B39" s="26" t="n">
        <v>1.176</v>
      </c>
      <c r="C39" s="26" t="n">
        <v>0.747</v>
      </c>
      <c r="D39" s="26" t="n">
        <v>1.045</v>
      </c>
      <c r="E39" s="26" t="n">
        <v>0.829</v>
      </c>
      <c r="F39" s="26" t="n">
        <v>0.851</v>
      </c>
      <c r="G39" s="26" t="n">
        <v>0.8139999999999999</v>
      </c>
      <c r="H39" s="26" t="n">
        <v>0.739</v>
      </c>
      <c r="I39" s="26" t="n">
        <v>1.15</v>
      </c>
    </row>
    <row r="40">
      <c r="A40" s="25" t="n">
        <v>36</v>
      </c>
      <c r="B40" s="26" t="n">
        <v>1.2</v>
      </c>
      <c r="C40" s="26" t="n">
        <v>0.759</v>
      </c>
      <c r="D40" s="26" t="n">
        <v>1.066</v>
      </c>
      <c r="E40" s="26" t="n">
        <v>0.843</v>
      </c>
      <c r="F40" s="26" t="n">
        <v>0.87</v>
      </c>
      <c r="G40" s="26" t="n">
        <v>0.833</v>
      </c>
      <c r="H40" s="26" t="n">
        <v>0.743</v>
      </c>
      <c r="I40" s="26" t="n">
        <v>1.15</v>
      </c>
    </row>
    <row r="41">
      <c r="A41" s="25" t="n">
        <v>37</v>
      </c>
      <c r="B41" s="26" t="n">
        <v>1.224</v>
      </c>
      <c r="C41" s="26" t="n">
        <v>0.77</v>
      </c>
      <c r="D41" s="26" t="n">
        <v>1.086</v>
      </c>
      <c r="E41" s="26" t="n">
        <v>0.857</v>
      </c>
      <c r="F41" s="26" t="n">
        <v>0.889</v>
      </c>
      <c r="G41" s="26" t="n">
        <v>0.851</v>
      </c>
      <c r="H41" s="26" t="n">
        <v>0.748</v>
      </c>
      <c r="I41" s="26" t="n">
        <v>1.15</v>
      </c>
    </row>
    <row r="42">
      <c r="A42" s="25" t="n">
        <v>38</v>
      </c>
      <c r="B42" s="26" t="n">
        <v>1.249</v>
      </c>
      <c r="C42" s="26" t="n">
        <v>0.781</v>
      </c>
      <c r="D42" s="26" t="n">
        <v>1.106</v>
      </c>
      <c r="E42" s="26" t="n">
        <v>0.871</v>
      </c>
      <c r="F42" s="26" t="n">
        <v>0.907</v>
      </c>
      <c r="G42" s="26" t="n">
        <v>0.87</v>
      </c>
      <c r="H42" s="26" t="n">
        <v>0.752</v>
      </c>
      <c r="I42" s="26" t="n">
        <v>1.15</v>
      </c>
    </row>
    <row r="43">
      <c r="A43" s="25" t="n">
        <v>39</v>
      </c>
      <c r="B43" s="26" t="n">
        <v>1.273</v>
      </c>
      <c r="C43" s="26" t="n">
        <v>0.793</v>
      </c>
      <c r="D43" s="26" t="n">
        <v>1.127</v>
      </c>
      <c r="E43" s="26" t="n">
        <v>0.886</v>
      </c>
      <c r="F43" s="26" t="n">
        <v>0.926</v>
      </c>
      <c r="G43" s="26" t="n">
        <v>0.889</v>
      </c>
      <c r="H43" s="26" t="n">
        <v>0.757</v>
      </c>
      <c r="I43" s="26" t="n">
        <v>1.15</v>
      </c>
    </row>
    <row r="44">
      <c r="A44" s="25" t="n">
        <v>40</v>
      </c>
      <c r="B44" s="26" t="n">
        <v>1.27</v>
      </c>
      <c r="C44" s="26" t="n">
        <v>0.804</v>
      </c>
      <c r="D44" s="26" t="n">
        <v>1.147</v>
      </c>
      <c r="E44" s="26" t="n">
        <v>0.9</v>
      </c>
      <c r="F44" s="26" t="n">
        <v>0.944</v>
      </c>
      <c r="G44" s="26" t="n">
        <v>0.907</v>
      </c>
      <c r="H44" s="26" t="n">
        <v>0.761</v>
      </c>
      <c r="I44" s="26" t="n">
        <v>1.15</v>
      </c>
    </row>
    <row r="45">
      <c r="A45" s="25" t="n">
        <v>41</v>
      </c>
      <c r="B45" s="26" t="n">
        <v>1.27</v>
      </c>
      <c r="C45" s="26" t="n">
        <v>0.8159999999999999</v>
      </c>
      <c r="D45" s="26" t="n">
        <v>1.168</v>
      </c>
      <c r="E45" s="26" t="n">
        <v>0.914</v>
      </c>
      <c r="F45" s="26" t="n">
        <v>0.963</v>
      </c>
      <c r="G45" s="26" t="n">
        <v>0.926</v>
      </c>
      <c r="H45" s="26" t="n">
        <v>0.766</v>
      </c>
      <c r="I45" s="26" t="n">
        <v>1.15</v>
      </c>
    </row>
    <row r="46">
      <c r="A46" s="25" t="n">
        <v>42</v>
      </c>
      <c r="B46" s="26" t="n">
        <v>1.27</v>
      </c>
      <c r="C46" s="26" t="n">
        <v>0.827</v>
      </c>
      <c r="D46" s="26" t="n">
        <v>1.188</v>
      </c>
      <c r="E46" s="26" t="n">
        <v>0.929</v>
      </c>
      <c r="F46" s="26" t="n">
        <v>0.981</v>
      </c>
      <c r="G46" s="26" t="n">
        <v>0.944</v>
      </c>
      <c r="H46" s="26" t="n">
        <v>0.77</v>
      </c>
      <c r="I46" s="26" t="n">
        <v>1.15</v>
      </c>
    </row>
    <row r="47">
      <c r="A47" s="25" t="n">
        <v>43</v>
      </c>
      <c r="B47" s="26" t="n">
        <v>1.27</v>
      </c>
      <c r="C47" s="26" t="n">
        <v>0.839</v>
      </c>
      <c r="D47" s="26" t="n">
        <v>1.209</v>
      </c>
      <c r="E47" s="26" t="n">
        <v>0.9429999999999999</v>
      </c>
      <c r="F47" s="26" t="n">
        <v>1</v>
      </c>
      <c r="G47" s="26" t="n">
        <v>0.963</v>
      </c>
      <c r="H47" s="26" t="n">
        <v>0.774</v>
      </c>
      <c r="I47" s="26" t="n">
        <v>1.15</v>
      </c>
    </row>
    <row r="48">
      <c r="A48" s="25" t="n">
        <v>44</v>
      </c>
      <c r="B48" s="26" t="n">
        <v>1.27</v>
      </c>
      <c r="C48" s="26" t="n">
        <v>0.85</v>
      </c>
      <c r="D48" s="26" t="n">
        <v>1.229</v>
      </c>
      <c r="E48" s="26" t="n">
        <v>0.957</v>
      </c>
      <c r="F48" s="26" t="n">
        <v>1</v>
      </c>
      <c r="G48" s="26" t="n">
        <v>0.981</v>
      </c>
      <c r="H48" s="26" t="n">
        <v>0.779</v>
      </c>
      <c r="I48" s="26" t="n">
        <v>1.15</v>
      </c>
    </row>
    <row r="49">
      <c r="A49" s="25" t="n">
        <v>45</v>
      </c>
      <c r="B49" s="26" t="n">
        <v>1.27</v>
      </c>
      <c r="C49" s="26" t="n">
        <v>0.861</v>
      </c>
      <c r="D49" s="26" t="n">
        <v>1.25</v>
      </c>
      <c r="E49" s="26" t="n">
        <v>0.971</v>
      </c>
      <c r="F49" s="26" t="n">
        <v>1</v>
      </c>
      <c r="G49" s="26" t="n">
        <v>1</v>
      </c>
      <c r="H49" s="26" t="n">
        <v>0.783</v>
      </c>
      <c r="I49" s="26" t="n">
        <v>1.15</v>
      </c>
    </row>
    <row r="50">
      <c r="A50" s="25" t="n">
        <v>46</v>
      </c>
      <c r="B50" s="26" t="n">
        <v>1.27</v>
      </c>
      <c r="C50" s="26" t="n">
        <v>1.08</v>
      </c>
      <c r="D50" s="26" t="n">
        <v>1.27</v>
      </c>
      <c r="E50" s="26" t="n">
        <v>0.986</v>
      </c>
      <c r="F50" s="26" t="n">
        <v>1</v>
      </c>
      <c r="G50" s="26" t="n">
        <v>1</v>
      </c>
      <c r="H50" s="26" t="n">
        <v>0.788</v>
      </c>
      <c r="I50" s="26" t="n">
        <v>1.15</v>
      </c>
    </row>
    <row r="51">
      <c r="A51" s="25" t="n">
        <v>47</v>
      </c>
      <c r="B51" s="26" t="n">
        <v>1.27</v>
      </c>
      <c r="C51" s="26" t="n">
        <v>1.08</v>
      </c>
      <c r="D51" s="26" t="n">
        <v>1.27</v>
      </c>
      <c r="E51" s="26" t="n">
        <v>1</v>
      </c>
      <c r="F51" s="26" t="n">
        <v>1</v>
      </c>
      <c r="G51" s="26" t="n">
        <v>1</v>
      </c>
      <c r="H51" s="26" t="n">
        <v>0.792</v>
      </c>
      <c r="I51" s="26" t="n">
        <v>1.15</v>
      </c>
    </row>
    <row r="52">
      <c r="A52" s="25" t="n">
        <v>48</v>
      </c>
      <c r="B52" s="26" t="n">
        <v>1.27</v>
      </c>
      <c r="C52" s="26" t="n">
        <v>1.08</v>
      </c>
      <c r="D52" s="26" t="n">
        <v>1.27</v>
      </c>
      <c r="E52" s="26" t="n">
        <v>1</v>
      </c>
      <c r="F52" s="26" t="n">
        <v>1</v>
      </c>
      <c r="G52" s="26" t="n">
        <v>1</v>
      </c>
      <c r="H52" s="26" t="n">
        <v>0.797</v>
      </c>
      <c r="I52" s="26" t="n">
        <v>1.15</v>
      </c>
    </row>
    <row r="53">
      <c r="A53" s="25" t="n">
        <v>49</v>
      </c>
      <c r="B53" s="26" t="n">
        <v>1.27</v>
      </c>
      <c r="C53" s="26" t="n">
        <v>1.08</v>
      </c>
      <c r="D53" s="26" t="n">
        <v>1.27</v>
      </c>
      <c r="E53" s="26" t="n">
        <v>1</v>
      </c>
      <c r="F53" s="26" t="n">
        <v>1</v>
      </c>
      <c r="G53" s="26" t="n">
        <v>1</v>
      </c>
      <c r="H53" s="26" t="n">
        <v>0.801</v>
      </c>
      <c r="I53" s="26" t="n">
        <v>1.15</v>
      </c>
    </row>
    <row r="54">
      <c r="A54" s="25" t="n">
        <v>50</v>
      </c>
      <c r="B54" s="26" t="n">
        <v>1.27</v>
      </c>
      <c r="C54" s="26" t="n">
        <v>1.08</v>
      </c>
      <c r="D54" s="26" t="n">
        <v>1.27</v>
      </c>
      <c r="E54" s="26" t="n">
        <v>1</v>
      </c>
      <c r="F54" s="26" t="n">
        <v>1</v>
      </c>
      <c r="G54" s="26" t="n">
        <v>1</v>
      </c>
      <c r="H54" s="26" t="n">
        <v>0.806</v>
      </c>
      <c r="I54" s="26" t="n">
        <v>1.15</v>
      </c>
    </row>
    <row r="55">
      <c r="A55" s="25" t="n">
        <v>51</v>
      </c>
      <c r="B55" s="26" t="n">
        <v>1.27</v>
      </c>
      <c r="C55" s="26" t="n">
        <v>1.08</v>
      </c>
      <c r="D55" s="26" t="n">
        <v>1.27</v>
      </c>
      <c r="E55" s="26" t="n">
        <v>1</v>
      </c>
      <c r="F55" s="26" t="n">
        <v>1</v>
      </c>
      <c r="G55" s="26" t="n">
        <v>1</v>
      </c>
      <c r="H55" s="26" t="n">
        <v>0.8100000000000001</v>
      </c>
      <c r="I55" s="26" t="n">
        <v>1.15</v>
      </c>
    </row>
    <row r="56">
      <c r="A56" s="25" t="n">
        <v>52</v>
      </c>
      <c r="B56" s="26" t="n">
        <v>1.27</v>
      </c>
      <c r="C56" s="26" t="n">
        <v>1.08</v>
      </c>
      <c r="D56" s="26" t="n">
        <v>1.27</v>
      </c>
      <c r="E56" s="26" t="n">
        <v>1</v>
      </c>
      <c r="F56" s="26" t="n">
        <v>1</v>
      </c>
      <c r="G56" s="26" t="n">
        <v>1</v>
      </c>
      <c r="H56" s="26" t="n">
        <v>0.8139999999999999</v>
      </c>
      <c r="I56" s="26" t="n">
        <v>1.15</v>
      </c>
    </row>
    <row r="57">
      <c r="A57" s="25" t="n">
        <v>53</v>
      </c>
      <c r="B57" s="26" t="n">
        <v>1.27</v>
      </c>
      <c r="C57" s="26" t="n">
        <v>1.08</v>
      </c>
      <c r="D57" s="26" t="n">
        <v>1.27</v>
      </c>
      <c r="E57" s="26" t="n">
        <v>1</v>
      </c>
      <c r="F57" s="26" t="n">
        <v>1</v>
      </c>
      <c r="G57" s="26" t="n">
        <v>1</v>
      </c>
      <c r="H57" s="26" t="n">
        <v>0.819</v>
      </c>
      <c r="I57" s="26" t="n">
        <v>1.15</v>
      </c>
    </row>
    <row r="58">
      <c r="A58" s="25" t="n">
        <v>54</v>
      </c>
      <c r="B58" s="26" t="n">
        <v>1.27</v>
      </c>
      <c r="C58" s="26" t="n">
        <v>1.08</v>
      </c>
      <c r="D58" s="26" t="n">
        <v>1.27</v>
      </c>
      <c r="E58" s="26" t="n">
        <v>1</v>
      </c>
      <c r="F58" s="26" t="n">
        <v>1</v>
      </c>
      <c r="G58" s="26" t="n">
        <v>1</v>
      </c>
      <c r="H58" s="26" t="n">
        <v>0.823</v>
      </c>
      <c r="I58" s="26" t="n">
        <v>1.15</v>
      </c>
    </row>
    <row r="59">
      <c r="A59" s="25" t="n">
        <v>55</v>
      </c>
      <c r="B59" s="26" t="n">
        <v>1.27</v>
      </c>
      <c r="C59" s="26" t="n">
        <v>1.08</v>
      </c>
      <c r="D59" s="26" t="n">
        <v>1.27</v>
      </c>
      <c r="E59" s="26" t="n">
        <v>1</v>
      </c>
      <c r="F59" s="26" t="n">
        <v>1</v>
      </c>
      <c r="G59" s="26" t="n">
        <v>1</v>
      </c>
      <c r="H59" s="26" t="n">
        <v>0.828</v>
      </c>
      <c r="I59" s="26" t="n">
        <v>1.15</v>
      </c>
    </row>
    <row r="60">
      <c r="A60" s="25" t="n">
        <v>56</v>
      </c>
      <c r="B60" s="26" t="n">
        <v>1.27</v>
      </c>
      <c r="C60" s="26" t="n">
        <v>1.08</v>
      </c>
      <c r="D60" s="26" t="n">
        <v>1.27</v>
      </c>
      <c r="E60" s="26" t="n">
        <v>1</v>
      </c>
      <c r="F60" s="26" t="n">
        <v>1</v>
      </c>
      <c r="G60" s="26" t="n">
        <v>1</v>
      </c>
      <c r="H60" s="26" t="n">
        <v>0.832</v>
      </c>
      <c r="I60" s="26" t="n">
        <v>1.15</v>
      </c>
    </row>
    <row r="61">
      <c r="A61" s="25" t="n">
        <v>57</v>
      </c>
      <c r="B61" s="26" t="n">
        <v>1.27</v>
      </c>
      <c r="C61" s="26" t="n">
        <v>1.08</v>
      </c>
      <c r="D61" s="26" t="n">
        <v>1.27</v>
      </c>
      <c r="E61" s="26" t="n">
        <v>1</v>
      </c>
      <c r="F61" s="26" t="n">
        <v>1</v>
      </c>
      <c r="G61" s="26" t="n">
        <v>1</v>
      </c>
      <c r="H61" s="26" t="n">
        <v>0.837</v>
      </c>
      <c r="I61" s="26" t="n">
        <v>1.15</v>
      </c>
    </row>
    <row r="62">
      <c r="A62" s="25" t="n">
        <v>58</v>
      </c>
      <c r="B62" s="26" t="n">
        <v>1.27</v>
      </c>
      <c r="C62" s="26" t="n">
        <v>1.08</v>
      </c>
      <c r="D62" s="26" t="n">
        <v>1.27</v>
      </c>
      <c r="E62" s="26" t="n">
        <v>1</v>
      </c>
      <c r="F62" s="26" t="n">
        <v>1</v>
      </c>
      <c r="G62" s="26" t="n">
        <v>1</v>
      </c>
      <c r="H62" s="26" t="n">
        <v>0.841</v>
      </c>
      <c r="I62" s="26" t="n">
        <v>1.15</v>
      </c>
    </row>
    <row r="63">
      <c r="A63" s="25" t="n">
        <v>59</v>
      </c>
      <c r="B63" s="26" t="n">
        <v>1.27</v>
      </c>
      <c r="C63" s="26" t="n">
        <v>1.08</v>
      </c>
      <c r="D63" s="26" t="n">
        <v>1.27</v>
      </c>
      <c r="E63" s="26" t="n">
        <v>1</v>
      </c>
      <c r="F63" s="26" t="n">
        <v>1</v>
      </c>
      <c r="G63" s="26" t="n">
        <v>1</v>
      </c>
      <c r="H63" s="26" t="n">
        <v>0.846</v>
      </c>
      <c r="I63" s="26" t="n">
        <v>1.15</v>
      </c>
    </row>
    <row r="64">
      <c r="A64" s="25" t="n">
        <v>60</v>
      </c>
      <c r="B64" s="26" t="n">
        <v>1.27</v>
      </c>
      <c r="C64" s="26" t="n">
        <v>1.08</v>
      </c>
      <c r="D64" s="26" t="n">
        <v>1.27</v>
      </c>
      <c r="E64" s="26" t="n">
        <v>1</v>
      </c>
      <c r="F64" s="26" t="n">
        <v>1</v>
      </c>
      <c r="G64" s="26" t="n">
        <v>1</v>
      </c>
      <c r="H64" s="26" t="n">
        <v>0.85</v>
      </c>
      <c r="I64" s="26" t="n">
        <v>1.15</v>
      </c>
    </row>
    <row r="65">
      <c r="A65" s="25" t="n">
        <v>61</v>
      </c>
      <c r="B65" s="26" t="n">
        <v>1.27</v>
      </c>
      <c r="C65" s="26" t="n">
        <v>1.08</v>
      </c>
      <c r="D65" s="26" t="n">
        <v>1.27</v>
      </c>
      <c r="E65" s="26" t="n">
        <v>1</v>
      </c>
      <c r="F65" s="26" t="n">
        <v>1</v>
      </c>
      <c r="G65" s="26" t="n">
        <v>1</v>
      </c>
      <c r="H65" s="26" t="n">
        <v>0.862</v>
      </c>
      <c r="I65" s="26" t="n">
        <v>1.15</v>
      </c>
    </row>
    <row r="66">
      <c r="A66" s="25" t="n">
        <v>62</v>
      </c>
      <c r="B66" s="26" t="n">
        <v>1.27</v>
      </c>
      <c r="C66" s="26" t="n">
        <v>1.08</v>
      </c>
      <c r="D66" s="26" t="n">
        <v>1.27</v>
      </c>
      <c r="E66" s="26" t="n">
        <v>1</v>
      </c>
      <c r="F66" s="26" t="n">
        <v>1</v>
      </c>
      <c r="G66" s="26" t="n">
        <v>1</v>
      </c>
      <c r="H66" s="26" t="n">
        <v>0.875</v>
      </c>
      <c r="I66" s="26" t="n">
        <v>1.15</v>
      </c>
    </row>
    <row r="67">
      <c r="A67" s="25" t="n">
        <v>63</v>
      </c>
      <c r="B67" s="26" t="n">
        <v>1.27</v>
      </c>
      <c r="C67" s="26" t="n">
        <v>1.08</v>
      </c>
      <c r="D67" s="26" t="n">
        <v>1.27</v>
      </c>
      <c r="E67" s="26" t="n">
        <v>1</v>
      </c>
      <c r="F67" s="26" t="n">
        <v>1</v>
      </c>
      <c r="G67" s="26" t="n">
        <v>1</v>
      </c>
      <c r="H67" s="26" t="n">
        <v>0.887</v>
      </c>
      <c r="I67" s="26" t="n">
        <v>1.15</v>
      </c>
    </row>
    <row r="68">
      <c r="A68" s="25" t="n">
        <v>64</v>
      </c>
      <c r="B68" s="26" t="n">
        <v>1.27</v>
      </c>
      <c r="C68" s="26" t="n">
        <v>1.08</v>
      </c>
      <c r="D68" s="26" t="n">
        <v>1.27</v>
      </c>
      <c r="E68" s="26" t="n">
        <v>1</v>
      </c>
      <c r="F68" s="26" t="n">
        <v>1</v>
      </c>
      <c r="G68" s="26" t="n">
        <v>1</v>
      </c>
      <c r="H68" s="26" t="n">
        <v>0.9</v>
      </c>
      <c r="I68" s="26" t="n">
        <v>1.15</v>
      </c>
    </row>
    <row r="69">
      <c r="A69" s="25" t="n">
        <v>65</v>
      </c>
      <c r="B69" s="26" t="n">
        <v>1.27</v>
      </c>
      <c r="C69" s="26" t="n">
        <v>1.08</v>
      </c>
      <c r="D69" s="26" t="n">
        <v>1.27</v>
      </c>
      <c r="E69" s="26" t="n">
        <v>1</v>
      </c>
      <c r="F69" s="26" t="n">
        <v>1</v>
      </c>
      <c r="G69" s="26" t="n">
        <v>1</v>
      </c>
      <c r="H69" s="26" t="n">
        <v>0.912</v>
      </c>
      <c r="I69" s="26" t="n">
        <v>1.15</v>
      </c>
    </row>
    <row r="70">
      <c r="A70" s="25" t="n">
        <v>66</v>
      </c>
      <c r="B70" s="26" t="n">
        <v>1.27</v>
      </c>
      <c r="C70" s="26" t="n">
        <v>1.08</v>
      </c>
      <c r="D70" s="26" t="n">
        <v>1.27</v>
      </c>
      <c r="E70" s="26" t="n">
        <v>1</v>
      </c>
      <c r="F70" s="26" t="n">
        <v>1</v>
      </c>
      <c r="G70" s="26" t="n">
        <v>1</v>
      </c>
      <c r="H70" s="26" t="n">
        <v>0.925</v>
      </c>
      <c r="I70" s="26" t="n">
        <v>1.136</v>
      </c>
    </row>
    <row r="71">
      <c r="A71" s="25" t="n">
        <v>67</v>
      </c>
      <c r="B71" s="26" t="n">
        <v>1.27</v>
      </c>
      <c r="C71" s="26" t="n">
        <v>1.08</v>
      </c>
      <c r="D71" s="26" t="n">
        <v>1.27</v>
      </c>
      <c r="E71" s="26" t="n">
        <v>1</v>
      </c>
      <c r="F71" s="26" t="n">
        <v>1</v>
      </c>
      <c r="G71" s="26" t="n">
        <v>1</v>
      </c>
      <c r="H71" s="26" t="n">
        <v>0.9379999999999999</v>
      </c>
      <c r="I71" s="26" t="n">
        <v>1.122</v>
      </c>
    </row>
    <row r="72">
      <c r="A72" s="25" t="n">
        <v>68</v>
      </c>
      <c r="B72" s="26" t="n">
        <v>1.27</v>
      </c>
      <c r="C72" s="26" t="n">
        <v>1.08</v>
      </c>
      <c r="D72" s="26" t="n">
        <v>1.27</v>
      </c>
      <c r="E72" s="26" t="n">
        <v>1</v>
      </c>
      <c r="F72" s="26" t="n">
        <v>1</v>
      </c>
      <c r="G72" s="26" t="n">
        <v>1</v>
      </c>
      <c r="H72" s="26" t="n">
        <v>0.95</v>
      </c>
      <c r="I72" s="26" t="n">
        <v>1.108</v>
      </c>
    </row>
    <row r="73">
      <c r="A73" s="25" t="n">
        <v>69</v>
      </c>
      <c r="B73" s="26" t="n">
        <v>1.27</v>
      </c>
      <c r="C73" s="26" t="n">
        <v>1.08</v>
      </c>
      <c r="D73" s="26" t="n">
        <v>1.27</v>
      </c>
      <c r="E73" s="26" t="n">
        <v>1</v>
      </c>
      <c r="F73" s="26" t="n">
        <v>1</v>
      </c>
      <c r="G73" s="26" t="n">
        <v>1</v>
      </c>
      <c r="H73" s="26" t="n">
        <v>0.963</v>
      </c>
      <c r="I73" s="26" t="n">
        <v>1.094</v>
      </c>
    </row>
    <row r="74">
      <c r="A74" s="25" t="n">
        <v>70</v>
      </c>
      <c r="B74" s="26" t="n">
        <v>1.27</v>
      </c>
      <c r="C74" s="26" t="n">
        <v>1.08</v>
      </c>
      <c r="D74" s="26" t="n">
        <v>1.27</v>
      </c>
      <c r="E74" s="26" t="n">
        <v>1</v>
      </c>
      <c r="F74" s="26" t="n">
        <v>1</v>
      </c>
      <c r="G74" s="26" t="n">
        <v>1</v>
      </c>
      <c r="H74" s="26" t="n">
        <v>0.975</v>
      </c>
      <c r="I74" s="26" t="n">
        <v>1.08</v>
      </c>
    </row>
    <row r="75">
      <c r="A75" s="25" t="n">
        <v>71</v>
      </c>
      <c r="B75" s="26" t="n">
        <v>1.27</v>
      </c>
      <c r="C75" s="26" t="n">
        <v>1.08</v>
      </c>
      <c r="D75" s="26" t="n">
        <v>1.27</v>
      </c>
      <c r="E75" s="26" t="n">
        <v>1</v>
      </c>
      <c r="F75" s="26" t="n">
        <v>1</v>
      </c>
      <c r="G75" s="26" t="n">
        <v>1</v>
      </c>
      <c r="H75" s="26" t="n">
        <v>0.988</v>
      </c>
      <c r="I75" s="26" t="n">
        <v>1.066</v>
      </c>
    </row>
    <row r="76">
      <c r="A76" s="25" t="n">
        <v>72</v>
      </c>
      <c r="B76" s="26" t="n">
        <v>1.27</v>
      </c>
      <c r="C76" s="26" t="n">
        <v>1.08</v>
      </c>
      <c r="D76" s="26" t="n">
        <v>1.27</v>
      </c>
      <c r="E76" s="26" t="n">
        <v>1</v>
      </c>
      <c r="F76" s="26" t="n">
        <v>1</v>
      </c>
      <c r="G76" s="26" t="n">
        <v>1</v>
      </c>
      <c r="H76" s="26" t="n">
        <v>1</v>
      </c>
      <c r="I76" s="26" t="n">
        <v>1.052</v>
      </c>
    </row>
    <row r="77">
      <c r="A77" s="25" t="n">
        <v>73</v>
      </c>
      <c r="B77" s="26" t="n">
        <v>1.27</v>
      </c>
      <c r="C77" s="26" t="n">
        <v>1.08</v>
      </c>
      <c r="D77" s="26" t="n">
        <v>1.27</v>
      </c>
      <c r="E77" s="26" t="n">
        <v>1</v>
      </c>
      <c r="F77" s="26" t="n">
        <v>1</v>
      </c>
      <c r="G77" s="26" t="n">
        <v>1</v>
      </c>
      <c r="H77" s="26" t="n">
        <v>1.012</v>
      </c>
      <c r="I77" s="26" t="n">
        <v>1.038</v>
      </c>
    </row>
    <row r="78">
      <c r="A78" s="25" t="n">
        <v>74</v>
      </c>
      <c r="B78" s="26" t="n">
        <v>1.27</v>
      </c>
      <c r="C78" s="26" t="n">
        <v>1.08</v>
      </c>
      <c r="D78" s="26" t="n">
        <v>1.27</v>
      </c>
      <c r="E78" s="26" t="n">
        <v>1</v>
      </c>
      <c r="F78" s="26" t="n">
        <v>1</v>
      </c>
      <c r="G78" s="26" t="n">
        <v>1</v>
      </c>
      <c r="H78" s="26" t="n">
        <v>1.025</v>
      </c>
      <c r="I78" s="26" t="n">
        <v>1.024</v>
      </c>
    </row>
    <row r="79">
      <c r="A79" s="25" t="n">
        <v>75</v>
      </c>
      <c r="B79" s="26" t="n">
        <v>1.27</v>
      </c>
      <c r="C79" s="26" t="n">
        <v>1.08</v>
      </c>
      <c r="D79" s="26" t="n">
        <v>1.27</v>
      </c>
      <c r="E79" s="26" t="n">
        <v>1</v>
      </c>
      <c r="F79" s="26" t="n">
        <v>1</v>
      </c>
      <c r="G79" s="26" t="n">
        <v>1</v>
      </c>
      <c r="H79" s="26" t="n">
        <v>1.038</v>
      </c>
      <c r="I79" s="26" t="n">
        <v>1.01</v>
      </c>
    </row>
    <row r="80">
      <c r="A80" s="25" t="n">
        <v>76</v>
      </c>
      <c r="B80" s="26" t="n">
        <v>1.27</v>
      </c>
      <c r="C80" s="26" t="n">
        <v>1.08</v>
      </c>
      <c r="D80" s="26" t="n">
        <v>1.27</v>
      </c>
      <c r="E80" s="26" t="n">
        <v>1</v>
      </c>
      <c r="F80" s="26" t="n">
        <v>1</v>
      </c>
      <c r="G80" s="26" t="n">
        <v>1</v>
      </c>
      <c r="H80" s="26" t="n">
        <v>1.05</v>
      </c>
      <c r="I80" s="26" t="n">
        <v>0.996</v>
      </c>
    </row>
    <row r="81">
      <c r="A81" s="25" t="n">
        <v>77</v>
      </c>
      <c r="B81" s="26" t="n">
        <v>1.27</v>
      </c>
      <c r="C81" s="26" t="n">
        <v>1.08</v>
      </c>
      <c r="D81" s="26" t="n">
        <v>1.27</v>
      </c>
      <c r="E81" s="26" t="n">
        <v>1</v>
      </c>
      <c r="F81" s="26" t="n">
        <v>1</v>
      </c>
      <c r="G81" s="26" t="n">
        <v>1</v>
      </c>
      <c r="H81" s="26" t="n">
        <v>1.062</v>
      </c>
      <c r="I81" s="26" t="n">
        <v>0.982</v>
      </c>
    </row>
    <row r="82">
      <c r="A82" s="25" t="n">
        <v>78</v>
      </c>
      <c r="B82" s="26" t="n">
        <v>1.27</v>
      </c>
      <c r="C82" s="26" t="n">
        <v>1.08</v>
      </c>
      <c r="D82" s="26" t="n">
        <v>1.27</v>
      </c>
      <c r="E82" s="26" t="n">
        <v>1</v>
      </c>
      <c r="F82" s="26" t="n">
        <v>1</v>
      </c>
      <c r="G82" s="26" t="n">
        <v>1</v>
      </c>
      <c r="H82" s="26" t="n">
        <v>1.075</v>
      </c>
      <c r="I82" s="26" t="n">
        <v>0.968</v>
      </c>
    </row>
    <row r="83">
      <c r="A83" s="25" t="n">
        <v>79</v>
      </c>
      <c r="B83" s="26" t="n">
        <v>1.27</v>
      </c>
      <c r="C83" s="26" t="n">
        <v>1.08</v>
      </c>
      <c r="D83" s="26" t="n">
        <v>1.27</v>
      </c>
      <c r="E83" s="26" t="n">
        <v>1</v>
      </c>
      <c r="F83" s="26" t="n">
        <v>1</v>
      </c>
      <c r="G83" s="26" t="n">
        <v>1</v>
      </c>
      <c r="H83" s="26" t="n">
        <v>1.088</v>
      </c>
      <c r="I83" s="26" t="n">
        <v>0.954</v>
      </c>
    </row>
    <row r="84">
      <c r="A84" s="25" t="n">
        <v>80</v>
      </c>
      <c r="B84" s="26" t="n">
        <v>1.27</v>
      </c>
      <c r="C84" s="26" t="n">
        <v>1.08</v>
      </c>
      <c r="D84" s="26" t="n">
        <v>1.27</v>
      </c>
      <c r="E84" s="26" t="n">
        <v>1</v>
      </c>
      <c r="F84" s="26" t="n">
        <v>1</v>
      </c>
      <c r="G84" s="26" t="n">
        <v>1</v>
      </c>
      <c r="H84" s="26" t="n">
        <v>1.1</v>
      </c>
      <c r="I84" s="26" t="n">
        <v>0.9399999999999999</v>
      </c>
    </row>
    <row r="85">
      <c r="A85" s="25" t="n">
        <v>81</v>
      </c>
      <c r="B85" s="26" t="n">
        <v>1.27</v>
      </c>
      <c r="C85" s="26" t="n">
        <v>1.092</v>
      </c>
      <c r="D85" s="26" t="n">
        <v>1.27</v>
      </c>
      <c r="E85" s="26" t="n">
        <v>1</v>
      </c>
      <c r="F85" s="26" t="n">
        <v>1</v>
      </c>
      <c r="G85" s="26" t="n">
        <v>1</v>
      </c>
      <c r="H85" s="26" t="n">
        <v>1.1</v>
      </c>
      <c r="I85" s="26" t="n">
        <v>0.926</v>
      </c>
    </row>
    <row r="86">
      <c r="A86" s="25" t="n">
        <v>82</v>
      </c>
      <c r="B86" s="26" t="n">
        <v>1.27</v>
      </c>
      <c r="C86" s="26" t="n">
        <v>1.103</v>
      </c>
      <c r="D86" s="26" t="n">
        <v>1.27</v>
      </c>
      <c r="E86" s="26" t="n">
        <v>1</v>
      </c>
      <c r="F86" s="26" t="n">
        <v>1</v>
      </c>
      <c r="G86" s="26" t="n">
        <v>1</v>
      </c>
      <c r="H86" s="26" t="n">
        <v>1.1</v>
      </c>
      <c r="I86" s="26" t="n">
        <v>0.912</v>
      </c>
    </row>
    <row r="87">
      <c r="A87" s="25" t="n">
        <v>83</v>
      </c>
      <c r="B87" s="26" t="n">
        <v>1.27</v>
      </c>
      <c r="C87" s="26" t="n">
        <v>1.115</v>
      </c>
      <c r="D87" s="26" t="n">
        <v>1.27</v>
      </c>
      <c r="E87" s="26" t="n">
        <v>1</v>
      </c>
      <c r="F87" s="26" t="n">
        <v>1</v>
      </c>
      <c r="G87" s="26" t="n">
        <v>1</v>
      </c>
      <c r="H87" s="26" t="n">
        <v>1.1</v>
      </c>
      <c r="I87" s="26" t="n">
        <v>0.898</v>
      </c>
    </row>
    <row r="88">
      <c r="A88" s="25" t="n">
        <v>84</v>
      </c>
      <c r="B88" s="26" t="n">
        <v>1.27</v>
      </c>
      <c r="C88" s="26" t="n">
        <v>1.126</v>
      </c>
      <c r="D88" s="26" t="n">
        <v>1.27</v>
      </c>
      <c r="E88" s="26" t="n">
        <v>1</v>
      </c>
      <c r="F88" s="26" t="n">
        <v>1</v>
      </c>
      <c r="G88" s="26" t="n">
        <v>1</v>
      </c>
      <c r="H88" s="26" t="n">
        <v>1.1</v>
      </c>
      <c r="I88" s="26" t="n">
        <v>0.884</v>
      </c>
    </row>
    <row r="89">
      <c r="A89" s="25" t="n">
        <v>85</v>
      </c>
      <c r="B89" s="26" t="n">
        <v>1.27</v>
      </c>
      <c r="C89" s="26" t="n">
        <v>1.138</v>
      </c>
      <c r="D89" s="26" t="n">
        <v>1.27</v>
      </c>
      <c r="E89" s="26" t="n">
        <v>1</v>
      </c>
      <c r="F89" s="26" t="n">
        <v>1</v>
      </c>
      <c r="G89" s="26" t="n">
        <v>1</v>
      </c>
      <c r="H89" s="26" t="n">
        <v>1.1</v>
      </c>
      <c r="I89" s="26" t="n">
        <v>0.87</v>
      </c>
    </row>
    <row r="90">
      <c r="A90" s="25" t="n">
        <v>86</v>
      </c>
      <c r="B90" s="26" t="n">
        <v>1.27</v>
      </c>
      <c r="C90" s="26" t="n">
        <v>1.149</v>
      </c>
      <c r="D90" s="26" t="n">
        <v>1.27</v>
      </c>
      <c r="E90" s="26" t="n">
        <v>1</v>
      </c>
      <c r="F90" s="26" t="n">
        <v>1</v>
      </c>
      <c r="G90" s="26" t="n">
        <v>1</v>
      </c>
      <c r="H90" s="26" t="n">
        <v>1.1</v>
      </c>
      <c r="I90" s="26" t="n">
        <v>0.856</v>
      </c>
    </row>
    <row r="91">
      <c r="A91" s="25" t="n">
        <v>87</v>
      </c>
      <c r="B91" s="26" t="n">
        <v>1.27</v>
      </c>
      <c r="C91" s="26" t="n">
        <v>1.161</v>
      </c>
      <c r="D91" s="26" t="n">
        <v>1.27</v>
      </c>
      <c r="E91" s="26" t="n">
        <v>1</v>
      </c>
      <c r="F91" s="26" t="n">
        <v>1</v>
      </c>
      <c r="G91" s="26" t="n">
        <v>1</v>
      </c>
      <c r="H91" s="26" t="n">
        <v>1.1</v>
      </c>
      <c r="I91" s="26" t="n">
        <v>0.842</v>
      </c>
    </row>
    <row r="92">
      <c r="A92" s="25" t="n">
        <v>88</v>
      </c>
      <c r="B92" s="26" t="n">
        <v>1.27</v>
      </c>
      <c r="C92" s="26" t="n">
        <v>1.173</v>
      </c>
      <c r="D92" s="26" t="n">
        <v>1.27</v>
      </c>
      <c r="E92" s="26" t="n">
        <v>1</v>
      </c>
      <c r="F92" s="26" t="n">
        <v>1</v>
      </c>
      <c r="G92" s="26" t="n">
        <v>1</v>
      </c>
      <c r="H92" s="26" t="n">
        <v>1.1</v>
      </c>
      <c r="I92" s="26" t="n">
        <v>0.828</v>
      </c>
    </row>
    <row r="93">
      <c r="A93" s="25" t="n">
        <v>89</v>
      </c>
      <c r="B93" s="26" t="n">
        <v>1.27</v>
      </c>
      <c r="C93" s="26" t="n">
        <v>1.184</v>
      </c>
      <c r="D93" s="26" t="n">
        <v>1.27</v>
      </c>
      <c r="E93" s="26" t="n">
        <v>1</v>
      </c>
      <c r="F93" s="26" t="n">
        <v>0.99</v>
      </c>
      <c r="G93" s="26" t="n">
        <v>1</v>
      </c>
      <c r="H93" s="26" t="n">
        <v>1.1</v>
      </c>
      <c r="I93" s="26" t="n">
        <v>0.8139999999999999</v>
      </c>
    </row>
    <row r="94">
      <c r="A94" s="25" t="n">
        <v>90</v>
      </c>
      <c r="B94" s="26" t="n">
        <v>1.27</v>
      </c>
      <c r="C94" s="26" t="n">
        <v>1.196</v>
      </c>
      <c r="D94" s="26" t="n">
        <v>1.27</v>
      </c>
      <c r="E94" s="26" t="n">
        <v>1</v>
      </c>
      <c r="F94" s="26" t="n">
        <v>0.98</v>
      </c>
      <c r="G94" s="26" t="n">
        <v>1</v>
      </c>
      <c r="H94" s="26" t="n">
        <v>1.1</v>
      </c>
      <c r="I94" s="26" t="n">
        <v>0.8</v>
      </c>
    </row>
    <row r="95">
      <c r="A95" s="25" t="n">
        <v>91</v>
      </c>
      <c r="B95" s="26" t="n">
        <v>1.27</v>
      </c>
      <c r="C95" s="26" t="n">
        <v>1.207</v>
      </c>
      <c r="D95" s="26" t="n">
        <v>1.27</v>
      </c>
      <c r="E95" s="26" t="n">
        <v>1</v>
      </c>
      <c r="F95" s="26" t="n">
        <v>0.97</v>
      </c>
      <c r="G95" s="26" t="n">
        <v>1</v>
      </c>
      <c r="H95" s="26" t="n">
        <v>1.1</v>
      </c>
      <c r="I95" s="26" t="n">
        <v>0.8</v>
      </c>
    </row>
    <row r="96">
      <c r="A96" s="25" t="n">
        <v>92</v>
      </c>
      <c r="B96" s="26" t="n">
        <v>1.27</v>
      </c>
      <c r="C96" s="26" t="n">
        <v>1.219</v>
      </c>
      <c r="D96" s="26" t="n">
        <v>1.27</v>
      </c>
      <c r="E96" s="26" t="n">
        <v>1</v>
      </c>
      <c r="F96" s="26" t="n">
        <v>0.96</v>
      </c>
      <c r="G96" s="26" t="n">
        <v>1</v>
      </c>
      <c r="H96" s="26" t="n">
        <v>1.1</v>
      </c>
      <c r="I96" s="26" t="n">
        <v>0.8</v>
      </c>
    </row>
    <row r="97">
      <c r="A97" s="25" t="n">
        <v>93</v>
      </c>
      <c r="B97" s="26" t="n">
        <v>1.27</v>
      </c>
      <c r="C97" s="26" t="n">
        <v>1.231</v>
      </c>
      <c r="D97" s="26" t="n">
        <v>1.27</v>
      </c>
      <c r="E97" s="26" t="n">
        <v>0.986</v>
      </c>
      <c r="F97" s="26" t="n">
        <v>0.95</v>
      </c>
      <c r="G97" s="26" t="n">
        <v>0.993</v>
      </c>
      <c r="H97" s="26" t="n">
        <v>1.1</v>
      </c>
      <c r="I97" s="26" t="n">
        <v>0.8</v>
      </c>
    </row>
    <row r="98">
      <c r="A98" s="25" t="n">
        <v>94</v>
      </c>
      <c r="B98" s="26" t="n">
        <v>1.27</v>
      </c>
      <c r="C98" s="26" t="n">
        <v>1.242</v>
      </c>
      <c r="D98" s="26" t="n">
        <v>1.27</v>
      </c>
      <c r="E98" s="26" t="n">
        <v>0.971</v>
      </c>
      <c r="F98" s="26" t="n">
        <v>0.9399999999999999</v>
      </c>
      <c r="G98" s="26" t="n">
        <v>0.987</v>
      </c>
      <c r="H98" s="26" t="n">
        <v>1.1</v>
      </c>
      <c r="I98" s="26" t="n">
        <v>0.8</v>
      </c>
    </row>
    <row r="99">
      <c r="A99" s="25" t="n">
        <v>95</v>
      </c>
      <c r="B99" s="26" t="n">
        <v>1.27</v>
      </c>
      <c r="C99" s="26" t="n">
        <v>1.254</v>
      </c>
      <c r="D99" s="26" t="n">
        <v>1.27</v>
      </c>
      <c r="E99" s="26" t="n">
        <v>0.957</v>
      </c>
      <c r="F99" s="26" t="n">
        <v>0.93</v>
      </c>
      <c r="G99" s="26" t="n">
        <v>0.98</v>
      </c>
      <c r="H99" s="26" t="n">
        <v>1.1</v>
      </c>
      <c r="I99" s="26" t="n">
        <v>0.8</v>
      </c>
    </row>
    <row r="100">
      <c r="A100" s="25" t="n">
        <v>96</v>
      </c>
      <c r="B100" s="26" t="n">
        <v>1.27</v>
      </c>
      <c r="C100" s="26" t="n">
        <v>1.265</v>
      </c>
      <c r="D100" s="26" t="n">
        <v>1.27</v>
      </c>
      <c r="E100" s="26" t="n">
        <v>0.9429999999999999</v>
      </c>
      <c r="F100" s="26" t="n">
        <v>0.92</v>
      </c>
      <c r="G100" s="26" t="n">
        <v>0.973</v>
      </c>
      <c r="H100" s="26" t="n">
        <v>1.1</v>
      </c>
      <c r="I100" s="26" t="n">
        <v>0.8</v>
      </c>
    </row>
    <row r="101">
      <c r="A101" s="25" t="n">
        <v>97</v>
      </c>
      <c r="B101" s="26" t="n">
        <v>1.27</v>
      </c>
      <c r="C101" s="26" t="n">
        <v>1.277</v>
      </c>
      <c r="D101" s="26" t="n">
        <v>1.27</v>
      </c>
      <c r="E101" s="26" t="n">
        <v>0.929</v>
      </c>
      <c r="F101" s="26" t="n">
        <v>0.91</v>
      </c>
      <c r="G101" s="26" t="n">
        <v>0.967</v>
      </c>
      <c r="H101" s="26" t="n">
        <v>1.1</v>
      </c>
      <c r="I101" s="26" t="n">
        <v>0.8</v>
      </c>
    </row>
    <row r="102">
      <c r="A102" s="25" t="n">
        <v>98</v>
      </c>
      <c r="B102" s="26" t="n">
        <v>1.27</v>
      </c>
      <c r="C102" s="26" t="n">
        <v>1.288</v>
      </c>
      <c r="D102" s="26" t="n">
        <v>1.27</v>
      </c>
      <c r="E102" s="26" t="n">
        <v>0.914</v>
      </c>
      <c r="F102" s="26" t="n">
        <v>0.9</v>
      </c>
      <c r="G102" s="26" t="n">
        <v>0.96</v>
      </c>
      <c r="H102" s="26" t="n">
        <v>1.1</v>
      </c>
      <c r="I102" s="26" t="n">
        <v>0.8</v>
      </c>
    </row>
    <row r="103">
      <c r="A103" s="25" t="n">
        <v>99</v>
      </c>
      <c r="B103" s="26" t="n">
        <v>1.27</v>
      </c>
      <c r="C103" s="26" t="n">
        <v>1.3</v>
      </c>
      <c r="D103" s="26" t="n">
        <v>1.27</v>
      </c>
      <c r="E103" s="26" t="n">
        <v>0.9</v>
      </c>
      <c r="F103" s="26" t="n">
        <v>0.89</v>
      </c>
      <c r="G103" s="26" t="n">
        <v>0.953</v>
      </c>
      <c r="H103" s="26" t="n">
        <v>1.1</v>
      </c>
      <c r="I103" s="26" t="n">
        <v>0.8</v>
      </c>
    </row>
    <row r="104">
      <c r="A104" s="25" t="n">
        <v>100</v>
      </c>
      <c r="B104" s="26" t="n">
        <v>1.27</v>
      </c>
      <c r="C104" s="26" t="n">
        <v>1.3</v>
      </c>
      <c r="D104" s="26" t="n">
        <v>1.27</v>
      </c>
      <c r="E104" s="26" t="n">
        <v>0.886</v>
      </c>
      <c r="F104" s="26" t="n">
        <v>0.88</v>
      </c>
      <c r="G104" s="26" t="n">
        <v>0.947</v>
      </c>
      <c r="H104" s="26" t="n">
        <v>1.1</v>
      </c>
      <c r="I104" s="26" t="n">
        <v>0.8</v>
      </c>
    </row>
    <row r="105">
      <c r="A105" s="25" t="n">
        <v>101</v>
      </c>
      <c r="B105" s="26" t="n">
        <v>1.27</v>
      </c>
      <c r="C105" s="26" t="n">
        <v>1.3</v>
      </c>
      <c r="D105" s="26" t="n">
        <v>1.27</v>
      </c>
      <c r="E105" s="26" t="n">
        <v>0.871</v>
      </c>
      <c r="F105" s="26" t="n">
        <v>0.87</v>
      </c>
      <c r="G105" s="26" t="n">
        <v>0.9399999999999999</v>
      </c>
      <c r="H105" s="26" t="n">
        <v>1.1</v>
      </c>
      <c r="I105" s="26" t="n">
        <v>0.8</v>
      </c>
    </row>
    <row r="106">
      <c r="A106" s="25" t="n">
        <v>102</v>
      </c>
      <c r="B106" s="26" t="n">
        <v>1.27</v>
      </c>
      <c r="C106" s="26" t="n">
        <v>1.3</v>
      </c>
      <c r="D106" s="26" t="n">
        <v>1.27</v>
      </c>
      <c r="E106" s="26" t="n">
        <v>0.857</v>
      </c>
      <c r="F106" s="26" t="n">
        <v>0.86</v>
      </c>
      <c r="G106" s="26" t="n">
        <v>0.9330000000000001</v>
      </c>
      <c r="H106" s="26" t="n">
        <v>1.1</v>
      </c>
      <c r="I106" s="26" t="n">
        <v>0.8</v>
      </c>
    </row>
    <row r="107">
      <c r="A107" s="25" t="n">
        <v>103</v>
      </c>
      <c r="B107" s="26" t="n">
        <v>1.27</v>
      </c>
      <c r="C107" s="26" t="n">
        <v>1.3</v>
      </c>
      <c r="D107" s="26" t="n">
        <v>1.27</v>
      </c>
      <c r="E107" s="26" t="n">
        <v>0.843</v>
      </c>
      <c r="F107" s="26" t="n">
        <v>0.85</v>
      </c>
      <c r="G107" s="26" t="n">
        <v>0.927</v>
      </c>
      <c r="H107" s="26" t="n">
        <v>1.1</v>
      </c>
      <c r="I107" s="26" t="n">
        <v>0.8</v>
      </c>
    </row>
    <row r="108">
      <c r="A108" s="25" t="n">
        <v>104</v>
      </c>
      <c r="B108" s="26" t="n">
        <v>1.27</v>
      </c>
      <c r="C108" s="26" t="n">
        <v>1.3</v>
      </c>
      <c r="D108" s="26" t="n">
        <v>1.27</v>
      </c>
      <c r="E108" s="26" t="n">
        <v>0.829</v>
      </c>
      <c r="F108" s="26" t="n">
        <v>0.84</v>
      </c>
      <c r="G108" s="26" t="n">
        <v>0.92</v>
      </c>
      <c r="H108" s="26" t="n">
        <v>1.1</v>
      </c>
      <c r="I108" s="26" t="n">
        <v>0.8</v>
      </c>
    </row>
    <row r="109">
      <c r="A109" s="25" t="n">
        <v>105</v>
      </c>
      <c r="B109" s="26" t="n">
        <v>1.27</v>
      </c>
      <c r="C109" s="26" t="n">
        <v>1.3</v>
      </c>
      <c r="D109" s="26" t="n">
        <v>1.27</v>
      </c>
      <c r="E109" s="26" t="n">
        <v>0.8139999999999999</v>
      </c>
      <c r="F109" s="26" t="n">
        <v>0.83</v>
      </c>
      <c r="G109" s="26" t="n">
        <v>0.913</v>
      </c>
      <c r="H109" s="26" t="n">
        <v>1.1</v>
      </c>
      <c r="I109" s="26" t="n">
        <v>0.8</v>
      </c>
    </row>
    <row r="110">
      <c r="A110" s="25" t="n">
        <v>106</v>
      </c>
      <c r="B110" s="26" t="n">
        <v>1.27</v>
      </c>
      <c r="C110" s="26" t="n">
        <v>1.3</v>
      </c>
      <c r="D110" s="26" t="n">
        <v>1.27</v>
      </c>
      <c r="E110" s="26" t="n">
        <v>0.8</v>
      </c>
      <c r="F110" s="26" t="n">
        <v>0.82</v>
      </c>
      <c r="G110" s="26" t="n">
        <v>0.907</v>
      </c>
      <c r="H110" s="26" t="n">
        <v>1.08</v>
      </c>
      <c r="I110" s="26" t="n">
        <v>0.8</v>
      </c>
    </row>
    <row r="111">
      <c r="A111" s="25" t="n">
        <v>107</v>
      </c>
      <c r="B111" s="26" t="n">
        <v>1.27</v>
      </c>
      <c r="C111" s="26" t="n">
        <v>1.3</v>
      </c>
      <c r="D111" s="26" t="n">
        <v>1.27</v>
      </c>
      <c r="E111" s="26" t="n">
        <v>0.786</v>
      </c>
      <c r="F111" s="26" t="n">
        <v>0.8100000000000001</v>
      </c>
      <c r="G111" s="26" t="n">
        <v>0.9</v>
      </c>
      <c r="H111" s="26" t="n">
        <v>1.06</v>
      </c>
      <c r="I111" s="26" t="n">
        <v>0.8</v>
      </c>
    </row>
    <row r="112">
      <c r="A112" s="25" t="n">
        <v>108</v>
      </c>
      <c r="B112" s="26" t="n">
        <v>1.27</v>
      </c>
      <c r="C112" s="26" t="n">
        <v>1.3</v>
      </c>
      <c r="D112" s="26" t="n">
        <v>1.27</v>
      </c>
      <c r="E112" s="26" t="n">
        <v>0.771</v>
      </c>
      <c r="F112" s="26" t="n">
        <v>0.8</v>
      </c>
      <c r="G112" s="26" t="n">
        <v>0.893</v>
      </c>
      <c r="H112" s="26" t="n">
        <v>1.04</v>
      </c>
      <c r="I112" s="26" t="n">
        <v>0.8</v>
      </c>
    </row>
    <row r="113">
      <c r="A113" s="25" t="n">
        <v>109</v>
      </c>
      <c r="B113" s="26" t="n">
        <v>1.27</v>
      </c>
      <c r="C113" s="26" t="n">
        <v>1.3</v>
      </c>
      <c r="D113" s="26" t="n">
        <v>1.27</v>
      </c>
      <c r="E113" s="26" t="n">
        <v>0.757</v>
      </c>
      <c r="F113" s="26" t="n">
        <v>0.79</v>
      </c>
      <c r="G113" s="26" t="n">
        <v>0.887</v>
      </c>
      <c r="H113" s="26" t="n">
        <v>1.02</v>
      </c>
      <c r="I113" s="26" t="n">
        <v>0.8</v>
      </c>
    </row>
    <row r="114">
      <c r="A114" s="25" t="n">
        <v>110</v>
      </c>
      <c r="B114" s="26" t="n">
        <v>1.27</v>
      </c>
      <c r="C114" s="26" t="n">
        <v>1.3</v>
      </c>
      <c r="D114" s="26" t="n">
        <v>1.27</v>
      </c>
      <c r="E114" s="26" t="n">
        <v>0.743</v>
      </c>
      <c r="F114" s="26" t="n">
        <v>0.78</v>
      </c>
      <c r="G114" s="26" t="n">
        <v>0.88</v>
      </c>
      <c r="H114" s="26" t="n">
        <v>1</v>
      </c>
      <c r="I114" s="26" t="n">
        <v>0.8</v>
      </c>
    </row>
    <row r="115">
      <c r="A115" s="25" t="n">
        <v>111</v>
      </c>
      <c r="B115" s="26" t="n">
        <v>1.27</v>
      </c>
      <c r="C115" s="26" t="n">
        <v>1.3</v>
      </c>
      <c r="D115" s="26" t="n">
        <v>1.27</v>
      </c>
      <c r="E115" s="26" t="n">
        <v>0.729</v>
      </c>
      <c r="F115" s="26" t="n">
        <v>0.77</v>
      </c>
      <c r="G115" s="26" t="n">
        <v>0.873</v>
      </c>
      <c r="H115" s="26" t="n">
        <v>0.98</v>
      </c>
      <c r="I115" s="26" t="n">
        <v>0.8</v>
      </c>
    </row>
    <row r="116">
      <c r="A116" s="25" t="n">
        <v>112</v>
      </c>
      <c r="B116" s="26" t="n">
        <v>1.27</v>
      </c>
      <c r="C116" s="26" t="n">
        <v>1.3</v>
      </c>
      <c r="D116" s="26" t="n">
        <v>1.27</v>
      </c>
      <c r="E116" s="26" t="n">
        <v>0.714</v>
      </c>
      <c r="F116" s="26" t="n">
        <v>0.76</v>
      </c>
      <c r="G116" s="26" t="n">
        <v>0.867</v>
      </c>
      <c r="H116" s="26" t="n">
        <v>0.96</v>
      </c>
      <c r="I116" s="26" t="n">
        <v>0.8</v>
      </c>
    </row>
    <row r="117">
      <c r="A117" s="25" t="n">
        <v>113</v>
      </c>
      <c r="B117" s="26" t="n">
        <v>1.27</v>
      </c>
      <c r="C117" s="26" t="n">
        <v>1.3</v>
      </c>
      <c r="D117" s="26" t="n">
        <v>1.27</v>
      </c>
      <c r="E117" s="26" t="n">
        <v>0.7</v>
      </c>
      <c r="F117" s="26" t="n">
        <v>0.75</v>
      </c>
      <c r="G117" s="26" t="n">
        <v>0.86</v>
      </c>
      <c r="H117" s="26" t="n">
        <v>0.9399999999999999</v>
      </c>
      <c r="I117" s="26" t="n">
        <v>0.8</v>
      </c>
    </row>
    <row r="118">
      <c r="A118" s="25" t="n">
        <v>114</v>
      </c>
      <c r="B118" s="26" t="n">
        <v>1.27</v>
      </c>
      <c r="C118" s="26" t="n">
        <v>1.3</v>
      </c>
      <c r="D118" s="26" t="n">
        <v>1.27</v>
      </c>
      <c r="E118" s="26" t="n">
        <v>0.7</v>
      </c>
      <c r="F118" s="26" t="n">
        <v>0.74</v>
      </c>
      <c r="G118" s="26" t="n">
        <v>0.853</v>
      </c>
      <c r="H118" s="26" t="n">
        <v>0.92</v>
      </c>
      <c r="I118" s="26" t="n">
        <v>0.8</v>
      </c>
    </row>
    <row r="119">
      <c r="A119" s="25" t="n">
        <v>115</v>
      </c>
      <c r="B119" s="26" t="n">
        <v>1.27</v>
      </c>
      <c r="C119" s="26" t="n">
        <v>1.3</v>
      </c>
      <c r="D119" s="26" t="n">
        <v>1.27</v>
      </c>
      <c r="E119" s="26" t="n">
        <v>0.7</v>
      </c>
      <c r="F119" s="26" t="n">
        <v>0.73</v>
      </c>
      <c r="G119" s="26" t="n">
        <v>0.847</v>
      </c>
      <c r="H119" s="26" t="n">
        <v>0.9</v>
      </c>
      <c r="I119" s="26" t="n">
        <v>0.8</v>
      </c>
    </row>
    <row r="120">
      <c r="A120" s="25" t="n">
        <v>116</v>
      </c>
      <c r="B120" s="26" t="n">
        <v>1.27</v>
      </c>
      <c r="C120" s="26" t="n">
        <v>1.3</v>
      </c>
      <c r="D120" s="26" t="n">
        <v>1.27</v>
      </c>
      <c r="E120" s="26" t="n">
        <v>0.7</v>
      </c>
      <c r="F120" s="26" t="n">
        <v>0.72</v>
      </c>
      <c r="G120" s="26" t="n">
        <v>0.84</v>
      </c>
      <c r="H120" s="26" t="n">
        <v>0.88</v>
      </c>
      <c r="I120" s="26" t="n">
        <v>0.8</v>
      </c>
    </row>
    <row r="121">
      <c r="A121" s="25" t="n">
        <v>117</v>
      </c>
      <c r="B121" s="26" t="n">
        <v>1.27</v>
      </c>
      <c r="C121" s="26" t="n">
        <v>1.3</v>
      </c>
      <c r="D121" s="26" t="n">
        <v>1.27</v>
      </c>
      <c r="E121" s="26" t="n">
        <v>0.7</v>
      </c>
      <c r="F121" s="26" t="n">
        <v>0.71</v>
      </c>
      <c r="G121" s="26" t="n">
        <v>0.833</v>
      </c>
      <c r="H121" s="26" t="n">
        <v>0.86</v>
      </c>
      <c r="I121" s="26" t="n">
        <v>0.8</v>
      </c>
    </row>
    <row r="122">
      <c r="A122" s="25" t="n">
        <v>118</v>
      </c>
      <c r="B122" s="26" t="n">
        <v>1.27</v>
      </c>
      <c r="C122" s="26" t="n">
        <v>1.3</v>
      </c>
      <c r="D122" s="26" t="n">
        <v>1.27</v>
      </c>
      <c r="E122" s="26" t="n">
        <v>0.7</v>
      </c>
      <c r="F122" s="26" t="n">
        <v>0.7</v>
      </c>
      <c r="G122" s="26" t="n">
        <v>0.827</v>
      </c>
      <c r="H122" s="26" t="n">
        <v>0.84</v>
      </c>
      <c r="I122" s="26" t="n">
        <v>0.8</v>
      </c>
    </row>
    <row r="123">
      <c r="A123" s="25" t="n">
        <v>119</v>
      </c>
      <c r="B123" s="26" t="n">
        <v>1.27</v>
      </c>
      <c r="C123" s="26" t="n">
        <v>1.3</v>
      </c>
      <c r="D123" s="26" t="n">
        <v>1.27</v>
      </c>
      <c r="E123" s="26" t="n">
        <v>0.7</v>
      </c>
      <c r="F123" s="26" t="n">
        <v>0.7</v>
      </c>
      <c r="G123" s="26" t="n">
        <v>0.82</v>
      </c>
      <c r="H123" s="26" t="n">
        <v>0.82</v>
      </c>
      <c r="I123" s="26" t="n">
        <v>0.8</v>
      </c>
    </row>
    <row r="124">
      <c r="A124" s="25" t="n">
        <v>120</v>
      </c>
      <c r="B124" s="26" t="n">
        <v>1.253</v>
      </c>
      <c r="C124" s="26" t="n">
        <v>1.3</v>
      </c>
      <c r="D124" s="26" t="n">
        <v>1.27</v>
      </c>
      <c r="E124" s="26" t="n">
        <v>0.7</v>
      </c>
      <c r="F124" s="26" t="n">
        <v>0.7</v>
      </c>
      <c r="G124" s="26" t="n">
        <v>0.8129999999999999</v>
      </c>
      <c r="H124" s="26" t="n">
        <v>0.8</v>
      </c>
      <c r="I124" s="26" t="n">
        <v>0.8</v>
      </c>
    </row>
    <row r="125">
      <c r="A125" s="25" t="n">
        <v>121</v>
      </c>
      <c r="B125" s="26" t="n">
        <v>1.236</v>
      </c>
      <c r="C125" s="26" t="n">
        <v>1.3</v>
      </c>
      <c r="D125" s="26" t="n">
        <v>1.27</v>
      </c>
      <c r="E125" s="26" t="n">
        <v>0.7</v>
      </c>
      <c r="F125" s="26" t="n">
        <v>0.7</v>
      </c>
      <c r="G125" s="26" t="n">
        <v>0.8070000000000001</v>
      </c>
      <c r="H125" s="26" t="n">
        <v>0.78</v>
      </c>
      <c r="I125" s="26" t="n">
        <v>0.8</v>
      </c>
    </row>
    <row r="126">
      <c r="A126" s="25" t="n">
        <v>122</v>
      </c>
      <c r="B126" s="26" t="n">
        <v>1.22</v>
      </c>
      <c r="C126" s="26" t="n">
        <v>1.3</v>
      </c>
      <c r="D126" s="26" t="n">
        <v>1.27</v>
      </c>
      <c r="E126" s="26" t="n">
        <v>0.7</v>
      </c>
      <c r="F126" s="26" t="n">
        <v>0.7</v>
      </c>
      <c r="G126" s="26" t="n">
        <v>0.8</v>
      </c>
      <c r="H126" s="26" t="n">
        <v>0.76</v>
      </c>
      <c r="I126" s="26" t="n">
        <v>0.8</v>
      </c>
    </row>
    <row r="127">
      <c r="A127" s="25" t="n">
        <v>123</v>
      </c>
      <c r="B127" s="26" t="n">
        <v>1.203</v>
      </c>
      <c r="C127" s="26" t="n">
        <v>1.3</v>
      </c>
      <c r="D127" s="26" t="n">
        <v>1.27</v>
      </c>
      <c r="E127" s="26" t="n">
        <v>0.7</v>
      </c>
      <c r="F127" s="26" t="n">
        <v>0.7</v>
      </c>
      <c r="G127" s="26" t="n">
        <v>0.793</v>
      </c>
      <c r="H127" s="26" t="n">
        <v>0.74</v>
      </c>
      <c r="I127" s="26" t="n">
        <v>0.8</v>
      </c>
    </row>
    <row r="128">
      <c r="A128" s="25" t="n">
        <v>124</v>
      </c>
      <c r="B128" s="26" t="n">
        <v>1.186</v>
      </c>
      <c r="C128" s="26" t="n">
        <v>1.3</v>
      </c>
      <c r="D128" s="26" t="n">
        <v>1.27</v>
      </c>
      <c r="E128" s="26" t="n">
        <v>0.7</v>
      </c>
      <c r="F128" s="26" t="n">
        <v>0.7</v>
      </c>
      <c r="G128" s="26" t="n">
        <v>0.787</v>
      </c>
      <c r="H128" s="26" t="n">
        <v>0.72</v>
      </c>
      <c r="I128" s="26" t="n">
        <v>0.8</v>
      </c>
    </row>
    <row r="129">
      <c r="A129" s="25" t="n">
        <v>125</v>
      </c>
      <c r="B129" s="26" t="n">
        <v>1.169</v>
      </c>
      <c r="C129" s="26" t="n">
        <v>1.3</v>
      </c>
      <c r="D129" s="26" t="n">
        <v>1.27</v>
      </c>
      <c r="E129" s="26" t="n">
        <v>0.7</v>
      </c>
      <c r="F129" s="26" t="n">
        <v>0.7</v>
      </c>
      <c r="G129" s="26" t="n">
        <v>0.78</v>
      </c>
      <c r="H129" s="26" t="n">
        <v>0.7</v>
      </c>
      <c r="I129" s="26" t="n">
        <v>0.8</v>
      </c>
    </row>
    <row r="130">
      <c r="A130" s="25" t="n">
        <v>126</v>
      </c>
      <c r="B130" s="26" t="n">
        <v>1.153</v>
      </c>
      <c r="C130" s="26" t="n">
        <v>1.3</v>
      </c>
      <c r="D130" s="26" t="n">
        <v>1.27</v>
      </c>
      <c r="E130" s="26" t="n">
        <v>0.7</v>
      </c>
      <c r="F130" s="26" t="n">
        <v>0.7</v>
      </c>
      <c r="G130" s="26" t="n">
        <v>0.773</v>
      </c>
      <c r="H130" s="26" t="n">
        <v>0.68</v>
      </c>
      <c r="I130" s="26" t="n">
        <v>0.8</v>
      </c>
    </row>
    <row r="131">
      <c r="A131" s="25" t="n">
        <v>127</v>
      </c>
      <c r="B131" s="26" t="n">
        <v>1.136</v>
      </c>
      <c r="C131" s="26" t="n">
        <v>1.3</v>
      </c>
      <c r="D131" s="26" t="n">
        <v>1.27</v>
      </c>
      <c r="E131" s="26" t="n">
        <v>0.7</v>
      </c>
      <c r="F131" s="26" t="n">
        <v>0.7</v>
      </c>
      <c r="G131" s="26" t="n">
        <v>0.767</v>
      </c>
      <c r="H131" s="26" t="n">
        <v>0.66</v>
      </c>
      <c r="I131" s="26" t="n">
        <v>0.8</v>
      </c>
    </row>
    <row r="132">
      <c r="A132" s="25" t="n">
        <v>128</v>
      </c>
      <c r="B132" s="26" t="n">
        <v>1.119</v>
      </c>
      <c r="C132" s="26" t="n">
        <v>1.3</v>
      </c>
      <c r="D132" s="26" t="n">
        <v>1.27</v>
      </c>
      <c r="E132" s="26" t="n">
        <v>0.7</v>
      </c>
      <c r="F132" s="26" t="n">
        <v>0.7</v>
      </c>
      <c r="G132" s="26" t="n">
        <v>0.76</v>
      </c>
      <c r="H132" s="26" t="n">
        <v>0.64</v>
      </c>
      <c r="I132" s="26" t="n">
        <v>0.8</v>
      </c>
    </row>
    <row r="133">
      <c r="A133" s="25" t="n">
        <v>129</v>
      </c>
      <c r="B133" s="26" t="n">
        <v>1.102</v>
      </c>
      <c r="C133" s="26" t="n">
        <v>1.3</v>
      </c>
      <c r="D133" s="26" t="n">
        <v>1.27</v>
      </c>
      <c r="E133" s="26" t="n">
        <v>0.7</v>
      </c>
      <c r="F133" s="26" t="n">
        <v>0.7</v>
      </c>
      <c r="G133" s="26" t="n">
        <v>0.753</v>
      </c>
      <c r="H133" s="26" t="n">
        <v>0.62</v>
      </c>
      <c r="I133" s="26" t="n">
        <v>0.8</v>
      </c>
    </row>
    <row r="134">
      <c r="A134" s="25" t="n">
        <v>130</v>
      </c>
      <c r="B134" s="26" t="n">
        <v>1.086</v>
      </c>
      <c r="C134" s="26" t="n">
        <v>1.3</v>
      </c>
      <c r="D134" s="26" t="n">
        <v>1.27</v>
      </c>
      <c r="E134" s="26" t="n">
        <v>0.7</v>
      </c>
      <c r="F134" s="26" t="n">
        <v>0.7</v>
      </c>
      <c r="G134" s="26" t="n">
        <v>0.747</v>
      </c>
      <c r="H134" s="26" t="n">
        <v>0.6</v>
      </c>
      <c r="I134" s="26" t="n">
        <v>0.8</v>
      </c>
    </row>
    <row r="135">
      <c r="A135" s="25" t="n">
        <v>131</v>
      </c>
      <c r="B135" s="26" t="n">
        <v>1.069</v>
      </c>
      <c r="C135" s="26" t="n">
        <v>1.3</v>
      </c>
      <c r="D135" s="26" t="n">
        <v>1.27</v>
      </c>
      <c r="E135" s="26" t="n">
        <v>0.7</v>
      </c>
      <c r="F135" s="26" t="n">
        <v>0.7</v>
      </c>
      <c r="G135" s="26" t="n">
        <v>0.74</v>
      </c>
      <c r="H135" s="26" t="n">
        <v>0.593</v>
      </c>
      <c r="I135" s="26" t="n">
        <v>0.8</v>
      </c>
    </row>
    <row r="136">
      <c r="A136" s="25" t="n">
        <v>132</v>
      </c>
      <c r="B136" s="26" t="n">
        <v>1.052</v>
      </c>
      <c r="C136" s="26" t="n">
        <v>1.3</v>
      </c>
      <c r="D136" s="26" t="n">
        <v>1.27</v>
      </c>
      <c r="E136" s="26" t="n">
        <v>0.7</v>
      </c>
      <c r="F136" s="26" t="n">
        <v>0.7</v>
      </c>
      <c r="G136" s="26" t="n">
        <v>0.733</v>
      </c>
      <c r="H136" s="26" t="n">
        <v>0.587</v>
      </c>
      <c r="I136" s="26" t="n">
        <v>0.8</v>
      </c>
    </row>
    <row r="137">
      <c r="A137" s="25" t="n">
        <v>133</v>
      </c>
      <c r="B137" s="26" t="n">
        <v>1.035</v>
      </c>
      <c r="C137" s="26" t="n">
        <v>1.3</v>
      </c>
      <c r="D137" s="26" t="n">
        <v>1.27</v>
      </c>
      <c r="E137" s="26" t="n">
        <v>0.7</v>
      </c>
      <c r="F137" s="26" t="n">
        <v>0.7</v>
      </c>
      <c r="G137" s="26" t="n">
        <v>0.727</v>
      </c>
      <c r="H137" s="26" t="n">
        <v>0.58</v>
      </c>
      <c r="I137" s="26" t="n">
        <v>0.8</v>
      </c>
    </row>
    <row r="138">
      <c r="A138" s="25" t="n">
        <v>134</v>
      </c>
      <c r="B138" s="26" t="n">
        <v>1.019</v>
      </c>
      <c r="C138" s="26" t="n">
        <v>1.3</v>
      </c>
      <c r="D138" s="26" t="n">
        <v>1.27</v>
      </c>
      <c r="E138" s="26" t="n">
        <v>0.7</v>
      </c>
      <c r="F138" s="26" t="n">
        <v>0.7</v>
      </c>
      <c r="G138" s="26" t="n">
        <v>0.72</v>
      </c>
      <c r="H138" s="26" t="n">
        <v>0.573</v>
      </c>
      <c r="I138" s="26" t="n">
        <v>0.8</v>
      </c>
    </row>
    <row r="139">
      <c r="A139" s="25" t="n">
        <v>135</v>
      </c>
      <c r="B139" s="26" t="n">
        <v>1.002</v>
      </c>
      <c r="C139" s="26" t="n">
        <v>1.3</v>
      </c>
      <c r="D139" s="26" t="n">
        <v>1.27</v>
      </c>
      <c r="E139" s="26" t="n">
        <v>0.7</v>
      </c>
      <c r="F139" s="26" t="n">
        <v>0.7</v>
      </c>
      <c r="G139" s="26" t="n">
        <v>0.713</v>
      </c>
      <c r="H139" s="26" t="n">
        <v>0.5669999999999999</v>
      </c>
      <c r="I139" s="26" t="n">
        <v>0.8</v>
      </c>
    </row>
    <row r="140">
      <c r="A140" s="25" t="n">
        <v>136</v>
      </c>
      <c r="B140" s="26" t="n">
        <v>0.985</v>
      </c>
      <c r="C140" s="26" t="n">
        <v>1.3</v>
      </c>
      <c r="D140" s="26" t="n">
        <v>1.27</v>
      </c>
      <c r="E140" s="26" t="n">
        <v>0.7</v>
      </c>
      <c r="F140" s="26" t="n">
        <v>0.7</v>
      </c>
      <c r="G140" s="26" t="n">
        <v>0.707</v>
      </c>
      <c r="H140" s="26" t="n">
        <v>0.5600000000000001</v>
      </c>
      <c r="I140" s="26" t="n">
        <v>0.8</v>
      </c>
    </row>
    <row r="141">
      <c r="A141" s="25" t="n">
        <v>137</v>
      </c>
      <c r="B141" s="26" t="n">
        <v>0.968</v>
      </c>
      <c r="C141" s="26" t="n">
        <v>1.3</v>
      </c>
      <c r="D141" s="26" t="n">
        <v>1.27</v>
      </c>
      <c r="E141" s="26" t="n">
        <v>0.7</v>
      </c>
      <c r="F141" s="26" t="n">
        <v>0.7</v>
      </c>
      <c r="G141" s="26" t="n">
        <v>0.7</v>
      </c>
      <c r="H141" s="26" t="n">
        <v>0.553</v>
      </c>
      <c r="I141" s="26" t="n">
        <v>0.8</v>
      </c>
    </row>
    <row r="142">
      <c r="A142" s="25" t="n">
        <v>138</v>
      </c>
      <c r="B142" s="26" t="n">
        <v>0.952</v>
      </c>
      <c r="C142" s="26" t="n">
        <v>1.3</v>
      </c>
      <c r="D142" s="26" t="n">
        <v>1.27</v>
      </c>
      <c r="E142" s="26" t="n">
        <v>0.7</v>
      </c>
      <c r="F142" s="26" t="n">
        <v>0.7</v>
      </c>
      <c r="G142" s="26" t="n">
        <v>0.7</v>
      </c>
      <c r="H142" s="26" t="n">
        <v>0.547</v>
      </c>
      <c r="I142" s="26" t="n">
        <v>0.8</v>
      </c>
    </row>
    <row r="143">
      <c r="A143" s="25" t="n">
        <v>139</v>
      </c>
      <c r="B143" s="26" t="n">
        <v>0.9350000000000001</v>
      </c>
      <c r="C143" s="26" t="n">
        <v>1.3</v>
      </c>
      <c r="D143" s="26" t="n">
        <v>1.27</v>
      </c>
      <c r="E143" s="26" t="n">
        <v>0.7</v>
      </c>
      <c r="F143" s="26" t="n">
        <v>0.7</v>
      </c>
      <c r="G143" s="26" t="n">
        <v>0.7</v>
      </c>
      <c r="H143" s="26" t="n">
        <v>0.54</v>
      </c>
      <c r="I143" s="26" t="n">
        <v>0.8</v>
      </c>
    </row>
    <row r="144">
      <c r="A144" s="25" t="n">
        <v>140</v>
      </c>
      <c r="B144" s="26" t="n">
        <v>0.918</v>
      </c>
      <c r="C144" s="26" t="n">
        <v>1.3</v>
      </c>
      <c r="D144" s="26" t="n">
        <v>1.27</v>
      </c>
      <c r="E144" s="26" t="n">
        <v>0.7</v>
      </c>
      <c r="F144" s="26" t="n">
        <v>0.7</v>
      </c>
      <c r="G144" s="26" t="n">
        <v>0.7</v>
      </c>
      <c r="H144" s="26" t="n">
        <v>0.533</v>
      </c>
      <c r="I144" s="26" t="n">
        <v>0.8</v>
      </c>
    </row>
    <row r="145">
      <c r="A145" s="25" t="n">
        <v>141</v>
      </c>
      <c r="B145" s="26" t="n">
        <v>0.901</v>
      </c>
      <c r="C145" s="26" t="n">
        <v>0.6</v>
      </c>
      <c r="D145" s="26" t="n">
        <v>1.27</v>
      </c>
      <c r="E145" s="26" t="n">
        <v>0.7</v>
      </c>
      <c r="F145" s="26" t="n">
        <v>0.7</v>
      </c>
      <c r="G145" s="26" t="n">
        <v>0.7</v>
      </c>
      <c r="H145" s="26" t="n">
        <v>0.527</v>
      </c>
      <c r="I145" s="26" t="n">
        <v>0.8</v>
      </c>
    </row>
    <row r="146">
      <c r="A146" s="25" t="n">
        <v>142</v>
      </c>
      <c r="B146" s="26" t="n">
        <v>0.885</v>
      </c>
      <c r="C146" s="26" t="n">
        <v>0.6</v>
      </c>
      <c r="D146" s="26" t="n">
        <v>1.27</v>
      </c>
      <c r="E146" s="26" t="n">
        <v>0.7</v>
      </c>
      <c r="F146" s="26" t="n">
        <v>0.7</v>
      </c>
      <c r="G146" s="26" t="n">
        <v>0.7</v>
      </c>
      <c r="H146" s="26" t="n">
        <v>0.52</v>
      </c>
      <c r="I146" s="26" t="n">
        <v>0.8</v>
      </c>
    </row>
    <row r="147">
      <c r="A147" s="25" t="n">
        <v>143</v>
      </c>
      <c r="B147" s="26" t="n">
        <v>0.868</v>
      </c>
      <c r="C147" s="26" t="n">
        <v>0.6</v>
      </c>
      <c r="D147" s="26" t="n">
        <v>1.27</v>
      </c>
      <c r="E147" s="26" t="n">
        <v>0.7</v>
      </c>
      <c r="F147" s="26" t="n">
        <v>0.7</v>
      </c>
      <c r="G147" s="26" t="n">
        <v>0.7</v>
      </c>
      <c r="H147" s="26" t="n">
        <v>0.513</v>
      </c>
      <c r="I147" s="26" t="n">
        <v>0.8</v>
      </c>
    </row>
    <row r="148">
      <c r="A148" s="25" t="n">
        <v>144</v>
      </c>
      <c r="B148" s="26" t="n">
        <v>0.851</v>
      </c>
      <c r="C148" s="26" t="n">
        <v>0.6</v>
      </c>
      <c r="D148" s="26" t="n">
        <v>1.27</v>
      </c>
      <c r="E148" s="26" t="n">
        <v>0.7</v>
      </c>
      <c r="F148" s="26" t="n">
        <v>0.7</v>
      </c>
      <c r="G148" s="26" t="n">
        <v>0.7</v>
      </c>
      <c r="H148" s="26" t="n">
        <v>0.507</v>
      </c>
      <c r="I148" s="26" t="n">
        <v>0.8</v>
      </c>
    </row>
    <row r="149">
      <c r="A149" s="25" t="n">
        <v>145</v>
      </c>
      <c r="B149" s="26" t="n">
        <v>0.834</v>
      </c>
      <c r="C149" s="26" t="n">
        <v>0.6</v>
      </c>
      <c r="D149" s="26" t="n">
        <v>1.27</v>
      </c>
      <c r="E149" s="26" t="n">
        <v>0.7</v>
      </c>
      <c r="F149" s="26" t="n">
        <v>0.7</v>
      </c>
      <c r="G149" s="26" t="n">
        <v>0.7</v>
      </c>
      <c r="H149" s="26" t="n">
        <v>0.5</v>
      </c>
      <c r="I149" s="26" t="n">
        <v>0.8</v>
      </c>
    </row>
    <row r="150">
      <c r="A150" s="25" t="n">
        <v>146</v>
      </c>
      <c r="B150" s="26" t="n">
        <v>0.8179999999999999</v>
      </c>
      <c r="C150" s="26" t="n">
        <v>0.6</v>
      </c>
      <c r="D150" s="26" t="n">
        <v>1.25</v>
      </c>
      <c r="E150" s="26" t="n">
        <v>0.7</v>
      </c>
      <c r="F150" s="26" t="n">
        <v>0.7</v>
      </c>
      <c r="G150" s="26" t="n">
        <v>0.7</v>
      </c>
      <c r="H150" s="26" t="n">
        <v>0.493</v>
      </c>
      <c r="I150" s="26" t="n">
        <v>0.8</v>
      </c>
    </row>
    <row r="151">
      <c r="A151" s="25" t="n">
        <v>147</v>
      </c>
      <c r="B151" s="26" t="n">
        <v>0.801</v>
      </c>
      <c r="C151" s="26" t="n">
        <v>0.6</v>
      </c>
      <c r="D151" s="26" t="n">
        <v>1.231</v>
      </c>
      <c r="E151" s="26" t="n">
        <v>0.7</v>
      </c>
      <c r="F151" s="26" t="n">
        <v>0.7</v>
      </c>
      <c r="G151" s="26" t="n">
        <v>0.7</v>
      </c>
      <c r="H151" s="26" t="n">
        <v>0.487</v>
      </c>
      <c r="I151" s="26" t="n">
        <v>0.8</v>
      </c>
    </row>
    <row r="152">
      <c r="A152" s="25" t="n">
        <v>148</v>
      </c>
      <c r="B152" s="26" t="n">
        <v>0.784</v>
      </c>
      <c r="C152" s="26" t="n">
        <v>0.6</v>
      </c>
      <c r="D152" s="26" t="n">
        <v>1.211</v>
      </c>
      <c r="E152" s="26" t="n">
        <v>0.7</v>
      </c>
      <c r="F152" s="26" t="n">
        <v>0.7</v>
      </c>
      <c r="G152" s="26" t="n">
        <v>0.7</v>
      </c>
      <c r="H152" s="26" t="n">
        <v>0.48</v>
      </c>
      <c r="I152" s="26" t="n">
        <v>0.8</v>
      </c>
    </row>
    <row r="153">
      <c r="A153" s="25" t="n">
        <v>149</v>
      </c>
      <c r="B153" s="26" t="n">
        <v>0.767</v>
      </c>
      <c r="C153" s="26" t="n">
        <v>0.6</v>
      </c>
      <c r="D153" s="26" t="n">
        <v>1.191</v>
      </c>
      <c r="E153" s="26" t="n">
        <v>0.7</v>
      </c>
      <c r="F153" s="26" t="n">
        <v>0.7</v>
      </c>
      <c r="G153" s="26" t="n">
        <v>0.7</v>
      </c>
      <c r="H153" s="26" t="n">
        <v>0.473</v>
      </c>
      <c r="I153" s="26" t="n">
        <v>0.8</v>
      </c>
    </row>
    <row r="154">
      <c r="A154" s="25" t="n">
        <v>150</v>
      </c>
      <c r="B154" s="26" t="n">
        <v>0.751</v>
      </c>
      <c r="C154" s="26" t="n">
        <v>0.6</v>
      </c>
      <c r="D154" s="26" t="n">
        <v>1.171</v>
      </c>
      <c r="E154" s="26" t="n">
        <v>0.7</v>
      </c>
      <c r="F154" s="26" t="n">
        <v>0.7</v>
      </c>
      <c r="G154" s="26" t="n">
        <v>0.7</v>
      </c>
      <c r="H154" s="26" t="n">
        <v>0.467</v>
      </c>
      <c r="I154" s="26" t="n">
        <v>0.8</v>
      </c>
    </row>
    <row r="155">
      <c r="A155" s="25" t="n">
        <v>151</v>
      </c>
      <c r="B155" s="26" t="n">
        <v>0.734</v>
      </c>
      <c r="C155" s="26" t="n">
        <v>0.6</v>
      </c>
      <c r="D155" s="26" t="n">
        <v>1.152</v>
      </c>
      <c r="E155" s="26" t="n">
        <v>0.7</v>
      </c>
      <c r="F155" s="26" t="n">
        <v>0.7</v>
      </c>
      <c r="G155" s="26" t="n">
        <v>0.7</v>
      </c>
      <c r="H155" s="26" t="n">
        <v>0.46</v>
      </c>
      <c r="I155" s="26" t="n">
        <v>0.8</v>
      </c>
    </row>
    <row r="156">
      <c r="A156" s="25" t="n">
        <v>152</v>
      </c>
      <c r="B156" s="26" t="n">
        <v>0.717</v>
      </c>
      <c r="C156" s="26" t="n">
        <v>0.6</v>
      </c>
      <c r="D156" s="26" t="n">
        <v>1.132</v>
      </c>
      <c r="E156" s="26" t="n">
        <v>0.7</v>
      </c>
      <c r="F156" s="26" t="n">
        <v>0.7</v>
      </c>
      <c r="G156" s="26" t="n">
        <v>0.7</v>
      </c>
      <c r="H156" s="26" t="n">
        <v>0.453</v>
      </c>
      <c r="I156" s="26" t="n">
        <v>0.8</v>
      </c>
    </row>
    <row r="157">
      <c r="A157" s="25" t="n">
        <v>153</v>
      </c>
      <c r="B157" s="26" t="n">
        <v>0.7</v>
      </c>
      <c r="C157" s="26" t="n">
        <v>0.6</v>
      </c>
      <c r="D157" s="26" t="n">
        <v>1.112</v>
      </c>
      <c r="E157" s="26" t="n">
        <v>0.7</v>
      </c>
      <c r="F157" s="26" t="n">
        <v>0.7</v>
      </c>
      <c r="G157" s="26" t="n">
        <v>0.7</v>
      </c>
      <c r="H157" s="26" t="n">
        <v>0.447</v>
      </c>
      <c r="I157" s="26" t="n">
        <v>0.8</v>
      </c>
    </row>
    <row r="158">
      <c r="A158" s="25" t="n">
        <v>154</v>
      </c>
      <c r="B158" s="26" t="n">
        <v>0.6840000000000001</v>
      </c>
      <c r="C158" s="26" t="n">
        <v>0.6</v>
      </c>
      <c r="D158" s="26" t="n">
        <v>1.093</v>
      </c>
      <c r="E158" s="26" t="n">
        <v>0.7</v>
      </c>
      <c r="F158" s="26" t="n">
        <v>0.7</v>
      </c>
      <c r="G158" s="26" t="n">
        <v>0.7</v>
      </c>
      <c r="H158" s="26" t="n">
        <v>0.44</v>
      </c>
      <c r="I158" s="26" t="n">
        <v>0.8</v>
      </c>
    </row>
    <row r="159">
      <c r="A159" s="25" t="n">
        <v>155</v>
      </c>
      <c r="B159" s="26" t="n">
        <v>0.667</v>
      </c>
      <c r="C159" s="26" t="n">
        <v>0.6</v>
      </c>
      <c r="D159" s="26" t="n">
        <v>1.073</v>
      </c>
      <c r="E159" s="26" t="n">
        <v>0.7</v>
      </c>
      <c r="F159" s="26" t="n">
        <v>0.7</v>
      </c>
      <c r="G159" s="26" t="n">
        <v>0.7</v>
      </c>
      <c r="H159" s="26" t="n">
        <v>0.433</v>
      </c>
      <c r="I159" s="26" t="n">
        <v>0.8</v>
      </c>
    </row>
    <row r="160">
      <c r="A160" s="25" t="n">
        <v>156</v>
      </c>
      <c r="B160" s="26" t="n">
        <v>0.65</v>
      </c>
      <c r="C160" s="26" t="n">
        <v>0.6</v>
      </c>
      <c r="D160" s="26" t="n">
        <v>1.053</v>
      </c>
      <c r="E160" s="26" t="n">
        <v>0.7</v>
      </c>
      <c r="F160" s="26" t="n">
        <v>0.7</v>
      </c>
      <c r="G160" s="26" t="n">
        <v>0.7</v>
      </c>
      <c r="H160" s="26" t="n">
        <v>0.427</v>
      </c>
      <c r="I160" s="26" t="n">
        <v>0.8</v>
      </c>
    </row>
    <row r="161">
      <c r="A161" s="25" t="n">
        <v>157</v>
      </c>
      <c r="B161" s="26" t="n">
        <v>0.633</v>
      </c>
      <c r="C161" s="26" t="n">
        <v>0.6</v>
      </c>
      <c r="D161" s="26" t="n">
        <v>1.034</v>
      </c>
      <c r="E161" s="26" t="n">
        <v>0.7</v>
      </c>
      <c r="F161" s="26" t="n">
        <v>0.7</v>
      </c>
      <c r="G161" s="26" t="n">
        <v>0.7</v>
      </c>
      <c r="H161" s="26" t="n">
        <v>0.42</v>
      </c>
      <c r="I161" s="26" t="n">
        <v>0.8</v>
      </c>
    </row>
    <row r="162">
      <c r="A162" s="25" t="n">
        <v>158</v>
      </c>
      <c r="B162" s="26" t="n">
        <v>0.617</v>
      </c>
      <c r="C162" s="26" t="n">
        <v>0.6</v>
      </c>
      <c r="D162" s="26" t="n">
        <v>1.014</v>
      </c>
      <c r="E162" s="26" t="n">
        <v>0.7</v>
      </c>
      <c r="F162" s="26" t="n">
        <v>0.7</v>
      </c>
      <c r="G162" s="26" t="n">
        <v>0.7</v>
      </c>
      <c r="H162" s="26" t="n">
        <v>0.413</v>
      </c>
      <c r="I162" s="26" t="n">
        <v>0.8</v>
      </c>
    </row>
    <row r="163">
      <c r="A163" s="25" t="n">
        <v>159</v>
      </c>
      <c r="B163" s="26" t="n">
        <v>0.6</v>
      </c>
      <c r="C163" s="26" t="n">
        <v>0.6</v>
      </c>
      <c r="D163" s="26" t="n">
        <v>0.994</v>
      </c>
      <c r="E163" s="26" t="n">
        <v>0.7</v>
      </c>
      <c r="F163" s="26" t="n">
        <v>0.7</v>
      </c>
      <c r="G163" s="26" t="n">
        <v>0.7</v>
      </c>
      <c r="H163" s="26" t="n">
        <v>0.407</v>
      </c>
      <c r="I163" s="26" t="n">
        <v>0.8</v>
      </c>
    </row>
    <row r="164">
      <c r="A164" s="25" t="n">
        <v>160</v>
      </c>
      <c r="B164" s="26" t="n">
        <v>0.583</v>
      </c>
      <c r="C164" s="26" t="n">
        <v>0.6</v>
      </c>
      <c r="D164" s="26" t="n">
        <v>0.974</v>
      </c>
      <c r="E164" s="26" t="n">
        <v>0.7</v>
      </c>
      <c r="F164" s="26" t="n">
        <v>0.7</v>
      </c>
      <c r="G164" s="26" t="n">
        <v>0.7</v>
      </c>
      <c r="H164" s="26" t="n">
        <v>0.4</v>
      </c>
      <c r="I164" s="26" t="n">
        <v>0.8</v>
      </c>
    </row>
    <row r="165">
      <c r="A165" s="25" t="n">
        <v>161</v>
      </c>
      <c r="B165" s="26" t="n">
        <v>0.5659999999999999</v>
      </c>
      <c r="C165" s="26" t="n">
        <v>0.6</v>
      </c>
      <c r="D165" s="26" t="n">
        <v>0.955</v>
      </c>
      <c r="E165" s="26" t="n">
        <v>0.7</v>
      </c>
      <c r="F165" s="26" t="n">
        <v>0.7</v>
      </c>
      <c r="G165" s="26" t="n">
        <v>0.7</v>
      </c>
      <c r="H165" s="26" t="n">
        <v>0.4</v>
      </c>
      <c r="I165" s="26" t="n">
        <v>0.8</v>
      </c>
    </row>
    <row r="166">
      <c r="A166" s="25" t="n">
        <v>162</v>
      </c>
      <c r="B166" s="26" t="n">
        <v>0.55</v>
      </c>
      <c r="C166" s="26" t="n">
        <v>0.6</v>
      </c>
      <c r="D166" s="26" t="n">
        <v>0.9350000000000001</v>
      </c>
      <c r="E166" s="26" t="n">
        <v>0.7</v>
      </c>
      <c r="F166" s="26" t="n">
        <v>0.7</v>
      </c>
      <c r="G166" s="26" t="n">
        <v>0.7</v>
      </c>
      <c r="H166" s="26" t="n">
        <v>0.4</v>
      </c>
      <c r="I166" s="26" t="n">
        <v>0.8</v>
      </c>
    </row>
    <row r="167">
      <c r="A167" s="25" t="n">
        <v>163</v>
      </c>
      <c r="B167" s="26" t="n">
        <v>0.533</v>
      </c>
      <c r="C167" s="26" t="n">
        <v>0.6</v>
      </c>
      <c r="D167" s="26" t="n">
        <v>0.915</v>
      </c>
      <c r="E167" s="26" t="n">
        <v>0.7</v>
      </c>
      <c r="F167" s="26" t="n">
        <v>0.7</v>
      </c>
      <c r="G167" s="26" t="n">
        <v>0.7</v>
      </c>
      <c r="H167" s="26" t="n">
        <v>0.4</v>
      </c>
      <c r="I167" s="26" t="n">
        <v>0.8</v>
      </c>
    </row>
    <row r="168">
      <c r="A168" s="25" t="n">
        <v>164</v>
      </c>
      <c r="B168" s="26" t="n">
        <v>0.516</v>
      </c>
      <c r="C168" s="26" t="n">
        <v>0.6</v>
      </c>
      <c r="D168" s="26" t="n">
        <v>0.896</v>
      </c>
      <c r="E168" s="26" t="n">
        <v>0.7</v>
      </c>
      <c r="F168" s="26" t="n">
        <v>0.7</v>
      </c>
      <c r="G168" s="26" t="n">
        <v>0.7</v>
      </c>
      <c r="H168" s="26" t="n">
        <v>0.4</v>
      </c>
      <c r="I168" s="26" t="n">
        <v>0.8</v>
      </c>
    </row>
    <row r="169">
      <c r="A169" s="25" t="n">
        <v>165</v>
      </c>
      <c r="B169" s="26" t="n">
        <v>0.499</v>
      </c>
      <c r="C169" s="26" t="n">
        <v>0.6</v>
      </c>
      <c r="D169" s="26" t="n">
        <v>0.876</v>
      </c>
      <c r="E169" s="26" t="n">
        <v>0.7</v>
      </c>
      <c r="F169" s="26" t="n">
        <v>0.7</v>
      </c>
      <c r="G169" s="26" t="n">
        <v>0.7</v>
      </c>
      <c r="H169" s="26" t="n">
        <v>0.4</v>
      </c>
      <c r="I169" s="26" t="n">
        <v>0.8</v>
      </c>
    </row>
    <row r="170">
      <c r="A170" s="25" t="n">
        <v>166</v>
      </c>
      <c r="B170" s="26" t="n">
        <v>0.499</v>
      </c>
      <c r="C170" s="26" t="n">
        <v>0.6</v>
      </c>
      <c r="D170" s="26" t="n">
        <v>0.856</v>
      </c>
      <c r="E170" s="26" t="n">
        <v>0.7</v>
      </c>
      <c r="F170" s="26" t="n">
        <v>0.7</v>
      </c>
      <c r="G170" s="26" t="n">
        <v>0.7</v>
      </c>
      <c r="H170" s="26" t="n">
        <v>0.4</v>
      </c>
      <c r="I170" s="26" t="n">
        <v>0.8</v>
      </c>
    </row>
    <row r="171">
      <c r="A171" s="25" t="n">
        <v>167</v>
      </c>
      <c r="B171" s="26" t="n">
        <v>0.499</v>
      </c>
      <c r="C171" s="26" t="n">
        <v>0.6</v>
      </c>
      <c r="D171" s="26" t="n">
        <v>0.836</v>
      </c>
      <c r="E171" s="26" t="n">
        <v>0.7</v>
      </c>
      <c r="F171" s="26" t="n">
        <v>0.7</v>
      </c>
      <c r="G171" s="26" t="n">
        <v>0.7</v>
      </c>
      <c r="H171" s="26" t="n">
        <v>0.4</v>
      </c>
      <c r="I171" s="26" t="n">
        <v>0.8</v>
      </c>
    </row>
    <row r="172">
      <c r="A172" s="25" t="n">
        <v>168</v>
      </c>
      <c r="B172" s="26" t="n">
        <v>0.499</v>
      </c>
      <c r="C172" s="26" t="n">
        <v>0.6</v>
      </c>
      <c r="D172" s="26" t="n">
        <v>0.8169999999999999</v>
      </c>
      <c r="E172" s="26" t="n">
        <v>0.7</v>
      </c>
      <c r="F172" s="26" t="n">
        <v>0.7</v>
      </c>
      <c r="G172" s="26" t="n">
        <v>0.7</v>
      </c>
      <c r="H172" s="26" t="n">
        <v>0.4</v>
      </c>
      <c r="I172" s="26" t="n">
        <v>0.8</v>
      </c>
    </row>
    <row r="173">
      <c r="A173" s="25" t="n">
        <v>169</v>
      </c>
      <c r="B173" s="26" t="n">
        <v>0.499</v>
      </c>
      <c r="C173" s="26" t="n">
        <v>0.6</v>
      </c>
      <c r="D173" s="26" t="n">
        <v>0.797</v>
      </c>
      <c r="E173" s="26" t="n">
        <v>0.7</v>
      </c>
      <c r="F173" s="26" t="n">
        <v>0.7</v>
      </c>
      <c r="G173" s="26" t="n">
        <v>0.7</v>
      </c>
      <c r="H173" s="26" t="n">
        <v>0.4</v>
      </c>
      <c r="I173" s="26" t="n">
        <v>0.8</v>
      </c>
    </row>
    <row r="174">
      <c r="A174" s="25" t="n">
        <v>170</v>
      </c>
      <c r="B174" s="26" t="n">
        <v>0.499</v>
      </c>
      <c r="C174" s="26" t="n">
        <v>0.6</v>
      </c>
      <c r="D174" s="26" t="n">
        <v>0.777</v>
      </c>
      <c r="E174" s="26" t="n">
        <v>0.7</v>
      </c>
      <c r="F174" s="26" t="n">
        <v>0.7</v>
      </c>
      <c r="G174" s="26" t="n">
        <v>0.7</v>
      </c>
      <c r="H174" s="26" t="n">
        <v>0.4</v>
      </c>
      <c r="I174" s="26" t="n">
        <v>0.8</v>
      </c>
    </row>
    <row r="175">
      <c r="A175" s="25" t="n">
        <v>171</v>
      </c>
      <c r="B175" s="26" t="n">
        <v>0.499</v>
      </c>
      <c r="C175" s="26" t="n">
        <v>0.6</v>
      </c>
      <c r="D175" s="26" t="n">
        <v>0.758</v>
      </c>
      <c r="E175" s="26" t="n">
        <v>0.7</v>
      </c>
      <c r="F175" s="26" t="n">
        <v>0.7</v>
      </c>
      <c r="G175" s="26" t="n">
        <v>0.7</v>
      </c>
      <c r="H175" s="26" t="n">
        <v>0.4</v>
      </c>
      <c r="I175" s="26" t="n">
        <v>0.8</v>
      </c>
    </row>
    <row r="176">
      <c r="A176" s="25" t="n">
        <v>172</v>
      </c>
      <c r="B176" s="26" t="n">
        <v>0.499</v>
      </c>
      <c r="C176" s="26" t="n">
        <v>0.6</v>
      </c>
      <c r="D176" s="26" t="n">
        <v>0.738</v>
      </c>
      <c r="E176" s="26" t="n">
        <v>0.7</v>
      </c>
      <c r="F176" s="26" t="n">
        <v>0.7</v>
      </c>
      <c r="G176" s="26" t="n">
        <v>0.7</v>
      </c>
      <c r="H176" s="26" t="n">
        <v>0.4</v>
      </c>
      <c r="I176" s="26" t="n">
        <v>0.8</v>
      </c>
    </row>
    <row r="177">
      <c r="A177" s="25" t="n">
        <v>173</v>
      </c>
      <c r="B177" s="26" t="n">
        <v>0.499</v>
      </c>
      <c r="C177" s="26" t="n">
        <v>0.6</v>
      </c>
      <c r="D177" s="26" t="n">
        <v>0.718</v>
      </c>
      <c r="E177" s="26" t="n">
        <v>0.7</v>
      </c>
      <c r="F177" s="26" t="n">
        <v>0.7</v>
      </c>
      <c r="G177" s="26" t="n">
        <v>0.7</v>
      </c>
      <c r="H177" s="26" t="n">
        <v>0.4</v>
      </c>
      <c r="I177" s="26" t="n">
        <v>0.8</v>
      </c>
    </row>
    <row r="178">
      <c r="A178" s="25" t="n">
        <v>174</v>
      </c>
      <c r="B178" s="26" t="n">
        <v>0.499</v>
      </c>
      <c r="C178" s="26" t="n">
        <v>0.6</v>
      </c>
      <c r="D178" s="26" t="n">
        <v>0.699</v>
      </c>
      <c r="E178" s="26" t="n">
        <v>0.7</v>
      </c>
      <c r="F178" s="26" t="n">
        <v>0.7</v>
      </c>
      <c r="G178" s="26" t="n">
        <v>0.7</v>
      </c>
      <c r="H178" s="26" t="n">
        <v>0.4</v>
      </c>
      <c r="I178" s="26" t="n">
        <v>0.8</v>
      </c>
    </row>
    <row r="179">
      <c r="A179" s="25" t="n">
        <v>175</v>
      </c>
      <c r="B179" s="26" t="n">
        <v>0.499</v>
      </c>
      <c r="C179" s="26" t="n">
        <v>0.6</v>
      </c>
      <c r="D179" s="26" t="n">
        <v>0.679</v>
      </c>
      <c r="E179" s="26" t="n">
        <v>0.7</v>
      </c>
      <c r="F179" s="26" t="n">
        <v>0.7</v>
      </c>
      <c r="G179" s="26" t="n">
        <v>0.7</v>
      </c>
      <c r="H179" s="26" t="n">
        <v>0.4</v>
      </c>
      <c r="I179" s="26" t="n">
        <v>0.8</v>
      </c>
    </row>
    <row r="180">
      <c r="A180" s="25" t="n">
        <v>176</v>
      </c>
      <c r="B180" s="26" t="n">
        <v>0.499</v>
      </c>
      <c r="C180" s="26" t="n">
        <v>0.6</v>
      </c>
      <c r="D180" s="26" t="n">
        <v>0.659</v>
      </c>
      <c r="E180" s="26" t="n">
        <v>0.7</v>
      </c>
      <c r="F180" s="26" t="n">
        <v>0.7</v>
      </c>
      <c r="G180" s="26" t="n">
        <v>0.7</v>
      </c>
      <c r="H180" s="26" t="n">
        <v>0.4</v>
      </c>
      <c r="I180" s="26" t="n">
        <v>0.8</v>
      </c>
    </row>
    <row r="181">
      <c r="A181" s="25" t="n">
        <v>177</v>
      </c>
      <c r="B181" s="26" t="n">
        <v>0.499</v>
      </c>
      <c r="C181" s="26" t="n">
        <v>0.6</v>
      </c>
      <c r="D181" s="26" t="n">
        <v>0.639</v>
      </c>
      <c r="E181" s="26" t="n">
        <v>0.7</v>
      </c>
      <c r="F181" s="26" t="n">
        <v>0.7</v>
      </c>
      <c r="G181" s="26" t="n">
        <v>0.7</v>
      </c>
      <c r="H181" s="26" t="n">
        <v>0.4</v>
      </c>
      <c r="I181" s="26" t="n">
        <v>0.8</v>
      </c>
    </row>
    <row r="182">
      <c r="A182" s="25" t="n">
        <v>178</v>
      </c>
      <c r="B182" s="26" t="n">
        <v>0.499</v>
      </c>
      <c r="C182" s="26" t="n">
        <v>0.6</v>
      </c>
      <c r="D182" s="26" t="n">
        <v>0.62</v>
      </c>
      <c r="E182" s="26" t="n">
        <v>0.7</v>
      </c>
      <c r="F182" s="26" t="n">
        <v>0.7</v>
      </c>
      <c r="G182" s="26" t="n">
        <v>0.7</v>
      </c>
      <c r="H182" s="26" t="n">
        <v>0.4</v>
      </c>
      <c r="I182" s="26" t="n">
        <v>0.8</v>
      </c>
    </row>
    <row r="183">
      <c r="A183" s="25" t="n">
        <v>179</v>
      </c>
      <c r="B183" s="26" t="n">
        <v>0.499</v>
      </c>
      <c r="C183" s="26" t="n">
        <v>0.6</v>
      </c>
      <c r="D183" s="26" t="n">
        <v>0.6</v>
      </c>
      <c r="E183" s="26" t="n">
        <v>0.7</v>
      </c>
      <c r="F183" s="26" t="n">
        <v>0.7</v>
      </c>
      <c r="G183" s="26" t="n">
        <v>0.7</v>
      </c>
      <c r="H183" s="26" t="n">
        <v>0.4</v>
      </c>
      <c r="I183" s="26" t="n">
        <v>0.8</v>
      </c>
    </row>
    <row r="184">
      <c r="A184" s="25" t="n">
        <v>180</v>
      </c>
      <c r="B184" s="26" t="n">
        <v>0.499</v>
      </c>
      <c r="C184" s="26" t="n">
        <v>0.6</v>
      </c>
      <c r="D184" s="26" t="n">
        <v>0.6</v>
      </c>
      <c r="E184" s="26" t="n">
        <v>0.7</v>
      </c>
      <c r="F184" s="26" t="n">
        <v>0.7</v>
      </c>
      <c r="G184" s="26" t="n">
        <v>0.7</v>
      </c>
      <c r="H184" s="26" t="n">
        <v>0.4</v>
      </c>
      <c r="I184" s="26" t="n">
        <v>0.8</v>
      </c>
    </row>
    <row r="185">
      <c r="A185" s="25" t="n">
        <v>181</v>
      </c>
      <c r="B185" s="26" t="n">
        <v>0.499</v>
      </c>
      <c r="C185" s="26" t="n">
        <v>0.6</v>
      </c>
      <c r="D185" s="26" t="n">
        <v>0.6</v>
      </c>
      <c r="E185" s="26" t="n">
        <v>0.7</v>
      </c>
      <c r="F185" s="26" t="n">
        <v>0.7</v>
      </c>
      <c r="G185" s="26" t="n">
        <v>0.7</v>
      </c>
      <c r="H185" s="26" t="n">
        <v>0.4</v>
      </c>
      <c r="I185" s="26" t="n">
        <v>0.8</v>
      </c>
    </row>
    <row r="186">
      <c r="A186" s="25" t="n">
        <v>182</v>
      </c>
      <c r="B186" s="26" t="n">
        <v>0.499</v>
      </c>
      <c r="C186" s="26" t="n">
        <v>0.6</v>
      </c>
      <c r="D186" s="26" t="n">
        <v>0.6</v>
      </c>
      <c r="E186" s="26" t="n">
        <v>0.7</v>
      </c>
      <c r="F186" s="26" t="n">
        <v>0.7</v>
      </c>
      <c r="G186" s="26" t="n">
        <v>0.7</v>
      </c>
      <c r="H186" s="26" t="n">
        <v>0.4</v>
      </c>
      <c r="I186" s="26" t="n">
        <v>0.8</v>
      </c>
    </row>
    <row r="187">
      <c r="A187" s="25" t="n">
        <v>183</v>
      </c>
      <c r="B187" s="26" t="n">
        <v>0.499</v>
      </c>
      <c r="C187" s="26" t="n">
        <v>0.6</v>
      </c>
      <c r="D187" s="26" t="n">
        <v>0.6</v>
      </c>
      <c r="E187" s="26" t="n">
        <v>0.7</v>
      </c>
      <c r="F187" s="26" t="n">
        <v>0.7</v>
      </c>
      <c r="G187" s="26" t="n">
        <v>0.7</v>
      </c>
      <c r="H187" s="26" t="n">
        <v>0.4</v>
      </c>
      <c r="I187" s="26" t="n">
        <v>0.8</v>
      </c>
    </row>
    <row r="188">
      <c r="A188" s="25" t="n">
        <v>184</v>
      </c>
      <c r="B188" s="26" t="n">
        <v>0.499</v>
      </c>
      <c r="C188" s="26" t="n">
        <v>0.6</v>
      </c>
      <c r="D188" s="26" t="n">
        <v>0.6</v>
      </c>
      <c r="E188" s="26" t="n">
        <v>0.7</v>
      </c>
      <c r="F188" s="26" t="n">
        <v>0.7</v>
      </c>
      <c r="G188" s="26" t="n">
        <v>0.7</v>
      </c>
      <c r="H188" s="26" t="n">
        <v>0.4</v>
      </c>
      <c r="I188" s="26" t="n">
        <v>0.8</v>
      </c>
    </row>
    <row r="189">
      <c r="A189" s="25" t="n">
        <v>185</v>
      </c>
      <c r="B189" s="26" t="n">
        <v>0.499</v>
      </c>
      <c r="C189" s="26" t="n">
        <v>0.6</v>
      </c>
      <c r="D189" s="26" t="n">
        <v>0.6</v>
      </c>
      <c r="E189" s="26" t="n">
        <v>0.7</v>
      </c>
      <c r="F189" s="26" t="n">
        <v>0.7</v>
      </c>
      <c r="G189" s="26" t="n">
        <v>0.7</v>
      </c>
      <c r="H189" s="26" t="n">
        <v>0.4</v>
      </c>
      <c r="I189" s="26" t="n">
        <v>0.8</v>
      </c>
    </row>
    <row r="190">
      <c r="A190" s="25" t="n">
        <v>186</v>
      </c>
      <c r="B190" s="26" t="n">
        <v>0.499</v>
      </c>
      <c r="C190" s="26" t="n">
        <v>0.6</v>
      </c>
      <c r="D190" s="26" t="n">
        <v>0.6</v>
      </c>
      <c r="E190" s="26" t="n">
        <v>0.7</v>
      </c>
      <c r="F190" s="26" t="n">
        <v>0.7</v>
      </c>
      <c r="G190" s="26" t="n">
        <v>0.7</v>
      </c>
      <c r="H190" s="26" t="n">
        <v>0.4</v>
      </c>
      <c r="I190" s="26" t="n">
        <v>0.8</v>
      </c>
    </row>
    <row r="191">
      <c r="A191" s="25" t="n">
        <v>187</v>
      </c>
      <c r="B191" s="26" t="n">
        <v>0.499</v>
      </c>
      <c r="C191" s="26" t="n">
        <v>0.6</v>
      </c>
      <c r="D191" s="26" t="n">
        <v>0.6</v>
      </c>
      <c r="E191" s="26" t="n">
        <v>0.7</v>
      </c>
      <c r="F191" s="26" t="n">
        <v>0.7</v>
      </c>
      <c r="G191" s="26" t="n">
        <v>0.7</v>
      </c>
      <c r="H191" s="26" t="n">
        <v>0.4</v>
      </c>
      <c r="I191" s="26" t="n">
        <v>0.8</v>
      </c>
    </row>
    <row r="192">
      <c r="A192" s="25" t="n">
        <v>188</v>
      </c>
      <c r="B192" s="26" t="n">
        <v>0.499</v>
      </c>
      <c r="C192" s="26" t="n">
        <v>0.6</v>
      </c>
      <c r="D192" s="26" t="n">
        <v>0.6</v>
      </c>
      <c r="E192" s="26" t="n">
        <v>0.7</v>
      </c>
      <c r="F192" s="26" t="n">
        <v>0.7</v>
      </c>
      <c r="G192" s="26" t="n">
        <v>0.7</v>
      </c>
      <c r="H192" s="26" t="n">
        <v>0.4</v>
      </c>
      <c r="I192" s="26" t="n">
        <v>0.8</v>
      </c>
    </row>
    <row r="193">
      <c r="A193" s="25" t="n">
        <v>189</v>
      </c>
      <c r="B193" s="26" t="n">
        <v>0.499</v>
      </c>
      <c r="C193" s="26" t="n">
        <v>0.6</v>
      </c>
      <c r="D193" s="26" t="n">
        <v>0.6</v>
      </c>
      <c r="E193" s="26" t="n">
        <v>0.7</v>
      </c>
      <c r="F193" s="26" t="n">
        <v>0.7</v>
      </c>
      <c r="G193" s="26" t="n">
        <v>0.7</v>
      </c>
      <c r="H193" s="26" t="n">
        <v>0.4</v>
      </c>
      <c r="I193" s="26" t="n">
        <v>0.8</v>
      </c>
    </row>
    <row r="194">
      <c r="A194" s="25" t="n">
        <v>190</v>
      </c>
      <c r="B194" s="26" t="n">
        <v>0.499</v>
      </c>
      <c r="C194" s="26" t="n">
        <v>0.6</v>
      </c>
      <c r="D194" s="26" t="n">
        <v>0.6</v>
      </c>
      <c r="E194" s="26" t="n">
        <v>0.7</v>
      </c>
      <c r="F194" s="26" t="n">
        <v>0.7</v>
      </c>
      <c r="G194" s="26" t="n">
        <v>0.7</v>
      </c>
      <c r="H194" s="26" t="n">
        <v>0.4</v>
      </c>
      <c r="I194" s="26" t="n">
        <v>0.8</v>
      </c>
    </row>
    <row r="195">
      <c r="A195" s="25" t="n">
        <v>191</v>
      </c>
      <c r="B195" s="26" t="n">
        <v>0.499</v>
      </c>
      <c r="C195" s="26" t="n">
        <v>0.6</v>
      </c>
      <c r="D195" s="26" t="n">
        <v>0.6</v>
      </c>
      <c r="E195" s="26" t="n">
        <v>0.7</v>
      </c>
      <c r="F195" s="26" t="n">
        <v>0.7</v>
      </c>
      <c r="G195" s="26" t="n">
        <v>0.7</v>
      </c>
      <c r="H195" s="26" t="n">
        <v>0.4</v>
      </c>
      <c r="I195" s="26" t="n">
        <v>0.8</v>
      </c>
    </row>
    <row r="196">
      <c r="A196" s="25" t="n">
        <v>192</v>
      </c>
      <c r="B196" s="26" t="n">
        <v>0.499</v>
      </c>
      <c r="C196" s="26" t="n">
        <v>0.6</v>
      </c>
      <c r="D196" s="26" t="n">
        <v>0.6</v>
      </c>
      <c r="E196" s="26" t="n">
        <v>0.7</v>
      </c>
      <c r="F196" s="26" t="n">
        <v>0.7</v>
      </c>
      <c r="G196" s="26" t="n">
        <v>0.7</v>
      </c>
      <c r="H196" s="26" t="n">
        <v>0.4</v>
      </c>
      <c r="I196" s="26" t="n">
        <v>0.8</v>
      </c>
    </row>
    <row r="197">
      <c r="A197" s="25" t="n">
        <v>193</v>
      </c>
      <c r="B197" s="26" t="n">
        <v>0.499</v>
      </c>
      <c r="C197" s="26" t="n">
        <v>0.6</v>
      </c>
      <c r="D197" s="26" t="n">
        <v>0.6</v>
      </c>
      <c r="E197" s="26" t="n">
        <v>0.7</v>
      </c>
      <c r="F197" s="26" t="n">
        <v>0.7</v>
      </c>
      <c r="G197" s="26" t="n">
        <v>0.7</v>
      </c>
      <c r="H197" s="26" t="n">
        <v>0.4</v>
      </c>
      <c r="I197" s="26" t="n">
        <v>0.8</v>
      </c>
    </row>
    <row r="198">
      <c r="A198" s="25" t="n">
        <v>194</v>
      </c>
      <c r="B198" s="26" t="n">
        <v>0.499</v>
      </c>
      <c r="C198" s="26" t="n">
        <v>0.6</v>
      </c>
      <c r="D198" s="26" t="n">
        <v>0.6</v>
      </c>
      <c r="E198" s="26" t="n">
        <v>0.7</v>
      </c>
      <c r="F198" s="26" t="n">
        <v>0.7</v>
      </c>
      <c r="G198" s="26" t="n">
        <v>0.7</v>
      </c>
      <c r="H198" s="26" t="n">
        <v>0.4</v>
      </c>
      <c r="I198" s="26" t="n">
        <v>0.8</v>
      </c>
    </row>
    <row r="199">
      <c r="A199" s="25" t="n">
        <v>195</v>
      </c>
      <c r="B199" s="26" t="n">
        <v>0.499</v>
      </c>
      <c r="C199" s="26" t="n">
        <v>0.6</v>
      </c>
      <c r="D199" s="26" t="n">
        <v>0.6</v>
      </c>
      <c r="E199" s="26" t="n">
        <v>0.7</v>
      </c>
      <c r="F199" s="26" t="n">
        <v>0.7</v>
      </c>
      <c r="G199" s="26" t="n">
        <v>0.7</v>
      </c>
      <c r="H199" s="26" t="n">
        <v>0.4</v>
      </c>
      <c r="I199" s="26" t="n">
        <v>0.8</v>
      </c>
    </row>
    <row r="200">
      <c r="A200" s="25" t="n">
        <v>196</v>
      </c>
      <c r="B200" s="26" t="n">
        <v>0.499</v>
      </c>
      <c r="C200" s="26" t="n">
        <v>0.6</v>
      </c>
      <c r="D200" s="26" t="n">
        <v>0.6</v>
      </c>
      <c r="E200" s="26" t="n">
        <v>0.7</v>
      </c>
      <c r="F200" s="26" t="n">
        <v>0.7</v>
      </c>
      <c r="G200" s="26" t="n">
        <v>0.7</v>
      </c>
      <c r="H200" s="26" t="n">
        <v>0.4</v>
      </c>
      <c r="I200" s="26" t="n">
        <v>0.8</v>
      </c>
    </row>
    <row r="201">
      <c r="A201" s="25" t="n">
        <v>197</v>
      </c>
      <c r="B201" s="26" t="n">
        <v>0.499</v>
      </c>
      <c r="C201" s="26" t="n">
        <v>0.6</v>
      </c>
      <c r="D201" s="26" t="n">
        <v>0.6</v>
      </c>
      <c r="E201" s="26" t="n">
        <v>0.7</v>
      </c>
      <c r="F201" s="26" t="n">
        <v>0.7</v>
      </c>
      <c r="G201" s="26" t="n">
        <v>0.7</v>
      </c>
      <c r="H201" s="26" t="n">
        <v>0.4</v>
      </c>
      <c r="I201" s="26" t="n">
        <v>0.8</v>
      </c>
    </row>
    <row r="202">
      <c r="A202" s="25" t="n">
        <v>198</v>
      </c>
      <c r="B202" s="26" t="n">
        <v>0.499</v>
      </c>
      <c r="C202" s="26" t="n">
        <v>0.6</v>
      </c>
      <c r="D202" s="26" t="n">
        <v>0.6</v>
      </c>
      <c r="E202" s="26" t="n">
        <v>0.7</v>
      </c>
      <c r="F202" s="26" t="n">
        <v>0.7</v>
      </c>
      <c r="G202" s="26" t="n">
        <v>0.7</v>
      </c>
      <c r="H202" s="26" t="n">
        <v>0.4</v>
      </c>
      <c r="I202" s="26" t="n">
        <v>0.8</v>
      </c>
    </row>
    <row r="203">
      <c r="A203" s="25" t="n">
        <v>199</v>
      </c>
      <c r="B203" s="26" t="n">
        <v>0.499</v>
      </c>
      <c r="C203" s="26" t="n">
        <v>0.6</v>
      </c>
      <c r="D203" s="26" t="n">
        <v>0.6</v>
      </c>
      <c r="E203" s="26" t="n">
        <v>0.7</v>
      </c>
      <c r="F203" s="26" t="n">
        <v>0.7</v>
      </c>
      <c r="G203" s="26" t="n">
        <v>0.7</v>
      </c>
      <c r="H203" s="26" t="n">
        <v>0.4</v>
      </c>
      <c r="I203" s="26" t="n">
        <v>0.8</v>
      </c>
    </row>
    <row r="204">
      <c r="A204" s="25" t="n">
        <v>200</v>
      </c>
      <c r="B204" s="26" t="n">
        <v>0.499</v>
      </c>
      <c r="C204" s="26" t="n">
        <v>0.6</v>
      </c>
      <c r="D204" s="26" t="n">
        <v>0.6</v>
      </c>
      <c r="E204" s="26" t="n">
        <v>0.7</v>
      </c>
      <c r="F204" s="26" t="n">
        <v>0.7</v>
      </c>
      <c r="G204" s="26" t="n">
        <v>0.7</v>
      </c>
      <c r="H204" s="26" t="n">
        <v>0.4</v>
      </c>
      <c r="I204" s="26" t="n">
        <v>0.8</v>
      </c>
    </row>
    <row r="205">
      <c r="A205" s="25" t="n">
        <v>201</v>
      </c>
      <c r="B205" s="26" t="n">
        <v>0.499</v>
      </c>
      <c r="C205" s="26" t="n">
        <v>0.6</v>
      </c>
      <c r="D205" s="26" t="n">
        <v>0.6</v>
      </c>
      <c r="E205" s="26" t="n">
        <v>0.7</v>
      </c>
      <c r="F205" s="26" t="n">
        <v>0.7</v>
      </c>
      <c r="G205" s="26" t="n">
        <v>0.7</v>
      </c>
      <c r="H205" s="26" t="n">
        <v>0.4</v>
      </c>
      <c r="I205" s="26" t="n">
        <v>0.8</v>
      </c>
    </row>
    <row r="206">
      <c r="A206" s="25" t="n">
        <v>202</v>
      </c>
      <c r="B206" s="26" t="n">
        <v>0.499</v>
      </c>
      <c r="C206" s="26" t="n">
        <v>0.6</v>
      </c>
      <c r="D206" s="26" t="n">
        <v>0.6</v>
      </c>
      <c r="E206" s="26" t="n">
        <v>0.7</v>
      </c>
      <c r="F206" s="26" t="n">
        <v>0.7</v>
      </c>
      <c r="G206" s="26" t="n">
        <v>0.7</v>
      </c>
      <c r="H206" s="26" t="n">
        <v>0.4</v>
      </c>
      <c r="I206" s="26" t="n">
        <v>0.8</v>
      </c>
    </row>
    <row r="207">
      <c r="A207" s="25" t="n">
        <v>203</v>
      </c>
      <c r="B207" s="26" t="n">
        <v>0.499</v>
      </c>
      <c r="C207" s="26" t="n">
        <v>0.6</v>
      </c>
      <c r="D207" s="26" t="n">
        <v>0.6</v>
      </c>
      <c r="E207" s="26" t="n">
        <v>0.7</v>
      </c>
      <c r="F207" s="26" t="n">
        <v>0.7</v>
      </c>
      <c r="G207" s="26" t="n">
        <v>0.7</v>
      </c>
      <c r="H207" s="26" t="n">
        <v>0.4</v>
      </c>
      <c r="I207" s="26" t="n">
        <v>0.8</v>
      </c>
    </row>
    <row r="208">
      <c r="A208" s="25" t="n">
        <v>204</v>
      </c>
      <c r="B208" s="26" t="n">
        <v>0.499</v>
      </c>
      <c r="C208" s="26" t="n">
        <v>0.6</v>
      </c>
      <c r="D208" s="26" t="n">
        <v>0.6</v>
      </c>
      <c r="E208" s="26" t="n">
        <v>0.7</v>
      </c>
      <c r="F208" s="26" t="n">
        <v>0.7</v>
      </c>
      <c r="G208" s="26" t="n">
        <v>0.7</v>
      </c>
      <c r="H208" s="26" t="n">
        <v>0.4</v>
      </c>
      <c r="I208" s="26" t="n">
        <v>0.8</v>
      </c>
    </row>
    <row r="209">
      <c r="A209" s="25" t="n">
        <v>205</v>
      </c>
      <c r="B209" s="26" t="n">
        <v>0.499</v>
      </c>
      <c r="C209" s="26" t="n">
        <v>0.6</v>
      </c>
      <c r="D209" s="26" t="n">
        <v>0.6</v>
      </c>
      <c r="E209" s="26" t="n">
        <v>0.7</v>
      </c>
      <c r="F209" s="26" t="n">
        <v>0.7</v>
      </c>
      <c r="G209" s="26" t="n">
        <v>0.7</v>
      </c>
      <c r="H209" s="26" t="n">
        <v>0.4</v>
      </c>
      <c r="I209" s="26" t="n">
        <v>0.8</v>
      </c>
    </row>
    <row r="210">
      <c r="A210" s="25" t="n">
        <v>206</v>
      </c>
      <c r="B210" s="26" t="n">
        <v>0.499</v>
      </c>
      <c r="C210" s="26" t="n">
        <v>0.6</v>
      </c>
      <c r="D210" s="26" t="n">
        <v>0.6</v>
      </c>
      <c r="E210" s="26" t="n">
        <v>0.7</v>
      </c>
      <c r="F210" s="26" t="n">
        <v>0.7</v>
      </c>
      <c r="G210" s="26" t="n">
        <v>0.7</v>
      </c>
      <c r="H210" s="26" t="n">
        <v>0.4</v>
      </c>
      <c r="I210" s="26" t="n">
        <v>0.8</v>
      </c>
    </row>
    <row r="211">
      <c r="A211" s="25" t="n">
        <v>207</v>
      </c>
      <c r="B211" s="26" t="n">
        <v>0.499</v>
      </c>
      <c r="C211" s="26" t="n">
        <v>0.6</v>
      </c>
      <c r="D211" s="26" t="n">
        <v>0.6</v>
      </c>
      <c r="E211" s="26" t="n">
        <v>0.7</v>
      </c>
      <c r="F211" s="26" t="n">
        <v>0.7</v>
      </c>
      <c r="G211" s="26" t="n">
        <v>0.7</v>
      </c>
      <c r="H211" s="26" t="n">
        <v>0.4</v>
      </c>
      <c r="I211" s="26" t="n">
        <v>0.8</v>
      </c>
    </row>
    <row r="212">
      <c r="A212" s="25" t="n">
        <v>208</v>
      </c>
      <c r="B212" s="26" t="n">
        <v>0.499</v>
      </c>
      <c r="C212" s="26" t="n">
        <v>0.6</v>
      </c>
      <c r="D212" s="26" t="n">
        <v>0.6</v>
      </c>
      <c r="E212" s="26" t="n">
        <v>0.7</v>
      </c>
      <c r="F212" s="26" t="n">
        <v>0.7</v>
      </c>
      <c r="G212" s="26" t="n">
        <v>0.7</v>
      </c>
      <c r="H212" s="26" t="n">
        <v>0.4</v>
      </c>
      <c r="I212" s="26" t="n">
        <v>0.8</v>
      </c>
    </row>
    <row r="213">
      <c r="A213" s="25" t="n">
        <v>209</v>
      </c>
      <c r="B213" s="26" t="n">
        <v>0.499</v>
      </c>
      <c r="C213" s="26" t="n">
        <v>0.6</v>
      </c>
      <c r="D213" s="26" t="n">
        <v>0.6</v>
      </c>
      <c r="E213" s="26" t="n">
        <v>0.7</v>
      </c>
      <c r="F213" s="26" t="n">
        <v>0.7</v>
      </c>
      <c r="G213" s="26" t="n">
        <v>0.7</v>
      </c>
      <c r="H213" s="26" t="n">
        <v>0.4</v>
      </c>
      <c r="I213" s="26" t="n">
        <v>0.8</v>
      </c>
    </row>
    <row r="214">
      <c r="A214" s="25" t="n">
        <v>210</v>
      </c>
      <c r="B214" s="26" t="n">
        <v>0.499</v>
      </c>
      <c r="C214" s="26" t="n">
        <v>0.6</v>
      </c>
      <c r="D214" s="26" t="n">
        <v>0.6</v>
      </c>
      <c r="E214" s="26" t="n">
        <v>0.7</v>
      </c>
      <c r="F214" s="26" t="n">
        <v>0.7</v>
      </c>
      <c r="G214" s="26" t="n">
        <v>0.7</v>
      </c>
      <c r="H214" s="26" t="n">
        <v>0.4</v>
      </c>
      <c r="I214" s="26" t="n">
        <v>0.8</v>
      </c>
    </row>
    <row r="215">
      <c r="A215" s="25" t="n">
        <v>211</v>
      </c>
      <c r="B215" s="26" t="n">
        <v>0.499</v>
      </c>
      <c r="C215" s="26" t="n">
        <v>0.6</v>
      </c>
      <c r="D215" s="26" t="n">
        <v>0.6</v>
      </c>
      <c r="E215" s="26" t="n">
        <v>0.7</v>
      </c>
      <c r="F215" s="26" t="n">
        <v>0.7</v>
      </c>
      <c r="G215" s="26" t="n">
        <v>0.7</v>
      </c>
      <c r="H215" s="26" t="n">
        <v>0.4</v>
      </c>
      <c r="I215" s="26" t="n">
        <v>0.8</v>
      </c>
    </row>
    <row r="216">
      <c r="A216" s="25" t="n">
        <v>212</v>
      </c>
      <c r="B216" s="26" t="n">
        <v>0.499</v>
      </c>
      <c r="C216" s="26" t="n">
        <v>0.6</v>
      </c>
      <c r="D216" s="26" t="n">
        <v>0.6</v>
      </c>
      <c r="E216" s="26" t="n">
        <v>0.7</v>
      </c>
      <c r="F216" s="26" t="n">
        <v>0.7</v>
      </c>
      <c r="G216" s="26" t="n">
        <v>0.7</v>
      </c>
      <c r="H216" s="26" t="n">
        <v>0.4</v>
      </c>
      <c r="I216" s="26" t="n">
        <v>0.8</v>
      </c>
    </row>
    <row r="217">
      <c r="A217" s="25" t="n">
        <v>213</v>
      </c>
      <c r="B217" s="26" t="n">
        <v>0.499</v>
      </c>
      <c r="C217" s="26" t="n">
        <v>0.6</v>
      </c>
      <c r="D217" s="26" t="n">
        <v>0.6</v>
      </c>
      <c r="E217" s="26" t="n">
        <v>0.7</v>
      </c>
      <c r="F217" s="26" t="n">
        <v>0.7</v>
      </c>
      <c r="G217" s="26" t="n">
        <v>0.7</v>
      </c>
      <c r="H217" s="26" t="n">
        <v>0.4</v>
      </c>
      <c r="I217" s="26" t="n">
        <v>0.8</v>
      </c>
    </row>
    <row r="218">
      <c r="A218" s="25" t="n">
        <v>214</v>
      </c>
      <c r="B218" s="26" t="n">
        <v>0.499</v>
      </c>
      <c r="C218" s="26" t="n">
        <v>0.6</v>
      </c>
      <c r="D218" s="26" t="n">
        <v>0.6</v>
      </c>
      <c r="E218" s="26" t="n">
        <v>0.7</v>
      </c>
      <c r="F218" s="26" t="n">
        <v>0.7</v>
      </c>
      <c r="G218" s="26" t="n">
        <v>0.7</v>
      </c>
      <c r="H218" s="26" t="n">
        <v>0.4</v>
      </c>
      <c r="I218" s="26" t="n">
        <v>0.8</v>
      </c>
    </row>
    <row r="219">
      <c r="A219" s="25" t="n">
        <v>215</v>
      </c>
      <c r="B219" s="26" t="n">
        <v>0.499</v>
      </c>
      <c r="C219" s="26" t="n">
        <v>0.6</v>
      </c>
      <c r="D219" s="26" t="n">
        <v>0.6</v>
      </c>
      <c r="E219" s="26" t="n">
        <v>0.7</v>
      </c>
      <c r="F219" s="26" t="n">
        <v>0.7</v>
      </c>
      <c r="G219" s="26" t="n">
        <v>0.7</v>
      </c>
      <c r="H219" s="26" t="n">
        <v>0.4</v>
      </c>
      <c r="I219" s="26" t="n">
        <v>0.8</v>
      </c>
    </row>
    <row r="220">
      <c r="A220" s="25" t="n">
        <v>216</v>
      </c>
      <c r="B220" s="26" t="n">
        <v>0.499</v>
      </c>
      <c r="C220" s="26" t="n">
        <v>0.6</v>
      </c>
      <c r="D220" s="26" t="n">
        <v>0.6</v>
      </c>
      <c r="E220" s="26" t="n">
        <v>0.7</v>
      </c>
      <c r="F220" s="26" t="n">
        <v>0.7</v>
      </c>
      <c r="G220" s="26" t="n">
        <v>0.7</v>
      </c>
      <c r="H220" s="26" t="n">
        <v>0.4</v>
      </c>
      <c r="I220" s="26" t="n">
        <v>0.8</v>
      </c>
    </row>
    <row r="221">
      <c r="A221" s="25" t="n">
        <v>217</v>
      </c>
      <c r="B221" s="26" t="n">
        <v>0.499</v>
      </c>
      <c r="C221" s="26" t="n">
        <v>0.6</v>
      </c>
      <c r="D221" s="26" t="n">
        <v>0.6</v>
      </c>
      <c r="E221" s="26" t="n">
        <v>0.7</v>
      </c>
      <c r="F221" s="26" t="n">
        <v>0.7</v>
      </c>
      <c r="G221" s="26" t="n">
        <v>0.7</v>
      </c>
      <c r="H221" s="26" t="n">
        <v>0.4</v>
      </c>
      <c r="I221" s="26" t="n">
        <v>0.8</v>
      </c>
    </row>
    <row r="222">
      <c r="A222" s="25" t="n">
        <v>218</v>
      </c>
      <c r="B222" s="26" t="n">
        <v>0.499</v>
      </c>
      <c r="C222" s="26" t="n">
        <v>0.6</v>
      </c>
      <c r="D222" s="26" t="n">
        <v>0.6</v>
      </c>
      <c r="E222" s="26" t="n">
        <v>0.7</v>
      </c>
      <c r="F222" s="26" t="n">
        <v>0.7</v>
      </c>
      <c r="G222" s="26" t="n">
        <v>0.7</v>
      </c>
      <c r="H222" s="26" t="n">
        <v>0.4</v>
      </c>
      <c r="I222" s="26" t="n">
        <v>0.8</v>
      </c>
    </row>
    <row r="223">
      <c r="A223" s="25" t="n">
        <v>219</v>
      </c>
      <c r="B223" s="26" t="n">
        <v>0.499</v>
      </c>
      <c r="C223" s="26" t="n">
        <v>0.6</v>
      </c>
      <c r="D223" s="26" t="n">
        <v>0.6</v>
      </c>
      <c r="E223" s="26" t="n">
        <v>0.7</v>
      </c>
      <c r="F223" s="26" t="n">
        <v>0.7</v>
      </c>
      <c r="G223" s="26" t="n">
        <v>0.7</v>
      </c>
      <c r="H223" s="26" t="n">
        <v>0.4</v>
      </c>
      <c r="I223" s="26" t="n">
        <v>0.8</v>
      </c>
    </row>
    <row r="224">
      <c r="A224" s="25" t="n">
        <v>220</v>
      </c>
      <c r="B224" s="26" t="n">
        <v>0.499</v>
      </c>
      <c r="C224" s="26" t="n">
        <v>0.6</v>
      </c>
      <c r="D224" s="26" t="n">
        <v>0.6</v>
      </c>
      <c r="E224" s="26" t="n">
        <v>0.7</v>
      </c>
      <c r="F224" s="26" t="n">
        <v>0.7</v>
      </c>
      <c r="G224" s="26" t="n">
        <v>0.7</v>
      </c>
      <c r="H224" s="26" t="n">
        <v>0.4</v>
      </c>
      <c r="I224" s="26" t="n">
        <v>0.8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27" t="n">
        <v>100</v>
      </c>
      <c r="D3" s="27" t="n">
        <v>95</v>
      </c>
      <c r="E3" s="27" t="n">
        <v>90</v>
      </c>
      <c r="F3" s="27" t="n">
        <v>85</v>
      </c>
      <c r="G3" s="27" t="n">
        <v>80</v>
      </c>
      <c r="H3" s="27" t="n">
        <v>75</v>
      </c>
      <c r="I3" s="27" t="n">
        <v>70</v>
      </c>
      <c r="J3" s="27" t="n">
        <v>65</v>
      </c>
      <c r="K3" s="27" t="n">
        <v>60</v>
      </c>
      <c r="L3" s="27" t="n">
        <v>55</v>
      </c>
      <c r="M3" s="27" t="n">
        <v>50</v>
      </c>
      <c r="N3" s="27" t="n">
        <v>45</v>
      </c>
      <c r="O3" s="27" t="n">
        <v>40</v>
      </c>
      <c r="P3" s="27" t="n">
        <v>35</v>
      </c>
      <c r="Q3" s="27" t="n">
        <v>30</v>
      </c>
      <c r="R3" s="27" t="n">
        <v>25</v>
      </c>
      <c r="S3" s="27" t="n">
        <v>20</v>
      </c>
      <c r="T3" s="27" t="n">
        <v>15</v>
      </c>
      <c r="U3" s="27" t="n">
        <v>10</v>
      </c>
      <c r="V3" s="27" t="n">
        <v>5</v>
      </c>
      <c r="W3" s="27" t="n">
        <v>100</v>
      </c>
      <c r="X3" s="27" t="n">
        <v>95</v>
      </c>
      <c r="Y3" s="27" t="n">
        <v>90</v>
      </c>
      <c r="Z3" s="27" t="n">
        <v>85</v>
      </c>
      <c r="AA3" s="27" t="n">
        <v>80</v>
      </c>
      <c r="AB3" s="27" t="n">
        <v>75</v>
      </c>
      <c r="AC3" s="27" t="n">
        <v>70</v>
      </c>
      <c r="AD3" s="27" t="n">
        <v>65</v>
      </c>
      <c r="AE3" s="27" t="n">
        <v>60</v>
      </c>
      <c r="AF3" s="27" t="n">
        <v>55</v>
      </c>
      <c r="AG3" s="27" t="n">
        <v>50</v>
      </c>
      <c r="AH3" s="27" t="n">
        <v>45</v>
      </c>
      <c r="AI3" s="27" t="n">
        <v>40</v>
      </c>
      <c r="AJ3" s="27" t="n">
        <v>35</v>
      </c>
      <c r="AK3" s="27" t="n">
        <v>30</v>
      </c>
      <c r="AL3" s="27" t="n">
        <v>25</v>
      </c>
      <c r="AM3" s="27" t="n">
        <v>20</v>
      </c>
      <c r="AN3" s="27" t="n">
        <v>15</v>
      </c>
      <c r="AO3" s="27" t="n">
        <v>10</v>
      </c>
      <c r="AP3" s="27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28" t="inlineStr">
        <is>
          <t>H100</t>
        </is>
      </c>
      <c r="X4" s="28" t="inlineStr">
        <is>
          <t>H95</t>
        </is>
      </c>
      <c r="Y4" s="28" t="inlineStr">
        <is>
          <t>H90</t>
        </is>
      </c>
      <c r="Z4" s="28" t="inlineStr">
        <is>
          <t>H85</t>
        </is>
      </c>
      <c r="AA4" s="28" t="inlineStr">
        <is>
          <t>H80</t>
        </is>
      </c>
      <c r="AB4" s="28" t="inlineStr">
        <is>
          <t>H75</t>
        </is>
      </c>
      <c r="AC4" s="28" t="inlineStr">
        <is>
          <t>H70</t>
        </is>
      </c>
      <c r="AD4" s="28" t="inlineStr">
        <is>
          <t>H65</t>
        </is>
      </c>
      <c r="AE4" s="28" t="inlineStr">
        <is>
          <t>H60</t>
        </is>
      </c>
      <c r="AF4" s="28" t="inlineStr">
        <is>
          <t>H55</t>
        </is>
      </c>
      <c r="AG4" s="28" t="inlineStr">
        <is>
          <t>H50</t>
        </is>
      </c>
      <c r="AH4" s="28" t="inlineStr">
        <is>
          <t>H45</t>
        </is>
      </c>
      <c r="AI4" s="28" t="inlineStr">
        <is>
          <t>H40</t>
        </is>
      </c>
      <c r="AJ4" s="28" t="inlineStr">
        <is>
          <t>H35</t>
        </is>
      </c>
      <c r="AK4" s="28" t="inlineStr">
        <is>
          <t>H30</t>
        </is>
      </c>
      <c r="AL4" s="28" t="inlineStr">
        <is>
          <t>H25</t>
        </is>
      </c>
      <c r="AM4" s="28" t="inlineStr">
        <is>
          <t>H20</t>
        </is>
      </c>
      <c r="AN4" s="28" t="inlineStr">
        <is>
          <t>H15</t>
        </is>
      </c>
      <c r="AO4" s="28" t="inlineStr">
        <is>
          <t>H10</t>
        </is>
      </c>
      <c r="AP4" s="28" t="inlineStr">
        <is>
          <t>H5</t>
        </is>
      </c>
    </row>
    <row r="5">
      <c r="A5" s="6" t="inlineStr">
        <is>
          <t>PA</t>
        </is>
      </c>
      <c r="B5" s="6" t="inlineStr">
        <is>
          <t>Karitel</t>
        </is>
      </c>
      <c r="C5" s="29" t="n">
        <v>6.06</v>
      </c>
      <c r="D5" s="29" t="n">
        <v>6.378947368421053</v>
      </c>
      <c r="E5" s="29" t="n">
        <v>6.733333333333333</v>
      </c>
      <c r="F5" s="29" t="n">
        <v>7.129411764705882</v>
      </c>
      <c r="G5" s="29" t="n">
        <v>7.574999999999999</v>
      </c>
      <c r="H5" s="29" t="n">
        <v>8.08</v>
      </c>
      <c r="I5" s="29" t="n">
        <v>8.657142857142857</v>
      </c>
      <c r="J5" s="29" t="n">
        <v>9.323076923076922</v>
      </c>
      <c r="K5" s="29" t="n">
        <v>10.1</v>
      </c>
      <c r="L5" s="29" t="n">
        <v>11.01818181818182</v>
      </c>
      <c r="M5" s="29" t="n">
        <v>12.12</v>
      </c>
      <c r="N5" s="29" t="n">
        <v>13.46666666666667</v>
      </c>
      <c r="O5" s="29" t="n">
        <v>15.15</v>
      </c>
      <c r="P5" s="29" t="n">
        <v>17.31428571428571</v>
      </c>
      <c r="Q5" s="29" t="n">
        <v>20.2</v>
      </c>
      <c r="R5" s="29" t="n">
        <v>24.24</v>
      </c>
      <c r="S5" s="29" t="n">
        <v>30.3</v>
      </c>
      <c r="T5" s="29" t="n">
        <v>40.4</v>
      </c>
      <c r="U5" s="29" t="n">
        <v>60.59999999999999</v>
      </c>
      <c r="V5" s="29" t="n">
        <v>121.2</v>
      </c>
      <c r="W5" s="29" t="n">
        <v>13.54</v>
      </c>
      <c r="X5" s="29" t="n">
        <v>14.25263157894737</v>
      </c>
      <c r="Y5" s="29" t="n">
        <v>15.04444444444444</v>
      </c>
      <c r="Z5" s="29" t="n">
        <v>15.92941176470588</v>
      </c>
      <c r="AA5" s="29" t="n">
        <v>16.925</v>
      </c>
      <c r="AB5" s="29" t="n">
        <v>18.05333333333333</v>
      </c>
      <c r="AC5" s="29" t="n">
        <v>19.34285714285714</v>
      </c>
      <c r="AD5" s="29" t="n">
        <v>20.83076923076923</v>
      </c>
      <c r="AE5" s="29" t="n">
        <v>22.56666666666667</v>
      </c>
      <c r="AF5" s="29" t="n">
        <v>24.61818181818181</v>
      </c>
      <c r="AG5" s="29" t="n">
        <v>27.08</v>
      </c>
      <c r="AH5" s="29" t="n">
        <v>30.08888888888889</v>
      </c>
      <c r="AI5" s="29" t="n">
        <v>33.84999999999999</v>
      </c>
      <c r="AJ5" s="29" t="n">
        <v>38.68571428571428</v>
      </c>
      <c r="AK5" s="29" t="n">
        <v>45.13333333333333</v>
      </c>
      <c r="AL5" s="29" t="n">
        <v>54.16</v>
      </c>
      <c r="AM5" s="29" t="n">
        <v>67.69999999999999</v>
      </c>
      <c r="AN5" s="29" t="n">
        <v>90.26666666666667</v>
      </c>
      <c r="AO5" s="29" t="n">
        <v>135.4</v>
      </c>
      <c r="AP5" s="29" t="n">
        <v>270.8</v>
      </c>
    </row>
    <row r="6">
      <c r="A6" s="6" t="inlineStr">
        <is>
          <t>PB</t>
        </is>
      </c>
      <c r="B6" s="6" t="inlineStr">
        <is>
          <t>Karitel</t>
        </is>
      </c>
      <c r="C6" s="29" t="n">
        <v>6.06</v>
      </c>
      <c r="D6" s="29" t="n">
        <v>6.378947368421053</v>
      </c>
      <c r="E6" s="29" t="n">
        <v>6.733333333333333</v>
      </c>
      <c r="F6" s="29" t="n">
        <v>7.129411764705882</v>
      </c>
      <c r="G6" s="29" t="n">
        <v>7.574999999999999</v>
      </c>
      <c r="H6" s="29" t="n">
        <v>8.08</v>
      </c>
      <c r="I6" s="29" t="n">
        <v>8.657142857142857</v>
      </c>
      <c r="J6" s="29" t="n">
        <v>9.323076923076922</v>
      </c>
      <c r="K6" s="29" t="n">
        <v>10.1</v>
      </c>
      <c r="L6" s="29" t="n">
        <v>11.01818181818182</v>
      </c>
      <c r="M6" s="29" t="n">
        <v>12.12</v>
      </c>
      <c r="N6" s="29" t="n">
        <v>13.46666666666667</v>
      </c>
      <c r="O6" s="29" t="n">
        <v>15.15</v>
      </c>
      <c r="P6" s="29" t="n">
        <v>17.31428571428571</v>
      </c>
      <c r="Q6" s="29" t="n">
        <v>20.2</v>
      </c>
      <c r="R6" s="29" t="n">
        <v>24.24</v>
      </c>
      <c r="S6" s="29" t="n">
        <v>30.3</v>
      </c>
      <c r="T6" s="29" t="n">
        <v>40.4</v>
      </c>
      <c r="U6" s="29" t="n">
        <v>60.59999999999999</v>
      </c>
      <c r="V6" s="29" t="n">
        <v>121.2</v>
      </c>
      <c r="W6" s="29" t="n">
        <v>13.54</v>
      </c>
      <c r="X6" s="29" t="n">
        <v>14.25263157894737</v>
      </c>
      <c r="Y6" s="29" t="n">
        <v>15.04444444444444</v>
      </c>
      <c r="Z6" s="29" t="n">
        <v>15.92941176470588</v>
      </c>
      <c r="AA6" s="29" t="n">
        <v>16.925</v>
      </c>
      <c r="AB6" s="29" t="n">
        <v>18.05333333333333</v>
      </c>
      <c r="AC6" s="29" t="n">
        <v>19.34285714285714</v>
      </c>
      <c r="AD6" s="29" t="n">
        <v>20.83076923076923</v>
      </c>
      <c r="AE6" s="29" t="n">
        <v>22.56666666666667</v>
      </c>
      <c r="AF6" s="29" t="n">
        <v>24.61818181818181</v>
      </c>
      <c r="AG6" s="29" t="n">
        <v>27.08</v>
      </c>
      <c r="AH6" s="29" t="n">
        <v>30.08888888888889</v>
      </c>
      <c r="AI6" s="29" t="n">
        <v>33.84999999999999</v>
      </c>
      <c r="AJ6" s="29" t="n">
        <v>38.68571428571428</v>
      </c>
      <c r="AK6" s="29" t="n">
        <v>45.13333333333333</v>
      </c>
      <c r="AL6" s="29" t="n">
        <v>54.16</v>
      </c>
      <c r="AM6" s="29" t="n">
        <v>67.69999999999999</v>
      </c>
      <c r="AN6" s="29" t="n">
        <v>90.26666666666667</v>
      </c>
      <c r="AO6" s="29" t="n">
        <v>135.4</v>
      </c>
      <c r="AP6" s="29" t="n">
        <v>270.8</v>
      </c>
    </row>
    <row r="7">
      <c r="A7" s="6" t="inlineStr">
        <is>
          <t>P1</t>
        </is>
      </c>
      <c r="B7" s="6" t="inlineStr">
        <is>
          <t>Karitel</t>
        </is>
      </c>
      <c r="C7" s="29" t="n">
        <v>5.61</v>
      </c>
      <c r="D7" s="29" t="n">
        <v>5.905263157894738</v>
      </c>
      <c r="E7" s="29" t="n">
        <v>6.233333333333333</v>
      </c>
      <c r="F7" s="29" t="n">
        <v>6.600000000000001</v>
      </c>
      <c r="G7" s="29" t="n">
        <v>7.0125</v>
      </c>
      <c r="H7" s="29" t="n">
        <v>7.48</v>
      </c>
      <c r="I7" s="29" t="n">
        <v>8.014285714285716</v>
      </c>
      <c r="J7" s="29" t="n">
        <v>8.63076923076923</v>
      </c>
      <c r="K7" s="29" t="n">
        <v>9.350000000000001</v>
      </c>
      <c r="L7" s="29" t="n">
        <v>10.2</v>
      </c>
      <c r="M7" s="29" t="n">
        <v>11.22</v>
      </c>
      <c r="N7" s="29" t="n">
        <v>12.46666666666667</v>
      </c>
      <c r="O7" s="29" t="n">
        <v>14.025</v>
      </c>
      <c r="P7" s="29" t="n">
        <v>16.02857142857143</v>
      </c>
      <c r="Q7" s="29" t="n">
        <v>18.7</v>
      </c>
      <c r="R7" s="29" t="n">
        <v>22.44</v>
      </c>
      <c r="S7" s="29" t="n">
        <v>28.05</v>
      </c>
      <c r="T7" s="29" t="n">
        <v>37.40000000000001</v>
      </c>
      <c r="U7" s="29" t="n">
        <v>56.1</v>
      </c>
      <c r="V7" s="29" t="n">
        <v>112.2</v>
      </c>
      <c r="W7" s="29" t="n">
        <v>15.11</v>
      </c>
      <c r="X7" s="29" t="n">
        <v>15.90526315789474</v>
      </c>
      <c r="Y7" s="29" t="n">
        <v>16.78888888888889</v>
      </c>
      <c r="Z7" s="29" t="n">
        <v>17.77647058823529</v>
      </c>
      <c r="AA7" s="29" t="n">
        <v>18.8875</v>
      </c>
      <c r="AB7" s="29" t="n">
        <v>20.14666666666666</v>
      </c>
      <c r="AC7" s="29" t="n">
        <v>21.58571428571429</v>
      </c>
      <c r="AD7" s="29" t="n">
        <v>23.24615384615385</v>
      </c>
      <c r="AE7" s="29" t="n">
        <v>25.18333333333333</v>
      </c>
      <c r="AF7" s="29" t="n">
        <v>27.47272727272727</v>
      </c>
      <c r="AG7" s="29" t="n">
        <v>30.22</v>
      </c>
      <c r="AH7" s="29" t="n">
        <v>33.57777777777778</v>
      </c>
      <c r="AI7" s="29" t="n">
        <v>37.775</v>
      </c>
      <c r="AJ7" s="29" t="n">
        <v>43.17142857142857</v>
      </c>
      <c r="AK7" s="29" t="n">
        <v>50.36666666666667</v>
      </c>
      <c r="AL7" s="29" t="n">
        <v>60.44</v>
      </c>
      <c r="AM7" s="29" t="n">
        <v>75.55</v>
      </c>
      <c r="AN7" s="29" t="n">
        <v>100.7333333333333</v>
      </c>
      <c r="AO7" s="29" t="n">
        <v>151.1</v>
      </c>
      <c r="AP7" s="29" t="n">
        <v>302.2</v>
      </c>
    </row>
    <row r="8">
      <c r="A8" s="6" t="inlineStr">
        <is>
          <t>P2</t>
        </is>
      </c>
      <c r="B8" s="6" t="inlineStr">
        <is>
          <t>Karitel</t>
        </is>
      </c>
      <c r="C8" s="29" t="n">
        <v>5.15</v>
      </c>
      <c r="D8" s="29" t="n">
        <v>5.421052631578948</v>
      </c>
      <c r="E8" s="29" t="n">
        <v>5.722222222222222</v>
      </c>
      <c r="F8" s="29" t="n">
        <v>6.058823529411765</v>
      </c>
      <c r="G8" s="29" t="n">
        <v>6.4375</v>
      </c>
      <c r="H8" s="29" t="n">
        <v>6.866666666666667</v>
      </c>
      <c r="I8" s="29" t="n">
        <v>7.357142857142859</v>
      </c>
      <c r="J8" s="29" t="n">
        <v>7.923076923076923</v>
      </c>
      <c r="K8" s="29" t="n">
        <v>8.583333333333334</v>
      </c>
      <c r="L8" s="29" t="n">
        <v>9.363636363636363</v>
      </c>
      <c r="M8" s="29" t="n">
        <v>10.3</v>
      </c>
      <c r="N8" s="29" t="n">
        <v>11.44444444444444</v>
      </c>
      <c r="O8" s="29" t="n">
        <v>12.875</v>
      </c>
      <c r="P8" s="29" t="n">
        <v>14.71428571428572</v>
      </c>
      <c r="Q8" s="29" t="n">
        <v>17.16666666666667</v>
      </c>
      <c r="R8" s="29" t="n">
        <v>20.6</v>
      </c>
      <c r="S8" s="29" t="n">
        <v>25.75</v>
      </c>
      <c r="T8" s="29" t="n">
        <v>34.33333333333334</v>
      </c>
      <c r="U8" s="29" t="n">
        <v>51.5</v>
      </c>
      <c r="V8" s="29" t="n">
        <v>103</v>
      </c>
      <c r="W8" s="29" t="n">
        <v>13.56</v>
      </c>
      <c r="X8" s="29" t="n">
        <v>14.27368421052632</v>
      </c>
      <c r="Y8" s="29" t="n">
        <v>15.06666666666667</v>
      </c>
      <c r="Z8" s="29" t="n">
        <v>15.95294117647059</v>
      </c>
      <c r="AA8" s="29" t="n">
        <v>16.95</v>
      </c>
      <c r="AB8" s="29" t="n">
        <v>18.08</v>
      </c>
      <c r="AC8" s="29" t="n">
        <v>19.37142857142857</v>
      </c>
      <c r="AD8" s="29" t="n">
        <v>20.86153846153846</v>
      </c>
      <c r="AE8" s="29" t="n">
        <v>22.6</v>
      </c>
      <c r="AF8" s="29" t="n">
        <v>24.65454545454545</v>
      </c>
      <c r="AG8" s="29" t="n">
        <v>27.12</v>
      </c>
      <c r="AH8" s="29" t="n">
        <v>30.13333333333333</v>
      </c>
      <c r="AI8" s="29" t="n">
        <v>33.9</v>
      </c>
      <c r="AJ8" s="29" t="n">
        <v>38.74285714285715</v>
      </c>
      <c r="AK8" s="29" t="n">
        <v>45.2</v>
      </c>
      <c r="AL8" s="29" t="n">
        <v>54.24</v>
      </c>
      <c r="AM8" s="29" t="n">
        <v>67.8</v>
      </c>
      <c r="AN8" s="29" t="n">
        <v>90.40000000000001</v>
      </c>
      <c r="AO8" s="29" t="n">
        <v>135.6</v>
      </c>
      <c r="AP8" s="29" t="n">
        <v>271.2</v>
      </c>
    </row>
    <row r="9">
      <c r="A9" s="6" t="inlineStr">
        <is>
          <t>P3</t>
        </is>
      </c>
      <c r="B9" s="6" t="inlineStr">
        <is>
          <t>Karitel</t>
        </is>
      </c>
      <c r="C9" s="29" t="n">
        <v>6.105</v>
      </c>
      <c r="D9" s="29" t="n">
        <v>6.426315789473685</v>
      </c>
      <c r="E9" s="29" t="n">
        <v>6.783333333333333</v>
      </c>
      <c r="F9" s="29" t="n">
        <v>7.182352941176472</v>
      </c>
      <c r="G9" s="29" t="n">
        <v>7.631250000000001</v>
      </c>
      <c r="H9" s="29" t="n">
        <v>8.140000000000001</v>
      </c>
      <c r="I9" s="29" t="n">
        <v>8.721428571428573</v>
      </c>
      <c r="J9" s="29" t="n">
        <v>9.392307692307693</v>
      </c>
      <c r="K9" s="29" t="n">
        <v>10.175</v>
      </c>
      <c r="L9" s="29" t="n">
        <v>11.1</v>
      </c>
      <c r="M9" s="29" t="n">
        <v>12.21</v>
      </c>
      <c r="N9" s="29" t="n">
        <v>13.56666666666667</v>
      </c>
      <c r="O9" s="29" t="n">
        <v>15.2625</v>
      </c>
      <c r="P9" s="29" t="n">
        <v>17.44285714285715</v>
      </c>
      <c r="Q9" s="29" t="n">
        <v>20.35</v>
      </c>
      <c r="R9" s="29" t="n">
        <v>24.42</v>
      </c>
      <c r="S9" s="29" t="n">
        <v>30.525</v>
      </c>
      <c r="T9" s="29" t="n">
        <v>40.7</v>
      </c>
      <c r="U9" s="29" t="n">
        <v>61.05</v>
      </c>
      <c r="V9" s="29" t="n">
        <v>122.1</v>
      </c>
      <c r="W9" s="29" t="n">
        <v>15.11</v>
      </c>
      <c r="X9" s="29" t="n">
        <v>15.90526315789474</v>
      </c>
      <c r="Y9" s="29" t="n">
        <v>16.78888888888889</v>
      </c>
      <c r="Z9" s="29" t="n">
        <v>17.77647058823529</v>
      </c>
      <c r="AA9" s="29" t="n">
        <v>18.8875</v>
      </c>
      <c r="AB9" s="29" t="n">
        <v>20.14666666666666</v>
      </c>
      <c r="AC9" s="29" t="n">
        <v>21.58571428571429</v>
      </c>
      <c r="AD9" s="29" t="n">
        <v>23.24615384615385</v>
      </c>
      <c r="AE9" s="29" t="n">
        <v>25.18333333333333</v>
      </c>
      <c r="AF9" s="29" t="n">
        <v>27.47272727272727</v>
      </c>
      <c r="AG9" s="29" t="n">
        <v>30.22</v>
      </c>
      <c r="AH9" s="29" t="n">
        <v>33.57777777777778</v>
      </c>
      <c r="AI9" s="29" t="n">
        <v>37.775</v>
      </c>
      <c r="AJ9" s="29" t="n">
        <v>43.17142857142857</v>
      </c>
      <c r="AK9" s="29" t="n">
        <v>50.36666666666667</v>
      </c>
      <c r="AL9" s="29" t="n">
        <v>60.44</v>
      </c>
      <c r="AM9" s="29" t="n">
        <v>75.55</v>
      </c>
      <c r="AN9" s="29" t="n">
        <v>100.7333333333333</v>
      </c>
      <c r="AO9" s="29" t="n">
        <v>151.1</v>
      </c>
      <c r="AP9" s="29" t="n">
        <v>302.2</v>
      </c>
    </row>
    <row r="10">
      <c r="A10" s="6" t="inlineStr">
        <is>
          <t>P4</t>
        </is>
      </c>
      <c r="B10" s="6" t="inlineStr">
        <is>
          <t>Karitel</t>
        </is>
      </c>
      <c r="C10" s="29" t="n">
        <v>3.78</v>
      </c>
      <c r="D10" s="29" t="n">
        <v>3.978947368421053</v>
      </c>
      <c r="E10" s="29" t="n">
        <v>4.199999999999999</v>
      </c>
      <c r="F10" s="29" t="n">
        <v>4.447058823529412</v>
      </c>
      <c r="G10" s="29" t="n">
        <v>4.725</v>
      </c>
      <c r="H10" s="29" t="n">
        <v>5.04</v>
      </c>
      <c r="I10" s="29" t="n">
        <v>5.4</v>
      </c>
      <c r="J10" s="29" t="n">
        <v>5.815384615384615</v>
      </c>
      <c r="K10" s="29" t="n">
        <v>6.3</v>
      </c>
      <c r="L10" s="29" t="n">
        <v>6.872727272727272</v>
      </c>
      <c r="M10" s="29" t="n">
        <v>7.56</v>
      </c>
      <c r="N10" s="29" t="n">
        <v>8.399999999999999</v>
      </c>
      <c r="O10" s="29" t="n">
        <v>9.449999999999999</v>
      </c>
      <c r="P10" s="29" t="n">
        <v>10.8</v>
      </c>
      <c r="Q10" s="29" t="n">
        <v>12.6</v>
      </c>
      <c r="R10" s="29" t="n">
        <v>15.12</v>
      </c>
      <c r="S10" s="29" t="n">
        <v>18.9</v>
      </c>
      <c r="T10" s="29" t="n">
        <v>25.2</v>
      </c>
      <c r="U10" s="29" t="n">
        <v>37.8</v>
      </c>
      <c r="V10" s="29" t="n">
        <v>75.59999999999999</v>
      </c>
      <c r="W10" s="29" t="n">
        <v>9.859999999999999</v>
      </c>
      <c r="X10" s="29" t="n">
        <v>10.37894736842105</v>
      </c>
      <c r="Y10" s="29" t="n">
        <v>10.95555555555555</v>
      </c>
      <c r="Z10" s="29" t="n">
        <v>11.6</v>
      </c>
      <c r="AA10" s="29" t="n">
        <v>12.325</v>
      </c>
      <c r="AB10" s="29" t="n">
        <v>13.14666666666667</v>
      </c>
      <c r="AC10" s="29" t="n">
        <v>14.08571428571429</v>
      </c>
      <c r="AD10" s="29" t="n">
        <v>15.16923076923077</v>
      </c>
      <c r="AE10" s="29" t="n">
        <v>16.43333333333333</v>
      </c>
      <c r="AF10" s="29" t="n">
        <v>17.92727272727273</v>
      </c>
      <c r="AG10" s="29" t="n">
        <v>19.72</v>
      </c>
      <c r="AH10" s="29" t="n">
        <v>21.91111111111111</v>
      </c>
      <c r="AI10" s="29" t="n">
        <v>24.65</v>
      </c>
      <c r="AJ10" s="29" t="n">
        <v>28.17142857142857</v>
      </c>
      <c r="AK10" s="29" t="n">
        <v>32.86666666666667</v>
      </c>
      <c r="AL10" s="29" t="n">
        <v>39.44</v>
      </c>
      <c r="AM10" s="29" t="n">
        <v>49.3</v>
      </c>
      <c r="AN10" s="29" t="n">
        <v>65.73333333333333</v>
      </c>
      <c r="AO10" s="29" t="n">
        <v>98.59999999999999</v>
      </c>
      <c r="AP10" s="29" t="n">
        <v>197.2</v>
      </c>
    </row>
    <row r="11">
      <c r="A11" s="6" t="inlineStr">
        <is>
          <t>P5</t>
        </is>
      </c>
      <c r="B11" s="6" t="inlineStr">
        <is>
          <t>Karitel</t>
        </is>
      </c>
      <c r="C11" s="29" t="n">
        <v>5.82</v>
      </c>
      <c r="D11" s="29" t="n">
        <v>6.126315789473685</v>
      </c>
      <c r="E11" s="29" t="n">
        <v>6.466666666666667</v>
      </c>
      <c r="F11" s="29" t="n">
        <v>6.847058823529412</v>
      </c>
      <c r="G11" s="29" t="n">
        <v>7.275</v>
      </c>
      <c r="H11" s="29" t="n">
        <v>7.760000000000001</v>
      </c>
      <c r="I11" s="29" t="n">
        <v>8.314285714285715</v>
      </c>
      <c r="J11" s="29" t="n">
        <v>8.953846153846154</v>
      </c>
      <c r="K11" s="29" t="n">
        <v>9.700000000000001</v>
      </c>
      <c r="L11" s="29" t="n">
        <v>10.58181818181818</v>
      </c>
      <c r="M11" s="29" t="n">
        <v>11.64</v>
      </c>
      <c r="N11" s="29" t="n">
        <v>12.93333333333333</v>
      </c>
      <c r="O11" s="29" t="n">
        <v>14.55</v>
      </c>
      <c r="P11" s="29" t="n">
        <v>16.62857142857143</v>
      </c>
      <c r="Q11" s="29" t="n">
        <v>19.4</v>
      </c>
      <c r="R11" s="29" t="n">
        <v>23.28</v>
      </c>
      <c r="S11" s="29" t="n">
        <v>29.1</v>
      </c>
      <c r="T11" s="29" t="n">
        <v>38.8</v>
      </c>
      <c r="U11" s="29" t="n">
        <v>58.2</v>
      </c>
      <c r="V11" s="29" t="n">
        <v>116.4</v>
      </c>
      <c r="W11" s="29" t="n">
        <v>15.11</v>
      </c>
      <c r="X11" s="29" t="n">
        <v>15.90526315789474</v>
      </c>
      <c r="Y11" s="29" t="n">
        <v>16.78888888888889</v>
      </c>
      <c r="Z11" s="29" t="n">
        <v>17.77647058823529</v>
      </c>
      <c r="AA11" s="29" t="n">
        <v>18.8875</v>
      </c>
      <c r="AB11" s="29" t="n">
        <v>20.14666666666666</v>
      </c>
      <c r="AC11" s="29" t="n">
        <v>21.58571428571429</v>
      </c>
      <c r="AD11" s="29" t="n">
        <v>23.24615384615385</v>
      </c>
      <c r="AE11" s="29" t="n">
        <v>25.18333333333333</v>
      </c>
      <c r="AF11" s="29" t="n">
        <v>27.47272727272727</v>
      </c>
      <c r="AG11" s="29" t="n">
        <v>30.22</v>
      </c>
      <c r="AH11" s="29" t="n">
        <v>33.57777777777778</v>
      </c>
      <c r="AI11" s="29" t="n">
        <v>37.775</v>
      </c>
      <c r="AJ11" s="29" t="n">
        <v>43.17142857142857</v>
      </c>
      <c r="AK11" s="29" t="n">
        <v>50.36666666666667</v>
      </c>
      <c r="AL11" s="29" t="n">
        <v>60.44</v>
      </c>
      <c r="AM11" s="29" t="n">
        <v>75.55</v>
      </c>
      <c r="AN11" s="29" t="n">
        <v>100.7333333333333</v>
      </c>
      <c r="AO11" s="29" t="n">
        <v>151.1</v>
      </c>
      <c r="AP11" s="29" t="n">
        <v>302.2</v>
      </c>
    </row>
    <row r="12">
      <c r="A12" s="6" t="inlineStr">
        <is>
          <t>P6</t>
        </is>
      </c>
      <c r="B12" s="6" t="inlineStr">
        <is>
          <t>Karitel</t>
        </is>
      </c>
      <c r="C12" s="29" t="n">
        <v>6.12</v>
      </c>
      <c r="D12" s="29" t="n">
        <v>6.442105263157895</v>
      </c>
      <c r="E12" s="29" t="n">
        <v>6.8</v>
      </c>
      <c r="F12" s="29" t="n">
        <v>7.2</v>
      </c>
      <c r="G12" s="29" t="n">
        <v>7.649999999999999</v>
      </c>
      <c r="H12" s="29" t="n">
        <v>8.16</v>
      </c>
      <c r="I12" s="29" t="n">
        <v>8.742857142857144</v>
      </c>
      <c r="J12" s="29" t="n">
        <v>9.415384615384616</v>
      </c>
      <c r="K12" s="29" t="n">
        <v>10.2</v>
      </c>
      <c r="L12" s="29" t="n">
        <v>11.12727272727273</v>
      </c>
      <c r="M12" s="29" t="n">
        <v>12.24</v>
      </c>
      <c r="N12" s="29" t="n">
        <v>13.6</v>
      </c>
      <c r="O12" s="29" t="n">
        <v>15.3</v>
      </c>
      <c r="P12" s="29" t="n">
        <v>17.48571428571429</v>
      </c>
      <c r="Q12" s="29" t="n">
        <v>20.4</v>
      </c>
      <c r="R12" s="29" t="n">
        <v>24.48</v>
      </c>
      <c r="S12" s="29" t="n">
        <v>30.6</v>
      </c>
      <c r="T12" s="29" t="n">
        <v>40.8</v>
      </c>
      <c r="U12" s="29" t="n">
        <v>61.2</v>
      </c>
      <c r="V12" s="29" t="n">
        <v>122.4</v>
      </c>
      <c r="W12" s="29" t="n">
        <v>15.11</v>
      </c>
      <c r="X12" s="29" t="n">
        <v>15.90526315789474</v>
      </c>
      <c r="Y12" s="29" t="n">
        <v>16.78888888888889</v>
      </c>
      <c r="Z12" s="29" t="n">
        <v>17.77647058823529</v>
      </c>
      <c r="AA12" s="29" t="n">
        <v>18.8875</v>
      </c>
      <c r="AB12" s="29" t="n">
        <v>20.14666666666666</v>
      </c>
      <c r="AC12" s="29" t="n">
        <v>21.58571428571429</v>
      </c>
      <c r="AD12" s="29" t="n">
        <v>23.24615384615385</v>
      </c>
      <c r="AE12" s="29" t="n">
        <v>25.18333333333333</v>
      </c>
      <c r="AF12" s="29" t="n">
        <v>27.47272727272727</v>
      </c>
      <c r="AG12" s="29" t="n">
        <v>30.22</v>
      </c>
      <c r="AH12" s="29" t="n">
        <v>33.57777777777778</v>
      </c>
      <c r="AI12" s="29" t="n">
        <v>37.775</v>
      </c>
      <c r="AJ12" s="29" t="n">
        <v>43.17142857142857</v>
      </c>
      <c r="AK12" s="29" t="n">
        <v>50.36666666666667</v>
      </c>
      <c r="AL12" s="29" t="n">
        <v>60.44</v>
      </c>
      <c r="AM12" s="29" t="n">
        <v>75.55</v>
      </c>
      <c r="AN12" s="29" t="n">
        <v>100.7333333333333</v>
      </c>
      <c r="AO12" s="29" t="n">
        <v>151.1</v>
      </c>
      <c r="AP12" s="29" t="n">
        <v>302.2</v>
      </c>
    </row>
    <row r="13">
      <c r="A13" s="6" t="inlineStr">
        <is>
          <t>P7</t>
        </is>
      </c>
      <c r="B13" s="6" t="inlineStr">
        <is>
          <t>Karitel</t>
        </is>
      </c>
      <c r="C13" s="29" t="n">
        <v>5.76</v>
      </c>
      <c r="D13" s="29" t="n">
        <v>6.063157894736842</v>
      </c>
      <c r="E13" s="29" t="n">
        <v>6.399999999999999</v>
      </c>
      <c r="F13" s="29" t="n">
        <v>6.776470588235294</v>
      </c>
      <c r="G13" s="29" t="n">
        <v>7.199999999999999</v>
      </c>
      <c r="H13" s="29" t="n">
        <v>7.68</v>
      </c>
      <c r="I13" s="29" t="n">
        <v>8.22857142857143</v>
      </c>
      <c r="J13" s="29" t="n">
        <v>8.86153846153846</v>
      </c>
      <c r="K13" s="29" t="n">
        <v>9.6</v>
      </c>
      <c r="L13" s="29" t="n">
        <v>10.47272727272727</v>
      </c>
      <c r="M13" s="29" t="n">
        <v>11.52</v>
      </c>
      <c r="N13" s="29" t="n">
        <v>12.8</v>
      </c>
      <c r="O13" s="29" t="n">
        <v>14.4</v>
      </c>
      <c r="P13" s="29" t="n">
        <v>16.45714285714286</v>
      </c>
      <c r="Q13" s="29" t="n">
        <v>19.2</v>
      </c>
      <c r="R13" s="29" t="n">
        <v>23.04</v>
      </c>
      <c r="S13" s="29" t="n">
        <v>28.8</v>
      </c>
      <c r="T13" s="29" t="n">
        <v>38.4</v>
      </c>
      <c r="U13" s="29" t="n">
        <v>57.59999999999999</v>
      </c>
      <c r="V13" s="29" t="n">
        <v>115.2</v>
      </c>
      <c r="W13" s="29" t="n">
        <v>13.26</v>
      </c>
      <c r="X13" s="29" t="n">
        <v>13.95789473684211</v>
      </c>
      <c r="Y13" s="29" t="n">
        <v>14.73333333333333</v>
      </c>
      <c r="Z13" s="29" t="n">
        <v>15.6</v>
      </c>
      <c r="AA13" s="29" t="n">
        <v>16.575</v>
      </c>
      <c r="AB13" s="29" t="n">
        <v>17.68</v>
      </c>
      <c r="AC13" s="29" t="n">
        <v>18.94285714285714</v>
      </c>
      <c r="AD13" s="29" t="n">
        <v>20.4</v>
      </c>
      <c r="AE13" s="29" t="n">
        <v>22.1</v>
      </c>
      <c r="AF13" s="29" t="n">
        <v>24.10909090909091</v>
      </c>
      <c r="AG13" s="29" t="n">
        <v>26.52</v>
      </c>
      <c r="AH13" s="29" t="n">
        <v>29.46666666666667</v>
      </c>
      <c r="AI13" s="29" t="n">
        <v>33.15</v>
      </c>
      <c r="AJ13" s="29" t="n">
        <v>37.88571428571429</v>
      </c>
      <c r="AK13" s="29" t="n">
        <v>44.2</v>
      </c>
      <c r="AL13" s="29" t="n">
        <v>53.04</v>
      </c>
      <c r="AM13" s="29" t="n">
        <v>66.3</v>
      </c>
      <c r="AN13" s="29" t="n">
        <v>88.40000000000001</v>
      </c>
      <c r="AO13" s="29" t="n">
        <v>132.6</v>
      </c>
      <c r="AP13" s="29" t="n">
        <v>265.2</v>
      </c>
    </row>
    <row r="14">
      <c r="A14" s="6" t="inlineStr">
        <is>
          <t>P8</t>
        </is>
      </c>
      <c r="B14" s="6" t="inlineStr">
        <is>
          <t>Karitel</t>
        </is>
      </c>
      <c r="C14" s="29" t="n">
        <v>6.58</v>
      </c>
      <c r="D14" s="29" t="n">
        <v>6.926315789473684</v>
      </c>
      <c r="E14" s="29" t="n">
        <v>7.311111111111111</v>
      </c>
      <c r="F14" s="29" t="n">
        <v>7.741176470588235</v>
      </c>
      <c r="G14" s="29" t="n">
        <v>8.225</v>
      </c>
      <c r="H14" s="29" t="n">
        <v>8.773333333333333</v>
      </c>
      <c r="I14" s="29" t="n">
        <v>9.4</v>
      </c>
      <c r="J14" s="29" t="n">
        <v>10.12307692307692</v>
      </c>
      <c r="K14" s="29" t="n">
        <v>10.96666666666667</v>
      </c>
      <c r="L14" s="29" t="n">
        <v>11.96363636363636</v>
      </c>
      <c r="M14" s="29" t="n">
        <v>13.16</v>
      </c>
      <c r="N14" s="29" t="n">
        <v>14.62222222222222</v>
      </c>
      <c r="O14" s="29" t="n">
        <v>16.45</v>
      </c>
      <c r="P14" s="29" t="n">
        <v>18.8</v>
      </c>
      <c r="Q14" s="29" t="n">
        <v>21.93333333333333</v>
      </c>
      <c r="R14" s="29" t="n">
        <v>26.32</v>
      </c>
      <c r="S14" s="29" t="n">
        <v>32.9</v>
      </c>
      <c r="T14" s="29" t="n">
        <v>43.86666666666667</v>
      </c>
      <c r="U14" s="29" t="n">
        <v>65.8</v>
      </c>
      <c r="V14" s="29" t="n">
        <v>131.6</v>
      </c>
      <c r="W14" s="29" t="n">
        <v>15.11</v>
      </c>
      <c r="X14" s="29" t="n">
        <v>15.90526315789474</v>
      </c>
      <c r="Y14" s="29" t="n">
        <v>16.78888888888889</v>
      </c>
      <c r="Z14" s="29" t="n">
        <v>17.77647058823529</v>
      </c>
      <c r="AA14" s="29" t="n">
        <v>18.8875</v>
      </c>
      <c r="AB14" s="29" t="n">
        <v>20.14666666666666</v>
      </c>
      <c r="AC14" s="29" t="n">
        <v>21.58571428571429</v>
      </c>
      <c r="AD14" s="29" t="n">
        <v>23.24615384615385</v>
      </c>
      <c r="AE14" s="29" t="n">
        <v>25.18333333333333</v>
      </c>
      <c r="AF14" s="29" t="n">
        <v>27.47272727272727</v>
      </c>
      <c r="AG14" s="29" t="n">
        <v>30.22</v>
      </c>
      <c r="AH14" s="29" t="n">
        <v>33.57777777777778</v>
      </c>
      <c r="AI14" s="29" t="n">
        <v>37.775</v>
      </c>
      <c r="AJ14" s="29" t="n">
        <v>43.17142857142857</v>
      </c>
      <c r="AK14" s="29" t="n">
        <v>50.36666666666667</v>
      </c>
      <c r="AL14" s="29" t="n">
        <v>60.44</v>
      </c>
      <c r="AM14" s="29" t="n">
        <v>75.55</v>
      </c>
      <c r="AN14" s="29" t="n">
        <v>100.7333333333333</v>
      </c>
      <c r="AO14" s="29" t="n">
        <v>151.1</v>
      </c>
      <c r="AP14" s="29" t="n">
        <v>302.2</v>
      </c>
    </row>
    <row r="15">
      <c r="A15" s="6" t="inlineStr">
        <is>
          <t>P9</t>
        </is>
      </c>
      <c r="B15" s="6" t="inlineStr">
        <is>
          <t>Karitel</t>
        </is>
      </c>
      <c r="C15" s="29" t="n">
        <v>5.82</v>
      </c>
      <c r="D15" s="29" t="n">
        <v>6.126315789473685</v>
      </c>
      <c r="E15" s="29" t="n">
        <v>6.466666666666667</v>
      </c>
      <c r="F15" s="29" t="n">
        <v>6.847058823529412</v>
      </c>
      <c r="G15" s="29" t="n">
        <v>7.275</v>
      </c>
      <c r="H15" s="29" t="n">
        <v>7.760000000000001</v>
      </c>
      <c r="I15" s="29" t="n">
        <v>8.314285714285715</v>
      </c>
      <c r="J15" s="29" t="n">
        <v>8.953846153846154</v>
      </c>
      <c r="K15" s="29" t="n">
        <v>9.700000000000001</v>
      </c>
      <c r="L15" s="29" t="n">
        <v>10.58181818181818</v>
      </c>
      <c r="M15" s="29" t="n">
        <v>11.64</v>
      </c>
      <c r="N15" s="29" t="n">
        <v>12.93333333333333</v>
      </c>
      <c r="O15" s="29" t="n">
        <v>14.55</v>
      </c>
      <c r="P15" s="29" t="n">
        <v>16.62857142857143</v>
      </c>
      <c r="Q15" s="29" t="n">
        <v>19.4</v>
      </c>
      <c r="R15" s="29" t="n">
        <v>23.28</v>
      </c>
      <c r="S15" s="29" t="n">
        <v>29.1</v>
      </c>
      <c r="T15" s="29" t="n">
        <v>38.8</v>
      </c>
      <c r="U15" s="29" t="n">
        <v>58.2</v>
      </c>
      <c r="V15" s="29" t="n">
        <v>116.4</v>
      </c>
      <c r="W15" s="29" t="n">
        <v>13.26</v>
      </c>
      <c r="X15" s="29" t="n">
        <v>13.95789473684211</v>
      </c>
      <c r="Y15" s="29" t="n">
        <v>14.73333333333333</v>
      </c>
      <c r="Z15" s="29" t="n">
        <v>15.6</v>
      </c>
      <c r="AA15" s="29" t="n">
        <v>16.575</v>
      </c>
      <c r="AB15" s="29" t="n">
        <v>17.68</v>
      </c>
      <c r="AC15" s="29" t="n">
        <v>18.94285714285714</v>
      </c>
      <c r="AD15" s="29" t="n">
        <v>20.4</v>
      </c>
      <c r="AE15" s="29" t="n">
        <v>22.1</v>
      </c>
      <c r="AF15" s="29" t="n">
        <v>24.10909090909091</v>
      </c>
      <c r="AG15" s="29" t="n">
        <v>26.52</v>
      </c>
      <c r="AH15" s="29" t="n">
        <v>29.46666666666667</v>
      </c>
      <c r="AI15" s="29" t="n">
        <v>33.15</v>
      </c>
      <c r="AJ15" s="29" t="n">
        <v>37.88571428571429</v>
      </c>
      <c r="AK15" s="29" t="n">
        <v>44.2</v>
      </c>
      <c r="AL15" s="29" t="n">
        <v>53.04</v>
      </c>
      <c r="AM15" s="29" t="n">
        <v>66.3</v>
      </c>
      <c r="AN15" s="29" t="n">
        <v>88.40000000000001</v>
      </c>
      <c r="AO15" s="29" t="n">
        <v>132.6</v>
      </c>
      <c r="AP15" s="29" t="n">
        <v>265.2</v>
      </c>
    </row>
    <row r="16">
      <c r="A16" s="6" t="inlineStr">
        <is>
          <t>P10</t>
        </is>
      </c>
      <c r="B16" s="6" t="inlineStr">
        <is>
          <t>Karitel</t>
        </is>
      </c>
      <c r="C16" s="29" t="n">
        <v>5.83</v>
      </c>
      <c r="D16" s="29" t="n">
        <v>6.136842105263158</v>
      </c>
      <c r="E16" s="29" t="n">
        <v>6.477777777777778</v>
      </c>
      <c r="F16" s="29" t="n">
        <v>6.858823529411765</v>
      </c>
      <c r="G16" s="29" t="n">
        <v>7.2875</v>
      </c>
      <c r="H16" s="29" t="n">
        <v>7.773333333333333</v>
      </c>
      <c r="I16" s="29" t="n">
        <v>8.328571428571429</v>
      </c>
      <c r="J16" s="29" t="n">
        <v>8.969230769230769</v>
      </c>
      <c r="K16" s="29" t="n">
        <v>9.716666666666667</v>
      </c>
      <c r="L16" s="29" t="n">
        <v>10.6</v>
      </c>
      <c r="M16" s="29" t="n">
        <v>11.66</v>
      </c>
      <c r="N16" s="29" t="n">
        <v>12.95555555555556</v>
      </c>
      <c r="O16" s="29" t="n">
        <v>14.575</v>
      </c>
      <c r="P16" s="29" t="n">
        <v>16.65714285714286</v>
      </c>
      <c r="Q16" s="29" t="n">
        <v>19.43333333333333</v>
      </c>
      <c r="R16" s="29" t="n">
        <v>23.32</v>
      </c>
      <c r="S16" s="29" t="n">
        <v>29.15</v>
      </c>
      <c r="T16" s="29" t="n">
        <v>38.86666666666667</v>
      </c>
      <c r="U16" s="29" t="n">
        <v>58.3</v>
      </c>
      <c r="V16" s="29" t="n">
        <v>116.6</v>
      </c>
      <c r="W16" s="29" t="n">
        <v>15.11</v>
      </c>
      <c r="X16" s="29" t="n">
        <v>15.90526315789474</v>
      </c>
      <c r="Y16" s="29" t="n">
        <v>16.78888888888889</v>
      </c>
      <c r="Z16" s="29" t="n">
        <v>17.77647058823529</v>
      </c>
      <c r="AA16" s="29" t="n">
        <v>18.8875</v>
      </c>
      <c r="AB16" s="29" t="n">
        <v>20.14666666666666</v>
      </c>
      <c r="AC16" s="29" t="n">
        <v>21.58571428571429</v>
      </c>
      <c r="AD16" s="29" t="n">
        <v>23.24615384615385</v>
      </c>
      <c r="AE16" s="29" t="n">
        <v>25.18333333333333</v>
      </c>
      <c r="AF16" s="29" t="n">
        <v>27.47272727272727</v>
      </c>
      <c r="AG16" s="29" t="n">
        <v>30.22</v>
      </c>
      <c r="AH16" s="29" t="n">
        <v>33.57777777777778</v>
      </c>
      <c r="AI16" s="29" t="n">
        <v>37.775</v>
      </c>
      <c r="AJ16" s="29" t="n">
        <v>43.17142857142857</v>
      </c>
      <c r="AK16" s="29" t="n">
        <v>50.36666666666667</v>
      </c>
      <c r="AL16" s="29" t="n">
        <v>60.44</v>
      </c>
      <c r="AM16" s="29" t="n">
        <v>75.55</v>
      </c>
      <c r="AN16" s="29" t="n">
        <v>100.7333333333333</v>
      </c>
      <c r="AO16" s="29" t="n">
        <v>151.1</v>
      </c>
      <c r="AP16" s="29" t="n">
        <v>302.2</v>
      </c>
    </row>
    <row r="17">
      <c r="A17" s="6" t="inlineStr">
        <is>
          <t>P11</t>
        </is>
      </c>
      <c r="B17" s="6" t="inlineStr">
        <is>
          <t>Karitel</t>
        </is>
      </c>
      <c r="C17" s="29" t="n">
        <v>5.82</v>
      </c>
      <c r="D17" s="29" t="n">
        <v>6.126315789473685</v>
      </c>
      <c r="E17" s="29" t="n">
        <v>6.466666666666667</v>
      </c>
      <c r="F17" s="29" t="n">
        <v>6.847058823529412</v>
      </c>
      <c r="G17" s="29" t="n">
        <v>7.275</v>
      </c>
      <c r="H17" s="29" t="n">
        <v>7.760000000000001</v>
      </c>
      <c r="I17" s="29" t="n">
        <v>8.314285714285715</v>
      </c>
      <c r="J17" s="29" t="n">
        <v>8.953846153846154</v>
      </c>
      <c r="K17" s="29" t="n">
        <v>9.700000000000001</v>
      </c>
      <c r="L17" s="29" t="n">
        <v>10.58181818181818</v>
      </c>
      <c r="M17" s="29" t="n">
        <v>11.64</v>
      </c>
      <c r="N17" s="29" t="n">
        <v>12.93333333333333</v>
      </c>
      <c r="O17" s="29" t="n">
        <v>14.55</v>
      </c>
      <c r="P17" s="29" t="n">
        <v>16.62857142857143</v>
      </c>
      <c r="Q17" s="29" t="n">
        <v>19.4</v>
      </c>
      <c r="R17" s="29" t="n">
        <v>23.28</v>
      </c>
      <c r="S17" s="29" t="n">
        <v>29.1</v>
      </c>
      <c r="T17" s="29" t="n">
        <v>38.8</v>
      </c>
      <c r="U17" s="29" t="n">
        <v>58.2</v>
      </c>
      <c r="V17" s="29" t="n">
        <v>116.4</v>
      </c>
      <c r="W17" s="29" t="n">
        <v>13.57</v>
      </c>
      <c r="X17" s="29" t="n">
        <v>14.28421052631579</v>
      </c>
      <c r="Y17" s="29" t="n">
        <v>15.07777777777778</v>
      </c>
      <c r="Z17" s="29" t="n">
        <v>15.96470588235294</v>
      </c>
      <c r="AA17" s="29" t="n">
        <v>16.9625</v>
      </c>
      <c r="AB17" s="29" t="n">
        <v>18.09333333333333</v>
      </c>
      <c r="AC17" s="29" t="n">
        <v>19.38571428571429</v>
      </c>
      <c r="AD17" s="29" t="n">
        <v>20.87692307692308</v>
      </c>
      <c r="AE17" s="29" t="n">
        <v>22.61666666666667</v>
      </c>
      <c r="AF17" s="29" t="n">
        <v>24.67272727272727</v>
      </c>
      <c r="AG17" s="29" t="n">
        <v>27.14</v>
      </c>
      <c r="AH17" s="29" t="n">
        <v>30.15555555555556</v>
      </c>
      <c r="AI17" s="29" t="n">
        <v>33.925</v>
      </c>
      <c r="AJ17" s="29" t="n">
        <v>38.77142857142857</v>
      </c>
      <c r="AK17" s="29" t="n">
        <v>45.23333333333333</v>
      </c>
      <c r="AL17" s="29" t="n">
        <v>54.28</v>
      </c>
      <c r="AM17" s="29" t="n">
        <v>67.84999999999999</v>
      </c>
      <c r="AN17" s="29" t="n">
        <v>90.46666666666667</v>
      </c>
      <c r="AO17" s="29" t="n">
        <v>135.7</v>
      </c>
      <c r="AP17" s="29" t="n">
        <v>271.4</v>
      </c>
    </row>
    <row r="18">
      <c r="A18" s="6" t="inlineStr">
        <is>
          <t>P12</t>
        </is>
      </c>
      <c r="B18" s="6" t="inlineStr">
        <is>
          <t>Karitel</t>
        </is>
      </c>
      <c r="C18" s="29" t="n">
        <v>6.54</v>
      </c>
      <c r="D18" s="29" t="n">
        <v>6.88421052631579</v>
      </c>
      <c r="E18" s="29" t="n">
        <v>7.266666666666667</v>
      </c>
      <c r="F18" s="29" t="n">
        <v>7.694117647058824</v>
      </c>
      <c r="G18" s="29" t="n">
        <v>8.174999999999999</v>
      </c>
      <c r="H18" s="29" t="n">
        <v>8.720000000000001</v>
      </c>
      <c r="I18" s="29" t="n">
        <v>9.342857142857143</v>
      </c>
      <c r="J18" s="29" t="n">
        <v>10.06153846153846</v>
      </c>
      <c r="K18" s="29" t="n">
        <v>10.9</v>
      </c>
      <c r="L18" s="29" t="n">
        <v>11.89090909090909</v>
      </c>
      <c r="M18" s="29" t="n">
        <v>13.08</v>
      </c>
      <c r="N18" s="29" t="n">
        <v>14.53333333333333</v>
      </c>
      <c r="O18" s="29" t="n">
        <v>16.35</v>
      </c>
      <c r="P18" s="29" t="n">
        <v>18.68571428571429</v>
      </c>
      <c r="Q18" s="29" t="n">
        <v>21.8</v>
      </c>
      <c r="R18" s="29" t="n">
        <v>26.16</v>
      </c>
      <c r="S18" s="29" t="n">
        <v>32.7</v>
      </c>
      <c r="T18" s="29" t="n">
        <v>43.6</v>
      </c>
      <c r="U18" s="29" t="n">
        <v>65.39999999999999</v>
      </c>
      <c r="V18" s="29" t="n">
        <v>130.8</v>
      </c>
      <c r="W18" s="29" t="n">
        <v>15.11</v>
      </c>
      <c r="X18" s="29" t="n">
        <v>15.90526315789474</v>
      </c>
      <c r="Y18" s="29" t="n">
        <v>16.78888888888889</v>
      </c>
      <c r="Z18" s="29" t="n">
        <v>17.77647058823529</v>
      </c>
      <c r="AA18" s="29" t="n">
        <v>18.8875</v>
      </c>
      <c r="AB18" s="29" t="n">
        <v>20.14666666666666</v>
      </c>
      <c r="AC18" s="29" t="n">
        <v>21.58571428571429</v>
      </c>
      <c r="AD18" s="29" t="n">
        <v>23.24615384615385</v>
      </c>
      <c r="AE18" s="29" t="n">
        <v>25.18333333333333</v>
      </c>
      <c r="AF18" s="29" t="n">
        <v>27.47272727272727</v>
      </c>
      <c r="AG18" s="29" t="n">
        <v>30.22</v>
      </c>
      <c r="AH18" s="29" t="n">
        <v>33.57777777777778</v>
      </c>
      <c r="AI18" s="29" t="n">
        <v>37.775</v>
      </c>
      <c r="AJ18" s="29" t="n">
        <v>43.17142857142857</v>
      </c>
      <c r="AK18" s="29" t="n">
        <v>50.36666666666667</v>
      </c>
      <c r="AL18" s="29" t="n">
        <v>60.44</v>
      </c>
      <c r="AM18" s="29" t="n">
        <v>75.55</v>
      </c>
      <c r="AN18" s="29" t="n">
        <v>100.7333333333333</v>
      </c>
      <c r="AO18" s="29" t="n">
        <v>151.1</v>
      </c>
      <c r="AP18" s="29" t="n">
        <v>302.2</v>
      </c>
    </row>
    <row r="19">
      <c r="A19" s="6" t="inlineStr">
        <is>
          <t>P13</t>
        </is>
      </c>
      <c r="B19" s="6" t="inlineStr">
        <is>
          <t>Karitel</t>
        </is>
      </c>
      <c r="C19" s="29" t="n">
        <v>4.62</v>
      </c>
      <c r="D19" s="29" t="n">
        <v>4.863157894736842</v>
      </c>
      <c r="E19" s="29" t="n">
        <v>5.133333333333334</v>
      </c>
      <c r="F19" s="29" t="n">
        <v>5.435294117647059</v>
      </c>
      <c r="G19" s="29" t="n">
        <v>5.774999999999999</v>
      </c>
      <c r="H19" s="29" t="n">
        <v>6.16</v>
      </c>
      <c r="I19" s="29" t="n">
        <v>6.600000000000001</v>
      </c>
      <c r="J19" s="29" t="n">
        <v>7.107692307692307</v>
      </c>
      <c r="K19" s="29" t="n">
        <v>7.7</v>
      </c>
      <c r="L19" s="29" t="n">
        <v>8.4</v>
      </c>
      <c r="M19" s="29" t="n">
        <v>9.24</v>
      </c>
      <c r="N19" s="29" t="n">
        <v>10.26666666666667</v>
      </c>
      <c r="O19" s="29" t="n">
        <v>11.55</v>
      </c>
      <c r="P19" s="29" t="n">
        <v>13.2</v>
      </c>
      <c r="Q19" s="29" t="n">
        <v>15.4</v>
      </c>
      <c r="R19" s="29" t="n">
        <v>18.48</v>
      </c>
      <c r="S19" s="29" t="n">
        <v>23.1</v>
      </c>
      <c r="T19" s="29" t="n">
        <v>30.8</v>
      </c>
      <c r="U19" s="29" t="n">
        <v>46.2</v>
      </c>
      <c r="V19" s="29" t="n">
        <v>92.39999999999999</v>
      </c>
      <c r="W19" s="29" t="n">
        <v>10.02</v>
      </c>
      <c r="X19" s="29" t="n">
        <v>10.54736842105263</v>
      </c>
      <c r="Y19" s="29" t="n">
        <v>11.13333333333333</v>
      </c>
      <c r="Z19" s="29" t="n">
        <v>11.78823529411765</v>
      </c>
      <c r="AA19" s="29" t="n">
        <v>12.525</v>
      </c>
      <c r="AB19" s="29" t="n">
        <v>13.36</v>
      </c>
      <c r="AC19" s="29" t="n">
        <v>14.31428571428571</v>
      </c>
      <c r="AD19" s="29" t="n">
        <v>15.41538461538461</v>
      </c>
      <c r="AE19" s="29" t="n">
        <v>16.7</v>
      </c>
      <c r="AF19" s="29" t="n">
        <v>18.21818181818182</v>
      </c>
      <c r="AG19" s="29" t="n">
        <v>20.04</v>
      </c>
      <c r="AH19" s="29" t="n">
        <v>22.26666666666667</v>
      </c>
      <c r="AI19" s="29" t="n">
        <v>25.05</v>
      </c>
      <c r="AJ19" s="29" t="n">
        <v>28.62857142857143</v>
      </c>
      <c r="AK19" s="29" t="n">
        <v>33.4</v>
      </c>
      <c r="AL19" s="29" t="n">
        <v>40.08</v>
      </c>
      <c r="AM19" s="29" t="n">
        <v>50.09999999999999</v>
      </c>
      <c r="AN19" s="29" t="n">
        <v>66.8</v>
      </c>
      <c r="AO19" s="29" t="n">
        <v>100.2</v>
      </c>
      <c r="AP19" s="29" t="n">
        <v>200.4</v>
      </c>
    </row>
    <row r="20">
      <c r="A20" s="6" t="inlineStr">
        <is>
          <t>P14</t>
        </is>
      </c>
      <c r="B20" s="6" t="inlineStr">
        <is>
          <t>Karitel</t>
        </is>
      </c>
      <c r="C20" s="29" t="n">
        <v>6.3</v>
      </c>
      <c r="D20" s="29" t="n">
        <v>6.631578947368421</v>
      </c>
      <c r="E20" s="29" t="n">
        <v>7</v>
      </c>
      <c r="F20" s="29" t="n">
        <v>7.411764705882353</v>
      </c>
      <c r="G20" s="29" t="n">
        <v>7.874999999999999</v>
      </c>
      <c r="H20" s="29" t="n">
        <v>8.4</v>
      </c>
      <c r="I20" s="29" t="n">
        <v>9</v>
      </c>
      <c r="J20" s="29" t="n">
        <v>9.692307692307692</v>
      </c>
      <c r="K20" s="29" t="n">
        <v>10.5</v>
      </c>
      <c r="L20" s="29" t="n">
        <v>11.45454545454545</v>
      </c>
      <c r="M20" s="29" t="n">
        <v>12.6</v>
      </c>
      <c r="N20" s="29" t="n">
        <v>14</v>
      </c>
      <c r="O20" s="29" t="n">
        <v>15.75</v>
      </c>
      <c r="P20" s="29" t="n">
        <v>18</v>
      </c>
      <c r="Q20" s="29" t="n">
        <v>21</v>
      </c>
      <c r="R20" s="29" t="n">
        <v>25.2</v>
      </c>
      <c r="S20" s="29" t="n">
        <v>31.5</v>
      </c>
      <c r="T20" s="29" t="n">
        <v>42</v>
      </c>
      <c r="U20" s="29" t="n">
        <v>62.99999999999999</v>
      </c>
      <c r="V20" s="29" t="n">
        <v>126</v>
      </c>
      <c r="W20" s="29" t="n">
        <v>15.11</v>
      </c>
      <c r="X20" s="29" t="n">
        <v>15.90526315789474</v>
      </c>
      <c r="Y20" s="29" t="n">
        <v>16.78888888888889</v>
      </c>
      <c r="Z20" s="29" t="n">
        <v>17.77647058823529</v>
      </c>
      <c r="AA20" s="29" t="n">
        <v>18.8875</v>
      </c>
      <c r="AB20" s="29" t="n">
        <v>20.14666666666666</v>
      </c>
      <c r="AC20" s="29" t="n">
        <v>21.58571428571429</v>
      </c>
      <c r="AD20" s="29" t="n">
        <v>23.24615384615385</v>
      </c>
      <c r="AE20" s="29" t="n">
        <v>25.18333333333333</v>
      </c>
      <c r="AF20" s="29" t="n">
        <v>27.47272727272727</v>
      </c>
      <c r="AG20" s="29" t="n">
        <v>30.22</v>
      </c>
      <c r="AH20" s="29" t="n">
        <v>33.57777777777778</v>
      </c>
      <c r="AI20" s="29" t="n">
        <v>37.775</v>
      </c>
      <c r="AJ20" s="29" t="n">
        <v>43.17142857142857</v>
      </c>
      <c r="AK20" s="29" t="n">
        <v>50.36666666666667</v>
      </c>
      <c r="AL20" s="29" t="n">
        <v>60.44</v>
      </c>
      <c r="AM20" s="29" t="n">
        <v>75.55</v>
      </c>
      <c r="AN20" s="29" t="n">
        <v>100.7333333333333</v>
      </c>
      <c r="AO20" s="29" t="n">
        <v>151.1</v>
      </c>
      <c r="AP20" s="29" t="n">
        <v>302.2</v>
      </c>
    </row>
    <row r="21">
      <c r="A21" s="6" t="inlineStr">
        <is>
          <t>P15</t>
        </is>
      </c>
      <c r="B21" s="6" t="inlineStr">
        <is>
          <t>Karitel</t>
        </is>
      </c>
      <c r="C21" s="29" t="n">
        <v>7.205</v>
      </c>
      <c r="D21" s="29" t="n">
        <v>7.58421052631579</v>
      </c>
      <c r="E21" s="29" t="n">
        <v>8.005555555555555</v>
      </c>
      <c r="F21" s="29" t="n">
        <v>8.476470588235294</v>
      </c>
      <c r="G21" s="29" t="n">
        <v>9.00625</v>
      </c>
      <c r="H21" s="29" t="n">
        <v>9.606666666666667</v>
      </c>
      <c r="I21" s="29" t="n">
        <v>10.29285714285714</v>
      </c>
      <c r="J21" s="29" t="n">
        <v>11.08461538461538</v>
      </c>
      <c r="K21" s="29" t="n">
        <v>12.00833333333333</v>
      </c>
      <c r="L21" s="29" t="n">
        <v>13.1</v>
      </c>
      <c r="M21" s="29" t="n">
        <v>14.41</v>
      </c>
      <c r="N21" s="29" t="n">
        <v>16.01111111111111</v>
      </c>
      <c r="O21" s="29" t="n">
        <v>18.0125</v>
      </c>
      <c r="P21" s="29" t="n">
        <v>20.58571428571429</v>
      </c>
      <c r="Q21" s="29" t="n">
        <v>24.01666666666667</v>
      </c>
      <c r="R21" s="29" t="n">
        <v>28.82</v>
      </c>
      <c r="S21" s="29" t="n">
        <v>36.025</v>
      </c>
      <c r="T21" s="29" t="n">
        <v>48.03333333333334</v>
      </c>
      <c r="U21" s="29" t="n">
        <v>72.05</v>
      </c>
      <c r="V21" s="29" t="n">
        <v>144.1</v>
      </c>
      <c r="W21" s="29" t="n">
        <v>15.11</v>
      </c>
      <c r="X21" s="29" t="n">
        <v>15.90526315789474</v>
      </c>
      <c r="Y21" s="29" t="n">
        <v>16.78888888888889</v>
      </c>
      <c r="Z21" s="29" t="n">
        <v>17.77647058823529</v>
      </c>
      <c r="AA21" s="29" t="n">
        <v>18.8875</v>
      </c>
      <c r="AB21" s="29" t="n">
        <v>20.14666666666666</v>
      </c>
      <c r="AC21" s="29" t="n">
        <v>21.58571428571429</v>
      </c>
      <c r="AD21" s="29" t="n">
        <v>23.24615384615385</v>
      </c>
      <c r="AE21" s="29" t="n">
        <v>25.18333333333333</v>
      </c>
      <c r="AF21" s="29" t="n">
        <v>27.47272727272727</v>
      </c>
      <c r="AG21" s="29" t="n">
        <v>30.22</v>
      </c>
      <c r="AH21" s="29" t="n">
        <v>33.57777777777778</v>
      </c>
      <c r="AI21" s="29" t="n">
        <v>37.775</v>
      </c>
      <c r="AJ21" s="29" t="n">
        <v>43.17142857142857</v>
      </c>
      <c r="AK21" s="29" t="n">
        <v>50.36666666666667</v>
      </c>
      <c r="AL21" s="29" t="n">
        <v>60.44</v>
      </c>
      <c r="AM21" s="29" t="n">
        <v>75.55</v>
      </c>
      <c r="AN21" s="29" t="n">
        <v>100.7333333333333</v>
      </c>
      <c r="AO21" s="29" t="n">
        <v>151.1</v>
      </c>
      <c r="AP21" s="29" t="n">
        <v>302.2</v>
      </c>
    </row>
    <row r="22">
      <c r="A22" s="6" t="inlineStr">
        <is>
          <t>P16</t>
        </is>
      </c>
      <c r="B22" s="6" t="inlineStr">
        <is>
          <t>Karitel</t>
        </is>
      </c>
      <c r="C22" s="29" t="n">
        <v>7.19</v>
      </c>
      <c r="D22" s="29" t="n">
        <v>7.56842105263158</v>
      </c>
      <c r="E22" s="29" t="n">
        <v>7.988888888888889</v>
      </c>
      <c r="F22" s="29" t="n">
        <v>8.458823529411765</v>
      </c>
      <c r="G22" s="29" t="n">
        <v>8.987500000000001</v>
      </c>
      <c r="H22" s="29" t="n">
        <v>9.586666666666668</v>
      </c>
      <c r="I22" s="29" t="n">
        <v>10.27142857142857</v>
      </c>
      <c r="J22" s="29" t="n">
        <v>11.06153846153846</v>
      </c>
      <c r="K22" s="29" t="n">
        <v>11.98333333333333</v>
      </c>
      <c r="L22" s="29" t="n">
        <v>13.07272727272727</v>
      </c>
      <c r="M22" s="29" t="n">
        <v>14.38</v>
      </c>
      <c r="N22" s="29" t="n">
        <v>15.97777777777778</v>
      </c>
      <c r="O22" s="29" t="n">
        <v>17.975</v>
      </c>
      <c r="P22" s="29" t="n">
        <v>20.54285714285714</v>
      </c>
      <c r="Q22" s="29" t="n">
        <v>23.96666666666667</v>
      </c>
      <c r="R22" s="29" t="n">
        <v>28.76</v>
      </c>
      <c r="S22" s="29" t="n">
        <v>35.95</v>
      </c>
      <c r="T22" s="29" t="n">
        <v>47.93333333333334</v>
      </c>
      <c r="U22" s="29" t="n">
        <v>71.90000000000001</v>
      </c>
      <c r="V22" s="29" t="n">
        <v>143.8</v>
      </c>
      <c r="W22" s="29" t="n">
        <v>15.11</v>
      </c>
      <c r="X22" s="29" t="n">
        <v>15.90526315789474</v>
      </c>
      <c r="Y22" s="29" t="n">
        <v>16.78888888888889</v>
      </c>
      <c r="Z22" s="29" t="n">
        <v>17.77647058823529</v>
      </c>
      <c r="AA22" s="29" t="n">
        <v>18.8875</v>
      </c>
      <c r="AB22" s="29" t="n">
        <v>20.14666666666666</v>
      </c>
      <c r="AC22" s="29" t="n">
        <v>21.58571428571429</v>
      </c>
      <c r="AD22" s="29" t="n">
        <v>23.24615384615385</v>
      </c>
      <c r="AE22" s="29" t="n">
        <v>25.18333333333333</v>
      </c>
      <c r="AF22" s="29" t="n">
        <v>27.47272727272727</v>
      </c>
      <c r="AG22" s="29" t="n">
        <v>30.22</v>
      </c>
      <c r="AH22" s="29" t="n">
        <v>33.57777777777778</v>
      </c>
      <c r="AI22" s="29" t="n">
        <v>37.775</v>
      </c>
      <c r="AJ22" s="29" t="n">
        <v>43.17142857142857</v>
      </c>
      <c r="AK22" s="29" t="n">
        <v>50.36666666666667</v>
      </c>
      <c r="AL22" s="29" t="n">
        <v>60.44</v>
      </c>
      <c r="AM22" s="29" t="n">
        <v>75.55</v>
      </c>
      <c r="AN22" s="29" t="n">
        <v>100.7333333333333</v>
      </c>
      <c r="AO22" s="29" t="n">
        <v>151.1</v>
      </c>
      <c r="AP22" s="29" t="n">
        <v>302.2</v>
      </c>
    </row>
    <row r="23">
      <c r="A23" s="6" t="inlineStr">
        <is>
          <t>P17</t>
        </is>
      </c>
      <c r="B23" s="6" t="inlineStr">
        <is>
          <t>Karitel</t>
        </is>
      </c>
      <c r="C23" s="29" t="n">
        <v>5.94</v>
      </c>
      <c r="D23" s="29" t="n">
        <v>6.252631578947369</v>
      </c>
      <c r="E23" s="29" t="n">
        <v>6.600000000000001</v>
      </c>
      <c r="F23" s="29" t="n">
        <v>6.988235294117648</v>
      </c>
      <c r="G23" s="29" t="n">
        <v>7.425</v>
      </c>
      <c r="H23" s="29" t="n">
        <v>7.920000000000001</v>
      </c>
      <c r="I23" s="29" t="n">
        <v>8.485714285714288</v>
      </c>
      <c r="J23" s="29" t="n">
        <v>9.138461538461538</v>
      </c>
      <c r="K23" s="29" t="n">
        <v>9.9</v>
      </c>
      <c r="L23" s="29" t="n">
        <v>10.8</v>
      </c>
      <c r="M23" s="29" t="n">
        <v>11.88</v>
      </c>
      <c r="N23" s="29" t="n">
        <v>13.2</v>
      </c>
      <c r="O23" s="29" t="n">
        <v>14.85</v>
      </c>
      <c r="P23" s="29" t="n">
        <v>16.97142857142858</v>
      </c>
      <c r="Q23" s="29" t="n">
        <v>19.8</v>
      </c>
      <c r="R23" s="29" t="n">
        <v>23.76</v>
      </c>
      <c r="S23" s="29" t="n">
        <v>29.7</v>
      </c>
      <c r="T23" s="29" t="n">
        <v>39.6</v>
      </c>
      <c r="U23" s="29" t="n">
        <v>59.4</v>
      </c>
      <c r="V23" s="29" t="n">
        <v>118.8</v>
      </c>
      <c r="W23" s="29" t="n">
        <v>15.11</v>
      </c>
      <c r="X23" s="29" t="n">
        <v>15.90526315789474</v>
      </c>
      <c r="Y23" s="29" t="n">
        <v>16.78888888888889</v>
      </c>
      <c r="Z23" s="29" t="n">
        <v>17.77647058823529</v>
      </c>
      <c r="AA23" s="29" t="n">
        <v>18.8875</v>
      </c>
      <c r="AB23" s="29" t="n">
        <v>20.14666666666666</v>
      </c>
      <c r="AC23" s="29" t="n">
        <v>21.58571428571429</v>
      </c>
      <c r="AD23" s="29" t="n">
        <v>23.24615384615385</v>
      </c>
      <c r="AE23" s="29" t="n">
        <v>25.18333333333333</v>
      </c>
      <c r="AF23" s="29" t="n">
        <v>27.47272727272727</v>
      </c>
      <c r="AG23" s="29" t="n">
        <v>30.22</v>
      </c>
      <c r="AH23" s="29" t="n">
        <v>33.57777777777778</v>
      </c>
      <c r="AI23" s="29" t="n">
        <v>37.775</v>
      </c>
      <c r="AJ23" s="29" t="n">
        <v>43.17142857142857</v>
      </c>
      <c r="AK23" s="29" t="n">
        <v>50.36666666666667</v>
      </c>
      <c r="AL23" s="29" t="n">
        <v>60.44</v>
      </c>
      <c r="AM23" s="29" t="n">
        <v>75.55</v>
      </c>
      <c r="AN23" s="29" t="n">
        <v>100.7333333333333</v>
      </c>
      <c r="AO23" s="29" t="n">
        <v>151.1</v>
      </c>
      <c r="AP23" s="29" t="n">
        <v>302.2</v>
      </c>
    </row>
    <row r="24">
      <c r="A24" s="6" t="inlineStr">
        <is>
          <t>P18</t>
        </is>
      </c>
      <c r="B24" s="6" t="inlineStr">
        <is>
          <t>Karitel</t>
        </is>
      </c>
      <c r="C24" s="29" t="n">
        <v>6.58</v>
      </c>
      <c r="D24" s="29" t="n">
        <v>6.926315789473684</v>
      </c>
      <c r="E24" s="29" t="n">
        <v>7.311111111111111</v>
      </c>
      <c r="F24" s="29" t="n">
        <v>7.741176470588235</v>
      </c>
      <c r="G24" s="29" t="n">
        <v>8.225</v>
      </c>
      <c r="H24" s="29" t="n">
        <v>8.773333333333333</v>
      </c>
      <c r="I24" s="29" t="n">
        <v>9.4</v>
      </c>
      <c r="J24" s="29" t="n">
        <v>10.12307692307692</v>
      </c>
      <c r="K24" s="29" t="n">
        <v>10.96666666666667</v>
      </c>
      <c r="L24" s="29" t="n">
        <v>11.96363636363636</v>
      </c>
      <c r="M24" s="29" t="n">
        <v>13.16</v>
      </c>
      <c r="N24" s="29" t="n">
        <v>14.62222222222222</v>
      </c>
      <c r="O24" s="29" t="n">
        <v>16.45</v>
      </c>
      <c r="P24" s="29" t="n">
        <v>18.8</v>
      </c>
      <c r="Q24" s="29" t="n">
        <v>21.93333333333333</v>
      </c>
      <c r="R24" s="29" t="n">
        <v>26.32</v>
      </c>
      <c r="S24" s="29" t="n">
        <v>32.9</v>
      </c>
      <c r="T24" s="29" t="n">
        <v>43.86666666666667</v>
      </c>
      <c r="U24" s="29" t="n">
        <v>65.8</v>
      </c>
      <c r="V24" s="29" t="n">
        <v>131.6</v>
      </c>
      <c r="W24" s="29" t="n">
        <v>15.11</v>
      </c>
      <c r="X24" s="29" t="n">
        <v>15.90526315789474</v>
      </c>
      <c r="Y24" s="29" t="n">
        <v>16.78888888888889</v>
      </c>
      <c r="Z24" s="29" t="n">
        <v>17.77647058823529</v>
      </c>
      <c r="AA24" s="29" t="n">
        <v>18.8875</v>
      </c>
      <c r="AB24" s="29" t="n">
        <v>20.14666666666666</v>
      </c>
      <c r="AC24" s="29" t="n">
        <v>21.58571428571429</v>
      </c>
      <c r="AD24" s="29" t="n">
        <v>23.24615384615385</v>
      </c>
      <c r="AE24" s="29" t="n">
        <v>25.18333333333333</v>
      </c>
      <c r="AF24" s="29" t="n">
        <v>27.47272727272727</v>
      </c>
      <c r="AG24" s="29" t="n">
        <v>30.22</v>
      </c>
      <c r="AH24" s="29" t="n">
        <v>33.57777777777778</v>
      </c>
      <c r="AI24" s="29" t="n">
        <v>37.775</v>
      </c>
      <c r="AJ24" s="29" t="n">
        <v>43.17142857142857</v>
      </c>
      <c r="AK24" s="29" t="n">
        <v>50.36666666666667</v>
      </c>
      <c r="AL24" s="29" t="n">
        <v>60.44</v>
      </c>
      <c r="AM24" s="29" t="n">
        <v>75.55</v>
      </c>
      <c r="AN24" s="29" t="n">
        <v>100.7333333333333</v>
      </c>
      <c r="AO24" s="29" t="n">
        <v>151.1</v>
      </c>
      <c r="AP24" s="29" t="n">
        <v>302.2</v>
      </c>
    </row>
    <row r="25">
      <c r="A25" s="6" t="inlineStr">
        <is>
          <t>P19</t>
        </is>
      </c>
      <c r="B25" s="6" t="inlineStr">
        <is>
          <t>Karitel</t>
        </is>
      </c>
      <c r="C25" s="29" t="n">
        <v>6.3</v>
      </c>
      <c r="D25" s="29" t="n">
        <v>6.631578947368421</v>
      </c>
      <c r="E25" s="29" t="n">
        <v>7</v>
      </c>
      <c r="F25" s="29" t="n">
        <v>7.411764705882353</v>
      </c>
      <c r="G25" s="29" t="n">
        <v>7.874999999999999</v>
      </c>
      <c r="H25" s="29" t="n">
        <v>8.4</v>
      </c>
      <c r="I25" s="29" t="n">
        <v>9</v>
      </c>
      <c r="J25" s="29" t="n">
        <v>9.692307692307692</v>
      </c>
      <c r="K25" s="29" t="n">
        <v>10.5</v>
      </c>
      <c r="L25" s="29" t="n">
        <v>11.45454545454545</v>
      </c>
      <c r="M25" s="29" t="n">
        <v>12.6</v>
      </c>
      <c r="N25" s="29" t="n">
        <v>14</v>
      </c>
      <c r="O25" s="29" t="n">
        <v>15.75</v>
      </c>
      <c r="P25" s="29" t="n">
        <v>18</v>
      </c>
      <c r="Q25" s="29" t="n">
        <v>21</v>
      </c>
      <c r="R25" s="29" t="n">
        <v>25.2</v>
      </c>
      <c r="S25" s="29" t="n">
        <v>31.5</v>
      </c>
      <c r="T25" s="29" t="n">
        <v>42</v>
      </c>
      <c r="U25" s="29" t="n">
        <v>62.99999999999999</v>
      </c>
      <c r="V25" s="29" t="n">
        <v>126</v>
      </c>
      <c r="W25" s="29" t="n">
        <v>15.11</v>
      </c>
      <c r="X25" s="29" t="n">
        <v>15.90526315789474</v>
      </c>
      <c r="Y25" s="29" t="n">
        <v>16.78888888888889</v>
      </c>
      <c r="Z25" s="29" t="n">
        <v>17.77647058823529</v>
      </c>
      <c r="AA25" s="29" t="n">
        <v>18.8875</v>
      </c>
      <c r="AB25" s="29" t="n">
        <v>20.14666666666666</v>
      </c>
      <c r="AC25" s="29" t="n">
        <v>21.58571428571429</v>
      </c>
      <c r="AD25" s="29" t="n">
        <v>23.24615384615385</v>
      </c>
      <c r="AE25" s="29" t="n">
        <v>25.18333333333333</v>
      </c>
      <c r="AF25" s="29" t="n">
        <v>27.47272727272727</v>
      </c>
      <c r="AG25" s="29" t="n">
        <v>30.22</v>
      </c>
      <c r="AH25" s="29" t="n">
        <v>33.57777777777778</v>
      </c>
      <c r="AI25" s="29" t="n">
        <v>37.775</v>
      </c>
      <c r="AJ25" s="29" t="n">
        <v>43.17142857142857</v>
      </c>
      <c r="AK25" s="29" t="n">
        <v>50.36666666666667</v>
      </c>
      <c r="AL25" s="29" t="n">
        <v>60.44</v>
      </c>
      <c r="AM25" s="29" t="n">
        <v>75.55</v>
      </c>
      <c r="AN25" s="29" t="n">
        <v>100.7333333333333</v>
      </c>
      <c r="AO25" s="29" t="n">
        <v>151.1</v>
      </c>
      <c r="AP25" s="29" t="n">
        <v>302.2</v>
      </c>
    </row>
    <row r="26">
      <c r="A26" s="6" t="inlineStr">
        <is>
          <t>P20</t>
        </is>
      </c>
      <c r="B26" s="6" t="inlineStr">
        <is>
          <t>Karitel</t>
        </is>
      </c>
      <c r="C26" s="29" t="n">
        <v>7.21</v>
      </c>
      <c r="D26" s="29" t="n">
        <v>7.589473684210526</v>
      </c>
      <c r="E26" s="29" t="n">
        <v>8.011111111111111</v>
      </c>
      <c r="F26" s="29" t="n">
        <v>8.482352941176471</v>
      </c>
      <c r="G26" s="29" t="n">
        <v>9.012499999999999</v>
      </c>
      <c r="H26" s="29" t="n">
        <v>9.613333333333333</v>
      </c>
      <c r="I26" s="29" t="n">
        <v>10.3</v>
      </c>
      <c r="J26" s="29" t="n">
        <v>11.09230769230769</v>
      </c>
      <c r="K26" s="29" t="n">
        <v>12.01666666666667</v>
      </c>
      <c r="L26" s="29" t="n">
        <v>13.10909090909091</v>
      </c>
      <c r="M26" s="29" t="n">
        <v>14.42</v>
      </c>
      <c r="N26" s="29" t="n">
        <v>16.02222222222222</v>
      </c>
      <c r="O26" s="29" t="n">
        <v>18.025</v>
      </c>
      <c r="P26" s="29" t="n">
        <v>20.6</v>
      </c>
      <c r="Q26" s="29" t="n">
        <v>24.03333333333333</v>
      </c>
      <c r="R26" s="29" t="n">
        <v>28.84</v>
      </c>
      <c r="S26" s="29" t="n">
        <v>36.05</v>
      </c>
      <c r="T26" s="29" t="n">
        <v>48.06666666666667</v>
      </c>
      <c r="U26" s="29" t="n">
        <v>72.09999999999999</v>
      </c>
      <c r="V26" s="29" t="n">
        <v>144.2</v>
      </c>
      <c r="W26" s="29" t="n">
        <v>15.11</v>
      </c>
      <c r="X26" s="29" t="n">
        <v>15.90526315789474</v>
      </c>
      <c r="Y26" s="29" t="n">
        <v>16.78888888888889</v>
      </c>
      <c r="Z26" s="29" t="n">
        <v>17.77647058823529</v>
      </c>
      <c r="AA26" s="29" t="n">
        <v>18.8875</v>
      </c>
      <c r="AB26" s="29" t="n">
        <v>20.14666666666666</v>
      </c>
      <c r="AC26" s="29" t="n">
        <v>21.58571428571429</v>
      </c>
      <c r="AD26" s="29" t="n">
        <v>23.24615384615385</v>
      </c>
      <c r="AE26" s="29" t="n">
        <v>25.18333333333333</v>
      </c>
      <c r="AF26" s="29" t="n">
        <v>27.47272727272727</v>
      </c>
      <c r="AG26" s="29" t="n">
        <v>30.22</v>
      </c>
      <c r="AH26" s="29" t="n">
        <v>33.57777777777778</v>
      </c>
      <c r="AI26" s="29" t="n">
        <v>37.775</v>
      </c>
      <c r="AJ26" s="29" t="n">
        <v>43.17142857142857</v>
      </c>
      <c r="AK26" s="29" t="n">
        <v>50.36666666666667</v>
      </c>
      <c r="AL26" s="29" t="n">
        <v>60.44</v>
      </c>
      <c r="AM26" s="29" t="n">
        <v>75.55</v>
      </c>
      <c r="AN26" s="29" t="n">
        <v>100.7333333333333</v>
      </c>
      <c r="AO26" s="29" t="n">
        <v>151.1</v>
      </c>
      <c r="AP26" s="29" t="n">
        <v>302.2</v>
      </c>
    </row>
    <row r="27">
      <c r="A27" s="6" t="inlineStr">
        <is>
          <t>P21</t>
        </is>
      </c>
      <c r="B27" s="6" t="inlineStr">
        <is>
          <t>Karitel</t>
        </is>
      </c>
      <c r="C27" s="29" t="n">
        <v>6.93</v>
      </c>
      <c r="D27" s="29" t="n">
        <v>7.294736842105263</v>
      </c>
      <c r="E27" s="29" t="n">
        <v>7.699999999999999</v>
      </c>
      <c r="F27" s="29" t="n">
        <v>8.152941176470588</v>
      </c>
      <c r="G27" s="29" t="n">
        <v>8.6625</v>
      </c>
      <c r="H27" s="29" t="n">
        <v>9.24</v>
      </c>
      <c r="I27" s="29" t="n">
        <v>9.9</v>
      </c>
      <c r="J27" s="29" t="n">
        <v>10.66153846153846</v>
      </c>
      <c r="K27" s="29" t="n">
        <v>11.55</v>
      </c>
      <c r="L27" s="29" t="n">
        <v>12.6</v>
      </c>
      <c r="M27" s="29" t="n">
        <v>13.86</v>
      </c>
      <c r="N27" s="29" t="n">
        <v>15.4</v>
      </c>
      <c r="O27" s="29" t="n">
        <v>17.325</v>
      </c>
      <c r="P27" s="29" t="n">
        <v>19.8</v>
      </c>
      <c r="Q27" s="29" t="n">
        <v>23.1</v>
      </c>
      <c r="R27" s="29" t="n">
        <v>27.72</v>
      </c>
      <c r="S27" s="29" t="n">
        <v>34.65</v>
      </c>
      <c r="T27" s="29" t="n">
        <v>46.2</v>
      </c>
      <c r="U27" s="29" t="n">
        <v>69.3</v>
      </c>
      <c r="V27" s="29" t="n">
        <v>138.6</v>
      </c>
      <c r="W27" s="29" t="n">
        <v>15.11</v>
      </c>
      <c r="X27" s="29" t="n">
        <v>15.90526315789474</v>
      </c>
      <c r="Y27" s="29" t="n">
        <v>16.78888888888889</v>
      </c>
      <c r="Z27" s="29" t="n">
        <v>17.77647058823529</v>
      </c>
      <c r="AA27" s="29" t="n">
        <v>18.8875</v>
      </c>
      <c r="AB27" s="29" t="n">
        <v>20.14666666666666</v>
      </c>
      <c r="AC27" s="29" t="n">
        <v>21.58571428571429</v>
      </c>
      <c r="AD27" s="29" t="n">
        <v>23.24615384615385</v>
      </c>
      <c r="AE27" s="29" t="n">
        <v>25.18333333333333</v>
      </c>
      <c r="AF27" s="29" t="n">
        <v>27.47272727272727</v>
      </c>
      <c r="AG27" s="29" t="n">
        <v>30.22</v>
      </c>
      <c r="AH27" s="29" t="n">
        <v>33.57777777777778</v>
      </c>
      <c r="AI27" s="29" t="n">
        <v>37.775</v>
      </c>
      <c r="AJ27" s="29" t="n">
        <v>43.17142857142857</v>
      </c>
      <c r="AK27" s="29" t="n">
        <v>50.36666666666667</v>
      </c>
      <c r="AL27" s="29" t="n">
        <v>60.44</v>
      </c>
      <c r="AM27" s="29" t="n">
        <v>75.55</v>
      </c>
      <c r="AN27" s="29" t="n">
        <v>100.7333333333333</v>
      </c>
      <c r="AO27" s="29" t="n">
        <v>151.1</v>
      </c>
      <c r="AP27" s="29" t="n">
        <v>302.2</v>
      </c>
    </row>
    <row r="28">
      <c r="A28" s="6" t="inlineStr">
        <is>
          <t>P22</t>
        </is>
      </c>
      <c r="B28" s="6" t="inlineStr">
        <is>
          <t>Karitel</t>
        </is>
      </c>
      <c r="C28" s="29" t="n">
        <v>4.62</v>
      </c>
      <c r="D28" s="29" t="n">
        <v>4.863157894736842</v>
      </c>
      <c r="E28" s="29" t="n">
        <v>5.133333333333334</v>
      </c>
      <c r="F28" s="29" t="n">
        <v>5.435294117647059</v>
      </c>
      <c r="G28" s="29" t="n">
        <v>5.774999999999999</v>
      </c>
      <c r="H28" s="29" t="n">
        <v>6.16</v>
      </c>
      <c r="I28" s="29" t="n">
        <v>6.600000000000001</v>
      </c>
      <c r="J28" s="29" t="n">
        <v>7.107692307692307</v>
      </c>
      <c r="K28" s="29" t="n">
        <v>7.7</v>
      </c>
      <c r="L28" s="29" t="n">
        <v>8.4</v>
      </c>
      <c r="M28" s="29" t="n">
        <v>9.24</v>
      </c>
      <c r="N28" s="29" t="n">
        <v>10.26666666666667</v>
      </c>
      <c r="O28" s="29" t="n">
        <v>11.55</v>
      </c>
      <c r="P28" s="29" t="n">
        <v>13.2</v>
      </c>
      <c r="Q28" s="29" t="n">
        <v>15.4</v>
      </c>
      <c r="R28" s="29" t="n">
        <v>18.48</v>
      </c>
      <c r="S28" s="29" t="n">
        <v>23.1</v>
      </c>
      <c r="T28" s="29" t="n">
        <v>30.8</v>
      </c>
      <c r="U28" s="29" t="n">
        <v>46.2</v>
      </c>
      <c r="V28" s="29" t="n">
        <v>92.39999999999999</v>
      </c>
      <c r="W28" s="29" t="n">
        <v>15.11</v>
      </c>
      <c r="X28" s="29" t="n">
        <v>15.90526315789474</v>
      </c>
      <c r="Y28" s="29" t="n">
        <v>16.78888888888889</v>
      </c>
      <c r="Z28" s="29" t="n">
        <v>17.77647058823529</v>
      </c>
      <c r="AA28" s="29" t="n">
        <v>18.8875</v>
      </c>
      <c r="AB28" s="29" t="n">
        <v>20.14666666666666</v>
      </c>
      <c r="AC28" s="29" t="n">
        <v>21.58571428571429</v>
      </c>
      <c r="AD28" s="29" t="n">
        <v>23.24615384615385</v>
      </c>
      <c r="AE28" s="29" t="n">
        <v>25.18333333333333</v>
      </c>
      <c r="AF28" s="29" t="n">
        <v>27.47272727272727</v>
      </c>
      <c r="AG28" s="29" t="n">
        <v>30.22</v>
      </c>
      <c r="AH28" s="29" t="n">
        <v>33.57777777777778</v>
      </c>
      <c r="AI28" s="29" t="n">
        <v>37.775</v>
      </c>
      <c r="AJ28" s="29" t="n">
        <v>43.17142857142857</v>
      </c>
      <c r="AK28" s="29" t="n">
        <v>50.36666666666667</v>
      </c>
      <c r="AL28" s="29" t="n">
        <v>60.44</v>
      </c>
      <c r="AM28" s="29" t="n">
        <v>75.55</v>
      </c>
      <c r="AN28" s="29" t="n">
        <v>100.7333333333333</v>
      </c>
      <c r="AO28" s="29" t="n">
        <v>151.1</v>
      </c>
      <c r="AP28" s="29" t="n">
        <v>302.2</v>
      </c>
    </row>
    <row r="29">
      <c r="A29" s="6" t="inlineStr">
        <is>
          <t>P23</t>
        </is>
      </c>
      <c r="B29" s="6" t="inlineStr">
        <is>
          <t>Karitel</t>
        </is>
      </c>
      <c r="C29" s="29" t="n">
        <v>5.7</v>
      </c>
      <c r="D29" s="29" t="n">
        <v>6.000000000000001</v>
      </c>
      <c r="E29" s="29" t="n">
        <v>6.333333333333333</v>
      </c>
      <c r="F29" s="29" t="n">
        <v>6.705882352941177</v>
      </c>
      <c r="G29" s="29" t="n">
        <v>7.125</v>
      </c>
      <c r="H29" s="29" t="n">
        <v>7.600000000000001</v>
      </c>
      <c r="I29" s="29" t="n">
        <v>8.142857142857144</v>
      </c>
      <c r="J29" s="29" t="n">
        <v>8.76923076923077</v>
      </c>
      <c r="K29" s="29" t="n">
        <v>9.5</v>
      </c>
      <c r="L29" s="29" t="n">
        <v>10.36363636363636</v>
      </c>
      <c r="M29" s="29" t="n">
        <v>11.4</v>
      </c>
      <c r="N29" s="29" t="n">
        <v>12.66666666666667</v>
      </c>
      <c r="O29" s="29" t="n">
        <v>14.25</v>
      </c>
      <c r="P29" s="29" t="n">
        <v>16.28571428571429</v>
      </c>
      <c r="Q29" s="29" t="n">
        <v>19</v>
      </c>
      <c r="R29" s="29" t="n">
        <v>22.8</v>
      </c>
      <c r="S29" s="29" t="n">
        <v>28.5</v>
      </c>
      <c r="T29" s="29" t="n">
        <v>38</v>
      </c>
      <c r="U29" s="29" t="n">
        <v>57</v>
      </c>
      <c r="V29" s="29" t="n">
        <v>114</v>
      </c>
      <c r="W29" s="29" t="n">
        <v>15.11</v>
      </c>
      <c r="X29" s="29" t="n">
        <v>15.90526315789474</v>
      </c>
      <c r="Y29" s="29" t="n">
        <v>16.78888888888889</v>
      </c>
      <c r="Z29" s="29" t="n">
        <v>17.77647058823529</v>
      </c>
      <c r="AA29" s="29" t="n">
        <v>18.8875</v>
      </c>
      <c r="AB29" s="29" t="n">
        <v>20.14666666666666</v>
      </c>
      <c r="AC29" s="29" t="n">
        <v>21.58571428571429</v>
      </c>
      <c r="AD29" s="29" t="n">
        <v>23.24615384615385</v>
      </c>
      <c r="AE29" s="29" t="n">
        <v>25.18333333333333</v>
      </c>
      <c r="AF29" s="29" t="n">
        <v>27.47272727272727</v>
      </c>
      <c r="AG29" s="29" t="n">
        <v>30.22</v>
      </c>
      <c r="AH29" s="29" t="n">
        <v>33.57777777777778</v>
      </c>
      <c r="AI29" s="29" t="n">
        <v>37.775</v>
      </c>
      <c r="AJ29" s="29" t="n">
        <v>43.17142857142857</v>
      </c>
      <c r="AK29" s="29" t="n">
        <v>50.36666666666667</v>
      </c>
      <c r="AL29" s="29" t="n">
        <v>60.44</v>
      </c>
      <c r="AM29" s="29" t="n">
        <v>75.55</v>
      </c>
      <c r="AN29" s="29" t="n">
        <v>100.7333333333333</v>
      </c>
      <c r="AO29" s="29" t="n">
        <v>151.1</v>
      </c>
      <c r="AP29" s="29" t="n">
        <v>302.2</v>
      </c>
    </row>
    <row r="30">
      <c r="A30" s="6" t="inlineStr">
        <is>
          <t>P24</t>
        </is>
      </c>
      <c r="B30" s="6" t="inlineStr">
        <is>
          <t>Karitel</t>
        </is>
      </c>
      <c r="C30" s="29" t="n">
        <v>6.79</v>
      </c>
      <c r="D30" s="29" t="n">
        <v>7.147368421052632</v>
      </c>
      <c r="E30" s="29" t="n">
        <v>7.544444444444444</v>
      </c>
      <c r="F30" s="29" t="n">
        <v>7.988235294117647</v>
      </c>
      <c r="G30" s="29" t="n">
        <v>8.487499999999999</v>
      </c>
      <c r="H30" s="29" t="n">
        <v>9.053333333333333</v>
      </c>
      <c r="I30" s="29" t="n">
        <v>9.700000000000001</v>
      </c>
      <c r="J30" s="29" t="n">
        <v>10.44615384615385</v>
      </c>
      <c r="K30" s="29" t="n">
        <v>11.31666666666667</v>
      </c>
      <c r="L30" s="29" t="n">
        <v>12.34545454545454</v>
      </c>
      <c r="M30" s="29" t="n">
        <v>13.58</v>
      </c>
      <c r="N30" s="29" t="n">
        <v>15.08888888888889</v>
      </c>
      <c r="O30" s="29" t="n">
        <v>16.975</v>
      </c>
      <c r="P30" s="29" t="n">
        <v>19.4</v>
      </c>
      <c r="Q30" s="29" t="n">
        <v>22.63333333333333</v>
      </c>
      <c r="R30" s="29" t="n">
        <v>27.16</v>
      </c>
      <c r="S30" s="29" t="n">
        <v>33.95</v>
      </c>
      <c r="T30" s="29" t="n">
        <v>45.26666666666667</v>
      </c>
      <c r="U30" s="29" t="n">
        <v>67.89999999999999</v>
      </c>
      <c r="V30" s="29" t="n">
        <v>135.8</v>
      </c>
      <c r="W30" s="29" t="n">
        <v>15.11</v>
      </c>
      <c r="X30" s="29" t="n">
        <v>15.90526315789474</v>
      </c>
      <c r="Y30" s="29" t="n">
        <v>16.78888888888889</v>
      </c>
      <c r="Z30" s="29" t="n">
        <v>17.77647058823529</v>
      </c>
      <c r="AA30" s="29" t="n">
        <v>18.8875</v>
      </c>
      <c r="AB30" s="29" t="n">
        <v>20.14666666666666</v>
      </c>
      <c r="AC30" s="29" t="n">
        <v>21.58571428571429</v>
      </c>
      <c r="AD30" s="29" t="n">
        <v>23.24615384615385</v>
      </c>
      <c r="AE30" s="29" t="n">
        <v>25.18333333333333</v>
      </c>
      <c r="AF30" s="29" t="n">
        <v>27.47272727272727</v>
      </c>
      <c r="AG30" s="29" t="n">
        <v>30.22</v>
      </c>
      <c r="AH30" s="29" t="n">
        <v>33.57777777777778</v>
      </c>
      <c r="AI30" s="29" t="n">
        <v>37.775</v>
      </c>
      <c r="AJ30" s="29" t="n">
        <v>43.17142857142857</v>
      </c>
      <c r="AK30" s="29" t="n">
        <v>50.36666666666667</v>
      </c>
      <c r="AL30" s="29" t="n">
        <v>60.44</v>
      </c>
      <c r="AM30" s="29" t="n">
        <v>75.55</v>
      </c>
      <c r="AN30" s="29" t="n">
        <v>100.7333333333333</v>
      </c>
      <c r="AO30" s="29" t="n">
        <v>151.1</v>
      </c>
      <c r="AP30" s="29" t="n">
        <v>302.2</v>
      </c>
    </row>
    <row r="31">
      <c r="A31" s="6" t="inlineStr">
        <is>
          <t>P25</t>
        </is>
      </c>
      <c r="B31" s="6" t="inlineStr">
        <is>
          <t>Karitel</t>
        </is>
      </c>
      <c r="C31" s="29" t="n">
        <v>5.8</v>
      </c>
      <c r="D31" s="29" t="n">
        <v>6.105263157894737</v>
      </c>
      <c r="E31" s="29" t="n">
        <v>6.444444444444444</v>
      </c>
      <c r="F31" s="29" t="n">
        <v>6.823529411764706</v>
      </c>
      <c r="G31" s="29" t="n">
        <v>7.249999999999999</v>
      </c>
      <c r="H31" s="29" t="n">
        <v>7.733333333333333</v>
      </c>
      <c r="I31" s="29" t="n">
        <v>8.285714285714286</v>
      </c>
      <c r="J31" s="29" t="n">
        <v>8.923076923076923</v>
      </c>
      <c r="K31" s="29" t="n">
        <v>9.666666666666666</v>
      </c>
      <c r="L31" s="29" t="n">
        <v>10.54545454545454</v>
      </c>
      <c r="M31" s="29" t="n">
        <v>11.6</v>
      </c>
      <c r="N31" s="29" t="n">
        <v>12.88888888888889</v>
      </c>
      <c r="O31" s="29" t="n">
        <v>14.5</v>
      </c>
      <c r="P31" s="29" t="n">
        <v>16.57142857142857</v>
      </c>
      <c r="Q31" s="29" t="n">
        <v>19.33333333333333</v>
      </c>
      <c r="R31" s="29" t="n">
        <v>23.2</v>
      </c>
      <c r="S31" s="29" t="n">
        <v>29</v>
      </c>
      <c r="T31" s="29" t="n">
        <v>38.66666666666666</v>
      </c>
      <c r="U31" s="29" t="n">
        <v>57.99999999999999</v>
      </c>
      <c r="V31" s="29" t="n">
        <v>116</v>
      </c>
      <c r="W31" s="29" t="n">
        <v>12.17</v>
      </c>
      <c r="X31" s="29" t="n">
        <v>12.81052631578947</v>
      </c>
      <c r="Y31" s="29" t="n">
        <v>13.52222222222222</v>
      </c>
      <c r="Z31" s="29" t="n">
        <v>14.31764705882353</v>
      </c>
      <c r="AA31" s="29" t="n">
        <v>15.2125</v>
      </c>
      <c r="AB31" s="29" t="n">
        <v>16.22666666666667</v>
      </c>
      <c r="AC31" s="29" t="n">
        <v>17.38571428571429</v>
      </c>
      <c r="AD31" s="29" t="n">
        <v>18.72307692307692</v>
      </c>
      <c r="AE31" s="29" t="n">
        <v>20.28333333333333</v>
      </c>
      <c r="AF31" s="29" t="n">
        <v>22.12727272727273</v>
      </c>
      <c r="AG31" s="29" t="n">
        <v>24.34</v>
      </c>
      <c r="AH31" s="29" t="n">
        <v>27.04444444444444</v>
      </c>
      <c r="AI31" s="29" t="n">
        <v>30.425</v>
      </c>
      <c r="AJ31" s="29" t="n">
        <v>34.77142857142857</v>
      </c>
      <c r="AK31" s="29" t="n">
        <v>40.56666666666667</v>
      </c>
      <c r="AL31" s="29" t="n">
        <v>48.68</v>
      </c>
      <c r="AM31" s="29" t="n">
        <v>60.84999999999999</v>
      </c>
      <c r="AN31" s="29" t="n">
        <v>81.13333333333334</v>
      </c>
      <c r="AO31" s="29" t="n">
        <v>121.7</v>
      </c>
      <c r="AP31" s="29" t="n">
        <v>243.4</v>
      </c>
    </row>
    <row r="32">
      <c r="A32" s="6" t="inlineStr">
        <is>
          <t>P26</t>
        </is>
      </c>
      <c r="B32" s="6" t="inlineStr">
        <is>
          <t>Karitel</t>
        </is>
      </c>
      <c r="C32" s="29" t="n">
        <v>5.46</v>
      </c>
      <c r="D32" s="29" t="n">
        <v>5.747368421052632</v>
      </c>
      <c r="E32" s="29" t="n">
        <v>6.066666666666666</v>
      </c>
      <c r="F32" s="29" t="n">
        <v>6.423529411764706</v>
      </c>
      <c r="G32" s="29" t="n">
        <v>6.824999999999999</v>
      </c>
      <c r="H32" s="29" t="n">
        <v>7.28</v>
      </c>
      <c r="I32" s="29" t="n">
        <v>7.800000000000001</v>
      </c>
      <c r="J32" s="29" t="n">
        <v>8.4</v>
      </c>
      <c r="K32" s="29" t="n">
        <v>9.1</v>
      </c>
      <c r="L32" s="29" t="n">
        <v>9.927272727272726</v>
      </c>
      <c r="M32" s="29" t="n">
        <v>10.92</v>
      </c>
      <c r="N32" s="29" t="n">
        <v>12.13333333333333</v>
      </c>
      <c r="O32" s="29" t="n">
        <v>13.65</v>
      </c>
      <c r="P32" s="29" t="n">
        <v>15.6</v>
      </c>
      <c r="Q32" s="29" t="n">
        <v>18.2</v>
      </c>
      <c r="R32" s="29" t="n">
        <v>21.84</v>
      </c>
      <c r="S32" s="29" t="n">
        <v>27.3</v>
      </c>
      <c r="T32" s="29" t="n">
        <v>36.4</v>
      </c>
      <c r="U32" s="29" t="n">
        <v>54.59999999999999</v>
      </c>
      <c r="V32" s="29" t="n">
        <v>109.2</v>
      </c>
      <c r="W32" s="29" t="n">
        <v>15.11</v>
      </c>
      <c r="X32" s="29" t="n">
        <v>15.90526315789474</v>
      </c>
      <c r="Y32" s="29" t="n">
        <v>16.78888888888889</v>
      </c>
      <c r="Z32" s="29" t="n">
        <v>17.77647058823529</v>
      </c>
      <c r="AA32" s="29" t="n">
        <v>18.8875</v>
      </c>
      <c r="AB32" s="29" t="n">
        <v>20.14666666666666</v>
      </c>
      <c r="AC32" s="29" t="n">
        <v>21.58571428571429</v>
      </c>
      <c r="AD32" s="29" t="n">
        <v>23.24615384615385</v>
      </c>
      <c r="AE32" s="29" t="n">
        <v>25.18333333333333</v>
      </c>
      <c r="AF32" s="29" t="n">
        <v>27.47272727272727</v>
      </c>
      <c r="AG32" s="29" t="n">
        <v>30.22</v>
      </c>
      <c r="AH32" s="29" t="n">
        <v>33.57777777777778</v>
      </c>
      <c r="AI32" s="29" t="n">
        <v>37.775</v>
      </c>
      <c r="AJ32" s="29" t="n">
        <v>43.17142857142857</v>
      </c>
      <c r="AK32" s="29" t="n">
        <v>50.36666666666667</v>
      </c>
      <c r="AL32" s="29" t="n">
        <v>60.44</v>
      </c>
      <c r="AM32" s="29" t="n">
        <v>75.55</v>
      </c>
      <c r="AN32" s="29" t="n">
        <v>100.7333333333333</v>
      </c>
      <c r="AO32" s="29" t="n">
        <v>151.1</v>
      </c>
      <c r="AP32" s="29" t="n">
        <v>302.2</v>
      </c>
    </row>
    <row r="33">
      <c r="A33" s="6" t="inlineStr">
        <is>
          <t>P27</t>
        </is>
      </c>
      <c r="B33" s="6" t="inlineStr">
        <is>
          <t>Karitel</t>
        </is>
      </c>
      <c r="C33" s="29" t="n">
        <v>4.4</v>
      </c>
      <c r="D33" s="29" t="n">
        <v>4.631578947368421</v>
      </c>
      <c r="E33" s="29" t="n">
        <v>4.888888888888889</v>
      </c>
      <c r="F33" s="29" t="n">
        <v>5.176470588235294</v>
      </c>
      <c r="G33" s="29" t="n">
        <v>5.5</v>
      </c>
      <c r="H33" s="29" t="n">
        <v>5.866666666666667</v>
      </c>
      <c r="I33" s="29" t="n">
        <v>6.285714285714286</v>
      </c>
      <c r="J33" s="29" t="n">
        <v>6.769230769230769</v>
      </c>
      <c r="K33" s="29" t="n">
        <v>7.333333333333334</v>
      </c>
      <c r="L33" s="29" t="n">
        <v>8</v>
      </c>
      <c r="M33" s="29" t="n">
        <v>8.800000000000001</v>
      </c>
      <c r="N33" s="29" t="n">
        <v>9.777777777777779</v>
      </c>
      <c r="O33" s="29" t="n">
        <v>11</v>
      </c>
      <c r="P33" s="29" t="n">
        <v>12.57142857142857</v>
      </c>
      <c r="Q33" s="29" t="n">
        <v>14.66666666666667</v>
      </c>
      <c r="R33" s="29" t="n">
        <v>17.6</v>
      </c>
      <c r="S33" s="29" t="n">
        <v>22</v>
      </c>
      <c r="T33" s="29" t="n">
        <v>29.33333333333334</v>
      </c>
      <c r="U33" s="29" t="n">
        <v>44</v>
      </c>
      <c r="V33" s="29" t="n">
        <v>88</v>
      </c>
      <c r="W33" s="29" t="n">
        <v>12.17</v>
      </c>
      <c r="X33" s="29" t="n">
        <v>12.81052631578947</v>
      </c>
      <c r="Y33" s="29" t="n">
        <v>13.52222222222222</v>
      </c>
      <c r="Z33" s="29" t="n">
        <v>14.31764705882353</v>
      </c>
      <c r="AA33" s="29" t="n">
        <v>15.2125</v>
      </c>
      <c r="AB33" s="29" t="n">
        <v>16.22666666666667</v>
      </c>
      <c r="AC33" s="29" t="n">
        <v>17.38571428571429</v>
      </c>
      <c r="AD33" s="29" t="n">
        <v>18.72307692307692</v>
      </c>
      <c r="AE33" s="29" t="n">
        <v>20.28333333333333</v>
      </c>
      <c r="AF33" s="29" t="n">
        <v>22.12727272727273</v>
      </c>
      <c r="AG33" s="29" t="n">
        <v>24.34</v>
      </c>
      <c r="AH33" s="29" t="n">
        <v>27.04444444444444</v>
      </c>
      <c r="AI33" s="29" t="n">
        <v>30.425</v>
      </c>
      <c r="AJ33" s="29" t="n">
        <v>34.77142857142857</v>
      </c>
      <c r="AK33" s="29" t="n">
        <v>40.56666666666667</v>
      </c>
      <c r="AL33" s="29" t="n">
        <v>48.68</v>
      </c>
      <c r="AM33" s="29" t="n">
        <v>60.84999999999999</v>
      </c>
      <c r="AN33" s="29" t="n">
        <v>81.13333333333334</v>
      </c>
      <c r="AO33" s="29" t="n">
        <v>121.7</v>
      </c>
      <c r="AP33" s="29" t="n">
        <v>243.4</v>
      </c>
    </row>
    <row r="34">
      <c r="A34" s="6" t="inlineStr">
        <is>
          <t>P28</t>
        </is>
      </c>
      <c r="B34" s="6" t="inlineStr">
        <is>
          <t>Karitel</t>
        </is>
      </c>
      <c r="C34" s="29" t="n">
        <v>6.435</v>
      </c>
      <c r="D34" s="29" t="n">
        <v>6.773684210526316</v>
      </c>
      <c r="E34" s="29" t="n">
        <v>7.149999999999999</v>
      </c>
      <c r="F34" s="29" t="n">
        <v>7.570588235294117</v>
      </c>
      <c r="G34" s="29" t="n">
        <v>8.043749999999999</v>
      </c>
      <c r="H34" s="29" t="n">
        <v>8.58</v>
      </c>
      <c r="I34" s="29" t="n">
        <v>9.192857142857143</v>
      </c>
      <c r="J34" s="29" t="n">
        <v>9.899999999999999</v>
      </c>
      <c r="K34" s="29" t="n">
        <v>10.725</v>
      </c>
      <c r="L34" s="29" t="n">
        <v>11.7</v>
      </c>
      <c r="M34" s="29" t="n">
        <v>12.87</v>
      </c>
      <c r="N34" s="29" t="n">
        <v>14.3</v>
      </c>
      <c r="O34" s="29" t="n">
        <v>16.0875</v>
      </c>
      <c r="P34" s="29" t="n">
        <v>18.38571428571429</v>
      </c>
      <c r="Q34" s="29" t="n">
        <v>21.45</v>
      </c>
      <c r="R34" s="29" t="n">
        <v>25.74</v>
      </c>
      <c r="S34" s="29" t="n">
        <v>32.175</v>
      </c>
      <c r="T34" s="29" t="n">
        <v>42.9</v>
      </c>
      <c r="U34" s="29" t="n">
        <v>64.34999999999999</v>
      </c>
      <c r="V34" s="29" t="n">
        <v>128.7</v>
      </c>
      <c r="W34" s="29" t="n">
        <v>14.13</v>
      </c>
      <c r="X34" s="29" t="n">
        <v>14.87368421052632</v>
      </c>
      <c r="Y34" s="29" t="n">
        <v>15.7</v>
      </c>
      <c r="Z34" s="29" t="n">
        <v>16.62352941176471</v>
      </c>
      <c r="AA34" s="29" t="n">
        <v>17.6625</v>
      </c>
      <c r="AB34" s="29" t="n">
        <v>18.84</v>
      </c>
      <c r="AC34" s="29" t="n">
        <v>20.18571428571429</v>
      </c>
      <c r="AD34" s="29" t="n">
        <v>21.73846153846154</v>
      </c>
      <c r="AE34" s="29" t="n">
        <v>23.55</v>
      </c>
      <c r="AF34" s="29" t="n">
        <v>25.69090909090909</v>
      </c>
      <c r="AG34" s="29" t="n">
        <v>28.26</v>
      </c>
      <c r="AH34" s="29" t="n">
        <v>31.4</v>
      </c>
      <c r="AI34" s="29" t="n">
        <v>35.325</v>
      </c>
      <c r="AJ34" s="29" t="n">
        <v>40.37142857142857</v>
      </c>
      <c r="AK34" s="29" t="n">
        <v>47.1</v>
      </c>
      <c r="AL34" s="29" t="n">
        <v>56.52</v>
      </c>
      <c r="AM34" s="29" t="n">
        <v>70.65000000000001</v>
      </c>
      <c r="AN34" s="29" t="n">
        <v>94.2</v>
      </c>
      <c r="AO34" s="29" t="n">
        <v>141.3</v>
      </c>
      <c r="AP34" s="29" t="n">
        <v>282.6</v>
      </c>
    </row>
    <row r="35">
      <c r="A35" s="6" t="inlineStr">
        <is>
          <t>P29</t>
        </is>
      </c>
      <c r="B35" s="6" t="inlineStr">
        <is>
          <t>Karitel</t>
        </is>
      </c>
      <c r="C35" s="29" t="n">
        <v>5.14</v>
      </c>
      <c r="D35" s="29" t="n">
        <v>5.410526315789474</v>
      </c>
      <c r="E35" s="29" t="n">
        <v>5.71111111111111</v>
      </c>
      <c r="F35" s="29" t="n">
        <v>6.047058823529412</v>
      </c>
      <c r="G35" s="29" t="n">
        <v>6.424999999999999</v>
      </c>
      <c r="H35" s="29" t="n">
        <v>6.853333333333333</v>
      </c>
      <c r="I35" s="29" t="n">
        <v>7.342857142857143</v>
      </c>
      <c r="J35" s="29" t="n">
        <v>7.907692307692307</v>
      </c>
      <c r="K35" s="29" t="n">
        <v>8.566666666666666</v>
      </c>
      <c r="L35" s="29" t="n">
        <v>9.345454545454544</v>
      </c>
      <c r="M35" s="29" t="n">
        <v>10.28</v>
      </c>
      <c r="N35" s="29" t="n">
        <v>11.42222222222222</v>
      </c>
      <c r="O35" s="29" t="n">
        <v>12.85</v>
      </c>
      <c r="P35" s="29" t="n">
        <v>14.68571428571429</v>
      </c>
      <c r="Q35" s="29" t="n">
        <v>17.13333333333333</v>
      </c>
      <c r="R35" s="29" t="n">
        <v>20.56</v>
      </c>
      <c r="S35" s="29" t="n">
        <v>25.7</v>
      </c>
      <c r="T35" s="29" t="n">
        <v>34.26666666666667</v>
      </c>
      <c r="U35" s="29" t="n">
        <v>51.39999999999999</v>
      </c>
      <c r="V35" s="29" t="n">
        <v>102.8</v>
      </c>
      <c r="W35" s="29" t="n">
        <v>10.79</v>
      </c>
      <c r="X35" s="29" t="n">
        <v>11.35789473684211</v>
      </c>
      <c r="Y35" s="29" t="n">
        <v>11.98888888888889</v>
      </c>
      <c r="Z35" s="29" t="n">
        <v>12.69411764705882</v>
      </c>
      <c r="AA35" s="29" t="n">
        <v>13.4875</v>
      </c>
      <c r="AB35" s="29" t="n">
        <v>14.38666666666666</v>
      </c>
      <c r="AC35" s="29" t="n">
        <v>15.41428571428571</v>
      </c>
      <c r="AD35" s="29" t="n">
        <v>16.6</v>
      </c>
      <c r="AE35" s="29" t="n">
        <v>17.98333333333333</v>
      </c>
      <c r="AF35" s="29" t="n">
        <v>19.61818181818181</v>
      </c>
      <c r="AG35" s="29" t="n">
        <v>21.58</v>
      </c>
      <c r="AH35" s="29" t="n">
        <v>23.97777777777777</v>
      </c>
      <c r="AI35" s="29" t="n">
        <v>26.975</v>
      </c>
      <c r="AJ35" s="29" t="n">
        <v>30.82857142857143</v>
      </c>
      <c r="AK35" s="29" t="n">
        <v>35.96666666666667</v>
      </c>
      <c r="AL35" s="29" t="n">
        <v>43.16</v>
      </c>
      <c r="AM35" s="29" t="n">
        <v>53.95</v>
      </c>
      <c r="AN35" s="29" t="n">
        <v>71.93333333333334</v>
      </c>
      <c r="AO35" s="29" t="n">
        <v>107.9</v>
      </c>
      <c r="AP35" s="29" t="n">
        <v>215.8</v>
      </c>
    </row>
    <row r="36">
      <c r="A36" s="6" t="inlineStr">
        <is>
          <t>P30</t>
        </is>
      </c>
      <c r="B36" s="6" t="inlineStr">
        <is>
          <t>Karitel</t>
        </is>
      </c>
      <c r="C36" s="29" t="n">
        <v>6.36</v>
      </c>
      <c r="D36" s="29" t="n">
        <v>6.694736842105264</v>
      </c>
      <c r="E36" s="29" t="n">
        <v>7.066666666666666</v>
      </c>
      <c r="F36" s="29" t="n">
        <v>7.482352941176472</v>
      </c>
      <c r="G36" s="29" t="n">
        <v>7.95</v>
      </c>
      <c r="H36" s="29" t="n">
        <v>8.48</v>
      </c>
      <c r="I36" s="29" t="n">
        <v>9.085714285714287</v>
      </c>
      <c r="J36" s="29" t="n">
        <v>9.784615384615385</v>
      </c>
      <c r="K36" s="29" t="n">
        <v>10.6</v>
      </c>
      <c r="L36" s="29" t="n">
        <v>11.56363636363636</v>
      </c>
      <c r="M36" s="29" t="n">
        <v>12.72</v>
      </c>
      <c r="N36" s="29" t="n">
        <v>14.13333333333333</v>
      </c>
      <c r="O36" s="29" t="n">
        <v>15.9</v>
      </c>
      <c r="P36" s="29" t="n">
        <v>18.17142857142857</v>
      </c>
      <c r="Q36" s="29" t="n">
        <v>21.2</v>
      </c>
      <c r="R36" s="29" t="n">
        <v>25.44</v>
      </c>
      <c r="S36" s="29" t="n">
        <v>31.8</v>
      </c>
      <c r="T36" s="29" t="n">
        <v>42.40000000000001</v>
      </c>
      <c r="U36" s="29" t="n">
        <v>63.6</v>
      </c>
      <c r="V36" s="29" t="n">
        <v>127.2</v>
      </c>
      <c r="W36" s="29" t="n">
        <v>15.11</v>
      </c>
      <c r="X36" s="29" t="n">
        <v>15.90526315789474</v>
      </c>
      <c r="Y36" s="29" t="n">
        <v>16.78888888888889</v>
      </c>
      <c r="Z36" s="29" t="n">
        <v>17.77647058823529</v>
      </c>
      <c r="AA36" s="29" t="n">
        <v>18.8875</v>
      </c>
      <c r="AB36" s="29" t="n">
        <v>20.14666666666666</v>
      </c>
      <c r="AC36" s="29" t="n">
        <v>21.58571428571429</v>
      </c>
      <c r="AD36" s="29" t="n">
        <v>23.24615384615385</v>
      </c>
      <c r="AE36" s="29" t="n">
        <v>25.18333333333333</v>
      </c>
      <c r="AF36" s="29" t="n">
        <v>27.47272727272727</v>
      </c>
      <c r="AG36" s="29" t="n">
        <v>30.22</v>
      </c>
      <c r="AH36" s="29" t="n">
        <v>33.57777777777778</v>
      </c>
      <c r="AI36" s="29" t="n">
        <v>37.775</v>
      </c>
      <c r="AJ36" s="29" t="n">
        <v>43.17142857142857</v>
      </c>
      <c r="AK36" s="29" t="n">
        <v>50.36666666666667</v>
      </c>
      <c r="AL36" s="29" t="n">
        <v>60.44</v>
      </c>
      <c r="AM36" s="29" t="n">
        <v>75.55</v>
      </c>
      <c r="AN36" s="29" t="n">
        <v>100.7333333333333</v>
      </c>
      <c r="AO36" s="29" t="n">
        <v>151.1</v>
      </c>
      <c r="AP36" s="29" t="n">
        <v>302.2</v>
      </c>
    </row>
    <row r="37">
      <c r="A37" s="6" t="inlineStr">
        <is>
          <t>P31</t>
        </is>
      </c>
      <c r="B37" s="6" t="inlineStr">
        <is>
          <t>Karitel</t>
        </is>
      </c>
      <c r="C37" s="29" t="n">
        <v>6.42</v>
      </c>
      <c r="D37" s="29" t="n">
        <v>6.757894736842106</v>
      </c>
      <c r="E37" s="29" t="n">
        <v>7.133333333333333</v>
      </c>
      <c r="F37" s="29" t="n">
        <v>7.552941176470588</v>
      </c>
      <c r="G37" s="29" t="n">
        <v>8.024999999999999</v>
      </c>
      <c r="H37" s="29" t="n">
        <v>8.56</v>
      </c>
      <c r="I37" s="29" t="n">
        <v>9.171428571428573</v>
      </c>
      <c r="J37" s="29" t="n">
        <v>9.876923076923077</v>
      </c>
      <c r="K37" s="29" t="n">
        <v>10.7</v>
      </c>
      <c r="L37" s="29" t="n">
        <v>11.67272727272727</v>
      </c>
      <c r="M37" s="29" t="n">
        <v>12.84</v>
      </c>
      <c r="N37" s="29" t="n">
        <v>14.26666666666667</v>
      </c>
      <c r="O37" s="29" t="n">
        <v>16.05</v>
      </c>
      <c r="P37" s="29" t="n">
        <v>18.34285714285715</v>
      </c>
      <c r="Q37" s="29" t="n">
        <v>21.4</v>
      </c>
      <c r="R37" s="29" t="n">
        <v>25.68</v>
      </c>
      <c r="S37" s="29" t="n">
        <v>32.09999999999999</v>
      </c>
      <c r="T37" s="29" t="n">
        <v>42.8</v>
      </c>
      <c r="U37" s="29" t="n">
        <v>64.19999999999999</v>
      </c>
      <c r="V37" s="29" t="n">
        <v>128.4</v>
      </c>
      <c r="W37" s="29" t="n">
        <v>15.11</v>
      </c>
      <c r="X37" s="29" t="n">
        <v>15.90526315789474</v>
      </c>
      <c r="Y37" s="29" t="n">
        <v>16.78888888888889</v>
      </c>
      <c r="Z37" s="29" t="n">
        <v>17.77647058823529</v>
      </c>
      <c r="AA37" s="29" t="n">
        <v>18.8875</v>
      </c>
      <c r="AB37" s="29" t="n">
        <v>20.14666666666666</v>
      </c>
      <c r="AC37" s="29" t="n">
        <v>21.58571428571429</v>
      </c>
      <c r="AD37" s="29" t="n">
        <v>23.24615384615385</v>
      </c>
      <c r="AE37" s="29" t="n">
        <v>25.18333333333333</v>
      </c>
      <c r="AF37" s="29" t="n">
        <v>27.47272727272727</v>
      </c>
      <c r="AG37" s="29" t="n">
        <v>30.22</v>
      </c>
      <c r="AH37" s="29" t="n">
        <v>33.57777777777778</v>
      </c>
      <c r="AI37" s="29" t="n">
        <v>37.775</v>
      </c>
      <c r="AJ37" s="29" t="n">
        <v>43.17142857142857</v>
      </c>
      <c r="AK37" s="29" t="n">
        <v>50.36666666666667</v>
      </c>
      <c r="AL37" s="29" t="n">
        <v>60.44</v>
      </c>
      <c r="AM37" s="29" t="n">
        <v>75.55</v>
      </c>
      <c r="AN37" s="29" t="n">
        <v>100.7333333333333</v>
      </c>
      <c r="AO37" s="29" t="n">
        <v>151.1</v>
      </c>
      <c r="AP37" s="29" t="n">
        <v>302.2</v>
      </c>
    </row>
    <row r="38">
      <c r="A38" s="6" t="inlineStr">
        <is>
          <t>P32</t>
        </is>
      </c>
      <c r="B38" s="6" t="inlineStr">
        <is>
          <t>Karitel</t>
        </is>
      </c>
      <c r="C38" s="29" t="n">
        <v>6.695</v>
      </c>
      <c r="D38" s="29" t="n">
        <v>7.047368421052632</v>
      </c>
      <c r="E38" s="29" t="n">
        <v>7.438888888888889</v>
      </c>
      <c r="F38" s="29" t="n">
        <v>7.876470588235295</v>
      </c>
      <c r="G38" s="29" t="n">
        <v>8.36875</v>
      </c>
      <c r="H38" s="29" t="n">
        <v>8.926666666666668</v>
      </c>
      <c r="I38" s="29" t="n">
        <v>9.564285714285715</v>
      </c>
      <c r="J38" s="29" t="n">
        <v>10.3</v>
      </c>
      <c r="K38" s="29" t="n">
        <v>11.15833333333333</v>
      </c>
      <c r="L38" s="29" t="n">
        <v>12.17272727272727</v>
      </c>
      <c r="M38" s="29" t="n">
        <v>13.39</v>
      </c>
      <c r="N38" s="29" t="n">
        <v>14.87777777777778</v>
      </c>
      <c r="O38" s="29" t="n">
        <v>16.7375</v>
      </c>
      <c r="P38" s="29" t="n">
        <v>19.12857142857143</v>
      </c>
      <c r="Q38" s="29" t="n">
        <v>22.31666666666667</v>
      </c>
      <c r="R38" s="29" t="n">
        <v>26.78</v>
      </c>
      <c r="S38" s="29" t="n">
        <v>33.475</v>
      </c>
      <c r="T38" s="29" t="n">
        <v>44.63333333333334</v>
      </c>
      <c r="U38" s="29" t="n">
        <v>66.95</v>
      </c>
      <c r="V38" s="29" t="n">
        <v>133.9</v>
      </c>
      <c r="W38" s="29" t="n">
        <v>14.5</v>
      </c>
      <c r="X38" s="29" t="n">
        <v>15.26315789473684</v>
      </c>
      <c r="Y38" s="29" t="n">
        <v>16.11111111111111</v>
      </c>
      <c r="Z38" s="29" t="n">
        <v>17.05882352941176</v>
      </c>
      <c r="AA38" s="29" t="n">
        <v>18.125</v>
      </c>
      <c r="AB38" s="29" t="n">
        <v>19.33333333333333</v>
      </c>
      <c r="AC38" s="29" t="n">
        <v>20.71428571428572</v>
      </c>
      <c r="AD38" s="29" t="n">
        <v>22.30769230769231</v>
      </c>
      <c r="AE38" s="29" t="n">
        <v>24.16666666666667</v>
      </c>
      <c r="AF38" s="29" t="n">
        <v>26.36363636363636</v>
      </c>
      <c r="AG38" s="29" t="n">
        <v>29</v>
      </c>
      <c r="AH38" s="29" t="n">
        <v>32.22222222222221</v>
      </c>
      <c r="AI38" s="29" t="n">
        <v>36.25</v>
      </c>
      <c r="AJ38" s="29" t="n">
        <v>41.42857142857142</v>
      </c>
      <c r="AK38" s="29" t="n">
        <v>48.33333333333334</v>
      </c>
      <c r="AL38" s="29" t="n">
        <v>57.99999999999999</v>
      </c>
      <c r="AM38" s="29" t="n">
        <v>72.5</v>
      </c>
      <c r="AN38" s="29" t="n">
        <v>96.66666666666664</v>
      </c>
      <c r="AO38" s="29" t="n">
        <v>145</v>
      </c>
      <c r="AP38" s="29" t="n">
        <v>289.9999999999999</v>
      </c>
    </row>
    <row r="39">
      <c r="A39" s="6" t="inlineStr">
        <is>
          <t>P33</t>
        </is>
      </c>
      <c r="B39" s="6" t="inlineStr">
        <is>
          <t>Karitel</t>
        </is>
      </c>
      <c r="C39" s="29" t="n">
        <v>6</v>
      </c>
      <c r="D39" s="29" t="n">
        <v>6.315789473684211</v>
      </c>
      <c r="E39" s="29" t="n">
        <v>6.666666666666666</v>
      </c>
      <c r="F39" s="29" t="n">
        <v>7.058823529411764</v>
      </c>
      <c r="G39" s="29" t="n">
        <v>7.5</v>
      </c>
      <c r="H39" s="29" t="n">
        <v>8</v>
      </c>
      <c r="I39" s="29" t="n">
        <v>8.571428571428571</v>
      </c>
      <c r="J39" s="29" t="n">
        <v>9.23076923076923</v>
      </c>
      <c r="K39" s="29" t="n">
        <v>10</v>
      </c>
      <c r="L39" s="29" t="n">
        <v>10.90909090909091</v>
      </c>
      <c r="M39" s="29" t="n">
        <v>12</v>
      </c>
      <c r="N39" s="29" t="n">
        <v>13.33333333333333</v>
      </c>
      <c r="O39" s="29" t="n">
        <v>15</v>
      </c>
      <c r="P39" s="29" t="n">
        <v>17.14285714285714</v>
      </c>
      <c r="Q39" s="29" t="n">
        <v>20</v>
      </c>
      <c r="R39" s="29" t="n">
        <v>24</v>
      </c>
      <c r="S39" s="29" t="n">
        <v>30</v>
      </c>
      <c r="T39" s="29" t="n">
        <v>40</v>
      </c>
      <c r="U39" s="29" t="n">
        <v>60</v>
      </c>
      <c r="V39" s="29" t="n">
        <v>120</v>
      </c>
      <c r="W39" s="29" t="n">
        <v>14.18</v>
      </c>
      <c r="X39" s="29" t="n">
        <v>14.92631578947369</v>
      </c>
      <c r="Y39" s="29" t="n">
        <v>15.75555555555555</v>
      </c>
      <c r="Z39" s="29" t="n">
        <v>16.68235294117647</v>
      </c>
      <c r="AA39" s="29" t="n">
        <v>17.725</v>
      </c>
      <c r="AB39" s="29" t="n">
        <v>18.90666666666667</v>
      </c>
      <c r="AC39" s="29" t="n">
        <v>20.25714285714286</v>
      </c>
      <c r="AD39" s="29" t="n">
        <v>21.81538461538461</v>
      </c>
      <c r="AE39" s="29" t="n">
        <v>23.63333333333333</v>
      </c>
      <c r="AF39" s="29" t="n">
        <v>25.78181818181818</v>
      </c>
      <c r="AG39" s="29" t="n">
        <v>28.36</v>
      </c>
      <c r="AH39" s="29" t="n">
        <v>31.51111111111111</v>
      </c>
      <c r="AI39" s="29" t="n">
        <v>35.45</v>
      </c>
      <c r="AJ39" s="29" t="n">
        <v>40.51428571428572</v>
      </c>
      <c r="AK39" s="29" t="n">
        <v>47.26666666666667</v>
      </c>
      <c r="AL39" s="29" t="n">
        <v>56.72000000000001</v>
      </c>
      <c r="AM39" s="29" t="n">
        <v>70.89999999999999</v>
      </c>
      <c r="AN39" s="29" t="n">
        <v>94.53333333333335</v>
      </c>
      <c r="AO39" s="29" t="n">
        <v>141.8</v>
      </c>
      <c r="AP39" s="29" t="n">
        <v>283.6</v>
      </c>
    </row>
    <row r="40">
      <c r="A40" s="6" t="inlineStr">
        <is>
          <t>P34</t>
        </is>
      </c>
      <c r="B40" s="6" t="inlineStr">
        <is>
          <t>Karitel</t>
        </is>
      </c>
      <c r="C40" s="29" t="n">
        <v>6.72</v>
      </c>
      <c r="D40" s="29" t="n">
        <v>7.073684210526316</v>
      </c>
      <c r="E40" s="29" t="n">
        <v>7.466666666666666</v>
      </c>
      <c r="F40" s="29" t="n">
        <v>7.905882352941177</v>
      </c>
      <c r="G40" s="29" t="n">
        <v>8.399999999999999</v>
      </c>
      <c r="H40" s="29" t="n">
        <v>8.959999999999999</v>
      </c>
      <c r="I40" s="29" t="n">
        <v>9.6</v>
      </c>
      <c r="J40" s="29" t="n">
        <v>10.33846153846154</v>
      </c>
      <c r="K40" s="29" t="n">
        <v>11.2</v>
      </c>
      <c r="L40" s="29" t="n">
        <v>12.21818181818182</v>
      </c>
      <c r="M40" s="29" t="n">
        <v>13.44</v>
      </c>
      <c r="N40" s="29" t="n">
        <v>14.93333333333333</v>
      </c>
      <c r="O40" s="29" t="n">
        <v>16.8</v>
      </c>
      <c r="P40" s="29" t="n">
        <v>19.2</v>
      </c>
      <c r="Q40" s="29" t="n">
        <v>22.4</v>
      </c>
      <c r="R40" s="29" t="n">
        <v>26.88</v>
      </c>
      <c r="S40" s="29" t="n">
        <v>33.59999999999999</v>
      </c>
      <c r="T40" s="29" t="n">
        <v>44.8</v>
      </c>
      <c r="U40" s="29" t="n">
        <v>67.19999999999999</v>
      </c>
      <c r="V40" s="29" t="n">
        <v>134.4</v>
      </c>
      <c r="W40" s="29" t="n">
        <v>15.11</v>
      </c>
      <c r="X40" s="29" t="n">
        <v>15.90526315789474</v>
      </c>
      <c r="Y40" s="29" t="n">
        <v>16.78888888888889</v>
      </c>
      <c r="Z40" s="29" t="n">
        <v>17.77647058823529</v>
      </c>
      <c r="AA40" s="29" t="n">
        <v>18.8875</v>
      </c>
      <c r="AB40" s="29" t="n">
        <v>20.14666666666666</v>
      </c>
      <c r="AC40" s="29" t="n">
        <v>21.58571428571429</v>
      </c>
      <c r="AD40" s="29" t="n">
        <v>23.24615384615385</v>
      </c>
      <c r="AE40" s="29" t="n">
        <v>25.18333333333333</v>
      </c>
      <c r="AF40" s="29" t="n">
        <v>27.47272727272727</v>
      </c>
      <c r="AG40" s="29" t="n">
        <v>30.22</v>
      </c>
      <c r="AH40" s="29" t="n">
        <v>33.57777777777778</v>
      </c>
      <c r="AI40" s="29" t="n">
        <v>37.775</v>
      </c>
      <c r="AJ40" s="29" t="n">
        <v>43.17142857142857</v>
      </c>
      <c r="AK40" s="29" t="n">
        <v>50.36666666666667</v>
      </c>
      <c r="AL40" s="29" t="n">
        <v>60.44</v>
      </c>
      <c r="AM40" s="29" t="n">
        <v>75.55</v>
      </c>
      <c r="AN40" s="29" t="n">
        <v>100.7333333333333</v>
      </c>
      <c r="AO40" s="29" t="n">
        <v>151.1</v>
      </c>
      <c r="AP40" s="29" t="n">
        <v>302.2</v>
      </c>
    </row>
    <row r="41">
      <c r="A41" s="6" t="inlineStr">
        <is>
          <t>P35</t>
        </is>
      </c>
      <c r="B41" s="6" t="inlineStr">
        <is>
          <t>Karitel</t>
        </is>
      </c>
      <c r="C41" s="29" t="n">
        <v>7.08</v>
      </c>
      <c r="D41" s="29" t="n">
        <v>7.452631578947368</v>
      </c>
      <c r="E41" s="29" t="n">
        <v>7.866666666666666</v>
      </c>
      <c r="F41" s="29" t="n">
        <v>8.329411764705883</v>
      </c>
      <c r="G41" s="29" t="n">
        <v>8.85</v>
      </c>
      <c r="H41" s="29" t="n">
        <v>9.44</v>
      </c>
      <c r="I41" s="29" t="n">
        <v>10.11428571428572</v>
      </c>
      <c r="J41" s="29" t="n">
        <v>10.89230769230769</v>
      </c>
      <c r="K41" s="29" t="n">
        <v>11.8</v>
      </c>
      <c r="L41" s="29" t="n">
        <v>12.87272727272727</v>
      </c>
      <c r="M41" s="29" t="n">
        <v>14.16</v>
      </c>
      <c r="N41" s="29" t="n">
        <v>15.73333333333333</v>
      </c>
      <c r="O41" s="29" t="n">
        <v>17.7</v>
      </c>
      <c r="P41" s="29" t="n">
        <v>20.22857142857143</v>
      </c>
      <c r="Q41" s="29" t="n">
        <v>23.6</v>
      </c>
      <c r="R41" s="29" t="n">
        <v>28.32</v>
      </c>
      <c r="S41" s="29" t="n">
        <v>35.4</v>
      </c>
      <c r="T41" s="29" t="n">
        <v>47.2</v>
      </c>
      <c r="U41" s="29" t="n">
        <v>70.8</v>
      </c>
      <c r="V41" s="29" t="n">
        <v>141.6</v>
      </c>
      <c r="W41" s="29" t="n">
        <v>15.58</v>
      </c>
      <c r="X41" s="29" t="n">
        <v>16.4</v>
      </c>
      <c r="Y41" s="29" t="n">
        <v>17.31111111111111</v>
      </c>
      <c r="Z41" s="29" t="n">
        <v>18.32941176470588</v>
      </c>
      <c r="AA41" s="29" t="n">
        <v>19.475</v>
      </c>
      <c r="AB41" s="29" t="n">
        <v>20.77333333333333</v>
      </c>
      <c r="AC41" s="29" t="n">
        <v>22.25714285714286</v>
      </c>
      <c r="AD41" s="29" t="n">
        <v>23.96923076923077</v>
      </c>
      <c r="AE41" s="29" t="n">
        <v>25.96666666666667</v>
      </c>
      <c r="AF41" s="29" t="n">
        <v>28.32727272727272</v>
      </c>
      <c r="AG41" s="29" t="n">
        <v>31.16</v>
      </c>
      <c r="AH41" s="29" t="n">
        <v>34.62222222222222</v>
      </c>
      <c r="AI41" s="29" t="n">
        <v>38.95</v>
      </c>
      <c r="AJ41" s="29" t="n">
        <v>44.51428571428572</v>
      </c>
      <c r="AK41" s="29" t="n">
        <v>51.93333333333334</v>
      </c>
      <c r="AL41" s="29" t="n">
        <v>62.32</v>
      </c>
      <c r="AM41" s="29" t="n">
        <v>77.89999999999999</v>
      </c>
      <c r="AN41" s="29" t="n">
        <v>103.8666666666667</v>
      </c>
      <c r="AO41" s="29" t="n">
        <v>155.8</v>
      </c>
      <c r="AP41" s="29" t="n">
        <v>311.6</v>
      </c>
    </row>
    <row r="42">
      <c r="A42" s="6" t="inlineStr">
        <is>
          <t>P36</t>
        </is>
      </c>
      <c r="B42" s="6" t="inlineStr">
        <is>
          <t>Karitel</t>
        </is>
      </c>
      <c r="C42" s="29" t="n">
        <v>7.14</v>
      </c>
      <c r="D42" s="29" t="n">
        <v>7.515789473684211</v>
      </c>
      <c r="E42" s="29" t="n">
        <v>7.933333333333333</v>
      </c>
      <c r="F42" s="29" t="n">
        <v>8.4</v>
      </c>
      <c r="G42" s="29" t="n">
        <v>8.924999999999999</v>
      </c>
      <c r="H42" s="29" t="n">
        <v>9.52</v>
      </c>
      <c r="I42" s="29" t="n">
        <v>10.2</v>
      </c>
      <c r="J42" s="29" t="n">
        <v>10.98461538461538</v>
      </c>
      <c r="K42" s="29" t="n">
        <v>11.9</v>
      </c>
      <c r="L42" s="29" t="n">
        <v>12.98181818181818</v>
      </c>
      <c r="M42" s="29" t="n">
        <v>14.28</v>
      </c>
      <c r="N42" s="29" t="n">
        <v>15.86666666666667</v>
      </c>
      <c r="O42" s="29" t="n">
        <v>17.85</v>
      </c>
      <c r="P42" s="29" t="n">
        <v>20.4</v>
      </c>
      <c r="Q42" s="29" t="n">
        <v>23.8</v>
      </c>
      <c r="R42" s="29" t="n">
        <v>28.56</v>
      </c>
      <c r="S42" s="29" t="n">
        <v>35.7</v>
      </c>
      <c r="T42" s="29" t="n">
        <v>47.6</v>
      </c>
      <c r="U42" s="29" t="n">
        <v>71.39999999999999</v>
      </c>
      <c r="V42" s="29" t="n">
        <v>142.8</v>
      </c>
      <c r="W42" s="29" t="n">
        <v>15.58</v>
      </c>
      <c r="X42" s="29" t="n">
        <v>16.4</v>
      </c>
      <c r="Y42" s="29" t="n">
        <v>17.31111111111111</v>
      </c>
      <c r="Z42" s="29" t="n">
        <v>18.32941176470588</v>
      </c>
      <c r="AA42" s="29" t="n">
        <v>19.475</v>
      </c>
      <c r="AB42" s="29" t="n">
        <v>20.77333333333333</v>
      </c>
      <c r="AC42" s="29" t="n">
        <v>22.25714285714286</v>
      </c>
      <c r="AD42" s="29" t="n">
        <v>23.96923076923077</v>
      </c>
      <c r="AE42" s="29" t="n">
        <v>25.96666666666667</v>
      </c>
      <c r="AF42" s="29" t="n">
        <v>28.32727272727272</v>
      </c>
      <c r="AG42" s="29" t="n">
        <v>31.16</v>
      </c>
      <c r="AH42" s="29" t="n">
        <v>34.62222222222222</v>
      </c>
      <c r="AI42" s="29" t="n">
        <v>38.95</v>
      </c>
      <c r="AJ42" s="29" t="n">
        <v>44.51428571428572</v>
      </c>
      <c r="AK42" s="29" t="n">
        <v>51.93333333333334</v>
      </c>
      <c r="AL42" s="29" t="n">
        <v>62.32</v>
      </c>
      <c r="AM42" s="29" t="n">
        <v>77.89999999999999</v>
      </c>
      <c r="AN42" s="29" t="n">
        <v>103.8666666666667</v>
      </c>
      <c r="AO42" s="29" t="n">
        <v>155.8</v>
      </c>
      <c r="AP42" s="29" t="n">
        <v>311.6</v>
      </c>
    </row>
    <row r="43">
      <c r="A43" s="6" t="inlineStr">
        <is>
          <t>P37</t>
        </is>
      </c>
      <c r="B43" s="6" t="inlineStr">
        <is>
          <t>Karitel</t>
        </is>
      </c>
      <c r="C43" s="29" t="n">
        <v>8.640000000000001</v>
      </c>
      <c r="D43" s="29" t="n">
        <v>9.094736842105265</v>
      </c>
      <c r="E43" s="29" t="n">
        <v>9.6</v>
      </c>
      <c r="F43" s="29" t="n">
        <v>10.16470588235294</v>
      </c>
      <c r="G43" s="29" t="n">
        <v>10.8</v>
      </c>
      <c r="H43" s="29" t="n">
        <v>12.12631578947369</v>
      </c>
      <c r="I43" s="29" t="n">
        <v>12.34285714285715</v>
      </c>
      <c r="J43" s="29" t="n">
        <v>13.29230769230769</v>
      </c>
      <c r="K43" s="29" t="n">
        <v>14.4</v>
      </c>
      <c r="L43" s="29" t="n">
        <v>15.70909090909091</v>
      </c>
      <c r="M43" s="29" t="n">
        <v>17.28</v>
      </c>
      <c r="N43" s="29" t="n">
        <v>19.2</v>
      </c>
      <c r="O43" s="29" t="n">
        <v>21.6</v>
      </c>
      <c r="P43" s="29" t="n">
        <v>24.68571428571429</v>
      </c>
      <c r="Q43" s="29" t="n">
        <v>28.8</v>
      </c>
      <c r="R43" s="29" t="n">
        <v>34.56</v>
      </c>
      <c r="S43" s="29" t="n">
        <v>43.2</v>
      </c>
      <c r="T43" s="29" t="n">
        <v>57.60000000000001</v>
      </c>
      <c r="U43" s="29" t="n">
        <v>86.40000000000001</v>
      </c>
      <c r="V43" s="29" t="n">
        <v>172.8</v>
      </c>
      <c r="W43" s="29" t="n">
        <v>10.61</v>
      </c>
      <c r="X43" s="29" t="n">
        <v>11.16842105263158</v>
      </c>
      <c r="Y43" s="29" t="n">
        <v>11.78888888888889</v>
      </c>
      <c r="Z43" s="29" t="n">
        <v>12.48235294117647</v>
      </c>
      <c r="AA43" s="29" t="n">
        <v>13.2625</v>
      </c>
      <c r="AB43" s="29" t="n">
        <v>14.14666666666667</v>
      </c>
      <c r="AC43" s="29" t="n">
        <v>15.15714285714286</v>
      </c>
      <c r="AD43" s="29" t="n">
        <v>16.32307692307692</v>
      </c>
      <c r="AE43" s="29" t="n">
        <v>17.68333333333333</v>
      </c>
      <c r="AF43" s="29" t="n">
        <v>19.29090909090909</v>
      </c>
      <c r="AG43" s="29" t="n">
        <v>21.22</v>
      </c>
      <c r="AH43" s="29" t="n">
        <v>23.57777777777778</v>
      </c>
      <c r="AI43" s="29" t="n">
        <v>26.525</v>
      </c>
      <c r="AJ43" s="29" t="n">
        <v>30.31428571428571</v>
      </c>
      <c r="AK43" s="29" t="n">
        <v>35.36666666666667</v>
      </c>
      <c r="AL43" s="29" t="n">
        <v>42.44</v>
      </c>
      <c r="AM43" s="29" t="n">
        <v>53.05</v>
      </c>
      <c r="AN43" s="29" t="n">
        <v>70.73333333333333</v>
      </c>
      <c r="AO43" s="29" t="n">
        <v>106.1</v>
      </c>
      <c r="AP43" s="29" t="n">
        <v>212.2</v>
      </c>
    </row>
    <row r="44">
      <c r="A44" s="6" t="inlineStr">
        <is>
          <t>P38</t>
        </is>
      </c>
      <c r="B44" s="6" t="inlineStr">
        <is>
          <t>Karitel</t>
        </is>
      </c>
      <c r="C44" s="29" t="n">
        <v>7.91</v>
      </c>
      <c r="D44" s="29" t="n">
        <v>8.326315789473684</v>
      </c>
      <c r="E44" s="29" t="n">
        <v>8.78888888888889</v>
      </c>
      <c r="F44" s="29" t="n">
        <v>9.305882352941177</v>
      </c>
      <c r="G44" s="29" t="n">
        <v>9.887499999999999</v>
      </c>
      <c r="H44" s="29" t="n">
        <v>10.54666666666667</v>
      </c>
      <c r="I44" s="29" t="n">
        <v>11.3</v>
      </c>
      <c r="J44" s="29" t="n">
        <v>12.16923076923077</v>
      </c>
      <c r="K44" s="29" t="n">
        <v>13.18333333333333</v>
      </c>
      <c r="L44" s="29" t="n">
        <v>14.38181818181818</v>
      </c>
      <c r="M44" s="29" t="n">
        <v>15.82</v>
      </c>
      <c r="N44" s="29" t="n">
        <v>17.57777777777778</v>
      </c>
      <c r="O44" s="29" t="n">
        <v>19.775</v>
      </c>
      <c r="P44" s="29" t="n">
        <v>22.6</v>
      </c>
      <c r="Q44" s="29" t="n">
        <v>26.36666666666667</v>
      </c>
      <c r="R44" s="29" t="n">
        <v>31.64</v>
      </c>
      <c r="S44" s="29" t="n">
        <v>39.55</v>
      </c>
      <c r="T44" s="29" t="n">
        <v>52.73333333333333</v>
      </c>
      <c r="U44" s="29" t="n">
        <v>79.09999999999999</v>
      </c>
      <c r="V44" s="29" t="n">
        <v>158.2</v>
      </c>
      <c r="W44" s="29" t="n">
        <v>14.5</v>
      </c>
      <c r="X44" s="29" t="n">
        <v>15.26315789473684</v>
      </c>
      <c r="Y44" s="29" t="n">
        <v>16.11111111111111</v>
      </c>
      <c r="Z44" s="29" t="n">
        <v>17.05882352941176</v>
      </c>
      <c r="AA44" s="29" t="n">
        <v>18.125</v>
      </c>
      <c r="AB44" s="29" t="n">
        <v>19.33333333333333</v>
      </c>
      <c r="AC44" s="29" t="n">
        <v>20.71428571428572</v>
      </c>
      <c r="AD44" s="29" t="n">
        <v>22.30769230769231</v>
      </c>
      <c r="AE44" s="29" t="n">
        <v>24.16666666666667</v>
      </c>
      <c r="AF44" s="29" t="n">
        <v>26.36363636363636</v>
      </c>
      <c r="AG44" s="29" t="n">
        <v>29</v>
      </c>
      <c r="AH44" s="29" t="n">
        <v>32.22222222222221</v>
      </c>
      <c r="AI44" s="29" t="n">
        <v>36.25</v>
      </c>
      <c r="AJ44" s="29" t="n">
        <v>41.42857142857142</v>
      </c>
      <c r="AK44" s="29" t="n">
        <v>48.33333333333334</v>
      </c>
      <c r="AL44" s="29" t="n">
        <v>57.99999999999999</v>
      </c>
      <c r="AM44" s="29" t="n">
        <v>72.5</v>
      </c>
      <c r="AN44" s="29" t="n">
        <v>96.66666666666664</v>
      </c>
      <c r="AO44" s="29" t="n">
        <v>145</v>
      </c>
      <c r="AP44" s="29" t="n">
        <v>289.9999999999999</v>
      </c>
    </row>
    <row r="45">
      <c r="A45" s="6" t="inlineStr">
        <is>
          <t>P39</t>
        </is>
      </c>
      <c r="B45" s="6" t="inlineStr">
        <is>
          <t>Karitel</t>
        </is>
      </c>
      <c r="C45" s="29" t="n">
        <v>5.76</v>
      </c>
      <c r="D45" s="29" t="n">
        <v>6.063157894736842</v>
      </c>
      <c r="E45" s="29" t="n">
        <v>6.399999999999999</v>
      </c>
      <c r="F45" s="29" t="n">
        <v>6.776470588235294</v>
      </c>
      <c r="G45" s="29" t="n">
        <v>7.199999999999999</v>
      </c>
      <c r="H45" s="29" t="n">
        <v>7.68</v>
      </c>
      <c r="I45" s="29" t="n">
        <v>8.22857142857143</v>
      </c>
      <c r="J45" s="29" t="n">
        <v>8.86153846153846</v>
      </c>
      <c r="K45" s="29" t="n">
        <v>9.6</v>
      </c>
      <c r="L45" s="29" t="n">
        <v>10.47272727272727</v>
      </c>
      <c r="M45" s="29" t="n">
        <v>11.52</v>
      </c>
      <c r="N45" s="29" t="n">
        <v>12.8</v>
      </c>
      <c r="O45" s="29" t="n">
        <v>14.4</v>
      </c>
      <c r="P45" s="29" t="n">
        <v>16.45714285714286</v>
      </c>
      <c r="Q45" s="29" t="n">
        <v>19.2</v>
      </c>
      <c r="R45" s="29" t="n">
        <v>23.04</v>
      </c>
      <c r="S45" s="29" t="n">
        <v>28.8</v>
      </c>
      <c r="T45" s="29" t="n">
        <v>38.4</v>
      </c>
      <c r="U45" s="29" t="n">
        <v>57.59999999999999</v>
      </c>
      <c r="V45" s="29" t="n">
        <v>115.2</v>
      </c>
      <c r="W45" s="29" t="n">
        <v>12.62</v>
      </c>
      <c r="X45" s="29" t="n">
        <v>13.28421052631579</v>
      </c>
      <c r="Y45" s="29" t="n">
        <v>14.02222222222222</v>
      </c>
      <c r="Z45" s="29" t="n">
        <v>14.84705882352941</v>
      </c>
      <c r="AA45" s="29" t="n">
        <v>15.775</v>
      </c>
      <c r="AB45" s="29" t="n">
        <v>16.82666666666666</v>
      </c>
      <c r="AC45" s="29" t="n">
        <v>18.02857142857143</v>
      </c>
      <c r="AD45" s="29" t="n">
        <v>19.41538461538461</v>
      </c>
      <c r="AE45" s="29" t="n">
        <v>21.03333333333333</v>
      </c>
      <c r="AF45" s="29" t="n">
        <v>22.94545454545454</v>
      </c>
      <c r="AG45" s="29" t="n">
        <v>25.24</v>
      </c>
      <c r="AH45" s="29" t="n">
        <v>28.04444444444444</v>
      </c>
      <c r="AI45" s="29" t="n">
        <v>31.55</v>
      </c>
      <c r="AJ45" s="29" t="n">
        <v>36.05714285714286</v>
      </c>
      <c r="AK45" s="29" t="n">
        <v>42.06666666666666</v>
      </c>
      <c r="AL45" s="29" t="n">
        <v>50.48</v>
      </c>
      <c r="AM45" s="29" t="n">
        <v>63.09999999999999</v>
      </c>
      <c r="AN45" s="29" t="n">
        <v>84.13333333333333</v>
      </c>
      <c r="AO45" s="29" t="n">
        <v>126.2</v>
      </c>
      <c r="AP45" s="29" t="n">
        <v>252.4</v>
      </c>
    </row>
    <row r="46">
      <c r="A46" s="6" t="inlineStr">
        <is>
          <t>P40</t>
        </is>
      </c>
      <c r="B46" s="6" t="inlineStr">
        <is>
          <t>Karitel</t>
        </is>
      </c>
      <c r="C46" s="29" t="n">
        <v>7</v>
      </c>
      <c r="D46" s="29" t="n">
        <v>7.36842105263158</v>
      </c>
      <c r="E46" s="29" t="n">
        <v>7.777777777777778</v>
      </c>
      <c r="F46" s="29" t="n">
        <v>8.23529411764706</v>
      </c>
      <c r="G46" s="29" t="n">
        <v>8.75</v>
      </c>
      <c r="H46" s="29" t="n">
        <v>9.333333333333334</v>
      </c>
      <c r="I46" s="29" t="n">
        <v>10</v>
      </c>
      <c r="J46" s="29" t="n">
        <v>10.76923076923077</v>
      </c>
      <c r="K46" s="29" t="n">
        <v>11.66666666666667</v>
      </c>
      <c r="L46" s="29" t="n">
        <v>12.72727272727273</v>
      </c>
      <c r="M46" s="29" t="n">
        <v>14</v>
      </c>
      <c r="N46" s="29" t="n">
        <v>15.55555555555556</v>
      </c>
      <c r="O46" s="29" t="n">
        <v>17.5</v>
      </c>
      <c r="P46" s="29" t="n">
        <v>20</v>
      </c>
      <c r="Q46" s="29" t="n">
        <v>23.33333333333334</v>
      </c>
      <c r="R46" s="29" t="n">
        <v>28</v>
      </c>
      <c r="S46" s="29" t="n">
        <v>35</v>
      </c>
      <c r="T46" s="29" t="n">
        <v>46.66666666666667</v>
      </c>
      <c r="U46" s="29" t="n">
        <v>70</v>
      </c>
      <c r="V46" s="29" t="n">
        <v>140</v>
      </c>
      <c r="W46" s="29" t="n">
        <v>15.58</v>
      </c>
      <c r="X46" s="29" t="n">
        <v>16.4</v>
      </c>
      <c r="Y46" s="29" t="n">
        <v>17.31111111111111</v>
      </c>
      <c r="Z46" s="29" t="n">
        <v>18.32941176470588</v>
      </c>
      <c r="AA46" s="29" t="n">
        <v>19.475</v>
      </c>
      <c r="AB46" s="29" t="n">
        <v>20.77333333333333</v>
      </c>
      <c r="AC46" s="29" t="n">
        <v>22.25714285714286</v>
      </c>
      <c r="AD46" s="29" t="n">
        <v>23.96923076923077</v>
      </c>
      <c r="AE46" s="29" t="n">
        <v>25.96666666666667</v>
      </c>
      <c r="AF46" s="29" t="n">
        <v>28.32727272727272</v>
      </c>
      <c r="AG46" s="29" t="n">
        <v>31.16</v>
      </c>
      <c r="AH46" s="29" t="n">
        <v>34.62222222222222</v>
      </c>
      <c r="AI46" s="29" t="n">
        <v>38.95</v>
      </c>
      <c r="AJ46" s="29" t="n">
        <v>44.51428571428572</v>
      </c>
      <c r="AK46" s="29" t="n">
        <v>51.93333333333334</v>
      </c>
      <c r="AL46" s="29" t="n">
        <v>62.32</v>
      </c>
      <c r="AM46" s="29" t="n">
        <v>77.89999999999999</v>
      </c>
      <c r="AN46" s="29" t="n">
        <v>103.8666666666667</v>
      </c>
      <c r="AO46" s="29" t="n">
        <v>155.8</v>
      </c>
      <c r="AP46" s="29" t="n">
        <v>311.6</v>
      </c>
    </row>
    <row r="47">
      <c r="A47" s="6" t="inlineStr">
        <is>
          <t>P41</t>
        </is>
      </c>
      <c r="B47" s="6" t="inlineStr">
        <is>
          <t>Karitel</t>
        </is>
      </c>
      <c r="C47" s="29" t="n">
        <v>6.51</v>
      </c>
      <c r="D47" s="29" t="n">
        <v>6.852631578947369</v>
      </c>
      <c r="E47" s="29" t="n">
        <v>7.233333333333333</v>
      </c>
      <c r="F47" s="29" t="n">
        <v>7.658823529411765</v>
      </c>
      <c r="G47" s="29" t="n">
        <v>8.137499999999999</v>
      </c>
      <c r="H47" s="29" t="n">
        <v>8.68</v>
      </c>
      <c r="I47" s="29" t="n">
        <v>9.300000000000001</v>
      </c>
      <c r="J47" s="29" t="n">
        <v>10.01538461538462</v>
      </c>
      <c r="K47" s="29" t="n">
        <v>10.85</v>
      </c>
      <c r="L47" s="29" t="n">
        <v>11.83636363636363</v>
      </c>
      <c r="M47" s="29" t="n">
        <v>13.02</v>
      </c>
      <c r="N47" s="29" t="n">
        <v>14.46666666666667</v>
      </c>
      <c r="O47" s="29" t="n">
        <v>16.275</v>
      </c>
      <c r="P47" s="29" t="n">
        <v>18.6</v>
      </c>
      <c r="Q47" s="29" t="n">
        <v>21.7</v>
      </c>
      <c r="R47" s="29" t="n">
        <v>26.04</v>
      </c>
      <c r="S47" s="29" t="n">
        <v>32.55</v>
      </c>
      <c r="T47" s="29" t="n">
        <v>43.4</v>
      </c>
      <c r="U47" s="29" t="n">
        <v>65.09999999999999</v>
      </c>
      <c r="V47" s="29" t="n">
        <v>130.2</v>
      </c>
      <c r="W47" s="29" t="n">
        <v>14.92</v>
      </c>
      <c r="X47" s="29" t="n">
        <v>15.70526315789474</v>
      </c>
      <c r="Y47" s="29" t="n">
        <v>16.57777777777778</v>
      </c>
      <c r="Z47" s="29" t="n">
        <v>17.55294117647059</v>
      </c>
      <c r="AA47" s="29" t="n">
        <v>18.65</v>
      </c>
      <c r="AB47" s="29" t="n">
        <v>19.89333333333333</v>
      </c>
      <c r="AC47" s="29" t="n">
        <v>21.31428571428572</v>
      </c>
      <c r="AD47" s="29" t="n">
        <v>22.95384615384615</v>
      </c>
      <c r="AE47" s="29" t="n">
        <v>24.86666666666667</v>
      </c>
      <c r="AF47" s="29" t="n">
        <v>27.12727272727273</v>
      </c>
      <c r="AG47" s="29" t="n">
        <v>29.84</v>
      </c>
      <c r="AH47" s="29" t="n">
        <v>33.15555555555555</v>
      </c>
      <c r="AI47" s="29" t="n">
        <v>37.3</v>
      </c>
      <c r="AJ47" s="29" t="n">
        <v>42.62857142857143</v>
      </c>
      <c r="AK47" s="29" t="n">
        <v>49.73333333333333</v>
      </c>
      <c r="AL47" s="29" t="n">
        <v>59.67999999999999</v>
      </c>
      <c r="AM47" s="29" t="n">
        <v>74.59999999999999</v>
      </c>
      <c r="AN47" s="29" t="n">
        <v>99.46666666666665</v>
      </c>
      <c r="AO47" s="29" t="n">
        <v>149.2</v>
      </c>
      <c r="AP47" s="29" t="n">
        <v>298.3999999999999</v>
      </c>
    </row>
    <row r="48">
      <c r="A48" s="6" t="inlineStr">
        <is>
          <t>P42</t>
        </is>
      </c>
      <c r="B48" s="6" t="inlineStr">
        <is>
          <t>Karitel</t>
        </is>
      </c>
      <c r="C48" s="29" t="n">
        <v>6</v>
      </c>
      <c r="D48" s="29" t="n">
        <v>6.315789473684211</v>
      </c>
      <c r="E48" s="29" t="n">
        <v>6.666666666666666</v>
      </c>
      <c r="F48" s="29" t="n">
        <v>7.058823529411764</v>
      </c>
      <c r="G48" s="29" t="n">
        <v>7.5</v>
      </c>
      <c r="H48" s="29" t="n">
        <v>8</v>
      </c>
      <c r="I48" s="29" t="n">
        <v>8.571428571428571</v>
      </c>
      <c r="J48" s="29" t="n">
        <v>9.23076923076923</v>
      </c>
      <c r="K48" s="29" t="n">
        <v>10</v>
      </c>
      <c r="L48" s="29" t="n">
        <v>10.90909090909091</v>
      </c>
      <c r="M48" s="29" t="n">
        <v>12</v>
      </c>
      <c r="N48" s="29" t="n">
        <v>13.33333333333333</v>
      </c>
      <c r="O48" s="29" t="n">
        <v>15</v>
      </c>
      <c r="P48" s="29" t="n">
        <v>17.14285714285714</v>
      </c>
      <c r="Q48" s="29" t="n">
        <v>20</v>
      </c>
      <c r="R48" s="29" t="n">
        <v>24</v>
      </c>
      <c r="S48" s="29" t="n">
        <v>30</v>
      </c>
      <c r="T48" s="29" t="n">
        <v>40</v>
      </c>
      <c r="U48" s="29" t="n">
        <v>60</v>
      </c>
      <c r="V48" s="29" t="n">
        <v>120</v>
      </c>
      <c r="W48" s="29" t="n">
        <v>12.62</v>
      </c>
      <c r="X48" s="29" t="n">
        <v>13.28421052631579</v>
      </c>
      <c r="Y48" s="29" t="n">
        <v>14.02222222222222</v>
      </c>
      <c r="Z48" s="29" t="n">
        <v>14.84705882352941</v>
      </c>
      <c r="AA48" s="29" t="n">
        <v>15.775</v>
      </c>
      <c r="AB48" s="29" t="n">
        <v>16.82666666666666</v>
      </c>
      <c r="AC48" s="29" t="n">
        <v>18.02857142857143</v>
      </c>
      <c r="AD48" s="29" t="n">
        <v>19.41538461538461</v>
      </c>
      <c r="AE48" s="29" t="n">
        <v>21.03333333333333</v>
      </c>
      <c r="AF48" s="29" t="n">
        <v>22.94545454545454</v>
      </c>
      <c r="AG48" s="29" t="n">
        <v>25.24</v>
      </c>
      <c r="AH48" s="29" t="n">
        <v>28.04444444444444</v>
      </c>
      <c r="AI48" s="29" t="n">
        <v>31.55</v>
      </c>
      <c r="AJ48" s="29" t="n">
        <v>36.05714285714286</v>
      </c>
      <c r="AK48" s="29" t="n">
        <v>42.06666666666666</v>
      </c>
      <c r="AL48" s="29" t="n">
        <v>50.48</v>
      </c>
      <c r="AM48" s="29" t="n">
        <v>63.09999999999999</v>
      </c>
      <c r="AN48" s="29" t="n">
        <v>84.13333333333333</v>
      </c>
      <c r="AO48" s="29" t="n">
        <v>126.2</v>
      </c>
      <c r="AP48" s="29" t="n">
        <v>252.4</v>
      </c>
    </row>
    <row r="49">
      <c r="A49" s="6" t="inlineStr">
        <is>
          <t>P43</t>
        </is>
      </c>
      <c r="B49" s="6" t="inlineStr">
        <is>
          <t>Karitel</t>
        </is>
      </c>
      <c r="C49" s="29" t="n">
        <v>6.58</v>
      </c>
      <c r="D49" s="29" t="n">
        <v>6.926315789473684</v>
      </c>
      <c r="E49" s="29" t="n">
        <v>7.311111111111111</v>
      </c>
      <c r="F49" s="29" t="n">
        <v>7.741176470588235</v>
      </c>
      <c r="G49" s="29" t="n">
        <v>8.225</v>
      </c>
      <c r="H49" s="29" t="n">
        <v>8.773333333333333</v>
      </c>
      <c r="I49" s="29" t="n">
        <v>9.4</v>
      </c>
      <c r="J49" s="29" t="n">
        <v>10.12307692307692</v>
      </c>
      <c r="K49" s="29" t="n">
        <v>10.96666666666667</v>
      </c>
      <c r="L49" s="29" t="n">
        <v>11.96363636363636</v>
      </c>
      <c r="M49" s="29" t="n">
        <v>13.16</v>
      </c>
      <c r="N49" s="29" t="n">
        <v>14.62222222222222</v>
      </c>
      <c r="O49" s="29" t="n">
        <v>16.45</v>
      </c>
      <c r="P49" s="29" t="n">
        <v>18.8</v>
      </c>
      <c r="Q49" s="29" t="n">
        <v>21.93333333333333</v>
      </c>
      <c r="R49" s="29" t="n">
        <v>26.32</v>
      </c>
      <c r="S49" s="29" t="n">
        <v>32.9</v>
      </c>
      <c r="T49" s="29" t="n">
        <v>43.86666666666667</v>
      </c>
      <c r="U49" s="29" t="n">
        <v>65.8</v>
      </c>
      <c r="V49" s="29" t="n">
        <v>131.6</v>
      </c>
      <c r="W49" s="29" t="n">
        <v>14.92</v>
      </c>
      <c r="X49" s="29" t="n">
        <v>15.70526315789474</v>
      </c>
      <c r="Y49" s="29" t="n">
        <v>16.57777777777778</v>
      </c>
      <c r="Z49" s="29" t="n">
        <v>17.55294117647059</v>
      </c>
      <c r="AA49" s="29" t="n">
        <v>18.65</v>
      </c>
      <c r="AB49" s="29" t="n">
        <v>19.89333333333333</v>
      </c>
      <c r="AC49" s="29" t="n">
        <v>21.31428571428572</v>
      </c>
      <c r="AD49" s="29" t="n">
        <v>22.95384615384615</v>
      </c>
      <c r="AE49" s="29" t="n">
        <v>24.86666666666667</v>
      </c>
      <c r="AF49" s="29" t="n">
        <v>27.12727272727273</v>
      </c>
      <c r="AG49" s="29" t="n">
        <v>29.84</v>
      </c>
      <c r="AH49" s="29" t="n">
        <v>33.15555555555555</v>
      </c>
      <c r="AI49" s="29" t="n">
        <v>37.3</v>
      </c>
      <c r="AJ49" s="29" t="n">
        <v>42.62857142857143</v>
      </c>
      <c r="AK49" s="29" t="n">
        <v>49.73333333333333</v>
      </c>
      <c r="AL49" s="29" t="n">
        <v>59.67999999999999</v>
      </c>
      <c r="AM49" s="29" t="n">
        <v>74.59999999999999</v>
      </c>
      <c r="AN49" s="29" t="n">
        <v>99.46666666666665</v>
      </c>
      <c r="AO49" s="29" t="n">
        <v>149.2</v>
      </c>
      <c r="AP49" s="29" t="n">
        <v>298.3999999999999</v>
      </c>
    </row>
    <row r="50">
      <c r="A50" s="6" t="inlineStr">
        <is>
          <t>P44</t>
        </is>
      </c>
      <c r="B50" s="6" t="inlineStr">
        <is>
          <t>Karitel</t>
        </is>
      </c>
      <c r="C50" s="29" t="n">
        <v>5.8</v>
      </c>
      <c r="D50" s="29" t="n">
        <v>6.105263157894737</v>
      </c>
      <c r="E50" s="29" t="n">
        <v>6.444444444444444</v>
      </c>
      <c r="F50" s="29" t="n">
        <v>6.823529411764706</v>
      </c>
      <c r="G50" s="29" t="n">
        <v>7.249999999999999</v>
      </c>
      <c r="H50" s="29" t="n">
        <v>7.733333333333333</v>
      </c>
      <c r="I50" s="29" t="n">
        <v>8.285714285714286</v>
      </c>
      <c r="J50" s="29" t="n">
        <v>8.923076923076923</v>
      </c>
      <c r="K50" s="29" t="n">
        <v>9.666666666666666</v>
      </c>
      <c r="L50" s="29" t="n">
        <v>10.54545454545454</v>
      </c>
      <c r="M50" s="29" t="n">
        <v>11.6</v>
      </c>
      <c r="N50" s="29" t="n">
        <v>12.88888888888889</v>
      </c>
      <c r="O50" s="29" t="n">
        <v>14.5</v>
      </c>
      <c r="P50" s="29" t="n">
        <v>16.57142857142857</v>
      </c>
      <c r="Q50" s="29" t="n">
        <v>19.33333333333333</v>
      </c>
      <c r="R50" s="29" t="n">
        <v>23.2</v>
      </c>
      <c r="S50" s="29" t="n">
        <v>29</v>
      </c>
      <c r="T50" s="29" t="n">
        <v>38.66666666666666</v>
      </c>
      <c r="U50" s="29" t="n">
        <v>57.99999999999999</v>
      </c>
      <c r="V50" s="29" t="n">
        <v>116</v>
      </c>
      <c r="W50" s="29" t="n">
        <v>11.06</v>
      </c>
      <c r="X50" s="29" t="n">
        <v>11.6421052631579</v>
      </c>
      <c r="Y50" s="29" t="n">
        <v>12.28888888888889</v>
      </c>
      <c r="Z50" s="29" t="n">
        <v>13.01176470588235</v>
      </c>
      <c r="AA50" s="29" t="n">
        <v>13.825</v>
      </c>
      <c r="AB50" s="29" t="n">
        <v>14.74666666666667</v>
      </c>
      <c r="AC50" s="29" t="n">
        <v>15.8</v>
      </c>
      <c r="AD50" s="29" t="n">
        <v>17.01538461538462</v>
      </c>
      <c r="AE50" s="29" t="n">
        <v>18.43333333333333</v>
      </c>
      <c r="AF50" s="29" t="n">
        <v>20.10909090909091</v>
      </c>
      <c r="AG50" s="29" t="n">
        <v>22.12</v>
      </c>
      <c r="AH50" s="29" t="n">
        <v>24.57777777777778</v>
      </c>
      <c r="AI50" s="29" t="n">
        <v>27.65</v>
      </c>
      <c r="AJ50" s="29" t="n">
        <v>31.6</v>
      </c>
      <c r="AK50" s="29" t="n">
        <v>36.86666666666667</v>
      </c>
      <c r="AL50" s="29" t="n">
        <v>44.24</v>
      </c>
      <c r="AM50" s="29" t="n">
        <v>55.3</v>
      </c>
      <c r="AN50" s="29" t="n">
        <v>73.73333333333333</v>
      </c>
      <c r="AO50" s="29" t="n">
        <v>110.6</v>
      </c>
      <c r="AP50" s="29" t="n">
        <v>221.2</v>
      </c>
    </row>
    <row r="51">
      <c r="A51" s="6" t="inlineStr">
        <is>
          <t>P45</t>
        </is>
      </c>
      <c r="B51" s="6" t="inlineStr">
        <is>
          <t>Karitel</t>
        </is>
      </c>
      <c r="C51" s="29" t="n">
        <v>6.49</v>
      </c>
      <c r="D51" s="29" t="n">
        <v>6.831578947368421</v>
      </c>
      <c r="E51" s="29" t="n">
        <v>7.211111111111111</v>
      </c>
      <c r="F51" s="29" t="n">
        <v>7.635294117647059</v>
      </c>
      <c r="G51" s="29" t="n">
        <v>8.112499999999999</v>
      </c>
      <c r="H51" s="29" t="n">
        <v>8.653333333333334</v>
      </c>
      <c r="I51" s="29" t="n">
        <v>9.271428571428572</v>
      </c>
      <c r="J51" s="29" t="n">
        <v>9.984615384615385</v>
      </c>
      <c r="K51" s="29" t="n">
        <v>10.81666666666667</v>
      </c>
      <c r="L51" s="29" t="n">
        <v>11.8</v>
      </c>
      <c r="M51" s="29" t="n">
        <v>12.98</v>
      </c>
      <c r="N51" s="29" t="n">
        <v>14.42222222222222</v>
      </c>
      <c r="O51" s="29" t="n">
        <v>16.225</v>
      </c>
      <c r="P51" s="29" t="n">
        <v>18.54285714285714</v>
      </c>
      <c r="Q51" s="29" t="n">
        <v>21.63333333333334</v>
      </c>
      <c r="R51" s="29" t="n">
        <v>25.96</v>
      </c>
      <c r="S51" s="29" t="n">
        <v>32.45</v>
      </c>
      <c r="T51" s="29" t="n">
        <v>43.26666666666667</v>
      </c>
      <c r="U51" s="29" t="n">
        <v>64.89999999999999</v>
      </c>
      <c r="V51" s="29" t="n">
        <v>129.8</v>
      </c>
      <c r="W51" s="29" t="n">
        <v>14.05</v>
      </c>
      <c r="X51" s="29" t="n">
        <v>14.78947368421053</v>
      </c>
      <c r="Y51" s="29" t="n">
        <v>15.61111111111111</v>
      </c>
      <c r="Z51" s="29" t="n">
        <v>16.52941176470588</v>
      </c>
      <c r="AA51" s="29" t="n">
        <v>17.5625</v>
      </c>
      <c r="AB51" s="29" t="n">
        <v>18.73333333333333</v>
      </c>
      <c r="AC51" s="29" t="n">
        <v>20.07142857142857</v>
      </c>
      <c r="AD51" s="29" t="n">
        <v>21.61538461538462</v>
      </c>
      <c r="AE51" s="29" t="n">
        <v>23.41666666666667</v>
      </c>
      <c r="AF51" s="29" t="n">
        <v>25.54545454545454</v>
      </c>
      <c r="AG51" s="29" t="n">
        <v>28.1</v>
      </c>
      <c r="AH51" s="29" t="n">
        <v>31.22222222222222</v>
      </c>
      <c r="AI51" s="29" t="n">
        <v>35.125</v>
      </c>
      <c r="AJ51" s="29" t="n">
        <v>40.14285714285715</v>
      </c>
      <c r="AK51" s="29" t="n">
        <v>46.83333333333334</v>
      </c>
      <c r="AL51" s="29" t="n">
        <v>56.2</v>
      </c>
      <c r="AM51" s="29" t="n">
        <v>70.25</v>
      </c>
      <c r="AN51" s="29" t="n">
        <v>93.66666666666667</v>
      </c>
      <c r="AO51" s="29" t="n">
        <v>140.5</v>
      </c>
      <c r="AP51" s="29" t="n">
        <v>281</v>
      </c>
    </row>
    <row r="52">
      <c r="A52" s="6" t="inlineStr">
        <is>
          <t>P46</t>
        </is>
      </c>
      <c r="B52" s="6" t="inlineStr">
        <is>
          <t>Karitel</t>
        </is>
      </c>
      <c r="C52" s="29" t="n">
        <v>6.37</v>
      </c>
      <c r="D52" s="29" t="n">
        <v>6.705263157894738</v>
      </c>
      <c r="E52" s="29" t="n">
        <v>7.077777777777778</v>
      </c>
      <c r="F52" s="29" t="n">
        <v>7.494117647058824</v>
      </c>
      <c r="G52" s="29" t="n">
        <v>7.962499999999999</v>
      </c>
      <c r="H52" s="29" t="n">
        <v>8.493333333333334</v>
      </c>
      <c r="I52" s="29" t="n">
        <v>9.100000000000001</v>
      </c>
      <c r="J52" s="29" t="n">
        <v>9.800000000000001</v>
      </c>
      <c r="K52" s="29" t="n">
        <v>10.61666666666667</v>
      </c>
      <c r="L52" s="29" t="n">
        <v>11.58181818181818</v>
      </c>
      <c r="M52" s="29" t="n">
        <v>12.74</v>
      </c>
      <c r="N52" s="29" t="n">
        <v>14.15555555555556</v>
      </c>
      <c r="O52" s="29" t="n">
        <v>15.925</v>
      </c>
      <c r="P52" s="29" t="n">
        <v>18.2</v>
      </c>
      <c r="Q52" s="29" t="n">
        <v>21.23333333333333</v>
      </c>
      <c r="R52" s="29" t="n">
        <v>25.48</v>
      </c>
      <c r="S52" s="29" t="n">
        <v>31.85</v>
      </c>
      <c r="T52" s="29" t="n">
        <v>42.46666666666667</v>
      </c>
      <c r="U52" s="29" t="n">
        <v>63.7</v>
      </c>
      <c r="V52" s="29" t="n">
        <v>127.4</v>
      </c>
      <c r="W52" s="29" t="n">
        <v>16.05</v>
      </c>
      <c r="X52" s="29" t="n">
        <v>16.89473684210526</v>
      </c>
      <c r="Y52" s="29" t="n">
        <v>17.83333333333333</v>
      </c>
      <c r="Z52" s="29" t="n">
        <v>18.88235294117647</v>
      </c>
      <c r="AA52" s="29" t="n">
        <v>20.0625</v>
      </c>
      <c r="AB52" s="29" t="n">
        <v>21.4</v>
      </c>
      <c r="AC52" s="29" t="n">
        <v>22.92857142857143</v>
      </c>
      <c r="AD52" s="29" t="n">
        <v>24.69230769230769</v>
      </c>
      <c r="AE52" s="29" t="n">
        <v>26.75</v>
      </c>
      <c r="AF52" s="29" t="n">
        <v>29.18181818181818</v>
      </c>
      <c r="AG52" s="29" t="n">
        <v>32.1</v>
      </c>
      <c r="AH52" s="29" t="n">
        <v>35.66666666666666</v>
      </c>
      <c r="AI52" s="29" t="n">
        <v>40.125</v>
      </c>
      <c r="AJ52" s="29" t="n">
        <v>45.85714285714286</v>
      </c>
      <c r="AK52" s="29" t="n">
        <v>53.50000000000001</v>
      </c>
      <c r="AL52" s="29" t="n">
        <v>64.2</v>
      </c>
      <c r="AM52" s="29" t="n">
        <v>80.25</v>
      </c>
      <c r="AN52" s="29" t="n">
        <v>107</v>
      </c>
      <c r="AO52" s="29" t="n">
        <v>160.5</v>
      </c>
      <c r="AP52" s="29" t="n">
        <v>321</v>
      </c>
    </row>
    <row r="53">
      <c r="A53" s="6" t="inlineStr">
        <is>
          <t>P47</t>
        </is>
      </c>
      <c r="B53" s="6" t="inlineStr">
        <is>
          <t>Karitel</t>
        </is>
      </c>
      <c r="C53" s="29" t="n">
        <v>7.07</v>
      </c>
      <c r="D53" s="29" t="n">
        <v>7.442105263157895</v>
      </c>
      <c r="E53" s="29" t="n">
        <v>7.855555555555556</v>
      </c>
      <c r="F53" s="29" t="n">
        <v>8.31764705882353</v>
      </c>
      <c r="G53" s="29" t="n">
        <v>8.8375</v>
      </c>
      <c r="H53" s="29" t="n">
        <v>9.426666666666668</v>
      </c>
      <c r="I53" s="29" t="n">
        <v>10.1</v>
      </c>
      <c r="J53" s="29" t="n">
        <v>10.87692307692308</v>
      </c>
      <c r="K53" s="29" t="n">
        <v>11.78333333333333</v>
      </c>
      <c r="L53" s="29" t="n">
        <v>12.85454545454545</v>
      </c>
      <c r="M53" s="29" t="n">
        <v>14.14</v>
      </c>
      <c r="N53" s="29" t="n">
        <v>15.71111111111111</v>
      </c>
      <c r="O53" s="29" t="n">
        <v>17.675</v>
      </c>
      <c r="P53" s="29" t="n">
        <v>20.2</v>
      </c>
      <c r="Q53" s="29" t="n">
        <v>23.56666666666667</v>
      </c>
      <c r="R53" s="29" t="n">
        <v>28.28</v>
      </c>
      <c r="S53" s="29" t="n">
        <v>35.35</v>
      </c>
      <c r="T53" s="29" t="n">
        <v>47.13333333333334</v>
      </c>
      <c r="U53" s="29" t="n">
        <v>70.7</v>
      </c>
      <c r="V53" s="29" t="n">
        <v>141.4</v>
      </c>
      <c r="W53" s="29" t="n">
        <v>16.05</v>
      </c>
      <c r="X53" s="29" t="n">
        <v>16.89473684210526</v>
      </c>
      <c r="Y53" s="29" t="n">
        <v>17.83333333333333</v>
      </c>
      <c r="Z53" s="29" t="n">
        <v>18.88235294117647</v>
      </c>
      <c r="AA53" s="29" t="n">
        <v>20.0625</v>
      </c>
      <c r="AB53" s="29" t="n">
        <v>21.4</v>
      </c>
      <c r="AC53" s="29" t="n">
        <v>22.92857142857143</v>
      </c>
      <c r="AD53" s="29" t="n">
        <v>24.69230769230769</v>
      </c>
      <c r="AE53" s="29" t="n">
        <v>26.75</v>
      </c>
      <c r="AF53" s="29" t="n">
        <v>29.18181818181818</v>
      </c>
      <c r="AG53" s="29" t="n">
        <v>32.1</v>
      </c>
      <c r="AH53" s="29" t="n">
        <v>35.66666666666666</v>
      </c>
      <c r="AI53" s="29" t="n">
        <v>40.125</v>
      </c>
      <c r="AJ53" s="29" t="n">
        <v>45.85714285714286</v>
      </c>
      <c r="AK53" s="29" t="n">
        <v>53.50000000000001</v>
      </c>
      <c r="AL53" s="29" t="n">
        <v>64.2</v>
      </c>
      <c r="AM53" s="29" t="n">
        <v>80.25</v>
      </c>
      <c r="AN53" s="29" t="n">
        <v>107</v>
      </c>
      <c r="AO53" s="29" t="n">
        <v>160.5</v>
      </c>
      <c r="AP53" s="29" t="n">
        <v>321</v>
      </c>
    </row>
    <row r="54">
      <c r="A54" s="6" t="inlineStr">
        <is>
          <t>P48</t>
        </is>
      </c>
      <c r="B54" s="6" t="inlineStr">
        <is>
          <t>Karitel</t>
        </is>
      </c>
      <c r="C54" s="29" t="n">
        <v>6.8</v>
      </c>
      <c r="D54" s="29" t="n">
        <v>7.157894736842105</v>
      </c>
      <c r="E54" s="29" t="n">
        <v>7.555555555555555</v>
      </c>
      <c r="F54" s="29" t="n">
        <v>8</v>
      </c>
      <c r="G54" s="29" t="n">
        <v>8.5</v>
      </c>
      <c r="H54" s="29" t="n">
        <v>9.066666666666666</v>
      </c>
      <c r="I54" s="29" t="n">
        <v>9.714285714285715</v>
      </c>
      <c r="J54" s="29" t="n">
        <v>10.46153846153846</v>
      </c>
      <c r="K54" s="29" t="n">
        <v>11.33333333333333</v>
      </c>
      <c r="L54" s="29" t="n">
        <v>12.36363636363636</v>
      </c>
      <c r="M54" s="29" t="n">
        <v>13.6</v>
      </c>
      <c r="N54" s="29" t="n">
        <v>15.11111111111111</v>
      </c>
      <c r="O54" s="29" t="n">
        <v>17</v>
      </c>
      <c r="P54" s="29" t="n">
        <v>19.42857142857143</v>
      </c>
      <c r="Q54" s="29" t="n">
        <v>22.66666666666667</v>
      </c>
      <c r="R54" s="29" t="n">
        <v>27.2</v>
      </c>
      <c r="S54" s="29" t="n">
        <v>34</v>
      </c>
      <c r="T54" s="29" t="n">
        <v>45.33333333333334</v>
      </c>
      <c r="U54" s="29" t="n">
        <v>68</v>
      </c>
      <c r="V54" s="29" t="n">
        <v>136</v>
      </c>
      <c r="W54" s="29" t="n">
        <v>16.05</v>
      </c>
      <c r="X54" s="29" t="n">
        <v>16.89473684210526</v>
      </c>
      <c r="Y54" s="29" t="n">
        <v>17.83333333333333</v>
      </c>
      <c r="Z54" s="29" t="n">
        <v>18.88235294117647</v>
      </c>
      <c r="AA54" s="29" t="n">
        <v>20.0625</v>
      </c>
      <c r="AB54" s="29" t="n">
        <v>21.4</v>
      </c>
      <c r="AC54" s="29" t="n">
        <v>22.92857142857143</v>
      </c>
      <c r="AD54" s="29" t="n">
        <v>24.69230769230769</v>
      </c>
      <c r="AE54" s="29" t="n">
        <v>26.75</v>
      </c>
      <c r="AF54" s="29" t="n">
        <v>29.18181818181818</v>
      </c>
      <c r="AG54" s="29" t="n">
        <v>32.1</v>
      </c>
      <c r="AH54" s="29" t="n">
        <v>35.66666666666666</v>
      </c>
      <c r="AI54" s="29" t="n">
        <v>40.125</v>
      </c>
      <c r="AJ54" s="29" t="n">
        <v>45.85714285714286</v>
      </c>
      <c r="AK54" s="29" t="n">
        <v>53.50000000000001</v>
      </c>
      <c r="AL54" s="29" t="n">
        <v>64.2</v>
      </c>
      <c r="AM54" s="29" t="n">
        <v>80.25</v>
      </c>
      <c r="AN54" s="29" t="n">
        <v>107</v>
      </c>
      <c r="AO54" s="29" t="n">
        <v>160.5</v>
      </c>
      <c r="AP54" s="29" t="n">
        <v>321</v>
      </c>
    </row>
    <row r="55">
      <c r="A55" s="6" t="inlineStr">
        <is>
          <t>P49</t>
        </is>
      </c>
      <c r="B55" s="6" t="inlineStr">
        <is>
          <t>Karitel</t>
        </is>
      </c>
      <c r="C55" s="29" t="n">
        <v>6.72</v>
      </c>
      <c r="D55" s="29" t="n">
        <v>7.073684210526316</v>
      </c>
      <c r="E55" s="29" t="n">
        <v>7.466666666666666</v>
      </c>
      <c r="F55" s="29" t="n">
        <v>7.905882352941177</v>
      </c>
      <c r="G55" s="29" t="n">
        <v>8.399999999999999</v>
      </c>
      <c r="H55" s="29" t="n">
        <v>8.959999999999999</v>
      </c>
      <c r="I55" s="29" t="n">
        <v>9.6</v>
      </c>
      <c r="J55" s="29" t="n">
        <v>10.33846153846154</v>
      </c>
      <c r="K55" s="29" t="n">
        <v>11.2</v>
      </c>
      <c r="L55" s="29" t="n">
        <v>12.21818181818182</v>
      </c>
      <c r="M55" s="29" t="n">
        <v>13.44</v>
      </c>
      <c r="N55" s="29" t="n">
        <v>14.93333333333333</v>
      </c>
      <c r="O55" s="29" t="n">
        <v>16.8</v>
      </c>
      <c r="P55" s="29" t="n">
        <v>19.2</v>
      </c>
      <c r="Q55" s="29" t="n">
        <v>22.4</v>
      </c>
      <c r="R55" s="29" t="n">
        <v>26.88</v>
      </c>
      <c r="S55" s="29" t="n">
        <v>33.59999999999999</v>
      </c>
      <c r="T55" s="29" t="n">
        <v>44.8</v>
      </c>
      <c r="U55" s="29" t="n">
        <v>67.19999999999999</v>
      </c>
      <c r="V55" s="29" t="n">
        <v>134.4</v>
      </c>
      <c r="W55" s="29" t="n">
        <v>14.1</v>
      </c>
      <c r="X55" s="29" t="n">
        <v>14.8421052631579</v>
      </c>
      <c r="Y55" s="29" t="n">
        <v>15.66666666666667</v>
      </c>
      <c r="Z55" s="29" t="n">
        <v>16.58823529411765</v>
      </c>
      <c r="AA55" s="29" t="n">
        <v>17.625</v>
      </c>
      <c r="AB55" s="29" t="n">
        <v>18.8</v>
      </c>
      <c r="AC55" s="29" t="n">
        <v>20.14285714285714</v>
      </c>
      <c r="AD55" s="29" t="n">
        <v>21.69230769230769</v>
      </c>
      <c r="AE55" s="29" t="n">
        <v>23.5</v>
      </c>
      <c r="AF55" s="29" t="n">
        <v>25.63636363636363</v>
      </c>
      <c r="AG55" s="29" t="n">
        <v>28.2</v>
      </c>
      <c r="AH55" s="29" t="n">
        <v>31.33333333333333</v>
      </c>
      <c r="AI55" s="29" t="n">
        <v>35.25</v>
      </c>
      <c r="AJ55" s="29" t="n">
        <v>40.28571428571428</v>
      </c>
      <c r="AK55" s="29" t="n">
        <v>47</v>
      </c>
      <c r="AL55" s="29" t="n">
        <v>56.39999999999999</v>
      </c>
      <c r="AM55" s="29" t="n">
        <v>70.5</v>
      </c>
      <c r="AN55" s="29" t="n">
        <v>93.99999999999999</v>
      </c>
      <c r="AO55" s="29" t="n">
        <v>141</v>
      </c>
      <c r="AP55" s="29" t="n">
        <v>281.9999999999999</v>
      </c>
    </row>
    <row r="56">
      <c r="A56" s="6" t="inlineStr">
        <is>
          <t>P50</t>
        </is>
      </c>
      <c r="B56" s="6" t="inlineStr">
        <is>
          <t>Karitel</t>
        </is>
      </c>
      <c r="C56" s="29" t="n">
        <v>6.18</v>
      </c>
      <c r="D56" s="29" t="n">
        <v>6.505263157894737</v>
      </c>
      <c r="E56" s="29" t="n">
        <v>6.866666666666666</v>
      </c>
      <c r="F56" s="29" t="n">
        <v>7.270588235294118</v>
      </c>
      <c r="G56" s="29" t="n">
        <v>7.725</v>
      </c>
      <c r="H56" s="29" t="n">
        <v>8.24</v>
      </c>
      <c r="I56" s="29" t="n">
        <v>8.828571428571429</v>
      </c>
      <c r="J56" s="29" t="n">
        <v>9.507692307692308</v>
      </c>
      <c r="K56" s="29" t="n">
        <v>10.3</v>
      </c>
      <c r="L56" s="29" t="n">
        <v>11.23636363636363</v>
      </c>
      <c r="M56" s="29" t="n">
        <v>12.36</v>
      </c>
      <c r="N56" s="29" t="n">
        <v>13.73333333333333</v>
      </c>
      <c r="O56" s="29" t="n">
        <v>15.45</v>
      </c>
      <c r="P56" s="29" t="n">
        <v>17.65714285714286</v>
      </c>
      <c r="Q56" s="29" t="n">
        <v>20.6</v>
      </c>
      <c r="R56" s="29" t="n">
        <v>24.72</v>
      </c>
      <c r="S56" s="29" t="n">
        <v>30.9</v>
      </c>
      <c r="T56" s="29" t="n">
        <v>41.2</v>
      </c>
      <c r="U56" s="29" t="n">
        <v>61.8</v>
      </c>
      <c r="V56" s="29" t="n">
        <v>123.6</v>
      </c>
      <c r="W56" s="29" t="n">
        <v>13.26</v>
      </c>
      <c r="X56" s="29" t="n">
        <v>13.95789473684211</v>
      </c>
      <c r="Y56" s="29" t="n">
        <v>14.73333333333333</v>
      </c>
      <c r="Z56" s="29" t="n">
        <v>15.6</v>
      </c>
      <c r="AA56" s="29" t="n">
        <v>16.575</v>
      </c>
      <c r="AB56" s="29" t="n">
        <v>17.68</v>
      </c>
      <c r="AC56" s="29" t="n">
        <v>18.94285714285714</v>
      </c>
      <c r="AD56" s="29" t="n">
        <v>20.4</v>
      </c>
      <c r="AE56" s="29" t="n">
        <v>22.1</v>
      </c>
      <c r="AF56" s="29" t="n">
        <v>24.10909090909091</v>
      </c>
      <c r="AG56" s="29" t="n">
        <v>26.52</v>
      </c>
      <c r="AH56" s="29" t="n">
        <v>29.46666666666667</v>
      </c>
      <c r="AI56" s="29" t="n">
        <v>33.15</v>
      </c>
      <c r="AJ56" s="29" t="n">
        <v>37.88571428571429</v>
      </c>
      <c r="AK56" s="29" t="n">
        <v>44.2</v>
      </c>
      <c r="AL56" s="29" t="n">
        <v>53.04</v>
      </c>
      <c r="AM56" s="29" t="n">
        <v>66.3</v>
      </c>
      <c r="AN56" s="29" t="n">
        <v>88.40000000000001</v>
      </c>
      <c r="AO56" s="29" t="n">
        <v>132.6</v>
      </c>
      <c r="AP56" s="29" t="n">
        <v>265.2</v>
      </c>
    </row>
    <row r="57">
      <c r="A57" s="6" t="inlineStr">
        <is>
          <t>P51</t>
        </is>
      </c>
      <c r="B57" s="6" t="inlineStr">
        <is>
          <t>Karitel</t>
        </is>
      </c>
      <c r="C57" s="29" t="n">
        <v>5.995</v>
      </c>
      <c r="D57" s="29" t="n">
        <v>6.310526315789474</v>
      </c>
      <c r="E57" s="29" t="n">
        <v>6.661111111111111</v>
      </c>
      <c r="F57" s="29" t="n">
        <v>7.052941176470589</v>
      </c>
      <c r="G57" s="29" t="n">
        <v>7.493749999999999</v>
      </c>
      <c r="H57" s="29" t="n">
        <v>7.993333333333333</v>
      </c>
      <c r="I57" s="29" t="n">
        <v>8.564285714285715</v>
      </c>
      <c r="J57" s="29" t="n">
        <v>9.223076923076922</v>
      </c>
      <c r="K57" s="29" t="n">
        <v>9.991666666666667</v>
      </c>
      <c r="L57" s="29" t="n">
        <v>10.9</v>
      </c>
      <c r="M57" s="29" t="n">
        <v>11.99</v>
      </c>
      <c r="N57" s="29" t="n">
        <v>13.32222222222222</v>
      </c>
      <c r="O57" s="29" t="n">
        <v>14.9875</v>
      </c>
      <c r="P57" s="29" t="n">
        <v>17.12857142857143</v>
      </c>
      <c r="Q57" s="29" t="n">
        <v>19.98333333333333</v>
      </c>
      <c r="R57" s="29" t="n">
        <v>23.98</v>
      </c>
      <c r="S57" s="29" t="n">
        <v>29.975</v>
      </c>
      <c r="T57" s="29" t="n">
        <v>39.96666666666667</v>
      </c>
      <c r="U57" s="29" t="n">
        <v>59.95</v>
      </c>
      <c r="V57" s="29" t="n">
        <v>119.9</v>
      </c>
      <c r="W57" s="29" t="n">
        <v>13.26</v>
      </c>
      <c r="X57" s="29" t="n">
        <v>13.95789473684211</v>
      </c>
      <c r="Y57" s="29" t="n">
        <v>14.73333333333333</v>
      </c>
      <c r="Z57" s="29" t="n">
        <v>15.6</v>
      </c>
      <c r="AA57" s="29" t="n">
        <v>16.575</v>
      </c>
      <c r="AB57" s="29" t="n">
        <v>17.68</v>
      </c>
      <c r="AC57" s="29" t="n">
        <v>18.94285714285714</v>
      </c>
      <c r="AD57" s="29" t="n">
        <v>20.4</v>
      </c>
      <c r="AE57" s="29" t="n">
        <v>22.1</v>
      </c>
      <c r="AF57" s="29" t="n">
        <v>24.10909090909091</v>
      </c>
      <c r="AG57" s="29" t="n">
        <v>26.52</v>
      </c>
      <c r="AH57" s="29" t="n">
        <v>29.46666666666667</v>
      </c>
      <c r="AI57" s="29" t="n">
        <v>33.15</v>
      </c>
      <c r="AJ57" s="29" t="n">
        <v>37.88571428571429</v>
      </c>
      <c r="AK57" s="29" t="n">
        <v>44.2</v>
      </c>
      <c r="AL57" s="29" t="n">
        <v>53.04</v>
      </c>
      <c r="AM57" s="29" t="n">
        <v>66.3</v>
      </c>
      <c r="AN57" s="29" t="n">
        <v>88.40000000000001</v>
      </c>
      <c r="AO57" s="29" t="n">
        <v>132.6</v>
      </c>
      <c r="AP57" s="29" t="n">
        <v>265.2</v>
      </c>
    </row>
    <row r="58">
      <c r="A58" s="6" t="inlineStr">
        <is>
          <t>P52</t>
        </is>
      </c>
      <c r="B58" s="6" t="inlineStr">
        <is>
          <t>Karitel</t>
        </is>
      </c>
      <c r="C58" s="29" t="n">
        <v>6.435</v>
      </c>
      <c r="D58" s="29" t="n">
        <v>6.773684210526316</v>
      </c>
      <c r="E58" s="29" t="n">
        <v>7.149999999999999</v>
      </c>
      <c r="F58" s="29" t="n">
        <v>7.570588235294117</v>
      </c>
      <c r="G58" s="29" t="n">
        <v>8.043749999999999</v>
      </c>
      <c r="H58" s="29" t="n">
        <v>8.58</v>
      </c>
      <c r="I58" s="29" t="n">
        <v>9.192857142857143</v>
      </c>
      <c r="J58" s="29" t="n">
        <v>9.899999999999999</v>
      </c>
      <c r="K58" s="29" t="n">
        <v>10.725</v>
      </c>
      <c r="L58" s="29" t="n">
        <v>11.7</v>
      </c>
      <c r="M58" s="29" t="n">
        <v>12.87</v>
      </c>
      <c r="N58" s="29" t="n">
        <v>14.3</v>
      </c>
      <c r="O58" s="29" t="n">
        <v>16.0875</v>
      </c>
      <c r="P58" s="29" t="n">
        <v>18.38571428571429</v>
      </c>
      <c r="Q58" s="29" t="n">
        <v>21.45</v>
      </c>
      <c r="R58" s="29" t="n">
        <v>25.74</v>
      </c>
      <c r="S58" s="29" t="n">
        <v>32.175</v>
      </c>
      <c r="T58" s="29" t="n">
        <v>42.9</v>
      </c>
      <c r="U58" s="29" t="n">
        <v>64.34999999999999</v>
      </c>
      <c r="V58" s="29" t="n">
        <v>128.7</v>
      </c>
      <c r="W58" s="29" t="n">
        <v>16.05</v>
      </c>
      <c r="X58" s="29" t="n">
        <v>16.89473684210526</v>
      </c>
      <c r="Y58" s="29" t="n">
        <v>17.83333333333333</v>
      </c>
      <c r="Z58" s="29" t="n">
        <v>18.88235294117647</v>
      </c>
      <c r="AA58" s="29" t="n">
        <v>20.0625</v>
      </c>
      <c r="AB58" s="29" t="n">
        <v>21.4</v>
      </c>
      <c r="AC58" s="29" t="n">
        <v>22.92857142857143</v>
      </c>
      <c r="AD58" s="29" t="n">
        <v>24.69230769230769</v>
      </c>
      <c r="AE58" s="29" t="n">
        <v>26.75</v>
      </c>
      <c r="AF58" s="29" t="n">
        <v>29.18181818181818</v>
      </c>
      <c r="AG58" s="29" t="n">
        <v>32.1</v>
      </c>
      <c r="AH58" s="29" t="n">
        <v>35.66666666666666</v>
      </c>
      <c r="AI58" s="29" t="n">
        <v>40.125</v>
      </c>
      <c r="AJ58" s="29" t="n">
        <v>45.85714285714286</v>
      </c>
      <c r="AK58" s="29" t="n">
        <v>53.50000000000001</v>
      </c>
      <c r="AL58" s="29" t="n">
        <v>64.2</v>
      </c>
      <c r="AM58" s="29" t="n">
        <v>80.25</v>
      </c>
      <c r="AN58" s="29" t="n">
        <v>107</v>
      </c>
      <c r="AO58" s="29" t="n">
        <v>160.5</v>
      </c>
      <c r="AP58" s="29" t="n">
        <v>321</v>
      </c>
    </row>
    <row r="59">
      <c r="A59" s="6" t="inlineStr">
        <is>
          <t>P53</t>
        </is>
      </c>
      <c r="B59" s="6" t="inlineStr">
        <is>
          <t>Karitel</t>
        </is>
      </c>
      <c r="C59" s="29" t="n">
        <v>5.04</v>
      </c>
      <c r="D59" s="29" t="n">
        <v>5.305263157894737</v>
      </c>
      <c r="E59" s="29" t="n">
        <v>5.6</v>
      </c>
      <c r="F59" s="29" t="n">
        <v>5.929411764705883</v>
      </c>
      <c r="G59" s="29" t="n">
        <v>6.3</v>
      </c>
      <c r="H59" s="29" t="n">
        <v>6.72</v>
      </c>
      <c r="I59" s="29" t="n">
        <v>7.2</v>
      </c>
      <c r="J59" s="29" t="n">
        <v>7.753846153846154</v>
      </c>
      <c r="K59" s="29" t="n">
        <v>8.4</v>
      </c>
      <c r="L59" s="29" t="n">
        <v>9.163636363636362</v>
      </c>
      <c r="M59" s="29" t="n">
        <v>10.08</v>
      </c>
      <c r="N59" s="29" t="n">
        <v>11.2</v>
      </c>
      <c r="O59" s="29" t="n">
        <v>12.6</v>
      </c>
      <c r="P59" s="29" t="n">
        <v>14.4</v>
      </c>
      <c r="Q59" s="29" t="n">
        <v>16.8</v>
      </c>
      <c r="R59" s="29" t="n">
        <v>20.16</v>
      </c>
      <c r="S59" s="29" t="n">
        <v>25.2</v>
      </c>
      <c r="T59" s="29" t="n">
        <v>33.6</v>
      </c>
      <c r="U59" s="29" t="n">
        <v>50.4</v>
      </c>
      <c r="V59" s="29" t="n">
        <v>100.8</v>
      </c>
      <c r="W59" s="29" t="n">
        <v>10.94</v>
      </c>
      <c r="X59" s="29" t="n">
        <v>11.51578947368421</v>
      </c>
      <c r="Y59" s="29" t="n">
        <v>12.15555555555556</v>
      </c>
      <c r="Z59" s="29" t="n">
        <v>12.87058823529412</v>
      </c>
      <c r="AA59" s="29" t="n">
        <v>13.675</v>
      </c>
      <c r="AB59" s="29" t="n">
        <v>14.58666666666667</v>
      </c>
      <c r="AC59" s="29" t="n">
        <v>15.62857142857143</v>
      </c>
      <c r="AD59" s="29" t="n">
        <v>16.83076923076923</v>
      </c>
      <c r="AE59" s="29" t="n">
        <v>18.23333333333333</v>
      </c>
      <c r="AF59" s="29" t="n">
        <v>19.89090909090909</v>
      </c>
      <c r="AG59" s="29" t="n">
        <v>21.88</v>
      </c>
      <c r="AH59" s="29" t="n">
        <v>24.31111111111111</v>
      </c>
      <c r="AI59" s="29" t="n">
        <v>27.35</v>
      </c>
      <c r="AJ59" s="29" t="n">
        <v>31.25714285714286</v>
      </c>
      <c r="AK59" s="29" t="n">
        <v>36.46666666666667</v>
      </c>
      <c r="AL59" s="29" t="n">
        <v>43.76</v>
      </c>
      <c r="AM59" s="29" t="n">
        <v>54.7</v>
      </c>
      <c r="AN59" s="29" t="n">
        <v>72.93333333333334</v>
      </c>
      <c r="AO59" s="29" t="n">
        <v>109.4</v>
      </c>
      <c r="AP59" s="29" t="n">
        <v>218.8</v>
      </c>
    </row>
    <row r="60">
      <c r="A60" s="6" t="inlineStr">
        <is>
          <t>P54</t>
        </is>
      </c>
      <c r="B60" s="6" t="inlineStr">
        <is>
          <t>Karitel</t>
        </is>
      </c>
      <c r="C60" s="29" t="n">
        <v>5.9</v>
      </c>
      <c r="D60" s="29" t="n">
        <v>6.210526315789474</v>
      </c>
      <c r="E60" s="29" t="n">
        <v>6.555555555555555</v>
      </c>
      <c r="F60" s="29" t="n">
        <v>6.941176470588236</v>
      </c>
      <c r="G60" s="29" t="n">
        <v>7.375</v>
      </c>
      <c r="H60" s="29" t="n">
        <v>7.866666666666667</v>
      </c>
      <c r="I60" s="29" t="n">
        <v>8.428571428571429</v>
      </c>
      <c r="J60" s="29" t="n">
        <v>9.076923076923077</v>
      </c>
      <c r="K60" s="29" t="n">
        <v>9.833333333333334</v>
      </c>
      <c r="L60" s="29" t="n">
        <v>10.72727272727273</v>
      </c>
      <c r="M60" s="29" t="n">
        <v>11.8</v>
      </c>
      <c r="N60" s="29" t="n">
        <v>13.11111111111111</v>
      </c>
      <c r="O60" s="29" t="n">
        <v>14.75</v>
      </c>
      <c r="P60" s="29" t="n">
        <v>16.85714285714286</v>
      </c>
      <c r="Q60" s="29" t="n">
        <v>19.66666666666667</v>
      </c>
      <c r="R60" s="29" t="n">
        <v>23.6</v>
      </c>
      <c r="S60" s="29" t="n">
        <v>29.5</v>
      </c>
      <c r="T60" s="29" t="n">
        <v>39.33333333333334</v>
      </c>
      <c r="U60" s="29" t="n">
        <v>59</v>
      </c>
      <c r="V60" s="29" t="n">
        <v>118</v>
      </c>
      <c r="W60" s="29" t="n">
        <v>13.57</v>
      </c>
      <c r="X60" s="29" t="n">
        <v>14.28421052631579</v>
      </c>
      <c r="Y60" s="29" t="n">
        <v>15.07777777777778</v>
      </c>
      <c r="Z60" s="29" t="n">
        <v>15.96470588235294</v>
      </c>
      <c r="AA60" s="29" t="n">
        <v>16.9625</v>
      </c>
      <c r="AB60" s="29" t="n">
        <v>18.09333333333333</v>
      </c>
      <c r="AC60" s="29" t="n">
        <v>19.38571428571429</v>
      </c>
      <c r="AD60" s="29" t="n">
        <v>20.87692307692308</v>
      </c>
      <c r="AE60" s="29" t="n">
        <v>22.61666666666667</v>
      </c>
      <c r="AF60" s="29" t="n">
        <v>24.67272727272727</v>
      </c>
      <c r="AG60" s="29" t="n">
        <v>27.14</v>
      </c>
      <c r="AH60" s="29" t="n">
        <v>30.15555555555556</v>
      </c>
      <c r="AI60" s="29" t="n">
        <v>33.925</v>
      </c>
      <c r="AJ60" s="29" t="n">
        <v>38.77142857142857</v>
      </c>
      <c r="AK60" s="29" t="n">
        <v>45.23333333333333</v>
      </c>
      <c r="AL60" s="29" t="n">
        <v>54.28</v>
      </c>
      <c r="AM60" s="29" t="n">
        <v>67.84999999999999</v>
      </c>
      <c r="AN60" s="29" t="n">
        <v>90.46666666666667</v>
      </c>
      <c r="AO60" s="29" t="n">
        <v>135.7</v>
      </c>
      <c r="AP60" s="29" t="n">
        <v>271.4</v>
      </c>
    </row>
    <row r="61">
      <c r="A61" s="6" t="inlineStr">
        <is>
          <t>P55</t>
        </is>
      </c>
      <c r="B61" s="6" t="inlineStr">
        <is>
          <t>Karitel</t>
        </is>
      </c>
      <c r="C61" s="29" t="n">
        <v>6.42</v>
      </c>
      <c r="D61" s="29" t="n">
        <v>6.757894736842106</v>
      </c>
      <c r="E61" s="29" t="n">
        <v>7.133333333333333</v>
      </c>
      <c r="F61" s="29" t="n">
        <v>7.552941176470588</v>
      </c>
      <c r="G61" s="29" t="n">
        <v>8.024999999999999</v>
      </c>
      <c r="H61" s="29" t="n">
        <v>8.56</v>
      </c>
      <c r="I61" s="29" t="n">
        <v>9.171428571428573</v>
      </c>
      <c r="J61" s="29" t="n">
        <v>9.876923076923077</v>
      </c>
      <c r="K61" s="29" t="n">
        <v>10.7</v>
      </c>
      <c r="L61" s="29" t="n">
        <v>11.67272727272727</v>
      </c>
      <c r="M61" s="29" t="n">
        <v>12.84</v>
      </c>
      <c r="N61" s="29" t="n">
        <v>14.26666666666667</v>
      </c>
      <c r="O61" s="29" t="n">
        <v>16.05</v>
      </c>
      <c r="P61" s="29" t="n">
        <v>18.34285714285715</v>
      </c>
      <c r="Q61" s="29" t="n">
        <v>21.4</v>
      </c>
      <c r="R61" s="29" t="n">
        <v>25.68</v>
      </c>
      <c r="S61" s="29" t="n">
        <v>32.09999999999999</v>
      </c>
      <c r="T61" s="29" t="n">
        <v>42.8</v>
      </c>
      <c r="U61" s="29" t="n">
        <v>64.19999999999999</v>
      </c>
      <c r="V61" s="29" t="n">
        <v>128.4</v>
      </c>
      <c r="W61" s="29" t="n">
        <v>15.11</v>
      </c>
      <c r="X61" s="29" t="n">
        <v>15.90526315789474</v>
      </c>
      <c r="Y61" s="29" t="n">
        <v>16.78888888888889</v>
      </c>
      <c r="Z61" s="29" t="n">
        <v>17.77647058823529</v>
      </c>
      <c r="AA61" s="29" t="n">
        <v>18.8875</v>
      </c>
      <c r="AB61" s="29" t="n">
        <v>20.14666666666666</v>
      </c>
      <c r="AC61" s="29" t="n">
        <v>21.58571428571429</v>
      </c>
      <c r="AD61" s="29" t="n">
        <v>23.24615384615385</v>
      </c>
      <c r="AE61" s="29" t="n">
        <v>25.18333333333333</v>
      </c>
      <c r="AF61" s="29" t="n">
        <v>27.47272727272727</v>
      </c>
      <c r="AG61" s="29" t="n">
        <v>30.22</v>
      </c>
      <c r="AH61" s="29" t="n">
        <v>33.57777777777778</v>
      </c>
      <c r="AI61" s="29" t="n">
        <v>37.775</v>
      </c>
      <c r="AJ61" s="29" t="n">
        <v>43.17142857142857</v>
      </c>
      <c r="AK61" s="29" t="n">
        <v>50.36666666666667</v>
      </c>
      <c r="AL61" s="29" t="n">
        <v>60.44</v>
      </c>
      <c r="AM61" s="29" t="n">
        <v>75.55</v>
      </c>
      <c r="AN61" s="29" t="n">
        <v>100.7333333333333</v>
      </c>
      <c r="AO61" s="29" t="n">
        <v>151.1</v>
      </c>
      <c r="AP61" s="29" t="n">
        <v>302.2</v>
      </c>
    </row>
    <row r="62">
      <c r="A62" s="6" t="inlineStr">
        <is>
          <t>P56</t>
        </is>
      </c>
      <c r="B62" s="6" t="inlineStr">
        <is>
          <t>Karitel</t>
        </is>
      </c>
      <c r="C62" s="29" t="n">
        <v>5.775</v>
      </c>
      <c r="D62" s="29" t="n">
        <v>6.078947368421053</v>
      </c>
      <c r="E62" s="29" t="n">
        <v>6.416666666666667</v>
      </c>
      <c r="F62" s="29" t="n">
        <v>6.794117647058824</v>
      </c>
      <c r="G62" s="29" t="n">
        <v>7.21875</v>
      </c>
      <c r="H62" s="29" t="n">
        <v>7.7</v>
      </c>
      <c r="I62" s="29" t="n">
        <v>8.250000000000002</v>
      </c>
      <c r="J62" s="29" t="n">
        <v>8.884615384615385</v>
      </c>
      <c r="K62" s="29" t="n">
        <v>9.625000000000002</v>
      </c>
      <c r="L62" s="29" t="n">
        <v>10.5</v>
      </c>
      <c r="M62" s="29" t="n">
        <v>11.55</v>
      </c>
      <c r="N62" s="29" t="n">
        <v>12.83333333333333</v>
      </c>
      <c r="O62" s="29" t="n">
        <v>14.4375</v>
      </c>
      <c r="P62" s="29" t="n">
        <v>16.5</v>
      </c>
      <c r="Q62" s="29" t="n">
        <v>19.25</v>
      </c>
      <c r="R62" s="29" t="n">
        <v>23.1</v>
      </c>
      <c r="S62" s="29" t="n">
        <v>28.875</v>
      </c>
      <c r="T62" s="29" t="n">
        <v>38.50000000000001</v>
      </c>
      <c r="U62" s="29" t="n">
        <v>57.75</v>
      </c>
      <c r="V62" s="29" t="n">
        <v>115.5</v>
      </c>
      <c r="W62" s="29" t="n">
        <v>15.57</v>
      </c>
      <c r="X62" s="29" t="n">
        <v>16.38947368421053</v>
      </c>
      <c r="Y62" s="29" t="n">
        <v>17.3</v>
      </c>
      <c r="Z62" s="29" t="n">
        <v>18.31764705882353</v>
      </c>
      <c r="AA62" s="29" t="n">
        <v>19.4625</v>
      </c>
      <c r="AB62" s="29" t="n">
        <v>20.76</v>
      </c>
      <c r="AC62" s="29" t="n">
        <v>22.24285714285714</v>
      </c>
      <c r="AD62" s="29" t="n">
        <v>23.95384615384615</v>
      </c>
      <c r="AE62" s="29" t="n">
        <v>25.95</v>
      </c>
      <c r="AF62" s="29" t="n">
        <v>28.30909090909091</v>
      </c>
      <c r="AG62" s="29" t="n">
        <v>31.14</v>
      </c>
      <c r="AH62" s="29" t="n">
        <v>34.6</v>
      </c>
      <c r="AI62" s="29" t="n">
        <v>38.925</v>
      </c>
      <c r="AJ62" s="29" t="n">
        <v>44.48571428571429</v>
      </c>
      <c r="AK62" s="29" t="n">
        <v>51.90000000000001</v>
      </c>
      <c r="AL62" s="29" t="n">
        <v>62.28</v>
      </c>
      <c r="AM62" s="29" t="n">
        <v>77.84999999999999</v>
      </c>
      <c r="AN62" s="29" t="n">
        <v>103.8</v>
      </c>
      <c r="AO62" s="29" t="n">
        <v>155.7</v>
      </c>
      <c r="AP62" s="29" t="n">
        <v>311.4</v>
      </c>
    </row>
    <row r="63">
      <c r="A63" s="6" t="inlineStr">
        <is>
          <t>P57</t>
        </is>
      </c>
      <c r="B63" s="6" t="inlineStr">
        <is>
          <t>Karitel</t>
        </is>
      </c>
      <c r="C63" s="29" t="n">
        <v>6.65</v>
      </c>
      <c r="D63" s="29" t="n">
        <v>7.000000000000001</v>
      </c>
      <c r="E63" s="29" t="n">
        <v>7.388888888888889</v>
      </c>
      <c r="F63" s="29" t="n">
        <v>7.823529411764707</v>
      </c>
      <c r="G63" s="29" t="n">
        <v>8.3125</v>
      </c>
      <c r="H63" s="29" t="n">
        <v>8.866666666666667</v>
      </c>
      <c r="I63" s="29" t="n">
        <v>9.500000000000002</v>
      </c>
      <c r="J63" s="29" t="n">
        <v>10.23076923076923</v>
      </c>
      <c r="K63" s="29" t="n">
        <v>11.08333333333333</v>
      </c>
      <c r="L63" s="29" t="n">
        <v>12.09090909090909</v>
      </c>
      <c r="M63" s="29" t="n">
        <v>13.3</v>
      </c>
      <c r="N63" s="29" t="n">
        <v>14.77777777777778</v>
      </c>
      <c r="O63" s="29" t="n">
        <v>16.625</v>
      </c>
      <c r="P63" s="29" t="n">
        <v>19</v>
      </c>
      <c r="Q63" s="29" t="n">
        <v>22.16666666666667</v>
      </c>
      <c r="R63" s="29" t="n">
        <v>26.6</v>
      </c>
      <c r="S63" s="29" t="n">
        <v>33.25</v>
      </c>
      <c r="T63" s="29" t="n">
        <v>44.33333333333334</v>
      </c>
      <c r="U63" s="29" t="n">
        <v>66.5</v>
      </c>
      <c r="V63" s="29" t="n">
        <v>133</v>
      </c>
      <c r="W63" s="29" t="n">
        <v>15.11</v>
      </c>
      <c r="X63" s="29" t="n">
        <v>15.90526315789474</v>
      </c>
      <c r="Y63" s="29" t="n">
        <v>16.78888888888889</v>
      </c>
      <c r="Z63" s="29" t="n">
        <v>17.77647058823529</v>
      </c>
      <c r="AA63" s="29" t="n">
        <v>18.8875</v>
      </c>
      <c r="AB63" s="29" t="n">
        <v>20.14666666666666</v>
      </c>
      <c r="AC63" s="29" t="n">
        <v>21.58571428571429</v>
      </c>
      <c r="AD63" s="29" t="n">
        <v>23.24615384615385</v>
      </c>
      <c r="AE63" s="29" t="n">
        <v>25.18333333333333</v>
      </c>
      <c r="AF63" s="29" t="n">
        <v>27.47272727272727</v>
      </c>
      <c r="AG63" s="29" t="n">
        <v>30.22</v>
      </c>
      <c r="AH63" s="29" t="n">
        <v>33.57777777777778</v>
      </c>
      <c r="AI63" s="29" t="n">
        <v>37.775</v>
      </c>
      <c r="AJ63" s="29" t="n">
        <v>43.17142857142857</v>
      </c>
      <c r="AK63" s="29" t="n">
        <v>50.36666666666667</v>
      </c>
      <c r="AL63" s="29" t="n">
        <v>60.44</v>
      </c>
      <c r="AM63" s="29" t="n">
        <v>75.55</v>
      </c>
      <c r="AN63" s="29" t="n">
        <v>100.7333333333333</v>
      </c>
      <c r="AO63" s="29" t="n">
        <v>151.1</v>
      </c>
      <c r="AP63" s="29" t="n">
        <v>302.2</v>
      </c>
    </row>
    <row r="64">
      <c r="A64" s="6" t="inlineStr">
        <is>
          <t>P58</t>
        </is>
      </c>
      <c r="B64" s="6" t="inlineStr">
        <is>
          <t>Karitel</t>
        </is>
      </c>
      <c r="C64" s="29" t="n">
        <v>6.65</v>
      </c>
      <c r="D64" s="29" t="n">
        <v>7.000000000000001</v>
      </c>
      <c r="E64" s="29" t="n">
        <v>7.388888888888889</v>
      </c>
      <c r="F64" s="29" t="n">
        <v>7.823529411764707</v>
      </c>
      <c r="G64" s="29" t="n">
        <v>8.3125</v>
      </c>
      <c r="H64" s="29" t="n">
        <v>8.866666666666667</v>
      </c>
      <c r="I64" s="29" t="n">
        <v>9.500000000000002</v>
      </c>
      <c r="J64" s="29" t="n">
        <v>10.23076923076923</v>
      </c>
      <c r="K64" s="29" t="n">
        <v>11.08333333333333</v>
      </c>
      <c r="L64" s="29" t="n">
        <v>12.09090909090909</v>
      </c>
      <c r="M64" s="29" t="n">
        <v>13.3</v>
      </c>
      <c r="N64" s="29" t="n">
        <v>14.77777777777778</v>
      </c>
      <c r="O64" s="29" t="n">
        <v>16.625</v>
      </c>
      <c r="P64" s="29" t="n">
        <v>19</v>
      </c>
      <c r="Q64" s="29" t="n">
        <v>22.16666666666667</v>
      </c>
      <c r="R64" s="29" t="n">
        <v>26.6</v>
      </c>
      <c r="S64" s="29" t="n">
        <v>33.25</v>
      </c>
      <c r="T64" s="29" t="n">
        <v>44.33333333333334</v>
      </c>
      <c r="U64" s="29" t="n">
        <v>66.5</v>
      </c>
      <c r="V64" s="29" t="n">
        <v>133</v>
      </c>
      <c r="W64" s="29" t="n">
        <v>15.11</v>
      </c>
      <c r="X64" s="29" t="n">
        <v>15.90526315789474</v>
      </c>
      <c r="Y64" s="29" t="n">
        <v>16.78888888888889</v>
      </c>
      <c r="Z64" s="29" t="n">
        <v>17.77647058823529</v>
      </c>
      <c r="AA64" s="29" t="n">
        <v>18.8875</v>
      </c>
      <c r="AB64" s="29" t="n">
        <v>20.14666666666666</v>
      </c>
      <c r="AC64" s="29" t="n">
        <v>21.58571428571429</v>
      </c>
      <c r="AD64" s="29" t="n">
        <v>23.24615384615385</v>
      </c>
      <c r="AE64" s="29" t="n">
        <v>25.18333333333333</v>
      </c>
      <c r="AF64" s="29" t="n">
        <v>27.47272727272727</v>
      </c>
      <c r="AG64" s="29" t="n">
        <v>30.22</v>
      </c>
      <c r="AH64" s="29" t="n">
        <v>33.57777777777778</v>
      </c>
      <c r="AI64" s="29" t="n">
        <v>37.775</v>
      </c>
      <c r="AJ64" s="29" t="n">
        <v>43.17142857142857</v>
      </c>
      <c r="AK64" s="29" t="n">
        <v>50.36666666666667</v>
      </c>
      <c r="AL64" s="29" t="n">
        <v>60.44</v>
      </c>
      <c r="AM64" s="29" t="n">
        <v>75.55</v>
      </c>
      <c r="AN64" s="29" t="n">
        <v>100.7333333333333</v>
      </c>
      <c r="AO64" s="29" t="n">
        <v>151.1</v>
      </c>
      <c r="AP64" s="29" t="n">
        <v>302.2</v>
      </c>
    </row>
    <row r="65">
      <c r="A65" s="6" t="inlineStr">
        <is>
          <t>P59</t>
        </is>
      </c>
      <c r="B65" s="6" t="inlineStr">
        <is>
          <t>Karitel</t>
        </is>
      </c>
      <c r="C65" s="29" t="n">
        <v>6.16</v>
      </c>
      <c r="D65" s="29" t="n">
        <v>6.48421052631579</v>
      </c>
      <c r="E65" s="29" t="n">
        <v>6.844444444444444</v>
      </c>
      <c r="F65" s="29" t="n">
        <v>7.247058823529412</v>
      </c>
      <c r="G65" s="29" t="n">
        <v>7.7</v>
      </c>
      <c r="H65" s="29" t="n">
        <v>8.213333333333333</v>
      </c>
      <c r="I65" s="29" t="n">
        <v>8.800000000000001</v>
      </c>
      <c r="J65" s="29" t="n">
        <v>9.476923076923077</v>
      </c>
      <c r="K65" s="29" t="n">
        <v>10.26666666666667</v>
      </c>
      <c r="L65" s="29" t="n">
        <v>11.2</v>
      </c>
      <c r="M65" s="29" t="n">
        <v>12.32</v>
      </c>
      <c r="N65" s="29" t="n">
        <v>13.68888888888889</v>
      </c>
      <c r="O65" s="29" t="n">
        <v>15.4</v>
      </c>
      <c r="P65" s="29" t="n">
        <v>17.6</v>
      </c>
      <c r="Q65" s="29" t="n">
        <v>20.53333333333333</v>
      </c>
      <c r="R65" s="29" t="n">
        <v>24.64</v>
      </c>
      <c r="S65" s="29" t="n">
        <v>30.8</v>
      </c>
      <c r="T65" s="29" t="n">
        <v>41.06666666666667</v>
      </c>
      <c r="U65" s="29" t="n">
        <v>61.6</v>
      </c>
      <c r="V65" s="29" t="n">
        <v>123.2</v>
      </c>
      <c r="W65" s="29" t="n">
        <v>14.8</v>
      </c>
      <c r="X65" s="29" t="n">
        <v>15.57894736842105</v>
      </c>
      <c r="Y65" s="29" t="n">
        <v>16.44444444444445</v>
      </c>
      <c r="Z65" s="29" t="n">
        <v>17.41176470588236</v>
      </c>
      <c r="AA65" s="29" t="n">
        <v>18.5</v>
      </c>
      <c r="AB65" s="29" t="n">
        <v>19.73333333333333</v>
      </c>
      <c r="AC65" s="29" t="n">
        <v>21.14285714285715</v>
      </c>
      <c r="AD65" s="29" t="n">
        <v>22.76923076923077</v>
      </c>
      <c r="AE65" s="29" t="n">
        <v>24.66666666666667</v>
      </c>
      <c r="AF65" s="29" t="n">
        <v>26.90909090909091</v>
      </c>
      <c r="AG65" s="29" t="n">
        <v>29.6</v>
      </c>
      <c r="AH65" s="29" t="n">
        <v>32.88888888888889</v>
      </c>
      <c r="AI65" s="29" t="n">
        <v>37</v>
      </c>
      <c r="AJ65" s="29" t="n">
        <v>42.28571428571428</v>
      </c>
      <c r="AK65" s="29" t="n">
        <v>49.33333333333334</v>
      </c>
      <c r="AL65" s="29" t="n">
        <v>59.2</v>
      </c>
      <c r="AM65" s="29" t="n">
        <v>74</v>
      </c>
      <c r="AN65" s="29" t="n">
        <v>98.66666666666666</v>
      </c>
      <c r="AO65" s="29" t="n">
        <v>148</v>
      </c>
      <c r="AP65" s="29" t="n">
        <v>295.9999999999999</v>
      </c>
    </row>
    <row r="66">
      <c r="A66" s="6" t="inlineStr">
        <is>
          <t>P60</t>
        </is>
      </c>
      <c r="B66" s="6" t="inlineStr">
        <is>
          <t>Karitel</t>
        </is>
      </c>
      <c r="C66" s="29" t="n">
        <v>6.37</v>
      </c>
      <c r="D66" s="29" t="n">
        <v>6.705263157894738</v>
      </c>
      <c r="E66" s="29" t="n">
        <v>7.077777777777778</v>
      </c>
      <c r="F66" s="29" t="n">
        <v>7.494117647058824</v>
      </c>
      <c r="G66" s="29" t="n">
        <v>7.962499999999999</v>
      </c>
      <c r="H66" s="29" t="n">
        <v>8.493333333333334</v>
      </c>
      <c r="I66" s="29" t="n">
        <v>9.100000000000001</v>
      </c>
      <c r="J66" s="29" t="n">
        <v>9.800000000000001</v>
      </c>
      <c r="K66" s="29" t="n">
        <v>10.61666666666667</v>
      </c>
      <c r="L66" s="29" t="n">
        <v>11.58181818181818</v>
      </c>
      <c r="M66" s="29" t="n">
        <v>12.74</v>
      </c>
      <c r="N66" s="29" t="n">
        <v>14.15555555555556</v>
      </c>
      <c r="O66" s="29" t="n">
        <v>15.925</v>
      </c>
      <c r="P66" s="29" t="n">
        <v>18.2</v>
      </c>
      <c r="Q66" s="29" t="n">
        <v>21.23333333333333</v>
      </c>
      <c r="R66" s="29" t="n">
        <v>25.48</v>
      </c>
      <c r="S66" s="29" t="n">
        <v>31.85</v>
      </c>
      <c r="T66" s="29" t="n">
        <v>42.46666666666667</v>
      </c>
      <c r="U66" s="29" t="n">
        <v>63.7</v>
      </c>
      <c r="V66" s="29" t="n">
        <v>127.4</v>
      </c>
      <c r="W66" s="29" t="n">
        <v>15.11</v>
      </c>
      <c r="X66" s="29" t="n">
        <v>15.90526315789474</v>
      </c>
      <c r="Y66" s="29" t="n">
        <v>16.78888888888889</v>
      </c>
      <c r="Z66" s="29" t="n">
        <v>17.77647058823529</v>
      </c>
      <c r="AA66" s="29" t="n">
        <v>18.8875</v>
      </c>
      <c r="AB66" s="29" t="n">
        <v>20.14666666666666</v>
      </c>
      <c r="AC66" s="29" t="n">
        <v>21.58571428571429</v>
      </c>
      <c r="AD66" s="29" t="n">
        <v>23.24615384615385</v>
      </c>
      <c r="AE66" s="29" t="n">
        <v>25.18333333333333</v>
      </c>
      <c r="AF66" s="29" t="n">
        <v>27.47272727272727</v>
      </c>
      <c r="AG66" s="29" t="n">
        <v>30.22</v>
      </c>
      <c r="AH66" s="29" t="n">
        <v>33.57777777777778</v>
      </c>
      <c r="AI66" s="29" t="n">
        <v>37.775</v>
      </c>
      <c r="AJ66" s="29" t="n">
        <v>43.17142857142857</v>
      </c>
      <c r="AK66" s="29" t="n">
        <v>50.36666666666667</v>
      </c>
      <c r="AL66" s="29" t="n">
        <v>60.44</v>
      </c>
      <c r="AM66" s="29" t="n">
        <v>75.55</v>
      </c>
      <c r="AN66" s="29" t="n">
        <v>100.7333333333333</v>
      </c>
      <c r="AO66" s="29" t="n">
        <v>151.1</v>
      </c>
      <c r="AP66" s="29" t="n">
        <v>302.2</v>
      </c>
    </row>
    <row r="67">
      <c r="A67" s="6" t="inlineStr">
        <is>
          <t>P61</t>
        </is>
      </c>
      <c r="B67" s="6" t="inlineStr">
        <is>
          <t>Karitel</t>
        </is>
      </c>
      <c r="C67" s="29" t="n">
        <v>6.23</v>
      </c>
      <c r="D67" s="29" t="n">
        <v>6.557894736842106</v>
      </c>
      <c r="E67" s="29" t="n">
        <v>6.922222222222222</v>
      </c>
      <c r="F67" s="29" t="n">
        <v>7.329411764705883</v>
      </c>
      <c r="G67" s="29" t="n">
        <v>7.787500000000001</v>
      </c>
      <c r="H67" s="29" t="n">
        <v>8.306666666666667</v>
      </c>
      <c r="I67" s="29" t="n">
        <v>8.9</v>
      </c>
      <c r="J67" s="29" t="n">
        <v>9.584615384615384</v>
      </c>
      <c r="K67" s="29" t="n">
        <v>10.38333333333333</v>
      </c>
      <c r="L67" s="29" t="n">
        <v>11.32727272727273</v>
      </c>
      <c r="M67" s="29" t="n">
        <v>12.46</v>
      </c>
      <c r="N67" s="29" t="n">
        <v>13.84444444444444</v>
      </c>
      <c r="O67" s="29" t="n">
        <v>15.575</v>
      </c>
      <c r="P67" s="29" t="n">
        <v>17.8</v>
      </c>
      <c r="Q67" s="29" t="n">
        <v>20.76666666666667</v>
      </c>
      <c r="R67" s="29" t="n">
        <v>24.92</v>
      </c>
      <c r="S67" s="29" t="n">
        <v>31.15</v>
      </c>
      <c r="T67" s="29" t="n">
        <v>41.53333333333334</v>
      </c>
      <c r="U67" s="29" t="n">
        <v>62.3</v>
      </c>
      <c r="V67" s="29" t="n">
        <v>124.6</v>
      </c>
      <c r="W67" s="29" t="n">
        <v>14.8</v>
      </c>
      <c r="X67" s="29" t="n">
        <v>15.57894736842105</v>
      </c>
      <c r="Y67" s="29" t="n">
        <v>16.44444444444445</v>
      </c>
      <c r="Z67" s="29" t="n">
        <v>17.41176470588236</v>
      </c>
      <c r="AA67" s="29" t="n">
        <v>18.5</v>
      </c>
      <c r="AB67" s="29" t="n">
        <v>19.73333333333333</v>
      </c>
      <c r="AC67" s="29" t="n">
        <v>21.14285714285715</v>
      </c>
      <c r="AD67" s="29" t="n">
        <v>22.76923076923077</v>
      </c>
      <c r="AE67" s="29" t="n">
        <v>24.66666666666667</v>
      </c>
      <c r="AF67" s="29" t="n">
        <v>26.90909090909091</v>
      </c>
      <c r="AG67" s="29" t="n">
        <v>29.6</v>
      </c>
      <c r="AH67" s="29" t="n">
        <v>32.88888888888889</v>
      </c>
      <c r="AI67" s="29" t="n">
        <v>37</v>
      </c>
      <c r="AJ67" s="29" t="n">
        <v>42.28571428571428</v>
      </c>
      <c r="AK67" s="29" t="n">
        <v>49.33333333333334</v>
      </c>
      <c r="AL67" s="29" t="n">
        <v>59.2</v>
      </c>
      <c r="AM67" s="29" t="n">
        <v>74</v>
      </c>
      <c r="AN67" s="29" t="n">
        <v>98.66666666666666</v>
      </c>
      <c r="AO67" s="29" t="n">
        <v>148</v>
      </c>
      <c r="AP67" s="29" t="n">
        <v>295.9999999999999</v>
      </c>
    </row>
    <row r="68">
      <c r="A68" s="6" t="inlineStr">
        <is>
          <t>P62</t>
        </is>
      </c>
      <c r="B68" s="6" t="inlineStr">
        <is>
          <t>Karitel</t>
        </is>
      </c>
      <c r="C68" s="29" t="n">
        <v>6.435</v>
      </c>
      <c r="D68" s="29" t="n">
        <v>6.773684210526316</v>
      </c>
      <c r="E68" s="29" t="n">
        <v>7.149999999999999</v>
      </c>
      <c r="F68" s="29" t="n">
        <v>7.570588235294117</v>
      </c>
      <c r="G68" s="29" t="n">
        <v>8.043749999999999</v>
      </c>
      <c r="H68" s="29" t="n">
        <v>8.58</v>
      </c>
      <c r="I68" s="29" t="n">
        <v>9.192857142857143</v>
      </c>
      <c r="J68" s="29" t="n">
        <v>9.899999999999999</v>
      </c>
      <c r="K68" s="29" t="n">
        <v>10.725</v>
      </c>
      <c r="L68" s="29" t="n">
        <v>11.7</v>
      </c>
      <c r="M68" s="29" t="n">
        <v>12.87</v>
      </c>
      <c r="N68" s="29" t="n">
        <v>14.3</v>
      </c>
      <c r="O68" s="29" t="n">
        <v>16.0875</v>
      </c>
      <c r="P68" s="29" t="n">
        <v>18.38571428571429</v>
      </c>
      <c r="Q68" s="29" t="n">
        <v>21.45</v>
      </c>
      <c r="R68" s="29" t="n">
        <v>25.74</v>
      </c>
      <c r="S68" s="29" t="n">
        <v>32.175</v>
      </c>
      <c r="T68" s="29" t="n">
        <v>42.9</v>
      </c>
      <c r="U68" s="29" t="n">
        <v>64.34999999999999</v>
      </c>
      <c r="V68" s="29" t="n">
        <v>128.7</v>
      </c>
      <c r="W68" s="29" t="n">
        <v>14.65</v>
      </c>
      <c r="X68" s="29" t="n">
        <v>15.42105263157895</v>
      </c>
      <c r="Y68" s="29" t="n">
        <v>16.27777777777778</v>
      </c>
      <c r="Z68" s="29" t="n">
        <v>17.23529411764706</v>
      </c>
      <c r="AA68" s="29" t="n">
        <v>18.3125</v>
      </c>
      <c r="AB68" s="29" t="n">
        <v>19.53333333333333</v>
      </c>
      <c r="AC68" s="29" t="n">
        <v>20.92857142857143</v>
      </c>
      <c r="AD68" s="29" t="n">
        <v>22.53846153846154</v>
      </c>
      <c r="AE68" s="29" t="n">
        <v>24.41666666666667</v>
      </c>
      <c r="AF68" s="29" t="n">
        <v>26.63636363636363</v>
      </c>
      <c r="AG68" s="29" t="n">
        <v>29.3</v>
      </c>
      <c r="AH68" s="29" t="n">
        <v>32.55555555555555</v>
      </c>
      <c r="AI68" s="29" t="n">
        <v>36.625</v>
      </c>
      <c r="AJ68" s="29" t="n">
        <v>41.85714285714285</v>
      </c>
      <c r="AK68" s="29" t="n">
        <v>48.83333333333334</v>
      </c>
      <c r="AL68" s="29" t="n">
        <v>58.59999999999999</v>
      </c>
      <c r="AM68" s="29" t="n">
        <v>73.25</v>
      </c>
      <c r="AN68" s="29" t="n">
        <v>97.66666666666666</v>
      </c>
      <c r="AO68" s="29" t="n">
        <v>146.5</v>
      </c>
      <c r="AP68" s="29" t="n">
        <v>292.9999999999999</v>
      </c>
    </row>
    <row r="69">
      <c r="A69" s="6" t="inlineStr">
        <is>
          <t>P63</t>
        </is>
      </c>
      <c r="B69" s="6" t="inlineStr">
        <is>
          <t>Karitel</t>
        </is>
      </c>
      <c r="C69" s="29" t="n">
        <v>3.535</v>
      </c>
      <c r="D69" s="29" t="n">
        <v>3.721052631578948</v>
      </c>
      <c r="E69" s="29" t="n">
        <v>3.927777777777778</v>
      </c>
      <c r="F69" s="29" t="n">
        <v>4.158823529411765</v>
      </c>
      <c r="G69" s="29" t="n">
        <v>4.41875</v>
      </c>
      <c r="H69" s="29" t="n">
        <v>4.713333333333334</v>
      </c>
      <c r="I69" s="29" t="n">
        <v>5.050000000000001</v>
      </c>
      <c r="J69" s="29" t="n">
        <v>5.438461538461539</v>
      </c>
      <c r="K69" s="29" t="n">
        <v>5.891666666666667</v>
      </c>
      <c r="L69" s="29" t="n">
        <v>6.427272727272727</v>
      </c>
      <c r="M69" s="29" t="n">
        <v>7.07</v>
      </c>
      <c r="N69" s="29" t="n">
        <v>7.855555555555556</v>
      </c>
      <c r="O69" s="29" t="n">
        <v>8.8375</v>
      </c>
      <c r="P69" s="29" t="n">
        <v>10.1</v>
      </c>
      <c r="Q69" s="29" t="n">
        <v>11.78333333333333</v>
      </c>
      <c r="R69" s="29" t="n">
        <v>14.14</v>
      </c>
      <c r="S69" s="29" t="n">
        <v>17.675</v>
      </c>
      <c r="T69" s="29" t="n">
        <v>23.56666666666667</v>
      </c>
      <c r="U69" s="29" t="n">
        <v>35.35</v>
      </c>
      <c r="V69" s="29" t="n">
        <v>70.7</v>
      </c>
      <c r="W69" s="29" t="n">
        <v>7.33</v>
      </c>
      <c r="X69" s="29" t="n">
        <v>7.715789473684211</v>
      </c>
      <c r="Y69" s="29" t="n">
        <v>8.144444444444444</v>
      </c>
      <c r="Z69" s="29" t="n">
        <v>8.623529411764705</v>
      </c>
      <c r="AA69" s="29" t="n">
        <v>9.1625</v>
      </c>
      <c r="AB69" s="29" t="n">
        <v>9.773333333333333</v>
      </c>
      <c r="AC69" s="29" t="n">
        <v>10.47142857142857</v>
      </c>
      <c r="AD69" s="29" t="n">
        <v>11.27692307692308</v>
      </c>
      <c r="AE69" s="29" t="n">
        <v>12.21666666666667</v>
      </c>
      <c r="AF69" s="29" t="n">
        <v>13.32727272727273</v>
      </c>
      <c r="AG69" s="29" t="n">
        <v>14.66</v>
      </c>
      <c r="AH69" s="29" t="n">
        <v>16.28888888888889</v>
      </c>
      <c r="AI69" s="29" t="n">
        <v>18.325</v>
      </c>
      <c r="AJ69" s="29" t="n">
        <v>20.94285714285714</v>
      </c>
      <c r="AK69" s="29" t="n">
        <v>24.43333333333333</v>
      </c>
      <c r="AL69" s="29" t="n">
        <v>29.32</v>
      </c>
      <c r="AM69" s="29" t="n">
        <v>36.65</v>
      </c>
      <c r="AN69" s="29" t="n">
        <v>48.86666666666666</v>
      </c>
      <c r="AO69" s="29" t="n">
        <v>73.3</v>
      </c>
      <c r="AP69" s="29" t="n">
        <v>146.6</v>
      </c>
    </row>
    <row r="70">
      <c r="A70" s="6" t="inlineStr">
        <is>
          <t>P64</t>
        </is>
      </c>
      <c r="B70" s="6" t="inlineStr">
        <is>
          <t>Karitel</t>
        </is>
      </c>
      <c r="C70" s="29" t="n">
        <v>5.25</v>
      </c>
      <c r="D70" s="29" t="n">
        <v>5.526315789473684</v>
      </c>
      <c r="E70" s="29" t="n">
        <v>5.833333333333333</v>
      </c>
      <c r="F70" s="29" t="n">
        <v>6.176470588235294</v>
      </c>
      <c r="G70" s="29" t="n">
        <v>6.5625</v>
      </c>
      <c r="H70" s="29" t="n">
        <v>7</v>
      </c>
      <c r="I70" s="29" t="n">
        <v>7.500000000000001</v>
      </c>
      <c r="J70" s="29" t="n">
        <v>8.076923076923077</v>
      </c>
      <c r="K70" s="29" t="n">
        <v>8.75</v>
      </c>
      <c r="L70" s="29" t="n">
        <v>9.545454545454545</v>
      </c>
      <c r="M70" s="29" t="n">
        <v>10.5</v>
      </c>
      <c r="N70" s="29" t="n">
        <v>11.66666666666667</v>
      </c>
      <c r="O70" s="29" t="n">
        <v>13.125</v>
      </c>
      <c r="P70" s="29" t="n">
        <v>15</v>
      </c>
      <c r="Q70" s="29" t="n">
        <v>17.5</v>
      </c>
      <c r="R70" s="29" t="n">
        <v>21</v>
      </c>
      <c r="S70" s="29" t="n">
        <v>26.25</v>
      </c>
      <c r="T70" s="29" t="n">
        <v>35</v>
      </c>
      <c r="U70" s="29" t="n">
        <v>52.5</v>
      </c>
      <c r="V70" s="29" t="n">
        <v>105</v>
      </c>
      <c r="W70" s="29" t="n">
        <v>11.22</v>
      </c>
      <c r="X70" s="29" t="n">
        <v>11.81052631578948</v>
      </c>
      <c r="Y70" s="29" t="n">
        <v>12.46666666666667</v>
      </c>
      <c r="Z70" s="29" t="n">
        <v>13.2</v>
      </c>
      <c r="AA70" s="29" t="n">
        <v>14.025</v>
      </c>
      <c r="AB70" s="29" t="n">
        <v>14.96</v>
      </c>
      <c r="AC70" s="29" t="n">
        <v>16.02857142857143</v>
      </c>
      <c r="AD70" s="29" t="n">
        <v>17.26153846153846</v>
      </c>
      <c r="AE70" s="29" t="n">
        <v>18.7</v>
      </c>
      <c r="AF70" s="29" t="n">
        <v>20.4</v>
      </c>
      <c r="AG70" s="29" t="n">
        <v>22.44</v>
      </c>
      <c r="AH70" s="29" t="n">
        <v>24.93333333333333</v>
      </c>
      <c r="AI70" s="29" t="n">
        <v>28.05</v>
      </c>
      <c r="AJ70" s="29" t="n">
        <v>32.05714285714286</v>
      </c>
      <c r="AK70" s="29" t="n">
        <v>37.40000000000001</v>
      </c>
      <c r="AL70" s="29" t="n">
        <v>44.88000000000001</v>
      </c>
      <c r="AM70" s="29" t="n">
        <v>56.1</v>
      </c>
      <c r="AN70" s="29" t="n">
        <v>74.80000000000003</v>
      </c>
      <c r="AO70" s="29" t="n">
        <v>112.2</v>
      </c>
      <c r="AP70" s="29" t="n">
        <v>224.4000000000001</v>
      </c>
    </row>
    <row r="71">
      <c r="A71" s="6" t="inlineStr">
        <is>
          <t>P65</t>
        </is>
      </c>
      <c r="B71" s="6" t="inlineStr">
        <is>
          <t>Karitel</t>
        </is>
      </c>
      <c r="C71" s="29" t="n">
        <v>7.14</v>
      </c>
      <c r="D71" s="29" t="n">
        <v>7.515789473684211</v>
      </c>
      <c r="E71" s="29" t="n">
        <v>7.933333333333333</v>
      </c>
      <c r="F71" s="29" t="n">
        <v>8.4</v>
      </c>
      <c r="G71" s="29" t="n">
        <v>8.924999999999999</v>
      </c>
      <c r="H71" s="29" t="n">
        <v>9.52</v>
      </c>
      <c r="I71" s="29" t="n">
        <v>10.2</v>
      </c>
      <c r="J71" s="29" t="n">
        <v>10.98461538461538</v>
      </c>
      <c r="K71" s="29" t="n">
        <v>11.9</v>
      </c>
      <c r="L71" s="29" t="n">
        <v>12.98181818181818</v>
      </c>
      <c r="M71" s="29" t="n">
        <v>14.28</v>
      </c>
      <c r="N71" s="29" t="n">
        <v>15.86666666666667</v>
      </c>
      <c r="O71" s="29" t="n">
        <v>17.85</v>
      </c>
      <c r="P71" s="29" t="n">
        <v>20.4</v>
      </c>
      <c r="Q71" s="29" t="n">
        <v>23.8</v>
      </c>
      <c r="R71" s="29" t="n">
        <v>28.56</v>
      </c>
      <c r="S71" s="29" t="n">
        <v>35.7</v>
      </c>
      <c r="T71" s="29" t="n">
        <v>47.6</v>
      </c>
      <c r="U71" s="29" t="n">
        <v>71.39999999999999</v>
      </c>
      <c r="V71" s="29" t="n">
        <v>142.8</v>
      </c>
      <c r="W71" s="29" t="n">
        <v>15.47</v>
      </c>
      <c r="X71" s="29" t="n">
        <v>16.28421052631579</v>
      </c>
      <c r="Y71" s="29" t="n">
        <v>17.18888888888889</v>
      </c>
      <c r="Z71" s="29" t="n">
        <v>18.2</v>
      </c>
      <c r="AA71" s="29" t="n">
        <v>19.3375</v>
      </c>
      <c r="AB71" s="29" t="n">
        <v>20.62666666666667</v>
      </c>
      <c r="AC71" s="29" t="n">
        <v>22.1</v>
      </c>
      <c r="AD71" s="29" t="n">
        <v>23.8</v>
      </c>
      <c r="AE71" s="29" t="n">
        <v>25.78333333333333</v>
      </c>
      <c r="AF71" s="29" t="n">
        <v>28.12727272727273</v>
      </c>
      <c r="AG71" s="29" t="n">
        <v>30.94</v>
      </c>
      <c r="AH71" s="29" t="n">
        <v>34.37777777777778</v>
      </c>
      <c r="AI71" s="29" t="n">
        <v>38.675</v>
      </c>
      <c r="AJ71" s="29" t="n">
        <v>44.2</v>
      </c>
      <c r="AK71" s="29" t="n">
        <v>51.56666666666667</v>
      </c>
      <c r="AL71" s="29" t="n">
        <v>61.88</v>
      </c>
      <c r="AM71" s="29" t="n">
        <v>77.34999999999999</v>
      </c>
      <c r="AN71" s="29" t="n">
        <v>103.1333333333333</v>
      </c>
      <c r="AO71" s="29" t="n">
        <v>154.7</v>
      </c>
      <c r="AP71" s="29" t="n">
        <v>309.4</v>
      </c>
    </row>
    <row r="72">
      <c r="A72" s="6" t="inlineStr">
        <is>
          <t>P66</t>
        </is>
      </c>
      <c r="B72" s="6" t="inlineStr">
        <is>
          <t>Karitel</t>
        </is>
      </c>
      <c r="C72" s="29" t="n">
        <v>5.665</v>
      </c>
      <c r="D72" s="29" t="n">
        <v>5.963157894736843</v>
      </c>
      <c r="E72" s="29" t="n">
        <v>6.294444444444444</v>
      </c>
      <c r="F72" s="29" t="n">
        <v>6.664705882352941</v>
      </c>
      <c r="G72" s="29" t="n">
        <v>7.08125</v>
      </c>
      <c r="H72" s="29" t="n">
        <v>7.553333333333334</v>
      </c>
      <c r="I72" s="29" t="n">
        <v>8.092857142857143</v>
      </c>
      <c r="J72" s="29" t="n">
        <v>8.715384615384615</v>
      </c>
      <c r="K72" s="29" t="n">
        <v>9.441666666666666</v>
      </c>
      <c r="L72" s="29" t="n">
        <v>10.3</v>
      </c>
      <c r="M72" s="29" t="n">
        <v>11.33</v>
      </c>
      <c r="N72" s="29" t="n">
        <v>12.58888888888889</v>
      </c>
      <c r="O72" s="29" t="n">
        <v>14.1625</v>
      </c>
      <c r="P72" s="29" t="n">
        <v>16.18571428571429</v>
      </c>
      <c r="Q72" s="29" t="n">
        <v>18.88333333333333</v>
      </c>
      <c r="R72" s="29" t="n">
        <v>22.66</v>
      </c>
      <c r="S72" s="29" t="n">
        <v>28.325</v>
      </c>
      <c r="T72" s="29" t="n">
        <v>37.76666666666667</v>
      </c>
      <c r="U72" s="29" t="n">
        <v>56.65</v>
      </c>
      <c r="V72" s="29" t="n">
        <v>113.3</v>
      </c>
      <c r="W72" s="29" t="n">
        <v>12.33</v>
      </c>
      <c r="X72" s="29" t="n">
        <v>12.97894736842105</v>
      </c>
      <c r="Y72" s="29" t="n">
        <v>13.7</v>
      </c>
      <c r="Z72" s="29" t="n">
        <v>14.50588235294118</v>
      </c>
      <c r="AA72" s="29" t="n">
        <v>15.4125</v>
      </c>
      <c r="AB72" s="29" t="n">
        <v>16.44</v>
      </c>
      <c r="AC72" s="29" t="n">
        <v>17.61428571428571</v>
      </c>
      <c r="AD72" s="29" t="n">
        <v>18.96923076923077</v>
      </c>
      <c r="AE72" s="29" t="n">
        <v>20.55</v>
      </c>
      <c r="AF72" s="29" t="n">
        <v>22.41818181818182</v>
      </c>
      <c r="AG72" s="29" t="n">
        <v>24.66</v>
      </c>
      <c r="AH72" s="29" t="n">
        <v>27.4</v>
      </c>
      <c r="AI72" s="29" t="n">
        <v>30.825</v>
      </c>
      <c r="AJ72" s="29" t="n">
        <v>35.22857142857143</v>
      </c>
      <c r="AK72" s="29" t="n">
        <v>41.1</v>
      </c>
      <c r="AL72" s="29" t="n">
        <v>49.31999999999999</v>
      </c>
      <c r="AM72" s="29" t="n">
        <v>61.65</v>
      </c>
      <c r="AN72" s="29" t="n">
        <v>82.19999999999999</v>
      </c>
      <c r="AO72" s="29" t="n">
        <v>123.3</v>
      </c>
      <c r="AP72" s="29" t="n">
        <v>246.6</v>
      </c>
    </row>
    <row r="73">
      <c r="A73" s="6" t="inlineStr">
        <is>
          <t>P67</t>
        </is>
      </c>
      <c r="B73" s="6" t="inlineStr">
        <is>
          <t>Karitel</t>
        </is>
      </c>
      <c r="C73" s="29" t="n">
        <v>4.85</v>
      </c>
      <c r="D73" s="29" t="n">
        <v>5.105263157894736</v>
      </c>
      <c r="E73" s="29" t="n">
        <v>5.388888888888888</v>
      </c>
      <c r="F73" s="29" t="n">
        <v>5.705882352941177</v>
      </c>
      <c r="G73" s="29" t="n">
        <v>6.062499999999999</v>
      </c>
      <c r="H73" s="29" t="n">
        <v>6.466666666666666</v>
      </c>
      <c r="I73" s="29" t="n">
        <v>6.928571428571429</v>
      </c>
      <c r="J73" s="29" t="n">
        <v>7.461538461538461</v>
      </c>
      <c r="K73" s="29" t="n">
        <v>8.083333333333334</v>
      </c>
      <c r="L73" s="29" t="n">
        <v>8.818181818181817</v>
      </c>
      <c r="M73" s="29" t="n">
        <v>9.699999999999999</v>
      </c>
      <c r="N73" s="29" t="n">
        <v>10.77777777777778</v>
      </c>
      <c r="O73" s="29" t="n">
        <v>12.125</v>
      </c>
      <c r="P73" s="29" t="n">
        <v>13.85714285714286</v>
      </c>
      <c r="Q73" s="29" t="n">
        <v>16.16666666666667</v>
      </c>
      <c r="R73" s="29" t="n">
        <v>19.4</v>
      </c>
      <c r="S73" s="29" t="n">
        <v>24.25</v>
      </c>
      <c r="T73" s="29" t="n">
        <v>32.33333333333334</v>
      </c>
      <c r="U73" s="29" t="n">
        <v>48.49999999999999</v>
      </c>
      <c r="V73" s="29" t="n">
        <v>96.99999999999999</v>
      </c>
      <c r="W73" s="29" t="n">
        <v>10.94</v>
      </c>
      <c r="X73" s="29" t="n">
        <v>11.51578947368421</v>
      </c>
      <c r="Y73" s="29" t="n">
        <v>12.15555555555556</v>
      </c>
      <c r="Z73" s="29" t="n">
        <v>12.87058823529412</v>
      </c>
      <c r="AA73" s="29" t="n">
        <v>13.675</v>
      </c>
      <c r="AB73" s="29" t="n">
        <v>14.58666666666667</v>
      </c>
      <c r="AC73" s="29" t="n">
        <v>15.62857142857143</v>
      </c>
      <c r="AD73" s="29" t="n">
        <v>16.83076923076923</v>
      </c>
      <c r="AE73" s="29" t="n">
        <v>18.23333333333333</v>
      </c>
      <c r="AF73" s="29" t="n">
        <v>19.89090909090909</v>
      </c>
      <c r="AG73" s="29" t="n">
        <v>21.88</v>
      </c>
      <c r="AH73" s="29" t="n">
        <v>24.31111111111111</v>
      </c>
      <c r="AI73" s="29" t="n">
        <v>27.35</v>
      </c>
      <c r="AJ73" s="29" t="n">
        <v>31.25714285714286</v>
      </c>
      <c r="AK73" s="29" t="n">
        <v>36.46666666666667</v>
      </c>
      <c r="AL73" s="29" t="n">
        <v>43.76</v>
      </c>
      <c r="AM73" s="29" t="n">
        <v>54.7</v>
      </c>
      <c r="AN73" s="29" t="n">
        <v>72.93333333333334</v>
      </c>
      <c r="AO73" s="29" t="n">
        <v>109.4</v>
      </c>
      <c r="AP73" s="29" t="n">
        <v>218.8</v>
      </c>
    </row>
    <row r="74">
      <c r="A74" s="6" t="inlineStr">
        <is>
          <t>P68</t>
        </is>
      </c>
      <c r="B74" s="6" t="inlineStr">
        <is>
          <t>Karitel</t>
        </is>
      </c>
      <c r="C74" s="29" t="n">
        <v>5</v>
      </c>
      <c r="D74" s="29" t="n">
        <v>5.263157894736842</v>
      </c>
      <c r="E74" s="29" t="n">
        <v>5.555555555555555</v>
      </c>
      <c r="F74" s="29" t="n">
        <v>5.882352941176471</v>
      </c>
      <c r="G74" s="29" t="n">
        <v>6.25</v>
      </c>
      <c r="H74" s="29" t="n">
        <v>6.666666666666667</v>
      </c>
      <c r="I74" s="29" t="n">
        <v>7.142857142857143</v>
      </c>
      <c r="J74" s="29" t="n">
        <v>7.692307692307692</v>
      </c>
      <c r="K74" s="29" t="n">
        <v>8.333333333333334</v>
      </c>
      <c r="L74" s="29" t="n">
        <v>9.09090909090909</v>
      </c>
      <c r="M74" s="29" t="n">
        <v>10</v>
      </c>
      <c r="N74" s="29" t="n">
        <v>11.11111111111111</v>
      </c>
      <c r="O74" s="29" t="n">
        <v>12.5</v>
      </c>
      <c r="P74" s="29" t="n">
        <v>14.28571428571429</v>
      </c>
      <c r="Q74" s="29" t="n">
        <v>16.66666666666667</v>
      </c>
      <c r="R74" s="29" t="n">
        <v>20</v>
      </c>
      <c r="S74" s="29" t="n">
        <v>25</v>
      </c>
      <c r="T74" s="29" t="n">
        <v>33.33333333333334</v>
      </c>
      <c r="U74" s="29" t="n">
        <v>50</v>
      </c>
      <c r="V74" s="29" t="n">
        <v>100</v>
      </c>
      <c r="W74" s="29" t="n">
        <v>10.94</v>
      </c>
      <c r="X74" s="29" t="n">
        <v>11.51578947368421</v>
      </c>
      <c r="Y74" s="29" t="n">
        <v>12.15555555555556</v>
      </c>
      <c r="Z74" s="29" t="n">
        <v>12.87058823529412</v>
      </c>
      <c r="AA74" s="29" t="n">
        <v>13.675</v>
      </c>
      <c r="AB74" s="29" t="n">
        <v>14.58666666666667</v>
      </c>
      <c r="AC74" s="29" t="n">
        <v>15.62857142857143</v>
      </c>
      <c r="AD74" s="29" t="n">
        <v>16.83076923076923</v>
      </c>
      <c r="AE74" s="29" t="n">
        <v>18.23333333333333</v>
      </c>
      <c r="AF74" s="29" t="n">
        <v>19.89090909090909</v>
      </c>
      <c r="AG74" s="29" t="n">
        <v>21.88</v>
      </c>
      <c r="AH74" s="29" t="n">
        <v>24.31111111111111</v>
      </c>
      <c r="AI74" s="29" t="n">
        <v>27.35</v>
      </c>
      <c r="AJ74" s="29" t="n">
        <v>31.25714285714286</v>
      </c>
      <c r="AK74" s="29" t="n">
        <v>36.46666666666667</v>
      </c>
      <c r="AL74" s="29" t="n">
        <v>43.76</v>
      </c>
      <c r="AM74" s="29" t="n">
        <v>54.7</v>
      </c>
      <c r="AN74" s="29" t="n">
        <v>72.93333333333334</v>
      </c>
      <c r="AO74" s="29" t="n">
        <v>109.4</v>
      </c>
      <c r="AP74" s="29" t="n">
        <v>218.8</v>
      </c>
    </row>
    <row r="75">
      <c r="A75" s="6" t="inlineStr">
        <is>
          <t>P69</t>
        </is>
      </c>
      <c r="B75" s="6" t="inlineStr">
        <is>
          <t>Karitel</t>
        </is>
      </c>
      <c r="C75" s="29" t="n">
        <v>4.45</v>
      </c>
      <c r="D75" s="29" t="n">
        <v>4.68421052631579</v>
      </c>
      <c r="E75" s="29" t="n">
        <v>4.944444444444445</v>
      </c>
      <c r="F75" s="29" t="n">
        <v>5.235294117647059</v>
      </c>
      <c r="G75" s="29" t="n">
        <v>5.5625</v>
      </c>
      <c r="H75" s="29" t="n">
        <v>5.933333333333334</v>
      </c>
      <c r="I75" s="29" t="n">
        <v>6.357142857142858</v>
      </c>
      <c r="J75" s="29" t="n">
        <v>6.846153846153846</v>
      </c>
      <c r="K75" s="29" t="n">
        <v>7.416666666666667</v>
      </c>
      <c r="L75" s="29" t="n">
        <v>8.09090909090909</v>
      </c>
      <c r="M75" s="29" t="n">
        <v>8.9</v>
      </c>
      <c r="N75" s="29" t="n">
        <v>9.888888888888889</v>
      </c>
      <c r="O75" s="29" t="n">
        <v>11.125</v>
      </c>
      <c r="P75" s="29" t="n">
        <v>12.71428571428572</v>
      </c>
      <c r="Q75" s="29" t="n">
        <v>14.83333333333333</v>
      </c>
      <c r="R75" s="29" t="n">
        <v>17.8</v>
      </c>
      <c r="S75" s="29" t="n">
        <v>22.25</v>
      </c>
      <c r="T75" s="29" t="n">
        <v>29.66666666666667</v>
      </c>
      <c r="U75" s="29" t="n">
        <v>44.5</v>
      </c>
      <c r="V75" s="29" t="n">
        <v>89</v>
      </c>
      <c r="W75" s="29" t="n">
        <v>10.94</v>
      </c>
      <c r="X75" s="29" t="n">
        <v>11.51578947368421</v>
      </c>
      <c r="Y75" s="29" t="n">
        <v>12.15555555555556</v>
      </c>
      <c r="Z75" s="29" t="n">
        <v>12.87058823529412</v>
      </c>
      <c r="AA75" s="29" t="n">
        <v>13.675</v>
      </c>
      <c r="AB75" s="29" t="n">
        <v>14.58666666666667</v>
      </c>
      <c r="AC75" s="29" t="n">
        <v>15.62857142857143</v>
      </c>
      <c r="AD75" s="29" t="n">
        <v>16.83076923076923</v>
      </c>
      <c r="AE75" s="29" t="n">
        <v>18.23333333333333</v>
      </c>
      <c r="AF75" s="29" t="n">
        <v>19.89090909090909</v>
      </c>
      <c r="AG75" s="29" t="n">
        <v>21.88</v>
      </c>
      <c r="AH75" s="29" t="n">
        <v>24.31111111111111</v>
      </c>
      <c r="AI75" s="29" t="n">
        <v>27.35</v>
      </c>
      <c r="AJ75" s="29" t="n">
        <v>31.25714285714286</v>
      </c>
      <c r="AK75" s="29" t="n">
        <v>36.46666666666667</v>
      </c>
      <c r="AL75" s="29" t="n">
        <v>43.76</v>
      </c>
      <c r="AM75" s="29" t="n">
        <v>54.7</v>
      </c>
      <c r="AN75" s="29" t="n">
        <v>72.93333333333334</v>
      </c>
      <c r="AO75" s="29" t="n">
        <v>109.4</v>
      </c>
      <c r="AP75" s="29" t="n">
        <v>218.8</v>
      </c>
    </row>
    <row r="76">
      <c r="A76" s="6" t="inlineStr">
        <is>
          <t>P70</t>
        </is>
      </c>
      <c r="B76" s="6" t="inlineStr">
        <is>
          <t>Karitel</t>
        </is>
      </c>
      <c r="C76" s="29" t="n">
        <v>6.93</v>
      </c>
      <c r="D76" s="29" t="n">
        <v>7.294736842105263</v>
      </c>
      <c r="E76" s="29" t="n">
        <v>7.699999999999999</v>
      </c>
      <c r="F76" s="29" t="n">
        <v>8.152941176470588</v>
      </c>
      <c r="G76" s="29" t="n">
        <v>8.6625</v>
      </c>
      <c r="H76" s="29" t="n">
        <v>9.24</v>
      </c>
      <c r="I76" s="29" t="n">
        <v>9.9</v>
      </c>
      <c r="J76" s="29" t="n">
        <v>10.66153846153846</v>
      </c>
      <c r="K76" s="29" t="n">
        <v>11.55</v>
      </c>
      <c r="L76" s="29" t="n">
        <v>12.6</v>
      </c>
      <c r="M76" s="29" t="n">
        <v>13.86</v>
      </c>
      <c r="N76" s="29" t="n">
        <v>15.4</v>
      </c>
      <c r="O76" s="29" t="n">
        <v>17.325</v>
      </c>
      <c r="P76" s="29" t="n">
        <v>19.8</v>
      </c>
      <c r="Q76" s="29" t="n">
        <v>23.1</v>
      </c>
      <c r="R76" s="29" t="n">
        <v>27.72</v>
      </c>
      <c r="S76" s="29" t="n">
        <v>34.65</v>
      </c>
      <c r="T76" s="29" t="n">
        <v>46.2</v>
      </c>
      <c r="U76" s="29" t="n">
        <v>69.3</v>
      </c>
      <c r="V76" s="29" t="n">
        <v>138.6</v>
      </c>
      <c r="W76" s="29" t="n">
        <v>15.11</v>
      </c>
      <c r="X76" s="29" t="n">
        <v>15.90526315789474</v>
      </c>
      <c r="Y76" s="29" t="n">
        <v>16.78888888888889</v>
      </c>
      <c r="Z76" s="29" t="n">
        <v>17.77647058823529</v>
      </c>
      <c r="AA76" s="29" t="n">
        <v>18.8875</v>
      </c>
      <c r="AB76" s="29" t="n">
        <v>20.14666666666666</v>
      </c>
      <c r="AC76" s="29" t="n">
        <v>21.58571428571429</v>
      </c>
      <c r="AD76" s="29" t="n">
        <v>23.24615384615385</v>
      </c>
      <c r="AE76" s="29" t="n">
        <v>25.18333333333333</v>
      </c>
      <c r="AF76" s="29" t="n">
        <v>27.47272727272727</v>
      </c>
      <c r="AG76" s="29" t="n">
        <v>30.22</v>
      </c>
      <c r="AH76" s="29" t="n">
        <v>33.57777777777778</v>
      </c>
      <c r="AI76" s="29" t="n">
        <v>37.775</v>
      </c>
      <c r="AJ76" s="29" t="n">
        <v>43.17142857142857</v>
      </c>
      <c r="AK76" s="29" t="n">
        <v>50.36666666666667</v>
      </c>
      <c r="AL76" s="29" t="n">
        <v>60.44</v>
      </c>
      <c r="AM76" s="29" t="n">
        <v>75.55</v>
      </c>
      <c r="AN76" s="29" t="n">
        <v>100.7333333333333</v>
      </c>
      <c r="AO76" s="29" t="n">
        <v>151.1</v>
      </c>
      <c r="AP76" s="29" t="n">
        <v>302.2</v>
      </c>
    </row>
    <row r="77">
      <c r="A77" s="6" t="inlineStr">
        <is>
          <t>P71</t>
        </is>
      </c>
      <c r="B77" s="6" t="inlineStr">
        <is>
          <t>Karitel</t>
        </is>
      </c>
      <c r="C77" s="29" t="n">
        <v>4.85</v>
      </c>
      <c r="D77" s="29" t="n">
        <v>5.105263157894736</v>
      </c>
      <c r="E77" s="29" t="n">
        <v>5.388888888888888</v>
      </c>
      <c r="F77" s="29" t="n">
        <v>5.705882352941177</v>
      </c>
      <c r="G77" s="29" t="n">
        <v>6.062499999999999</v>
      </c>
      <c r="H77" s="29" t="n">
        <v>6.466666666666666</v>
      </c>
      <c r="I77" s="29" t="n">
        <v>6.928571428571429</v>
      </c>
      <c r="J77" s="29" t="n">
        <v>7.461538461538461</v>
      </c>
      <c r="K77" s="29" t="n">
        <v>8.083333333333334</v>
      </c>
      <c r="L77" s="29" t="n">
        <v>8.818181818181817</v>
      </c>
      <c r="M77" s="29" t="n">
        <v>9.699999999999999</v>
      </c>
      <c r="N77" s="29" t="n">
        <v>10.77777777777778</v>
      </c>
      <c r="O77" s="29" t="n">
        <v>12.125</v>
      </c>
      <c r="P77" s="29" t="n">
        <v>13.85714285714286</v>
      </c>
      <c r="Q77" s="29" t="n">
        <v>16.16666666666667</v>
      </c>
      <c r="R77" s="29" t="n">
        <v>19.4</v>
      </c>
      <c r="S77" s="29" t="n">
        <v>24.25</v>
      </c>
      <c r="T77" s="29" t="n">
        <v>32.33333333333334</v>
      </c>
      <c r="U77" s="29" t="n">
        <v>48.49999999999999</v>
      </c>
      <c r="V77" s="29" t="n">
        <v>96.99999999999999</v>
      </c>
      <c r="W77" s="29" t="n">
        <v>7.39</v>
      </c>
      <c r="X77" s="29" t="n">
        <v>7.778947368421052</v>
      </c>
      <c r="Y77" s="29" t="n">
        <v>8.21111111111111</v>
      </c>
      <c r="Z77" s="29" t="n">
        <v>8.694117647058823</v>
      </c>
      <c r="AA77" s="29" t="n">
        <v>9.237499999999999</v>
      </c>
      <c r="AB77" s="29" t="n">
        <v>9.853333333333333</v>
      </c>
      <c r="AC77" s="29" t="n">
        <v>10.55714285714286</v>
      </c>
      <c r="AD77" s="29" t="n">
        <v>11.36923076923077</v>
      </c>
      <c r="AE77" s="29" t="n">
        <v>12.31666666666667</v>
      </c>
      <c r="AF77" s="29" t="n">
        <v>13.43636363636363</v>
      </c>
      <c r="AG77" s="29" t="n">
        <v>14.78</v>
      </c>
      <c r="AH77" s="29" t="n">
        <v>16.42222222222222</v>
      </c>
      <c r="AI77" s="29" t="n">
        <v>18.475</v>
      </c>
      <c r="AJ77" s="29" t="n">
        <v>21.11428571428571</v>
      </c>
      <c r="AK77" s="29" t="n">
        <v>24.63333333333333</v>
      </c>
      <c r="AL77" s="29" t="n">
        <v>29.56</v>
      </c>
      <c r="AM77" s="29" t="n">
        <v>36.95</v>
      </c>
      <c r="AN77" s="29" t="n">
        <v>49.26666666666667</v>
      </c>
      <c r="AO77" s="29" t="n">
        <v>73.89999999999999</v>
      </c>
      <c r="AP77" s="29" t="n">
        <v>147.8</v>
      </c>
    </row>
    <row r="78">
      <c r="A78" s="6" t="inlineStr">
        <is>
          <t>P72</t>
        </is>
      </c>
      <c r="B78" s="6" t="inlineStr">
        <is>
          <t>Karitel</t>
        </is>
      </c>
      <c r="C78" s="29" t="n">
        <v>6.12</v>
      </c>
      <c r="D78" s="29" t="n">
        <v>6.442105263157895</v>
      </c>
      <c r="E78" s="29" t="n">
        <v>6.8</v>
      </c>
      <c r="F78" s="29" t="n">
        <v>7.2</v>
      </c>
      <c r="G78" s="29" t="n">
        <v>7.649999999999999</v>
      </c>
      <c r="H78" s="29" t="n">
        <v>8.16</v>
      </c>
      <c r="I78" s="29" t="n">
        <v>8.742857142857144</v>
      </c>
      <c r="J78" s="29" t="n">
        <v>9.415384615384616</v>
      </c>
      <c r="K78" s="29" t="n">
        <v>10.2</v>
      </c>
      <c r="L78" s="29" t="n">
        <v>11.12727272727273</v>
      </c>
      <c r="M78" s="29" t="n">
        <v>12.24</v>
      </c>
      <c r="N78" s="29" t="n">
        <v>13.6</v>
      </c>
      <c r="O78" s="29" t="n">
        <v>15.3</v>
      </c>
      <c r="P78" s="29" t="n">
        <v>17.48571428571429</v>
      </c>
      <c r="Q78" s="29" t="n">
        <v>20.4</v>
      </c>
      <c r="R78" s="29" t="n">
        <v>24.48</v>
      </c>
      <c r="S78" s="29" t="n">
        <v>30.6</v>
      </c>
      <c r="T78" s="29" t="n">
        <v>40.8</v>
      </c>
      <c r="U78" s="29" t="n">
        <v>61.2</v>
      </c>
      <c r="V78" s="29" t="n">
        <v>122.4</v>
      </c>
      <c r="W78" s="29" t="n">
        <v>13.88</v>
      </c>
      <c r="X78" s="29" t="n">
        <v>14.61052631578947</v>
      </c>
      <c r="Y78" s="29" t="n">
        <v>15.42222222222222</v>
      </c>
      <c r="Z78" s="29" t="n">
        <v>16.32941176470588</v>
      </c>
      <c r="AA78" s="29" t="n">
        <v>17.35</v>
      </c>
      <c r="AB78" s="29" t="n">
        <v>18.50666666666667</v>
      </c>
      <c r="AC78" s="29" t="n">
        <v>19.82857142857143</v>
      </c>
      <c r="AD78" s="29" t="n">
        <v>21.35384615384615</v>
      </c>
      <c r="AE78" s="29" t="n">
        <v>23.13333333333334</v>
      </c>
      <c r="AF78" s="29" t="n">
        <v>25.23636363636363</v>
      </c>
      <c r="AG78" s="29" t="n">
        <v>27.76</v>
      </c>
      <c r="AH78" s="29" t="n">
        <v>30.84444444444444</v>
      </c>
      <c r="AI78" s="29" t="n">
        <v>34.7</v>
      </c>
      <c r="AJ78" s="29" t="n">
        <v>39.65714285714286</v>
      </c>
      <c r="AK78" s="29" t="n">
        <v>46.26666666666667</v>
      </c>
      <c r="AL78" s="29" t="n">
        <v>55.52</v>
      </c>
      <c r="AM78" s="29" t="n">
        <v>69.40000000000001</v>
      </c>
      <c r="AN78" s="29" t="n">
        <v>92.53333333333333</v>
      </c>
      <c r="AO78" s="29" t="n">
        <v>138.8</v>
      </c>
      <c r="AP78" s="29" t="n">
        <v>277.6</v>
      </c>
    </row>
    <row r="79">
      <c r="A79" s="6" t="inlineStr">
        <is>
          <t>P73</t>
        </is>
      </c>
      <c r="B79" s="6" t="inlineStr">
        <is>
          <t>Karitel</t>
        </is>
      </c>
      <c r="C79" s="29" t="n">
        <v>6.76</v>
      </c>
      <c r="D79" s="29" t="n">
        <v>7.11578947368421</v>
      </c>
      <c r="E79" s="29" t="n">
        <v>7.511111111111111</v>
      </c>
      <c r="F79" s="29" t="n">
        <v>7.952941176470588</v>
      </c>
      <c r="G79" s="29" t="n">
        <v>8.449999999999999</v>
      </c>
      <c r="H79" s="29" t="n">
        <v>9.013333333333334</v>
      </c>
      <c r="I79" s="29" t="n">
        <v>9.657142857142857</v>
      </c>
      <c r="J79" s="29" t="n">
        <v>10.4</v>
      </c>
      <c r="K79" s="29" t="n">
        <v>11.26666666666667</v>
      </c>
      <c r="L79" s="29" t="n">
        <v>12.29090909090909</v>
      </c>
      <c r="M79" s="29" t="n">
        <v>13.52</v>
      </c>
      <c r="N79" s="29" t="n">
        <v>15.02222222222222</v>
      </c>
      <c r="O79" s="29" t="n">
        <v>16.9</v>
      </c>
      <c r="P79" s="29" t="n">
        <v>19.31428571428571</v>
      </c>
      <c r="Q79" s="29" t="n">
        <v>22.53333333333333</v>
      </c>
      <c r="R79" s="29" t="n">
        <v>27.04</v>
      </c>
      <c r="S79" s="29" t="n">
        <v>33.8</v>
      </c>
      <c r="T79" s="29" t="n">
        <v>45.06666666666667</v>
      </c>
      <c r="U79" s="29" t="n">
        <v>67.59999999999999</v>
      </c>
      <c r="V79" s="29" t="n">
        <v>135.2</v>
      </c>
      <c r="W79" s="29" t="n">
        <v>16.05</v>
      </c>
      <c r="X79" s="29" t="n">
        <v>16.89473684210526</v>
      </c>
      <c r="Y79" s="29" t="n">
        <v>17.83333333333333</v>
      </c>
      <c r="Z79" s="29" t="n">
        <v>18.88235294117647</v>
      </c>
      <c r="AA79" s="29" t="n">
        <v>20.0625</v>
      </c>
      <c r="AB79" s="29" t="n">
        <v>21.4</v>
      </c>
      <c r="AC79" s="29" t="n">
        <v>22.92857142857143</v>
      </c>
      <c r="AD79" s="29" t="n">
        <v>24.69230769230769</v>
      </c>
      <c r="AE79" s="29" t="n">
        <v>26.75</v>
      </c>
      <c r="AF79" s="29" t="n">
        <v>29.18181818181818</v>
      </c>
      <c r="AG79" s="29" t="n">
        <v>32.1</v>
      </c>
      <c r="AH79" s="29" t="n">
        <v>35.66666666666666</v>
      </c>
      <c r="AI79" s="29" t="n">
        <v>40.125</v>
      </c>
      <c r="AJ79" s="29" t="n">
        <v>45.85714285714286</v>
      </c>
      <c r="AK79" s="29" t="n">
        <v>53.50000000000001</v>
      </c>
      <c r="AL79" s="29" t="n">
        <v>64.2</v>
      </c>
      <c r="AM79" s="29" t="n">
        <v>80.25</v>
      </c>
      <c r="AN79" s="29" t="n">
        <v>107</v>
      </c>
      <c r="AO79" s="29" t="n">
        <v>160.5</v>
      </c>
      <c r="AP79" s="29" t="n">
        <v>321</v>
      </c>
    </row>
    <row r="80">
      <c r="A80" s="6" t="inlineStr">
        <is>
          <t>P74</t>
        </is>
      </c>
      <c r="B80" s="6" t="inlineStr">
        <is>
          <t>Karitel</t>
        </is>
      </c>
      <c r="C80" s="29" t="n">
        <v>6.76</v>
      </c>
      <c r="D80" s="29" t="n">
        <v>7.11578947368421</v>
      </c>
      <c r="E80" s="29" t="n">
        <v>7.511111111111111</v>
      </c>
      <c r="F80" s="29" t="n">
        <v>7.952941176470588</v>
      </c>
      <c r="G80" s="29" t="n">
        <v>8.449999999999999</v>
      </c>
      <c r="H80" s="29" t="n">
        <v>9.013333333333334</v>
      </c>
      <c r="I80" s="29" t="n">
        <v>9.657142857142857</v>
      </c>
      <c r="J80" s="29" t="n">
        <v>10.4</v>
      </c>
      <c r="K80" s="29" t="n">
        <v>11.26666666666667</v>
      </c>
      <c r="L80" s="29" t="n">
        <v>12.29090909090909</v>
      </c>
      <c r="M80" s="29" t="n">
        <v>13.52</v>
      </c>
      <c r="N80" s="29" t="n">
        <v>15.02222222222222</v>
      </c>
      <c r="O80" s="29" t="n">
        <v>16.9</v>
      </c>
      <c r="P80" s="29" t="n">
        <v>19.31428571428571</v>
      </c>
      <c r="Q80" s="29" t="n">
        <v>22.53333333333333</v>
      </c>
      <c r="R80" s="29" t="n">
        <v>27.04</v>
      </c>
      <c r="S80" s="29" t="n">
        <v>33.8</v>
      </c>
      <c r="T80" s="29" t="n">
        <v>45.06666666666667</v>
      </c>
      <c r="U80" s="29" t="n">
        <v>67.59999999999999</v>
      </c>
      <c r="V80" s="29" t="n">
        <v>135.2</v>
      </c>
      <c r="W80" s="29" t="n">
        <v>16.05</v>
      </c>
      <c r="X80" s="29" t="n">
        <v>16.89473684210526</v>
      </c>
      <c r="Y80" s="29" t="n">
        <v>17.83333333333333</v>
      </c>
      <c r="Z80" s="29" t="n">
        <v>18.88235294117647</v>
      </c>
      <c r="AA80" s="29" t="n">
        <v>20.0625</v>
      </c>
      <c r="AB80" s="29" t="n">
        <v>21.4</v>
      </c>
      <c r="AC80" s="29" t="n">
        <v>22.92857142857143</v>
      </c>
      <c r="AD80" s="29" t="n">
        <v>24.69230769230769</v>
      </c>
      <c r="AE80" s="29" t="n">
        <v>26.75</v>
      </c>
      <c r="AF80" s="29" t="n">
        <v>29.18181818181818</v>
      </c>
      <c r="AG80" s="29" t="n">
        <v>32.1</v>
      </c>
      <c r="AH80" s="29" t="n">
        <v>35.66666666666666</v>
      </c>
      <c r="AI80" s="29" t="n">
        <v>40.125</v>
      </c>
      <c r="AJ80" s="29" t="n">
        <v>45.85714285714286</v>
      </c>
      <c r="AK80" s="29" t="n">
        <v>53.50000000000001</v>
      </c>
      <c r="AL80" s="29" t="n">
        <v>64.2</v>
      </c>
      <c r="AM80" s="29" t="n">
        <v>80.25</v>
      </c>
      <c r="AN80" s="29" t="n">
        <v>107</v>
      </c>
      <c r="AO80" s="29" t="n">
        <v>160.5</v>
      </c>
      <c r="AP80" s="29" t="n">
        <v>321</v>
      </c>
    </row>
    <row r="81">
      <c r="A81" s="6" t="inlineStr">
        <is>
          <t>P75</t>
        </is>
      </c>
      <c r="B81" s="6" t="inlineStr">
        <is>
          <t>Karitel</t>
        </is>
      </c>
      <c r="C81" s="29" t="n">
        <v>5.75</v>
      </c>
      <c r="D81" s="29" t="n">
        <v>6.052631578947369</v>
      </c>
      <c r="E81" s="29" t="n">
        <v>6.388888888888888</v>
      </c>
      <c r="F81" s="29" t="n">
        <v>6.764705882352941</v>
      </c>
      <c r="G81" s="29" t="n">
        <v>7.1875</v>
      </c>
      <c r="H81" s="29" t="n">
        <v>7.666666666666667</v>
      </c>
      <c r="I81" s="29" t="n">
        <v>8.214285714285715</v>
      </c>
      <c r="J81" s="29" t="n">
        <v>8.846153846153847</v>
      </c>
      <c r="K81" s="29" t="n">
        <v>9.583333333333334</v>
      </c>
      <c r="L81" s="29" t="n">
        <v>10.45454545454545</v>
      </c>
      <c r="M81" s="29" t="n">
        <v>11.5</v>
      </c>
      <c r="N81" s="29" t="n">
        <v>12.77777777777778</v>
      </c>
      <c r="O81" s="29" t="n">
        <v>14.375</v>
      </c>
      <c r="P81" s="29" t="n">
        <v>16.42857142857143</v>
      </c>
      <c r="Q81" s="29" t="n">
        <v>19.16666666666667</v>
      </c>
      <c r="R81" s="29" t="n">
        <v>23</v>
      </c>
      <c r="S81" s="29" t="n">
        <v>28.75</v>
      </c>
      <c r="T81" s="29" t="n">
        <v>38.33333333333334</v>
      </c>
      <c r="U81" s="29" t="n">
        <v>57.5</v>
      </c>
      <c r="V81" s="29" t="n">
        <v>115</v>
      </c>
      <c r="W81" s="29" t="n">
        <v>11.2</v>
      </c>
      <c r="X81" s="29" t="n">
        <v>11.78947368421053</v>
      </c>
      <c r="Y81" s="29" t="n">
        <v>12.44444444444444</v>
      </c>
      <c r="Z81" s="29" t="n">
        <v>13.17647058823529</v>
      </c>
      <c r="AA81" s="29" t="n">
        <v>14</v>
      </c>
      <c r="AB81" s="29" t="n">
        <v>14.93333333333333</v>
      </c>
      <c r="AC81" s="29" t="n">
        <v>16</v>
      </c>
      <c r="AD81" s="29" t="n">
        <v>17.23076923076923</v>
      </c>
      <c r="AE81" s="29" t="n">
        <v>18.66666666666667</v>
      </c>
      <c r="AF81" s="29" t="n">
        <v>20.36363636363636</v>
      </c>
      <c r="AG81" s="29" t="n">
        <v>22.4</v>
      </c>
      <c r="AH81" s="29" t="n">
        <v>24.88888888888889</v>
      </c>
      <c r="AI81" s="29" t="n">
        <v>28</v>
      </c>
      <c r="AJ81" s="29" t="n">
        <v>32</v>
      </c>
      <c r="AK81" s="29" t="n">
        <v>37.33333333333334</v>
      </c>
      <c r="AL81" s="29" t="n">
        <v>44.8</v>
      </c>
      <c r="AM81" s="29" t="n">
        <v>55.99999999999999</v>
      </c>
      <c r="AN81" s="29" t="n">
        <v>74.66666666666667</v>
      </c>
      <c r="AO81" s="29" t="n">
        <v>112</v>
      </c>
      <c r="AP81" s="29" t="n">
        <v>224</v>
      </c>
    </row>
    <row r="82">
      <c r="A82" s="6" t="inlineStr">
        <is>
          <t>P76</t>
        </is>
      </c>
      <c r="B82" s="6" t="inlineStr">
        <is>
          <t>Karitel</t>
        </is>
      </c>
      <c r="C82" s="29" t="n">
        <v>3.8</v>
      </c>
      <c r="D82" s="29" t="n">
        <v>4</v>
      </c>
      <c r="E82" s="29" t="n">
        <v>4.222222222222222</v>
      </c>
      <c r="F82" s="29" t="n">
        <v>4.470588235294118</v>
      </c>
      <c r="G82" s="29" t="n">
        <v>4.749999999999999</v>
      </c>
      <c r="H82" s="29" t="n">
        <v>5.066666666666666</v>
      </c>
      <c r="I82" s="29" t="n">
        <v>5.428571428571429</v>
      </c>
      <c r="J82" s="29" t="n">
        <v>5.846153846153846</v>
      </c>
      <c r="K82" s="29" t="n">
        <v>6.333333333333333</v>
      </c>
      <c r="L82" s="29" t="n">
        <v>6.909090909090908</v>
      </c>
      <c r="M82" s="29" t="n">
        <v>7.6</v>
      </c>
      <c r="N82" s="29" t="n">
        <v>8.444444444444445</v>
      </c>
      <c r="O82" s="29" t="n">
        <v>9.499999999999998</v>
      </c>
      <c r="P82" s="29" t="n">
        <v>10.85714285714286</v>
      </c>
      <c r="Q82" s="29" t="n">
        <v>12.66666666666667</v>
      </c>
      <c r="R82" s="29" t="n">
        <v>15.2</v>
      </c>
      <c r="S82" s="29" t="n">
        <v>19</v>
      </c>
      <c r="T82" s="29" t="n">
        <v>25.33333333333333</v>
      </c>
      <c r="U82" s="29" t="n">
        <v>37.99999999999999</v>
      </c>
      <c r="V82" s="29" t="n">
        <v>75.99999999999999</v>
      </c>
      <c r="W82" s="29" t="n">
        <v>7.9</v>
      </c>
      <c r="X82" s="29" t="n">
        <v>8.315789473684211</v>
      </c>
      <c r="Y82" s="29" t="n">
        <v>8.777777777777779</v>
      </c>
      <c r="Z82" s="29" t="n">
        <v>9.294117647058824</v>
      </c>
      <c r="AA82" s="29" t="n">
        <v>9.875</v>
      </c>
      <c r="AB82" s="29" t="n">
        <v>10.53333333333333</v>
      </c>
      <c r="AC82" s="29" t="n">
        <v>11.28571428571429</v>
      </c>
      <c r="AD82" s="29" t="n">
        <v>12.15384615384615</v>
      </c>
      <c r="AE82" s="29" t="n">
        <v>13.16666666666667</v>
      </c>
      <c r="AF82" s="29" t="n">
        <v>14.36363636363636</v>
      </c>
      <c r="AG82" s="29" t="n">
        <v>15.8</v>
      </c>
      <c r="AH82" s="29" t="n">
        <v>17.55555555555556</v>
      </c>
      <c r="AI82" s="29" t="n">
        <v>19.75</v>
      </c>
      <c r="AJ82" s="29" t="n">
        <v>22.57142857142858</v>
      </c>
      <c r="AK82" s="29" t="n">
        <v>26.33333333333334</v>
      </c>
      <c r="AL82" s="29" t="n">
        <v>31.6</v>
      </c>
      <c r="AM82" s="29" t="n">
        <v>39.5</v>
      </c>
      <c r="AN82" s="29" t="n">
        <v>52.66666666666668</v>
      </c>
      <c r="AO82" s="29" t="n">
        <v>79</v>
      </c>
      <c r="AP82" s="29" t="n">
        <v>158</v>
      </c>
    </row>
    <row r="83">
      <c r="A83" s="6" t="inlineStr">
        <is>
          <t>P101</t>
        </is>
      </c>
      <c r="B83" s="6" t="inlineStr">
        <is>
          <t>RDM</t>
        </is>
      </c>
      <c r="C83" s="29" t="n">
        <v>5.28</v>
      </c>
      <c r="D83" s="29" t="n">
        <v>5.557894736842106</v>
      </c>
      <c r="E83" s="29" t="n">
        <v>5.866666666666667</v>
      </c>
      <c r="F83" s="29" t="n">
        <v>6.211764705882353</v>
      </c>
      <c r="G83" s="29" t="n">
        <v>6.6</v>
      </c>
      <c r="H83" s="29" t="n">
        <v>7.04</v>
      </c>
      <c r="I83" s="29" t="n">
        <v>7.542857142857144</v>
      </c>
      <c r="J83" s="29" t="n">
        <v>8.123076923076923</v>
      </c>
      <c r="K83" s="29" t="n">
        <v>8.800000000000001</v>
      </c>
      <c r="L83" s="29" t="n">
        <v>9.6</v>
      </c>
      <c r="M83" s="29" t="n">
        <v>10.56</v>
      </c>
      <c r="N83" s="29" t="n">
        <v>11.73333333333333</v>
      </c>
      <c r="O83" s="29" t="n">
        <v>13.2</v>
      </c>
      <c r="P83" s="29" t="n">
        <v>15.08571428571429</v>
      </c>
      <c r="Q83" s="29" t="n">
        <v>17.6</v>
      </c>
      <c r="R83" s="29" t="n">
        <v>21.12</v>
      </c>
      <c r="S83" s="29" t="n">
        <v>26.4</v>
      </c>
      <c r="T83" s="29" t="n">
        <v>35.2</v>
      </c>
      <c r="U83" s="29" t="n">
        <v>52.8</v>
      </c>
      <c r="V83" s="29" t="n">
        <v>105.6</v>
      </c>
      <c r="W83" s="29" t="n">
        <v>13.26</v>
      </c>
      <c r="X83" s="29" t="n">
        <v>13.95789473684211</v>
      </c>
      <c r="Y83" s="29" t="n">
        <v>14.73333333333333</v>
      </c>
      <c r="Z83" s="29" t="n">
        <v>15.6</v>
      </c>
      <c r="AA83" s="29" t="n">
        <v>16.575</v>
      </c>
      <c r="AB83" s="29" t="n">
        <v>17.68</v>
      </c>
      <c r="AC83" s="29" t="n">
        <v>18.94285714285714</v>
      </c>
      <c r="AD83" s="29" t="n">
        <v>20.4</v>
      </c>
      <c r="AE83" s="29" t="n">
        <v>22.1</v>
      </c>
      <c r="AF83" s="29" t="n">
        <v>24.10909090909091</v>
      </c>
      <c r="AG83" s="29" t="n">
        <v>26.52</v>
      </c>
      <c r="AH83" s="29" t="n">
        <v>29.46666666666667</v>
      </c>
      <c r="AI83" s="29" t="n">
        <v>33.15</v>
      </c>
      <c r="AJ83" s="29" t="n">
        <v>37.88571428571429</v>
      </c>
      <c r="AK83" s="29" t="n">
        <v>44.2</v>
      </c>
      <c r="AL83" s="29" t="n">
        <v>53.04</v>
      </c>
      <c r="AM83" s="29" t="n">
        <v>66.3</v>
      </c>
      <c r="AN83" s="29" t="n">
        <v>88.40000000000001</v>
      </c>
      <c r="AO83" s="29" t="n">
        <v>132.6</v>
      </c>
      <c r="AP83" s="29" t="n">
        <v>265.2</v>
      </c>
    </row>
    <row r="84">
      <c r="A84" s="6" t="inlineStr">
        <is>
          <t>P102</t>
        </is>
      </c>
      <c r="B84" s="6" t="inlineStr">
        <is>
          <t>RDM</t>
        </is>
      </c>
      <c r="C84" s="29" t="n">
        <v>5.445</v>
      </c>
      <c r="D84" s="29" t="n">
        <v>5.731578947368422</v>
      </c>
      <c r="E84" s="29" t="n">
        <v>6.05</v>
      </c>
      <c r="F84" s="29" t="n">
        <v>6.405882352941177</v>
      </c>
      <c r="G84" s="29" t="n">
        <v>6.80625</v>
      </c>
      <c r="H84" s="29" t="n">
        <v>7.260000000000001</v>
      </c>
      <c r="I84" s="29" t="n">
        <v>7.778571428571429</v>
      </c>
      <c r="J84" s="29" t="n">
        <v>8.376923076923077</v>
      </c>
      <c r="K84" s="29" t="n">
        <v>9.075000000000001</v>
      </c>
      <c r="L84" s="29" t="n">
        <v>9.9</v>
      </c>
      <c r="M84" s="29" t="n">
        <v>10.89</v>
      </c>
      <c r="N84" s="29" t="n">
        <v>12.1</v>
      </c>
      <c r="O84" s="29" t="n">
        <v>13.6125</v>
      </c>
      <c r="P84" s="29" t="n">
        <v>15.55714285714286</v>
      </c>
      <c r="Q84" s="29" t="n">
        <v>18.15</v>
      </c>
      <c r="R84" s="29" t="n">
        <v>21.78</v>
      </c>
      <c r="S84" s="29" t="n">
        <v>27.225</v>
      </c>
      <c r="T84" s="29" t="n">
        <v>36.3</v>
      </c>
      <c r="U84" s="29" t="n">
        <v>54.45</v>
      </c>
      <c r="V84" s="29" t="n">
        <v>108.9</v>
      </c>
      <c r="W84" s="29" t="n">
        <v>12.18</v>
      </c>
      <c r="X84" s="29" t="n">
        <v>12.82105263157895</v>
      </c>
      <c r="Y84" s="29" t="n">
        <v>13.53333333333333</v>
      </c>
      <c r="Z84" s="29" t="n">
        <v>14.32941176470588</v>
      </c>
      <c r="AA84" s="29" t="n">
        <v>15.225</v>
      </c>
      <c r="AB84" s="29" t="n">
        <v>16.24</v>
      </c>
      <c r="AC84" s="29" t="n">
        <v>17.4</v>
      </c>
      <c r="AD84" s="29" t="n">
        <v>18.73846153846154</v>
      </c>
      <c r="AE84" s="29" t="n">
        <v>20.3</v>
      </c>
      <c r="AF84" s="29" t="n">
        <v>22.14545454545454</v>
      </c>
      <c r="AG84" s="29" t="n">
        <v>24.36</v>
      </c>
      <c r="AH84" s="29" t="n">
        <v>27.06666666666667</v>
      </c>
      <c r="AI84" s="29" t="n">
        <v>30.45</v>
      </c>
      <c r="AJ84" s="29" t="n">
        <v>34.8</v>
      </c>
      <c r="AK84" s="29" t="n">
        <v>40.6</v>
      </c>
      <c r="AL84" s="29" t="n">
        <v>48.72</v>
      </c>
      <c r="AM84" s="29" t="n">
        <v>60.9</v>
      </c>
      <c r="AN84" s="29" t="n">
        <v>81.2</v>
      </c>
      <c r="AO84" s="29" t="n">
        <v>121.8</v>
      </c>
      <c r="AP84" s="29" t="n">
        <v>243.6</v>
      </c>
    </row>
    <row r="85">
      <c r="A85" s="6" t="inlineStr">
        <is>
          <t>P103</t>
        </is>
      </c>
      <c r="B85" s="6" t="inlineStr">
        <is>
          <t>RDM</t>
        </is>
      </c>
      <c r="C85" s="29" t="n">
        <v>5.06</v>
      </c>
      <c r="D85" s="29" t="n">
        <v>5.326315789473684</v>
      </c>
      <c r="E85" s="29" t="n">
        <v>5.622222222222222</v>
      </c>
      <c r="F85" s="29" t="n">
        <v>5.952941176470588</v>
      </c>
      <c r="G85" s="29" t="n">
        <v>6.324999999999999</v>
      </c>
      <c r="H85" s="29" t="n">
        <v>6.746666666666666</v>
      </c>
      <c r="I85" s="29" t="n">
        <v>7.228571428571429</v>
      </c>
      <c r="J85" s="29" t="n">
        <v>7.784615384615384</v>
      </c>
      <c r="K85" s="29" t="n">
        <v>8.433333333333334</v>
      </c>
      <c r="L85" s="29" t="n">
        <v>9.199999999999999</v>
      </c>
      <c r="M85" s="29" t="n">
        <v>10.12</v>
      </c>
      <c r="N85" s="29" t="n">
        <v>11.24444444444444</v>
      </c>
      <c r="O85" s="29" t="n">
        <v>12.65</v>
      </c>
      <c r="P85" s="29" t="n">
        <v>14.45714285714286</v>
      </c>
      <c r="Q85" s="29" t="n">
        <v>16.86666666666667</v>
      </c>
      <c r="R85" s="29" t="n">
        <v>20.24</v>
      </c>
      <c r="S85" s="29" t="n">
        <v>25.3</v>
      </c>
      <c r="T85" s="29" t="n">
        <v>33.73333333333333</v>
      </c>
      <c r="U85" s="29" t="n">
        <v>50.59999999999999</v>
      </c>
      <c r="V85" s="29" t="n">
        <v>101.2</v>
      </c>
      <c r="W85" s="29" t="n">
        <v>12.18</v>
      </c>
      <c r="X85" s="29" t="n">
        <v>12.82105263157895</v>
      </c>
      <c r="Y85" s="29" t="n">
        <v>13.53333333333333</v>
      </c>
      <c r="Z85" s="29" t="n">
        <v>14.32941176470588</v>
      </c>
      <c r="AA85" s="29" t="n">
        <v>15.225</v>
      </c>
      <c r="AB85" s="29" t="n">
        <v>16.24</v>
      </c>
      <c r="AC85" s="29" t="n">
        <v>17.4</v>
      </c>
      <c r="AD85" s="29" t="n">
        <v>18.73846153846154</v>
      </c>
      <c r="AE85" s="29" t="n">
        <v>20.3</v>
      </c>
      <c r="AF85" s="29" t="n">
        <v>22.14545454545454</v>
      </c>
      <c r="AG85" s="29" t="n">
        <v>24.36</v>
      </c>
      <c r="AH85" s="29" t="n">
        <v>27.06666666666667</v>
      </c>
      <c r="AI85" s="29" t="n">
        <v>30.45</v>
      </c>
      <c r="AJ85" s="29" t="n">
        <v>34.8</v>
      </c>
      <c r="AK85" s="29" t="n">
        <v>40.6</v>
      </c>
      <c r="AL85" s="29" t="n">
        <v>48.72</v>
      </c>
      <c r="AM85" s="29" t="n">
        <v>60.9</v>
      </c>
      <c r="AN85" s="29" t="n">
        <v>81.2</v>
      </c>
      <c r="AO85" s="29" t="n">
        <v>121.8</v>
      </c>
      <c r="AP85" s="29" t="n">
        <v>243.6</v>
      </c>
    </row>
    <row r="86">
      <c r="A86" s="6" t="inlineStr">
        <is>
          <t>P104</t>
        </is>
      </c>
      <c r="B86" s="6" t="inlineStr">
        <is>
          <t>RDM</t>
        </is>
      </c>
      <c r="C86" s="29" t="n">
        <v>5.005</v>
      </c>
      <c r="D86" s="29" t="n">
        <v>5.268421052631579</v>
      </c>
      <c r="E86" s="29" t="n">
        <v>5.561111111111111</v>
      </c>
      <c r="F86" s="29" t="n">
        <v>5.888235294117647</v>
      </c>
      <c r="G86" s="29" t="n">
        <v>6.25625</v>
      </c>
      <c r="H86" s="29" t="n">
        <v>6.673333333333333</v>
      </c>
      <c r="I86" s="29" t="n">
        <v>7.15</v>
      </c>
      <c r="J86" s="29" t="n">
        <v>7.699999999999999</v>
      </c>
      <c r="K86" s="29" t="n">
        <v>8.341666666666667</v>
      </c>
      <c r="L86" s="29" t="n">
        <v>9.1</v>
      </c>
      <c r="M86" s="29" t="n">
        <v>10.01</v>
      </c>
      <c r="N86" s="29" t="n">
        <v>11.12222222222222</v>
      </c>
      <c r="O86" s="29" t="n">
        <v>12.5125</v>
      </c>
      <c r="P86" s="29" t="n">
        <v>14.3</v>
      </c>
      <c r="Q86" s="29" t="n">
        <v>16.68333333333333</v>
      </c>
      <c r="R86" s="29" t="n">
        <v>20.02</v>
      </c>
      <c r="S86" s="29" t="n">
        <v>25.025</v>
      </c>
      <c r="T86" s="29" t="n">
        <v>33.36666666666667</v>
      </c>
      <c r="U86" s="29" t="n">
        <v>50.05</v>
      </c>
      <c r="V86" s="29" t="n">
        <v>100.1</v>
      </c>
      <c r="W86" s="29" t="n">
        <v>12.18</v>
      </c>
      <c r="X86" s="29" t="n">
        <v>12.82105263157895</v>
      </c>
      <c r="Y86" s="29" t="n">
        <v>13.53333333333333</v>
      </c>
      <c r="Z86" s="29" t="n">
        <v>14.3294117647059</v>
      </c>
      <c r="AA86" s="29" t="n">
        <v>15.225</v>
      </c>
      <c r="AB86" s="29" t="n">
        <v>16.24</v>
      </c>
      <c r="AC86" s="29" t="n">
        <v>17.4</v>
      </c>
      <c r="AD86" s="29" t="n">
        <v>18.73846153846154</v>
      </c>
      <c r="AE86" s="29" t="n">
        <v>20.3</v>
      </c>
      <c r="AF86" s="29" t="n">
        <v>22.14545454545454</v>
      </c>
      <c r="AG86" s="29" t="n">
        <v>24.36</v>
      </c>
      <c r="AH86" s="29" t="n">
        <v>27.06666666666667</v>
      </c>
      <c r="AI86" s="29" t="n">
        <v>30.45</v>
      </c>
      <c r="AJ86" s="29" t="n">
        <v>34.8</v>
      </c>
      <c r="AK86" s="29" t="n">
        <v>40.6</v>
      </c>
      <c r="AL86" s="29" t="n">
        <v>48.72</v>
      </c>
      <c r="AM86" s="29" t="n">
        <v>60.9</v>
      </c>
      <c r="AN86" s="29" t="n">
        <v>81.2</v>
      </c>
      <c r="AO86" s="29" t="n">
        <v>121.8</v>
      </c>
      <c r="AP86" s="29" t="n">
        <v>243.6</v>
      </c>
    </row>
    <row r="87">
      <c r="A87" s="6" t="inlineStr">
        <is>
          <t>P105</t>
        </is>
      </c>
      <c r="B87" s="6" t="inlineStr">
        <is>
          <t>RDM</t>
        </is>
      </c>
      <c r="C87" s="29" t="n">
        <v>5.225</v>
      </c>
      <c r="D87" s="29" t="n">
        <v>5.5</v>
      </c>
      <c r="E87" s="29" t="n">
        <v>5.805555555555555</v>
      </c>
      <c r="F87" s="29" t="n">
        <v>6.147058823529411</v>
      </c>
      <c r="G87" s="29" t="n">
        <v>6.531249999999999</v>
      </c>
      <c r="H87" s="29" t="n">
        <v>6.966666666666666</v>
      </c>
      <c r="I87" s="29" t="n">
        <v>7.464285714285714</v>
      </c>
      <c r="J87" s="29" t="n">
        <v>8.038461538461538</v>
      </c>
      <c r="K87" s="29" t="n">
        <v>8.708333333333334</v>
      </c>
      <c r="L87" s="29" t="n">
        <v>9.499999999999998</v>
      </c>
      <c r="M87" s="29" t="n">
        <v>10.45</v>
      </c>
      <c r="N87" s="29" t="n">
        <v>11.61111111111111</v>
      </c>
      <c r="O87" s="29" t="n">
        <v>13.0625</v>
      </c>
      <c r="P87" s="29" t="n">
        <v>14.92857142857143</v>
      </c>
      <c r="Q87" s="29" t="n">
        <v>17.41666666666667</v>
      </c>
      <c r="R87" s="29" t="n">
        <v>20.9</v>
      </c>
      <c r="S87" s="29" t="n">
        <v>26.125</v>
      </c>
      <c r="T87" s="29" t="n">
        <v>34.83333333333334</v>
      </c>
      <c r="U87" s="29" t="n">
        <v>52.24999999999999</v>
      </c>
      <c r="V87" s="29" t="n">
        <v>104.5</v>
      </c>
      <c r="W87" s="29" t="n">
        <v>12.18</v>
      </c>
      <c r="X87" s="29" t="n">
        <v>12.82105263157895</v>
      </c>
      <c r="Y87" s="29" t="n">
        <v>13.53333333333333</v>
      </c>
      <c r="Z87" s="29" t="n">
        <v>14.32941176470588</v>
      </c>
      <c r="AA87" s="29" t="n">
        <v>15.225</v>
      </c>
      <c r="AB87" s="29" t="n">
        <v>16.24</v>
      </c>
      <c r="AC87" s="29" t="n">
        <v>17.4</v>
      </c>
      <c r="AD87" s="29" t="n">
        <v>18.73846153846154</v>
      </c>
      <c r="AE87" s="29" t="n">
        <v>20.3</v>
      </c>
      <c r="AF87" s="29" t="n">
        <v>22.14545454545454</v>
      </c>
      <c r="AG87" s="29" t="n">
        <v>24.36</v>
      </c>
      <c r="AH87" s="29" t="n">
        <v>27.06666666666667</v>
      </c>
      <c r="AI87" s="29" t="n">
        <v>30.45</v>
      </c>
      <c r="AJ87" s="29" t="n">
        <v>34.8</v>
      </c>
      <c r="AK87" s="29" t="n">
        <v>40.6</v>
      </c>
      <c r="AL87" s="29" t="n">
        <v>48.72</v>
      </c>
      <c r="AM87" s="29" t="n">
        <v>60.9</v>
      </c>
      <c r="AN87" s="29" t="n">
        <v>81.2</v>
      </c>
      <c r="AO87" s="29" t="n">
        <v>121.8</v>
      </c>
      <c r="AP87" s="29" t="n">
        <v>243.6</v>
      </c>
    </row>
    <row r="88">
      <c r="A88" s="6" t="inlineStr">
        <is>
          <t>P106</t>
        </is>
      </c>
      <c r="B88" s="6" t="inlineStr">
        <is>
          <t>RDM</t>
        </is>
      </c>
      <c r="C88" s="29" t="n">
        <v>5.34</v>
      </c>
      <c r="D88" s="29" t="n">
        <v>5.621052631578947</v>
      </c>
      <c r="E88" s="29" t="n">
        <v>5.933333333333333</v>
      </c>
      <c r="F88" s="29" t="n">
        <v>6.28235294117647</v>
      </c>
      <c r="G88" s="29" t="n">
        <v>6.675</v>
      </c>
      <c r="H88" s="29" t="n">
        <v>7.12</v>
      </c>
      <c r="I88" s="29" t="n">
        <v>7.628571428571429</v>
      </c>
      <c r="J88" s="29" t="n">
        <v>8.215384615384615</v>
      </c>
      <c r="K88" s="29" t="n">
        <v>8.9</v>
      </c>
      <c r="L88" s="29" t="n">
        <v>9.709090909090907</v>
      </c>
      <c r="M88" s="29" t="n">
        <v>10.68</v>
      </c>
      <c r="N88" s="29" t="n">
        <v>11.86666666666667</v>
      </c>
      <c r="O88" s="29" t="n">
        <v>13.35</v>
      </c>
      <c r="P88" s="29" t="n">
        <v>15.25714285714286</v>
      </c>
      <c r="Q88" s="29" t="n">
        <v>17.8</v>
      </c>
      <c r="R88" s="29" t="n">
        <v>21.36</v>
      </c>
      <c r="S88" s="29" t="n">
        <v>26.7</v>
      </c>
      <c r="T88" s="29" t="n">
        <v>35.6</v>
      </c>
      <c r="U88" s="29" t="n">
        <v>53.4</v>
      </c>
      <c r="V88" s="29" t="n">
        <v>106.8</v>
      </c>
      <c r="W88" s="29" t="n">
        <v>12.18</v>
      </c>
      <c r="X88" s="29" t="n">
        <v>12.82105263157895</v>
      </c>
      <c r="Y88" s="29" t="n">
        <v>13.53333333333333</v>
      </c>
      <c r="Z88" s="29" t="n">
        <v>14.32941176470588</v>
      </c>
      <c r="AA88" s="29" t="n">
        <v>15.225</v>
      </c>
      <c r="AB88" s="29" t="n">
        <v>16.24</v>
      </c>
      <c r="AC88" s="29" t="n">
        <v>17.4</v>
      </c>
      <c r="AD88" s="29" t="n">
        <v>18.73846153846154</v>
      </c>
      <c r="AE88" s="29" t="n">
        <v>20.3</v>
      </c>
      <c r="AF88" s="29" t="n">
        <v>22.14545454545454</v>
      </c>
      <c r="AG88" s="29" t="n">
        <v>24.36</v>
      </c>
      <c r="AH88" s="29" t="n">
        <v>27.06666666666667</v>
      </c>
      <c r="AI88" s="29" t="n">
        <v>30.45</v>
      </c>
      <c r="AJ88" s="29" t="n">
        <v>34.8</v>
      </c>
      <c r="AK88" s="29" t="n">
        <v>40.6</v>
      </c>
      <c r="AL88" s="29" t="n">
        <v>48.72</v>
      </c>
      <c r="AM88" s="29" t="n">
        <v>60.9</v>
      </c>
      <c r="AN88" s="29" t="n">
        <v>81.2</v>
      </c>
      <c r="AO88" s="29" t="n">
        <v>121.8</v>
      </c>
      <c r="AP88" s="29" t="n">
        <v>243.6</v>
      </c>
    </row>
    <row r="89">
      <c r="A89" s="6" t="inlineStr">
        <is>
          <t>P107</t>
        </is>
      </c>
      <c r="B89" s="6" t="inlineStr">
        <is>
          <t>RDM</t>
        </is>
      </c>
      <c r="C89" s="29" t="n">
        <v>5.225</v>
      </c>
      <c r="D89" s="29" t="n">
        <v>5.5</v>
      </c>
      <c r="E89" s="29" t="n">
        <v>5.805555555555555</v>
      </c>
      <c r="F89" s="29" t="n">
        <v>6.147058823529411</v>
      </c>
      <c r="G89" s="29" t="n">
        <v>6.531249999999999</v>
      </c>
      <c r="H89" s="29" t="n">
        <v>6.966666666666666</v>
      </c>
      <c r="I89" s="29" t="n">
        <v>7.464285714285714</v>
      </c>
      <c r="J89" s="29" t="n">
        <v>8.038461538461538</v>
      </c>
      <c r="K89" s="29" t="n">
        <v>8.708333333333334</v>
      </c>
      <c r="L89" s="29" t="n">
        <v>9.499999999999998</v>
      </c>
      <c r="M89" s="29" t="n">
        <v>10.45</v>
      </c>
      <c r="N89" s="29" t="n">
        <v>11.61111111111111</v>
      </c>
      <c r="O89" s="29" t="n">
        <v>13.0625</v>
      </c>
      <c r="P89" s="29" t="n">
        <v>14.92857142857143</v>
      </c>
      <c r="Q89" s="29" t="n">
        <v>17.41666666666667</v>
      </c>
      <c r="R89" s="29" t="n">
        <v>20.9</v>
      </c>
      <c r="S89" s="29" t="n">
        <v>26.125</v>
      </c>
      <c r="T89" s="29" t="n">
        <v>34.83333333333334</v>
      </c>
      <c r="U89" s="29" t="n">
        <v>52.24999999999999</v>
      </c>
      <c r="V89" s="29" t="n">
        <v>104.5</v>
      </c>
      <c r="W89" s="29" t="n">
        <v>12.18</v>
      </c>
      <c r="X89" s="29" t="n">
        <v>12.82105263157895</v>
      </c>
      <c r="Y89" s="29" t="n">
        <v>13.53333333333333</v>
      </c>
      <c r="Z89" s="29" t="n">
        <v>14.32941176470588</v>
      </c>
      <c r="AA89" s="29" t="n">
        <v>15.225</v>
      </c>
      <c r="AB89" s="29" t="n">
        <v>16.24</v>
      </c>
      <c r="AC89" s="29" t="n">
        <v>17.4</v>
      </c>
      <c r="AD89" s="29" t="n">
        <v>18.73846153846154</v>
      </c>
      <c r="AE89" s="29" t="n">
        <v>20.3</v>
      </c>
      <c r="AF89" s="29" t="n">
        <v>22.14545454545454</v>
      </c>
      <c r="AG89" s="29" t="n">
        <v>24.36</v>
      </c>
      <c r="AH89" s="29" t="n">
        <v>27.06666666666667</v>
      </c>
      <c r="AI89" s="29" t="n">
        <v>30.45</v>
      </c>
      <c r="AJ89" s="29" t="n">
        <v>34.8</v>
      </c>
      <c r="AK89" s="29" t="n">
        <v>40.6</v>
      </c>
      <c r="AL89" s="29" t="n">
        <v>48.72</v>
      </c>
      <c r="AM89" s="29" t="n">
        <v>60.9</v>
      </c>
      <c r="AN89" s="29" t="n">
        <v>81.2</v>
      </c>
      <c r="AO89" s="29" t="n">
        <v>121.8</v>
      </c>
      <c r="AP89" s="29" t="n">
        <v>243.6</v>
      </c>
    </row>
    <row r="90">
      <c r="A90" s="6" t="inlineStr">
        <is>
          <t>P108</t>
        </is>
      </c>
      <c r="B90" s="6" t="inlineStr">
        <is>
          <t>RDM</t>
        </is>
      </c>
      <c r="C90" s="29" t="n">
        <v>5.5</v>
      </c>
      <c r="D90" s="29" t="n">
        <v>5.789473684210527</v>
      </c>
      <c r="E90" s="29" t="n">
        <v>6.111111111111111</v>
      </c>
      <c r="F90" s="29" t="n">
        <v>6.470588235294118</v>
      </c>
      <c r="G90" s="29" t="n">
        <v>6.875</v>
      </c>
      <c r="H90" s="29" t="n">
        <v>7.333333333333333</v>
      </c>
      <c r="I90" s="29" t="n">
        <v>7.857142857142858</v>
      </c>
      <c r="J90" s="29" t="n">
        <v>8.461538461538462</v>
      </c>
      <c r="K90" s="29" t="n">
        <v>9.166666666666668</v>
      </c>
      <c r="L90" s="29" t="n">
        <v>10</v>
      </c>
      <c r="M90" s="29" t="n">
        <v>11</v>
      </c>
      <c r="N90" s="29" t="n">
        <v>12.22222222222222</v>
      </c>
      <c r="O90" s="29" t="n">
        <v>13.75</v>
      </c>
      <c r="P90" s="29" t="n">
        <v>15.71428571428572</v>
      </c>
      <c r="Q90" s="29" t="n">
        <v>18.33333333333334</v>
      </c>
      <c r="R90" s="29" t="n">
        <v>22</v>
      </c>
      <c r="S90" s="29" t="n">
        <v>27.5</v>
      </c>
      <c r="T90" s="29" t="n">
        <v>36.66666666666667</v>
      </c>
      <c r="U90" s="29" t="n">
        <v>55</v>
      </c>
      <c r="V90" s="29" t="n">
        <v>110</v>
      </c>
      <c r="W90" s="29" t="n">
        <v>12.18</v>
      </c>
      <c r="X90" s="29" t="n">
        <v>12.82105263157895</v>
      </c>
      <c r="Y90" s="29" t="n">
        <v>13.53333333333333</v>
      </c>
      <c r="Z90" s="29" t="n">
        <v>14.32941176470588</v>
      </c>
      <c r="AA90" s="29" t="n">
        <v>15.225</v>
      </c>
      <c r="AB90" s="29" t="n">
        <v>16.24</v>
      </c>
      <c r="AC90" s="29" t="n">
        <v>17.4</v>
      </c>
      <c r="AD90" s="29" t="n">
        <v>18.73846153846154</v>
      </c>
      <c r="AE90" s="29" t="n">
        <v>20.3</v>
      </c>
      <c r="AF90" s="29" t="n">
        <v>22.14545454545454</v>
      </c>
      <c r="AG90" s="29" t="n">
        <v>24.36</v>
      </c>
      <c r="AH90" s="29" t="n">
        <v>27.06666666666667</v>
      </c>
      <c r="AI90" s="29" t="n">
        <v>30.45</v>
      </c>
      <c r="AJ90" s="29" t="n">
        <v>34.8</v>
      </c>
      <c r="AK90" s="29" t="n">
        <v>40.6</v>
      </c>
      <c r="AL90" s="29" t="n">
        <v>48.72</v>
      </c>
      <c r="AM90" s="29" t="n">
        <v>60.9</v>
      </c>
      <c r="AN90" s="29" t="n">
        <v>81.2</v>
      </c>
      <c r="AO90" s="29" t="n">
        <v>121.8</v>
      </c>
      <c r="AP90" s="29" t="n">
        <v>243.6</v>
      </c>
    </row>
    <row r="91">
      <c r="A91" s="6" t="inlineStr">
        <is>
          <t>P109</t>
        </is>
      </c>
      <c r="B91" s="6" t="inlineStr">
        <is>
          <t>RDM</t>
        </is>
      </c>
      <c r="C91" s="29" t="n">
        <v>5.83</v>
      </c>
      <c r="D91" s="29" t="n">
        <v>6.136842105263158</v>
      </c>
      <c r="E91" s="29" t="n">
        <v>6.477777777777778</v>
      </c>
      <c r="F91" s="29" t="n">
        <v>6.858823529411765</v>
      </c>
      <c r="G91" s="29" t="n">
        <v>7.2875</v>
      </c>
      <c r="H91" s="29" t="n">
        <v>7.773333333333333</v>
      </c>
      <c r="I91" s="29" t="n">
        <v>8.328571428571429</v>
      </c>
      <c r="J91" s="29" t="n">
        <v>8.969230769230769</v>
      </c>
      <c r="K91" s="29" t="n">
        <v>9.716666666666667</v>
      </c>
      <c r="L91" s="29" t="n">
        <v>10.6</v>
      </c>
      <c r="M91" s="29" t="n">
        <v>11.66</v>
      </c>
      <c r="N91" s="29" t="n">
        <v>12.95555555555556</v>
      </c>
      <c r="O91" s="29" t="n">
        <v>14.575</v>
      </c>
      <c r="P91" s="29" t="n">
        <v>16.65714285714286</v>
      </c>
      <c r="Q91" s="29" t="n">
        <v>19.43333333333333</v>
      </c>
      <c r="R91" s="29" t="n">
        <v>23.32</v>
      </c>
      <c r="S91" s="29" t="n">
        <v>29.15</v>
      </c>
      <c r="T91" s="29" t="n">
        <v>38.86666666666667</v>
      </c>
      <c r="U91" s="29" t="n">
        <v>58.3</v>
      </c>
      <c r="V91" s="29" t="n">
        <v>116.6</v>
      </c>
      <c r="W91" s="29" t="n">
        <v>12.18</v>
      </c>
      <c r="X91" s="29" t="n">
        <v>12.82105263157895</v>
      </c>
      <c r="Y91" s="29" t="n">
        <v>13.5333333333333</v>
      </c>
      <c r="Z91" s="29" t="n">
        <v>14.32941176470588</v>
      </c>
      <c r="AA91" s="29" t="n">
        <v>15.225</v>
      </c>
      <c r="AB91" s="29" t="n">
        <v>16.24</v>
      </c>
      <c r="AC91" s="29" t="n">
        <v>17.4</v>
      </c>
      <c r="AD91" s="29" t="n">
        <v>18.73846153846154</v>
      </c>
      <c r="AE91" s="29" t="n">
        <v>20.3</v>
      </c>
      <c r="AF91" s="29" t="n">
        <v>22.14545454545454</v>
      </c>
      <c r="AG91" s="29" t="n">
        <v>24.36</v>
      </c>
      <c r="AH91" s="29" t="n">
        <v>27.06666666666667</v>
      </c>
      <c r="AI91" s="29" t="n">
        <v>30.45</v>
      </c>
      <c r="AJ91" s="29" t="n">
        <v>34.8</v>
      </c>
      <c r="AK91" s="29" t="n">
        <v>40.6</v>
      </c>
      <c r="AL91" s="29" t="n">
        <v>48.72</v>
      </c>
      <c r="AM91" s="29" t="n">
        <v>60.9</v>
      </c>
      <c r="AN91" s="29" t="n">
        <v>81.2</v>
      </c>
      <c r="AO91" s="29" t="n">
        <v>121.8</v>
      </c>
      <c r="AP91" s="29" t="n">
        <v>243.6</v>
      </c>
    </row>
    <row r="92">
      <c r="A92" s="6" t="inlineStr">
        <is>
          <t>P110</t>
        </is>
      </c>
      <c r="B92" s="6" t="inlineStr">
        <is>
          <t>RDM</t>
        </is>
      </c>
      <c r="C92" s="29" t="n">
        <v>5.4</v>
      </c>
      <c r="D92" s="29" t="n">
        <v>5.68421052631579</v>
      </c>
      <c r="E92" s="29" t="n">
        <v>6</v>
      </c>
      <c r="F92" s="29" t="n">
        <v>6.352941176470589</v>
      </c>
      <c r="G92" s="29" t="n">
        <v>6.75</v>
      </c>
      <c r="H92" s="29" t="n">
        <v>7.2</v>
      </c>
      <c r="I92" s="29" t="n">
        <v>7.714285714285715</v>
      </c>
      <c r="J92" s="29" t="n">
        <v>8.307692307692308</v>
      </c>
      <c r="K92" s="29" t="n">
        <v>9.000000000000002</v>
      </c>
      <c r="L92" s="29" t="n">
        <v>9.818181818181818</v>
      </c>
      <c r="M92" s="29" t="n">
        <v>10.8</v>
      </c>
      <c r="N92" s="29" t="n">
        <v>12</v>
      </c>
      <c r="O92" s="29" t="n">
        <v>13.5</v>
      </c>
      <c r="P92" s="29" t="n">
        <v>15.42857142857143</v>
      </c>
      <c r="Q92" s="29" t="n">
        <v>18</v>
      </c>
      <c r="R92" s="29" t="n">
        <v>21.6</v>
      </c>
      <c r="S92" s="29" t="n">
        <v>27</v>
      </c>
      <c r="T92" s="29" t="n">
        <v>36.00000000000001</v>
      </c>
      <c r="U92" s="29" t="n">
        <v>54</v>
      </c>
      <c r="V92" s="29" t="n">
        <v>108</v>
      </c>
      <c r="W92" s="29" t="n">
        <v>12.18</v>
      </c>
      <c r="X92" s="29" t="n">
        <v>12.82105263157895</v>
      </c>
      <c r="Y92" s="29" t="n">
        <v>13.53333333333333</v>
      </c>
      <c r="Z92" s="29" t="n">
        <v>14.32941176470588</v>
      </c>
      <c r="AA92" s="29" t="n">
        <v>15.225</v>
      </c>
      <c r="AB92" s="29" t="n">
        <v>16.24</v>
      </c>
      <c r="AC92" s="29" t="n">
        <v>17.4</v>
      </c>
      <c r="AD92" s="29" t="n">
        <v>18.73846153846154</v>
      </c>
      <c r="AE92" s="29" t="n">
        <v>20.3</v>
      </c>
      <c r="AF92" s="29" t="n">
        <v>22.14545454545454</v>
      </c>
      <c r="AG92" s="29" t="n">
        <v>24.36</v>
      </c>
      <c r="AH92" s="29" t="n">
        <v>27.0666666666667</v>
      </c>
      <c r="AI92" s="29" t="n">
        <v>30.45</v>
      </c>
      <c r="AJ92" s="29" t="n">
        <v>34.8</v>
      </c>
      <c r="AK92" s="29" t="n">
        <v>40.6</v>
      </c>
      <c r="AL92" s="29" t="n">
        <v>48.72</v>
      </c>
      <c r="AM92" s="29" t="n">
        <v>60.9</v>
      </c>
      <c r="AN92" s="29" t="n">
        <v>81.2</v>
      </c>
      <c r="AO92" s="29" t="n">
        <v>121.8</v>
      </c>
      <c r="AP92" s="29" t="n">
        <v>243.6</v>
      </c>
    </row>
    <row r="93">
      <c r="A93" s="6" t="inlineStr">
        <is>
          <t>P112</t>
        </is>
      </c>
      <c r="B93" s="6" t="inlineStr">
        <is>
          <t>RDM</t>
        </is>
      </c>
      <c r="C93" s="29" t="n">
        <v>6.16</v>
      </c>
      <c r="D93" s="29" t="n">
        <v>6.48421052631579</v>
      </c>
      <c r="E93" s="29" t="n">
        <v>6.844444444444444</v>
      </c>
      <c r="F93" s="29" t="n">
        <v>7.247058823529412</v>
      </c>
      <c r="G93" s="29" t="n">
        <v>7.7</v>
      </c>
      <c r="H93" s="29" t="n">
        <v>8.213333333333333</v>
      </c>
      <c r="I93" s="29" t="n">
        <v>8.800000000000001</v>
      </c>
      <c r="J93" s="29" t="n">
        <v>9.476923076923077</v>
      </c>
      <c r="K93" s="29" t="n">
        <v>10.26666666666667</v>
      </c>
      <c r="L93" s="29" t="n">
        <v>11.2</v>
      </c>
      <c r="M93" s="29" t="n">
        <v>12.32</v>
      </c>
      <c r="N93" s="29" t="n">
        <v>13.68888888888889</v>
      </c>
      <c r="O93" s="29" t="n">
        <v>15.4</v>
      </c>
      <c r="P93" s="29" t="n">
        <v>17.6</v>
      </c>
      <c r="Q93" s="29" t="n">
        <v>20.53333333333333</v>
      </c>
      <c r="R93" s="29" t="n">
        <v>24.64</v>
      </c>
      <c r="S93" s="29" t="n">
        <v>30.8</v>
      </c>
      <c r="T93" s="29" t="n">
        <v>41.06666666666667</v>
      </c>
      <c r="U93" s="29" t="n">
        <v>61.6</v>
      </c>
      <c r="V93" s="29" t="n">
        <v>123.2</v>
      </c>
      <c r="W93" s="29" t="n">
        <v>15.26</v>
      </c>
      <c r="X93" s="29" t="n">
        <v>16.06315789473684</v>
      </c>
      <c r="Y93" s="29" t="n">
        <v>16.95555555555556</v>
      </c>
      <c r="Z93" s="29" t="n">
        <v>17.95294117647059</v>
      </c>
      <c r="AA93" s="29" t="n">
        <v>19.075</v>
      </c>
      <c r="AB93" s="29" t="n">
        <v>20.34666666666667</v>
      </c>
      <c r="AC93" s="29" t="n">
        <v>21.8</v>
      </c>
      <c r="AD93" s="29" t="n">
        <v>23.47692307692308</v>
      </c>
      <c r="AE93" s="29" t="n">
        <v>25.43333333333333</v>
      </c>
      <c r="AF93" s="29" t="n">
        <v>27.74545454545454</v>
      </c>
      <c r="AG93" s="29" t="n">
        <v>30.52</v>
      </c>
      <c r="AH93" s="29" t="n">
        <v>33.91111111111111</v>
      </c>
      <c r="AI93" s="29" t="n">
        <v>38.15</v>
      </c>
      <c r="AJ93" s="29" t="n">
        <v>43.6</v>
      </c>
      <c r="AK93" s="29" t="n">
        <v>50.86666666666667</v>
      </c>
      <c r="AL93" s="29" t="n">
        <v>61.04</v>
      </c>
      <c r="AM93" s="29" t="n">
        <v>76.3</v>
      </c>
      <c r="AN93" s="29" t="n">
        <v>101.7333333333333</v>
      </c>
      <c r="AO93" s="29" t="n">
        <v>152.6</v>
      </c>
      <c r="AP93" s="29" t="n">
        <v>305.2</v>
      </c>
    </row>
    <row r="94">
      <c r="A94" s="6" t="inlineStr">
        <is>
          <t>P113</t>
        </is>
      </c>
      <c r="B94" s="6" t="inlineStr">
        <is>
          <t>RDM</t>
        </is>
      </c>
      <c r="C94" s="29" t="n">
        <v>6.23</v>
      </c>
      <c r="D94" s="29" t="n">
        <v>6.557894736842106</v>
      </c>
      <c r="E94" s="29" t="n">
        <v>6.922222222222222</v>
      </c>
      <c r="F94" s="29" t="n">
        <v>7.329411764705883</v>
      </c>
      <c r="G94" s="29" t="n">
        <v>7.787500000000001</v>
      </c>
      <c r="H94" s="29" t="n">
        <v>8.306666666666667</v>
      </c>
      <c r="I94" s="29" t="n">
        <v>8.9</v>
      </c>
      <c r="J94" s="29" t="n">
        <v>9.584615384615384</v>
      </c>
      <c r="K94" s="29" t="n">
        <v>10.38333333333333</v>
      </c>
      <c r="L94" s="29" t="n">
        <v>11.32727272727273</v>
      </c>
      <c r="M94" s="29" t="n">
        <v>12.46</v>
      </c>
      <c r="N94" s="29" t="n">
        <v>13.84444444444444</v>
      </c>
      <c r="O94" s="29" t="n">
        <v>15.575</v>
      </c>
      <c r="P94" s="29" t="n">
        <v>17.8</v>
      </c>
      <c r="Q94" s="29" t="n">
        <v>20.76666666666667</v>
      </c>
      <c r="R94" s="29" t="n">
        <v>24.92</v>
      </c>
      <c r="S94" s="29" t="n">
        <v>31.15</v>
      </c>
      <c r="T94" s="29" t="n">
        <v>41.53333333333334</v>
      </c>
      <c r="U94" s="29" t="n">
        <v>62.3</v>
      </c>
      <c r="V94" s="29" t="n">
        <v>124.6</v>
      </c>
      <c r="W94" s="29" t="n">
        <v>15.25</v>
      </c>
      <c r="X94" s="29" t="n">
        <v>16.05263157894737</v>
      </c>
      <c r="Y94" s="29" t="n">
        <v>16.94444444444444</v>
      </c>
      <c r="Z94" s="29" t="n">
        <v>17.94117647058824</v>
      </c>
      <c r="AA94" s="29" t="n">
        <v>19.0625</v>
      </c>
      <c r="AB94" s="29" t="n">
        <v>20.33333333333333</v>
      </c>
      <c r="AC94" s="29" t="n">
        <v>21.78571428571429</v>
      </c>
      <c r="AD94" s="29" t="n">
        <v>23.46153846153846</v>
      </c>
      <c r="AE94" s="29" t="n">
        <v>25.41666666666667</v>
      </c>
      <c r="AF94" s="29" t="n">
        <v>27.72727272727273</v>
      </c>
      <c r="AG94" s="29" t="n">
        <v>30.5</v>
      </c>
      <c r="AH94" s="29" t="n">
        <v>33.88888888888889</v>
      </c>
      <c r="AI94" s="29" t="n">
        <v>38.125</v>
      </c>
      <c r="AJ94" s="29" t="n">
        <v>43.57142857142858</v>
      </c>
      <c r="AK94" s="29" t="n">
        <v>50.83333333333334</v>
      </c>
      <c r="AL94" s="29" t="n">
        <v>61</v>
      </c>
      <c r="AM94" s="29" t="n">
        <v>76.25</v>
      </c>
      <c r="AN94" s="29" t="n">
        <v>101.6666666666667</v>
      </c>
      <c r="AO94" s="29" t="n">
        <v>152.5</v>
      </c>
      <c r="AP94" s="29" t="n">
        <v>305</v>
      </c>
    </row>
    <row r="95">
      <c r="A95" s="6" t="inlineStr">
        <is>
          <t>P114</t>
        </is>
      </c>
      <c r="B95" s="6" t="inlineStr">
        <is>
          <t>RDM</t>
        </is>
      </c>
      <c r="C95" s="29" t="n">
        <v>5.76</v>
      </c>
      <c r="D95" s="29" t="n">
        <v>6.063157894736842</v>
      </c>
      <c r="E95" s="29" t="n">
        <v>6.399999999999999</v>
      </c>
      <c r="F95" s="29" t="n">
        <v>6.776470588235294</v>
      </c>
      <c r="G95" s="29" t="n">
        <v>7.199999999999999</v>
      </c>
      <c r="H95" s="29" t="n">
        <v>7.68</v>
      </c>
      <c r="I95" s="29" t="n">
        <v>8.22857142857143</v>
      </c>
      <c r="J95" s="29" t="n">
        <v>8.86153846153846</v>
      </c>
      <c r="K95" s="29" t="n">
        <v>9.6</v>
      </c>
      <c r="L95" s="29" t="n">
        <v>10.47272727272727</v>
      </c>
      <c r="M95" s="29" t="n">
        <v>11.52</v>
      </c>
      <c r="N95" s="29" t="n">
        <v>12.8</v>
      </c>
      <c r="O95" s="29" t="n">
        <v>14.4</v>
      </c>
      <c r="P95" s="29" t="n">
        <v>16.45714285714286</v>
      </c>
      <c r="Q95" s="29" t="n">
        <v>19.2</v>
      </c>
      <c r="R95" s="29" t="n">
        <v>23.04</v>
      </c>
      <c r="S95" s="29" t="n">
        <v>28.8</v>
      </c>
      <c r="T95" s="29" t="n">
        <v>38.4</v>
      </c>
      <c r="U95" s="29" t="n">
        <v>57.59999999999999</v>
      </c>
      <c r="V95" s="29" t="n">
        <v>115.2</v>
      </c>
      <c r="W95" s="29" t="n">
        <v>13.26</v>
      </c>
      <c r="X95" s="29" t="n">
        <v>13.95789473684211</v>
      </c>
      <c r="Y95" s="29" t="n">
        <v>14.73333333333333</v>
      </c>
      <c r="Z95" s="29" t="n">
        <v>15.6</v>
      </c>
      <c r="AA95" s="29" t="n">
        <v>16.575</v>
      </c>
      <c r="AB95" s="29" t="n">
        <v>17.68</v>
      </c>
      <c r="AC95" s="29" t="n">
        <v>18.94285714285714</v>
      </c>
      <c r="AD95" s="29" t="n">
        <v>20.4</v>
      </c>
      <c r="AE95" s="29" t="n">
        <v>22.1</v>
      </c>
      <c r="AF95" s="29" t="n">
        <v>24.10909090909091</v>
      </c>
      <c r="AG95" s="29" t="n">
        <v>26.52</v>
      </c>
      <c r="AH95" s="29" t="n">
        <v>29.46666666666667</v>
      </c>
      <c r="AI95" s="29" t="n">
        <v>33.15</v>
      </c>
      <c r="AJ95" s="29" t="n">
        <v>37.88571428571429</v>
      </c>
      <c r="AK95" s="29" t="n">
        <v>44.2</v>
      </c>
      <c r="AL95" s="29" t="n">
        <v>53.04</v>
      </c>
      <c r="AM95" s="29" t="n">
        <v>66.3</v>
      </c>
      <c r="AN95" s="29" t="n">
        <v>88.40000000000001</v>
      </c>
      <c r="AO95" s="29" t="n">
        <v>132.6</v>
      </c>
      <c r="AP95" s="29" t="n">
        <v>265.2</v>
      </c>
    </row>
    <row r="96">
      <c r="A96" s="6" t="inlineStr">
        <is>
          <t>P115</t>
        </is>
      </c>
      <c r="B96" s="6" t="inlineStr">
        <is>
          <t>RDM</t>
        </is>
      </c>
      <c r="C96" s="29" t="n">
        <v>6.65</v>
      </c>
      <c r="D96" s="29" t="n">
        <v>7.000000000000001</v>
      </c>
      <c r="E96" s="29" t="n">
        <v>7.388888888888889</v>
      </c>
      <c r="F96" s="29" t="n">
        <v>7.823529411764707</v>
      </c>
      <c r="G96" s="29" t="n">
        <v>8.3125</v>
      </c>
      <c r="H96" s="29" t="n">
        <v>8.866666666666667</v>
      </c>
      <c r="I96" s="29" t="n">
        <v>9.500000000000002</v>
      </c>
      <c r="J96" s="29" t="n">
        <v>10.23076923076923</v>
      </c>
      <c r="K96" s="29" t="n">
        <v>11.08333333333333</v>
      </c>
      <c r="L96" s="29" t="n">
        <v>12.09090909090909</v>
      </c>
      <c r="M96" s="29" t="n">
        <v>13.3</v>
      </c>
      <c r="N96" s="29" t="n">
        <v>14.77777777777778</v>
      </c>
      <c r="O96" s="29" t="n">
        <v>16.625</v>
      </c>
      <c r="P96" s="29" t="n">
        <v>19</v>
      </c>
      <c r="Q96" s="29" t="n">
        <v>22.16666666666667</v>
      </c>
      <c r="R96" s="29" t="n">
        <v>26.6</v>
      </c>
      <c r="S96" s="29" t="n">
        <v>33.25</v>
      </c>
      <c r="T96" s="29" t="n">
        <v>44.33333333333334</v>
      </c>
      <c r="U96" s="29" t="n">
        <v>66.5</v>
      </c>
      <c r="V96" s="29" t="n">
        <v>133</v>
      </c>
      <c r="W96" s="29" t="n">
        <v>15.26</v>
      </c>
      <c r="X96" s="29" t="n">
        <v>16.06315789473684</v>
      </c>
      <c r="Y96" s="29" t="n">
        <v>16.95555555555556</v>
      </c>
      <c r="Z96" s="29" t="n">
        <v>17.95294117647059</v>
      </c>
      <c r="AA96" s="29" t="n">
        <v>19.075</v>
      </c>
      <c r="AB96" s="29" t="n">
        <v>20.34666666666667</v>
      </c>
      <c r="AC96" s="29" t="n">
        <v>21.8</v>
      </c>
      <c r="AD96" s="29" t="n">
        <v>23.47692307692308</v>
      </c>
      <c r="AE96" s="29" t="n">
        <v>25.43333333333333</v>
      </c>
      <c r="AF96" s="29" t="n">
        <v>27.74545454545454</v>
      </c>
      <c r="AG96" s="29" t="n">
        <v>30.52</v>
      </c>
      <c r="AH96" s="29" t="n">
        <v>33.91111111111111</v>
      </c>
      <c r="AI96" s="29" t="n">
        <v>38.15</v>
      </c>
      <c r="AJ96" s="29" t="n">
        <v>43.6</v>
      </c>
      <c r="AK96" s="29" t="n">
        <v>50.86666666666667</v>
      </c>
      <c r="AL96" s="29" t="n">
        <v>61.04</v>
      </c>
      <c r="AM96" s="29" t="n">
        <v>76.3</v>
      </c>
      <c r="AN96" s="29" t="n">
        <v>101.7333333333333</v>
      </c>
      <c r="AO96" s="29" t="n">
        <v>152.6</v>
      </c>
      <c r="AP96" s="29" t="n">
        <v>305.2</v>
      </c>
    </row>
    <row r="97">
      <c r="A97" s="6" t="inlineStr">
        <is>
          <t>P116</t>
        </is>
      </c>
      <c r="B97" s="6" t="inlineStr">
        <is>
          <t>RDM</t>
        </is>
      </c>
      <c r="C97" s="29" t="n">
        <v>6.93</v>
      </c>
      <c r="D97" s="29" t="n">
        <v>7.294736842105263</v>
      </c>
      <c r="E97" s="29" t="n">
        <v>7.699999999999999</v>
      </c>
      <c r="F97" s="29" t="n">
        <v>8.152941176470588</v>
      </c>
      <c r="G97" s="29" t="n">
        <v>8.6625</v>
      </c>
      <c r="H97" s="29" t="n">
        <v>9.24</v>
      </c>
      <c r="I97" s="29" t="n">
        <v>9.9</v>
      </c>
      <c r="J97" s="29" t="n">
        <v>10.66153846153846</v>
      </c>
      <c r="K97" s="29" t="n">
        <v>11.55</v>
      </c>
      <c r="L97" s="29" t="n">
        <v>12.6</v>
      </c>
      <c r="M97" s="29" t="n">
        <v>13.86</v>
      </c>
      <c r="N97" s="29" t="n">
        <v>15.4</v>
      </c>
      <c r="O97" s="29" t="n">
        <v>17.325</v>
      </c>
      <c r="P97" s="29" t="n">
        <v>19.8</v>
      </c>
      <c r="Q97" s="29" t="n">
        <v>23.1</v>
      </c>
      <c r="R97" s="29" t="n">
        <v>27.72</v>
      </c>
      <c r="S97" s="29" t="n">
        <v>34.65</v>
      </c>
      <c r="T97" s="29" t="n">
        <v>46.2</v>
      </c>
      <c r="U97" s="29" t="n">
        <v>69.3</v>
      </c>
      <c r="V97" s="29" t="n">
        <v>138.6</v>
      </c>
      <c r="W97" s="29" t="n">
        <v>15.26</v>
      </c>
      <c r="X97" s="29" t="n">
        <v>16.06315789473684</v>
      </c>
      <c r="Y97" s="29" t="n">
        <v>16.95555555555556</v>
      </c>
      <c r="Z97" s="29" t="n">
        <v>17.95294117647059</v>
      </c>
      <c r="AA97" s="29" t="n">
        <v>19.075</v>
      </c>
      <c r="AB97" s="29" t="n">
        <v>20.34666666666667</v>
      </c>
      <c r="AC97" s="29" t="n">
        <v>21.8</v>
      </c>
      <c r="AD97" s="29" t="n">
        <v>23.47692307692308</v>
      </c>
      <c r="AE97" s="29" t="n">
        <v>25.43333333333333</v>
      </c>
      <c r="AF97" s="29" t="n">
        <v>27.74545454545454</v>
      </c>
      <c r="AG97" s="29" t="n">
        <v>30.52</v>
      </c>
      <c r="AH97" s="29" t="n">
        <v>33.91111111111111</v>
      </c>
      <c r="AI97" s="29" t="n">
        <v>38.15</v>
      </c>
      <c r="AJ97" s="29" t="n">
        <v>43.6</v>
      </c>
      <c r="AK97" s="29" t="n">
        <v>50.86666666666667</v>
      </c>
      <c r="AL97" s="29" t="n">
        <v>61.04</v>
      </c>
      <c r="AM97" s="29" t="n">
        <v>76.3</v>
      </c>
      <c r="AN97" s="29" t="n">
        <v>101.7333333333333</v>
      </c>
      <c r="AO97" s="29" t="n">
        <v>152.6</v>
      </c>
      <c r="AP97" s="29" t="n">
        <v>305.2</v>
      </c>
    </row>
    <row r="98">
      <c r="A98" s="6" t="inlineStr">
        <is>
          <t>P117</t>
        </is>
      </c>
      <c r="B98" s="6" t="inlineStr">
        <is>
          <t>RDM</t>
        </is>
      </c>
      <c r="C98" s="29" t="n">
        <v>6.44</v>
      </c>
      <c r="D98" s="29" t="n">
        <v>6.778947368421053</v>
      </c>
      <c r="E98" s="29" t="n">
        <v>7.155555555555556</v>
      </c>
      <c r="F98" s="29" t="n">
        <v>7.576470588235295</v>
      </c>
      <c r="G98" s="29" t="n">
        <v>8.050000000000001</v>
      </c>
      <c r="H98" s="29" t="n">
        <v>8.586666666666668</v>
      </c>
      <c r="I98" s="29" t="n">
        <v>9.200000000000001</v>
      </c>
      <c r="J98" s="29" t="n">
        <v>9.907692307692308</v>
      </c>
      <c r="K98" s="29" t="n">
        <v>10.73333333333333</v>
      </c>
      <c r="L98" s="29" t="n">
        <v>11.70909090909091</v>
      </c>
      <c r="M98" s="29" t="n">
        <v>12.88</v>
      </c>
      <c r="N98" s="29" t="n">
        <v>14.31111111111111</v>
      </c>
      <c r="O98" s="29" t="n">
        <v>16.1</v>
      </c>
      <c r="P98" s="29" t="n">
        <v>18.4</v>
      </c>
      <c r="Q98" s="29" t="n">
        <v>21.46666666666667</v>
      </c>
      <c r="R98" s="29" t="n">
        <v>25.76</v>
      </c>
      <c r="S98" s="29" t="n">
        <v>32.2</v>
      </c>
      <c r="T98" s="29" t="n">
        <v>42.93333333333334</v>
      </c>
      <c r="U98" s="29" t="n">
        <v>64.40000000000001</v>
      </c>
      <c r="V98" s="29" t="n">
        <v>128.8</v>
      </c>
      <c r="W98" s="29" t="n">
        <v>15.26</v>
      </c>
      <c r="X98" s="29" t="n">
        <v>16.06315789473684</v>
      </c>
      <c r="Y98" s="29" t="n">
        <v>16.95555555555556</v>
      </c>
      <c r="Z98" s="29" t="n">
        <v>17.95294117647059</v>
      </c>
      <c r="AA98" s="29" t="n">
        <v>19.075</v>
      </c>
      <c r="AB98" s="29" t="n">
        <v>20.34666666666667</v>
      </c>
      <c r="AC98" s="29" t="n">
        <v>21.8</v>
      </c>
      <c r="AD98" s="29" t="n">
        <v>23.47692307692308</v>
      </c>
      <c r="AE98" s="29" t="n">
        <v>25.43333333333333</v>
      </c>
      <c r="AF98" s="29" t="n">
        <v>27.74545454545454</v>
      </c>
      <c r="AG98" s="29" t="n">
        <v>30.52</v>
      </c>
      <c r="AH98" s="29" t="n">
        <v>33.91111111111111</v>
      </c>
      <c r="AI98" s="29" t="n">
        <v>38.15</v>
      </c>
      <c r="AJ98" s="29" t="n">
        <v>43.6</v>
      </c>
      <c r="AK98" s="29" t="n">
        <v>50.86666666666667</v>
      </c>
      <c r="AL98" s="29" t="n">
        <v>61.04</v>
      </c>
      <c r="AM98" s="29" t="n">
        <v>76.3</v>
      </c>
      <c r="AN98" s="29" t="n">
        <v>101.7333333333333</v>
      </c>
      <c r="AO98" s="29" t="n">
        <v>152.6</v>
      </c>
      <c r="AP98" s="29" t="n">
        <v>305.2</v>
      </c>
    </row>
    <row r="99">
      <c r="A99" s="6" t="inlineStr">
        <is>
          <t>P118</t>
        </is>
      </c>
      <c r="B99" s="6" t="inlineStr">
        <is>
          <t>RDM</t>
        </is>
      </c>
      <c r="C99" s="29" t="n">
        <v>6.93</v>
      </c>
      <c r="D99" s="29" t="n">
        <v>7.294736842105263</v>
      </c>
      <c r="E99" s="29" t="n">
        <v>7.699999999999999</v>
      </c>
      <c r="F99" s="29" t="n">
        <v>8.152941176470588</v>
      </c>
      <c r="G99" s="29" t="n">
        <v>8.6625</v>
      </c>
      <c r="H99" s="29" t="n">
        <v>9.24</v>
      </c>
      <c r="I99" s="29" t="n">
        <v>9.9</v>
      </c>
      <c r="J99" s="29" t="n">
        <v>10.66153846153846</v>
      </c>
      <c r="K99" s="29" t="n">
        <v>11.55</v>
      </c>
      <c r="L99" s="29" t="n">
        <v>12.6</v>
      </c>
      <c r="M99" s="29" t="n">
        <v>13.86</v>
      </c>
      <c r="N99" s="29" t="n">
        <v>15.4</v>
      </c>
      <c r="O99" s="29" t="n">
        <v>17.325</v>
      </c>
      <c r="P99" s="29" t="n">
        <v>19.8</v>
      </c>
      <c r="Q99" s="29" t="n">
        <v>23.1</v>
      </c>
      <c r="R99" s="29" t="n">
        <v>27.72</v>
      </c>
      <c r="S99" s="29" t="n">
        <v>34.65</v>
      </c>
      <c r="T99" s="29" t="n">
        <v>46.2</v>
      </c>
      <c r="U99" s="29" t="n">
        <v>69.3</v>
      </c>
      <c r="V99" s="29" t="n">
        <v>138.6</v>
      </c>
      <c r="W99" s="29" t="n">
        <v>15.25</v>
      </c>
      <c r="X99" s="29" t="n">
        <v>16.05263157894737</v>
      </c>
      <c r="Y99" s="29" t="n">
        <v>16.94444444444444</v>
      </c>
      <c r="Z99" s="29" t="n">
        <v>17.94117647058824</v>
      </c>
      <c r="AA99" s="29" t="n">
        <v>19.0625</v>
      </c>
      <c r="AB99" s="29" t="n">
        <v>20.33333333333333</v>
      </c>
      <c r="AC99" s="29" t="n">
        <v>21.78571428571429</v>
      </c>
      <c r="AD99" s="29" t="n">
        <v>23.46153846153846</v>
      </c>
      <c r="AE99" s="29" t="n">
        <v>25.41666666666667</v>
      </c>
      <c r="AF99" s="29" t="n">
        <v>27.72727272727273</v>
      </c>
      <c r="AG99" s="29" t="n">
        <v>30.5</v>
      </c>
      <c r="AH99" s="29" t="n">
        <v>33.88888888888889</v>
      </c>
      <c r="AI99" s="29" t="n">
        <v>38.125</v>
      </c>
      <c r="AJ99" s="29" t="n">
        <v>43.57142857142858</v>
      </c>
      <c r="AK99" s="29" t="n">
        <v>50.83333333333334</v>
      </c>
      <c r="AL99" s="29" t="n">
        <v>61</v>
      </c>
      <c r="AM99" s="29" t="n">
        <v>76.25</v>
      </c>
      <c r="AN99" s="29" t="n">
        <v>101.6666666666667</v>
      </c>
      <c r="AO99" s="29" t="n">
        <v>152.5</v>
      </c>
      <c r="AP99" s="29" t="n">
        <v>305</v>
      </c>
    </row>
    <row r="100">
      <c r="A100" s="6" t="inlineStr">
        <is>
          <t>P119</t>
        </is>
      </c>
      <c r="B100" s="6" t="inlineStr">
        <is>
          <t>RDM</t>
        </is>
      </c>
      <c r="C100" s="29" t="n">
        <v>6.79</v>
      </c>
      <c r="D100" s="29" t="n">
        <v>7.147368421052632</v>
      </c>
      <c r="E100" s="29" t="n">
        <v>7.544444444444444</v>
      </c>
      <c r="F100" s="29" t="n">
        <v>7.988235294117647</v>
      </c>
      <c r="G100" s="29" t="n">
        <v>8.487499999999999</v>
      </c>
      <c r="H100" s="29" t="n">
        <v>9.053333333333333</v>
      </c>
      <c r="I100" s="29" t="n">
        <v>9.700000000000001</v>
      </c>
      <c r="J100" s="29" t="n">
        <v>10.44615384615385</v>
      </c>
      <c r="K100" s="29" t="n">
        <v>11.31666666666667</v>
      </c>
      <c r="L100" s="29" t="n">
        <v>12.34545454545454</v>
      </c>
      <c r="M100" s="29" t="n">
        <v>13.58</v>
      </c>
      <c r="N100" s="29" t="n">
        <v>15.08888888888889</v>
      </c>
      <c r="O100" s="29" t="n">
        <v>16.975</v>
      </c>
      <c r="P100" s="29" t="n">
        <v>19.4</v>
      </c>
      <c r="Q100" s="29" t="n">
        <v>22.63333333333333</v>
      </c>
      <c r="R100" s="29" t="n">
        <v>27.16</v>
      </c>
      <c r="S100" s="29" t="n">
        <v>33.95</v>
      </c>
      <c r="T100" s="29" t="n">
        <v>45.26666666666667</v>
      </c>
      <c r="U100" s="29" t="n">
        <v>67.89999999999999</v>
      </c>
      <c r="V100" s="29" t="n">
        <v>135.8</v>
      </c>
      <c r="W100" s="29" t="n">
        <v>15.26</v>
      </c>
      <c r="X100" s="29" t="n">
        <v>16.06315789473684</v>
      </c>
      <c r="Y100" s="29" t="n">
        <v>16.95555555555556</v>
      </c>
      <c r="Z100" s="29" t="n">
        <v>17.95294117647059</v>
      </c>
      <c r="AA100" s="29" t="n">
        <v>19.075</v>
      </c>
      <c r="AB100" s="29" t="n">
        <v>20.34666666666667</v>
      </c>
      <c r="AC100" s="29" t="n">
        <v>21.8</v>
      </c>
      <c r="AD100" s="29" t="n">
        <v>23.47692307692308</v>
      </c>
      <c r="AE100" s="29" t="n">
        <v>25.43333333333333</v>
      </c>
      <c r="AF100" s="29" t="n">
        <v>27.74545454545454</v>
      </c>
      <c r="AG100" s="29" t="n">
        <v>30.52</v>
      </c>
      <c r="AH100" s="29" t="n">
        <v>33.91111111111111</v>
      </c>
      <c r="AI100" s="29" t="n">
        <v>38.15</v>
      </c>
      <c r="AJ100" s="29" t="n">
        <v>43.6</v>
      </c>
      <c r="AK100" s="29" t="n">
        <v>50.86666666666667</v>
      </c>
      <c r="AL100" s="29" t="n">
        <v>61.04</v>
      </c>
      <c r="AM100" s="29" t="n">
        <v>76.3</v>
      </c>
      <c r="AN100" s="29" t="n">
        <v>101.7333333333333</v>
      </c>
      <c r="AO100" s="29" t="n">
        <v>152.6</v>
      </c>
      <c r="AP100" s="29" t="n">
        <v>305.2</v>
      </c>
    </row>
    <row r="101">
      <c r="A101" s="6" t="inlineStr">
        <is>
          <t>P120</t>
        </is>
      </c>
      <c r="B101" s="6" t="inlineStr">
        <is>
          <t>RDM</t>
        </is>
      </c>
      <c r="C101" s="29" t="n">
        <v>6.79</v>
      </c>
      <c r="D101" s="29" t="n">
        <v>7.147368421052632</v>
      </c>
      <c r="E101" s="29" t="n">
        <v>7.544444444444444</v>
      </c>
      <c r="F101" s="29" t="n">
        <v>7.988235294117647</v>
      </c>
      <c r="G101" s="29" t="n">
        <v>8.487499999999999</v>
      </c>
      <c r="H101" s="29" t="n">
        <v>9.053333333333333</v>
      </c>
      <c r="I101" s="29" t="n">
        <v>9.700000000000001</v>
      </c>
      <c r="J101" s="29" t="n">
        <v>10.44615384615385</v>
      </c>
      <c r="K101" s="29" t="n">
        <v>11.31666666666667</v>
      </c>
      <c r="L101" s="29" t="n">
        <v>12.34545454545454</v>
      </c>
      <c r="M101" s="29" t="n">
        <v>13.58</v>
      </c>
      <c r="N101" s="29" t="n">
        <v>15.08888888888889</v>
      </c>
      <c r="O101" s="29" t="n">
        <v>16.975</v>
      </c>
      <c r="P101" s="29" t="n">
        <v>19.4</v>
      </c>
      <c r="Q101" s="29" t="n">
        <v>22.63333333333333</v>
      </c>
      <c r="R101" s="29" t="n">
        <v>27.16</v>
      </c>
      <c r="S101" s="29" t="n">
        <v>33.95</v>
      </c>
      <c r="T101" s="29" t="n">
        <v>45.26666666666667</v>
      </c>
      <c r="U101" s="29" t="n">
        <v>67.89999999999999</v>
      </c>
      <c r="V101" s="29" t="n">
        <v>135.8</v>
      </c>
      <c r="W101" s="29" t="n">
        <v>15.26</v>
      </c>
      <c r="X101" s="29" t="n">
        <v>16.06315789473684</v>
      </c>
      <c r="Y101" s="29" t="n">
        <v>16.95555555555556</v>
      </c>
      <c r="Z101" s="29" t="n">
        <v>17.95294117647059</v>
      </c>
      <c r="AA101" s="29" t="n">
        <v>19.075</v>
      </c>
      <c r="AB101" s="29" t="n">
        <v>20.34666666666667</v>
      </c>
      <c r="AC101" s="29" t="n">
        <v>21.8</v>
      </c>
      <c r="AD101" s="29" t="n">
        <v>23.47692307692308</v>
      </c>
      <c r="AE101" s="29" t="n">
        <v>25.43333333333333</v>
      </c>
      <c r="AF101" s="29" t="n">
        <v>27.74545454545454</v>
      </c>
      <c r="AG101" s="29" t="n">
        <v>30.52</v>
      </c>
      <c r="AH101" s="29" t="n">
        <v>33.91111111111111</v>
      </c>
      <c r="AI101" s="29" t="n">
        <v>38.15</v>
      </c>
      <c r="AJ101" s="29" t="n">
        <v>43.6</v>
      </c>
      <c r="AK101" s="29" t="n">
        <v>50.86666666666667</v>
      </c>
      <c r="AL101" s="29" t="n">
        <v>61.04</v>
      </c>
      <c r="AM101" s="29" t="n">
        <v>76.3</v>
      </c>
      <c r="AN101" s="29" t="n">
        <v>101.7333333333333</v>
      </c>
      <c r="AO101" s="29" t="n">
        <v>152.6</v>
      </c>
      <c r="AP101" s="29" t="n">
        <v>305.2</v>
      </c>
    </row>
    <row r="102">
      <c r="A102" s="6" t="inlineStr">
        <is>
          <t>P121</t>
        </is>
      </c>
      <c r="B102" s="6" t="inlineStr">
        <is>
          <t>RDM</t>
        </is>
      </c>
      <c r="C102" s="29" t="n">
        <v>6.65</v>
      </c>
      <c r="D102" s="29" t="n">
        <v>7.000000000000001</v>
      </c>
      <c r="E102" s="29" t="n">
        <v>7.388888888888889</v>
      </c>
      <c r="F102" s="29" t="n">
        <v>7.823529411764707</v>
      </c>
      <c r="G102" s="29" t="n">
        <v>8.3125</v>
      </c>
      <c r="H102" s="29" t="n">
        <v>8.866666666666667</v>
      </c>
      <c r="I102" s="29" t="n">
        <v>9.500000000000002</v>
      </c>
      <c r="J102" s="29" t="n">
        <v>10.23076923076923</v>
      </c>
      <c r="K102" s="29" t="n">
        <v>11.08333333333333</v>
      </c>
      <c r="L102" s="29" t="n">
        <v>12.09090909090909</v>
      </c>
      <c r="M102" s="29" t="n">
        <v>13.3</v>
      </c>
      <c r="N102" s="29" t="n">
        <v>14.77777777777778</v>
      </c>
      <c r="O102" s="29" t="n">
        <v>16.625</v>
      </c>
      <c r="P102" s="29" t="n">
        <v>19</v>
      </c>
      <c r="Q102" s="29" t="n">
        <v>22.16666666666667</v>
      </c>
      <c r="R102" s="29" t="n">
        <v>26.6</v>
      </c>
      <c r="S102" s="29" t="n">
        <v>33.25</v>
      </c>
      <c r="T102" s="29" t="n">
        <v>44.33333333333334</v>
      </c>
      <c r="U102" s="29" t="n">
        <v>66.5</v>
      </c>
      <c r="V102" s="29" t="n">
        <v>133</v>
      </c>
      <c r="W102" s="29" t="n">
        <v>15.26</v>
      </c>
      <c r="X102" s="29" t="n">
        <v>16.06315789473684</v>
      </c>
      <c r="Y102" s="29" t="n">
        <v>16.95555555555556</v>
      </c>
      <c r="Z102" s="29" t="n">
        <v>17.95294117647059</v>
      </c>
      <c r="AA102" s="29" t="n">
        <v>19.075</v>
      </c>
      <c r="AB102" s="29" t="n">
        <v>20.34666666666667</v>
      </c>
      <c r="AC102" s="29" t="n">
        <v>21.8</v>
      </c>
      <c r="AD102" s="29" t="n">
        <v>23.47692307692308</v>
      </c>
      <c r="AE102" s="29" t="n">
        <v>25.43333333333333</v>
      </c>
      <c r="AF102" s="29" t="n">
        <v>27.74545454545454</v>
      </c>
      <c r="AG102" s="29" t="n">
        <v>30.52</v>
      </c>
      <c r="AH102" s="29" t="n">
        <v>33.91111111111111</v>
      </c>
      <c r="AI102" s="29" t="n">
        <v>38.15</v>
      </c>
      <c r="AJ102" s="29" t="n">
        <v>43.6</v>
      </c>
      <c r="AK102" s="29" t="n">
        <v>50.86666666666667</v>
      </c>
      <c r="AL102" s="29" t="n">
        <v>61.04</v>
      </c>
      <c r="AM102" s="29" t="n">
        <v>76.3</v>
      </c>
      <c r="AN102" s="29" t="n">
        <v>101.7333333333333</v>
      </c>
      <c r="AO102" s="29" t="n">
        <v>152.6</v>
      </c>
      <c r="AP102" s="29" t="n">
        <v>305.2</v>
      </c>
    </row>
    <row r="103">
      <c r="A103" s="6" t="inlineStr">
        <is>
          <t>P122</t>
        </is>
      </c>
      <c r="B103" s="6" t="inlineStr">
        <is>
          <t>RDM</t>
        </is>
      </c>
      <c r="C103" s="29" t="n">
        <v>6.37</v>
      </c>
      <c r="D103" s="29" t="n">
        <v>6.705263157894738</v>
      </c>
      <c r="E103" s="29" t="n">
        <v>7.077777777777778</v>
      </c>
      <c r="F103" s="29" t="n">
        <v>7.494117647058824</v>
      </c>
      <c r="G103" s="29" t="n">
        <v>7.962499999999999</v>
      </c>
      <c r="H103" s="29" t="n">
        <v>8.493333333333334</v>
      </c>
      <c r="I103" s="29" t="n">
        <v>9.100000000000001</v>
      </c>
      <c r="J103" s="29" t="n">
        <v>9.800000000000001</v>
      </c>
      <c r="K103" s="29" t="n">
        <v>10.61666666666667</v>
      </c>
      <c r="L103" s="29" t="n">
        <v>11.58181818181818</v>
      </c>
      <c r="M103" s="29" t="n">
        <v>12.74</v>
      </c>
      <c r="N103" s="29" t="n">
        <v>14.15555555555556</v>
      </c>
      <c r="O103" s="29" t="n">
        <v>15.925</v>
      </c>
      <c r="P103" s="29" t="n">
        <v>18.2</v>
      </c>
      <c r="Q103" s="29" t="n">
        <v>21.23333333333333</v>
      </c>
      <c r="R103" s="29" t="n">
        <v>25.48</v>
      </c>
      <c r="S103" s="29" t="n">
        <v>31.85</v>
      </c>
      <c r="T103" s="29" t="n">
        <v>42.46666666666667</v>
      </c>
      <c r="U103" s="29" t="n">
        <v>63.7</v>
      </c>
      <c r="V103" s="29" t="n">
        <v>127.4</v>
      </c>
      <c r="W103" s="29" t="n">
        <v>15.25</v>
      </c>
      <c r="X103" s="29" t="n">
        <v>16.05263157894737</v>
      </c>
      <c r="Y103" s="29" t="n">
        <v>16.94444444444444</v>
      </c>
      <c r="Z103" s="29" t="n">
        <v>17.94117647058824</v>
      </c>
      <c r="AA103" s="29" t="n">
        <v>19.0625</v>
      </c>
      <c r="AB103" s="29" t="n">
        <v>20.33333333333333</v>
      </c>
      <c r="AC103" s="29" t="n">
        <v>21.78571428571429</v>
      </c>
      <c r="AD103" s="29" t="n">
        <v>23.46153846153846</v>
      </c>
      <c r="AE103" s="29" t="n">
        <v>25.41666666666667</v>
      </c>
      <c r="AF103" s="29" t="n">
        <v>27.72727272727273</v>
      </c>
      <c r="AG103" s="29" t="n">
        <v>30.5</v>
      </c>
      <c r="AH103" s="29" t="n">
        <v>33.88888888888889</v>
      </c>
      <c r="AI103" s="29" t="n">
        <v>38.125</v>
      </c>
      <c r="AJ103" s="29" t="n">
        <v>43.57142857142858</v>
      </c>
      <c r="AK103" s="29" t="n">
        <v>50.83333333333334</v>
      </c>
      <c r="AL103" s="29" t="n">
        <v>61</v>
      </c>
      <c r="AM103" s="29" t="n">
        <v>76.25</v>
      </c>
      <c r="AN103" s="29" t="n">
        <v>101.6666666666667</v>
      </c>
      <c r="AO103" s="29" t="n">
        <v>152.5</v>
      </c>
      <c r="AP103" s="29" t="n">
        <v>305</v>
      </c>
    </row>
    <row r="104">
      <c r="A104" s="6" t="inlineStr">
        <is>
          <t>P123</t>
        </is>
      </c>
      <c r="B104" s="6" t="inlineStr">
        <is>
          <t>RDM</t>
        </is>
      </c>
      <c r="C104" s="29" t="n">
        <v>6.65</v>
      </c>
      <c r="D104" s="29" t="n">
        <v>7.000000000000001</v>
      </c>
      <c r="E104" s="29" t="n">
        <v>7.388888888888889</v>
      </c>
      <c r="F104" s="29" t="n">
        <v>7.823529411764707</v>
      </c>
      <c r="G104" s="29" t="n">
        <v>8.3125</v>
      </c>
      <c r="H104" s="29" t="n">
        <v>8.866666666666667</v>
      </c>
      <c r="I104" s="29" t="n">
        <v>9.500000000000002</v>
      </c>
      <c r="J104" s="29" t="n">
        <v>10.23076923076923</v>
      </c>
      <c r="K104" s="29" t="n">
        <v>11.08333333333333</v>
      </c>
      <c r="L104" s="29" t="n">
        <v>12.09090909090909</v>
      </c>
      <c r="M104" s="29" t="n">
        <v>13.3</v>
      </c>
      <c r="N104" s="29" t="n">
        <v>14.77777777777778</v>
      </c>
      <c r="O104" s="29" t="n">
        <v>16.625</v>
      </c>
      <c r="P104" s="29" t="n">
        <v>19</v>
      </c>
      <c r="Q104" s="29" t="n">
        <v>22.16666666666667</v>
      </c>
      <c r="R104" s="29" t="n">
        <v>26.6</v>
      </c>
      <c r="S104" s="29" t="n">
        <v>33.25</v>
      </c>
      <c r="T104" s="29" t="n">
        <v>44.33333333333334</v>
      </c>
      <c r="U104" s="29" t="n">
        <v>66.5</v>
      </c>
      <c r="V104" s="29" t="n">
        <v>133</v>
      </c>
      <c r="W104" s="29" t="n">
        <v>15.26</v>
      </c>
      <c r="X104" s="29" t="n">
        <v>16.06315789473684</v>
      </c>
      <c r="Y104" s="29" t="n">
        <v>16.95555555555556</v>
      </c>
      <c r="Z104" s="29" t="n">
        <v>17.95294117647059</v>
      </c>
      <c r="AA104" s="29" t="n">
        <v>19.075</v>
      </c>
      <c r="AB104" s="29" t="n">
        <v>20.34666666666667</v>
      </c>
      <c r="AC104" s="29" t="n">
        <v>21.8</v>
      </c>
      <c r="AD104" s="29" t="n">
        <v>23.47692307692308</v>
      </c>
      <c r="AE104" s="29" t="n">
        <v>25.43333333333333</v>
      </c>
      <c r="AF104" s="29" t="n">
        <v>27.74545454545454</v>
      </c>
      <c r="AG104" s="29" t="n">
        <v>30.52</v>
      </c>
      <c r="AH104" s="29" t="n">
        <v>33.91111111111111</v>
      </c>
      <c r="AI104" s="29" t="n">
        <v>38.15</v>
      </c>
      <c r="AJ104" s="29" t="n">
        <v>43.6</v>
      </c>
      <c r="AK104" s="29" t="n">
        <v>50.86666666666667</v>
      </c>
      <c r="AL104" s="29" t="n">
        <v>61.04</v>
      </c>
      <c r="AM104" s="29" t="n">
        <v>76.3</v>
      </c>
      <c r="AN104" s="29" t="n">
        <v>101.7333333333333</v>
      </c>
      <c r="AO104" s="29" t="n">
        <v>152.6</v>
      </c>
      <c r="AP104" s="29" t="n">
        <v>305.2</v>
      </c>
    </row>
    <row r="105">
      <c r="A105" s="6" t="inlineStr">
        <is>
          <t>P124</t>
        </is>
      </c>
      <c r="B105" s="6" t="inlineStr">
        <is>
          <t>RDM</t>
        </is>
      </c>
      <c r="C105" s="29" t="n">
        <v>6.3</v>
      </c>
      <c r="D105" s="29" t="n">
        <v>6.631578947368421</v>
      </c>
      <c r="E105" s="29" t="n">
        <v>7</v>
      </c>
      <c r="F105" s="29" t="n">
        <v>7.411764705882353</v>
      </c>
      <c r="G105" s="29" t="n">
        <v>7.874999999999999</v>
      </c>
      <c r="H105" s="29" t="n">
        <v>8.4</v>
      </c>
      <c r="I105" s="29" t="n">
        <v>9</v>
      </c>
      <c r="J105" s="29" t="n">
        <v>9.692307692307692</v>
      </c>
      <c r="K105" s="29" t="n">
        <v>10.5</v>
      </c>
      <c r="L105" s="29" t="n">
        <v>11.45454545454545</v>
      </c>
      <c r="M105" s="29" t="n">
        <v>12.6</v>
      </c>
      <c r="N105" s="29" t="n">
        <v>14</v>
      </c>
      <c r="O105" s="29" t="n">
        <v>15.75</v>
      </c>
      <c r="P105" s="29" t="n">
        <v>18</v>
      </c>
      <c r="Q105" s="29" t="n">
        <v>21</v>
      </c>
      <c r="R105" s="29" t="n">
        <v>25.2</v>
      </c>
      <c r="S105" s="29" t="n">
        <v>31.5</v>
      </c>
      <c r="T105" s="29" t="n">
        <v>42</v>
      </c>
      <c r="U105" s="29" t="n">
        <v>62.99999999999999</v>
      </c>
      <c r="V105" s="29" t="n">
        <v>126</v>
      </c>
      <c r="W105" s="29" t="n">
        <v>15.25</v>
      </c>
      <c r="X105" s="29" t="n">
        <v>16.05263157894737</v>
      </c>
      <c r="Y105" s="29" t="n">
        <v>16.94444444444444</v>
      </c>
      <c r="Z105" s="29" t="n">
        <v>17.94117647058824</v>
      </c>
      <c r="AA105" s="29" t="n">
        <v>19.0625</v>
      </c>
      <c r="AB105" s="29" t="n">
        <v>20.33333333333333</v>
      </c>
      <c r="AC105" s="29" t="n">
        <v>21.78571428571429</v>
      </c>
      <c r="AD105" s="29" t="n">
        <v>23.46153846153846</v>
      </c>
      <c r="AE105" s="29" t="n">
        <v>25.41666666666667</v>
      </c>
      <c r="AF105" s="29" t="n">
        <v>27.72727272727273</v>
      </c>
      <c r="AG105" s="29" t="n">
        <v>30.5</v>
      </c>
      <c r="AH105" s="29" t="n">
        <v>33.88888888888889</v>
      </c>
      <c r="AI105" s="29" t="n">
        <v>38.125</v>
      </c>
      <c r="AJ105" s="29" t="n">
        <v>43.57142857142858</v>
      </c>
      <c r="AK105" s="29" t="n">
        <v>50.83333333333334</v>
      </c>
      <c r="AL105" s="29" t="n">
        <v>61</v>
      </c>
      <c r="AM105" s="29" t="n">
        <v>76.25</v>
      </c>
      <c r="AN105" s="29" t="n">
        <v>101.6666666666667</v>
      </c>
      <c r="AO105" s="29" t="n">
        <v>152.5</v>
      </c>
      <c r="AP105" s="29" t="n">
        <v>305</v>
      </c>
    </row>
    <row r="106">
      <c r="A106" s="6" t="inlineStr">
        <is>
          <t>P125</t>
        </is>
      </c>
      <c r="B106" s="6" t="inlineStr">
        <is>
          <t>RDM</t>
        </is>
      </c>
      <c r="C106" s="29" t="n">
        <v>5.39</v>
      </c>
      <c r="D106" s="29" t="n">
        <v>5.673684210526316</v>
      </c>
      <c r="E106" s="29" t="n">
        <v>5.988888888888888</v>
      </c>
      <c r="F106" s="29" t="n">
        <v>6.341176470588235</v>
      </c>
      <c r="G106" s="29" t="n">
        <v>6.737499999999999</v>
      </c>
      <c r="H106" s="29" t="n">
        <v>7.186666666666667</v>
      </c>
      <c r="I106" s="29" t="n">
        <v>7.7</v>
      </c>
      <c r="J106" s="29" t="n">
        <v>8.292307692307691</v>
      </c>
      <c r="K106" s="29" t="n">
        <v>8.983333333333333</v>
      </c>
      <c r="L106" s="29" t="n">
        <v>9.799999999999999</v>
      </c>
      <c r="M106" s="29" t="n">
        <v>10.78</v>
      </c>
      <c r="N106" s="29" t="n">
        <v>11.97777777777778</v>
      </c>
      <c r="O106" s="29" t="n">
        <v>13.475</v>
      </c>
      <c r="P106" s="29" t="n">
        <v>15.4</v>
      </c>
      <c r="Q106" s="29" t="n">
        <v>17.96666666666667</v>
      </c>
      <c r="R106" s="29" t="n">
        <v>21.56</v>
      </c>
      <c r="S106" s="29" t="n">
        <v>26.95</v>
      </c>
      <c r="T106" s="29" t="n">
        <v>35.93333333333333</v>
      </c>
      <c r="U106" s="29" t="n">
        <v>53.89999999999999</v>
      </c>
      <c r="V106" s="29" t="n">
        <v>107.8</v>
      </c>
      <c r="W106" s="29" t="n">
        <v>12.33</v>
      </c>
      <c r="X106" s="29" t="n">
        <v>12.97894736842105</v>
      </c>
      <c r="Y106" s="29" t="n">
        <v>13.7</v>
      </c>
      <c r="Z106" s="29" t="n">
        <v>14.50588235294118</v>
      </c>
      <c r="AA106" s="29" t="n">
        <v>15.4125</v>
      </c>
      <c r="AB106" s="29" t="n">
        <v>16.44</v>
      </c>
      <c r="AC106" s="29" t="n">
        <v>17.61428571428571</v>
      </c>
      <c r="AD106" s="29" t="n">
        <v>18.96923076923077</v>
      </c>
      <c r="AE106" s="29" t="n">
        <v>20.55</v>
      </c>
      <c r="AF106" s="29" t="n">
        <v>22.41818181818182</v>
      </c>
      <c r="AG106" s="29" t="n">
        <v>24.66</v>
      </c>
      <c r="AH106" s="29" t="n">
        <v>27.4</v>
      </c>
      <c r="AI106" s="29" t="n">
        <v>30.825</v>
      </c>
      <c r="AJ106" s="29" t="n">
        <v>35.22857142857143</v>
      </c>
      <c r="AK106" s="29" t="n">
        <v>41.1</v>
      </c>
      <c r="AL106" s="29" t="n">
        <v>49.32</v>
      </c>
      <c r="AM106" s="29" t="n">
        <v>61.65</v>
      </c>
      <c r="AN106" s="29" t="n">
        <v>82.2</v>
      </c>
      <c r="AO106" s="29" t="n">
        <v>123.3</v>
      </c>
      <c r="AP106" s="29" t="n">
        <v>246.6</v>
      </c>
    </row>
    <row r="107">
      <c r="A107" s="6" t="inlineStr">
        <is>
          <t>P126</t>
        </is>
      </c>
      <c r="B107" s="6" t="inlineStr">
        <is>
          <t>RDM</t>
        </is>
      </c>
      <c r="C107" s="29" t="n">
        <v>6.11</v>
      </c>
      <c r="D107" s="29" t="n">
        <v>6.431578947368422</v>
      </c>
      <c r="E107" s="29" t="n">
        <v>6.788888888888889</v>
      </c>
      <c r="F107" s="29" t="n">
        <v>7.188235294117647</v>
      </c>
      <c r="G107" s="29" t="n">
        <v>7.6375</v>
      </c>
      <c r="H107" s="29" t="n">
        <v>8.146666666666667</v>
      </c>
      <c r="I107" s="29" t="n">
        <v>8.72857142857143</v>
      </c>
      <c r="J107" s="29" t="n">
        <v>9.4</v>
      </c>
      <c r="K107" s="29" t="n">
        <v>10.18333333333333</v>
      </c>
      <c r="L107" s="29" t="n">
        <v>11.10909090909091</v>
      </c>
      <c r="M107" s="29" t="n">
        <v>12.22</v>
      </c>
      <c r="N107" s="29" t="n">
        <v>13.57777777777778</v>
      </c>
      <c r="O107" s="29" t="n">
        <v>15.275</v>
      </c>
      <c r="P107" s="29" t="n">
        <v>17.45714285714286</v>
      </c>
      <c r="Q107" s="29" t="n">
        <v>20.36666666666667</v>
      </c>
      <c r="R107" s="29" t="n">
        <v>24.44</v>
      </c>
      <c r="S107" s="29" t="n">
        <v>30.55</v>
      </c>
      <c r="T107" s="29" t="n">
        <v>40.73333333333333</v>
      </c>
      <c r="U107" s="29" t="n">
        <v>61.1</v>
      </c>
      <c r="V107" s="29" t="n">
        <v>122.2</v>
      </c>
      <c r="W107" s="29" t="n">
        <v>14.64</v>
      </c>
      <c r="X107" s="29" t="n">
        <v>15.41052631578948</v>
      </c>
      <c r="Y107" s="29" t="n">
        <v>16.26666666666667</v>
      </c>
      <c r="Z107" s="29" t="n">
        <v>17.22352941176471</v>
      </c>
      <c r="AA107" s="29" t="n">
        <v>18.3</v>
      </c>
      <c r="AB107" s="29" t="n">
        <v>19.52</v>
      </c>
      <c r="AC107" s="29" t="n">
        <v>20.91428571428572</v>
      </c>
      <c r="AD107" s="29" t="n">
        <v>22.52307692307692</v>
      </c>
      <c r="AE107" s="29" t="n">
        <v>24.4</v>
      </c>
      <c r="AF107" s="29" t="n">
        <v>26.61818181818182</v>
      </c>
      <c r="AG107" s="29" t="n">
        <v>29.28</v>
      </c>
      <c r="AH107" s="29" t="n">
        <v>32.53333333333333</v>
      </c>
      <c r="AI107" s="29" t="n">
        <v>36.6</v>
      </c>
      <c r="AJ107" s="29" t="n">
        <v>41.82857142857144</v>
      </c>
      <c r="AK107" s="29" t="n">
        <v>48.8</v>
      </c>
      <c r="AL107" s="29" t="n">
        <v>58.56</v>
      </c>
      <c r="AM107" s="29" t="n">
        <v>73.2</v>
      </c>
      <c r="AN107" s="29" t="n">
        <v>97.60000000000001</v>
      </c>
      <c r="AO107" s="29" t="n">
        <v>146.4</v>
      </c>
      <c r="AP107" s="29" t="n">
        <v>292.8</v>
      </c>
    </row>
    <row r="108">
      <c r="A108" s="6" t="inlineStr">
        <is>
          <t>P127</t>
        </is>
      </c>
      <c r="B108" s="6" t="inlineStr">
        <is>
          <t>RDM</t>
        </is>
      </c>
      <c r="C108" s="29" t="n">
        <v>5.3</v>
      </c>
      <c r="D108" s="29" t="n">
        <v>5.578947368421053</v>
      </c>
      <c r="E108" s="29" t="n">
        <v>5.888888888888888</v>
      </c>
      <c r="F108" s="29" t="n">
        <v>6.235294117647059</v>
      </c>
      <c r="G108" s="29" t="n">
        <v>6.624999999999999</v>
      </c>
      <c r="H108" s="29" t="n">
        <v>7.066666666666666</v>
      </c>
      <c r="I108" s="29" t="n">
        <v>7.571428571428572</v>
      </c>
      <c r="J108" s="29" t="n">
        <v>8.153846153846153</v>
      </c>
      <c r="K108" s="29" t="n">
        <v>8.833333333333334</v>
      </c>
      <c r="L108" s="29" t="n">
        <v>9.636363636363635</v>
      </c>
      <c r="M108" s="29" t="n">
        <v>10.6</v>
      </c>
      <c r="N108" s="29" t="n">
        <v>11.77777777777778</v>
      </c>
      <c r="O108" s="29" t="n">
        <v>13.25</v>
      </c>
      <c r="P108" s="29" t="n">
        <v>15.14285714285714</v>
      </c>
      <c r="Q108" s="29" t="n">
        <v>17.66666666666667</v>
      </c>
      <c r="R108" s="29" t="n">
        <v>21.2</v>
      </c>
      <c r="S108" s="29" t="n">
        <v>26.5</v>
      </c>
      <c r="T108" s="29" t="n">
        <v>35.33333333333334</v>
      </c>
      <c r="U108" s="29" t="n">
        <v>52.99999999999999</v>
      </c>
      <c r="V108" s="29" t="n">
        <v>106</v>
      </c>
      <c r="W108" s="29" t="n">
        <v>12.33</v>
      </c>
      <c r="X108" s="29" t="n">
        <v>12.97894736842105</v>
      </c>
      <c r="Y108" s="29" t="n">
        <v>13.7</v>
      </c>
      <c r="Z108" s="29" t="n">
        <v>14.50588235294118</v>
      </c>
      <c r="AA108" s="29" t="n">
        <v>15.4125</v>
      </c>
      <c r="AB108" s="29" t="n">
        <v>16.44</v>
      </c>
      <c r="AC108" s="29" t="n">
        <v>17.61428571428571</v>
      </c>
      <c r="AD108" s="29" t="n">
        <v>18.96923076923077</v>
      </c>
      <c r="AE108" s="29" t="n">
        <v>20.55</v>
      </c>
      <c r="AF108" s="29" t="n">
        <v>22.41818181818182</v>
      </c>
      <c r="AG108" s="29" t="n">
        <v>24.66</v>
      </c>
      <c r="AH108" s="29" t="n">
        <v>27.4</v>
      </c>
      <c r="AI108" s="29" t="n">
        <v>30.825</v>
      </c>
      <c r="AJ108" s="29" t="n">
        <v>35.22857142857143</v>
      </c>
      <c r="AK108" s="29" t="n">
        <v>41.1</v>
      </c>
      <c r="AL108" s="29" t="n">
        <v>49.32</v>
      </c>
      <c r="AM108" s="29" t="n">
        <v>61.65</v>
      </c>
      <c r="AN108" s="29" t="n">
        <v>82.2</v>
      </c>
      <c r="AO108" s="29" t="n">
        <v>123.3</v>
      </c>
      <c r="AP108" s="29" t="n">
        <v>246.6</v>
      </c>
    </row>
    <row r="109">
      <c r="A109" s="6" t="inlineStr">
        <is>
          <t>P128</t>
        </is>
      </c>
      <c r="B109" s="6" t="inlineStr">
        <is>
          <t>RDM</t>
        </is>
      </c>
      <c r="C109" s="29" t="n">
        <v>5.72</v>
      </c>
      <c r="D109" s="29" t="n">
        <v>6.021052631578947</v>
      </c>
      <c r="E109" s="29" t="n">
        <v>6.355555555555555</v>
      </c>
      <c r="F109" s="29" t="n">
        <v>6.729411764705882</v>
      </c>
      <c r="G109" s="29" t="n">
        <v>7.149999999999999</v>
      </c>
      <c r="H109" s="29" t="n">
        <v>7.626666666666666</v>
      </c>
      <c r="I109" s="29" t="n">
        <v>8.171428571428571</v>
      </c>
      <c r="J109" s="29" t="n">
        <v>8.799999999999999</v>
      </c>
      <c r="K109" s="29" t="n">
        <v>9.533333333333333</v>
      </c>
      <c r="L109" s="29" t="n">
        <v>10.4</v>
      </c>
      <c r="M109" s="29" t="n">
        <v>11.44</v>
      </c>
      <c r="N109" s="29" t="n">
        <v>12.71111111111111</v>
      </c>
      <c r="O109" s="29" t="n">
        <v>14.3</v>
      </c>
      <c r="P109" s="29" t="n">
        <v>16.34285714285714</v>
      </c>
      <c r="Q109" s="29" t="n">
        <v>19.06666666666667</v>
      </c>
      <c r="R109" s="29" t="n">
        <v>22.88</v>
      </c>
      <c r="S109" s="29" t="n">
        <v>28.6</v>
      </c>
      <c r="T109" s="29" t="n">
        <v>38.13333333333333</v>
      </c>
      <c r="U109" s="29" t="n">
        <v>57.2</v>
      </c>
      <c r="V109" s="29" t="n">
        <v>114.4</v>
      </c>
      <c r="W109" s="29" t="n">
        <v>14.64</v>
      </c>
      <c r="X109" s="29" t="n">
        <v>15.41052631578948</v>
      </c>
      <c r="Y109" s="29" t="n">
        <v>16.26666666666667</v>
      </c>
      <c r="Z109" s="29" t="n">
        <v>17.22352941176471</v>
      </c>
      <c r="AA109" s="29" t="n">
        <v>18.3</v>
      </c>
      <c r="AB109" s="29" t="n">
        <v>19.52</v>
      </c>
      <c r="AC109" s="29" t="n">
        <v>20.91428571428572</v>
      </c>
      <c r="AD109" s="29" t="n">
        <v>22.52307692307692</v>
      </c>
      <c r="AE109" s="29" t="n">
        <v>24.4</v>
      </c>
      <c r="AF109" s="29" t="n">
        <v>26.61818181818182</v>
      </c>
      <c r="AG109" s="29" t="n">
        <v>29.28</v>
      </c>
      <c r="AH109" s="29" t="n">
        <v>32.53333333333333</v>
      </c>
      <c r="AI109" s="29" t="n">
        <v>36.6</v>
      </c>
      <c r="AJ109" s="29" t="n">
        <v>41.82857142857144</v>
      </c>
      <c r="AK109" s="29" t="n">
        <v>48.8</v>
      </c>
      <c r="AL109" s="29" t="n">
        <v>58.56</v>
      </c>
      <c r="AM109" s="29" t="n">
        <v>73.2</v>
      </c>
      <c r="AN109" s="29" t="n">
        <v>97.60000000000001</v>
      </c>
      <c r="AO109" s="29" t="n">
        <v>146.4</v>
      </c>
      <c r="AP109" s="29" t="n">
        <v>292.8</v>
      </c>
    </row>
    <row r="110">
      <c r="A110" s="6" t="inlineStr">
        <is>
          <t>P129</t>
        </is>
      </c>
      <c r="B110" s="6" t="inlineStr">
        <is>
          <t>RDM</t>
        </is>
      </c>
      <c r="C110" s="29" t="n">
        <v>5.55</v>
      </c>
      <c r="D110" s="29" t="n">
        <v>5.842105263157895</v>
      </c>
      <c r="E110" s="29" t="n">
        <v>6.166666666666666</v>
      </c>
      <c r="F110" s="29" t="n">
        <v>6.529411764705882</v>
      </c>
      <c r="G110" s="29" t="n">
        <v>6.937499999999999</v>
      </c>
      <c r="H110" s="29" t="n">
        <v>7.399999999999999</v>
      </c>
      <c r="I110" s="29" t="n">
        <v>7.928571428571429</v>
      </c>
      <c r="J110" s="29" t="n">
        <v>8.538461538461538</v>
      </c>
      <c r="K110" s="29" t="n">
        <v>9.25</v>
      </c>
      <c r="L110" s="29" t="n">
        <v>10.09090909090909</v>
      </c>
      <c r="M110" s="29" t="n">
        <v>11.1</v>
      </c>
      <c r="N110" s="29" t="n">
        <v>12.33333333333333</v>
      </c>
      <c r="O110" s="29" t="n">
        <v>13.875</v>
      </c>
      <c r="P110" s="29" t="n">
        <v>15.85714285714286</v>
      </c>
      <c r="Q110" s="29" t="n">
        <v>18.5</v>
      </c>
      <c r="R110" s="29" t="n">
        <v>22.2</v>
      </c>
      <c r="S110" s="29" t="n">
        <v>27.75</v>
      </c>
      <c r="T110" s="29" t="n">
        <v>37</v>
      </c>
      <c r="U110" s="29" t="n">
        <v>55.49999999999999</v>
      </c>
      <c r="V110" s="29" t="n">
        <v>111</v>
      </c>
      <c r="W110" s="29" t="n">
        <v>12.33</v>
      </c>
      <c r="X110" s="29" t="n">
        <v>12.97894736842105</v>
      </c>
      <c r="Y110" s="29" t="n">
        <v>13.7</v>
      </c>
      <c r="Z110" s="29" t="n">
        <v>14.50588235294118</v>
      </c>
      <c r="AA110" s="29" t="n">
        <v>15.4125</v>
      </c>
      <c r="AB110" s="29" t="n">
        <v>16.44</v>
      </c>
      <c r="AC110" s="29" t="n">
        <v>17.61428571428571</v>
      </c>
      <c r="AD110" s="29" t="n">
        <v>18.96923076923077</v>
      </c>
      <c r="AE110" s="29" t="n">
        <v>20.55</v>
      </c>
      <c r="AF110" s="29" t="n">
        <v>22.41818181818182</v>
      </c>
      <c r="AG110" s="29" t="n">
        <v>24.66</v>
      </c>
      <c r="AH110" s="29" t="n">
        <v>27.4</v>
      </c>
      <c r="AI110" s="29" t="n">
        <v>30.825</v>
      </c>
      <c r="AJ110" s="29" t="n">
        <v>35.22857142857143</v>
      </c>
      <c r="AK110" s="29" t="n">
        <v>41.1</v>
      </c>
      <c r="AL110" s="29" t="n">
        <v>49.32</v>
      </c>
      <c r="AM110" s="29" t="n">
        <v>61.65</v>
      </c>
      <c r="AN110" s="29" t="n">
        <v>82.2</v>
      </c>
      <c r="AO110" s="29" t="n">
        <v>123.3</v>
      </c>
      <c r="AP110" s="29" t="n">
        <v>246.6</v>
      </c>
    </row>
    <row r="111">
      <c r="A111" s="6" t="inlineStr">
        <is>
          <t>P130</t>
        </is>
      </c>
      <c r="B111" s="6" t="inlineStr">
        <is>
          <t>RDM</t>
        </is>
      </c>
      <c r="C111" s="29" t="n">
        <v>6.44</v>
      </c>
      <c r="D111" s="29" t="n">
        <v>6.778947368421053</v>
      </c>
      <c r="E111" s="29" t="n">
        <v>7.155555555555556</v>
      </c>
      <c r="F111" s="29" t="n">
        <v>7.576470588235295</v>
      </c>
      <c r="G111" s="29" t="n">
        <v>8.050000000000001</v>
      </c>
      <c r="H111" s="29" t="n">
        <v>8.586666666666668</v>
      </c>
      <c r="I111" s="29" t="n">
        <v>9.200000000000001</v>
      </c>
      <c r="J111" s="29" t="n">
        <v>9.907692307692308</v>
      </c>
      <c r="K111" s="29" t="n">
        <v>10.73333333333333</v>
      </c>
      <c r="L111" s="29" t="n">
        <v>11.70909090909091</v>
      </c>
      <c r="M111" s="29" t="n">
        <v>12.88</v>
      </c>
      <c r="N111" s="29" t="n">
        <v>14.31111111111111</v>
      </c>
      <c r="O111" s="29" t="n">
        <v>16.1</v>
      </c>
      <c r="P111" s="29" t="n">
        <v>18.4</v>
      </c>
      <c r="Q111" s="29" t="n">
        <v>21.46666666666667</v>
      </c>
      <c r="R111" s="29" t="n">
        <v>25.76</v>
      </c>
      <c r="S111" s="29" t="n">
        <v>32.2</v>
      </c>
      <c r="T111" s="29" t="n">
        <v>42.93333333333334</v>
      </c>
      <c r="U111" s="29" t="n">
        <v>64.40000000000001</v>
      </c>
      <c r="V111" s="29" t="n">
        <v>128.8</v>
      </c>
      <c r="W111" s="29" t="n">
        <v>15.25</v>
      </c>
      <c r="X111" s="29" t="n">
        <v>16.05263157894737</v>
      </c>
      <c r="Y111" s="29" t="n">
        <v>16.94444444444444</v>
      </c>
      <c r="Z111" s="29" t="n">
        <v>17.94117647058824</v>
      </c>
      <c r="AA111" s="29" t="n">
        <v>19.0625</v>
      </c>
      <c r="AB111" s="29" t="n">
        <v>20.33333333333333</v>
      </c>
      <c r="AC111" s="29" t="n">
        <v>21.78571428571429</v>
      </c>
      <c r="AD111" s="29" t="n">
        <v>23.46153846153846</v>
      </c>
      <c r="AE111" s="29" t="n">
        <v>25.41666666666667</v>
      </c>
      <c r="AF111" s="29" t="n">
        <v>27.72727272727273</v>
      </c>
      <c r="AG111" s="29" t="n">
        <v>30.5</v>
      </c>
      <c r="AH111" s="29" t="n">
        <v>33.88888888888889</v>
      </c>
      <c r="AI111" s="29" t="n">
        <v>38.125</v>
      </c>
      <c r="AJ111" s="29" t="n">
        <v>43.57142857142858</v>
      </c>
      <c r="AK111" s="29" t="n">
        <v>50.83333333333334</v>
      </c>
      <c r="AL111" s="29" t="n">
        <v>61</v>
      </c>
      <c r="AM111" s="29" t="n">
        <v>76.25</v>
      </c>
      <c r="AN111" s="29" t="n">
        <v>101.6666666666667</v>
      </c>
      <c r="AO111" s="29" t="n">
        <v>152.5</v>
      </c>
      <c r="AP111" s="29" t="n">
        <v>305</v>
      </c>
    </row>
    <row r="112">
      <c r="A112" s="6" t="inlineStr">
        <is>
          <t>P131</t>
        </is>
      </c>
      <c r="B112" s="6" t="inlineStr">
        <is>
          <t>RDM</t>
        </is>
      </c>
      <c r="C112" s="29" t="n">
        <v>8.16</v>
      </c>
      <c r="D112" s="29" t="n">
        <v>8.589473684210526</v>
      </c>
      <c r="E112" s="29" t="n">
        <v>9.066666666666666</v>
      </c>
      <c r="F112" s="29" t="n">
        <v>9.6</v>
      </c>
      <c r="G112" s="29" t="n">
        <v>10.2</v>
      </c>
      <c r="H112" s="29" t="n">
        <v>10.88</v>
      </c>
      <c r="I112" s="29" t="n">
        <v>11.65714285714286</v>
      </c>
      <c r="J112" s="29" t="n">
        <v>12.55384615384615</v>
      </c>
      <c r="K112" s="29" t="n">
        <v>13.6</v>
      </c>
      <c r="L112" s="29" t="n">
        <v>14.83636363636364</v>
      </c>
      <c r="M112" s="29" t="n">
        <v>16.32</v>
      </c>
      <c r="N112" s="29" t="n">
        <v>18.13333333333333</v>
      </c>
      <c r="O112" s="29" t="n">
        <v>20.4</v>
      </c>
      <c r="P112" s="29" t="n">
        <v>23.31428571428572</v>
      </c>
      <c r="Q112" s="29" t="n">
        <v>27.2</v>
      </c>
      <c r="R112" s="29" t="n">
        <v>32.64</v>
      </c>
      <c r="S112" s="29" t="n">
        <v>40.8</v>
      </c>
      <c r="T112" s="29" t="n">
        <v>54.40000000000001</v>
      </c>
      <c r="U112" s="29" t="n">
        <v>81.59999999999999</v>
      </c>
      <c r="V112" s="29" t="n">
        <v>163.2</v>
      </c>
      <c r="W112" s="29" t="n">
        <v>10.52</v>
      </c>
      <c r="X112" s="29" t="n">
        <v>11.07368421052632</v>
      </c>
      <c r="Y112" s="29" t="n">
        <v>11.68888888888889</v>
      </c>
      <c r="Z112" s="29" t="n">
        <v>12.37647058823529</v>
      </c>
      <c r="AA112" s="29" t="n">
        <v>13.15</v>
      </c>
      <c r="AB112" s="29" t="n">
        <v>14.02666666666667</v>
      </c>
      <c r="AC112" s="29" t="n">
        <v>15.02857142857143</v>
      </c>
      <c r="AD112" s="29" t="n">
        <v>16.18461538461538</v>
      </c>
      <c r="AE112" s="29" t="n">
        <v>17.53333333333333</v>
      </c>
      <c r="AF112" s="29" t="n">
        <v>19.12727272727273</v>
      </c>
      <c r="AG112" s="29" t="n">
        <v>21.04</v>
      </c>
      <c r="AH112" s="29" t="n">
        <v>23.37777777777778</v>
      </c>
      <c r="AI112" s="29" t="n">
        <v>26.3</v>
      </c>
      <c r="AJ112" s="29" t="n">
        <v>30.05714285714286</v>
      </c>
      <c r="AK112" s="29" t="n">
        <v>35.06666666666667</v>
      </c>
      <c r="AL112" s="29" t="n">
        <v>42.08</v>
      </c>
      <c r="AM112" s="29" t="n">
        <v>52.59999999999999</v>
      </c>
      <c r="AN112" s="29" t="n">
        <v>70.13333333333334</v>
      </c>
      <c r="AO112" s="29" t="n">
        <v>105.2</v>
      </c>
      <c r="AP112" s="29" t="n">
        <v>210.4</v>
      </c>
    </row>
    <row r="113">
      <c r="A113" s="6" t="inlineStr">
        <is>
          <t>P132</t>
        </is>
      </c>
      <c r="B113" s="6" t="inlineStr">
        <is>
          <t>RDM</t>
        </is>
      </c>
      <c r="C113" s="29" t="n">
        <v>7.68</v>
      </c>
      <c r="D113" s="29" t="n">
        <v>8.08421052631579</v>
      </c>
      <c r="E113" s="29" t="n">
        <v>8.533333333333333</v>
      </c>
      <c r="F113" s="29" t="n">
        <v>9.035294117647059</v>
      </c>
      <c r="G113" s="29" t="n">
        <v>9.6</v>
      </c>
      <c r="H113" s="29" t="n">
        <v>10.24</v>
      </c>
      <c r="I113" s="29" t="n">
        <v>10.97142857142857</v>
      </c>
      <c r="J113" s="29" t="n">
        <v>11.81538461538461</v>
      </c>
      <c r="K113" s="29" t="n">
        <v>12.8</v>
      </c>
      <c r="L113" s="29" t="n">
        <v>13.96363636363636</v>
      </c>
      <c r="M113" s="29" t="n">
        <v>15.36</v>
      </c>
      <c r="N113" s="29" t="n">
        <v>17.06666666666667</v>
      </c>
      <c r="O113" s="29" t="n">
        <v>19.2</v>
      </c>
      <c r="P113" s="29" t="n">
        <v>21.94285714285714</v>
      </c>
      <c r="Q113" s="29" t="n">
        <v>25.6</v>
      </c>
      <c r="R113" s="29" t="n">
        <v>30.72</v>
      </c>
      <c r="S113" s="29" t="n">
        <v>38.4</v>
      </c>
      <c r="T113" s="29" t="n">
        <v>51.2</v>
      </c>
      <c r="U113" s="29" t="n">
        <v>76.8</v>
      </c>
      <c r="V113" s="29" t="n">
        <v>153.6</v>
      </c>
      <c r="W113" s="29" t="n">
        <v>10.52</v>
      </c>
      <c r="X113" s="29" t="n">
        <v>11.07368421052632</v>
      </c>
      <c r="Y113" s="29" t="n">
        <v>11.68888888888889</v>
      </c>
      <c r="Z113" s="29" t="n">
        <v>12.37647058823529</v>
      </c>
      <c r="AA113" s="29" t="n">
        <v>13.15</v>
      </c>
      <c r="AB113" s="29" t="n">
        <v>14.02666666666667</v>
      </c>
      <c r="AC113" s="29" t="n">
        <v>15.02857142857143</v>
      </c>
      <c r="AD113" s="29" t="n">
        <v>16.18461538461538</v>
      </c>
      <c r="AE113" s="29" t="n">
        <v>17.53333333333333</v>
      </c>
      <c r="AF113" s="29" t="n">
        <v>19.12727272727273</v>
      </c>
      <c r="AG113" s="29" t="n">
        <v>21.04</v>
      </c>
      <c r="AH113" s="29" t="n">
        <v>23.37777777777778</v>
      </c>
      <c r="AI113" s="29" t="n">
        <v>26.3</v>
      </c>
      <c r="AJ113" s="29" t="n">
        <v>30.05714285714286</v>
      </c>
      <c r="AK113" s="29" t="n">
        <v>35.06666666666667</v>
      </c>
      <c r="AL113" s="29" t="n">
        <v>42.08</v>
      </c>
      <c r="AM113" s="29" t="n">
        <v>52.59999999999999</v>
      </c>
      <c r="AN113" s="29" t="n">
        <v>70.13333333333334</v>
      </c>
      <c r="AO113" s="29" t="n">
        <v>105.2</v>
      </c>
      <c r="AP113" s="29" t="n">
        <v>210.4</v>
      </c>
    </row>
    <row r="114">
      <c r="A114" s="6" t="inlineStr">
        <is>
          <t>P133</t>
        </is>
      </c>
      <c r="B114" s="6" t="inlineStr">
        <is>
          <t>RDM</t>
        </is>
      </c>
      <c r="C114" s="29" t="n">
        <v>5.445</v>
      </c>
      <c r="D114" s="29" t="n">
        <v>5.731578947368422</v>
      </c>
      <c r="E114" s="29" t="n">
        <v>6.05</v>
      </c>
      <c r="F114" s="29" t="n">
        <v>6.405882352941177</v>
      </c>
      <c r="G114" s="29" t="n">
        <v>6.80625</v>
      </c>
      <c r="H114" s="29" t="n">
        <v>7.260000000000001</v>
      </c>
      <c r="I114" s="29" t="n">
        <v>7.778571428571429</v>
      </c>
      <c r="J114" s="29" t="n">
        <v>8.376923076923077</v>
      </c>
      <c r="K114" s="29" t="n">
        <v>9.075000000000001</v>
      </c>
      <c r="L114" s="29" t="n">
        <v>9.9</v>
      </c>
      <c r="M114" s="29" t="n">
        <v>10.89</v>
      </c>
      <c r="N114" s="29" t="n">
        <v>12.1</v>
      </c>
      <c r="O114" s="29" t="n">
        <v>13.6125</v>
      </c>
      <c r="P114" s="29" t="n">
        <v>15.55714285714286</v>
      </c>
      <c r="Q114" s="29" t="n">
        <v>18.15</v>
      </c>
      <c r="R114" s="29" t="n">
        <v>21.78</v>
      </c>
      <c r="S114" s="29" t="n">
        <v>27.225</v>
      </c>
      <c r="T114" s="29" t="n">
        <v>36.3</v>
      </c>
      <c r="U114" s="29" t="n">
        <v>54.45</v>
      </c>
      <c r="V114" s="29" t="n">
        <v>108.9</v>
      </c>
      <c r="W114" s="29" t="n">
        <v>12.17</v>
      </c>
      <c r="X114" s="29" t="n">
        <v>12.81052631578947</v>
      </c>
      <c r="Y114" s="29" t="n">
        <v>13.52222222222222</v>
      </c>
      <c r="Z114" s="29" t="n">
        <v>14.31764705882353</v>
      </c>
      <c r="AA114" s="29" t="n">
        <v>15.2125</v>
      </c>
      <c r="AB114" s="29" t="n">
        <v>16.22666666666667</v>
      </c>
      <c r="AC114" s="29" t="n">
        <v>17.38571428571429</v>
      </c>
      <c r="AD114" s="29" t="n">
        <v>18.72307692307692</v>
      </c>
      <c r="AE114" s="29" t="n">
        <v>20.28333333333333</v>
      </c>
      <c r="AF114" s="29" t="n">
        <v>22.12727272727273</v>
      </c>
      <c r="AG114" s="29" t="n">
        <v>24.34</v>
      </c>
      <c r="AH114" s="29" t="n">
        <v>27.04444444444444</v>
      </c>
      <c r="AI114" s="29" t="n">
        <v>30.425</v>
      </c>
      <c r="AJ114" s="29" t="n">
        <v>34.77142857142857</v>
      </c>
      <c r="AK114" s="29" t="n">
        <v>40.56666666666667</v>
      </c>
      <c r="AL114" s="29" t="n">
        <v>48.68</v>
      </c>
      <c r="AM114" s="29" t="n">
        <v>60.84999999999999</v>
      </c>
      <c r="AN114" s="29" t="n">
        <v>81.13333333333334</v>
      </c>
      <c r="AO114" s="29" t="n">
        <v>121.7</v>
      </c>
      <c r="AP114" s="29" t="n">
        <v>243.4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 Ajuste aqui.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30" t="inlineStr">
        <is>
          <t>Eficiencia de aplicacao</t>
        </is>
      </c>
      <c r="B5" s="31" t="n">
        <v>0.9</v>
      </c>
      <c r="C5" s="32" t="inlineStr">
        <is>
          <t>fracao</t>
        </is>
      </c>
      <c r="D5" s="18" t="inlineStr">
        <is>
          <t>Lamina bruta = liquida / eficiencia.</t>
        </is>
      </c>
    </row>
    <row r="6">
      <c r="A6" s="30" t="inlineStr">
        <is>
          <t>Lamina alvo / turno (mm liq)</t>
        </is>
      </c>
      <c r="B6" s="33" t="n">
        <v>10</v>
      </c>
      <c r="C6" s="32" t="inlineStr">
        <is>
          <t>mm</t>
        </is>
      </c>
      <c r="D6" s="18" t="inlineStr">
        <is>
          <t>Irriga quando a necessidade liquida da semana atinge este valor.</t>
        </is>
      </c>
    </row>
    <row r="7">
      <c r="A7" s="30" t="inlineStr">
        <is>
          <t>Gatilho de acompanhamento</t>
        </is>
      </c>
      <c r="B7" s="31" t="n">
        <v>0.8</v>
      </c>
      <c r="C7" s="32" t="inlineStr">
        <is>
          <t>fracao</t>
        </is>
      </c>
      <c r="D7" s="18" t="inlineStr">
        <is>
          <t>Fracao do alvo para 'Acompanhar'.</t>
        </is>
      </c>
    </row>
    <row r="8">
      <c r="A8" s="30" t="inlineStr">
        <is>
          <t>Data de referencia (HOJE)</t>
        </is>
      </c>
      <c r="B8" s="34" t="n">
        <v>46300</v>
      </c>
      <c r="C8" s="32" t="inlineStr">
        <is>
          <t>data</t>
        </is>
      </c>
      <c r="D8" s="18" t="inlineStr">
        <is>
          <t>Base do DAP/DAE e da semana atual.</t>
        </is>
      </c>
    </row>
    <row r="9">
      <c r="A9" s="30" t="inlineStr">
        <is>
          <t>Dias para emergencia</t>
        </is>
      </c>
      <c r="B9" s="33" t="n">
        <v>5</v>
      </c>
      <c r="C9" s="32" t="inlineStr">
        <is>
          <t>dias</t>
        </is>
      </c>
      <c r="D9" s="18" t="inlineStr">
        <is>
          <t>DAE = DAP - este valor.</t>
        </is>
      </c>
    </row>
    <row r="11">
      <c r="A11" s="18" t="inlineStr">
        <is>
          <t>Fluxo: 1) atualize ETO_SEMANAL a cada semana; 2) veja cada aba de cultura (por modulo); 3) nas parcelas IRRIGAR, digite o % e veja a lamina e as horas.</t>
        </is>
      </c>
      <c r="B11" s="19" t="n"/>
      <c r="C11" s="19" t="n"/>
      <c r="D11" s="20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2026-10-05T17:51:53Z</dcterms:created>
  <dcterms:modified xsi:type="dcterms:W3CDTF">2026-10-05T17:51:53Z</dcterms:modified>
</cp:coreProperties>
</file>