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MANEJO" sheetId="2" state="visible" r:id="rId2"/>
    <sheet name="SOJA" sheetId="3" state="visible" r:id="rId3"/>
    <sheet name="ALGODAO" sheetId="4" state="visible" r:id="rId4"/>
    <sheet name="TABACO" sheetId="5" state="visible" r:id="rId5"/>
    <sheet name="CACAU" sheetId="6" state="visible" r:id="rId6"/>
    <sheet name="MILHO" sheetId="7" state="visible" r:id="rId7"/>
    <sheet name="PROGRAMACAO" sheetId="8" state="visible" r:id="rId8"/>
    <sheet name="OS IRRIGACAO" sheetId="9" state="visible" r:id="rId9"/>
    <sheet name="ETO_DIARIO" sheetId="10" state="visible" r:id="rId10"/>
    <sheet name="PIVOS" sheetId="11" state="visible" r:id="rId11"/>
    <sheet name="LAMINA_HORA" sheetId="12" state="visible" r:id="rId12"/>
    <sheet name="KC_CURVAS" sheetId="13" state="visible" r:id="rId13"/>
    <sheet name="RESUMO" sheetId="14" state="visible" r:id="rId14"/>
    <sheet name="VALIDACAO" sheetId="15" state="visible" r:id="rId15"/>
    <sheet name="PARAMETROS" sheetId="16" state="visible" r:id="rId16"/>
    <sheet name="FONTES" sheetId="17" state="visible" r:id="rId17"/>
    <sheet name="PENDENCIAS" sheetId="18" state="visible" r:id="rId18"/>
  </sheets>
  <definedNames>
    <definedName name="EF_APLIC">'PARAMETROS'!$B$5</definedName>
    <definedName name="FATOR_HID">'PARAMETROS'!$B$6</definedName>
    <definedName name="META_SEM">'PARAMETROS'!$B$7</definedName>
    <definedName name="FRAC_ACOMP">'PARAMETROS'!$B$8</definedName>
    <definedName name="DATA_REF">'PARAMETROS'!$B$9</definedName>
  </definedNames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0.000"/>
    <numFmt numFmtId="167" formatCode="0.0"/>
    <numFmt numFmtId="168" formatCode="#,##0.0"/>
    <numFmt numFmtId="169" formatCode="ddd dd/mm"/>
    <numFmt numFmtId="170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b val="1"/>
      <color rgb="001F3864"/>
    </font>
    <font>
      <name val="Arial"/>
      <color rgb="00A6A6A6"/>
      <sz val="8"/>
    </font>
    <font>
      <name val="Arial"/>
      <color rgb="00008000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FFFFFF"/>
      <sz val="11"/>
    </font>
    <font>
      <name val="Arial"/>
      <b val="1"/>
    </font>
    <font>
      <name val="Arial"/>
      <b val="1"/>
      <color rgb="00C00000"/>
    </font>
    <font>
      <name val="Arial"/>
      <b val="1"/>
      <color rgb="00006100"/>
    </font>
    <font>
      <name val="Arial"/>
      <color rgb="00006100"/>
      <sz val="9"/>
    </font>
    <font>
      <name val="Arial"/>
      <i val="1"/>
      <color rgb="00006100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6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168" fontId="9" fillId="5" borderId="1" applyAlignment="1" pivotButton="0" quotePrefix="0" xfId="0">
      <alignment horizontal="right" vertical="center"/>
    </xf>
    <xf numFmtId="168" fontId="4" fillId="3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166" fontId="11" fillId="8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9" fontId="7" fillId="0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12" fillId="9" borderId="0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right" vertical="center"/>
    </xf>
    <xf numFmtId="168" fontId="13" fillId="5" borderId="1" applyAlignment="1" pivotButton="0" quotePrefix="0" xfId="0">
      <alignment horizontal="right" vertical="center"/>
    </xf>
    <xf numFmtId="168" fontId="14" fillId="5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center" vertical="center" wrapText="1"/>
    </xf>
    <xf numFmtId="167" fontId="9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0" fontId="8" fillId="0" borderId="0" pivotButton="0" quotePrefix="0" xfId="0"/>
    <xf numFmtId="2" fontId="10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right" vertical="center"/>
    </xf>
    <xf numFmtId="170" fontId="4" fillId="3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166" fontId="5" fillId="4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Irrigacao Karitel/RDM - v4 (safra 26/27, clima diario)</t>
        </is>
      </c>
    </row>
    <row r="4" ht="38" customHeight="1">
      <c r="B4" s="2" t="inlineStr">
        <is>
          <t>SAFRA:  Somente 26/27 (rotacao + soja). Status 'ativo' = plantado; 'proximo' = ainda sera plantado.</t>
        </is>
      </c>
    </row>
    <row r="5" ht="38" customHeight="1">
      <c r="B5" s="2" t="inlineStr">
        <is>
          <t>CLIMA DIARIO:  Atualize a ETo e a chuva de cada dia na aba ETO_DIARIO. O manejo acumula ETo entre a ultima irrigacao e HOJE.</t>
        </is>
      </c>
    </row>
    <row r="6" ht="38" customHeight="1">
      <c r="B6" s="2" t="inlineStr">
        <is>
          <t>Kc:  Automatico pela curva FAO-56 (KC_CURVAS), interpolacao LINEAR, conforme o DAE. Classe por variedade (editavel).</t>
        </is>
      </c>
    </row>
    <row r="7" ht="38" customHeight="1">
      <c r="B7" s="2" t="inlineStr">
        <is>
          <t>DECISAO:  ETc = Kc x ETo acumulada; Nec liq = ETc - chuva; bruta = /0,90. Irriga quando atinge o alvo/turno (PARAMETROS B7).</t>
        </is>
      </c>
    </row>
    <row r="8" ht="38" customHeight="1">
      <c r="B8" s="2" t="inlineStr">
        <is>
          <t>ENERGIA / CE:  CE por pivo = captacao do modulo + pressurizacao (kW/vazao). Energia = Volume x CE. Ver PIVOS e OS IRRIGACAO.</t>
        </is>
      </c>
    </row>
    <row r="9" ht="38" customHeight="1">
      <c r="B9" s="2" t="inlineStr">
        <is>
          <t>MODULOS:  M1: pivo 1-34 + 75,76 | M2: casa R8-R12 | M3: casa R13-R18 | RDM: 101-133. Casa de bomba por pivo em PIVOS.</t>
        </is>
      </c>
    </row>
    <row r="10" ht="38" customHeight="1">
      <c r="B10" s="2" t="inlineStr">
        <is>
          <t>PROGRAMACAO / OS:  PROGRAMACAO por cultura; OS IRRIGACAO por modulo (M1/M2/M3/RDM) numa pagina. Preencha o % por pivo.</t>
        </is>
      </c>
    </row>
    <row r="11" ht="38" customHeight="1">
      <c r="B11" s="2" t="inlineStr">
        <is>
          <t>PENDENCIAS:  CE nameplate x real; curva de cacau; tarifas. Ver aba PENDENCIAS.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AE1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8" customWidth="1" min="3" max="3"/>
    <col width="9" customWidth="1" min="4" max="4"/>
    <col width="9" customWidth="1" min="5" max="5"/>
    <col width="14" customWidth="1" min="6" max="6"/>
    <col width="8" customWidth="1" min="7" max="7"/>
    <col width="8" customWidth="1" min="8" max="8"/>
    <col width="11" customWidth="1" min="9" max="9"/>
    <col width="6" customWidth="1" min="10" max="10"/>
    <col width="6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6" customWidth="1" min="19" max="19"/>
    <col width="11" customWidth="1" min="20" max="20"/>
    <col width="9" customWidth="1" min="21" max="21"/>
    <col width="10" customWidth="1" min="22" max="22"/>
    <col width="9" customWidth="1" min="23" max="23"/>
    <col width="8" customWidth="1" min="24" max="24"/>
    <col width="9" customWidth="1" min="25" max="25"/>
    <col width="8" customWidth="1" min="26" max="26"/>
    <col width="11" customWidth="1" min="27" max="27"/>
    <col width="10" customWidth="1" min="28" max="28"/>
    <col width="11" customWidth="1" min="29" max="29"/>
    <col width="11" customWidth="1" min="30" max="30"/>
    <col width="10" customWidth="1" min="31" max="31"/>
  </cols>
  <sheetData>
    <row r="1" ht="20" customHeight="1">
      <c r="A1" s="1" t="inlineStr">
        <is>
          <t>MANEJO 26/27 - decisao via clima (ETo diaria)</t>
        </is>
      </c>
    </row>
    <row r="2">
      <c r="A2" s="3" t="inlineStr">
        <is>
          <t>Tela principal. Somente safra 26/27. ETc = Kc x ETo acumulada. Atualize ETO_DIARIO todo dia.</t>
        </is>
      </c>
    </row>
    <row r="4" ht="30" customHeight="1">
      <c r="A4" s="4" t="inlineStr">
        <is>
          <t>Pivo/Talhao</t>
        </is>
      </c>
      <c r="B4" s="4" t="inlineStr">
        <is>
          <t>Faz</t>
        </is>
      </c>
      <c r="C4" s="4" t="inlineStr">
        <is>
          <t>Casa b.</t>
        </is>
      </c>
      <c r="D4" s="4" t="inlineStr">
        <is>
          <t>Modulo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Status</t>
        </is>
      </c>
      <c r="I4" s="4" t="inlineStr">
        <is>
          <t>Plantio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Lini</t>
        </is>
      </c>
      <c r="M4" s="4" t="inlineStr">
        <is>
          <t>Ldev</t>
        </is>
      </c>
      <c r="N4" s="4" t="inlineStr">
        <is>
          <t>Lmid</t>
        </is>
      </c>
      <c r="O4" s="4" t="inlineStr">
        <is>
          <t>Llate</t>
        </is>
      </c>
      <c r="P4" s="4" t="inlineStr">
        <is>
          <t>Kcini</t>
        </is>
      </c>
      <c r="Q4" s="4" t="inlineStr">
        <is>
          <t>Kcmid</t>
        </is>
      </c>
      <c r="R4" s="4" t="inlineStr">
        <is>
          <t>Kcend</t>
        </is>
      </c>
      <c r="S4" s="4" t="inlineStr">
        <is>
          <t>Kc</t>
        </is>
      </c>
      <c r="T4" s="4" t="inlineStr">
        <is>
          <t>Ult.irrig</t>
        </is>
      </c>
      <c r="U4" s="4" t="inlineStr">
        <is>
          <t>ETo acum</t>
        </is>
      </c>
      <c r="V4" s="4" t="inlineStr">
        <is>
          <t>Chuva acum</t>
        </is>
      </c>
      <c r="W4" s="4" t="inlineStr">
        <is>
          <t>ETc acum</t>
        </is>
      </c>
      <c r="X4" s="4" t="inlineStr">
        <is>
          <t>Nec liq</t>
        </is>
      </c>
      <c r="Y4" s="4" t="inlineStr">
        <is>
          <t>Nec bruta</t>
        </is>
      </c>
      <c r="Z4" s="4" t="inlineStr">
        <is>
          <t>Area(ha)</t>
        </is>
      </c>
      <c r="AA4" s="4" t="inlineStr">
        <is>
          <t>Volume(m3)</t>
        </is>
      </c>
      <c r="AB4" s="4" t="inlineStr">
        <is>
          <t>CE(kWh/m3)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Prioridade</t>
        </is>
      </c>
    </row>
    <row r="5">
      <c r="A5" s="5" t="inlineStr">
        <is>
          <t>Pivô 01</t>
        </is>
      </c>
      <c r="B5" s="5" t="inlineStr">
        <is>
          <t>Karitel</t>
        </is>
      </c>
      <c r="C5" s="5" t="inlineStr">
        <is>
          <t>R0</t>
        </is>
      </c>
      <c r="D5" s="5" t="inlineStr">
        <is>
          <t>Modulo 1</t>
        </is>
      </c>
      <c r="E5" s="5" t="inlineStr">
        <is>
          <t>ALGODÃO</t>
        </is>
      </c>
      <c r="F5" s="6" t="inlineStr">
        <is>
          <t>IMA 5901 B2RF</t>
        </is>
      </c>
      <c r="G5" s="7" t="inlineStr">
        <is>
          <t>MÉDIO</t>
        </is>
      </c>
      <c r="H5" s="5" t="inlineStr">
        <is>
          <t>proximo</t>
        </is>
      </c>
      <c r="I5" s="8" t="n">
        <v>46403</v>
      </c>
      <c r="J5" s="9">
        <f>IF($I5="","",DATA_REF-$I5)</f>
        <v/>
      </c>
      <c r="K5" s="9">
        <f>IF($J5="","",MAX(0,$J5-'PARAMETROS'!$B$11))</f>
        <v/>
      </c>
      <c r="L5" s="10">
        <f>IFERROR(INDEX(KC_CURVAS!$C$5:$C$15,MATCH("ALGODÃO|"&amp;$G5,KC_CURVAS!$K$5:$K$15,0)),IFERROR(INDEX(KC_CURVAS!$C$5:$C$15,MATCH("ALGODÃO"&amp;"|",KC_CURVAS!$K$5:$K$15,0)),""))</f>
        <v/>
      </c>
      <c r="M5" s="10">
        <f>IFERROR(INDEX(KC_CURVAS!$D$5:$D$15,MATCH("ALGODÃO|"&amp;$G5,KC_CURVAS!$K$5:$K$15,0)),IFERROR(INDEX(KC_CURVAS!$D$5:$D$15,MATCH("ALGODÃO"&amp;"|",KC_CURVAS!$K$5:$K$15,0)),""))</f>
        <v/>
      </c>
      <c r="N5" s="10">
        <f>IFERROR(INDEX(KC_CURVAS!$E$5:$E$15,MATCH("ALGODÃO|"&amp;$G5,KC_CURVAS!$K$5:$K$15,0)),IFERROR(INDEX(KC_CURVAS!$E$5:$E$15,MATCH("ALGODÃO"&amp;"|",KC_CURVAS!$K$5:$K$15,0)),""))</f>
        <v/>
      </c>
      <c r="O5" s="10">
        <f>IFERROR(INDEX(KC_CURVAS!$F$5:$F$15,MATCH("ALGODÃO|"&amp;$G5,KC_CURVAS!$K$5:$K$15,0)),IFERROR(INDEX(KC_CURVAS!$F$5:$F$15,MATCH("ALGODÃO"&amp;"|",KC_CURVAS!$K$5:$K$15,0)),""))</f>
        <v/>
      </c>
      <c r="P5" s="11">
        <f>IFERROR(INDEX(KC_CURVAS!$G$5:$G$15,MATCH("ALGODÃO|"&amp;$G5,KC_CURVAS!$K$5:$K$15,0)),IFERROR(INDEX(KC_CURVAS!$G$5:$G$15,MATCH("ALGODÃO"&amp;"|",KC_CURVAS!$K$5:$K$15,0)),""))</f>
        <v/>
      </c>
      <c r="Q5" s="11">
        <f>IFERROR(INDEX(KC_CURVAS!$H$5:$H$15,MATCH("ALGODÃO|"&amp;$G5,KC_CURVAS!$K$5:$K$15,0)),IFERROR(INDEX(KC_CURVAS!$H$5:$H$15,MATCH("ALGODÃO"&amp;"|",KC_CURVAS!$K$5:$K$15,0)),""))</f>
        <v/>
      </c>
      <c r="R5" s="11">
        <f>IFERROR(INDEX(KC_CURVAS!$I$5:$I$15,MATCH("ALGODÃO|"&amp;$G5,KC_CURVAS!$K$5:$K$15,0)),IFERROR(INDEX(KC_CURVAS!$I$5:$I$15,MATCH("ALGODÃO"&amp;"|",KC_CURVAS!$K$5:$K$15,0)),""))</f>
        <v/>
      </c>
      <c r="S5" s="12">
        <f>IF(OR($K5="",$L5=""),"PENDENTE",IF($K5&lt;=$L5,$P5,IF($K5&lt;=$L5+$M5,$P5+($Q5-$P5)*($K5-$L5)/$M5,IF($K5&lt;=$L5+$M5+$N5,$Q5,IF($K5&lt;=$L5+$M5+$N5+$O5,$Q5+($R5-$Q5)*($K5-($L5+$M5+$N5))/$O5,$R5)))))</f>
        <v/>
      </c>
      <c r="T5" s="13">
        <f>IF($I5="","",$I5)</f>
        <v/>
      </c>
      <c r="U5" s="14">
        <f>IF($T5="","",SUMIFS(ETO_DIARIO!$B$5:$B$404,ETO_DIARIO!$A$5:$A$404,"&gt;"&amp;$T5,ETO_DIARIO!$A$5:$A$404,"&lt;="&amp;DATA_REF))</f>
        <v/>
      </c>
      <c r="V5" s="14">
        <f>IF($T5="","",SUMIFS(ETO_DIARIO!$C$5:$C$404,ETO_DIARIO!$A$5:$A$404,"&gt;"&amp;$T5,ETO_DIARIO!$A$5:$A$404,"&lt;="&amp;DATA_REF))</f>
        <v/>
      </c>
      <c r="W5" s="14">
        <f>IF(OR($S5="",$S5="PENDENTE",$U5=""),"",$S5*$U5)</f>
        <v/>
      </c>
      <c r="X5" s="14">
        <f>IF($W5="","",MAX(0,$W5-N($V5)))</f>
        <v/>
      </c>
      <c r="Y5" s="14">
        <f>IF($X5="","",$X5/EF_APLIC)</f>
        <v/>
      </c>
      <c r="Z5" s="15" t="n">
        <v>150</v>
      </c>
      <c r="AA5" s="16">
        <f>IF(OR($Y5="",$Z5=""),"",$Y5*$Z5*10)</f>
        <v/>
      </c>
      <c r="AB5" s="17" t="n">
        <v>0.513</v>
      </c>
      <c r="AC5" s="16">
        <f>IF(OR($AA5="",$AB5=""),"",$AA5*$AB5)</f>
        <v/>
      </c>
      <c r="AD5" s="18">
        <f>IF($S5="PENDENTE","Definir classe/Kc",IF($Y5="","-",IF($Y5&gt;='PARAMETROS'!$B$7/EF_APLIC,"Irrigar",IF($Y5&gt;='PARAMETROS'!$B$7/EF_APLIC*FRAC_ACOMP,"Acompanhar","Aguardar"))))</f>
        <v/>
      </c>
      <c r="AE5" s="18">
        <f>IF(OR($Y5="",$Y5=0),"-",IF($Y5&gt;=2*'PARAMETROS'!$B$7/EF_APLIC,"Alta",IF($Y5&gt;='PARAMETROS'!$B$7/EF_APLIC,"Media","Baixa")))</f>
        <v/>
      </c>
    </row>
    <row r="6">
      <c r="A6" s="5" t="inlineStr">
        <is>
          <t>Pivô 02</t>
        </is>
      </c>
      <c r="B6" s="5" t="inlineStr">
        <is>
          <t>Karitel</t>
        </is>
      </c>
      <c r="C6" s="5" t="inlineStr">
        <is>
          <t>R0</t>
        </is>
      </c>
      <c r="D6" s="5" t="inlineStr">
        <is>
          <t>Modulo 1</t>
        </is>
      </c>
      <c r="E6" s="5" t="inlineStr">
        <is>
          <t>SOJA</t>
        </is>
      </c>
      <c r="F6" s="6" t="inlineStr">
        <is>
          <t>CZ 37B07 I2X</t>
        </is>
      </c>
      <c r="G6" s="7" t="inlineStr">
        <is>
          <t>PRECOCE</t>
        </is>
      </c>
      <c r="H6" s="5" t="inlineStr">
        <is>
          <t>ativo</t>
        </is>
      </c>
      <c r="I6" s="8" t="n">
        <v>46287</v>
      </c>
      <c r="J6" s="9">
        <f>IF($I6="","",DATA_REF-$I6)</f>
        <v/>
      </c>
      <c r="K6" s="9">
        <f>IF($J6="","",MAX(0,$J6-'PARAMETROS'!$B$11))</f>
        <v/>
      </c>
      <c r="L6" s="10">
        <f>IFERROR(INDEX(KC_CURVAS!$C$5:$C$15,MATCH("SOJA|"&amp;$G6,KC_CURVAS!$K$5:$K$15,0)),IFERROR(INDEX(KC_CURVAS!$C$5:$C$15,MATCH("SOJA"&amp;"|",KC_CURVAS!$K$5:$K$15,0)),""))</f>
        <v/>
      </c>
      <c r="M6" s="10">
        <f>IFERROR(INDEX(KC_CURVAS!$D$5:$D$15,MATCH("SOJA|"&amp;$G6,KC_CURVAS!$K$5:$K$15,0)),IFERROR(INDEX(KC_CURVAS!$D$5:$D$15,MATCH("SOJA"&amp;"|",KC_CURVAS!$K$5:$K$15,0)),""))</f>
        <v/>
      </c>
      <c r="N6" s="10">
        <f>IFERROR(INDEX(KC_CURVAS!$E$5:$E$15,MATCH("SOJA|"&amp;$G6,KC_CURVAS!$K$5:$K$15,0)),IFERROR(INDEX(KC_CURVAS!$E$5:$E$15,MATCH("SOJA"&amp;"|",KC_CURVAS!$K$5:$K$15,0)),""))</f>
        <v/>
      </c>
      <c r="O6" s="10">
        <f>IFERROR(INDEX(KC_CURVAS!$F$5:$F$15,MATCH("SOJA|"&amp;$G6,KC_CURVAS!$K$5:$K$15,0)),IFERROR(INDEX(KC_CURVAS!$F$5:$F$15,MATCH("SOJA"&amp;"|",KC_CURVAS!$K$5:$K$15,0)),""))</f>
        <v/>
      </c>
      <c r="P6" s="11">
        <f>IFERROR(INDEX(KC_CURVAS!$G$5:$G$15,MATCH("SOJA|"&amp;$G6,KC_CURVAS!$K$5:$K$15,0)),IFERROR(INDEX(KC_CURVAS!$G$5:$G$15,MATCH("SOJA"&amp;"|",KC_CURVAS!$K$5:$K$15,0)),""))</f>
        <v/>
      </c>
      <c r="Q6" s="11">
        <f>IFERROR(INDEX(KC_CURVAS!$H$5:$H$15,MATCH("SOJA|"&amp;$G6,KC_CURVAS!$K$5:$K$15,0)),IFERROR(INDEX(KC_CURVAS!$H$5:$H$15,MATCH("SOJA"&amp;"|",KC_CURVAS!$K$5:$K$15,0)),""))</f>
        <v/>
      </c>
      <c r="R6" s="11">
        <f>IFERROR(INDEX(KC_CURVAS!$I$5:$I$15,MATCH("SOJA|"&amp;$G6,KC_CURVAS!$K$5:$K$15,0)),IFERROR(INDEX(KC_CURVAS!$I$5:$I$15,MATCH("SOJA"&amp;"|",KC_CURVAS!$K$5:$K$15,0)),""))</f>
        <v/>
      </c>
      <c r="S6" s="12">
        <f>IF(OR($K6="",$L6=""),"PENDENTE",IF($K6&lt;=$L6,$P6,IF($K6&lt;=$L6+$M6,$P6+($Q6-$P6)*($K6-$L6)/$M6,IF($K6&lt;=$L6+$M6+$N6,$Q6,IF($K6&lt;=$L6+$M6+$N6+$O6,$Q6+($R6-$Q6)*($K6-($L6+$M6+$N6))/$O6,$R6)))))</f>
        <v/>
      </c>
      <c r="T6" s="13">
        <f>IF($I6="","",$I6)</f>
        <v/>
      </c>
      <c r="U6" s="14">
        <f>IF($T6="","",SUMIFS(ETO_DIARIO!$B$5:$B$404,ETO_DIARIO!$A$5:$A$404,"&gt;"&amp;$T6,ETO_DIARIO!$A$5:$A$404,"&lt;="&amp;DATA_REF))</f>
        <v/>
      </c>
      <c r="V6" s="14">
        <f>IF($T6="","",SUMIFS(ETO_DIARIO!$C$5:$C$404,ETO_DIARIO!$A$5:$A$404,"&gt;"&amp;$T6,ETO_DIARIO!$A$5:$A$404,"&lt;="&amp;DATA_REF))</f>
        <v/>
      </c>
      <c r="W6" s="14">
        <f>IF(OR($S6="",$S6="PENDENTE",$U6=""),"",$S6*$U6)</f>
        <v/>
      </c>
      <c r="X6" s="14">
        <f>IF($W6="","",MAX(0,$W6-N($V6)))</f>
        <v/>
      </c>
      <c r="Y6" s="14">
        <f>IF($X6="","",$X6/EF_APLIC)</f>
        <v/>
      </c>
      <c r="Z6" s="15" t="n">
        <v>124</v>
      </c>
      <c r="AA6" s="16">
        <f>IF(OR($Y6="",$Z6=""),"",$Y6*$Z6*10)</f>
        <v/>
      </c>
      <c r="AB6" s="17" t="n">
        <v>0.589</v>
      </c>
      <c r="AC6" s="16">
        <f>IF(OR($AA6="",$AB6=""),"",$AA6*$AB6)</f>
        <v/>
      </c>
      <c r="AD6" s="18">
        <f>IF($S6="PENDENTE","Definir classe/Kc",IF($Y6="","-",IF($Y6&gt;='PARAMETROS'!$B$7/EF_APLIC,"Irrigar",IF($Y6&gt;='PARAMETROS'!$B$7/EF_APLIC*FRAC_ACOMP,"Acompanhar","Aguardar"))))</f>
        <v/>
      </c>
      <c r="AE6" s="18">
        <f>IF(OR($Y6="",$Y6=0),"-",IF($Y6&gt;=2*'PARAMETROS'!$B$7/EF_APLIC,"Alta",IF($Y6&gt;='PARAMETROS'!$B$7/EF_APLIC,"Media","Baixa")))</f>
        <v/>
      </c>
    </row>
    <row r="7">
      <c r="A7" s="5" t="inlineStr">
        <is>
          <t>Pivô 03</t>
        </is>
      </c>
      <c r="B7" s="5" t="inlineStr">
        <is>
          <t>Karitel</t>
        </is>
      </c>
      <c r="C7" s="5" t="inlineStr">
        <is>
          <t>R0</t>
        </is>
      </c>
      <c r="D7" s="5" t="inlineStr">
        <is>
          <t>Modulo 1</t>
        </is>
      </c>
      <c r="E7" s="5" t="inlineStr">
        <is>
          <t>SOJA</t>
        </is>
      </c>
      <c r="F7" s="6" t="inlineStr">
        <is>
          <t>COMBATE IPRO</t>
        </is>
      </c>
      <c r="G7" s="7" t="inlineStr">
        <is>
          <t>PRECOCE</t>
        </is>
      </c>
      <c r="H7" s="5" t="inlineStr">
        <is>
          <t>ativo</t>
        </is>
      </c>
      <c r="I7" s="8" t="n">
        <v>46288</v>
      </c>
      <c r="J7" s="9">
        <f>IF($I7="","",DATA_REF-$I7)</f>
        <v/>
      </c>
      <c r="K7" s="9">
        <f>IF($J7="","",MAX(0,$J7-'PARAMETROS'!$B$11))</f>
        <v/>
      </c>
      <c r="L7" s="10">
        <f>IFERROR(INDEX(KC_CURVAS!$C$5:$C$15,MATCH("SOJA|"&amp;$G7,KC_CURVAS!$K$5:$K$15,0)),IFERROR(INDEX(KC_CURVAS!$C$5:$C$15,MATCH("SOJA"&amp;"|",KC_CURVAS!$K$5:$K$15,0)),""))</f>
        <v/>
      </c>
      <c r="M7" s="10">
        <f>IFERROR(INDEX(KC_CURVAS!$D$5:$D$15,MATCH("SOJA|"&amp;$G7,KC_CURVAS!$K$5:$K$15,0)),IFERROR(INDEX(KC_CURVAS!$D$5:$D$15,MATCH("SOJA"&amp;"|",KC_CURVAS!$K$5:$K$15,0)),""))</f>
        <v/>
      </c>
      <c r="N7" s="10">
        <f>IFERROR(INDEX(KC_CURVAS!$E$5:$E$15,MATCH("SOJA|"&amp;$G7,KC_CURVAS!$K$5:$K$15,0)),IFERROR(INDEX(KC_CURVAS!$E$5:$E$15,MATCH("SOJA"&amp;"|",KC_CURVAS!$K$5:$K$15,0)),""))</f>
        <v/>
      </c>
      <c r="O7" s="10">
        <f>IFERROR(INDEX(KC_CURVAS!$F$5:$F$15,MATCH("SOJA|"&amp;$G7,KC_CURVAS!$K$5:$K$15,0)),IFERROR(INDEX(KC_CURVAS!$F$5:$F$15,MATCH("SOJA"&amp;"|",KC_CURVAS!$K$5:$K$15,0)),""))</f>
        <v/>
      </c>
      <c r="P7" s="11">
        <f>IFERROR(INDEX(KC_CURVAS!$G$5:$G$15,MATCH("SOJA|"&amp;$G7,KC_CURVAS!$K$5:$K$15,0)),IFERROR(INDEX(KC_CURVAS!$G$5:$G$15,MATCH("SOJA"&amp;"|",KC_CURVAS!$K$5:$K$15,0)),""))</f>
        <v/>
      </c>
      <c r="Q7" s="11">
        <f>IFERROR(INDEX(KC_CURVAS!$H$5:$H$15,MATCH("SOJA|"&amp;$G7,KC_CURVAS!$K$5:$K$15,0)),IFERROR(INDEX(KC_CURVAS!$H$5:$H$15,MATCH("SOJA"&amp;"|",KC_CURVAS!$K$5:$K$15,0)),""))</f>
        <v/>
      </c>
      <c r="R7" s="11">
        <f>IFERROR(INDEX(KC_CURVAS!$I$5:$I$15,MATCH("SOJA|"&amp;$G7,KC_CURVAS!$K$5:$K$15,0)),IFERROR(INDEX(KC_CURVAS!$I$5:$I$15,MATCH("SOJA"&amp;"|",KC_CURVAS!$K$5:$K$15,0)),""))</f>
        <v/>
      </c>
      <c r="S7" s="12">
        <f>IF(OR($K7="",$L7=""),"PENDENTE",IF($K7&lt;=$L7,$P7,IF($K7&lt;=$L7+$M7,$P7+($Q7-$P7)*($K7-$L7)/$M7,IF($K7&lt;=$L7+$M7+$N7,$Q7,IF($K7&lt;=$L7+$M7+$N7+$O7,$Q7+($R7-$Q7)*($K7-($L7+$M7+$N7))/$O7,$R7)))))</f>
        <v/>
      </c>
      <c r="T7" s="13">
        <f>IF($I7="","",$I7)</f>
        <v/>
      </c>
      <c r="U7" s="14">
        <f>IF($T7="","",SUMIFS(ETO_DIARIO!$B$5:$B$404,ETO_DIARIO!$A$5:$A$404,"&gt;"&amp;$T7,ETO_DIARIO!$A$5:$A$404,"&lt;="&amp;DATA_REF))</f>
        <v/>
      </c>
      <c r="V7" s="14">
        <f>IF($T7="","",SUMIFS(ETO_DIARIO!$C$5:$C$404,ETO_DIARIO!$A$5:$A$404,"&gt;"&amp;$T7,ETO_DIARIO!$A$5:$A$404,"&lt;="&amp;DATA_REF))</f>
        <v/>
      </c>
      <c r="W7" s="14">
        <f>IF(OR($S7="",$S7="PENDENTE",$U7=""),"",$S7*$U7)</f>
        <v/>
      </c>
      <c r="X7" s="14">
        <f>IF($W7="","",MAX(0,$W7-N($V7)))</f>
        <v/>
      </c>
      <c r="Y7" s="14">
        <f>IF($X7="","",$X7/EF_APLIC)</f>
        <v/>
      </c>
      <c r="Z7" s="15" t="n">
        <v>150</v>
      </c>
      <c r="AA7" s="16">
        <f>IF(OR($Y7="",$Z7=""),"",$Y7*$Z7*10)</f>
        <v/>
      </c>
      <c r="AB7" s="17" t="n">
        <v>0.513</v>
      </c>
      <c r="AC7" s="16">
        <f>IF(OR($AA7="",$AB7=""),"",$AA7*$AB7)</f>
        <v/>
      </c>
      <c r="AD7" s="18">
        <f>IF($S7="PENDENTE","Definir classe/Kc",IF($Y7="","-",IF($Y7&gt;='PARAMETROS'!$B$7/EF_APLIC,"Irrigar",IF($Y7&gt;='PARAMETROS'!$B$7/EF_APLIC*FRAC_ACOMP,"Acompanhar","Aguardar"))))</f>
        <v/>
      </c>
      <c r="AE7" s="18">
        <f>IF(OR($Y7="",$Y7=0),"-",IF($Y7&gt;=2*'PARAMETROS'!$B$7/EF_APLIC,"Alta",IF($Y7&gt;='PARAMETROS'!$B$7/EF_APLIC,"Media","Baixa")))</f>
        <v/>
      </c>
    </row>
    <row r="8">
      <c r="A8" s="5" t="inlineStr">
        <is>
          <t>Pivô 04</t>
        </is>
      </c>
      <c r="B8" s="5" t="inlineStr">
        <is>
          <t>Karitel</t>
        </is>
      </c>
      <c r="C8" s="5" t="inlineStr">
        <is>
          <t>R0</t>
        </is>
      </c>
      <c r="D8" s="5" t="inlineStr">
        <is>
          <t>Modulo 1</t>
        </is>
      </c>
      <c r="E8" s="5" t="inlineStr">
        <is>
          <t>SOJA</t>
        </is>
      </c>
      <c r="F8" s="6" t="inlineStr">
        <is>
          <t>COMBATE IPRO</t>
        </is>
      </c>
      <c r="G8" s="7" t="inlineStr">
        <is>
          <t>PRECOCE</t>
        </is>
      </c>
      <c r="H8" s="5" t="inlineStr">
        <is>
          <t>ativo</t>
        </is>
      </c>
      <c r="I8" s="8" t="n">
        <v>46288</v>
      </c>
      <c r="J8" s="9">
        <f>IF($I8="","",DATA_REF-$I8)</f>
        <v/>
      </c>
      <c r="K8" s="9">
        <f>IF($J8="","",MAX(0,$J8-'PARAMETROS'!$B$11))</f>
        <v/>
      </c>
      <c r="L8" s="10">
        <f>IFERROR(INDEX(KC_CURVAS!$C$5:$C$15,MATCH("SOJA|"&amp;$G8,KC_CURVAS!$K$5:$K$15,0)),IFERROR(INDEX(KC_CURVAS!$C$5:$C$15,MATCH("SOJA"&amp;"|",KC_CURVAS!$K$5:$K$15,0)),""))</f>
        <v/>
      </c>
      <c r="M8" s="10">
        <f>IFERROR(INDEX(KC_CURVAS!$D$5:$D$15,MATCH("SOJA|"&amp;$G8,KC_CURVAS!$K$5:$K$15,0)),IFERROR(INDEX(KC_CURVAS!$D$5:$D$15,MATCH("SOJA"&amp;"|",KC_CURVAS!$K$5:$K$15,0)),""))</f>
        <v/>
      </c>
      <c r="N8" s="10">
        <f>IFERROR(INDEX(KC_CURVAS!$E$5:$E$15,MATCH("SOJA|"&amp;$G8,KC_CURVAS!$K$5:$K$15,0)),IFERROR(INDEX(KC_CURVAS!$E$5:$E$15,MATCH("SOJA"&amp;"|",KC_CURVAS!$K$5:$K$15,0)),""))</f>
        <v/>
      </c>
      <c r="O8" s="10">
        <f>IFERROR(INDEX(KC_CURVAS!$F$5:$F$15,MATCH("SOJA|"&amp;$G8,KC_CURVAS!$K$5:$K$15,0)),IFERROR(INDEX(KC_CURVAS!$F$5:$F$15,MATCH("SOJA"&amp;"|",KC_CURVAS!$K$5:$K$15,0)),""))</f>
        <v/>
      </c>
      <c r="P8" s="11">
        <f>IFERROR(INDEX(KC_CURVAS!$G$5:$G$15,MATCH("SOJA|"&amp;$G8,KC_CURVAS!$K$5:$K$15,0)),IFERROR(INDEX(KC_CURVAS!$G$5:$G$15,MATCH("SOJA"&amp;"|",KC_CURVAS!$K$5:$K$15,0)),""))</f>
        <v/>
      </c>
      <c r="Q8" s="11">
        <f>IFERROR(INDEX(KC_CURVAS!$H$5:$H$15,MATCH("SOJA|"&amp;$G8,KC_CURVAS!$K$5:$K$15,0)),IFERROR(INDEX(KC_CURVAS!$H$5:$H$15,MATCH("SOJA"&amp;"|",KC_CURVAS!$K$5:$K$15,0)),""))</f>
        <v/>
      </c>
      <c r="R8" s="11">
        <f>IFERROR(INDEX(KC_CURVAS!$I$5:$I$15,MATCH("SOJA|"&amp;$G8,KC_CURVAS!$K$5:$K$15,0)),IFERROR(INDEX(KC_CURVAS!$I$5:$I$15,MATCH("SOJA"&amp;"|",KC_CURVAS!$K$5:$K$15,0)),""))</f>
        <v/>
      </c>
      <c r="S8" s="12">
        <f>IF(OR($K8="",$L8=""),"PENDENTE",IF($K8&lt;=$L8,$P8,IF($K8&lt;=$L8+$M8,$P8+($Q8-$P8)*($K8-$L8)/$M8,IF($K8&lt;=$L8+$M8+$N8,$Q8,IF($K8&lt;=$L8+$M8+$N8+$O8,$Q8+($R8-$Q8)*($K8-($L8+$M8+$N8))/$O8,$R8)))))</f>
        <v/>
      </c>
      <c r="T8" s="13">
        <f>IF($I8="","",$I8)</f>
        <v/>
      </c>
      <c r="U8" s="14">
        <f>IF($T8="","",SUMIFS(ETO_DIARIO!$B$5:$B$404,ETO_DIARIO!$A$5:$A$404,"&gt;"&amp;$T8,ETO_DIARIO!$A$5:$A$404,"&lt;="&amp;DATA_REF))</f>
        <v/>
      </c>
      <c r="V8" s="14">
        <f>IF($T8="","",SUMIFS(ETO_DIARIO!$C$5:$C$404,ETO_DIARIO!$A$5:$A$404,"&gt;"&amp;$T8,ETO_DIARIO!$A$5:$A$404,"&lt;="&amp;DATA_REF))</f>
        <v/>
      </c>
      <c r="W8" s="14">
        <f>IF(OR($S8="",$S8="PENDENTE",$U8=""),"",$S8*$U8)</f>
        <v/>
      </c>
      <c r="X8" s="14">
        <f>IF($W8="","",MAX(0,$W8-N($V8)))</f>
        <v/>
      </c>
      <c r="Y8" s="14">
        <f>IF($X8="","",$X8/EF_APLIC)</f>
        <v/>
      </c>
      <c r="Z8" s="15" t="n">
        <v>63</v>
      </c>
      <c r="AA8" s="16">
        <f>IF(OR($Y8="",$Z8=""),"",$Y8*$Z8*10)</f>
        <v/>
      </c>
      <c r="AB8" s="17" t="n">
        <v>0.407</v>
      </c>
      <c r="AC8" s="16">
        <f>IF(OR($AA8="",$AB8=""),"",$AA8*$AB8)</f>
        <v/>
      </c>
      <c r="AD8" s="18">
        <f>IF($S8="PENDENTE","Definir classe/Kc",IF($Y8="","-",IF($Y8&gt;='PARAMETROS'!$B$7/EF_APLIC,"Irrigar",IF($Y8&gt;='PARAMETROS'!$B$7/EF_APLIC*FRAC_ACOMP,"Acompanhar","Aguardar"))))</f>
        <v/>
      </c>
      <c r="AE8" s="18">
        <f>IF(OR($Y8="",$Y8=0),"-",IF($Y8&gt;=2*'PARAMETROS'!$B$7/EF_APLIC,"Alta",IF($Y8&gt;='PARAMETROS'!$B$7/EF_APLIC,"Media","Baixa")))</f>
        <v/>
      </c>
    </row>
    <row r="9">
      <c r="A9" s="5" t="inlineStr">
        <is>
          <t>Pivô 05</t>
        </is>
      </c>
      <c r="B9" s="5" t="inlineStr">
        <is>
          <t>Karitel</t>
        </is>
      </c>
      <c r="C9" s="5" t="inlineStr">
        <is>
          <t>R1</t>
        </is>
      </c>
      <c r="D9" s="5" t="inlineStr">
        <is>
          <t>Modulo 1</t>
        </is>
      </c>
      <c r="E9" s="5" t="inlineStr">
        <is>
          <t>SOJA</t>
        </is>
      </c>
      <c r="F9" s="6" t="inlineStr">
        <is>
          <t>COMBATE IPRO</t>
        </is>
      </c>
      <c r="G9" s="7" t="inlineStr">
        <is>
          <t>PRECOCE</t>
        </is>
      </c>
      <c r="H9" s="5" t="inlineStr">
        <is>
          <t>ativo</t>
        </is>
      </c>
      <c r="I9" s="8" t="n">
        <v>46289</v>
      </c>
      <c r="J9" s="9">
        <f>IF($I9="","",DATA_REF-$I9)</f>
        <v/>
      </c>
      <c r="K9" s="9">
        <f>IF($J9="","",MAX(0,$J9-'PARAMETROS'!$B$11))</f>
        <v/>
      </c>
      <c r="L9" s="10">
        <f>IFERROR(INDEX(KC_CURVAS!$C$5:$C$15,MATCH("SOJA|"&amp;$G9,KC_CURVAS!$K$5:$K$15,0)),IFERROR(INDEX(KC_CURVAS!$C$5:$C$15,MATCH("SOJA"&amp;"|",KC_CURVAS!$K$5:$K$15,0)),""))</f>
        <v/>
      </c>
      <c r="M9" s="10">
        <f>IFERROR(INDEX(KC_CURVAS!$D$5:$D$15,MATCH("SOJA|"&amp;$G9,KC_CURVAS!$K$5:$K$15,0)),IFERROR(INDEX(KC_CURVAS!$D$5:$D$15,MATCH("SOJA"&amp;"|",KC_CURVAS!$K$5:$K$15,0)),""))</f>
        <v/>
      </c>
      <c r="N9" s="10">
        <f>IFERROR(INDEX(KC_CURVAS!$E$5:$E$15,MATCH("SOJA|"&amp;$G9,KC_CURVAS!$K$5:$K$15,0)),IFERROR(INDEX(KC_CURVAS!$E$5:$E$15,MATCH("SOJA"&amp;"|",KC_CURVAS!$K$5:$K$15,0)),""))</f>
        <v/>
      </c>
      <c r="O9" s="10">
        <f>IFERROR(INDEX(KC_CURVAS!$F$5:$F$15,MATCH("SOJA|"&amp;$G9,KC_CURVAS!$K$5:$K$15,0)),IFERROR(INDEX(KC_CURVAS!$F$5:$F$15,MATCH("SOJA"&amp;"|",KC_CURVAS!$K$5:$K$15,0)),""))</f>
        <v/>
      </c>
      <c r="P9" s="11">
        <f>IFERROR(INDEX(KC_CURVAS!$G$5:$G$15,MATCH("SOJA|"&amp;$G9,KC_CURVAS!$K$5:$K$15,0)),IFERROR(INDEX(KC_CURVAS!$G$5:$G$15,MATCH("SOJA"&amp;"|",KC_CURVAS!$K$5:$K$15,0)),""))</f>
        <v/>
      </c>
      <c r="Q9" s="11">
        <f>IFERROR(INDEX(KC_CURVAS!$H$5:$H$15,MATCH("SOJA|"&amp;$G9,KC_CURVAS!$K$5:$K$15,0)),IFERROR(INDEX(KC_CURVAS!$H$5:$H$15,MATCH("SOJA"&amp;"|",KC_CURVAS!$K$5:$K$15,0)),""))</f>
        <v/>
      </c>
      <c r="R9" s="11">
        <f>IFERROR(INDEX(KC_CURVAS!$I$5:$I$15,MATCH("SOJA|"&amp;$G9,KC_CURVAS!$K$5:$K$15,0)),IFERROR(INDEX(KC_CURVAS!$I$5:$I$15,MATCH("SOJA"&amp;"|",KC_CURVAS!$K$5:$K$15,0)),""))</f>
        <v/>
      </c>
      <c r="S9" s="12">
        <f>IF(OR($K9="",$L9=""),"PENDENTE",IF($K9&lt;=$L9,$P9,IF($K9&lt;=$L9+$M9,$P9+($Q9-$P9)*($K9-$L9)/$M9,IF($K9&lt;=$L9+$M9+$N9,$Q9,IF($K9&lt;=$L9+$M9+$N9+$O9,$Q9+($R9-$Q9)*($K9-($L9+$M9+$N9))/$O9,$R9)))))</f>
        <v/>
      </c>
      <c r="T9" s="13">
        <f>IF($I9="","",$I9)</f>
        <v/>
      </c>
      <c r="U9" s="14">
        <f>IF($T9="","",SUMIFS(ETO_DIARIO!$B$5:$B$404,ETO_DIARIO!$A$5:$A$404,"&gt;"&amp;$T9,ETO_DIARIO!$A$5:$A$404,"&lt;="&amp;DATA_REF))</f>
        <v/>
      </c>
      <c r="V9" s="14">
        <f>IF($T9="","",SUMIFS(ETO_DIARIO!$C$5:$C$404,ETO_DIARIO!$A$5:$A$404,"&gt;"&amp;$T9,ETO_DIARIO!$A$5:$A$404,"&lt;="&amp;DATA_REF))</f>
        <v/>
      </c>
      <c r="W9" s="14">
        <f>IF(OR($S9="",$S9="PENDENTE",$U9=""),"",$S9*$U9)</f>
        <v/>
      </c>
      <c r="X9" s="14">
        <f>IF($W9="","",MAX(0,$W9-N($V9)))</f>
        <v/>
      </c>
      <c r="Y9" s="14">
        <f>IF($X9="","",$X9/EF_APLIC)</f>
        <v/>
      </c>
      <c r="Z9" s="15" t="n">
        <v>150</v>
      </c>
      <c r="AA9" s="16">
        <f>IF(OR($Y9="",$Z9=""),"",$Y9*$Z9*10)</f>
        <v/>
      </c>
      <c r="AB9" s="17" t="n">
        <v>0.574</v>
      </c>
      <c r="AC9" s="16">
        <f>IF(OR($AA9="",$AB9=""),"",$AA9*$AB9)</f>
        <v/>
      </c>
      <c r="AD9" s="18">
        <f>IF($S9="PENDENTE","Definir classe/Kc",IF($Y9="","-",IF($Y9&gt;='PARAMETROS'!$B$7/EF_APLIC,"Irrigar",IF($Y9&gt;='PARAMETROS'!$B$7/EF_APLIC*FRAC_ACOMP,"Acompanhar","Aguardar"))))</f>
        <v/>
      </c>
      <c r="AE9" s="18">
        <f>IF(OR($Y9="",$Y9=0),"-",IF($Y9&gt;=2*'PARAMETROS'!$B$7/EF_APLIC,"Alta",IF($Y9&gt;='PARAMETROS'!$B$7/EF_APLIC,"Media","Baixa")))</f>
        <v/>
      </c>
    </row>
    <row r="10">
      <c r="A10" s="5" t="inlineStr">
        <is>
          <t>Pivô 06</t>
        </is>
      </c>
      <c r="B10" s="5" t="inlineStr">
        <is>
          <t>Karitel</t>
        </is>
      </c>
      <c r="C10" s="5" t="inlineStr">
        <is>
          <t>R1</t>
        </is>
      </c>
      <c r="D10" s="5" t="inlineStr">
        <is>
          <t>Modulo 1</t>
        </is>
      </c>
      <c r="E10" s="5" t="inlineStr">
        <is>
          <t>SOJA</t>
        </is>
      </c>
      <c r="F10" s="6" t="inlineStr">
        <is>
          <t>COMBATE IPRO</t>
        </is>
      </c>
      <c r="G10" s="7" t="inlineStr">
        <is>
          <t>PRECOCE</t>
        </is>
      </c>
      <c r="H10" s="5" t="inlineStr">
        <is>
          <t>ativo</t>
        </is>
      </c>
      <c r="I10" s="8" t="n">
        <v>46289</v>
      </c>
      <c r="J10" s="9">
        <f>IF($I10="","",DATA_REF-$I10)</f>
        <v/>
      </c>
      <c r="K10" s="9">
        <f>IF($J10="","",MAX(0,$J10-'PARAMETROS'!$B$11))</f>
        <v/>
      </c>
      <c r="L10" s="10">
        <f>IFERROR(INDEX(KC_CURVAS!$C$5:$C$15,MATCH("SOJA|"&amp;$G10,KC_CURVAS!$K$5:$K$15,0)),IFERROR(INDEX(KC_CURVAS!$C$5:$C$15,MATCH("SOJA"&amp;"|",KC_CURVAS!$K$5:$K$15,0)),""))</f>
        <v/>
      </c>
      <c r="M10" s="10">
        <f>IFERROR(INDEX(KC_CURVAS!$D$5:$D$15,MATCH("SOJA|"&amp;$G10,KC_CURVAS!$K$5:$K$15,0)),IFERROR(INDEX(KC_CURVAS!$D$5:$D$15,MATCH("SOJA"&amp;"|",KC_CURVAS!$K$5:$K$15,0)),""))</f>
        <v/>
      </c>
      <c r="N10" s="10">
        <f>IFERROR(INDEX(KC_CURVAS!$E$5:$E$15,MATCH("SOJA|"&amp;$G10,KC_CURVAS!$K$5:$K$15,0)),IFERROR(INDEX(KC_CURVAS!$E$5:$E$15,MATCH("SOJA"&amp;"|",KC_CURVAS!$K$5:$K$15,0)),""))</f>
        <v/>
      </c>
      <c r="O10" s="10">
        <f>IFERROR(INDEX(KC_CURVAS!$F$5:$F$15,MATCH("SOJA|"&amp;$G10,KC_CURVAS!$K$5:$K$15,0)),IFERROR(INDEX(KC_CURVAS!$F$5:$F$15,MATCH("SOJA"&amp;"|",KC_CURVAS!$K$5:$K$15,0)),""))</f>
        <v/>
      </c>
      <c r="P10" s="11">
        <f>IFERROR(INDEX(KC_CURVAS!$G$5:$G$15,MATCH("SOJA|"&amp;$G10,KC_CURVAS!$K$5:$K$15,0)),IFERROR(INDEX(KC_CURVAS!$G$5:$G$15,MATCH("SOJA"&amp;"|",KC_CURVAS!$K$5:$K$15,0)),""))</f>
        <v/>
      </c>
      <c r="Q10" s="11">
        <f>IFERROR(INDEX(KC_CURVAS!$H$5:$H$15,MATCH("SOJA|"&amp;$G10,KC_CURVAS!$K$5:$K$15,0)),IFERROR(INDEX(KC_CURVAS!$H$5:$H$15,MATCH("SOJA"&amp;"|",KC_CURVAS!$K$5:$K$15,0)),""))</f>
        <v/>
      </c>
      <c r="R10" s="11">
        <f>IFERROR(INDEX(KC_CURVAS!$I$5:$I$15,MATCH("SOJA|"&amp;$G10,KC_CURVAS!$K$5:$K$15,0)),IFERROR(INDEX(KC_CURVAS!$I$5:$I$15,MATCH("SOJA"&amp;"|",KC_CURVAS!$K$5:$K$15,0)),""))</f>
        <v/>
      </c>
      <c r="S10" s="12">
        <f>IF(OR($K10="",$L10=""),"PENDENTE",IF($K10&lt;=$L10,$P10,IF($K10&lt;=$L10+$M10,$P10+($Q10-$P10)*($K10-$L10)/$M10,IF($K10&lt;=$L10+$M10+$N10,$Q10,IF($K10&lt;=$L10+$M10+$N10+$O10,$Q10+($R10-$Q10)*($K10-($L10+$M10+$N10))/$O10,$R10)))))</f>
        <v/>
      </c>
      <c r="T10" s="13">
        <f>IF($I10="","",$I10)</f>
        <v/>
      </c>
      <c r="U10" s="14">
        <f>IF($T10="","",SUMIFS(ETO_DIARIO!$B$5:$B$404,ETO_DIARIO!$A$5:$A$404,"&gt;"&amp;$T10,ETO_DIARIO!$A$5:$A$404,"&lt;="&amp;DATA_REF))</f>
        <v/>
      </c>
      <c r="V10" s="14">
        <f>IF($T10="","",SUMIFS(ETO_DIARIO!$C$5:$C$404,ETO_DIARIO!$A$5:$A$404,"&gt;"&amp;$T10,ETO_DIARIO!$A$5:$A$404,"&lt;="&amp;DATA_REF))</f>
        <v/>
      </c>
      <c r="W10" s="14">
        <f>IF(OR($S10="",$S10="PENDENTE",$U10=""),"",$S10*$U10)</f>
        <v/>
      </c>
      <c r="X10" s="14">
        <f>IF($W10="","",MAX(0,$W10-N($V10)))</f>
        <v/>
      </c>
      <c r="Y10" s="14">
        <f>IF($X10="","",$X10/EF_APLIC)</f>
        <v/>
      </c>
      <c r="Z10" s="15" t="n">
        <v>150</v>
      </c>
      <c r="AA10" s="16">
        <f>IF(OR($Y10="",$Z10=""),"",$Y10*$Z10*10)</f>
        <v/>
      </c>
      <c r="AB10" s="17" t="n">
        <v>0.595</v>
      </c>
      <c r="AC10" s="16">
        <f>IF(OR($AA10="",$AB10=""),"",$AA10*$AB10)</f>
        <v/>
      </c>
      <c r="AD10" s="18">
        <f>IF($S10="PENDENTE","Definir classe/Kc",IF($Y10="","-",IF($Y10&gt;='PARAMETROS'!$B$7/EF_APLIC,"Irrigar",IF($Y10&gt;='PARAMETROS'!$B$7/EF_APLIC*FRAC_ACOMP,"Acompanhar","Aguardar"))))</f>
        <v/>
      </c>
      <c r="AE10" s="18">
        <f>IF(OR($Y10="",$Y10=0),"-",IF($Y10&gt;=2*'PARAMETROS'!$B$7/EF_APLIC,"Alta",IF($Y10&gt;='PARAMETROS'!$B$7/EF_APLIC,"Media","Baixa")))</f>
        <v/>
      </c>
    </row>
    <row r="11">
      <c r="A11" s="5" t="inlineStr">
        <is>
          <t>Pivô 07</t>
        </is>
      </c>
      <c r="B11" s="5" t="inlineStr">
        <is>
          <t>Karitel</t>
        </is>
      </c>
      <c r="C11" s="5" t="inlineStr">
        <is>
          <t>R2</t>
        </is>
      </c>
      <c r="D11" s="5" t="inlineStr">
        <is>
          <t>Modulo 1</t>
        </is>
      </c>
      <c r="E11" s="5" t="inlineStr">
        <is>
          <t>ALGODÃO</t>
        </is>
      </c>
      <c r="F11" s="6" t="inlineStr">
        <is>
          <t>IMA 5901 B2RF</t>
        </is>
      </c>
      <c r="G11" s="7" t="inlineStr">
        <is>
          <t>MÉDIO</t>
        </is>
      </c>
      <c r="H11" s="5" t="inlineStr">
        <is>
          <t>proximo</t>
        </is>
      </c>
      <c r="I11" s="8" t="n">
        <v>46351</v>
      </c>
      <c r="J11" s="9">
        <f>IF($I11="","",DATA_REF-$I11)</f>
        <v/>
      </c>
      <c r="K11" s="9">
        <f>IF($J11="","",MAX(0,$J11-'PARAMETROS'!$B$11))</f>
        <v/>
      </c>
      <c r="L11" s="10">
        <f>IFERROR(INDEX(KC_CURVAS!$C$5:$C$15,MATCH("ALGODÃO|"&amp;$G11,KC_CURVAS!$K$5:$K$15,0)),IFERROR(INDEX(KC_CURVAS!$C$5:$C$15,MATCH("ALGODÃO"&amp;"|",KC_CURVAS!$K$5:$K$15,0)),""))</f>
        <v/>
      </c>
      <c r="M11" s="10">
        <f>IFERROR(INDEX(KC_CURVAS!$D$5:$D$15,MATCH("ALGODÃO|"&amp;$G11,KC_CURVAS!$K$5:$K$15,0)),IFERROR(INDEX(KC_CURVAS!$D$5:$D$15,MATCH("ALGODÃO"&amp;"|",KC_CURVAS!$K$5:$K$15,0)),""))</f>
        <v/>
      </c>
      <c r="N11" s="10">
        <f>IFERROR(INDEX(KC_CURVAS!$E$5:$E$15,MATCH("ALGODÃO|"&amp;$G11,KC_CURVAS!$K$5:$K$15,0)),IFERROR(INDEX(KC_CURVAS!$E$5:$E$15,MATCH("ALGODÃO"&amp;"|",KC_CURVAS!$K$5:$K$15,0)),""))</f>
        <v/>
      </c>
      <c r="O11" s="10">
        <f>IFERROR(INDEX(KC_CURVAS!$F$5:$F$15,MATCH("ALGODÃO|"&amp;$G11,KC_CURVAS!$K$5:$K$15,0)),IFERROR(INDEX(KC_CURVAS!$F$5:$F$15,MATCH("ALGODÃO"&amp;"|",KC_CURVAS!$K$5:$K$15,0)),""))</f>
        <v/>
      </c>
      <c r="P11" s="11">
        <f>IFERROR(INDEX(KC_CURVAS!$G$5:$G$15,MATCH("ALGODÃO|"&amp;$G11,KC_CURVAS!$K$5:$K$15,0)),IFERROR(INDEX(KC_CURVAS!$G$5:$G$15,MATCH("ALGODÃO"&amp;"|",KC_CURVAS!$K$5:$K$15,0)),""))</f>
        <v/>
      </c>
      <c r="Q11" s="11">
        <f>IFERROR(INDEX(KC_CURVAS!$H$5:$H$15,MATCH("ALGODÃO|"&amp;$G11,KC_CURVAS!$K$5:$K$15,0)),IFERROR(INDEX(KC_CURVAS!$H$5:$H$15,MATCH("ALGODÃO"&amp;"|",KC_CURVAS!$K$5:$K$15,0)),""))</f>
        <v/>
      </c>
      <c r="R11" s="11">
        <f>IFERROR(INDEX(KC_CURVAS!$I$5:$I$15,MATCH("ALGODÃO|"&amp;$G11,KC_CURVAS!$K$5:$K$15,0)),IFERROR(INDEX(KC_CURVAS!$I$5:$I$15,MATCH("ALGODÃO"&amp;"|",KC_CURVAS!$K$5:$K$15,0)),""))</f>
        <v/>
      </c>
      <c r="S11" s="12">
        <f>IF(OR($K11="",$L11=""),"PENDENTE",IF($K11&lt;=$L11,$P11,IF($K11&lt;=$L11+$M11,$P11+($Q11-$P11)*($K11-$L11)/$M11,IF($K11&lt;=$L11+$M11+$N11,$Q11,IF($K11&lt;=$L11+$M11+$N11+$O11,$Q11+($R11-$Q11)*($K11-($L11+$M11+$N11))/$O11,$R11)))))</f>
        <v/>
      </c>
      <c r="T11" s="13">
        <f>IF($I11="","",$I11)</f>
        <v/>
      </c>
      <c r="U11" s="14">
        <f>IF($T11="","",SUMIFS(ETO_DIARIO!$B$5:$B$404,ETO_DIARIO!$A$5:$A$404,"&gt;"&amp;$T11,ETO_DIARIO!$A$5:$A$404,"&lt;="&amp;DATA_REF))</f>
        <v/>
      </c>
      <c r="V11" s="14">
        <f>IF($T11="","",SUMIFS(ETO_DIARIO!$C$5:$C$404,ETO_DIARIO!$A$5:$A$404,"&gt;"&amp;$T11,ETO_DIARIO!$A$5:$A$404,"&lt;="&amp;DATA_REF))</f>
        <v/>
      </c>
      <c r="W11" s="14">
        <f>IF(OR($S11="",$S11="PENDENTE",$U11=""),"",$S11*$U11)</f>
        <v/>
      </c>
      <c r="X11" s="14">
        <f>IF($W11="","",MAX(0,$W11-N($V11)))</f>
        <v/>
      </c>
      <c r="Y11" s="14">
        <f>IF($X11="","",$X11/EF_APLIC)</f>
        <v/>
      </c>
      <c r="Z11" s="15" t="n">
        <v>120</v>
      </c>
      <c r="AA11" s="16">
        <f>IF(OR($Y11="",$Z11=""),"",$Y11*$Z11*10)</f>
        <v/>
      </c>
      <c r="AB11" s="17" t="n">
        <v>0.63</v>
      </c>
      <c r="AC11" s="16">
        <f>IF(OR($AA11="",$AB11=""),"",$AA11*$AB11)</f>
        <v/>
      </c>
      <c r="AD11" s="18">
        <f>IF($S11="PENDENTE","Definir classe/Kc",IF($Y11="","-",IF($Y11&gt;='PARAMETROS'!$B$7/EF_APLIC,"Irrigar",IF($Y11&gt;='PARAMETROS'!$B$7/EF_APLIC*FRAC_ACOMP,"Acompanhar","Aguardar"))))</f>
        <v/>
      </c>
      <c r="AE11" s="18">
        <f>IF(OR($Y11="",$Y11=0),"-",IF($Y11&gt;=2*'PARAMETROS'!$B$7/EF_APLIC,"Alta",IF($Y11&gt;='PARAMETROS'!$B$7/EF_APLIC,"Media","Baixa")))</f>
        <v/>
      </c>
    </row>
    <row r="12">
      <c r="A12" s="5" t="inlineStr">
        <is>
          <t>Pivô 08</t>
        </is>
      </c>
      <c r="B12" s="5" t="inlineStr">
        <is>
          <t>Karitel</t>
        </is>
      </c>
      <c r="C12" s="5" t="inlineStr">
        <is>
          <t>R2</t>
        </is>
      </c>
      <c r="D12" s="5" t="inlineStr">
        <is>
          <t>Modulo 1</t>
        </is>
      </c>
      <c r="E12" s="5" t="inlineStr">
        <is>
          <t>ALGODÃO</t>
        </is>
      </c>
      <c r="F12" s="6" t="inlineStr">
        <is>
          <t>IMA 5901 B2RF</t>
        </is>
      </c>
      <c r="G12" s="7" t="inlineStr">
        <is>
          <t>MÉDIO</t>
        </is>
      </c>
      <c r="H12" s="5" t="inlineStr">
        <is>
          <t>proximo</t>
        </is>
      </c>
      <c r="I12" s="8" t="n">
        <v>46351</v>
      </c>
      <c r="J12" s="9">
        <f>IF($I12="","",DATA_REF-$I12)</f>
        <v/>
      </c>
      <c r="K12" s="9">
        <f>IF($J12="","",MAX(0,$J12-'PARAMETROS'!$B$11))</f>
        <v/>
      </c>
      <c r="L12" s="10">
        <f>IFERROR(INDEX(KC_CURVAS!$C$5:$C$15,MATCH("ALGODÃO|"&amp;$G12,KC_CURVAS!$K$5:$K$15,0)),IFERROR(INDEX(KC_CURVAS!$C$5:$C$15,MATCH("ALGODÃO"&amp;"|",KC_CURVAS!$K$5:$K$15,0)),""))</f>
        <v/>
      </c>
      <c r="M12" s="10">
        <f>IFERROR(INDEX(KC_CURVAS!$D$5:$D$15,MATCH("ALGODÃO|"&amp;$G12,KC_CURVAS!$K$5:$K$15,0)),IFERROR(INDEX(KC_CURVAS!$D$5:$D$15,MATCH("ALGODÃO"&amp;"|",KC_CURVAS!$K$5:$K$15,0)),""))</f>
        <v/>
      </c>
      <c r="N12" s="10">
        <f>IFERROR(INDEX(KC_CURVAS!$E$5:$E$15,MATCH("ALGODÃO|"&amp;$G12,KC_CURVAS!$K$5:$K$15,0)),IFERROR(INDEX(KC_CURVAS!$E$5:$E$15,MATCH("ALGODÃO"&amp;"|",KC_CURVAS!$K$5:$K$15,0)),""))</f>
        <v/>
      </c>
      <c r="O12" s="10">
        <f>IFERROR(INDEX(KC_CURVAS!$F$5:$F$15,MATCH("ALGODÃO|"&amp;$G12,KC_CURVAS!$K$5:$K$15,0)),IFERROR(INDEX(KC_CURVAS!$F$5:$F$15,MATCH("ALGODÃO"&amp;"|",KC_CURVAS!$K$5:$K$15,0)),""))</f>
        <v/>
      </c>
      <c r="P12" s="11">
        <f>IFERROR(INDEX(KC_CURVAS!$G$5:$G$15,MATCH("ALGODÃO|"&amp;$G12,KC_CURVAS!$K$5:$K$15,0)),IFERROR(INDEX(KC_CURVAS!$G$5:$G$15,MATCH("ALGODÃO"&amp;"|",KC_CURVAS!$K$5:$K$15,0)),""))</f>
        <v/>
      </c>
      <c r="Q12" s="11">
        <f>IFERROR(INDEX(KC_CURVAS!$H$5:$H$15,MATCH("ALGODÃO|"&amp;$G12,KC_CURVAS!$K$5:$K$15,0)),IFERROR(INDEX(KC_CURVAS!$H$5:$H$15,MATCH("ALGODÃO"&amp;"|",KC_CURVAS!$K$5:$K$15,0)),""))</f>
        <v/>
      </c>
      <c r="R12" s="11">
        <f>IFERROR(INDEX(KC_CURVAS!$I$5:$I$15,MATCH("ALGODÃO|"&amp;$G12,KC_CURVAS!$K$5:$K$15,0)),IFERROR(INDEX(KC_CURVAS!$I$5:$I$15,MATCH("ALGODÃO"&amp;"|",KC_CURVAS!$K$5:$K$15,0)),""))</f>
        <v/>
      </c>
      <c r="S12" s="12">
        <f>IF(OR($K12="",$L12=""),"PENDENTE",IF($K12&lt;=$L12,$P12,IF($K12&lt;=$L12+$M12,$P12+($Q12-$P12)*($K12-$L12)/$M12,IF($K12&lt;=$L12+$M12+$N12,$Q12,IF($K12&lt;=$L12+$M12+$N12+$O12,$Q12+($R12-$Q12)*($K12-($L12+$M12+$N12))/$O12,$R12)))))</f>
        <v/>
      </c>
      <c r="T12" s="13">
        <f>IF($I12="","",$I12)</f>
        <v/>
      </c>
      <c r="U12" s="14">
        <f>IF($T12="","",SUMIFS(ETO_DIARIO!$B$5:$B$404,ETO_DIARIO!$A$5:$A$404,"&gt;"&amp;$T12,ETO_DIARIO!$A$5:$A$404,"&lt;="&amp;DATA_REF))</f>
        <v/>
      </c>
      <c r="V12" s="14">
        <f>IF($T12="","",SUMIFS(ETO_DIARIO!$C$5:$C$404,ETO_DIARIO!$A$5:$A$404,"&gt;"&amp;$T12,ETO_DIARIO!$A$5:$A$404,"&lt;="&amp;DATA_REF))</f>
        <v/>
      </c>
      <c r="W12" s="14">
        <f>IF(OR($S12="",$S12="PENDENTE",$U12=""),"",$S12*$U12)</f>
        <v/>
      </c>
      <c r="X12" s="14">
        <f>IF($W12="","",MAX(0,$W12-N($V12)))</f>
        <v/>
      </c>
      <c r="Y12" s="14">
        <f>IF($X12="","",$X12/EF_APLIC)</f>
        <v/>
      </c>
      <c r="Z12" s="15" t="n">
        <v>150</v>
      </c>
      <c r="AA12" s="16">
        <f>IF(OR($Y12="",$Z12=""),"",$Y12*$Z12*10)</f>
        <v/>
      </c>
      <c r="AB12" s="17" t="n">
        <v>0.5659999999999999</v>
      </c>
      <c r="AC12" s="16">
        <f>IF(OR($AA12="",$AB12=""),"",$AA12*$AB12)</f>
        <v/>
      </c>
      <c r="AD12" s="18">
        <f>IF($S12="PENDENTE","Definir classe/Kc",IF($Y12="","-",IF($Y12&gt;='PARAMETROS'!$B$7/EF_APLIC,"Irrigar",IF($Y12&gt;='PARAMETROS'!$B$7/EF_APLIC*FRAC_ACOMP,"Acompanhar","Aguardar"))))</f>
        <v/>
      </c>
      <c r="AE12" s="18">
        <f>IF(OR($Y12="",$Y12=0),"-",IF($Y12&gt;=2*'PARAMETROS'!$B$7/EF_APLIC,"Alta",IF($Y12&gt;='PARAMETROS'!$B$7/EF_APLIC,"Media","Baixa")))</f>
        <v/>
      </c>
    </row>
    <row r="13">
      <c r="A13" s="5" t="inlineStr">
        <is>
          <t>Pivô 09</t>
        </is>
      </c>
      <c r="B13" s="5" t="inlineStr">
        <is>
          <t>Karitel</t>
        </is>
      </c>
      <c r="C13" s="5" t="inlineStr">
        <is>
          <t>R3</t>
        </is>
      </c>
      <c r="D13" s="5" t="inlineStr">
        <is>
          <t>Modulo 1</t>
        </is>
      </c>
      <c r="E13" s="5" t="inlineStr">
        <is>
          <t>ALGODÃO</t>
        </is>
      </c>
      <c r="F13" s="6" t="inlineStr">
        <is>
          <t>IMA 5901 B2RF</t>
        </is>
      </c>
      <c r="G13" s="7" t="inlineStr">
        <is>
          <t>MÉDIO</t>
        </is>
      </c>
      <c r="H13" s="5" t="inlineStr">
        <is>
          <t>proximo</t>
        </is>
      </c>
      <c r="I13" s="8" t="n">
        <v>46352</v>
      </c>
      <c r="J13" s="9">
        <f>IF($I13="","",DATA_REF-$I13)</f>
        <v/>
      </c>
      <c r="K13" s="9">
        <f>IF($J13="","",MAX(0,$J13-'PARAMETROS'!$B$11))</f>
        <v/>
      </c>
      <c r="L13" s="10">
        <f>IFERROR(INDEX(KC_CURVAS!$C$5:$C$15,MATCH("ALGODÃO|"&amp;$G13,KC_CURVAS!$K$5:$K$15,0)),IFERROR(INDEX(KC_CURVAS!$C$5:$C$15,MATCH("ALGODÃO"&amp;"|",KC_CURVAS!$K$5:$K$15,0)),""))</f>
        <v/>
      </c>
      <c r="M13" s="10">
        <f>IFERROR(INDEX(KC_CURVAS!$D$5:$D$15,MATCH("ALGODÃO|"&amp;$G13,KC_CURVAS!$K$5:$K$15,0)),IFERROR(INDEX(KC_CURVAS!$D$5:$D$15,MATCH("ALGODÃO"&amp;"|",KC_CURVAS!$K$5:$K$15,0)),""))</f>
        <v/>
      </c>
      <c r="N13" s="10">
        <f>IFERROR(INDEX(KC_CURVAS!$E$5:$E$15,MATCH("ALGODÃO|"&amp;$G13,KC_CURVAS!$K$5:$K$15,0)),IFERROR(INDEX(KC_CURVAS!$E$5:$E$15,MATCH("ALGODÃO"&amp;"|",KC_CURVAS!$K$5:$K$15,0)),""))</f>
        <v/>
      </c>
      <c r="O13" s="10">
        <f>IFERROR(INDEX(KC_CURVAS!$F$5:$F$15,MATCH("ALGODÃO|"&amp;$G13,KC_CURVAS!$K$5:$K$15,0)),IFERROR(INDEX(KC_CURVAS!$F$5:$F$15,MATCH("ALGODÃO"&amp;"|",KC_CURVAS!$K$5:$K$15,0)),""))</f>
        <v/>
      </c>
      <c r="P13" s="11">
        <f>IFERROR(INDEX(KC_CURVAS!$G$5:$G$15,MATCH("ALGODÃO|"&amp;$G13,KC_CURVAS!$K$5:$K$15,0)),IFERROR(INDEX(KC_CURVAS!$G$5:$G$15,MATCH("ALGODÃO"&amp;"|",KC_CURVAS!$K$5:$K$15,0)),""))</f>
        <v/>
      </c>
      <c r="Q13" s="11">
        <f>IFERROR(INDEX(KC_CURVAS!$H$5:$H$15,MATCH("ALGODÃO|"&amp;$G13,KC_CURVAS!$K$5:$K$15,0)),IFERROR(INDEX(KC_CURVAS!$H$5:$H$15,MATCH("ALGODÃO"&amp;"|",KC_CURVAS!$K$5:$K$15,0)),""))</f>
        <v/>
      </c>
      <c r="R13" s="11">
        <f>IFERROR(INDEX(KC_CURVAS!$I$5:$I$15,MATCH("ALGODÃO|"&amp;$G13,KC_CURVAS!$K$5:$K$15,0)),IFERROR(INDEX(KC_CURVAS!$I$5:$I$15,MATCH("ALGODÃO"&amp;"|",KC_CURVAS!$K$5:$K$15,0)),""))</f>
        <v/>
      </c>
      <c r="S13" s="12">
        <f>IF(OR($K13="",$L13=""),"PENDENTE",IF($K13&lt;=$L13,$P13,IF($K13&lt;=$L13+$M13,$P13+($Q13-$P13)*($K13-$L13)/$M13,IF($K13&lt;=$L13+$M13+$N13,$Q13,IF($K13&lt;=$L13+$M13+$N13+$O13,$Q13+($R13-$Q13)*($K13-($L13+$M13+$N13))/$O13,$R13)))))</f>
        <v/>
      </c>
      <c r="T13" s="13">
        <f>IF($I13="","",$I13)</f>
        <v/>
      </c>
      <c r="U13" s="14">
        <f>IF($T13="","",SUMIFS(ETO_DIARIO!$B$5:$B$404,ETO_DIARIO!$A$5:$A$404,"&gt;"&amp;$T13,ETO_DIARIO!$A$5:$A$404,"&lt;="&amp;DATA_REF))</f>
        <v/>
      </c>
      <c r="V13" s="14">
        <f>IF($T13="","",SUMIFS(ETO_DIARIO!$C$5:$C$404,ETO_DIARIO!$A$5:$A$404,"&gt;"&amp;$T13,ETO_DIARIO!$A$5:$A$404,"&lt;="&amp;DATA_REF))</f>
        <v/>
      </c>
      <c r="W13" s="14">
        <f>IF(OR($S13="",$S13="PENDENTE",$U13=""),"",$S13*$U13)</f>
        <v/>
      </c>
      <c r="X13" s="14">
        <f>IF($W13="","",MAX(0,$W13-N($V13)))</f>
        <v/>
      </c>
      <c r="Y13" s="14">
        <f>IF($X13="","",$X13/EF_APLIC)</f>
        <v/>
      </c>
      <c r="Z13" s="15" t="n">
        <v>120</v>
      </c>
      <c r="AA13" s="16">
        <f>IF(OR($Y13="",$Z13=""),"",$Y13*$Z13*10)</f>
        <v/>
      </c>
      <c r="AB13" s="17" t="n">
        <v>0.5649999999999999</v>
      </c>
      <c r="AC13" s="16">
        <f>IF(OR($AA13="",$AB13=""),"",$AA13*$AB13)</f>
        <v/>
      </c>
      <c r="AD13" s="18">
        <f>IF($S13="PENDENTE","Definir classe/Kc",IF($Y13="","-",IF($Y13&gt;='PARAMETROS'!$B$7/EF_APLIC,"Irrigar",IF($Y13&gt;='PARAMETROS'!$B$7/EF_APLIC*FRAC_ACOMP,"Acompanhar","Aguardar"))))</f>
        <v/>
      </c>
      <c r="AE13" s="18">
        <f>IF(OR($Y13="",$Y13=0),"-",IF($Y13&gt;=2*'PARAMETROS'!$B$7/EF_APLIC,"Alta",IF($Y13&gt;='PARAMETROS'!$B$7/EF_APLIC,"Media","Baixa")))</f>
        <v/>
      </c>
    </row>
    <row r="14">
      <c r="A14" s="5" t="inlineStr">
        <is>
          <t>Pivô 10</t>
        </is>
      </c>
      <c r="B14" s="5" t="inlineStr">
        <is>
          <t>Karitel</t>
        </is>
      </c>
      <c r="C14" s="5" t="inlineStr">
        <is>
          <t>R3</t>
        </is>
      </c>
      <c r="D14" s="5" t="inlineStr">
        <is>
          <t>Modulo 1</t>
        </is>
      </c>
      <c r="E14" s="5" t="inlineStr">
        <is>
          <t>ALGODÃO</t>
        </is>
      </c>
      <c r="F14" s="6" t="inlineStr">
        <is>
          <t>IMA 5901 B2RF</t>
        </is>
      </c>
      <c r="G14" s="7" t="inlineStr">
        <is>
          <t>MÉDIO</t>
        </is>
      </c>
      <c r="H14" s="5" t="inlineStr">
        <is>
          <t>proximo</t>
        </is>
      </c>
      <c r="I14" s="8" t="n">
        <v>46352</v>
      </c>
      <c r="J14" s="9">
        <f>IF($I14="","",DATA_REF-$I14)</f>
        <v/>
      </c>
      <c r="K14" s="9">
        <f>IF($J14="","",MAX(0,$J14-'PARAMETROS'!$B$11))</f>
        <v/>
      </c>
      <c r="L14" s="10">
        <f>IFERROR(INDEX(KC_CURVAS!$C$5:$C$15,MATCH("ALGODÃO|"&amp;$G14,KC_CURVAS!$K$5:$K$15,0)),IFERROR(INDEX(KC_CURVAS!$C$5:$C$15,MATCH("ALGODÃO"&amp;"|",KC_CURVAS!$K$5:$K$15,0)),""))</f>
        <v/>
      </c>
      <c r="M14" s="10">
        <f>IFERROR(INDEX(KC_CURVAS!$D$5:$D$15,MATCH("ALGODÃO|"&amp;$G14,KC_CURVAS!$K$5:$K$15,0)),IFERROR(INDEX(KC_CURVAS!$D$5:$D$15,MATCH("ALGODÃO"&amp;"|",KC_CURVAS!$K$5:$K$15,0)),""))</f>
        <v/>
      </c>
      <c r="N14" s="10">
        <f>IFERROR(INDEX(KC_CURVAS!$E$5:$E$15,MATCH("ALGODÃO|"&amp;$G14,KC_CURVAS!$K$5:$K$15,0)),IFERROR(INDEX(KC_CURVAS!$E$5:$E$15,MATCH("ALGODÃO"&amp;"|",KC_CURVAS!$K$5:$K$15,0)),""))</f>
        <v/>
      </c>
      <c r="O14" s="10">
        <f>IFERROR(INDEX(KC_CURVAS!$F$5:$F$15,MATCH("ALGODÃO|"&amp;$G14,KC_CURVAS!$K$5:$K$15,0)),IFERROR(INDEX(KC_CURVAS!$F$5:$F$15,MATCH("ALGODÃO"&amp;"|",KC_CURVAS!$K$5:$K$15,0)),""))</f>
        <v/>
      </c>
      <c r="P14" s="11">
        <f>IFERROR(INDEX(KC_CURVAS!$G$5:$G$15,MATCH("ALGODÃO|"&amp;$G14,KC_CURVAS!$K$5:$K$15,0)),IFERROR(INDEX(KC_CURVAS!$G$5:$G$15,MATCH("ALGODÃO"&amp;"|",KC_CURVAS!$K$5:$K$15,0)),""))</f>
        <v/>
      </c>
      <c r="Q14" s="11">
        <f>IFERROR(INDEX(KC_CURVAS!$H$5:$H$15,MATCH("ALGODÃO|"&amp;$G14,KC_CURVAS!$K$5:$K$15,0)),IFERROR(INDEX(KC_CURVAS!$H$5:$H$15,MATCH("ALGODÃO"&amp;"|",KC_CURVAS!$K$5:$K$15,0)),""))</f>
        <v/>
      </c>
      <c r="R14" s="11">
        <f>IFERROR(INDEX(KC_CURVAS!$I$5:$I$15,MATCH("ALGODÃO|"&amp;$G14,KC_CURVAS!$K$5:$K$15,0)),IFERROR(INDEX(KC_CURVAS!$I$5:$I$15,MATCH("ALGODÃO"&amp;"|",KC_CURVAS!$K$5:$K$15,0)),""))</f>
        <v/>
      </c>
      <c r="S14" s="12">
        <f>IF(OR($K14="",$L14=""),"PENDENTE",IF($K14&lt;=$L14,$P14,IF($K14&lt;=$L14+$M14,$P14+($Q14-$P14)*($K14-$L14)/$M14,IF($K14&lt;=$L14+$M14+$N14,$Q14,IF($K14&lt;=$L14+$M14+$N14+$O14,$Q14+($R14-$Q14)*($K14-($L14+$M14+$N14))/$O14,$R14)))))</f>
        <v/>
      </c>
      <c r="T14" s="13">
        <f>IF($I14="","",$I14)</f>
        <v/>
      </c>
      <c r="U14" s="14">
        <f>IF($T14="","",SUMIFS(ETO_DIARIO!$B$5:$B$404,ETO_DIARIO!$A$5:$A$404,"&gt;"&amp;$T14,ETO_DIARIO!$A$5:$A$404,"&lt;="&amp;DATA_REF))</f>
        <v/>
      </c>
      <c r="V14" s="14">
        <f>IF($T14="","",SUMIFS(ETO_DIARIO!$C$5:$C$404,ETO_DIARIO!$A$5:$A$404,"&gt;"&amp;$T14,ETO_DIARIO!$A$5:$A$404,"&lt;="&amp;DATA_REF))</f>
        <v/>
      </c>
      <c r="W14" s="14">
        <f>IF(OR($S14="",$S14="PENDENTE",$U14=""),"",$S14*$U14)</f>
        <v/>
      </c>
      <c r="X14" s="14">
        <f>IF($W14="","",MAX(0,$W14-N($V14)))</f>
        <v/>
      </c>
      <c r="Y14" s="14">
        <f>IF($X14="","",$X14/EF_APLIC)</f>
        <v/>
      </c>
      <c r="Z14" s="15" t="n">
        <v>150</v>
      </c>
      <c r="AA14" s="16">
        <f>IF(OR($Y14="",$Z14=""),"",$Y14*$Z14*10)</f>
        <v/>
      </c>
      <c r="AB14" s="17" t="n">
        <v>0.5659999999999999</v>
      </c>
      <c r="AC14" s="16">
        <f>IF(OR($AA14="",$AB14=""),"",$AA14*$AB14)</f>
        <v/>
      </c>
      <c r="AD14" s="18">
        <f>IF($S14="PENDENTE","Definir classe/Kc",IF($Y14="","-",IF($Y14&gt;='PARAMETROS'!$B$7/EF_APLIC,"Irrigar",IF($Y14&gt;='PARAMETROS'!$B$7/EF_APLIC*FRAC_ACOMP,"Acompanhar","Aguardar"))))</f>
        <v/>
      </c>
      <c r="AE14" s="18">
        <f>IF(OR($Y14="",$Y14=0),"-",IF($Y14&gt;=2*'PARAMETROS'!$B$7/EF_APLIC,"Alta",IF($Y14&gt;='PARAMETROS'!$B$7/EF_APLIC,"Media","Baixa")))</f>
        <v/>
      </c>
    </row>
    <row r="15">
      <c r="A15" s="5" t="inlineStr">
        <is>
          <t>Pivô 11</t>
        </is>
      </c>
      <c r="B15" s="5" t="inlineStr">
        <is>
          <t>Karitel</t>
        </is>
      </c>
      <c r="C15" s="5" t="inlineStr">
        <is>
          <t>R5</t>
        </is>
      </c>
      <c r="D15" s="5" t="inlineStr">
        <is>
          <t>Modulo 1</t>
        </is>
      </c>
      <c r="E15" s="5" t="inlineStr">
        <is>
          <t>ALGODÃO</t>
        </is>
      </c>
      <c r="F15" s="6" t="inlineStr">
        <is>
          <t>IMA 5901 B2RF</t>
        </is>
      </c>
      <c r="G15" s="7" t="inlineStr">
        <is>
          <t>MÉDIO</t>
        </is>
      </c>
      <c r="H15" s="5" t="inlineStr">
        <is>
          <t>proximo</t>
        </is>
      </c>
      <c r="I15" s="8" t="n">
        <v>46353</v>
      </c>
      <c r="J15" s="9">
        <f>IF($I15="","",DATA_REF-$I15)</f>
        <v/>
      </c>
      <c r="K15" s="9">
        <f>IF($J15="","",MAX(0,$J15-'PARAMETROS'!$B$11))</f>
        <v/>
      </c>
      <c r="L15" s="10">
        <f>IFERROR(INDEX(KC_CURVAS!$C$5:$C$15,MATCH("ALGODÃO|"&amp;$G15,KC_CURVAS!$K$5:$K$15,0)),IFERROR(INDEX(KC_CURVAS!$C$5:$C$15,MATCH("ALGODÃO"&amp;"|",KC_CURVAS!$K$5:$K$15,0)),""))</f>
        <v/>
      </c>
      <c r="M15" s="10">
        <f>IFERROR(INDEX(KC_CURVAS!$D$5:$D$15,MATCH("ALGODÃO|"&amp;$G15,KC_CURVAS!$K$5:$K$15,0)),IFERROR(INDEX(KC_CURVAS!$D$5:$D$15,MATCH("ALGODÃO"&amp;"|",KC_CURVAS!$K$5:$K$15,0)),""))</f>
        <v/>
      </c>
      <c r="N15" s="10">
        <f>IFERROR(INDEX(KC_CURVAS!$E$5:$E$15,MATCH("ALGODÃO|"&amp;$G15,KC_CURVAS!$K$5:$K$15,0)),IFERROR(INDEX(KC_CURVAS!$E$5:$E$15,MATCH("ALGODÃO"&amp;"|",KC_CURVAS!$K$5:$K$15,0)),""))</f>
        <v/>
      </c>
      <c r="O15" s="10">
        <f>IFERROR(INDEX(KC_CURVAS!$F$5:$F$15,MATCH("ALGODÃO|"&amp;$G15,KC_CURVAS!$K$5:$K$15,0)),IFERROR(INDEX(KC_CURVAS!$F$5:$F$15,MATCH("ALGODÃO"&amp;"|",KC_CURVAS!$K$5:$K$15,0)),""))</f>
        <v/>
      </c>
      <c r="P15" s="11">
        <f>IFERROR(INDEX(KC_CURVAS!$G$5:$G$15,MATCH("ALGODÃO|"&amp;$G15,KC_CURVAS!$K$5:$K$15,0)),IFERROR(INDEX(KC_CURVAS!$G$5:$G$15,MATCH("ALGODÃO"&amp;"|",KC_CURVAS!$K$5:$K$15,0)),""))</f>
        <v/>
      </c>
      <c r="Q15" s="11">
        <f>IFERROR(INDEX(KC_CURVAS!$H$5:$H$15,MATCH("ALGODÃO|"&amp;$G15,KC_CURVAS!$K$5:$K$15,0)),IFERROR(INDEX(KC_CURVAS!$H$5:$H$15,MATCH("ALGODÃO"&amp;"|",KC_CURVAS!$K$5:$K$15,0)),""))</f>
        <v/>
      </c>
      <c r="R15" s="11">
        <f>IFERROR(INDEX(KC_CURVAS!$I$5:$I$15,MATCH("ALGODÃO|"&amp;$G15,KC_CURVAS!$K$5:$K$15,0)),IFERROR(INDEX(KC_CURVAS!$I$5:$I$15,MATCH("ALGODÃO"&amp;"|",KC_CURVAS!$K$5:$K$15,0)),""))</f>
        <v/>
      </c>
      <c r="S15" s="12">
        <f>IF(OR($K15="",$L15=""),"PENDENTE",IF($K15&lt;=$L15,$P15,IF($K15&lt;=$L15+$M15,$P15+($Q15-$P15)*($K15-$L15)/$M15,IF($K15&lt;=$L15+$M15+$N15,$Q15,IF($K15&lt;=$L15+$M15+$N15+$O15,$Q15+($R15-$Q15)*($K15-($L15+$M15+$N15))/$O15,$R15)))))</f>
        <v/>
      </c>
      <c r="T15" s="13">
        <f>IF($I15="","",$I15)</f>
        <v/>
      </c>
      <c r="U15" s="14">
        <f>IF($T15="","",SUMIFS(ETO_DIARIO!$B$5:$B$404,ETO_DIARIO!$A$5:$A$404,"&gt;"&amp;$T15,ETO_DIARIO!$A$5:$A$404,"&lt;="&amp;DATA_REF))</f>
        <v/>
      </c>
      <c r="V15" s="14">
        <f>IF($T15="","",SUMIFS(ETO_DIARIO!$C$5:$C$404,ETO_DIARIO!$A$5:$A$404,"&gt;"&amp;$T15,ETO_DIARIO!$A$5:$A$404,"&lt;="&amp;DATA_REF))</f>
        <v/>
      </c>
      <c r="W15" s="14">
        <f>IF(OR($S15="",$S15="PENDENTE",$U15=""),"",$S15*$U15)</f>
        <v/>
      </c>
      <c r="X15" s="14">
        <f>IF($W15="","",MAX(0,$W15-N($V15)))</f>
        <v/>
      </c>
      <c r="Y15" s="14">
        <f>IF($X15="","",$X15/EF_APLIC)</f>
        <v/>
      </c>
      <c r="Z15" s="15" t="n">
        <v>121</v>
      </c>
      <c r="AA15" s="16">
        <f>IF(OR($Y15="",$Z15=""),"",$Y15*$Z15*10)</f>
        <v/>
      </c>
      <c r="AB15" s="17" t="n">
        <v>0.577</v>
      </c>
      <c r="AC15" s="16">
        <f>IF(OR($AA15="",$AB15=""),"",$AA15*$AB15)</f>
        <v/>
      </c>
      <c r="AD15" s="18">
        <f>IF($S15="PENDENTE","Definir classe/Kc",IF($Y15="","-",IF($Y15&gt;='PARAMETROS'!$B$7/EF_APLIC,"Irrigar",IF($Y15&gt;='PARAMETROS'!$B$7/EF_APLIC*FRAC_ACOMP,"Acompanhar","Aguardar"))))</f>
        <v/>
      </c>
      <c r="AE15" s="18">
        <f>IF(OR($Y15="",$Y15=0),"-",IF($Y15&gt;=2*'PARAMETROS'!$B$7/EF_APLIC,"Alta",IF($Y15&gt;='PARAMETROS'!$B$7/EF_APLIC,"Media","Baixa")))</f>
        <v/>
      </c>
    </row>
    <row r="16">
      <c r="A16" s="5" t="inlineStr">
        <is>
          <t>Pivô 12</t>
        </is>
      </c>
      <c r="B16" s="5" t="inlineStr">
        <is>
          <t>Karitel</t>
        </is>
      </c>
      <c r="C16" s="5" t="inlineStr">
        <is>
          <t>R5</t>
        </is>
      </c>
      <c r="D16" s="5" t="inlineStr">
        <is>
          <t>Modulo 1</t>
        </is>
      </c>
      <c r="E16" s="5" t="inlineStr">
        <is>
          <t>SOJA</t>
        </is>
      </c>
      <c r="F16" s="6" t="inlineStr">
        <is>
          <t>COMBATE IPRO</t>
        </is>
      </c>
      <c r="G16" s="7" t="inlineStr">
        <is>
          <t>PRECOCE</t>
        </is>
      </c>
      <c r="H16" s="5" t="inlineStr">
        <is>
          <t>proximo</t>
        </is>
      </c>
      <c r="I16" s="8" t="n">
        <v>46304</v>
      </c>
      <c r="J16" s="9">
        <f>IF($I16="","",DATA_REF-$I16)</f>
        <v/>
      </c>
      <c r="K16" s="9">
        <f>IF($J16="","",MAX(0,$J16-'PARAMETROS'!$B$11))</f>
        <v/>
      </c>
      <c r="L16" s="10">
        <f>IFERROR(INDEX(KC_CURVAS!$C$5:$C$15,MATCH("SOJA|"&amp;$G16,KC_CURVAS!$K$5:$K$15,0)),IFERROR(INDEX(KC_CURVAS!$C$5:$C$15,MATCH("SOJA"&amp;"|",KC_CURVAS!$K$5:$K$15,0)),""))</f>
        <v/>
      </c>
      <c r="M16" s="10">
        <f>IFERROR(INDEX(KC_CURVAS!$D$5:$D$15,MATCH("SOJA|"&amp;$G16,KC_CURVAS!$K$5:$K$15,0)),IFERROR(INDEX(KC_CURVAS!$D$5:$D$15,MATCH("SOJA"&amp;"|",KC_CURVAS!$K$5:$K$15,0)),""))</f>
        <v/>
      </c>
      <c r="N16" s="10">
        <f>IFERROR(INDEX(KC_CURVAS!$E$5:$E$15,MATCH("SOJA|"&amp;$G16,KC_CURVAS!$K$5:$K$15,0)),IFERROR(INDEX(KC_CURVAS!$E$5:$E$15,MATCH("SOJA"&amp;"|",KC_CURVAS!$K$5:$K$15,0)),""))</f>
        <v/>
      </c>
      <c r="O16" s="10">
        <f>IFERROR(INDEX(KC_CURVAS!$F$5:$F$15,MATCH("SOJA|"&amp;$G16,KC_CURVAS!$K$5:$K$15,0)),IFERROR(INDEX(KC_CURVAS!$F$5:$F$15,MATCH("SOJA"&amp;"|",KC_CURVAS!$K$5:$K$15,0)),""))</f>
        <v/>
      </c>
      <c r="P16" s="11">
        <f>IFERROR(INDEX(KC_CURVAS!$G$5:$G$15,MATCH("SOJA|"&amp;$G16,KC_CURVAS!$K$5:$K$15,0)),IFERROR(INDEX(KC_CURVAS!$G$5:$G$15,MATCH("SOJA"&amp;"|",KC_CURVAS!$K$5:$K$15,0)),""))</f>
        <v/>
      </c>
      <c r="Q16" s="11">
        <f>IFERROR(INDEX(KC_CURVAS!$H$5:$H$15,MATCH("SOJA|"&amp;$G16,KC_CURVAS!$K$5:$K$15,0)),IFERROR(INDEX(KC_CURVAS!$H$5:$H$15,MATCH("SOJA"&amp;"|",KC_CURVAS!$K$5:$K$15,0)),""))</f>
        <v/>
      </c>
      <c r="R16" s="11">
        <f>IFERROR(INDEX(KC_CURVAS!$I$5:$I$15,MATCH("SOJA|"&amp;$G16,KC_CURVAS!$K$5:$K$15,0)),IFERROR(INDEX(KC_CURVAS!$I$5:$I$15,MATCH("SOJA"&amp;"|",KC_CURVAS!$K$5:$K$15,0)),""))</f>
        <v/>
      </c>
      <c r="S16" s="12">
        <f>IF(OR($K16="",$L16=""),"PENDENTE",IF($K16&lt;=$L16,$P16,IF($K16&lt;=$L16+$M16,$P16+($Q16-$P16)*($K16-$L16)/$M16,IF($K16&lt;=$L16+$M16+$N16,$Q16,IF($K16&lt;=$L16+$M16+$N16+$O16,$Q16+($R16-$Q16)*($K16-($L16+$M16+$N16))/$O16,$R16)))))</f>
        <v/>
      </c>
      <c r="T16" s="13">
        <f>IF($I16="","",$I16)</f>
        <v/>
      </c>
      <c r="U16" s="14">
        <f>IF($T16="","",SUMIFS(ETO_DIARIO!$B$5:$B$404,ETO_DIARIO!$A$5:$A$404,"&gt;"&amp;$T16,ETO_DIARIO!$A$5:$A$404,"&lt;="&amp;DATA_REF))</f>
        <v/>
      </c>
      <c r="V16" s="14">
        <f>IF($T16="","",SUMIFS(ETO_DIARIO!$C$5:$C$404,ETO_DIARIO!$A$5:$A$404,"&gt;"&amp;$T16,ETO_DIARIO!$A$5:$A$404,"&lt;="&amp;DATA_REF))</f>
        <v/>
      </c>
      <c r="W16" s="14">
        <f>IF(OR($S16="",$S16="PENDENTE",$U16=""),"",$S16*$U16)</f>
        <v/>
      </c>
      <c r="X16" s="14">
        <f>IF($W16="","",MAX(0,$W16-N($V16)))</f>
        <v/>
      </c>
      <c r="Y16" s="14">
        <f>IF($X16="","",$X16/EF_APLIC)</f>
        <v/>
      </c>
      <c r="Z16" s="15" t="n">
        <v>150</v>
      </c>
      <c r="AA16" s="16">
        <f>IF(OR($Y16="",$Z16=""),"",$Y16*$Z16*10)</f>
        <v/>
      </c>
      <c r="AB16" s="17" t="n">
        <v>0.5659999999999999</v>
      </c>
      <c r="AC16" s="16">
        <f>IF(OR($AA16="",$AB16=""),"",$AA16*$AB16)</f>
        <v/>
      </c>
      <c r="AD16" s="18">
        <f>IF($S16="PENDENTE","Definir classe/Kc",IF($Y16="","-",IF($Y16&gt;='PARAMETROS'!$B$7/EF_APLIC,"Irrigar",IF($Y16&gt;='PARAMETROS'!$B$7/EF_APLIC*FRAC_ACOMP,"Acompanhar","Aguardar"))))</f>
        <v/>
      </c>
      <c r="AE16" s="18">
        <f>IF(OR($Y16="",$Y16=0),"-",IF($Y16&gt;=2*'PARAMETROS'!$B$7/EF_APLIC,"Alta",IF($Y16&gt;='PARAMETROS'!$B$7/EF_APLIC,"Media","Baixa")))</f>
        <v/>
      </c>
    </row>
    <row r="17">
      <c r="A17" s="5" t="inlineStr">
        <is>
          <t>Pivô 13</t>
        </is>
      </c>
      <c r="B17" s="5" t="inlineStr">
        <is>
          <t>Karitel</t>
        </is>
      </c>
      <c r="C17" s="5" t="inlineStr">
        <is>
          <t>R5</t>
        </is>
      </c>
      <c r="D17" s="5" t="inlineStr">
        <is>
          <t>Modulo 1</t>
        </is>
      </c>
      <c r="E17" s="5" t="inlineStr">
        <is>
          <t>SOJA</t>
        </is>
      </c>
      <c r="F17" s="6" t="inlineStr">
        <is>
          <t>COMBATE IPRO</t>
        </is>
      </c>
      <c r="G17" s="7" t="inlineStr">
        <is>
          <t>PRECOCE</t>
        </is>
      </c>
      <c r="H17" s="5" t="inlineStr">
        <is>
          <t>proximo</t>
        </is>
      </c>
      <c r="I17" s="8" t="n">
        <v>46304</v>
      </c>
      <c r="J17" s="9">
        <f>IF($I17="","",DATA_REF-$I17)</f>
        <v/>
      </c>
      <c r="K17" s="9">
        <f>IF($J17="","",MAX(0,$J17-'PARAMETROS'!$B$11))</f>
        <v/>
      </c>
      <c r="L17" s="10">
        <f>IFERROR(INDEX(KC_CURVAS!$C$5:$C$15,MATCH("SOJA|"&amp;$G17,KC_CURVAS!$K$5:$K$15,0)),IFERROR(INDEX(KC_CURVAS!$C$5:$C$15,MATCH("SOJA"&amp;"|",KC_CURVAS!$K$5:$K$15,0)),""))</f>
        <v/>
      </c>
      <c r="M17" s="10">
        <f>IFERROR(INDEX(KC_CURVAS!$D$5:$D$15,MATCH("SOJA|"&amp;$G17,KC_CURVAS!$K$5:$K$15,0)),IFERROR(INDEX(KC_CURVAS!$D$5:$D$15,MATCH("SOJA"&amp;"|",KC_CURVAS!$K$5:$K$15,0)),""))</f>
        <v/>
      </c>
      <c r="N17" s="10">
        <f>IFERROR(INDEX(KC_CURVAS!$E$5:$E$15,MATCH("SOJA|"&amp;$G17,KC_CURVAS!$K$5:$K$15,0)),IFERROR(INDEX(KC_CURVAS!$E$5:$E$15,MATCH("SOJA"&amp;"|",KC_CURVAS!$K$5:$K$15,0)),""))</f>
        <v/>
      </c>
      <c r="O17" s="10">
        <f>IFERROR(INDEX(KC_CURVAS!$F$5:$F$15,MATCH("SOJA|"&amp;$G17,KC_CURVAS!$K$5:$K$15,0)),IFERROR(INDEX(KC_CURVAS!$F$5:$F$15,MATCH("SOJA"&amp;"|",KC_CURVAS!$K$5:$K$15,0)),""))</f>
        <v/>
      </c>
      <c r="P17" s="11">
        <f>IFERROR(INDEX(KC_CURVAS!$G$5:$G$15,MATCH("SOJA|"&amp;$G17,KC_CURVAS!$K$5:$K$15,0)),IFERROR(INDEX(KC_CURVAS!$G$5:$G$15,MATCH("SOJA"&amp;"|",KC_CURVAS!$K$5:$K$15,0)),""))</f>
        <v/>
      </c>
      <c r="Q17" s="11">
        <f>IFERROR(INDEX(KC_CURVAS!$H$5:$H$15,MATCH("SOJA|"&amp;$G17,KC_CURVAS!$K$5:$K$15,0)),IFERROR(INDEX(KC_CURVAS!$H$5:$H$15,MATCH("SOJA"&amp;"|",KC_CURVAS!$K$5:$K$15,0)),""))</f>
        <v/>
      </c>
      <c r="R17" s="11">
        <f>IFERROR(INDEX(KC_CURVAS!$I$5:$I$15,MATCH("SOJA|"&amp;$G17,KC_CURVAS!$K$5:$K$15,0)),IFERROR(INDEX(KC_CURVAS!$I$5:$I$15,MATCH("SOJA"&amp;"|",KC_CURVAS!$K$5:$K$15,0)),""))</f>
        <v/>
      </c>
      <c r="S17" s="12">
        <f>IF(OR($K17="",$L17=""),"PENDENTE",IF($K17&lt;=$L17,$P17,IF($K17&lt;=$L17+$M17,$P17+($Q17-$P17)*($K17-$L17)/$M17,IF($K17&lt;=$L17+$M17+$N17,$Q17,IF($K17&lt;=$L17+$M17+$N17+$O17,$Q17+($R17-$Q17)*($K17-($L17+$M17+$N17))/$O17,$R17)))))</f>
        <v/>
      </c>
      <c r="T17" s="13">
        <f>IF($I17="","",$I17)</f>
        <v/>
      </c>
      <c r="U17" s="14">
        <f>IF($T17="","",SUMIFS(ETO_DIARIO!$B$5:$B$404,ETO_DIARIO!$A$5:$A$404,"&gt;"&amp;$T17,ETO_DIARIO!$A$5:$A$404,"&lt;="&amp;DATA_REF))</f>
        <v/>
      </c>
      <c r="V17" s="14">
        <f>IF($T17="","",SUMIFS(ETO_DIARIO!$C$5:$C$404,ETO_DIARIO!$A$5:$A$404,"&gt;"&amp;$T17,ETO_DIARIO!$A$5:$A$404,"&lt;="&amp;DATA_REF))</f>
        <v/>
      </c>
      <c r="W17" s="14">
        <f>IF(OR($S17="",$S17="PENDENTE",$U17=""),"",$S17*$U17)</f>
        <v/>
      </c>
      <c r="X17" s="14">
        <f>IF($W17="","",MAX(0,$W17-N($V17)))</f>
        <v/>
      </c>
      <c r="Y17" s="14">
        <f>IF($X17="","",$X17/EF_APLIC)</f>
        <v/>
      </c>
      <c r="Z17" s="15" t="n">
        <v>71</v>
      </c>
      <c r="AA17" s="16">
        <f>IF(OR($Y17="",$Z17=""),"",$Y17*$Z17*10)</f>
        <v/>
      </c>
      <c r="AB17" s="17" t="n">
        <v>0.634</v>
      </c>
      <c r="AC17" s="16">
        <f>IF(OR($AA17="",$AB17=""),"",$AA17*$AB17)</f>
        <v/>
      </c>
      <c r="AD17" s="18">
        <f>IF($S17="PENDENTE","Definir classe/Kc",IF($Y17="","-",IF($Y17&gt;='PARAMETROS'!$B$7/EF_APLIC,"Irrigar",IF($Y17&gt;='PARAMETROS'!$B$7/EF_APLIC*FRAC_ACOMP,"Acompanhar","Aguardar"))))</f>
        <v/>
      </c>
      <c r="AE17" s="18">
        <f>IF(OR($Y17="",$Y17=0),"-",IF($Y17&gt;=2*'PARAMETROS'!$B$7/EF_APLIC,"Alta",IF($Y17&gt;='PARAMETROS'!$B$7/EF_APLIC,"Media","Baixa")))</f>
        <v/>
      </c>
    </row>
    <row r="18">
      <c r="A18" s="5" t="inlineStr">
        <is>
          <t>Pivô 14</t>
        </is>
      </c>
      <c r="B18" s="5" t="inlineStr">
        <is>
          <t>Karitel</t>
        </is>
      </c>
      <c r="C18" s="5" t="inlineStr">
        <is>
          <t>R6</t>
        </is>
      </c>
      <c r="D18" s="5" t="inlineStr">
        <is>
          <t>Modulo 1</t>
        </is>
      </c>
      <c r="E18" s="5" t="inlineStr">
        <is>
          <t>SOJA</t>
        </is>
      </c>
      <c r="F18" s="6" t="inlineStr">
        <is>
          <t>COMBATE IPRO</t>
        </is>
      </c>
      <c r="G18" s="7" t="inlineStr">
        <is>
          <t>PRECOCE</t>
        </is>
      </c>
      <c r="H18" s="5" t="inlineStr">
        <is>
          <t>proximo</t>
        </is>
      </c>
      <c r="I18" s="8" t="n">
        <v>46319</v>
      </c>
      <c r="J18" s="9">
        <f>IF($I18="","",DATA_REF-$I18)</f>
        <v/>
      </c>
      <c r="K18" s="9">
        <f>IF($J18="","",MAX(0,$J18-'PARAMETROS'!$B$11))</f>
        <v/>
      </c>
      <c r="L18" s="10">
        <f>IFERROR(INDEX(KC_CURVAS!$C$5:$C$15,MATCH("SOJA|"&amp;$G18,KC_CURVAS!$K$5:$K$15,0)),IFERROR(INDEX(KC_CURVAS!$C$5:$C$15,MATCH("SOJA"&amp;"|",KC_CURVAS!$K$5:$K$15,0)),""))</f>
        <v/>
      </c>
      <c r="M18" s="10">
        <f>IFERROR(INDEX(KC_CURVAS!$D$5:$D$15,MATCH("SOJA|"&amp;$G18,KC_CURVAS!$K$5:$K$15,0)),IFERROR(INDEX(KC_CURVAS!$D$5:$D$15,MATCH("SOJA"&amp;"|",KC_CURVAS!$K$5:$K$15,0)),""))</f>
        <v/>
      </c>
      <c r="N18" s="10">
        <f>IFERROR(INDEX(KC_CURVAS!$E$5:$E$15,MATCH("SOJA|"&amp;$G18,KC_CURVAS!$K$5:$K$15,0)),IFERROR(INDEX(KC_CURVAS!$E$5:$E$15,MATCH("SOJA"&amp;"|",KC_CURVAS!$K$5:$K$15,0)),""))</f>
        <v/>
      </c>
      <c r="O18" s="10">
        <f>IFERROR(INDEX(KC_CURVAS!$F$5:$F$15,MATCH("SOJA|"&amp;$G18,KC_CURVAS!$K$5:$K$15,0)),IFERROR(INDEX(KC_CURVAS!$F$5:$F$15,MATCH("SOJA"&amp;"|",KC_CURVAS!$K$5:$K$15,0)),""))</f>
        <v/>
      </c>
      <c r="P18" s="11">
        <f>IFERROR(INDEX(KC_CURVAS!$G$5:$G$15,MATCH("SOJA|"&amp;$G18,KC_CURVAS!$K$5:$K$15,0)),IFERROR(INDEX(KC_CURVAS!$G$5:$G$15,MATCH("SOJA"&amp;"|",KC_CURVAS!$K$5:$K$15,0)),""))</f>
        <v/>
      </c>
      <c r="Q18" s="11">
        <f>IFERROR(INDEX(KC_CURVAS!$H$5:$H$15,MATCH("SOJA|"&amp;$G18,KC_CURVAS!$K$5:$K$15,0)),IFERROR(INDEX(KC_CURVAS!$H$5:$H$15,MATCH("SOJA"&amp;"|",KC_CURVAS!$K$5:$K$15,0)),""))</f>
        <v/>
      </c>
      <c r="R18" s="11">
        <f>IFERROR(INDEX(KC_CURVAS!$I$5:$I$15,MATCH("SOJA|"&amp;$G18,KC_CURVAS!$K$5:$K$15,0)),IFERROR(INDEX(KC_CURVAS!$I$5:$I$15,MATCH("SOJA"&amp;"|",KC_CURVAS!$K$5:$K$15,0)),""))</f>
        <v/>
      </c>
      <c r="S18" s="12">
        <f>IF(OR($K18="",$L18=""),"PENDENTE",IF($K18&lt;=$L18,$P18,IF($K18&lt;=$L18+$M18,$P18+($Q18-$P18)*($K18-$L18)/$M18,IF($K18&lt;=$L18+$M18+$N18,$Q18,IF($K18&lt;=$L18+$M18+$N18+$O18,$Q18+($R18-$Q18)*($K18-($L18+$M18+$N18))/$O18,$R18)))))</f>
        <v/>
      </c>
      <c r="T18" s="13">
        <f>IF($I18="","",$I18)</f>
        <v/>
      </c>
      <c r="U18" s="14">
        <f>IF($T18="","",SUMIFS(ETO_DIARIO!$B$5:$B$404,ETO_DIARIO!$A$5:$A$404,"&gt;"&amp;$T18,ETO_DIARIO!$A$5:$A$404,"&lt;="&amp;DATA_REF))</f>
        <v/>
      </c>
      <c r="V18" s="14">
        <f>IF($T18="","",SUMIFS(ETO_DIARIO!$C$5:$C$404,ETO_DIARIO!$A$5:$A$404,"&gt;"&amp;$T18,ETO_DIARIO!$A$5:$A$404,"&lt;="&amp;DATA_REF))</f>
        <v/>
      </c>
      <c r="W18" s="14">
        <f>IF(OR($S18="",$S18="PENDENTE",$U18=""),"",$S18*$U18)</f>
        <v/>
      </c>
      <c r="X18" s="14">
        <f>IF($W18="","",MAX(0,$W18-N($V18)))</f>
        <v/>
      </c>
      <c r="Y18" s="14">
        <f>IF($X18="","",$X18/EF_APLIC)</f>
        <v/>
      </c>
      <c r="Z18" s="15" t="n">
        <v>150</v>
      </c>
      <c r="AA18" s="16">
        <f>IF(OR($Y18="",$Z18=""),"",$Y18*$Z18*10)</f>
        <v/>
      </c>
      <c r="AB18" s="17" t="n">
        <v>0.396</v>
      </c>
      <c r="AC18" s="16">
        <f>IF(OR($AA18="",$AB18=""),"",$AA18*$AB18)</f>
        <v/>
      </c>
      <c r="AD18" s="18">
        <f>IF($S18="PENDENTE","Definir classe/Kc",IF($Y18="","-",IF($Y18&gt;='PARAMETROS'!$B$7/EF_APLIC,"Irrigar",IF($Y18&gt;='PARAMETROS'!$B$7/EF_APLIC*FRAC_ACOMP,"Acompanhar","Aguardar"))))</f>
        <v/>
      </c>
      <c r="AE18" s="18">
        <f>IF(OR($Y18="",$Y18=0),"-",IF($Y18&gt;=2*'PARAMETROS'!$B$7/EF_APLIC,"Alta",IF($Y18&gt;='PARAMETROS'!$B$7/EF_APLIC,"Media","Baixa")))</f>
        <v/>
      </c>
    </row>
    <row r="19">
      <c r="A19" s="5" t="inlineStr">
        <is>
          <t>Pivô 15</t>
        </is>
      </c>
      <c r="B19" s="5" t="inlineStr">
        <is>
          <t>Karitel</t>
        </is>
      </c>
      <c r="C19" s="5" t="inlineStr">
        <is>
          <t>R1</t>
        </is>
      </c>
      <c r="D19" s="5" t="inlineStr">
        <is>
          <t>Modulo 1</t>
        </is>
      </c>
      <c r="E19" s="5" t="inlineStr">
        <is>
          <t>SOJA</t>
        </is>
      </c>
      <c r="F19" s="6" t="inlineStr">
        <is>
          <t>CZ 37B07 I2X</t>
        </is>
      </c>
      <c r="G19" s="7" t="inlineStr">
        <is>
          <t>PRECOCE</t>
        </is>
      </c>
      <c r="H19" s="5" t="inlineStr">
        <is>
          <t>ativo</t>
        </is>
      </c>
      <c r="I19" s="8" t="n">
        <v>46297</v>
      </c>
      <c r="J19" s="9">
        <f>IF($I19="","",DATA_REF-$I19)</f>
        <v/>
      </c>
      <c r="K19" s="9">
        <f>IF($J19="","",MAX(0,$J19-'PARAMETROS'!$B$11))</f>
        <v/>
      </c>
      <c r="L19" s="10">
        <f>IFERROR(INDEX(KC_CURVAS!$C$5:$C$15,MATCH("SOJA|"&amp;$G19,KC_CURVAS!$K$5:$K$15,0)),IFERROR(INDEX(KC_CURVAS!$C$5:$C$15,MATCH("SOJA"&amp;"|",KC_CURVAS!$K$5:$K$15,0)),""))</f>
        <v/>
      </c>
      <c r="M19" s="10">
        <f>IFERROR(INDEX(KC_CURVAS!$D$5:$D$15,MATCH("SOJA|"&amp;$G19,KC_CURVAS!$K$5:$K$15,0)),IFERROR(INDEX(KC_CURVAS!$D$5:$D$15,MATCH("SOJA"&amp;"|",KC_CURVAS!$K$5:$K$15,0)),""))</f>
        <v/>
      </c>
      <c r="N19" s="10">
        <f>IFERROR(INDEX(KC_CURVAS!$E$5:$E$15,MATCH("SOJA|"&amp;$G19,KC_CURVAS!$K$5:$K$15,0)),IFERROR(INDEX(KC_CURVAS!$E$5:$E$15,MATCH("SOJA"&amp;"|",KC_CURVAS!$K$5:$K$15,0)),""))</f>
        <v/>
      </c>
      <c r="O19" s="10">
        <f>IFERROR(INDEX(KC_CURVAS!$F$5:$F$15,MATCH("SOJA|"&amp;$G19,KC_CURVAS!$K$5:$K$15,0)),IFERROR(INDEX(KC_CURVAS!$F$5:$F$15,MATCH("SOJA"&amp;"|",KC_CURVAS!$K$5:$K$15,0)),""))</f>
        <v/>
      </c>
      <c r="P19" s="11">
        <f>IFERROR(INDEX(KC_CURVAS!$G$5:$G$15,MATCH("SOJA|"&amp;$G19,KC_CURVAS!$K$5:$K$15,0)),IFERROR(INDEX(KC_CURVAS!$G$5:$G$15,MATCH("SOJA"&amp;"|",KC_CURVAS!$K$5:$K$15,0)),""))</f>
        <v/>
      </c>
      <c r="Q19" s="11">
        <f>IFERROR(INDEX(KC_CURVAS!$H$5:$H$15,MATCH("SOJA|"&amp;$G19,KC_CURVAS!$K$5:$K$15,0)),IFERROR(INDEX(KC_CURVAS!$H$5:$H$15,MATCH("SOJA"&amp;"|",KC_CURVAS!$K$5:$K$15,0)),""))</f>
        <v/>
      </c>
      <c r="R19" s="11">
        <f>IFERROR(INDEX(KC_CURVAS!$I$5:$I$15,MATCH("SOJA|"&amp;$G19,KC_CURVAS!$K$5:$K$15,0)),IFERROR(INDEX(KC_CURVAS!$I$5:$I$15,MATCH("SOJA"&amp;"|",KC_CURVAS!$K$5:$K$15,0)),""))</f>
        <v/>
      </c>
      <c r="S19" s="12">
        <f>IF(OR($K19="",$L19=""),"PENDENTE",IF($K19&lt;=$L19,$P19,IF($K19&lt;=$L19+$M19,$P19+($Q19-$P19)*($K19-$L19)/$M19,IF($K19&lt;=$L19+$M19+$N19,$Q19,IF($K19&lt;=$L19+$M19+$N19+$O19,$Q19+($R19-$Q19)*($K19-($L19+$M19+$N19))/$O19,$R19)))))</f>
        <v/>
      </c>
      <c r="T19" s="13">
        <f>IF($I19="","",$I19)</f>
        <v/>
      </c>
      <c r="U19" s="14">
        <f>IF($T19="","",SUMIFS(ETO_DIARIO!$B$5:$B$404,ETO_DIARIO!$A$5:$A$404,"&gt;"&amp;$T19,ETO_DIARIO!$A$5:$A$404,"&lt;="&amp;DATA_REF))</f>
        <v/>
      </c>
      <c r="V19" s="14">
        <f>IF($T19="","",SUMIFS(ETO_DIARIO!$C$5:$C$404,ETO_DIARIO!$A$5:$A$404,"&gt;"&amp;$T19,ETO_DIARIO!$A$5:$A$404,"&lt;="&amp;DATA_REF))</f>
        <v/>
      </c>
      <c r="W19" s="14">
        <f>IF(OR($S19="",$S19="PENDENTE",$U19=""),"",$S19*$U19)</f>
        <v/>
      </c>
      <c r="X19" s="14">
        <f>IF($W19="","",MAX(0,$W19-N($V19)))</f>
        <v/>
      </c>
      <c r="Y19" s="14">
        <f>IF($X19="","",$X19/EF_APLIC)</f>
        <v/>
      </c>
      <c r="Z19" s="15" t="n">
        <v>150</v>
      </c>
      <c r="AA19" s="16">
        <f>IF(OR($Y19="",$Z19=""),"",$Y19*$Z19*10)</f>
        <v/>
      </c>
      <c r="AB19" s="17" t="n">
        <v>0.513</v>
      </c>
      <c r="AC19" s="16">
        <f>IF(OR($AA19="",$AB19=""),"",$AA19*$AB19)</f>
        <v/>
      </c>
      <c r="AD19" s="18">
        <f>IF($S19="PENDENTE","Definir classe/Kc",IF($Y19="","-",IF($Y19&gt;='PARAMETROS'!$B$7/EF_APLIC,"Irrigar",IF($Y19&gt;='PARAMETROS'!$B$7/EF_APLIC*FRAC_ACOMP,"Acompanhar","Aguardar"))))</f>
        <v/>
      </c>
      <c r="AE19" s="18">
        <f>IF(OR($Y19="",$Y19=0),"-",IF($Y19&gt;=2*'PARAMETROS'!$B$7/EF_APLIC,"Alta",IF($Y19&gt;='PARAMETROS'!$B$7/EF_APLIC,"Media","Baixa")))</f>
        <v/>
      </c>
    </row>
    <row r="20">
      <c r="A20" s="5" t="inlineStr">
        <is>
          <t>Pivô 16</t>
        </is>
      </c>
      <c r="B20" s="5" t="inlineStr">
        <is>
          <t>Karitel</t>
        </is>
      </c>
      <c r="C20" s="5" t="inlineStr">
        <is>
          <t>R1</t>
        </is>
      </c>
      <c r="D20" s="5" t="inlineStr">
        <is>
          <t>Modulo 1</t>
        </is>
      </c>
      <c r="E20" s="5" t="inlineStr">
        <is>
          <t>SOJA</t>
        </is>
      </c>
      <c r="F20" s="6" t="inlineStr">
        <is>
          <t>ATAQUE I2X</t>
        </is>
      </c>
      <c r="G20" s="7" t="inlineStr">
        <is>
          <t>TARDIA</t>
        </is>
      </c>
      <c r="H20" s="5" t="inlineStr">
        <is>
          <t>proximo</t>
        </is>
      </c>
      <c r="I20" s="8" t="n">
        <v>46311</v>
      </c>
      <c r="J20" s="9">
        <f>IF($I20="","",DATA_REF-$I20)</f>
        <v/>
      </c>
      <c r="K20" s="9">
        <f>IF($J20="","",MAX(0,$J20-'PARAMETROS'!$B$11))</f>
        <v/>
      </c>
      <c r="L20" s="10">
        <f>IFERROR(INDEX(KC_CURVAS!$C$5:$C$15,MATCH("SOJA|"&amp;$G20,KC_CURVAS!$K$5:$K$15,0)),IFERROR(INDEX(KC_CURVAS!$C$5:$C$15,MATCH("SOJA"&amp;"|",KC_CURVAS!$K$5:$K$15,0)),""))</f>
        <v/>
      </c>
      <c r="M20" s="10">
        <f>IFERROR(INDEX(KC_CURVAS!$D$5:$D$15,MATCH("SOJA|"&amp;$G20,KC_CURVAS!$K$5:$K$15,0)),IFERROR(INDEX(KC_CURVAS!$D$5:$D$15,MATCH("SOJA"&amp;"|",KC_CURVAS!$K$5:$K$15,0)),""))</f>
        <v/>
      </c>
      <c r="N20" s="10">
        <f>IFERROR(INDEX(KC_CURVAS!$E$5:$E$15,MATCH("SOJA|"&amp;$G20,KC_CURVAS!$K$5:$K$15,0)),IFERROR(INDEX(KC_CURVAS!$E$5:$E$15,MATCH("SOJA"&amp;"|",KC_CURVAS!$K$5:$K$15,0)),""))</f>
        <v/>
      </c>
      <c r="O20" s="10">
        <f>IFERROR(INDEX(KC_CURVAS!$F$5:$F$15,MATCH("SOJA|"&amp;$G20,KC_CURVAS!$K$5:$K$15,0)),IFERROR(INDEX(KC_CURVAS!$F$5:$F$15,MATCH("SOJA"&amp;"|",KC_CURVAS!$K$5:$K$15,0)),""))</f>
        <v/>
      </c>
      <c r="P20" s="11">
        <f>IFERROR(INDEX(KC_CURVAS!$G$5:$G$15,MATCH("SOJA|"&amp;$G20,KC_CURVAS!$K$5:$K$15,0)),IFERROR(INDEX(KC_CURVAS!$G$5:$G$15,MATCH("SOJA"&amp;"|",KC_CURVAS!$K$5:$K$15,0)),""))</f>
        <v/>
      </c>
      <c r="Q20" s="11">
        <f>IFERROR(INDEX(KC_CURVAS!$H$5:$H$15,MATCH("SOJA|"&amp;$G20,KC_CURVAS!$K$5:$K$15,0)),IFERROR(INDEX(KC_CURVAS!$H$5:$H$15,MATCH("SOJA"&amp;"|",KC_CURVAS!$K$5:$K$15,0)),""))</f>
        <v/>
      </c>
      <c r="R20" s="11">
        <f>IFERROR(INDEX(KC_CURVAS!$I$5:$I$15,MATCH("SOJA|"&amp;$G20,KC_CURVAS!$K$5:$K$15,0)),IFERROR(INDEX(KC_CURVAS!$I$5:$I$15,MATCH("SOJA"&amp;"|",KC_CURVAS!$K$5:$K$15,0)),""))</f>
        <v/>
      </c>
      <c r="S20" s="12">
        <f>IF(OR($K20="",$L20=""),"PENDENTE",IF($K20&lt;=$L20,$P20,IF($K20&lt;=$L20+$M20,$P20+($Q20-$P20)*($K20-$L20)/$M20,IF($K20&lt;=$L20+$M20+$N20,$Q20,IF($K20&lt;=$L20+$M20+$N20+$O20,$Q20+($R20-$Q20)*($K20-($L20+$M20+$N20))/$O20,$R20)))))</f>
        <v/>
      </c>
      <c r="T20" s="13">
        <f>IF($I20="","",$I20)</f>
        <v/>
      </c>
      <c r="U20" s="14">
        <f>IF($T20="","",SUMIFS(ETO_DIARIO!$B$5:$B$404,ETO_DIARIO!$A$5:$A$404,"&gt;"&amp;$T20,ETO_DIARIO!$A$5:$A$404,"&lt;="&amp;DATA_REF))</f>
        <v/>
      </c>
      <c r="V20" s="14">
        <f>IF($T20="","",SUMIFS(ETO_DIARIO!$C$5:$C$404,ETO_DIARIO!$A$5:$A$404,"&gt;"&amp;$T20,ETO_DIARIO!$A$5:$A$404,"&lt;="&amp;DATA_REF))</f>
        <v/>
      </c>
      <c r="W20" s="14">
        <f>IF(OR($S20="",$S20="PENDENTE",$U20=""),"",$S20*$U20)</f>
        <v/>
      </c>
      <c r="X20" s="14">
        <f>IF($W20="","",MAX(0,$W20-N($V20)))</f>
        <v/>
      </c>
      <c r="Y20" s="14">
        <f>IF($X20="","",$X20/EF_APLIC)</f>
        <v/>
      </c>
      <c r="Z20" s="15" t="n">
        <v>150</v>
      </c>
      <c r="AA20" s="16">
        <f>IF(OR($Y20="",$Z20=""),"",$Y20*$Z20*10)</f>
        <v/>
      </c>
      <c r="AB20" s="17" t="n">
        <v>0.5659999999999999</v>
      </c>
      <c r="AC20" s="16">
        <f>IF(OR($AA20="",$AB20=""),"",$AA20*$AB20)</f>
        <v/>
      </c>
      <c r="AD20" s="18">
        <f>IF($S20="PENDENTE","Definir classe/Kc",IF($Y20="","-",IF($Y20&gt;='PARAMETROS'!$B$7/EF_APLIC,"Irrigar",IF($Y20&gt;='PARAMETROS'!$B$7/EF_APLIC*FRAC_ACOMP,"Acompanhar","Aguardar"))))</f>
        <v/>
      </c>
      <c r="AE20" s="18">
        <f>IF(OR($Y20="",$Y20=0),"-",IF($Y20&gt;=2*'PARAMETROS'!$B$7/EF_APLIC,"Alta",IF($Y20&gt;='PARAMETROS'!$B$7/EF_APLIC,"Media","Baixa")))</f>
        <v/>
      </c>
    </row>
    <row r="21">
      <c r="A21" s="5" t="inlineStr">
        <is>
          <t>Pivô 17</t>
        </is>
      </c>
      <c r="B21" s="5" t="inlineStr">
        <is>
          <t>Karitel</t>
        </is>
      </c>
      <c r="C21" s="5" t="inlineStr">
        <is>
          <t>R2</t>
        </is>
      </c>
      <c r="D21" s="5" t="inlineStr">
        <is>
          <t>Modulo 1</t>
        </is>
      </c>
      <c r="E21" s="5" t="inlineStr">
        <is>
          <t>SOJA</t>
        </is>
      </c>
      <c r="F21" s="6" t="inlineStr">
        <is>
          <t>CZ 37B07 I2X</t>
        </is>
      </c>
      <c r="G21" s="7" t="inlineStr">
        <is>
          <t>PRECOCE</t>
        </is>
      </c>
      <c r="H21" s="5" t="inlineStr">
        <is>
          <t>ativo</t>
        </is>
      </c>
      <c r="I21" s="8" t="n">
        <v>46297</v>
      </c>
      <c r="J21" s="9">
        <f>IF($I21="","",DATA_REF-$I21)</f>
        <v/>
      </c>
      <c r="K21" s="9">
        <f>IF($J21="","",MAX(0,$J21-'PARAMETROS'!$B$11))</f>
        <v/>
      </c>
      <c r="L21" s="10">
        <f>IFERROR(INDEX(KC_CURVAS!$C$5:$C$15,MATCH("SOJA|"&amp;$G21,KC_CURVAS!$K$5:$K$15,0)),IFERROR(INDEX(KC_CURVAS!$C$5:$C$15,MATCH("SOJA"&amp;"|",KC_CURVAS!$K$5:$K$15,0)),""))</f>
        <v/>
      </c>
      <c r="M21" s="10">
        <f>IFERROR(INDEX(KC_CURVAS!$D$5:$D$15,MATCH("SOJA|"&amp;$G21,KC_CURVAS!$K$5:$K$15,0)),IFERROR(INDEX(KC_CURVAS!$D$5:$D$15,MATCH("SOJA"&amp;"|",KC_CURVAS!$K$5:$K$15,0)),""))</f>
        <v/>
      </c>
      <c r="N21" s="10">
        <f>IFERROR(INDEX(KC_CURVAS!$E$5:$E$15,MATCH("SOJA|"&amp;$G21,KC_CURVAS!$K$5:$K$15,0)),IFERROR(INDEX(KC_CURVAS!$E$5:$E$15,MATCH("SOJA"&amp;"|",KC_CURVAS!$K$5:$K$15,0)),""))</f>
        <v/>
      </c>
      <c r="O21" s="10">
        <f>IFERROR(INDEX(KC_CURVAS!$F$5:$F$15,MATCH("SOJA|"&amp;$G21,KC_CURVAS!$K$5:$K$15,0)),IFERROR(INDEX(KC_CURVAS!$F$5:$F$15,MATCH("SOJA"&amp;"|",KC_CURVAS!$K$5:$K$15,0)),""))</f>
        <v/>
      </c>
      <c r="P21" s="11">
        <f>IFERROR(INDEX(KC_CURVAS!$G$5:$G$15,MATCH("SOJA|"&amp;$G21,KC_CURVAS!$K$5:$K$15,0)),IFERROR(INDEX(KC_CURVAS!$G$5:$G$15,MATCH("SOJA"&amp;"|",KC_CURVAS!$K$5:$K$15,0)),""))</f>
        <v/>
      </c>
      <c r="Q21" s="11">
        <f>IFERROR(INDEX(KC_CURVAS!$H$5:$H$15,MATCH("SOJA|"&amp;$G21,KC_CURVAS!$K$5:$K$15,0)),IFERROR(INDEX(KC_CURVAS!$H$5:$H$15,MATCH("SOJA"&amp;"|",KC_CURVAS!$K$5:$K$15,0)),""))</f>
        <v/>
      </c>
      <c r="R21" s="11">
        <f>IFERROR(INDEX(KC_CURVAS!$I$5:$I$15,MATCH("SOJA|"&amp;$G21,KC_CURVAS!$K$5:$K$15,0)),IFERROR(INDEX(KC_CURVAS!$I$5:$I$15,MATCH("SOJA"&amp;"|",KC_CURVAS!$K$5:$K$15,0)),""))</f>
        <v/>
      </c>
      <c r="S21" s="12">
        <f>IF(OR($K21="",$L21=""),"PENDENTE",IF($K21&lt;=$L21,$P21,IF($K21&lt;=$L21+$M21,$P21+($Q21-$P21)*($K21-$L21)/$M21,IF($K21&lt;=$L21+$M21+$N21,$Q21,IF($K21&lt;=$L21+$M21+$N21+$O21,$Q21+($R21-$Q21)*($K21-($L21+$M21+$N21))/$O21,$R21)))))</f>
        <v/>
      </c>
      <c r="T21" s="13">
        <f>IF($I21="","",$I21)</f>
        <v/>
      </c>
      <c r="U21" s="14">
        <f>IF($T21="","",SUMIFS(ETO_DIARIO!$B$5:$B$404,ETO_DIARIO!$A$5:$A$404,"&gt;"&amp;$T21,ETO_DIARIO!$A$5:$A$404,"&lt;="&amp;DATA_REF))</f>
        <v/>
      </c>
      <c r="V21" s="14">
        <f>IF($T21="","",SUMIFS(ETO_DIARIO!$C$5:$C$404,ETO_DIARIO!$A$5:$A$404,"&gt;"&amp;$T21,ETO_DIARIO!$A$5:$A$404,"&lt;="&amp;DATA_REF))</f>
        <v/>
      </c>
      <c r="W21" s="14">
        <f>IF(OR($S21="",$S21="PENDENTE",$U21=""),"",$S21*$U21)</f>
        <v/>
      </c>
      <c r="X21" s="14">
        <f>IF($W21="","",MAX(0,$W21-N($V21)))</f>
        <v/>
      </c>
      <c r="Y21" s="14">
        <f>IF($X21="","",$X21/EF_APLIC)</f>
        <v/>
      </c>
      <c r="Z21" s="15" t="n">
        <v>150</v>
      </c>
      <c r="AA21" s="16">
        <f>IF(OR($Y21="",$Z21=""),"",$Y21*$Z21*10)</f>
        <v/>
      </c>
      <c r="AB21" s="17" t="n">
        <v>0.513</v>
      </c>
      <c r="AC21" s="16">
        <f>IF(OR($AA21="",$AB21=""),"",$AA21*$AB21)</f>
        <v/>
      </c>
      <c r="AD21" s="18">
        <f>IF($S21="PENDENTE","Definir classe/Kc",IF($Y21="","-",IF($Y21&gt;='PARAMETROS'!$B$7/EF_APLIC,"Irrigar",IF($Y21&gt;='PARAMETROS'!$B$7/EF_APLIC*FRAC_ACOMP,"Acompanhar","Aguardar"))))</f>
        <v/>
      </c>
      <c r="AE21" s="18">
        <f>IF(OR($Y21="",$Y21=0),"-",IF($Y21&gt;=2*'PARAMETROS'!$B$7/EF_APLIC,"Alta",IF($Y21&gt;='PARAMETROS'!$B$7/EF_APLIC,"Media","Baixa")))</f>
        <v/>
      </c>
    </row>
    <row r="22">
      <c r="A22" s="5" t="inlineStr">
        <is>
          <t>Pivô 18</t>
        </is>
      </c>
      <c r="B22" s="5" t="inlineStr">
        <is>
          <t>Karitel</t>
        </is>
      </c>
      <c r="C22" s="5" t="inlineStr">
        <is>
          <t>R2</t>
        </is>
      </c>
      <c r="D22" s="5" t="inlineStr">
        <is>
          <t>Modulo 1</t>
        </is>
      </c>
      <c r="E22" s="5" t="inlineStr">
        <is>
          <t>ALGODÃO</t>
        </is>
      </c>
      <c r="F22" s="6" t="inlineStr">
        <is>
          <t>IMA 3764 B2RF</t>
        </is>
      </c>
      <c r="G22" s="7" t="inlineStr">
        <is>
          <t>TARDIO</t>
        </is>
      </c>
      <c r="H22" s="5" t="inlineStr">
        <is>
          <t>proximo</t>
        </is>
      </c>
      <c r="I22" s="8" t="n">
        <v>46416</v>
      </c>
      <c r="J22" s="9">
        <f>IF($I22="","",DATA_REF-$I22)</f>
        <v/>
      </c>
      <c r="K22" s="9">
        <f>IF($J22="","",MAX(0,$J22-'PARAMETROS'!$B$11))</f>
        <v/>
      </c>
      <c r="L22" s="10">
        <f>IFERROR(INDEX(KC_CURVAS!$C$5:$C$15,MATCH("ALGODÃO|"&amp;$G22,KC_CURVAS!$K$5:$K$15,0)),IFERROR(INDEX(KC_CURVAS!$C$5:$C$15,MATCH("ALGODÃO"&amp;"|",KC_CURVAS!$K$5:$K$15,0)),""))</f>
        <v/>
      </c>
      <c r="M22" s="10">
        <f>IFERROR(INDEX(KC_CURVAS!$D$5:$D$15,MATCH("ALGODÃO|"&amp;$G22,KC_CURVAS!$K$5:$K$15,0)),IFERROR(INDEX(KC_CURVAS!$D$5:$D$15,MATCH("ALGODÃO"&amp;"|",KC_CURVAS!$K$5:$K$15,0)),""))</f>
        <v/>
      </c>
      <c r="N22" s="10">
        <f>IFERROR(INDEX(KC_CURVAS!$E$5:$E$15,MATCH("ALGODÃO|"&amp;$G22,KC_CURVAS!$K$5:$K$15,0)),IFERROR(INDEX(KC_CURVAS!$E$5:$E$15,MATCH("ALGODÃO"&amp;"|",KC_CURVAS!$K$5:$K$15,0)),""))</f>
        <v/>
      </c>
      <c r="O22" s="10">
        <f>IFERROR(INDEX(KC_CURVAS!$F$5:$F$15,MATCH("ALGODÃO|"&amp;$G22,KC_CURVAS!$K$5:$K$15,0)),IFERROR(INDEX(KC_CURVAS!$F$5:$F$15,MATCH("ALGODÃO"&amp;"|",KC_CURVAS!$K$5:$K$15,0)),""))</f>
        <v/>
      </c>
      <c r="P22" s="11">
        <f>IFERROR(INDEX(KC_CURVAS!$G$5:$G$15,MATCH("ALGODÃO|"&amp;$G22,KC_CURVAS!$K$5:$K$15,0)),IFERROR(INDEX(KC_CURVAS!$G$5:$G$15,MATCH("ALGODÃO"&amp;"|",KC_CURVAS!$K$5:$K$15,0)),""))</f>
        <v/>
      </c>
      <c r="Q22" s="11">
        <f>IFERROR(INDEX(KC_CURVAS!$H$5:$H$15,MATCH("ALGODÃO|"&amp;$G22,KC_CURVAS!$K$5:$K$15,0)),IFERROR(INDEX(KC_CURVAS!$H$5:$H$15,MATCH("ALGODÃO"&amp;"|",KC_CURVAS!$K$5:$K$15,0)),""))</f>
        <v/>
      </c>
      <c r="R22" s="11">
        <f>IFERROR(INDEX(KC_CURVAS!$I$5:$I$15,MATCH("ALGODÃO|"&amp;$G22,KC_CURVAS!$K$5:$K$15,0)),IFERROR(INDEX(KC_CURVAS!$I$5:$I$15,MATCH("ALGODÃO"&amp;"|",KC_CURVAS!$K$5:$K$15,0)),""))</f>
        <v/>
      </c>
      <c r="S22" s="12">
        <f>IF(OR($K22="",$L22=""),"PENDENTE",IF($K22&lt;=$L22,$P22,IF($K22&lt;=$L22+$M22,$P22+($Q22-$P22)*($K22-$L22)/$M22,IF($K22&lt;=$L22+$M22+$N22,$Q22,IF($K22&lt;=$L22+$M22+$N22+$O22,$Q22+($R22-$Q22)*($K22-($L22+$M22+$N22))/$O22,$R22)))))</f>
        <v/>
      </c>
      <c r="T22" s="13">
        <f>IF($I22="","",$I22)</f>
        <v/>
      </c>
      <c r="U22" s="14">
        <f>IF($T22="","",SUMIFS(ETO_DIARIO!$B$5:$B$404,ETO_DIARIO!$A$5:$A$404,"&gt;"&amp;$T22,ETO_DIARIO!$A$5:$A$404,"&lt;="&amp;DATA_REF))</f>
        <v/>
      </c>
      <c r="V22" s="14">
        <f>IF($T22="","",SUMIFS(ETO_DIARIO!$C$5:$C$404,ETO_DIARIO!$A$5:$A$404,"&gt;"&amp;$T22,ETO_DIARIO!$A$5:$A$404,"&lt;="&amp;DATA_REF))</f>
        <v/>
      </c>
      <c r="W22" s="14">
        <f>IF(OR($S22="",$S22="PENDENTE",$U22=""),"",$S22*$U22)</f>
        <v/>
      </c>
      <c r="X22" s="14">
        <f>IF($W22="","",MAX(0,$W22-N($V22)))</f>
        <v/>
      </c>
      <c r="Y22" s="14">
        <f>IF($X22="","",$X22/EF_APLIC)</f>
        <v/>
      </c>
      <c r="Z22" s="15" t="n">
        <v>150</v>
      </c>
      <c r="AA22" s="16">
        <f>IF(OR($Y22="",$Z22=""),"",$Y22*$Z22*10)</f>
        <v/>
      </c>
      <c r="AB22" s="17" t="n">
        <v>0.513</v>
      </c>
      <c r="AC22" s="16">
        <f>IF(OR($AA22="",$AB22=""),"",$AA22*$AB22)</f>
        <v/>
      </c>
      <c r="AD22" s="18">
        <f>IF($S22="PENDENTE","Definir classe/Kc",IF($Y22="","-",IF($Y22&gt;='PARAMETROS'!$B$7/EF_APLIC,"Irrigar",IF($Y22&gt;='PARAMETROS'!$B$7/EF_APLIC*FRAC_ACOMP,"Acompanhar","Aguardar"))))</f>
        <v/>
      </c>
      <c r="AE22" s="18">
        <f>IF(OR($Y22="",$Y22=0),"-",IF($Y22&gt;=2*'PARAMETROS'!$B$7/EF_APLIC,"Alta",IF($Y22&gt;='PARAMETROS'!$B$7/EF_APLIC,"Media","Baixa")))</f>
        <v/>
      </c>
    </row>
    <row r="23">
      <c r="A23" s="5" t="inlineStr">
        <is>
          <t>Pivô 19</t>
        </is>
      </c>
      <c r="B23" s="5" t="inlineStr">
        <is>
          <t>Karitel</t>
        </is>
      </c>
      <c r="C23" s="5" t="inlineStr">
        <is>
          <t>R3</t>
        </is>
      </c>
      <c r="D23" s="5" t="inlineStr">
        <is>
          <t>Modulo 1</t>
        </is>
      </c>
      <c r="E23" s="5" t="inlineStr">
        <is>
          <t>SOJA</t>
        </is>
      </c>
      <c r="F23" s="6" t="inlineStr">
        <is>
          <t>NEO 761 I2X</t>
        </is>
      </c>
      <c r="G23" s="7" t="inlineStr">
        <is>
          <t>PRECOCE</t>
        </is>
      </c>
      <c r="H23" s="5" t="inlineStr">
        <is>
          <t>ativo</t>
        </is>
      </c>
      <c r="I23" s="8" t="n">
        <v>46298</v>
      </c>
      <c r="J23" s="9">
        <f>IF($I23="","",DATA_REF-$I23)</f>
        <v/>
      </c>
      <c r="K23" s="9">
        <f>IF($J23="","",MAX(0,$J23-'PARAMETROS'!$B$11))</f>
        <v/>
      </c>
      <c r="L23" s="10">
        <f>IFERROR(INDEX(KC_CURVAS!$C$5:$C$15,MATCH("SOJA|"&amp;$G23,KC_CURVAS!$K$5:$K$15,0)),IFERROR(INDEX(KC_CURVAS!$C$5:$C$15,MATCH("SOJA"&amp;"|",KC_CURVAS!$K$5:$K$15,0)),""))</f>
        <v/>
      </c>
      <c r="M23" s="10">
        <f>IFERROR(INDEX(KC_CURVAS!$D$5:$D$15,MATCH("SOJA|"&amp;$G23,KC_CURVAS!$K$5:$K$15,0)),IFERROR(INDEX(KC_CURVAS!$D$5:$D$15,MATCH("SOJA"&amp;"|",KC_CURVAS!$K$5:$K$15,0)),""))</f>
        <v/>
      </c>
      <c r="N23" s="10">
        <f>IFERROR(INDEX(KC_CURVAS!$E$5:$E$15,MATCH("SOJA|"&amp;$G23,KC_CURVAS!$K$5:$K$15,0)),IFERROR(INDEX(KC_CURVAS!$E$5:$E$15,MATCH("SOJA"&amp;"|",KC_CURVAS!$K$5:$K$15,0)),""))</f>
        <v/>
      </c>
      <c r="O23" s="10">
        <f>IFERROR(INDEX(KC_CURVAS!$F$5:$F$15,MATCH("SOJA|"&amp;$G23,KC_CURVAS!$K$5:$K$15,0)),IFERROR(INDEX(KC_CURVAS!$F$5:$F$15,MATCH("SOJA"&amp;"|",KC_CURVAS!$K$5:$K$15,0)),""))</f>
        <v/>
      </c>
      <c r="P23" s="11">
        <f>IFERROR(INDEX(KC_CURVAS!$G$5:$G$15,MATCH("SOJA|"&amp;$G23,KC_CURVAS!$K$5:$K$15,0)),IFERROR(INDEX(KC_CURVAS!$G$5:$G$15,MATCH("SOJA"&amp;"|",KC_CURVAS!$K$5:$K$15,0)),""))</f>
        <v/>
      </c>
      <c r="Q23" s="11">
        <f>IFERROR(INDEX(KC_CURVAS!$H$5:$H$15,MATCH("SOJA|"&amp;$G23,KC_CURVAS!$K$5:$K$15,0)),IFERROR(INDEX(KC_CURVAS!$H$5:$H$15,MATCH("SOJA"&amp;"|",KC_CURVAS!$K$5:$K$15,0)),""))</f>
        <v/>
      </c>
      <c r="R23" s="11">
        <f>IFERROR(INDEX(KC_CURVAS!$I$5:$I$15,MATCH("SOJA|"&amp;$G23,KC_CURVAS!$K$5:$K$15,0)),IFERROR(INDEX(KC_CURVAS!$I$5:$I$15,MATCH("SOJA"&amp;"|",KC_CURVAS!$K$5:$K$15,0)),""))</f>
        <v/>
      </c>
      <c r="S23" s="12">
        <f>IF(OR($K23="",$L23=""),"PENDENTE",IF($K23&lt;=$L23,$P23,IF($K23&lt;=$L23+$M23,$P23+($Q23-$P23)*($K23-$L23)/$M23,IF($K23&lt;=$L23+$M23+$N23,$Q23,IF($K23&lt;=$L23+$M23+$N23+$O23,$Q23+($R23-$Q23)*($K23-($L23+$M23+$N23))/$O23,$R23)))))</f>
        <v/>
      </c>
      <c r="T23" s="13">
        <f>IF($I23="","",$I23)</f>
        <v/>
      </c>
      <c r="U23" s="14">
        <f>IF($T23="","",SUMIFS(ETO_DIARIO!$B$5:$B$404,ETO_DIARIO!$A$5:$A$404,"&gt;"&amp;$T23,ETO_DIARIO!$A$5:$A$404,"&lt;="&amp;DATA_REF))</f>
        <v/>
      </c>
      <c r="V23" s="14">
        <f>IF($T23="","",SUMIFS(ETO_DIARIO!$C$5:$C$404,ETO_DIARIO!$A$5:$A$404,"&gt;"&amp;$T23,ETO_DIARIO!$A$5:$A$404,"&lt;="&amp;DATA_REF))</f>
        <v/>
      </c>
      <c r="W23" s="14">
        <f>IF(OR($S23="",$S23="PENDENTE",$U23=""),"",$S23*$U23)</f>
        <v/>
      </c>
      <c r="X23" s="14">
        <f>IF($W23="","",MAX(0,$W23-N($V23)))</f>
        <v/>
      </c>
      <c r="Y23" s="14">
        <f>IF($X23="","",$X23/EF_APLIC)</f>
        <v/>
      </c>
      <c r="Z23" s="15" t="n">
        <v>150</v>
      </c>
      <c r="AA23" s="16">
        <f>IF(OR($Y23="",$Z23=""),"",$Y23*$Z23*10)</f>
        <v/>
      </c>
      <c r="AB23" s="17" t="n">
        <v>0.513</v>
      </c>
      <c r="AC23" s="16">
        <f>IF(OR($AA23="",$AB23=""),"",$AA23*$AB23)</f>
        <v/>
      </c>
      <c r="AD23" s="18">
        <f>IF($S23="PENDENTE","Definir classe/Kc",IF($Y23="","-",IF($Y23&gt;='PARAMETROS'!$B$7/EF_APLIC,"Irrigar",IF($Y23&gt;='PARAMETROS'!$B$7/EF_APLIC*FRAC_ACOMP,"Acompanhar","Aguardar"))))</f>
        <v/>
      </c>
      <c r="AE23" s="18">
        <f>IF(OR($Y23="",$Y23=0),"-",IF($Y23&gt;=2*'PARAMETROS'!$B$7/EF_APLIC,"Alta",IF($Y23&gt;='PARAMETROS'!$B$7/EF_APLIC,"Media","Baixa")))</f>
        <v/>
      </c>
    </row>
    <row r="24">
      <c r="A24" s="5" t="inlineStr">
        <is>
          <t>Pivô 20</t>
        </is>
      </c>
      <c r="B24" s="5" t="inlineStr">
        <is>
          <t>Karitel</t>
        </is>
      </c>
      <c r="C24" s="5" t="inlineStr">
        <is>
          <t>R3</t>
        </is>
      </c>
      <c r="D24" s="5" t="inlineStr">
        <is>
          <t>Modulo 1</t>
        </is>
      </c>
      <c r="E24" s="5" t="inlineStr">
        <is>
          <t>SOJA</t>
        </is>
      </c>
      <c r="F24" s="6" t="inlineStr">
        <is>
          <t>NEO 761 I2X</t>
        </is>
      </c>
      <c r="G24" s="7" t="inlineStr">
        <is>
          <t>PRECOCE</t>
        </is>
      </c>
      <c r="H24" s="5" t="inlineStr">
        <is>
          <t>ativo</t>
        </is>
      </c>
      <c r="I24" s="8" t="n">
        <v>46299</v>
      </c>
      <c r="J24" s="9">
        <f>IF($I24="","",DATA_REF-$I24)</f>
        <v/>
      </c>
      <c r="K24" s="9">
        <f>IF($J24="","",MAX(0,$J24-'PARAMETROS'!$B$11))</f>
        <v/>
      </c>
      <c r="L24" s="10">
        <f>IFERROR(INDEX(KC_CURVAS!$C$5:$C$15,MATCH("SOJA|"&amp;$G24,KC_CURVAS!$K$5:$K$15,0)),IFERROR(INDEX(KC_CURVAS!$C$5:$C$15,MATCH("SOJA"&amp;"|",KC_CURVAS!$K$5:$K$15,0)),""))</f>
        <v/>
      </c>
      <c r="M24" s="10">
        <f>IFERROR(INDEX(KC_CURVAS!$D$5:$D$15,MATCH("SOJA|"&amp;$G24,KC_CURVAS!$K$5:$K$15,0)),IFERROR(INDEX(KC_CURVAS!$D$5:$D$15,MATCH("SOJA"&amp;"|",KC_CURVAS!$K$5:$K$15,0)),""))</f>
        <v/>
      </c>
      <c r="N24" s="10">
        <f>IFERROR(INDEX(KC_CURVAS!$E$5:$E$15,MATCH("SOJA|"&amp;$G24,KC_CURVAS!$K$5:$K$15,0)),IFERROR(INDEX(KC_CURVAS!$E$5:$E$15,MATCH("SOJA"&amp;"|",KC_CURVAS!$K$5:$K$15,0)),""))</f>
        <v/>
      </c>
      <c r="O24" s="10">
        <f>IFERROR(INDEX(KC_CURVAS!$F$5:$F$15,MATCH("SOJA|"&amp;$G24,KC_CURVAS!$K$5:$K$15,0)),IFERROR(INDEX(KC_CURVAS!$F$5:$F$15,MATCH("SOJA"&amp;"|",KC_CURVAS!$K$5:$K$15,0)),""))</f>
        <v/>
      </c>
      <c r="P24" s="11">
        <f>IFERROR(INDEX(KC_CURVAS!$G$5:$G$15,MATCH("SOJA|"&amp;$G24,KC_CURVAS!$K$5:$K$15,0)),IFERROR(INDEX(KC_CURVAS!$G$5:$G$15,MATCH("SOJA"&amp;"|",KC_CURVAS!$K$5:$K$15,0)),""))</f>
        <v/>
      </c>
      <c r="Q24" s="11">
        <f>IFERROR(INDEX(KC_CURVAS!$H$5:$H$15,MATCH("SOJA|"&amp;$G24,KC_CURVAS!$K$5:$K$15,0)),IFERROR(INDEX(KC_CURVAS!$H$5:$H$15,MATCH("SOJA"&amp;"|",KC_CURVAS!$K$5:$K$15,0)),""))</f>
        <v/>
      </c>
      <c r="R24" s="11">
        <f>IFERROR(INDEX(KC_CURVAS!$I$5:$I$15,MATCH("SOJA|"&amp;$G24,KC_CURVAS!$K$5:$K$15,0)),IFERROR(INDEX(KC_CURVAS!$I$5:$I$15,MATCH("SOJA"&amp;"|",KC_CURVAS!$K$5:$K$15,0)),""))</f>
        <v/>
      </c>
      <c r="S24" s="12">
        <f>IF(OR($K24="",$L24=""),"PENDENTE",IF($K24&lt;=$L24,$P24,IF($K24&lt;=$L24+$M24,$P24+($Q24-$P24)*($K24-$L24)/$M24,IF($K24&lt;=$L24+$M24+$N24,$Q24,IF($K24&lt;=$L24+$M24+$N24+$O24,$Q24+($R24-$Q24)*($K24-($L24+$M24+$N24))/$O24,$R24)))))</f>
        <v/>
      </c>
      <c r="T24" s="13">
        <f>IF($I24="","",$I24)</f>
        <v/>
      </c>
      <c r="U24" s="14">
        <f>IF($T24="","",SUMIFS(ETO_DIARIO!$B$5:$B$404,ETO_DIARIO!$A$5:$A$404,"&gt;"&amp;$T24,ETO_DIARIO!$A$5:$A$404,"&lt;="&amp;DATA_REF))</f>
        <v/>
      </c>
      <c r="V24" s="14">
        <f>IF($T24="","",SUMIFS(ETO_DIARIO!$C$5:$C$404,ETO_DIARIO!$A$5:$A$404,"&gt;"&amp;$T24,ETO_DIARIO!$A$5:$A$404,"&lt;="&amp;DATA_REF))</f>
        <v/>
      </c>
      <c r="W24" s="14">
        <f>IF(OR($S24="",$S24="PENDENTE",$U24=""),"",$S24*$U24)</f>
        <v/>
      </c>
      <c r="X24" s="14">
        <f>IF($W24="","",MAX(0,$W24-N($V24)))</f>
        <v/>
      </c>
      <c r="Y24" s="14">
        <f>IF($X24="","",$X24/EF_APLIC)</f>
        <v/>
      </c>
      <c r="Z24" s="15" t="n">
        <v>150</v>
      </c>
      <c r="AA24" s="16">
        <f>IF(OR($Y24="",$Z24=""),"",$Y24*$Z24*10)</f>
        <v/>
      </c>
      <c r="AB24" s="17" t="n">
        <v>0.409</v>
      </c>
      <c r="AC24" s="16">
        <f>IF(OR($AA24="",$AB24=""),"",$AA24*$AB24)</f>
        <v/>
      </c>
      <c r="AD24" s="18">
        <f>IF($S24="PENDENTE","Definir classe/Kc",IF($Y24="","-",IF($Y24&gt;='PARAMETROS'!$B$7/EF_APLIC,"Irrigar",IF($Y24&gt;='PARAMETROS'!$B$7/EF_APLIC*FRAC_ACOMP,"Acompanhar","Aguardar"))))</f>
        <v/>
      </c>
      <c r="AE24" s="18">
        <f>IF(OR($Y24="",$Y24=0),"-",IF($Y24&gt;=2*'PARAMETROS'!$B$7/EF_APLIC,"Alta",IF($Y24&gt;='PARAMETROS'!$B$7/EF_APLIC,"Media","Baixa")))</f>
        <v/>
      </c>
    </row>
    <row r="25">
      <c r="A25" s="5" t="inlineStr">
        <is>
          <t>Pivô 21</t>
        </is>
      </c>
      <c r="B25" s="5" t="inlineStr">
        <is>
          <t>Karitel</t>
        </is>
      </c>
      <c r="C25" s="5" t="inlineStr">
        <is>
          <t>R4</t>
        </is>
      </c>
      <c r="D25" s="5" t="inlineStr">
        <is>
          <t>Modulo 1</t>
        </is>
      </c>
      <c r="E25" s="5" t="inlineStr">
        <is>
          <t>SOJA</t>
        </is>
      </c>
      <c r="F25" s="6" t="inlineStr">
        <is>
          <t>NEO 761 I2X</t>
        </is>
      </c>
      <c r="G25" s="7" t="inlineStr">
        <is>
          <t>PRECOCE</t>
        </is>
      </c>
      <c r="H25" s="5" t="inlineStr">
        <is>
          <t>ativo</t>
        </is>
      </c>
      <c r="I25" s="8" t="n">
        <v>46298</v>
      </c>
      <c r="J25" s="9">
        <f>IF($I25="","",DATA_REF-$I25)</f>
        <v/>
      </c>
      <c r="K25" s="9">
        <f>IF($J25="","",MAX(0,$J25-'PARAMETROS'!$B$11))</f>
        <v/>
      </c>
      <c r="L25" s="10">
        <f>IFERROR(INDEX(KC_CURVAS!$C$5:$C$15,MATCH("SOJA|"&amp;$G25,KC_CURVAS!$K$5:$K$15,0)),IFERROR(INDEX(KC_CURVAS!$C$5:$C$15,MATCH("SOJA"&amp;"|",KC_CURVAS!$K$5:$K$15,0)),""))</f>
        <v/>
      </c>
      <c r="M25" s="10">
        <f>IFERROR(INDEX(KC_CURVAS!$D$5:$D$15,MATCH("SOJA|"&amp;$G25,KC_CURVAS!$K$5:$K$15,0)),IFERROR(INDEX(KC_CURVAS!$D$5:$D$15,MATCH("SOJA"&amp;"|",KC_CURVAS!$K$5:$K$15,0)),""))</f>
        <v/>
      </c>
      <c r="N25" s="10">
        <f>IFERROR(INDEX(KC_CURVAS!$E$5:$E$15,MATCH("SOJA|"&amp;$G25,KC_CURVAS!$K$5:$K$15,0)),IFERROR(INDEX(KC_CURVAS!$E$5:$E$15,MATCH("SOJA"&amp;"|",KC_CURVAS!$K$5:$K$15,0)),""))</f>
        <v/>
      </c>
      <c r="O25" s="10">
        <f>IFERROR(INDEX(KC_CURVAS!$F$5:$F$15,MATCH("SOJA|"&amp;$G25,KC_CURVAS!$K$5:$K$15,0)),IFERROR(INDEX(KC_CURVAS!$F$5:$F$15,MATCH("SOJA"&amp;"|",KC_CURVAS!$K$5:$K$15,0)),""))</f>
        <v/>
      </c>
      <c r="P25" s="11">
        <f>IFERROR(INDEX(KC_CURVAS!$G$5:$G$15,MATCH("SOJA|"&amp;$G25,KC_CURVAS!$K$5:$K$15,0)),IFERROR(INDEX(KC_CURVAS!$G$5:$G$15,MATCH("SOJA"&amp;"|",KC_CURVAS!$K$5:$K$15,0)),""))</f>
        <v/>
      </c>
      <c r="Q25" s="11">
        <f>IFERROR(INDEX(KC_CURVAS!$H$5:$H$15,MATCH("SOJA|"&amp;$G25,KC_CURVAS!$K$5:$K$15,0)),IFERROR(INDEX(KC_CURVAS!$H$5:$H$15,MATCH("SOJA"&amp;"|",KC_CURVAS!$K$5:$K$15,0)),""))</f>
        <v/>
      </c>
      <c r="R25" s="11">
        <f>IFERROR(INDEX(KC_CURVAS!$I$5:$I$15,MATCH("SOJA|"&amp;$G25,KC_CURVAS!$K$5:$K$15,0)),IFERROR(INDEX(KC_CURVAS!$I$5:$I$15,MATCH("SOJA"&amp;"|",KC_CURVAS!$K$5:$K$15,0)),""))</f>
        <v/>
      </c>
      <c r="S25" s="12">
        <f>IF(OR($K25="",$L25=""),"PENDENTE",IF($K25&lt;=$L25,$P25,IF($K25&lt;=$L25+$M25,$P25+($Q25-$P25)*($K25-$L25)/$M25,IF($K25&lt;=$L25+$M25+$N25,$Q25,IF($K25&lt;=$L25+$M25+$N25+$O25,$Q25+($R25-$Q25)*($K25-($L25+$M25+$N25))/$O25,$R25)))))</f>
        <v/>
      </c>
      <c r="T25" s="13">
        <f>IF($I25="","",$I25)</f>
        <v/>
      </c>
      <c r="U25" s="14">
        <f>IF($T25="","",SUMIFS(ETO_DIARIO!$B$5:$B$404,ETO_DIARIO!$A$5:$A$404,"&gt;"&amp;$T25,ETO_DIARIO!$A$5:$A$404,"&lt;="&amp;DATA_REF))</f>
        <v/>
      </c>
      <c r="V25" s="14">
        <f>IF($T25="","",SUMIFS(ETO_DIARIO!$C$5:$C$404,ETO_DIARIO!$A$5:$A$404,"&gt;"&amp;$T25,ETO_DIARIO!$A$5:$A$404,"&lt;="&amp;DATA_REF))</f>
        <v/>
      </c>
      <c r="W25" s="14">
        <f>IF(OR($S25="",$S25="PENDENTE",$U25=""),"",$S25*$U25)</f>
        <v/>
      </c>
      <c r="X25" s="14">
        <f>IF($W25="","",MAX(0,$W25-N($V25)))</f>
        <v/>
      </c>
      <c r="Y25" s="14">
        <f>IF($X25="","",$X25/EF_APLIC)</f>
        <v/>
      </c>
      <c r="Z25" s="15" t="n">
        <v>150</v>
      </c>
      <c r="AA25" s="16">
        <f>IF(OR($Y25="",$Z25=""),"",$Y25*$Z25*10)</f>
        <v/>
      </c>
      <c r="AB25" s="17" t="n">
        <v>0.513</v>
      </c>
      <c r="AC25" s="16">
        <f>IF(OR($AA25="",$AB25=""),"",$AA25*$AB25)</f>
        <v/>
      </c>
      <c r="AD25" s="18">
        <f>IF($S25="PENDENTE","Definir classe/Kc",IF($Y25="","-",IF($Y25&gt;='PARAMETROS'!$B$7/EF_APLIC,"Irrigar",IF($Y25&gt;='PARAMETROS'!$B$7/EF_APLIC*FRAC_ACOMP,"Acompanhar","Aguardar"))))</f>
        <v/>
      </c>
      <c r="AE25" s="18">
        <f>IF(OR($Y25="",$Y25=0),"-",IF($Y25&gt;=2*'PARAMETROS'!$B$7/EF_APLIC,"Alta",IF($Y25&gt;='PARAMETROS'!$B$7/EF_APLIC,"Media","Baixa")))</f>
        <v/>
      </c>
    </row>
    <row r="26">
      <c r="A26" s="5" t="inlineStr">
        <is>
          <t>Pivô 22</t>
        </is>
      </c>
      <c r="B26" s="5" t="inlineStr">
        <is>
          <t>Karitel</t>
        </is>
      </c>
      <c r="C26" s="5" t="inlineStr">
        <is>
          <t>R4</t>
        </is>
      </c>
      <c r="D26" s="5" t="inlineStr">
        <is>
          <t>Modulo 1</t>
        </is>
      </c>
      <c r="E26" s="5" t="inlineStr">
        <is>
          <t>SOJA</t>
        </is>
      </c>
      <c r="F26" s="6" t="inlineStr">
        <is>
          <t>NEO 761 I2X</t>
        </is>
      </c>
      <c r="G26" s="7" t="inlineStr">
        <is>
          <t>PRECOCE</t>
        </is>
      </c>
      <c r="H26" s="5" t="inlineStr">
        <is>
          <t>ativo</t>
        </is>
      </c>
      <c r="I26" s="8" t="n">
        <v>46299</v>
      </c>
      <c r="J26" s="9">
        <f>IF($I26="","",DATA_REF-$I26)</f>
        <v/>
      </c>
      <c r="K26" s="9">
        <f>IF($J26="","",MAX(0,$J26-'PARAMETROS'!$B$11))</f>
        <v/>
      </c>
      <c r="L26" s="10">
        <f>IFERROR(INDEX(KC_CURVAS!$C$5:$C$15,MATCH("SOJA|"&amp;$G26,KC_CURVAS!$K$5:$K$15,0)),IFERROR(INDEX(KC_CURVAS!$C$5:$C$15,MATCH("SOJA"&amp;"|",KC_CURVAS!$K$5:$K$15,0)),""))</f>
        <v/>
      </c>
      <c r="M26" s="10">
        <f>IFERROR(INDEX(KC_CURVAS!$D$5:$D$15,MATCH("SOJA|"&amp;$G26,KC_CURVAS!$K$5:$K$15,0)),IFERROR(INDEX(KC_CURVAS!$D$5:$D$15,MATCH("SOJA"&amp;"|",KC_CURVAS!$K$5:$K$15,0)),""))</f>
        <v/>
      </c>
      <c r="N26" s="10">
        <f>IFERROR(INDEX(KC_CURVAS!$E$5:$E$15,MATCH("SOJA|"&amp;$G26,KC_CURVAS!$K$5:$K$15,0)),IFERROR(INDEX(KC_CURVAS!$E$5:$E$15,MATCH("SOJA"&amp;"|",KC_CURVAS!$K$5:$K$15,0)),""))</f>
        <v/>
      </c>
      <c r="O26" s="10">
        <f>IFERROR(INDEX(KC_CURVAS!$F$5:$F$15,MATCH("SOJA|"&amp;$G26,KC_CURVAS!$K$5:$K$15,0)),IFERROR(INDEX(KC_CURVAS!$F$5:$F$15,MATCH("SOJA"&amp;"|",KC_CURVAS!$K$5:$K$15,0)),""))</f>
        <v/>
      </c>
      <c r="P26" s="11">
        <f>IFERROR(INDEX(KC_CURVAS!$G$5:$G$15,MATCH("SOJA|"&amp;$G26,KC_CURVAS!$K$5:$K$15,0)),IFERROR(INDEX(KC_CURVAS!$G$5:$G$15,MATCH("SOJA"&amp;"|",KC_CURVAS!$K$5:$K$15,0)),""))</f>
        <v/>
      </c>
      <c r="Q26" s="11">
        <f>IFERROR(INDEX(KC_CURVAS!$H$5:$H$15,MATCH("SOJA|"&amp;$G26,KC_CURVAS!$K$5:$K$15,0)),IFERROR(INDEX(KC_CURVAS!$H$5:$H$15,MATCH("SOJA"&amp;"|",KC_CURVAS!$K$5:$K$15,0)),""))</f>
        <v/>
      </c>
      <c r="R26" s="11">
        <f>IFERROR(INDEX(KC_CURVAS!$I$5:$I$15,MATCH("SOJA|"&amp;$G26,KC_CURVAS!$K$5:$K$15,0)),IFERROR(INDEX(KC_CURVAS!$I$5:$I$15,MATCH("SOJA"&amp;"|",KC_CURVAS!$K$5:$K$15,0)),""))</f>
        <v/>
      </c>
      <c r="S26" s="12">
        <f>IF(OR($K26="",$L26=""),"PENDENTE",IF($K26&lt;=$L26,$P26,IF($K26&lt;=$L26+$M26,$P26+($Q26-$P26)*($K26-$L26)/$M26,IF($K26&lt;=$L26+$M26+$N26,$Q26,IF($K26&lt;=$L26+$M26+$N26+$O26,$Q26+($R26-$Q26)*($K26-($L26+$M26+$N26))/$O26,$R26)))))</f>
        <v/>
      </c>
      <c r="T26" s="13">
        <f>IF($I26="","",$I26)</f>
        <v/>
      </c>
      <c r="U26" s="14">
        <f>IF($T26="","",SUMIFS(ETO_DIARIO!$B$5:$B$404,ETO_DIARIO!$A$5:$A$404,"&gt;"&amp;$T26,ETO_DIARIO!$A$5:$A$404,"&lt;="&amp;DATA_REF))</f>
        <v/>
      </c>
      <c r="V26" s="14">
        <f>IF($T26="","",SUMIFS(ETO_DIARIO!$C$5:$C$404,ETO_DIARIO!$A$5:$A$404,"&gt;"&amp;$T26,ETO_DIARIO!$A$5:$A$404,"&lt;="&amp;DATA_REF))</f>
        <v/>
      </c>
      <c r="W26" s="14">
        <f>IF(OR($S26="",$S26="PENDENTE",$U26=""),"",$S26*$U26)</f>
        <v/>
      </c>
      <c r="X26" s="14">
        <f>IF($W26="","",MAX(0,$W26-N($V26)))</f>
        <v/>
      </c>
      <c r="Y26" s="14">
        <f>IF($X26="","",$X26/EF_APLIC)</f>
        <v/>
      </c>
      <c r="Z26" s="15" t="n">
        <v>150</v>
      </c>
      <c r="AA26" s="16">
        <f>IF(OR($Y26="",$Z26=""),"",$Y26*$Z26*10)</f>
        <v/>
      </c>
      <c r="AB26" s="17" t="n">
        <v>0.513</v>
      </c>
      <c r="AC26" s="16">
        <f>IF(OR($AA26="",$AB26=""),"",$AA26*$AB26)</f>
        <v/>
      </c>
      <c r="AD26" s="18">
        <f>IF($S26="PENDENTE","Definir classe/Kc",IF($Y26="","-",IF($Y26&gt;='PARAMETROS'!$B$7/EF_APLIC,"Irrigar",IF($Y26&gt;='PARAMETROS'!$B$7/EF_APLIC*FRAC_ACOMP,"Acompanhar","Aguardar"))))</f>
        <v/>
      </c>
      <c r="AE26" s="18">
        <f>IF(OR($Y26="",$Y26=0),"-",IF($Y26&gt;=2*'PARAMETROS'!$B$7/EF_APLIC,"Alta",IF($Y26&gt;='PARAMETROS'!$B$7/EF_APLIC,"Media","Baixa")))</f>
        <v/>
      </c>
    </row>
    <row r="27">
      <c r="A27" s="5" t="inlineStr">
        <is>
          <t>Pivô 23</t>
        </is>
      </c>
      <c r="B27" s="5" t="inlineStr">
        <is>
          <t>Karitel</t>
        </is>
      </c>
      <c r="C27" s="5" t="inlineStr">
        <is>
          <t>R6</t>
        </is>
      </c>
      <c r="D27" s="5" t="inlineStr">
        <is>
          <t>Modulo 1</t>
        </is>
      </c>
      <c r="E27" s="5" t="inlineStr">
        <is>
          <t>ALGODÃO</t>
        </is>
      </c>
      <c r="F27" s="6" t="inlineStr">
        <is>
          <t>FM 974 GLT</t>
        </is>
      </c>
      <c r="G27" s="7" t="inlineStr">
        <is>
          <t>MÉDIO</t>
        </is>
      </c>
      <c r="H27" s="5" t="inlineStr">
        <is>
          <t>proximo</t>
        </is>
      </c>
      <c r="I27" s="8" t="n">
        <v>46353</v>
      </c>
      <c r="J27" s="9">
        <f>IF($I27="","",DATA_REF-$I27)</f>
        <v/>
      </c>
      <c r="K27" s="9">
        <f>IF($J27="","",MAX(0,$J27-'PARAMETROS'!$B$11))</f>
        <v/>
      </c>
      <c r="L27" s="10">
        <f>IFERROR(INDEX(KC_CURVAS!$C$5:$C$15,MATCH("ALGODÃO|"&amp;$G27,KC_CURVAS!$K$5:$K$15,0)),IFERROR(INDEX(KC_CURVAS!$C$5:$C$15,MATCH("ALGODÃO"&amp;"|",KC_CURVAS!$K$5:$K$15,0)),""))</f>
        <v/>
      </c>
      <c r="M27" s="10">
        <f>IFERROR(INDEX(KC_CURVAS!$D$5:$D$15,MATCH("ALGODÃO|"&amp;$G27,KC_CURVAS!$K$5:$K$15,0)),IFERROR(INDEX(KC_CURVAS!$D$5:$D$15,MATCH("ALGODÃO"&amp;"|",KC_CURVAS!$K$5:$K$15,0)),""))</f>
        <v/>
      </c>
      <c r="N27" s="10">
        <f>IFERROR(INDEX(KC_CURVAS!$E$5:$E$15,MATCH("ALGODÃO|"&amp;$G27,KC_CURVAS!$K$5:$K$15,0)),IFERROR(INDEX(KC_CURVAS!$E$5:$E$15,MATCH("ALGODÃO"&amp;"|",KC_CURVAS!$K$5:$K$15,0)),""))</f>
        <v/>
      </c>
      <c r="O27" s="10">
        <f>IFERROR(INDEX(KC_CURVAS!$F$5:$F$15,MATCH("ALGODÃO|"&amp;$G27,KC_CURVAS!$K$5:$K$15,0)),IFERROR(INDEX(KC_CURVAS!$F$5:$F$15,MATCH("ALGODÃO"&amp;"|",KC_CURVAS!$K$5:$K$15,0)),""))</f>
        <v/>
      </c>
      <c r="P27" s="11">
        <f>IFERROR(INDEX(KC_CURVAS!$G$5:$G$15,MATCH("ALGODÃO|"&amp;$G27,KC_CURVAS!$K$5:$K$15,0)),IFERROR(INDEX(KC_CURVAS!$G$5:$G$15,MATCH("ALGODÃO"&amp;"|",KC_CURVAS!$K$5:$K$15,0)),""))</f>
        <v/>
      </c>
      <c r="Q27" s="11">
        <f>IFERROR(INDEX(KC_CURVAS!$H$5:$H$15,MATCH("ALGODÃO|"&amp;$G27,KC_CURVAS!$K$5:$K$15,0)),IFERROR(INDEX(KC_CURVAS!$H$5:$H$15,MATCH("ALGODÃO"&amp;"|",KC_CURVAS!$K$5:$K$15,0)),""))</f>
        <v/>
      </c>
      <c r="R27" s="11">
        <f>IFERROR(INDEX(KC_CURVAS!$I$5:$I$15,MATCH("ALGODÃO|"&amp;$G27,KC_CURVAS!$K$5:$K$15,0)),IFERROR(INDEX(KC_CURVAS!$I$5:$I$15,MATCH("ALGODÃO"&amp;"|",KC_CURVAS!$K$5:$K$15,0)),""))</f>
        <v/>
      </c>
      <c r="S27" s="12">
        <f>IF(OR($K27="",$L27=""),"PENDENTE",IF($K27&lt;=$L27,$P27,IF($K27&lt;=$L27+$M27,$P27+($Q27-$P27)*($K27-$L27)/$M27,IF($K27&lt;=$L27+$M27+$N27,$Q27,IF($K27&lt;=$L27+$M27+$N27+$O27,$Q27+($R27-$Q27)*($K27-($L27+$M27+$N27))/$O27,$R27)))))</f>
        <v/>
      </c>
      <c r="T27" s="13">
        <f>IF($I27="","",$I27)</f>
        <v/>
      </c>
      <c r="U27" s="14">
        <f>IF($T27="","",SUMIFS(ETO_DIARIO!$B$5:$B$404,ETO_DIARIO!$A$5:$A$404,"&gt;"&amp;$T27,ETO_DIARIO!$A$5:$A$404,"&lt;="&amp;DATA_REF))</f>
        <v/>
      </c>
      <c r="V27" s="14">
        <f>IF($T27="","",SUMIFS(ETO_DIARIO!$C$5:$C$404,ETO_DIARIO!$A$5:$A$404,"&gt;"&amp;$T27,ETO_DIARIO!$A$5:$A$404,"&lt;="&amp;DATA_REF))</f>
        <v/>
      </c>
      <c r="W27" s="14">
        <f>IF(OR($S27="",$S27="PENDENTE",$U27=""),"",$S27*$U27)</f>
        <v/>
      </c>
      <c r="X27" s="14">
        <f>IF($W27="","",MAX(0,$W27-N($V27)))</f>
        <v/>
      </c>
      <c r="Y27" s="14">
        <f>IF($X27="","",$X27/EF_APLIC)</f>
        <v/>
      </c>
      <c r="Z27" s="15" t="n">
        <v>150</v>
      </c>
      <c r="AA27" s="16">
        <f>IF(OR($Y27="",$Z27=""),"",$Y27*$Z27*10)</f>
        <v/>
      </c>
      <c r="AB27" s="17" t="n">
        <v>0.552</v>
      </c>
      <c r="AC27" s="16">
        <f>IF(OR($AA27="",$AB27=""),"",$AA27*$AB27)</f>
        <v/>
      </c>
      <c r="AD27" s="18">
        <f>IF($S27="PENDENTE","Definir classe/Kc",IF($Y27="","-",IF($Y27&gt;='PARAMETROS'!$B$7/EF_APLIC,"Irrigar",IF($Y27&gt;='PARAMETROS'!$B$7/EF_APLIC*FRAC_ACOMP,"Acompanhar","Aguardar"))))</f>
        <v/>
      </c>
      <c r="AE27" s="18">
        <f>IF(OR($Y27="",$Y27=0),"-",IF($Y27&gt;=2*'PARAMETROS'!$B$7/EF_APLIC,"Alta",IF($Y27&gt;='PARAMETROS'!$B$7/EF_APLIC,"Media","Baixa")))</f>
        <v/>
      </c>
    </row>
    <row r="28">
      <c r="A28" s="5" t="inlineStr">
        <is>
          <t>Pivô 24</t>
        </is>
      </c>
      <c r="B28" s="5" t="inlineStr">
        <is>
          <t>Karitel</t>
        </is>
      </c>
      <c r="C28" s="5" t="inlineStr">
        <is>
          <t>R6</t>
        </is>
      </c>
      <c r="D28" s="5" t="inlineStr">
        <is>
          <t>Modulo 1</t>
        </is>
      </c>
      <c r="E28" s="5" t="inlineStr">
        <is>
          <t>SOJA</t>
        </is>
      </c>
      <c r="F28" s="6" t="inlineStr">
        <is>
          <t>BMX Olimpo IPRO</t>
        </is>
      </c>
      <c r="G28" s="7" t="inlineStr">
        <is>
          <t>MÉDIA</t>
        </is>
      </c>
      <c r="H28" s="5" t="inlineStr">
        <is>
          <t>ativo</t>
        </is>
      </c>
      <c r="I28" s="8" t="n">
        <v>46300</v>
      </c>
      <c r="J28" s="9">
        <f>IF($I28="","",DATA_REF-$I28)</f>
        <v/>
      </c>
      <c r="K28" s="9">
        <f>IF($J28="","",MAX(0,$J28-'PARAMETROS'!$B$11))</f>
        <v/>
      </c>
      <c r="L28" s="10">
        <f>IFERROR(INDEX(KC_CURVAS!$C$5:$C$15,MATCH("SOJA|"&amp;$G28,KC_CURVAS!$K$5:$K$15,0)),IFERROR(INDEX(KC_CURVAS!$C$5:$C$15,MATCH("SOJA"&amp;"|",KC_CURVAS!$K$5:$K$15,0)),""))</f>
        <v/>
      </c>
      <c r="M28" s="10">
        <f>IFERROR(INDEX(KC_CURVAS!$D$5:$D$15,MATCH("SOJA|"&amp;$G28,KC_CURVAS!$K$5:$K$15,0)),IFERROR(INDEX(KC_CURVAS!$D$5:$D$15,MATCH("SOJA"&amp;"|",KC_CURVAS!$K$5:$K$15,0)),""))</f>
        <v/>
      </c>
      <c r="N28" s="10">
        <f>IFERROR(INDEX(KC_CURVAS!$E$5:$E$15,MATCH("SOJA|"&amp;$G28,KC_CURVAS!$K$5:$K$15,0)),IFERROR(INDEX(KC_CURVAS!$E$5:$E$15,MATCH("SOJA"&amp;"|",KC_CURVAS!$K$5:$K$15,0)),""))</f>
        <v/>
      </c>
      <c r="O28" s="10">
        <f>IFERROR(INDEX(KC_CURVAS!$F$5:$F$15,MATCH("SOJA|"&amp;$G28,KC_CURVAS!$K$5:$K$15,0)),IFERROR(INDEX(KC_CURVAS!$F$5:$F$15,MATCH("SOJA"&amp;"|",KC_CURVAS!$K$5:$K$15,0)),""))</f>
        <v/>
      </c>
      <c r="P28" s="11">
        <f>IFERROR(INDEX(KC_CURVAS!$G$5:$G$15,MATCH("SOJA|"&amp;$G28,KC_CURVAS!$K$5:$K$15,0)),IFERROR(INDEX(KC_CURVAS!$G$5:$G$15,MATCH("SOJA"&amp;"|",KC_CURVAS!$K$5:$K$15,0)),""))</f>
        <v/>
      </c>
      <c r="Q28" s="11">
        <f>IFERROR(INDEX(KC_CURVAS!$H$5:$H$15,MATCH("SOJA|"&amp;$G28,KC_CURVAS!$K$5:$K$15,0)),IFERROR(INDEX(KC_CURVAS!$H$5:$H$15,MATCH("SOJA"&amp;"|",KC_CURVAS!$K$5:$K$15,0)),""))</f>
        <v/>
      </c>
      <c r="R28" s="11">
        <f>IFERROR(INDEX(KC_CURVAS!$I$5:$I$15,MATCH("SOJA|"&amp;$G28,KC_CURVAS!$K$5:$K$15,0)),IFERROR(INDEX(KC_CURVAS!$I$5:$I$15,MATCH("SOJA"&amp;"|",KC_CURVAS!$K$5:$K$15,0)),""))</f>
        <v/>
      </c>
      <c r="S28" s="12">
        <f>IF(OR($K28="",$L28=""),"PENDENTE",IF($K28&lt;=$L28,$P28,IF($K28&lt;=$L28+$M28,$P28+($Q28-$P28)*($K28-$L28)/$M28,IF($K28&lt;=$L28+$M28+$N28,$Q28,IF($K28&lt;=$L28+$M28+$N28+$O28,$Q28+($R28-$Q28)*($K28-($L28+$M28+$N28))/$O28,$R28)))))</f>
        <v/>
      </c>
      <c r="T28" s="13">
        <f>IF($I28="","",$I28)</f>
        <v/>
      </c>
      <c r="U28" s="14">
        <f>IF($T28="","",SUMIFS(ETO_DIARIO!$B$5:$B$404,ETO_DIARIO!$A$5:$A$404,"&gt;"&amp;$T28,ETO_DIARIO!$A$5:$A$404,"&lt;="&amp;DATA_REF))</f>
        <v/>
      </c>
      <c r="V28" s="14">
        <f>IF($T28="","",SUMIFS(ETO_DIARIO!$C$5:$C$404,ETO_DIARIO!$A$5:$A$404,"&gt;"&amp;$T28,ETO_DIARIO!$A$5:$A$404,"&lt;="&amp;DATA_REF))</f>
        <v/>
      </c>
      <c r="W28" s="14">
        <f>IF(OR($S28="",$S28="PENDENTE",$U28=""),"",$S28*$U28)</f>
        <v/>
      </c>
      <c r="X28" s="14">
        <f>IF($W28="","",MAX(0,$W28-N($V28)))</f>
        <v/>
      </c>
      <c r="Y28" s="14">
        <f>IF($X28="","",$X28/EF_APLIC)</f>
        <v/>
      </c>
      <c r="Z28" s="15" t="n">
        <v>150</v>
      </c>
      <c r="AA28" s="16">
        <f>IF(OR($Y28="",$Z28=""),"",$Y28*$Z28*10)</f>
        <v/>
      </c>
      <c r="AB28" s="17" t="n">
        <v>0.5659999999999999</v>
      </c>
      <c r="AC28" s="16">
        <f>IF(OR($AA28="",$AB28=""),"",$AA28*$AB28)</f>
        <v/>
      </c>
      <c r="AD28" s="18">
        <f>IF($S28="PENDENTE","Definir classe/Kc",IF($Y28="","-",IF($Y28&gt;='PARAMETROS'!$B$7/EF_APLIC,"Irrigar",IF($Y28&gt;='PARAMETROS'!$B$7/EF_APLIC*FRAC_ACOMP,"Acompanhar","Aguardar"))))</f>
        <v/>
      </c>
      <c r="AE28" s="18">
        <f>IF(OR($Y28="",$Y28=0),"-",IF($Y28&gt;=2*'PARAMETROS'!$B$7/EF_APLIC,"Alta",IF($Y28&gt;='PARAMETROS'!$B$7/EF_APLIC,"Media","Baixa")))</f>
        <v/>
      </c>
    </row>
    <row r="29">
      <c r="A29" s="5" t="inlineStr">
        <is>
          <t>Pivô 25</t>
        </is>
      </c>
      <c r="B29" s="5" t="inlineStr">
        <is>
          <t>Karitel</t>
        </is>
      </c>
      <c r="C29" s="5" t="inlineStr">
        <is>
          <t>R7</t>
        </is>
      </c>
      <c r="D29" s="5" t="inlineStr">
        <is>
          <t>Modulo 1</t>
        </is>
      </c>
      <c r="E29" s="5" t="inlineStr">
        <is>
          <t>CACAU</t>
        </is>
      </c>
      <c r="F29" s="6" t="inlineStr">
        <is>
          <t>PS1319/FA13/CCN51</t>
        </is>
      </c>
      <c r="G29" s="7" t="inlineStr"/>
      <c r="H29" s="5" t="inlineStr">
        <is>
          <t>ativo</t>
        </is>
      </c>
      <c r="I29" s="8" t="n">
        <v>45901</v>
      </c>
      <c r="J29" s="9">
        <f>IF($I29="","",DATA_REF-$I29)</f>
        <v/>
      </c>
      <c r="K29" s="9">
        <f>IF($J29="","",MAX(0,$J29-'PARAMETROS'!$B$11))</f>
        <v/>
      </c>
      <c r="L29" s="10">
        <f>IFERROR(INDEX(KC_CURVAS!$C$5:$C$15,MATCH("CACAU|"&amp;$G29,KC_CURVAS!$K$5:$K$15,0)),IFERROR(INDEX(KC_CURVAS!$C$5:$C$15,MATCH("CACAU"&amp;"|",KC_CURVAS!$K$5:$K$15,0)),""))</f>
        <v/>
      </c>
      <c r="M29" s="10">
        <f>IFERROR(INDEX(KC_CURVAS!$D$5:$D$15,MATCH("CACAU|"&amp;$G29,KC_CURVAS!$K$5:$K$15,0)),IFERROR(INDEX(KC_CURVAS!$D$5:$D$15,MATCH("CACAU"&amp;"|",KC_CURVAS!$K$5:$K$15,0)),""))</f>
        <v/>
      </c>
      <c r="N29" s="10">
        <f>IFERROR(INDEX(KC_CURVAS!$E$5:$E$15,MATCH("CACAU|"&amp;$G29,KC_CURVAS!$K$5:$K$15,0)),IFERROR(INDEX(KC_CURVAS!$E$5:$E$15,MATCH("CACAU"&amp;"|",KC_CURVAS!$K$5:$K$15,0)),""))</f>
        <v/>
      </c>
      <c r="O29" s="10">
        <f>IFERROR(INDEX(KC_CURVAS!$F$5:$F$15,MATCH("CACAU|"&amp;$G29,KC_CURVAS!$K$5:$K$15,0)),IFERROR(INDEX(KC_CURVAS!$F$5:$F$15,MATCH("CACAU"&amp;"|",KC_CURVAS!$K$5:$K$15,0)),""))</f>
        <v/>
      </c>
      <c r="P29" s="11">
        <f>IFERROR(INDEX(KC_CURVAS!$G$5:$G$15,MATCH("CACAU|"&amp;$G29,KC_CURVAS!$K$5:$K$15,0)),IFERROR(INDEX(KC_CURVAS!$G$5:$G$15,MATCH("CACAU"&amp;"|",KC_CURVAS!$K$5:$K$15,0)),""))</f>
        <v/>
      </c>
      <c r="Q29" s="11">
        <f>IFERROR(INDEX(KC_CURVAS!$H$5:$H$15,MATCH("CACAU|"&amp;$G29,KC_CURVAS!$K$5:$K$15,0)),IFERROR(INDEX(KC_CURVAS!$H$5:$H$15,MATCH("CACAU"&amp;"|",KC_CURVAS!$K$5:$K$15,0)),""))</f>
        <v/>
      </c>
      <c r="R29" s="11">
        <f>IFERROR(INDEX(KC_CURVAS!$I$5:$I$15,MATCH("CACAU|"&amp;$G29,KC_CURVAS!$K$5:$K$15,0)),IFERROR(INDEX(KC_CURVAS!$I$5:$I$15,MATCH("CACAU"&amp;"|",KC_CURVAS!$K$5:$K$15,0)),""))</f>
        <v/>
      </c>
      <c r="S29" s="12">
        <f>IF(OR($K29="",$L29=""),"PENDENTE",IF($K29&lt;=$L29,$P29,IF($K29&lt;=$L29+$M29,$P29+($Q29-$P29)*($K29-$L29)/$M29,IF($K29&lt;=$L29+$M29+$N29,$Q29,IF($K29&lt;=$L29+$M29+$N29+$O29,$Q29+($R29-$Q29)*($K29-($L29+$M29+$N29))/$O29,$R29)))))</f>
        <v/>
      </c>
      <c r="T29" s="13">
        <f>IF($I29="","",$I29)</f>
        <v/>
      </c>
      <c r="U29" s="14">
        <f>IF($T29="","",SUMIFS(ETO_DIARIO!$B$5:$B$404,ETO_DIARIO!$A$5:$A$404,"&gt;"&amp;$T29,ETO_DIARIO!$A$5:$A$404,"&lt;="&amp;DATA_REF))</f>
        <v/>
      </c>
      <c r="V29" s="14">
        <f>IF($T29="","",SUMIFS(ETO_DIARIO!$C$5:$C$404,ETO_DIARIO!$A$5:$A$404,"&gt;"&amp;$T29,ETO_DIARIO!$A$5:$A$404,"&lt;="&amp;DATA_REF))</f>
        <v/>
      </c>
      <c r="W29" s="14">
        <f>IF(OR($S29="",$S29="PENDENTE",$U29=""),"",$S29*$U29)</f>
        <v/>
      </c>
      <c r="X29" s="14">
        <f>IF($W29="","",MAX(0,$W29-N($V29)))</f>
        <v/>
      </c>
      <c r="Y29" s="14">
        <f>IF($X29="","",$X29/EF_APLIC)</f>
        <v/>
      </c>
      <c r="Z29" s="15" t="n">
        <v>100</v>
      </c>
      <c r="AA29" s="16">
        <f>IF(OR($Y29="",$Z29=""),"",$Y29*$Z29*10)</f>
        <v/>
      </c>
      <c r="AB29" s="17" t="n">
        <v>0.462</v>
      </c>
      <c r="AC29" s="16">
        <f>IF(OR($AA29="",$AB29=""),"",$AA29*$AB29)</f>
        <v/>
      </c>
      <c r="AD29" s="18">
        <f>IF($S29="PENDENTE","Definir classe/Kc",IF($Y29="","-",IF($Y29&gt;='PARAMETROS'!$B$7/EF_APLIC,"Irrigar",IF($Y29&gt;='PARAMETROS'!$B$7/EF_APLIC*FRAC_ACOMP,"Acompanhar","Aguardar"))))</f>
        <v/>
      </c>
      <c r="AE29" s="18">
        <f>IF(OR($Y29="",$Y29=0),"-",IF($Y29&gt;=2*'PARAMETROS'!$B$7/EF_APLIC,"Alta",IF($Y29&gt;='PARAMETROS'!$B$7/EF_APLIC,"Media","Baixa")))</f>
        <v/>
      </c>
    </row>
    <row r="30">
      <c r="A30" s="5" t="inlineStr">
        <is>
          <t>Pivô 26</t>
        </is>
      </c>
      <c r="B30" s="5" t="inlineStr">
        <is>
          <t>Karitel</t>
        </is>
      </c>
      <c r="C30" s="5" t="inlineStr">
        <is>
          <t>R7</t>
        </is>
      </c>
      <c r="D30" s="5" t="inlineStr">
        <is>
          <t>Modulo 1</t>
        </is>
      </c>
      <c r="E30" s="5" t="inlineStr">
        <is>
          <t>SOJA</t>
        </is>
      </c>
      <c r="F30" s="6" t="inlineStr">
        <is>
          <t>ST 76KA72</t>
        </is>
      </c>
      <c r="G30" s="7" t="inlineStr">
        <is>
          <t>PRECOCE</t>
        </is>
      </c>
      <c r="H30" s="5" t="inlineStr">
        <is>
          <t>proximo</t>
        </is>
      </c>
      <c r="I30" s="8" t="n">
        <v>46302</v>
      </c>
      <c r="J30" s="9">
        <f>IF($I30="","",DATA_REF-$I30)</f>
        <v/>
      </c>
      <c r="K30" s="9">
        <f>IF($J30="","",MAX(0,$J30-'PARAMETROS'!$B$11))</f>
        <v/>
      </c>
      <c r="L30" s="10">
        <f>IFERROR(INDEX(KC_CURVAS!$C$5:$C$15,MATCH("SOJA|"&amp;$G30,KC_CURVAS!$K$5:$K$15,0)),IFERROR(INDEX(KC_CURVAS!$C$5:$C$15,MATCH("SOJA"&amp;"|",KC_CURVAS!$K$5:$K$15,0)),""))</f>
        <v/>
      </c>
      <c r="M30" s="10">
        <f>IFERROR(INDEX(KC_CURVAS!$D$5:$D$15,MATCH("SOJA|"&amp;$G30,KC_CURVAS!$K$5:$K$15,0)),IFERROR(INDEX(KC_CURVAS!$D$5:$D$15,MATCH("SOJA"&amp;"|",KC_CURVAS!$K$5:$K$15,0)),""))</f>
        <v/>
      </c>
      <c r="N30" s="10">
        <f>IFERROR(INDEX(KC_CURVAS!$E$5:$E$15,MATCH("SOJA|"&amp;$G30,KC_CURVAS!$K$5:$K$15,0)),IFERROR(INDEX(KC_CURVAS!$E$5:$E$15,MATCH("SOJA"&amp;"|",KC_CURVAS!$K$5:$K$15,0)),""))</f>
        <v/>
      </c>
      <c r="O30" s="10">
        <f>IFERROR(INDEX(KC_CURVAS!$F$5:$F$15,MATCH("SOJA|"&amp;$G30,KC_CURVAS!$K$5:$K$15,0)),IFERROR(INDEX(KC_CURVAS!$F$5:$F$15,MATCH("SOJA"&amp;"|",KC_CURVAS!$K$5:$K$15,0)),""))</f>
        <v/>
      </c>
      <c r="P30" s="11">
        <f>IFERROR(INDEX(KC_CURVAS!$G$5:$G$15,MATCH("SOJA|"&amp;$G30,KC_CURVAS!$K$5:$K$15,0)),IFERROR(INDEX(KC_CURVAS!$G$5:$G$15,MATCH("SOJA"&amp;"|",KC_CURVAS!$K$5:$K$15,0)),""))</f>
        <v/>
      </c>
      <c r="Q30" s="11">
        <f>IFERROR(INDEX(KC_CURVAS!$H$5:$H$15,MATCH("SOJA|"&amp;$G30,KC_CURVAS!$K$5:$K$15,0)),IFERROR(INDEX(KC_CURVAS!$H$5:$H$15,MATCH("SOJA"&amp;"|",KC_CURVAS!$K$5:$K$15,0)),""))</f>
        <v/>
      </c>
      <c r="R30" s="11">
        <f>IFERROR(INDEX(KC_CURVAS!$I$5:$I$15,MATCH("SOJA|"&amp;$G30,KC_CURVAS!$K$5:$K$15,0)),IFERROR(INDEX(KC_CURVAS!$I$5:$I$15,MATCH("SOJA"&amp;"|",KC_CURVAS!$K$5:$K$15,0)),""))</f>
        <v/>
      </c>
      <c r="S30" s="12">
        <f>IF(OR($K30="",$L30=""),"PENDENTE",IF($K30&lt;=$L30,$P30,IF($K30&lt;=$L30+$M30,$P30+($Q30-$P30)*($K30-$L30)/$M30,IF($K30&lt;=$L30+$M30+$N30,$Q30,IF($K30&lt;=$L30+$M30+$N30+$O30,$Q30+($R30-$Q30)*($K30-($L30+$M30+$N30))/$O30,$R30)))))</f>
        <v/>
      </c>
      <c r="T30" s="13">
        <f>IF($I30="","",$I30)</f>
        <v/>
      </c>
      <c r="U30" s="14">
        <f>IF($T30="","",SUMIFS(ETO_DIARIO!$B$5:$B$404,ETO_DIARIO!$A$5:$A$404,"&gt;"&amp;$T30,ETO_DIARIO!$A$5:$A$404,"&lt;="&amp;DATA_REF))</f>
        <v/>
      </c>
      <c r="V30" s="14">
        <f>IF($T30="","",SUMIFS(ETO_DIARIO!$C$5:$C$404,ETO_DIARIO!$A$5:$A$404,"&gt;"&amp;$T30,ETO_DIARIO!$A$5:$A$404,"&lt;="&amp;DATA_REF))</f>
        <v/>
      </c>
      <c r="W30" s="14">
        <f>IF(OR($S30="",$S30="PENDENTE",$U30=""),"",$S30*$U30)</f>
        <v/>
      </c>
      <c r="X30" s="14">
        <f>IF($W30="","",MAX(0,$W30-N($V30)))</f>
        <v/>
      </c>
      <c r="Y30" s="14">
        <f>IF($X30="","",$X30/EF_APLIC)</f>
        <v/>
      </c>
      <c r="Z30" s="15" t="n">
        <v>150</v>
      </c>
      <c r="AA30" s="16">
        <f>IF(OR($Y30="",$Z30=""),"",$Y30*$Z30*10)</f>
        <v/>
      </c>
      <c r="AB30" s="17" t="n">
        <v>0.591</v>
      </c>
      <c r="AC30" s="16">
        <f>IF(OR($AA30="",$AB30=""),"",$AA30*$AB30)</f>
        <v/>
      </c>
      <c r="AD30" s="18">
        <f>IF($S30="PENDENTE","Definir classe/Kc",IF($Y30="","-",IF($Y30&gt;='PARAMETROS'!$B$7/EF_APLIC,"Irrigar",IF($Y30&gt;='PARAMETROS'!$B$7/EF_APLIC*FRAC_ACOMP,"Acompanhar","Aguardar"))))</f>
        <v/>
      </c>
      <c r="AE30" s="18">
        <f>IF(OR($Y30="",$Y30=0),"-",IF($Y30&gt;=2*'PARAMETROS'!$B$7/EF_APLIC,"Alta",IF($Y30&gt;='PARAMETROS'!$B$7/EF_APLIC,"Media","Baixa")))</f>
        <v/>
      </c>
    </row>
    <row r="31">
      <c r="A31" s="5" t="inlineStr">
        <is>
          <t>Pivô 27</t>
        </is>
      </c>
      <c r="B31" s="5" t="inlineStr">
        <is>
          <t>Karitel</t>
        </is>
      </c>
      <c r="C31" s="5" t="inlineStr">
        <is>
          <t>R7</t>
        </is>
      </c>
      <c r="D31" s="5" t="inlineStr">
        <is>
          <t>Modulo 1</t>
        </is>
      </c>
      <c r="E31" s="5" t="inlineStr">
        <is>
          <t>CACAU</t>
        </is>
      </c>
      <c r="F31" s="6" t="inlineStr">
        <is>
          <t>PS1319/FA13/CCN51</t>
        </is>
      </c>
      <c r="G31" s="7" t="inlineStr"/>
      <c r="H31" s="5" t="inlineStr">
        <is>
          <t>ativo</t>
        </is>
      </c>
      <c r="I31" s="8" t="n">
        <v>45901</v>
      </c>
      <c r="J31" s="9">
        <f>IF($I31="","",DATA_REF-$I31)</f>
        <v/>
      </c>
      <c r="K31" s="9">
        <f>IF($J31="","",MAX(0,$J31-'PARAMETROS'!$B$11))</f>
        <v/>
      </c>
      <c r="L31" s="10">
        <f>IFERROR(INDEX(KC_CURVAS!$C$5:$C$15,MATCH("CACAU|"&amp;$G31,KC_CURVAS!$K$5:$K$15,0)),IFERROR(INDEX(KC_CURVAS!$C$5:$C$15,MATCH("CACAU"&amp;"|",KC_CURVAS!$K$5:$K$15,0)),""))</f>
        <v/>
      </c>
      <c r="M31" s="10">
        <f>IFERROR(INDEX(KC_CURVAS!$D$5:$D$15,MATCH("CACAU|"&amp;$G31,KC_CURVAS!$K$5:$K$15,0)),IFERROR(INDEX(KC_CURVAS!$D$5:$D$15,MATCH("CACAU"&amp;"|",KC_CURVAS!$K$5:$K$15,0)),""))</f>
        <v/>
      </c>
      <c r="N31" s="10">
        <f>IFERROR(INDEX(KC_CURVAS!$E$5:$E$15,MATCH("CACAU|"&amp;$G31,KC_CURVAS!$K$5:$K$15,0)),IFERROR(INDEX(KC_CURVAS!$E$5:$E$15,MATCH("CACAU"&amp;"|",KC_CURVAS!$K$5:$K$15,0)),""))</f>
        <v/>
      </c>
      <c r="O31" s="10">
        <f>IFERROR(INDEX(KC_CURVAS!$F$5:$F$15,MATCH("CACAU|"&amp;$G31,KC_CURVAS!$K$5:$K$15,0)),IFERROR(INDEX(KC_CURVAS!$F$5:$F$15,MATCH("CACAU"&amp;"|",KC_CURVAS!$K$5:$K$15,0)),""))</f>
        <v/>
      </c>
      <c r="P31" s="11">
        <f>IFERROR(INDEX(KC_CURVAS!$G$5:$G$15,MATCH("CACAU|"&amp;$G31,KC_CURVAS!$K$5:$K$15,0)),IFERROR(INDEX(KC_CURVAS!$G$5:$G$15,MATCH("CACAU"&amp;"|",KC_CURVAS!$K$5:$K$15,0)),""))</f>
        <v/>
      </c>
      <c r="Q31" s="11">
        <f>IFERROR(INDEX(KC_CURVAS!$H$5:$H$15,MATCH("CACAU|"&amp;$G31,KC_CURVAS!$K$5:$K$15,0)),IFERROR(INDEX(KC_CURVAS!$H$5:$H$15,MATCH("CACAU"&amp;"|",KC_CURVAS!$K$5:$K$15,0)),""))</f>
        <v/>
      </c>
      <c r="R31" s="11">
        <f>IFERROR(INDEX(KC_CURVAS!$I$5:$I$15,MATCH("CACAU|"&amp;$G31,KC_CURVAS!$K$5:$K$15,0)),IFERROR(INDEX(KC_CURVAS!$I$5:$I$15,MATCH("CACAU"&amp;"|",KC_CURVAS!$K$5:$K$15,0)),""))</f>
        <v/>
      </c>
      <c r="S31" s="12">
        <f>IF(OR($K31="",$L31=""),"PENDENTE",IF($K31&lt;=$L31,$P31,IF($K31&lt;=$L31+$M31,$P31+($Q31-$P31)*($K31-$L31)/$M31,IF($K31&lt;=$L31+$M31+$N31,$Q31,IF($K31&lt;=$L31+$M31+$N31+$O31,$Q31+($R31-$Q31)*($K31-($L31+$M31+$N31))/$O31,$R31)))))</f>
        <v/>
      </c>
      <c r="T31" s="13">
        <f>IF($I31="","",$I31)</f>
        <v/>
      </c>
      <c r="U31" s="14">
        <f>IF($T31="","",SUMIFS(ETO_DIARIO!$B$5:$B$404,ETO_DIARIO!$A$5:$A$404,"&gt;"&amp;$T31,ETO_DIARIO!$A$5:$A$404,"&lt;="&amp;DATA_REF))</f>
        <v/>
      </c>
      <c r="V31" s="14">
        <f>IF($T31="","",SUMIFS(ETO_DIARIO!$C$5:$C$404,ETO_DIARIO!$A$5:$A$404,"&gt;"&amp;$T31,ETO_DIARIO!$A$5:$A$404,"&lt;="&amp;DATA_REF))</f>
        <v/>
      </c>
      <c r="W31" s="14">
        <f>IF(OR($S31="",$S31="PENDENTE",$U31=""),"",$S31*$U31)</f>
        <v/>
      </c>
      <c r="X31" s="14">
        <f>IF($W31="","",MAX(0,$W31-N($V31)))</f>
        <v/>
      </c>
      <c r="Y31" s="14">
        <f>IF($X31="","",$X31/EF_APLIC)</f>
        <v/>
      </c>
      <c r="Z31" s="15" t="n">
        <v>100</v>
      </c>
      <c r="AA31" s="16">
        <f>IF(OR($Y31="",$Z31=""),"",$Y31*$Z31*10)</f>
        <v/>
      </c>
      <c r="AB31" s="17" t="n">
        <v>0.463</v>
      </c>
      <c r="AC31" s="16">
        <f>IF(OR($AA31="",$AB31=""),"",$AA31*$AB31)</f>
        <v/>
      </c>
      <c r="AD31" s="18">
        <f>IF($S31="PENDENTE","Definir classe/Kc",IF($Y31="","-",IF($Y31&gt;='PARAMETROS'!$B$7/EF_APLIC,"Irrigar",IF($Y31&gt;='PARAMETROS'!$B$7/EF_APLIC*FRAC_ACOMP,"Acompanhar","Aguardar"))))</f>
        <v/>
      </c>
      <c r="AE31" s="18">
        <f>IF(OR($Y31="",$Y31=0),"-",IF($Y31&gt;=2*'PARAMETROS'!$B$7/EF_APLIC,"Alta",IF($Y31&gt;='PARAMETROS'!$B$7/EF_APLIC,"Media","Baixa")))</f>
        <v/>
      </c>
    </row>
    <row r="32">
      <c r="A32" s="5" t="inlineStr">
        <is>
          <t>Pivô 28</t>
        </is>
      </c>
      <c r="B32" s="5" t="inlineStr">
        <is>
          <t>Karitel</t>
        </is>
      </c>
      <c r="C32" s="5" t="inlineStr">
        <is>
          <t>R7</t>
        </is>
      </c>
      <c r="D32" s="5" t="inlineStr">
        <is>
          <t>Modulo 1</t>
        </is>
      </c>
      <c r="E32" s="5" t="inlineStr">
        <is>
          <t>CACAU</t>
        </is>
      </c>
      <c r="F32" s="6" t="inlineStr">
        <is>
          <t>PS1319/FA13/CCN51</t>
        </is>
      </c>
      <c r="G32" s="7" t="inlineStr"/>
      <c r="H32" s="5" t="inlineStr">
        <is>
          <t>ativo</t>
        </is>
      </c>
      <c r="I32" s="8" t="n">
        <v>46196</v>
      </c>
      <c r="J32" s="9">
        <f>IF($I32="","",DATA_REF-$I32)</f>
        <v/>
      </c>
      <c r="K32" s="9">
        <f>IF($J32="","",MAX(0,$J32-'PARAMETROS'!$B$11))</f>
        <v/>
      </c>
      <c r="L32" s="10">
        <f>IFERROR(INDEX(KC_CURVAS!$C$5:$C$15,MATCH("CACAU|"&amp;$G32,KC_CURVAS!$K$5:$K$15,0)),IFERROR(INDEX(KC_CURVAS!$C$5:$C$15,MATCH("CACAU"&amp;"|",KC_CURVAS!$K$5:$K$15,0)),""))</f>
        <v/>
      </c>
      <c r="M32" s="10">
        <f>IFERROR(INDEX(KC_CURVAS!$D$5:$D$15,MATCH("CACAU|"&amp;$G32,KC_CURVAS!$K$5:$K$15,0)),IFERROR(INDEX(KC_CURVAS!$D$5:$D$15,MATCH("CACAU"&amp;"|",KC_CURVAS!$K$5:$K$15,0)),""))</f>
        <v/>
      </c>
      <c r="N32" s="10">
        <f>IFERROR(INDEX(KC_CURVAS!$E$5:$E$15,MATCH("CACAU|"&amp;$G32,KC_CURVAS!$K$5:$K$15,0)),IFERROR(INDEX(KC_CURVAS!$E$5:$E$15,MATCH("CACAU"&amp;"|",KC_CURVAS!$K$5:$K$15,0)),""))</f>
        <v/>
      </c>
      <c r="O32" s="10">
        <f>IFERROR(INDEX(KC_CURVAS!$F$5:$F$15,MATCH("CACAU|"&amp;$G32,KC_CURVAS!$K$5:$K$15,0)),IFERROR(INDEX(KC_CURVAS!$F$5:$F$15,MATCH("CACAU"&amp;"|",KC_CURVAS!$K$5:$K$15,0)),""))</f>
        <v/>
      </c>
      <c r="P32" s="11">
        <f>IFERROR(INDEX(KC_CURVAS!$G$5:$G$15,MATCH("CACAU|"&amp;$G32,KC_CURVAS!$K$5:$K$15,0)),IFERROR(INDEX(KC_CURVAS!$G$5:$G$15,MATCH("CACAU"&amp;"|",KC_CURVAS!$K$5:$K$15,0)),""))</f>
        <v/>
      </c>
      <c r="Q32" s="11">
        <f>IFERROR(INDEX(KC_CURVAS!$H$5:$H$15,MATCH("CACAU|"&amp;$G32,KC_CURVAS!$K$5:$K$15,0)),IFERROR(INDEX(KC_CURVAS!$H$5:$H$15,MATCH("CACAU"&amp;"|",KC_CURVAS!$K$5:$K$15,0)),""))</f>
        <v/>
      </c>
      <c r="R32" s="11">
        <f>IFERROR(INDEX(KC_CURVAS!$I$5:$I$15,MATCH("CACAU|"&amp;$G32,KC_CURVAS!$K$5:$K$15,0)),IFERROR(INDEX(KC_CURVAS!$I$5:$I$15,MATCH("CACAU"&amp;"|",KC_CURVAS!$K$5:$K$15,0)),""))</f>
        <v/>
      </c>
      <c r="S32" s="12">
        <f>IF(OR($K32="",$L32=""),"PENDENTE",IF($K32&lt;=$L32,$P32,IF($K32&lt;=$L32+$M32,$P32+($Q32-$P32)*($K32-$L32)/$M32,IF($K32&lt;=$L32+$M32+$N32,$Q32,IF($K32&lt;=$L32+$M32+$N32+$O32,$Q32+($R32-$Q32)*($K32-($L32+$M32+$N32))/$O32,$R32)))))</f>
        <v/>
      </c>
      <c r="T32" s="13">
        <f>IF($I32="","",$I32)</f>
        <v/>
      </c>
      <c r="U32" s="14">
        <f>IF($T32="","",SUMIFS(ETO_DIARIO!$B$5:$B$404,ETO_DIARIO!$A$5:$A$404,"&gt;"&amp;$T32,ETO_DIARIO!$A$5:$A$404,"&lt;="&amp;DATA_REF))</f>
        <v/>
      </c>
      <c r="V32" s="14">
        <f>IF($T32="","",SUMIFS(ETO_DIARIO!$C$5:$C$404,ETO_DIARIO!$A$5:$A$404,"&gt;"&amp;$T32,ETO_DIARIO!$A$5:$A$404,"&lt;="&amp;DATA_REF))</f>
        <v/>
      </c>
      <c r="W32" s="14">
        <f>IF(OR($S32="",$S32="PENDENTE",$U32=""),"",$S32*$U32)</f>
        <v/>
      </c>
      <c r="X32" s="14">
        <f>IF($W32="","",MAX(0,$W32-N($V32)))</f>
        <v/>
      </c>
      <c r="Y32" s="14">
        <f>IF($X32="","",$X32/EF_APLIC)</f>
        <v/>
      </c>
      <c r="Z32" s="15" t="n">
        <v>133</v>
      </c>
      <c r="AA32" s="16">
        <f>IF(OR($Y32="",$Z32=""),"",$Y32*$Z32*10)</f>
        <v/>
      </c>
      <c r="AB32" s="17" t="n">
        <v>0.54</v>
      </c>
      <c r="AC32" s="16">
        <f>IF(OR($AA32="",$AB32=""),"",$AA32*$AB32)</f>
        <v/>
      </c>
      <c r="AD32" s="18">
        <f>IF($S32="PENDENTE","Definir classe/Kc",IF($Y32="","-",IF($Y32&gt;='PARAMETROS'!$B$7/EF_APLIC,"Irrigar",IF($Y32&gt;='PARAMETROS'!$B$7/EF_APLIC*FRAC_ACOMP,"Acompanhar","Aguardar"))))</f>
        <v/>
      </c>
      <c r="AE32" s="18">
        <f>IF(OR($Y32="",$Y32=0),"-",IF($Y32&gt;=2*'PARAMETROS'!$B$7/EF_APLIC,"Alta",IF($Y32&gt;='PARAMETROS'!$B$7/EF_APLIC,"Media","Baixa")))</f>
        <v/>
      </c>
    </row>
    <row r="33">
      <c r="A33" s="5" t="inlineStr">
        <is>
          <t>Pivô 29</t>
        </is>
      </c>
      <c r="B33" s="5" t="inlineStr">
        <is>
          <t>Karitel</t>
        </is>
      </c>
      <c r="C33" s="5" t="inlineStr">
        <is>
          <t>R7</t>
        </is>
      </c>
      <c r="D33" s="5" t="inlineStr">
        <is>
          <t>Modulo 1</t>
        </is>
      </c>
      <c r="E33" s="5" t="inlineStr">
        <is>
          <t>CACAU</t>
        </is>
      </c>
      <c r="F33" s="6" t="inlineStr">
        <is>
          <t>PS1319/FA13/CCN51</t>
        </is>
      </c>
      <c r="G33" s="7" t="inlineStr"/>
      <c r="H33" s="5" t="inlineStr">
        <is>
          <t>ativo</t>
        </is>
      </c>
      <c r="I33" s="8" t="n">
        <v>45901</v>
      </c>
      <c r="J33" s="9">
        <f>IF($I33="","",DATA_REF-$I33)</f>
        <v/>
      </c>
      <c r="K33" s="9">
        <f>IF($J33="","",MAX(0,$J33-'PARAMETROS'!$B$11))</f>
        <v/>
      </c>
      <c r="L33" s="10">
        <f>IFERROR(INDEX(KC_CURVAS!$C$5:$C$15,MATCH("CACAU|"&amp;$G33,KC_CURVAS!$K$5:$K$15,0)),IFERROR(INDEX(KC_CURVAS!$C$5:$C$15,MATCH("CACAU"&amp;"|",KC_CURVAS!$K$5:$K$15,0)),""))</f>
        <v/>
      </c>
      <c r="M33" s="10">
        <f>IFERROR(INDEX(KC_CURVAS!$D$5:$D$15,MATCH("CACAU|"&amp;$G33,KC_CURVAS!$K$5:$K$15,0)),IFERROR(INDEX(KC_CURVAS!$D$5:$D$15,MATCH("CACAU"&amp;"|",KC_CURVAS!$K$5:$K$15,0)),""))</f>
        <v/>
      </c>
      <c r="N33" s="10">
        <f>IFERROR(INDEX(KC_CURVAS!$E$5:$E$15,MATCH("CACAU|"&amp;$G33,KC_CURVAS!$K$5:$K$15,0)),IFERROR(INDEX(KC_CURVAS!$E$5:$E$15,MATCH("CACAU"&amp;"|",KC_CURVAS!$K$5:$K$15,0)),""))</f>
        <v/>
      </c>
      <c r="O33" s="10">
        <f>IFERROR(INDEX(KC_CURVAS!$F$5:$F$15,MATCH("CACAU|"&amp;$G33,KC_CURVAS!$K$5:$K$15,0)),IFERROR(INDEX(KC_CURVAS!$F$5:$F$15,MATCH("CACAU"&amp;"|",KC_CURVAS!$K$5:$K$15,0)),""))</f>
        <v/>
      </c>
      <c r="P33" s="11">
        <f>IFERROR(INDEX(KC_CURVAS!$G$5:$G$15,MATCH("CACAU|"&amp;$G33,KC_CURVAS!$K$5:$K$15,0)),IFERROR(INDEX(KC_CURVAS!$G$5:$G$15,MATCH("CACAU"&amp;"|",KC_CURVAS!$K$5:$K$15,0)),""))</f>
        <v/>
      </c>
      <c r="Q33" s="11">
        <f>IFERROR(INDEX(KC_CURVAS!$H$5:$H$15,MATCH("CACAU|"&amp;$G33,KC_CURVAS!$K$5:$K$15,0)),IFERROR(INDEX(KC_CURVAS!$H$5:$H$15,MATCH("CACAU"&amp;"|",KC_CURVAS!$K$5:$K$15,0)),""))</f>
        <v/>
      </c>
      <c r="R33" s="11">
        <f>IFERROR(INDEX(KC_CURVAS!$I$5:$I$15,MATCH("CACAU|"&amp;$G33,KC_CURVAS!$K$5:$K$15,0)),IFERROR(INDEX(KC_CURVAS!$I$5:$I$15,MATCH("CACAU"&amp;"|",KC_CURVAS!$K$5:$K$15,0)),""))</f>
        <v/>
      </c>
      <c r="S33" s="12">
        <f>IF(OR($K33="",$L33=""),"PENDENTE",IF($K33&lt;=$L33,$P33,IF($K33&lt;=$L33+$M33,$P33+($Q33-$P33)*($K33-$L33)/$M33,IF($K33&lt;=$L33+$M33+$N33,$Q33,IF($K33&lt;=$L33+$M33+$N33+$O33,$Q33+($R33-$Q33)*($K33-($L33+$M33+$N33))/$O33,$R33)))))</f>
        <v/>
      </c>
      <c r="T33" s="13">
        <f>IF($I33="","",$I33)</f>
        <v/>
      </c>
      <c r="U33" s="14">
        <f>IF($T33="","",SUMIFS(ETO_DIARIO!$B$5:$B$404,ETO_DIARIO!$A$5:$A$404,"&gt;"&amp;$T33,ETO_DIARIO!$A$5:$A$404,"&lt;="&amp;DATA_REF))</f>
        <v/>
      </c>
      <c r="V33" s="14">
        <f>IF($T33="","",SUMIFS(ETO_DIARIO!$C$5:$C$404,ETO_DIARIO!$A$5:$A$404,"&gt;"&amp;$T33,ETO_DIARIO!$A$5:$A$404,"&lt;="&amp;DATA_REF))</f>
        <v/>
      </c>
      <c r="W33" s="14">
        <f>IF(OR($S33="",$S33="PENDENTE",$U33=""),"",$S33*$U33)</f>
        <v/>
      </c>
      <c r="X33" s="14">
        <f>IF($W33="","",MAX(0,$W33-N($V33)))</f>
        <v/>
      </c>
      <c r="Y33" s="14">
        <f>IF($X33="","",$X33/EF_APLIC)</f>
        <v/>
      </c>
      <c r="Z33" s="15" t="n">
        <v>80</v>
      </c>
      <c r="AA33" s="16">
        <f>IF(OR($Y33="",$Z33=""),"",$Y33*$Z33*10)</f>
        <v/>
      </c>
      <c r="AB33" s="17" t="n">
        <v>0.504</v>
      </c>
      <c r="AC33" s="16">
        <f>IF(OR($AA33="",$AB33=""),"",$AA33*$AB33)</f>
        <v/>
      </c>
      <c r="AD33" s="18">
        <f>IF($S33="PENDENTE","Definir classe/Kc",IF($Y33="","-",IF($Y33&gt;='PARAMETROS'!$B$7/EF_APLIC,"Irrigar",IF($Y33&gt;='PARAMETROS'!$B$7/EF_APLIC*FRAC_ACOMP,"Acompanhar","Aguardar"))))</f>
        <v/>
      </c>
      <c r="AE33" s="18">
        <f>IF(OR($Y33="",$Y33=0),"-",IF($Y33&gt;=2*'PARAMETROS'!$B$7/EF_APLIC,"Alta",IF($Y33&gt;='PARAMETROS'!$B$7/EF_APLIC,"Media","Baixa")))</f>
        <v/>
      </c>
    </row>
    <row r="34">
      <c r="A34" s="5" t="inlineStr">
        <is>
          <t>Pivô 30</t>
        </is>
      </c>
      <c r="B34" s="5" t="inlineStr">
        <is>
          <t>Karitel</t>
        </is>
      </c>
      <c r="C34" s="5" t="inlineStr">
        <is>
          <t>C3Z3/R7</t>
        </is>
      </c>
      <c r="D34" s="5" t="inlineStr">
        <is>
          <t>Modulo 1</t>
        </is>
      </c>
      <c r="E34" s="5" t="inlineStr">
        <is>
          <t>CACAU</t>
        </is>
      </c>
      <c r="F34" s="6" t="inlineStr">
        <is>
          <t>PS1319/FA13/CCN51</t>
        </is>
      </c>
      <c r="G34" s="7" t="inlineStr"/>
      <c r="H34" s="5" t="inlineStr">
        <is>
          <t>proximo</t>
        </is>
      </c>
      <c r="I34" s="8" t="n">
        <v>46447</v>
      </c>
      <c r="J34" s="9">
        <f>IF($I34="","",DATA_REF-$I34)</f>
        <v/>
      </c>
      <c r="K34" s="9">
        <f>IF($J34="","",MAX(0,$J34-'PARAMETROS'!$B$11))</f>
        <v/>
      </c>
      <c r="L34" s="10">
        <f>IFERROR(INDEX(KC_CURVAS!$C$5:$C$15,MATCH("CACAU|"&amp;$G34,KC_CURVAS!$K$5:$K$15,0)),IFERROR(INDEX(KC_CURVAS!$C$5:$C$15,MATCH("CACAU"&amp;"|",KC_CURVAS!$K$5:$K$15,0)),""))</f>
        <v/>
      </c>
      <c r="M34" s="10">
        <f>IFERROR(INDEX(KC_CURVAS!$D$5:$D$15,MATCH("CACAU|"&amp;$G34,KC_CURVAS!$K$5:$K$15,0)),IFERROR(INDEX(KC_CURVAS!$D$5:$D$15,MATCH("CACAU"&amp;"|",KC_CURVAS!$K$5:$K$15,0)),""))</f>
        <v/>
      </c>
      <c r="N34" s="10">
        <f>IFERROR(INDEX(KC_CURVAS!$E$5:$E$15,MATCH("CACAU|"&amp;$G34,KC_CURVAS!$K$5:$K$15,0)),IFERROR(INDEX(KC_CURVAS!$E$5:$E$15,MATCH("CACAU"&amp;"|",KC_CURVAS!$K$5:$K$15,0)),""))</f>
        <v/>
      </c>
      <c r="O34" s="10">
        <f>IFERROR(INDEX(KC_CURVAS!$F$5:$F$15,MATCH("CACAU|"&amp;$G34,KC_CURVAS!$K$5:$K$15,0)),IFERROR(INDEX(KC_CURVAS!$F$5:$F$15,MATCH("CACAU"&amp;"|",KC_CURVAS!$K$5:$K$15,0)),""))</f>
        <v/>
      </c>
      <c r="P34" s="11">
        <f>IFERROR(INDEX(KC_CURVAS!$G$5:$G$15,MATCH("CACAU|"&amp;$G34,KC_CURVAS!$K$5:$K$15,0)),IFERROR(INDEX(KC_CURVAS!$G$5:$G$15,MATCH("CACAU"&amp;"|",KC_CURVAS!$K$5:$K$15,0)),""))</f>
        <v/>
      </c>
      <c r="Q34" s="11">
        <f>IFERROR(INDEX(KC_CURVAS!$H$5:$H$15,MATCH("CACAU|"&amp;$G34,KC_CURVAS!$K$5:$K$15,0)),IFERROR(INDEX(KC_CURVAS!$H$5:$H$15,MATCH("CACAU"&amp;"|",KC_CURVAS!$K$5:$K$15,0)),""))</f>
        <v/>
      </c>
      <c r="R34" s="11">
        <f>IFERROR(INDEX(KC_CURVAS!$I$5:$I$15,MATCH("CACAU|"&amp;$G34,KC_CURVAS!$K$5:$K$15,0)),IFERROR(INDEX(KC_CURVAS!$I$5:$I$15,MATCH("CACAU"&amp;"|",KC_CURVAS!$K$5:$K$15,0)),""))</f>
        <v/>
      </c>
      <c r="S34" s="12">
        <f>IF(OR($K34="",$L34=""),"PENDENTE",IF($K34&lt;=$L34,$P34,IF($K34&lt;=$L34+$M34,$P34+($Q34-$P34)*($K34-$L34)/$M34,IF($K34&lt;=$L34+$M34+$N34,$Q34,IF($K34&lt;=$L34+$M34+$N34+$O34,$Q34+($R34-$Q34)*($K34-($L34+$M34+$N34))/$O34,$R34)))))</f>
        <v/>
      </c>
      <c r="T34" s="13">
        <f>IF($I34="","",$I34)</f>
        <v/>
      </c>
      <c r="U34" s="14">
        <f>IF($T34="","",SUMIFS(ETO_DIARIO!$B$5:$B$404,ETO_DIARIO!$A$5:$A$404,"&gt;"&amp;$T34,ETO_DIARIO!$A$5:$A$404,"&lt;="&amp;DATA_REF))</f>
        <v/>
      </c>
      <c r="V34" s="14">
        <f>IF($T34="","",SUMIFS(ETO_DIARIO!$C$5:$C$404,ETO_DIARIO!$A$5:$A$404,"&gt;"&amp;$T34,ETO_DIARIO!$A$5:$A$404,"&lt;="&amp;DATA_REF))</f>
        <v/>
      </c>
      <c r="W34" s="14">
        <f>IF(OR($S34="",$S34="PENDENTE",$U34=""),"",$S34*$U34)</f>
        <v/>
      </c>
      <c r="X34" s="14">
        <f>IF($W34="","",MAX(0,$W34-N($V34)))</f>
        <v/>
      </c>
      <c r="Y34" s="14">
        <f>IF($X34="","",$X34/EF_APLIC)</f>
        <v/>
      </c>
      <c r="Z34" s="15" t="n">
        <v>150</v>
      </c>
      <c r="AA34" s="16">
        <f>IF(OR($Y34="",$Z34=""),"",$Y34*$Z34*10)</f>
        <v/>
      </c>
      <c r="AB34" s="17" t="n">
        <v>0.441</v>
      </c>
      <c r="AC34" s="16">
        <f>IF(OR($AA34="",$AB34=""),"",$AA34*$AB34)</f>
        <v/>
      </c>
      <c r="AD34" s="18">
        <f>IF($S34="PENDENTE","Definir classe/Kc",IF($Y34="","-",IF($Y34&gt;='PARAMETROS'!$B$7/EF_APLIC,"Irrigar",IF($Y34&gt;='PARAMETROS'!$B$7/EF_APLIC*FRAC_ACOMP,"Acompanhar","Aguardar"))))</f>
        <v/>
      </c>
      <c r="AE34" s="18">
        <f>IF(OR($Y34="",$Y34=0),"-",IF($Y34&gt;=2*'PARAMETROS'!$B$7/EF_APLIC,"Alta",IF($Y34&gt;='PARAMETROS'!$B$7/EF_APLIC,"Media","Baixa")))</f>
        <v/>
      </c>
    </row>
    <row r="35">
      <c r="A35" s="5" t="inlineStr">
        <is>
          <t>Pivô 31</t>
        </is>
      </c>
      <c r="B35" s="5" t="inlineStr">
        <is>
          <t>Karitel</t>
        </is>
      </c>
      <c r="C35" s="5" t="inlineStr">
        <is>
          <t>C3Z3/R7</t>
        </is>
      </c>
      <c r="D35" s="5" t="inlineStr">
        <is>
          <t>Modulo 1</t>
        </is>
      </c>
      <c r="E35" s="5" t="inlineStr">
        <is>
          <t>CACAU</t>
        </is>
      </c>
      <c r="F35" s="6" t="inlineStr">
        <is>
          <t>PS1319/FA13/CCN51</t>
        </is>
      </c>
      <c r="G35" s="7" t="inlineStr"/>
      <c r="H35" s="5" t="inlineStr">
        <is>
          <t>proximo</t>
        </is>
      </c>
      <c r="I35" s="8" t="n">
        <v>46357</v>
      </c>
      <c r="J35" s="9">
        <f>IF($I35="","",DATA_REF-$I35)</f>
        <v/>
      </c>
      <c r="K35" s="9">
        <f>IF($J35="","",MAX(0,$J35-'PARAMETROS'!$B$11))</f>
        <v/>
      </c>
      <c r="L35" s="10">
        <f>IFERROR(INDEX(KC_CURVAS!$C$5:$C$15,MATCH("CACAU|"&amp;$G35,KC_CURVAS!$K$5:$K$15,0)),IFERROR(INDEX(KC_CURVAS!$C$5:$C$15,MATCH("CACAU"&amp;"|",KC_CURVAS!$K$5:$K$15,0)),""))</f>
        <v/>
      </c>
      <c r="M35" s="10">
        <f>IFERROR(INDEX(KC_CURVAS!$D$5:$D$15,MATCH("CACAU|"&amp;$G35,KC_CURVAS!$K$5:$K$15,0)),IFERROR(INDEX(KC_CURVAS!$D$5:$D$15,MATCH("CACAU"&amp;"|",KC_CURVAS!$K$5:$K$15,0)),""))</f>
        <v/>
      </c>
      <c r="N35" s="10">
        <f>IFERROR(INDEX(KC_CURVAS!$E$5:$E$15,MATCH("CACAU|"&amp;$G35,KC_CURVAS!$K$5:$K$15,0)),IFERROR(INDEX(KC_CURVAS!$E$5:$E$15,MATCH("CACAU"&amp;"|",KC_CURVAS!$K$5:$K$15,0)),""))</f>
        <v/>
      </c>
      <c r="O35" s="10">
        <f>IFERROR(INDEX(KC_CURVAS!$F$5:$F$15,MATCH("CACAU|"&amp;$G35,KC_CURVAS!$K$5:$K$15,0)),IFERROR(INDEX(KC_CURVAS!$F$5:$F$15,MATCH("CACAU"&amp;"|",KC_CURVAS!$K$5:$K$15,0)),""))</f>
        <v/>
      </c>
      <c r="P35" s="11">
        <f>IFERROR(INDEX(KC_CURVAS!$G$5:$G$15,MATCH("CACAU|"&amp;$G35,KC_CURVAS!$K$5:$K$15,0)),IFERROR(INDEX(KC_CURVAS!$G$5:$G$15,MATCH("CACAU"&amp;"|",KC_CURVAS!$K$5:$K$15,0)),""))</f>
        <v/>
      </c>
      <c r="Q35" s="11">
        <f>IFERROR(INDEX(KC_CURVAS!$H$5:$H$15,MATCH("CACAU|"&amp;$G35,KC_CURVAS!$K$5:$K$15,0)),IFERROR(INDEX(KC_CURVAS!$H$5:$H$15,MATCH("CACAU"&amp;"|",KC_CURVAS!$K$5:$K$15,0)),""))</f>
        <v/>
      </c>
      <c r="R35" s="11">
        <f>IFERROR(INDEX(KC_CURVAS!$I$5:$I$15,MATCH("CACAU|"&amp;$G35,KC_CURVAS!$K$5:$K$15,0)),IFERROR(INDEX(KC_CURVAS!$I$5:$I$15,MATCH("CACAU"&amp;"|",KC_CURVAS!$K$5:$K$15,0)),""))</f>
        <v/>
      </c>
      <c r="S35" s="12">
        <f>IF(OR($K35="",$L35=""),"PENDENTE",IF($K35&lt;=$L35,$P35,IF($K35&lt;=$L35+$M35,$P35+($Q35-$P35)*($K35-$L35)/$M35,IF($K35&lt;=$L35+$M35+$N35,$Q35,IF($K35&lt;=$L35+$M35+$N35+$O35,$Q35+($R35-$Q35)*($K35-($L35+$M35+$N35))/$O35,$R35)))))</f>
        <v/>
      </c>
      <c r="T35" s="13">
        <f>IF($I35="","",$I35)</f>
        <v/>
      </c>
      <c r="U35" s="14">
        <f>IF($T35="","",SUMIFS(ETO_DIARIO!$B$5:$B$404,ETO_DIARIO!$A$5:$A$404,"&gt;"&amp;$T35,ETO_DIARIO!$A$5:$A$404,"&lt;="&amp;DATA_REF))</f>
        <v/>
      </c>
      <c r="V35" s="14">
        <f>IF($T35="","",SUMIFS(ETO_DIARIO!$C$5:$C$404,ETO_DIARIO!$A$5:$A$404,"&gt;"&amp;$T35,ETO_DIARIO!$A$5:$A$404,"&lt;="&amp;DATA_REF))</f>
        <v/>
      </c>
      <c r="W35" s="14">
        <f>IF(OR($S35="",$S35="PENDENTE",$U35=""),"",$S35*$U35)</f>
        <v/>
      </c>
      <c r="X35" s="14">
        <f>IF($W35="","",MAX(0,$W35-N($V35)))</f>
        <v/>
      </c>
      <c r="Y35" s="14">
        <f>IF($X35="","",$X35/EF_APLIC)</f>
        <v/>
      </c>
      <c r="Z35" s="15" t="n">
        <v>150</v>
      </c>
      <c r="AA35" s="16">
        <f>IF(OR($Y35="",$Z35=""),"",$Y35*$Z35*10)</f>
        <v/>
      </c>
      <c r="AB35" s="17" t="n">
        <v>0.449</v>
      </c>
      <c r="AC35" s="16">
        <f>IF(OR($AA35="",$AB35=""),"",$AA35*$AB35)</f>
        <v/>
      </c>
      <c r="AD35" s="18">
        <f>IF($S35="PENDENTE","Definir classe/Kc",IF($Y35="","-",IF($Y35&gt;='PARAMETROS'!$B$7/EF_APLIC,"Irrigar",IF($Y35&gt;='PARAMETROS'!$B$7/EF_APLIC*FRAC_ACOMP,"Acompanhar","Aguardar"))))</f>
        <v/>
      </c>
      <c r="AE35" s="18">
        <f>IF(OR($Y35="",$Y35=0),"-",IF($Y35&gt;=2*'PARAMETROS'!$B$7/EF_APLIC,"Alta",IF($Y35&gt;='PARAMETROS'!$B$7/EF_APLIC,"Media","Baixa")))</f>
        <v/>
      </c>
    </row>
    <row r="36">
      <c r="A36" s="5" t="inlineStr">
        <is>
          <t>Pivô 32</t>
        </is>
      </c>
      <c r="B36" s="5" t="inlineStr">
        <is>
          <t>Karitel</t>
        </is>
      </c>
      <c r="C36" s="5" t="inlineStr">
        <is>
          <t>C3Z3/R7</t>
        </is>
      </c>
      <c r="D36" s="5" t="inlineStr">
        <is>
          <t>Modulo 1</t>
        </is>
      </c>
      <c r="E36" s="5" t="inlineStr">
        <is>
          <t>CACAU</t>
        </is>
      </c>
      <c r="F36" s="6" t="inlineStr">
        <is>
          <t>PS1319/FA13/CCN51</t>
        </is>
      </c>
      <c r="G36" s="7" t="inlineStr"/>
      <c r="H36" s="5" t="inlineStr">
        <is>
          <t>ativo</t>
        </is>
      </c>
      <c r="I36" s="8" t="n">
        <v>45923</v>
      </c>
      <c r="J36" s="9">
        <f>IF($I36="","",DATA_REF-$I36)</f>
        <v/>
      </c>
      <c r="K36" s="9">
        <f>IF($J36="","",MAX(0,$J36-'PARAMETROS'!$B$11))</f>
        <v/>
      </c>
      <c r="L36" s="10">
        <f>IFERROR(INDEX(KC_CURVAS!$C$5:$C$15,MATCH("CACAU|"&amp;$G36,KC_CURVAS!$K$5:$K$15,0)),IFERROR(INDEX(KC_CURVAS!$C$5:$C$15,MATCH("CACAU"&amp;"|",KC_CURVAS!$K$5:$K$15,0)),""))</f>
        <v/>
      </c>
      <c r="M36" s="10">
        <f>IFERROR(INDEX(KC_CURVAS!$D$5:$D$15,MATCH("CACAU|"&amp;$G36,KC_CURVAS!$K$5:$K$15,0)),IFERROR(INDEX(KC_CURVAS!$D$5:$D$15,MATCH("CACAU"&amp;"|",KC_CURVAS!$K$5:$K$15,0)),""))</f>
        <v/>
      </c>
      <c r="N36" s="10">
        <f>IFERROR(INDEX(KC_CURVAS!$E$5:$E$15,MATCH("CACAU|"&amp;$G36,KC_CURVAS!$K$5:$K$15,0)),IFERROR(INDEX(KC_CURVAS!$E$5:$E$15,MATCH("CACAU"&amp;"|",KC_CURVAS!$K$5:$K$15,0)),""))</f>
        <v/>
      </c>
      <c r="O36" s="10">
        <f>IFERROR(INDEX(KC_CURVAS!$F$5:$F$15,MATCH("CACAU|"&amp;$G36,KC_CURVAS!$K$5:$K$15,0)),IFERROR(INDEX(KC_CURVAS!$F$5:$F$15,MATCH("CACAU"&amp;"|",KC_CURVAS!$K$5:$K$15,0)),""))</f>
        <v/>
      </c>
      <c r="P36" s="11">
        <f>IFERROR(INDEX(KC_CURVAS!$G$5:$G$15,MATCH("CACAU|"&amp;$G36,KC_CURVAS!$K$5:$K$15,0)),IFERROR(INDEX(KC_CURVAS!$G$5:$G$15,MATCH("CACAU"&amp;"|",KC_CURVAS!$K$5:$K$15,0)),""))</f>
        <v/>
      </c>
      <c r="Q36" s="11">
        <f>IFERROR(INDEX(KC_CURVAS!$H$5:$H$15,MATCH("CACAU|"&amp;$G36,KC_CURVAS!$K$5:$K$15,0)),IFERROR(INDEX(KC_CURVAS!$H$5:$H$15,MATCH("CACAU"&amp;"|",KC_CURVAS!$K$5:$K$15,0)),""))</f>
        <v/>
      </c>
      <c r="R36" s="11">
        <f>IFERROR(INDEX(KC_CURVAS!$I$5:$I$15,MATCH("CACAU|"&amp;$G36,KC_CURVAS!$K$5:$K$15,0)),IFERROR(INDEX(KC_CURVAS!$I$5:$I$15,MATCH("CACAU"&amp;"|",KC_CURVAS!$K$5:$K$15,0)),""))</f>
        <v/>
      </c>
      <c r="S36" s="12">
        <f>IF(OR($K36="",$L36=""),"PENDENTE",IF($K36&lt;=$L36,$P36,IF($K36&lt;=$L36+$M36,$P36+($Q36-$P36)*($K36-$L36)/$M36,IF($K36&lt;=$L36+$M36+$N36,$Q36,IF($K36&lt;=$L36+$M36+$N36+$O36,$Q36+($R36-$Q36)*($K36-($L36+$M36+$N36))/$O36,$R36)))))</f>
        <v/>
      </c>
      <c r="T36" s="13">
        <f>IF($I36="","",$I36)</f>
        <v/>
      </c>
      <c r="U36" s="14">
        <f>IF($T36="","",SUMIFS(ETO_DIARIO!$B$5:$B$404,ETO_DIARIO!$A$5:$A$404,"&gt;"&amp;$T36,ETO_DIARIO!$A$5:$A$404,"&lt;="&amp;DATA_REF))</f>
        <v/>
      </c>
      <c r="V36" s="14">
        <f>IF($T36="","",SUMIFS(ETO_DIARIO!$C$5:$C$404,ETO_DIARIO!$A$5:$A$404,"&gt;"&amp;$T36,ETO_DIARIO!$A$5:$A$404,"&lt;="&amp;DATA_REF))</f>
        <v/>
      </c>
      <c r="W36" s="14">
        <f>IF(OR($S36="",$S36="PENDENTE",$U36=""),"",$S36*$U36)</f>
        <v/>
      </c>
      <c r="X36" s="14">
        <f>IF($W36="","",MAX(0,$W36-N($V36)))</f>
        <v/>
      </c>
      <c r="Y36" s="14">
        <f>IF($X36="","",$X36/EF_APLIC)</f>
        <v/>
      </c>
      <c r="Z36" s="15" t="n">
        <v>133</v>
      </c>
      <c r="AA36" s="16">
        <f>IF(OR($Y36="",$Z36=""),"",$Y36*$Z36*10)</f>
        <v/>
      </c>
      <c r="AB36" s="17" t="n">
        <v>0.446</v>
      </c>
      <c r="AC36" s="16">
        <f>IF(OR($AA36="",$AB36=""),"",$AA36*$AB36)</f>
        <v/>
      </c>
      <c r="AD36" s="18">
        <f>IF($S36="PENDENTE","Definir classe/Kc",IF($Y36="","-",IF($Y36&gt;='PARAMETROS'!$B$7/EF_APLIC,"Irrigar",IF($Y36&gt;='PARAMETROS'!$B$7/EF_APLIC*FRAC_ACOMP,"Acompanhar","Aguardar"))))</f>
        <v/>
      </c>
      <c r="AE36" s="18">
        <f>IF(OR($Y36="",$Y36=0),"-",IF($Y36&gt;=2*'PARAMETROS'!$B$7/EF_APLIC,"Alta",IF($Y36&gt;='PARAMETROS'!$B$7/EF_APLIC,"Media","Baixa")))</f>
        <v/>
      </c>
    </row>
    <row r="37">
      <c r="A37" s="5" t="inlineStr">
        <is>
          <t>Pivô 33</t>
        </is>
      </c>
      <c r="B37" s="5" t="inlineStr">
        <is>
          <t>Karitel</t>
        </is>
      </c>
      <c r="C37" s="5" t="inlineStr">
        <is>
          <t>C3Z3/R7</t>
        </is>
      </c>
      <c r="D37" s="5" t="inlineStr">
        <is>
          <t>Modulo 1</t>
        </is>
      </c>
      <c r="E37" s="5" t="inlineStr">
        <is>
          <t>SOJA</t>
        </is>
      </c>
      <c r="F37" s="6" t="inlineStr">
        <is>
          <t>ATAQUE I2X</t>
        </is>
      </c>
      <c r="G37" s="7" t="inlineStr">
        <is>
          <t>TARDIA</t>
        </is>
      </c>
      <c r="H37" s="5" t="inlineStr">
        <is>
          <t>proximo</t>
        </is>
      </c>
      <c r="I37" s="8" t="n">
        <v>46302</v>
      </c>
      <c r="J37" s="9">
        <f>IF($I37="","",DATA_REF-$I37)</f>
        <v/>
      </c>
      <c r="K37" s="9">
        <f>IF($J37="","",MAX(0,$J37-'PARAMETROS'!$B$11))</f>
        <v/>
      </c>
      <c r="L37" s="10">
        <f>IFERROR(INDEX(KC_CURVAS!$C$5:$C$15,MATCH("SOJA|"&amp;$G37,KC_CURVAS!$K$5:$K$15,0)),IFERROR(INDEX(KC_CURVAS!$C$5:$C$15,MATCH("SOJA"&amp;"|",KC_CURVAS!$K$5:$K$15,0)),""))</f>
        <v/>
      </c>
      <c r="M37" s="10">
        <f>IFERROR(INDEX(KC_CURVAS!$D$5:$D$15,MATCH("SOJA|"&amp;$G37,KC_CURVAS!$K$5:$K$15,0)),IFERROR(INDEX(KC_CURVAS!$D$5:$D$15,MATCH("SOJA"&amp;"|",KC_CURVAS!$K$5:$K$15,0)),""))</f>
        <v/>
      </c>
      <c r="N37" s="10">
        <f>IFERROR(INDEX(KC_CURVAS!$E$5:$E$15,MATCH("SOJA|"&amp;$G37,KC_CURVAS!$K$5:$K$15,0)),IFERROR(INDEX(KC_CURVAS!$E$5:$E$15,MATCH("SOJA"&amp;"|",KC_CURVAS!$K$5:$K$15,0)),""))</f>
        <v/>
      </c>
      <c r="O37" s="10">
        <f>IFERROR(INDEX(KC_CURVAS!$F$5:$F$15,MATCH("SOJA|"&amp;$G37,KC_CURVAS!$K$5:$K$15,0)),IFERROR(INDEX(KC_CURVAS!$F$5:$F$15,MATCH("SOJA"&amp;"|",KC_CURVAS!$K$5:$K$15,0)),""))</f>
        <v/>
      </c>
      <c r="P37" s="11">
        <f>IFERROR(INDEX(KC_CURVAS!$G$5:$G$15,MATCH("SOJA|"&amp;$G37,KC_CURVAS!$K$5:$K$15,0)),IFERROR(INDEX(KC_CURVAS!$G$5:$G$15,MATCH("SOJA"&amp;"|",KC_CURVAS!$K$5:$K$15,0)),""))</f>
        <v/>
      </c>
      <c r="Q37" s="11">
        <f>IFERROR(INDEX(KC_CURVAS!$H$5:$H$15,MATCH("SOJA|"&amp;$G37,KC_CURVAS!$K$5:$K$15,0)),IFERROR(INDEX(KC_CURVAS!$H$5:$H$15,MATCH("SOJA"&amp;"|",KC_CURVAS!$K$5:$K$15,0)),""))</f>
        <v/>
      </c>
      <c r="R37" s="11">
        <f>IFERROR(INDEX(KC_CURVAS!$I$5:$I$15,MATCH("SOJA|"&amp;$G37,KC_CURVAS!$K$5:$K$15,0)),IFERROR(INDEX(KC_CURVAS!$I$5:$I$15,MATCH("SOJA"&amp;"|",KC_CURVAS!$K$5:$K$15,0)),""))</f>
        <v/>
      </c>
      <c r="S37" s="12">
        <f>IF(OR($K37="",$L37=""),"PENDENTE",IF($K37&lt;=$L37,$P37,IF($K37&lt;=$L37+$M37,$P37+($Q37-$P37)*($K37-$L37)/$M37,IF($K37&lt;=$L37+$M37+$N37,$Q37,IF($K37&lt;=$L37+$M37+$N37+$O37,$Q37+($R37-$Q37)*($K37-($L37+$M37+$N37))/$O37,$R37)))))</f>
        <v/>
      </c>
      <c r="T37" s="13">
        <f>IF($I37="","",$I37)</f>
        <v/>
      </c>
      <c r="U37" s="14">
        <f>IF($T37="","",SUMIFS(ETO_DIARIO!$B$5:$B$404,ETO_DIARIO!$A$5:$A$404,"&gt;"&amp;$T37,ETO_DIARIO!$A$5:$A$404,"&lt;="&amp;DATA_REF))</f>
        <v/>
      </c>
      <c r="V37" s="14">
        <f>IF($T37="","",SUMIFS(ETO_DIARIO!$C$5:$C$404,ETO_DIARIO!$A$5:$A$404,"&gt;"&amp;$T37,ETO_DIARIO!$A$5:$A$404,"&lt;="&amp;DATA_REF))</f>
        <v/>
      </c>
      <c r="W37" s="14">
        <f>IF(OR($S37="",$S37="PENDENTE",$U37=""),"",$S37*$U37)</f>
        <v/>
      </c>
      <c r="X37" s="14">
        <f>IF($W37="","",MAX(0,$W37-N($V37)))</f>
        <v/>
      </c>
      <c r="Y37" s="14">
        <f>IF($X37="","",$X37/EF_APLIC)</f>
        <v/>
      </c>
      <c r="Z37" s="15" t="n">
        <v>138</v>
      </c>
      <c r="AA37" s="16">
        <f>IF(OR($Y37="",$Z37=""),"",$Y37*$Z37*10)</f>
        <v/>
      </c>
      <c r="AB37" s="17" t="n">
        <v>0.49</v>
      </c>
      <c r="AC37" s="16">
        <f>IF(OR($AA37="",$AB37=""),"",$AA37*$AB37)</f>
        <v/>
      </c>
      <c r="AD37" s="18">
        <f>IF($S37="PENDENTE","Definir classe/Kc",IF($Y37="","-",IF($Y37&gt;='PARAMETROS'!$B$7/EF_APLIC,"Irrigar",IF($Y37&gt;='PARAMETROS'!$B$7/EF_APLIC*FRAC_ACOMP,"Acompanhar","Aguardar"))))</f>
        <v/>
      </c>
      <c r="AE37" s="18">
        <f>IF(OR($Y37="",$Y37=0),"-",IF($Y37&gt;=2*'PARAMETROS'!$B$7/EF_APLIC,"Alta",IF($Y37&gt;='PARAMETROS'!$B$7/EF_APLIC,"Media","Baixa")))</f>
        <v/>
      </c>
    </row>
    <row r="38">
      <c r="A38" s="5" t="inlineStr">
        <is>
          <t>Pivô 34</t>
        </is>
      </c>
      <c r="B38" s="5" t="inlineStr">
        <is>
          <t>Karitel</t>
        </is>
      </c>
      <c r="C38" s="5" t="inlineStr">
        <is>
          <t>C3Z3/R7</t>
        </is>
      </c>
      <c r="D38" s="5" t="inlineStr">
        <is>
          <t>Modulo 1</t>
        </is>
      </c>
      <c r="E38" s="5" t="inlineStr">
        <is>
          <t>CACAU</t>
        </is>
      </c>
      <c r="F38" s="6" t="inlineStr">
        <is>
          <t>PS1319/FA13/CCN51</t>
        </is>
      </c>
      <c r="G38" s="7" t="inlineStr"/>
      <c r="H38" s="5" t="inlineStr">
        <is>
          <t>proximo</t>
        </is>
      </c>
      <c r="I38" s="8" t="n">
        <v>46326</v>
      </c>
      <c r="J38" s="9">
        <f>IF($I38="","",DATA_REF-$I38)</f>
        <v/>
      </c>
      <c r="K38" s="9">
        <f>IF($J38="","",MAX(0,$J38-'PARAMETROS'!$B$11))</f>
        <v/>
      </c>
      <c r="L38" s="10">
        <f>IFERROR(INDEX(KC_CURVAS!$C$5:$C$15,MATCH("CACAU|"&amp;$G38,KC_CURVAS!$K$5:$K$15,0)),IFERROR(INDEX(KC_CURVAS!$C$5:$C$15,MATCH("CACAU"&amp;"|",KC_CURVAS!$K$5:$K$15,0)),""))</f>
        <v/>
      </c>
      <c r="M38" s="10">
        <f>IFERROR(INDEX(KC_CURVAS!$D$5:$D$15,MATCH("CACAU|"&amp;$G38,KC_CURVAS!$K$5:$K$15,0)),IFERROR(INDEX(KC_CURVAS!$D$5:$D$15,MATCH("CACAU"&amp;"|",KC_CURVAS!$K$5:$K$15,0)),""))</f>
        <v/>
      </c>
      <c r="N38" s="10">
        <f>IFERROR(INDEX(KC_CURVAS!$E$5:$E$15,MATCH("CACAU|"&amp;$G38,KC_CURVAS!$K$5:$K$15,0)),IFERROR(INDEX(KC_CURVAS!$E$5:$E$15,MATCH("CACAU"&amp;"|",KC_CURVAS!$K$5:$K$15,0)),""))</f>
        <v/>
      </c>
      <c r="O38" s="10">
        <f>IFERROR(INDEX(KC_CURVAS!$F$5:$F$15,MATCH("CACAU|"&amp;$G38,KC_CURVAS!$K$5:$K$15,0)),IFERROR(INDEX(KC_CURVAS!$F$5:$F$15,MATCH("CACAU"&amp;"|",KC_CURVAS!$K$5:$K$15,0)),""))</f>
        <v/>
      </c>
      <c r="P38" s="11">
        <f>IFERROR(INDEX(KC_CURVAS!$G$5:$G$15,MATCH("CACAU|"&amp;$G38,KC_CURVAS!$K$5:$K$15,0)),IFERROR(INDEX(KC_CURVAS!$G$5:$G$15,MATCH("CACAU"&amp;"|",KC_CURVAS!$K$5:$K$15,0)),""))</f>
        <v/>
      </c>
      <c r="Q38" s="11">
        <f>IFERROR(INDEX(KC_CURVAS!$H$5:$H$15,MATCH("CACAU|"&amp;$G38,KC_CURVAS!$K$5:$K$15,0)),IFERROR(INDEX(KC_CURVAS!$H$5:$H$15,MATCH("CACAU"&amp;"|",KC_CURVAS!$K$5:$K$15,0)),""))</f>
        <v/>
      </c>
      <c r="R38" s="11">
        <f>IFERROR(INDEX(KC_CURVAS!$I$5:$I$15,MATCH("CACAU|"&amp;$G38,KC_CURVAS!$K$5:$K$15,0)),IFERROR(INDEX(KC_CURVAS!$I$5:$I$15,MATCH("CACAU"&amp;"|",KC_CURVAS!$K$5:$K$15,0)),""))</f>
        <v/>
      </c>
      <c r="S38" s="12">
        <f>IF(OR($K38="",$L38=""),"PENDENTE",IF($K38&lt;=$L38,$P38,IF($K38&lt;=$L38+$M38,$P38+($Q38-$P38)*($K38-$L38)/$M38,IF($K38&lt;=$L38+$M38+$N38,$Q38,IF($K38&lt;=$L38+$M38+$N38+$O38,$Q38+($R38-$Q38)*($K38-($L38+$M38+$N38))/$O38,$R38)))))</f>
        <v/>
      </c>
      <c r="T38" s="13">
        <f>IF($I38="","",$I38)</f>
        <v/>
      </c>
      <c r="U38" s="14">
        <f>IF($T38="","",SUMIFS(ETO_DIARIO!$B$5:$B$404,ETO_DIARIO!$A$5:$A$404,"&gt;"&amp;$T38,ETO_DIARIO!$A$5:$A$404,"&lt;="&amp;DATA_REF))</f>
        <v/>
      </c>
      <c r="V38" s="14">
        <f>IF($T38="","",SUMIFS(ETO_DIARIO!$C$5:$C$404,ETO_DIARIO!$A$5:$A$404,"&gt;"&amp;$T38,ETO_DIARIO!$A$5:$A$404,"&lt;="&amp;DATA_REF))</f>
        <v/>
      </c>
      <c r="W38" s="14">
        <f>IF(OR($S38="",$S38="PENDENTE",$U38=""),"",$S38*$U38)</f>
        <v/>
      </c>
      <c r="X38" s="14">
        <f>IF($W38="","",MAX(0,$W38-N($V38)))</f>
        <v/>
      </c>
      <c r="Y38" s="14">
        <f>IF($X38="","",$X38/EF_APLIC)</f>
        <v/>
      </c>
      <c r="Z38" s="15" t="n">
        <v>150</v>
      </c>
      <c r="AA38" s="16">
        <f>IF(OR($Y38="",$Z38=""),"",$Y38*$Z38*10)</f>
        <v/>
      </c>
      <c r="AB38" s="17" t="n">
        <v>0.461</v>
      </c>
      <c r="AC38" s="16">
        <f>IF(OR($AA38="",$AB38=""),"",$AA38*$AB38)</f>
        <v/>
      </c>
      <c r="AD38" s="18">
        <f>IF($S38="PENDENTE","Definir classe/Kc",IF($Y38="","-",IF($Y38&gt;='PARAMETROS'!$B$7/EF_APLIC,"Irrigar",IF($Y38&gt;='PARAMETROS'!$B$7/EF_APLIC*FRAC_ACOMP,"Acompanhar","Aguardar"))))</f>
        <v/>
      </c>
      <c r="AE38" s="18">
        <f>IF(OR($Y38="",$Y38=0),"-",IF($Y38&gt;=2*'PARAMETROS'!$B$7/EF_APLIC,"Alta",IF($Y38&gt;='PARAMETROS'!$B$7/EF_APLIC,"Media","Baixa")))</f>
        <v/>
      </c>
    </row>
    <row r="39">
      <c r="A39" s="5" t="inlineStr">
        <is>
          <t>Pivô 35</t>
        </is>
      </c>
      <c r="B39" s="5" t="inlineStr">
        <is>
          <t>Karitel</t>
        </is>
      </c>
      <c r="C39" s="5" t="inlineStr">
        <is>
          <t>R8</t>
        </is>
      </c>
      <c r="D39" s="5" t="inlineStr">
        <is>
          <t>Modulo 2</t>
        </is>
      </c>
      <c r="E39" s="5" t="inlineStr">
        <is>
          <t>SOJA</t>
        </is>
      </c>
      <c r="F39" s="6" t="inlineStr">
        <is>
          <t>COMPLETA IPRO</t>
        </is>
      </c>
      <c r="G39" s="7" t="inlineStr">
        <is>
          <t>MÉDIA</t>
        </is>
      </c>
      <c r="H39" s="5" t="inlineStr">
        <is>
          <t>proximo</t>
        </is>
      </c>
      <c r="I39" s="8" t="n">
        <v>46303</v>
      </c>
      <c r="J39" s="9">
        <f>IF($I39="","",DATA_REF-$I39)</f>
        <v/>
      </c>
      <c r="K39" s="9">
        <f>IF($J39="","",MAX(0,$J39-'PARAMETROS'!$B$11))</f>
        <v/>
      </c>
      <c r="L39" s="10">
        <f>IFERROR(INDEX(KC_CURVAS!$C$5:$C$15,MATCH("SOJA|"&amp;$G39,KC_CURVAS!$K$5:$K$15,0)),IFERROR(INDEX(KC_CURVAS!$C$5:$C$15,MATCH("SOJA"&amp;"|",KC_CURVAS!$K$5:$K$15,0)),""))</f>
        <v/>
      </c>
      <c r="M39" s="10">
        <f>IFERROR(INDEX(KC_CURVAS!$D$5:$D$15,MATCH("SOJA|"&amp;$G39,KC_CURVAS!$K$5:$K$15,0)),IFERROR(INDEX(KC_CURVAS!$D$5:$D$15,MATCH("SOJA"&amp;"|",KC_CURVAS!$K$5:$K$15,0)),""))</f>
        <v/>
      </c>
      <c r="N39" s="10">
        <f>IFERROR(INDEX(KC_CURVAS!$E$5:$E$15,MATCH("SOJA|"&amp;$G39,KC_CURVAS!$K$5:$K$15,0)),IFERROR(INDEX(KC_CURVAS!$E$5:$E$15,MATCH("SOJA"&amp;"|",KC_CURVAS!$K$5:$K$15,0)),""))</f>
        <v/>
      </c>
      <c r="O39" s="10">
        <f>IFERROR(INDEX(KC_CURVAS!$F$5:$F$15,MATCH("SOJA|"&amp;$G39,KC_CURVAS!$K$5:$K$15,0)),IFERROR(INDEX(KC_CURVAS!$F$5:$F$15,MATCH("SOJA"&amp;"|",KC_CURVAS!$K$5:$K$15,0)),""))</f>
        <v/>
      </c>
      <c r="P39" s="11">
        <f>IFERROR(INDEX(KC_CURVAS!$G$5:$G$15,MATCH("SOJA|"&amp;$G39,KC_CURVAS!$K$5:$K$15,0)),IFERROR(INDEX(KC_CURVAS!$G$5:$G$15,MATCH("SOJA"&amp;"|",KC_CURVAS!$K$5:$K$15,0)),""))</f>
        <v/>
      </c>
      <c r="Q39" s="11">
        <f>IFERROR(INDEX(KC_CURVAS!$H$5:$H$15,MATCH("SOJA|"&amp;$G39,KC_CURVAS!$K$5:$K$15,0)),IFERROR(INDEX(KC_CURVAS!$H$5:$H$15,MATCH("SOJA"&amp;"|",KC_CURVAS!$K$5:$K$15,0)),""))</f>
        <v/>
      </c>
      <c r="R39" s="11">
        <f>IFERROR(INDEX(KC_CURVAS!$I$5:$I$15,MATCH("SOJA|"&amp;$G39,KC_CURVAS!$K$5:$K$15,0)),IFERROR(INDEX(KC_CURVAS!$I$5:$I$15,MATCH("SOJA"&amp;"|",KC_CURVAS!$K$5:$K$15,0)),""))</f>
        <v/>
      </c>
      <c r="S39" s="12">
        <f>IF(OR($K39="",$L39=""),"PENDENTE",IF($K39&lt;=$L39,$P39,IF($K39&lt;=$L39+$M39,$P39+($Q39-$P39)*($K39-$L39)/$M39,IF($K39&lt;=$L39+$M39+$N39,$Q39,IF($K39&lt;=$L39+$M39+$N39+$O39,$Q39+($R39-$Q39)*($K39-($L39+$M39+$N39))/$O39,$R39)))))</f>
        <v/>
      </c>
      <c r="T39" s="13">
        <f>IF($I39="","",$I39)</f>
        <v/>
      </c>
      <c r="U39" s="14">
        <f>IF($T39="","",SUMIFS(ETO_DIARIO!$B$5:$B$404,ETO_DIARIO!$A$5:$A$404,"&gt;"&amp;$T39,ETO_DIARIO!$A$5:$A$404,"&lt;="&amp;DATA_REF))</f>
        <v/>
      </c>
      <c r="V39" s="14">
        <f>IF($T39="","",SUMIFS(ETO_DIARIO!$C$5:$C$404,ETO_DIARIO!$A$5:$A$404,"&gt;"&amp;$T39,ETO_DIARIO!$A$5:$A$404,"&lt;="&amp;DATA_REF))</f>
        <v/>
      </c>
      <c r="W39" s="14">
        <f>IF(OR($S39="",$S39="PENDENTE",$U39=""),"",$S39*$U39)</f>
        <v/>
      </c>
      <c r="X39" s="14">
        <f>IF($W39="","",MAX(0,$W39-N($V39)))</f>
        <v/>
      </c>
      <c r="Y39" s="14">
        <f>IF($X39="","",$X39/EF_APLIC)</f>
        <v/>
      </c>
      <c r="Z39" s="15" t="n">
        <v>150</v>
      </c>
      <c r="AA39" s="16">
        <f>IF(OR($Y39="",$Z39=""),"",$Y39*$Z39*10)</f>
        <v/>
      </c>
      <c r="AB39" s="17" t="n">
        <v>0.5</v>
      </c>
      <c r="AC39" s="16">
        <f>IF(OR($AA39="",$AB39=""),"",$AA39*$AB39)</f>
        <v/>
      </c>
      <c r="AD39" s="18">
        <f>IF($S39="PENDENTE","Definir classe/Kc",IF($Y39="","-",IF($Y39&gt;='PARAMETROS'!$B$7/EF_APLIC,"Irrigar",IF($Y39&gt;='PARAMETROS'!$B$7/EF_APLIC*FRAC_ACOMP,"Acompanhar","Aguardar"))))</f>
        <v/>
      </c>
      <c r="AE39" s="18">
        <f>IF(OR($Y39="",$Y39=0),"-",IF($Y39&gt;=2*'PARAMETROS'!$B$7/EF_APLIC,"Alta",IF($Y39&gt;='PARAMETROS'!$B$7/EF_APLIC,"Media","Baixa")))</f>
        <v/>
      </c>
    </row>
    <row r="40">
      <c r="A40" s="5" t="inlineStr">
        <is>
          <t>Pivô 36</t>
        </is>
      </c>
      <c r="B40" s="5" t="inlineStr">
        <is>
          <t>Karitel</t>
        </is>
      </c>
      <c r="C40" s="5" t="inlineStr">
        <is>
          <t>R8</t>
        </is>
      </c>
      <c r="D40" s="5" t="inlineStr">
        <is>
          <t>Modulo 2</t>
        </is>
      </c>
      <c r="E40" s="5" t="inlineStr">
        <is>
          <t>SOJA</t>
        </is>
      </c>
      <c r="F40" s="6" t="inlineStr">
        <is>
          <t>COMPLETA IPRO</t>
        </is>
      </c>
      <c r="G40" s="7" t="inlineStr">
        <is>
          <t>MÉDIA</t>
        </is>
      </c>
      <c r="H40" s="5" t="inlineStr">
        <is>
          <t>proximo</t>
        </is>
      </c>
      <c r="I40" s="8" t="n">
        <v>46303</v>
      </c>
      <c r="J40" s="9">
        <f>IF($I40="","",DATA_REF-$I40)</f>
        <v/>
      </c>
      <c r="K40" s="9">
        <f>IF($J40="","",MAX(0,$J40-'PARAMETROS'!$B$11))</f>
        <v/>
      </c>
      <c r="L40" s="10">
        <f>IFERROR(INDEX(KC_CURVAS!$C$5:$C$15,MATCH("SOJA|"&amp;$G40,KC_CURVAS!$K$5:$K$15,0)),IFERROR(INDEX(KC_CURVAS!$C$5:$C$15,MATCH("SOJA"&amp;"|",KC_CURVAS!$K$5:$K$15,0)),""))</f>
        <v/>
      </c>
      <c r="M40" s="10">
        <f>IFERROR(INDEX(KC_CURVAS!$D$5:$D$15,MATCH("SOJA|"&amp;$G40,KC_CURVAS!$K$5:$K$15,0)),IFERROR(INDEX(KC_CURVAS!$D$5:$D$15,MATCH("SOJA"&amp;"|",KC_CURVAS!$K$5:$K$15,0)),""))</f>
        <v/>
      </c>
      <c r="N40" s="10">
        <f>IFERROR(INDEX(KC_CURVAS!$E$5:$E$15,MATCH("SOJA|"&amp;$G40,KC_CURVAS!$K$5:$K$15,0)),IFERROR(INDEX(KC_CURVAS!$E$5:$E$15,MATCH("SOJA"&amp;"|",KC_CURVAS!$K$5:$K$15,0)),""))</f>
        <v/>
      </c>
      <c r="O40" s="10">
        <f>IFERROR(INDEX(KC_CURVAS!$F$5:$F$15,MATCH("SOJA|"&amp;$G40,KC_CURVAS!$K$5:$K$15,0)),IFERROR(INDEX(KC_CURVAS!$F$5:$F$15,MATCH("SOJA"&amp;"|",KC_CURVAS!$K$5:$K$15,0)),""))</f>
        <v/>
      </c>
      <c r="P40" s="11">
        <f>IFERROR(INDEX(KC_CURVAS!$G$5:$G$15,MATCH("SOJA|"&amp;$G40,KC_CURVAS!$K$5:$K$15,0)),IFERROR(INDEX(KC_CURVAS!$G$5:$G$15,MATCH("SOJA"&amp;"|",KC_CURVAS!$K$5:$K$15,0)),""))</f>
        <v/>
      </c>
      <c r="Q40" s="11">
        <f>IFERROR(INDEX(KC_CURVAS!$H$5:$H$15,MATCH("SOJA|"&amp;$G40,KC_CURVAS!$K$5:$K$15,0)),IFERROR(INDEX(KC_CURVAS!$H$5:$H$15,MATCH("SOJA"&amp;"|",KC_CURVAS!$K$5:$K$15,0)),""))</f>
        <v/>
      </c>
      <c r="R40" s="11">
        <f>IFERROR(INDEX(KC_CURVAS!$I$5:$I$15,MATCH("SOJA|"&amp;$G40,KC_CURVAS!$K$5:$K$15,0)),IFERROR(INDEX(KC_CURVAS!$I$5:$I$15,MATCH("SOJA"&amp;"|",KC_CURVAS!$K$5:$K$15,0)),""))</f>
        <v/>
      </c>
      <c r="S40" s="12">
        <f>IF(OR($K40="",$L40=""),"PENDENTE",IF($K40&lt;=$L40,$P40,IF($K40&lt;=$L40+$M40,$P40+($Q40-$P40)*($K40-$L40)/$M40,IF($K40&lt;=$L40+$M40+$N40,$Q40,IF($K40&lt;=$L40+$M40+$N40+$O40,$Q40+($R40-$Q40)*($K40-($L40+$M40+$N40))/$O40,$R40)))))</f>
        <v/>
      </c>
      <c r="T40" s="13">
        <f>IF($I40="","",$I40)</f>
        <v/>
      </c>
      <c r="U40" s="14">
        <f>IF($T40="","",SUMIFS(ETO_DIARIO!$B$5:$B$404,ETO_DIARIO!$A$5:$A$404,"&gt;"&amp;$T40,ETO_DIARIO!$A$5:$A$404,"&lt;="&amp;DATA_REF))</f>
        <v/>
      </c>
      <c r="V40" s="14">
        <f>IF($T40="","",SUMIFS(ETO_DIARIO!$C$5:$C$404,ETO_DIARIO!$A$5:$A$404,"&gt;"&amp;$T40,ETO_DIARIO!$A$5:$A$404,"&lt;="&amp;DATA_REF))</f>
        <v/>
      </c>
      <c r="W40" s="14">
        <f>IF(OR($S40="",$S40="PENDENTE",$U40=""),"",$S40*$U40)</f>
        <v/>
      </c>
      <c r="X40" s="14">
        <f>IF($W40="","",MAX(0,$W40-N($V40)))</f>
        <v/>
      </c>
      <c r="Y40" s="14">
        <f>IF($X40="","",$X40/EF_APLIC)</f>
        <v/>
      </c>
      <c r="Z40" s="15" t="n">
        <v>150</v>
      </c>
      <c r="AA40" s="16">
        <f>IF(OR($Y40="",$Z40=""),"",$Y40*$Z40*10)</f>
        <v/>
      </c>
      <c r="AB40" s="17" t="n">
        <v>0.456</v>
      </c>
      <c r="AC40" s="16">
        <f>IF(OR($AA40="",$AB40=""),"",$AA40*$AB40)</f>
        <v/>
      </c>
      <c r="AD40" s="18">
        <f>IF($S40="PENDENTE","Definir classe/Kc",IF($Y40="","-",IF($Y40&gt;='PARAMETROS'!$B$7/EF_APLIC,"Irrigar",IF($Y40&gt;='PARAMETROS'!$B$7/EF_APLIC*FRAC_ACOMP,"Acompanhar","Aguardar"))))</f>
        <v/>
      </c>
      <c r="AE40" s="18">
        <f>IF(OR($Y40="",$Y40=0),"-",IF($Y40&gt;=2*'PARAMETROS'!$B$7/EF_APLIC,"Alta",IF($Y40&gt;='PARAMETROS'!$B$7/EF_APLIC,"Media","Baixa")))</f>
        <v/>
      </c>
    </row>
    <row r="41">
      <c r="A41" s="5" t="inlineStr">
        <is>
          <t>Pivô 37</t>
        </is>
      </c>
      <c r="B41" s="5" t="inlineStr">
        <is>
          <t>Karitel</t>
        </is>
      </c>
      <c r="C41" s="5" t="inlineStr">
        <is>
          <t>R8</t>
        </is>
      </c>
      <c r="D41" s="5" t="inlineStr">
        <is>
          <t>Modulo 2</t>
        </is>
      </c>
      <c r="E41" s="5" t="inlineStr">
        <is>
          <t>SOJA</t>
        </is>
      </c>
      <c r="F41" s="6" t="inlineStr">
        <is>
          <t>COMPLETA IPRO</t>
        </is>
      </c>
      <c r="G41" s="7" t="inlineStr">
        <is>
          <t>MÉDIA</t>
        </is>
      </c>
      <c r="H41" s="5" t="inlineStr">
        <is>
          <t>proximo</t>
        </is>
      </c>
      <c r="I41" s="8" t="n">
        <v>46304</v>
      </c>
      <c r="J41" s="9">
        <f>IF($I41="","",DATA_REF-$I41)</f>
        <v/>
      </c>
      <c r="K41" s="9">
        <f>IF($J41="","",MAX(0,$J41-'PARAMETROS'!$B$11))</f>
        <v/>
      </c>
      <c r="L41" s="10">
        <f>IFERROR(INDEX(KC_CURVAS!$C$5:$C$15,MATCH("SOJA|"&amp;$G41,KC_CURVAS!$K$5:$K$15,0)),IFERROR(INDEX(KC_CURVAS!$C$5:$C$15,MATCH("SOJA"&amp;"|",KC_CURVAS!$K$5:$K$15,0)),""))</f>
        <v/>
      </c>
      <c r="M41" s="10">
        <f>IFERROR(INDEX(KC_CURVAS!$D$5:$D$15,MATCH("SOJA|"&amp;$G41,KC_CURVAS!$K$5:$K$15,0)),IFERROR(INDEX(KC_CURVAS!$D$5:$D$15,MATCH("SOJA"&amp;"|",KC_CURVAS!$K$5:$K$15,0)),""))</f>
        <v/>
      </c>
      <c r="N41" s="10">
        <f>IFERROR(INDEX(KC_CURVAS!$E$5:$E$15,MATCH("SOJA|"&amp;$G41,KC_CURVAS!$K$5:$K$15,0)),IFERROR(INDEX(KC_CURVAS!$E$5:$E$15,MATCH("SOJA"&amp;"|",KC_CURVAS!$K$5:$K$15,0)),""))</f>
        <v/>
      </c>
      <c r="O41" s="10">
        <f>IFERROR(INDEX(KC_CURVAS!$F$5:$F$15,MATCH("SOJA|"&amp;$G41,KC_CURVAS!$K$5:$K$15,0)),IFERROR(INDEX(KC_CURVAS!$F$5:$F$15,MATCH("SOJA"&amp;"|",KC_CURVAS!$K$5:$K$15,0)),""))</f>
        <v/>
      </c>
      <c r="P41" s="11">
        <f>IFERROR(INDEX(KC_CURVAS!$G$5:$G$15,MATCH("SOJA|"&amp;$G41,KC_CURVAS!$K$5:$K$15,0)),IFERROR(INDEX(KC_CURVAS!$G$5:$G$15,MATCH("SOJA"&amp;"|",KC_CURVAS!$K$5:$K$15,0)),""))</f>
        <v/>
      </c>
      <c r="Q41" s="11">
        <f>IFERROR(INDEX(KC_CURVAS!$H$5:$H$15,MATCH("SOJA|"&amp;$G41,KC_CURVAS!$K$5:$K$15,0)),IFERROR(INDEX(KC_CURVAS!$H$5:$H$15,MATCH("SOJA"&amp;"|",KC_CURVAS!$K$5:$K$15,0)),""))</f>
        <v/>
      </c>
      <c r="R41" s="11">
        <f>IFERROR(INDEX(KC_CURVAS!$I$5:$I$15,MATCH("SOJA|"&amp;$G41,KC_CURVAS!$K$5:$K$15,0)),IFERROR(INDEX(KC_CURVAS!$I$5:$I$15,MATCH("SOJA"&amp;"|",KC_CURVAS!$K$5:$K$15,0)),""))</f>
        <v/>
      </c>
      <c r="S41" s="12">
        <f>IF(OR($K41="",$L41=""),"PENDENTE",IF($K41&lt;=$L41,$P41,IF($K41&lt;=$L41+$M41,$P41+($Q41-$P41)*($K41-$L41)/$M41,IF($K41&lt;=$L41+$M41+$N41,$Q41,IF($K41&lt;=$L41+$M41+$N41+$O41,$Q41+($R41-$Q41)*($K41-($L41+$M41+$N41))/$O41,$R41)))))</f>
        <v/>
      </c>
      <c r="T41" s="13">
        <f>IF($I41="","",$I41)</f>
        <v/>
      </c>
      <c r="U41" s="14">
        <f>IF($T41="","",SUMIFS(ETO_DIARIO!$B$5:$B$404,ETO_DIARIO!$A$5:$A$404,"&gt;"&amp;$T41,ETO_DIARIO!$A$5:$A$404,"&lt;="&amp;DATA_REF))</f>
        <v/>
      </c>
      <c r="V41" s="14">
        <f>IF($T41="","",SUMIFS(ETO_DIARIO!$C$5:$C$404,ETO_DIARIO!$A$5:$A$404,"&gt;"&amp;$T41,ETO_DIARIO!$A$5:$A$404,"&lt;="&amp;DATA_REF))</f>
        <v/>
      </c>
      <c r="W41" s="14">
        <f>IF(OR($S41="",$S41="PENDENTE",$U41=""),"",$S41*$U41)</f>
        <v/>
      </c>
      <c r="X41" s="14">
        <f>IF($W41="","",MAX(0,$W41-N($V41)))</f>
        <v/>
      </c>
      <c r="Y41" s="14">
        <f>IF($X41="","",$X41/EF_APLIC)</f>
        <v/>
      </c>
      <c r="Z41" s="15" t="n">
        <v>72</v>
      </c>
      <c r="AA41" s="16">
        <f>IF(OR($Y41="",$Z41=""),"",$Y41*$Z41*10)</f>
        <v/>
      </c>
      <c r="AB41" s="17" t="n">
        <v>0.443</v>
      </c>
      <c r="AC41" s="16">
        <f>IF(OR($AA41="",$AB41=""),"",$AA41*$AB41)</f>
        <v/>
      </c>
      <c r="AD41" s="18">
        <f>IF($S41="PENDENTE","Definir classe/Kc",IF($Y41="","-",IF($Y41&gt;='PARAMETROS'!$B$7/EF_APLIC,"Irrigar",IF($Y41&gt;='PARAMETROS'!$B$7/EF_APLIC*FRAC_ACOMP,"Acompanhar","Aguardar"))))</f>
        <v/>
      </c>
      <c r="AE41" s="18">
        <f>IF(OR($Y41="",$Y41=0),"-",IF($Y41&gt;=2*'PARAMETROS'!$B$7/EF_APLIC,"Alta",IF($Y41&gt;='PARAMETROS'!$B$7/EF_APLIC,"Media","Baixa")))</f>
        <v/>
      </c>
    </row>
    <row r="42">
      <c r="A42" s="5" t="inlineStr">
        <is>
          <t>Pivô 38</t>
        </is>
      </c>
      <c r="B42" s="5" t="inlineStr">
        <is>
          <t>Karitel</t>
        </is>
      </c>
      <c r="C42" s="5" t="inlineStr">
        <is>
          <t>R8</t>
        </is>
      </c>
      <c r="D42" s="5" t="inlineStr">
        <is>
          <t>Modulo 2</t>
        </is>
      </c>
      <c r="E42" s="5" t="inlineStr">
        <is>
          <t>SOJA</t>
        </is>
      </c>
      <c r="F42" s="6" t="inlineStr">
        <is>
          <t>COMPLETA IPRO</t>
        </is>
      </c>
      <c r="G42" s="7" t="inlineStr">
        <is>
          <t>MÉDIA</t>
        </is>
      </c>
      <c r="H42" s="5" t="inlineStr">
        <is>
          <t>proximo</t>
        </is>
      </c>
      <c r="I42" s="8" t="n">
        <v>46304</v>
      </c>
      <c r="J42" s="9">
        <f>IF($I42="","",DATA_REF-$I42)</f>
        <v/>
      </c>
      <c r="K42" s="9">
        <f>IF($J42="","",MAX(0,$J42-'PARAMETROS'!$B$11))</f>
        <v/>
      </c>
      <c r="L42" s="10">
        <f>IFERROR(INDEX(KC_CURVAS!$C$5:$C$15,MATCH("SOJA|"&amp;$G42,KC_CURVAS!$K$5:$K$15,0)),IFERROR(INDEX(KC_CURVAS!$C$5:$C$15,MATCH("SOJA"&amp;"|",KC_CURVAS!$K$5:$K$15,0)),""))</f>
        <v/>
      </c>
      <c r="M42" s="10">
        <f>IFERROR(INDEX(KC_CURVAS!$D$5:$D$15,MATCH("SOJA|"&amp;$G42,KC_CURVAS!$K$5:$K$15,0)),IFERROR(INDEX(KC_CURVAS!$D$5:$D$15,MATCH("SOJA"&amp;"|",KC_CURVAS!$K$5:$K$15,0)),""))</f>
        <v/>
      </c>
      <c r="N42" s="10">
        <f>IFERROR(INDEX(KC_CURVAS!$E$5:$E$15,MATCH("SOJA|"&amp;$G42,KC_CURVAS!$K$5:$K$15,0)),IFERROR(INDEX(KC_CURVAS!$E$5:$E$15,MATCH("SOJA"&amp;"|",KC_CURVAS!$K$5:$K$15,0)),""))</f>
        <v/>
      </c>
      <c r="O42" s="10">
        <f>IFERROR(INDEX(KC_CURVAS!$F$5:$F$15,MATCH("SOJA|"&amp;$G42,KC_CURVAS!$K$5:$K$15,0)),IFERROR(INDEX(KC_CURVAS!$F$5:$F$15,MATCH("SOJA"&amp;"|",KC_CURVAS!$K$5:$K$15,0)),""))</f>
        <v/>
      </c>
      <c r="P42" s="11">
        <f>IFERROR(INDEX(KC_CURVAS!$G$5:$G$15,MATCH("SOJA|"&amp;$G42,KC_CURVAS!$K$5:$K$15,0)),IFERROR(INDEX(KC_CURVAS!$G$5:$G$15,MATCH("SOJA"&amp;"|",KC_CURVAS!$K$5:$K$15,0)),""))</f>
        <v/>
      </c>
      <c r="Q42" s="11">
        <f>IFERROR(INDEX(KC_CURVAS!$H$5:$H$15,MATCH("SOJA|"&amp;$G42,KC_CURVAS!$K$5:$K$15,0)),IFERROR(INDEX(KC_CURVAS!$H$5:$H$15,MATCH("SOJA"&amp;"|",KC_CURVAS!$K$5:$K$15,0)),""))</f>
        <v/>
      </c>
      <c r="R42" s="11">
        <f>IFERROR(INDEX(KC_CURVAS!$I$5:$I$15,MATCH("SOJA|"&amp;$G42,KC_CURVAS!$K$5:$K$15,0)),IFERROR(INDEX(KC_CURVAS!$I$5:$I$15,MATCH("SOJA"&amp;"|",KC_CURVAS!$K$5:$K$15,0)),""))</f>
        <v/>
      </c>
      <c r="S42" s="12">
        <f>IF(OR($K42="",$L42=""),"PENDENTE",IF($K42&lt;=$L42,$P42,IF($K42&lt;=$L42+$M42,$P42+($Q42-$P42)*($K42-$L42)/$M42,IF($K42&lt;=$L42+$M42+$N42,$Q42,IF($K42&lt;=$L42+$M42+$N42+$O42,$Q42+($R42-$Q42)*($K42-($L42+$M42+$N42))/$O42,$R42)))))</f>
        <v/>
      </c>
      <c r="T42" s="13">
        <f>IF($I42="","",$I42)</f>
        <v/>
      </c>
      <c r="U42" s="14">
        <f>IF($T42="","",SUMIFS(ETO_DIARIO!$B$5:$B$404,ETO_DIARIO!$A$5:$A$404,"&gt;"&amp;$T42,ETO_DIARIO!$A$5:$A$404,"&lt;="&amp;DATA_REF))</f>
        <v/>
      </c>
      <c r="V42" s="14">
        <f>IF($T42="","",SUMIFS(ETO_DIARIO!$C$5:$C$404,ETO_DIARIO!$A$5:$A$404,"&gt;"&amp;$T42,ETO_DIARIO!$A$5:$A$404,"&lt;="&amp;DATA_REF))</f>
        <v/>
      </c>
      <c r="W42" s="14">
        <f>IF(OR($S42="",$S42="PENDENTE",$U42=""),"",$S42*$U42)</f>
        <v/>
      </c>
      <c r="X42" s="14">
        <f>IF($W42="","",MAX(0,$W42-N($V42)))</f>
        <v/>
      </c>
      <c r="Y42" s="14">
        <f>IF($X42="","",$X42/EF_APLIC)</f>
        <v/>
      </c>
      <c r="Z42" s="15" t="n">
        <v>141</v>
      </c>
      <c r="AA42" s="16">
        <f>IF(OR($Y42="",$Z42=""),"",$Y42*$Z42*10)</f>
        <v/>
      </c>
      <c r="AB42" s="17" t="n">
        <v>0.457</v>
      </c>
      <c r="AC42" s="16">
        <f>IF(OR($AA42="",$AB42=""),"",$AA42*$AB42)</f>
        <v/>
      </c>
      <c r="AD42" s="18">
        <f>IF($S42="PENDENTE","Definir classe/Kc",IF($Y42="","-",IF($Y42&gt;='PARAMETROS'!$B$7/EF_APLIC,"Irrigar",IF($Y42&gt;='PARAMETROS'!$B$7/EF_APLIC*FRAC_ACOMP,"Acompanhar","Aguardar"))))</f>
        <v/>
      </c>
      <c r="AE42" s="18">
        <f>IF(OR($Y42="",$Y42=0),"-",IF($Y42&gt;=2*'PARAMETROS'!$B$7/EF_APLIC,"Alta",IF($Y42&gt;='PARAMETROS'!$B$7/EF_APLIC,"Media","Baixa")))</f>
        <v/>
      </c>
    </row>
    <row r="43">
      <c r="A43" s="5" t="inlineStr">
        <is>
          <t>Pivô 39</t>
        </is>
      </c>
      <c r="B43" s="5" t="inlineStr">
        <is>
          <t>Karitel</t>
        </is>
      </c>
      <c r="C43" s="5" t="inlineStr">
        <is>
          <t>R10</t>
        </is>
      </c>
      <c r="D43" s="5" t="inlineStr">
        <is>
          <t>Modulo 2</t>
        </is>
      </c>
      <c r="E43" s="5" t="inlineStr">
        <is>
          <t>ALGODÃO</t>
        </is>
      </c>
      <c r="F43" s="6" t="inlineStr">
        <is>
          <t>FM 979 STP/IMA 303 B3XF/DP 2335 B3XF/IMA 712 B3XF/GA 912 B3XF/IMA 497 B3XF</t>
        </is>
      </c>
      <c r="G43" s="7" t="inlineStr"/>
      <c r="H43" s="5" t="inlineStr">
        <is>
          <t>proximo</t>
        </is>
      </c>
      <c r="I43" s="8" t="n">
        <v>46360</v>
      </c>
      <c r="J43" s="9">
        <f>IF($I43="","",DATA_REF-$I43)</f>
        <v/>
      </c>
      <c r="K43" s="9">
        <f>IF($J43="","",MAX(0,$J43-'PARAMETROS'!$B$11))</f>
        <v/>
      </c>
      <c r="L43" s="10">
        <f>IFERROR(INDEX(KC_CURVAS!$C$5:$C$15,MATCH("ALGODÃO|"&amp;$G43,KC_CURVAS!$K$5:$K$15,0)),IFERROR(INDEX(KC_CURVAS!$C$5:$C$15,MATCH("ALGODÃO"&amp;"|",KC_CURVAS!$K$5:$K$15,0)),""))</f>
        <v/>
      </c>
      <c r="M43" s="10">
        <f>IFERROR(INDEX(KC_CURVAS!$D$5:$D$15,MATCH("ALGODÃO|"&amp;$G43,KC_CURVAS!$K$5:$K$15,0)),IFERROR(INDEX(KC_CURVAS!$D$5:$D$15,MATCH("ALGODÃO"&amp;"|",KC_CURVAS!$K$5:$K$15,0)),""))</f>
        <v/>
      </c>
      <c r="N43" s="10">
        <f>IFERROR(INDEX(KC_CURVAS!$E$5:$E$15,MATCH("ALGODÃO|"&amp;$G43,KC_CURVAS!$K$5:$K$15,0)),IFERROR(INDEX(KC_CURVAS!$E$5:$E$15,MATCH("ALGODÃO"&amp;"|",KC_CURVAS!$K$5:$K$15,0)),""))</f>
        <v/>
      </c>
      <c r="O43" s="10">
        <f>IFERROR(INDEX(KC_CURVAS!$F$5:$F$15,MATCH("ALGODÃO|"&amp;$G43,KC_CURVAS!$K$5:$K$15,0)),IFERROR(INDEX(KC_CURVAS!$F$5:$F$15,MATCH("ALGODÃO"&amp;"|",KC_CURVAS!$K$5:$K$15,0)),""))</f>
        <v/>
      </c>
      <c r="P43" s="11">
        <f>IFERROR(INDEX(KC_CURVAS!$G$5:$G$15,MATCH("ALGODÃO|"&amp;$G43,KC_CURVAS!$K$5:$K$15,0)),IFERROR(INDEX(KC_CURVAS!$G$5:$G$15,MATCH("ALGODÃO"&amp;"|",KC_CURVAS!$K$5:$K$15,0)),""))</f>
        <v/>
      </c>
      <c r="Q43" s="11">
        <f>IFERROR(INDEX(KC_CURVAS!$H$5:$H$15,MATCH("ALGODÃO|"&amp;$G43,KC_CURVAS!$K$5:$K$15,0)),IFERROR(INDEX(KC_CURVAS!$H$5:$H$15,MATCH("ALGODÃO"&amp;"|",KC_CURVAS!$K$5:$K$15,0)),""))</f>
        <v/>
      </c>
      <c r="R43" s="11">
        <f>IFERROR(INDEX(KC_CURVAS!$I$5:$I$15,MATCH("ALGODÃO|"&amp;$G43,KC_CURVAS!$K$5:$K$15,0)),IFERROR(INDEX(KC_CURVAS!$I$5:$I$15,MATCH("ALGODÃO"&amp;"|",KC_CURVAS!$K$5:$K$15,0)),""))</f>
        <v/>
      </c>
      <c r="S43" s="12">
        <f>IF(OR($K43="",$L43=""),"PENDENTE",IF($K43&lt;=$L43,$P43,IF($K43&lt;=$L43+$M43,$P43+($Q43-$P43)*($K43-$L43)/$M43,IF($K43&lt;=$L43+$M43+$N43,$Q43,IF($K43&lt;=$L43+$M43+$N43+$O43,$Q43+($R43-$Q43)*($K43-($L43+$M43+$N43))/$O43,$R43)))))</f>
        <v/>
      </c>
      <c r="T43" s="13">
        <f>IF($I43="","",$I43)</f>
        <v/>
      </c>
      <c r="U43" s="14">
        <f>IF($T43="","",SUMIFS(ETO_DIARIO!$B$5:$B$404,ETO_DIARIO!$A$5:$A$404,"&gt;"&amp;$T43,ETO_DIARIO!$A$5:$A$404,"&lt;="&amp;DATA_REF))</f>
        <v/>
      </c>
      <c r="V43" s="14">
        <f>IF($T43="","",SUMIFS(ETO_DIARIO!$C$5:$C$404,ETO_DIARIO!$A$5:$A$404,"&gt;"&amp;$T43,ETO_DIARIO!$A$5:$A$404,"&lt;="&amp;DATA_REF))</f>
        <v/>
      </c>
      <c r="W43" s="14">
        <f>IF(OR($S43="",$S43="PENDENTE",$U43=""),"",$S43*$U43)</f>
        <v/>
      </c>
      <c r="X43" s="14">
        <f>IF($W43="","",MAX(0,$W43-N($V43)))</f>
        <v/>
      </c>
      <c r="Y43" s="14">
        <f>IF($X43="","",$X43/EF_APLIC)</f>
        <v/>
      </c>
      <c r="Z43" s="15" t="n">
        <v>100</v>
      </c>
      <c r="AA43" s="16">
        <f>IF(OR($Y43="",$Z43=""),"",$Y43*$Z43*10)</f>
        <v/>
      </c>
      <c r="AB43" s="17" t="n">
        <v>0.461</v>
      </c>
      <c r="AC43" s="16">
        <f>IF(OR($AA43="",$AB43=""),"",$AA43*$AB43)</f>
        <v/>
      </c>
      <c r="AD43" s="18">
        <f>IF($S43="PENDENTE","Definir classe/Kc",IF($Y43="","-",IF($Y43&gt;='PARAMETROS'!$B$7/EF_APLIC,"Irrigar",IF($Y43&gt;='PARAMETROS'!$B$7/EF_APLIC*FRAC_ACOMP,"Acompanhar","Aguardar"))))</f>
        <v/>
      </c>
      <c r="AE43" s="18">
        <f>IF(OR($Y43="",$Y43=0),"-",IF($Y43&gt;=2*'PARAMETROS'!$B$7/EF_APLIC,"Alta",IF($Y43&gt;='PARAMETROS'!$B$7/EF_APLIC,"Media","Baixa")))</f>
        <v/>
      </c>
    </row>
    <row r="44">
      <c r="A44" s="5" t="inlineStr">
        <is>
          <t>Pivô 40</t>
        </is>
      </c>
      <c r="B44" s="5" t="inlineStr">
        <is>
          <t>Karitel</t>
        </is>
      </c>
      <c r="C44" s="5" t="inlineStr">
        <is>
          <t>R10</t>
        </is>
      </c>
      <c r="D44" s="5" t="inlineStr">
        <is>
          <t>Modulo 2</t>
        </is>
      </c>
      <c r="E44" s="5" t="inlineStr">
        <is>
          <t>SOJA</t>
        </is>
      </c>
      <c r="F44" s="6" t="inlineStr">
        <is>
          <t>BMX Olimpo IPRO</t>
        </is>
      </c>
      <c r="G44" s="7" t="inlineStr">
        <is>
          <t>MÉDIA</t>
        </is>
      </c>
      <c r="H44" s="5" t="inlineStr">
        <is>
          <t>proximo</t>
        </is>
      </c>
      <c r="I44" s="8" t="n">
        <v>46305</v>
      </c>
      <c r="J44" s="9">
        <f>IF($I44="","",DATA_REF-$I44)</f>
        <v/>
      </c>
      <c r="K44" s="9">
        <f>IF($J44="","",MAX(0,$J44-'PARAMETROS'!$B$11))</f>
        <v/>
      </c>
      <c r="L44" s="10">
        <f>IFERROR(INDEX(KC_CURVAS!$C$5:$C$15,MATCH("SOJA|"&amp;$G44,KC_CURVAS!$K$5:$K$15,0)),IFERROR(INDEX(KC_CURVAS!$C$5:$C$15,MATCH("SOJA"&amp;"|",KC_CURVAS!$K$5:$K$15,0)),""))</f>
        <v/>
      </c>
      <c r="M44" s="10">
        <f>IFERROR(INDEX(KC_CURVAS!$D$5:$D$15,MATCH("SOJA|"&amp;$G44,KC_CURVAS!$K$5:$K$15,0)),IFERROR(INDEX(KC_CURVAS!$D$5:$D$15,MATCH("SOJA"&amp;"|",KC_CURVAS!$K$5:$K$15,0)),""))</f>
        <v/>
      </c>
      <c r="N44" s="10">
        <f>IFERROR(INDEX(KC_CURVAS!$E$5:$E$15,MATCH("SOJA|"&amp;$G44,KC_CURVAS!$K$5:$K$15,0)),IFERROR(INDEX(KC_CURVAS!$E$5:$E$15,MATCH("SOJA"&amp;"|",KC_CURVAS!$K$5:$K$15,0)),""))</f>
        <v/>
      </c>
      <c r="O44" s="10">
        <f>IFERROR(INDEX(KC_CURVAS!$F$5:$F$15,MATCH("SOJA|"&amp;$G44,KC_CURVAS!$K$5:$K$15,0)),IFERROR(INDEX(KC_CURVAS!$F$5:$F$15,MATCH("SOJA"&amp;"|",KC_CURVAS!$K$5:$K$15,0)),""))</f>
        <v/>
      </c>
      <c r="P44" s="11">
        <f>IFERROR(INDEX(KC_CURVAS!$G$5:$G$15,MATCH("SOJA|"&amp;$G44,KC_CURVAS!$K$5:$K$15,0)),IFERROR(INDEX(KC_CURVAS!$G$5:$G$15,MATCH("SOJA"&amp;"|",KC_CURVAS!$K$5:$K$15,0)),""))</f>
        <v/>
      </c>
      <c r="Q44" s="11">
        <f>IFERROR(INDEX(KC_CURVAS!$H$5:$H$15,MATCH("SOJA|"&amp;$G44,KC_CURVAS!$K$5:$K$15,0)),IFERROR(INDEX(KC_CURVAS!$H$5:$H$15,MATCH("SOJA"&amp;"|",KC_CURVAS!$K$5:$K$15,0)),""))</f>
        <v/>
      </c>
      <c r="R44" s="11">
        <f>IFERROR(INDEX(KC_CURVAS!$I$5:$I$15,MATCH("SOJA|"&amp;$G44,KC_CURVAS!$K$5:$K$15,0)),IFERROR(INDEX(KC_CURVAS!$I$5:$I$15,MATCH("SOJA"&amp;"|",KC_CURVAS!$K$5:$K$15,0)),""))</f>
        <v/>
      </c>
      <c r="S44" s="12">
        <f>IF(OR($K44="",$L44=""),"PENDENTE",IF($K44&lt;=$L44,$P44,IF($K44&lt;=$L44+$M44,$P44+($Q44-$P44)*($K44-$L44)/$M44,IF($K44&lt;=$L44+$M44+$N44,$Q44,IF($K44&lt;=$L44+$M44+$N44+$O44,$Q44+($R44-$Q44)*($K44-($L44+$M44+$N44))/$O44,$R44)))))</f>
        <v/>
      </c>
      <c r="T44" s="13">
        <f>IF($I44="","",$I44)</f>
        <v/>
      </c>
      <c r="U44" s="14">
        <f>IF($T44="","",SUMIFS(ETO_DIARIO!$B$5:$B$404,ETO_DIARIO!$A$5:$A$404,"&gt;"&amp;$T44,ETO_DIARIO!$A$5:$A$404,"&lt;="&amp;DATA_REF))</f>
        <v/>
      </c>
      <c r="V44" s="14">
        <f>IF($T44="","",SUMIFS(ETO_DIARIO!$C$5:$C$404,ETO_DIARIO!$A$5:$A$404,"&gt;"&amp;$T44,ETO_DIARIO!$A$5:$A$404,"&lt;="&amp;DATA_REF))</f>
        <v/>
      </c>
      <c r="W44" s="14">
        <f>IF(OR($S44="",$S44="PENDENTE",$U44=""),"",$S44*$U44)</f>
        <v/>
      </c>
      <c r="X44" s="14">
        <f>IF($W44="","",MAX(0,$W44-N($V44)))</f>
        <v/>
      </c>
      <c r="Y44" s="14">
        <f>IF($X44="","",$X44/EF_APLIC)</f>
        <v/>
      </c>
      <c r="Z44" s="15" t="n">
        <v>150</v>
      </c>
      <c r="AA44" s="16">
        <f>IF(OR($Y44="",$Z44=""),"",$Y44*$Z44*10)</f>
        <v/>
      </c>
      <c r="AB44" s="17" t="n">
        <v>0.451</v>
      </c>
      <c r="AC44" s="16">
        <f>IF(OR($AA44="",$AB44=""),"",$AA44*$AB44)</f>
        <v/>
      </c>
      <c r="AD44" s="18">
        <f>IF($S44="PENDENTE","Definir classe/Kc",IF($Y44="","-",IF($Y44&gt;='PARAMETROS'!$B$7/EF_APLIC,"Irrigar",IF($Y44&gt;='PARAMETROS'!$B$7/EF_APLIC*FRAC_ACOMP,"Acompanhar","Aguardar"))))</f>
        <v/>
      </c>
      <c r="AE44" s="18">
        <f>IF(OR($Y44="",$Y44=0),"-",IF($Y44&gt;=2*'PARAMETROS'!$B$7/EF_APLIC,"Alta",IF($Y44&gt;='PARAMETROS'!$B$7/EF_APLIC,"Media","Baixa")))</f>
        <v/>
      </c>
    </row>
    <row r="45">
      <c r="A45" s="5" t="inlineStr">
        <is>
          <t>Pivô 41</t>
        </is>
      </c>
      <c r="B45" s="5" t="inlineStr">
        <is>
          <t>Karitel</t>
        </is>
      </c>
      <c r="C45" s="5" t="inlineStr">
        <is>
          <t>R9</t>
        </is>
      </c>
      <c r="D45" s="5" t="inlineStr">
        <is>
          <t>Modulo 2</t>
        </is>
      </c>
      <c r="E45" s="5" t="inlineStr">
        <is>
          <t>SOJA</t>
        </is>
      </c>
      <c r="F45" s="6" t="inlineStr">
        <is>
          <t>NEO 761 I2X</t>
        </is>
      </c>
      <c r="G45" s="7" t="inlineStr">
        <is>
          <t>PRECOCE</t>
        </is>
      </c>
      <c r="H45" s="5" t="inlineStr">
        <is>
          <t>proximo</t>
        </is>
      </c>
      <c r="I45" s="8" t="n">
        <v>46305</v>
      </c>
      <c r="J45" s="9">
        <f>IF($I45="","",DATA_REF-$I45)</f>
        <v/>
      </c>
      <c r="K45" s="9">
        <f>IF($J45="","",MAX(0,$J45-'PARAMETROS'!$B$11))</f>
        <v/>
      </c>
      <c r="L45" s="10">
        <f>IFERROR(INDEX(KC_CURVAS!$C$5:$C$15,MATCH("SOJA|"&amp;$G45,KC_CURVAS!$K$5:$K$15,0)),IFERROR(INDEX(KC_CURVAS!$C$5:$C$15,MATCH("SOJA"&amp;"|",KC_CURVAS!$K$5:$K$15,0)),""))</f>
        <v/>
      </c>
      <c r="M45" s="10">
        <f>IFERROR(INDEX(KC_CURVAS!$D$5:$D$15,MATCH("SOJA|"&amp;$G45,KC_CURVAS!$K$5:$K$15,0)),IFERROR(INDEX(KC_CURVAS!$D$5:$D$15,MATCH("SOJA"&amp;"|",KC_CURVAS!$K$5:$K$15,0)),""))</f>
        <v/>
      </c>
      <c r="N45" s="10">
        <f>IFERROR(INDEX(KC_CURVAS!$E$5:$E$15,MATCH("SOJA|"&amp;$G45,KC_CURVAS!$K$5:$K$15,0)),IFERROR(INDEX(KC_CURVAS!$E$5:$E$15,MATCH("SOJA"&amp;"|",KC_CURVAS!$K$5:$K$15,0)),""))</f>
        <v/>
      </c>
      <c r="O45" s="10">
        <f>IFERROR(INDEX(KC_CURVAS!$F$5:$F$15,MATCH("SOJA|"&amp;$G45,KC_CURVAS!$K$5:$K$15,0)),IFERROR(INDEX(KC_CURVAS!$F$5:$F$15,MATCH("SOJA"&amp;"|",KC_CURVAS!$K$5:$K$15,0)),""))</f>
        <v/>
      </c>
      <c r="P45" s="11">
        <f>IFERROR(INDEX(KC_CURVAS!$G$5:$G$15,MATCH("SOJA|"&amp;$G45,KC_CURVAS!$K$5:$K$15,0)),IFERROR(INDEX(KC_CURVAS!$G$5:$G$15,MATCH("SOJA"&amp;"|",KC_CURVAS!$K$5:$K$15,0)),""))</f>
        <v/>
      </c>
      <c r="Q45" s="11">
        <f>IFERROR(INDEX(KC_CURVAS!$H$5:$H$15,MATCH("SOJA|"&amp;$G45,KC_CURVAS!$K$5:$K$15,0)),IFERROR(INDEX(KC_CURVAS!$H$5:$H$15,MATCH("SOJA"&amp;"|",KC_CURVAS!$K$5:$K$15,0)),""))</f>
        <v/>
      </c>
      <c r="R45" s="11">
        <f>IFERROR(INDEX(KC_CURVAS!$I$5:$I$15,MATCH("SOJA|"&amp;$G45,KC_CURVAS!$K$5:$K$15,0)),IFERROR(INDEX(KC_CURVAS!$I$5:$I$15,MATCH("SOJA"&amp;"|",KC_CURVAS!$K$5:$K$15,0)),""))</f>
        <v/>
      </c>
      <c r="S45" s="12">
        <f>IF(OR($K45="",$L45=""),"PENDENTE",IF($K45&lt;=$L45,$P45,IF($K45&lt;=$L45+$M45,$P45+($Q45-$P45)*($K45-$L45)/$M45,IF($K45&lt;=$L45+$M45+$N45,$Q45,IF($K45&lt;=$L45+$M45+$N45+$O45,$Q45+($R45-$Q45)*($K45-($L45+$M45+$N45))/$O45,$R45)))))</f>
        <v/>
      </c>
      <c r="T45" s="13">
        <f>IF($I45="","",$I45)</f>
        <v/>
      </c>
      <c r="U45" s="14">
        <f>IF($T45="","",SUMIFS(ETO_DIARIO!$B$5:$B$404,ETO_DIARIO!$A$5:$A$404,"&gt;"&amp;$T45,ETO_DIARIO!$A$5:$A$404,"&lt;="&amp;DATA_REF))</f>
        <v/>
      </c>
      <c r="V45" s="14">
        <f>IF($T45="","",SUMIFS(ETO_DIARIO!$C$5:$C$404,ETO_DIARIO!$A$5:$A$404,"&gt;"&amp;$T45,ETO_DIARIO!$A$5:$A$404,"&lt;="&amp;DATA_REF))</f>
        <v/>
      </c>
      <c r="W45" s="14">
        <f>IF(OR($S45="",$S45="PENDENTE",$U45=""),"",$S45*$U45)</f>
        <v/>
      </c>
      <c r="X45" s="14">
        <f>IF($W45="","",MAX(0,$W45-N($V45)))</f>
        <v/>
      </c>
      <c r="Y45" s="14">
        <f>IF($X45="","",$X45/EF_APLIC)</f>
        <v/>
      </c>
      <c r="Z45" s="15" t="n">
        <v>138</v>
      </c>
      <c r="AA45" s="16">
        <f>IF(OR($Y45="",$Z45=""),"",$Y45*$Z45*10)</f>
        <v/>
      </c>
      <c r="AB45" s="17" t="n">
        <v>0.452</v>
      </c>
      <c r="AC45" s="16">
        <f>IF(OR($AA45="",$AB45=""),"",$AA45*$AB45)</f>
        <v/>
      </c>
      <c r="AD45" s="18">
        <f>IF($S45="PENDENTE","Definir classe/Kc",IF($Y45="","-",IF($Y45&gt;='PARAMETROS'!$B$7/EF_APLIC,"Irrigar",IF($Y45&gt;='PARAMETROS'!$B$7/EF_APLIC*FRAC_ACOMP,"Acompanhar","Aguardar"))))</f>
        <v/>
      </c>
      <c r="AE45" s="18">
        <f>IF(OR($Y45="",$Y45=0),"-",IF($Y45&gt;=2*'PARAMETROS'!$B$7/EF_APLIC,"Alta",IF($Y45&gt;='PARAMETROS'!$B$7/EF_APLIC,"Media","Baixa")))</f>
        <v/>
      </c>
    </row>
    <row r="46">
      <c r="A46" s="5" t="inlineStr">
        <is>
          <t>Pivô 42</t>
        </is>
      </c>
      <c r="B46" s="5" t="inlineStr">
        <is>
          <t>Karitel</t>
        </is>
      </c>
      <c r="C46" s="5" t="inlineStr">
        <is>
          <t>R9</t>
        </is>
      </c>
      <c r="D46" s="5" t="inlineStr">
        <is>
          <t>Modulo 2</t>
        </is>
      </c>
      <c r="E46" s="5" t="inlineStr">
        <is>
          <t>SOJA</t>
        </is>
      </c>
      <c r="F46" s="6" t="inlineStr">
        <is>
          <t>BMX Olimpo IPRO</t>
        </is>
      </c>
      <c r="G46" s="7" t="inlineStr">
        <is>
          <t>MÉDIA</t>
        </is>
      </c>
      <c r="H46" s="5" t="inlineStr">
        <is>
          <t>proximo</t>
        </is>
      </c>
      <c r="I46" s="8" t="n">
        <v>46307</v>
      </c>
      <c r="J46" s="9">
        <f>IF($I46="","",DATA_REF-$I46)</f>
        <v/>
      </c>
      <c r="K46" s="9">
        <f>IF($J46="","",MAX(0,$J46-'PARAMETROS'!$B$11))</f>
        <v/>
      </c>
      <c r="L46" s="10">
        <f>IFERROR(INDEX(KC_CURVAS!$C$5:$C$15,MATCH("SOJA|"&amp;$G46,KC_CURVAS!$K$5:$K$15,0)),IFERROR(INDEX(KC_CURVAS!$C$5:$C$15,MATCH("SOJA"&amp;"|",KC_CURVAS!$K$5:$K$15,0)),""))</f>
        <v/>
      </c>
      <c r="M46" s="10">
        <f>IFERROR(INDEX(KC_CURVAS!$D$5:$D$15,MATCH("SOJA|"&amp;$G46,KC_CURVAS!$K$5:$K$15,0)),IFERROR(INDEX(KC_CURVAS!$D$5:$D$15,MATCH("SOJA"&amp;"|",KC_CURVAS!$K$5:$K$15,0)),""))</f>
        <v/>
      </c>
      <c r="N46" s="10">
        <f>IFERROR(INDEX(KC_CURVAS!$E$5:$E$15,MATCH("SOJA|"&amp;$G46,KC_CURVAS!$K$5:$K$15,0)),IFERROR(INDEX(KC_CURVAS!$E$5:$E$15,MATCH("SOJA"&amp;"|",KC_CURVAS!$K$5:$K$15,0)),""))</f>
        <v/>
      </c>
      <c r="O46" s="10">
        <f>IFERROR(INDEX(KC_CURVAS!$F$5:$F$15,MATCH("SOJA|"&amp;$G46,KC_CURVAS!$K$5:$K$15,0)),IFERROR(INDEX(KC_CURVAS!$F$5:$F$15,MATCH("SOJA"&amp;"|",KC_CURVAS!$K$5:$K$15,0)),""))</f>
        <v/>
      </c>
      <c r="P46" s="11">
        <f>IFERROR(INDEX(KC_CURVAS!$G$5:$G$15,MATCH("SOJA|"&amp;$G46,KC_CURVAS!$K$5:$K$15,0)),IFERROR(INDEX(KC_CURVAS!$G$5:$G$15,MATCH("SOJA"&amp;"|",KC_CURVAS!$K$5:$K$15,0)),""))</f>
        <v/>
      </c>
      <c r="Q46" s="11">
        <f>IFERROR(INDEX(KC_CURVAS!$H$5:$H$15,MATCH("SOJA|"&amp;$G46,KC_CURVAS!$K$5:$K$15,0)),IFERROR(INDEX(KC_CURVAS!$H$5:$H$15,MATCH("SOJA"&amp;"|",KC_CURVAS!$K$5:$K$15,0)),""))</f>
        <v/>
      </c>
      <c r="R46" s="11">
        <f>IFERROR(INDEX(KC_CURVAS!$I$5:$I$15,MATCH("SOJA|"&amp;$G46,KC_CURVAS!$K$5:$K$15,0)),IFERROR(INDEX(KC_CURVAS!$I$5:$I$15,MATCH("SOJA"&amp;"|",KC_CURVAS!$K$5:$K$15,0)),""))</f>
        <v/>
      </c>
      <c r="S46" s="12">
        <f>IF(OR($K46="",$L46=""),"PENDENTE",IF($K46&lt;=$L46,$P46,IF($K46&lt;=$L46+$M46,$P46+($Q46-$P46)*($K46-$L46)/$M46,IF($K46&lt;=$L46+$M46+$N46,$Q46,IF($K46&lt;=$L46+$M46+$N46+$O46,$Q46+($R46-$Q46)*($K46-($L46+$M46+$N46))/$O46,$R46)))))</f>
        <v/>
      </c>
      <c r="T46" s="13">
        <f>IF($I46="","",$I46)</f>
        <v/>
      </c>
      <c r="U46" s="14">
        <f>IF($T46="","",SUMIFS(ETO_DIARIO!$B$5:$B$404,ETO_DIARIO!$A$5:$A$404,"&gt;"&amp;$T46,ETO_DIARIO!$A$5:$A$404,"&lt;="&amp;DATA_REF))</f>
        <v/>
      </c>
      <c r="V46" s="14">
        <f>IF($T46="","",SUMIFS(ETO_DIARIO!$C$5:$C$404,ETO_DIARIO!$A$5:$A$404,"&gt;"&amp;$T46,ETO_DIARIO!$A$5:$A$404,"&lt;="&amp;DATA_REF))</f>
        <v/>
      </c>
      <c r="W46" s="14">
        <f>IF(OR($S46="",$S46="PENDENTE",$U46=""),"",$S46*$U46)</f>
        <v/>
      </c>
      <c r="X46" s="14">
        <f>IF($W46="","",MAX(0,$W46-N($V46)))</f>
        <v/>
      </c>
      <c r="Y46" s="14">
        <f>IF($X46="","",$X46/EF_APLIC)</f>
        <v/>
      </c>
      <c r="Z46" s="15" t="n">
        <v>100</v>
      </c>
      <c r="AA46" s="16">
        <f>IF(OR($Y46="",$Z46=""),"",$Y46*$Z46*10)</f>
        <v/>
      </c>
      <c r="AB46" s="17" t="n">
        <v>0.461</v>
      </c>
      <c r="AC46" s="16">
        <f>IF(OR($AA46="",$AB46=""),"",$AA46*$AB46)</f>
        <v/>
      </c>
      <c r="AD46" s="18">
        <f>IF($S46="PENDENTE","Definir classe/Kc",IF($Y46="","-",IF($Y46&gt;='PARAMETROS'!$B$7/EF_APLIC,"Irrigar",IF($Y46&gt;='PARAMETROS'!$B$7/EF_APLIC*FRAC_ACOMP,"Acompanhar","Aguardar"))))</f>
        <v/>
      </c>
      <c r="AE46" s="18">
        <f>IF(OR($Y46="",$Y46=0),"-",IF($Y46&gt;=2*'PARAMETROS'!$B$7/EF_APLIC,"Alta",IF($Y46&gt;='PARAMETROS'!$B$7/EF_APLIC,"Media","Baixa")))</f>
        <v/>
      </c>
    </row>
    <row r="47">
      <c r="A47" s="5" t="inlineStr">
        <is>
          <t>Pivô 43</t>
        </is>
      </c>
      <c r="B47" s="5" t="inlineStr">
        <is>
          <t>Karitel</t>
        </is>
      </c>
      <c r="C47" s="5" t="inlineStr">
        <is>
          <t>R9</t>
        </is>
      </c>
      <c r="D47" s="5" t="inlineStr">
        <is>
          <t>Modulo 2</t>
        </is>
      </c>
      <c r="E47" s="5" t="inlineStr">
        <is>
          <t>SOJA</t>
        </is>
      </c>
      <c r="F47" s="6" t="inlineStr">
        <is>
          <t>NEO 761 I2X</t>
        </is>
      </c>
      <c r="G47" s="7" t="inlineStr">
        <is>
          <t>PRECOCE</t>
        </is>
      </c>
      <c r="H47" s="5" t="inlineStr">
        <is>
          <t>proximo</t>
        </is>
      </c>
      <c r="I47" s="8" t="n">
        <v>46307</v>
      </c>
      <c r="J47" s="9">
        <f>IF($I47="","",DATA_REF-$I47)</f>
        <v/>
      </c>
      <c r="K47" s="9">
        <f>IF($J47="","",MAX(0,$J47-'PARAMETROS'!$B$11))</f>
        <v/>
      </c>
      <c r="L47" s="10">
        <f>IFERROR(INDEX(KC_CURVAS!$C$5:$C$15,MATCH("SOJA|"&amp;$G47,KC_CURVAS!$K$5:$K$15,0)),IFERROR(INDEX(KC_CURVAS!$C$5:$C$15,MATCH("SOJA"&amp;"|",KC_CURVAS!$K$5:$K$15,0)),""))</f>
        <v/>
      </c>
      <c r="M47" s="10">
        <f>IFERROR(INDEX(KC_CURVAS!$D$5:$D$15,MATCH("SOJA|"&amp;$G47,KC_CURVAS!$K$5:$K$15,0)),IFERROR(INDEX(KC_CURVAS!$D$5:$D$15,MATCH("SOJA"&amp;"|",KC_CURVAS!$K$5:$K$15,0)),""))</f>
        <v/>
      </c>
      <c r="N47" s="10">
        <f>IFERROR(INDEX(KC_CURVAS!$E$5:$E$15,MATCH("SOJA|"&amp;$G47,KC_CURVAS!$K$5:$K$15,0)),IFERROR(INDEX(KC_CURVAS!$E$5:$E$15,MATCH("SOJA"&amp;"|",KC_CURVAS!$K$5:$K$15,0)),""))</f>
        <v/>
      </c>
      <c r="O47" s="10">
        <f>IFERROR(INDEX(KC_CURVAS!$F$5:$F$15,MATCH("SOJA|"&amp;$G47,KC_CURVAS!$K$5:$K$15,0)),IFERROR(INDEX(KC_CURVAS!$F$5:$F$15,MATCH("SOJA"&amp;"|",KC_CURVAS!$K$5:$K$15,0)),""))</f>
        <v/>
      </c>
      <c r="P47" s="11">
        <f>IFERROR(INDEX(KC_CURVAS!$G$5:$G$15,MATCH("SOJA|"&amp;$G47,KC_CURVAS!$K$5:$K$15,0)),IFERROR(INDEX(KC_CURVAS!$G$5:$G$15,MATCH("SOJA"&amp;"|",KC_CURVAS!$K$5:$K$15,0)),""))</f>
        <v/>
      </c>
      <c r="Q47" s="11">
        <f>IFERROR(INDEX(KC_CURVAS!$H$5:$H$15,MATCH("SOJA|"&amp;$G47,KC_CURVAS!$K$5:$K$15,0)),IFERROR(INDEX(KC_CURVAS!$H$5:$H$15,MATCH("SOJA"&amp;"|",KC_CURVAS!$K$5:$K$15,0)),""))</f>
        <v/>
      </c>
      <c r="R47" s="11">
        <f>IFERROR(INDEX(KC_CURVAS!$I$5:$I$15,MATCH("SOJA|"&amp;$G47,KC_CURVAS!$K$5:$K$15,0)),IFERROR(INDEX(KC_CURVAS!$I$5:$I$15,MATCH("SOJA"&amp;"|",KC_CURVAS!$K$5:$K$15,0)),""))</f>
        <v/>
      </c>
      <c r="S47" s="12">
        <f>IF(OR($K47="",$L47=""),"PENDENTE",IF($K47&lt;=$L47,$P47,IF($K47&lt;=$L47+$M47,$P47+($Q47-$P47)*($K47-$L47)/$M47,IF($K47&lt;=$L47+$M47+$N47,$Q47,IF($K47&lt;=$L47+$M47+$N47+$O47,$Q47+($R47-$Q47)*($K47-($L47+$M47+$N47))/$O47,$R47)))))</f>
        <v/>
      </c>
      <c r="T47" s="13">
        <f>IF($I47="","",$I47)</f>
        <v/>
      </c>
      <c r="U47" s="14">
        <f>IF($T47="","",SUMIFS(ETO_DIARIO!$B$5:$B$404,ETO_DIARIO!$A$5:$A$404,"&gt;"&amp;$T47,ETO_DIARIO!$A$5:$A$404,"&lt;="&amp;DATA_REF))</f>
        <v/>
      </c>
      <c r="V47" s="14">
        <f>IF($T47="","",SUMIFS(ETO_DIARIO!$C$5:$C$404,ETO_DIARIO!$A$5:$A$404,"&gt;"&amp;$T47,ETO_DIARIO!$A$5:$A$404,"&lt;="&amp;DATA_REF))</f>
        <v/>
      </c>
      <c r="W47" s="14">
        <f>IF(OR($S47="",$S47="PENDENTE",$U47=""),"",$S47*$U47)</f>
        <v/>
      </c>
      <c r="X47" s="14">
        <f>IF($W47="","",MAX(0,$W47-N($V47)))</f>
        <v/>
      </c>
      <c r="Y47" s="14">
        <f>IF($X47="","",$X47/EF_APLIC)</f>
        <v/>
      </c>
      <c r="Z47" s="15" t="n">
        <v>138</v>
      </c>
      <c r="AA47" s="16">
        <f>IF(OR($Y47="",$Z47=""),"",$Y47*$Z47*10)</f>
        <v/>
      </c>
      <c r="AB47" s="17" t="n">
        <v>0.452</v>
      </c>
      <c r="AC47" s="16">
        <f>IF(OR($AA47="",$AB47=""),"",$AA47*$AB47)</f>
        <v/>
      </c>
      <c r="AD47" s="18">
        <f>IF($S47="PENDENTE","Definir classe/Kc",IF($Y47="","-",IF($Y47&gt;='PARAMETROS'!$B$7/EF_APLIC,"Irrigar",IF($Y47&gt;='PARAMETROS'!$B$7/EF_APLIC*FRAC_ACOMP,"Acompanhar","Aguardar"))))</f>
        <v/>
      </c>
      <c r="AE47" s="18">
        <f>IF(OR($Y47="",$Y47=0),"-",IF($Y47&gt;=2*'PARAMETROS'!$B$7/EF_APLIC,"Alta",IF($Y47&gt;='PARAMETROS'!$B$7/EF_APLIC,"Media","Baixa")))</f>
        <v/>
      </c>
    </row>
    <row r="48">
      <c r="A48" s="5" t="inlineStr">
        <is>
          <t>Pivô 44</t>
        </is>
      </c>
      <c r="B48" s="5" t="inlineStr">
        <is>
          <t>Karitel</t>
        </is>
      </c>
      <c r="C48" s="5" t="inlineStr">
        <is>
          <t>R13</t>
        </is>
      </c>
      <c r="D48" s="5" t="inlineStr">
        <is>
          <t>Modulo 3</t>
        </is>
      </c>
      <c r="E48" s="5" t="inlineStr">
        <is>
          <t>SOJA</t>
        </is>
      </c>
      <c r="F48" s="6" t="inlineStr">
        <is>
          <t>NEO 761 I2X</t>
        </is>
      </c>
      <c r="G48" s="7" t="inlineStr">
        <is>
          <t>PRECOCE</t>
        </is>
      </c>
      <c r="H48" s="5" t="inlineStr">
        <is>
          <t>ativo</t>
        </is>
      </c>
      <c r="I48" s="8" t="n">
        <v>46296</v>
      </c>
      <c r="J48" s="9">
        <f>IF($I48="","",DATA_REF-$I48)</f>
        <v/>
      </c>
      <c r="K48" s="9">
        <f>IF($J48="","",MAX(0,$J48-'PARAMETROS'!$B$11))</f>
        <v/>
      </c>
      <c r="L48" s="10">
        <f>IFERROR(INDEX(KC_CURVAS!$C$5:$C$15,MATCH("SOJA|"&amp;$G48,KC_CURVAS!$K$5:$K$15,0)),IFERROR(INDEX(KC_CURVAS!$C$5:$C$15,MATCH("SOJA"&amp;"|",KC_CURVAS!$K$5:$K$15,0)),""))</f>
        <v/>
      </c>
      <c r="M48" s="10">
        <f>IFERROR(INDEX(KC_CURVAS!$D$5:$D$15,MATCH("SOJA|"&amp;$G48,KC_CURVAS!$K$5:$K$15,0)),IFERROR(INDEX(KC_CURVAS!$D$5:$D$15,MATCH("SOJA"&amp;"|",KC_CURVAS!$K$5:$K$15,0)),""))</f>
        <v/>
      </c>
      <c r="N48" s="10">
        <f>IFERROR(INDEX(KC_CURVAS!$E$5:$E$15,MATCH("SOJA|"&amp;$G48,KC_CURVAS!$K$5:$K$15,0)),IFERROR(INDEX(KC_CURVAS!$E$5:$E$15,MATCH("SOJA"&amp;"|",KC_CURVAS!$K$5:$K$15,0)),""))</f>
        <v/>
      </c>
      <c r="O48" s="10">
        <f>IFERROR(INDEX(KC_CURVAS!$F$5:$F$15,MATCH("SOJA|"&amp;$G48,KC_CURVAS!$K$5:$K$15,0)),IFERROR(INDEX(KC_CURVAS!$F$5:$F$15,MATCH("SOJA"&amp;"|",KC_CURVAS!$K$5:$K$15,0)),""))</f>
        <v/>
      </c>
      <c r="P48" s="11">
        <f>IFERROR(INDEX(KC_CURVAS!$G$5:$G$15,MATCH("SOJA|"&amp;$G48,KC_CURVAS!$K$5:$K$15,0)),IFERROR(INDEX(KC_CURVAS!$G$5:$G$15,MATCH("SOJA"&amp;"|",KC_CURVAS!$K$5:$K$15,0)),""))</f>
        <v/>
      </c>
      <c r="Q48" s="11">
        <f>IFERROR(INDEX(KC_CURVAS!$H$5:$H$15,MATCH("SOJA|"&amp;$G48,KC_CURVAS!$K$5:$K$15,0)),IFERROR(INDEX(KC_CURVAS!$H$5:$H$15,MATCH("SOJA"&amp;"|",KC_CURVAS!$K$5:$K$15,0)),""))</f>
        <v/>
      </c>
      <c r="R48" s="11">
        <f>IFERROR(INDEX(KC_CURVAS!$I$5:$I$15,MATCH("SOJA|"&amp;$G48,KC_CURVAS!$K$5:$K$15,0)),IFERROR(INDEX(KC_CURVAS!$I$5:$I$15,MATCH("SOJA"&amp;"|",KC_CURVAS!$K$5:$K$15,0)),""))</f>
        <v/>
      </c>
      <c r="S48" s="12">
        <f>IF(OR($K48="",$L48=""),"PENDENTE",IF($K48&lt;=$L48,$P48,IF($K48&lt;=$L48+$M48,$P48+($Q48-$P48)*($K48-$L48)/$M48,IF($K48&lt;=$L48+$M48+$N48,$Q48,IF($K48&lt;=$L48+$M48+$N48+$O48,$Q48+($R48-$Q48)*($K48-($L48+$M48+$N48))/$O48,$R48)))))</f>
        <v/>
      </c>
      <c r="T48" s="13">
        <f>IF($I48="","",$I48)</f>
        <v/>
      </c>
      <c r="U48" s="14">
        <f>IF($T48="","",SUMIFS(ETO_DIARIO!$B$5:$B$404,ETO_DIARIO!$A$5:$A$404,"&gt;"&amp;$T48,ETO_DIARIO!$A$5:$A$404,"&lt;="&amp;DATA_REF))</f>
        <v/>
      </c>
      <c r="V48" s="14">
        <f>IF($T48="","",SUMIFS(ETO_DIARIO!$C$5:$C$404,ETO_DIARIO!$A$5:$A$404,"&gt;"&amp;$T48,ETO_DIARIO!$A$5:$A$404,"&lt;="&amp;DATA_REF))</f>
        <v/>
      </c>
      <c r="W48" s="14">
        <f>IF(OR($S48="",$S48="PENDENTE",$U48=""),"",$S48*$U48)</f>
        <v/>
      </c>
      <c r="X48" s="14">
        <f>IF($W48="","",MAX(0,$W48-N($V48)))</f>
        <v/>
      </c>
      <c r="Y48" s="14">
        <f>IF($X48="","",$X48/EF_APLIC)</f>
        <v/>
      </c>
      <c r="Z48" s="15" t="n">
        <v>75</v>
      </c>
      <c r="AA48" s="16">
        <f>IF(OR($Y48="",$Z48=""),"",$Y48*$Z48*10)</f>
        <v/>
      </c>
      <c r="AB48" s="17" t="n">
        <v>0.735</v>
      </c>
      <c r="AC48" s="16">
        <f>IF(OR($AA48="",$AB48=""),"",$AA48*$AB48)</f>
        <v/>
      </c>
      <c r="AD48" s="18">
        <f>IF($S48="PENDENTE","Definir classe/Kc",IF($Y48="","-",IF($Y48&gt;='PARAMETROS'!$B$7/EF_APLIC,"Irrigar",IF($Y48&gt;='PARAMETROS'!$B$7/EF_APLIC*FRAC_ACOMP,"Acompanhar","Aguardar"))))</f>
        <v/>
      </c>
      <c r="AE48" s="18">
        <f>IF(OR($Y48="",$Y48=0),"-",IF($Y48&gt;=2*'PARAMETROS'!$B$7/EF_APLIC,"Alta",IF($Y48&gt;='PARAMETROS'!$B$7/EF_APLIC,"Media","Baixa")))</f>
        <v/>
      </c>
    </row>
    <row r="49">
      <c r="A49" s="5" t="inlineStr">
        <is>
          <t>Pivô 45</t>
        </is>
      </c>
      <c r="B49" s="5" t="inlineStr">
        <is>
          <t>Karitel</t>
        </is>
      </c>
      <c r="C49" s="5" t="inlineStr">
        <is>
          <t>R11</t>
        </is>
      </c>
      <c r="D49" s="5" t="inlineStr">
        <is>
          <t>Modulo 2</t>
        </is>
      </c>
      <c r="E49" s="5" t="inlineStr">
        <is>
          <t>SOJA</t>
        </is>
      </c>
      <c r="F49" s="6" t="inlineStr">
        <is>
          <t>CZ 58B10 I2X</t>
        </is>
      </c>
      <c r="G49" s="7" t="inlineStr">
        <is>
          <t>MÉDIA</t>
        </is>
      </c>
      <c r="H49" s="5" t="inlineStr">
        <is>
          <t>proximo</t>
        </is>
      </c>
      <c r="I49" s="8" t="n">
        <v>46338</v>
      </c>
      <c r="J49" s="9">
        <f>IF($I49="","",DATA_REF-$I49)</f>
        <v/>
      </c>
      <c r="K49" s="9">
        <f>IF($J49="","",MAX(0,$J49-'PARAMETROS'!$B$11))</f>
        <v/>
      </c>
      <c r="L49" s="10">
        <f>IFERROR(INDEX(KC_CURVAS!$C$5:$C$15,MATCH("SOJA|"&amp;$G49,KC_CURVAS!$K$5:$K$15,0)),IFERROR(INDEX(KC_CURVAS!$C$5:$C$15,MATCH("SOJA"&amp;"|",KC_CURVAS!$K$5:$K$15,0)),""))</f>
        <v/>
      </c>
      <c r="M49" s="10">
        <f>IFERROR(INDEX(KC_CURVAS!$D$5:$D$15,MATCH("SOJA|"&amp;$G49,KC_CURVAS!$K$5:$K$15,0)),IFERROR(INDEX(KC_CURVAS!$D$5:$D$15,MATCH("SOJA"&amp;"|",KC_CURVAS!$K$5:$K$15,0)),""))</f>
        <v/>
      </c>
      <c r="N49" s="10">
        <f>IFERROR(INDEX(KC_CURVAS!$E$5:$E$15,MATCH("SOJA|"&amp;$G49,KC_CURVAS!$K$5:$K$15,0)),IFERROR(INDEX(KC_CURVAS!$E$5:$E$15,MATCH("SOJA"&amp;"|",KC_CURVAS!$K$5:$K$15,0)),""))</f>
        <v/>
      </c>
      <c r="O49" s="10">
        <f>IFERROR(INDEX(KC_CURVAS!$F$5:$F$15,MATCH("SOJA|"&amp;$G49,KC_CURVAS!$K$5:$K$15,0)),IFERROR(INDEX(KC_CURVAS!$F$5:$F$15,MATCH("SOJA"&amp;"|",KC_CURVAS!$K$5:$K$15,0)),""))</f>
        <v/>
      </c>
      <c r="P49" s="11">
        <f>IFERROR(INDEX(KC_CURVAS!$G$5:$G$15,MATCH("SOJA|"&amp;$G49,KC_CURVAS!$K$5:$K$15,0)),IFERROR(INDEX(KC_CURVAS!$G$5:$G$15,MATCH("SOJA"&amp;"|",KC_CURVAS!$K$5:$K$15,0)),""))</f>
        <v/>
      </c>
      <c r="Q49" s="11">
        <f>IFERROR(INDEX(KC_CURVAS!$H$5:$H$15,MATCH("SOJA|"&amp;$G49,KC_CURVAS!$K$5:$K$15,0)),IFERROR(INDEX(KC_CURVAS!$H$5:$H$15,MATCH("SOJA"&amp;"|",KC_CURVAS!$K$5:$K$15,0)),""))</f>
        <v/>
      </c>
      <c r="R49" s="11">
        <f>IFERROR(INDEX(KC_CURVAS!$I$5:$I$15,MATCH("SOJA|"&amp;$G49,KC_CURVAS!$K$5:$K$15,0)),IFERROR(INDEX(KC_CURVAS!$I$5:$I$15,MATCH("SOJA"&amp;"|",KC_CURVAS!$K$5:$K$15,0)),""))</f>
        <v/>
      </c>
      <c r="S49" s="12">
        <f>IF(OR($K49="",$L49=""),"PENDENTE",IF($K49&lt;=$L49,$P49,IF($K49&lt;=$L49+$M49,$P49+($Q49-$P49)*($K49-$L49)/$M49,IF($K49&lt;=$L49+$M49+$N49,$Q49,IF($K49&lt;=$L49+$M49+$N49+$O49,$Q49+($R49-$Q49)*($K49-($L49+$M49+$N49))/$O49,$R49)))))</f>
        <v/>
      </c>
      <c r="T49" s="13">
        <f>IF($I49="","",$I49)</f>
        <v/>
      </c>
      <c r="U49" s="14">
        <f>IF($T49="","",SUMIFS(ETO_DIARIO!$B$5:$B$404,ETO_DIARIO!$A$5:$A$404,"&gt;"&amp;$T49,ETO_DIARIO!$A$5:$A$404,"&lt;="&amp;DATA_REF))</f>
        <v/>
      </c>
      <c r="V49" s="14">
        <f>IF($T49="","",SUMIFS(ETO_DIARIO!$C$5:$C$404,ETO_DIARIO!$A$5:$A$404,"&gt;"&amp;$T49,ETO_DIARIO!$A$5:$A$404,"&lt;="&amp;DATA_REF))</f>
        <v/>
      </c>
      <c r="W49" s="14">
        <f>IF(OR($S49="",$S49="PENDENTE",$U49=""),"",$S49*$U49)</f>
        <v/>
      </c>
      <c r="X49" s="14">
        <f>IF($W49="","",MAX(0,$W49-N($V49)))</f>
        <v/>
      </c>
      <c r="Y49" s="14">
        <f>IF($X49="","",$X49/EF_APLIC)</f>
        <v/>
      </c>
      <c r="Z49" s="15" t="n">
        <v>123</v>
      </c>
      <c r="AA49" s="16">
        <f>IF(OR($Y49="",$Z49=""),"",$Y49*$Z49*10)</f>
        <v/>
      </c>
      <c r="AB49" s="17" t="n">
        <v>0.505</v>
      </c>
      <c r="AC49" s="16">
        <f>IF(OR($AA49="",$AB49=""),"",$AA49*$AB49)</f>
        <v/>
      </c>
      <c r="AD49" s="18">
        <f>IF($S49="PENDENTE","Definir classe/Kc",IF($Y49="","-",IF($Y49&gt;='PARAMETROS'!$B$7/EF_APLIC,"Irrigar",IF($Y49&gt;='PARAMETROS'!$B$7/EF_APLIC*FRAC_ACOMP,"Acompanhar","Aguardar"))))</f>
        <v/>
      </c>
      <c r="AE49" s="18">
        <f>IF(OR($Y49="",$Y49=0),"-",IF($Y49&gt;=2*'PARAMETROS'!$B$7/EF_APLIC,"Alta",IF($Y49&gt;='PARAMETROS'!$B$7/EF_APLIC,"Media","Baixa")))</f>
        <v/>
      </c>
    </row>
    <row r="50">
      <c r="A50" s="5" t="inlineStr">
        <is>
          <t>Pivô 46</t>
        </is>
      </c>
      <c r="B50" s="5" t="inlineStr">
        <is>
          <t>Karitel</t>
        </is>
      </c>
      <c r="C50" s="5" t="inlineStr">
        <is>
          <t>R11</t>
        </is>
      </c>
      <c r="D50" s="5" t="inlineStr">
        <is>
          <t>Modulo 2</t>
        </is>
      </c>
      <c r="E50" s="5" t="inlineStr">
        <is>
          <t>SOJA</t>
        </is>
      </c>
      <c r="F50" s="6" t="inlineStr">
        <is>
          <t>M8434 12X</t>
        </is>
      </c>
      <c r="G50" s="7" t="inlineStr">
        <is>
          <t>MÉDIA</t>
        </is>
      </c>
      <c r="H50" s="5" t="inlineStr">
        <is>
          <t>proximo</t>
        </is>
      </c>
      <c r="I50" s="8" t="n">
        <v>46331</v>
      </c>
      <c r="J50" s="9">
        <f>IF($I50="","",DATA_REF-$I50)</f>
        <v/>
      </c>
      <c r="K50" s="9">
        <f>IF($J50="","",MAX(0,$J50-'PARAMETROS'!$B$11))</f>
        <v/>
      </c>
      <c r="L50" s="10">
        <f>IFERROR(INDEX(KC_CURVAS!$C$5:$C$15,MATCH("SOJA|"&amp;$G50,KC_CURVAS!$K$5:$K$15,0)),IFERROR(INDEX(KC_CURVAS!$C$5:$C$15,MATCH("SOJA"&amp;"|",KC_CURVAS!$K$5:$K$15,0)),""))</f>
        <v/>
      </c>
      <c r="M50" s="10">
        <f>IFERROR(INDEX(KC_CURVAS!$D$5:$D$15,MATCH("SOJA|"&amp;$G50,KC_CURVAS!$K$5:$K$15,0)),IFERROR(INDEX(KC_CURVAS!$D$5:$D$15,MATCH("SOJA"&amp;"|",KC_CURVAS!$K$5:$K$15,0)),""))</f>
        <v/>
      </c>
      <c r="N50" s="10">
        <f>IFERROR(INDEX(KC_CURVAS!$E$5:$E$15,MATCH("SOJA|"&amp;$G50,KC_CURVAS!$K$5:$K$15,0)),IFERROR(INDEX(KC_CURVAS!$E$5:$E$15,MATCH("SOJA"&amp;"|",KC_CURVAS!$K$5:$K$15,0)),""))</f>
        <v/>
      </c>
      <c r="O50" s="10">
        <f>IFERROR(INDEX(KC_CURVAS!$F$5:$F$15,MATCH("SOJA|"&amp;$G50,KC_CURVAS!$K$5:$K$15,0)),IFERROR(INDEX(KC_CURVAS!$F$5:$F$15,MATCH("SOJA"&amp;"|",KC_CURVAS!$K$5:$K$15,0)),""))</f>
        <v/>
      </c>
      <c r="P50" s="11">
        <f>IFERROR(INDEX(KC_CURVAS!$G$5:$G$15,MATCH("SOJA|"&amp;$G50,KC_CURVAS!$K$5:$K$15,0)),IFERROR(INDEX(KC_CURVAS!$G$5:$G$15,MATCH("SOJA"&amp;"|",KC_CURVAS!$K$5:$K$15,0)),""))</f>
        <v/>
      </c>
      <c r="Q50" s="11">
        <f>IFERROR(INDEX(KC_CURVAS!$H$5:$H$15,MATCH("SOJA|"&amp;$G50,KC_CURVAS!$K$5:$K$15,0)),IFERROR(INDEX(KC_CURVAS!$H$5:$H$15,MATCH("SOJA"&amp;"|",KC_CURVAS!$K$5:$K$15,0)),""))</f>
        <v/>
      </c>
      <c r="R50" s="11">
        <f>IFERROR(INDEX(KC_CURVAS!$I$5:$I$15,MATCH("SOJA|"&amp;$G50,KC_CURVAS!$K$5:$K$15,0)),IFERROR(INDEX(KC_CURVAS!$I$5:$I$15,MATCH("SOJA"&amp;"|",KC_CURVAS!$K$5:$K$15,0)),""))</f>
        <v/>
      </c>
      <c r="S50" s="12">
        <f>IF(OR($K50="",$L50=""),"PENDENTE",IF($K50&lt;=$L50,$P50,IF($K50&lt;=$L50+$M50,$P50+($Q50-$P50)*($K50-$L50)/$M50,IF($K50&lt;=$L50+$M50+$N50,$Q50,IF($K50&lt;=$L50+$M50+$N50+$O50,$Q50+($R50-$Q50)*($K50-($L50+$M50+$N50))/$O50,$R50)))))</f>
        <v/>
      </c>
      <c r="T50" s="13">
        <f>IF($I50="","",$I50)</f>
        <v/>
      </c>
      <c r="U50" s="14">
        <f>IF($T50="","",SUMIFS(ETO_DIARIO!$B$5:$B$404,ETO_DIARIO!$A$5:$A$404,"&gt;"&amp;$T50,ETO_DIARIO!$A$5:$A$404,"&lt;="&amp;DATA_REF))</f>
        <v/>
      </c>
      <c r="V50" s="14">
        <f>IF($T50="","",SUMIFS(ETO_DIARIO!$C$5:$C$404,ETO_DIARIO!$A$5:$A$404,"&gt;"&amp;$T50,ETO_DIARIO!$A$5:$A$404,"&lt;="&amp;DATA_REF))</f>
        <v/>
      </c>
      <c r="W50" s="14">
        <f>IF(OR($S50="",$S50="PENDENTE",$U50=""),"",$S50*$U50)</f>
        <v/>
      </c>
      <c r="X50" s="14">
        <f>IF($W50="","",MAX(0,$W50-N($V50)))</f>
        <v/>
      </c>
      <c r="Y50" s="14">
        <f>IF($X50="","",$X50/EF_APLIC)</f>
        <v/>
      </c>
      <c r="Z50" s="15" t="n">
        <v>160</v>
      </c>
      <c r="AA50" s="16">
        <f>IF(OR($Y50="",$Z50=""),"",$Y50*$Z50*10)</f>
        <v/>
      </c>
      <c r="AB50" s="17" t="n">
        <v>0.465</v>
      </c>
      <c r="AC50" s="16">
        <f>IF(OR($AA50="",$AB50=""),"",$AA50*$AB50)</f>
        <v/>
      </c>
      <c r="AD50" s="18">
        <f>IF($S50="PENDENTE","Definir classe/Kc",IF($Y50="","-",IF($Y50&gt;='PARAMETROS'!$B$7/EF_APLIC,"Irrigar",IF($Y50&gt;='PARAMETROS'!$B$7/EF_APLIC*FRAC_ACOMP,"Acompanhar","Aguardar"))))</f>
        <v/>
      </c>
      <c r="AE50" s="18">
        <f>IF(OR($Y50="",$Y50=0),"-",IF($Y50&gt;=2*'PARAMETROS'!$B$7/EF_APLIC,"Alta",IF($Y50&gt;='PARAMETROS'!$B$7/EF_APLIC,"Media","Baixa")))</f>
        <v/>
      </c>
    </row>
    <row r="51">
      <c r="A51" s="5" t="inlineStr">
        <is>
          <t>Pivô 47</t>
        </is>
      </c>
      <c r="B51" s="5" t="inlineStr">
        <is>
          <t>Karitel</t>
        </is>
      </c>
      <c r="C51" s="5" t="inlineStr">
        <is>
          <t>R11</t>
        </is>
      </c>
      <c r="D51" s="5" t="inlineStr">
        <is>
          <t>Modulo 2</t>
        </is>
      </c>
      <c r="E51" s="5" t="inlineStr">
        <is>
          <t>SOJA</t>
        </is>
      </c>
      <c r="F51" s="6" t="inlineStr">
        <is>
          <t>M8434 12X</t>
        </is>
      </c>
      <c r="G51" s="7" t="inlineStr">
        <is>
          <t>MÉDIA</t>
        </is>
      </c>
      <c r="H51" s="5" t="inlineStr">
        <is>
          <t>proximo</t>
        </is>
      </c>
      <c r="I51" s="8" t="n">
        <v>46312</v>
      </c>
      <c r="J51" s="9">
        <f>IF($I51="","",DATA_REF-$I51)</f>
        <v/>
      </c>
      <c r="K51" s="9">
        <f>IF($J51="","",MAX(0,$J51-'PARAMETROS'!$B$11))</f>
        <v/>
      </c>
      <c r="L51" s="10">
        <f>IFERROR(INDEX(KC_CURVAS!$C$5:$C$15,MATCH("SOJA|"&amp;$G51,KC_CURVAS!$K$5:$K$15,0)),IFERROR(INDEX(KC_CURVAS!$C$5:$C$15,MATCH("SOJA"&amp;"|",KC_CURVAS!$K$5:$K$15,0)),""))</f>
        <v/>
      </c>
      <c r="M51" s="10">
        <f>IFERROR(INDEX(KC_CURVAS!$D$5:$D$15,MATCH("SOJA|"&amp;$G51,KC_CURVAS!$K$5:$K$15,0)),IFERROR(INDEX(KC_CURVAS!$D$5:$D$15,MATCH("SOJA"&amp;"|",KC_CURVAS!$K$5:$K$15,0)),""))</f>
        <v/>
      </c>
      <c r="N51" s="10">
        <f>IFERROR(INDEX(KC_CURVAS!$E$5:$E$15,MATCH("SOJA|"&amp;$G51,KC_CURVAS!$K$5:$K$15,0)),IFERROR(INDEX(KC_CURVAS!$E$5:$E$15,MATCH("SOJA"&amp;"|",KC_CURVAS!$K$5:$K$15,0)),""))</f>
        <v/>
      </c>
      <c r="O51" s="10">
        <f>IFERROR(INDEX(KC_CURVAS!$F$5:$F$15,MATCH("SOJA|"&amp;$G51,KC_CURVAS!$K$5:$K$15,0)),IFERROR(INDEX(KC_CURVAS!$F$5:$F$15,MATCH("SOJA"&amp;"|",KC_CURVAS!$K$5:$K$15,0)),""))</f>
        <v/>
      </c>
      <c r="P51" s="11">
        <f>IFERROR(INDEX(KC_CURVAS!$G$5:$G$15,MATCH("SOJA|"&amp;$G51,KC_CURVAS!$K$5:$K$15,0)),IFERROR(INDEX(KC_CURVAS!$G$5:$G$15,MATCH("SOJA"&amp;"|",KC_CURVAS!$K$5:$K$15,0)),""))</f>
        <v/>
      </c>
      <c r="Q51" s="11">
        <f>IFERROR(INDEX(KC_CURVAS!$H$5:$H$15,MATCH("SOJA|"&amp;$G51,KC_CURVAS!$K$5:$K$15,0)),IFERROR(INDEX(KC_CURVAS!$H$5:$H$15,MATCH("SOJA"&amp;"|",KC_CURVAS!$K$5:$K$15,0)),""))</f>
        <v/>
      </c>
      <c r="R51" s="11">
        <f>IFERROR(INDEX(KC_CURVAS!$I$5:$I$15,MATCH("SOJA|"&amp;$G51,KC_CURVAS!$K$5:$K$15,0)),IFERROR(INDEX(KC_CURVAS!$I$5:$I$15,MATCH("SOJA"&amp;"|",KC_CURVAS!$K$5:$K$15,0)),""))</f>
        <v/>
      </c>
      <c r="S51" s="12">
        <f>IF(OR($K51="",$L51=""),"PENDENTE",IF($K51&lt;=$L51,$P51,IF($K51&lt;=$L51+$M51,$P51+($Q51-$P51)*($K51-$L51)/$M51,IF($K51&lt;=$L51+$M51+$N51,$Q51,IF($K51&lt;=$L51+$M51+$N51+$O51,$Q51+($R51-$Q51)*($K51-($L51+$M51+$N51))/$O51,$R51)))))</f>
        <v/>
      </c>
      <c r="T51" s="13">
        <f>IF($I51="","",$I51)</f>
        <v/>
      </c>
      <c r="U51" s="14">
        <f>IF($T51="","",SUMIFS(ETO_DIARIO!$B$5:$B$404,ETO_DIARIO!$A$5:$A$404,"&gt;"&amp;$T51,ETO_DIARIO!$A$5:$A$404,"&lt;="&amp;DATA_REF))</f>
        <v/>
      </c>
      <c r="V51" s="14">
        <f>IF($T51="","",SUMIFS(ETO_DIARIO!$C$5:$C$404,ETO_DIARIO!$A$5:$A$404,"&gt;"&amp;$T51,ETO_DIARIO!$A$5:$A$404,"&lt;="&amp;DATA_REF))</f>
        <v/>
      </c>
      <c r="W51" s="14">
        <f>IF(OR($S51="",$S51="PENDENTE",$U51=""),"",$S51*$U51)</f>
        <v/>
      </c>
      <c r="X51" s="14">
        <f>IF($W51="","",MAX(0,$W51-N($V51)))</f>
        <v/>
      </c>
      <c r="Y51" s="14">
        <f>IF($X51="","",$X51/EF_APLIC)</f>
        <v/>
      </c>
      <c r="Z51" s="15" t="n">
        <v>160</v>
      </c>
      <c r="AA51" s="16">
        <f>IF(OR($Y51="",$Z51=""),"",$Y51*$Z51*10)</f>
        <v/>
      </c>
      <c r="AB51" s="17" t="n">
        <v>0.537</v>
      </c>
      <c r="AC51" s="16">
        <f>IF(OR($AA51="",$AB51=""),"",$AA51*$AB51)</f>
        <v/>
      </c>
      <c r="AD51" s="18">
        <f>IF($S51="PENDENTE","Definir classe/Kc",IF($Y51="","-",IF($Y51&gt;='PARAMETROS'!$B$7/EF_APLIC,"Irrigar",IF($Y51&gt;='PARAMETROS'!$B$7/EF_APLIC*FRAC_ACOMP,"Acompanhar","Aguardar"))))</f>
        <v/>
      </c>
      <c r="AE51" s="18">
        <f>IF(OR($Y51="",$Y51=0),"-",IF($Y51&gt;=2*'PARAMETROS'!$B$7/EF_APLIC,"Alta",IF($Y51&gt;='PARAMETROS'!$B$7/EF_APLIC,"Media","Baixa")))</f>
        <v/>
      </c>
    </row>
    <row r="52">
      <c r="A52" s="5" t="inlineStr">
        <is>
          <t>Pivô 48</t>
        </is>
      </c>
      <c r="B52" s="5" t="inlineStr">
        <is>
          <t>Karitel</t>
        </is>
      </c>
      <c r="C52" s="5" t="inlineStr">
        <is>
          <t>R11</t>
        </is>
      </c>
      <c r="D52" s="5" t="inlineStr">
        <is>
          <t>Modulo 2</t>
        </is>
      </c>
      <c r="E52" s="5" t="inlineStr">
        <is>
          <t>SOJA</t>
        </is>
      </c>
      <c r="F52" s="6" t="inlineStr">
        <is>
          <t>M8434 12X</t>
        </is>
      </c>
      <c r="G52" s="7" t="inlineStr">
        <is>
          <t>MÉDIA</t>
        </is>
      </c>
      <c r="H52" s="5" t="inlineStr">
        <is>
          <t>proximo</t>
        </is>
      </c>
      <c r="I52" s="8" t="n">
        <v>46314</v>
      </c>
      <c r="J52" s="9">
        <f>IF($I52="","",DATA_REF-$I52)</f>
        <v/>
      </c>
      <c r="K52" s="9">
        <f>IF($J52="","",MAX(0,$J52-'PARAMETROS'!$B$11))</f>
        <v/>
      </c>
      <c r="L52" s="10">
        <f>IFERROR(INDEX(KC_CURVAS!$C$5:$C$15,MATCH("SOJA|"&amp;$G52,KC_CURVAS!$K$5:$K$15,0)),IFERROR(INDEX(KC_CURVAS!$C$5:$C$15,MATCH("SOJA"&amp;"|",KC_CURVAS!$K$5:$K$15,0)),""))</f>
        <v/>
      </c>
      <c r="M52" s="10">
        <f>IFERROR(INDEX(KC_CURVAS!$D$5:$D$15,MATCH("SOJA|"&amp;$G52,KC_CURVAS!$K$5:$K$15,0)),IFERROR(INDEX(KC_CURVAS!$D$5:$D$15,MATCH("SOJA"&amp;"|",KC_CURVAS!$K$5:$K$15,0)),""))</f>
        <v/>
      </c>
      <c r="N52" s="10">
        <f>IFERROR(INDEX(KC_CURVAS!$E$5:$E$15,MATCH("SOJA|"&amp;$G52,KC_CURVAS!$K$5:$K$15,0)),IFERROR(INDEX(KC_CURVAS!$E$5:$E$15,MATCH("SOJA"&amp;"|",KC_CURVAS!$K$5:$K$15,0)),""))</f>
        <v/>
      </c>
      <c r="O52" s="10">
        <f>IFERROR(INDEX(KC_CURVAS!$F$5:$F$15,MATCH("SOJA|"&amp;$G52,KC_CURVAS!$K$5:$K$15,0)),IFERROR(INDEX(KC_CURVAS!$F$5:$F$15,MATCH("SOJA"&amp;"|",KC_CURVAS!$K$5:$K$15,0)),""))</f>
        <v/>
      </c>
      <c r="P52" s="11">
        <f>IFERROR(INDEX(KC_CURVAS!$G$5:$G$15,MATCH("SOJA|"&amp;$G52,KC_CURVAS!$K$5:$K$15,0)),IFERROR(INDEX(KC_CURVAS!$G$5:$G$15,MATCH("SOJA"&amp;"|",KC_CURVAS!$K$5:$K$15,0)),""))</f>
        <v/>
      </c>
      <c r="Q52" s="11">
        <f>IFERROR(INDEX(KC_CURVAS!$H$5:$H$15,MATCH("SOJA|"&amp;$G52,KC_CURVAS!$K$5:$K$15,0)),IFERROR(INDEX(KC_CURVAS!$H$5:$H$15,MATCH("SOJA"&amp;"|",KC_CURVAS!$K$5:$K$15,0)),""))</f>
        <v/>
      </c>
      <c r="R52" s="11">
        <f>IFERROR(INDEX(KC_CURVAS!$I$5:$I$15,MATCH("SOJA|"&amp;$G52,KC_CURVAS!$K$5:$K$15,0)),IFERROR(INDEX(KC_CURVAS!$I$5:$I$15,MATCH("SOJA"&amp;"|",KC_CURVAS!$K$5:$K$15,0)),""))</f>
        <v/>
      </c>
      <c r="S52" s="12">
        <f>IF(OR($K52="",$L52=""),"PENDENTE",IF($K52&lt;=$L52,$P52,IF($K52&lt;=$L52+$M52,$P52+($Q52-$P52)*($K52-$L52)/$M52,IF($K52&lt;=$L52+$M52+$N52,$Q52,IF($K52&lt;=$L52+$M52+$N52+$O52,$Q52+($R52-$Q52)*($K52-($L52+$M52+$N52))/$O52,$R52)))))</f>
        <v/>
      </c>
      <c r="T52" s="13">
        <f>IF($I52="","",$I52)</f>
        <v/>
      </c>
      <c r="U52" s="14">
        <f>IF($T52="","",SUMIFS(ETO_DIARIO!$B$5:$B$404,ETO_DIARIO!$A$5:$A$404,"&gt;"&amp;$T52,ETO_DIARIO!$A$5:$A$404,"&lt;="&amp;DATA_REF))</f>
        <v/>
      </c>
      <c r="V52" s="14">
        <f>IF($T52="","",SUMIFS(ETO_DIARIO!$C$5:$C$404,ETO_DIARIO!$A$5:$A$404,"&gt;"&amp;$T52,ETO_DIARIO!$A$5:$A$404,"&lt;="&amp;DATA_REF))</f>
        <v/>
      </c>
      <c r="W52" s="14">
        <f>IF(OR($S52="",$S52="PENDENTE",$U52=""),"",$S52*$U52)</f>
        <v/>
      </c>
      <c r="X52" s="14">
        <f>IF($W52="","",MAX(0,$W52-N($V52)))</f>
        <v/>
      </c>
      <c r="Y52" s="14">
        <f>IF($X52="","",$X52/EF_APLIC)</f>
        <v/>
      </c>
      <c r="Z52" s="15" t="n">
        <v>160</v>
      </c>
      <c r="AA52" s="16">
        <f>IF(OR($Y52="",$Z52=""),"",$Y52*$Z52*10)</f>
        <v/>
      </c>
      <c r="AB52" s="17" t="n">
        <v>0.434</v>
      </c>
      <c r="AC52" s="16">
        <f>IF(OR($AA52="",$AB52=""),"",$AA52*$AB52)</f>
        <v/>
      </c>
      <c r="AD52" s="18">
        <f>IF($S52="PENDENTE","Definir classe/Kc",IF($Y52="","-",IF($Y52&gt;='PARAMETROS'!$B$7/EF_APLIC,"Irrigar",IF($Y52&gt;='PARAMETROS'!$B$7/EF_APLIC*FRAC_ACOMP,"Acompanhar","Aguardar"))))</f>
        <v/>
      </c>
      <c r="AE52" s="18">
        <f>IF(OR($Y52="",$Y52=0),"-",IF($Y52&gt;=2*'PARAMETROS'!$B$7/EF_APLIC,"Alta",IF($Y52&gt;='PARAMETROS'!$B$7/EF_APLIC,"Media","Baixa")))</f>
        <v/>
      </c>
    </row>
    <row r="53">
      <c r="A53" s="5" t="inlineStr">
        <is>
          <t>Pivô 49</t>
        </is>
      </c>
      <c r="B53" s="5" t="inlineStr">
        <is>
          <t>Karitel</t>
        </is>
      </c>
      <c r="C53" s="5" t="inlineStr">
        <is>
          <t>R11</t>
        </is>
      </c>
      <c r="D53" s="5" t="inlineStr">
        <is>
          <t>Modulo 2</t>
        </is>
      </c>
      <c r="E53" s="5" t="inlineStr">
        <is>
          <t>SOJA</t>
        </is>
      </c>
      <c r="F53" s="6" t="inlineStr">
        <is>
          <t>M8434 12X</t>
        </is>
      </c>
      <c r="G53" s="7" t="inlineStr">
        <is>
          <t>MÉDIA</t>
        </is>
      </c>
      <c r="H53" s="5" t="inlineStr">
        <is>
          <t>proximo</t>
        </is>
      </c>
      <c r="I53" s="8" t="n">
        <v>46314</v>
      </c>
      <c r="J53" s="9">
        <f>IF($I53="","",DATA_REF-$I53)</f>
        <v/>
      </c>
      <c r="K53" s="9">
        <f>IF($J53="","",MAX(0,$J53-'PARAMETROS'!$B$11))</f>
        <v/>
      </c>
      <c r="L53" s="10">
        <f>IFERROR(INDEX(KC_CURVAS!$C$5:$C$15,MATCH("SOJA|"&amp;$G53,KC_CURVAS!$K$5:$K$15,0)),IFERROR(INDEX(KC_CURVAS!$C$5:$C$15,MATCH("SOJA"&amp;"|",KC_CURVAS!$K$5:$K$15,0)),""))</f>
        <v/>
      </c>
      <c r="M53" s="10">
        <f>IFERROR(INDEX(KC_CURVAS!$D$5:$D$15,MATCH("SOJA|"&amp;$G53,KC_CURVAS!$K$5:$K$15,0)),IFERROR(INDEX(KC_CURVAS!$D$5:$D$15,MATCH("SOJA"&amp;"|",KC_CURVAS!$K$5:$K$15,0)),""))</f>
        <v/>
      </c>
      <c r="N53" s="10">
        <f>IFERROR(INDEX(KC_CURVAS!$E$5:$E$15,MATCH("SOJA|"&amp;$G53,KC_CURVAS!$K$5:$K$15,0)),IFERROR(INDEX(KC_CURVAS!$E$5:$E$15,MATCH("SOJA"&amp;"|",KC_CURVAS!$K$5:$K$15,0)),""))</f>
        <v/>
      </c>
      <c r="O53" s="10">
        <f>IFERROR(INDEX(KC_CURVAS!$F$5:$F$15,MATCH("SOJA|"&amp;$G53,KC_CURVAS!$K$5:$K$15,0)),IFERROR(INDEX(KC_CURVAS!$F$5:$F$15,MATCH("SOJA"&amp;"|",KC_CURVAS!$K$5:$K$15,0)),""))</f>
        <v/>
      </c>
      <c r="P53" s="11">
        <f>IFERROR(INDEX(KC_CURVAS!$G$5:$G$15,MATCH("SOJA|"&amp;$G53,KC_CURVAS!$K$5:$K$15,0)),IFERROR(INDEX(KC_CURVAS!$G$5:$G$15,MATCH("SOJA"&amp;"|",KC_CURVAS!$K$5:$K$15,0)),""))</f>
        <v/>
      </c>
      <c r="Q53" s="11">
        <f>IFERROR(INDEX(KC_CURVAS!$H$5:$H$15,MATCH("SOJA|"&amp;$G53,KC_CURVAS!$K$5:$K$15,0)),IFERROR(INDEX(KC_CURVAS!$H$5:$H$15,MATCH("SOJA"&amp;"|",KC_CURVAS!$K$5:$K$15,0)),""))</f>
        <v/>
      </c>
      <c r="R53" s="11">
        <f>IFERROR(INDEX(KC_CURVAS!$I$5:$I$15,MATCH("SOJA|"&amp;$G53,KC_CURVAS!$K$5:$K$15,0)),IFERROR(INDEX(KC_CURVAS!$I$5:$I$15,MATCH("SOJA"&amp;"|",KC_CURVAS!$K$5:$K$15,0)),""))</f>
        <v/>
      </c>
      <c r="S53" s="12">
        <f>IF(OR($K53="",$L53=""),"PENDENTE",IF($K53&lt;=$L53,$P53,IF($K53&lt;=$L53+$M53,$P53+($Q53-$P53)*($K53-$L53)/$M53,IF($K53&lt;=$L53+$M53+$N53,$Q53,IF($K53&lt;=$L53+$M53+$N53+$O53,$Q53+($R53-$Q53)*($K53-($L53+$M53+$N53))/$O53,$R53)))))</f>
        <v/>
      </c>
      <c r="T53" s="13">
        <f>IF($I53="","",$I53)</f>
        <v/>
      </c>
      <c r="U53" s="14">
        <f>IF($T53="","",SUMIFS(ETO_DIARIO!$B$5:$B$404,ETO_DIARIO!$A$5:$A$404,"&gt;"&amp;$T53,ETO_DIARIO!$A$5:$A$404,"&lt;="&amp;DATA_REF))</f>
        <v/>
      </c>
      <c r="V53" s="14">
        <f>IF($T53="","",SUMIFS(ETO_DIARIO!$C$5:$C$404,ETO_DIARIO!$A$5:$A$404,"&gt;"&amp;$T53,ETO_DIARIO!$A$5:$A$404,"&lt;="&amp;DATA_REF))</f>
        <v/>
      </c>
      <c r="W53" s="14">
        <f>IF(OR($S53="",$S53="PENDENTE",$U53=""),"",$S53*$U53)</f>
        <v/>
      </c>
      <c r="X53" s="14">
        <f>IF($W53="","",MAX(0,$W53-N($V53)))</f>
        <v/>
      </c>
      <c r="Y53" s="14">
        <f>IF($X53="","",$X53/EF_APLIC)</f>
        <v/>
      </c>
      <c r="Z53" s="15" t="n">
        <v>125</v>
      </c>
      <c r="AA53" s="16">
        <f>IF(OR($Y53="",$Z53=""),"",$Y53*$Z53*10)</f>
        <v/>
      </c>
      <c r="AB53" s="17" t="n">
        <v>0.475</v>
      </c>
      <c r="AC53" s="16">
        <f>IF(OR($AA53="",$AB53=""),"",$AA53*$AB53)</f>
        <v/>
      </c>
      <c r="AD53" s="18">
        <f>IF($S53="PENDENTE","Definir classe/Kc",IF($Y53="","-",IF($Y53&gt;='PARAMETROS'!$B$7/EF_APLIC,"Irrigar",IF($Y53&gt;='PARAMETROS'!$B$7/EF_APLIC*FRAC_ACOMP,"Acompanhar","Aguardar"))))</f>
        <v/>
      </c>
      <c r="AE53" s="18">
        <f>IF(OR($Y53="",$Y53=0),"-",IF($Y53&gt;=2*'PARAMETROS'!$B$7/EF_APLIC,"Alta",IF($Y53&gt;='PARAMETROS'!$B$7/EF_APLIC,"Media","Baixa")))</f>
        <v/>
      </c>
    </row>
    <row r="54">
      <c r="A54" s="5" t="inlineStr">
        <is>
          <t>Pivô 50</t>
        </is>
      </c>
      <c r="B54" s="5" t="inlineStr">
        <is>
          <t>Karitel</t>
        </is>
      </c>
      <c r="C54" s="5" t="inlineStr">
        <is>
          <t>R14</t>
        </is>
      </c>
      <c r="D54" s="5" t="inlineStr">
        <is>
          <t>Modulo 3</t>
        </is>
      </c>
      <c r="E54" s="5" t="inlineStr">
        <is>
          <t>SOJA</t>
        </is>
      </c>
      <c r="F54" s="6" t="inlineStr">
        <is>
          <t>CZ 48B18 IPRO</t>
        </is>
      </c>
      <c r="G54" s="7" t="inlineStr">
        <is>
          <t>MÉDIA</t>
        </is>
      </c>
      <c r="H54" s="5" t="inlineStr">
        <is>
          <t>proximo</t>
        </is>
      </c>
      <c r="I54" s="8" t="n">
        <v>46352</v>
      </c>
      <c r="J54" s="9">
        <f>IF($I54="","",DATA_REF-$I54)</f>
        <v/>
      </c>
      <c r="K54" s="9">
        <f>IF($J54="","",MAX(0,$J54-'PARAMETROS'!$B$11))</f>
        <v/>
      </c>
      <c r="L54" s="10">
        <f>IFERROR(INDEX(KC_CURVAS!$C$5:$C$15,MATCH("SOJA|"&amp;$G54,KC_CURVAS!$K$5:$K$15,0)),IFERROR(INDEX(KC_CURVAS!$C$5:$C$15,MATCH("SOJA"&amp;"|",KC_CURVAS!$K$5:$K$15,0)),""))</f>
        <v/>
      </c>
      <c r="M54" s="10">
        <f>IFERROR(INDEX(KC_CURVAS!$D$5:$D$15,MATCH("SOJA|"&amp;$G54,KC_CURVAS!$K$5:$K$15,0)),IFERROR(INDEX(KC_CURVAS!$D$5:$D$15,MATCH("SOJA"&amp;"|",KC_CURVAS!$K$5:$K$15,0)),""))</f>
        <v/>
      </c>
      <c r="N54" s="10">
        <f>IFERROR(INDEX(KC_CURVAS!$E$5:$E$15,MATCH("SOJA|"&amp;$G54,KC_CURVAS!$K$5:$K$15,0)),IFERROR(INDEX(KC_CURVAS!$E$5:$E$15,MATCH("SOJA"&amp;"|",KC_CURVAS!$K$5:$K$15,0)),""))</f>
        <v/>
      </c>
      <c r="O54" s="10">
        <f>IFERROR(INDEX(KC_CURVAS!$F$5:$F$15,MATCH("SOJA|"&amp;$G54,KC_CURVAS!$K$5:$K$15,0)),IFERROR(INDEX(KC_CURVAS!$F$5:$F$15,MATCH("SOJA"&amp;"|",KC_CURVAS!$K$5:$K$15,0)),""))</f>
        <v/>
      </c>
      <c r="P54" s="11">
        <f>IFERROR(INDEX(KC_CURVAS!$G$5:$G$15,MATCH("SOJA|"&amp;$G54,KC_CURVAS!$K$5:$K$15,0)),IFERROR(INDEX(KC_CURVAS!$G$5:$G$15,MATCH("SOJA"&amp;"|",KC_CURVAS!$K$5:$K$15,0)),""))</f>
        <v/>
      </c>
      <c r="Q54" s="11">
        <f>IFERROR(INDEX(KC_CURVAS!$H$5:$H$15,MATCH("SOJA|"&amp;$G54,KC_CURVAS!$K$5:$K$15,0)),IFERROR(INDEX(KC_CURVAS!$H$5:$H$15,MATCH("SOJA"&amp;"|",KC_CURVAS!$K$5:$K$15,0)),""))</f>
        <v/>
      </c>
      <c r="R54" s="11">
        <f>IFERROR(INDEX(KC_CURVAS!$I$5:$I$15,MATCH("SOJA|"&amp;$G54,KC_CURVAS!$K$5:$K$15,0)),IFERROR(INDEX(KC_CURVAS!$I$5:$I$15,MATCH("SOJA"&amp;"|",KC_CURVAS!$K$5:$K$15,0)),""))</f>
        <v/>
      </c>
      <c r="S54" s="12">
        <f>IF(OR($K54="",$L54=""),"PENDENTE",IF($K54&lt;=$L54,$P54,IF($K54&lt;=$L54+$M54,$P54+($Q54-$P54)*($K54-$L54)/$M54,IF($K54&lt;=$L54+$M54+$N54,$Q54,IF($K54&lt;=$L54+$M54+$N54+$O54,$Q54+($R54-$Q54)*($K54-($L54+$M54+$N54))/$O54,$R54)))))</f>
        <v/>
      </c>
      <c r="T54" s="13">
        <f>IF($I54="","",$I54)</f>
        <v/>
      </c>
      <c r="U54" s="14">
        <f>IF($T54="","",SUMIFS(ETO_DIARIO!$B$5:$B$404,ETO_DIARIO!$A$5:$A$404,"&gt;"&amp;$T54,ETO_DIARIO!$A$5:$A$404,"&lt;="&amp;DATA_REF))</f>
        <v/>
      </c>
      <c r="V54" s="14">
        <f>IF($T54="","",SUMIFS(ETO_DIARIO!$C$5:$C$404,ETO_DIARIO!$A$5:$A$404,"&gt;"&amp;$T54,ETO_DIARIO!$A$5:$A$404,"&lt;="&amp;DATA_REF))</f>
        <v/>
      </c>
      <c r="W54" s="14">
        <f>IF(OR($S54="",$S54="PENDENTE",$U54=""),"",$S54*$U54)</f>
        <v/>
      </c>
      <c r="X54" s="14">
        <f>IF($W54="","",MAX(0,$W54-N($V54)))</f>
        <v/>
      </c>
      <c r="Y54" s="14">
        <f>IF($X54="","",$X54/EF_APLIC)</f>
        <v/>
      </c>
      <c r="Z54" s="15" t="n">
        <v>120</v>
      </c>
      <c r="AA54" s="16">
        <f>IF(OR($Y54="",$Z54=""),"",$Y54*$Z54*10)</f>
        <v/>
      </c>
      <c r="AB54" s="17" t="n">
        <v>0.828</v>
      </c>
      <c r="AC54" s="16">
        <f>IF(OR($AA54="",$AB54=""),"",$AA54*$AB54)</f>
        <v/>
      </c>
      <c r="AD54" s="18">
        <f>IF($S54="PENDENTE","Definir classe/Kc",IF($Y54="","-",IF($Y54&gt;='PARAMETROS'!$B$7/EF_APLIC,"Irrigar",IF($Y54&gt;='PARAMETROS'!$B$7/EF_APLIC*FRAC_ACOMP,"Acompanhar","Aguardar"))))</f>
        <v/>
      </c>
      <c r="AE54" s="18">
        <f>IF(OR($Y54="",$Y54=0),"-",IF($Y54&gt;=2*'PARAMETROS'!$B$7/EF_APLIC,"Alta",IF($Y54&gt;='PARAMETROS'!$B$7/EF_APLIC,"Media","Baixa")))</f>
        <v/>
      </c>
    </row>
    <row r="55">
      <c r="A55" s="5" t="inlineStr">
        <is>
          <t>Pivô 51</t>
        </is>
      </c>
      <c r="B55" s="5" t="inlineStr">
        <is>
          <t>Karitel</t>
        </is>
      </c>
      <c r="C55" s="5" t="inlineStr">
        <is>
          <t>R14</t>
        </is>
      </c>
      <c r="D55" s="5" t="inlineStr">
        <is>
          <t>Modulo 3</t>
        </is>
      </c>
      <c r="E55" s="5" t="inlineStr">
        <is>
          <t>SOJA</t>
        </is>
      </c>
      <c r="F55" s="6" t="inlineStr">
        <is>
          <t>CZ 48B18 IPRO</t>
        </is>
      </c>
      <c r="G55" s="7" t="inlineStr">
        <is>
          <t>MÉDIA</t>
        </is>
      </c>
      <c r="H55" s="5" t="inlineStr">
        <is>
          <t>proximo</t>
        </is>
      </c>
      <c r="I55" s="8" t="n">
        <v>46316</v>
      </c>
      <c r="J55" s="9">
        <f>IF($I55="","",DATA_REF-$I55)</f>
        <v/>
      </c>
      <c r="K55" s="9">
        <f>IF($J55="","",MAX(0,$J55-'PARAMETROS'!$B$11))</f>
        <v/>
      </c>
      <c r="L55" s="10">
        <f>IFERROR(INDEX(KC_CURVAS!$C$5:$C$15,MATCH("SOJA|"&amp;$G55,KC_CURVAS!$K$5:$K$15,0)),IFERROR(INDEX(KC_CURVAS!$C$5:$C$15,MATCH("SOJA"&amp;"|",KC_CURVAS!$K$5:$K$15,0)),""))</f>
        <v/>
      </c>
      <c r="M55" s="10">
        <f>IFERROR(INDEX(KC_CURVAS!$D$5:$D$15,MATCH("SOJA|"&amp;$G55,KC_CURVAS!$K$5:$K$15,0)),IFERROR(INDEX(KC_CURVAS!$D$5:$D$15,MATCH("SOJA"&amp;"|",KC_CURVAS!$K$5:$K$15,0)),""))</f>
        <v/>
      </c>
      <c r="N55" s="10">
        <f>IFERROR(INDEX(KC_CURVAS!$E$5:$E$15,MATCH("SOJA|"&amp;$G55,KC_CURVAS!$K$5:$K$15,0)),IFERROR(INDEX(KC_CURVAS!$E$5:$E$15,MATCH("SOJA"&amp;"|",KC_CURVAS!$K$5:$K$15,0)),""))</f>
        <v/>
      </c>
      <c r="O55" s="10">
        <f>IFERROR(INDEX(KC_CURVAS!$F$5:$F$15,MATCH("SOJA|"&amp;$G55,KC_CURVAS!$K$5:$K$15,0)),IFERROR(INDEX(KC_CURVAS!$F$5:$F$15,MATCH("SOJA"&amp;"|",KC_CURVAS!$K$5:$K$15,0)),""))</f>
        <v/>
      </c>
      <c r="P55" s="11">
        <f>IFERROR(INDEX(KC_CURVAS!$G$5:$G$15,MATCH("SOJA|"&amp;$G55,KC_CURVAS!$K$5:$K$15,0)),IFERROR(INDEX(KC_CURVAS!$G$5:$G$15,MATCH("SOJA"&amp;"|",KC_CURVAS!$K$5:$K$15,0)),""))</f>
        <v/>
      </c>
      <c r="Q55" s="11">
        <f>IFERROR(INDEX(KC_CURVAS!$H$5:$H$15,MATCH("SOJA|"&amp;$G55,KC_CURVAS!$K$5:$K$15,0)),IFERROR(INDEX(KC_CURVAS!$H$5:$H$15,MATCH("SOJA"&amp;"|",KC_CURVAS!$K$5:$K$15,0)),""))</f>
        <v/>
      </c>
      <c r="R55" s="11">
        <f>IFERROR(INDEX(KC_CURVAS!$I$5:$I$15,MATCH("SOJA|"&amp;$G55,KC_CURVAS!$K$5:$K$15,0)),IFERROR(INDEX(KC_CURVAS!$I$5:$I$15,MATCH("SOJA"&amp;"|",KC_CURVAS!$K$5:$K$15,0)),""))</f>
        <v/>
      </c>
      <c r="S55" s="12">
        <f>IF(OR($K55="",$L55=""),"PENDENTE",IF($K55&lt;=$L55,$P55,IF($K55&lt;=$L55+$M55,$P55+($Q55-$P55)*($K55-$L55)/$M55,IF($K55&lt;=$L55+$M55+$N55,$Q55,IF($K55&lt;=$L55+$M55+$N55+$O55,$Q55+($R55-$Q55)*($K55-($L55+$M55+$N55))/$O55,$R55)))))</f>
        <v/>
      </c>
      <c r="T55" s="13">
        <f>IF($I55="","",$I55)</f>
        <v/>
      </c>
      <c r="U55" s="14">
        <f>IF($T55="","",SUMIFS(ETO_DIARIO!$B$5:$B$404,ETO_DIARIO!$A$5:$A$404,"&gt;"&amp;$T55,ETO_DIARIO!$A$5:$A$404,"&lt;="&amp;DATA_REF))</f>
        <v/>
      </c>
      <c r="V55" s="14">
        <f>IF($T55="","",SUMIFS(ETO_DIARIO!$C$5:$C$404,ETO_DIARIO!$A$5:$A$404,"&gt;"&amp;$T55,ETO_DIARIO!$A$5:$A$404,"&lt;="&amp;DATA_REF))</f>
        <v/>
      </c>
      <c r="W55" s="14">
        <f>IF(OR($S55="",$S55="PENDENTE",$U55=""),"",$S55*$U55)</f>
        <v/>
      </c>
      <c r="X55" s="14">
        <f>IF($W55="","",MAX(0,$W55-N($V55)))</f>
        <v/>
      </c>
      <c r="Y55" s="14">
        <f>IF($X55="","",$X55/EF_APLIC)</f>
        <v/>
      </c>
      <c r="Z55" s="15" t="n">
        <v>120</v>
      </c>
      <c r="AA55" s="16">
        <f>IF(OR($Y55="",$Z55=""),"",$Y55*$Z55*10)</f>
        <v/>
      </c>
      <c r="AB55" s="17" t="n">
        <v>0.836</v>
      </c>
      <c r="AC55" s="16">
        <f>IF(OR($AA55="",$AB55=""),"",$AA55*$AB55)</f>
        <v/>
      </c>
      <c r="AD55" s="18">
        <f>IF($S55="PENDENTE","Definir classe/Kc",IF($Y55="","-",IF($Y55&gt;='PARAMETROS'!$B$7/EF_APLIC,"Irrigar",IF($Y55&gt;='PARAMETROS'!$B$7/EF_APLIC*FRAC_ACOMP,"Acompanhar","Aguardar"))))</f>
        <v/>
      </c>
      <c r="AE55" s="18">
        <f>IF(OR($Y55="",$Y55=0),"-",IF($Y55&gt;=2*'PARAMETROS'!$B$7/EF_APLIC,"Alta",IF($Y55&gt;='PARAMETROS'!$B$7/EF_APLIC,"Media","Baixa")))</f>
        <v/>
      </c>
    </row>
    <row r="56">
      <c r="A56" s="5" t="inlineStr">
        <is>
          <t>Pivô 52</t>
        </is>
      </c>
      <c r="B56" s="5" t="inlineStr">
        <is>
          <t>Karitel</t>
        </is>
      </c>
      <c r="C56" s="5" t="inlineStr">
        <is>
          <t>R12</t>
        </is>
      </c>
      <c r="D56" s="5" t="inlineStr">
        <is>
          <t>Modulo 2</t>
        </is>
      </c>
      <c r="E56" s="5" t="inlineStr">
        <is>
          <t>SOJA</t>
        </is>
      </c>
      <c r="F56" s="6" t="inlineStr">
        <is>
          <t>M8434 12X</t>
        </is>
      </c>
      <c r="G56" s="7" t="inlineStr">
        <is>
          <t>MÉDIA</t>
        </is>
      </c>
      <c r="H56" s="5" t="inlineStr">
        <is>
          <t>proximo</t>
        </is>
      </c>
      <c r="I56" s="8" t="n">
        <v>46331</v>
      </c>
      <c r="J56" s="9">
        <f>IF($I56="","",DATA_REF-$I56)</f>
        <v/>
      </c>
      <c r="K56" s="9">
        <f>IF($J56="","",MAX(0,$J56-'PARAMETROS'!$B$11))</f>
        <v/>
      </c>
      <c r="L56" s="10">
        <f>IFERROR(INDEX(KC_CURVAS!$C$5:$C$15,MATCH("SOJA|"&amp;$G56,KC_CURVAS!$K$5:$K$15,0)),IFERROR(INDEX(KC_CURVAS!$C$5:$C$15,MATCH("SOJA"&amp;"|",KC_CURVAS!$K$5:$K$15,0)),""))</f>
        <v/>
      </c>
      <c r="M56" s="10">
        <f>IFERROR(INDEX(KC_CURVAS!$D$5:$D$15,MATCH("SOJA|"&amp;$G56,KC_CURVAS!$K$5:$K$15,0)),IFERROR(INDEX(KC_CURVAS!$D$5:$D$15,MATCH("SOJA"&amp;"|",KC_CURVAS!$K$5:$K$15,0)),""))</f>
        <v/>
      </c>
      <c r="N56" s="10">
        <f>IFERROR(INDEX(KC_CURVAS!$E$5:$E$15,MATCH("SOJA|"&amp;$G56,KC_CURVAS!$K$5:$K$15,0)),IFERROR(INDEX(KC_CURVAS!$E$5:$E$15,MATCH("SOJA"&amp;"|",KC_CURVAS!$K$5:$K$15,0)),""))</f>
        <v/>
      </c>
      <c r="O56" s="10">
        <f>IFERROR(INDEX(KC_CURVAS!$F$5:$F$15,MATCH("SOJA|"&amp;$G56,KC_CURVAS!$K$5:$K$15,0)),IFERROR(INDEX(KC_CURVAS!$F$5:$F$15,MATCH("SOJA"&amp;"|",KC_CURVAS!$K$5:$K$15,0)),""))</f>
        <v/>
      </c>
      <c r="P56" s="11">
        <f>IFERROR(INDEX(KC_CURVAS!$G$5:$G$15,MATCH("SOJA|"&amp;$G56,KC_CURVAS!$K$5:$K$15,0)),IFERROR(INDEX(KC_CURVAS!$G$5:$G$15,MATCH("SOJA"&amp;"|",KC_CURVAS!$K$5:$K$15,0)),""))</f>
        <v/>
      </c>
      <c r="Q56" s="11">
        <f>IFERROR(INDEX(KC_CURVAS!$H$5:$H$15,MATCH("SOJA|"&amp;$G56,KC_CURVAS!$K$5:$K$15,0)),IFERROR(INDEX(KC_CURVAS!$H$5:$H$15,MATCH("SOJA"&amp;"|",KC_CURVAS!$K$5:$K$15,0)),""))</f>
        <v/>
      </c>
      <c r="R56" s="11">
        <f>IFERROR(INDEX(KC_CURVAS!$I$5:$I$15,MATCH("SOJA|"&amp;$G56,KC_CURVAS!$K$5:$K$15,0)),IFERROR(INDEX(KC_CURVAS!$I$5:$I$15,MATCH("SOJA"&amp;"|",KC_CURVAS!$K$5:$K$15,0)),""))</f>
        <v/>
      </c>
      <c r="S56" s="12">
        <f>IF(OR($K56="",$L56=""),"PENDENTE",IF($K56&lt;=$L56,$P56,IF($K56&lt;=$L56+$M56,$P56+($Q56-$P56)*($K56-$L56)/$M56,IF($K56&lt;=$L56+$M56+$N56,$Q56,IF($K56&lt;=$L56+$M56+$N56+$O56,$Q56+($R56-$Q56)*($K56-($L56+$M56+$N56))/$O56,$R56)))))</f>
        <v/>
      </c>
      <c r="T56" s="13">
        <f>IF($I56="","",$I56)</f>
        <v/>
      </c>
      <c r="U56" s="14">
        <f>IF($T56="","",SUMIFS(ETO_DIARIO!$B$5:$B$404,ETO_DIARIO!$A$5:$A$404,"&gt;"&amp;$T56,ETO_DIARIO!$A$5:$A$404,"&lt;="&amp;DATA_REF))</f>
        <v/>
      </c>
      <c r="V56" s="14">
        <f>IF($T56="","",SUMIFS(ETO_DIARIO!$C$5:$C$404,ETO_DIARIO!$A$5:$A$404,"&gt;"&amp;$T56,ETO_DIARIO!$A$5:$A$404,"&lt;="&amp;DATA_REF))</f>
        <v/>
      </c>
      <c r="W56" s="14">
        <f>IF(OR($S56="",$S56="PENDENTE",$U56=""),"",$S56*$U56)</f>
        <v/>
      </c>
      <c r="X56" s="14">
        <f>IF($W56="","",MAX(0,$W56-N($V56)))</f>
        <v/>
      </c>
      <c r="Y56" s="14">
        <f>IF($X56="","",$X56/EF_APLIC)</f>
        <v/>
      </c>
      <c r="Z56" s="15" t="n">
        <v>160</v>
      </c>
      <c r="AA56" s="16">
        <f>IF(OR($Y56="",$Z56=""),"",$Y56*$Z56*10)</f>
        <v/>
      </c>
      <c r="AB56" s="17" t="n">
        <v>0.475</v>
      </c>
      <c r="AC56" s="16">
        <f>IF(OR($AA56="",$AB56=""),"",$AA56*$AB56)</f>
        <v/>
      </c>
      <c r="AD56" s="18">
        <f>IF($S56="PENDENTE","Definir classe/Kc",IF($Y56="","-",IF($Y56&gt;='PARAMETROS'!$B$7/EF_APLIC,"Irrigar",IF($Y56&gt;='PARAMETROS'!$B$7/EF_APLIC*FRAC_ACOMP,"Acompanhar","Aguardar"))))</f>
        <v/>
      </c>
      <c r="AE56" s="18">
        <f>IF(OR($Y56="",$Y56=0),"-",IF($Y56&gt;=2*'PARAMETROS'!$B$7/EF_APLIC,"Alta",IF($Y56&gt;='PARAMETROS'!$B$7/EF_APLIC,"Media","Baixa")))</f>
        <v/>
      </c>
    </row>
    <row r="57">
      <c r="A57" s="5" t="inlineStr">
        <is>
          <t>Pivô 53</t>
        </is>
      </c>
      <c r="B57" s="5" t="inlineStr">
        <is>
          <t>Karitel</t>
        </is>
      </c>
      <c r="C57" s="5" t="inlineStr">
        <is>
          <t>R13</t>
        </is>
      </c>
      <c r="D57" s="5" t="inlineStr">
        <is>
          <t>Modulo 3</t>
        </is>
      </c>
      <c r="E57" s="5" t="inlineStr">
        <is>
          <t>SOJA</t>
        </is>
      </c>
      <c r="F57" s="6" t="inlineStr">
        <is>
          <t>CZ 48B18 IPRO</t>
        </is>
      </c>
      <c r="G57" s="7" t="inlineStr">
        <is>
          <t>MÉDIA</t>
        </is>
      </c>
      <c r="H57" s="5" t="inlineStr">
        <is>
          <t>proximo</t>
        </is>
      </c>
      <c r="I57" s="8" t="n">
        <v>46317</v>
      </c>
      <c r="J57" s="9">
        <f>IF($I57="","",DATA_REF-$I57)</f>
        <v/>
      </c>
      <c r="K57" s="9">
        <f>IF($J57="","",MAX(0,$J57-'PARAMETROS'!$B$11))</f>
        <v/>
      </c>
      <c r="L57" s="10">
        <f>IFERROR(INDEX(KC_CURVAS!$C$5:$C$15,MATCH("SOJA|"&amp;$G57,KC_CURVAS!$K$5:$K$15,0)),IFERROR(INDEX(KC_CURVAS!$C$5:$C$15,MATCH("SOJA"&amp;"|",KC_CURVAS!$K$5:$K$15,0)),""))</f>
        <v/>
      </c>
      <c r="M57" s="10">
        <f>IFERROR(INDEX(KC_CURVAS!$D$5:$D$15,MATCH("SOJA|"&amp;$G57,KC_CURVAS!$K$5:$K$15,0)),IFERROR(INDEX(KC_CURVAS!$D$5:$D$15,MATCH("SOJA"&amp;"|",KC_CURVAS!$K$5:$K$15,0)),""))</f>
        <v/>
      </c>
      <c r="N57" s="10">
        <f>IFERROR(INDEX(KC_CURVAS!$E$5:$E$15,MATCH("SOJA|"&amp;$G57,KC_CURVAS!$K$5:$K$15,0)),IFERROR(INDEX(KC_CURVAS!$E$5:$E$15,MATCH("SOJA"&amp;"|",KC_CURVAS!$K$5:$K$15,0)),""))</f>
        <v/>
      </c>
      <c r="O57" s="10">
        <f>IFERROR(INDEX(KC_CURVAS!$F$5:$F$15,MATCH("SOJA|"&amp;$G57,KC_CURVAS!$K$5:$K$15,0)),IFERROR(INDEX(KC_CURVAS!$F$5:$F$15,MATCH("SOJA"&amp;"|",KC_CURVAS!$K$5:$K$15,0)),""))</f>
        <v/>
      </c>
      <c r="P57" s="11">
        <f>IFERROR(INDEX(KC_CURVAS!$G$5:$G$15,MATCH("SOJA|"&amp;$G57,KC_CURVAS!$K$5:$K$15,0)),IFERROR(INDEX(KC_CURVAS!$G$5:$G$15,MATCH("SOJA"&amp;"|",KC_CURVAS!$K$5:$K$15,0)),""))</f>
        <v/>
      </c>
      <c r="Q57" s="11">
        <f>IFERROR(INDEX(KC_CURVAS!$H$5:$H$15,MATCH("SOJA|"&amp;$G57,KC_CURVAS!$K$5:$K$15,0)),IFERROR(INDEX(KC_CURVAS!$H$5:$H$15,MATCH("SOJA"&amp;"|",KC_CURVAS!$K$5:$K$15,0)),""))</f>
        <v/>
      </c>
      <c r="R57" s="11">
        <f>IFERROR(INDEX(KC_CURVAS!$I$5:$I$15,MATCH("SOJA|"&amp;$G57,KC_CURVAS!$K$5:$K$15,0)),IFERROR(INDEX(KC_CURVAS!$I$5:$I$15,MATCH("SOJA"&amp;"|",KC_CURVAS!$K$5:$K$15,0)),""))</f>
        <v/>
      </c>
      <c r="S57" s="12">
        <f>IF(OR($K57="",$L57=""),"PENDENTE",IF($K57&lt;=$L57,$P57,IF($K57&lt;=$L57+$M57,$P57+($Q57-$P57)*($K57-$L57)/$M57,IF($K57&lt;=$L57+$M57+$N57,$Q57,IF($K57&lt;=$L57+$M57+$N57+$O57,$Q57+($R57-$Q57)*($K57-($L57+$M57+$N57))/$O57,$R57)))))</f>
        <v/>
      </c>
      <c r="T57" s="13">
        <f>IF($I57="","",$I57)</f>
        <v/>
      </c>
      <c r="U57" s="14">
        <f>IF($T57="","",SUMIFS(ETO_DIARIO!$B$5:$B$404,ETO_DIARIO!$A$5:$A$404,"&gt;"&amp;$T57,ETO_DIARIO!$A$5:$A$404,"&lt;="&amp;DATA_REF))</f>
        <v/>
      </c>
      <c r="V57" s="14">
        <f>IF($T57="","",SUMIFS(ETO_DIARIO!$C$5:$C$404,ETO_DIARIO!$A$5:$A$404,"&gt;"&amp;$T57,ETO_DIARIO!$A$5:$A$404,"&lt;="&amp;DATA_REF))</f>
        <v/>
      </c>
      <c r="W57" s="14">
        <f>IF(OR($S57="",$S57="PENDENTE",$U57=""),"",$S57*$U57)</f>
        <v/>
      </c>
      <c r="X57" s="14">
        <f>IF($W57="","",MAX(0,$W57-N($V57)))</f>
        <v/>
      </c>
      <c r="Y57" s="14">
        <f>IF($X57="","",$X57/EF_APLIC)</f>
        <v/>
      </c>
      <c r="Z57" s="15" t="n">
        <v>75</v>
      </c>
      <c r="AA57" s="16">
        <f>IF(OR($Y57="",$Z57=""),"",$Y57*$Z57*10)</f>
        <v/>
      </c>
      <c r="AB57" s="17" t="n">
        <v>0.735</v>
      </c>
      <c r="AC57" s="16">
        <f>IF(OR($AA57="",$AB57=""),"",$AA57*$AB57)</f>
        <v/>
      </c>
      <c r="AD57" s="18">
        <f>IF($S57="PENDENTE","Definir classe/Kc",IF($Y57="","-",IF($Y57&gt;='PARAMETROS'!$B$7/EF_APLIC,"Irrigar",IF($Y57&gt;='PARAMETROS'!$B$7/EF_APLIC*FRAC_ACOMP,"Acompanhar","Aguardar"))))</f>
        <v/>
      </c>
      <c r="AE57" s="18">
        <f>IF(OR($Y57="",$Y57=0),"-",IF($Y57&gt;=2*'PARAMETROS'!$B$7/EF_APLIC,"Alta",IF($Y57&gt;='PARAMETROS'!$B$7/EF_APLIC,"Media","Baixa")))</f>
        <v/>
      </c>
    </row>
    <row r="58">
      <c r="A58" s="5" t="inlineStr">
        <is>
          <t>Pivô 54</t>
        </is>
      </c>
      <c r="B58" s="5" t="inlineStr">
        <is>
          <t>Karitel</t>
        </is>
      </c>
      <c r="C58" s="5" t="inlineStr">
        <is>
          <t>R13</t>
        </is>
      </c>
      <c r="D58" s="5" t="inlineStr">
        <is>
          <t>Modulo 3</t>
        </is>
      </c>
      <c r="E58" s="5" t="inlineStr">
        <is>
          <t>SOJA</t>
        </is>
      </c>
      <c r="F58" s="6" t="inlineStr">
        <is>
          <t>CZ 48B18 IPRO</t>
        </is>
      </c>
      <c r="G58" s="7" t="inlineStr">
        <is>
          <t>MÉDIA</t>
        </is>
      </c>
      <c r="H58" s="5" t="inlineStr">
        <is>
          <t>proximo</t>
        </is>
      </c>
      <c r="I58" s="8" t="n">
        <v>46316</v>
      </c>
      <c r="J58" s="9">
        <f>IF($I58="","",DATA_REF-$I58)</f>
        <v/>
      </c>
      <c r="K58" s="9">
        <f>IF($J58="","",MAX(0,$J58-'PARAMETROS'!$B$11))</f>
        <v/>
      </c>
      <c r="L58" s="10">
        <f>IFERROR(INDEX(KC_CURVAS!$C$5:$C$15,MATCH("SOJA|"&amp;$G58,KC_CURVAS!$K$5:$K$15,0)),IFERROR(INDEX(KC_CURVAS!$C$5:$C$15,MATCH("SOJA"&amp;"|",KC_CURVAS!$K$5:$K$15,0)),""))</f>
        <v/>
      </c>
      <c r="M58" s="10">
        <f>IFERROR(INDEX(KC_CURVAS!$D$5:$D$15,MATCH("SOJA|"&amp;$G58,KC_CURVAS!$K$5:$K$15,0)),IFERROR(INDEX(KC_CURVAS!$D$5:$D$15,MATCH("SOJA"&amp;"|",KC_CURVAS!$K$5:$K$15,0)),""))</f>
        <v/>
      </c>
      <c r="N58" s="10">
        <f>IFERROR(INDEX(KC_CURVAS!$E$5:$E$15,MATCH("SOJA|"&amp;$G58,KC_CURVAS!$K$5:$K$15,0)),IFERROR(INDEX(KC_CURVAS!$E$5:$E$15,MATCH("SOJA"&amp;"|",KC_CURVAS!$K$5:$K$15,0)),""))</f>
        <v/>
      </c>
      <c r="O58" s="10">
        <f>IFERROR(INDEX(KC_CURVAS!$F$5:$F$15,MATCH("SOJA|"&amp;$G58,KC_CURVAS!$K$5:$K$15,0)),IFERROR(INDEX(KC_CURVAS!$F$5:$F$15,MATCH("SOJA"&amp;"|",KC_CURVAS!$K$5:$K$15,0)),""))</f>
        <v/>
      </c>
      <c r="P58" s="11">
        <f>IFERROR(INDEX(KC_CURVAS!$G$5:$G$15,MATCH("SOJA|"&amp;$G58,KC_CURVAS!$K$5:$K$15,0)),IFERROR(INDEX(KC_CURVAS!$G$5:$G$15,MATCH("SOJA"&amp;"|",KC_CURVAS!$K$5:$K$15,0)),""))</f>
        <v/>
      </c>
      <c r="Q58" s="11">
        <f>IFERROR(INDEX(KC_CURVAS!$H$5:$H$15,MATCH("SOJA|"&amp;$G58,KC_CURVAS!$K$5:$K$15,0)),IFERROR(INDEX(KC_CURVAS!$H$5:$H$15,MATCH("SOJA"&amp;"|",KC_CURVAS!$K$5:$K$15,0)),""))</f>
        <v/>
      </c>
      <c r="R58" s="11">
        <f>IFERROR(INDEX(KC_CURVAS!$I$5:$I$15,MATCH("SOJA|"&amp;$G58,KC_CURVAS!$K$5:$K$15,0)),IFERROR(INDEX(KC_CURVAS!$I$5:$I$15,MATCH("SOJA"&amp;"|",KC_CURVAS!$K$5:$K$15,0)),""))</f>
        <v/>
      </c>
      <c r="S58" s="12">
        <f>IF(OR($K58="",$L58=""),"PENDENTE",IF($K58&lt;=$L58,$P58,IF($K58&lt;=$L58+$M58,$P58+($Q58-$P58)*($K58-$L58)/$M58,IF($K58&lt;=$L58+$M58+$N58,$Q58,IF($K58&lt;=$L58+$M58+$N58+$O58,$Q58+($R58-$Q58)*($K58-($L58+$M58+$N58))/$O58,$R58)))))</f>
        <v/>
      </c>
      <c r="T58" s="13">
        <f>IF($I58="","",$I58)</f>
        <v/>
      </c>
      <c r="U58" s="14">
        <f>IF($T58="","",SUMIFS(ETO_DIARIO!$B$5:$B$404,ETO_DIARIO!$A$5:$A$404,"&gt;"&amp;$T58,ETO_DIARIO!$A$5:$A$404,"&lt;="&amp;DATA_REF))</f>
        <v/>
      </c>
      <c r="V58" s="14">
        <f>IF($T58="","",SUMIFS(ETO_DIARIO!$C$5:$C$404,ETO_DIARIO!$A$5:$A$404,"&gt;"&amp;$T58,ETO_DIARIO!$A$5:$A$404,"&lt;="&amp;DATA_REF))</f>
        <v/>
      </c>
      <c r="W58" s="14">
        <f>IF(OR($S58="",$S58="PENDENTE",$U58=""),"",$S58*$U58)</f>
        <v/>
      </c>
      <c r="X58" s="14">
        <f>IF($W58="","",MAX(0,$W58-N($V58)))</f>
        <v/>
      </c>
      <c r="Y58" s="14">
        <f>IF($X58="","",$X58/EF_APLIC)</f>
        <v/>
      </c>
      <c r="Z58" s="15" t="n">
        <v>120</v>
      </c>
      <c r="AA58" s="16">
        <f>IF(OR($Y58="",$Z58=""),"",$Y58*$Z58*10)</f>
        <v/>
      </c>
      <c r="AB58" s="17" t="n">
        <v>0.827</v>
      </c>
      <c r="AC58" s="16">
        <f>IF(OR($AA58="",$AB58=""),"",$AA58*$AB58)</f>
        <v/>
      </c>
      <c r="AD58" s="18">
        <f>IF($S58="PENDENTE","Definir classe/Kc",IF($Y58="","-",IF($Y58&gt;='PARAMETROS'!$B$7/EF_APLIC,"Irrigar",IF($Y58&gt;='PARAMETROS'!$B$7/EF_APLIC*FRAC_ACOMP,"Acompanhar","Aguardar"))))</f>
        <v/>
      </c>
      <c r="AE58" s="18">
        <f>IF(OR($Y58="",$Y58=0),"-",IF($Y58&gt;=2*'PARAMETROS'!$B$7/EF_APLIC,"Alta",IF($Y58&gt;='PARAMETROS'!$B$7/EF_APLIC,"Media","Baixa")))</f>
        <v/>
      </c>
    </row>
    <row r="59">
      <c r="A59" s="5" t="inlineStr">
        <is>
          <t>Pivô 55</t>
        </is>
      </c>
      <c r="B59" s="5" t="inlineStr">
        <is>
          <t>Karitel</t>
        </is>
      </c>
      <c r="C59" s="5" t="inlineStr">
        <is>
          <t>R13</t>
        </is>
      </c>
      <c r="D59" s="5" t="inlineStr">
        <is>
          <t>Modulo 3</t>
        </is>
      </c>
      <c r="E59" s="5" t="inlineStr">
        <is>
          <t>SOJA</t>
        </is>
      </c>
      <c r="F59" s="6" t="inlineStr">
        <is>
          <t>CZ 48B18 IPRO</t>
        </is>
      </c>
      <c r="G59" s="7" t="inlineStr">
        <is>
          <t>MÉDIA</t>
        </is>
      </c>
      <c r="H59" s="5" t="inlineStr">
        <is>
          <t>proximo</t>
        </is>
      </c>
      <c r="I59" s="8" t="n">
        <v>46318</v>
      </c>
      <c r="J59" s="9">
        <f>IF($I59="","",DATA_REF-$I59)</f>
        <v/>
      </c>
      <c r="K59" s="9">
        <f>IF($J59="","",MAX(0,$J59-'PARAMETROS'!$B$11))</f>
        <v/>
      </c>
      <c r="L59" s="10">
        <f>IFERROR(INDEX(KC_CURVAS!$C$5:$C$15,MATCH("SOJA|"&amp;$G59,KC_CURVAS!$K$5:$K$15,0)),IFERROR(INDEX(KC_CURVAS!$C$5:$C$15,MATCH("SOJA"&amp;"|",KC_CURVAS!$K$5:$K$15,0)),""))</f>
        <v/>
      </c>
      <c r="M59" s="10">
        <f>IFERROR(INDEX(KC_CURVAS!$D$5:$D$15,MATCH("SOJA|"&amp;$G59,KC_CURVAS!$K$5:$K$15,0)),IFERROR(INDEX(KC_CURVAS!$D$5:$D$15,MATCH("SOJA"&amp;"|",KC_CURVAS!$K$5:$K$15,0)),""))</f>
        <v/>
      </c>
      <c r="N59" s="10">
        <f>IFERROR(INDEX(KC_CURVAS!$E$5:$E$15,MATCH("SOJA|"&amp;$G59,KC_CURVAS!$K$5:$K$15,0)),IFERROR(INDEX(KC_CURVAS!$E$5:$E$15,MATCH("SOJA"&amp;"|",KC_CURVAS!$K$5:$K$15,0)),""))</f>
        <v/>
      </c>
      <c r="O59" s="10">
        <f>IFERROR(INDEX(KC_CURVAS!$F$5:$F$15,MATCH("SOJA|"&amp;$G59,KC_CURVAS!$K$5:$K$15,0)),IFERROR(INDEX(KC_CURVAS!$F$5:$F$15,MATCH("SOJA"&amp;"|",KC_CURVAS!$K$5:$K$15,0)),""))</f>
        <v/>
      </c>
      <c r="P59" s="11">
        <f>IFERROR(INDEX(KC_CURVAS!$G$5:$G$15,MATCH("SOJA|"&amp;$G59,KC_CURVAS!$K$5:$K$15,0)),IFERROR(INDEX(KC_CURVAS!$G$5:$G$15,MATCH("SOJA"&amp;"|",KC_CURVAS!$K$5:$K$15,0)),""))</f>
        <v/>
      </c>
      <c r="Q59" s="11">
        <f>IFERROR(INDEX(KC_CURVAS!$H$5:$H$15,MATCH("SOJA|"&amp;$G59,KC_CURVAS!$K$5:$K$15,0)),IFERROR(INDEX(KC_CURVAS!$H$5:$H$15,MATCH("SOJA"&amp;"|",KC_CURVAS!$K$5:$K$15,0)),""))</f>
        <v/>
      </c>
      <c r="R59" s="11">
        <f>IFERROR(INDEX(KC_CURVAS!$I$5:$I$15,MATCH("SOJA|"&amp;$G59,KC_CURVAS!$K$5:$K$15,0)),IFERROR(INDEX(KC_CURVAS!$I$5:$I$15,MATCH("SOJA"&amp;"|",KC_CURVAS!$K$5:$K$15,0)),""))</f>
        <v/>
      </c>
      <c r="S59" s="12">
        <f>IF(OR($K59="",$L59=""),"PENDENTE",IF($K59&lt;=$L59,$P59,IF($K59&lt;=$L59+$M59,$P59+($Q59-$P59)*($K59-$L59)/$M59,IF($K59&lt;=$L59+$M59+$N59,$Q59,IF($K59&lt;=$L59+$M59+$N59+$O59,$Q59+($R59-$Q59)*($K59-($L59+$M59+$N59))/$O59,$R59)))))</f>
        <v/>
      </c>
      <c r="T59" s="13">
        <f>IF($I59="","",$I59)</f>
        <v/>
      </c>
      <c r="U59" s="14">
        <f>IF($T59="","",SUMIFS(ETO_DIARIO!$B$5:$B$404,ETO_DIARIO!$A$5:$A$404,"&gt;"&amp;$T59,ETO_DIARIO!$A$5:$A$404,"&lt;="&amp;DATA_REF))</f>
        <v/>
      </c>
      <c r="V59" s="14">
        <f>IF($T59="","",SUMIFS(ETO_DIARIO!$C$5:$C$404,ETO_DIARIO!$A$5:$A$404,"&gt;"&amp;$T59,ETO_DIARIO!$A$5:$A$404,"&lt;="&amp;DATA_REF))</f>
        <v/>
      </c>
      <c r="W59" s="14">
        <f>IF(OR($S59="",$S59="PENDENTE",$U59=""),"",$S59*$U59)</f>
        <v/>
      </c>
      <c r="X59" s="14">
        <f>IF($W59="","",MAX(0,$W59-N($V59)))</f>
        <v/>
      </c>
      <c r="Y59" s="14">
        <f>IF($X59="","",$X59/EF_APLIC)</f>
        <v/>
      </c>
      <c r="Z59" s="15" t="n">
        <v>150</v>
      </c>
      <c r="AA59" s="16">
        <f>IF(OR($Y59="",$Z59=""),"",$Y59*$Z59*10)</f>
        <v/>
      </c>
      <c r="AB59" s="17" t="n">
        <v>0.9429999999999999</v>
      </c>
      <c r="AC59" s="16">
        <f>IF(OR($AA59="",$AB59=""),"",$AA59*$AB59)</f>
        <v/>
      </c>
      <c r="AD59" s="18">
        <f>IF($S59="PENDENTE","Definir classe/Kc",IF($Y59="","-",IF($Y59&gt;='PARAMETROS'!$B$7/EF_APLIC,"Irrigar",IF($Y59&gt;='PARAMETROS'!$B$7/EF_APLIC*FRAC_ACOMP,"Acompanhar","Aguardar"))))</f>
        <v/>
      </c>
      <c r="AE59" s="18">
        <f>IF(OR($Y59="",$Y59=0),"-",IF($Y59&gt;=2*'PARAMETROS'!$B$7/EF_APLIC,"Alta",IF($Y59&gt;='PARAMETROS'!$B$7/EF_APLIC,"Media","Baixa")))</f>
        <v/>
      </c>
    </row>
    <row r="60">
      <c r="A60" s="5" t="inlineStr">
        <is>
          <t>Pivô 56</t>
        </is>
      </c>
      <c r="B60" s="5" t="inlineStr">
        <is>
          <t>Karitel</t>
        </is>
      </c>
      <c r="C60" s="5" t="inlineStr">
        <is>
          <t>R14</t>
        </is>
      </c>
      <c r="D60" s="5" t="inlineStr">
        <is>
          <t>Modulo 3</t>
        </is>
      </c>
      <c r="E60" s="5" t="inlineStr">
        <is>
          <t>SOJA</t>
        </is>
      </c>
      <c r="F60" s="6" t="inlineStr">
        <is>
          <t>CZ 48B18 IPRO</t>
        </is>
      </c>
      <c r="G60" s="7" t="inlineStr">
        <is>
          <t>MÉDIA</t>
        </is>
      </c>
      <c r="H60" s="5" t="inlineStr">
        <is>
          <t>proximo</t>
        </is>
      </c>
      <c r="I60" s="8" t="n">
        <v>46315</v>
      </c>
      <c r="J60" s="9">
        <f>IF($I60="","",DATA_REF-$I60)</f>
        <v/>
      </c>
      <c r="K60" s="9">
        <f>IF($J60="","",MAX(0,$J60-'PARAMETROS'!$B$11))</f>
        <v/>
      </c>
      <c r="L60" s="10">
        <f>IFERROR(INDEX(KC_CURVAS!$C$5:$C$15,MATCH("SOJA|"&amp;$G60,KC_CURVAS!$K$5:$K$15,0)),IFERROR(INDEX(KC_CURVAS!$C$5:$C$15,MATCH("SOJA"&amp;"|",KC_CURVAS!$K$5:$K$15,0)),""))</f>
        <v/>
      </c>
      <c r="M60" s="10">
        <f>IFERROR(INDEX(KC_CURVAS!$D$5:$D$15,MATCH("SOJA|"&amp;$G60,KC_CURVAS!$K$5:$K$15,0)),IFERROR(INDEX(KC_CURVAS!$D$5:$D$15,MATCH("SOJA"&amp;"|",KC_CURVAS!$K$5:$K$15,0)),""))</f>
        <v/>
      </c>
      <c r="N60" s="10">
        <f>IFERROR(INDEX(KC_CURVAS!$E$5:$E$15,MATCH("SOJA|"&amp;$G60,KC_CURVAS!$K$5:$K$15,0)),IFERROR(INDEX(KC_CURVAS!$E$5:$E$15,MATCH("SOJA"&amp;"|",KC_CURVAS!$K$5:$K$15,0)),""))</f>
        <v/>
      </c>
      <c r="O60" s="10">
        <f>IFERROR(INDEX(KC_CURVAS!$F$5:$F$15,MATCH("SOJA|"&amp;$G60,KC_CURVAS!$K$5:$K$15,0)),IFERROR(INDEX(KC_CURVAS!$F$5:$F$15,MATCH("SOJA"&amp;"|",KC_CURVAS!$K$5:$K$15,0)),""))</f>
        <v/>
      </c>
      <c r="P60" s="11">
        <f>IFERROR(INDEX(KC_CURVAS!$G$5:$G$15,MATCH("SOJA|"&amp;$G60,KC_CURVAS!$K$5:$K$15,0)),IFERROR(INDEX(KC_CURVAS!$G$5:$G$15,MATCH("SOJA"&amp;"|",KC_CURVAS!$K$5:$K$15,0)),""))</f>
        <v/>
      </c>
      <c r="Q60" s="11">
        <f>IFERROR(INDEX(KC_CURVAS!$H$5:$H$15,MATCH("SOJA|"&amp;$G60,KC_CURVAS!$K$5:$K$15,0)),IFERROR(INDEX(KC_CURVAS!$H$5:$H$15,MATCH("SOJA"&amp;"|",KC_CURVAS!$K$5:$K$15,0)),""))</f>
        <v/>
      </c>
      <c r="R60" s="11">
        <f>IFERROR(INDEX(KC_CURVAS!$I$5:$I$15,MATCH("SOJA|"&amp;$G60,KC_CURVAS!$K$5:$K$15,0)),IFERROR(INDEX(KC_CURVAS!$I$5:$I$15,MATCH("SOJA"&amp;"|",KC_CURVAS!$K$5:$K$15,0)),""))</f>
        <v/>
      </c>
      <c r="S60" s="12">
        <f>IF(OR($K60="",$L60=""),"PENDENTE",IF($K60&lt;=$L60,$P60,IF($K60&lt;=$L60+$M60,$P60+($Q60-$P60)*($K60-$L60)/$M60,IF($K60&lt;=$L60+$M60+$N60,$Q60,IF($K60&lt;=$L60+$M60+$N60+$O60,$Q60+($R60-$Q60)*($K60-($L60+$M60+$N60))/$O60,$R60)))))</f>
        <v/>
      </c>
      <c r="T60" s="13">
        <f>IF($I60="","",$I60)</f>
        <v/>
      </c>
      <c r="U60" s="14">
        <f>IF($T60="","",SUMIFS(ETO_DIARIO!$B$5:$B$404,ETO_DIARIO!$A$5:$A$404,"&gt;"&amp;$T60,ETO_DIARIO!$A$5:$A$404,"&lt;="&amp;DATA_REF))</f>
        <v/>
      </c>
      <c r="V60" s="14">
        <f>IF($T60="","",SUMIFS(ETO_DIARIO!$C$5:$C$404,ETO_DIARIO!$A$5:$A$404,"&gt;"&amp;$T60,ETO_DIARIO!$A$5:$A$404,"&lt;="&amp;DATA_REF))</f>
        <v/>
      </c>
      <c r="W60" s="14">
        <f>IF(OR($S60="",$S60="PENDENTE",$U60=""),"",$S60*$U60)</f>
        <v/>
      </c>
      <c r="X60" s="14">
        <f>IF($W60="","",MAX(0,$W60-N($V60)))</f>
        <v/>
      </c>
      <c r="Y60" s="14">
        <f>IF($X60="","",$X60/EF_APLIC)</f>
        <v/>
      </c>
      <c r="Z60" s="15" t="n">
        <v>55</v>
      </c>
      <c r="AA60" s="16">
        <f>IF(OR($Y60="",$Z60=""),"",$Y60*$Z60*10)</f>
        <v/>
      </c>
      <c r="AB60" s="17" t="n">
        <v>0.788</v>
      </c>
      <c r="AC60" s="16">
        <f>IF(OR($AA60="",$AB60=""),"",$AA60*$AB60)</f>
        <v/>
      </c>
      <c r="AD60" s="18">
        <f>IF($S60="PENDENTE","Definir classe/Kc",IF($Y60="","-",IF($Y60&gt;='PARAMETROS'!$B$7/EF_APLIC,"Irrigar",IF($Y60&gt;='PARAMETROS'!$B$7/EF_APLIC*FRAC_ACOMP,"Acompanhar","Aguardar"))))</f>
        <v/>
      </c>
      <c r="AE60" s="18">
        <f>IF(OR($Y60="",$Y60=0),"-",IF($Y60&gt;=2*'PARAMETROS'!$B$7/EF_APLIC,"Alta",IF($Y60&gt;='PARAMETROS'!$B$7/EF_APLIC,"Media","Baixa")))</f>
        <v/>
      </c>
    </row>
    <row r="61">
      <c r="A61" s="5" t="inlineStr">
        <is>
          <t>Pivô 57</t>
        </is>
      </c>
      <c r="B61" s="5" t="inlineStr">
        <is>
          <t>Karitel</t>
        </is>
      </c>
      <c r="C61" s="5" t="inlineStr">
        <is>
          <t>R15</t>
        </is>
      </c>
      <c r="D61" s="5" t="inlineStr">
        <is>
          <t>Modulo 3</t>
        </is>
      </c>
      <c r="E61" s="5" t="inlineStr">
        <is>
          <t>SOJA</t>
        </is>
      </c>
      <c r="F61" s="6" t="inlineStr">
        <is>
          <t>BMX Olimpo IPRO</t>
        </is>
      </c>
      <c r="G61" s="7" t="inlineStr">
        <is>
          <t>MÉDIA</t>
        </is>
      </c>
      <c r="H61" s="5" t="inlineStr">
        <is>
          <t>proximo</t>
        </is>
      </c>
      <c r="I61" s="8" t="n">
        <v>46354</v>
      </c>
      <c r="J61" s="9">
        <f>IF($I61="","",DATA_REF-$I61)</f>
        <v/>
      </c>
      <c r="K61" s="9">
        <f>IF($J61="","",MAX(0,$J61-'PARAMETROS'!$B$11))</f>
        <v/>
      </c>
      <c r="L61" s="10">
        <f>IFERROR(INDEX(KC_CURVAS!$C$5:$C$15,MATCH("SOJA|"&amp;$G61,KC_CURVAS!$K$5:$K$15,0)),IFERROR(INDEX(KC_CURVAS!$C$5:$C$15,MATCH("SOJA"&amp;"|",KC_CURVAS!$K$5:$K$15,0)),""))</f>
        <v/>
      </c>
      <c r="M61" s="10">
        <f>IFERROR(INDEX(KC_CURVAS!$D$5:$D$15,MATCH("SOJA|"&amp;$G61,KC_CURVAS!$K$5:$K$15,0)),IFERROR(INDEX(KC_CURVAS!$D$5:$D$15,MATCH("SOJA"&amp;"|",KC_CURVAS!$K$5:$K$15,0)),""))</f>
        <v/>
      </c>
      <c r="N61" s="10">
        <f>IFERROR(INDEX(KC_CURVAS!$E$5:$E$15,MATCH("SOJA|"&amp;$G61,KC_CURVAS!$K$5:$K$15,0)),IFERROR(INDEX(KC_CURVAS!$E$5:$E$15,MATCH("SOJA"&amp;"|",KC_CURVAS!$K$5:$K$15,0)),""))</f>
        <v/>
      </c>
      <c r="O61" s="10">
        <f>IFERROR(INDEX(KC_CURVAS!$F$5:$F$15,MATCH("SOJA|"&amp;$G61,KC_CURVAS!$K$5:$K$15,0)),IFERROR(INDEX(KC_CURVAS!$F$5:$F$15,MATCH("SOJA"&amp;"|",KC_CURVAS!$K$5:$K$15,0)),""))</f>
        <v/>
      </c>
      <c r="P61" s="11">
        <f>IFERROR(INDEX(KC_CURVAS!$G$5:$G$15,MATCH("SOJA|"&amp;$G61,KC_CURVAS!$K$5:$K$15,0)),IFERROR(INDEX(KC_CURVAS!$G$5:$G$15,MATCH("SOJA"&amp;"|",KC_CURVAS!$K$5:$K$15,0)),""))</f>
        <v/>
      </c>
      <c r="Q61" s="11">
        <f>IFERROR(INDEX(KC_CURVAS!$H$5:$H$15,MATCH("SOJA|"&amp;$G61,KC_CURVAS!$K$5:$K$15,0)),IFERROR(INDEX(KC_CURVAS!$H$5:$H$15,MATCH("SOJA"&amp;"|",KC_CURVAS!$K$5:$K$15,0)),""))</f>
        <v/>
      </c>
      <c r="R61" s="11">
        <f>IFERROR(INDEX(KC_CURVAS!$I$5:$I$15,MATCH("SOJA|"&amp;$G61,KC_CURVAS!$K$5:$K$15,0)),IFERROR(INDEX(KC_CURVAS!$I$5:$I$15,MATCH("SOJA"&amp;"|",KC_CURVAS!$K$5:$K$15,0)),""))</f>
        <v/>
      </c>
      <c r="S61" s="12">
        <f>IF(OR($K61="",$L61=""),"PENDENTE",IF($K61&lt;=$L61,$P61,IF($K61&lt;=$L61+$M61,$P61+($Q61-$P61)*($K61-$L61)/$M61,IF($K61&lt;=$L61+$M61+$N61,$Q61,IF($K61&lt;=$L61+$M61+$N61+$O61,$Q61+($R61-$Q61)*($K61-($L61+$M61+$N61))/$O61,$R61)))))</f>
        <v/>
      </c>
      <c r="T61" s="13">
        <f>IF($I61="","",$I61)</f>
        <v/>
      </c>
      <c r="U61" s="14">
        <f>IF($T61="","",SUMIFS(ETO_DIARIO!$B$5:$B$404,ETO_DIARIO!$A$5:$A$404,"&gt;"&amp;$T61,ETO_DIARIO!$A$5:$A$404,"&lt;="&amp;DATA_REF))</f>
        <v/>
      </c>
      <c r="V61" s="14">
        <f>IF($T61="","",SUMIFS(ETO_DIARIO!$C$5:$C$404,ETO_DIARIO!$A$5:$A$404,"&gt;"&amp;$T61,ETO_DIARIO!$A$5:$A$404,"&lt;="&amp;DATA_REF))</f>
        <v/>
      </c>
      <c r="W61" s="14">
        <f>IF(OR($S61="",$S61="PENDENTE",$U61=""),"",$S61*$U61)</f>
        <v/>
      </c>
      <c r="X61" s="14">
        <f>IF($W61="","",MAX(0,$W61-N($V61)))</f>
        <v/>
      </c>
      <c r="Y61" s="14">
        <f>IF($X61="","",$X61/EF_APLIC)</f>
        <v/>
      </c>
      <c r="Z61" s="15" t="n">
        <v>150</v>
      </c>
      <c r="AA61" s="16">
        <f>IF(OR($Y61="",$Z61=""),"",$Y61*$Z61*10)</f>
        <v/>
      </c>
      <c r="AB61" s="17" t="n">
        <v>0.841</v>
      </c>
      <c r="AC61" s="16">
        <f>IF(OR($AA61="",$AB61=""),"",$AA61*$AB61)</f>
        <v/>
      </c>
      <c r="AD61" s="18">
        <f>IF($S61="PENDENTE","Definir classe/Kc",IF($Y61="","-",IF($Y61&gt;='PARAMETROS'!$B$7/EF_APLIC,"Irrigar",IF($Y61&gt;='PARAMETROS'!$B$7/EF_APLIC*FRAC_ACOMP,"Acompanhar","Aguardar"))))</f>
        <v/>
      </c>
      <c r="AE61" s="18">
        <f>IF(OR($Y61="",$Y61=0),"-",IF($Y61&gt;=2*'PARAMETROS'!$B$7/EF_APLIC,"Alta",IF($Y61&gt;='PARAMETROS'!$B$7/EF_APLIC,"Media","Baixa")))</f>
        <v/>
      </c>
    </row>
    <row r="62">
      <c r="A62" s="5" t="inlineStr">
        <is>
          <t>Pivô 58</t>
        </is>
      </c>
      <c r="B62" s="5" t="inlineStr">
        <is>
          <t>Karitel</t>
        </is>
      </c>
      <c r="C62" s="5" t="inlineStr">
        <is>
          <t>R15</t>
        </is>
      </c>
      <c r="D62" s="5" t="inlineStr">
        <is>
          <t>Modulo 3</t>
        </is>
      </c>
      <c r="E62" s="5" t="inlineStr">
        <is>
          <t>SOJA</t>
        </is>
      </c>
      <c r="F62" s="6" t="inlineStr">
        <is>
          <t>BMX Olimpo IPRO</t>
        </is>
      </c>
      <c r="G62" s="7" t="inlineStr">
        <is>
          <t>MÉDIA</t>
        </is>
      </c>
      <c r="H62" s="5" t="inlineStr">
        <is>
          <t>proximo</t>
        </is>
      </c>
      <c r="I62" s="8" t="n">
        <v>46315</v>
      </c>
      <c r="J62" s="9">
        <f>IF($I62="","",DATA_REF-$I62)</f>
        <v/>
      </c>
      <c r="K62" s="9">
        <f>IF($J62="","",MAX(0,$J62-'PARAMETROS'!$B$11))</f>
        <v/>
      </c>
      <c r="L62" s="10">
        <f>IFERROR(INDEX(KC_CURVAS!$C$5:$C$15,MATCH("SOJA|"&amp;$G62,KC_CURVAS!$K$5:$K$15,0)),IFERROR(INDEX(KC_CURVAS!$C$5:$C$15,MATCH("SOJA"&amp;"|",KC_CURVAS!$K$5:$K$15,0)),""))</f>
        <v/>
      </c>
      <c r="M62" s="10">
        <f>IFERROR(INDEX(KC_CURVAS!$D$5:$D$15,MATCH("SOJA|"&amp;$G62,KC_CURVAS!$K$5:$K$15,0)),IFERROR(INDEX(KC_CURVAS!$D$5:$D$15,MATCH("SOJA"&amp;"|",KC_CURVAS!$K$5:$K$15,0)),""))</f>
        <v/>
      </c>
      <c r="N62" s="10">
        <f>IFERROR(INDEX(KC_CURVAS!$E$5:$E$15,MATCH("SOJA|"&amp;$G62,KC_CURVAS!$K$5:$K$15,0)),IFERROR(INDEX(KC_CURVAS!$E$5:$E$15,MATCH("SOJA"&amp;"|",KC_CURVAS!$K$5:$K$15,0)),""))</f>
        <v/>
      </c>
      <c r="O62" s="10">
        <f>IFERROR(INDEX(KC_CURVAS!$F$5:$F$15,MATCH("SOJA|"&amp;$G62,KC_CURVAS!$K$5:$K$15,0)),IFERROR(INDEX(KC_CURVAS!$F$5:$F$15,MATCH("SOJA"&amp;"|",KC_CURVAS!$K$5:$K$15,0)),""))</f>
        <v/>
      </c>
      <c r="P62" s="11">
        <f>IFERROR(INDEX(KC_CURVAS!$G$5:$G$15,MATCH("SOJA|"&amp;$G62,KC_CURVAS!$K$5:$K$15,0)),IFERROR(INDEX(KC_CURVAS!$G$5:$G$15,MATCH("SOJA"&amp;"|",KC_CURVAS!$K$5:$K$15,0)),""))</f>
        <v/>
      </c>
      <c r="Q62" s="11">
        <f>IFERROR(INDEX(KC_CURVAS!$H$5:$H$15,MATCH("SOJA|"&amp;$G62,KC_CURVAS!$K$5:$K$15,0)),IFERROR(INDEX(KC_CURVAS!$H$5:$H$15,MATCH("SOJA"&amp;"|",KC_CURVAS!$K$5:$K$15,0)),""))</f>
        <v/>
      </c>
      <c r="R62" s="11">
        <f>IFERROR(INDEX(KC_CURVAS!$I$5:$I$15,MATCH("SOJA|"&amp;$G62,KC_CURVAS!$K$5:$K$15,0)),IFERROR(INDEX(KC_CURVAS!$I$5:$I$15,MATCH("SOJA"&amp;"|",KC_CURVAS!$K$5:$K$15,0)),""))</f>
        <v/>
      </c>
      <c r="S62" s="12">
        <f>IF(OR($K62="",$L62=""),"PENDENTE",IF($K62&lt;=$L62,$P62,IF($K62&lt;=$L62+$M62,$P62+($Q62-$P62)*($K62-$L62)/$M62,IF($K62&lt;=$L62+$M62+$N62,$Q62,IF($K62&lt;=$L62+$M62+$N62+$O62,$Q62+($R62-$Q62)*($K62-($L62+$M62+$N62))/$O62,$R62)))))</f>
        <v/>
      </c>
      <c r="T62" s="13">
        <f>IF($I62="","",$I62)</f>
        <v/>
      </c>
      <c r="U62" s="14">
        <f>IF($T62="","",SUMIFS(ETO_DIARIO!$B$5:$B$404,ETO_DIARIO!$A$5:$A$404,"&gt;"&amp;$T62,ETO_DIARIO!$A$5:$A$404,"&lt;="&amp;DATA_REF))</f>
        <v/>
      </c>
      <c r="V62" s="14">
        <f>IF($T62="","",SUMIFS(ETO_DIARIO!$C$5:$C$404,ETO_DIARIO!$A$5:$A$404,"&gt;"&amp;$T62,ETO_DIARIO!$A$5:$A$404,"&lt;="&amp;DATA_REF))</f>
        <v/>
      </c>
      <c r="W62" s="14">
        <f>IF(OR($S62="",$S62="PENDENTE",$U62=""),"",$S62*$U62)</f>
        <v/>
      </c>
      <c r="X62" s="14">
        <f>IF($W62="","",MAX(0,$W62-N($V62)))</f>
        <v/>
      </c>
      <c r="Y62" s="14">
        <f>IF($X62="","",$X62/EF_APLIC)</f>
        <v/>
      </c>
      <c r="Z62" s="15" t="n">
        <v>150</v>
      </c>
      <c r="AA62" s="16">
        <f>IF(OR($Y62="",$Z62=""),"",$Y62*$Z62*10)</f>
        <v/>
      </c>
      <c r="AB62" s="17" t="n">
        <v>0.789</v>
      </c>
      <c r="AC62" s="16">
        <f>IF(OR($AA62="",$AB62=""),"",$AA62*$AB62)</f>
        <v/>
      </c>
      <c r="AD62" s="18">
        <f>IF($S62="PENDENTE","Definir classe/Kc",IF($Y62="","-",IF($Y62&gt;='PARAMETROS'!$B$7/EF_APLIC,"Irrigar",IF($Y62&gt;='PARAMETROS'!$B$7/EF_APLIC*FRAC_ACOMP,"Acompanhar","Aguardar"))))</f>
        <v/>
      </c>
      <c r="AE62" s="18">
        <f>IF(OR($Y62="",$Y62=0),"-",IF($Y62&gt;=2*'PARAMETROS'!$B$7/EF_APLIC,"Alta",IF($Y62&gt;='PARAMETROS'!$B$7/EF_APLIC,"Media","Baixa")))</f>
        <v/>
      </c>
    </row>
    <row r="63">
      <c r="A63" s="5" t="inlineStr">
        <is>
          <t>Pivô 59</t>
        </is>
      </c>
      <c r="B63" s="5" t="inlineStr">
        <is>
          <t>Karitel</t>
        </is>
      </c>
      <c r="C63" s="5" t="inlineStr">
        <is>
          <t>R15</t>
        </is>
      </c>
      <c r="D63" s="5" t="inlineStr">
        <is>
          <t>Modulo 3</t>
        </is>
      </c>
      <c r="E63" s="5" t="inlineStr">
        <is>
          <t>SOJA</t>
        </is>
      </c>
      <c r="F63" s="6" t="inlineStr">
        <is>
          <t>BMX Olimpo IPRO</t>
        </is>
      </c>
      <c r="G63" s="7" t="inlineStr">
        <is>
          <t>MÉDIA</t>
        </is>
      </c>
      <c r="H63" s="5" t="inlineStr">
        <is>
          <t>proximo</t>
        </is>
      </c>
      <c r="I63" s="8" t="n">
        <v>46354</v>
      </c>
      <c r="J63" s="9">
        <f>IF($I63="","",DATA_REF-$I63)</f>
        <v/>
      </c>
      <c r="K63" s="9">
        <f>IF($J63="","",MAX(0,$J63-'PARAMETROS'!$B$11))</f>
        <v/>
      </c>
      <c r="L63" s="10">
        <f>IFERROR(INDEX(KC_CURVAS!$C$5:$C$15,MATCH("SOJA|"&amp;$G63,KC_CURVAS!$K$5:$K$15,0)),IFERROR(INDEX(KC_CURVAS!$C$5:$C$15,MATCH("SOJA"&amp;"|",KC_CURVAS!$K$5:$K$15,0)),""))</f>
        <v/>
      </c>
      <c r="M63" s="10">
        <f>IFERROR(INDEX(KC_CURVAS!$D$5:$D$15,MATCH("SOJA|"&amp;$G63,KC_CURVAS!$K$5:$K$15,0)),IFERROR(INDEX(KC_CURVAS!$D$5:$D$15,MATCH("SOJA"&amp;"|",KC_CURVAS!$K$5:$K$15,0)),""))</f>
        <v/>
      </c>
      <c r="N63" s="10">
        <f>IFERROR(INDEX(KC_CURVAS!$E$5:$E$15,MATCH("SOJA|"&amp;$G63,KC_CURVAS!$K$5:$K$15,0)),IFERROR(INDEX(KC_CURVAS!$E$5:$E$15,MATCH("SOJA"&amp;"|",KC_CURVAS!$K$5:$K$15,0)),""))</f>
        <v/>
      </c>
      <c r="O63" s="10">
        <f>IFERROR(INDEX(KC_CURVAS!$F$5:$F$15,MATCH("SOJA|"&amp;$G63,KC_CURVAS!$K$5:$K$15,0)),IFERROR(INDEX(KC_CURVAS!$F$5:$F$15,MATCH("SOJA"&amp;"|",KC_CURVAS!$K$5:$K$15,0)),""))</f>
        <v/>
      </c>
      <c r="P63" s="11">
        <f>IFERROR(INDEX(KC_CURVAS!$G$5:$G$15,MATCH("SOJA|"&amp;$G63,KC_CURVAS!$K$5:$K$15,0)),IFERROR(INDEX(KC_CURVAS!$G$5:$G$15,MATCH("SOJA"&amp;"|",KC_CURVAS!$K$5:$K$15,0)),""))</f>
        <v/>
      </c>
      <c r="Q63" s="11">
        <f>IFERROR(INDEX(KC_CURVAS!$H$5:$H$15,MATCH("SOJA|"&amp;$G63,KC_CURVAS!$K$5:$K$15,0)),IFERROR(INDEX(KC_CURVAS!$H$5:$H$15,MATCH("SOJA"&amp;"|",KC_CURVAS!$K$5:$K$15,0)),""))</f>
        <v/>
      </c>
      <c r="R63" s="11">
        <f>IFERROR(INDEX(KC_CURVAS!$I$5:$I$15,MATCH("SOJA|"&amp;$G63,KC_CURVAS!$K$5:$K$15,0)),IFERROR(INDEX(KC_CURVAS!$I$5:$I$15,MATCH("SOJA"&amp;"|",KC_CURVAS!$K$5:$K$15,0)),""))</f>
        <v/>
      </c>
      <c r="S63" s="12">
        <f>IF(OR($K63="",$L63=""),"PENDENTE",IF($K63&lt;=$L63,$P63,IF($K63&lt;=$L63+$M63,$P63+($Q63-$P63)*($K63-$L63)/$M63,IF($K63&lt;=$L63+$M63+$N63,$Q63,IF($K63&lt;=$L63+$M63+$N63+$O63,$Q63+($R63-$Q63)*($K63-($L63+$M63+$N63))/$O63,$R63)))))</f>
        <v/>
      </c>
      <c r="T63" s="13">
        <f>IF($I63="","",$I63)</f>
        <v/>
      </c>
      <c r="U63" s="14">
        <f>IF($T63="","",SUMIFS(ETO_DIARIO!$B$5:$B$404,ETO_DIARIO!$A$5:$A$404,"&gt;"&amp;$T63,ETO_DIARIO!$A$5:$A$404,"&lt;="&amp;DATA_REF))</f>
        <v/>
      </c>
      <c r="V63" s="14">
        <f>IF($T63="","",SUMIFS(ETO_DIARIO!$C$5:$C$404,ETO_DIARIO!$A$5:$A$404,"&gt;"&amp;$T63,ETO_DIARIO!$A$5:$A$404,"&lt;="&amp;DATA_REF))</f>
        <v/>
      </c>
      <c r="W63" s="14">
        <f>IF(OR($S63="",$S63="PENDENTE",$U63=""),"",$S63*$U63)</f>
        <v/>
      </c>
      <c r="X63" s="14">
        <f>IF($W63="","",MAX(0,$W63-N($V63)))</f>
        <v/>
      </c>
      <c r="Y63" s="14">
        <f>IF($X63="","",$X63/EF_APLIC)</f>
        <v/>
      </c>
      <c r="Z63" s="15" t="n">
        <v>143</v>
      </c>
      <c r="AA63" s="16">
        <f>IF(OR($Y63="",$Z63=""),"",$Y63*$Z63*10)</f>
        <v/>
      </c>
      <c r="AB63" s="17" t="n">
        <v>0.823</v>
      </c>
      <c r="AC63" s="16">
        <f>IF(OR($AA63="",$AB63=""),"",$AA63*$AB63)</f>
        <v/>
      </c>
      <c r="AD63" s="18">
        <f>IF($S63="PENDENTE","Definir classe/Kc",IF($Y63="","-",IF($Y63&gt;='PARAMETROS'!$B$7/EF_APLIC,"Irrigar",IF($Y63&gt;='PARAMETROS'!$B$7/EF_APLIC*FRAC_ACOMP,"Acompanhar","Aguardar"))))</f>
        <v/>
      </c>
      <c r="AE63" s="18">
        <f>IF(OR($Y63="",$Y63=0),"-",IF($Y63&gt;=2*'PARAMETROS'!$B$7/EF_APLIC,"Alta",IF($Y63&gt;='PARAMETROS'!$B$7/EF_APLIC,"Media","Baixa")))</f>
        <v/>
      </c>
    </row>
    <row r="64">
      <c r="A64" s="5" t="inlineStr">
        <is>
          <t>Pivô 60</t>
        </is>
      </c>
      <c r="B64" s="5" t="inlineStr">
        <is>
          <t>Karitel</t>
        </is>
      </c>
      <c r="C64" s="5" t="inlineStr">
        <is>
          <t>R15</t>
        </is>
      </c>
      <c r="D64" s="5" t="inlineStr">
        <is>
          <t>Modulo 3</t>
        </is>
      </c>
      <c r="E64" s="5" t="inlineStr">
        <is>
          <t>SOJA</t>
        </is>
      </c>
      <c r="F64" s="6" t="inlineStr">
        <is>
          <t>BMX Olimpo IPRO</t>
        </is>
      </c>
      <c r="G64" s="7" t="inlineStr">
        <is>
          <t>MÉDIA</t>
        </is>
      </c>
      <c r="H64" s="5" t="inlineStr">
        <is>
          <t>proximo</t>
        </is>
      </c>
      <c r="I64" s="8" t="n">
        <v>46350</v>
      </c>
      <c r="J64" s="9">
        <f>IF($I64="","",DATA_REF-$I64)</f>
        <v/>
      </c>
      <c r="K64" s="9">
        <f>IF($J64="","",MAX(0,$J64-'PARAMETROS'!$B$11))</f>
        <v/>
      </c>
      <c r="L64" s="10">
        <f>IFERROR(INDEX(KC_CURVAS!$C$5:$C$15,MATCH("SOJA|"&amp;$G64,KC_CURVAS!$K$5:$K$15,0)),IFERROR(INDEX(KC_CURVAS!$C$5:$C$15,MATCH("SOJA"&amp;"|",KC_CURVAS!$K$5:$K$15,0)),""))</f>
        <v/>
      </c>
      <c r="M64" s="10">
        <f>IFERROR(INDEX(KC_CURVAS!$D$5:$D$15,MATCH("SOJA|"&amp;$G64,KC_CURVAS!$K$5:$K$15,0)),IFERROR(INDEX(KC_CURVAS!$D$5:$D$15,MATCH("SOJA"&amp;"|",KC_CURVAS!$K$5:$K$15,0)),""))</f>
        <v/>
      </c>
      <c r="N64" s="10">
        <f>IFERROR(INDEX(KC_CURVAS!$E$5:$E$15,MATCH("SOJA|"&amp;$G64,KC_CURVAS!$K$5:$K$15,0)),IFERROR(INDEX(KC_CURVAS!$E$5:$E$15,MATCH("SOJA"&amp;"|",KC_CURVAS!$K$5:$K$15,0)),""))</f>
        <v/>
      </c>
      <c r="O64" s="10">
        <f>IFERROR(INDEX(KC_CURVAS!$F$5:$F$15,MATCH("SOJA|"&amp;$G64,KC_CURVAS!$K$5:$K$15,0)),IFERROR(INDEX(KC_CURVAS!$F$5:$F$15,MATCH("SOJA"&amp;"|",KC_CURVAS!$K$5:$K$15,0)),""))</f>
        <v/>
      </c>
      <c r="P64" s="11">
        <f>IFERROR(INDEX(KC_CURVAS!$G$5:$G$15,MATCH("SOJA|"&amp;$G64,KC_CURVAS!$K$5:$K$15,0)),IFERROR(INDEX(KC_CURVAS!$G$5:$G$15,MATCH("SOJA"&amp;"|",KC_CURVAS!$K$5:$K$15,0)),""))</f>
        <v/>
      </c>
      <c r="Q64" s="11">
        <f>IFERROR(INDEX(KC_CURVAS!$H$5:$H$15,MATCH("SOJA|"&amp;$G64,KC_CURVAS!$K$5:$K$15,0)),IFERROR(INDEX(KC_CURVAS!$H$5:$H$15,MATCH("SOJA"&amp;"|",KC_CURVAS!$K$5:$K$15,0)),""))</f>
        <v/>
      </c>
      <c r="R64" s="11">
        <f>IFERROR(INDEX(KC_CURVAS!$I$5:$I$15,MATCH("SOJA|"&amp;$G64,KC_CURVAS!$K$5:$K$15,0)),IFERROR(INDEX(KC_CURVAS!$I$5:$I$15,MATCH("SOJA"&amp;"|",KC_CURVAS!$K$5:$K$15,0)),""))</f>
        <v/>
      </c>
      <c r="S64" s="12">
        <f>IF(OR($K64="",$L64=""),"PENDENTE",IF($K64&lt;=$L64,$P64,IF($K64&lt;=$L64+$M64,$P64+($Q64-$P64)*($K64-$L64)/$M64,IF($K64&lt;=$L64+$M64+$N64,$Q64,IF($K64&lt;=$L64+$M64+$N64+$O64,$Q64+($R64-$Q64)*($K64-($L64+$M64+$N64))/$O64,$R64)))))</f>
        <v/>
      </c>
      <c r="T64" s="13">
        <f>IF($I64="","",$I64)</f>
        <v/>
      </c>
      <c r="U64" s="14">
        <f>IF($T64="","",SUMIFS(ETO_DIARIO!$B$5:$B$404,ETO_DIARIO!$A$5:$A$404,"&gt;"&amp;$T64,ETO_DIARIO!$A$5:$A$404,"&lt;="&amp;DATA_REF))</f>
        <v/>
      </c>
      <c r="V64" s="14">
        <f>IF($T64="","",SUMIFS(ETO_DIARIO!$C$5:$C$404,ETO_DIARIO!$A$5:$A$404,"&gt;"&amp;$T64,ETO_DIARIO!$A$5:$A$404,"&lt;="&amp;DATA_REF))</f>
        <v/>
      </c>
      <c r="W64" s="14">
        <f>IF(OR($S64="",$S64="PENDENTE",$U64=""),"",$S64*$U64)</f>
        <v/>
      </c>
      <c r="X64" s="14">
        <f>IF($W64="","",MAX(0,$W64-N($V64)))</f>
        <v/>
      </c>
      <c r="Y64" s="14">
        <f>IF($X64="","",$X64/EF_APLIC)</f>
        <v/>
      </c>
      <c r="Z64" s="15" t="n">
        <v>150</v>
      </c>
      <c r="AA64" s="16">
        <f>IF(OR($Y64="",$Z64=""),"",$Y64*$Z64*10)</f>
        <v/>
      </c>
      <c r="AB64" s="17" t="n">
        <v>0.819</v>
      </c>
      <c r="AC64" s="16">
        <f>IF(OR($AA64="",$AB64=""),"",$AA64*$AB64)</f>
        <v/>
      </c>
      <c r="AD64" s="18">
        <f>IF($S64="PENDENTE","Definir classe/Kc",IF($Y64="","-",IF($Y64&gt;='PARAMETROS'!$B$7/EF_APLIC,"Irrigar",IF($Y64&gt;='PARAMETROS'!$B$7/EF_APLIC*FRAC_ACOMP,"Acompanhar","Aguardar"))))</f>
        <v/>
      </c>
      <c r="AE64" s="18">
        <f>IF(OR($Y64="",$Y64=0),"-",IF($Y64&gt;=2*'PARAMETROS'!$B$7/EF_APLIC,"Alta",IF($Y64&gt;='PARAMETROS'!$B$7/EF_APLIC,"Media","Baixa")))</f>
        <v/>
      </c>
    </row>
    <row r="65">
      <c r="A65" s="5" t="inlineStr">
        <is>
          <t>Pivô 61</t>
        </is>
      </c>
      <c r="B65" s="5" t="inlineStr">
        <is>
          <t>Karitel</t>
        </is>
      </c>
      <c r="C65" s="5" t="inlineStr">
        <is>
          <t>R16</t>
        </is>
      </c>
      <c r="D65" s="5" t="inlineStr">
        <is>
          <t>Modulo 3</t>
        </is>
      </c>
      <c r="E65" s="5" t="inlineStr">
        <is>
          <t>SOJA</t>
        </is>
      </c>
      <c r="F65" s="6" t="inlineStr">
        <is>
          <t>BMX Olimpo IPRO</t>
        </is>
      </c>
      <c r="G65" s="7" t="inlineStr">
        <is>
          <t>MÉDIA</t>
        </is>
      </c>
      <c r="H65" s="5" t="inlineStr">
        <is>
          <t>proximo</t>
        </is>
      </c>
      <c r="I65" s="8" t="n">
        <v>46368</v>
      </c>
      <c r="J65" s="9">
        <f>IF($I65="","",DATA_REF-$I65)</f>
        <v/>
      </c>
      <c r="K65" s="9">
        <f>IF($J65="","",MAX(0,$J65-'PARAMETROS'!$B$11))</f>
        <v/>
      </c>
      <c r="L65" s="10">
        <f>IFERROR(INDEX(KC_CURVAS!$C$5:$C$15,MATCH("SOJA|"&amp;$G65,KC_CURVAS!$K$5:$K$15,0)),IFERROR(INDEX(KC_CURVAS!$C$5:$C$15,MATCH("SOJA"&amp;"|",KC_CURVAS!$K$5:$K$15,0)),""))</f>
        <v/>
      </c>
      <c r="M65" s="10">
        <f>IFERROR(INDEX(KC_CURVAS!$D$5:$D$15,MATCH("SOJA|"&amp;$G65,KC_CURVAS!$K$5:$K$15,0)),IFERROR(INDEX(KC_CURVAS!$D$5:$D$15,MATCH("SOJA"&amp;"|",KC_CURVAS!$K$5:$K$15,0)),""))</f>
        <v/>
      </c>
      <c r="N65" s="10">
        <f>IFERROR(INDEX(KC_CURVAS!$E$5:$E$15,MATCH("SOJA|"&amp;$G65,KC_CURVAS!$K$5:$K$15,0)),IFERROR(INDEX(KC_CURVAS!$E$5:$E$15,MATCH("SOJA"&amp;"|",KC_CURVAS!$K$5:$K$15,0)),""))</f>
        <v/>
      </c>
      <c r="O65" s="10">
        <f>IFERROR(INDEX(KC_CURVAS!$F$5:$F$15,MATCH("SOJA|"&amp;$G65,KC_CURVAS!$K$5:$K$15,0)),IFERROR(INDEX(KC_CURVAS!$F$5:$F$15,MATCH("SOJA"&amp;"|",KC_CURVAS!$K$5:$K$15,0)),""))</f>
        <v/>
      </c>
      <c r="P65" s="11">
        <f>IFERROR(INDEX(KC_CURVAS!$G$5:$G$15,MATCH("SOJA|"&amp;$G65,KC_CURVAS!$K$5:$K$15,0)),IFERROR(INDEX(KC_CURVAS!$G$5:$G$15,MATCH("SOJA"&amp;"|",KC_CURVAS!$K$5:$K$15,0)),""))</f>
        <v/>
      </c>
      <c r="Q65" s="11">
        <f>IFERROR(INDEX(KC_CURVAS!$H$5:$H$15,MATCH("SOJA|"&amp;$G65,KC_CURVAS!$K$5:$K$15,0)),IFERROR(INDEX(KC_CURVAS!$H$5:$H$15,MATCH("SOJA"&amp;"|",KC_CURVAS!$K$5:$K$15,0)),""))</f>
        <v/>
      </c>
      <c r="R65" s="11">
        <f>IFERROR(INDEX(KC_CURVAS!$I$5:$I$15,MATCH("SOJA|"&amp;$G65,KC_CURVAS!$K$5:$K$15,0)),IFERROR(INDEX(KC_CURVAS!$I$5:$I$15,MATCH("SOJA"&amp;"|",KC_CURVAS!$K$5:$K$15,0)),""))</f>
        <v/>
      </c>
      <c r="S65" s="12">
        <f>IF(OR($K65="",$L65=""),"PENDENTE",IF($K65&lt;=$L65,$P65,IF($K65&lt;=$L65+$M65,$P65+($Q65-$P65)*($K65-$L65)/$M65,IF($K65&lt;=$L65+$M65+$N65,$Q65,IF($K65&lt;=$L65+$M65+$N65+$O65,$Q65+($R65-$Q65)*($K65-($L65+$M65+$N65))/$O65,$R65)))))</f>
        <v/>
      </c>
      <c r="T65" s="13">
        <f>IF($I65="","",$I65)</f>
        <v/>
      </c>
      <c r="U65" s="14">
        <f>IF($T65="","",SUMIFS(ETO_DIARIO!$B$5:$B$404,ETO_DIARIO!$A$5:$A$404,"&gt;"&amp;$T65,ETO_DIARIO!$A$5:$A$404,"&lt;="&amp;DATA_REF))</f>
        <v/>
      </c>
      <c r="V65" s="14">
        <f>IF($T65="","",SUMIFS(ETO_DIARIO!$C$5:$C$404,ETO_DIARIO!$A$5:$A$404,"&gt;"&amp;$T65,ETO_DIARIO!$A$5:$A$404,"&lt;="&amp;DATA_REF))</f>
        <v/>
      </c>
      <c r="W65" s="14">
        <f>IF(OR($S65="",$S65="PENDENTE",$U65=""),"",$S65*$U65)</f>
        <v/>
      </c>
      <c r="X65" s="14">
        <f>IF($W65="","",MAX(0,$W65-N($V65)))</f>
        <v/>
      </c>
      <c r="Y65" s="14">
        <f>IF($X65="","",$X65/EF_APLIC)</f>
        <v/>
      </c>
      <c r="Z65" s="15" t="n">
        <v>145</v>
      </c>
      <c r="AA65" s="16">
        <f>IF(OR($Y65="",$Z65=""),"",$Y65*$Z65*10)</f>
        <v/>
      </c>
      <c r="AB65" s="17" t="n">
        <v>0.821</v>
      </c>
      <c r="AC65" s="16">
        <f>IF(OR($AA65="",$AB65=""),"",$AA65*$AB65)</f>
        <v/>
      </c>
      <c r="AD65" s="18">
        <f>IF($S65="PENDENTE","Definir classe/Kc",IF($Y65="","-",IF($Y65&gt;='PARAMETROS'!$B$7/EF_APLIC,"Irrigar",IF($Y65&gt;='PARAMETROS'!$B$7/EF_APLIC*FRAC_ACOMP,"Acompanhar","Aguardar"))))</f>
        <v/>
      </c>
      <c r="AE65" s="18">
        <f>IF(OR($Y65="",$Y65=0),"-",IF($Y65&gt;=2*'PARAMETROS'!$B$7/EF_APLIC,"Alta",IF($Y65&gt;='PARAMETROS'!$B$7/EF_APLIC,"Media","Baixa")))</f>
        <v/>
      </c>
    </row>
    <row r="66">
      <c r="A66" s="5" t="inlineStr">
        <is>
          <t>Pivô 62</t>
        </is>
      </c>
      <c r="B66" s="5" t="inlineStr">
        <is>
          <t>Karitel</t>
        </is>
      </c>
      <c r="C66" s="5" t="inlineStr">
        <is>
          <t>R16</t>
        </is>
      </c>
      <c r="D66" s="5" t="inlineStr">
        <is>
          <t>Modulo 3</t>
        </is>
      </c>
      <c r="E66" s="5" t="inlineStr">
        <is>
          <t>ALGODÃO</t>
        </is>
      </c>
      <c r="F66" s="6" t="inlineStr">
        <is>
          <t>FM 911 GLTP</t>
        </is>
      </c>
      <c r="G66" s="7" t="inlineStr">
        <is>
          <t>PRECOCE</t>
        </is>
      </c>
      <c r="H66" s="5" t="inlineStr">
        <is>
          <t>proximo</t>
        </is>
      </c>
      <c r="I66" s="8" t="n">
        <v>46404</v>
      </c>
      <c r="J66" s="9">
        <f>IF($I66="","",DATA_REF-$I66)</f>
        <v/>
      </c>
      <c r="K66" s="9">
        <f>IF($J66="","",MAX(0,$J66-'PARAMETROS'!$B$11))</f>
        <v/>
      </c>
      <c r="L66" s="10">
        <f>IFERROR(INDEX(KC_CURVAS!$C$5:$C$15,MATCH("ALGODÃO|"&amp;$G66,KC_CURVAS!$K$5:$K$15,0)),IFERROR(INDEX(KC_CURVAS!$C$5:$C$15,MATCH("ALGODÃO"&amp;"|",KC_CURVAS!$K$5:$K$15,0)),""))</f>
        <v/>
      </c>
      <c r="M66" s="10">
        <f>IFERROR(INDEX(KC_CURVAS!$D$5:$D$15,MATCH("ALGODÃO|"&amp;$G66,KC_CURVAS!$K$5:$K$15,0)),IFERROR(INDEX(KC_CURVAS!$D$5:$D$15,MATCH("ALGODÃO"&amp;"|",KC_CURVAS!$K$5:$K$15,0)),""))</f>
        <v/>
      </c>
      <c r="N66" s="10">
        <f>IFERROR(INDEX(KC_CURVAS!$E$5:$E$15,MATCH("ALGODÃO|"&amp;$G66,KC_CURVAS!$K$5:$K$15,0)),IFERROR(INDEX(KC_CURVAS!$E$5:$E$15,MATCH("ALGODÃO"&amp;"|",KC_CURVAS!$K$5:$K$15,0)),""))</f>
        <v/>
      </c>
      <c r="O66" s="10">
        <f>IFERROR(INDEX(KC_CURVAS!$F$5:$F$15,MATCH("ALGODÃO|"&amp;$G66,KC_CURVAS!$K$5:$K$15,0)),IFERROR(INDEX(KC_CURVAS!$F$5:$F$15,MATCH("ALGODÃO"&amp;"|",KC_CURVAS!$K$5:$K$15,0)),""))</f>
        <v/>
      </c>
      <c r="P66" s="11">
        <f>IFERROR(INDEX(KC_CURVAS!$G$5:$G$15,MATCH("ALGODÃO|"&amp;$G66,KC_CURVAS!$K$5:$K$15,0)),IFERROR(INDEX(KC_CURVAS!$G$5:$G$15,MATCH("ALGODÃO"&amp;"|",KC_CURVAS!$K$5:$K$15,0)),""))</f>
        <v/>
      </c>
      <c r="Q66" s="11">
        <f>IFERROR(INDEX(KC_CURVAS!$H$5:$H$15,MATCH("ALGODÃO|"&amp;$G66,KC_CURVAS!$K$5:$K$15,0)),IFERROR(INDEX(KC_CURVAS!$H$5:$H$15,MATCH("ALGODÃO"&amp;"|",KC_CURVAS!$K$5:$K$15,0)),""))</f>
        <v/>
      </c>
      <c r="R66" s="11">
        <f>IFERROR(INDEX(KC_CURVAS!$I$5:$I$15,MATCH("ALGODÃO|"&amp;$G66,KC_CURVAS!$K$5:$K$15,0)),IFERROR(INDEX(KC_CURVAS!$I$5:$I$15,MATCH("ALGODÃO"&amp;"|",KC_CURVAS!$K$5:$K$15,0)),""))</f>
        <v/>
      </c>
      <c r="S66" s="12">
        <f>IF(OR($K66="",$L66=""),"PENDENTE",IF($K66&lt;=$L66,$P66,IF($K66&lt;=$L66+$M66,$P66+($Q66-$P66)*($K66-$L66)/$M66,IF($K66&lt;=$L66+$M66+$N66,$Q66,IF($K66&lt;=$L66+$M66+$N66+$O66,$Q66+($R66-$Q66)*($K66-($L66+$M66+$N66))/$O66,$R66)))))</f>
        <v/>
      </c>
      <c r="T66" s="13">
        <f>IF($I66="","",$I66)</f>
        <v/>
      </c>
      <c r="U66" s="14">
        <f>IF($T66="","",SUMIFS(ETO_DIARIO!$B$5:$B$404,ETO_DIARIO!$A$5:$A$404,"&gt;"&amp;$T66,ETO_DIARIO!$A$5:$A$404,"&lt;="&amp;DATA_REF))</f>
        <v/>
      </c>
      <c r="V66" s="14">
        <f>IF($T66="","",SUMIFS(ETO_DIARIO!$C$5:$C$404,ETO_DIARIO!$A$5:$A$404,"&gt;"&amp;$T66,ETO_DIARIO!$A$5:$A$404,"&lt;="&amp;DATA_REF))</f>
        <v/>
      </c>
      <c r="W66" s="14">
        <f>IF(OR($S66="",$S66="PENDENTE",$U66=""),"",$S66*$U66)</f>
        <v/>
      </c>
      <c r="X66" s="14">
        <f>IF($W66="","",MAX(0,$W66-N($V66)))</f>
        <v/>
      </c>
      <c r="Y66" s="14">
        <f>IF($X66="","",$X66/EF_APLIC)</f>
        <v/>
      </c>
      <c r="Z66" s="15" t="n">
        <v>140</v>
      </c>
      <c r="AA66" s="16">
        <f>IF(OR($Y66="",$Z66=""),"",$Y66*$Z66*10)</f>
        <v/>
      </c>
      <c r="AB66" s="17" t="n">
        <v>0.827</v>
      </c>
      <c r="AC66" s="16">
        <f>IF(OR($AA66="",$AB66=""),"",$AA66*$AB66)</f>
        <v/>
      </c>
      <c r="AD66" s="18">
        <f>IF($S66="PENDENTE","Definir classe/Kc",IF($Y66="","-",IF($Y66&gt;='PARAMETROS'!$B$7/EF_APLIC,"Irrigar",IF($Y66&gt;='PARAMETROS'!$B$7/EF_APLIC*FRAC_ACOMP,"Acompanhar","Aguardar"))))</f>
        <v/>
      </c>
      <c r="AE66" s="18">
        <f>IF(OR($Y66="",$Y66=0),"-",IF($Y66&gt;=2*'PARAMETROS'!$B$7/EF_APLIC,"Alta",IF($Y66&gt;='PARAMETROS'!$B$7/EF_APLIC,"Media","Baixa")))</f>
        <v/>
      </c>
    </row>
    <row r="67">
      <c r="A67" s="5" t="inlineStr">
        <is>
          <t>Pivô 63</t>
        </is>
      </c>
      <c r="B67" s="5" t="inlineStr">
        <is>
          <t>Karitel</t>
        </is>
      </c>
      <c r="C67" s="5" t="inlineStr">
        <is>
          <t>R18</t>
        </is>
      </c>
      <c r="D67" s="5" t="inlineStr">
        <is>
          <t>Modulo 3</t>
        </is>
      </c>
      <c r="E67" s="5" t="inlineStr">
        <is>
          <t>SOJA</t>
        </is>
      </c>
      <c r="F67" s="6" t="inlineStr">
        <is>
          <t>NEO 761 I2X</t>
        </is>
      </c>
      <c r="G67" s="7" t="inlineStr">
        <is>
          <t>PRECOCE</t>
        </is>
      </c>
      <c r="H67" s="5" t="inlineStr">
        <is>
          <t>ativo</t>
        </is>
      </c>
      <c r="I67" s="8" t="n">
        <v>46294</v>
      </c>
      <c r="J67" s="9">
        <f>IF($I67="","",DATA_REF-$I67)</f>
        <v/>
      </c>
      <c r="K67" s="9">
        <f>IF($J67="","",MAX(0,$J67-'PARAMETROS'!$B$11))</f>
        <v/>
      </c>
      <c r="L67" s="10">
        <f>IFERROR(INDEX(KC_CURVAS!$C$5:$C$15,MATCH("SOJA|"&amp;$G67,KC_CURVAS!$K$5:$K$15,0)),IFERROR(INDEX(KC_CURVAS!$C$5:$C$15,MATCH("SOJA"&amp;"|",KC_CURVAS!$K$5:$K$15,0)),""))</f>
        <v/>
      </c>
      <c r="M67" s="10">
        <f>IFERROR(INDEX(KC_CURVAS!$D$5:$D$15,MATCH("SOJA|"&amp;$G67,KC_CURVAS!$K$5:$K$15,0)),IFERROR(INDEX(KC_CURVAS!$D$5:$D$15,MATCH("SOJA"&amp;"|",KC_CURVAS!$K$5:$K$15,0)),""))</f>
        <v/>
      </c>
      <c r="N67" s="10">
        <f>IFERROR(INDEX(KC_CURVAS!$E$5:$E$15,MATCH("SOJA|"&amp;$G67,KC_CURVAS!$K$5:$K$15,0)),IFERROR(INDEX(KC_CURVAS!$E$5:$E$15,MATCH("SOJA"&amp;"|",KC_CURVAS!$K$5:$K$15,0)),""))</f>
        <v/>
      </c>
      <c r="O67" s="10">
        <f>IFERROR(INDEX(KC_CURVAS!$F$5:$F$15,MATCH("SOJA|"&amp;$G67,KC_CURVAS!$K$5:$K$15,0)),IFERROR(INDEX(KC_CURVAS!$F$5:$F$15,MATCH("SOJA"&amp;"|",KC_CURVAS!$K$5:$K$15,0)),""))</f>
        <v/>
      </c>
      <c r="P67" s="11">
        <f>IFERROR(INDEX(KC_CURVAS!$G$5:$G$15,MATCH("SOJA|"&amp;$G67,KC_CURVAS!$K$5:$K$15,0)),IFERROR(INDEX(KC_CURVAS!$G$5:$G$15,MATCH("SOJA"&amp;"|",KC_CURVAS!$K$5:$K$15,0)),""))</f>
        <v/>
      </c>
      <c r="Q67" s="11">
        <f>IFERROR(INDEX(KC_CURVAS!$H$5:$H$15,MATCH("SOJA|"&amp;$G67,KC_CURVAS!$K$5:$K$15,0)),IFERROR(INDEX(KC_CURVAS!$H$5:$H$15,MATCH("SOJA"&amp;"|",KC_CURVAS!$K$5:$K$15,0)),""))</f>
        <v/>
      </c>
      <c r="R67" s="11">
        <f>IFERROR(INDEX(KC_CURVAS!$I$5:$I$15,MATCH("SOJA|"&amp;$G67,KC_CURVAS!$K$5:$K$15,0)),IFERROR(INDEX(KC_CURVAS!$I$5:$I$15,MATCH("SOJA"&amp;"|",KC_CURVAS!$K$5:$K$15,0)),""))</f>
        <v/>
      </c>
      <c r="S67" s="12">
        <f>IF(OR($K67="",$L67=""),"PENDENTE",IF($K67&lt;=$L67,$P67,IF($K67&lt;=$L67+$M67,$P67+($Q67-$P67)*($K67-$L67)/$M67,IF($K67&lt;=$L67+$M67+$N67,$Q67,IF($K67&lt;=$L67+$M67+$N67+$O67,$Q67+($R67-$Q67)*($K67-($L67+$M67+$N67))/$O67,$R67)))))</f>
        <v/>
      </c>
      <c r="T67" s="13">
        <f>IF($I67="","",$I67)</f>
        <v/>
      </c>
      <c r="U67" s="14">
        <f>IF($T67="","",SUMIFS(ETO_DIARIO!$B$5:$B$404,ETO_DIARIO!$A$5:$A$404,"&gt;"&amp;$T67,ETO_DIARIO!$A$5:$A$404,"&lt;="&amp;DATA_REF))</f>
        <v/>
      </c>
      <c r="V67" s="14">
        <f>IF($T67="","",SUMIFS(ETO_DIARIO!$C$5:$C$404,ETO_DIARIO!$A$5:$A$404,"&gt;"&amp;$T67,ETO_DIARIO!$A$5:$A$404,"&lt;="&amp;DATA_REF))</f>
        <v/>
      </c>
      <c r="W67" s="14">
        <f>IF(OR($S67="",$S67="PENDENTE",$U67=""),"",$S67*$U67)</f>
        <v/>
      </c>
      <c r="X67" s="14">
        <f>IF($W67="","",MAX(0,$W67-N($V67)))</f>
        <v/>
      </c>
      <c r="Y67" s="14">
        <f>IF($X67="","",$X67/EF_APLIC)</f>
        <v/>
      </c>
      <c r="Z67" s="15" t="n">
        <v>80</v>
      </c>
      <c r="AA67" s="16">
        <f>IF(OR($Y67="",$Z67=""),"",$Y67*$Z67*10)</f>
        <v/>
      </c>
      <c r="AB67" s="17" t="n">
        <v>0.827</v>
      </c>
      <c r="AC67" s="16">
        <f>IF(OR($AA67="",$AB67=""),"",$AA67*$AB67)</f>
        <v/>
      </c>
      <c r="AD67" s="18">
        <f>IF($S67="PENDENTE","Definir classe/Kc",IF($Y67="","-",IF($Y67&gt;='PARAMETROS'!$B$7/EF_APLIC,"Irrigar",IF($Y67&gt;='PARAMETROS'!$B$7/EF_APLIC*FRAC_ACOMP,"Acompanhar","Aguardar"))))</f>
        <v/>
      </c>
      <c r="AE67" s="18">
        <f>IF(OR($Y67="",$Y67=0),"-",IF($Y67&gt;=2*'PARAMETROS'!$B$7/EF_APLIC,"Alta",IF($Y67&gt;='PARAMETROS'!$B$7/EF_APLIC,"Media","Baixa")))</f>
        <v/>
      </c>
    </row>
    <row r="68">
      <c r="A68" s="5" t="inlineStr">
        <is>
          <t>Pivô 64</t>
        </is>
      </c>
      <c r="B68" s="5" t="inlineStr">
        <is>
          <t>Karitel</t>
        </is>
      </c>
      <c r="C68" s="5" t="inlineStr">
        <is>
          <t>R18</t>
        </is>
      </c>
      <c r="D68" s="5" t="inlineStr">
        <is>
          <t>Modulo 3</t>
        </is>
      </c>
      <c r="E68" s="5" t="inlineStr">
        <is>
          <t>SOJA</t>
        </is>
      </c>
      <c r="F68" s="6" t="inlineStr">
        <is>
          <t>NEO 761 I2X</t>
        </is>
      </c>
      <c r="G68" s="7" t="inlineStr">
        <is>
          <t>PRECOCE</t>
        </is>
      </c>
      <c r="H68" s="5" t="inlineStr">
        <is>
          <t>ativo</t>
        </is>
      </c>
      <c r="I68" s="8" t="n">
        <v>46295</v>
      </c>
      <c r="J68" s="9">
        <f>IF($I68="","",DATA_REF-$I68)</f>
        <v/>
      </c>
      <c r="K68" s="9">
        <f>IF($J68="","",MAX(0,$J68-'PARAMETROS'!$B$11))</f>
        <v/>
      </c>
      <c r="L68" s="10">
        <f>IFERROR(INDEX(KC_CURVAS!$C$5:$C$15,MATCH("SOJA|"&amp;$G68,KC_CURVAS!$K$5:$K$15,0)),IFERROR(INDEX(KC_CURVAS!$C$5:$C$15,MATCH("SOJA"&amp;"|",KC_CURVAS!$K$5:$K$15,0)),""))</f>
        <v/>
      </c>
      <c r="M68" s="10">
        <f>IFERROR(INDEX(KC_CURVAS!$D$5:$D$15,MATCH("SOJA|"&amp;$G68,KC_CURVAS!$K$5:$K$15,0)),IFERROR(INDEX(KC_CURVAS!$D$5:$D$15,MATCH("SOJA"&amp;"|",KC_CURVAS!$K$5:$K$15,0)),""))</f>
        <v/>
      </c>
      <c r="N68" s="10">
        <f>IFERROR(INDEX(KC_CURVAS!$E$5:$E$15,MATCH("SOJA|"&amp;$G68,KC_CURVAS!$K$5:$K$15,0)),IFERROR(INDEX(KC_CURVAS!$E$5:$E$15,MATCH("SOJA"&amp;"|",KC_CURVAS!$K$5:$K$15,0)),""))</f>
        <v/>
      </c>
      <c r="O68" s="10">
        <f>IFERROR(INDEX(KC_CURVAS!$F$5:$F$15,MATCH("SOJA|"&amp;$G68,KC_CURVAS!$K$5:$K$15,0)),IFERROR(INDEX(KC_CURVAS!$F$5:$F$15,MATCH("SOJA"&amp;"|",KC_CURVAS!$K$5:$K$15,0)),""))</f>
        <v/>
      </c>
      <c r="P68" s="11">
        <f>IFERROR(INDEX(KC_CURVAS!$G$5:$G$15,MATCH("SOJA|"&amp;$G68,KC_CURVAS!$K$5:$K$15,0)),IFERROR(INDEX(KC_CURVAS!$G$5:$G$15,MATCH("SOJA"&amp;"|",KC_CURVAS!$K$5:$K$15,0)),""))</f>
        <v/>
      </c>
      <c r="Q68" s="11">
        <f>IFERROR(INDEX(KC_CURVAS!$H$5:$H$15,MATCH("SOJA|"&amp;$G68,KC_CURVAS!$K$5:$K$15,0)),IFERROR(INDEX(KC_CURVAS!$H$5:$H$15,MATCH("SOJA"&amp;"|",KC_CURVAS!$K$5:$K$15,0)),""))</f>
        <v/>
      </c>
      <c r="R68" s="11">
        <f>IFERROR(INDEX(KC_CURVAS!$I$5:$I$15,MATCH("SOJA|"&amp;$G68,KC_CURVAS!$K$5:$K$15,0)),IFERROR(INDEX(KC_CURVAS!$I$5:$I$15,MATCH("SOJA"&amp;"|",KC_CURVAS!$K$5:$K$15,0)),""))</f>
        <v/>
      </c>
      <c r="S68" s="12">
        <f>IF(OR($K68="",$L68=""),"PENDENTE",IF($K68&lt;=$L68,$P68,IF($K68&lt;=$L68+$M68,$P68+($Q68-$P68)*($K68-$L68)/$M68,IF($K68&lt;=$L68+$M68+$N68,$Q68,IF($K68&lt;=$L68+$M68+$N68+$O68,$Q68+($R68-$Q68)*($K68-($L68+$M68+$N68))/$O68,$R68)))))</f>
        <v/>
      </c>
      <c r="T68" s="13">
        <f>IF($I68="","",$I68)</f>
        <v/>
      </c>
      <c r="U68" s="14">
        <f>IF($T68="","",SUMIFS(ETO_DIARIO!$B$5:$B$404,ETO_DIARIO!$A$5:$A$404,"&gt;"&amp;$T68,ETO_DIARIO!$A$5:$A$404,"&lt;="&amp;DATA_REF))</f>
        <v/>
      </c>
      <c r="V68" s="14">
        <f>IF($T68="","",SUMIFS(ETO_DIARIO!$C$5:$C$404,ETO_DIARIO!$A$5:$A$404,"&gt;"&amp;$T68,ETO_DIARIO!$A$5:$A$404,"&lt;="&amp;DATA_REF))</f>
        <v/>
      </c>
      <c r="W68" s="14">
        <f>IF(OR($S68="",$S68="PENDENTE",$U68=""),"",$S68*$U68)</f>
        <v/>
      </c>
      <c r="X68" s="14">
        <f>IF($W68="","",MAX(0,$W68-N($V68)))</f>
        <v/>
      </c>
      <c r="Y68" s="14">
        <f>IF($X68="","",$X68/EF_APLIC)</f>
        <v/>
      </c>
      <c r="Z68" s="15" t="n">
        <v>80</v>
      </c>
      <c r="AA68" s="16">
        <f>IF(OR($Y68="",$Z68=""),"",$Y68*$Z68*10)</f>
        <v/>
      </c>
      <c r="AB68" s="17" t="n">
        <v>0.779</v>
      </c>
      <c r="AC68" s="16">
        <f>IF(OR($AA68="",$AB68=""),"",$AA68*$AB68)</f>
        <v/>
      </c>
      <c r="AD68" s="18">
        <f>IF($S68="PENDENTE","Definir classe/Kc",IF($Y68="","-",IF($Y68&gt;='PARAMETROS'!$B$7/EF_APLIC,"Irrigar",IF($Y68&gt;='PARAMETROS'!$B$7/EF_APLIC*FRAC_ACOMP,"Acompanhar","Aguardar"))))</f>
        <v/>
      </c>
      <c r="AE68" s="18">
        <f>IF(OR($Y68="",$Y68=0),"-",IF($Y68&gt;=2*'PARAMETROS'!$B$7/EF_APLIC,"Alta",IF($Y68&gt;='PARAMETROS'!$B$7/EF_APLIC,"Media","Baixa")))</f>
        <v/>
      </c>
    </row>
    <row r="69">
      <c r="A69" s="5" t="inlineStr">
        <is>
          <t>Pivô 65</t>
        </is>
      </c>
      <c r="B69" s="5" t="inlineStr">
        <is>
          <t>Karitel</t>
        </is>
      </c>
      <c r="C69" s="5" t="inlineStr">
        <is>
          <t>R18</t>
        </is>
      </c>
      <c r="D69" s="5" t="inlineStr">
        <is>
          <t>Modulo 3</t>
        </is>
      </c>
      <c r="E69" s="5" t="inlineStr">
        <is>
          <t>SOJA</t>
        </is>
      </c>
      <c r="F69" s="6" t="inlineStr">
        <is>
          <t>NEO 761 I2X</t>
        </is>
      </c>
      <c r="G69" s="7" t="inlineStr">
        <is>
          <t>PRECOCE</t>
        </is>
      </c>
      <c r="H69" s="5" t="inlineStr">
        <is>
          <t>ativo</t>
        </is>
      </c>
      <c r="I69" s="8" t="n">
        <v>46295</v>
      </c>
      <c r="J69" s="9">
        <f>IF($I69="","",DATA_REF-$I69)</f>
        <v/>
      </c>
      <c r="K69" s="9">
        <f>IF($J69="","",MAX(0,$J69-'PARAMETROS'!$B$11))</f>
        <v/>
      </c>
      <c r="L69" s="10">
        <f>IFERROR(INDEX(KC_CURVAS!$C$5:$C$15,MATCH("SOJA|"&amp;$G69,KC_CURVAS!$K$5:$K$15,0)),IFERROR(INDEX(KC_CURVAS!$C$5:$C$15,MATCH("SOJA"&amp;"|",KC_CURVAS!$K$5:$K$15,0)),""))</f>
        <v/>
      </c>
      <c r="M69" s="10">
        <f>IFERROR(INDEX(KC_CURVAS!$D$5:$D$15,MATCH("SOJA|"&amp;$G69,KC_CURVAS!$K$5:$K$15,0)),IFERROR(INDEX(KC_CURVAS!$D$5:$D$15,MATCH("SOJA"&amp;"|",KC_CURVAS!$K$5:$K$15,0)),""))</f>
        <v/>
      </c>
      <c r="N69" s="10">
        <f>IFERROR(INDEX(KC_CURVAS!$E$5:$E$15,MATCH("SOJA|"&amp;$G69,KC_CURVAS!$K$5:$K$15,0)),IFERROR(INDEX(KC_CURVAS!$E$5:$E$15,MATCH("SOJA"&amp;"|",KC_CURVAS!$K$5:$K$15,0)),""))</f>
        <v/>
      </c>
      <c r="O69" s="10">
        <f>IFERROR(INDEX(KC_CURVAS!$F$5:$F$15,MATCH("SOJA|"&amp;$G69,KC_CURVAS!$K$5:$K$15,0)),IFERROR(INDEX(KC_CURVAS!$F$5:$F$15,MATCH("SOJA"&amp;"|",KC_CURVAS!$K$5:$K$15,0)),""))</f>
        <v/>
      </c>
      <c r="P69" s="11">
        <f>IFERROR(INDEX(KC_CURVAS!$G$5:$G$15,MATCH("SOJA|"&amp;$G69,KC_CURVAS!$K$5:$K$15,0)),IFERROR(INDEX(KC_CURVAS!$G$5:$G$15,MATCH("SOJA"&amp;"|",KC_CURVAS!$K$5:$K$15,0)),""))</f>
        <v/>
      </c>
      <c r="Q69" s="11">
        <f>IFERROR(INDEX(KC_CURVAS!$H$5:$H$15,MATCH("SOJA|"&amp;$G69,KC_CURVAS!$K$5:$K$15,0)),IFERROR(INDEX(KC_CURVAS!$H$5:$H$15,MATCH("SOJA"&amp;"|",KC_CURVAS!$K$5:$K$15,0)),""))</f>
        <v/>
      </c>
      <c r="R69" s="11">
        <f>IFERROR(INDEX(KC_CURVAS!$I$5:$I$15,MATCH("SOJA|"&amp;$G69,KC_CURVAS!$K$5:$K$15,0)),IFERROR(INDEX(KC_CURVAS!$I$5:$I$15,MATCH("SOJA"&amp;"|",KC_CURVAS!$K$5:$K$15,0)),""))</f>
        <v/>
      </c>
      <c r="S69" s="12">
        <f>IF(OR($K69="",$L69=""),"PENDENTE",IF($K69&lt;=$L69,$P69,IF($K69&lt;=$L69+$M69,$P69+($Q69-$P69)*($K69-$L69)/$M69,IF($K69&lt;=$L69+$M69+$N69,$Q69,IF($K69&lt;=$L69+$M69+$N69+$O69,$Q69+($R69-$Q69)*($K69-($L69+$M69+$N69))/$O69,$R69)))))</f>
        <v/>
      </c>
      <c r="T69" s="13">
        <f>IF($I69="","",$I69)</f>
        <v/>
      </c>
      <c r="U69" s="14">
        <f>IF($T69="","",SUMIFS(ETO_DIARIO!$B$5:$B$404,ETO_DIARIO!$A$5:$A$404,"&gt;"&amp;$T69,ETO_DIARIO!$A$5:$A$404,"&lt;="&amp;DATA_REF))</f>
        <v/>
      </c>
      <c r="V69" s="14">
        <f>IF($T69="","",SUMIFS(ETO_DIARIO!$C$5:$C$404,ETO_DIARIO!$A$5:$A$404,"&gt;"&amp;$T69,ETO_DIARIO!$A$5:$A$404,"&lt;="&amp;DATA_REF))</f>
        <v/>
      </c>
      <c r="W69" s="14">
        <f>IF(OR($S69="",$S69="PENDENTE",$U69=""),"",$S69*$U69)</f>
        <v/>
      </c>
      <c r="X69" s="14">
        <f>IF($W69="","",MAX(0,$W69-N($V69)))</f>
        <v/>
      </c>
      <c r="Y69" s="14">
        <f>IF($X69="","",$X69/EF_APLIC)</f>
        <v/>
      </c>
      <c r="Z69" s="15" t="n">
        <v>150</v>
      </c>
      <c r="AA69" s="16">
        <f>IF(OR($Y69="",$Z69=""),"",$Y69*$Z69*10)</f>
        <v/>
      </c>
      <c r="AB69" s="17" t="n">
        <v>0.848</v>
      </c>
      <c r="AC69" s="16">
        <f>IF(OR($AA69="",$AB69=""),"",$AA69*$AB69)</f>
        <v/>
      </c>
      <c r="AD69" s="18">
        <f>IF($S69="PENDENTE","Definir classe/Kc",IF($Y69="","-",IF($Y69&gt;='PARAMETROS'!$B$7/EF_APLIC,"Irrigar",IF($Y69&gt;='PARAMETROS'!$B$7/EF_APLIC*FRAC_ACOMP,"Acompanhar","Aguardar"))))</f>
        <v/>
      </c>
      <c r="AE69" s="18">
        <f>IF(OR($Y69="",$Y69=0),"-",IF($Y69&gt;=2*'PARAMETROS'!$B$7/EF_APLIC,"Alta",IF($Y69&gt;='PARAMETROS'!$B$7/EF_APLIC,"Media","Baixa")))</f>
        <v/>
      </c>
    </row>
    <row r="70">
      <c r="A70" s="5" t="inlineStr">
        <is>
          <t>Pivô 66</t>
        </is>
      </c>
      <c r="B70" s="5" t="inlineStr">
        <is>
          <t>Karitel</t>
        </is>
      </c>
      <c r="C70" s="5" t="inlineStr">
        <is>
          <t>R15</t>
        </is>
      </c>
      <c r="D70" s="5" t="inlineStr">
        <is>
          <t>Modulo 3</t>
        </is>
      </c>
      <c r="E70" s="5" t="inlineStr">
        <is>
          <t>SOJA</t>
        </is>
      </c>
      <c r="F70" s="6" t="inlineStr">
        <is>
          <t>NEO 761 I2X</t>
        </is>
      </c>
      <c r="G70" s="7" t="inlineStr">
        <is>
          <t>PRECOCE</t>
        </is>
      </c>
      <c r="H70" s="5" t="inlineStr">
        <is>
          <t>ativo</t>
        </is>
      </c>
      <c r="I70" s="8" t="n">
        <v>46286</v>
      </c>
      <c r="J70" s="9">
        <f>IF($I70="","",DATA_REF-$I70)</f>
        <v/>
      </c>
      <c r="K70" s="9">
        <f>IF($J70="","",MAX(0,$J70-'PARAMETROS'!$B$11))</f>
        <v/>
      </c>
      <c r="L70" s="10">
        <f>IFERROR(INDEX(KC_CURVAS!$C$5:$C$15,MATCH("SOJA|"&amp;$G70,KC_CURVAS!$K$5:$K$15,0)),IFERROR(INDEX(KC_CURVAS!$C$5:$C$15,MATCH("SOJA"&amp;"|",KC_CURVAS!$K$5:$K$15,0)),""))</f>
        <v/>
      </c>
      <c r="M70" s="10">
        <f>IFERROR(INDEX(KC_CURVAS!$D$5:$D$15,MATCH("SOJA|"&amp;$G70,KC_CURVAS!$K$5:$K$15,0)),IFERROR(INDEX(KC_CURVAS!$D$5:$D$15,MATCH("SOJA"&amp;"|",KC_CURVAS!$K$5:$K$15,0)),""))</f>
        <v/>
      </c>
      <c r="N70" s="10">
        <f>IFERROR(INDEX(KC_CURVAS!$E$5:$E$15,MATCH("SOJA|"&amp;$G70,KC_CURVAS!$K$5:$K$15,0)),IFERROR(INDEX(KC_CURVAS!$E$5:$E$15,MATCH("SOJA"&amp;"|",KC_CURVAS!$K$5:$K$15,0)),""))</f>
        <v/>
      </c>
      <c r="O70" s="10">
        <f>IFERROR(INDEX(KC_CURVAS!$F$5:$F$15,MATCH("SOJA|"&amp;$G70,KC_CURVAS!$K$5:$K$15,0)),IFERROR(INDEX(KC_CURVAS!$F$5:$F$15,MATCH("SOJA"&amp;"|",KC_CURVAS!$K$5:$K$15,0)),""))</f>
        <v/>
      </c>
      <c r="P70" s="11">
        <f>IFERROR(INDEX(KC_CURVAS!$G$5:$G$15,MATCH("SOJA|"&amp;$G70,KC_CURVAS!$K$5:$K$15,0)),IFERROR(INDEX(KC_CURVAS!$G$5:$G$15,MATCH("SOJA"&amp;"|",KC_CURVAS!$K$5:$K$15,0)),""))</f>
        <v/>
      </c>
      <c r="Q70" s="11">
        <f>IFERROR(INDEX(KC_CURVAS!$H$5:$H$15,MATCH("SOJA|"&amp;$G70,KC_CURVAS!$K$5:$K$15,0)),IFERROR(INDEX(KC_CURVAS!$H$5:$H$15,MATCH("SOJA"&amp;"|",KC_CURVAS!$K$5:$K$15,0)),""))</f>
        <v/>
      </c>
      <c r="R70" s="11">
        <f>IFERROR(INDEX(KC_CURVAS!$I$5:$I$15,MATCH("SOJA|"&amp;$G70,KC_CURVAS!$K$5:$K$15,0)),IFERROR(INDEX(KC_CURVAS!$I$5:$I$15,MATCH("SOJA"&amp;"|",KC_CURVAS!$K$5:$K$15,0)),""))</f>
        <v/>
      </c>
      <c r="S70" s="12">
        <f>IF(OR($K70="",$L70=""),"PENDENTE",IF($K70&lt;=$L70,$P70,IF($K70&lt;=$L70+$M70,$P70+($Q70-$P70)*($K70-$L70)/$M70,IF($K70&lt;=$L70+$M70+$N70,$Q70,IF($K70&lt;=$L70+$M70+$N70+$O70,$Q70+($R70-$Q70)*($K70-($L70+$M70+$N70))/$O70,$R70)))))</f>
        <v/>
      </c>
      <c r="T70" s="13">
        <f>IF($I70="","",$I70)</f>
        <v/>
      </c>
      <c r="U70" s="14">
        <f>IF($T70="","",SUMIFS(ETO_DIARIO!$B$5:$B$404,ETO_DIARIO!$A$5:$A$404,"&gt;"&amp;$T70,ETO_DIARIO!$A$5:$A$404,"&lt;="&amp;DATA_REF))</f>
        <v/>
      </c>
      <c r="V70" s="14">
        <f>IF($T70="","",SUMIFS(ETO_DIARIO!$C$5:$C$404,ETO_DIARIO!$A$5:$A$404,"&gt;"&amp;$T70,ETO_DIARIO!$A$5:$A$404,"&lt;="&amp;DATA_REF))</f>
        <v/>
      </c>
      <c r="W70" s="14">
        <f>IF(OR($S70="",$S70="PENDENTE",$U70=""),"",$S70*$U70)</f>
        <v/>
      </c>
      <c r="X70" s="14">
        <f>IF($W70="","",MAX(0,$W70-N($V70)))</f>
        <v/>
      </c>
      <c r="Y70" s="14">
        <f>IF($X70="","",$X70/EF_APLIC)</f>
        <v/>
      </c>
      <c r="Z70" s="15" t="n">
        <v>100</v>
      </c>
      <c r="AA70" s="16">
        <f>IF(OR($Y70="",$Z70=""),"",$Y70*$Z70*10)</f>
        <v/>
      </c>
      <c r="AB70" s="17" t="n">
        <v>0.905</v>
      </c>
      <c r="AC70" s="16">
        <f>IF(OR($AA70="",$AB70=""),"",$AA70*$AB70)</f>
        <v/>
      </c>
      <c r="AD70" s="18">
        <f>IF($S70="PENDENTE","Definir classe/Kc",IF($Y70="","-",IF($Y70&gt;='PARAMETROS'!$B$7/EF_APLIC,"Irrigar",IF($Y70&gt;='PARAMETROS'!$B$7/EF_APLIC*FRAC_ACOMP,"Acompanhar","Aguardar"))))</f>
        <v/>
      </c>
      <c r="AE70" s="18">
        <f>IF(OR($Y70="",$Y70=0),"-",IF($Y70&gt;=2*'PARAMETROS'!$B$7/EF_APLIC,"Alta",IF($Y70&gt;='PARAMETROS'!$B$7/EF_APLIC,"Media","Baixa")))</f>
        <v/>
      </c>
    </row>
    <row r="71">
      <c r="A71" s="5" t="inlineStr">
        <is>
          <t>Pivô 67</t>
        </is>
      </c>
      <c r="B71" s="5" t="inlineStr">
        <is>
          <t>Karitel</t>
        </is>
      </c>
      <c r="C71" s="5" t="inlineStr">
        <is>
          <t>R16</t>
        </is>
      </c>
      <c r="D71" s="5" t="inlineStr">
        <is>
          <t>Modulo 3</t>
        </is>
      </c>
      <c r="E71" s="5" t="inlineStr">
        <is>
          <t>SOJA</t>
        </is>
      </c>
      <c r="F71" s="6" t="inlineStr">
        <is>
          <t>NEO 761 I2X</t>
        </is>
      </c>
      <c r="G71" s="7" t="inlineStr">
        <is>
          <t>PRECOCE</t>
        </is>
      </c>
      <c r="H71" s="5" t="inlineStr">
        <is>
          <t>ativo</t>
        </is>
      </c>
      <c r="I71" s="8" t="n">
        <v>46286</v>
      </c>
      <c r="J71" s="9">
        <f>IF($I71="","",DATA_REF-$I71)</f>
        <v/>
      </c>
      <c r="K71" s="9">
        <f>IF($J71="","",MAX(0,$J71-'PARAMETROS'!$B$11))</f>
        <v/>
      </c>
      <c r="L71" s="10">
        <f>IFERROR(INDEX(KC_CURVAS!$C$5:$C$15,MATCH("SOJA|"&amp;$G71,KC_CURVAS!$K$5:$K$15,0)),IFERROR(INDEX(KC_CURVAS!$C$5:$C$15,MATCH("SOJA"&amp;"|",KC_CURVAS!$K$5:$K$15,0)),""))</f>
        <v/>
      </c>
      <c r="M71" s="10">
        <f>IFERROR(INDEX(KC_CURVAS!$D$5:$D$15,MATCH("SOJA|"&amp;$G71,KC_CURVAS!$K$5:$K$15,0)),IFERROR(INDEX(KC_CURVAS!$D$5:$D$15,MATCH("SOJA"&amp;"|",KC_CURVAS!$K$5:$K$15,0)),""))</f>
        <v/>
      </c>
      <c r="N71" s="10">
        <f>IFERROR(INDEX(KC_CURVAS!$E$5:$E$15,MATCH("SOJA|"&amp;$G71,KC_CURVAS!$K$5:$K$15,0)),IFERROR(INDEX(KC_CURVAS!$E$5:$E$15,MATCH("SOJA"&amp;"|",KC_CURVAS!$K$5:$K$15,0)),""))</f>
        <v/>
      </c>
      <c r="O71" s="10">
        <f>IFERROR(INDEX(KC_CURVAS!$F$5:$F$15,MATCH("SOJA|"&amp;$G71,KC_CURVAS!$K$5:$K$15,0)),IFERROR(INDEX(KC_CURVAS!$F$5:$F$15,MATCH("SOJA"&amp;"|",KC_CURVAS!$K$5:$K$15,0)),""))</f>
        <v/>
      </c>
      <c r="P71" s="11">
        <f>IFERROR(INDEX(KC_CURVAS!$G$5:$G$15,MATCH("SOJA|"&amp;$G71,KC_CURVAS!$K$5:$K$15,0)),IFERROR(INDEX(KC_CURVAS!$G$5:$G$15,MATCH("SOJA"&amp;"|",KC_CURVAS!$K$5:$K$15,0)),""))</f>
        <v/>
      </c>
      <c r="Q71" s="11">
        <f>IFERROR(INDEX(KC_CURVAS!$H$5:$H$15,MATCH("SOJA|"&amp;$G71,KC_CURVAS!$K$5:$K$15,0)),IFERROR(INDEX(KC_CURVAS!$H$5:$H$15,MATCH("SOJA"&amp;"|",KC_CURVAS!$K$5:$K$15,0)),""))</f>
        <v/>
      </c>
      <c r="R71" s="11">
        <f>IFERROR(INDEX(KC_CURVAS!$I$5:$I$15,MATCH("SOJA|"&amp;$G71,KC_CURVAS!$K$5:$K$15,0)),IFERROR(INDEX(KC_CURVAS!$I$5:$I$15,MATCH("SOJA"&amp;"|",KC_CURVAS!$K$5:$K$15,0)),""))</f>
        <v/>
      </c>
      <c r="S71" s="12">
        <f>IF(OR($K71="",$L71=""),"PENDENTE",IF($K71&lt;=$L71,$P71,IF($K71&lt;=$L71+$M71,$P71+($Q71-$P71)*($K71-$L71)/$M71,IF($K71&lt;=$L71+$M71+$N71,$Q71,IF($K71&lt;=$L71+$M71+$N71+$O71,$Q71+($R71-$Q71)*($K71-($L71+$M71+$N71))/$O71,$R71)))))</f>
        <v/>
      </c>
      <c r="T71" s="13">
        <f>IF($I71="","",$I71)</f>
        <v/>
      </c>
      <c r="U71" s="14">
        <f>IF($T71="","",SUMIFS(ETO_DIARIO!$B$5:$B$404,ETO_DIARIO!$A$5:$A$404,"&gt;"&amp;$T71,ETO_DIARIO!$A$5:$A$404,"&lt;="&amp;DATA_REF))</f>
        <v/>
      </c>
      <c r="V71" s="14">
        <f>IF($T71="","",SUMIFS(ETO_DIARIO!$C$5:$C$404,ETO_DIARIO!$A$5:$A$404,"&gt;"&amp;$T71,ETO_DIARIO!$A$5:$A$404,"&lt;="&amp;DATA_REF))</f>
        <v/>
      </c>
      <c r="W71" s="14">
        <f>IF(OR($S71="",$S71="PENDENTE",$U71=""),"",$S71*$U71)</f>
        <v/>
      </c>
      <c r="X71" s="14">
        <f>IF($W71="","",MAX(0,$W71-N($V71)))</f>
        <v/>
      </c>
      <c r="Y71" s="14">
        <f>IF($X71="","",$X71/EF_APLIC)</f>
        <v/>
      </c>
      <c r="Z71" s="15" t="n">
        <v>80</v>
      </c>
      <c r="AA71" s="16">
        <f>IF(OR($Y71="",$Z71=""),"",$Y71*$Z71*10)</f>
        <v/>
      </c>
      <c r="AB71" s="17" t="n">
        <v>0.974</v>
      </c>
      <c r="AC71" s="16">
        <f>IF(OR($AA71="",$AB71=""),"",$AA71*$AB71)</f>
        <v/>
      </c>
      <c r="AD71" s="18">
        <f>IF($S71="PENDENTE","Definir classe/Kc",IF($Y71="","-",IF($Y71&gt;='PARAMETROS'!$B$7/EF_APLIC,"Irrigar",IF($Y71&gt;='PARAMETROS'!$B$7/EF_APLIC*FRAC_ACOMP,"Acompanhar","Aguardar"))))</f>
        <v/>
      </c>
      <c r="AE71" s="18">
        <f>IF(OR($Y71="",$Y71=0),"-",IF($Y71&gt;=2*'PARAMETROS'!$B$7/EF_APLIC,"Alta",IF($Y71&gt;='PARAMETROS'!$B$7/EF_APLIC,"Media","Baixa")))</f>
        <v/>
      </c>
    </row>
    <row r="72">
      <c r="A72" s="5" t="inlineStr">
        <is>
          <t>Pivô 68</t>
        </is>
      </c>
      <c r="B72" s="5" t="inlineStr">
        <is>
          <t>Karitel</t>
        </is>
      </c>
      <c r="C72" s="5" t="inlineStr">
        <is>
          <t>R16</t>
        </is>
      </c>
      <c r="D72" s="5" t="inlineStr">
        <is>
          <t>Modulo 3</t>
        </is>
      </c>
      <c r="E72" s="5" t="inlineStr">
        <is>
          <t>SOJA</t>
        </is>
      </c>
      <c r="F72" s="6" t="inlineStr">
        <is>
          <t>COMPLETA IPRO</t>
        </is>
      </c>
      <c r="G72" s="7" t="inlineStr">
        <is>
          <t>MÉDIA</t>
        </is>
      </c>
      <c r="H72" s="5" t="inlineStr">
        <is>
          <t>ativo</t>
        </is>
      </c>
      <c r="I72" s="8" t="n">
        <v>46290</v>
      </c>
      <c r="J72" s="9">
        <f>IF($I72="","",DATA_REF-$I72)</f>
        <v/>
      </c>
      <c r="K72" s="9">
        <f>IF($J72="","",MAX(0,$J72-'PARAMETROS'!$B$11))</f>
        <v/>
      </c>
      <c r="L72" s="10">
        <f>IFERROR(INDEX(KC_CURVAS!$C$5:$C$15,MATCH("SOJA|"&amp;$G72,KC_CURVAS!$K$5:$K$15,0)),IFERROR(INDEX(KC_CURVAS!$C$5:$C$15,MATCH("SOJA"&amp;"|",KC_CURVAS!$K$5:$K$15,0)),""))</f>
        <v/>
      </c>
      <c r="M72" s="10">
        <f>IFERROR(INDEX(KC_CURVAS!$D$5:$D$15,MATCH("SOJA|"&amp;$G72,KC_CURVAS!$K$5:$K$15,0)),IFERROR(INDEX(KC_CURVAS!$D$5:$D$15,MATCH("SOJA"&amp;"|",KC_CURVAS!$K$5:$K$15,0)),""))</f>
        <v/>
      </c>
      <c r="N72" s="10">
        <f>IFERROR(INDEX(KC_CURVAS!$E$5:$E$15,MATCH("SOJA|"&amp;$G72,KC_CURVAS!$K$5:$K$15,0)),IFERROR(INDEX(KC_CURVAS!$E$5:$E$15,MATCH("SOJA"&amp;"|",KC_CURVAS!$K$5:$K$15,0)),""))</f>
        <v/>
      </c>
      <c r="O72" s="10">
        <f>IFERROR(INDEX(KC_CURVAS!$F$5:$F$15,MATCH("SOJA|"&amp;$G72,KC_CURVAS!$K$5:$K$15,0)),IFERROR(INDEX(KC_CURVAS!$F$5:$F$15,MATCH("SOJA"&amp;"|",KC_CURVAS!$K$5:$K$15,0)),""))</f>
        <v/>
      </c>
      <c r="P72" s="11">
        <f>IFERROR(INDEX(KC_CURVAS!$G$5:$G$15,MATCH("SOJA|"&amp;$G72,KC_CURVAS!$K$5:$K$15,0)),IFERROR(INDEX(KC_CURVAS!$G$5:$G$15,MATCH("SOJA"&amp;"|",KC_CURVAS!$K$5:$K$15,0)),""))</f>
        <v/>
      </c>
      <c r="Q72" s="11">
        <f>IFERROR(INDEX(KC_CURVAS!$H$5:$H$15,MATCH("SOJA|"&amp;$G72,KC_CURVAS!$K$5:$K$15,0)),IFERROR(INDEX(KC_CURVAS!$H$5:$H$15,MATCH("SOJA"&amp;"|",KC_CURVAS!$K$5:$K$15,0)),""))</f>
        <v/>
      </c>
      <c r="R72" s="11">
        <f>IFERROR(INDEX(KC_CURVAS!$I$5:$I$15,MATCH("SOJA|"&amp;$G72,KC_CURVAS!$K$5:$K$15,0)),IFERROR(INDEX(KC_CURVAS!$I$5:$I$15,MATCH("SOJA"&amp;"|",KC_CURVAS!$K$5:$K$15,0)),""))</f>
        <v/>
      </c>
      <c r="S72" s="12">
        <f>IF(OR($K72="",$L72=""),"PENDENTE",IF($K72&lt;=$L72,$P72,IF($K72&lt;=$L72+$M72,$P72+($Q72-$P72)*($K72-$L72)/$M72,IF($K72&lt;=$L72+$M72+$N72,$Q72,IF($K72&lt;=$L72+$M72+$N72+$O72,$Q72+($R72-$Q72)*($K72-($L72+$M72+$N72))/$O72,$R72)))))</f>
        <v/>
      </c>
      <c r="T72" s="13">
        <f>IF($I72="","",$I72)</f>
        <v/>
      </c>
      <c r="U72" s="14">
        <f>IF($T72="","",SUMIFS(ETO_DIARIO!$B$5:$B$404,ETO_DIARIO!$A$5:$A$404,"&gt;"&amp;$T72,ETO_DIARIO!$A$5:$A$404,"&lt;="&amp;DATA_REF))</f>
        <v/>
      </c>
      <c r="V72" s="14">
        <f>IF($T72="","",SUMIFS(ETO_DIARIO!$C$5:$C$404,ETO_DIARIO!$A$5:$A$404,"&gt;"&amp;$T72,ETO_DIARIO!$A$5:$A$404,"&lt;="&amp;DATA_REF))</f>
        <v/>
      </c>
      <c r="W72" s="14">
        <f>IF(OR($S72="",$S72="PENDENTE",$U72=""),"",$S72*$U72)</f>
        <v/>
      </c>
      <c r="X72" s="14">
        <f>IF($W72="","",MAX(0,$W72-N($V72)))</f>
        <v/>
      </c>
      <c r="Y72" s="14">
        <f>IF($X72="","",$X72/EF_APLIC)</f>
        <v/>
      </c>
      <c r="Z72" s="15" t="n">
        <v>80</v>
      </c>
      <c r="AA72" s="16">
        <f>IF(OR($Y72="",$Z72=""),"",$Y72*$Z72*10)</f>
        <v/>
      </c>
      <c r="AB72" s="17" t="n">
        <v>0.974</v>
      </c>
      <c r="AC72" s="16">
        <f>IF(OR($AA72="",$AB72=""),"",$AA72*$AB72)</f>
        <v/>
      </c>
      <c r="AD72" s="18">
        <f>IF($S72="PENDENTE","Definir classe/Kc",IF($Y72="","-",IF($Y72&gt;='PARAMETROS'!$B$7/EF_APLIC,"Irrigar",IF($Y72&gt;='PARAMETROS'!$B$7/EF_APLIC*FRAC_ACOMP,"Acompanhar","Aguardar"))))</f>
        <v/>
      </c>
      <c r="AE72" s="18">
        <f>IF(OR($Y72="",$Y72=0),"-",IF($Y72&gt;=2*'PARAMETROS'!$B$7/EF_APLIC,"Alta",IF($Y72&gt;='PARAMETROS'!$B$7/EF_APLIC,"Media","Baixa")))</f>
        <v/>
      </c>
    </row>
    <row r="73">
      <c r="A73" s="5" t="inlineStr">
        <is>
          <t>Pivô 69</t>
        </is>
      </c>
      <c r="B73" s="5" t="inlineStr">
        <is>
          <t>Karitel</t>
        </is>
      </c>
      <c r="C73" s="5" t="inlineStr">
        <is>
          <t>R17</t>
        </is>
      </c>
      <c r="D73" s="5" t="inlineStr">
        <is>
          <t>Modulo 3</t>
        </is>
      </c>
      <c r="E73" s="5" t="inlineStr">
        <is>
          <t>ALGODÃO</t>
        </is>
      </c>
      <c r="F73" s="6" t="inlineStr">
        <is>
          <t>IMA 3764 B2RF</t>
        </is>
      </c>
      <c r="G73" s="7" t="inlineStr">
        <is>
          <t>TARDIO</t>
        </is>
      </c>
      <c r="H73" s="5" t="inlineStr">
        <is>
          <t>proximo</t>
        </is>
      </c>
      <c r="I73" s="8" t="n">
        <v>46354</v>
      </c>
      <c r="J73" s="9">
        <f>IF($I73="","",DATA_REF-$I73)</f>
        <v/>
      </c>
      <c r="K73" s="9">
        <f>IF($J73="","",MAX(0,$J73-'PARAMETROS'!$B$11))</f>
        <v/>
      </c>
      <c r="L73" s="10">
        <f>IFERROR(INDEX(KC_CURVAS!$C$5:$C$15,MATCH("ALGODÃO|"&amp;$G73,KC_CURVAS!$K$5:$K$15,0)),IFERROR(INDEX(KC_CURVAS!$C$5:$C$15,MATCH("ALGODÃO"&amp;"|",KC_CURVAS!$K$5:$K$15,0)),""))</f>
        <v/>
      </c>
      <c r="M73" s="10">
        <f>IFERROR(INDEX(KC_CURVAS!$D$5:$D$15,MATCH("ALGODÃO|"&amp;$G73,KC_CURVAS!$K$5:$K$15,0)),IFERROR(INDEX(KC_CURVAS!$D$5:$D$15,MATCH("ALGODÃO"&amp;"|",KC_CURVAS!$K$5:$K$15,0)),""))</f>
        <v/>
      </c>
      <c r="N73" s="10">
        <f>IFERROR(INDEX(KC_CURVAS!$E$5:$E$15,MATCH("ALGODÃO|"&amp;$G73,KC_CURVAS!$K$5:$K$15,0)),IFERROR(INDEX(KC_CURVAS!$E$5:$E$15,MATCH("ALGODÃO"&amp;"|",KC_CURVAS!$K$5:$K$15,0)),""))</f>
        <v/>
      </c>
      <c r="O73" s="10">
        <f>IFERROR(INDEX(KC_CURVAS!$F$5:$F$15,MATCH("ALGODÃO|"&amp;$G73,KC_CURVAS!$K$5:$K$15,0)),IFERROR(INDEX(KC_CURVAS!$F$5:$F$15,MATCH("ALGODÃO"&amp;"|",KC_CURVAS!$K$5:$K$15,0)),""))</f>
        <v/>
      </c>
      <c r="P73" s="11">
        <f>IFERROR(INDEX(KC_CURVAS!$G$5:$G$15,MATCH("ALGODÃO|"&amp;$G73,KC_CURVAS!$K$5:$K$15,0)),IFERROR(INDEX(KC_CURVAS!$G$5:$G$15,MATCH("ALGODÃO"&amp;"|",KC_CURVAS!$K$5:$K$15,0)),""))</f>
        <v/>
      </c>
      <c r="Q73" s="11">
        <f>IFERROR(INDEX(KC_CURVAS!$H$5:$H$15,MATCH("ALGODÃO|"&amp;$G73,KC_CURVAS!$K$5:$K$15,0)),IFERROR(INDEX(KC_CURVAS!$H$5:$H$15,MATCH("ALGODÃO"&amp;"|",KC_CURVAS!$K$5:$K$15,0)),""))</f>
        <v/>
      </c>
      <c r="R73" s="11">
        <f>IFERROR(INDEX(KC_CURVAS!$I$5:$I$15,MATCH("ALGODÃO|"&amp;$G73,KC_CURVAS!$K$5:$K$15,0)),IFERROR(INDEX(KC_CURVAS!$I$5:$I$15,MATCH("ALGODÃO"&amp;"|",KC_CURVAS!$K$5:$K$15,0)),""))</f>
        <v/>
      </c>
      <c r="S73" s="12">
        <f>IF(OR($K73="",$L73=""),"PENDENTE",IF($K73&lt;=$L73,$P73,IF($K73&lt;=$L73+$M73,$P73+($Q73-$P73)*($K73-$L73)/$M73,IF($K73&lt;=$L73+$M73+$N73,$Q73,IF($K73&lt;=$L73+$M73+$N73+$O73,$Q73+($R73-$Q73)*($K73-($L73+$M73+$N73))/$O73,$R73)))))</f>
        <v/>
      </c>
      <c r="T73" s="13">
        <f>IF($I73="","",$I73)</f>
        <v/>
      </c>
      <c r="U73" s="14">
        <f>IF($T73="","",SUMIFS(ETO_DIARIO!$B$5:$B$404,ETO_DIARIO!$A$5:$A$404,"&gt;"&amp;$T73,ETO_DIARIO!$A$5:$A$404,"&lt;="&amp;DATA_REF))</f>
        <v/>
      </c>
      <c r="V73" s="14">
        <f>IF($T73="","",SUMIFS(ETO_DIARIO!$C$5:$C$404,ETO_DIARIO!$A$5:$A$404,"&gt;"&amp;$T73,ETO_DIARIO!$A$5:$A$404,"&lt;="&amp;DATA_REF))</f>
        <v/>
      </c>
      <c r="W73" s="14">
        <f>IF(OR($S73="",$S73="PENDENTE",$U73=""),"",$S73*$U73)</f>
        <v/>
      </c>
      <c r="X73" s="14">
        <f>IF($W73="","",MAX(0,$W73-N($V73)))</f>
        <v/>
      </c>
      <c r="Y73" s="14">
        <f>IF($X73="","",$X73/EF_APLIC)</f>
        <v/>
      </c>
      <c r="Z73" s="15" t="n">
        <v>80</v>
      </c>
      <c r="AA73" s="16">
        <f>IF(OR($Y73="",$Z73=""),"",$Y73*$Z73*10)</f>
        <v/>
      </c>
      <c r="AB73" s="17" t="n">
        <v>0.974</v>
      </c>
      <c r="AC73" s="16">
        <f>IF(OR($AA73="",$AB73=""),"",$AA73*$AB73)</f>
        <v/>
      </c>
      <c r="AD73" s="18">
        <f>IF($S73="PENDENTE","Definir classe/Kc",IF($Y73="","-",IF($Y73&gt;='PARAMETROS'!$B$7/EF_APLIC,"Irrigar",IF($Y73&gt;='PARAMETROS'!$B$7/EF_APLIC*FRAC_ACOMP,"Acompanhar","Aguardar"))))</f>
        <v/>
      </c>
      <c r="AE73" s="18">
        <f>IF(OR($Y73="",$Y73=0),"-",IF($Y73&gt;=2*'PARAMETROS'!$B$7/EF_APLIC,"Alta",IF($Y73&gt;='PARAMETROS'!$B$7/EF_APLIC,"Media","Baixa")))</f>
        <v/>
      </c>
    </row>
    <row r="74">
      <c r="A74" s="5" t="inlineStr">
        <is>
          <t>Pivô 70</t>
        </is>
      </c>
      <c r="B74" s="5" t="inlineStr">
        <is>
          <t>Karitel</t>
        </is>
      </c>
      <c r="C74" s="5" t="inlineStr">
        <is>
          <t>R17</t>
        </is>
      </c>
      <c r="D74" s="5" t="inlineStr">
        <is>
          <t>Modulo 3</t>
        </is>
      </c>
      <c r="E74" s="5" t="inlineStr">
        <is>
          <t>ALGODÃO</t>
        </is>
      </c>
      <c r="F74" s="6" t="inlineStr">
        <is>
          <t>IMA 3764 B2RF</t>
        </is>
      </c>
      <c r="G74" s="7" t="inlineStr">
        <is>
          <t>TARDIO</t>
        </is>
      </c>
      <c r="H74" s="5" t="inlineStr">
        <is>
          <t>proximo</t>
        </is>
      </c>
      <c r="I74" s="8" t="n">
        <v>46369</v>
      </c>
      <c r="J74" s="9">
        <f>IF($I74="","",DATA_REF-$I74)</f>
        <v/>
      </c>
      <c r="K74" s="9">
        <f>IF($J74="","",MAX(0,$J74-'PARAMETROS'!$B$11))</f>
        <v/>
      </c>
      <c r="L74" s="10">
        <f>IFERROR(INDEX(KC_CURVAS!$C$5:$C$15,MATCH("ALGODÃO|"&amp;$G74,KC_CURVAS!$K$5:$K$15,0)),IFERROR(INDEX(KC_CURVAS!$C$5:$C$15,MATCH("ALGODÃO"&amp;"|",KC_CURVAS!$K$5:$K$15,0)),""))</f>
        <v/>
      </c>
      <c r="M74" s="10">
        <f>IFERROR(INDEX(KC_CURVAS!$D$5:$D$15,MATCH("ALGODÃO|"&amp;$G74,KC_CURVAS!$K$5:$K$15,0)),IFERROR(INDEX(KC_CURVAS!$D$5:$D$15,MATCH("ALGODÃO"&amp;"|",KC_CURVAS!$K$5:$K$15,0)),""))</f>
        <v/>
      </c>
      <c r="N74" s="10">
        <f>IFERROR(INDEX(KC_CURVAS!$E$5:$E$15,MATCH("ALGODÃO|"&amp;$G74,KC_CURVAS!$K$5:$K$15,0)),IFERROR(INDEX(KC_CURVAS!$E$5:$E$15,MATCH("ALGODÃO"&amp;"|",KC_CURVAS!$K$5:$K$15,0)),""))</f>
        <v/>
      </c>
      <c r="O74" s="10">
        <f>IFERROR(INDEX(KC_CURVAS!$F$5:$F$15,MATCH("ALGODÃO|"&amp;$G74,KC_CURVAS!$K$5:$K$15,0)),IFERROR(INDEX(KC_CURVAS!$F$5:$F$15,MATCH("ALGODÃO"&amp;"|",KC_CURVAS!$K$5:$K$15,0)),""))</f>
        <v/>
      </c>
      <c r="P74" s="11">
        <f>IFERROR(INDEX(KC_CURVAS!$G$5:$G$15,MATCH("ALGODÃO|"&amp;$G74,KC_CURVAS!$K$5:$K$15,0)),IFERROR(INDEX(KC_CURVAS!$G$5:$G$15,MATCH("ALGODÃO"&amp;"|",KC_CURVAS!$K$5:$K$15,0)),""))</f>
        <v/>
      </c>
      <c r="Q74" s="11">
        <f>IFERROR(INDEX(KC_CURVAS!$H$5:$H$15,MATCH("ALGODÃO|"&amp;$G74,KC_CURVAS!$K$5:$K$15,0)),IFERROR(INDEX(KC_CURVAS!$H$5:$H$15,MATCH("ALGODÃO"&amp;"|",KC_CURVAS!$K$5:$K$15,0)),""))</f>
        <v/>
      </c>
      <c r="R74" s="11">
        <f>IFERROR(INDEX(KC_CURVAS!$I$5:$I$15,MATCH("ALGODÃO|"&amp;$G74,KC_CURVAS!$K$5:$K$15,0)),IFERROR(INDEX(KC_CURVAS!$I$5:$I$15,MATCH("ALGODÃO"&amp;"|",KC_CURVAS!$K$5:$K$15,0)),""))</f>
        <v/>
      </c>
      <c r="S74" s="12">
        <f>IF(OR($K74="",$L74=""),"PENDENTE",IF($K74&lt;=$L74,$P74,IF($K74&lt;=$L74+$M74,$P74+($Q74-$P74)*($K74-$L74)/$M74,IF($K74&lt;=$L74+$M74+$N74,$Q74,IF($K74&lt;=$L74+$M74+$N74+$O74,$Q74+($R74-$Q74)*($K74-($L74+$M74+$N74))/$O74,$R74)))))</f>
        <v/>
      </c>
      <c r="T74" s="13">
        <f>IF($I74="","",$I74)</f>
        <v/>
      </c>
      <c r="U74" s="14">
        <f>IF($T74="","",SUMIFS(ETO_DIARIO!$B$5:$B$404,ETO_DIARIO!$A$5:$A$404,"&gt;"&amp;$T74,ETO_DIARIO!$A$5:$A$404,"&lt;="&amp;DATA_REF))</f>
        <v/>
      </c>
      <c r="V74" s="14">
        <f>IF($T74="","",SUMIFS(ETO_DIARIO!$C$5:$C$404,ETO_DIARIO!$A$5:$A$404,"&gt;"&amp;$T74,ETO_DIARIO!$A$5:$A$404,"&lt;="&amp;DATA_REF))</f>
        <v/>
      </c>
      <c r="W74" s="14">
        <f>IF(OR($S74="",$S74="PENDENTE",$U74=""),"",$S74*$U74)</f>
        <v/>
      </c>
      <c r="X74" s="14">
        <f>IF($W74="","",MAX(0,$W74-N($V74)))</f>
        <v/>
      </c>
      <c r="Y74" s="14">
        <f>IF($X74="","",$X74/EF_APLIC)</f>
        <v/>
      </c>
      <c r="Z74" s="15" t="n">
        <v>150</v>
      </c>
      <c r="AA74" s="16">
        <f>IF(OR($Y74="",$Z74=""),"",$Y74*$Z74*10)</f>
        <v/>
      </c>
      <c r="AB74" s="17" t="n">
        <v>0.8149999999999999</v>
      </c>
      <c r="AC74" s="16">
        <f>IF(OR($AA74="",$AB74=""),"",$AA74*$AB74)</f>
        <v/>
      </c>
      <c r="AD74" s="18">
        <f>IF($S74="PENDENTE","Definir classe/Kc",IF($Y74="","-",IF($Y74&gt;='PARAMETROS'!$B$7/EF_APLIC,"Irrigar",IF($Y74&gt;='PARAMETROS'!$B$7/EF_APLIC*FRAC_ACOMP,"Acompanhar","Aguardar"))))</f>
        <v/>
      </c>
      <c r="AE74" s="18">
        <f>IF(OR($Y74="",$Y74=0),"-",IF($Y74&gt;=2*'PARAMETROS'!$B$7/EF_APLIC,"Alta",IF($Y74&gt;='PARAMETROS'!$B$7/EF_APLIC,"Media","Baixa")))</f>
        <v/>
      </c>
    </row>
    <row r="75">
      <c r="A75" s="5" t="inlineStr">
        <is>
          <t>Pivô 72</t>
        </is>
      </c>
      <c r="B75" s="5" t="inlineStr">
        <is>
          <t>Karitel</t>
        </is>
      </c>
      <c r="C75" s="5" t="inlineStr">
        <is>
          <t>R17</t>
        </is>
      </c>
      <c r="D75" s="5" t="inlineStr">
        <is>
          <t>Modulo 3</t>
        </is>
      </c>
      <c r="E75" s="5" t="inlineStr">
        <is>
          <t>SOJA</t>
        </is>
      </c>
      <c r="F75" s="6" t="inlineStr">
        <is>
          <t>COMBATE IPRO</t>
        </is>
      </c>
      <c r="G75" s="7" t="inlineStr">
        <is>
          <t>PRECOCE</t>
        </is>
      </c>
      <c r="H75" s="5" t="inlineStr">
        <is>
          <t>ativo</t>
        </is>
      </c>
      <c r="I75" s="8" t="n">
        <v>46294</v>
      </c>
      <c r="J75" s="9">
        <f>IF($I75="","",DATA_REF-$I75)</f>
        <v/>
      </c>
      <c r="K75" s="9">
        <f>IF($J75="","",MAX(0,$J75-'PARAMETROS'!$B$11))</f>
        <v/>
      </c>
      <c r="L75" s="10">
        <f>IFERROR(INDEX(KC_CURVAS!$C$5:$C$15,MATCH("SOJA|"&amp;$G75,KC_CURVAS!$K$5:$K$15,0)),IFERROR(INDEX(KC_CURVAS!$C$5:$C$15,MATCH("SOJA"&amp;"|",KC_CURVAS!$K$5:$K$15,0)),""))</f>
        <v/>
      </c>
      <c r="M75" s="10">
        <f>IFERROR(INDEX(KC_CURVAS!$D$5:$D$15,MATCH("SOJA|"&amp;$G75,KC_CURVAS!$K$5:$K$15,0)),IFERROR(INDEX(KC_CURVAS!$D$5:$D$15,MATCH("SOJA"&amp;"|",KC_CURVAS!$K$5:$K$15,0)),""))</f>
        <v/>
      </c>
      <c r="N75" s="10">
        <f>IFERROR(INDEX(KC_CURVAS!$E$5:$E$15,MATCH("SOJA|"&amp;$G75,KC_CURVAS!$K$5:$K$15,0)),IFERROR(INDEX(KC_CURVAS!$E$5:$E$15,MATCH("SOJA"&amp;"|",KC_CURVAS!$K$5:$K$15,0)),""))</f>
        <v/>
      </c>
      <c r="O75" s="10">
        <f>IFERROR(INDEX(KC_CURVAS!$F$5:$F$15,MATCH("SOJA|"&amp;$G75,KC_CURVAS!$K$5:$K$15,0)),IFERROR(INDEX(KC_CURVAS!$F$5:$F$15,MATCH("SOJA"&amp;"|",KC_CURVAS!$K$5:$K$15,0)),""))</f>
        <v/>
      </c>
      <c r="P75" s="11">
        <f>IFERROR(INDEX(KC_CURVAS!$G$5:$G$15,MATCH("SOJA|"&amp;$G75,KC_CURVAS!$K$5:$K$15,0)),IFERROR(INDEX(KC_CURVAS!$G$5:$G$15,MATCH("SOJA"&amp;"|",KC_CURVAS!$K$5:$K$15,0)),""))</f>
        <v/>
      </c>
      <c r="Q75" s="11">
        <f>IFERROR(INDEX(KC_CURVAS!$H$5:$H$15,MATCH("SOJA|"&amp;$G75,KC_CURVAS!$K$5:$K$15,0)),IFERROR(INDEX(KC_CURVAS!$H$5:$H$15,MATCH("SOJA"&amp;"|",KC_CURVAS!$K$5:$K$15,0)),""))</f>
        <v/>
      </c>
      <c r="R75" s="11">
        <f>IFERROR(INDEX(KC_CURVAS!$I$5:$I$15,MATCH("SOJA|"&amp;$G75,KC_CURVAS!$K$5:$K$15,0)),IFERROR(INDEX(KC_CURVAS!$I$5:$I$15,MATCH("SOJA"&amp;"|",KC_CURVAS!$K$5:$K$15,0)),""))</f>
        <v/>
      </c>
      <c r="S75" s="12">
        <f>IF(OR($K75="",$L75=""),"PENDENTE",IF($K75&lt;=$L75,$P75,IF($K75&lt;=$L75+$M75,$P75+($Q75-$P75)*($K75-$L75)/$M75,IF($K75&lt;=$L75+$M75+$N75,$Q75,IF($K75&lt;=$L75+$M75+$N75+$O75,$Q75+($R75-$Q75)*($K75-($L75+$M75+$N75))/$O75,$R75)))))</f>
        <v/>
      </c>
      <c r="T75" s="13">
        <f>IF($I75="","",$I75)</f>
        <v/>
      </c>
      <c r="U75" s="14">
        <f>IF($T75="","",SUMIFS(ETO_DIARIO!$B$5:$B$404,ETO_DIARIO!$A$5:$A$404,"&gt;"&amp;$T75,ETO_DIARIO!$A$5:$A$404,"&lt;="&amp;DATA_REF))</f>
        <v/>
      </c>
      <c r="V75" s="14">
        <f>IF($T75="","",SUMIFS(ETO_DIARIO!$C$5:$C$404,ETO_DIARIO!$A$5:$A$404,"&gt;"&amp;$T75,ETO_DIARIO!$A$5:$A$404,"&lt;="&amp;DATA_REF))</f>
        <v/>
      </c>
      <c r="W75" s="14">
        <f>IF(OR($S75="",$S75="PENDENTE",$U75=""),"",$S75*$U75)</f>
        <v/>
      </c>
      <c r="X75" s="14">
        <f>IF($W75="","",MAX(0,$W75-N($V75)))</f>
        <v/>
      </c>
      <c r="Y75" s="14">
        <f>IF($X75="","",$X75/EF_APLIC)</f>
        <v/>
      </c>
      <c r="Z75" s="15" t="n">
        <v>125</v>
      </c>
      <c r="AA75" s="16">
        <f>IF(OR($Y75="",$Z75=""),"",$Y75*$Z75*10)</f>
        <v/>
      </c>
      <c r="AB75" s="17" t="n">
        <v>0.851</v>
      </c>
      <c r="AC75" s="16">
        <f>IF(OR($AA75="",$AB75=""),"",$AA75*$AB75)</f>
        <v/>
      </c>
      <c r="AD75" s="18">
        <f>IF($S75="PENDENTE","Definir classe/Kc",IF($Y75="","-",IF($Y75&gt;='PARAMETROS'!$B$7/EF_APLIC,"Irrigar",IF($Y75&gt;='PARAMETROS'!$B$7/EF_APLIC*FRAC_ACOMP,"Acompanhar","Aguardar"))))</f>
        <v/>
      </c>
      <c r="AE75" s="18">
        <f>IF(OR($Y75="",$Y75=0),"-",IF($Y75&gt;=2*'PARAMETROS'!$B$7/EF_APLIC,"Alta",IF($Y75&gt;='PARAMETROS'!$B$7/EF_APLIC,"Media","Baixa")))</f>
        <v/>
      </c>
    </row>
    <row r="76">
      <c r="A76" s="5" t="inlineStr">
        <is>
          <t>Pivô 73</t>
        </is>
      </c>
      <c r="B76" s="5" t="inlineStr">
        <is>
          <t>Karitel</t>
        </is>
      </c>
      <c r="C76" s="5" t="inlineStr">
        <is>
          <t>R12</t>
        </is>
      </c>
      <c r="D76" s="5" t="inlineStr">
        <is>
          <t>Modulo 2</t>
        </is>
      </c>
      <c r="E76" s="5" t="inlineStr">
        <is>
          <t>SOJA</t>
        </is>
      </c>
      <c r="F76" s="6" t="inlineStr">
        <is>
          <t>ATAQUE I2X</t>
        </is>
      </c>
      <c r="G76" s="7" t="inlineStr">
        <is>
          <t>TARDIA</t>
        </is>
      </c>
      <c r="H76" s="5" t="inlineStr">
        <is>
          <t>ativo</t>
        </is>
      </c>
      <c r="I76" s="8" t="n">
        <v>46296</v>
      </c>
      <c r="J76" s="9">
        <f>IF($I76="","",DATA_REF-$I76)</f>
        <v/>
      </c>
      <c r="K76" s="9">
        <f>IF($J76="","",MAX(0,$J76-'PARAMETROS'!$B$11))</f>
        <v/>
      </c>
      <c r="L76" s="10">
        <f>IFERROR(INDEX(KC_CURVAS!$C$5:$C$15,MATCH("SOJA|"&amp;$G76,KC_CURVAS!$K$5:$K$15,0)),IFERROR(INDEX(KC_CURVAS!$C$5:$C$15,MATCH("SOJA"&amp;"|",KC_CURVAS!$K$5:$K$15,0)),""))</f>
        <v/>
      </c>
      <c r="M76" s="10">
        <f>IFERROR(INDEX(KC_CURVAS!$D$5:$D$15,MATCH("SOJA|"&amp;$G76,KC_CURVAS!$K$5:$K$15,0)),IFERROR(INDEX(KC_CURVAS!$D$5:$D$15,MATCH("SOJA"&amp;"|",KC_CURVAS!$K$5:$K$15,0)),""))</f>
        <v/>
      </c>
      <c r="N76" s="10">
        <f>IFERROR(INDEX(KC_CURVAS!$E$5:$E$15,MATCH("SOJA|"&amp;$G76,KC_CURVAS!$K$5:$K$15,0)),IFERROR(INDEX(KC_CURVAS!$E$5:$E$15,MATCH("SOJA"&amp;"|",KC_CURVAS!$K$5:$K$15,0)),""))</f>
        <v/>
      </c>
      <c r="O76" s="10">
        <f>IFERROR(INDEX(KC_CURVAS!$F$5:$F$15,MATCH("SOJA|"&amp;$G76,KC_CURVAS!$K$5:$K$15,0)),IFERROR(INDEX(KC_CURVAS!$F$5:$F$15,MATCH("SOJA"&amp;"|",KC_CURVAS!$K$5:$K$15,0)),""))</f>
        <v/>
      </c>
      <c r="P76" s="11">
        <f>IFERROR(INDEX(KC_CURVAS!$G$5:$G$15,MATCH("SOJA|"&amp;$G76,KC_CURVAS!$K$5:$K$15,0)),IFERROR(INDEX(KC_CURVAS!$G$5:$G$15,MATCH("SOJA"&amp;"|",KC_CURVAS!$K$5:$K$15,0)),""))</f>
        <v/>
      </c>
      <c r="Q76" s="11">
        <f>IFERROR(INDEX(KC_CURVAS!$H$5:$H$15,MATCH("SOJA|"&amp;$G76,KC_CURVAS!$K$5:$K$15,0)),IFERROR(INDEX(KC_CURVAS!$H$5:$H$15,MATCH("SOJA"&amp;"|",KC_CURVAS!$K$5:$K$15,0)),""))</f>
        <v/>
      </c>
      <c r="R76" s="11">
        <f>IFERROR(INDEX(KC_CURVAS!$I$5:$I$15,MATCH("SOJA|"&amp;$G76,KC_CURVAS!$K$5:$K$15,0)),IFERROR(INDEX(KC_CURVAS!$I$5:$I$15,MATCH("SOJA"&amp;"|",KC_CURVAS!$K$5:$K$15,0)),""))</f>
        <v/>
      </c>
      <c r="S76" s="12">
        <f>IF(OR($K76="",$L76=""),"PENDENTE",IF($K76&lt;=$L76,$P76,IF($K76&lt;=$L76+$M76,$P76+($Q76-$P76)*($K76-$L76)/$M76,IF($K76&lt;=$L76+$M76+$N76,$Q76,IF($K76&lt;=$L76+$M76+$N76+$O76,$Q76+($R76-$Q76)*($K76-($L76+$M76+$N76))/$O76,$R76)))))</f>
        <v/>
      </c>
      <c r="T76" s="13">
        <f>IF($I76="","",$I76)</f>
        <v/>
      </c>
      <c r="U76" s="14">
        <f>IF($T76="","",SUMIFS(ETO_DIARIO!$B$5:$B$404,ETO_DIARIO!$A$5:$A$404,"&gt;"&amp;$T76,ETO_DIARIO!$A$5:$A$404,"&lt;="&amp;DATA_REF))</f>
        <v/>
      </c>
      <c r="V76" s="14">
        <f>IF($T76="","",SUMIFS(ETO_DIARIO!$C$5:$C$404,ETO_DIARIO!$A$5:$A$404,"&gt;"&amp;$T76,ETO_DIARIO!$A$5:$A$404,"&lt;="&amp;DATA_REF))</f>
        <v/>
      </c>
      <c r="W76" s="14">
        <f>IF(OR($S76="",$S76="PENDENTE",$U76=""),"",$S76*$U76)</f>
        <v/>
      </c>
      <c r="X76" s="14">
        <f>IF($W76="","",MAX(0,$W76-N($V76)))</f>
        <v/>
      </c>
      <c r="Y76" s="14">
        <f>IF($X76="","",$X76/EF_APLIC)</f>
        <v/>
      </c>
      <c r="Z76" s="15" t="n">
        <v>160</v>
      </c>
      <c r="AA76" s="16">
        <f>IF(OR($Y76="",$Z76=""),"",$Y76*$Z76*10)</f>
        <v/>
      </c>
      <c r="AB76" s="17" t="n">
        <v>0.554</v>
      </c>
      <c r="AC76" s="16">
        <f>IF(OR($AA76="",$AB76=""),"",$AA76*$AB76)</f>
        <v/>
      </c>
      <c r="AD76" s="18">
        <f>IF($S76="PENDENTE","Definir classe/Kc",IF($Y76="","-",IF($Y76&gt;='PARAMETROS'!$B$7/EF_APLIC,"Irrigar",IF($Y76&gt;='PARAMETROS'!$B$7/EF_APLIC*FRAC_ACOMP,"Acompanhar","Aguardar"))))</f>
        <v/>
      </c>
      <c r="AE76" s="18">
        <f>IF(OR($Y76="",$Y76=0),"-",IF($Y76&gt;=2*'PARAMETROS'!$B$7/EF_APLIC,"Alta",IF($Y76&gt;='PARAMETROS'!$B$7/EF_APLIC,"Media","Baixa")))</f>
        <v/>
      </c>
    </row>
    <row r="77">
      <c r="A77" s="5" t="inlineStr">
        <is>
          <t>Pivô 74</t>
        </is>
      </c>
      <c r="B77" s="5" t="inlineStr">
        <is>
          <t>Karitel</t>
        </is>
      </c>
      <c r="C77" s="5" t="inlineStr">
        <is>
          <t>R12</t>
        </is>
      </c>
      <c r="D77" s="5" t="inlineStr">
        <is>
          <t>Modulo 2</t>
        </is>
      </c>
      <c r="E77" s="5" t="inlineStr">
        <is>
          <t>ALGODÃO</t>
        </is>
      </c>
      <c r="F77" s="6" t="inlineStr">
        <is>
          <t>IMA 5901 B2RF</t>
        </is>
      </c>
      <c r="G77" s="7" t="inlineStr">
        <is>
          <t>MÉDIO</t>
        </is>
      </c>
      <c r="H77" s="5" t="inlineStr">
        <is>
          <t>proximo</t>
        </is>
      </c>
      <c r="I77" s="8" t="n">
        <v>46411</v>
      </c>
      <c r="J77" s="9">
        <f>IF($I77="","",DATA_REF-$I77)</f>
        <v/>
      </c>
      <c r="K77" s="9">
        <f>IF($J77="","",MAX(0,$J77-'PARAMETROS'!$B$11))</f>
        <v/>
      </c>
      <c r="L77" s="10">
        <f>IFERROR(INDEX(KC_CURVAS!$C$5:$C$15,MATCH("ALGODÃO|"&amp;$G77,KC_CURVAS!$K$5:$K$15,0)),IFERROR(INDEX(KC_CURVAS!$C$5:$C$15,MATCH("ALGODÃO"&amp;"|",KC_CURVAS!$K$5:$K$15,0)),""))</f>
        <v/>
      </c>
      <c r="M77" s="10">
        <f>IFERROR(INDEX(KC_CURVAS!$D$5:$D$15,MATCH("ALGODÃO|"&amp;$G77,KC_CURVAS!$K$5:$K$15,0)),IFERROR(INDEX(KC_CURVAS!$D$5:$D$15,MATCH("ALGODÃO"&amp;"|",KC_CURVAS!$K$5:$K$15,0)),""))</f>
        <v/>
      </c>
      <c r="N77" s="10">
        <f>IFERROR(INDEX(KC_CURVAS!$E$5:$E$15,MATCH("ALGODÃO|"&amp;$G77,KC_CURVAS!$K$5:$K$15,0)),IFERROR(INDEX(KC_CURVAS!$E$5:$E$15,MATCH("ALGODÃO"&amp;"|",KC_CURVAS!$K$5:$K$15,0)),""))</f>
        <v/>
      </c>
      <c r="O77" s="10">
        <f>IFERROR(INDEX(KC_CURVAS!$F$5:$F$15,MATCH("ALGODÃO|"&amp;$G77,KC_CURVAS!$K$5:$K$15,0)),IFERROR(INDEX(KC_CURVAS!$F$5:$F$15,MATCH("ALGODÃO"&amp;"|",KC_CURVAS!$K$5:$K$15,0)),""))</f>
        <v/>
      </c>
      <c r="P77" s="11">
        <f>IFERROR(INDEX(KC_CURVAS!$G$5:$G$15,MATCH("ALGODÃO|"&amp;$G77,KC_CURVAS!$K$5:$K$15,0)),IFERROR(INDEX(KC_CURVAS!$G$5:$G$15,MATCH("ALGODÃO"&amp;"|",KC_CURVAS!$K$5:$K$15,0)),""))</f>
        <v/>
      </c>
      <c r="Q77" s="11">
        <f>IFERROR(INDEX(KC_CURVAS!$H$5:$H$15,MATCH("ALGODÃO|"&amp;$G77,KC_CURVAS!$K$5:$K$15,0)),IFERROR(INDEX(KC_CURVAS!$H$5:$H$15,MATCH("ALGODÃO"&amp;"|",KC_CURVAS!$K$5:$K$15,0)),""))</f>
        <v/>
      </c>
      <c r="R77" s="11">
        <f>IFERROR(INDEX(KC_CURVAS!$I$5:$I$15,MATCH("ALGODÃO|"&amp;$G77,KC_CURVAS!$K$5:$K$15,0)),IFERROR(INDEX(KC_CURVAS!$I$5:$I$15,MATCH("ALGODÃO"&amp;"|",KC_CURVAS!$K$5:$K$15,0)),""))</f>
        <v/>
      </c>
      <c r="S77" s="12">
        <f>IF(OR($K77="",$L77=""),"PENDENTE",IF($K77&lt;=$L77,$P77,IF($K77&lt;=$L77+$M77,$P77+($Q77-$P77)*($K77-$L77)/$M77,IF($K77&lt;=$L77+$M77+$N77,$Q77,IF($K77&lt;=$L77+$M77+$N77+$O77,$Q77+($R77-$Q77)*($K77-($L77+$M77+$N77))/$O77,$R77)))))</f>
        <v/>
      </c>
      <c r="T77" s="13">
        <f>IF($I77="","",$I77)</f>
        <v/>
      </c>
      <c r="U77" s="14">
        <f>IF($T77="","",SUMIFS(ETO_DIARIO!$B$5:$B$404,ETO_DIARIO!$A$5:$A$404,"&gt;"&amp;$T77,ETO_DIARIO!$A$5:$A$404,"&lt;="&amp;DATA_REF))</f>
        <v/>
      </c>
      <c r="V77" s="14">
        <f>IF($T77="","",SUMIFS(ETO_DIARIO!$C$5:$C$404,ETO_DIARIO!$A$5:$A$404,"&gt;"&amp;$T77,ETO_DIARIO!$A$5:$A$404,"&lt;="&amp;DATA_REF))</f>
        <v/>
      </c>
      <c r="W77" s="14">
        <f>IF(OR($S77="",$S77="PENDENTE",$U77=""),"",$S77*$U77)</f>
        <v/>
      </c>
      <c r="X77" s="14">
        <f>IF($W77="","",MAX(0,$W77-N($V77)))</f>
        <v/>
      </c>
      <c r="Y77" s="14">
        <f>IF($X77="","",$X77/EF_APLIC)</f>
        <v/>
      </c>
      <c r="Z77" s="15" t="n">
        <v>160</v>
      </c>
      <c r="AA77" s="16">
        <f>IF(OR($Y77="",$Z77=""),"",$Y77*$Z77*10)</f>
        <v/>
      </c>
      <c r="AB77" s="17" t="n">
        <v>0.522</v>
      </c>
      <c r="AC77" s="16">
        <f>IF(OR($AA77="",$AB77=""),"",$AA77*$AB77)</f>
        <v/>
      </c>
      <c r="AD77" s="18">
        <f>IF($S77="PENDENTE","Definir classe/Kc",IF($Y77="","-",IF($Y77&gt;='PARAMETROS'!$B$7/EF_APLIC,"Irrigar",IF($Y77&gt;='PARAMETROS'!$B$7/EF_APLIC*FRAC_ACOMP,"Acompanhar","Aguardar"))))</f>
        <v/>
      </c>
      <c r="AE77" s="18">
        <f>IF(OR($Y77="",$Y77=0),"-",IF($Y77&gt;=2*'PARAMETROS'!$B$7/EF_APLIC,"Alta",IF($Y77&gt;='PARAMETROS'!$B$7/EF_APLIC,"Media","Baixa")))</f>
        <v/>
      </c>
    </row>
    <row r="78">
      <c r="A78" s="5" t="inlineStr">
        <is>
          <t>Pivô 75</t>
        </is>
      </c>
      <c r="B78" s="5" t="inlineStr">
        <is>
          <t>Karitel</t>
        </is>
      </c>
      <c r="C78" s="5" t="inlineStr">
        <is>
          <t>C3Z3/R7</t>
        </is>
      </c>
      <c r="D78" s="5" t="inlineStr">
        <is>
          <t>Modulo 1</t>
        </is>
      </c>
      <c r="E78" s="5" t="inlineStr">
        <is>
          <t>CACAU</t>
        </is>
      </c>
      <c r="F78" s="6" t="inlineStr">
        <is>
          <t>PS1319/FA13/CCN51</t>
        </is>
      </c>
      <c r="G78" s="7" t="inlineStr"/>
      <c r="H78" s="5" t="inlineStr">
        <is>
          <t>ativo</t>
        </is>
      </c>
      <c r="I78" s="8" t="n">
        <v>45923</v>
      </c>
      <c r="J78" s="9">
        <f>IF($I78="","",DATA_REF-$I78)</f>
        <v/>
      </c>
      <c r="K78" s="9">
        <f>IF($J78="","",MAX(0,$J78-'PARAMETROS'!$B$11))</f>
        <v/>
      </c>
      <c r="L78" s="10">
        <f>IFERROR(INDEX(KC_CURVAS!$C$5:$C$15,MATCH("CACAU|"&amp;$G78,KC_CURVAS!$K$5:$K$15,0)),IFERROR(INDEX(KC_CURVAS!$C$5:$C$15,MATCH("CACAU"&amp;"|",KC_CURVAS!$K$5:$K$15,0)),""))</f>
        <v/>
      </c>
      <c r="M78" s="10">
        <f>IFERROR(INDEX(KC_CURVAS!$D$5:$D$15,MATCH("CACAU|"&amp;$G78,KC_CURVAS!$K$5:$K$15,0)),IFERROR(INDEX(KC_CURVAS!$D$5:$D$15,MATCH("CACAU"&amp;"|",KC_CURVAS!$K$5:$K$15,0)),""))</f>
        <v/>
      </c>
      <c r="N78" s="10">
        <f>IFERROR(INDEX(KC_CURVAS!$E$5:$E$15,MATCH("CACAU|"&amp;$G78,KC_CURVAS!$K$5:$K$15,0)),IFERROR(INDEX(KC_CURVAS!$E$5:$E$15,MATCH("CACAU"&amp;"|",KC_CURVAS!$K$5:$K$15,0)),""))</f>
        <v/>
      </c>
      <c r="O78" s="10">
        <f>IFERROR(INDEX(KC_CURVAS!$F$5:$F$15,MATCH("CACAU|"&amp;$G78,KC_CURVAS!$K$5:$K$15,0)),IFERROR(INDEX(KC_CURVAS!$F$5:$F$15,MATCH("CACAU"&amp;"|",KC_CURVAS!$K$5:$K$15,0)),""))</f>
        <v/>
      </c>
      <c r="P78" s="11">
        <f>IFERROR(INDEX(KC_CURVAS!$G$5:$G$15,MATCH("CACAU|"&amp;$G78,KC_CURVAS!$K$5:$K$15,0)),IFERROR(INDEX(KC_CURVAS!$G$5:$G$15,MATCH("CACAU"&amp;"|",KC_CURVAS!$K$5:$K$15,0)),""))</f>
        <v/>
      </c>
      <c r="Q78" s="11">
        <f>IFERROR(INDEX(KC_CURVAS!$H$5:$H$15,MATCH("CACAU|"&amp;$G78,KC_CURVAS!$K$5:$K$15,0)),IFERROR(INDEX(KC_CURVAS!$H$5:$H$15,MATCH("CACAU"&amp;"|",KC_CURVAS!$K$5:$K$15,0)),""))</f>
        <v/>
      </c>
      <c r="R78" s="11">
        <f>IFERROR(INDEX(KC_CURVAS!$I$5:$I$15,MATCH("CACAU|"&amp;$G78,KC_CURVAS!$K$5:$K$15,0)),IFERROR(INDEX(KC_CURVAS!$I$5:$I$15,MATCH("CACAU"&amp;"|",KC_CURVAS!$K$5:$K$15,0)),""))</f>
        <v/>
      </c>
      <c r="S78" s="12">
        <f>IF(OR($K78="",$L78=""),"PENDENTE",IF($K78&lt;=$L78,$P78,IF($K78&lt;=$L78+$M78,$P78+($Q78-$P78)*($K78-$L78)/$M78,IF($K78&lt;=$L78+$M78+$N78,$Q78,IF($K78&lt;=$L78+$M78+$N78+$O78,$Q78+($R78-$Q78)*($K78-($L78+$M78+$N78))/$O78,$R78)))))</f>
        <v/>
      </c>
      <c r="T78" s="13">
        <f>IF($I78="","",$I78)</f>
        <v/>
      </c>
      <c r="U78" s="14">
        <f>IF($T78="","",SUMIFS(ETO_DIARIO!$B$5:$B$404,ETO_DIARIO!$A$5:$A$404,"&gt;"&amp;$T78,ETO_DIARIO!$A$5:$A$404,"&lt;="&amp;DATA_REF))</f>
        <v/>
      </c>
      <c r="V78" s="14">
        <f>IF($T78="","",SUMIFS(ETO_DIARIO!$C$5:$C$404,ETO_DIARIO!$A$5:$A$404,"&gt;"&amp;$T78,ETO_DIARIO!$A$5:$A$404,"&lt;="&amp;DATA_REF))</f>
        <v/>
      </c>
      <c r="W78" s="14">
        <f>IF(OR($S78="",$S78="PENDENTE",$U78=""),"",$S78*$U78)</f>
        <v/>
      </c>
      <c r="X78" s="14">
        <f>IF($W78="","",MAX(0,$W78-N($V78)))</f>
        <v/>
      </c>
      <c r="Y78" s="14">
        <f>IF($X78="","",$X78/EF_APLIC)</f>
        <v/>
      </c>
      <c r="Z78" s="15" t="n">
        <v>9</v>
      </c>
      <c r="AA78" s="16">
        <f>IF(OR($Y78="",$Z78=""),"",$Y78*$Z78*10)</f>
        <v/>
      </c>
      <c r="AB78" s="17" t="n">
        <v>0.305</v>
      </c>
      <c r="AC78" s="16">
        <f>IF(OR($AA78="",$AB78=""),"",$AA78*$AB78)</f>
        <v/>
      </c>
      <c r="AD78" s="18">
        <f>IF($S78="PENDENTE","Definir classe/Kc",IF($Y78="","-",IF($Y78&gt;='PARAMETROS'!$B$7/EF_APLIC,"Irrigar",IF($Y78&gt;='PARAMETROS'!$B$7/EF_APLIC*FRAC_ACOMP,"Acompanhar","Aguardar"))))</f>
        <v/>
      </c>
      <c r="AE78" s="18">
        <f>IF(OR($Y78="",$Y78=0),"-",IF($Y78&gt;=2*'PARAMETROS'!$B$7/EF_APLIC,"Alta",IF($Y78&gt;='PARAMETROS'!$B$7/EF_APLIC,"Media","Baixa")))</f>
        <v/>
      </c>
    </row>
    <row r="79">
      <c r="A79" s="5" t="inlineStr">
        <is>
          <t>Pivô 76</t>
        </is>
      </c>
      <c r="B79" s="5" t="inlineStr">
        <is>
          <t>Karitel</t>
        </is>
      </c>
      <c r="C79" s="5" t="inlineStr">
        <is>
          <t>C3Z3/R7</t>
        </is>
      </c>
      <c r="D79" s="5" t="inlineStr">
        <is>
          <t>Modulo 1</t>
        </is>
      </c>
      <c r="E79" s="5" t="inlineStr">
        <is>
          <t>CACAU</t>
        </is>
      </c>
      <c r="F79" s="6" t="inlineStr">
        <is>
          <t>PS1319/FA13/CCN51</t>
        </is>
      </c>
      <c r="G79" s="7" t="inlineStr"/>
      <c r="H79" s="5" t="inlineStr">
        <is>
          <t>ativo</t>
        </is>
      </c>
      <c r="I79" s="8" t="n">
        <v>45923</v>
      </c>
      <c r="J79" s="9">
        <f>IF($I79="","",DATA_REF-$I79)</f>
        <v/>
      </c>
      <c r="K79" s="9">
        <f>IF($J79="","",MAX(0,$J79-'PARAMETROS'!$B$11))</f>
        <v/>
      </c>
      <c r="L79" s="10">
        <f>IFERROR(INDEX(KC_CURVAS!$C$5:$C$15,MATCH("CACAU|"&amp;$G79,KC_CURVAS!$K$5:$K$15,0)),IFERROR(INDEX(KC_CURVAS!$C$5:$C$15,MATCH("CACAU"&amp;"|",KC_CURVAS!$K$5:$K$15,0)),""))</f>
        <v/>
      </c>
      <c r="M79" s="10">
        <f>IFERROR(INDEX(KC_CURVAS!$D$5:$D$15,MATCH("CACAU|"&amp;$G79,KC_CURVAS!$K$5:$K$15,0)),IFERROR(INDEX(KC_CURVAS!$D$5:$D$15,MATCH("CACAU"&amp;"|",KC_CURVAS!$K$5:$K$15,0)),""))</f>
        <v/>
      </c>
      <c r="N79" s="10">
        <f>IFERROR(INDEX(KC_CURVAS!$E$5:$E$15,MATCH("CACAU|"&amp;$G79,KC_CURVAS!$K$5:$K$15,0)),IFERROR(INDEX(KC_CURVAS!$E$5:$E$15,MATCH("CACAU"&amp;"|",KC_CURVAS!$K$5:$K$15,0)),""))</f>
        <v/>
      </c>
      <c r="O79" s="10">
        <f>IFERROR(INDEX(KC_CURVAS!$F$5:$F$15,MATCH("CACAU|"&amp;$G79,KC_CURVAS!$K$5:$K$15,0)),IFERROR(INDEX(KC_CURVAS!$F$5:$F$15,MATCH("CACAU"&amp;"|",KC_CURVAS!$K$5:$K$15,0)),""))</f>
        <v/>
      </c>
      <c r="P79" s="11">
        <f>IFERROR(INDEX(KC_CURVAS!$G$5:$G$15,MATCH("CACAU|"&amp;$G79,KC_CURVAS!$K$5:$K$15,0)),IFERROR(INDEX(KC_CURVAS!$G$5:$G$15,MATCH("CACAU"&amp;"|",KC_CURVAS!$K$5:$K$15,0)),""))</f>
        <v/>
      </c>
      <c r="Q79" s="11">
        <f>IFERROR(INDEX(KC_CURVAS!$H$5:$H$15,MATCH("CACAU|"&amp;$G79,KC_CURVAS!$K$5:$K$15,0)),IFERROR(INDEX(KC_CURVAS!$H$5:$H$15,MATCH("CACAU"&amp;"|",KC_CURVAS!$K$5:$K$15,0)),""))</f>
        <v/>
      </c>
      <c r="R79" s="11">
        <f>IFERROR(INDEX(KC_CURVAS!$I$5:$I$15,MATCH("CACAU|"&amp;$G79,KC_CURVAS!$K$5:$K$15,0)),IFERROR(INDEX(KC_CURVAS!$I$5:$I$15,MATCH("CACAU"&amp;"|",KC_CURVAS!$K$5:$K$15,0)),""))</f>
        <v/>
      </c>
      <c r="S79" s="12">
        <f>IF(OR($K79="",$L79=""),"PENDENTE",IF($K79&lt;=$L79,$P79,IF($K79&lt;=$L79+$M79,$P79+($Q79-$P79)*($K79-$L79)/$M79,IF($K79&lt;=$L79+$M79+$N79,$Q79,IF($K79&lt;=$L79+$M79+$N79+$O79,$Q79+($R79-$Q79)*($K79-($L79+$M79+$N79))/$O79,$R79)))))</f>
        <v/>
      </c>
      <c r="T79" s="13">
        <f>IF($I79="","",$I79)</f>
        <v/>
      </c>
      <c r="U79" s="14">
        <f>IF($T79="","",SUMIFS(ETO_DIARIO!$B$5:$B$404,ETO_DIARIO!$A$5:$A$404,"&gt;"&amp;$T79,ETO_DIARIO!$A$5:$A$404,"&lt;="&amp;DATA_REF))</f>
        <v/>
      </c>
      <c r="V79" s="14">
        <f>IF($T79="","",SUMIFS(ETO_DIARIO!$C$5:$C$404,ETO_DIARIO!$A$5:$A$404,"&gt;"&amp;$T79,ETO_DIARIO!$A$5:$A$404,"&lt;="&amp;DATA_REF))</f>
        <v/>
      </c>
      <c r="W79" s="14">
        <f>IF(OR($S79="",$S79="PENDENTE",$U79=""),"",$S79*$U79)</f>
        <v/>
      </c>
      <c r="X79" s="14">
        <f>IF($W79="","",MAX(0,$W79-N($V79)))</f>
        <v/>
      </c>
      <c r="Y79" s="14">
        <f>IF($X79="","",$X79/EF_APLIC)</f>
        <v/>
      </c>
      <c r="Z79" s="15" t="n">
        <v>84</v>
      </c>
      <c r="AA79" s="16">
        <f>IF(OR($Y79="",$Z79=""),"",$Y79*$Z79*10)</f>
        <v/>
      </c>
      <c r="AB79" s="17" t="n">
        <v>0.305</v>
      </c>
      <c r="AC79" s="16">
        <f>IF(OR($AA79="",$AB79=""),"",$AA79*$AB79)</f>
        <v/>
      </c>
      <c r="AD79" s="18">
        <f>IF($S79="PENDENTE","Definir classe/Kc",IF($Y79="","-",IF($Y79&gt;='PARAMETROS'!$B$7/EF_APLIC,"Irrigar",IF($Y79&gt;='PARAMETROS'!$B$7/EF_APLIC*FRAC_ACOMP,"Acompanhar","Aguardar"))))</f>
        <v/>
      </c>
      <c r="AE79" s="18">
        <f>IF(OR($Y79="",$Y79=0),"-",IF($Y79&gt;=2*'PARAMETROS'!$B$7/EF_APLIC,"Alta",IF($Y79&gt;='PARAMETROS'!$B$7/EF_APLIC,"Media","Baixa")))</f>
        <v/>
      </c>
    </row>
    <row r="80">
      <c r="A80" s="5" t="inlineStr">
        <is>
          <t>Pivô 101</t>
        </is>
      </c>
      <c r="B80" s="5" t="inlineStr">
        <is>
          <t>Rdm</t>
        </is>
      </c>
      <c r="C80" s="5" t="inlineStr">
        <is>
          <t>RM4</t>
        </is>
      </c>
      <c r="D80" s="5" t="inlineStr">
        <is>
          <t>RDM</t>
        </is>
      </c>
      <c r="E80" s="5" t="inlineStr">
        <is>
          <t>ALGODÃO</t>
        </is>
      </c>
      <c r="F80" s="6" t="inlineStr">
        <is>
          <t>IMA 5901 B2RF</t>
        </is>
      </c>
      <c r="G80" s="7" t="inlineStr">
        <is>
          <t>MÉDIO</t>
        </is>
      </c>
      <c r="H80" s="5" t="inlineStr">
        <is>
          <t>proximo</t>
        </is>
      </c>
      <c r="I80" s="8" t="n">
        <v>46359</v>
      </c>
      <c r="J80" s="9">
        <f>IF($I80="","",DATA_REF-$I80)</f>
        <v/>
      </c>
      <c r="K80" s="9">
        <f>IF($J80="","",MAX(0,$J80-'PARAMETROS'!$B$11))</f>
        <v/>
      </c>
      <c r="L80" s="10">
        <f>IFERROR(INDEX(KC_CURVAS!$C$5:$C$15,MATCH("ALGODÃO|"&amp;$G80,KC_CURVAS!$K$5:$K$15,0)),IFERROR(INDEX(KC_CURVAS!$C$5:$C$15,MATCH("ALGODÃO"&amp;"|",KC_CURVAS!$K$5:$K$15,0)),""))</f>
        <v/>
      </c>
      <c r="M80" s="10">
        <f>IFERROR(INDEX(KC_CURVAS!$D$5:$D$15,MATCH("ALGODÃO|"&amp;$G80,KC_CURVAS!$K$5:$K$15,0)),IFERROR(INDEX(KC_CURVAS!$D$5:$D$15,MATCH("ALGODÃO"&amp;"|",KC_CURVAS!$K$5:$K$15,0)),""))</f>
        <v/>
      </c>
      <c r="N80" s="10">
        <f>IFERROR(INDEX(KC_CURVAS!$E$5:$E$15,MATCH("ALGODÃO|"&amp;$G80,KC_CURVAS!$K$5:$K$15,0)),IFERROR(INDEX(KC_CURVAS!$E$5:$E$15,MATCH("ALGODÃO"&amp;"|",KC_CURVAS!$K$5:$K$15,0)),""))</f>
        <v/>
      </c>
      <c r="O80" s="10">
        <f>IFERROR(INDEX(KC_CURVAS!$F$5:$F$15,MATCH("ALGODÃO|"&amp;$G80,KC_CURVAS!$K$5:$K$15,0)),IFERROR(INDEX(KC_CURVAS!$F$5:$F$15,MATCH("ALGODÃO"&amp;"|",KC_CURVAS!$K$5:$K$15,0)),""))</f>
        <v/>
      </c>
      <c r="P80" s="11">
        <f>IFERROR(INDEX(KC_CURVAS!$G$5:$G$15,MATCH("ALGODÃO|"&amp;$G80,KC_CURVAS!$K$5:$K$15,0)),IFERROR(INDEX(KC_CURVAS!$G$5:$G$15,MATCH("ALGODÃO"&amp;"|",KC_CURVAS!$K$5:$K$15,0)),""))</f>
        <v/>
      </c>
      <c r="Q80" s="11">
        <f>IFERROR(INDEX(KC_CURVAS!$H$5:$H$15,MATCH("ALGODÃO|"&amp;$G80,KC_CURVAS!$K$5:$K$15,0)),IFERROR(INDEX(KC_CURVAS!$H$5:$H$15,MATCH("ALGODÃO"&amp;"|",KC_CURVAS!$K$5:$K$15,0)),""))</f>
        <v/>
      </c>
      <c r="R80" s="11">
        <f>IFERROR(INDEX(KC_CURVAS!$I$5:$I$15,MATCH("ALGODÃO|"&amp;$G80,KC_CURVAS!$K$5:$K$15,0)),IFERROR(INDEX(KC_CURVAS!$I$5:$I$15,MATCH("ALGODÃO"&amp;"|",KC_CURVAS!$K$5:$K$15,0)),""))</f>
        <v/>
      </c>
      <c r="S80" s="12">
        <f>IF(OR($K80="",$L80=""),"PENDENTE",IF($K80&lt;=$L80,$P80,IF($K80&lt;=$L80+$M80,$P80+($Q80-$P80)*($K80-$L80)/$M80,IF($K80&lt;=$L80+$M80+$N80,$Q80,IF($K80&lt;=$L80+$M80+$N80+$O80,$Q80+($R80-$Q80)*($K80-($L80+$M80+$N80))/$O80,$R80)))))</f>
        <v/>
      </c>
      <c r="T80" s="13">
        <f>IF($I80="","",$I80)</f>
        <v/>
      </c>
      <c r="U80" s="14">
        <f>IF($T80="","",SUMIFS(ETO_DIARIO!$B$5:$B$404,ETO_DIARIO!$A$5:$A$404,"&gt;"&amp;$T80,ETO_DIARIO!$A$5:$A$404,"&lt;="&amp;DATA_REF))</f>
        <v/>
      </c>
      <c r="V80" s="14">
        <f>IF($T80="","",SUMIFS(ETO_DIARIO!$C$5:$C$404,ETO_DIARIO!$A$5:$A$404,"&gt;"&amp;$T80,ETO_DIARIO!$A$5:$A$404,"&lt;="&amp;DATA_REF))</f>
        <v/>
      </c>
      <c r="W80" s="14">
        <f>IF(OR($S80="",$S80="PENDENTE",$U80=""),"",$S80*$U80)</f>
        <v/>
      </c>
      <c r="X80" s="14">
        <f>IF($W80="","",MAX(0,$W80-N($V80)))</f>
        <v/>
      </c>
      <c r="Y80" s="14">
        <f>IF($X80="","",$X80/EF_APLIC)</f>
        <v/>
      </c>
      <c r="Z80" s="15" t="n">
        <v>114</v>
      </c>
      <c r="AA80" s="16">
        <f>IF(OR($Y80="",$Z80=""),"",$Y80*$Z80*10)</f>
        <v/>
      </c>
      <c r="AB80" s="17" t="n">
        <v>0.632</v>
      </c>
      <c r="AC80" s="16">
        <f>IF(OR($AA80="",$AB80=""),"",$AA80*$AB80)</f>
        <v/>
      </c>
      <c r="AD80" s="18">
        <f>IF($S80="PENDENTE","Definir classe/Kc",IF($Y80="","-",IF($Y80&gt;='PARAMETROS'!$B$7/EF_APLIC,"Irrigar",IF($Y80&gt;='PARAMETROS'!$B$7/EF_APLIC*FRAC_ACOMP,"Acompanhar","Aguardar"))))</f>
        <v/>
      </c>
      <c r="AE80" s="18">
        <f>IF(OR($Y80="",$Y80=0),"-",IF($Y80&gt;=2*'PARAMETROS'!$B$7/EF_APLIC,"Alta",IF($Y80&gt;='PARAMETROS'!$B$7/EF_APLIC,"Media","Baixa")))</f>
        <v/>
      </c>
    </row>
    <row r="81">
      <c r="A81" s="5" t="inlineStr">
        <is>
          <t>Pivô 102</t>
        </is>
      </c>
      <c r="B81" s="5" t="inlineStr">
        <is>
          <t>Rdm</t>
        </is>
      </c>
      <c r="C81" s="5" t="inlineStr">
        <is>
          <t>RM4</t>
        </is>
      </c>
      <c r="D81" s="5" t="inlineStr">
        <is>
          <t>RDM</t>
        </is>
      </c>
      <c r="E81" s="5" t="inlineStr">
        <is>
          <t>ALGODÃO</t>
        </is>
      </c>
      <c r="F81" s="6" t="inlineStr">
        <is>
          <t>FM 974 GLT</t>
        </is>
      </c>
      <c r="G81" s="7" t="inlineStr">
        <is>
          <t>MÉDIO</t>
        </is>
      </c>
      <c r="H81" s="5" t="inlineStr">
        <is>
          <t>proximo</t>
        </is>
      </c>
      <c r="I81" s="8" t="n">
        <v>46367</v>
      </c>
      <c r="J81" s="9">
        <f>IF($I81="","",DATA_REF-$I81)</f>
        <v/>
      </c>
      <c r="K81" s="9">
        <f>IF($J81="","",MAX(0,$J81-'PARAMETROS'!$B$11))</f>
        <v/>
      </c>
      <c r="L81" s="10">
        <f>IFERROR(INDEX(KC_CURVAS!$C$5:$C$15,MATCH("ALGODÃO|"&amp;$G81,KC_CURVAS!$K$5:$K$15,0)),IFERROR(INDEX(KC_CURVAS!$C$5:$C$15,MATCH("ALGODÃO"&amp;"|",KC_CURVAS!$K$5:$K$15,0)),""))</f>
        <v/>
      </c>
      <c r="M81" s="10">
        <f>IFERROR(INDEX(KC_CURVAS!$D$5:$D$15,MATCH("ALGODÃO|"&amp;$G81,KC_CURVAS!$K$5:$K$15,0)),IFERROR(INDEX(KC_CURVAS!$D$5:$D$15,MATCH("ALGODÃO"&amp;"|",KC_CURVAS!$K$5:$K$15,0)),""))</f>
        <v/>
      </c>
      <c r="N81" s="10">
        <f>IFERROR(INDEX(KC_CURVAS!$E$5:$E$15,MATCH("ALGODÃO|"&amp;$G81,KC_CURVAS!$K$5:$K$15,0)),IFERROR(INDEX(KC_CURVAS!$E$5:$E$15,MATCH("ALGODÃO"&amp;"|",KC_CURVAS!$K$5:$K$15,0)),""))</f>
        <v/>
      </c>
      <c r="O81" s="10">
        <f>IFERROR(INDEX(KC_CURVAS!$F$5:$F$15,MATCH("ALGODÃO|"&amp;$G81,KC_CURVAS!$K$5:$K$15,0)),IFERROR(INDEX(KC_CURVAS!$F$5:$F$15,MATCH("ALGODÃO"&amp;"|",KC_CURVAS!$K$5:$K$15,0)),""))</f>
        <v/>
      </c>
      <c r="P81" s="11">
        <f>IFERROR(INDEX(KC_CURVAS!$G$5:$G$15,MATCH("ALGODÃO|"&amp;$G81,KC_CURVAS!$K$5:$K$15,0)),IFERROR(INDEX(KC_CURVAS!$G$5:$G$15,MATCH("ALGODÃO"&amp;"|",KC_CURVAS!$K$5:$K$15,0)),""))</f>
        <v/>
      </c>
      <c r="Q81" s="11">
        <f>IFERROR(INDEX(KC_CURVAS!$H$5:$H$15,MATCH("ALGODÃO|"&amp;$G81,KC_CURVAS!$K$5:$K$15,0)),IFERROR(INDEX(KC_CURVAS!$H$5:$H$15,MATCH("ALGODÃO"&amp;"|",KC_CURVAS!$K$5:$K$15,0)),""))</f>
        <v/>
      </c>
      <c r="R81" s="11">
        <f>IFERROR(INDEX(KC_CURVAS!$I$5:$I$15,MATCH("ALGODÃO|"&amp;$G81,KC_CURVAS!$K$5:$K$15,0)),IFERROR(INDEX(KC_CURVAS!$I$5:$I$15,MATCH("ALGODÃO"&amp;"|",KC_CURVAS!$K$5:$K$15,0)),""))</f>
        <v/>
      </c>
      <c r="S81" s="12">
        <f>IF(OR($K81="",$L81=""),"PENDENTE",IF($K81&lt;=$L81,$P81,IF($K81&lt;=$L81+$M81,$P81+($Q81-$P81)*($K81-$L81)/$M81,IF($K81&lt;=$L81+$M81+$N81,$Q81,IF($K81&lt;=$L81+$M81+$N81+$O81,$Q81+($R81-$Q81)*($K81-($L81+$M81+$N81))/$O81,$R81)))))</f>
        <v/>
      </c>
      <c r="T81" s="13">
        <f>IF($I81="","",$I81)</f>
        <v/>
      </c>
      <c r="U81" s="14">
        <f>IF($T81="","",SUMIFS(ETO_DIARIO!$B$5:$B$404,ETO_DIARIO!$A$5:$A$404,"&gt;"&amp;$T81,ETO_DIARIO!$A$5:$A$404,"&lt;="&amp;DATA_REF))</f>
        <v/>
      </c>
      <c r="V81" s="14">
        <f>IF($T81="","",SUMIFS(ETO_DIARIO!$C$5:$C$404,ETO_DIARIO!$A$5:$A$404,"&gt;"&amp;$T81,ETO_DIARIO!$A$5:$A$404,"&lt;="&amp;DATA_REF))</f>
        <v/>
      </c>
      <c r="W81" s="14">
        <f>IF(OR($S81="",$S81="PENDENTE",$U81=""),"",$S81*$U81)</f>
        <v/>
      </c>
      <c r="X81" s="14">
        <f>IF($W81="","",MAX(0,$W81-N($V81)))</f>
        <v/>
      </c>
      <c r="Y81" s="14">
        <f>IF($X81="","",$X81/EF_APLIC)</f>
        <v/>
      </c>
      <c r="Z81" s="15" t="n">
        <v>100</v>
      </c>
      <c r="AA81" s="16">
        <f>IF(OR($Y81="",$Z81=""),"",$Y81*$Z81*10)</f>
        <v/>
      </c>
      <c r="AB81" s="17" t="n">
        <v>0.621</v>
      </c>
      <c r="AC81" s="16">
        <f>IF(OR($AA81="",$AB81=""),"",$AA81*$AB81)</f>
        <v/>
      </c>
      <c r="AD81" s="18">
        <f>IF($S81="PENDENTE","Definir classe/Kc",IF($Y81="","-",IF($Y81&gt;='PARAMETROS'!$B$7/EF_APLIC,"Irrigar",IF($Y81&gt;='PARAMETROS'!$B$7/EF_APLIC*FRAC_ACOMP,"Acompanhar","Aguardar"))))</f>
        <v/>
      </c>
      <c r="AE81" s="18">
        <f>IF(OR($Y81="",$Y81=0),"-",IF($Y81&gt;=2*'PARAMETROS'!$B$7/EF_APLIC,"Alta",IF($Y81&gt;='PARAMETROS'!$B$7/EF_APLIC,"Media","Baixa")))</f>
        <v/>
      </c>
    </row>
    <row r="82">
      <c r="A82" s="5" t="inlineStr">
        <is>
          <t>Pivô 103</t>
        </is>
      </c>
      <c r="B82" s="5" t="inlineStr">
        <is>
          <t>Rdm</t>
        </is>
      </c>
      <c r="C82" s="5" t="inlineStr">
        <is>
          <t>RM4</t>
        </is>
      </c>
      <c r="D82" s="5" t="inlineStr">
        <is>
          <t>RDM</t>
        </is>
      </c>
      <c r="E82" s="5" t="inlineStr">
        <is>
          <t>ALGODÃO</t>
        </is>
      </c>
      <c r="F82" s="6" t="inlineStr">
        <is>
          <t>IMA 5901 B2RF</t>
        </is>
      </c>
      <c r="G82" s="7" t="inlineStr">
        <is>
          <t>MÉDIO</t>
        </is>
      </c>
      <c r="H82" s="5" t="inlineStr">
        <is>
          <t>proximo</t>
        </is>
      </c>
      <c r="I82" s="8" t="n">
        <v>46359</v>
      </c>
      <c r="J82" s="9">
        <f>IF($I82="","",DATA_REF-$I82)</f>
        <v/>
      </c>
      <c r="K82" s="9">
        <f>IF($J82="","",MAX(0,$J82-'PARAMETROS'!$B$11))</f>
        <v/>
      </c>
      <c r="L82" s="10">
        <f>IFERROR(INDEX(KC_CURVAS!$C$5:$C$15,MATCH("ALGODÃO|"&amp;$G82,KC_CURVAS!$K$5:$K$15,0)),IFERROR(INDEX(KC_CURVAS!$C$5:$C$15,MATCH("ALGODÃO"&amp;"|",KC_CURVAS!$K$5:$K$15,0)),""))</f>
        <v/>
      </c>
      <c r="M82" s="10">
        <f>IFERROR(INDEX(KC_CURVAS!$D$5:$D$15,MATCH("ALGODÃO|"&amp;$G82,KC_CURVAS!$K$5:$K$15,0)),IFERROR(INDEX(KC_CURVAS!$D$5:$D$15,MATCH("ALGODÃO"&amp;"|",KC_CURVAS!$K$5:$K$15,0)),""))</f>
        <v/>
      </c>
      <c r="N82" s="10">
        <f>IFERROR(INDEX(KC_CURVAS!$E$5:$E$15,MATCH("ALGODÃO|"&amp;$G82,KC_CURVAS!$K$5:$K$15,0)),IFERROR(INDEX(KC_CURVAS!$E$5:$E$15,MATCH("ALGODÃO"&amp;"|",KC_CURVAS!$K$5:$K$15,0)),""))</f>
        <v/>
      </c>
      <c r="O82" s="10">
        <f>IFERROR(INDEX(KC_CURVAS!$F$5:$F$15,MATCH("ALGODÃO|"&amp;$G82,KC_CURVAS!$K$5:$K$15,0)),IFERROR(INDEX(KC_CURVAS!$F$5:$F$15,MATCH("ALGODÃO"&amp;"|",KC_CURVAS!$K$5:$K$15,0)),""))</f>
        <v/>
      </c>
      <c r="P82" s="11">
        <f>IFERROR(INDEX(KC_CURVAS!$G$5:$G$15,MATCH("ALGODÃO|"&amp;$G82,KC_CURVAS!$K$5:$K$15,0)),IFERROR(INDEX(KC_CURVAS!$G$5:$G$15,MATCH("ALGODÃO"&amp;"|",KC_CURVAS!$K$5:$K$15,0)),""))</f>
        <v/>
      </c>
      <c r="Q82" s="11">
        <f>IFERROR(INDEX(KC_CURVAS!$H$5:$H$15,MATCH("ALGODÃO|"&amp;$G82,KC_CURVAS!$K$5:$K$15,0)),IFERROR(INDEX(KC_CURVAS!$H$5:$H$15,MATCH("ALGODÃO"&amp;"|",KC_CURVAS!$K$5:$K$15,0)),""))</f>
        <v/>
      </c>
      <c r="R82" s="11">
        <f>IFERROR(INDEX(KC_CURVAS!$I$5:$I$15,MATCH("ALGODÃO|"&amp;$G82,KC_CURVAS!$K$5:$K$15,0)),IFERROR(INDEX(KC_CURVAS!$I$5:$I$15,MATCH("ALGODÃO"&amp;"|",KC_CURVAS!$K$5:$K$15,0)),""))</f>
        <v/>
      </c>
      <c r="S82" s="12">
        <f>IF(OR($K82="",$L82=""),"PENDENTE",IF($K82&lt;=$L82,$P82,IF($K82&lt;=$L82+$M82,$P82+($Q82-$P82)*($K82-$L82)/$M82,IF($K82&lt;=$L82+$M82+$N82,$Q82,IF($K82&lt;=$L82+$M82+$N82+$O82,$Q82+($R82-$Q82)*($K82-($L82+$M82+$N82))/$O82,$R82)))))</f>
        <v/>
      </c>
      <c r="T82" s="13">
        <f>IF($I82="","",$I82)</f>
        <v/>
      </c>
      <c r="U82" s="14">
        <f>IF($T82="","",SUMIFS(ETO_DIARIO!$B$5:$B$404,ETO_DIARIO!$A$5:$A$404,"&gt;"&amp;$T82,ETO_DIARIO!$A$5:$A$404,"&lt;="&amp;DATA_REF))</f>
        <v/>
      </c>
      <c r="V82" s="14">
        <f>IF($T82="","",SUMIFS(ETO_DIARIO!$C$5:$C$404,ETO_DIARIO!$A$5:$A$404,"&gt;"&amp;$T82,ETO_DIARIO!$A$5:$A$404,"&lt;="&amp;DATA_REF))</f>
        <v/>
      </c>
      <c r="W82" s="14">
        <f>IF(OR($S82="",$S82="PENDENTE",$U82=""),"",$S82*$U82)</f>
        <v/>
      </c>
      <c r="X82" s="14">
        <f>IF($W82="","",MAX(0,$W82-N($V82)))</f>
        <v/>
      </c>
      <c r="Y82" s="14">
        <f>IF($X82="","",$X82/EF_APLIC)</f>
        <v/>
      </c>
      <c r="Z82" s="15" t="n">
        <v>100</v>
      </c>
      <c r="AA82" s="16">
        <f>IF(OR($Y82="",$Z82=""),"",$Y82*$Z82*10)</f>
        <v/>
      </c>
      <c r="AB82" s="17" t="n">
        <v>0.583</v>
      </c>
      <c r="AC82" s="16">
        <f>IF(OR($AA82="",$AB82=""),"",$AA82*$AB82)</f>
        <v/>
      </c>
      <c r="AD82" s="18">
        <f>IF($S82="PENDENTE","Definir classe/Kc",IF($Y82="","-",IF($Y82&gt;='PARAMETROS'!$B$7/EF_APLIC,"Irrigar",IF($Y82&gt;='PARAMETROS'!$B$7/EF_APLIC*FRAC_ACOMP,"Acompanhar","Aguardar"))))</f>
        <v/>
      </c>
      <c r="AE82" s="18">
        <f>IF(OR($Y82="",$Y82=0),"-",IF($Y82&gt;=2*'PARAMETROS'!$B$7/EF_APLIC,"Alta",IF($Y82&gt;='PARAMETROS'!$B$7/EF_APLIC,"Media","Baixa")))</f>
        <v/>
      </c>
    </row>
    <row r="83">
      <c r="A83" s="5" t="inlineStr">
        <is>
          <t>Pivô 104</t>
        </is>
      </c>
      <c r="B83" s="5" t="inlineStr">
        <is>
          <t>Rdm</t>
        </is>
      </c>
      <c r="C83" s="5" t="inlineStr">
        <is>
          <t>RM4</t>
        </is>
      </c>
      <c r="D83" s="5" t="inlineStr">
        <is>
          <t>RDM</t>
        </is>
      </c>
      <c r="E83" s="5" t="inlineStr">
        <is>
          <t>SOJA</t>
        </is>
      </c>
      <c r="F83" s="6" t="inlineStr">
        <is>
          <t>COMBATE IPRO</t>
        </is>
      </c>
      <c r="G83" s="7" t="inlineStr">
        <is>
          <t>PRECOCE</t>
        </is>
      </c>
      <c r="H83" s="5" t="inlineStr">
        <is>
          <t>ativo</t>
        </is>
      </c>
      <c r="I83" s="8" t="n">
        <v>46291</v>
      </c>
      <c r="J83" s="9">
        <f>IF($I83="","",DATA_REF-$I83)</f>
        <v/>
      </c>
      <c r="K83" s="9">
        <f>IF($J83="","",MAX(0,$J83-'PARAMETROS'!$B$11))</f>
        <v/>
      </c>
      <c r="L83" s="10">
        <f>IFERROR(INDEX(KC_CURVAS!$C$5:$C$15,MATCH("SOJA|"&amp;$G83,KC_CURVAS!$K$5:$K$15,0)),IFERROR(INDEX(KC_CURVAS!$C$5:$C$15,MATCH("SOJA"&amp;"|",KC_CURVAS!$K$5:$K$15,0)),""))</f>
        <v/>
      </c>
      <c r="M83" s="10">
        <f>IFERROR(INDEX(KC_CURVAS!$D$5:$D$15,MATCH("SOJA|"&amp;$G83,KC_CURVAS!$K$5:$K$15,0)),IFERROR(INDEX(KC_CURVAS!$D$5:$D$15,MATCH("SOJA"&amp;"|",KC_CURVAS!$K$5:$K$15,0)),""))</f>
        <v/>
      </c>
      <c r="N83" s="10">
        <f>IFERROR(INDEX(KC_CURVAS!$E$5:$E$15,MATCH("SOJA|"&amp;$G83,KC_CURVAS!$K$5:$K$15,0)),IFERROR(INDEX(KC_CURVAS!$E$5:$E$15,MATCH("SOJA"&amp;"|",KC_CURVAS!$K$5:$K$15,0)),""))</f>
        <v/>
      </c>
      <c r="O83" s="10">
        <f>IFERROR(INDEX(KC_CURVAS!$F$5:$F$15,MATCH("SOJA|"&amp;$G83,KC_CURVAS!$K$5:$K$15,0)),IFERROR(INDEX(KC_CURVAS!$F$5:$F$15,MATCH("SOJA"&amp;"|",KC_CURVAS!$K$5:$K$15,0)),""))</f>
        <v/>
      </c>
      <c r="P83" s="11">
        <f>IFERROR(INDEX(KC_CURVAS!$G$5:$G$15,MATCH("SOJA|"&amp;$G83,KC_CURVAS!$K$5:$K$15,0)),IFERROR(INDEX(KC_CURVAS!$G$5:$G$15,MATCH("SOJA"&amp;"|",KC_CURVAS!$K$5:$K$15,0)),""))</f>
        <v/>
      </c>
      <c r="Q83" s="11">
        <f>IFERROR(INDEX(KC_CURVAS!$H$5:$H$15,MATCH("SOJA|"&amp;$G83,KC_CURVAS!$K$5:$K$15,0)),IFERROR(INDEX(KC_CURVAS!$H$5:$H$15,MATCH("SOJA"&amp;"|",KC_CURVAS!$K$5:$K$15,0)),""))</f>
        <v/>
      </c>
      <c r="R83" s="11">
        <f>IFERROR(INDEX(KC_CURVAS!$I$5:$I$15,MATCH("SOJA|"&amp;$G83,KC_CURVAS!$K$5:$K$15,0)),IFERROR(INDEX(KC_CURVAS!$I$5:$I$15,MATCH("SOJA"&amp;"|",KC_CURVAS!$K$5:$K$15,0)),""))</f>
        <v/>
      </c>
      <c r="S83" s="12">
        <f>IF(OR($K83="",$L83=""),"PENDENTE",IF($K83&lt;=$L83,$P83,IF($K83&lt;=$L83+$M83,$P83+($Q83-$P83)*($K83-$L83)/$M83,IF($K83&lt;=$L83+$M83+$N83,$Q83,IF($K83&lt;=$L83+$M83+$N83+$O83,$Q83+($R83-$Q83)*($K83-($L83+$M83+$N83))/$O83,$R83)))))</f>
        <v/>
      </c>
      <c r="T83" s="13">
        <f>IF($I83="","",$I83)</f>
        <v/>
      </c>
      <c r="U83" s="14">
        <f>IF($T83="","",SUMIFS(ETO_DIARIO!$B$5:$B$404,ETO_DIARIO!$A$5:$A$404,"&gt;"&amp;$T83,ETO_DIARIO!$A$5:$A$404,"&lt;="&amp;DATA_REF))</f>
        <v/>
      </c>
      <c r="V83" s="14">
        <f>IF($T83="","",SUMIFS(ETO_DIARIO!$C$5:$C$404,ETO_DIARIO!$A$5:$A$404,"&gt;"&amp;$T83,ETO_DIARIO!$A$5:$A$404,"&lt;="&amp;DATA_REF))</f>
        <v/>
      </c>
      <c r="W83" s="14">
        <f>IF(OR($S83="",$S83="PENDENTE",$U83=""),"",$S83*$U83)</f>
        <v/>
      </c>
      <c r="X83" s="14">
        <f>IF($W83="","",MAX(0,$W83-N($V83)))</f>
        <v/>
      </c>
      <c r="Y83" s="14">
        <f>IF($X83="","",$X83/EF_APLIC)</f>
        <v/>
      </c>
      <c r="Z83" s="15" t="n">
        <v>100</v>
      </c>
      <c r="AA83" s="16">
        <f>IF(OR($Y83="",$Z83=""),"",$Y83*$Z83*10)</f>
        <v/>
      </c>
      <c r="AB83" s="17" t="n">
        <v>0.583</v>
      </c>
      <c r="AC83" s="16">
        <f>IF(OR($AA83="",$AB83=""),"",$AA83*$AB83)</f>
        <v/>
      </c>
      <c r="AD83" s="18">
        <f>IF($S83="PENDENTE","Definir classe/Kc",IF($Y83="","-",IF($Y83&gt;='PARAMETROS'!$B$7/EF_APLIC,"Irrigar",IF($Y83&gt;='PARAMETROS'!$B$7/EF_APLIC*FRAC_ACOMP,"Acompanhar","Aguardar"))))</f>
        <v/>
      </c>
      <c r="AE83" s="18">
        <f>IF(OR($Y83="",$Y83=0),"-",IF($Y83&gt;=2*'PARAMETROS'!$B$7/EF_APLIC,"Alta",IF($Y83&gt;='PARAMETROS'!$B$7/EF_APLIC,"Media","Baixa")))</f>
        <v/>
      </c>
    </row>
    <row r="84">
      <c r="A84" s="5" t="inlineStr">
        <is>
          <t>Pivô 105</t>
        </is>
      </c>
      <c r="B84" s="5" t="inlineStr">
        <is>
          <t>Rdm</t>
        </is>
      </c>
      <c r="C84" s="5" t="inlineStr">
        <is>
          <t>RM3</t>
        </is>
      </c>
      <c r="D84" s="5" t="inlineStr">
        <is>
          <t>RDM</t>
        </is>
      </c>
      <c r="E84" s="5" t="inlineStr">
        <is>
          <t>SOJA</t>
        </is>
      </c>
      <c r="F84" s="6" t="inlineStr">
        <is>
          <t>COMBATE IPRO</t>
        </is>
      </c>
      <c r="G84" s="7" t="inlineStr">
        <is>
          <t>PRECOCE</t>
        </is>
      </c>
      <c r="H84" s="5" t="inlineStr">
        <is>
          <t>ativo</t>
        </is>
      </c>
      <c r="I84" s="8" t="n">
        <v>46293</v>
      </c>
      <c r="J84" s="9">
        <f>IF($I84="","",DATA_REF-$I84)</f>
        <v/>
      </c>
      <c r="K84" s="9">
        <f>IF($J84="","",MAX(0,$J84-'PARAMETROS'!$B$11))</f>
        <v/>
      </c>
      <c r="L84" s="10">
        <f>IFERROR(INDEX(KC_CURVAS!$C$5:$C$15,MATCH("SOJA|"&amp;$G84,KC_CURVAS!$K$5:$K$15,0)),IFERROR(INDEX(KC_CURVAS!$C$5:$C$15,MATCH("SOJA"&amp;"|",KC_CURVAS!$K$5:$K$15,0)),""))</f>
        <v/>
      </c>
      <c r="M84" s="10">
        <f>IFERROR(INDEX(KC_CURVAS!$D$5:$D$15,MATCH("SOJA|"&amp;$G84,KC_CURVAS!$K$5:$K$15,0)),IFERROR(INDEX(KC_CURVAS!$D$5:$D$15,MATCH("SOJA"&amp;"|",KC_CURVAS!$K$5:$K$15,0)),""))</f>
        <v/>
      </c>
      <c r="N84" s="10">
        <f>IFERROR(INDEX(KC_CURVAS!$E$5:$E$15,MATCH("SOJA|"&amp;$G84,KC_CURVAS!$K$5:$K$15,0)),IFERROR(INDEX(KC_CURVAS!$E$5:$E$15,MATCH("SOJA"&amp;"|",KC_CURVAS!$K$5:$K$15,0)),""))</f>
        <v/>
      </c>
      <c r="O84" s="10">
        <f>IFERROR(INDEX(KC_CURVAS!$F$5:$F$15,MATCH("SOJA|"&amp;$G84,KC_CURVAS!$K$5:$K$15,0)),IFERROR(INDEX(KC_CURVAS!$F$5:$F$15,MATCH("SOJA"&amp;"|",KC_CURVAS!$K$5:$K$15,0)),""))</f>
        <v/>
      </c>
      <c r="P84" s="11">
        <f>IFERROR(INDEX(KC_CURVAS!$G$5:$G$15,MATCH("SOJA|"&amp;$G84,KC_CURVAS!$K$5:$K$15,0)),IFERROR(INDEX(KC_CURVAS!$G$5:$G$15,MATCH("SOJA"&amp;"|",KC_CURVAS!$K$5:$K$15,0)),""))</f>
        <v/>
      </c>
      <c r="Q84" s="11">
        <f>IFERROR(INDEX(KC_CURVAS!$H$5:$H$15,MATCH("SOJA|"&amp;$G84,KC_CURVAS!$K$5:$K$15,0)),IFERROR(INDEX(KC_CURVAS!$H$5:$H$15,MATCH("SOJA"&amp;"|",KC_CURVAS!$K$5:$K$15,0)),""))</f>
        <v/>
      </c>
      <c r="R84" s="11">
        <f>IFERROR(INDEX(KC_CURVAS!$I$5:$I$15,MATCH("SOJA|"&amp;$G84,KC_CURVAS!$K$5:$K$15,0)),IFERROR(INDEX(KC_CURVAS!$I$5:$I$15,MATCH("SOJA"&amp;"|",KC_CURVAS!$K$5:$K$15,0)),""))</f>
        <v/>
      </c>
      <c r="S84" s="12">
        <f>IF(OR($K84="",$L84=""),"PENDENTE",IF($K84&lt;=$L84,$P84,IF($K84&lt;=$L84+$M84,$P84+($Q84-$P84)*($K84-$L84)/$M84,IF($K84&lt;=$L84+$M84+$N84,$Q84,IF($K84&lt;=$L84+$M84+$N84+$O84,$Q84+($R84-$Q84)*($K84-($L84+$M84+$N84))/$O84,$R84)))))</f>
        <v/>
      </c>
      <c r="T84" s="13">
        <f>IF($I84="","",$I84)</f>
        <v/>
      </c>
      <c r="U84" s="14">
        <f>IF($T84="","",SUMIFS(ETO_DIARIO!$B$5:$B$404,ETO_DIARIO!$A$5:$A$404,"&gt;"&amp;$T84,ETO_DIARIO!$A$5:$A$404,"&lt;="&amp;DATA_REF))</f>
        <v/>
      </c>
      <c r="V84" s="14">
        <f>IF($T84="","",SUMIFS(ETO_DIARIO!$C$5:$C$404,ETO_DIARIO!$A$5:$A$404,"&gt;"&amp;$T84,ETO_DIARIO!$A$5:$A$404,"&lt;="&amp;DATA_REF))</f>
        <v/>
      </c>
      <c r="W84" s="14">
        <f>IF(OR($S84="",$S84="PENDENTE",$U84=""),"",$S84*$U84)</f>
        <v/>
      </c>
      <c r="X84" s="14">
        <f>IF($W84="","",MAX(0,$W84-N($V84)))</f>
        <v/>
      </c>
      <c r="Y84" s="14">
        <f>IF($X84="","",$X84/EF_APLIC)</f>
        <v/>
      </c>
      <c r="Z84" s="15" t="n">
        <v>100</v>
      </c>
      <c r="AA84" s="16">
        <f>IF(OR($Y84="",$Z84=""),"",$Y84*$Z84*10)</f>
        <v/>
      </c>
      <c r="AB84" s="17" t="n">
        <v>0.583</v>
      </c>
      <c r="AC84" s="16">
        <f>IF(OR($AA84="",$AB84=""),"",$AA84*$AB84)</f>
        <v/>
      </c>
      <c r="AD84" s="18">
        <f>IF($S84="PENDENTE","Definir classe/Kc",IF($Y84="","-",IF($Y84&gt;='PARAMETROS'!$B$7/EF_APLIC,"Irrigar",IF($Y84&gt;='PARAMETROS'!$B$7/EF_APLIC*FRAC_ACOMP,"Acompanhar","Aguardar"))))</f>
        <v/>
      </c>
      <c r="AE84" s="18">
        <f>IF(OR($Y84="",$Y84=0),"-",IF($Y84&gt;=2*'PARAMETROS'!$B$7/EF_APLIC,"Alta",IF($Y84&gt;='PARAMETROS'!$B$7/EF_APLIC,"Media","Baixa")))</f>
        <v/>
      </c>
    </row>
    <row r="85">
      <c r="A85" s="5" t="inlineStr">
        <is>
          <t>Pivô 106</t>
        </is>
      </c>
      <c r="B85" s="5" t="inlineStr">
        <is>
          <t>Rdm</t>
        </is>
      </c>
      <c r="C85" s="5" t="inlineStr">
        <is>
          <t>RM2</t>
        </is>
      </c>
      <c r="D85" s="5" t="inlineStr">
        <is>
          <t>RDM</t>
        </is>
      </c>
      <c r="E85" s="5" t="inlineStr">
        <is>
          <t>SOJA</t>
        </is>
      </c>
      <c r="F85" s="6" t="inlineStr">
        <is>
          <t>NEO 761 I2X</t>
        </is>
      </c>
      <c r="G85" s="7" t="inlineStr">
        <is>
          <t>PRECOCE</t>
        </is>
      </c>
      <c r="H85" s="5" t="inlineStr">
        <is>
          <t>ativo</t>
        </is>
      </c>
      <c r="I85" s="8" t="n">
        <v>46291</v>
      </c>
      <c r="J85" s="9">
        <f>IF($I85="","",DATA_REF-$I85)</f>
        <v/>
      </c>
      <c r="K85" s="9">
        <f>IF($J85="","",MAX(0,$J85-'PARAMETROS'!$B$11))</f>
        <v/>
      </c>
      <c r="L85" s="10">
        <f>IFERROR(INDEX(KC_CURVAS!$C$5:$C$15,MATCH("SOJA|"&amp;$G85,KC_CURVAS!$K$5:$K$15,0)),IFERROR(INDEX(KC_CURVAS!$C$5:$C$15,MATCH("SOJA"&amp;"|",KC_CURVAS!$K$5:$K$15,0)),""))</f>
        <v/>
      </c>
      <c r="M85" s="10">
        <f>IFERROR(INDEX(KC_CURVAS!$D$5:$D$15,MATCH("SOJA|"&amp;$G85,KC_CURVAS!$K$5:$K$15,0)),IFERROR(INDEX(KC_CURVAS!$D$5:$D$15,MATCH("SOJA"&amp;"|",KC_CURVAS!$K$5:$K$15,0)),""))</f>
        <v/>
      </c>
      <c r="N85" s="10">
        <f>IFERROR(INDEX(KC_CURVAS!$E$5:$E$15,MATCH("SOJA|"&amp;$G85,KC_CURVAS!$K$5:$K$15,0)),IFERROR(INDEX(KC_CURVAS!$E$5:$E$15,MATCH("SOJA"&amp;"|",KC_CURVAS!$K$5:$K$15,0)),""))</f>
        <v/>
      </c>
      <c r="O85" s="10">
        <f>IFERROR(INDEX(KC_CURVAS!$F$5:$F$15,MATCH("SOJA|"&amp;$G85,KC_CURVAS!$K$5:$K$15,0)),IFERROR(INDEX(KC_CURVAS!$F$5:$F$15,MATCH("SOJA"&amp;"|",KC_CURVAS!$K$5:$K$15,0)),""))</f>
        <v/>
      </c>
      <c r="P85" s="11">
        <f>IFERROR(INDEX(KC_CURVAS!$G$5:$G$15,MATCH("SOJA|"&amp;$G85,KC_CURVAS!$K$5:$K$15,0)),IFERROR(INDEX(KC_CURVAS!$G$5:$G$15,MATCH("SOJA"&amp;"|",KC_CURVAS!$K$5:$K$15,0)),""))</f>
        <v/>
      </c>
      <c r="Q85" s="11">
        <f>IFERROR(INDEX(KC_CURVAS!$H$5:$H$15,MATCH("SOJA|"&amp;$G85,KC_CURVAS!$K$5:$K$15,0)),IFERROR(INDEX(KC_CURVAS!$H$5:$H$15,MATCH("SOJA"&amp;"|",KC_CURVAS!$K$5:$K$15,0)),""))</f>
        <v/>
      </c>
      <c r="R85" s="11">
        <f>IFERROR(INDEX(KC_CURVAS!$I$5:$I$15,MATCH("SOJA|"&amp;$G85,KC_CURVAS!$K$5:$K$15,0)),IFERROR(INDEX(KC_CURVAS!$I$5:$I$15,MATCH("SOJA"&amp;"|",KC_CURVAS!$K$5:$K$15,0)),""))</f>
        <v/>
      </c>
      <c r="S85" s="12">
        <f>IF(OR($K85="",$L85=""),"PENDENTE",IF($K85&lt;=$L85,$P85,IF($K85&lt;=$L85+$M85,$P85+($Q85-$P85)*($K85-$L85)/$M85,IF($K85&lt;=$L85+$M85+$N85,$Q85,IF($K85&lt;=$L85+$M85+$N85+$O85,$Q85+($R85-$Q85)*($K85-($L85+$M85+$N85))/$O85,$R85)))))</f>
        <v/>
      </c>
      <c r="T85" s="13">
        <f>IF($I85="","",$I85)</f>
        <v/>
      </c>
      <c r="U85" s="14">
        <f>IF($T85="","",SUMIFS(ETO_DIARIO!$B$5:$B$404,ETO_DIARIO!$A$5:$A$404,"&gt;"&amp;$T85,ETO_DIARIO!$A$5:$A$404,"&lt;="&amp;DATA_REF))</f>
        <v/>
      </c>
      <c r="V85" s="14">
        <f>IF($T85="","",SUMIFS(ETO_DIARIO!$C$5:$C$404,ETO_DIARIO!$A$5:$A$404,"&gt;"&amp;$T85,ETO_DIARIO!$A$5:$A$404,"&lt;="&amp;DATA_REF))</f>
        <v/>
      </c>
      <c r="W85" s="14">
        <f>IF(OR($S85="",$S85="PENDENTE",$U85=""),"",$S85*$U85)</f>
        <v/>
      </c>
      <c r="X85" s="14">
        <f>IF($W85="","",MAX(0,$W85-N($V85)))</f>
        <v/>
      </c>
      <c r="Y85" s="14">
        <f>IF($X85="","",$X85/EF_APLIC)</f>
        <v/>
      </c>
      <c r="Z85" s="15" t="n">
        <v>100</v>
      </c>
      <c r="AA85" s="16">
        <f>IF(OR($Y85="",$Z85=""),"",$Y85*$Z85*10)</f>
        <v/>
      </c>
      <c r="AB85" s="17" t="n">
        <v>0.583</v>
      </c>
      <c r="AC85" s="16">
        <f>IF(OR($AA85="",$AB85=""),"",$AA85*$AB85)</f>
        <v/>
      </c>
      <c r="AD85" s="18">
        <f>IF($S85="PENDENTE","Definir classe/Kc",IF($Y85="","-",IF($Y85&gt;='PARAMETROS'!$B$7/EF_APLIC,"Irrigar",IF($Y85&gt;='PARAMETROS'!$B$7/EF_APLIC*FRAC_ACOMP,"Acompanhar","Aguardar"))))</f>
        <v/>
      </c>
      <c r="AE85" s="18">
        <f>IF(OR($Y85="",$Y85=0),"-",IF($Y85&gt;=2*'PARAMETROS'!$B$7/EF_APLIC,"Alta",IF($Y85&gt;='PARAMETROS'!$B$7/EF_APLIC,"Media","Baixa")))</f>
        <v/>
      </c>
    </row>
    <row r="86">
      <c r="A86" s="5" t="inlineStr">
        <is>
          <t>Pivô 107</t>
        </is>
      </c>
      <c r="B86" s="5" t="inlineStr">
        <is>
          <t>Rdm</t>
        </is>
      </c>
      <c r="C86" s="5" t="inlineStr">
        <is>
          <t>RM3</t>
        </is>
      </c>
      <c r="D86" s="5" t="inlineStr">
        <is>
          <t>RDM</t>
        </is>
      </c>
      <c r="E86" s="5" t="inlineStr">
        <is>
          <t>SOJA</t>
        </is>
      </c>
      <c r="F86" s="6" t="inlineStr">
        <is>
          <t>NEO 761 I2X</t>
        </is>
      </c>
      <c r="G86" s="7" t="inlineStr">
        <is>
          <t>PRECOCE</t>
        </is>
      </c>
      <c r="H86" s="5" t="inlineStr">
        <is>
          <t>ativo</t>
        </is>
      </c>
      <c r="I86" s="8" t="n">
        <v>46293</v>
      </c>
      <c r="J86" s="9">
        <f>IF($I86="","",DATA_REF-$I86)</f>
        <v/>
      </c>
      <c r="K86" s="9">
        <f>IF($J86="","",MAX(0,$J86-'PARAMETROS'!$B$11))</f>
        <v/>
      </c>
      <c r="L86" s="10">
        <f>IFERROR(INDEX(KC_CURVAS!$C$5:$C$15,MATCH("SOJA|"&amp;$G86,KC_CURVAS!$K$5:$K$15,0)),IFERROR(INDEX(KC_CURVAS!$C$5:$C$15,MATCH("SOJA"&amp;"|",KC_CURVAS!$K$5:$K$15,0)),""))</f>
        <v/>
      </c>
      <c r="M86" s="10">
        <f>IFERROR(INDEX(KC_CURVAS!$D$5:$D$15,MATCH("SOJA|"&amp;$G86,KC_CURVAS!$K$5:$K$15,0)),IFERROR(INDEX(KC_CURVAS!$D$5:$D$15,MATCH("SOJA"&amp;"|",KC_CURVAS!$K$5:$K$15,0)),""))</f>
        <v/>
      </c>
      <c r="N86" s="10">
        <f>IFERROR(INDEX(KC_CURVAS!$E$5:$E$15,MATCH("SOJA|"&amp;$G86,KC_CURVAS!$K$5:$K$15,0)),IFERROR(INDEX(KC_CURVAS!$E$5:$E$15,MATCH("SOJA"&amp;"|",KC_CURVAS!$K$5:$K$15,0)),""))</f>
        <v/>
      </c>
      <c r="O86" s="10">
        <f>IFERROR(INDEX(KC_CURVAS!$F$5:$F$15,MATCH("SOJA|"&amp;$G86,KC_CURVAS!$K$5:$K$15,0)),IFERROR(INDEX(KC_CURVAS!$F$5:$F$15,MATCH("SOJA"&amp;"|",KC_CURVAS!$K$5:$K$15,0)),""))</f>
        <v/>
      </c>
      <c r="P86" s="11">
        <f>IFERROR(INDEX(KC_CURVAS!$G$5:$G$15,MATCH("SOJA|"&amp;$G86,KC_CURVAS!$K$5:$K$15,0)),IFERROR(INDEX(KC_CURVAS!$G$5:$G$15,MATCH("SOJA"&amp;"|",KC_CURVAS!$K$5:$K$15,0)),""))</f>
        <v/>
      </c>
      <c r="Q86" s="11">
        <f>IFERROR(INDEX(KC_CURVAS!$H$5:$H$15,MATCH("SOJA|"&amp;$G86,KC_CURVAS!$K$5:$K$15,0)),IFERROR(INDEX(KC_CURVAS!$H$5:$H$15,MATCH("SOJA"&amp;"|",KC_CURVAS!$K$5:$K$15,0)),""))</f>
        <v/>
      </c>
      <c r="R86" s="11">
        <f>IFERROR(INDEX(KC_CURVAS!$I$5:$I$15,MATCH("SOJA|"&amp;$G86,KC_CURVAS!$K$5:$K$15,0)),IFERROR(INDEX(KC_CURVAS!$I$5:$I$15,MATCH("SOJA"&amp;"|",KC_CURVAS!$K$5:$K$15,0)),""))</f>
        <v/>
      </c>
      <c r="S86" s="12">
        <f>IF(OR($K86="",$L86=""),"PENDENTE",IF($K86&lt;=$L86,$P86,IF($K86&lt;=$L86+$M86,$P86+($Q86-$P86)*($K86-$L86)/$M86,IF($K86&lt;=$L86+$M86+$N86,$Q86,IF($K86&lt;=$L86+$M86+$N86+$O86,$Q86+($R86-$Q86)*($K86-($L86+$M86+$N86))/$O86,$R86)))))</f>
        <v/>
      </c>
      <c r="T86" s="13">
        <f>IF($I86="","",$I86)</f>
        <v/>
      </c>
      <c r="U86" s="14">
        <f>IF($T86="","",SUMIFS(ETO_DIARIO!$B$5:$B$404,ETO_DIARIO!$A$5:$A$404,"&gt;"&amp;$T86,ETO_DIARIO!$A$5:$A$404,"&lt;="&amp;DATA_REF))</f>
        <v/>
      </c>
      <c r="V86" s="14">
        <f>IF($T86="","",SUMIFS(ETO_DIARIO!$C$5:$C$404,ETO_DIARIO!$A$5:$A$404,"&gt;"&amp;$T86,ETO_DIARIO!$A$5:$A$404,"&lt;="&amp;DATA_REF))</f>
        <v/>
      </c>
      <c r="W86" s="14">
        <f>IF(OR($S86="",$S86="PENDENTE",$U86=""),"",$S86*$U86)</f>
        <v/>
      </c>
      <c r="X86" s="14">
        <f>IF($W86="","",MAX(0,$W86-N($V86)))</f>
        <v/>
      </c>
      <c r="Y86" s="14">
        <f>IF($X86="","",$X86/EF_APLIC)</f>
        <v/>
      </c>
      <c r="Z86" s="15" t="n">
        <v>100</v>
      </c>
      <c r="AA86" s="16">
        <f>IF(OR($Y86="",$Z86=""),"",$Y86*$Z86*10)</f>
        <v/>
      </c>
      <c r="AB86" s="17" t="n">
        <v>0.621</v>
      </c>
      <c r="AC86" s="16">
        <f>IF(OR($AA86="",$AB86=""),"",$AA86*$AB86)</f>
        <v/>
      </c>
      <c r="AD86" s="18">
        <f>IF($S86="PENDENTE","Definir classe/Kc",IF($Y86="","-",IF($Y86&gt;='PARAMETROS'!$B$7/EF_APLIC,"Irrigar",IF($Y86&gt;='PARAMETROS'!$B$7/EF_APLIC*FRAC_ACOMP,"Acompanhar","Aguardar"))))</f>
        <v/>
      </c>
      <c r="AE86" s="18">
        <f>IF(OR($Y86="",$Y86=0),"-",IF($Y86&gt;=2*'PARAMETROS'!$B$7/EF_APLIC,"Alta",IF($Y86&gt;='PARAMETROS'!$B$7/EF_APLIC,"Media","Baixa")))</f>
        <v/>
      </c>
    </row>
    <row r="87">
      <c r="A87" s="5" t="inlineStr">
        <is>
          <t>Pivô 108</t>
        </is>
      </c>
      <c r="B87" s="5" t="inlineStr">
        <is>
          <t>Rdm</t>
        </is>
      </c>
      <c r="C87" s="5" t="inlineStr">
        <is>
          <t>RM2</t>
        </is>
      </c>
      <c r="D87" s="5" t="inlineStr">
        <is>
          <t>RDM</t>
        </is>
      </c>
      <c r="E87" s="5" t="inlineStr">
        <is>
          <t>ALGODÃO</t>
        </is>
      </c>
      <c r="F87" s="6" t="inlineStr">
        <is>
          <t>IMA 5901 B2RF</t>
        </is>
      </c>
      <c r="G87" s="7" t="inlineStr">
        <is>
          <t>MÉDIO</t>
        </is>
      </c>
      <c r="H87" s="5" t="inlineStr">
        <is>
          <t>proximo</t>
        </is>
      </c>
      <c r="I87" s="8" t="n">
        <v>46360</v>
      </c>
      <c r="J87" s="9">
        <f>IF($I87="","",DATA_REF-$I87)</f>
        <v/>
      </c>
      <c r="K87" s="9">
        <f>IF($J87="","",MAX(0,$J87-'PARAMETROS'!$B$11))</f>
        <v/>
      </c>
      <c r="L87" s="10">
        <f>IFERROR(INDEX(KC_CURVAS!$C$5:$C$15,MATCH("ALGODÃO|"&amp;$G87,KC_CURVAS!$K$5:$K$15,0)),IFERROR(INDEX(KC_CURVAS!$C$5:$C$15,MATCH("ALGODÃO"&amp;"|",KC_CURVAS!$K$5:$K$15,0)),""))</f>
        <v/>
      </c>
      <c r="M87" s="10">
        <f>IFERROR(INDEX(KC_CURVAS!$D$5:$D$15,MATCH("ALGODÃO|"&amp;$G87,KC_CURVAS!$K$5:$K$15,0)),IFERROR(INDEX(KC_CURVAS!$D$5:$D$15,MATCH("ALGODÃO"&amp;"|",KC_CURVAS!$K$5:$K$15,0)),""))</f>
        <v/>
      </c>
      <c r="N87" s="10">
        <f>IFERROR(INDEX(KC_CURVAS!$E$5:$E$15,MATCH("ALGODÃO|"&amp;$G87,KC_CURVAS!$K$5:$K$15,0)),IFERROR(INDEX(KC_CURVAS!$E$5:$E$15,MATCH("ALGODÃO"&amp;"|",KC_CURVAS!$K$5:$K$15,0)),""))</f>
        <v/>
      </c>
      <c r="O87" s="10">
        <f>IFERROR(INDEX(KC_CURVAS!$F$5:$F$15,MATCH("ALGODÃO|"&amp;$G87,KC_CURVAS!$K$5:$K$15,0)),IFERROR(INDEX(KC_CURVAS!$F$5:$F$15,MATCH("ALGODÃO"&amp;"|",KC_CURVAS!$K$5:$K$15,0)),""))</f>
        <v/>
      </c>
      <c r="P87" s="11">
        <f>IFERROR(INDEX(KC_CURVAS!$G$5:$G$15,MATCH("ALGODÃO|"&amp;$G87,KC_CURVAS!$K$5:$K$15,0)),IFERROR(INDEX(KC_CURVAS!$G$5:$G$15,MATCH("ALGODÃO"&amp;"|",KC_CURVAS!$K$5:$K$15,0)),""))</f>
        <v/>
      </c>
      <c r="Q87" s="11">
        <f>IFERROR(INDEX(KC_CURVAS!$H$5:$H$15,MATCH("ALGODÃO|"&amp;$G87,KC_CURVAS!$K$5:$K$15,0)),IFERROR(INDEX(KC_CURVAS!$H$5:$H$15,MATCH("ALGODÃO"&amp;"|",KC_CURVAS!$K$5:$K$15,0)),""))</f>
        <v/>
      </c>
      <c r="R87" s="11">
        <f>IFERROR(INDEX(KC_CURVAS!$I$5:$I$15,MATCH("ALGODÃO|"&amp;$G87,KC_CURVAS!$K$5:$K$15,0)),IFERROR(INDEX(KC_CURVAS!$I$5:$I$15,MATCH("ALGODÃO"&amp;"|",KC_CURVAS!$K$5:$K$15,0)),""))</f>
        <v/>
      </c>
      <c r="S87" s="12">
        <f>IF(OR($K87="",$L87=""),"PENDENTE",IF($K87&lt;=$L87,$P87,IF($K87&lt;=$L87+$M87,$P87+($Q87-$P87)*($K87-$L87)/$M87,IF($K87&lt;=$L87+$M87+$N87,$Q87,IF($K87&lt;=$L87+$M87+$N87+$O87,$Q87+($R87-$Q87)*($K87-($L87+$M87+$N87))/$O87,$R87)))))</f>
        <v/>
      </c>
      <c r="T87" s="13">
        <f>IF($I87="","",$I87)</f>
        <v/>
      </c>
      <c r="U87" s="14">
        <f>IF($T87="","",SUMIFS(ETO_DIARIO!$B$5:$B$404,ETO_DIARIO!$A$5:$A$404,"&gt;"&amp;$T87,ETO_DIARIO!$A$5:$A$404,"&lt;="&amp;DATA_REF))</f>
        <v/>
      </c>
      <c r="V87" s="14">
        <f>IF($T87="","",SUMIFS(ETO_DIARIO!$C$5:$C$404,ETO_DIARIO!$A$5:$A$404,"&gt;"&amp;$T87,ETO_DIARIO!$A$5:$A$404,"&lt;="&amp;DATA_REF))</f>
        <v/>
      </c>
      <c r="W87" s="14">
        <f>IF(OR($S87="",$S87="PENDENTE",$U87=""),"",$S87*$U87)</f>
        <v/>
      </c>
      <c r="X87" s="14">
        <f>IF($W87="","",MAX(0,$W87-N($V87)))</f>
        <v/>
      </c>
      <c r="Y87" s="14">
        <f>IF($X87="","",$X87/EF_APLIC)</f>
        <v/>
      </c>
      <c r="Z87" s="15" t="n">
        <v>100</v>
      </c>
      <c r="AA87" s="16">
        <f>IF(OR($Y87="",$Z87=""),"",$Y87*$Z87*10)</f>
        <v/>
      </c>
      <c r="AB87" s="17" t="n">
        <v>0.583</v>
      </c>
      <c r="AC87" s="16">
        <f>IF(OR($AA87="",$AB87=""),"",$AA87*$AB87)</f>
        <v/>
      </c>
      <c r="AD87" s="18">
        <f>IF($S87="PENDENTE","Definir classe/Kc",IF($Y87="","-",IF($Y87&gt;='PARAMETROS'!$B$7/EF_APLIC,"Irrigar",IF($Y87&gt;='PARAMETROS'!$B$7/EF_APLIC*FRAC_ACOMP,"Acompanhar","Aguardar"))))</f>
        <v/>
      </c>
      <c r="AE87" s="18">
        <f>IF(OR($Y87="",$Y87=0),"-",IF($Y87&gt;=2*'PARAMETROS'!$B$7/EF_APLIC,"Alta",IF($Y87&gt;='PARAMETROS'!$B$7/EF_APLIC,"Media","Baixa")))</f>
        <v/>
      </c>
    </row>
    <row r="88">
      <c r="A88" s="5" t="inlineStr">
        <is>
          <t>Pivô 109</t>
        </is>
      </c>
      <c r="B88" s="5" t="inlineStr">
        <is>
          <t>Rdm</t>
        </is>
      </c>
      <c r="C88" s="5" t="inlineStr">
        <is>
          <t>RM1</t>
        </is>
      </c>
      <c r="D88" s="5" t="inlineStr">
        <is>
          <t>RDM</t>
        </is>
      </c>
      <c r="E88" s="5" t="inlineStr">
        <is>
          <t>SOJA</t>
        </is>
      </c>
      <c r="F88" s="6" t="inlineStr">
        <is>
          <t>NEO 690 I2X</t>
        </is>
      </c>
      <c r="G88" s="7" t="inlineStr">
        <is>
          <t>PRECOCE</t>
        </is>
      </c>
      <c r="H88" s="5" t="inlineStr">
        <is>
          <t>ativo</t>
        </is>
      </c>
      <c r="I88" s="8" t="n">
        <v>46290</v>
      </c>
      <c r="J88" s="9">
        <f>IF($I88="","",DATA_REF-$I88)</f>
        <v/>
      </c>
      <c r="K88" s="9">
        <f>IF($J88="","",MAX(0,$J88-'PARAMETROS'!$B$11))</f>
        <v/>
      </c>
      <c r="L88" s="10">
        <f>IFERROR(INDEX(KC_CURVAS!$C$5:$C$15,MATCH("SOJA|"&amp;$G88,KC_CURVAS!$K$5:$K$15,0)),IFERROR(INDEX(KC_CURVAS!$C$5:$C$15,MATCH("SOJA"&amp;"|",KC_CURVAS!$K$5:$K$15,0)),""))</f>
        <v/>
      </c>
      <c r="M88" s="10">
        <f>IFERROR(INDEX(KC_CURVAS!$D$5:$D$15,MATCH("SOJA|"&amp;$G88,KC_CURVAS!$K$5:$K$15,0)),IFERROR(INDEX(KC_CURVAS!$D$5:$D$15,MATCH("SOJA"&amp;"|",KC_CURVAS!$K$5:$K$15,0)),""))</f>
        <v/>
      </c>
      <c r="N88" s="10">
        <f>IFERROR(INDEX(KC_CURVAS!$E$5:$E$15,MATCH("SOJA|"&amp;$G88,KC_CURVAS!$K$5:$K$15,0)),IFERROR(INDEX(KC_CURVAS!$E$5:$E$15,MATCH("SOJA"&amp;"|",KC_CURVAS!$K$5:$K$15,0)),""))</f>
        <v/>
      </c>
      <c r="O88" s="10">
        <f>IFERROR(INDEX(KC_CURVAS!$F$5:$F$15,MATCH("SOJA|"&amp;$G88,KC_CURVAS!$K$5:$K$15,0)),IFERROR(INDEX(KC_CURVAS!$F$5:$F$15,MATCH("SOJA"&amp;"|",KC_CURVAS!$K$5:$K$15,0)),""))</f>
        <v/>
      </c>
      <c r="P88" s="11">
        <f>IFERROR(INDEX(KC_CURVAS!$G$5:$G$15,MATCH("SOJA|"&amp;$G88,KC_CURVAS!$K$5:$K$15,0)),IFERROR(INDEX(KC_CURVAS!$G$5:$G$15,MATCH("SOJA"&amp;"|",KC_CURVAS!$K$5:$K$15,0)),""))</f>
        <v/>
      </c>
      <c r="Q88" s="11">
        <f>IFERROR(INDEX(KC_CURVAS!$H$5:$H$15,MATCH("SOJA|"&amp;$G88,KC_CURVAS!$K$5:$K$15,0)),IFERROR(INDEX(KC_CURVAS!$H$5:$H$15,MATCH("SOJA"&amp;"|",KC_CURVAS!$K$5:$K$15,0)),""))</f>
        <v/>
      </c>
      <c r="R88" s="11">
        <f>IFERROR(INDEX(KC_CURVAS!$I$5:$I$15,MATCH("SOJA|"&amp;$G88,KC_CURVAS!$K$5:$K$15,0)),IFERROR(INDEX(KC_CURVAS!$I$5:$I$15,MATCH("SOJA"&amp;"|",KC_CURVAS!$K$5:$K$15,0)),""))</f>
        <v/>
      </c>
      <c r="S88" s="12">
        <f>IF(OR($K88="",$L88=""),"PENDENTE",IF($K88&lt;=$L88,$P88,IF($K88&lt;=$L88+$M88,$P88+($Q88-$P88)*($K88-$L88)/$M88,IF($K88&lt;=$L88+$M88+$N88,$Q88,IF($K88&lt;=$L88+$M88+$N88+$O88,$Q88+($R88-$Q88)*($K88-($L88+$M88+$N88))/$O88,$R88)))))</f>
        <v/>
      </c>
      <c r="T88" s="13">
        <f>IF($I88="","",$I88)</f>
        <v/>
      </c>
      <c r="U88" s="14">
        <f>IF($T88="","",SUMIFS(ETO_DIARIO!$B$5:$B$404,ETO_DIARIO!$A$5:$A$404,"&gt;"&amp;$T88,ETO_DIARIO!$A$5:$A$404,"&lt;="&amp;DATA_REF))</f>
        <v/>
      </c>
      <c r="V88" s="14">
        <f>IF($T88="","",SUMIFS(ETO_DIARIO!$C$5:$C$404,ETO_DIARIO!$A$5:$A$404,"&gt;"&amp;$T88,ETO_DIARIO!$A$5:$A$404,"&lt;="&amp;DATA_REF))</f>
        <v/>
      </c>
      <c r="W88" s="14">
        <f>IF(OR($S88="",$S88="PENDENTE",$U88=""),"",$S88*$U88)</f>
        <v/>
      </c>
      <c r="X88" s="14">
        <f>IF($W88="","",MAX(0,$W88-N($V88)))</f>
        <v/>
      </c>
      <c r="Y88" s="14">
        <f>IF($X88="","",$X88/EF_APLIC)</f>
        <v/>
      </c>
      <c r="Z88" s="15" t="n">
        <v>100</v>
      </c>
      <c r="AA88" s="16">
        <f>IF(OR($Y88="",$Z88=""),"",$Y88*$Z88*10)</f>
        <v/>
      </c>
      <c r="AB88" s="17" t="n">
        <v>0.621</v>
      </c>
      <c r="AC88" s="16">
        <f>IF(OR($AA88="",$AB88=""),"",$AA88*$AB88)</f>
        <v/>
      </c>
      <c r="AD88" s="18">
        <f>IF($S88="PENDENTE","Definir classe/Kc",IF($Y88="","-",IF($Y88&gt;='PARAMETROS'!$B$7/EF_APLIC,"Irrigar",IF($Y88&gt;='PARAMETROS'!$B$7/EF_APLIC*FRAC_ACOMP,"Acompanhar","Aguardar"))))</f>
        <v/>
      </c>
      <c r="AE88" s="18">
        <f>IF(OR($Y88="",$Y88=0),"-",IF($Y88&gt;=2*'PARAMETROS'!$B$7/EF_APLIC,"Alta",IF($Y88&gt;='PARAMETROS'!$B$7/EF_APLIC,"Media","Baixa")))</f>
        <v/>
      </c>
    </row>
    <row r="89">
      <c r="A89" s="5" t="inlineStr">
        <is>
          <t>Pivô 110</t>
        </is>
      </c>
      <c r="B89" s="5" t="inlineStr">
        <is>
          <t>Rdm</t>
        </is>
      </c>
      <c r="C89" s="5" t="inlineStr">
        <is>
          <t>RM4</t>
        </is>
      </c>
      <c r="D89" s="5" t="inlineStr">
        <is>
          <t>RDM</t>
        </is>
      </c>
      <c r="E89" s="5" t="inlineStr">
        <is>
          <t>SOJA</t>
        </is>
      </c>
      <c r="F89" s="6" t="inlineStr">
        <is>
          <t>NEO 690 I2X</t>
        </is>
      </c>
      <c r="G89" s="7" t="inlineStr">
        <is>
          <t>PRECOCE</t>
        </is>
      </c>
      <c r="H89" s="5" t="inlineStr">
        <is>
          <t>ativo</t>
        </is>
      </c>
      <c r="I89" s="8" t="n">
        <v>46290</v>
      </c>
      <c r="J89" s="9">
        <f>IF($I89="","",DATA_REF-$I89)</f>
        <v/>
      </c>
      <c r="K89" s="9">
        <f>IF($J89="","",MAX(0,$J89-'PARAMETROS'!$B$11))</f>
        <v/>
      </c>
      <c r="L89" s="10">
        <f>IFERROR(INDEX(KC_CURVAS!$C$5:$C$15,MATCH("SOJA|"&amp;$G89,KC_CURVAS!$K$5:$K$15,0)),IFERROR(INDEX(KC_CURVAS!$C$5:$C$15,MATCH("SOJA"&amp;"|",KC_CURVAS!$K$5:$K$15,0)),""))</f>
        <v/>
      </c>
      <c r="M89" s="10">
        <f>IFERROR(INDEX(KC_CURVAS!$D$5:$D$15,MATCH("SOJA|"&amp;$G89,KC_CURVAS!$K$5:$K$15,0)),IFERROR(INDEX(KC_CURVAS!$D$5:$D$15,MATCH("SOJA"&amp;"|",KC_CURVAS!$K$5:$K$15,0)),""))</f>
        <v/>
      </c>
      <c r="N89" s="10">
        <f>IFERROR(INDEX(KC_CURVAS!$E$5:$E$15,MATCH("SOJA|"&amp;$G89,KC_CURVAS!$K$5:$K$15,0)),IFERROR(INDEX(KC_CURVAS!$E$5:$E$15,MATCH("SOJA"&amp;"|",KC_CURVAS!$K$5:$K$15,0)),""))</f>
        <v/>
      </c>
      <c r="O89" s="10">
        <f>IFERROR(INDEX(KC_CURVAS!$F$5:$F$15,MATCH("SOJA|"&amp;$G89,KC_CURVAS!$K$5:$K$15,0)),IFERROR(INDEX(KC_CURVAS!$F$5:$F$15,MATCH("SOJA"&amp;"|",KC_CURVAS!$K$5:$K$15,0)),""))</f>
        <v/>
      </c>
      <c r="P89" s="11">
        <f>IFERROR(INDEX(KC_CURVAS!$G$5:$G$15,MATCH("SOJA|"&amp;$G89,KC_CURVAS!$K$5:$K$15,0)),IFERROR(INDEX(KC_CURVAS!$G$5:$G$15,MATCH("SOJA"&amp;"|",KC_CURVAS!$K$5:$K$15,0)),""))</f>
        <v/>
      </c>
      <c r="Q89" s="11">
        <f>IFERROR(INDEX(KC_CURVAS!$H$5:$H$15,MATCH("SOJA|"&amp;$G89,KC_CURVAS!$K$5:$K$15,0)),IFERROR(INDEX(KC_CURVAS!$H$5:$H$15,MATCH("SOJA"&amp;"|",KC_CURVAS!$K$5:$K$15,0)),""))</f>
        <v/>
      </c>
      <c r="R89" s="11">
        <f>IFERROR(INDEX(KC_CURVAS!$I$5:$I$15,MATCH("SOJA|"&amp;$G89,KC_CURVAS!$K$5:$K$15,0)),IFERROR(INDEX(KC_CURVAS!$I$5:$I$15,MATCH("SOJA"&amp;"|",KC_CURVAS!$K$5:$K$15,0)),""))</f>
        <v/>
      </c>
      <c r="S89" s="12">
        <f>IF(OR($K89="",$L89=""),"PENDENTE",IF($K89&lt;=$L89,$P89,IF($K89&lt;=$L89+$M89,$P89+($Q89-$P89)*($K89-$L89)/$M89,IF($K89&lt;=$L89+$M89+$N89,$Q89,IF($K89&lt;=$L89+$M89+$N89+$O89,$Q89+($R89-$Q89)*($K89-($L89+$M89+$N89))/$O89,$R89)))))</f>
        <v/>
      </c>
      <c r="T89" s="13">
        <f>IF($I89="","",$I89)</f>
        <v/>
      </c>
      <c r="U89" s="14">
        <f>IF($T89="","",SUMIFS(ETO_DIARIO!$B$5:$B$404,ETO_DIARIO!$A$5:$A$404,"&gt;"&amp;$T89,ETO_DIARIO!$A$5:$A$404,"&lt;="&amp;DATA_REF))</f>
        <v/>
      </c>
      <c r="V89" s="14">
        <f>IF($T89="","",SUMIFS(ETO_DIARIO!$C$5:$C$404,ETO_DIARIO!$A$5:$A$404,"&gt;"&amp;$T89,ETO_DIARIO!$A$5:$A$404,"&lt;="&amp;DATA_REF))</f>
        <v/>
      </c>
      <c r="W89" s="14">
        <f>IF(OR($S89="",$S89="PENDENTE",$U89=""),"",$S89*$U89)</f>
        <v/>
      </c>
      <c r="X89" s="14">
        <f>IF($W89="","",MAX(0,$W89-N($V89)))</f>
        <v/>
      </c>
      <c r="Y89" s="14">
        <f>IF($X89="","",$X89/EF_APLIC)</f>
        <v/>
      </c>
      <c r="Z89" s="15" t="n">
        <v>100</v>
      </c>
      <c r="AA89" s="16">
        <f>IF(OR($Y89="",$Z89=""),"",$Y89*$Z89*10)</f>
        <v/>
      </c>
      <c r="AB89" s="17" t="n">
        <v>0.622</v>
      </c>
      <c r="AC89" s="16">
        <f>IF(OR($AA89="",$AB89=""),"",$AA89*$AB89)</f>
        <v/>
      </c>
      <c r="AD89" s="18">
        <f>IF($S89="PENDENTE","Definir classe/Kc",IF($Y89="","-",IF($Y89&gt;='PARAMETROS'!$B$7/EF_APLIC,"Irrigar",IF($Y89&gt;='PARAMETROS'!$B$7/EF_APLIC*FRAC_ACOMP,"Acompanhar","Aguardar"))))</f>
        <v/>
      </c>
      <c r="AE89" s="18">
        <f>IF(OR($Y89="",$Y89=0),"-",IF($Y89&gt;=2*'PARAMETROS'!$B$7/EF_APLIC,"Alta",IF($Y89&gt;='PARAMETROS'!$B$7/EF_APLIC,"Media","Baixa")))</f>
        <v/>
      </c>
    </row>
    <row r="90">
      <c r="A90" s="5" t="inlineStr">
        <is>
          <t>Pivô 112</t>
        </is>
      </c>
      <c r="B90" s="5" t="inlineStr">
        <is>
          <t>Rdm</t>
        </is>
      </c>
      <c r="C90" s="5" t="inlineStr">
        <is>
          <t>RM5</t>
        </is>
      </c>
      <c r="D90" s="5" t="inlineStr">
        <is>
          <t>RDM</t>
        </is>
      </c>
      <c r="E90" s="5" t="inlineStr">
        <is>
          <t>SOJA</t>
        </is>
      </c>
      <c r="F90" s="6" t="inlineStr">
        <is>
          <t>NEO 761 I2X</t>
        </is>
      </c>
      <c r="G90" s="7" t="inlineStr">
        <is>
          <t>PRECOCE</t>
        </is>
      </c>
      <c r="H90" s="5" t="inlineStr">
        <is>
          <t>proximo</t>
        </is>
      </c>
      <c r="I90" s="8" t="n">
        <v>46307</v>
      </c>
      <c r="J90" s="9">
        <f>IF($I90="","",DATA_REF-$I90)</f>
        <v/>
      </c>
      <c r="K90" s="9">
        <f>IF($J90="","",MAX(0,$J90-'PARAMETROS'!$B$11))</f>
        <v/>
      </c>
      <c r="L90" s="10">
        <f>IFERROR(INDEX(KC_CURVAS!$C$5:$C$15,MATCH("SOJA|"&amp;$G90,KC_CURVAS!$K$5:$K$15,0)),IFERROR(INDEX(KC_CURVAS!$C$5:$C$15,MATCH("SOJA"&amp;"|",KC_CURVAS!$K$5:$K$15,0)),""))</f>
        <v/>
      </c>
      <c r="M90" s="10">
        <f>IFERROR(INDEX(KC_CURVAS!$D$5:$D$15,MATCH("SOJA|"&amp;$G90,KC_CURVAS!$K$5:$K$15,0)),IFERROR(INDEX(KC_CURVAS!$D$5:$D$15,MATCH("SOJA"&amp;"|",KC_CURVAS!$K$5:$K$15,0)),""))</f>
        <v/>
      </c>
      <c r="N90" s="10">
        <f>IFERROR(INDEX(KC_CURVAS!$E$5:$E$15,MATCH("SOJA|"&amp;$G90,KC_CURVAS!$K$5:$K$15,0)),IFERROR(INDEX(KC_CURVAS!$E$5:$E$15,MATCH("SOJA"&amp;"|",KC_CURVAS!$K$5:$K$15,0)),""))</f>
        <v/>
      </c>
      <c r="O90" s="10">
        <f>IFERROR(INDEX(KC_CURVAS!$F$5:$F$15,MATCH("SOJA|"&amp;$G90,KC_CURVAS!$K$5:$K$15,0)),IFERROR(INDEX(KC_CURVAS!$F$5:$F$15,MATCH("SOJA"&amp;"|",KC_CURVAS!$K$5:$K$15,0)),""))</f>
        <v/>
      </c>
      <c r="P90" s="11">
        <f>IFERROR(INDEX(KC_CURVAS!$G$5:$G$15,MATCH("SOJA|"&amp;$G90,KC_CURVAS!$K$5:$K$15,0)),IFERROR(INDEX(KC_CURVAS!$G$5:$G$15,MATCH("SOJA"&amp;"|",KC_CURVAS!$K$5:$K$15,0)),""))</f>
        <v/>
      </c>
      <c r="Q90" s="11">
        <f>IFERROR(INDEX(KC_CURVAS!$H$5:$H$15,MATCH("SOJA|"&amp;$G90,KC_CURVAS!$K$5:$K$15,0)),IFERROR(INDEX(KC_CURVAS!$H$5:$H$15,MATCH("SOJA"&amp;"|",KC_CURVAS!$K$5:$K$15,0)),""))</f>
        <v/>
      </c>
      <c r="R90" s="11">
        <f>IFERROR(INDEX(KC_CURVAS!$I$5:$I$15,MATCH("SOJA|"&amp;$G90,KC_CURVAS!$K$5:$K$15,0)),IFERROR(INDEX(KC_CURVAS!$I$5:$I$15,MATCH("SOJA"&amp;"|",KC_CURVAS!$K$5:$K$15,0)),""))</f>
        <v/>
      </c>
      <c r="S90" s="12">
        <f>IF(OR($K90="",$L90=""),"PENDENTE",IF($K90&lt;=$L90,$P90,IF($K90&lt;=$L90+$M90,$P90+($Q90-$P90)*($K90-$L90)/$M90,IF($K90&lt;=$L90+$M90+$N90,$Q90,IF($K90&lt;=$L90+$M90+$N90+$O90,$Q90+($R90-$Q90)*($K90-($L90+$M90+$N90))/$O90,$R90)))))</f>
        <v/>
      </c>
      <c r="T90" s="13">
        <f>IF($I90="","",$I90)</f>
        <v/>
      </c>
      <c r="U90" s="14">
        <f>IF($T90="","",SUMIFS(ETO_DIARIO!$B$5:$B$404,ETO_DIARIO!$A$5:$A$404,"&gt;"&amp;$T90,ETO_DIARIO!$A$5:$A$404,"&lt;="&amp;DATA_REF))</f>
        <v/>
      </c>
      <c r="V90" s="14">
        <f>IF($T90="","",SUMIFS(ETO_DIARIO!$C$5:$C$404,ETO_DIARIO!$A$5:$A$404,"&gt;"&amp;$T90,ETO_DIARIO!$A$5:$A$404,"&lt;="&amp;DATA_REF))</f>
        <v/>
      </c>
      <c r="W90" s="14">
        <f>IF(OR($S90="",$S90="PENDENTE",$U90=""),"",$S90*$U90)</f>
        <v/>
      </c>
      <c r="X90" s="14">
        <f>IF($W90="","",MAX(0,$W90-N($V90)))</f>
        <v/>
      </c>
      <c r="Y90" s="14">
        <f>IF($X90="","",$X90/EF_APLIC)</f>
        <v/>
      </c>
      <c r="Z90" s="15" t="n">
        <v>150</v>
      </c>
      <c r="AA90" s="16">
        <f>IF(OR($Y90="",$Z90=""),"",$Y90*$Z90*10)</f>
        <v/>
      </c>
      <c r="AB90" s="17" t="n">
        <v>0.698</v>
      </c>
      <c r="AC90" s="16">
        <f>IF(OR($AA90="",$AB90=""),"",$AA90*$AB90)</f>
        <v/>
      </c>
      <c r="AD90" s="18">
        <f>IF($S90="PENDENTE","Definir classe/Kc",IF($Y90="","-",IF($Y90&gt;='PARAMETROS'!$B$7/EF_APLIC,"Irrigar",IF($Y90&gt;='PARAMETROS'!$B$7/EF_APLIC*FRAC_ACOMP,"Acompanhar","Aguardar"))))</f>
        <v/>
      </c>
      <c r="AE90" s="18">
        <f>IF(OR($Y90="",$Y90=0),"-",IF($Y90&gt;=2*'PARAMETROS'!$B$7/EF_APLIC,"Alta",IF($Y90&gt;='PARAMETROS'!$B$7/EF_APLIC,"Media","Baixa")))</f>
        <v/>
      </c>
    </row>
    <row r="91">
      <c r="A91" s="5" t="inlineStr">
        <is>
          <t>Pivô 113</t>
        </is>
      </c>
      <c r="B91" s="5" t="inlineStr">
        <is>
          <t>Rdm</t>
        </is>
      </c>
      <c r="C91" s="5" t="inlineStr">
        <is>
          <t>RM5</t>
        </is>
      </c>
      <c r="D91" s="5" t="inlineStr">
        <is>
          <t>RDM</t>
        </is>
      </c>
      <c r="E91" s="5" t="inlineStr">
        <is>
          <t>SOJA</t>
        </is>
      </c>
      <c r="F91" s="6" t="inlineStr">
        <is>
          <t>NEO 761 I2X</t>
        </is>
      </c>
      <c r="G91" s="7" t="inlineStr">
        <is>
          <t>PRECOCE</t>
        </is>
      </c>
      <c r="H91" s="5" t="inlineStr">
        <is>
          <t>proximo</t>
        </is>
      </c>
      <c r="I91" s="8" t="n">
        <v>46307</v>
      </c>
      <c r="J91" s="9">
        <f>IF($I91="","",DATA_REF-$I91)</f>
        <v/>
      </c>
      <c r="K91" s="9">
        <f>IF($J91="","",MAX(0,$J91-'PARAMETROS'!$B$11))</f>
        <v/>
      </c>
      <c r="L91" s="10">
        <f>IFERROR(INDEX(KC_CURVAS!$C$5:$C$15,MATCH("SOJA|"&amp;$G91,KC_CURVAS!$K$5:$K$15,0)),IFERROR(INDEX(KC_CURVAS!$C$5:$C$15,MATCH("SOJA"&amp;"|",KC_CURVAS!$K$5:$K$15,0)),""))</f>
        <v/>
      </c>
      <c r="M91" s="10">
        <f>IFERROR(INDEX(KC_CURVAS!$D$5:$D$15,MATCH("SOJA|"&amp;$G91,KC_CURVAS!$K$5:$K$15,0)),IFERROR(INDEX(KC_CURVAS!$D$5:$D$15,MATCH("SOJA"&amp;"|",KC_CURVAS!$K$5:$K$15,0)),""))</f>
        <v/>
      </c>
      <c r="N91" s="10">
        <f>IFERROR(INDEX(KC_CURVAS!$E$5:$E$15,MATCH("SOJA|"&amp;$G91,KC_CURVAS!$K$5:$K$15,0)),IFERROR(INDEX(KC_CURVAS!$E$5:$E$15,MATCH("SOJA"&amp;"|",KC_CURVAS!$K$5:$K$15,0)),""))</f>
        <v/>
      </c>
      <c r="O91" s="10">
        <f>IFERROR(INDEX(KC_CURVAS!$F$5:$F$15,MATCH("SOJA|"&amp;$G91,KC_CURVAS!$K$5:$K$15,0)),IFERROR(INDEX(KC_CURVAS!$F$5:$F$15,MATCH("SOJA"&amp;"|",KC_CURVAS!$K$5:$K$15,0)),""))</f>
        <v/>
      </c>
      <c r="P91" s="11">
        <f>IFERROR(INDEX(KC_CURVAS!$G$5:$G$15,MATCH("SOJA|"&amp;$G91,KC_CURVAS!$K$5:$K$15,0)),IFERROR(INDEX(KC_CURVAS!$G$5:$G$15,MATCH("SOJA"&amp;"|",KC_CURVAS!$K$5:$K$15,0)),""))</f>
        <v/>
      </c>
      <c r="Q91" s="11">
        <f>IFERROR(INDEX(KC_CURVAS!$H$5:$H$15,MATCH("SOJA|"&amp;$G91,KC_CURVAS!$K$5:$K$15,0)),IFERROR(INDEX(KC_CURVAS!$H$5:$H$15,MATCH("SOJA"&amp;"|",KC_CURVAS!$K$5:$K$15,0)),""))</f>
        <v/>
      </c>
      <c r="R91" s="11">
        <f>IFERROR(INDEX(KC_CURVAS!$I$5:$I$15,MATCH("SOJA|"&amp;$G91,KC_CURVAS!$K$5:$K$15,0)),IFERROR(INDEX(KC_CURVAS!$I$5:$I$15,MATCH("SOJA"&amp;"|",KC_CURVAS!$K$5:$K$15,0)),""))</f>
        <v/>
      </c>
      <c r="S91" s="12">
        <f>IF(OR($K91="",$L91=""),"PENDENTE",IF($K91&lt;=$L91,$P91,IF($K91&lt;=$L91+$M91,$P91+($Q91-$P91)*($K91-$L91)/$M91,IF($K91&lt;=$L91+$M91+$N91,$Q91,IF($K91&lt;=$L91+$M91+$N91+$O91,$Q91+($R91-$Q91)*($K91-($L91+$M91+$N91))/$O91,$R91)))))</f>
        <v/>
      </c>
      <c r="T91" s="13">
        <f>IF($I91="","",$I91)</f>
        <v/>
      </c>
      <c r="U91" s="14">
        <f>IF($T91="","",SUMIFS(ETO_DIARIO!$B$5:$B$404,ETO_DIARIO!$A$5:$A$404,"&gt;"&amp;$T91,ETO_DIARIO!$A$5:$A$404,"&lt;="&amp;DATA_REF))</f>
        <v/>
      </c>
      <c r="V91" s="14">
        <f>IF($T91="","",SUMIFS(ETO_DIARIO!$C$5:$C$404,ETO_DIARIO!$A$5:$A$404,"&gt;"&amp;$T91,ETO_DIARIO!$A$5:$A$404,"&lt;="&amp;DATA_REF))</f>
        <v/>
      </c>
      <c r="W91" s="14">
        <f>IF(OR($S91="",$S91="PENDENTE",$U91=""),"",$S91*$U91)</f>
        <v/>
      </c>
      <c r="X91" s="14">
        <f>IF($W91="","",MAX(0,$W91-N($V91)))</f>
        <v/>
      </c>
      <c r="Y91" s="14">
        <f>IF($X91="","",$X91/EF_APLIC)</f>
        <v/>
      </c>
      <c r="Z91" s="15" t="n">
        <v>150</v>
      </c>
      <c r="AA91" s="16">
        <f>IF(OR($Y91="",$Z91=""),"",$Y91*$Z91*10)</f>
        <v/>
      </c>
      <c r="AB91" s="17" t="n">
        <v>0.698</v>
      </c>
      <c r="AC91" s="16">
        <f>IF(OR($AA91="",$AB91=""),"",$AA91*$AB91)</f>
        <v/>
      </c>
      <c r="AD91" s="18">
        <f>IF($S91="PENDENTE","Definir classe/Kc",IF($Y91="","-",IF($Y91&gt;='PARAMETROS'!$B$7/EF_APLIC,"Irrigar",IF($Y91&gt;='PARAMETROS'!$B$7/EF_APLIC*FRAC_ACOMP,"Acompanhar","Aguardar"))))</f>
        <v/>
      </c>
      <c r="AE91" s="18">
        <f>IF(OR($Y91="",$Y91=0),"-",IF($Y91&gt;=2*'PARAMETROS'!$B$7/EF_APLIC,"Alta",IF($Y91&gt;='PARAMETROS'!$B$7/EF_APLIC,"Media","Baixa")))</f>
        <v/>
      </c>
    </row>
    <row r="92">
      <c r="A92" s="5" t="inlineStr">
        <is>
          <t>Pivô 114</t>
        </is>
      </c>
      <c r="B92" s="5" t="inlineStr">
        <is>
          <t>Rdm</t>
        </is>
      </c>
      <c r="C92" s="5" t="inlineStr">
        <is>
          <t>RM5</t>
        </is>
      </c>
      <c r="D92" s="5" t="inlineStr">
        <is>
          <t>RDM</t>
        </is>
      </c>
      <c r="E92" s="5" t="inlineStr">
        <is>
          <t>ALGODÃO</t>
        </is>
      </c>
      <c r="F92" s="6" t="inlineStr">
        <is>
          <t>FM 974 GLT</t>
        </is>
      </c>
      <c r="G92" s="7" t="inlineStr">
        <is>
          <t>MÉDIO</t>
        </is>
      </c>
      <c r="H92" s="5" t="inlineStr">
        <is>
          <t>proximo</t>
        </is>
      </c>
      <c r="I92" s="8" t="n">
        <v>46356</v>
      </c>
      <c r="J92" s="9">
        <f>IF($I92="","",DATA_REF-$I92)</f>
        <v/>
      </c>
      <c r="K92" s="9">
        <f>IF($J92="","",MAX(0,$J92-'PARAMETROS'!$B$11))</f>
        <v/>
      </c>
      <c r="L92" s="10">
        <f>IFERROR(INDEX(KC_CURVAS!$C$5:$C$15,MATCH("ALGODÃO|"&amp;$G92,KC_CURVAS!$K$5:$K$15,0)),IFERROR(INDEX(KC_CURVAS!$C$5:$C$15,MATCH("ALGODÃO"&amp;"|",KC_CURVAS!$K$5:$K$15,0)),""))</f>
        <v/>
      </c>
      <c r="M92" s="10">
        <f>IFERROR(INDEX(KC_CURVAS!$D$5:$D$15,MATCH("ALGODÃO|"&amp;$G92,KC_CURVAS!$K$5:$K$15,0)),IFERROR(INDEX(KC_CURVAS!$D$5:$D$15,MATCH("ALGODÃO"&amp;"|",KC_CURVAS!$K$5:$K$15,0)),""))</f>
        <v/>
      </c>
      <c r="N92" s="10">
        <f>IFERROR(INDEX(KC_CURVAS!$E$5:$E$15,MATCH("ALGODÃO|"&amp;$G92,KC_CURVAS!$K$5:$K$15,0)),IFERROR(INDEX(KC_CURVAS!$E$5:$E$15,MATCH("ALGODÃO"&amp;"|",KC_CURVAS!$K$5:$K$15,0)),""))</f>
        <v/>
      </c>
      <c r="O92" s="10">
        <f>IFERROR(INDEX(KC_CURVAS!$F$5:$F$15,MATCH("ALGODÃO|"&amp;$G92,KC_CURVAS!$K$5:$K$15,0)),IFERROR(INDEX(KC_CURVAS!$F$5:$F$15,MATCH("ALGODÃO"&amp;"|",KC_CURVAS!$K$5:$K$15,0)),""))</f>
        <v/>
      </c>
      <c r="P92" s="11">
        <f>IFERROR(INDEX(KC_CURVAS!$G$5:$G$15,MATCH("ALGODÃO|"&amp;$G92,KC_CURVAS!$K$5:$K$15,0)),IFERROR(INDEX(KC_CURVAS!$G$5:$G$15,MATCH("ALGODÃO"&amp;"|",KC_CURVAS!$K$5:$K$15,0)),""))</f>
        <v/>
      </c>
      <c r="Q92" s="11">
        <f>IFERROR(INDEX(KC_CURVAS!$H$5:$H$15,MATCH("ALGODÃO|"&amp;$G92,KC_CURVAS!$K$5:$K$15,0)),IFERROR(INDEX(KC_CURVAS!$H$5:$H$15,MATCH("ALGODÃO"&amp;"|",KC_CURVAS!$K$5:$K$15,0)),""))</f>
        <v/>
      </c>
      <c r="R92" s="11">
        <f>IFERROR(INDEX(KC_CURVAS!$I$5:$I$15,MATCH("ALGODÃO|"&amp;$G92,KC_CURVAS!$K$5:$K$15,0)),IFERROR(INDEX(KC_CURVAS!$I$5:$I$15,MATCH("ALGODÃO"&amp;"|",KC_CURVAS!$K$5:$K$15,0)),""))</f>
        <v/>
      </c>
      <c r="S92" s="12">
        <f>IF(OR($K92="",$L92=""),"PENDENTE",IF($K92&lt;=$L92,$P92,IF($K92&lt;=$L92+$M92,$P92+($Q92-$P92)*($K92-$L92)/$M92,IF($K92&lt;=$L92+$M92+$N92,$Q92,IF($K92&lt;=$L92+$M92+$N92+$O92,$Q92+($R92-$Q92)*($K92-($L92+$M92+$N92))/$O92,$R92)))))</f>
        <v/>
      </c>
      <c r="T92" s="13">
        <f>IF($I92="","",$I92)</f>
        <v/>
      </c>
      <c r="U92" s="14">
        <f>IF($T92="","",SUMIFS(ETO_DIARIO!$B$5:$B$404,ETO_DIARIO!$A$5:$A$404,"&gt;"&amp;$T92,ETO_DIARIO!$A$5:$A$404,"&lt;="&amp;DATA_REF))</f>
        <v/>
      </c>
      <c r="V92" s="14">
        <f>IF($T92="","",SUMIFS(ETO_DIARIO!$C$5:$C$404,ETO_DIARIO!$A$5:$A$404,"&gt;"&amp;$T92,ETO_DIARIO!$A$5:$A$404,"&lt;="&amp;DATA_REF))</f>
        <v/>
      </c>
      <c r="W92" s="14">
        <f>IF(OR($S92="",$S92="PENDENTE",$U92=""),"",$S92*$U92)</f>
        <v/>
      </c>
      <c r="X92" s="14">
        <f>IF($W92="","",MAX(0,$W92-N($V92)))</f>
        <v/>
      </c>
      <c r="Y92" s="14">
        <f>IF($X92="","",$X92/EF_APLIC)</f>
        <v/>
      </c>
      <c r="Z92" s="15" t="n">
        <v>120</v>
      </c>
      <c r="AA92" s="16">
        <f>IF(OR($Y92="",$Z92=""),"",$Y92*$Z92*10)</f>
        <v/>
      </c>
      <c r="AB92" s="17" t="n">
        <v>0.711</v>
      </c>
      <c r="AC92" s="16">
        <f>IF(OR($AA92="",$AB92=""),"",$AA92*$AB92)</f>
        <v/>
      </c>
      <c r="AD92" s="18">
        <f>IF($S92="PENDENTE","Definir classe/Kc",IF($Y92="","-",IF($Y92&gt;='PARAMETROS'!$B$7/EF_APLIC,"Irrigar",IF($Y92&gt;='PARAMETROS'!$B$7/EF_APLIC*FRAC_ACOMP,"Acompanhar","Aguardar"))))</f>
        <v/>
      </c>
      <c r="AE92" s="18">
        <f>IF(OR($Y92="",$Y92=0),"-",IF($Y92&gt;=2*'PARAMETROS'!$B$7/EF_APLIC,"Alta",IF($Y92&gt;='PARAMETROS'!$B$7/EF_APLIC,"Media","Baixa")))</f>
        <v/>
      </c>
    </row>
    <row r="93">
      <c r="A93" s="5" t="inlineStr">
        <is>
          <t>Pivô 115</t>
        </is>
      </c>
      <c r="B93" s="5" t="inlineStr">
        <is>
          <t>Rdm</t>
        </is>
      </c>
      <c r="C93" s="5" t="inlineStr">
        <is>
          <t>RM5</t>
        </is>
      </c>
      <c r="D93" s="5" t="inlineStr">
        <is>
          <t>RDM</t>
        </is>
      </c>
      <c r="E93" s="5" t="inlineStr">
        <is>
          <t>ALGODÃO</t>
        </is>
      </c>
      <c r="F93" s="6" t="inlineStr">
        <is>
          <t>IMA 5901 B2RF</t>
        </is>
      </c>
      <c r="G93" s="7" t="inlineStr">
        <is>
          <t>MÉDIO</t>
        </is>
      </c>
      <c r="H93" s="5" t="inlineStr">
        <is>
          <t>proximo</t>
        </is>
      </c>
      <c r="I93" s="8" t="n">
        <v>46356</v>
      </c>
      <c r="J93" s="9">
        <f>IF($I93="","",DATA_REF-$I93)</f>
        <v/>
      </c>
      <c r="K93" s="9">
        <f>IF($J93="","",MAX(0,$J93-'PARAMETROS'!$B$11))</f>
        <v/>
      </c>
      <c r="L93" s="10">
        <f>IFERROR(INDEX(KC_CURVAS!$C$5:$C$15,MATCH("ALGODÃO|"&amp;$G93,KC_CURVAS!$K$5:$K$15,0)),IFERROR(INDEX(KC_CURVAS!$C$5:$C$15,MATCH("ALGODÃO"&amp;"|",KC_CURVAS!$K$5:$K$15,0)),""))</f>
        <v/>
      </c>
      <c r="M93" s="10">
        <f>IFERROR(INDEX(KC_CURVAS!$D$5:$D$15,MATCH("ALGODÃO|"&amp;$G93,KC_CURVAS!$K$5:$K$15,0)),IFERROR(INDEX(KC_CURVAS!$D$5:$D$15,MATCH("ALGODÃO"&amp;"|",KC_CURVAS!$K$5:$K$15,0)),""))</f>
        <v/>
      </c>
      <c r="N93" s="10">
        <f>IFERROR(INDEX(KC_CURVAS!$E$5:$E$15,MATCH("ALGODÃO|"&amp;$G93,KC_CURVAS!$K$5:$K$15,0)),IFERROR(INDEX(KC_CURVAS!$E$5:$E$15,MATCH("ALGODÃO"&amp;"|",KC_CURVAS!$K$5:$K$15,0)),""))</f>
        <v/>
      </c>
      <c r="O93" s="10">
        <f>IFERROR(INDEX(KC_CURVAS!$F$5:$F$15,MATCH("ALGODÃO|"&amp;$G93,KC_CURVAS!$K$5:$K$15,0)),IFERROR(INDEX(KC_CURVAS!$F$5:$F$15,MATCH("ALGODÃO"&amp;"|",KC_CURVAS!$K$5:$K$15,0)),""))</f>
        <v/>
      </c>
      <c r="P93" s="11">
        <f>IFERROR(INDEX(KC_CURVAS!$G$5:$G$15,MATCH("ALGODÃO|"&amp;$G93,KC_CURVAS!$K$5:$K$15,0)),IFERROR(INDEX(KC_CURVAS!$G$5:$G$15,MATCH("ALGODÃO"&amp;"|",KC_CURVAS!$K$5:$K$15,0)),""))</f>
        <v/>
      </c>
      <c r="Q93" s="11">
        <f>IFERROR(INDEX(KC_CURVAS!$H$5:$H$15,MATCH("ALGODÃO|"&amp;$G93,KC_CURVAS!$K$5:$K$15,0)),IFERROR(INDEX(KC_CURVAS!$H$5:$H$15,MATCH("ALGODÃO"&amp;"|",KC_CURVAS!$K$5:$K$15,0)),""))</f>
        <v/>
      </c>
      <c r="R93" s="11">
        <f>IFERROR(INDEX(KC_CURVAS!$I$5:$I$15,MATCH("ALGODÃO|"&amp;$G93,KC_CURVAS!$K$5:$K$15,0)),IFERROR(INDEX(KC_CURVAS!$I$5:$I$15,MATCH("ALGODÃO"&amp;"|",KC_CURVAS!$K$5:$K$15,0)),""))</f>
        <v/>
      </c>
      <c r="S93" s="12">
        <f>IF(OR($K93="",$L93=""),"PENDENTE",IF($K93&lt;=$L93,$P93,IF($K93&lt;=$L93+$M93,$P93+($Q93-$P93)*($K93-$L93)/$M93,IF($K93&lt;=$L93+$M93+$N93,$Q93,IF($K93&lt;=$L93+$M93+$N93+$O93,$Q93+($R93-$Q93)*($K93-($L93+$M93+$N93))/$O93,$R93)))))</f>
        <v/>
      </c>
      <c r="T93" s="13">
        <f>IF($I93="","",$I93)</f>
        <v/>
      </c>
      <c r="U93" s="14">
        <f>IF($T93="","",SUMIFS(ETO_DIARIO!$B$5:$B$404,ETO_DIARIO!$A$5:$A$404,"&gt;"&amp;$T93,ETO_DIARIO!$A$5:$A$404,"&lt;="&amp;DATA_REF))</f>
        <v/>
      </c>
      <c r="V93" s="14">
        <f>IF($T93="","",SUMIFS(ETO_DIARIO!$C$5:$C$404,ETO_DIARIO!$A$5:$A$404,"&gt;"&amp;$T93,ETO_DIARIO!$A$5:$A$404,"&lt;="&amp;DATA_REF))</f>
        <v/>
      </c>
      <c r="W93" s="14">
        <f>IF(OR($S93="",$S93="PENDENTE",$U93=""),"",$S93*$U93)</f>
        <v/>
      </c>
      <c r="X93" s="14">
        <f>IF($W93="","",MAX(0,$W93-N($V93)))</f>
        <v/>
      </c>
      <c r="Y93" s="14">
        <f>IF($X93="","",$X93/EF_APLIC)</f>
        <v/>
      </c>
      <c r="Z93" s="15" t="n">
        <v>150</v>
      </c>
      <c r="AA93" s="16">
        <f>IF(OR($Y93="",$Z93=""),"",$Y93*$Z93*10)</f>
        <v/>
      </c>
      <c r="AB93" s="17" t="n">
        <v>0.698</v>
      </c>
      <c r="AC93" s="16">
        <f>IF(OR($AA93="",$AB93=""),"",$AA93*$AB93)</f>
        <v/>
      </c>
      <c r="AD93" s="18">
        <f>IF($S93="PENDENTE","Definir classe/Kc",IF($Y93="","-",IF($Y93&gt;='PARAMETROS'!$B$7/EF_APLIC,"Irrigar",IF($Y93&gt;='PARAMETROS'!$B$7/EF_APLIC*FRAC_ACOMP,"Acompanhar","Aguardar"))))</f>
        <v/>
      </c>
      <c r="AE93" s="18">
        <f>IF(OR($Y93="",$Y93=0),"-",IF($Y93&gt;=2*'PARAMETROS'!$B$7/EF_APLIC,"Alta",IF($Y93&gt;='PARAMETROS'!$B$7/EF_APLIC,"Media","Baixa")))</f>
        <v/>
      </c>
    </row>
    <row r="94">
      <c r="A94" s="5" t="inlineStr">
        <is>
          <t>Pivô 116</t>
        </is>
      </c>
      <c r="B94" s="5" t="inlineStr">
        <is>
          <t>Rdm</t>
        </is>
      </c>
      <c r="C94" s="5" t="inlineStr">
        <is>
          <t>RM6</t>
        </is>
      </c>
      <c r="D94" s="5" t="inlineStr">
        <is>
          <t>RDM</t>
        </is>
      </c>
      <c r="E94" s="5" t="inlineStr">
        <is>
          <t>ALGODÃO</t>
        </is>
      </c>
      <c r="F94" s="6" t="inlineStr">
        <is>
          <t>FM 974 GLT</t>
        </is>
      </c>
      <c r="G94" s="7" t="inlineStr">
        <is>
          <t>MÉDIO</t>
        </is>
      </c>
      <c r="H94" s="5" t="inlineStr">
        <is>
          <t>proximo</t>
        </is>
      </c>
      <c r="I94" s="8" t="n">
        <v>46355</v>
      </c>
      <c r="J94" s="9">
        <f>IF($I94="","",DATA_REF-$I94)</f>
        <v/>
      </c>
      <c r="K94" s="9">
        <f>IF($J94="","",MAX(0,$J94-'PARAMETROS'!$B$11))</f>
        <v/>
      </c>
      <c r="L94" s="10">
        <f>IFERROR(INDEX(KC_CURVAS!$C$5:$C$15,MATCH("ALGODÃO|"&amp;$G94,KC_CURVAS!$K$5:$K$15,0)),IFERROR(INDEX(KC_CURVAS!$C$5:$C$15,MATCH("ALGODÃO"&amp;"|",KC_CURVAS!$K$5:$K$15,0)),""))</f>
        <v/>
      </c>
      <c r="M94" s="10">
        <f>IFERROR(INDEX(KC_CURVAS!$D$5:$D$15,MATCH("ALGODÃO|"&amp;$G94,KC_CURVAS!$K$5:$K$15,0)),IFERROR(INDEX(KC_CURVAS!$D$5:$D$15,MATCH("ALGODÃO"&amp;"|",KC_CURVAS!$K$5:$K$15,0)),""))</f>
        <v/>
      </c>
      <c r="N94" s="10">
        <f>IFERROR(INDEX(KC_CURVAS!$E$5:$E$15,MATCH("ALGODÃO|"&amp;$G94,KC_CURVAS!$K$5:$K$15,0)),IFERROR(INDEX(KC_CURVAS!$E$5:$E$15,MATCH("ALGODÃO"&amp;"|",KC_CURVAS!$K$5:$K$15,0)),""))</f>
        <v/>
      </c>
      <c r="O94" s="10">
        <f>IFERROR(INDEX(KC_CURVAS!$F$5:$F$15,MATCH("ALGODÃO|"&amp;$G94,KC_CURVAS!$K$5:$K$15,0)),IFERROR(INDEX(KC_CURVAS!$F$5:$F$15,MATCH("ALGODÃO"&amp;"|",KC_CURVAS!$K$5:$K$15,0)),""))</f>
        <v/>
      </c>
      <c r="P94" s="11">
        <f>IFERROR(INDEX(KC_CURVAS!$G$5:$G$15,MATCH("ALGODÃO|"&amp;$G94,KC_CURVAS!$K$5:$K$15,0)),IFERROR(INDEX(KC_CURVAS!$G$5:$G$15,MATCH("ALGODÃO"&amp;"|",KC_CURVAS!$K$5:$K$15,0)),""))</f>
        <v/>
      </c>
      <c r="Q94" s="11">
        <f>IFERROR(INDEX(KC_CURVAS!$H$5:$H$15,MATCH("ALGODÃO|"&amp;$G94,KC_CURVAS!$K$5:$K$15,0)),IFERROR(INDEX(KC_CURVAS!$H$5:$H$15,MATCH("ALGODÃO"&amp;"|",KC_CURVAS!$K$5:$K$15,0)),""))</f>
        <v/>
      </c>
      <c r="R94" s="11">
        <f>IFERROR(INDEX(KC_CURVAS!$I$5:$I$15,MATCH("ALGODÃO|"&amp;$G94,KC_CURVAS!$K$5:$K$15,0)),IFERROR(INDEX(KC_CURVAS!$I$5:$I$15,MATCH("ALGODÃO"&amp;"|",KC_CURVAS!$K$5:$K$15,0)),""))</f>
        <v/>
      </c>
      <c r="S94" s="12">
        <f>IF(OR($K94="",$L94=""),"PENDENTE",IF($K94&lt;=$L94,$P94,IF($K94&lt;=$L94+$M94,$P94+($Q94-$P94)*($K94-$L94)/$M94,IF($K94&lt;=$L94+$M94+$N94,$Q94,IF($K94&lt;=$L94+$M94+$N94+$O94,$Q94+($R94-$Q94)*($K94-($L94+$M94+$N94))/$O94,$R94)))))</f>
        <v/>
      </c>
      <c r="T94" s="13">
        <f>IF($I94="","",$I94)</f>
        <v/>
      </c>
      <c r="U94" s="14">
        <f>IF($T94="","",SUMIFS(ETO_DIARIO!$B$5:$B$404,ETO_DIARIO!$A$5:$A$404,"&gt;"&amp;$T94,ETO_DIARIO!$A$5:$A$404,"&lt;="&amp;DATA_REF))</f>
        <v/>
      </c>
      <c r="V94" s="14">
        <f>IF($T94="","",SUMIFS(ETO_DIARIO!$C$5:$C$404,ETO_DIARIO!$A$5:$A$404,"&gt;"&amp;$T94,ETO_DIARIO!$A$5:$A$404,"&lt;="&amp;DATA_REF))</f>
        <v/>
      </c>
      <c r="W94" s="14">
        <f>IF(OR($S94="",$S94="PENDENTE",$U94=""),"",$S94*$U94)</f>
        <v/>
      </c>
      <c r="X94" s="14">
        <f>IF($W94="","",MAX(0,$W94-N($V94)))</f>
        <v/>
      </c>
      <c r="Y94" s="14">
        <f>IF($X94="","",$X94/EF_APLIC)</f>
        <v/>
      </c>
      <c r="Z94" s="15" t="n">
        <v>150</v>
      </c>
      <c r="AA94" s="16">
        <f>IF(OR($Y94="",$Z94=""),"",$Y94*$Z94*10)</f>
        <v/>
      </c>
      <c r="AB94" s="17" t="n">
        <v>0.702</v>
      </c>
      <c r="AC94" s="16">
        <f>IF(OR($AA94="",$AB94=""),"",$AA94*$AB94)</f>
        <v/>
      </c>
      <c r="AD94" s="18">
        <f>IF($S94="PENDENTE","Definir classe/Kc",IF($Y94="","-",IF($Y94&gt;='PARAMETROS'!$B$7/EF_APLIC,"Irrigar",IF($Y94&gt;='PARAMETROS'!$B$7/EF_APLIC*FRAC_ACOMP,"Acompanhar","Aguardar"))))</f>
        <v/>
      </c>
      <c r="AE94" s="18">
        <f>IF(OR($Y94="",$Y94=0),"-",IF($Y94&gt;=2*'PARAMETROS'!$B$7/EF_APLIC,"Alta",IF($Y94&gt;='PARAMETROS'!$B$7/EF_APLIC,"Media","Baixa")))</f>
        <v/>
      </c>
    </row>
    <row r="95">
      <c r="A95" s="5" t="inlineStr">
        <is>
          <t>Pivô 117</t>
        </is>
      </c>
      <c r="B95" s="5" t="inlineStr">
        <is>
          <t>Rdm</t>
        </is>
      </c>
      <c r="C95" s="5" t="inlineStr">
        <is>
          <t>RM6</t>
        </is>
      </c>
      <c r="D95" s="5" t="inlineStr">
        <is>
          <t>RDM</t>
        </is>
      </c>
      <c r="E95" s="5" t="inlineStr">
        <is>
          <t>ALGODÃO</t>
        </is>
      </c>
      <c r="F95" s="6" t="inlineStr">
        <is>
          <t>IMA 5901 B2RF</t>
        </is>
      </c>
      <c r="G95" s="7" t="inlineStr">
        <is>
          <t>MÉDIO</t>
        </is>
      </c>
      <c r="H95" s="5" t="inlineStr">
        <is>
          <t>proximo</t>
        </is>
      </c>
      <c r="I95" s="8" t="n">
        <v>46356</v>
      </c>
      <c r="J95" s="9">
        <f>IF($I95="","",DATA_REF-$I95)</f>
        <v/>
      </c>
      <c r="K95" s="9">
        <f>IF($J95="","",MAX(0,$J95-'PARAMETROS'!$B$11))</f>
        <v/>
      </c>
      <c r="L95" s="10">
        <f>IFERROR(INDEX(KC_CURVAS!$C$5:$C$15,MATCH("ALGODÃO|"&amp;$G95,KC_CURVAS!$K$5:$K$15,0)),IFERROR(INDEX(KC_CURVAS!$C$5:$C$15,MATCH("ALGODÃO"&amp;"|",KC_CURVAS!$K$5:$K$15,0)),""))</f>
        <v/>
      </c>
      <c r="M95" s="10">
        <f>IFERROR(INDEX(KC_CURVAS!$D$5:$D$15,MATCH("ALGODÃO|"&amp;$G95,KC_CURVAS!$K$5:$K$15,0)),IFERROR(INDEX(KC_CURVAS!$D$5:$D$15,MATCH("ALGODÃO"&amp;"|",KC_CURVAS!$K$5:$K$15,0)),""))</f>
        <v/>
      </c>
      <c r="N95" s="10">
        <f>IFERROR(INDEX(KC_CURVAS!$E$5:$E$15,MATCH("ALGODÃO|"&amp;$G95,KC_CURVAS!$K$5:$K$15,0)),IFERROR(INDEX(KC_CURVAS!$E$5:$E$15,MATCH("ALGODÃO"&amp;"|",KC_CURVAS!$K$5:$K$15,0)),""))</f>
        <v/>
      </c>
      <c r="O95" s="10">
        <f>IFERROR(INDEX(KC_CURVAS!$F$5:$F$15,MATCH("ALGODÃO|"&amp;$G95,KC_CURVAS!$K$5:$K$15,0)),IFERROR(INDEX(KC_CURVAS!$F$5:$F$15,MATCH("ALGODÃO"&amp;"|",KC_CURVAS!$K$5:$K$15,0)),""))</f>
        <v/>
      </c>
      <c r="P95" s="11">
        <f>IFERROR(INDEX(KC_CURVAS!$G$5:$G$15,MATCH("ALGODÃO|"&amp;$G95,KC_CURVAS!$K$5:$K$15,0)),IFERROR(INDEX(KC_CURVAS!$G$5:$G$15,MATCH("ALGODÃO"&amp;"|",KC_CURVAS!$K$5:$K$15,0)),""))</f>
        <v/>
      </c>
      <c r="Q95" s="11">
        <f>IFERROR(INDEX(KC_CURVAS!$H$5:$H$15,MATCH("ALGODÃO|"&amp;$G95,KC_CURVAS!$K$5:$K$15,0)),IFERROR(INDEX(KC_CURVAS!$H$5:$H$15,MATCH("ALGODÃO"&amp;"|",KC_CURVAS!$K$5:$K$15,0)),""))</f>
        <v/>
      </c>
      <c r="R95" s="11">
        <f>IFERROR(INDEX(KC_CURVAS!$I$5:$I$15,MATCH("ALGODÃO|"&amp;$G95,KC_CURVAS!$K$5:$K$15,0)),IFERROR(INDEX(KC_CURVAS!$I$5:$I$15,MATCH("ALGODÃO"&amp;"|",KC_CURVAS!$K$5:$K$15,0)),""))</f>
        <v/>
      </c>
      <c r="S95" s="12">
        <f>IF(OR($K95="",$L95=""),"PENDENTE",IF($K95&lt;=$L95,$P95,IF($K95&lt;=$L95+$M95,$P95+($Q95-$P95)*($K95-$L95)/$M95,IF($K95&lt;=$L95+$M95+$N95,$Q95,IF($K95&lt;=$L95+$M95+$N95+$O95,$Q95+($R95-$Q95)*($K95-($L95+$M95+$N95))/$O95,$R95)))))</f>
        <v/>
      </c>
      <c r="T95" s="13">
        <f>IF($I95="","",$I95)</f>
        <v/>
      </c>
      <c r="U95" s="14">
        <f>IF($T95="","",SUMIFS(ETO_DIARIO!$B$5:$B$404,ETO_DIARIO!$A$5:$A$404,"&gt;"&amp;$T95,ETO_DIARIO!$A$5:$A$404,"&lt;="&amp;DATA_REF))</f>
        <v/>
      </c>
      <c r="V95" s="14">
        <f>IF($T95="","",SUMIFS(ETO_DIARIO!$C$5:$C$404,ETO_DIARIO!$A$5:$A$404,"&gt;"&amp;$T95,ETO_DIARIO!$A$5:$A$404,"&lt;="&amp;DATA_REF))</f>
        <v/>
      </c>
      <c r="W95" s="14">
        <f>IF(OR($S95="",$S95="PENDENTE",$U95=""),"",$S95*$U95)</f>
        <v/>
      </c>
      <c r="X95" s="14">
        <f>IF($W95="","",MAX(0,$W95-N($V95)))</f>
        <v/>
      </c>
      <c r="Y95" s="14">
        <f>IF($X95="","",$X95/EF_APLIC)</f>
        <v/>
      </c>
      <c r="Z95" s="15" t="n">
        <v>150</v>
      </c>
      <c r="AA95" s="16">
        <f>IF(OR($Y95="",$Z95=""),"",$Y95*$Z95*10)</f>
        <v/>
      </c>
      <c r="AB95" s="17" t="n">
        <v>0.698</v>
      </c>
      <c r="AC95" s="16">
        <f>IF(OR($AA95="",$AB95=""),"",$AA95*$AB95)</f>
        <v/>
      </c>
      <c r="AD95" s="18">
        <f>IF($S95="PENDENTE","Definir classe/Kc",IF($Y95="","-",IF($Y95&gt;='PARAMETROS'!$B$7/EF_APLIC,"Irrigar",IF($Y95&gt;='PARAMETROS'!$B$7/EF_APLIC*FRAC_ACOMP,"Acompanhar","Aguardar"))))</f>
        <v/>
      </c>
      <c r="AE95" s="18">
        <f>IF(OR($Y95="",$Y95=0),"-",IF($Y95&gt;=2*'PARAMETROS'!$B$7/EF_APLIC,"Alta",IF($Y95&gt;='PARAMETROS'!$B$7/EF_APLIC,"Media","Baixa")))</f>
        <v/>
      </c>
    </row>
    <row r="96">
      <c r="A96" s="5" t="inlineStr">
        <is>
          <t>Pivô 118</t>
        </is>
      </c>
      <c r="B96" s="5" t="inlineStr">
        <is>
          <t>Rdm</t>
        </is>
      </c>
      <c r="C96" s="5" t="inlineStr">
        <is>
          <t>RM6</t>
        </is>
      </c>
      <c r="D96" s="5" t="inlineStr">
        <is>
          <t>RDM</t>
        </is>
      </c>
      <c r="E96" s="5" t="inlineStr">
        <is>
          <t>TABACO</t>
        </is>
      </c>
      <c r="F96" s="6" t="inlineStr">
        <is>
          <t>PVH-2343</t>
        </is>
      </c>
      <c r="G96" s="7" t="inlineStr"/>
      <c r="H96" s="5" t="inlineStr">
        <is>
          <t>proximo</t>
        </is>
      </c>
      <c r="I96" s="8" t="n">
        <v>46389</v>
      </c>
      <c r="J96" s="9">
        <f>IF($I96="","",DATA_REF-$I96)</f>
        <v/>
      </c>
      <c r="K96" s="9">
        <f>IF($J96="","",MAX(0,$J96-'PARAMETROS'!$B$11))</f>
        <v/>
      </c>
      <c r="L96" s="10">
        <f>IFERROR(INDEX(KC_CURVAS!$C$5:$C$15,MATCH("TABACO|"&amp;$G96,KC_CURVAS!$K$5:$K$15,0)),IFERROR(INDEX(KC_CURVAS!$C$5:$C$15,MATCH("TABACO"&amp;"|",KC_CURVAS!$K$5:$K$15,0)),""))</f>
        <v/>
      </c>
      <c r="M96" s="10">
        <f>IFERROR(INDEX(KC_CURVAS!$D$5:$D$15,MATCH("TABACO|"&amp;$G96,KC_CURVAS!$K$5:$K$15,0)),IFERROR(INDEX(KC_CURVAS!$D$5:$D$15,MATCH("TABACO"&amp;"|",KC_CURVAS!$K$5:$K$15,0)),""))</f>
        <v/>
      </c>
      <c r="N96" s="10">
        <f>IFERROR(INDEX(KC_CURVAS!$E$5:$E$15,MATCH("TABACO|"&amp;$G96,KC_CURVAS!$K$5:$K$15,0)),IFERROR(INDEX(KC_CURVAS!$E$5:$E$15,MATCH("TABACO"&amp;"|",KC_CURVAS!$K$5:$K$15,0)),""))</f>
        <v/>
      </c>
      <c r="O96" s="10">
        <f>IFERROR(INDEX(KC_CURVAS!$F$5:$F$15,MATCH("TABACO|"&amp;$G96,KC_CURVAS!$K$5:$K$15,0)),IFERROR(INDEX(KC_CURVAS!$F$5:$F$15,MATCH("TABACO"&amp;"|",KC_CURVAS!$K$5:$K$15,0)),""))</f>
        <v/>
      </c>
      <c r="P96" s="11">
        <f>IFERROR(INDEX(KC_CURVAS!$G$5:$G$15,MATCH("TABACO|"&amp;$G96,KC_CURVAS!$K$5:$K$15,0)),IFERROR(INDEX(KC_CURVAS!$G$5:$G$15,MATCH("TABACO"&amp;"|",KC_CURVAS!$K$5:$K$15,0)),""))</f>
        <v/>
      </c>
      <c r="Q96" s="11">
        <f>IFERROR(INDEX(KC_CURVAS!$H$5:$H$15,MATCH("TABACO|"&amp;$G96,KC_CURVAS!$K$5:$K$15,0)),IFERROR(INDEX(KC_CURVAS!$H$5:$H$15,MATCH("TABACO"&amp;"|",KC_CURVAS!$K$5:$K$15,0)),""))</f>
        <v/>
      </c>
      <c r="R96" s="11">
        <f>IFERROR(INDEX(KC_CURVAS!$I$5:$I$15,MATCH("TABACO|"&amp;$G96,KC_CURVAS!$K$5:$K$15,0)),IFERROR(INDEX(KC_CURVAS!$I$5:$I$15,MATCH("TABACO"&amp;"|",KC_CURVAS!$K$5:$K$15,0)),""))</f>
        <v/>
      </c>
      <c r="S96" s="12">
        <f>IF(OR($K96="",$L96=""),"PENDENTE",IF($K96&lt;=$L96,$P96,IF($K96&lt;=$L96+$M96,$P96+($Q96-$P96)*($K96-$L96)/$M96,IF($K96&lt;=$L96+$M96+$N96,$Q96,IF($K96&lt;=$L96+$M96+$N96+$O96,$Q96+($R96-$Q96)*($K96-($L96+$M96+$N96))/$O96,$R96)))))</f>
        <v/>
      </c>
      <c r="T96" s="13">
        <f>IF($I96="","",$I96)</f>
        <v/>
      </c>
      <c r="U96" s="14">
        <f>IF($T96="","",SUMIFS(ETO_DIARIO!$B$5:$B$404,ETO_DIARIO!$A$5:$A$404,"&gt;"&amp;$T96,ETO_DIARIO!$A$5:$A$404,"&lt;="&amp;DATA_REF))</f>
        <v/>
      </c>
      <c r="V96" s="14">
        <f>IF($T96="","",SUMIFS(ETO_DIARIO!$C$5:$C$404,ETO_DIARIO!$A$5:$A$404,"&gt;"&amp;$T96,ETO_DIARIO!$A$5:$A$404,"&lt;="&amp;DATA_REF))</f>
        <v/>
      </c>
      <c r="W96" s="14">
        <f>IF(OR($S96="",$S96="PENDENTE",$U96=""),"",$S96*$U96)</f>
        <v/>
      </c>
      <c r="X96" s="14">
        <f>IF($W96="","",MAX(0,$W96-N($V96)))</f>
        <v/>
      </c>
      <c r="Y96" s="14">
        <f>IF($X96="","",$X96/EF_APLIC)</f>
        <v/>
      </c>
      <c r="Z96" s="15" t="n">
        <v>147</v>
      </c>
      <c r="AA96" s="16">
        <f>IF(OR($Y96="",$Z96=""),"",$Y96*$Z96*10)</f>
        <v/>
      </c>
      <c r="AB96" s="17" t="n">
        <v>0.703</v>
      </c>
      <c r="AC96" s="16">
        <f>IF(OR($AA96="",$AB96=""),"",$AA96*$AB96)</f>
        <v/>
      </c>
      <c r="AD96" s="18">
        <f>IF($S96="PENDENTE","Definir classe/Kc",IF($Y96="","-",IF($Y96&gt;='PARAMETROS'!$B$7/EF_APLIC,"Irrigar",IF($Y96&gt;='PARAMETROS'!$B$7/EF_APLIC*FRAC_ACOMP,"Acompanhar","Aguardar"))))</f>
        <v/>
      </c>
      <c r="AE96" s="18">
        <f>IF(OR($Y96="",$Y96=0),"-",IF($Y96&gt;=2*'PARAMETROS'!$B$7/EF_APLIC,"Alta",IF($Y96&gt;='PARAMETROS'!$B$7/EF_APLIC,"Media","Baixa")))</f>
        <v/>
      </c>
    </row>
    <row r="97">
      <c r="A97" s="5" t="inlineStr">
        <is>
          <t>Pivô 119</t>
        </is>
      </c>
      <c r="B97" s="5" t="inlineStr">
        <is>
          <t>Rdm</t>
        </is>
      </c>
      <c r="C97" s="5" t="inlineStr">
        <is>
          <t>RM6</t>
        </is>
      </c>
      <c r="D97" s="5" t="inlineStr">
        <is>
          <t>RDM</t>
        </is>
      </c>
      <c r="E97" s="5" t="inlineStr">
        <is>
          <t>TABACO</t>
        </is>
      </c>
      <c r="F97" s="6" t="inlineStr">
        <is>
          <t>PVH-2343</t>
        </is>
      </c>
      <c r="G97" s="7" t="inlineStr"/>
      <c r="H97" s="5" t="inlineStr">
        <is>
          <t>proximo</t>
        </is>
      </c>
      <c r="I97" s="8" t="n">
        <v>46380</v>
      </c>
      <c r="J97" s="9">
        <f>IF($I97="","",DATA_REF-$I97)</f>
        <v/>
      </c>
      <c r="K97" s="9">
        <f>IF($J97="","",MAX(0,$J97-'PARAMETROS'!$B$11))</f>
        <v/>
      </c>
      <c r="L97" s="10">
        <f>IFERROR(INDEX(KC_CURVAS!$C$5:$C$15,MATCH("TABACO|"&amp;$G97,KC_CURVAS!$K$5:$K$15,0)),IFERROR(INDEX(KC_CURVAS!$C$5:$C$15,MATCH("TABACO"&amp;"|",KC_CURVAS!$K$5:$K$15,0)),""))</f>
        <v/>
      </c>
      <c r="M97" s="10">
        <f>IFERROR(INDEX(KC_CURVAS!$D$5:$D$15,MATCH("TABACO|"&amp;$G97,KC_CURVAS!$K$5:$K$15,0)),IFERROR(INDEX(KC_CURVAS!$D$5:$D$15,MATCH("TABACO"&amp;"|",KC_CURVAS!$K$5:$K$15,0)),""))</f>
        <v/>
      </c>
      <c r="N97" s="10">
        <f>IFERROR(INDEX(KC_CURVAS!$E$5:$E$15,MATCH("TABACO|"&amp;$G97,KC_CURVAS!$K$5:$K$15,0)),IFERROR(INDEX(KC_CURVAS!$E$5:$E$15,MATCH("TABACO"&amp;"|",KC_CURVAS!$K$5:$K$15,0)),""))</f>
        <v/>
      </c>
      <c r="O97" s="10">
        <f>IFERROR(INDEX(KC_CURVAS!$F$5:$F$15,MATCH("TABACO|"&amp;$G97,KC_CURVAS!$K$5:$K$15,0)),IFERROR(INDEX(KC_CURVAS!$F$5:$F$15,MATCH("TABACO"&amp;"|",KC_CURVAS!$K$5:$K$15,0)),""))</f>
        <v/>
      </c>
      <c r="P97" s="11">
        <f>IFERROR(INDEX(KC_CURVAS!$G$5:$G$15,MATCH("TABACO|"&amp;$G97,KC_CURVAS!$K$5:$K$15,0)),IFERROR(INDEX(KC_CURVAS!$G$5:$G$15,MATCH("TABACO"&amp;"|",KC_CURVAS!$K$5:$K$15,0)),""))</f>
        <v/>
      </c>
      <c r="Q97" s="11">
        <f>IFERROR(INDEX(KC_CURVAS!$H$5:$H$15,MATCH("TABACO|"&amp;$G97,KC_CURVAS!$K$5:$K$15,0)),IFERROR(INDEX(KC_CURVAS!$H$5:$H$15,MATCH("TABACO"&amp;"|",KC_CURVAS!$K$5:$K$15,0)),""))</f>
        <v/>
      </c>
      <c r="R97" s="11">
        <f>IFERROR(INDEX(KC_CURVAS!$I$5:$I$15,MATCH("TABACO|"&amp;$G97,KC_CURVAS!$K$5:$K$15,0)),IFERROR(INDEX(KC_CURVAS!$I$5:$I$15,MATCH("TABACO"&amp;"|",KC_CURVAS!$K$5:$K$15,0)),""))</f>
        <v/>
      </c>
      <c r="S97" s="12">
        <f>IF(OR($K97="",$L97=""),"PENDENTE",IF($K97&lt;=$L97,$P97,IF($K97&lt;=$L97+$M97,$P97+($Q97-$P97)*($K97-$L97)/$M97,IF($K97&lt;=$L97+$M97+$N97,$Q97,IF($K97&lt;=$L97+$M97+$N97+$O97,$Q97+($R97-$Q97)*($K97-($L97+$M97+$N97))/$O97,$R97)))))</f>
        <v/>
      </c>
      <c r="T97" s="13">
        <f>IF($I97="","",$I97)</f>
        <v/>
      </c>
      <c r="U97" s="14">
        <f>IF($T97="","",SUMIFS(ETO_DIARIO!$B$5:$B$404,ETO_DIARIO!$A$5:$A$404,"&gt;"&amp;$T97,ETO_DIARIO!$A$5:$A$404,"&lt;="&amp;DATA_REF))</f>
        <v/>
      </c>
      <c r="V97" s="14">
        <f>IF($T97="","",SUMIFS(ETO_DIARIO!$C$5:$C$404,ETO_DIARIO!$A$5:$A$404,"&gt;"&amp;$T97,ETO_DIARIO!$A$5:$A$404,"&lt;="&amp;DATA_REF))</f>
        <v/>
      </c>
      <c r="W97" s="14">
        <f>IF(OR($S97="",$S97="PENDENTE",$U97=""),"",$S97*$U97)</f>
        <v/>
      </c>
      <c r="X97" s="14">
        <f>IF($W97="","",MAX(0,$W97-N($V97)))</f>
        <v/>
      </c>
      <c r="Y97" s="14">
        <f>IF($X97="","",$X97/EF_APLIC)</f>
        <v/>
      </c>
      <c r="Z97" s="15" t="n">
        <v>150</v>
      </c>
      <c r="AA97" s="16">
        <f>IF(OR($Y97="",$Z97=""),"",$Y97*$Z97*10)</f>
        <v/>
      </c>
      <c r="AB97" s="17" t="n">
        <v>0.724</v>
      </c>
      <c r="AC97" s="16">
        <f>IF(OR($AA97="",$AB97=""),"",$AA97*$AB97)</f>
        <v/>
      </c>
      <c r="AD97" s="18">
        <f>IF($S97="PENDENTE","Definir classe/Kc",IF($Y97="","-",IF($Y97&gt;='PARAMETROS'!$B$7/EF_APLIC,"Irrigar",IF($Y97&gt;='PARAMETROS'!$B$7/EF_APLIC*FRAC_ACOMP,"Acompanhar","Aguardar"))))</f>
        <v/>
      </c>
      <c r="AE97" s="18">
        <f>IF(OR($Y97="",$Y97=0),"-",IF($Y97&gt;=2*'PARAMETROS'!$B$7/EF_APLIC,"Alta",IF($Y97&gt;='PARAMETROS'!$B$7/EF_APLIC,"Media","Baixa")))</f>
        <v/>
      </c>
    </row>
    <row r="98">
      <c r="A98" s="5" t="inlineStr">
        <is>
          <t>Pivô 120</t>
        </is>
      </c>
      <c r="B98" s="5" t="inlineStr">
        <is>
          <t>Rdm</t>
        </is>
      </c>
      <c r="C98" s="5" t="inlineStr">
        <is>
          <t>RM7</t>
        </is>
      </c>
      <c r="D98" s="5" t="inlineStr">
        <is>
          <t>RDM</t>
        </is>
      </c>
      <c r="E98" s="5" t="inlineStr">
        <is>
          <t>TABACO</t>
        </is>
      </c>
      <c r="F98" s="6" t="inlineStr">
        <is>
          <t>PVH-2343</t>
        </is>
      </c>
      <c r="G98" s="7" t="inlineStr"/>
      <c r="H98" s="5" t="inlineStr">
        <is>
          <t>proximo</t>
        </is>
      </c>
      <c r="I98" s="8" t="n">
        <v>46399</v>
      </c>
      <c r="J98" s="9">
        <f>IF($I98="","",DATA_REF-$I98)</f>
        <v/>
      </c>
      <c r="K98" s="9">
        <f>IF($J98="","",MAX(0,$J98-'PARAMETROS'!$B$11))</f>
        <v/>
      </c>
      <c r="L98" s="10">
        <f>IFERROR(INDEX(KC_CURVAS!$C$5:$C$15,MATCH("TABACO|"&amp;$G98,KC_CURVAS!$K$5:$K$15,0)),IFERROR(INDEX(KC_CURVAS!$C$5:$C$15,MATCH("TABACO"&amp;"|",KC_CURVAS!$K$5:$K$15,0)),""))</f>
        <v/>
      </c>
      <c r="M98" s="10">
        <f>IFERROR(INDEX(KC_CURVAS!$D$5:$D$15,MATCH("TABACO|"&amp;$G98,KC_CURVAS!$K$5:$K$15,0)),IFERROR(INDEX(KC_CURVAS!$D$5:$D$15,MATCH("TABACO"&amp;"|",KC_CURVAS!$K$5:$K$15,0)),""))</f>
        <v/>
      </c>
      <c r="N98" s="10">
        <f>IFERROR(INDEX(KC_CURVAS!$E$5:$E$15,MATCH("TABACO|"&amp;$G98,KC_CURVAS!$K$5:$K$15,0)),IFERROR(INDEX(KC_CURVAS!$E$5:$E$15,MATCH("TABACO"&amp;"|",KC_CURVAS!$K$5:$K$15,0)),""))</f>
        <v/>
      </c>
      <c r="O98" s="10">
        <f>IFERROR(INDEX(KC_CURVAS!$F$5:$F$15,MATCH("TABACO|"&amp;$G98,KC_CURVAS!$K$5:$K$15,0)),IFERROR(INDEX(KC_CURVAS!$F$5:$F$15,MATCH("TABACO"&amp;"|",KC_CURVAS!$K$5:$K$15,0)),""))</f>
        <v/>
      </c>
      <c r="P98" s="11">
        <f>IFERROR(INDEX(KC_CURVAS!$G$5:$G$15,MATCH("TABACO|"&amp;$G98,KC_CURVAS!$K$5:$K$15,0)),IFERROR(INDEX(KC_CURVAS!$G$5:$G$15,MATCH("TABACO"&amp;"|",KC_CURVAS!$K$5:$K$15,0)),""))</f>
        <v/>
      </c>
      <c r="Q98" s="11">
        <f>IFERROR(INDEX(KC_CURVAS!$H$5:$H$15,MATCH("TABACO|"&amp;$G98,KC_CURVAS!$K$5:$K$15,0)),IFERROR(INDEX(KC_CURVAS!$H$5:$H$15,MATCH("TABACO"&amp;"|",KC_CURVAS!$K$5:$K$15,0)),""))</f>
        <v/>
      </c>
      <c r="R98" s="11">
        <f>IFERROR(INDEX(KC_CURVAS!$I$5:$I$15,MATCH("TABACO|"&amp;$G98,KC_CURVAS!$K$5:$K$15,0)),IFERROR(INDEX(KC_CURVAS!$I$5:$I$15,MATCH("TABACO"&amp;"|",KC_CURVAS!$K$5:$K$15,0)),""))</f>
        <v/>
      </c>
      <c r="S98" s="12">
        <f>IF(OR($K98="",$L98=""),"PENDENTE",IF($K98&lt;=$L98,$P98,IF($K98&lt;=$L98+$M98,$P98+($Q98-$P98)*($K98-$L98)/$M98,IF($K98&lt;=$L98+$M98+$N98,$Q98,IF($K98&lt;=$L98+$M98+$N98+$O98,$Q98+($R98-$Q98)*($K98-($L98+$M98+$N98))/$O98,$R98)))))</f>
        <v/>
      </c>
      <c r="T98" s="13">
        <f>IF($I98="","",$I98)</f>
        <v/>
      </c>
      <c r="U98" s="14">
        <f>IF($T98="","",SUMIFS(ETO_DIARIO!$B$5:$B$404,ETO_DIARIO!$A$5:$A$404,"&gt;"&amp;$T98,ETO_DIARIO!$A$5:$A$404,"&lt;="&amp;DATA_REF))</f>
        <v/>
      </c>
      <c r="V98" s="14">
        <f>IF($T98="","",SUMIFS(ETO_DIARIO!$C$5:$C$404,ETO_DIARIO!$A$5:$A$404,"&gt;"&amp;$T98,ETO_DIARIO!$A$5:$A$404,"&lt;="&amp;DATA_REF))</f>
        <v/>
      </c>
      <c r="W98" s="14">
        <f>IF(OR($S98="",$S98="PENDENTE",$U98=""),"",$S98*$U98)</f>
        <v/>
      </c>
      <c r="X98" s="14">
        <f>IF($W98="","",MAX(0,$W98-N($V98)))</f>
        <v/>
      </c>
      <c r="Y98" s="14">
        <f>IF($X98="","",$X98/EF_APLIC)</f>
        <v/>
      </c>
      <c r="Z98" s="15" t="n">
        <v>147</v>
      </c>
      <c r="AA98" s="16">
        <f>IF(OR($Y98="",$Z98=""),"",$Y98*$Z98*10)</f>
        <v/>
      </c>
      <c r="AB98" s="17" t="n">
        <v>0.724</v>
      </c>
      <c r="AC98" s="16">
        <f>IF(OR($AA98="",$AB98=""),"",$AA98*$AB98)</f>
        <v/>
      </c>
      <c r="AD98" s="18">
        <f>IF($S98="PENDENTE","Definir classe/Kc",IF($Y98="","-",IF($Y98&gt;='PARAMETROS'!$B$7/EF_APLIC,"Irrigar",IF($Y98&gt;='PARAMETROS'!$B$7/EF_APLIC*FRAC_ACOMP,"Acompanhar","Aguardar"))))</f>
        <v/>
      </c>
      <c r="AE98" s="18">
        <f>IF(OR($Y98="",$Y98=0),"-",IF($Y98&gt;=2*'PARAMETROS'!$B$7/EF_APLIC,"Alta",IF($Y98&gt;='PARAMETROS'!$B$7/EF_APLIC,"Media","Baixa")))</f>
        <v/>
      </c>
    </row>
    <row r="99">
      <c r="A99" s="5" t="inlineStr">
        <is>
          <t>Pivô 121</t>
        </is>
      </c>
      <c r="B99" s="5" t="inlineStr">
        <is>
          <t>Rdm</t>
        </is>
      </c>
      <c r="C99" s="5" t="inlineStr">
        <is>
          <t>RM7</t>
        </is>
      </c>
      <c r="D99" s="5" t="inlineStr">
        <is>
          <t>RDM</t>
        </is>
      </c>
      <c r="E99" s="5" t="inlineStr">
        <is>
          <t>SOJA</t>
        </is>
      </c>
      <c r="F99" s="6" t="inlineStr">
        <is>
          <t>BMX Olimpo IPRO</t>
        </is>
      </c>
      <c r="G99" s="7" t="inlineStr">
        <is>
          <t>MÉDIA</t>
        </is>
      </c>
      <c r="H99" s="5" t="inlineStr">
        <is>
          <t>proximo</t>
        </is>
      </c>
      <c r="I99" s="8" t="n">
        <v>46309</v>
      </c>
      <c r="J99" s="9">
        <f>IF($I99="","",DATA_REF-$I99)</f>
        <v/>
      </c>
      <c r="K99" s="9">
        <f>IF($J99="","",MAX(0,$J99-'PARAMETROS'!$B$11))</f>
        <v/>
      </c>
      <c r="L99" s="10">
        <f>IFERROR(INDEX(KC_CURVAS!$C$5:$C$15,MATCH("SOJA|"&amp;$G99,KC_CURVAS!$K$5:$K$15,0)),IFERROR(INDEX(KC_CURVAS!$C$5:$C$15,MATCH("SOJA"&amp;"|",KC_CURVAS!$K$5:$K$15,0)),""))</f>
        <v/>
      </c>
      <c r="M99" s="10">
        <f>IFERROR(INDEX(KC_CURVAS!$D$5:$D$15,MATCH("SOJA|"&amp;$G99,KC_CURVAS!$K$5:$K$15,0)),IFERROR(INDEX(KC_CURVAS!$D$5:$D$15,MATCH("SOJA"&amp;"|",KC_CURVAS!$K$5:$K$15,0)),""))</f>
        <v/>
      </c>
      <c r="N99" s="10">
        <f>IFERROR(INDEX(KC_CURVAS!$E$5:$E$15,MATCH("SOJA|"&amp;$G99,KC_CURVAS!$K$5:$K$15,0)),IFERROR(INDEX(KC_CURVAS!$E$5:$E$15,MATCH("SOJA"&amp;"|",KC_CURVAS!$K$5:$K$15,0)),""))</f>
        <v/>
      </c>
      <c r="O99" s="10">
        <f>IFERROR(INDEX(KC_CURVAS!$F$5:$F$15,MATCH("SOJA|"&amp;$G99,KC_CURVAS!$K$5:$K$15,0)),IFERROR(INDEX(KC_CURVAS!$F$5:$F$15,MATCH("SOJA"&amp;"|",KC_CURVAS!$K$5:$K$15,0)),""))</f>
        <v/>
      </c>
      <c r="P99" s="11">
        <f>IFERROR(INDEX(KC_CURVAS!$G$5:$G$15,MATCH("SOJA|"&amp;$G99,KC_CURVAS!$K$5:$K$15,0)),IFERROR(INDEX(KC_CURVAS!$G$5:$G$15,MATCH("SOJA"&amp;"|",KC_CURVAS!$K$5:$K$15,0)),""))</f>
        <v/>
      </c>
      <c r="Q99" s="11">
        <f>IFERROR(INDEX(KC_CURVAS!$H$5:$H$15,MATCH("SOJA|"&amp;$G99,KC_CURVAS!$K$5:$K$15,0)),IFERROR(INDEX(KC_CURVAS!$H$5:$H$15,MATCH("SOJA"&amp;"|",KC_CURVAS!$K$5:$K$15,0)),""))</f>
        <v/>
      </c>
      <c r="R99" s="11">
        <f>IFERROR(INDEX(KC_CURVAS!$I$5:$I$15,MATCH("SOJA|"&amp;$G99,KC_CURVAS!$K$5:$K$15,0)),IFERROR(INDEX(KC_CURVAS!$I$5:$I$15,MATCH("SOJA"&amp;"|",KC_CURVAS!$K$5:$K$15,0)),""))</f>
        <v/>
      </c>
      <c r="S99" s="12">
        <f>IF(OR($K99="",$L99=""),"PENDENTE",IF($K99&lt;=$L99,$P99,IF($K99&lt;=$L99+$M99,$P99+($Q99-$P99)*($K99-$L99)/$M99,IF($K99&lt;=$L99+$M99+$N99,$Q99,IF($K99&lt;=$L99+$M99+$N99+$O99,$Q99+($R99-$Q99)*($K99-($L99+$M99+$N99))/$O99,$R99)))))</f>
        <v/>
      </c>
      <c r="T99" s="13">
        <f>IF($I99="","",$I99)</f>
        <v/>
      </c>
      <c r="U99" s="14">
        <f>IF($T99="","",SUMIFS(ETO_DIARIO!$B$5:$B$404,ETO_DIARIO!$A$5:$A$404,"&gt;"&amp;$T99,ETO_DIARIO!$A$5:$A$404,"&lt;="&amp;DATA_REF))</f>
        <v/>
      </c>
      <c r="V99" s="14">
        <f>IF($T99="","",SUMIFS(ETO_DIARIO!$C$5:$C$404,ETO_DIARIO!$A$5:$A$404,"&gt;"&amp;$T99,ETO_DIARIO!$A$5:$A$404,"&lt;="&amp;DATA_REF))</f>
        <v/>
      </c>
      <c r="W99" s="14">
        <f>IF(OR($S99="",$S99="PENDENTE",$U99=""),"",$S99*$U99)</f>
        <v/>
      </c>
      <c r="X99" s="14">
        <f>IF($W99="","",MAX(0,$W99-N($V99)))</f>
        <v/>
      </c>
      <c r="Y99" s="14">
        <f>IF($X99="","",$X99/EF_APLIC)</f>
        <v/>
      </c>
      <c r="Z99" s="15" t="n">
        <v>145</v>
      </c>
      <c r="AA99" s="16">
        <f>IF(OR($Y99="",$Z99=""),"",$Y99*$Z99*10)</f>
        <v/>
      </c>
      <c r="AB99" s="17" t="n">
        <v>0.698</v>
      </c>
      <c r="AC99" s="16">
        <f>IF(OR($AA99="",$AB99=""),"",$AA99*$AB99)</f>
        <v/>
      </c>
      <c r="AD99" s="18">
        <f>IF($S99="PENDENTE","Definir classe/Kc",IF($Y99="","-",IF($Y99&gt;='PARAMETROS'!$B$7/EF_APLIC,"Irrigar",IF($Y99&gt;='PARAMETROS'!$B$7/EF_APLIC*FRAC_ACOMP,"Acompanhar","Aguardar"))))</f>
        <v/>
      </c>
      <c r="AE99" s="18">
        <f>IF(OR($Y99="",$Y99=0),"-",IF($Y99&gt;=2*'PARAMETROS'!$B$7/EF_APLIC,"Alta",IF($Y99&gt;='PARAMETROS'!$B$7/EF_APLIC,"Media","Baixa")))</f>
        <v/>
      </c>
    </row>
    <row r="100">
      <c r="A100" s="5" t="inlineStr">
        <is>
          <t>Pivô 122</t>
        </is>
      </c>
      <c r="B100" s="5" t="inlineStr">
        <is>
          <t>Rdm</t>
        </is>
      </c>
      <c r="C100" s="5" t="inlineStr">
        <is>
          <t>RM7</t>
        </is>
      </c>
      <c r="D100" s="5" t="inlineStr">
        <is>
          <t>RDM</t>
        </is>
      </c>
      <c r="E100" s="5" t="inlineStr">
        <is>
          <t>SOJA</t>
        </is>
      </c>
      <c r="F100" s="6" t="inlineStr">
        <is>
          <t>NEO 761 I2X</t>
        </is>
      </c>
      <c r="G100" s="7" t="inlineStr">
        <is>
          <t>PRECOCE</t>
        </is>
      </c>
      <c r="H100" s="5" t="inlineStr">
        <is>
          <t>proximo</t>
        </is>
      </c>
      <c r="I100" s="8" t="n">
        <v>46309</v>
      </c>
      <c r="J100" s="9">
        <f>IF($I100="","",DATA_REF-$I100)</f>
        <v/>
      </c>
      <c r="K100" s="9">
        <f>IF($J100="","",MAX(0,$J100-'PARAMETROS'!$B$11))</f>
        <v/>
      </c>
      <c r="L100" s="10">
        <f>IFERROR(INDEX(KC_CURVAS!$C$5:$C$15,MATCH("SOJA|"&amp;$G100,KC_CURVAS!$K$5:$K$15,0)),IFERROR(INDEX(KC_CURVAS!$C$5:$C$15,MATCH("SOJA"&amp;"|",KC_CURVAS!$K$5:$K$15,0)),""))</f>
        <v/>
      </c>
      <c r="M100" s="10">
        <f>IFERROR(INDEX(KC_CURVAS!$D$5:$D$15,MATCH("SOJA|"&amp;$G100,KC_CURVAS!$K$5:$K$15,0)),IFERROR(INDEX(KC_CURVAS!$D$5:$D$15,MATCH("SOJA"&amp;"|",KC_CURVAS!$K$5:$K$15,0)),""))</f>
        <v/>
      </c>
      <c r="N100" s="10">
        <f>IFERROR(INDEX(KC_CURVAS!$E$5:$E$15,MATCH("SOJA|"&amp;$G100,KC_CURVAS!$K$5:$K$15,0)),IFERROR(INDEX(KC_CURVAS!$E$5:$E$15,MATCH("SOJA"&amp;"|",KC_CURVAS!$K$5:$K$15,0)),""))</f>
        <v/>
      </c>
      <c r="O100" s="10">
        <f>IFERROR(INDEX(KC_CURVAS!$F$5:$F$15,MATCH("SOJA|"&amp;$G100,KC_CURVAS!$K$5:$K$15,0)),IFERROR(INDEX(KC_CURVAS!$F$5:$F$15,MATCH("SOJA"&amp;"|",KC_CURVAS!$K$5:$K$15,0)),""))</f>
        <v/>
      </c>
      <c r="P100" s="11">
        <f>IFERROR(INDEX(KC_CURVAS!$G$5:$G$15,MATCH("SOJA|"&amp;$G100,KC_CURVAS!$K$5:$K$15,0)),IFERROR(INDEX(KC_CURVAS!$G$5:$G$15,MATCH("SOJA"&amp;"|",KC_CURVAS!$K$5:$K$15,0)),""))</f>
        <v/>
      </c>
      <c r="Q100" s="11">
        <f>IFERROR(INDEX(KC_CURVAS!$H$5:$H$15,MATCH("SOJA|"&amp;$G100,KC_CURVAS!$K$5:$K$15,0)),IFERROR(INDEX(KC_CURVAS!$H$5:$H$15,MATCH("SOJA"&amp;"|",KC_CURVAS!$K$5:$K$15,0)),""))</f>
        <v/>
      </c>
      <c r="R100" s="11">
        <f>IFERROR(INDEX(KC_CURVAS!$I$5:$I$15,MATCH("SOJA|"&amp;$G100,KC_CURVAS!$K$5:$K$15,0)),IFERROR(INDEX(KC_CURVAS!$I$5:$I$15,MATCH("SOJA"&amp;"|",KC_CURVAS!$K$5:$K$15,0)),""))</f>
        <v/>
      </c>
      <c r="S100" s="12">
        <f>IF(OR($K100="",$L100=""),"PENDENTE",IF($K100&lt;=$L100,$P100,IF($K100&lt;=$L100+$M100,$P100+($Q100-$P100)*($K100-$L100)/$M100,IF($K100&lt;=$L100+$M100+$N100,$Q100,IF($K100&lt;=$L100+$M100+$N100+$O100,$Q100+($R100-$Q100)*($K100-($L100+$M100+$N100))/$O100,$R100)))))</f>
        <v/>
      </c>
      <c r="T100" s="13">
        <f>IF($I100="","",$I100)</f>
        <v/>
      </c>
      <c r="U100" s="14">
        <f>IF($T100="","",SUMIFS(ETO_DIARIO!$B$5:$B$404,ETO_DIARIO!$A$5:$A$404,"&gt;"&amp;$T100,ETO_DIARIO!$A$5:$A$404,"&lt;="&amp;DATA_REF))</f>
        <v/>
      </c>
      <c r="V100" s="14">
        <f>IF($T100="","",SUMIFS(ETO_DIARIO!$C$5:$C$404,ETO_DIARIO!$A$5:$A$404,"&gt;"&amp;$T100,ETO_DIARIO!$A$5:$A$404,"&lt;="&amp;DATA_REF))</f>
        <v/>
      </c>
      <c r="W100" s="14">
        <f>IF(OR($S100="",$S100="PENDENTE",$U100=""),"",$S100*$U100)</f>
        <v/>
      </c>
      <c r="X100" s="14">
        <f>IF($W100="","",MAX(0,$W100-N($V100)))</f>
        <v/>
      </c>
      <c r="Y100" s="14">
        <f>IF($X100="","",$X100/EF_APLIC)</f>
        <v/>
      </c>
      <c r="Z100" s="15" t="n">
        <v>150</v>
      </c>
      <c r="AA100" s="16">
        <f>IF(OR($Y100="",$Z100=""),"",$Y100*$Z100*10)</f>
        <v/>
      </c>
      <c r="AB100" s="17" t="n">
        <v>0.724</v>
      </c>
      <c r="AC100" s="16">
        <f>IF(OR($AA100="",$AB100=""),"",$AA100*$AB100)</f>
        <v/>
      </c>
      <c r="AD100" s="18">
        <f>IF($S100="PENDENTE","Definir classe/Kc",IF($Y100="","-",IF($Y100&gt;='PARAMETROS'!$B$7/EF_APLIC,"Irrigar",IF($Y100&gt;='PARAMETROS'!$B$7/EF_APLIC*FRAC_ACOMP,"Acompanhar","Aguardar"))))</f>
        <v/>
      </c>
      <c r="AE100" s="18">
        <f>IF(OR($Y100="",$Y100=0),"-",IF($Y100&gt;=2*'PARAMETROS'!$B$7/EF_APLIC,"Alta",IF($Y100&gt;='PARAMETROS'!$B$7/EF_APLIC,"Media","Baixa")))</f>
        <v/>
      </c>
    </row>
    <row r="101">
      <c r="A101" s="5" t="inlineStr">
        <is>
          <t>Pivô 123</t>
        </is>
      </c>
      <c r="B101" s="5" t="inlineStr">
        <is>
          <t>Rdm</t>
        </is>
      </c>
      <c r="C101" s="5" t="inlineStr">
        <is>
          <t>RM7</t>
        </is>
      </c>
      <c r="D101" s="5" t="inlineStr">
        <is>
          <t>RDM</t>
        </is>
      </c>
      <c r="E101" s="5" t="inlineStr">
        <is>
          <t>SOJA</t>
        </is>
      </c>
      <c r="F101" s="6" t="inlineStr">
        <is>
          <t>NEO 761 I2X</t>
        </is>
      </c>
      <c r="G101" s="7" t="inlineStr">
        <is>
          <t>PRECOCE</t>
        </is>
      </c>
      <c r="H101" s="5" t="inlineStr">
        <is>
          <t>proximo</t>
        </is>
      </c>
      <c r="I101" s="8" t="n">
        <v>46310</v>
      </c>
      <c r="J101" s="9">
        <f>IF($I101="","",DATA_REF-$I101)</f>
        <v/>
      </c>
      <c r="K101" s="9">
        <f>IF($J101="","",MAX(0,$J101-'PARAMETROS'!$B$11))</f>
        <v/>
      </c>
      <c r="L101" s="10">
        <f>IFERROR(INDEX(KC_CURVAS!$C$5:$C$15,MATCH("SOJA|"&amp;$G101,KC_CURVAS!$K$5:$K$15,0)),IFERROR(INDEX(KC_CURVAS!$C$5:$C$15,MATCH("SOJA"&amp;"|",KC_CURVAS!$K$5:$K$15,0)),""))</f>
        <v/>
      </c>
      <c r="M101" s="10">
        <f>IFERROR(INDEX(KC_CURVAS!$D$5:$D$15,MATCH("SOJA|"&amp;$G101,KC_CURVAS!$K$5:$K$15,0)),IFERROR(INDEX(KC_CURVAS!$D$5:$D$15,MATCH("SOJA"&amp;"|",KC_CURVAS!$K$5:$K$15,0)),""))</f>
        <v/>
      </c>
      <c r="N101" s="10">
        <f>IFERROR(INDEX(KC_CURVAS!$E$5:$E$15,MATCH("SOJA|"&amp;$G101,KC_CURVAS!$K$5:$K$15,0)),IFERROR(INDEX(KC_CURVAS!$E$5:$E$15,MATCH("SOJA"&amp;"|",KC_CURVAS!$K$5:$K$15,0)),""))</f>
        <v/>
      </c>
      <c r="O101" s="10">
        <f>IFERROR(INDEX(KC_CURVAS!$F$5:$F$15,MATCH("SOJA|"&amp;$G101,KC_CURVAS!$K$5:$K$15,0)),IFERROR(INDEX(KC_CURVAS!$F$5:$F$15,MATCH("SOJA"&amp;"|",KC_CURVAS!$K$5:$K$15,0)),""))</f>
        <v/>
      </c>
      <c r="P101" s="11">
        <f>IFERROR(INDEX(KC_CURVAS!$G$5:$G$15,MATCH("SOJA|"&amp;$G101,KC_CURVAS!$K$5:$K$15,0)),IFERROR(INDEX(KC_CURVAS!$G$5:$G$15,MATCH("SOJA"&amp;"|",KC_CURVAS!$K$5:$K$15,0)),""))</f>
        <v/>
      </c>
      <c r="Q101" s="11">
        <f>IFERROR(INDEX(KC_CURVAS!$H$5:$H$15,MATCH("SOJA|"&amp;$G101,KC_CURVAS!$K$5:$K$15,0)),IFERROR(INDEX(KC_CURVAS!$H$5:$H$15,MATCH("SOJA"&amp;"|",KC_CURVAS!$K$5:$K$15,0)),""))</f>
        <v/>
      </c>
      <c r="R101" s="11">
        <f>IFERROR(INDEX(KC_CURVAS!$I$5:$I$15,MATCH("SOJA|"&amp;$G101,KC_CURVAS!$K$5:$K$15,0)),IFERROR(INDEX(KC_CURVAS!$I$5:$I$15,MATCH("SOJA"&amp;"|",KC_CURVAS!$K$5:$K$15,0)),""))</f>
        <v/>
      </c>
      <c r="S101" s="12">
        <f>IF(OR($K101="",$L101=""),"PENDENTE",IF($K101&lt;=$L101,$P101,IF($K101&lt;=$L101+$M101,$P101+($Q101-$P101)*($K101-$L101)/$M101,IF($K101&lt;=$L101+$M101+$N101,$Q101,IF($K101&lt;=$L101+$M101+$N101+$O101,$Q101+($R101-$Q101)*($K101-($L101+$M101+$N101))/$O101,$R101)))))</f>
        <v/>
      </c>
      <c r="T101" s="13">
        <f>IF($I101="","",$I101)</f>
        <v/>
      </c>
      <c r="U101" s="14">
        <f>IF($T101="","",SUMIFS(ETO_DIARIO!$B$5:$B$404,ETO_DIARIO!$A$5:$A$404,"&gt;"&amp;$T101,ETO_DIARIO!$A$5:$A$404,"&lt;="&amp;DATA_REF))</f>
        <v/>
      </c>
      <c r="V101" s="14">
        <f>IF($T101="","",SUMIFS(ETO_DIARIO!$C$5:$C$404,ETO_DIARIO!$A$5:$A$404,"&gt;"&amp;$T101,ETO_DIARIO!$A$5:$A$404,"&lt;="&amp;DATA_REF))</f>
        <v/>
      </c>
      <c r="W101" s="14">
        <f>IF(OR($S101="",$S101="PENDENTE",$U101=""),"",$S101*$U101)</f>
        <v/>
      </c>
      <c r="X101" s="14">
        <f>IF($W101="","",MAX(0,$W101-N($V101)))</f>
        <v/>
      </c>
      <c r="Y101" s="14">
        <f>IF($X101="","",$X101/EF_APLIC)</f>
        <v/>
      </c>
      <c r="Z101" s="15" t="n">
        <v>148</v>
      </c>
      <c r="AA101" s="16">
        <f>IF(OR($Y101="",$Z101=""),"",$Y101*$Z101*10)</f>
        <v/>
      </c>
      <c r="AB101" s="17" t="n">
        <v>0.698</v>
      </c>
      <c r="AC101" s="16">
        <f>IF(OR($AA101="",$AB101=""),"",$AA101*$AB101)</f>
        <v/>
      </c>
      <c r="AD101" s="18">
        <f>IF($S101="PENDENTE","Definir classe/Kc",IF($Y101="","-",IF($Y101&gt;='PARAMETROS'!$B$7/EF_APLIC,"Irrigar",IF($Y101&gt;='PARAMETROS'!$B$7/EF_APLIC*FRAC_ACOMP,"Acompanhar","Aguardar"))))</f>
        <v/>
      </c>
      <c r="AE101" s="18">
        <f>IF(OR($Y101="",$Y101=0),"-",IF($Y101&gt;=2*'PARAMETROS'!$B$7/EF_APLIC,"Alta",IF($Y101&gt;='PARAMETROS'!$B$7/EF_APLIC,"Media","Baixa")))</f>
        <v/>
      </c>
    </row>
    <row r="102">
      <c r="A102" s="5" t="inlineStr">
        <is>
          <t>Pivô 124</t>
        </is>
      </c>
      <c r="B102" s="5" t="inlineStr">
        <is>
          <t>Rdm</t>
        </is>
      </c>
      <c r="C102" s="5" t="inlineStr">
        <is>
          <t>RM7</t>
        </is>
      </c>
      <c r="D102" s="5" t="inlineStr">
        <is>
          <t>RDM</t>
        </is>
      </c>
      <c r="E102" s="5" t="inlineStr">
        <is>
          <t>SOJA</t>
        </is>
      </c>
      <c r="F102" s="6" t="inlineStr">
        <is>
          <t>BMX Olimpo IPRO</t>
        </is>
      </c>
      <c r="G102" s="7" t="inlineStr">
        <is>
          <t>MÉDIA</t>
        </is>
      </c>
      <c r="H102" s="5" t="inlineStr">
        <is>
          <t>proximo</t>
        </is>
      </c>
      <c r="I102" s="8" t="n">
        <v>46310</v>
      </c>
      <c r="J102" s="9">
        <f>IF($I102="","",DATA_REF-$I102)</f>
        <v/>
      </c>
      <c r="K102" s="9">
        <f>IF($J102="","",MAX(0,$J102-'PARAMETROS'!$B$11))</f>
        <v/>
      </c>
      <c r="L102" s="10">
        <f>IFERROR(INDEX(KC_CURVAS!$C$5:$C$15,MATCH("SOJA|"&amp;$G102,KC_CURVAS!$K$5:$K$15,0)),IFERROR(INDEX(KC_CURVAS!$C$5:$C$15,MATCH("SOJA"&amp;"|",KC_CURVAS!$K$5:$K$15,0)),""))</f>
        <v/>
      </c>
      <c r="M102" s="10">
        <f>IFERROR(INDEX(KC_CURVAS!$D$5:$D$15,MATCH("SOJA|"&amp;$G102,KC_CURVAS!$K$5:$K$15,0)),IFERROR(INDEX(KC_CURVAS!$D$5:$D$15,MATCH("SOJA"&amp;"|",KC_CURVAS!$K$5:$K$15,0)),""))</f>
        <v/>
      </c>
      <c r="N102" s="10">
        <f>IFERROR(INDEX(KC_CURVAS!$E$5:$E$15,MATCH("SOJA|"&amp;$G102,KC_CURVAS!$K$5:$K$15,0)),IFERROR(INDEX(KC_CURVAS!$E$5:$E$15,MATCH("SOJA"&amp;"|",KC_CURVAS!$K$5:$K$15,0)),""))</f>
        <v/>
      </c>
      <c r="O102" s="10">
        <f>IFERROR(INDEX(KC_CURVAS!$F$5:$F$15,MATCH("SOJA|"&amp;$G102,KC_CURVAS!$K$5:$K$15,0)),IFERROR(INDEX(KC_CURVAS!$F$5:$F$15,MATCH("SOJA"&amp;"|",KC_CURVAS!$K$5:$K$15,0)),""))</f>
        <v/>
      </c>
      <c r="P102" s="11">
        <f>IFERROR(INDEX(KC_CURVAS!$G$5:$G$15,MATCH("SOJA|"&amp;$G102,KC_CURVAS!$K$5:$K$15,0)),IFERROR(INDEX(KC_CURVAS!$G$5:$G$15,MATCH("SOJA"&amp;"|",KC_CURVAS!$K$5:$K$15,0)),""))</f>
        <v/>
      </c>
      <c r="Q102" s="11">
        <f>IFERROR(INDEX(KC_CURVAS!$H$5:$H$15,MATCH("SOJA|"&amp;$G102,KC_CURVAS!$K$5:$K$15,0)),IFERROR(INDEX(KC_CURVAS!$H$5:$H$15,MATCH("SOJA"&amp;"|",KC_CURVAS!$K$5:$K$15,0)),""))</f>
        <v/>
      </c>
      <c r="R102" s="11">
        <f>IFERROR(INDEX(KC_CURVAS!$I$5:$I$15,MATCH("SOJA|"&amp;$G102,KC_CURVAS!$K$5:$K$15,0)),IFERROR(INDEX(KC_CURVAS!$I$5:$I$15,MATCH("SOJA"&amp;"|",KC_CURVAS!$K$5:$K$15,0)),""))</f>
        <v/>
      </c>
      <c r="S102" s="12">
        <f>IF(OR($K102="",$L102=""),"PENDENTE",IF($K102&lt;=$L102,$P102,IF($K102&lt;=$L102+$M102,$P102+($Q102-$P102)*($K102-$L102)/$M102,IF($K102&lt;=$L102+$M102+$N102,$Q102,IF($K102&lt;=$L102+$M102+$N102+$O102,$Q102+($R102-$Q102)*($K102-($L102+$M102+$N102))/$O102,$R102)))))</f>
        <v/>
      </c>
      <c r="T102" s="13">
        <f>IF($I102="","",$I102)</f>
        <v/>
      </c>
      <c r="U102" s="14">
        <f>IF($T102="","",SUMIFS(ETO_DIARIO!$B$5:$B$404,ETO_DIARIO!$A$5:$A$404,"&gt;"&amp;$T102,ETO_DIARIO!$A$5:$A$404,"&lt;="&amp;DATA_REF))</f>
        <v/>
      </c>
      <c r="V102" s="14">
        <f>IF($T102="","",SUMIFS(ETO_DIARIO!$C$5:$C$404,ETO_DIARIO!$A$5:$A$404,"&gt;"&amp;$T102,ETO_DIARIO!$A$5:$A$404,"&lt;="&amp;DATA_REF))</f>
        <v/>
      </c>
      <c r="W102" s="14">
        <f>IF(OR($S102="",$S102="PENDENTE",$U102=""),"",$S102*$U102)</f>
        <v/>
      </c>
      <c r="X102" s="14">
        <f>IF($W102="","",MAX(0,$W102-N($V102)))</f>
        <v/>
      </c>
      <c r="Y102" s="14">
        <f>IF($X102="","",$X102/EF_APLIC)</f>
        <v/>
      </c>
      <c r="Z102" s="15" t="n">
        <v>150</v>
      </c>
      <c r="AA102" s="16">
        <f>IF(OR($Y102="",$Z102=""),"",$Y102*$Z102*10)</f>
        <v/>
      </c>
      <c r="AB102" s="17" t="n">
        <v>0.702</v>
      </c>
      <c r="AC102" s="16">
        <f>IF(OR($AA102="",$AB102=""),"",$AA102*$AB102)</f>
        <v/>
      </c>
      <c r="AD102" s="18">
        <f>IF($S102="PENDENTE","Definir classe/Kc",IF($Y102="","-",IF($Y102&gt;='PARAMETROS'!$B$7/EF_APLIC,"Irrigar",IF($Y102&gt;='PARAMETROS'!$B$7/EF_APLIC*FRAC_ACOMP,"Acompanhar","Aguardar"))))</f>
        <v/>
      </c>
      <c r="AE102" s="18">
        <f>IF(OR($Y102="",$Y102=0),"-",IF($Y102&gt;=2*'PARAMETROS'!$B$7/EF_APLIC,"Alta",IF($Y102&gt;='PARAMETROS'!$B$7/EF_APLIC,"Media","Baixa")))</f>
        <v/>
      </c>
    </row>
    <row r="103">
      <c r="A103" s="5" t="inlineStr">
        <is>
          <t>Pivô 125</t>
        </is>
      </c>
      <c r="B103" s="5" t="inlineStr">
        <is>
          <t>Rdm</t>
        </is>
      </c>
      <c r="C103" s="5" t="inlineStr">
        <is>
          <t>RM7</t>
        </is>
      </c>
      <c r="D103" s="5" t="inlineStr">
        <is>
          <t>RDM</t>
        </is>
      </c>
      <c r="E103" s="5" t="inlineStr">
        <is>
          <t>ALGODÃO</t>
        </is>
      </c>
      <c r="F103" s="6" t="inlineStr">
        <is>
          <t>FM 974 GLT</t>
        </is>
      </c>
      <c r="G103" s="7" t="inlineStr">
        <is>
          <t>MÉDIO</t>
        </is>
      </c>
      <c r="H103" s="5" t="inlineStr">
        <is>
          <t>proximo</t>
        </is>
      </c>
      <c r="I103" s="8" t="n">
        <v>46357</v>
      </c>
      <c r="J103" s="9">
        <f>IF($I103="","",DATA_REF-$I103)</f>
        <v/>
      </c>
      <c r="K103" s="9">
        <f>IF($J103="","",MAX(0,$J103-'PARAMETROS'!$B$11))</f>
        <v/>
      </c>
      <c r="L103" s="10">
        <f>IFERROR(INDEX(KC_CURVAS!$C$5:$C$15,MATCH("ALGODÃO|"&amp;$G103,KC_CURVAS!$K$5:$K$15,0)),IFERROR(INDEX(KC_CURVAS!$C$5:$C$15,MATCH("ALGODÃO"&amp;"|",KC_CURVAS!$K$5:$K$15,0)),""))</f>
        <v/>
      </c>
      <c r="M103" s="10">
        <f>IFERROR(INDEX(KC_CURVAS!$D$5:$D$15,MATCH("ALGODÃO|"&amp;$G103,KC_CURVAS!$K$5:$K$15,0)),IFERROR(INDEX(KC_CURVAS!$D$5:$D$15,MATCH("ALGODÃO"&amp;"|",KC_CURVAS!$K$5:$K$15,0)),""))</f>
        <v/>
      </c>
      <c r="N103" s="10">
        <f>IFERROR(INDEX(KC_CURVAS!$E$5:$E$15,MATCH("ALGODÃO|"&amp;$G103,KC_CURVAS!$K$5:$K$15,0)),IFERROR(INDEX(KC_CURVAS!$E$5:$E$15,MATCH("ALGODÃO"&amp;"|",KC_CURVAS!$K$5:$K$15,0)),""))</f>
        <v/>
      </c>
      <c r="O103" s="10">
        <f>IFERROR(INDEX(KC_CURVAS!$F$5:$F$15,MATCH("ALGODÃO|"&amp;$G103,KC_CURVAS!$K$5:$K$15,0)),IFERROR(INDEX(KC_CURVAS!$F$5:$F$15,MATCH("ALGODÃO"&amp;"|",KC_CURVAS!$K$5:$K$15,0)),""))</f>
        <v/>
      </c>
      <c r="P103" s="11">
        <f>IFERROR(INDEX(KC_CURVAS!$G$5:$G$15,MATCH("ALGODÃO|"&amp;$G103,KC_CURVAS!$K$5:$K$15,0)),IFERROR(INDEX(KC_CURVAS!$G$5:$G$15,MATCH("ALGODÃO"&amp;"|",KC_CURVAS!$K$5:$K$15,0)),""))</f>
        <v/>
      </c>
      <c r="Q103" s="11">
        <f>IFERROR(INDEX(KC_CURVAS!$H$5:$H$15,MATCH("ALGODÃO|"&amp;$G103,KC_CURVAS!$K$5:$K$15,0)),IFERROR(INDEX(KC_CURVAS!$H$5:$H$15,MATCH("ALGODÃO"&amp;"|",KC_CURVAS!$K$5:$K$15,0)),""))</f>
        <v/>
      </c>
      <c r="R103" s="11">
        <f>IFERROR(INDEX(KC_CURVAS!$I$5:$I$15,MATCH("ALGODÃO|"&amp;$G103,KC_CURVAS!$K$5:$K$15,0)),IFERROR(INDEX(KC_CURVAS!$I$5:$I$15,MATCH("ALGODÃO"&amp;"|",KC_CURVAS!$K$5:$K$15,0)),""))</f>
        <v/>
      </c>
      <c r="S103" s="12">
        <f>IF(OR($K103="",$L103=""),"PENDENTE",IF($K103&lt;=$L103,$P103,IF($K103&lt;=$L103+$M103,$P103+($Q103-$P103)*($K103-$L103)/$M103,IF($K103&lt;=$L103+$M103+$N103,$Q103,IF($K103&lt;=$L103+$M103+$N103+$O103,$Q103+($R103-$Q103)*($K103-($L103+$M103+$N103))/$O103,$R103)))))</f>
        <v/>
      </c>
      <c r="T103" s="13">
        <f>IF($I103="","",$I103)</f>
        <v/>
      </c>
      <c r="U103" s="14">
        <f>IF($T103="","",SUMIFS(ETO_DIARIO!$B$5:$B$404,ETO_DIARIO!$A$5:$A$404,"&gt;"&amp;$T103,ETO_DIARIO!$A$5:$A$404,"&lt;="&amp;DATA_REF))</f>
        <v/>
      </c>
      <c r="V103" s="14">
        <f>IF($T103="","",SUMIFS(ETO_DIARIO!$C$5:$C$404,ETO_DIARIO!$A$5:$A$404,"&gt;"&amp;$T103,ETO_DIARIO!$A$5:$A$404,"&lt;="&amp;DATA_REF))</f>
        <v/>
      </c>
      <c r="W103" s="14">
        <f>IF(OR($S103="",$S103="PENDENTE",$U103=""),"",$S103*$U103)</f>
        <v/>
      </c>
      <c r="X103" s="14">
        <f>IF($W103="","",MAX(0,$W103-N($V103)))</f>
        <v/>
      </c>
      <c r="Y103" s="14">
        <f>IF($X103="","",$X103/EF_APLIC)</f>
        <v/>
      </c>
      <c r="Z103" s="15" t="n">
        <v>100</v>
      </c>
      <c r="AA103" s="16">
        <f>IF(OR($Y103="",$Z103=""),"",$Y103*$Z103*10)</f>
        <v/>
      </c>
      <c r="AB103" s="17" t="n">
        <v>0.787</v>
      </c>
      <c r="AC103" s="16">
        <f>IF(OR($AA103="",$AB103=""),"",$AA103*$AB103)</f>
        <v/>
      </c>
      <c r="AD103" s="18">
        <f>IF($S103="PENDENTE","Definir classe/Kc",IF($Y103="","-",IF($Y103&gt;='PARAMETROS'!$B$7/EF_APLIC,"Irrigar",IF($Y103&gt;='PARAMETROS'!$B$7/EF_APLIC*FRAC_ACOMP,"Acompanhar","Aguardar"))))</f>
        <v/>
      </c>
      <c r="AE103" s="18">
        <f>IF(OR($Y103="",$Y103=0),"-",IF($Y103&gt;=2*'PARAMETROS'!$B$7/EF_APLIC,"Alta",IF($Y103&gt;='PARAMETROS'!$B$7/EF_APLIC,"Media","Baixa")))</f>
        <v/>
      </c>
    </row>
    <row r="104">
      <c r="A104" s="5" t="inlineStr">
        <is>
          <t>Pivô 126</t>
        </is>
      </c>
      <c r="B104" s="5" t="inlineStr">
        <is>
          <t>Rdm</t>
        </is>
      </c>
      <c r="C104" s="5" t="inlineStr">
        <is>
          <t>RM7</t>
        </is>
      </c>
      <c r="D104" s="5" t="inlineStr">
        <is>
          <t>RDM</t>
        </is>
      </c>
      <c r="E104" s="5" t="inlineStr">
        <is>
          <t>TABACO</t>
        </is>
      </c>
      <c r="F104" s="6" t="inlineStr">
        <is>
          <t>PVH-2343</t>
        </is>
      </c>
      <c r="G104" s="7" t="inlineStr"/>
      <c r="H104" s="5" t="inlineStr">
        <is>
          <t>proximo</t>
        </is>
      </c>
      <c r="I104" s="8" t="n">
        <v>46371</v>
      </c>
      <c r="J104" s="9">
        <f>IF($I104="","",DATA_REF-$I104)</f>
        <v/>
      </c>
      <c r="K104" s="9">
        <f>IF($J104="","",MAX(0,$J104-'PARAMETROS'!$B$11))</f>
        <v/>
      </c>
      <c r="L104" s="10">
        <f>IFERROR(INDEX(KC_CURVAS!$C$5:$C$15,MATCH("TABACO|"&amp;$G104,KC_CURVAS!$K$5:$K$15,0)),IFERROR(INDEX(KC_CURVAS!$C$5:$C$15,MATCH("TABACO"&amp;"|",KC_CURVAS!$K$5:$K$15,0)),""))</f>
        <v/>
      </c>
      <c r="M104" s="10">
        <f>IFERROR(INDEX(KC_CURVAS!$D$5:$D$15,MATCH("TABACO|"&amp;$G104,KC_CURVAS!$K$5:$K$15,0)),IFERROR(INDEX(KC_CURVAS!$D$5:$D$15,MATCH("TABACO"&amp;"|",KC_CURVAS!$K$5:$K$15,0)),""))</f>
        <v/>
      </c>
      <c r="N104" s="10">
        <f>IFERROR(INDEX(KC_CURVAS!$E$5:$E$15,MATCH("TABACO|"&amp;$G104,KC_CURVAS!$K$5:$K$15,0)),IFERROR(INDEX(KC_CURVAS!$E$5:$E$15,MATCH("TABACO"&amp;"|",KC_CURVAS!$K$5:$K$15,0)),""))</f>
        <v/>
      </c>
      <c r="O104" s="10">
        <f>IFERROR(INDEX(KC_CURVAS!$F$5:$F$15,MATCH("TABACO|"&amp;$G104,KC_CURVAS!$K$5:$K$15,0)),IFERROR(INDEX(KC_CURVAS!$F$5:$F$15,MATCH("TABACO"&amp;"|",KC_CURVAS!$K$5:$K$15,0)),""))</f>
        <v/>
      </c>
      <c r="P104" s="11">
        <f>IFERROR(INDEX(KC_CURVAS!$G$5:$G$15,MATCH("TABACO|"&amp;$G104,KC_CURVAS!$K$5:$K$15,0)),IFERROR(INDEX(KC_CURVAS!$G$5:$G$15,MATCH("TABACO"&amp;"|",KC_CURVAS!$K$5:$K$15,0)),""))</f>
        <v/>
      </c>
      <c r="Q104" s="11">
        <f>IFERROR(INDEX(KC_CURVAS!$H$5:$H$15,MATCH("TABACO|"&amp;$G104,KC_CURVAS!$K$5:$K$15,0)),IFERROR(INDEX(KC_CURVAS!$H$5:$H$15,MATCH("TABACO"&amp;"|",KC_CURVAS!$K$5:$K$15,0)),""))</f>
        <v/>
      </c>
      <c r="R104" s="11">
        <f>IFERROR(INDEX(KC_CURVAS!$I$5:$I$15,MATCH("TABACO|"&amp;$G104,KC_CURVAS!$K$5:$K$15,0)),IFERROR(INDEX(KC_CURVAS!$I$5:$I$15,MATCH("TABACO"&amp;"|",KC_CURVAS!$K$5:$K$15,0)),""))</f>
        <v/>
      </c>
      <c r="S104" s="12">
        <f>IF(OR($K104="",$L104=""),"PENDENTE",IF($K104&lt;=$L104,$P104,IF($K104&lt;=$L104+$M104,$P104+($Q104-$P104)*($K104-$L104)/$M104,IF($K104&lt;=$L104+$M104+$N104,$Q104,IF($K104&lt;=$L104+$M104+$N104+$O104,$Q104+($R104-$Q104)*($K104-($L104+$M104+$N104))/$O104,$R104)))))</f>
        <v/>
      </c>
      <c r="T104" s="13">
        <f>IF($I104="","",$I104)</f>
        <v/>
      </c>
      <c r="U104" s="14">
        <f>IF($T104="","",SUMIFS(ETO_DIARIO!$B$5:$B$404,ETO_DIARIO!$A$5:$A$404,"&gt;"&amp;$T104,ETO_DIARIO!$A$5:$A$404,"&lt;="&amp;DATA_REF))</f>
        <v/>
      </c>
      <c r="V104" s="14">
        <f>IF($T104="","",SUMIFS(ETO_DIARIO!$C$5:$C$404,ETO_DIARIO!$A$5:$A$404,"&gt;"&amp;$T104,ETO_DIARIO!$A$5:$A$404,"&lt;="&amp;DATA_REF))</f>
        <v/>
      </c>
      <c r="W104" s="14">
        <f>IF(OR($S104="",$S104="PENDENTE",$U104=""),"",$S104*$U104)</f>
        <v/>
      </c>
      <c r="X104" s="14">
        <f>IF($W104="","",MAX(0,$W104-N($V104)))</f>
        <v/>
      </c>
      <c r="Y104" s="14">
        <f>IF($X104="","",$X104/EF_APLIC)</f>
        <v/>
      </c>
      <c r="Z104" s="15" t="n">
        <v>140</v>
      </c>
      <c r="AA104" s="16">
        <f>IF(OR($Y104="",$Z104=""),"",$Y104*$Z104*10)</f>
        <v/>
      </c>
      <c r="AB104" s="17" t="n">
        <v>0.711</v>
      </c>
      <c r="AC104" s="16">
        <f>IF(OR($AA104="",$AB104=""),"",$AA104*$AB104)</f>
        <v/>
      </c>
      <c r="AD104" s="18">
        <f>IF($S104="PENDENTE","Definir classe/Kc",IF($Y104="","-",IF($Y104&gt;='PARAMETROS'!$B$7/EF_APLIC,"Irrigar",IF($Y104&gt;='PARAMETROS'!$B$7/EF_APLIC*FRAC_ACOMP,"Acompanhar","Aguardar"))))</f>
        <v/>
      </c>
      <c r="AE104" s="18">
        <f>IF(OR($Y104="",$Y104=0),"-",IF($Y104&gt;=2*'PARAMETROS'!$B$7/EF_APLIC,"Alta",IF($Y104&gt;='PARAMETROS'!$B$7/EF_APLIC,"Media","Baixa")))</f>
        <v/>
      </c>
    </row>
    <row r="105">
      <c r="A105" s="5" t="inlineStr">
        <is>
          <t>Pivô 127</t>
        </is>
      </c>
      <c r="B105" s="5" t="inlineStr">
        <is>
          <t>Rdm</t>
        </is>
      </c>
      <c r="C105" s="5" t="inlineStr">
        <is>
          <t>RM7</t>
        </is>
      </c>
      <c r="D105" s="5" t="inlineStr">
        <is>
          <t>RDM</t>
        </is>
      </c>
      <c r="E105" s="5" t="inlineStr">
        <is>
          <t>SOJA</t>
        </is>
      </c>
      <c r="F105" s="6" t="inlineStr">
        <is>
          <t>NEO 761 I2X</t>
        </is>
      </c>
      <c r="G105" s="7" t="inlineStr">
        <is>
          <t>PRECOCE</t>
        </is>
      </c>
      <c r="H105" s="5" t="inlineStr">
        <is>
          <t>proximo</t>
        </is>
      </c>
      <c r="I105" s="8" t="n">
        <v>46308</v>
      </c>
      <c r="J105" s="9">
        <f>IF($I105="","",DATA_REF-$I105)</f>
        <v/>
      </c>
      <c r="K105" s="9">
        <f>IF($J105="","",MAX(0,$J105-'PARAMETROS'!$B$11))</f>
        <v/>
      </c>
      <c r="L105" s="10">
        <f>IFERROR(INDEX(KC_CURVAS!$C$5:$C$15,MATCH("SOJA|"&amp;$G105,KC_CURVAS!$K$5:$K$15,0)),IFERROR(INDEX(KC_CURVAS!$C$5:$C$15,MATCH("SOJA"&amp;"|",KC_CURVAS!$K$5:$K$15,0)),""))</f>
        <v/>
      </c>
      <c r="M105" s="10">
        <f>IFERROR(INDEX(KC_CURVAS!$D$5:$D$15,MATCH("SOJA|"&amp;$G105,KC_CURVAS!$K$5:$K$15,0)),IFERROR(INDEX(KC_CURVAS!$D$5:$D$15,MATCH("SOJA"&amp;"|",KC_CURVAS!$K$5:$K$15,0)),""))</f>
        <v/>
      </c>
      <c r="N105" s="10">
        <f>IFERROR(INDEX(KC_CURVAS!$E$5:$E$15,MATCH("SOJA|"&amp;$G105,KC_CURVAS!$K$5:$K$15,0)),IFERROR(INDEX(KC_CURVAS!$E$5:$E$15,MATCH("SOJA"&amp;"|",KC_CURVAS!$K$5:$K$15,0)),""))</f>
        <v/>
      </c>
      <c r="O105" s="10">
        <f>IFERROR(INDEX(KC_CURVAS!$F$5:$F$15,MATCH("SOJA|"&amp;$G105,KC_CURVAS!$K$5:$K$15,0)),IFERROR(INDEX(KC_CURVAS!$F$5:$F$15,MATCH("SOJA"&amp;"|",KC_CURVAS!$K$5:$K$15,0)),""))</f>
        <v/>
      </c>
      <c r="P105" s="11">
        <f>IFERROR(INDEX(KC_CURVAS!$G$5:$G$15,MATCH("SOJA|"&amp;$G105,KC_CURVAS!$K$5:$K$15,0)),IFERROR(INDEX(KC_CURVAS!$G$5:$G$15,MATCH("SOJA"&amp;"|",KC_CURVAS!$K$5:$K$15,0)),""))</f>
        <v/>
      </c>
      <c r="Q105" s="11">
        <f>IFERROR(INDEX(KC_CURVAS!$H$5:$H$15,MATCH("SOJA|"&amp;$G105,KC_CURVAS!$K$5:$K$15,0)),IFERROR(INDEX(KC_CURVAS!$H$5:$H$15,MATCH("SOJA"&amp;"|",KC_CURVAS!$K$5:$K$15,0)),""))</f>
        <v/>
      </c>
      <c r="R105" s="11">
        <f>IFERROR(INDEX(KC_CURVAS!$I$5:$I$15,MATCH("SOJA|"&amp;$G105,KC_CURVAS!$K$5:$K$15,0)),IFERROR(INDEX(KC_CURVAS!$I$5:$I$15,MATCH("SOJA"&amp;"|",KC_CURVAS!$K$5:$K$15,0)),""))</f>
        <v/>
      </c>
      <c r="S105" s="12">
        <f>IF(OR($K105="",$L105=""),"PENDENTE",IF($K105&lt;=$L105,$P105,IF($K105&lt;=$L105+$M105,$P105+($Q105-$P105)*($K105-$L105)/$M105,IF($K105&lt;=$L105+$M105+$N105,$Q105,IF($K105&lt;=$L105+$M105+$N105+$O105,$Q105+($R105-$Q105)*($K105-($L105+$M105+$N105))/$O105,$R105)))))</f>
        <v/>
      </c>
      <c r="T105" s="13">
        <f>IF($I105="","",$I105)</f>
        <v/>
      </c>
      <c r="U105" s="14">
        <f>IF($T105="","",SUMIFS(ETO_DIARIO!$B$5:$B$404,ETO_DIARIO!$A$5:$A$404,"&gt;"&amp;$T105,ETO_DIARIO!$A$5:$A$404,"&lt;="&amp;DATA_REF))</f>
        <v/>
      </c>
      <c r="V105" s="14">
        <f>IF($T105="","",SUMIFS(ETO_DIARIO!$C$5:$C$404,ETO_DIARIO!$A$5:$A$404,"&gt;"&amp;$T105,ETO_DIARIO!$A$5:$A$404,"&lt;="&amp;DATA_REF))</f>
        <v/>
      </c>
      <c r="W105" s="14">
        <f>IF(OR($S105="",$S105="PENDENTE",$U105=""),"",$S105*$U105)</f>
        <v/>
      </c>
      <c r="X105" s="14">
        <f>IF($W105="","",MAX(0,$W105-N($V105)))</f>
        <v/>
      </c>
      <c r="Y105" s="14">
        <f>IF($X105="","",$X105/EF_APLIC)</f>
        <v/>
      </c>
      <c r="Z105" s="15" t="n">
        <v>100</v>
      </c>
      <c r="AA105" s="16">
        <f>IF(OR($Y105="",$Z105=""),"",$Y105*$Z105*10)</f>
        <v/>
      </c>
      <c r="AB105" s="17" t="n">
        <v>0.821</v>
      </c>
      <c r="AC105" s="16">
        <f>IF(OR($AA105="",$AB105=""),"",$AA105*$AB105)</f>
        <v/>
      </c>
      <c r="AD105" s="18">
        <f>IF($S105="PENDENTE","Definir classe/Kc",IF($Y105="","-",IF($Y105&gt;='PARAMETROS'!$B$7/EF_APLIC,"Irrigar",IF($Y105&gt;='PARAMETROS'!$B$7/EF_APLIC*FRAC_ACOMP,"Acompanhar","Aguardar"))))</f>
        <v/>
      </c>
      <c r="AE105" s="18">
        <f>IF(OR($Y105="",$Y105=0),"-",IF($Y105&gt;=2*'PARAMETROS'!$B$7/EF_APLIC,"Alta",IF($Y105&gt;='PARAMETROS'!$B$7/EF_APLIC,"Media","Baixa")))</f>
        <v/>
      </c>
    </row>
    <row r="106">
      <c r="A106" s="5" t="inlineStr">
        <is>
          <t>Pivô 128</t>
        </is>
      </c>
      <c r="B106" s="5" t="inlineStr">
        <is>
          <t>Rdm</t>
        </is>
      </c>
      <c r="C106" s="5" t="inlineStr">
        <is>
          <t>RM6</t>
        </is>
      </c>
      <c r="D106" s="5" t="inlineStr">
        <is>
          <t>RDM</t>
        </is>
      </c>
      <c r="E106" s="5" t="inlineStr">
        <is>
          <t>TABACO</t>
        </is>
      </c>
      <c r="F106" s="6" t="inlineStr">
        <is>
          <t>PVH-2343</t>
        </is>
      </c>
      <c r="G106" s="7" t="inlineStr"/>
      <c r="H106" s="5" t="inlineStr">
        <is>
          <t>proximo</t>
        </is>
      </c>
      <c r="I106" s="8" t="n">
        <v>46345</v>
      </c>
      <c r="J106" s="9">
        <f>IF($I106="","",DATA_REF-$I106)</f>
        <v/>
      </c>
      <c r="K106" s="9">
        <f>IF($J106="","",MAX(0,$J106-'PARAMETROS'!$B$11))</f>
        <v/>
      </c>
      <c r="L106" s="10">
        <f>IFERROR(INDEX(KC_CURVAS!$C$5:$C$15,MATCH("TABACO|"&amp;$G106,KC_CURVAS!$K$5:$K$15,0)),IFERROR(INDEX(KC_CURVAS!$C$5:$C$15,MATCH("TABACO"&amp;"|",KC_CURVAS!$K$5:$K$15,0)),""))</f>
        <v/>
      </c>
      <c r="M106" s="10">
        <f>IFERROR(INDEX(KC_CURVAS!$D$5:$D$15,MATCH("TABACO|"&amp;$G106,KC_CURVAS!$K$5:$K$15,0)),IFERROR(INDEX(KC_CURVAS!$D$5:$D$15,MATCH("TABACO"&amp;"|",KC_CURVAS!$K$5:$K$15,0)),""))</f>
        <v/>
      </c>
      <c r="N106" s="10">
        <f>IFERROR(INDEX(KC_CURVAS!$E$5:$E$15,MATCH("TABACO|"&amp;$G106,KC_CURVAS!$K$5:$K$15,0)),IFERROR(INDEX(KC_CURVAS!$E$5:$E$15,MATCH("TABACO"&amp;"|",KC_CURVAS!$K$5:$K$15,0)),""))</f>
        <v/>
      </c>
      <c r="O106" s="10">
        <f>IFERROR(INDEX(KC_CURVAS!$F$5:$F$15,MATCH("TABACO|"&amp;$G106,KC_CURVAS!$K$5:$K$15,0)),IFERROR(INDEX(KC_CURVAS!$F$5:$F$15,MATCH("TABACO"&amp;"|",KC_CURVAS!$K$5:$K$15,0)),""))</f>
        <v/>
      </c>
      <c r="P106" s="11">
        <f>IFERROR(INDEX(KC_CURVAS!$G$5:$G$15,MATCH("TABACO|"&amp;$G106,KC_CURVAS!$K$5:$K$15,0)),IFERROR(INDEX(KC_CURVAS!$G$5:$G$15,MATCH("TABACO"&amp;"|",KC_CURVAS!$K$5:$K$15,0)),""))</f>
        <v/>
      </c>
      <c r="Q106" s="11">
        <f>IFERROR(INDEX(KC_CURVAS!$H$5:$H$15,MATCH("TABACO|"&amp;$G106,KC_CURVAS!$K$5:$K$15,0)),IFERROR(INDEX(KC_CURVAS!$H$5:$H$15,MATCH("TABACO"&amp;"|",KC_CURVAS!$K$5:$K$15,0)),""))</f>
        <v/>
      </c>
      <c r="R106" s="11">
        <f>IFERROR(INDEX(KC_CURVAS!$I$5:$I$15,MATCH("TABACO|"&amp;$G106,KC_CURVAS!$K$5:$K$15,0)),IFERROR(INDEX(KC_CURVAS!$I$5:$I$15,MATCH("TABACO"&amp;"|",KC_CURVAS!$K$5:$K$15,0)),""))</f>
        <v/>
      </c>
      <c r="S106" s="12">
        <f>IF(OR($K106="",$L106=""),"PENDENTE",IF($K106&lt;=$L106,$P106,IF($K106&lt;=$L106+$M106,$P106+($Q106-$P106)*($K106-$L106)/$M106,IF($K106&lt;=$L106+$M106+$N106,$Q106,IF($K106&lt;=$L106+$M106+$N106+$O106,$Q106+($R106-$Q106)*($K106-($L106+$M106+$N106))/$O106,$R106)))))</f>
        <v/>
      </c>
      <c r="T106" s="13">
        <f>IF($I106="","",$I106)</f>
        <v/>
      </c>
      <c r="U106" s="14">
        <f>IF($T106="","",SUMIFS(ETO_DIARIO!$B$5:$B$404,ETO_DIARIO!$A$5:$A$404,"&gt;"&amp;$T106,ETO_DIARIO!$A$5:$A$404,"&lt;="&amp;DATA_REF))</f>
        <v/>
      </c>
      <c r="V106" s="14">
        <f>IF($T106="","",SUMIFS(ETO_DIARIO!$C$5:$C$404,ETO_DIARIO!$A$5:$A$404,"&gt;"&amp;$T106,ETO_DIARIO!$A$5:$A$404,"&lt;="&amp;DATA_REF))</f>
        <v/>
      </c>
      <c r="W106" s="14">
        <f>IF(OR($S106="",$S106="PENDENTE",$U106=""),"",$S106*$U106)</f>
        <v/>
      </c>
      <c r="X106" s="14">
        <f>IF($W106="","",MAX(0,$W106-N($V106)))</f>
        <v/>
      </c>
      <c r="Y106" s="14">
        <f>IF($X106="","",$X106/EF_APLIC)</f>
        <v/>
      </c>
      <c r="Z106" s="15" t="n">
        <v>140</v>
      </c>
      <c r="AA106" s="16">
        <f>IF(OR($Y106="",$Z106=""),"",$Y106*$Z106*10)</f>
        <v/>
      </c>
      <c r="AB106" s="17" t="n">
        <v>0.711</v>
      </c>
      <c r="AC106" s="16">
        <f>IF(OR($AA106="",$AB106=""),"",$AA106*$AB106)</f>
        <v/>
      </c>
      <c r="AD106" s="18">
        <f>IF($S106="PENDENTE","Definir classe/Kc",IF($Y106="","-",IF($Y106&gt;='PARAMETROS'!$B$7/EF_APLIC,"Irrigar",IF($Y106&gt;='PARAMETROS'!$B$7/EF_APLIC*FRAC_ACOMP,"Acompanhar","Aguardar"))))</f>
        <v/>
      </c>
      <c r="AE106" s="18">
        <f>IF(OR($Y106="",$Y106=0),"-",IF($Y106&gt;=2*'PARAMETROS'!$B$7/EF_APLIC,"Alta",IF($Y106&gt;='PARAMETROS'!$B$7/EF_APLIC,"Media","Baixa")))</f>
        <v/>
      </c>
    </row>
    <row r="107">
      <c r="A107" s="5" t="inlineStr">
        <is>
          <t>Pivô 129</t>
        </is>
      </c>
      <c r="B107" s="5" t="inlineStr">
        <is>
          <t>Rdm</t>
        </is>
      </c>
      <c r="C107" s="5" t="inlineStr">
        <is>
          <t>RM6</t>
        </is>
      </c>
      <c r="D107" s="5" t="inlineStr">
        <is>
          <t>RDM</t>
        </is>
      </c>
      <c r="E107" s="5" t="inlineStr">
        <is>
          <t>SOJA</t>
        </is>
      </c>
      <c r="F107" s="6" t="inlineStr">
        <is>
          <t>NEO 761 I2X</t>
        </is>
      </c>
      <c r="G107" s="7" t="inlineStr">
        <is>
          <t>PRECOCE</t>
        </is>
      </c>
      <c r="H107" s="5" t="inlineStr">
        <is>
          <t>proximo</t>
        </is>
      </c>
      <c r="I107" s="8" t="n">
        <v>46308</v>
      </c>
      <c r="J107" s="9">
        <f>IF($I107="","",DATA_REF-$I107)</f>
        <v/>
      </c>
      <c r="K107" s="9">
        <f>IF($J107="","",MAX(0,$J107-'PARAMETROS'!$B$11))</f>
        <v/>
      </c>
      <c r="L107" s="10">
        <f>IFERROR(INDEX(KC_CURVAS!$C$5:$C$15,MATCH("SOJA|"&amp;$G107,KC_CURVAS!$K$5:$K$15,0)),IFERROR(INDEX(KC_CURVAS!$C$5:$C$15,MATCH("SOJA"&amp;"|",KC_CURVAS!$K$5:$K$15,0)),""))</f>
        <v/>
      </c>
      <c r="M107" s="10">
        <f>IFERROR(INDEX(KC_CURVAS!$D$5:$D$15,MATCH("SOJA|"&amp;$G107,KC_CURVAS!$K$5:$K$15,0)),IFERROR(INDEX(KC_CURVAS!$D$5:$D$15,MATCH("SOJA"&amp;"|",KC_CURVAS!$K$5:$K$15,0)),""))</f>
        <v/>
      </c>
      <c r="N107" s="10">
        <f>IFERROR(INDEX(KC_CURVAS!$E$5:$E$15,MATCH("SOJA|"&amp;$G107,KC_CURVAS!$K$5:$K$15,0)),IFERROR(INDEX(KC_CURVAS!$E$5:$E$15,MATCH("SOJA"&amp;"|",KC_CURVAS!$K$5:$K$15,0)),""))</f>
        <v/>
      </c>
      <c r="O107" s="10">
        <f>IFERROR(INDEX(KC_CURVAS!$F$5:$F$15,MATCH("SOJA|"&amp;$G107,KC_CURVAS!$K$5:$K$15,0)),IFERROR(INDEX(KC_CURVAS!$F$5:$F$15,MATCH("SOJA"&amp;"|",KC_CURVAS!$K$5:$K$15,0)),""))</f>
        <v/>
      </c>
      <c r="P107" s="11">
        <f>IFERROR(INDEX(KC_CURVAS!$G$5:$G$15,MATCH("SOJA|"&amp;$G107,KC_CURVAS!$K$5:$K$15,0)),IFERROR(INDEX(KC_CURVAS!$G$5:$G$15,MATCH("SOJA"&amp;"|",KC_CURVAS!$K$5:$K$15,0)),""))</f>
        <v/>
      </c>
      <c r="Q107" s="11">
        <f>IFERROR(INDEX(KC_CURVAS!$H$5:$H$15,MATCH("SOJA|"&amp;$G107,KC_CURVAS!$K$5:$K$15,0)),IFERROR(INDEX(KC_CURVAS!$H$5:$H$15,MATCH("SOJA"&amp;"|",KC_CURVAS!$K$5:$K$15,0)),""))</f>
        <v/>
      </c>
      <c r="R107" s="11">
        <f>IFERROR(INDEX(KC_CURVAS!$I$5:$I$15,MATCH("SOJA|"&amp;$G107,KC_CURVAS!$K$5:$K$15,0)),IFERROR(INDEX(KC_CURVAS!$I$5:$I$15,MATCH("SOJA"&amp;"|",KC_CURVAS!$K$5:$K$15,0)),""))</f>
        <v/>
      </c>
      <c r="S107" s="12">
        <f>IF(OR($K107="",$L107=""),"PENDENTE",IF($K107&lt;=$L107,$P107,IF($K107&lt;=$L107+$M107,$P107+($Q107-$P107)*($K107-$L107)/$M107,IF($K107&lt;=$L107+$M107+$N107,$Q107,IF($K107&lt;=$L107+$M107+$N107+$O107,$Q107+($R107-$Q107)*($K107-($L107+$M107+$N107))/$O107,$R107)))))</f>
        <v/>
      </c>
      <c r="T107" s="13">
        <f>IF($I107="","",$I107)</f>
        <v/>
      </c>
      <c r="U107" s="14">
        <f>IF($T107="","",SUMIFS(ETO_DIARIO!$B$5:$B$404,ETO_DIARIO!$A$5:$A$404,"&gt;"&amp;$T107,ETO_DIARIO!$A$5:$A$404,"&lt;="&amp;DATA_REF))</f>
        <v/>
      </c>
      <c r="V107" s="14">
        <f>IF($T107="","",SUMIFS(ETO_DIARIO!$C$5:$C$404,ETO_DIARIO!$A$5:$A$404,"&gt;"&amp;$T107,ETO_DIARIO!$A$5:$A$404,"&lt;="&amp;DATA_REF))</f>
        <v/>
      </c>
      <c r="W107" s="14">
        <f>IF(OR($S107="",$S107="PENDENTE",$U107=""),"",$S107*$U107)</f>
        <v/>
      </c>
      <c r="X107" s="14">
        <f>IF($W107="","",MAX(0,$W107-N($V107)))</f>
        <v/>
      </c>
      <c r="Y107" s="14">
        <f>IF($X107="","",$X107/EF_APLIC)</f>
        <v/>
      </c>
      <c r="Z107" s="15" t="n">
        <v>100</v>
      </c>
      <c r="AA107" s="16">
        <f>IF(OR($Y107="",$Z107=""),"",$Y107*$Z107*10)</f>
        <v/>
      </c>
      <c r="AB107" s="17" t="n">
        <v>0.821</v>
      </c>
      <c r="AC107" s="16">
        <f>IF(OR($AA107="",$AB107=""),"",$AA107*$AB107)</f>
        <v/>
      </c>
      <c r="AD107" s="18">
        <f>IF($S107="PENDENTE","Definir classe/Kc",IF($Y107="","-",IF($Y107&gt;='PARAMETROS'!$B$7/EF_APLIC,"Irrigar",IF($Y107&gt;='PARAMETROS'!$B$7/EF_APLIC*FRAC_ACOMP,"Acompanhar","Aguardar"))))</f>
        <v/>
      </c>
      <c r="AE107" s="18">
        <f>IF(OR($Y107="",$Y107=0),"-",IF($Y107&gt;=2*'PARAMETROS'!$B$7/EF_APLIC,"Alta",IF($Y107&gt;='PARAMETROS'!$B$7/EF_APLIC,"Media","Baixa")))</f>
        <v/>
      </c>
    </row>
    <row r="108">
      <c r="A108" s="5" t="inlineStr">
        <is>
          <t>Pivô 130</t>
        </is>
      </c>
      <c r="B108" s="5" t="inlineStr">
        <is>
          <t>Rdm</t>
        </is>
      </c>
      <c r="C108" s="5" t="inlineStr">
        <is>
          <t>RM6</t>
        </is>
      </c>
      <c r="D108" s="5" t="inlineStr">
        <is>
          <t>RDM</t>
        </is>
      </c>
      <c r="E108" s="5" t="inlineStr">
        <is>
          <t>ALGODÃO</t>
        </is>
      </c>
      <c r="F108" s="6" t="inlineStr">
        <is>
          <t>IMA 3764 B2RF</t>
        </is>
      </c>
      <c r="G108" s="7" t="inlineStr">
        <is>
          <t>TARDIO</t>
        </is>
      </c>
      <c r="H108" s="5" t="inlineStr">
        <is>
          <t>proximo</t>
        </is>
      </c>
      <c r="I108" s="8" t="n">
        <v>46358</v>
      </c>
      <c r="J108" s="9">
        <f>IF($I108="","",DATA_REF-$I108)</f>
        <v/>
      </c>
      <c r="K108" s="9">
        <f>IF($J108="","",MAX(0,$J108-'PARAMETROS'!$B$11))</f>
        <v/>
      </c>
      <c r="L108" s="10">
        <f>IFERROR(INDEX(KC_CURVAS!$C$5:$C$15,MATCH("ALGODÃO|"&amp;$G108,KC_CURVAS!$K$5:$K$15,0)),IFERROR(INDEX(KC_CURVAS!$C$5:$C$15,MATCH("ALGODÃO"&amp;"|",KC_CURVAS!$K$5:$K$15,0)),""))</f>
        <v/>
      </c>
      <c r="M108" s="10">
        <f>IFERROR(INDEX(KC_CURVAS!$D$5:$D$15,MATCH("ALGODÃO|"&amp;$G108,KC_CURVAS!$K$5:$K$15,0)),IFERROR(INDEX(KC_CURVAS!$D$5:$D$15,MATCH("ALGODÃO"&amp;"|",KC_CURVAS!$K$5:$K$15,0)),""))</f>
        <v/>
      </c>
      <c r="N108" s="10">
        <f>IFERROR(INDEX(KC_CURVAS!$E$5:$E$15,MATCH("ALGODÃO|"&amp;$G108,KC_CURVAS!$K$5:$K$15,0)),IFERROR(INDEX(KC_CURVAS!$E$5:$E$15,MATCH("ALGODÃO"&amp;"|",KC_CURVAS!$K$5:$K$15,0)),""))</f>
        <v/>
      </c>
      <c r="O108" s="10">
        <f>IFERROR(INDEX(KC_CURVAS!$F$5:$F$15,MATCH("ALGODÃO|"&amp;$G108,KC_CURVAS!$K$5:$K$15,0)),IFERROR(INDEX(KC_CURVAS!$F$5:$F$15,MATCH("ALGODÃO"&amp;"|",KC_CURVAS!$K$5:$K$15,0)),""))</f>
        <v/>
      </c>
      <c r="P108" s="11">
        <f>IFERROR(INDEX(KC_CURVAS!$G$5:$G$15,MATCH("ALGODÃO|"&amp;$G108,KC_CURVAS!$K$5:$K$15,0)),IFERROR(INDEX(KC_CURVAS!$G$5:$G$15,MATCH("ALGODÃO"&amp;"|",KC_CURVAS!$K$5:$K$15,0)),""))</f>
        <v/>
      </c>
      <c r="Q108" s="11">
        <f>IFERROR(INDEX(KC_CURVAS!$H$5:$H$15,MATCH("ALGODÃO|"&amp;$G108,KC_CURVAS!$K$5:$K$15,0)),IFERROR(INDEX(KC_CURVAS!$H$5:$H$15,MATCH("ALGODÃO"&amp;"|",KC_CURVAS!$K$5:$K$15,0)),""))</f>
        <v/>
      </c>
      <c r="R108" s="11">
        <f>IFERROR(INDEX(KC_CURVAS!$I$5:$I$15,MATCH("ALGODÃO|"&amp;$G108,KC_CURVAS!$K$5:$K$15,0)),IFERROR(INDEX(KC_CURVAS!$I$5:$I$15,MATCH("ALGODÃO"&amp;"|",KC_CURVAS!$K$5:$K$15,0)),""))</f>
        <v/>
      </c>
      <c r="S108" s="12">
        <f>IF(OR($K108="",$L108=""),"PENDENTE",IF($K108&lt;=$L108,$P108,IF($K108&lt;=$L108+$M108,$P108+($Q108-$P108)*($K108-$L108)/$M108,IF($K108&lt;=$L108+$M108+$N108,$Q108,IF($K108&lt;=$L108+$M108+$N108+$O108,$Q108+($R108-$Q108)*($K108-($L108+$M108+$N108))/$O108,$R108)))))</f>
        <v/>
      </c>
      <c r="T108" s="13">
        <f>IF($I108="","",$I108)</f>
        <v/>
      </c>
      <c r="U108" s="14">
        <f>IF($T108="","",SUMIFS(ETO_DIARIO!$B$5:$B$404,ETO_DIARIO!$A$5:$A$404,"&gt;"&amp;$T108,ETO_DIARIO!$A$5:$A$404,"&lt;="&amp;DATA_REF))</f>
        <v/>
      </c>
      <c r="V108" s="14">
        <f>IF($T108="","",SUMIFS(ETO_DIARIO!$C$5:$C$404,ETO_DIARIO!$A$5:$A$404,"&gt;"&amp;$T108,ETO_DIARIO!$A$5:$A$404,"&lt;="&amp;DATA_REF))</f>
        <v/>
      </c>
      <c r="W108" s="14">
        <f>IF(OR($S108="",$S108="PENDENTE",$U108=""),"",$S108*$U108)</f>
        <v/>
      </c>
      <c r="X108" s="14">
        <f>IF($W108="","",MAX(0,$W108-N($V108)))</f>
        <v/>
      </c>
      <c r="Y108" s="14">
        <f>IF($X108="","",$X108/EF_APLIC)</f>
        <v/>
      </c>
      <c r="Z108" s="15" t="n">
        <v>150</v>
      </c>
      <c r="AA108" s="16">
        <f>IF(OR($Y108="",$Z108=""),"",$Y108*$Z108*10)</f>
        <v/>
      </c>
      <c r="AB108" s="17" t="n">
        <v>0.724</v>
      </c>
      <c r="AC108" s="16">
        <f>IF(OR($AA108="",$AB108=""),"",$AA108*$AB108)</f>
        <v/>
      </c>
      <c r="AD108" s="18">
        <f>IF($S108="PENDENTE","Definir classe/Kc",IF($Y108="","-",IF($Y108&gt;='PARAMETROS'!$B$7/EF_APLIC,"Irrigar",IF($Y108&gt;='PARAMETROS'!$B$7/EF_APLIC*FRAC_ACOMP,"Acompanhar","Aguardar"))))</f>
        <v/>
      </c>
      <c r="AE108" s="18">
        <f>IF(OR($Y108="",$Y108=0),"-",IF($Y108&gt;=2*'PARAMETROS'!$B$7/EF_APLIC,"Alta",IF($Y108&gt;='PARAMETROS'!$B$7/EF_APLIC,"Media","Baixa")))</f>
        <v/>
      </c>
    </row>
    <row r="109">
      <c r="A109" s="5" t="inlineStr">
        <is>
          <t>Pivô 131</t>
        </is>
      </c>
      <c r="B109" s="5" t="inlineStr">
        <is>
          <t>Rdm</t>
        </is>
      </c>
      <c r="C109" s="5" t="inlineStr">
        <is>
          <t>RM5</t>
        </is>
      </c>
      <c r="D109" s="5" t="inlineStr">
        <is>
          <t>RDM</t>
        </is>
      </c>
      <c r="E109" s="5" t="inlineStr">
        <is>
          <t>ALGODÃO</t>
        </is>
      </c>
      <c r="F109" s="6" t="inlineStr">
        <is>
          <t>IMA 3764 B2RF</t>
        </is>
      </c>
      <c r="G109" s="7" t="inlineStr">
        <is>
          <t>TARDIO</t>
        </is>
      </c>
      <c r="H109" s="5" t="inlineStr">
        <is>
          <t>proximo</t>
        </is>
      </c>
      <c r="I109" s="8" t="n">
        <v>46357</v>
      </c>
      <c r="J109" s="9">
        <f>IF($I109="","",DATA_REF-$I109)</f>
        <v/>
      </c>
      <c r="K109" s="9">
        <f>IF($J109="","",MAX(0,$J109-'PARAMETROS'!$B$11))</f>
        <v/>
      </c>
      <c r="L109" s="10">
        <f>IFERROR(INDEX(KC_CURVAS!$C$5:$C$15,MATCH("ALGODÃO|"&amp;$G109,KC_CURVAS!$K$5:$K$15,0)),IFERROR(INDEX(KC_CURVAS!$C$5:$C$15,MATCH("ALGODÃO"&amp;"|",KC_CURVAS!$K$5:$K$15,0)),""))</f>
        <v/>
      </c>
      <c r="M109" s="10">
        <f>IFERROR(INDEX(KC_CURVAS!$D$5:$D$15,MATCH("ALGODÃO|"&amp;$G109,KC_CURVAS!$K$5:$K$15,0)),IFERROR(INDEX(KC_CURVAS!$D$5:$D$15,MATCH("ALGODÃO"&amp;"|",KC_CURVAS!$K$5:$K$15,0)),""))</f>
        <v/>
      </c>
      <c r="N109" s="10">
        <f>IFERROR(INDEX(KC_CURVAS!$E$5:$E$15,MATCH("ALGODÃO|"&amp;$G109,KC_CURVAS!$K$5:$K$15,0)),IFERROR(INDEX(KC_CURVAS!$E$5:$E$15,MATCH("ALGODÃO"&amp;"|",KC_CURVAS!$K$5:$K$15,0)),""))</f>
        <v/>
      </c>
      <c r="O109" s="10">
        <f>IFERROR(INDEX(KC_CURVAS!$F$5:$F$15,MATCH("ALGODÃO|"&amp;$G109,KC_CURVAS!$K$5:$K$15,0)),IFERROR(INDEX(KC_CURVAS!$F$5:$F$15,MATCH("ALGODÃO"&amp;"|",KC_CURVAS!$K$5:$K$15,0)),""))</f>
        <v/>
      </c>
      <c r="P109" s="11">
        <f>IFERROR(INDEX(KC_CURVAS!$G$5:$G$15,MATCH("ALGODÃO|"&amp;$G109,KC_CURVAS!$K$5:$K$15,0)),IFERROR(INDEX(KC_CURVAS!$G$5:$G$15,MATCH("ALGODÃO"&amp;"|",KC_CURVAS!$K$5:$K$15,0)),""))</f>
        <v/>
      </c>
      <c r="Q109" s="11">
        <f>IFERROR(INDEX(KC_CURVAS!$H$5:$H$15,MATCH("ALGODÃO|"&amp;$G109,KC_CURVAS!$K$5:$K$15,0)),IFERROR(INDEX(KC_CURVAS!$H$5:$H$15,MATCH("ALGODÃO"&amp;"|",KC_CURVAS!$K$5:$K$15,0)),""))</f>
        <v/>
      </c>
      <c r="R109" s="11">
        <f>IFERROR(INDEX(KC_CURVAS!$I$5:$I$15,MATCH("ALGODÃO|"&amp;$G109,KC_CURVAS!$K$5:$K$15,0)),IFERROR(INDEX(KC_CURVAS!$I$5:$I$15,MATCH("ALGODÃO"&amp;"|",KC_CURVAS!$K$5:$K$15,0)),""))</f>
        <v/>
      </c>
      <c r="S109" s="12">
        <f>IF(OR($K109="",$L109=""),"PENDENTE",IF($K109&lt;=$L109,$P109,IF($K109&lt;=$L109+$M109,$P109+($Q109-$P109)*($K109-$L109)/$M109,IF($K109&lt;=$L109+$M109+$N109,$Q109,IF($K109&lt;=$L109+$M109+$N109+$O109,$Q109+($R109-$Q109)*($K109-($L109+$M109+$N109))/$O109,$R109)))))</f>
        <v/>
      </c>
      <c r="T109" s="13">
        <f>IF($I109="","",$I109)</f>
        <v/>
      </c>
      <c r="U109" s="14">
        <f>IF($T109="","",SUMIFS(ETO_DIARIO!$B$5:$B$404,ETO_DIARIO!$A$5:$A$404,"&gt;"&amp;$T109,ETO_DIARIO!$A$5:$A$404,"&lt;="&amp;DATA_REF))</f>
        <v/>
      </c>
      <c r="V109" s="14">
        <f>IF($T109="","",SUMIFS(ETO_DIARIO!$C$5:$C$404,ETO_DIARIO!$A$5:$A$404,"&gt;"&amp;$T109,ETO_DIARIO!$A$5:$A$404,"&lt;="&amp;DATA_REF))</f>
        <v/>
      </c>
      <c r="W109" s="14">
        <f>IF(OR($S109="",$S109="PENDENTE",$U109=""),"",$S109*$U109)</f>
        <v/>
      </c>
      <c r="X109" s="14">
        <f>IF($W109="","",MAX(0,$W109-N($V109)))</f>
        <v/>
      </c>
      <c r="Y109" s="14">
        <f>IF($X109="","",$X109/EF_APLIC)</f>
        <v/>
      </c>
      <c r="Z109" s="15" t="n">
        <v>100</v>
      </c>
      <c r="AA109" s="16">
        <f>IF(OR($Y109="",$Z109=""),"",$Y109*$Z109*10)</f>
        <v/>
      </c>
      <c r="AB109" s="17" t="n">
        <v>0.711</v>
      </c>
      <c r="AC109" s="16">
        <f>IF(OR($AA109="",$AB109=""),"",$AA109*$AB109)</f>
        <v/>
      </c>
      <c r="AD109" s="18">
        <f>IF($S109="PENDENTE","Definir classe/Kc",IF($Y109="","-",IF($Y109&gt;='PARAMETROS'!$B$7/EF_APLIC,"Irrigar",IF($Y109&gt;='PARAMETROS'!$B$7/EF_APLIC*FRAC_ACOMP,"Acompanhar","Aguardar"))))</f>
        <v/>
      </c>
      <c r="AE109" s="18">
        <f>IF(OR($Y109="",$Y109=0),"-",IF($Y109&gt;=2*'PARAMETROS'!$B$7/EF_APLIC,"Alta",IF($Y109&gt;='PARAMETROS'!$B$7/EF_APLIC,"Media","Baixa")))</f>
        <v/>
      </c>
    </row>
    <row r="110">
      <c r="A110" s="5" t="inlineStr">
        <is>
          <t>Pivô 132</t>
        </is>
      </c>
      <c r="B110" s="5" t="inlineStr">
        <is>
          <t>Rdm</t>
        </is>
      </c>
      <c r="C110" s="5" t="inlineStr">
        <is>
          <t>RM5</t>
        </is>
      </c>
      <c r="D110" s="5" t="inlineStr">
        <is>
          <t>RDM</t>
        </is>
      </c>
      <c r="E110" s="5" t="inlineStr">
        <is>
          <t>ALGODÃO</t>
        </is>
      </c>
      <c r="F110" s="6" t="inlineStr">
        <is>
          <t>IMA 3764 B2RF</t>
        </is>
      </c>
      <c r="G110" s="7" t="inlineStr">
        <is>
          <t>TARDIO</t>
        </is>
      </c>
      <c r="H110" s="5" t="inlineStr">
        <is>
          <t>proximo</t>
        </is>
      </c>
      <c r="I110" s="8" t="n">
        <v>46357</v>
      </c>
      <c r="J110" s="9">
        <f>IF($I110="","",DATA_REF-$I110)</f>
        <v/>
      </c>
      <c r="K110" s="9">
        <f>IF($J110="","",MAX(0,$J110-'PARAMETROS'!$B$11))</f>
        <v/>
      </c>
      <c r="L110" s="10">
        <f>IFERROR(INDEX(KC_CURVAS!$C$5:$C$15,MATCH("ALGODÃO|"&amp;$G110,KC_CURVAS!$K$5:$K$15,0)),IFERROR(INDEX(KC_CURVAS!$C$5:$C$15,MATCH("ALGODÃO"&amp;"|",KC_CURVAS!$K$5:$K$15,0)),""))</f>
        <v/>
      </c>
      <c r="M110" s="10">
        <f>IFERROR(INDEX(KC_CURVAS!$D$5:$D$15,MATCH("ALGODÃO|"&amp;$G110,KC_CURVAS!$K$5:$K$15,0)),IFERROR(INDEX(KC_CURVAS!$D$5:$D$15,MATCH("ALGODÃO"&amp;"|",KC_CURVAS!$K$5:$K$15,0)),""))</f>
        <v/>
      </c>
      <c r="N110" s="10">
        <f>IFERROR(INDEX(KC_CURVAS!$E$5:$E$15,MATCH("ALGODÃO|"&amp;$G110,KC_CURVAS!$K$5:$K$15,0)),IFERROR(INDEX(KC_CURVAS!$E$5:$E$15,MATCH("ALGODÃO"&amp;"|",KC_CURVAS!$K$5:$K$15,0)),""))</f>
        <v/>
      </c>
      <c r="O110" s="10">
        <f>IFERROR(INDEX(KC_CURVAS!$F$5:$F$15,MATCH("ALGODÃO|"&amp;$G110,KC_CURVAS!$K$5:$K$15,0)),IFERROR(INDEX(KC_CURVAS!$F$5:$F$15,MATCH("ALGODÃO"&amp;"|",KC_CURVAS!$K$5:$K$15,0)),""))</f>
        <v/>
      </c>
      <c r="P110" s="11">
        <f>IFERROR(INDEX(KC_CURVAS!$G$5:$G$15,MATCH("ALGODÃO|"&amp;$G110,KC_CURVAS!$K$5:$K$15,0)),IFERROR(INDEX(KC_CURVAS!$G$5:$G$15,MATCH("ALGODÃO"&amp;"|",KC_CURVAS!$K$5:$K$15,0)),""))</f>
        <v/>
      </c>
      <c r="Q110" s="11">
        <f>IFERROR(INDEX(KC_CURVAS!$H$5:$H$15,MATCH("ALGODÃO|"&amp;$G110,KC_CURVAS!$K$5:$K$15,0)),IFERROR(INDEX(KC_CURVAS!$H$5:$H$15,MATCH("ALGODÃO"&amp;"|",KC_CURVAS!$K$5:$K$15,0)),""))</f>
        <v/>
      </c>
      <c r="R110" s="11">
        <f>IFERROR(INDEX(KC_CURVAS!$I$5:$I$15,MATCH("ALGODÃO|"&amp;$G110,KC_CURVAS!$K$5:$K$15,0)),IFERROR(INDEX(KC_CURVAS!$I$5:$I$15,MATCH("ALGODÃO"&amp;"|",KC_CURVAS!$K$5:$K$15,0)),""))</f>
        <v/>
      </c>
      <c r="S110" s="12">
        <f>IF(OR($K110="",$L110=""),"PENDENTE",IF($K110&lt;=$L110,$P110,IF($K110&lt;=$L110+$M110,$P110+($Q110-$P110)*($K110-$L110)/$M110,IF($K110&lt;=$L110+$M110+$N110,$Q110,IF($K110&lt;=$L110+$M110+$N110+$O110,$Q110+($R110-$Q110)*($K110-($L110+$M110+$N110))/$O110,$R110)))))</f>
        <v/>
      </c>
      <c r="T110" s="13">
        <f>IF($I110="","",$I110)</f>
        <v/>
      </c>
      <c r="U110" s="14">
        <f>IF($T110="","",SUMIFS(ETO_DIARIO!$B$5:$B$404,ETO_DIARIO!$A$5:$A$404,"&gt;"&amp;$T110,ETO_DIARIO!$A$5:$A$404,"&lt;="&amp;DATA_REF))</f>
        <v/>
      </c>
      <c r="V110" s="14">
        <f>IF($T110="","",SUMIFS(ETO_DIARIO!$C$5:$C$404,ETO_DIARIO!$A$5:$A$404,"&gt;"&amp;$T110,ETO_DIARIO!$A$5:$A$404,"&lt;="&amp;DATA_REF))</f>
        <v/>
      </c>
      <c r="W110" s="14">
        <f>IF(OR($S110="",$S110="PENDENTE",$U110=""),"",$S110*$U110)</f>
        <v/>
      </c>
      <c r="X110" s="14">
        <f>IF($W110="","",MAX(0,$W110-N($V110)))</f>
        <v/>
      </c>
      <c r="Y110" s="14">
        <f>IF($X110="","",$X110/EF_APLIC)</f>
        <v/>
      </c>
      <c r="Z110" s="15" t="n">
        <v>100</v>
      </c>
      <c r="AA110" s="16">
        <f>IF(OR($Y110="",$Z110=""),"",$Y110*$Z110*10)</f>
        <v/>
      </c>
      <c r="AB110" s="17" t="n">
        <v>0.711</v>
      </c>
      <c r="AC110" s="16">
        <f>IF(OR($AA110="",$AB110=""),"",$AA110*$AB110)</f>
        <v/>
      </c>
      <c r="AD110" s="18">
        <f>IF($S110="PENDENTE","Definir classe/Kc",IF($Y110="","-",IF($Y110&gt;='PARAMETROS'!$B$7/EF_APLIC,"Irrigar",IF($Y110&gt;='PARAMETROS'!$B$7/EF_APLIC*FRAC_ACOMP,"Acompanhar","Aguardar"))))</f>
        <v/>
      </c>
      <c r="AE110" s="18">
        <f>IF(OR($Y110="",$Y110=0),"-",IF($Y110&gt;=2*'PARAMETROS'!$B$7/EF_APLIC,"Alta",IF($Y110&gt;='PARAMETROS'!$B$7/EF_APLIC,"Media","Baixa")))</f>
        <v/>
      </c>
    </row>
    <row r="111">
      <c r="A111" s="5" t="inlineStr">
        <is>
          <t>Pivô 133</t>
        </is>
      </c>
      <c r="B111" s="5" t="inlineStr">
        <is>
          <t>Rdm</t>
        </is>
      </c>
      <c r="C111" s="5" t="inlineStr">
        <is>
          <t>RM7</t>
        </is>
      </c>
      <c r="D111" s="5" t="inlineStr">
        <is>
          <t>RDM</t>
        </is>
      </c>
      <c r="E111" s="5" t="inlineStr">
        <is>
          <t>ALGODÃO</t>
        </is>
      </c>
      <c r="F111" s="6" t="inlineStr">
        <is>
          <t>FM 974 GLT</t>
        </is>
      </c>
      <c r="G111" s="7" t="inlineStr">
        <is>
          <t>MÉDIO</t>
        </is>
      </c>
      <c r="H111" s="5" t="inlineStr">
        <is>
          <t>proximo</t>
        </is>
      </c>
      <c r="I111" s="8" t="n">
        <v>46357</v>
      </c>
      <c r="J111" s="9">
        <f>IF($I111="","",DATA_REF-$I111)</f>
        <v/>
      </c>
      <c r="K111" s="9">
        <f>IF($J111="","",MAX(0,$J111-'PARAMETROS'!$B$11))</f>
        <v/>
      </c>
      <c r="L111" s="10">
        <f>IFERROR(INDEX(KC_CURVAS!$C$5:$C$15,MATCH("ALGODÃO|"&amp;$G111,KC_CURVAS!$K$5:$K$15,0)),IFERROR(INDEX(KC_CURVAS!$C$5:$C$15,MATCH("ALGODÃO"&amp;"|",KC_CURVAS!$K$5:$K$15,0)),""))</f>
        <v/>
      </c>
      <c r="M111" s="10">
        <f>IFERROR(INDEX(KC_CURVAS!$D$5:$D$15,MATCH("ALGODÃO|"&amp;$G111,KC_CURVAS!$K$5:$K$15,0)),IFERROR(INDEX(KC_CURVAS!$D$5:$D$15,MATCH("ALGODÃO"&amp;"|",KC_CURVAS!$K$5:$K$15,0)),""))</f>
        <v/>
      </c>
      <c r="N111" s="10">
        <f>IFERROR(INDEX(KC_CURVAS!$E$5:$E$15,MATCH("ALGODÃO|"&amp;$G111,KC_CURVAS!$K$5:$K$15,0)),IFERROR(INDEX(KC_CURVAS!$E$5:$E$15,MATCH("ALGODÃO"&amp;"|",KC_CURVAS!$K$5:$K$15,0)),""))</f>
        <v/>
      </c>
      <c r="O111" s="10">
        <f>IFERROR(INDEX(KC_CURVAS!$F$5:$F$15,MATCH("ALGODÃO|"&amp;$G111,KC_CURVAS!$K$5:$K$15,0)),IFERROR(INDEX(KC_CURVAS!$F$5:$F$15,MATCH("ALGODÃO"&amp;"|",KC_CURVAS!$K$5:$K$15,0)),""))</f>
        <v/>
      </c>
      <c r="P111" s="11">
        <f>IFERROR(INDEX(KC_CURVAS!$G$5:$G$15,MATCH("ALGODÃO|"&amp;$G111,KC_CURVAS!$K$5:$K$15,0)),IFERROR(INDEX(KC_CURVAS!$G$5:$G$15,MATCH("ALGODÃO"&amp;"|",KC_CURVAS!$K$5:$K$15,0)),""))</f>
        <v/>
      </c>
      <c r="Q111" s="11">
        <f>IFERROR(INDEX(KC_CURVAS!$H$5:$H$15,MATCH("ALGODÃO|"&amp;$G111,KC_CURVAS!$K$5:$K$15,0)),IFERROR(INDEX(KC_CURVAS!$H$5:$H$15,MATCH("ALGODÃO"&amp;"|",KC_CURVAS!$K$5:$K$15,0)),""))</f>
        <v/>
      </c>
      <c r="R111" s="11">
        <f>IFERROR(INDEX(KC_CURVAS!$I$5:$I$15,MATCH("ALGODÃO|"&amp;$G111,KC_CURVAS!$K$5:$K$15,0)),IFERROR(INDEX(KC_CURVAS!$I$5:$I$15,MATCH("ALGODÃO"&amp;"|",KC_CURVAS!$K$5:$K$15,0)),""))</f>
        <v/>
      </c>
      <c r="S111" s="12">
        <f>IF(OR($K111="",$L111=""),"PENDENTE",IF($K111&lt;=$L111,$P111,IF($K111&lt;=$L111+$M111,$P111+($Q111-$P111)*($K111-$L111)/$M111,IF($K111&lt;=$L111+$M111+$N111,$Q111,IF($K111&lt;=$L111+$M111+$N111+$O111,$Q111+($R111-$Q111)*($K111-($L111+$M111+$N111))/$O111,$R111)))))</f>
        <v/>
      </c>
      <c r="T111" s="13">
        <f>IF($I111="","",$I111)</f>
        <v/>
      </c>
      <c r="U111" s="14">
        <f>IF($T111="","",SUMIFS(ETO_DIARIO!$B$5:$B$404,ETO_DIARIO!$A$5:$A$404,"&gt;"&amp;$T111,ETO_DIARIO!$A$5:$A$404,"&lt;="&amp;DATA_REF))</f>
        <v/>
      </c>
      <c r="V111" s="14">
        <f>IF($T111="","",SUMIFS(ETO_DIARIO!$C$5:$C$404,ETO_DIARIO!$A$5:$A$404,"&gt;"&amp;$T111,ETO_DIARIO!$A$5:$A$404,"&lt;="&amp;DATA_REF))</f>
        <v/>
      </c>
      <c r="W111" s="14">
        <f>IF(OR($S111="",$S111="PENDENTE",$U111=""),"",$S111*$U111)</f>
        <v/>
      </c>
      <c r="X111" s="14">
        <f>IF($W111="","",MAX(0,$W111-N($V111)))</f>
        <v/>
      </c>
      <c r="Y111" s="14">
        <f>IF($X111="","",$X111/EF_APLIC)</f>
        <v/>
      </c>
      <c r="Z111" s="15" t="n">
        <v>100</v>
      </c>
      <c r="AA111" s="16">
        <f>IF(OR($Y111="",$Z111=""),"",$Y111*$Z111*10)</f>
        <v/>
      </c>
      <c r="AB111" s="17" t="n">
        <v>0.825</v>
      </c>
      <c r="AC111" s="16">
        <f>IF(OR($AA111="",$AB111=""),"",$AA111*$AB111)</f>
        <v/>
      </c>
      <c r="AD111" s="18">
        <f>IF($S111="PENDENTE","Definir classe/Kc",IF($Y111="","-",IF($Y111&gt;='PARAMETROS'!$B$7/EF_APLIC,"Irrigar",IF($Y111&gt;='PARAMETROS'!$B$7/EF_APLIC*FRAC_ACOMP,"Acompanhar","Aguardar"))))</f>
        <v/>
      </c>
      <c r="AE111" s="18">
        <f>IF(OR($Y111="",$Y111=0),"-",IF($Y111&gt;=2*'PARAMETROS'!$B$7/EF_APLIC,"Alta",IF($Y111&gt;='PARAMETROS'!$B$7/EF_APLIC,"Media","Baixa")))</f>
        <v/>
      </c>
    </row>
    <row r="112">
      <c r="A112" s="5" t="inlineStr">
        <is>
          <t>Pivô 01</t>
        </is>
      </c>
      <c r="B112" s="5" t="inlineStr">
        <is>
          <t>Karitel</t>
        </is>
      </c>
      <c r="C112" s="5" t="inlineStr">
        <is>
          <t>R0</t>
        </is>
      </c>
      <c r="D112" s="5" t="inlineStr">
        <is>
          <t>Modulo 1</t>
        </is>
      </c>
      <c r="E112" s="5" t="inlineStr">
        <is>
          <t>CACAU</t>
        </is>
      </c>
      <c r="F112" s="6" t="inlineStr">
        <is>
          <t>PS1319/FA13/CCN51</t>
        </is>
      </c>
      <c r="G112" s="7" t="inlineStr"/>
      <c r="H112" s="5" t="inlineStr">
        <is>
          <t>ativo</t>
        </is>
      </c>
      <c r="I112" s="8" t="n">
        <v>45901</v>
      </c>
      <c r="J112" s="9">
        <f>IF($I112="","",DATA_REF-$I112)</f>
        <v/>
      </c>
      <c r="K112" s="9">
        <f>IF($J112="","",MAX(0,$J112-'PARAMETROS'!$B$11))</f>
        <v/>
      </c>
      <c r="L112" s="10">
        <f>IFERROR(INDEX(KC_CURVAS!$C$5:$C$15,MATCH("CACAU|"&amp;$G112,KC_CURVAS!$K$5:$K$15,0)),IFERROR(INDEX(KC_CURVAS!$C$5:$C$15,MATCH("CACAU"&amp;"|",KC_CURVAS!$K$5:$K$15,0)),""))</f>
        <v/>
      </c>
      <c r="M112" s="10">
        <f>IFERROR(INDEX(KC_CURVAS!$D$5:$D$15,MATCH("CACAU|"&amp;$G112,KC_CURVAS!$K$5:$K$15,0)),IFERROR(INDEX(KC_CURVAS!$D$5:$D$15,MATCH("CACAU"&amp;"|",KC_CURVAS!$K$5:$K$15,0)),""))</f>
        <v/>
      </c>
      <c r="N112" s="10">
        <f>IFERROR(INDEX(KC_CURVAS!$E$5:$E$15,MATCH("CACAU|"&amp;$G112,KC_CURVAS!$K$5:$K$15,0)),IFERROR(INDEX(KC_CURVAS!$E$5:$E$15,MATCH("CACAU"&amp;"|",KC_CURVAS!$K$5:$K$15,0)),""))</f>
        <v/>
      </c>
      <c r="O112" s="10">
        <f>IFERROR(INDEX(KC_CURVAS!$F$5:$F$15,MATCH("CACAU|"&amp;$G112,KC_CURVAS!$K$5:$K$15,0)),IFERROR(INDEX(KC_CURVAS!$F$5:$F$15,MATCH("CACAU"&amp;"|",KC_CURVAS!$K$5:$K$15,0)),""))</f>
        <v/>
      </c>
      <c r="P112" s="11">
        <f>IFERROR(INDEX(KC_CURVAS!$G$5:$G$15,MATCH("CACAU|"&amp;$G112,KC_CURVAS!$K$5:$K$15,0)),IFERROR(INDEX(KC_CURVAS!$G$5:$G$15,MATCH("CACAU"&amp;"|",KC_CURVAS!$K$5:$K$15,0)),""))</f>
        <v/>
      </c>
      <c r="Q112" s="11">
        <f>IFERROR(INDEX(KC_CURVAS!$H$5:$H$15,MATCH("CACAU|"&amp;$G112,KC_CURVAS!$K$5:$K$15,0)),IFERROR(INDEX(KC_CURVAS!$H$5:$H$15,MATCH("CACAU"&amp;"|",KC_CURVAS!$K$5:$K$15,0)),""))</f>
        <v/>
      </c>
      <c r="R112" s="11">
        <f>IFERROR(INDEX(KC_CURVAS!$I$5:$I$15,MATCH("CACAU|"&amp;$G112,KC_CURVAS!$K$5:$K$15,0)),IFERROR(INDEX(KC_CURVAS!$I$5:$I$15,MATCH("CACAU"&amp;"|",KC_CURVAS!$K$5:$K$15,0)),""))</f>
        <v/>
      </c>
      <c r="S112" s="12">
        <f>IF(OR($K112="",$L112=""),"PENDENTE",IF($K112&lt;=$L112,$P112,IF($K112&lt;=$L112+$M112,$P112+($Q112-$P112)*($K112-$L112)/$M112,IF($K112&lt;=$L112+$M112+$N112,$Q112,IF($K112&lt;=$L112+$M112+$N112+$O112,$Q112+($R112-$Q112)*($K112-($L112+$M112+$N112))/$O112,$R112)))))</f>
        <v/>
      </c>
      <c r="T112" s="13">
        <f>IF($I112="","",$I112)</f>
        <v/>
      </c>
      <c r="U112" s="14">
        <f>IF($T112="","",SUMIFS(ETO_DIARIO!$B$5:$B$404,ETO_DIARIO!$A$5:$A$404,"&gt;"&amp;$T112,ETO_DIARIO!$A$5:$A$404,"&lt;="&amp;DATA_REF))</f>
        <v/>
      </c>
      <c r="V112" s="14">
        <f>IF($T112="","",SUMIFS(ETO_DIARIO!$C$5:$C$404,ETO_DIARIO!$A$5:$A$404,"&gt;"&amp;$T112,ETO_DIARIO!$A$5:$A$404,"&lt;="&amp;DATA_REF))</f>
        <v/>
      </c>
      <c r="W112" s="14">
        <f>IF(OR($S112="",$S112="PENDENTE",$U112=""),"",$S112*$U112)</f>
        <v/>
      </c>
      <c r="X112" s="14">
        <f>IF($W112="","",MAX(0,$W112-N($V112)))</f>
        <v/>
      </c>
      <c r="Y112" s="14">
        <f>IF($X112="","",$X112/EF_APLIC)</f>
        <v/>
      </c>
      <c r="Z112" s="15" t="n">
        <v>47.5</v>
      </c>
      <c r="AA112" s="16">
        <f>IF(OR($Y112="",$Z112=""),"",$Y112*$Z112*10)</f>
        <v/>
      </c>
      <c r="AB112" s="17" t="n">
        <v>0.513</v>
      </c>
      <c r="AC112" s="16">
        <f>IF(OR($AA112="",$AB112=""),"",$AA112*$AB112)</f>
        <v/>
      </c>
      <c r="AD112" s="18">
        <f>IF($S112="PENDENTE","Definir classe/Kc",IF($Y112="","-",IF($Y112&gt;='PARAMETROS'!$B$7/EF_APLIC,"Irrigar",IF($Y112&gt;='PARAMETROS'!$B$7/EF_APLIC*FRAC_ACOMP,"Acompanhar","Aguardar"))))</f>
        <v/>
      </c>
      <c r="AE112" s="18">
        <f>IF(OR($Y112="",$Y112=0),"-",IF($Y112&gt;=2*'PARAMETROS'!$B$7/EF_APLIC,"Alta",IF($Y112&gt;='PARAMETROS'!$B$7/EF_APLIC,"Media","Baixa")))</f>
        <v/>
      </c>
    </row>
    <row r="113">
      <c r="A113" s="5" t="inlineStr">
        <is>
          <t>Pivô 02</t>
        </is>
      </c>
      <c r="B113" s="5" t="inlineStr">
        <is>
          <t>Karitel</t>
        </is>
      </c>
      <c r="C113" s="5" t="inlineStr">
        <is>
          <t>R0</t>
        </is>
      </c>
      <c r="D113" s="5" t="inlineStr">
        <is>
          <t>Modulo 1</t>
        </is>
      </c>
      <c r="E113" s="5" t="inlineStr">
        <is>
          <t>CACAU</t>
        </is>
      </c>
      <c r="F113" s="6" t="inlineStr">
        <is>
          <t>PS1319/FA13/CCN51</t>
        </is>
      </c>
      <c r="G113" s="7" t="inlineStr"/>
      <c r="H113" s="5" t="inlineStr">
        <is>
          <t>ativo</t>
        </is>
      </c>
      <c r="I113" s="8" t="n">
        <v>45901</v>
      </c>
      <c r="J113" s="9">
        <f>IF($I113="","",DATA_REF-$I113)</f>
        <v/>
      </c>
      <c r="K113" s="9">
        <f>IF($J113="","",MAX(0,$J113-'PARAMETROS'!$B$11))</f>
        <v/>
      </c>
      <c r="L113" s="10">
        <f>IFERROR(INDEX(KC_CURVAS!$C$5:$C$15,MATCH("CACAU|"&amp;$G113,KC_CURVAS!$K$5:$K$15,0)),IFERROR(INDEX(KC_CURVAS!$C$5:$C$15,MATCH("CACAU"&amp;"|",KC_CURVAS!$K$5:$K$15,0)),""))</f>
        <v/>
      </c>
      <c r="M113" s="10">
        <f>IFERROR(INDEX(KC_CURVAS!$D$5:$D$15,MATCH("CACAU|"&amp;$G113,KC_CURVAS!$K$5:$K$15,0)),IFERROR(INDEX(KC_CURVAS!$D$5:$D$15,MATCH("CACAU"&amp;"|",KC_CURVAS!$K$5:$K$15,0)),""))</f>
        <v/>
      </c>
      <c r="N113" s="10">
        <f>IFERROR(INDEX(KC_CURVAS!$E$5:$E$15,MATCH("CACAU|"&amp;$G113,KC_CURVAS!$K$5:$K$15,0)),IFERROR(INDEX(KC_CURVAS!$E$5:$E$15,MATCH("CACAU"&amp;"|",KC_CURVAS!$K$5:$K$15,0)),""))</f>
        <v/>
      </c>
      <c r="O113" s="10">
        <f>IFERROR(INDEX(KC_CURVAS!$F$5:$F$15,MATCH("CACAU|"&amp;$G113,KC_CURVAS!$K$5:$K$15,0)),IFERROR(INDEX(KC_CURVAS!$F$5:$F$15,MATCH("CACAU"&amp;"|",KC_CURVAS!$K$5:$K$15,0)),""))</f>
        <v/>
      </c>
      <c r="P113" s="11">
        <f>IFERROR(INDEX(KC_CURVAS!$G$5:$G$15,MATCH("CACAU|"&amp;$G113,KC_CURVAS!$K$5:$K$15,0)),IFERROR(INDEX(KC_CURVAS!$G$5:$G$15,MATCH("CACAU"&amp;"|",KC_CURVAS!$K$5:$K$15,0)),""))</f>
        <v/>
      </c>
      <c r="Q113" s="11">
        <f>IFERROR(INDEX(KC_CURVAS!$H$5:$H$15,MATCH("CACAU|"&amp;$G113,KC_CURVAS!$K$5:$K$15,0)),IFERROR(INDEX(KC_CURVAS!$H$5:$H$15,MATCH("CACAU"&amp;"|",KC_CURVAS!$K$5:$K$15,0)),""))</f>
        <v/>
      </c>
      <c r="R113" s="11">
        <f>IFERROR(INDEX(KC_CURVAS!$I$5:$I$15,MATCH("CACAU|"&amp;$G113,KC_CURVAS!$K$5:$K$15,0)),IFERROR(INDEX(KC_CURVAS!$I$5:$I$15,MATCH("CACAU"&amp;"|",KC_CURVAS!$K$5:$K$15,0)),""))</f>
        <v/>
      </c>
      <c r="S113" s="12">
        <f>IF(OR($K113="",$L113=""),"PENDENTE",IF($K113&lt;=$L113,$P113,IF($K113&lt;=$L113+$M113,$P113+($Q113-$P113)*($K113-$L113)/$M113,IF($K113&lt;=$L113+$M113+$N113,$Q113,IF($K113&lt;=$L113+$M113+$N113+$O113,$Q113+($R113-$Q113)*($K113-($L113+$M113+$N113))/$O113,$R113)))))</f>
        <v/>
      </c>
      <c r="T113" s="13">
        <f>IF($I113="","",$I113)</f>
        <v/>
      </c>
      <c r="U113" s="14">
        <f>IF($T113="","",SUMIFS(ETO_DIARIO!$B$5:$B$404,ETO_DIARIO!$A$5:$A$404,"&gt;"&amp;$T113,ETO_DIARIO!$A$5:$A$404,"&lt;="&amp;DATA_REF))</f>
        <v/>
      </c>
      <c r="V113" s="14">
        <f>IF($T113="","",SUMIFS(ETO_DIARIO!$C$5:$C$404,ETO_DIARIO!$A$5:$A$404,"&gt;"&amp;$T113,ETO_DIARIO!$A$5:$A$404,"&lt;="&amp;DATA_REF))</f>
        <v/>
      </c>
      <c r="W113" s="14">
        <f>IF(OR($S113="",$S113="PENDENTE",$U113=""),"",$S113*$U113)</f>
        <v/>
      </c>
      <c r="X113" s="14">
        <f>IF($W113="","",MAX(0,$W113-N($V113)))</f>
        <v/>
      </c>
      <c r="Y113" s="14">
        <f>IF($X113="","",$X113/EF_APLIC)</f>
        <v/>
      </c>
      <c r="Z113" s="15" t="n">
        <v>131.5</v>
      </c>
      <c r="AA113" s="16">
        <f>IF(OR($Y113="",$Z113=""),"",$Y113*$Z113*10)</f>
        <v/>
      </c>
      <c r="AB113" s="17" t="n">
        <v>0.589</v>
      </c>
      <c r="AC113" s="16">
        <f>IF(OR($AA113="",$AB113=""),"",$AA113*$AB113)</f>
        <v/>
      </c>
      <c r="AD113" s="18">
        <f>IF($S113="PENDENTE","Definir classe/Kc",IF($Y113="","-",IF($Y113&gt;='PARAMETROS'!$B$7/EF_APLIC,"Irrigar",IF($Y113&gt;='PARAMETROS'!$B$7/EF_APLIC*FRAC_ACOMP,"Acompanhar","Aguardar"))))</f>
        <v/>
      </c>
      <c r="AE113" s="18">
        <f>IF(OR($Y113="",$Y113=0),"-",IF($Y113&gt;=2*'PARAMETROS'!$B$7/EF_APLIC,"Alta",IF($Y113&gt;='PARAMETROS'!$B$7/EF_APLIC,"Media","Baixa")))</f>
        <v/>
      </c>
    </row>
    <row r="114">
      <c r="A114" s="5" t="inlineStr">
        <is>
          <t>Pivô 03</t>
        </is>
      </c>
      <c r="B114" s="5" t="inlineStr">
        <is>
          <t>Karitel</t>
        </is>
      </c>
      <c r="C114" s="5" t="inlineStr">
        <is>
          <t>R0</t>
        </is>
      </c>
      <c r="D114" s="5" t="inlineStr">
        <is>
          <t>Modulo 1</t>
        </is>
      </c>
      <c r="E114" s="5" t="inlineStr">
        <is>
          <t>CACAU</t>
        </is>
      </c>
      <c r="F114" s="6" t="inlineStr">
        <is>
          <t>PS1319/FA13/CCN51</t>
        </is>
      </c>
      <c r="G114" s="7" t="inlineStr"/>
      <c r="H114" s="5" t="inlineStr">
        <is>
          <t>ativo</t>
        </is>
      </c>
      <c r="I114" s="8" t="n">
        <v>45901</v>
      </c>
      <c r="J114" s="9">
        <f>IF($I114="","",DATA_REF-$I114)</f>
        <v/>
      </c>
      <c r="K114" s="9">
        <f>IF($J114="","",MAX(0,$J114-'PARAMETROS'!$B$11))</f>
        <v/>
      </c>
      <c r="L114" s="10">
        <f>IFERROR(INDEX(KC_CURVAS!$C$5:$C$15,MATCH("CACAU|"&amp;$G114,KC_CURVAS!$K$5:$K$15,0)),IFERROR(INDEX(KC_CURVAS!$C$5:$C$15,MATCH("CACAU"&amp;"|",KC_CURVAS!$K$5:$K$15,0)),""))</f>
        <v/>
      </c>
      <c r="M114" s="10">
        <f>IFERROR(INDEX(KC_CURVAS!$D$5:$D$15,MATCH("CACAU|"&amp;$G114,KC_CURVAS!$K$5:$K$15,0)),IFERROR(INDEX(KC_CURVAS!$D$5:$D$15,MATCH("CACAU"&amp;"|",KC_CURVAS!$K$5:$K$15,0)),""))</f>
        <v/>
      </c>
      <c r="N114" s="10">
        <f>IFERROR(INDEX(KC_CURVAS!$E$5:$E$15,MATCH("CACAU|"&amp;$G114,KC_CURVAS!$K$5:$K$15,0)),IFERROR(INDEX(KC_CURVAS!$E$5:$E$15,MATCH("CACAU"&amp;"|",KC_CURVAS!$K$5:$K$15,0)),""))</f>
        <v/>
      </c>
      <c r="O114" s="10">
        <f>IFERROR(INDEX(KC_CURVAS!$F$5:$F$15,MATCH("CACAU|"&amp;$G114,KC_CURVAS!$K$5:$K$15,0)),IFERROR(INDEX(KC_CURVAS!$F$5:$F$15,MATCH("CACAU"&amp;"|",KC_CURVAS!$K$5:$K$15,0)),""))</f>
        <v/>
      </c>
      <c r="P114" s="11">
        <f>IFERROR(INDEX(KC_CURVAS!$G$5:$G$15,MATCH("CACAU|"&amp;$G114,KC_CURVAS!$K$5:$K$15,0)),IFERROR(INDEX(KC_CURVAS!$G$5:$G$15,MATCH("CACAU"&amp;"|",KC_CURVAS!$K$5:$K$15,0)),""))</f>
        <v/>
      </c>
      <c r="Q114" s="11">
        <f>IFERROR(INDEX(KC_CURVAS!$H$5:$H$15,MATCH("CACAU|"&amp;$G114,KC_CURVAS!$K$5:$K$15,0)),IFERROR(INDEX(KC_CURVAS!$H$5:$H$15,MATCH("CACAU"&amp;"|",KC_CURVAS!$K$5:$K$15,0)),""))</f>
        <v/>
      </c>
      <c r="R114" s="11">
        <f>IFERROR(INDEX(KC_CURVAS!$I$5:$I$15,MATCH("CACAU|"&amp;$G114,KC_CURVAS!$K$5:$K$15,0)),IFERROR(INDEX(KC_CURVAS!$I$5:$I$15,MATCH("CACAU"&amp;"|",KC_CURVAS!$K$5:$K$15,0)),""))</f>
        <v/>
      </c>
      <c r="S114" s="12">
        <f>IF(OR($K114="",$L114=""),"PENDENTE",IF($K114&lt;=$L114,$P114,IF($K114&lt;=$L114+$M114,$P114+($Q114-$P114)*($K114-$L114)/$M114,IF($K114&lt;=$L114+$M114+$N114,$Q114,IF($K114&lt;=$L114+$M114+$N114+$O114,$Q114+($R114-$Q114)*($K114-($L114+$M114+$N114))/$O114,$R114)))))</f>
        <v/>
      </c>
      <c r="T114" s="13">
        <f>IF($I114="","",$I114)</f>
        <v/>
      </c>
      <c r="U114" s="14">
        <f>IF($T114="","",SUMIFS(ETO_DIARIO!$B$5:$B$404,ETO_DIARIO!$A$5:$A$404,"&gt;"&amp;$T114,ETO_DIARIO!$A$5:$A$404,"&lt;="&amp;DATA_REF))</f>
        <v/>
      </c>
      <c r="V114" s="14">
        <f>IF($T114="","",SUMIFS(ETO_DIARIO!$C$5:$C$404,ETO_DIARIO!$A$5:$A$404,"&gt;"&amp;$T114,ETO_DIARIO!$A$5:$A$404,"&lt;="&amp;DATA_REF))</f>
        <v/>
      </c>
      <c r="W114" s="14">
        <f>IF(OR($S114="",$S114="PENDENTE",$U114=""),"",$S114*$U114)</f>
        <v/>
      </c>
      <c r="X114" s="14">
        <f>IF($W114="","",MAX(0,$W114-N($V114)))</f>
        <v/>
      </c>
      <c r="Y114" s="14">
        <f>IF($X114="","",$X114/EF_APLIC)</f>
        <v/>
      </c>
      <c r="Z114" s="15" t="n">
        <v>82.8</v>
      </c>
      <c r="AA114" s="16">
        <f>IF(OR($Y114="",$Z114=""),"",$Y114*$Z114*10)</f>
        <v/>
      </c>
      <c r="AB114" s="17" t="n">
        <v>0.513</v>
      </c>
      <c r="AC114" s="16">
        <f>IF(OR($AA114="",$AB114=""),"",$AA114*$AB114)</f>
        <v/>
      </c>
      <c r="AD114" s="18">
        <f>IF($S114="PENDENTE","Definir classe/Kc",IF($Y114="","-",IF($Y114&gt;='PARAMETROS'!$B$7/EF_APLIC,"Irrigar",IF($Y114&gt;='PARAMETROS'!$B$7/EF_APLIC*FRAC_ACOMP,"Acompanhar","Aguardar"))))</f>
        <v/>
      </c>
      <c r="AE114" s="18">
        <f>IF(OR($Y114="",$Y114=0),"-",IF($Y114&gt;=2*'PARAMETROS'!$B$7/EF_APLIC,"Alta",IF($Y114&gt;='PARAMETROS'!$B$7/EF_APLIC,"Media","Baixa")))</f>
        <v/>
      </c>
    </row>
    <row r="115">
      <c r="A115" s="5" t="inlineStr">
        <is>
          <t>TDRIPP</t>
        </is>
      </c>
      <c r="B115" s="5" t="inlineStr">
        <is>
          <t>Karitel</t>
        </is>
      </c>
      <c r="C115" s="5" t="inlineStr"/>
      <c r="D115" s="5" t="inlineStr"/>
      <c r="E115" s="5" t="inlineStr">
        <is>
          <t>SOJA</t>
        </is>
      </c>
      <c r="F115" s="6" t="inlineStr">
        <is>
          <t>MURALHA IPRO</t>
        </is>
      </c>
      <c r="G115" s="7" t="inlineStr">
        <is>
          <t>MÉDIA</t>
        </is>
      </c>
      <c r="H115" s="5" t="inlineStr">
        <is>
          <t>proximo</t>
        </is>
      </c>
      <c r="I115" s="8" t="n">
        <v>46327</v>
      </c>
      <c r="J115" s="9">
        <f>IF($I115="","",DATA_REF-$I115)</f>
        <v/>
      </c>
      <c r="K115" s="9">
        <f>IF($J115="","",MAX(0,$J115-'PARAMETROS'!$B$11))</f>
        <v/>
      </c>
      <c r="L115" s="10">
        <f>IFERROR(INDEX(KC_CURVAS!$C$5:$C$15,MATCH("SOJA|"&amp;$G115,KC_CURVAS!$K$5:$K$15,0)),IFERROR(INDEX(KC_CURVAS!$C$5:$C$15,MATCH("SOJA"&amp;"|",KC_CURVAS!$K$5:$K$15,0)),""))</f>
        <v/>
      </c>
      <c r="M115" s="10">
        <f>IFERROR(INDEX(KC_CURVAS!$D$5:$D$15,MATCH("SOJA|"&amp;$G115,KC_CURVAS!$K$5:$K$15,0)),IFERROR(INDEX(KC_CURVAS!$D$5:$D$15,MATCH("SOJA"&amp;"|",KC_CURVAS!$K$5:$K$15,0)),""))</f>
        <v/>
      </c>
      <c r="N115" s="10">
        <f>IFERROR(INDEX(KC_CURVAS!$E$5:$E$15,MATCH("SOJA|"&amp;$G115,KC_CURVAS!$K$5:$K$15,0)),IFERROR(INDEX(KC_CURVAS!$E$5:$E$15,MATCH("SOJA"&amp;"|",KC_CURVAS!$K$5:$K$15,0)),""))</f>
        <v/>
      </c>
      <c r="O115" s="10">
        <f>IFERROR(INDEX(KC_CURVAS!$F$5:$F$15,MATCH("SOJA|"&amp;$G115,KC_CURVAS!$K$5:$K$15,0)),IFERROR(INDEX(KC_CURVAS!$F$5:$F$15,MATCH("SOJA"&amp;"|",KC_CURVAS!$K$5:$K$15,0)),""))</f>
        <v/>
      </c>
      <c r="P115" s="11">
        <f>IFERROR(INDEX(KC_CURVAS!$G$5:$G$15,MATCH("SOJA|"&amp;$G115,KC_CURVAS!$K$5:$K$15,0)),IFERROR(INDEX(KC_CURVAS!$G$5:$G$15,MATCH("SOJA"&amp;"|",KC_CURVAS!$K$5:$K$15,0)),""))</f>
        <v/>
      </c>
      <c r="Q115" s="11">
        <f>IFERROR(INDEX(KC_CURVAS!$H$5:$H$15,MATCH("SOJA|"&amp;$G115,KC_CURVAS!$K$5:$K$15,0)),IFERROR(INDEX(KC_CURVAS!$H$5:$H$15,MATCH("SOJA"&amp;"|",KC_CURVAS!$K$5:$K$15,0)),""))</f>
        <v/>
      </c>
      <c r="R115" s="11">
        <f>IFERROR(INDEX(KC_CURVAS!$I$5:$I$15,MATCH("SOJA|"&amp;$G115,KC_CURVAS!$K$5:$K$15,0)),IFERROR(INDEX(KC_CURVAS!$I$5:$I$15,MATCH("SOJA"&amp;"|",KC_CURVAS!$K$5:$K$15,0)),""))</f>
        <v/>
      </c>
      <c r="S115" s="12">
        <f>IF(OR($K115="",$L115=""),"PENDENTE",IF($K115&lt;=$L115,$P115,IF($K115&lt;=$L115+$M115,$P115+($Q115-$P115)*($K115-$L115)/$M115,IF($K115&lt;=$L115+$M115+$N115,$Q115,IF($K115&lt;=$L115+$M115+$N115+$O115,$Q115+($R115-$Q115)*($K115-($L115+$M115+$N115))/$O115,$R115)))))</f>
        <v/>
      </c>
      <c r="T115" s="13">
        <f>IF($I115="","",$I115)</f>
        <v/>
      </c>
      <c r="U115" s="14">
        <f>IF($T115="","",SUMIFS(ETO_DIARIO!$B$5:$B$404,ETO_DIARIO!$A$5:$A$404,"&gt;"&amp;$T115,ETO_DIARIO!$A$5:$A$404,"&lt;="&amp;DATA_REF))</f>
        <v/>
      </c>
      <c r="V115" s="14">
        <f>IF($T115="","",SUMIFS(ETO_DIARIO!$C$5:$C$404,ETO_DIARIO!$A$5:$A$404,"&gt;"&amp;$T115,ETO_DIARIO!$A$5:$A$404,"&lt;="&amp;DATA_REF))</f>
        <v/>
      </c>
      <c r="W115" s="14">
        <f>IF(OR($S115="",$S115="PENDENTE",$U115=""),"",$S115*$U115)</f>
        <v/>
      </c>
      <c r="X115" s="14">
        <f>IF($W115="","",MAX(0,$W115-N($V115)))</f>
        <v/>
      </c>
      <c r="Y115" s="14">
        <f>IF($X115="","",$X115/EF_APLIC)</f>
        <v/>
      </c>
      <c r="Z115" s="15" t="n">
        <v>40</v>
      </c>
      <c r="AA115" s="16">
        <f>IF(OR($Y115="",$Z115=""),"",$Y115*$Z115*10)</f>
        <v/>
      </c>
      <c r="AB115" s="19" t="n"/>
      <c r="AC115" s="16">
        <f>IF(OR($AA115="",$AB115=""),"",$AA115*$AB115)</f>
        <v/>
      </c>
      <c r="AD115" s="18">
        <f>IF($S115="PENDENTE","Definir classe/Kc",IF($Y115="","-",IF($Y115&gt;='PARAMETROS'!$B$7/EF_APLIC,"Irrigar",IF($Y115&gt;='PARAMETROS'!$B$7/EF_APLIC*FRAC_ACOMP,"Acompanhar","Aguardar"))))</f>
        <v/>
      </c>
      <c r="AE115" s="18">
        <f>IF(OR($Y115="",$Y115=0),"-",IF($Y115&gt;=2*'PARAMETROS'!$B$7/EF_APLIC,"Alta",IF($Y115&gt;='PARAMETROS'!$B$7/EF_APLIC,"Media","Baixa")))</f>
        <v/>
      </c>
    </row>
    <row r="116">
      <c r="A116" s="5" t="inlineStr">
        <is>
          <t>Pivô 01</t>
        </is>
      </c>
      <c r="B116" s="5" t="inlineStr">
        <is>
          <t>Karitel</t>
        </is>
      </c>
      <c r="C116" s="5" t="inlineStr">
        <is>
          <t>R0</t>
        </is>
      </c>
      <c r="D116" s="5" t="inlineStr">
        <is>
          <t>Modulo 1</t>
        </is>
      </c>
      <c r="E116" s="5" t="inlineStr">
        <is>
          <t>SOJA</t>
        </is>
      </c>
      <c r="F116" s="6" t="inlineStr">
        <is>
          <t>BMX DOMINIO IPRO</t>
        </is>
      </c>
      <c r="G116" s="7" t="inlineStr">
        <is>
          <t>MÉDIA</t>
        </is>
      </c>
      <c r="H116" s="5" t="inlineStr">
        <is>
          <t>proximo</t>
        </is>
      </c>
      <c r="I116" s="8" t="n">
        <v>46327</v>
      </c>
      <c r="J116" s="9">
        <f>IF($I116="","",DATA_REF-$I116)</f>
        <v/>
      </c>
      <c r="K116" s="9">
        <f>IF($J116="","",MAX(0,$J116-'PARAMETROS'!$B$11))</f>
        <v/>
      </c>
      <c r="L116" s="10">
        <f>IFERROR(INDEX(KC_CURVAS!$C$5:$C$15,MATCH("SOJA|"&amp;$G116,KC_CURVAS!$K$5:$K$15,0)),IFERROR(INDEX(KC_CURVAS!$C$5:$C$15,MATCH("SOJA"&amp;"|",KC_CURVAS!$K$5:$K$15,0)),""))</f>
        <v/>
      </c>
      <c r="M116" s="10">
        <f>IFERROR(INDEX(KC_CURVAS!$D$5:$D$15,MATCH("SOJA|"&amp;$G116,KC_CURVAS!$K$5:$K$15,0)),IFERROR(INDEX(KC_CURVAS!$D$5:$D$15,MATCH("SOJA"&amp;"|",KC_CURVAS!$K$5:$K$15,0)),""))</f>
        <v/>
      </c>
      <c r="N116" s="10">
        <f>IFERROR(INDEX(KC_CURVAS!$E$5:$E$15,MATCH("SOJA|"&amp;$G116,KC_CURVAS!$K$5:$K$15,0)),IFERROR(INDEX(KC_CURVAS!$E$5:$E$15,MATCH("SOJA"&amp;"|",KC_CURVAS!$K$5:$K$15,0)),""))</f>
        <v/>
      </c>
      <c r="O116" s="10">
        <f>IFERROR(INDEX(KC_CURVAS!$F$5:$F$15,MATCH("SOJA|"&amp;$G116,KC_CURVAS!$K$5:$K$15,0)),IFERROR(INDEX(KC_CURVAS!$F$5:$F$15,MATCH("SOJA"&amp;"|",KC_CURVAS!$K$5:$K$15,0)),""))</f>
        <v/>
      </c>
      <c r="P116" s="11">
        <f>IFERROR(INDEX(KC_CURVAS!$G$5:$G$15,MATCH("SOJA|"&amp;$G116,KC_CURVAS!$K$5:$K$15,0)),IFERROR(INDEX(KC_CURVAS!$G$5:$G$15,MATCH("SOJA"&amp;"|",KC_CURVAS!$K$5:$K$15,0)),""))</f>
        <v/>
      </c>
      <c r="Q116" s="11">
        <f>IFERROR(INDEX(KC_CURVAS!$H$5:$H$15,MATCH("SOJA|"&amp;$G116,KC_CURVAS!$K$5:$K$15,0)),IFERROR(INDEX(KC_CURVAS!$H$5:$H$15,MATCH("SOJA"&amp;"|",KC_CURVAS!$K$5:$K$15,0)),""))</f>
        <v/>
      </c>
      <c r="R116" s="11">
        <f>IFERROR(INDEX(KC_CURVAS!$I$5:$I$15,MATCH("SOJA|"&amp;$G116,KC_CURVAS!$K$5:$K$15,0)),IFERROR(INDEX(KC_CURVAS!$I$5:$I$15,MATCH("SOJA"&amp;"|",KC_CURVAS!$K$5:$K$15,0)),""))</f>
        <v/>
      </c>
      <c r="S116" s="12">
        <f>IF(OR($K116="",$L116=""),"PENDENTE",IF($K116&lt;=$L116,$P116,IF($K116&lt;=$L116+$M116,$P116+($Q116-$P116)*($K116-$L116)/$M116,IF($K116&lt;=$L116+$M116+$N116,$Q116,IF($K116&lt;=$L116+$M116+$N116+$O116,$Q116+($R116-$Q116)*($K116-($L116+$M116+$N116))/$O116,$R116)))))</f>
        <v/>
      </c>
      <c r="T116" s="13">
        <f>IF($I116="","",$I116)</f>
        <v/>
      </c>
      <c r="U116" s="14">
        <f>IF($T116="","",SUMIFS(ETO_DIARIO!$B$5:$B$404,ETO_DIARIO!$A$5:$A$404,"&gt;"&amp;$T116,ETO_DIARIO!$A$5:$A$404,"&lt;="&amp;DATA_REF))</f>
        <v/>
      </c>
      <c r="V116" s="14">
        <f>IF($T116="","",SUMIFS(ETO_DIARIO!$C$5:$C$404,ETO_DIARIO!$A$5:$A$404,"&gt;"&amp;$T116,ETO_DIARIO!$A$5:$A$404,"&lt;="&amp;DATA_REF))</f>
        <v/>
      </c>
      <c r="W116" s="14">
        <f>IF(OR($S116="",$S116="PENDENTE",$U116=""),"",$S116*$U116)</f>
        <v/>
      </c>
      <c r="X116" s="14">
        <f>IF($W116="","",MAX(0,$W116-N($V116)))</f>
        <v/>
      </c>
      <c r="Y116" s="14">
        <f>IF($X116="","",$X116/EF_APLIC)</f>
        <v/>
      </c>
      <c r="Z116" s="15" t="n">
        <v>70</v>
      </c>
      <c r="AA116" s="16">
        <f>IF(OR($Y116="",$Z116=""),"",$Y116*$Z116*10)</f>
        <v/>
      </c>
      <c r="AB116" s="17" t="n">
        <v>0.513</v>
      </c>
      <c r="AC116" s="16">
        <f>IF(OR($AA116="",$AB116=""),"",$AA116*$AB116)</f>
        <v/>
      </c>
      <c r="AD116" s="18">
        <f>IF($S116="PENDENTE","Definir classe/Kc",IF($Y116="","-",IF($Y116&gt;='PARAMETROS'!$B$7/EF_APLIC,"Irrigar",IF($Y116&gt;='PARAMETROS'!$B$7/EF_APLIC*FRAC_ACOMP,"Acompanhar","Aguardar"))))</f>
        <v/>
      </c>
      <c r="AE116" s="18">
        <f>IF(OR($Y116="",$Y116=0),"-",IF($Y116&gt;=2*'PARAMETROS'!$B$7/EF_APLIC,"Alta",IF($Y116&gt;='PARAMETROS'!$B$7/EF_APLIC,"Media","Baixa")))</f>
        <v/>
      </c>
    </row>
    <row r="117">
      <c r="A117" s="5" t="inlineStr">
        <is>
          <t>Pivô 02</t>
        </is>
      </c>
      <c r="B117" s="5" t="inlineStr">
        <is>
          <t>Karitel</t>
        </is>
      </c>
      <c r="C117" s="5" t="inlineStr">
        <is>
          <t>R0</t>
        </is>
      </c>
      <c r="D117" s="5" t="inlineStr">
        <is>
          <t>Modulo 1</t>
        </is>
      </c>
      <c r="E117" s="5" t="inlineStr">
        <is>
          <t>SOJA</t>
        </is>
      </c>
      <c r="F117" s="6" t="inlineStr">
        <is>
          <t>BMX DOMINIO IPRO</t>
        </is>
      </c>
      <c r="G117" s="7" t="inlineStr">
        <is>
          <t>MÉDIA</t>
        </is>
      </c>
      <c r="H117" s="5" t="inlineStr">
        <is>
          <t>proximo</t>
        </is>
      </c>
      <c r="I117" s="8" t="n">
        <v>46327</v>
      </c>
      <c r="J117" s="9">
        <f>IF($I117="","",DATA_REF-$I117)</f>
        <v/>
      </c>
      <c r="K117" s="9">
        <f>IF($J117="","",MAX(0,$J117-'PARAMETROS'!$B$11))</f>
        <v/>
      </c>
      <c r="L117" s="10">
        <f>IFERROR(INDEX(KC_CURVAS!$C$5:$C$15,MATCH("SOJA|"&amp;$G117,KC_CURVAS!$K$5:$K$15,0)),IFERROR(INDEX(KC_CURVAS!$C$5:$C$15,MATCH("SOJA"&amp;"|",KC_CURVAS!$K$5:$K$15,0)),""))</f>
        <v/>
      </c>
      <c r="M117" s="10">
        <f>IFERROR(INDEX(KC_CURVAS!$D$5:$D$15,MATCH("SOJA|"&amp;$G117,KC_CURVAS!$K$5:$K$15,0)),IFERROR(INDEX(KC_CURVAS!$D$5:$D$15,MATCH("SOJA"&amp;"|",KC_CURVAS!$K$5:$K$15,0)),""))</f>
        <v/>
      </c>
      <c r="N117" s="10">
        <f>IFERROR(INDEX(KC_CURVAS!$E$5:$E$15,MATCH("SOJA|"&amp;$G117,KC_CURVAS!$K$5:$K$15,0)),IFERROR(INDEX(KC_CURVAS!$E$5:$E$15,MATCH("SOJA"&amp;"|",KC_CURVAS!$K$5:$K$15,0)),""))</f>
        <v/>
      </c>
      <c r="O117" s="10">
        <f>IFERROR(INDEX(KC_CURVAS!$F$5:$F$15,MATCH("SOJA|"&amp;$G117,KC_CURVAS!$K$5:$K$15,0)),IFERROR(INDEX(KC_CURVAS!$F$5:$F$15,MATCH("SOJA"&amp;"|",KC_CURVAS!$K$5:$K$15,0)),""))</f>
        <v/>
      </c>
      <c r="P117" s="11">
        <f>IFERROR(INDEX(KC_CURVAS!$G$5:$G$15,MATCH("SOJA|"&amp;$G117,KC_CURVAS!$K$5:$K$15,0)),IFERROR(INDEX(KC_CURVAS!$G$5:$G$15,MATCH("SOJA"&amp;"|",KC_CURVAS!$K$5:$K$15,0)),""))</f>
        <v/>
      </c>
      <c r="Q117" s="11">
        <f>IFERROR(INDEX(KC_CURVAS!$H$5:$H$15,MATCH("SOJA|"&amp;$G117,KC_CURVAS!$K$5:$K$15,0)),IFERROR(INDEX(KC_CURVAS!$H$5:$H$15,MATCH("SOJA"&amp;"|",KC_CURVAS!$K$5:$K$15,0)),""))</f>
        <v/>
      </c>
      <c r="R117" s="11">
        <f>IFERROR(INDEX(KC_CURVAS!$I$5:$I$15,MATCH("SOJA|"&amp;$G117,KC_CURVAS!$K$5:$K$15,0)),IFERROR(INDEX(KC_CURVAS!$I$5:$I$15,MATCH("SOJA"&amp;"|",KC_CURVAS!$K$5:$K$15,0)),""))</f>
        <v/>
      </c>
      <c r="S117" s="12">
        <f>IF(OR($K117="",$L117=""),"PENDENTE",IF($K117&lt;=$L117,$P117,IF($K117&lt;=$L117+$M117,$P117+($Q117-$P117)*($K117-$L117)/$M117,IF($K117&lt;=$L117+$M117+$N117,$Q117,IF($K117&lt;=$L117+$M117+$N117+$O117,$Q117+($R117-$Q117)*($K117-($L117+$M117+$N117))/$O117,$R117)))))</f>
        <v/>
      </c>
      <c r="T117" s="13">
        <f>IF($I117="","",$I117)</f>
        <v/>
      </c>
      <c r="U117" s="14">
        <f>IF($T117="","",SUMIFS(ETO_DIARIO!$B$5:$B$404,ETO_DIARIO!$A$5:$A$404,"&gt;"&amp;$T117,ETO_DIARIO!$A$5:$A$404,"&lt;="&amp;DATA_REF))</f>
        <v/>
      </c>
      <c r="V117" s="14">
        <f>IF($T117="","",SUMIFS(ETO_DIARIO!$C$5:$C$404,ETO_DIARIO!$A$5:$A$404,"&gt;"&amp;$T117,ETO_DIARIO!$A$5:$A$404,"&lt;="&amp;DATA_REF))</f>
        <v/>
      </c>
      <c r="W117" s="14">
        <f>IF(OR($S117="",$S117="PENDENTE",$U117=""),"",$S117*$U117)</f>
        <v/>
      </c>
      <c r="X117" s="14">
        <f>IF($W117="","",MAX(0,$W117-N($V117)))</f>
        <v/>
      </c>
      <c r="Y117" s="14">
        <f>IF($X117="","",$X117/EF_APLIC)</f>
        <v/>
      </c>
      <c r="Z117" s="15" t="n">
        <v>134</v>
      </c>
      <c r="AA117" s="16">
        <f>IF(OR($Y117="",$Z117=""),"",$Y117*$Z117*10)</f>
        <v/>
      </c>
      <c r="AB117" s="17" t="n">
        <v>0.589</v>
      </c>
      <c r="AC117" s="16">
        <f>IF(OR($AA117="",$AB117=""),"",$AA117*$AB117)</f>
        <v/>
      </c>
      <c r="AD117" s="18">
        <f>IF($S117="PENDENTE","Definir classe/Kc",IF($Y117="","-",IF($Y117&gt;='PARAMETROS'!$B$7/EF_APLIC,"Irrigar",IF($Y117&gt;='PARAMETROS'!$B$7/EF_APLIC*FRAC_ACOMP,"Acompanhar","Aguardar"))))</f>
        <v/>
      </c>
      <c r="AE117" s="18">
        <f>IF(OR($Y117="",$Y117=0),"-",IF($Y117&gt;=2*'PARAMETROS'!$B$7/EF_APLIC,"Alta",IF($Y117&gt;='PARAMETROS'!$B$7/EF_APLIC,"Media","Baixa")))</f>
        <v/>
      </c>
    </row>
    <row r="118">
      <c r="A118" s="5" t="inlineStr">
        <is>
          <t>Pivô 03</t>
        </is>
      </c>
      <c r="B118" s="5" t="inlineStr">
        <is>
          <t>Karitel</t>
        </is>
      </c>
      <c r="C118" s="5" t="inlineStr">
        <is>
          <t>R0</t>
        </is>
      </c>
      <c r="D118" s="5" t="inlineStr">
        <is>
          <t>Modulo 1</t>
        </is>
      </c>
      <c r="E118" s="5" t="inlineStr">
        <is>
          <t>SOJA</t>
        </is>
      </c>
      <c r="F118" s="6" t="inlineStr">
        <is>
          <t>MURALHA IPRO</t>
        </is>
      </c>
      <c r="G118" s="7" t="inlineStr">
        <is>
          <t>MÉDIA</t>
        </is>
      </c>
      <c r="H118" s="5" t="inlineStr">
        <is>
          <t>proximo</t>
        </is>
      </c>
      <c r="I118" s="8" t="n">
        <v>46328</v>
      </c>
      <c r="J118" s="9">
        <f>IF($I118="","",DATA_REF-$I118)</f>
        <v/>
      </c>
      <c r="K118" s="9">
        <f>IF($J118="","",MAX(0,$J118-'PARAMETROS'!$B$11))</f>
        <v/>
      </c>
      <c r="L118" s="10">
        <f>IFERROR(INDEX(KC_CURVAS!$C$5:$C$15,MATCH("SOJA|"&amp;$G118,KC_CURVAS!$K$5:$K$15,0)),IFERROR(INDEX(KC_CURVAS!$C$5:$C$15,MATCH("SOJA"&amp;"|",KC_CURVAS!$K$5:$K$15,0)),""))</f>
        <v/>
      </c>
      <c r="M118" s="10">
        <f>IFERROR(INDEX(KC_CURVAS!$D$5:$D$15,MATCH("SOJA|"&amp;$G118,KC_CURVAS!$K$5:$K$15,0)),IFERROR(INDEX(KC_CURVAS!$D$5:$D$15,MATCH("SOJA"&amp;"|",KC_CURVAS!$K$5:$K$15,0)),""))</f>
        <v/>
      </c>
      <c r="N118" s="10">
        <f>IFERROR(INDEX(KC_CURVAS!$E$5:$E$15,MATCH("SOJA|"&amp;$G118,KC_CURVAS!$K$5:$K$15,0)),IFERROR(INDEX(KC_CURVAS!$E$5:$E$15,MATCH("SOJA"&amp;"|",KC_CURVAS!$K$5:$K$15,0)),""))</f>
        <v/>
      </c>
      <c r="O118" s="10">
        <f>IFERROR(INDEX(KC_CURVAS!$F$5:$F$15,MATCH("SOJA|"&amp;$G118,KC_CURVAS!$K$5:$K$15,0)),IFERROR(INDEX(KC_CURVAS!$F$5:$F$15,MATCH("SOJA"&amp;"|",KC_CURVAS!$K$5:$K$15,0)),""))</f>
        <v/>
      </c>
      <c r="P118" s="11">
        <f>IFERROR(INDEX(KC_CURVAS!$G$5:$G$15,MATCH("SOJA|"&amp;$G118,KC_CURVAS!$K$5:$K$15,0)),IFERROR(INDEX(KC_CURVAS!$G$5:$G$15,MATCH("SOJA"&amp;"|",KC_CURVAS!$K$5:$K$15,0)),""))</f>
        <v/>
      </c>
      <c r="Q118" s="11">
        <f>IFERROR(INDEX(KC_CURVAS!$H$5:$H$15,MATCH("SOJA|"&amp;$G118,KC_CURVAS!$K$5:$K$15,0)),IFERROR(INDEX(KC_CURVAS!$H$5:$H$15,MATCH("SOJA"&amp;"|",KC_CURVAS!$K$5:$K$15,0)),""))</f>
        <v/>
      </c>
      <c r="R118" s="11">
        <f>IFERROR(INDEX(KC_CURVAS!$I$5:$I$15,MATCH("SOJA|"&amp;$G118,KC_CURVAS!$K$5:$K$15,0)),IFERROR(INDEX(KC_CURVAS!$I$5:$I$15,MATCH("SOJA"&amp;"|",KC_CURVAS!$K$5:$K$15,0)),""))</f>
        <v/>
      </c>
      <c r="S118" s="12">
        <f>IF(OR($K118="",$L118=""),"PENDENTE",IF($K118&lt;=$L118,$P118,IF($K118&lt;=$L118+$M118,$P118+($Q118-$P118)*($K118-$L118)/$M118,IF($K118&lt;=$L118+$M118+$N118,$Q118,IF($K118&lt;=$L118+$M118+$N118+$O118,$Q118+($R118-$Q118)*($K118-($L118+$M118+$N118))/$O118,$R118)))))</f>
        <v/>
      </c>
      <c r="T118" s="13">
        <f>IF($I118="","",$I118)</f>
        <v/>
      </c>
      <c r="U118" s="14">
        <f>IF($T118="","",SUMIFS(ETO_DIARIO!$B$5:$B$404,ETO_DIARIO!$A$5:$A$404,"&gt;"&amp;$T118,ETO_DIARIO!$A$5:$A$404,"&lt;="&amp;DATA_REF))</f>
        <v/>
      </c>
      <c r="V118" s="14">
        <f>IF($T118="","",SUMIFS(ETO_DIARIO!$C$5:$C$404,ETO_DIARIO!$A$5:$A$404,"&gt;"&amp;$T118,ETO_DIARIO!$A$5:$A$404,"&lt;="&amp;DATA_REF))</f>
        <v/>
      </c>
      <c r="W118" s="14">
        <f>IF(OR($S118="",$S118="PENDENTE",$U118=""),"",$S118*$U118)</f>
        <v/>
      </c>
      <c r="X118" s="14">
        <f>IF($W118="","",MAX(0,$W118-N($V118)))</f>
        <v/>
      </c>
      <c r="Y118" s="14">
        <f>IF($X118="","",$X118/EF_APLIC)</f>
        <v/>
      </c>
      <c r="Z118" s="15" t="n">
        <v>77</v>
      </c>
      <c r="AA118" s="16">
        <f>IF(OR($Y118="",$Z118=""),"",$Y118*$Z118*10)</f>
        <v/>
      </c>
      <c r="AB118" s="17" t="n">
        <v>0.513</v>
      </c>
      <c r="AC118" s="16">
        <f>IF(OR($AA118="",$AB118=""),"",$AA118*$AB118)</f>
        <v/>
      </c>
      <c r="AD118" s="18">
        <f>IF($S118="PENDENTE","Definir classe/Kc",IF($Y118="","-",IF($Y118&gt;='PARAMETROS'!$B$7/EF_APLIC,"Irrigar",IF($Y118&gt;='PARAMETROS'!$B$7/EF_APLIC*FRAC_ACOMP,"Acompanhar","Aguardar"))))</f>
        <v/>
      </c>
      <c r="AE118" s="18">
        <f>IF(OR($Y118="",$Y118=0),"-",IF($Y118&gt;=2*'PARAMETROS'!$B$7/EF_APLIC,"Alta",IF($Y118&gt;='PARAMETROS'!$B$7/EF_APLIC,"Media","Baixa")))</f>
        <v/>
      </c>
    </row>
    <row r="119">
      <c r="A119" s="5" t="inlineStr">
        <is>
          <t>Pivô 10</t>
        </is>
      </c>
      <c r="B119" s="5" t="inlineStr">
        <is>
          <t>Karitel</t>
        </is>
      </c>
      <c r="C119" s="5" t="inlineStr">
        <is>
          <t>R3</t>
        </is>
      </c>
      <c r="D119" s="5" t="inlineStr">
        <is>
          <t>Modulo 1</t>
        </is>
      </c>
      <c r="E119" s="5" t="inlineStr">
        <is>
          <t>SOJA</t>
        </is>
      </c>
      <c r="F119" s="6" t="inlineStr">
        <is>
          <t>ATAQUE I2X</t>
        </is>
      </c>
      <c r="G119" s="7" t="inlineStr">
        <is>
          <t>TARDIA</t>
        </is>
      </c>
      <c r="H119" s="5" t="inlineStr">
        <is>
          <t>proximo</t>
        </is>
      </c>
      <c r="I119" s="8" t="n">
        <v>46327</v>
      </c>
      <c r="J119" s="9">
        <f>IF($I119="","",DATA_REF-$I119)</f>
        <v/>
      </c>
      <c r="K119" s="9">
        <f>IF($J119="","",MAX(0,$J119-'PARAMETROS'!$B$11))</f>
        <v/>
      </c>
      <c r="L119" s="10">
        <f>IFERROR(INDEX(KC_CURVAS!$C$5:$C$15,MATCH("SOJA|"&amp;$G119,KC_CURVAS!$K$5:$K$15,0)),IFERROR(INDEX(KC_CURVAS!$C$5:$C$15,MATCH("SOJA"&amp;"|",KC_CURVAS!$K$5:$K$15,0)),""))</f>
        <v/>
      </c>
      <c r="M119" s="10">
        <f>IFERROR(INDEX(KC_CURVAS!$D$5:$D$15,MATCH("SOJA|"&amp;$G119,KC_CURVAS!$K$5:$K$15,0)),IFERROR(INDEX(KC_CURVAS!$D$5:$D$15,MATCH("SOJA"&amp;"|",KC_CURVAS!$K$5:$K$15,0)),""))</f>
        <v/>
      </c>
      <c r="N119" s="10">
        <f>IFERROR(INDEX(KC_CURVAS!$E$5:$E$15,MATCH("SOJA|"&amp;$G119,KC_CURVAS!$K$5:$K$15,0)),IFERROR(INDEX(KC_CURVAS!$E$5:$E$15,MATCH("SOJA"&amp;"|",KC_CURVAS!$K$5:$K$15,0)),""))</f>
        <v/>
      </c>
      <c r="O119" s="10">
        <f>IFERROR(INDEX(KC_CURVAS!$F$5:$F$15,MATCH("SOJA|"&amp;$G119,KC_CURVAS!$K$5:$K$15,0)),IFERROR(INDEX(KC_CURVAS!$F$5:$F$15,MATCH("SOJA"&amp;"|",KC_CURVAS!$K$5:$K$15,0)),""))</f>
        <v/>
      </c>
      <c r="P119" s="11">
        <f>IFERROR(INDEX(KC_CURVAS!$G$5:$G$15,MATCH("SOJA|"&amp;$G119,KC_CURVAS!$K$5:$K$15,0)),IFERROR(INDEX(KC_CURVAS!$G$5:$G$15,MATCH("SOJA"&amp;"|",KC_CURVAS!$K$5:$K$15,0)),""))</f>
        <v/>
      </c>
      <c r="Q119" s="11">
        <f>IFERROR(INDEX(KC_CURVAS!$H$5:$H$15,MATCH("SOJA|"&amp;$G119,KC_CURVAS!$K$5:$K$15,0)),IFERROR(INDEX(KC_CURVAS!$H$5:$H$15,MATCH("SOJA"&amp;"|",KC_CURVAS!$K$5:$K$15,0)),""))</f>
        <v/>
      </c>
      <c r="R119" s="11">
        <f>IFERROR(INDEX(KC_CURVAS!$I$5:$I$15,MATCH("SOJA|"&amp;$G119,KC_CURVAS!$K$5:$K$15,0)),IFERROR(INDEX(KC_CURVAS!$I$5:$I$15,MATCH("SOJA"&amp;"|",KC_CURVAS!$K$5:$K$15,0)),""))</f>
        <v/>
      </c>
      <c r="S119" s="12">
        <f>IF(OR($K119="",$L119=""),"PENDENTE",IF($K119&lt;=$L119,$P119,IF($K119&lt;=$L119+$M119,$P119+($Q119-$P119)*($K119-$L119)/$M119,IF($K119&lt;=$L119+$M119+$N119,$Q119,IF($K119&lt;=$L119+$M119+$N119+$O119,$Q119+($R119-$Q119)*($K119-($L119+$M119+$N119))/$O119,$R119)))))</f>
        <v/>
      </c>
      <c r="T119" s="13">
        <f>IF($I119="","",$I119)</f>
        <v/>
      </c>
      <c r="U119" s="14">
        <f>IF($T119="","",SUMIFS(ETO_DIARIO!$B$5:$B$404,ETO_DIARIO!$A$5:$A$404,"&gt;"&amp;$T119,ETO_DIARIO!$A$5:$A$404,"&lt;="&amp;DATA_REF))</f>
        <v/>
      </c>
      <c r="V119" s="14">
        <f>IF($T119="","",SUMIFS(ETO_DIARIO!$C$5:$C$404,ETO_DIARIO!$A$5:$A$404,"&gt;"&amp;$T119,ETO_DIARIO!$A$5:$A$404,"&lt;="&amp;DATA_REF))</f>
        <v/>
      </c>
      <c r="W119" s="14">
        <f>IF(OR($S119="",$S119="PENDENTE",$U119=""),"",$S119*$U119)</f>
        <v/>
      </c>
      <c r="X119" s="14">
        <f>IF($W119="","",MAX(0,$W119-N($V119)))</f>
        <v/>
      </c>
      <c r="Y119" s="14">
        <f>IF($X119="","",$X119/EF_APLIC)</f>
        <v/>
      </c>
      <c r="Z119" s="15" t="n">
        <v>13</v>
      </c>
      <c r="AA119" s="16">
        <f>IF(OR($Y119="",$Z119=""),"",$Y119*$Z119*10)</f>
        <v/>
      </c>
      <c r="AB119" s="17" t="n">
        <v>0.5659999999999999</v>
      </c>
      <c r="AC119" s="16">
        <f>IF(OR($AA119="",$AB119=""),"",$AA119*$AB119)</f>
        <v/>
      </c>
      <c r="AD119" s="18">
        <f>IF($S119="PENDENTE","Definir classe/Kc",IF($Y119="","-",IF($Y119&gt;='PARAMETROS'!$B$7/EF_APLIC,"Irrigar",IF($Y119&gt;='PARAMETROS'!$B$7/EF_APLIC*FRAC_ACOMP,"Acompanhar","Aguardar"))))</f>
        <v/>
      </c>
      <c r="AE119" s="18">
        <f>IF(OR($Y119="",$Y119=0),"-",IF($Y119&gt;=2*'PARAMETROS'!$B$7/EF_APLIC,"Alta",IF($Y119&gt;='PARAMETROS'!$B$7/EF_APLIC,"Media","Baixa")))</f>
        <v/>
      </c>
    </row>
    <row r="120">
      <c r="A120" s="5" t="inlineStr">
        <is>
          <t>Pivô 10</t>
        </is>
      </c>
      <c r="B120" s="5" t="inlineStr">
        <is>
          <t>Karitel</t>
        </is>
      </c>
      <c r="C120" s="5" t="inlineStr">
        <is>
          <t>R3</t>
        </is>
      </c>
      <c r="D120" s="5" t="inlineStr">
        <is>
          <t>Modulo 1</t>
        </is>
      </c>
      <c r="E120" s="5" t="inlineStr">
        <is>
          <t>SOJA</t>
        </is>
      </c>
      <c r="F120" s="6" t="inlineStr">
        <is>
          <t>ATAQUE I2X</t>
        </is>
      </c>
      <c r="G120" s="7" t="inlineStr">
        <is>
          <t>TARDIA</t>
        </is>
      </c>
      <c r="H120" s="5" t="inlineStr">
        <is>
          <t>proximo</t>
        </is>
      </c>
      <c r="I120" s="8" t="n">
        <v>46327</v>
      </c>
      <c r="J120" s="9">
        <f>IF($I120="","",DATA_REF-$I120)</f>
        <v/>
      </c>
      <c r="K120" s="9">
        <f>IF($J120="","",MAX(0,$J120-'PARAMETROS'!$B$11))</f>
        <v/>
      </c>
      <c r="L120" s="10">
        <f>IFERROR(INDEX(KC_CURVAS!$C$5:$C$15,MATCH("SOJA|"&amp;$G120,KC_CURVAS!$K$5:$K$15,0)),IFERROR(INDEX(KC_CURVAS!$C$5:$C$15,MATCH("SOJA"&amp;"|",KC_CURVAS!$K$5:$K$15,0)),""))</f>
        <v/>
      </c>
      <c r="M120" s="10">
        <f>IFERROR(INDEX(KC_CURVAS!$D$5:$D$15,MATCH("SOJA|"&amp;$G120,KC_CURVAS!$K$5:$K$15,0)),IFERROR(INDEX(KC_CURVAS!$D$5:$D$15,MATCH("SOJA"&amp;"|",KC_CURVAS!$K$5:$K$15,0)),""))</f>
        <v/>
      </c>
      <c r="N120" s="10">
        <f>IFERROR(INDEX(KC_CURVAS!$E$5:$E$15,MATCH("SOJA|"&amp;$G120,KC_CURVAS!$K$5:$K$15,0)),IFERROR(INDEX(KC_CURVAS!$E$5:$E$15,MATCH("SOJA"&amp;"|",KC_CURVAS!$K$5:$K$15,0)),""))</f>
        <v/>
      </c>
      <c r="O120" s="10">
        <f>IFERROR(INDEX(KC_CURVAS!$F$5:$F$15,MATCH("SOJA|"&amp;$G120,KC_CURVAS!$K$5:$K$15,0)),IFERROR(INDEX(KC_CURVAS!$F$5:$F$15,MATCH("SOJA"&amp;"|",KC_CURVAS!$K$5:$K$15,0)),""))</f>
        <v/>
      </c>
      <c r="P120" s="11">
        <f>IFERROR(INDEX(KC_CURVAS!$G$5:$G$15,MATCH("SOJA|"&amp;$G120,KC_CURVAS!$K$5:$K$15,0)),IFERROR(INDEX(KC_CURVAS!$G$5:$G$15,MATCH("SOJA"&amp;"|",KC_CURVAS!$K$5:$K$15,0)),""))</f>
        <v/>
      </c>
      <c r="Q120" s="11">
        <f>IFERROR(INDEX(KC_CURVAS!$H$5:$H$15,MATCH("SOJA|"&amp;$G120,KC_CURVAS!$K$5:$K$15,0)),IFERROR(INDEX(KC_CURVAS!$H$5:$H$15,MATCH("SOJA"&amp;"|",KC_CURVAS!$K$5:$K$15,0)),""))</f>
        <v/>
      </c>
      <c r="R120" s="11">
        <f>IFERROR(INDEX(KC_CURVAS!$I$5:$I$15,MATCH("SOJA|"&amp;$G120,KC_CURVAS!$K$5:$K$15,0)),IFERROR(INDEX(KC_CURVAS!$I$5:$I$15,MATCH("SOJA"&amp;"|",KC_CURVAS!$K$5:$K$15,0)),""))</f>
        <v/>
      </c>
      <c r="S120" s="12">
        <f>IF(OR($K120="",$L120=""),"PENDENTE",IF($K120&lt;=$L120,$P120,IF($K120&lt;=$L120+$M120,$P120+($Q120-$P120)*($K120-$L120)/$M120,IF($K120&lt;=$L120+$M120+$N120,$Q120,IF($K120&lt;=$L120+$M120+$N120+$O120,$Q120+($R120-$Q120)*($K120-($L120+$M120+$N120))/$O120,$R120)))))</f>
        <v/>
      </c>
      <c r="T120" s="13">
        <f>IF($I120="","",$I120)</f>
        <v/>
      </c>
      <c r="U120" s="14">
        <f>IF($T120="","",SUMIFS(ETO_DIARIO!$B$5:$B$404,ETO_DIARIO!$A$5:$A$404,"&gt;"&amp;$T120,ETO_DIARIO!$A$5:$A$404,"&lt;="&amp;DATA_REF))</f>
        <v/>
      </c>
      <c r="V120" s="14">
        <f>IF($T120="","",SUMIFS(ETO_DIARIO!$C$5:$C$404,ETO_DIARIO!$A$5:$A$404,"&gt;"&amp;$T120,ETO_DIARIO!$A$5:$A$404,"&lt;="&amp;DATA_REF))</f>
        <v/>
      </c>
      <c r="W120" s="14">
        <f>IF(OR($S120="",$S120="PENDENTE",$U120=""),"",$S120*$U120)</f>
        <v/>
      </c>
      <c r="X120" s="14">
        <f>IF($W120="","",MAX(0,$W120-N($V120)))</f>
        <v/>
      </c>
      <c r="Y120" s="14">
        <f>IF($X120="","",$X120/EF_APLIC)</f>
        <v/>
      </c>
      <c r="Z120" s="15" t="n">
        <v>13</v>
      </c>
      <c r="AA120" s="16">
        <f>IF(OR($Y120="",$Z120=""),"",$Y120*$Z120*10)</f>
        <v/>
      </c>
      <c r="AB120" s="17" t="n">
        <v>0.5659999999999999</v>
      </c>
      <c r="AC120" s="16">
        <f>IF(OR($AA120="",$AB120=""),"",$AA120*$AB120)</f>
        <v/>
      </c>
      <c r="AD120" s="18">
        <f>IF($S120="PENDENTE","Definir classe/Kc",IF($Y120="","-",IF($Y120&gt;='PARAMETROS'!$B$7/EF_APLIC,"Irrigar",IF($Y120&gt;='PARAMETROS'!$B$7/EF_APLIC*FRAC_ACOMP,"Acompanhar","Aguardar"))))</f>
        <v/>
      </c>
      <c r="AE120" s="18">
        <f>IF(OR($Y120="",$Y120=0),"-",IF($Y120&gt;=2*'PARAMETROS'!$B$7/EF_APLIC,"Alta",IF($Y120&gt;='PARAMETROS'!$B$7/EF_APLIC,"Media","Baixa")))</f>
        <v/>
      </c>
    </row>
    <row r="121">
      <c r="A121" s="5" t="inlineStr">
        <is>
          <t>Pivô 11</t>
        </is>
      </c>
      <c r="B121" s="5" t="inlineStr">
        <is>
          <t>Karitel</t>
        </is>
      </c>
      <c r="C121" s="5" t="inlineStr">
        <is>
          <t>R5</t>
        </is>
      </c>
      <c r="D121" s="5" t="inlineStr">
        <is>
          <t>Modulo 1</t>
        </is>
      </c>
      <c r="E121" s="5" t="inlineStr">
        <is>
          <t>SOJA</t>
        </is>
      </c>
      <c r="F121" s="6" t="inlineStr">
        <is>
          <t>BMX DOMINIO IPRO</t>
        </is>
      </c>
      <c r="G121" s="7" t="inlineStr">
        <is>
          <t>MÉDIA</t>
        </is>
      </c>
      <c r="H121" s="5" t="inlineStr">
        <is>
          <t>proximo</t>
        </is>
      </c>
      <c r="I121" s="8" t="n">
        <v>46328</v>
      </c>
      <c r="J121" s="9">
        <f>IF($I121="","",DATA_REF-$I121)</f>
        <v/>
      </c>
      <c r="K121" s="9">
        <f>IF($J121="","",MAX(0,$J121-'PARAMETROS'!$B$11))</f>
        <v/>
      </c>
      <c r="L121" s="10">
        <f>IFERROR(INDEX(KC_CURVAS!$C$5:$C$15,MATCH("SOJA|"&amp;$G121,KC_CURVAS!$K$5:$K$15,0)),IFERROR(INDEX(KC_CURVAS!$C$5:$C$15,MATCH("SOJA"&amp;"|",KC_CURVAS!$K$5:$K$15,0)),""))</f>
        <v/>
      </c>
      <c r="M121" s="10">
        <f>IFERROR(INDEX(KC_CURVAS!$D$5:$D$15,MATCH("SOJA|"&amp;$G121,KC_CURVAS!$K$5:$K$15,0)),IFERROR(INDEX(KC_CURVAS!$D$5:$D$15,MATCH("SOJA"&amp;"|",KC_CURVAS!$K$5:$K$15,0)),""))</f>
        <v/>
      </c>
      <c r="N121" s="10">
        <f>IFERROR(INDEX(KC_CURVAS!$E$5:$E$15,MATCH("SOJA|"&amp;$G121,KC_CURVAS!$K$5:$K$15,0)),IFERROR(INDEX(KC_CURVAS!$E$5:$E$15,MATCH("SOJA"&amp;"|",KC_CURVAS!$K$5:$K$15,0)),""))</f>
        <v/>
      </c>
      <c r="O121" s="10">
        <f>IFERROR(INDEX(KC_CURVAS!$F$5:$F$15,MATCH("SOJA|"&amp;$G121,KC_CURVAS!$K$5:$K$15,0)),IFERROR(INDEX(KC_CURVAS!$F$5:$F$15,MATCH("SOJA"&amp;"|",KC_CURVAS!$K$5:$K$15,0)),""))</f>
        <v/>
      </c>
      <c r="P121" s="11">
        <f>IFERROR(INDEX(KC_CURVAS!$G$5:$G$15,MATCH("SOJA|"&amp;$G121,KC_CURVAS!$K$5:$K$15,0)),IFERROR(INDEX(KC_CURVAS!$G$5:$G$15,MATCH("SOJA"&amp;"|",KC_CURVAS!$K$5:$K$15,0)),""))</f>
        <v/>
      </c>
      <c r="Q121" s="11">
        <f>IFERROR(INDEX(KC_CURVAS!$H$5:$H$15,MATCH("SOJA|"&amp;$G121,KC_CURVAS!$K$5:$K$15,0)),IFERROR(INDEX(KC_CURVAS!$H$5:$H$15,MATCH("SOJA"&amp;"|",KC_CURVAS!$K$5:$K$15,0)),""))</f>
        <v/>
      </c>
      <c r="R121" s="11">
        <f>IFERROR(INDEX(KC_CURVAS!$I$5:$I$15,MATCH("SOJA|"&amp;$G121,KC_CURVAS!$K$5:$K$15,0)),IFERROR(INDEX(KC_CURVAS!$I$5:$I$15,MATCH("SOJA"&amp;"|",KC_CURVAS!$K$5:$K$15,0)),""))</f>
        <v/>
      </c>
      <c r="S121" s="12">
        <f>IF(OR($K121="",$L121=""),"PENDENTE",IF($K121&lt;=$L121,$P121,IF($K121&lt;=$L121+$M121,$P121+($Q121-$P121)*($K121-$L121)/$M121,IF($K121&lt;=$L121+$M121+$N121,$Q121,IF($K121&lt;=$L121+$M121+$N121+$O121,$Q121+($R121-$Q121)*($K121-($L121+$M121+$N121))/$O121,$R121)))))</f>
        <v/>
      </c>
      <c r="T121" s="13">
        <f>IF($I121="","",$I121)</f>
        <v/>
      </c>
      <c r="U121" s="14">
        <f>IF($T121="","",SUMIFS(ETO_DIARIO!$B$5:$B$404,ETO_DIARIO!$A$5:$A$404,"&gt;"&amp;$T121,ETO_DIARIO!$A$5:$A$404,"&lt;="&amp;DATA_REF))</f>
        <v/>
      </c>
      <c r="V121" s="14">
        <f>IF($T121="","",SUMIFS(ETO_DIARIO!$C$5:$C$404,ETO_DIARIO!$A$5:$A$404,"&gt;"&amp;$T121,ETO_DIARIO!$A$5:$A$404,"&lt;="&amp;DATA_REF))</f>
        <v/>
      </c>
      <c r="W121" s="14">
        <f>IF(OR($S121="",$S121="PENDENTE",$U121=""),"",$S121*$U121)</f>
        <v/>
      </c>
      <c r="X121" s="14">
        <f>IF($W121="","",MAX(0,$W121-N($V121)))</f>
        <v/>
      </c>
      <c r="Y121" s="14">
        <f>IF($X121="","",$X121/EF_APLIC)</f>
        <v/>
      </c>
      <c r="Z121" s="15" t="n">
        <v>75</v>
      </c>
      <c r="AA121" s="16">
        <f>IF(OR($Y121="",$Z121=""),"",$Y121*$Z121*10)</f>
        <v/>
      </c>
      <c r="AB121" s="17" t="n">
        <v>0.577</v>
      </c>
      <c r="AC121" s="16">
        <f>IF(OR($AA121="",$AB121=""),"",$AA121*$AB121)</f>
        <v/>
      </c>
      <c r="AD121" s="18">
        <f>IF($S121="PENDENTE","Definir classe/Kc",IF($Y121="","-",IF($Y121&gt;='PARAMETROS'!$B$7/EF_APLIC,"Irrigar",IF($Y121&gt;='PARAMETROS'!$B$7/EF_APLIC*FRAC_ACOMP,"Acompanhar","Aguardar"))))</f>
        <v/>
      </c>
      <c r="AE121" s="18">
        <f>IF(OR($Y121="",$Y121=0),"-",IF($Y121&gt;=2*'PARAMETROS'!$B$7/EF_APLIC,"Alta",IF($Y121&gt;='PARAMETROS'!$B$7/EF_APLIC,"Media","Baixa")))</f>
        <v/>
      </c>
    </row>
    <row r="122">
      <c r="A122" s="5" t="inlineStr">
        <is>
          <t>Pivô 21</t>
        </is>
      </c>
      <c r="B122" s="5" t="inlineStr">
        <is>
          <t>Karitel</t>
        </is>
      </c>
      <c r="C122" s="5" t="inlineStr">
        <is>
          <t>R4</t>
        </is>
      </c>
      <c r="D122" s="5" t="inlineStr">
        <is>
          <t>Modulo 1</t>
        </is>
      </c>
      <c r="E122" s="5" t="inlineStr">
        <is>
          <t>SOJA</t>
        </is>
      </c>
      <c r="F122" s="6" t="inlineStr">
        <is>
          <t>BMX DOMINIO IPRO</t>
        </is>
      </c>
      <c r="G122" s="7" t="inlineStr">
        <is>
          <t>MÉDIA</t>
        </is>
      </c>
      <c r="H122" s="5" t="inlineStr">
        <is>
          <t>proximo</t>
        </is>
      </c>
      <c r="I122" s="8" t="n">
        <v>46329</v>
      </c>
      <c r="J122" s="9">
        <f>IF($I122="","",DATA_REF-$I122)</f>
        <v/>
      </c>
      <c r="K122" s="9">
        <f>IF($J122="","",MAX(0,$J122-'PARAMETROS'!$B$11))</f>
        <v/>
      </c>
      <c r="L122" s="10">
        <f>IFERROR(INDEX(KC_CURVAS!$C$5:$C$15,MATCH("SOJA|"&amp;$G122,KC_CURVAS!$K$5:$K$15,0)),IFERROR(INDEX(KC_CURVAS!$C$5:$C$15,MATCH("SOJA"&amp;"|",KC_CURVAS!$K$5:$K$15,0)),""))</f>
        <v/>
      </c>
      <c r="M122" s="10">
        <f>IFERROR(INDEX(KC_CURVAS!$D$5:$D$15,MATCH("SOJA|"&amp;$G122,KC_CURVAS!$K$5:$K$15,0)),IFERROR(INDEX(KC_CURVAS!$D$5:$D$15,MATCH("SOJA"&amp;"|",KC_CURVAS!$K$5:$K$15,0)),""))</f>
        <v/>
      </c>
      <c r="N122" s="10">
        <f>IFERROR(INDEX(KC_CURVAS!$E$5:$E$15,MATCH("SOJA|"&amp;$G122,KC_CURVAS!$K$5:$K$15,0)),IFERROR(INDEX(KC_CURVAS!$E$5:$E$15,MATCH("SOJA"&amp;"|",KC_CURVAS!$K$5:$K$15,0)),""))</f>
        <v/>
      </c>
      <c r="O122" s="10">
        <f>IFERROR(INDEX(KC_CURVAS!$F$5:$F$15,MATCH("SOJA|"&amp;$G122,KC_CURVAS!$K$5:$K$15,0)),IFERROR(INDEX(KC_CURVAS!$F$5:$F$15,MATCH("SOJA"&amp;"|",KC_CURVAS!$K$5:$K$15,0)),""))</f>
        <v/>
      </c>
      <c r="P122" s="11">
        <f>IFERROR(INDEX(KC_CURVAS!$G$5:$G$15,MATCH("SOJA|"&amp;$G122,KC_CURVAS!$K$5:$K$15,0)),IFERROR(INDEX(KC_CURVAS!$G$5:$G$15,MATCH("SOJA"&amp;"|",KC_CURVAS!$K$5:$K$15,0)),""))</f>
        <v/>
      </c>
      <c r="Q122" s="11">
        <f>IFERROR(INDEX(KC_CURVAS!$H$5:$H$15,MATCH("SOJA|"&amp;$G122,KC_CURVAS!$K$5:$K$15,0)),IFERROR(INDEX(KC_CURVAS!$H$5:$H$15,MATCH("SOJA"&amp;"|",KC_CURVAS!$K$5:$K$15,0)),""))</f>
        <v/>
      </c>
      <c r="R122" s="11">
        <f>IFERROR(INDEX(KC_CURVAS!$I$5:$I$15,MATCH("SOJA|"&amp;$G122,KC_CURVAS!$K$5:$K$15,0)),IFERROR(INDEX(KC_CURVAS!$I$5:$I$15,MATCH("SOJA"&amp;"|",KC_CURVAS!$K$5:$K$15,0)),""))</f>
        <v/>
      </c>
      <c r="S122" s="12">
        <f>IF(OR($K122="",$L122=""),"PENDENTE",IF($K122&lt;=$L122,$P122,IF($K122&lt;=$L122+$M122,$P122+($Q122-$P122)*($K122-$L122)/$M122,IF($K122&lt;=$L122+$M122+$N122,$Q122,IF($K122&lt;=$L122+$M122+$N122+$O122,$Q122+($R122-$Q122)*($K122-($L122+$M122+$N122))/$O122,$R122)))))</f>
        <v/>
      </c>
      <c r="T122" s="13">
        <f>IF($I122="","",$I122)</f>
        <v/>
      </c>
      <c r="U122" s="14">
        <f>IF($T122="","",SUMIFS(ETO_DIARIO!$B$5:$B$404,ETO_DIARIO!$A$5:$A$404,"&gt;"&amp;$T122,ETO_DIARIO!$A$5:$A$404,"&lt;="&amp;DATA_REF))</f>
        <v/>
      </c>
      <c r="V122" s="14">
        <f>IF($T122="","",SUMIFS(ETO_DIARIO!$C$5:$C$404,ETO_DIARIO!$A$5:$A$404,"&gt;"&amp;$T122,ETO_DIARIO!$A$5:$A$404,"&lt;="&amp;DATA_REF))</f>
        <v/>
      </c>
      <c r="W122" s="14">
        <f>IF(OR($S122="",$S122="PENDENTE",$U122=""),"",$S122*$U122)</f>
        <v/>
      </c>
      <c r="X122" s="14">
        <f>IF($W122="","",MAX(0,$W122-N($V122)))</f>
        <v/>
      </c>
      <c r="Y122" s="14">
        <f>IF($X122="","",$X122/EF_APLIC)</f>
        <v/>
      </c>
      <c r="Z122" s="15" t="n">
        <v>213</v>
      </c>
      <c r="AA122" s="16">
        <f>IF(OR($Y122="",$Z122=""),"",$Y122*$Z122*10)</f>
        <v/>
      </c>
      <c r="AB122" s="17" t="n">
        <v>0.513</v>
      </c>
      <c r="AC122" s="16">
        <f>IF(OR($AA122="",$AB122=""),"",$AA122*$AB122)</f>
        <v/>
      </c>
      <c r="AD122" s="18">
        <f>IF($S122="PENDENTE","Definir classe/Kc",IF($Y122="","-",IF($Y122&gt;='PARAMETROS'!$B$7/EF_APLIC,"Irrigar",IF($Y122&gt;='PARAMETROS'!$B$7/EF_APLIC*FRAC_ACOMP,"Acompanhar","Aguardar"))))</f>
        <v/>
      </c>
      <c r="AE122" s="18">
        <f>IF(OR($Y122="",$Y122=0),"-",IF($Y122&gt;=2*'PARAMETROS'!$B$7/EF_APLIC,"Alta",IF($Y122&gt;='PARAMETROS'!$B$7/EF_APLIC,"Media","Baixa")))</f>
        <v/>
      </c>
    </row>
    <row r="123">
      <c r="A123" s="5" t="inlineStr">
        <is>
          <t>Pivô 22</t>
        </is>
      </c>
      <c r="B123" s="5" t="inlineStr">
        <is>
          <t>Karitel</t>
        </is>
      </c>
      <c r="C123" s="5" t="inlineStr">
        <is>
          <t>R4</t>
        </is>
      </c>
      <c r="D123" s="5" t="inlineStr">
        <is>
          <t>Modulo 1</t>
        </is>
      </c>
      <c r="E123" s="5" t="inlineStr">
        <is>
          <t>SOJA</t>
        </is>
      </c>
      <c r="F123" s="6" t="inlineStr">
        <is>
          <t>BMX DOMINIO IPRO</t>
        </is>
      </c>
      <c r="G123" s="7" t="inlineStr">
        <is>
          <t>MÉDIA</t>
        </is>
      </c>
      <c r="H123" s="5" t="inlineStr">
        <is>
          <t>proximo</t>
        </is>
      </c>
      <c r="I123" s="8" t="n">
        <v>46329</v>
      </c>
      <c r="J123" s="9">
        <f>IF($I123="","",DATA_REF-$I123)</f>
        <v/>
      </c>
      <c r="K123" s="9">
        <f>IF($J123="","",MAX(0,$J123-'PARAMETROS'!$B$11))</f>
        <v/>
      </c>
      <c r="L123" s="10">
        <f>IFERROR(INDEX(KC_CURVAS!$C$5:$C$15,MATCH("SOJA|"&amp;$G123,KC_CURVAS!$K$5:$K$15,0)),IFERROR(INDEX(KC_CURVAS!$C$5:$C$15,MATCH("SOJA"&amp;"|",KC_CURVAS!$K$5:$K$15,0)),""))</f>
        <v/>
      </c>
      <c r="M123" s="10">
        <f>IFERROR(INDEX(KC_CURVAS!$D$5:$D$15,MATCH("SOJA|"&amp;$G123,KC_CURVAS!$K$5:$K$15,0)),IFERROR(INDEX(KC_CURVAS!$D$5:$D$15,MATCH("SOJA"&amp;"|",KC_CURVAS!$K$5:$K$15,0)),""))</f>
        <v/>
      </c>
      <c r="N123" s="10">
        <f>IFERROR(INDEX(KC_CURVAS!$E$5:$E$15,MATCH("SOJA|"&amp;$G123,KC_CURVAS!$K$5:$K$15,0)),IFERROR(INDEX(KC_CURVAS!$E$5:$E$15,MATCH("SOJA"&amp;"|",KC_CURVAS!$K$5:$K$15,0)),""))</f>
        <v/>
      </c>
      <c r="O123" s="10">
        <f>IFERROR(INDEX(KC_CURVAS!$F$5:$F$15,MATCH("SOJA|"&amp;$G123,KC_CURVAS!$K$5:$K$15,0)),IFERROR(INDEX(KC_CURVAS!$F$5:$F$15,MATCH("SOJA"&amp;"|",KC_CURVAS!$K$5:$K$15,0)),""))</f>
        <v/>
      </c>
      <c r="P123" s="11">
        <f>IFERROR(INDEX(KC_CURVAS!$G$5:$G$15,MATCH("SOJA|"&amp;$G123,KC_CURVAS!$K$5:$K$15,0)),IFERROR(INDEX(KC_CURVAS!$G$5:$G$15,MATCH("SOJA"&amp;"|",KC_CURVAS!$K$5:$K$15,0)),""))</f>
        <v/>
      </c>
      <c r="Q123" s="11">
        <f>IFERROR(INDEX(KC_CURVAS!$H$5:$H$15,MATCH("SOJA|"&amp;$G123,KC_CURVAS!$K$5:$K$15,0)),IFERROR(INDEX(KC_CURVAS!$H$5:$H$15,MATCH("SOJA"&amp;"|",KC_CURVAS!$K$5:$K$15,0)),""))</f>
        <v/>
      </c>
      <c r="R123" s="11">
        <f>IFERROR(INDEX(KC_CURVAS!$I$5:$I$15,MATCH("SOJA|"&amp;$G123,KC_CURVAS!$K$5:$K$15,0)),IFERROR(INDEX(KC_CURVAS!$I$5:$I$15,MATCH("SOJA"&amp;"|",KC_CURVAS!$K$5:$K$15,0)),""))</f>
        <v/>
      </c>
      <c r="S123" s="12">
        <f>IF(OR($K123="",$L123=""),"PENDENTE",IF($K123&lt;=$L123,$P123,IF($K123&lt;=$L123+$M123,$P123+($Q123-$P123)*($K123-$L123)/$M123,IF($K123&lt;=$L123+$M123+$N123,$Q123,IF($K123&lt;=$L123+$M123+$N123+$O123,$Q123+($R123-$Q123)*($K123-($L123+$M123+$N123))/$O123,$R123)))))</f>
        <v/>
      </c>
      <c r="T123" s="13">
        <f>IF($I123="","",$I123)</f>
        <v/>
      </c>
      <c r="U123" s="14">
        <f>IF($T123="","",SUMIFS(ETO_DIARIO!$B$5:$B$404,ETO_DIARIO!$A$5:$A$404,"&gt;"&amp;$T123,ETO_DIARIO!$A$5:$A$404,"&lt;="&amp;DATA_REF))</f>
        <v/>
      </c>
      <c r="V123" s="14">
        <f>IF($T123="","",SUMIFS(ETO_DIARIO!$C$5:$C$404,ETO_DIARIO!$A$5:$A$404,"&gt;"&amp;$T123,ETO_DIARIO!$A$5:$A$404,"&lt;="&amp;DATA_REF))</f>
        <v/>
      </c>
      <c r="W123" s="14">
        <f>IF(OR($S123="",$S123="PENDENTE",$U123=""),"",$S123*$U123)</f>
        <v/>
      </c>
      <c r="X123" s="14">
        <f>IF($W123="","",MAX(0,$W123-N($V123)))</f>
        <v/>
      </c>
      <c r="Y123" s="14">
        <f>IF($X123="","",$X123/EF_APLIC)</f>
        <v/>
      </c>
      <c r="Z123" s="15" t="n">
        <v>110</v>
      </c>
      <c r="AA123" s="16">
        <f>IF(OR($Y123="",$Z123=""),"",$Y123*$Z123*10)</f>
        <v/>
      </c>
      <c r="AB123" s="17" t="n">
        <v>0.513</v>
      </c>
      <c r="AC123" s="16">
        <f>IF(OR($AA123="",$AB123=""),"",$AA123*$AB123)</f>
        <v/>
      </c>
      <c r="AD123" s="18">
        <f>IF($S123="PENDENTE","Definir classe/Kc",IF($Y123="","-",IF($Y123&gt;='PARAMETROS'!$B$7/EF_APLIC,"Irrigar",IF($Y123&gt;='PARAMETROS'!$B$7/EF_APLIC*FRAC_ACOMP,"Acompanhar","Aguardar"))))</f>
        <v/>
      </c>
      <c r="AE123" s="18">
        <f>IF(OR($Y123="",$Y123=0),"-",IF($Y123&gt;=2*'PARAMETROS'!$B$7/EF_APLIC,"Alta",IF($Y123&gt;='PARAMETROS'!$B$7/EF_APLIC,"Media","Baixa")))</f>
        <v/>
      </c>
    </row>
    <row r="124">
      <c r="A124" s="5" t="inlineStr">
        <is>
          <t>Pivô 23</t>
        </is>
      </c>
      <c r="B124" s="5" t="inlineStr">
        <is>
          <t>Karitel</t>
        </is>
      </c>
      <c r="C124" s="5" t="inlineStr">
        <is>
          <t>R6</t>
        </is>
      </c>
      <c r="D124" s="5" t="inlineStr">
        <is>
          <t>Modulo 1</t>
        </is>
      </c>
      <c r="E124" s="5" t="inlineStr">
        <is>
          <t>SOJA</t>
        </is>
      </c>
      <c r="F124" s="6" t="inlineStr">
        <is>
          <t>BMX DOMINIO IPRO</t>
        </is>
      </c>
      <c r="G124" s="7" t="inlineStr">
        <is>
          <t>MÉDIA</t>
        </is>
      </c>
      <c r="H124" s="5" t="inlineStr">
        <is>
          <t>proximo</t>
        </is>
      </c>
      <c r="I124" s="8" t="n">
        <v>46329</v>
      </c>
      <c r="J124" s="9">
        <f>IF($I124="","",DATA_REF-$I124)</f>
        <v/>
      </c>
      <c r="K124" s="9">
        <f>IF($J124="","",MAX(0,$J124-'PARAMETROS'!$B$11))</f>
        <v/>
      </c>
      <c r="L124" s="10">
        <f>IFERROR(INDEX(KC_CURVAS!$C$5:$C$15,MATCH("SOJA|"&amp;$G124,KC_CURVAS!$K$5:$K$15,0)),IFERROR(INDEX(KC_CURVAS!$C$5:$C$15,MATCH("SOJA"&amp;"|",KC_CURVAS!$K$5:$K$15,0)),""))</f>
        <v/>
      </c>
      <c r="M124" s="10">
        <f>IFERROR(INDEX(KC_CURVAS!$D$5:$D$15,MATCH("SOJA|"&amp;$G124,KC_CURVAS!$K$5:$K$15,0)),IFERROR(INDEX(KC_CURVAS!$D$5:$D$15,MATCH("SOJA"&amp;"|",KC_CURVAS!$K$5:$K$15,0)),""))</f>
        <v/>
      </c>
      <c r="N124" s="10">
        <f>IFERROR(INDEX(KC_CURVAS!$E$5:$E$15,MATCH("SOJA|"&amp;$G124,KC_CURVAS!$K$5:$K$15,0)),IFERROR(INDEX(KC_CURVAS!$E$5:$E$15,MATCH("SOJA"&amp;"|",KC_CURVAS!$K$5:$K$15,0)),""))</f>
        <v/>
      </c>
      <c r="O124" s="10">
        <f>IFERROR(INDEX(KC_CURVAS!$F$5:$F$15,MATCH("SOJA|"&amp;$G124,KC_CURVAS!$K$5:$K$15,0)),IFERROR(INDEX(KC_CURVAS!$F$5:$F$15,MATCH("SOJA"&amp;"|",KC_CURVAS!$K$5:$K$15,0)),""))</f>
        <v/>
      </c>
      <c r="P124" s="11">
        <f>IFERROR(INDEX(KC_CURVAS!$G$5:$G$15,MATCH("SOJA|"&amp;$G124,KC_CURVAS!$K$5:$K$15,0)),IFERROR(INDEX(KC_CURVAS!$G$5:$G$15,MATCH("SOJA"&amp;"|",KC_CURVAS!$K$5:$K$15,0)),""))</f>
        <v/>
      </c>
      <c r="Q124" s="11">
        <f>IFERROR(INDEX(KC_CURVAS!$H$5:$H$15,MATCH("SOJA|"&amp;$G124,KC_CURVAS!$K$5:$K$15,0)),IFERROR(INDEX(KC_CURVAS!$H$5:$H$15,MATCH("SOJA"&amp;"|",KC_CURVAS!$K$5:$K$15,0)),""))</f>
        <v/>
      </c>
      <c r="R124" s="11">
        <f>IFERROR(INDEX(KC_CURVAS!$I$5:$I$15,MATCH("SOJA|"&amp;$G124,KC_CURVAS!$K$5:$K$15,0)),IFERROR(INDEX(KC_CURVAS!$I$5:$I$15,MATCH("SOJA"&amp;"|",KC_CURVAS!$K$5:$K$15,0)),""))</f>
        <v/>
      </c>
      <c r="S124" s="12">
        <f>IF(OR($K124="",$L124=""),"PENDENTE",IF($K124&lt;=$L124,$P124,IF($K124&lt;=$L124+$M124,$P124+($Q124-$P124)*($K124-$L124)/$M124,IF($K124&lt;=$L124+$M124+$N124,$Q124,IF($K124&lt;=$L124+$M124+$N124+$O124,$Q124+($R124-$Q124)*($K124-($L124+$M124+$N124))/$O124,$R124)))))</f>
        <v/>
      </c>
      <c r="T124" s="13">
        <f>IF($I124="","",$I124)</f>
        <v/>
      </c>
      <c r="U124" s="14">
        <f>IF($T124="","",SUMIFS(ETO_DIARIO!$B$5:$B$404,ETO_DIARIO!$A$5:$A$404,"&gt;"&amp;$T124,ETO_DIARIO!$A$5:$A$404,"&lt;="&amp;DATA_REF))</f>
        <v/>
      </c>
      <c r="V124" s="14">
        <f>IF($T124="","",SUMIFS(ETO_DIARIO!$C$5:$C$404,ETO_DIARIO!$A$5:$A$404,"&gt;"&amp;$T124,ETO_DIARIO!$A$5:$A$404,"&lt;="&amp;DATA_REF))</f>
        <v/>
      </c>
      <c r="W124" s="14">
        <f>IF(OR($S124="",$S124="PENDENTE",$U124=""),"",$S124*$U124)</f>
        <v/>
      </c>
      <c r="X124" s="14">
        <f>IF($W124="","",MAX(0,$W124-N($V124)))</f>
        <v/>
      </c>
      <c r="Y124" s="14">
        <f>IF($X124="","",$X124/EF_APLIC)</f>
        <v/>
      </c>
      <c r="Z124" s="15" t="n">
        <v>40</v>
      </c>
      <c r="AA124" s="16">
        <f>IF(OR($Y124="",$Z124=""),"",$Y124*$Z124*10)</f>
        <v/>
      </c>
      <c r="AB124" s="17" t="n">
        <v>0.552</v>
      </c>
      <c r="AC124" s="16">
        <f>IF(OR($AA124="",$AB124=""),"",$AA124*$AB124)</f>
        <v/>
      </c>
      <c r="AD124" s="18">
        <f>IF($S124="PENDENTE","Definir classe/Kc",IF($Y124="","-",IF($Y124&gt;='PARAMETROS'!$B$7/EF_APLIC,"Irrigar",IF($Y124&gt;='PARAMETROS'!$B$7/EF_APLIC*FRAC_ACOMP,"Acompanhar","Aguardar"))))</f>
        <v/>
      </c>
      <c r="AE124" s="18">
        <f>IF(OR($Y124="",$Y124=0),"-",IF($Y124&gt;=2*'PARAMETROS'!$B$7/EF_APLIC,"Alta",IF($Y124&gt;='PARAMETROS'!$B$7/EF_APLIC,"Media","Baixa")))</f>
        <v/>
      </c>
    </row>
    <row r="125">
      <c r="A125" s="5" t="inlineStr">
        <is>
          <t>Pivô 24</t>
        </is>
      </c>
      <c r="B125" s="5" t="inlineStr">
        <is>
          <t>Karitel</t>
        </is>
      </c>
      <c r="C125" s="5" t="inlineStr">
        <is>
          <t>R6</t>
        </is>
      </c>
      <c r="D125" s="5" t="inlineStr">
        <is>
          <t>Modulo 1</t>
        </is>
      </c>
      <c r="E125" s="5" t="inlineStr">
        <is>
          <t>SOJA</t>
        </is>
      </c>
      <c r="F125" s="6" t="inlineStr">
        <is>
          <t>BMX DOMINIO IPRO</t>
        </is>
      </c>
      <c r="G125" s="7" t="inlineStr">
        <is>
          <t>MÉDIA</t>
        </is>
      </c>
      <c r="H125" s="5" t="inlineStr">
        <is>
          <t>proximo</t>
        </is>
      </c>
      <c r="I125" s="8" t="n">
        <v>46330</v>
      </c>
      <c r="J125" s="9">
        <f>IF($I125="","",DATA_REF-$I125)</f>
        <v/>
      </c>
      <c r="K125" s="9">
        <f>IF($J125="","",MAX(0,$J125-'PARAMETROS'!$B$11))</f>
        <v/>
      </c>
      <c r="L125" s="10">
        <f>IFERROR(INDEX(KC_CURVAS!$C$5:$C$15,MATCH("SOJA|"&amp;$G125,KC_CURVAS!$K$5:$K$15,0)),IFERROR(INDEX(KC_CURVAS!$C$5:$C$15,MATCH("SOJA"&amp;"|",KC_CURVAS!$K$5:$K$15,0)),""))</f>
        <v/>
      </c>
      <c r="M125" s="10">
        <f>IFERROR(INDEX(KC_CURVAS!$D$5:$D$15,MATCH("SOJA|"&amp;$G125,KC_CURVAS!$K$5:$K$15,0)),IFERROR(INDEX(KC_CURVAS!$D$5:$D$15,MATCH("SOJA"&amp;"|",KC_CURVAS!$K$5:$K$15,0)),""))</f>
        <v/>
      </c>
      <c r="N125" s="10">
        <f>IFERROR(INDEX(KC_CURVAS!$E$5:$E$15,MATCH("SOJA|"&amp;$G125,KC_CURVAS!$K$5:$K$15,0)),IFERROR(INDEX(KC_CURVAS!$E$5:$E$15,MATCH("SOJA"&amp;"|",KC_CURVAS!$K$5:$K$15,0)),""))</f>
        <v/>
      </c>
      <c r="O125" s="10">
        <f>IFERROR(INDEX(KC_CURVAS!$F$5:$F$15,MATCH("SOJA|"&amp;$G125,KC_CURVAS!$K$5:$K$15,0)),IFERROR(INDEX(KC_CURVAS!$F$5:$F$15,MATCH("SOJA"&amp;"|",KC_CURVAS!$K$5:$K$15,0)),""))</f>
        <v/>
      </c>
      <c r="P125" s="11">
        <f>IFERROR(INDEX(KC_CURVAS!$G$5:$G$15,MATCH("SOJA|"&amp;$G125,KC_CURVAS!$K$5:$K$15,0)),IFERROR(INDEX(KC_CURVAS!$G$5:$G$15,MATCH("SOJA"&amp;"|",KC_CURVAS!$K$5:$K$15,0)),""))</f>
        <v/>
      </c>
      <c r="Q125" s="11">
        <f>IFERROR(INDEX(KC_CURVAS!$H$5:$H$15,MATCH("SOJA|"&amp;$G125,KC_CURVAS!$K$5:$K$15,0)),IFERROR(INDEX(KC_CURVAS!$H$5:$H$15,MATCH("SOJA"&amp;"|",KC_CURVAS!$K$5:$K$15,0)),""))</f>
        <v/>
      </c>
      <c r="R125" s="11">
        <f>IFERROR(INDEX(KC_CURVAS!$I$5:$I$15,MATCH("SOJA|"&amp;$G125,KC_CURVAS!$K$5:$K$15,0)),IFERROR(INDEX(KC_CURVAS!$I$5:$I$15,MATCH("SOJA"&amp;"|",KC_CURVAS!$K$5:$K$15,0)),""))</f>
        <v/>
      </c>
      <c r="S125" s="12">
        <f>IF(OR($K125="",$L125=""),"PENDENTE",IF($K125&lt;=$L125,$P125,IF($K125&lt;=$L125+$M125,$P125+($Q125-$P125)*($K125-$L125)/$M125,IF($K125&lt;=$L125+$M125+$N125,$Q125,IF($K125&lt;=$L125+$M125+$N125+$O125,$Q125+($R125-$Q125)*($K125-($L125+$M125+$N125))/$O125,$R125)))))</f>
        <v/>
      </c>
      <c r="T125" s="13">
        <f>IF($I125="","",$I125)</f>
        <v/>
      </c>
      <c r="U125" s="14">
        <f>IF($T125="","",SUMIFS(ETO_DIARIO!$B$5:$B$404,ETO_DIARIO!$A$5:$A$404,"&gt;"&amp;$T125,ETO_DIARIO!$A$5:$A$404,"&lt;="&amp;DATA_REF))</f>
        <v/>
      </c>
      <c r="V125" s="14">
        <f>IF($T125="","",SUMIFS(ETO_DIARIO!$C$5:$C$404,ETO_DIARIO!$A$5:$A$404,"&gt;"&amp;$T125,ETO_DIARIO!$A$5:$A$404,"&lt;="&amp;DATA_REF))</f>
        <v/>
      </c>
      <c r="W125" s="14">
        <f>IF(OR($S125="",$S125="PENDENTE",$U125=""),"",$S125*$U125)</f>
        <v/>
      </c>
      <c r="X125" s="14">
        <f>IF($W125="","",MAX(0,$W125-N($V125)))</f>
        <v/>
      </c>
      <c r="Y125" s="14">
        <f>IF($X125="","",$X125/EF_APLIC)</f>
        <v/>
      </c>
      <c r="Z125" s="15" t="n">
        <v>59</v>
      </c>
      <c r="AA125" s="16">
        <f>IF(OR($Y125="",$Z125=""),"",$Y125*$Z125*10)</f>
        <v/>
      </c>
      <c r="AB125" s="17" t="n">
        <v>0.5659999999999999</v>
      </c>
      <c r="AC125" s="16">
        <f>IF(OR($AA125="",$AB125=""),"",$AA125*$AB125)</f>
        <v/>
      </c>
      <c r="AD125" s="18">
        <f>IF($S125="PENDENTE","Definir classe/Kc",IF($Y125="","-",IF($Y125&gt;='PARAMETROS'!$B$7/EF_APLIC,"Irrigar",IF($Y125&gt;='PARAMETROS'!$B$7/EF_APLIC*FRAC_ACOMP,"Acompanhar","Aguardar"))))</f>
        <v/>
      </c>
      <c r="AE125" s="18">
        <f>IF(OR($Y125="",$Y125=0),"-",IF($Y125&gt;=2*'PARAMETROS'!$B$7/EF_APLIC,"Alta",IF($Y125&gt;='PARAMETROS'!$B$7/EF_APLIC,"Media","Baixa")))</f>
        <v/>
      </c>
    </row>
    <row r="126">
      <c r="A126" s="5" t="inlineStr">
        <is>
          <t>Pivô 25</t>
        </is>
      </c>
      <c r="B126" s="5" t="inlineStr">
        <is>
          <t>Karitel</t>
        </is>
      </c>
      <c r="C126" s="5" t="inlineStr">
        <is>
          <t>R7</t>
        </is>
      </c>
      <c r="D126" s="5" t="inlineStr">
        <is>
          <t>Modulo 1</t>
        </is>
      </c>
      <c r="E126" s="5" t="inlineStr">
        <is>
          <t>SOJA</t>
        </is>
      </c>
      <c r="F126" s="6" t="inlineStr">
        <is>
          <t>BMX DOMINIO IPRO</t>
        </is>
      </c>
      <c r="G126" s="7" t="inlineStr">
        <is>
          <t>MÉDIA</t>
        </is>
      </c>
      <c r="H126" s="5" t="inlineStr">
        <is>
          <t>proximo</t>
        </is>
      </c>
      <c r="I126" s="8" t="n">
        <v>46330</v>
      </c>
      <c r="J126" s="9">
        <f>IF($I126="","",DATA_REF-$I126)</f>
        <v/>
      </c>
      <c r="K126" s="9">
        <f>IF($J126="","",MAX(0,$J126-'PARAMETROS'!$B$11))</f>
        <v/>
      </c>
      <c r="L126" s="10">
        <f>IFERROR(INDEX(KC_CURVAS!$C$5:$C$15,MATCH("SOJA|"&amp;$G126,KC_CURVAS!$K$5:$K$15,0)),IFERROR(INDEX(KC_CURVAS!$C$5:$C$15,MATCH("SOJA"&amp;"|",KC_CURVAS!$K$5:$K$15,0)),""))</f>
        <v/>
      </c>
      <c r="M126" s="10">
        <f>IFERROR(INDEX(KC_CURVAS!$D$5:$D$15,MATCH("SOJA|"&amp;$G126,KC_CURVAS!$K$5:$K$15,0)),IFERROR(INDEX(KC_CURVAS!$D$5:$D$15,MATCH("SOJA"&amp;"|",KC_CURVAS!$K$5:$K$15,0)),""))</f>
        <v/>
      </c>
      <c r="N126" s="10">
        <f>IFERROR(INDEX(KC_CURVAS!$E$5:$E$15,MATCH("SOJA|"&amp;$G126,KC_CURVAS!$K$5:$K$15,0)),IFERROR(INDEX(KC_CURVAS!$E$5:$E$15,MATCH("SOJA"&amp;"|",KC_CURVAS!$K$5:$K$15,0)),""))</f>
        <v/>
      </c>
      <c r="O126" s="10">
        <f>IFERROR(INDEX(KC_CURVAS!$F$5:$F$15,MATCH("SOJA|"&amp;$G126,KC_CURVAS!$K$5:$K$15,0)),IFERROR(INDEX(KC_CURVAS!$F$5:$F$15,MATCH("SOJA"&amp;"|",KC_CURVAS!$K$5:$K$15,0)),""))</f>
        <v/>
      </c>
      <c r="P126" s="11">
        <f>IFERROR(INDEX(KC_CURVAS!$G$5:$G$15,MATCH("SOJA|"&amp;$G126,KC_CURVAS!$K$5:$K$15,0)),IFERROR(INDEX(KC_CURVAS!$G$5:$G$15,MATCH("SOJA"&amp;"|",KC_CURVAS!$K$5:$K$15,0)),""))</f>
        <v/>
      </c>
      <c r="Q126" s="11">
        <f>IFERROR(INDEX(KC_CURVAS!$H$5:$H$15,MATCH("SOJA|"&amp;$G126,KC_CURVAS!$K$5:$K$15,0)),IFERROR(INDEX(KC_CURVAS!$H$5:$H$15,MATCH("SOJA"&amp;"|",KC_CURVAS!$K$5:$K$15,0)),""))</f>
        <v/>
      </c>
      <c r="R126" s="11">
        <f>IFERROR(INDEX(KC_CURVAS!$I$5:$I$15,MATCH("SOJA|"&amp;$G126,KC_CURVAS!$K$5:$K$15,0)),IFERROR(INDEX(KC_CURVAS!$I$5:$I$15,MATCH("SOJA"&amp;"|",KC_CURVAS!$K$5:$K$15,0)),""))</f>
        <v/>
      </c>
      <c r="S126" s="12">
        <f>IF(OR($K126="",$L126=""),"PENDENTE",IF($K126&lt;=$L126,$P126,IF($K126&lt;=$L126+$M126,$P126+($Q126-$P126)*($K126-$L126)/$M126,IF($K126&lt;=$L126+$M126+$N126,$Q126,IF($K126&lt;=$L126+$M126+$N126+$O126,$Q126+($R126-$Q126)*($K126-($L126+$M126+$N126))/$O126,$R126)))))</f>
        <v/>
      </c>
      <c r="T126" s="13">
        <f>IF($I126="","",$I126)</f>
        <v/>
      </c>
      <c r="U126" s="14">
        <f>IF($T126="","",SUMIFS(ETO_DIARIO!$B$5:$B$404,ETO_DIARIO!$A$5:$A$404,"&gt;"&amp;$T126,ETO_DIARIO!$A$5:$A$404,"&lt;="&amp;DATA_REF))</f>
        <v/>
      </c>
      <c r="V126" s="14">
        <f>IF($T126="","",SUMIFS(ETO_DIARIO!$C$5:$C$404,ETO_DIARIO!$A$5:$A$404,"&gt;"&amp;$T126,ETO_DIARIO!$A$5:$A$404,"&lt;="&amp;DATA_REF))</f>
        <v/>
      </c>
      <c r="W126" s="14">
        <f>IF(OR($S126="",$S126="PENDENTE",$U126=""),"",$S126*$U126)</f>
        <v/>
      </c>
      <c r="X126" s="14">
        <f>IF($W126="","",MAX(0,$W126-N($V126)))</f>
        <v/>
      </c>
      <c r="Y126" s="14">
        <f>IF($X126="","",$X126/EF_APLIC)</f>
        <v/>
      </c>
      <c r="Z126" s="15" t="n">
        <v>171</v>
      </c>
      <c r="AA126" s="16">
        <f>IF(OR($Y126="",$Z126=""),"",$Y126*$Z126*10)</f>
        <v/>
      </c>
      <c r="AB126" s="17" t="n">
        <v>0.462</v>
      </c>
      <c r="AC126" s="16">
        <f>IF(OR($AA126="",$AB126=""),"",$AA126*$AB126)</f>
        <v/>
      </c>
      <c r="AD126" s="18">
        <f>IF($S126="PENDENTE","Definir classe/Kc",IF($Y126="","-",IF($Y126&gt;='PARAMETROS'!$B$7/EF_APLIC,"Irrigar",IF($Y126&gt;='PARAMETROS'!$B$7/EF_APLIC*FRAC_ACOMP,"Acompanhar","Aguardar"))))</f>
        <v/>
      </c>
      <c r="AE126" s="18">
        <f>IF(OR($Y126="",$Y126=0),"-",IF($Y126&gt;=2*'PARAMETROS'!$B$7/EF_APLIC,"Alta",IF($Y126&gt;='PARAMETROS'!$B$7/EF_APLIC,"Media","Baixa")))</f>
        <v/>
      </c>
    </row>
    <row r="127">
      <c r="A127" s="5" t="inlineStr">
        <is>
          <t>Pivô 25</t>
        </is>
      </c>
      <c r="B127" s="5" t="inlineStr">
        <is>
          <t>Karitel</t>
        </is>
      </c>
      <c r="C127" s="5" t="inlineStr">
        <is>
          <t>R7</t>
        </is>
      </c>
      <c r="D127" s="5" t="inlineStr">
        <is>
          <t>Modulo 1</t>
        </is>
      </c>
      <c r="E127" s="5" t="inlineStr">
        <is>
          <t>SOJA</t>
        </is>
      </c>
      <c r="F127" s="6" t="inlineStr">
        <is>
          <t>BMX DOMINIO IPRO</t>
        </is>
      </c>
      <c r="G127" s="7" t="inlineStr">
        <is>
          <t>MÉDIA</t>
        </is>
      </c>
      <c r="H127" s="5" t="inlineStr">
        <is>
          <t>proximo</t>
        </is>
      </c>
      <c r="I127" s="8" t="n">
        <v>46330</v>
      </c>
      <c r="J127" s="9">
        <f>IF($I127="","",DATA_REF-$I127)</f>
        <v/>
      </c>
      <c r="K127" s="9">
        <f>IF($J127="","",MAX(0,$J127-'PARAMETROS'!$B$11))</f>
        <v/>
      </c>
      <c r="L127" s="10">
        <f>IFERROR(INDEX(KC_CURVAS!$C$5:$C$15,MATCH("SOJA|"&amp;$G127,KC_CURVAS!$K$5:$K$15,0)),IFERROR(INDEX(KC_CURVAS!$C$5:$C$15,MATCH("SOJA"&amp;"|",KC_CURVAS!$K$5:$K$15,0)),""))</f>
        <v/>
      </c>
      <c r="M127" s="10">
        <f>IFERROR(INDEX(KC_CURVAS!$D$5:$D$15,MATCH("SOJA|"&amp;$G127,KC_CURVAS!$K$5:$K$15,0)),IFERROR(INDEX(KC_CURVAS!$D$5:$D$15,MATCH("SOJA"&amp;"|",KC_CURVAS!$K$5:$K$15,0)),""))</f>
        <v/>
      </c>
      <c r="N127" s="10">
        <f>IFERROR(INDEX(KC_CURVAS!$E$5:$E$15,MATCH("SOJA|"&amp;$G127,KC_CURVAS!$K$5:$K$15,0)),IFERROR(INDEX(KC_CURVAS!$E$5:$E$15,MATCH("SOJA"&amp;"|",KC_CURVAS!$K$5:$K$15,0)),""))</f>
        <v/>
      </c>
      <c r="O127" s="10">
        <f>IFERROR(INDEX(KC_CURVAS!$F$5:$F$15,MATCH("SOJA|"&amp;$G127,KC_CURVAS!$K$5:$K$15,0)),IFERROR(INDEX(KC_CURVAS!$F$5:$F$15,MATCH("SOJA"&amp;"|",KC_CURVAS!$K$5:$K$15,0)),""))</f>
        <v/>
      </c>
      <c r="P127" s="11">
        <f>IFERROR(INDEX(KC_CURVAS!$G$5:$G$15,MATCH("SOJA|"&amp;$G127,KC_CURVAS!$K$5:$K$15,0)),IFERROR(INDEX(KC_CURVAS!$G$5:$G$15,MATCH("SOJA"&amp;"|",KC_CURVAS!$K$5:$K$15,0)),""))</f>
        <v/>
      </c>
      <c r="Q127" s="11">
        <f>IFERROR(INDEX(KC_CURVAS!$H$5:$H$15,MATCH("SOJA|"&amp;$G127,KC_CURVAS!$K$5:$K$15,0)),IFERROR(INDEX(KC_CURVAS!$H$5:$H$15,MATCH("SOJA"&amp;"|",KC_CURVAS!$K$5:$K$15,0)),""))</f>
        <v/>
      </c>
      <c r="R127" s="11">
        <f>IFERROR(INDEX(KC_CURVAS!$I$5:$I$15,MATCH("SOJA|"&amp;$G127,KC_CURVAS!$K$5:$K$15,0)),IFERROR(INDEX(KC_CURVAS!$I$5:$I$15,MATCH("SOJA"&amp;"|",KC_CURVAS!$K$5:$K$15,0)),""))</f>
        <v/>
      </c>
      <c r="S127" s="12">
        <f>IF(OR($K127="",$L127=""),"PENDENTE",IF($K127&lt;=$L127,$P127,IF($K127&lt;=$L127+$M127,$P127+($Q127-$P127)*($K127-$L127)/$M127,IF($K127&lt;=$L127+$M127+$N127,$Q127,IF($K127&lt;=$L127+$M127+$N127+$O127,$Q127+($R127-$Q127)*($K127-($L127+$M127+$N127))/$O127,$R127)))))</f>
        <v/>
      </c>
      <c r="T127" s="13">
        <f>IF($I127="","",$I127)</f>
        <v/>
      </c>
      <c r="U127" s="14">
        <f>IF($T127="","",SUMIFS(ETO_DIARIO!$B$5:$B$404,ETO_DIARIO!$A$5:$A$404,"&gt;"&amp;$T127,ETO_DIARIO!$A$5:$A$404,"&lt;="&amp;DATA_REF))</f>
        <v/>
      </c>
      <c r="V127" s="14">
        <f>IF($T127="","",SUMIFS(ETO_DIARIO!$C$5:$C$404,ETO_DIARIO!$A$5:$A$404,"&gt;"&amp;$T127,ETO_DIARIO!$A$5:$A$404,"&lt;="&amp;DATA_REF))</f>
        <v/>
      </c>
      <c r="W127" s="14">
        <f>IF(OR($S127="",$S127="PENDENTE",$U127=""),"",$S127*$U127)</f>
        <v/>
      </c>
      <c r="X127" s="14">
        <f>IF($W127="","",MAX(0,$W127-N($V127)))</f>
        <v/>
      </c>
      <c r="Y127" s="14">
        <f>IF($X127="","",$X127/EF_APLIC)</f>
        <v/>
      </c>
      <c r="Z127" s="15" t="n">
        <v>171</v>
      </c>
      <c r="AA127" s="16">
        <f>IF(OR($Y127="",$Z127=""),"",$Y127*$Z127*10)</f>
        <v/>
      </c>
      <c r="AB127" s="17" t="n">
        <v>0.462</v>
      </c>
      <c r="AC127" s="16">
        <f>IF(OR($AA127="",$AB127=""),"",$AA127*$AB127)</f>
        <v/>
      </c>
      <c r="AD127" s="18">
        <f>IF($S127="PENDENTE","Definir classe/Kc",IF($Y127="","-",IF($Y127&gt;='PARAMETROS'!$B$7/EF_APLIC,"Irrigar",IF($Y127&gt;='PARAMETROS'!$B$7/EF_APLIC*FRAC_ACOMP,"Acompanhar","Aguardar"))))</f>
        <v/>
      </c>
      <c r="AE127" s="18">
        <f>IF(OR($Y127="",$Y127=0),"-",IF($Y127&gt;=2*'PARAMETROS'!$B$7/EF_APLIC,"Alta",IF($Y127&gt;='PARAMETROS'!$B$7/EF_APLIC,"Media","Baixa")))</f>
        <v/>
      </c>
    </row>
    <row r="128">
      <c r="A128" s="5" t="inlineStr">
        <is>
          <t>Pivô 27</t>
        </is>
      </c>
      <c r="B128" s="5" t="inlineStr">
        <is>
          <t>Karitel</t>
        </is>
      </c>
      <c r="C128" s="5" t="inlineStr">
        <is>
          <t>R7</t>
        </is>
      </c>
      <c r="D128" s="5" t="inlineStr">
        <is>
          <t>Modulo 1</t>
        </is>
      </c>
      <c r="E128" s="5" t="inlineStr">
        <is>
          <t>SOJA</t>
        </is>
      </c>
      <c r="F128" s="6" t="inlineStr">
        <is>
          <t>BMX DOMINIO IPRO</t>
        </is>
      </c>
      <c r="G128" s="7" t="inlineStr">
        <is>
          <t>MÉDIA</t>
        </is>
      </c>
      <c r="H128" s="5" t="inlineStr">
        <is>
          <t>proximo</t>
        </is>
      </c>
      <c r="I128" s="8" t="n">
        <v>46330</v>
      </c>
      <c r="J128" s="9">
        <f>IF($I128="","",DATA_REF-$I128)</f>
        <v/>
      </c>
      <c r="K128" s="9">
        <f>IF($J128="","",MAX(0,$J128-'PARAMETROS'!$B$11))</f>
        <v/>
      </c>
      <c r="L128" s="10">
        <f>IFERROR(INDEX(KC_CURVAS!$C$5:$C$15,MATCH("SOJA|"&amp;$G128,KC_CURVAS!$K$5:$K$15,0)),IFERROR(INDEX(KC_CURVAS!$C$5:$C$15,MATCH("SOJA"&amp;"|",KC_CURVAS!$K$5:$K$15,0)),""))</f>
        <v/>
      </c>
      <c r="M128" s="10">
        <f>IFERROR(INDEX(KC_CURVAS!$D$5:$D$15,MATCH("SOJA|"&amp;$G128,KC_CURVAS!$K$5:$K$15,0)),IFERROR(INDEX(KC_CURVAS!$D$5:$D$15,MATCH("SOJA"&amp;"|",KC_CURVAS!$K$5:$K$15,0)),""))</f>
        <v/>
      </c>
      <c r="N128" s="10">
        <f>IFERROR(INDEX(KC_CURVAS!$E$5:$E$15,MATCH("SOJA|"&amp;$G128,KC_CURVAS!$K$5:$K$15,0)),IFERROR(INDEX(KC_CURVAS!$E$5:$E$15,MATCH("SOJA"&amp;"|",KC_CURVAS!$K$5:$K$15,0)),""))</f>
        <v/>
      </c>
      <c r="O128" s="10">
        <f>IFERROR(INDEX(KC_CURVAS!$F$5:$F$15,MATCH("SOJA|"&amp;$G128,KC_CURVAS!$K$5:$K$15,0)),IFERROR(INDEX(KC_CURVAS!$F$5:$F$15,MATCH("SOJA"&amp;"|",KC_CURVAS!$K$5:$K$15,0)),""))</f>
        <v/>
      </c>
      <c r="P128" s="11">
        <f>IFERROR(INDEX(KC_CURVAS!$G$5:$G$15,MATCH("SOJA|"&amp;$G128,KC_CURVAS!$K$5:$K$15,0)),IFERROR(INDEX(KC_CURVAS!$G$5:$G$15,MATCH("SOJA"&amp;"|",KC_CURVAS!$K$5:$K$15,0)),""))</f>
        <v/>
      </c>
      <c r="Q128" s="11">
        <f>IFERROR(INDEX(KC_CURVAS!$H$5:$H$15,MATCH("SOJA|"&amp;$G128,KC_CURVAS!$K$5:$K$15,0)),IFERROR(INDEX(KC_CURVAS!$H$5:$H$15,MATCH("SOJA"&amp;"|",KC_CURVAS!$K$5:$K$15,0)),""))</f>
        <v/>
      </c>
      <c r="R128" s="11">
        <f>IFERROR(INDEX(KC_CURVAS!$I$5:$I$15,MATCH("SOJA|"&amp;$G128,KC_CURVAS!$K$5:$K$15,0)),IFERROR(INDEX(KC_CURVAS!$I$5:$I$15,MATCH("SOJA"&amp;"|",KC_CURVAS!$K$5:$K$15,0)),""))</f>
        <v/>
      </c>
      <c r="S128" s="12">
        <f>IF(OR($K128="",$L128=""),"PENDENTE",IF($K128&lt;=$L128,$P128,IF($K128&lt;=$L128+$M128,$P128+($Q128-$P128)*($K128-$L128)/$M128,IF($K128&lt;=$L128+$M128+$N128,$Q128,IF($K128&lt;=$L128+$M128+$N128+$O128,$Q128+($R128-$Q128)*($K128-($L128+$M128+$N128))/$O128,$R128)))))</f>
        <v/>
      </c>
      <c r="T128" s="13">
        <f>IF($I128="","",$I128)</f>
        <v/>
      </c>
      <c r="U128" s="14">
        <f>IF($T128="","",SUMIFS(ETO_DIARIO!$B$5:$B$404,ETO_DIARIO!$A$5:$A$404,"&gt;"&amp;$T128,ETO_DIARIO!$A$5:$A$404,"&lt;="&amp;DATA_REF))</f>
        <v/>
      </c>
      <c r="V128" s="14">
        <f>IF($T128="","",SUMIFS(ETO_DIARIO!$C$5:$C$404,ETO_DIARIO!$A$5:$A$404,"&gt;"&amp;$T128,ETO_DIARIO!$A$5:$A$404,"&lt;="&amp;DATA_REF))</f>
        <v/>
      </c>
      <c r="W128" s="14">
        <f>IF(OR($S128="",$S128="PENDENTE",$U128=""),"",$S128*$U128)</f>
        <v/>
      </c>
      <c r="X128" s="14">
        <f>IF($W128="","",MAX(0,$W128-N($V128)))</f>
        <v/>
      </c>
      <c r="Y128" s="14">
        <f>IF($X128="","",$X128/EF_APLIC)</f>
        <v/>
      </c>
      <c r="Z128" s="15" t="n">
        <v>313</v>
      </c>
      <c r="AA128" s="16">
        <f>IF(OR($Y128="",$Z128=""),"",$Y128*$Z128*10)</f>
        <v/>
      </c>
      <c r="AB128" s="17" t="n">
        <v>0.463</v>
      </c>
      <c r="AC128" s="16">
        <f>IF(OR($AA128="",$AB128=""),"",$AA128*$AB128)</f>
        <v/>
      </c>
      <c r="AD128" s="18">
        <f>IF($S128="PENDENTE","Definir classe/Kc",IF($Y128="","-",IF($Y128&gt;='PARAMETROS'!$B$7/EF_APLIC,"Irrigar",IF($Y128&gt;='PARAMETROS'!$B$7/EF_APLIC*FRAC_ACOMP,"Acompanhar","Aguardar"))))</f>
        <v/>
      </c>
      <c r="AE128" s="18">
        <f>IF(OR($Y128="",$Y128=0),"-",IF($Y128&gt;=2*'PARAMETROS'!$B$7/EF_APLIC,"Alta",IF($Y128&gt;='PARAMETROS'!$B$7/EF_APLIC,"Media","Baixa")))</f>
        <v/>
      </c>
    </row>
    <row r="129">
      <c r="A129" s="5" t="inlineStr">
        <is>
          <t>Pivô 01</t>
        </is>
      </c>
      <c r="B129" s="5" t="inlineStr">
        <is>
          <t>Rdm</t>
        </is>
      </c>
      <c r="C129" s="5" t="inlineStr">
        <is>
          <t>R0</t>
        </is>
      </c>
      <c r="D129" s="5" t="inlineStr">
        <is>
          <t>Modulo 1</t>
        </is>
      </c>
      <c r="E129" s="5" t="inlineStr">
        <is>
          <t>SOJA</t>
        </is>
      </c>
      <c r="F129" s="6" t="inlineStr">
        <is>
          <t>BMX DOMINIO IPRO</t>
        </is>
      </c>
      <c r="G129" s="7" t="inlineStr">
        <is>
          <t>MÉDIA</t>
        </is>
      </c>
      <c r="H129" s="5" t="inlineStr">
        <is>
          <t>proximo</t>
        </is>
      </c>
      <c r="I129" s="8" t="n">
        <v>46331</v>
      </c>
      <c r="J129" s="9">
        <f>IF($I129="","",DATA_REF-$I129)</f>
        <v/>
      </c>
      <c r="K129" s="9">
        <f>IF($J129="","",MAX(0,$J129-'PARAMETROS'!$B$11))</f>
        <v/>
      </c>
      <c r="L129" s="10">
        <f>IFERROR(INDEX(KC_CURVAS!$C$5:$C$15,MATCH("SOJA|"&amp;$G129,KC_CURVAS!$K$5:$K$15,0)),IFERROR(INDEX(KC_CURVAS!$C$5:$C$15,MATCH("SOJA"&amp;"|",KC_CURVAS!$K$5:$K$15,0)),""))</f>
        <v/>
      </c>
      <c r="M129" s="10">
        <f>IFERROR(INDEX(KC_CURVAS!$D$5:$D$15,MATCH("SOJA|"&amp;$G129,KC_CURVAS!$K$5:$K$15,0)),IFERROR(INDEX(KC_CURVAS!$D$5:$D$15,MATCH("SOJA"&amp;"|",KC_CURVAS!$K$5:$K$15,0)),""))</f>
        <v/>
      </c>
      <c r="N129" s="10">
        <f>IFERROR(INDEX(KC_CURVAS!$E$5:$E$15,MATCH("SOJA|"&amp;$G129,KC_CURVAS!$K$5:$K$15,0)),IFERROR(INDEX(KC_CURVAS!$E$5:$E$15,MATCH("SOJA"&amp;"|",KC_CURVAS!$K$5:$K$15,0)),""))</f>
        <v/>
      </c>
      <c r="O129" s="10">
        <f>IFERROR(INDEX(KC_CURVAS!$F$5:$F$15,MATCH("SOJA|"&amp;$G129,KC_CURVAS!$K$5:$K$15,0)),IFERROR(INDEX(KC_CURVAS!$F$5:$F$15,MATCH("SOJA"&amp;"|",KC_CURVAS!$K$5:$K$15,0)),""))</f>
        <v/>
      </c>
      <c r="P129" s="11">
        <f>IFERROR(INDEX(KC_CURVAS!$G$5:$G$15,MATCH("SOJA|"&amp;$G129,KC_CURVAS!$K$5:$K$15,0)),IFERROR(INDEX(KC_CURVAS!$G$5:$G$15,MATCH("SOJA"&amp;"|",KC_CURVAS!$K$5:$K$15,0)),""))</f>
        <v/>
      </c>
      <c r="Q129" s="11">
        <f>IFERROR(INDEX(KC_CURVAS!$H$5:$H$15,MATCH("SOJA|"&amp;$G129,KC_CURVAS!$K$5:$K$15,0)),IFERROR(INDEX(KC_CURVAS!$H$5:$H$15,MATCH("SOJA"&amp;"|",KC_CURVAS!$K$5:$K$15,0)),""))</f>
        <v/>
      </c>
      <c r="R129" s="11">
        <f>IFERROR(INDEX(KC_CURVAS!$I$5:$I$15,MATCH("SOJA|"&amp;$G129,KC_CURVAS!$K$5:$K$15,0)),IFERROR(INDEX(KC_CURVAS!$I$5:$I$15,MATCH("SOJA"&amp;"|",KC_CURVAS!$K$5:$K$15,0)),""))</f>
        <v/>
      </c>
      <c r="S129" s="12">
        <f>IF(OR($K129="",$L129=""),"PENDENTE",IF($K129&lt;=$L129,$P129,IF($K129&lt;=$L129+$M129,$P129+($Q129-$P129)*($K129-$L129)/$M129,IF($K129&lt;=$L129+$M129+$N129,$Q129,IF($K129&lt;=$L129+$M129+$N129+$O129,$Q129+($R129-$Q129)*($K129-($L129+$M129+$N129))/$O129,$R129)))))</f>
        <v/>
      </c>
      <c r="T129" s="13">
        <f>IF($I129="","",$I129)</f>
        <v/>
      </c>
      <c r="U129" s="14">
        <f>IF($T129="","",SUMIFS(ETO_DIARIO!$B$5:$B$404,ETO_DIARIO!$A$5:$A$404,"&gt;"&amp;$T129,ETO_DIARIO!$A$5:$A$404,"&lt;="&amp;DATA_REF))</f>
        <v/>
      </c>
      <c r="V129" s="14">
        <f>IF($T129="","",SUMIFS(ETO_DIARIO!$C$5:$C$404,ETO_DIARIO!$A$5:$A$404,"&gt;"&amp;$T129,ETO_DIARIO!$A$5:$A$404,"&lt;="&amp;DATA_REF))</f>
        <v/>
      </c>
      <c r="W129" s="14">
        <f>IF(OR($S129="",$S129="PENDENTE",$U129=""),"",$S129*$U129)</f>
        <v/>
      </c>
      <c r="X129" s="14">
        <f>IF($W129="","",MAX(0,$W129-N($V129)))</f>
        <v/>
      </c>
      <c r="Y129" s="14">
        <f>IF($X129="","",$X129/EF_APLIC)</f>
        <v/>
      </c>
      <c r="Z129" s="15" t="n">
        <v>71</v>
      </c>
      <c r="AA129" s="16">
        <f>IF(OR($Y129="",$Z129=""),"",$Y129*$Z129*10)</f>
        <v/>
      </c>
      <c r="AB129" s="17" t="n">
        <v>0.638</v>
      </c>
      <c r="AC129" s="16">
        <f>IF(OR($AA129="",$AB129=""),"",$AA129*$AB129)</f>
        <v/>
      </c>
      <c r="AD129" s="18">
        <f>IF($S129="PENDENTE","Definir classe/Kc",IF($Y129="","-",IF($Y129&gt;='PARAMETROS'!$B$7/EF_APLIC,"Irrigar",IF($Y129&gt;='PARAMETROS'!$B$7/EF_APLIC*FRAC_ACOMP,"Acompanhar","Aguardar"))))</f>
        <v/>
      </c>
      <c r="AE129" s="18">
        <f>IF(OR($Y129="",$Y129=0),"-",IF($Y129&gt;=2*'PARAMETROS'!$B$7/EF_APLIC,"Alta",IF($Y129&gt;='PARAMETROS'!$B$7/EF_APLIC,"Media","Baixa")))</f>
        <v/>
      </c>
    </row>
    <row r="130">
      <c r="A130" s="5" t="inlineStr">
        <is>
          <t>Pivô 02</t>
        </is>
      </c>
      <c r="B130" s="5" t="inlineStr">
        <is>
          <t>Rdm</t>
        </is>
      </c>
      <c r="C130" s="5" t="inlineStr">
        <is>
          <t>R0</t>
        </is>
      </c>
      <c r="D130" s="5" t="inlineStr">
        <is>
          <t>Modulo 1</t>
        </is>
      </c>
      <c r="E130" s="5" t="inlineStr">
        <is>
          <t>SOJA</t>
        </is>
      </c>
      <c r="F130" s="6" t="inlineStr">
        <is>
          <t>BMX DOMINIO IPRO</t>
        </is>
      </c>
      <c r="G130" s="7" t="inlineStr">
        <is>
          <t>MÉDIA</t>
        </is>
      </c>
      <c r="H130" s="5" t="inlineStr">
        <is>
          <t>proximo</t>
        </is>
      </c>
      <c r="I130" s="8" t="n">
        <v>46331</v>
      </c>
      <c r="J130" s="9">
        <f>IF($I130="","",DATA_REF-$I130)</f>
        <v/>
      </c>
      <c r="K130" s="9">
        <f>IF($J130="","",MAX(0,$J130-'PARAMETROS'!$B$11))</f>
        <v/>
      </c>
      <c r="L130" s="10">
        <f>IFERROR(INDEX(KC_CURVAS!$C$5:$C$15,MATCH("SOJA|"&amp;$G130,KC_CURVAS!$K$5:$K$15,0)),IFERROR(INDEX(KC_CURVAS!$C$5:$C$15,MATCH("SOJA"&amp;"|",KC_CURVAS!$K$5:$K$15,0)),""))</f>
        <v/>
      </c>
      <c r="M130" s="10">
        <f>IFERROR(INDEX(KC_CURVAS!$D$5:$D$15,MATCH("SOJA|"&amp;$G130,KC_CURVAS!$K$5:$K$15,0)),IFERROR(INDEX(KC_CURVAS!$D$5:$D$15,MATCH("SOJA"&amp;"|",KC_CURVAS!$K$5:$K$15,0)),""))</f>
        <v/>
      </c>
      <c r="N130" s="10">
        <f>IFERROR(INDEX(KC_CURVAS!$E$5:$E$15,MATCH("SOJA|"&amp;$G130,KC_CURVAS!$K$5:$K$15,0)),IFERROR(INDEX(KC_CURVAS!$E$5:$E$15,MATCH("SOJA"&amp;"|",KC_CURVAS!$K$5:$K$15,0)),""))</f>
        <v/>
      </c>
      <c r="O130" s="10">
        <f>IFERROR(INDEX(KC_CURVAS!$F$5:$F$15,MATCH("SOJA|"&amp;$G130,KC_CURVAS!$K$5:$K$15,0)),IFERROR(INDEX(KC_CURVAS!$F$5:$F$15,MATCH("SOJA"&amp;"|",KC_CURVAS!$K$5:$K$15,0)),""))</f>
        <v/>
      </c>
      <c r="P130" s="11">
        <f>IFERROR(INDEX(KC_CURVAS!$G$5:$G$15,MATCH("SOJA|"&amp;$G130,KC_CURVAS!$K$5:$K$15,0)),IFERROR(INDEX(KC_CURVAS!$G$5:$G$15,MATCH("SOJA"&amp;"|",KC_CURVAS!$K$5:$K$15,0)),""))</f>
        <v/>
      </c>
      <c r="Q130" s="11">
        <f>IFERROR(INDEX(KC_CURVAS!$H$5:$H$15,MATCH("SOJA|"&amp;$G130,KC_CURVAS!$K$5:$K$15,0)),IFERROR(INDEX(KC_CURVAS!$H$5:$H$15,MATCH("SOJA"&amp;"|",KC_CURVAS!$K$5:$K$15,0)),""))</f>
        <v/>
      </c>
      <c r="R130" s="11">
        <f>IFERROR(INDEX(KC_CURVAS!$I$5:$I$15,MATCH("SOJA|"&amp;$G130,KC_CURVAS!$K$5:$K$15,0)),IFERROR(INDEX(KC_CURVAS!$I$5:$I$15,MATCH("SOJA"&amp;"|",KC_CURVAS!$K$5:$K$15,0)),""))</f>
        <v/>
      </c>
      <c r="S130" s="12">
        <f>IF(OR($K130="",$L130=""),"PENDENTE",IF($K130&lt;=$L130,$P130,IF($K130&lt;=$L130+$M130,$P130+($Q130-$P130)*($K130-$L130)/$M130,IF($K130&lt;=$L130+$M130+$N130,$Q130,IF($K130&lt;=$L130+$M130+$N130+$O130,$Q130+($R130-$Q130)*($K130-($L130+$M130+$N130))/$O130,$R130)))))</f>
        <v/>
      </c>
      <c r="T130" s="13">
        <f>IF($I130="","",$I130)</f>
        <v/>
      </c>
      <c r="U130" s="14">
        <f>IF($T130="","",SUMIFS(ETO_DIARIO!$B$5:$B$404,ETO_DIARIO!$A$5:$A$404,"&gt;"&amp;$T130,ETO_DIARIO!$A$5:$A$404,"&lt;="&amp;DATA_REF))</f>
        <v/>
      </c>
      <c r="V130" s="14">
        <f>IF($T130="","",SUMIFS(ETO_DIARIO!$C$5:$C$404,ETO_DIARIO!$A$5:$A$404,"&gt;"&amp;$T130,ETO_DIARIO!$A$5:$A$404,"&lt;="&amp;DATA_REF))</f>
        <v/>
      </c>
      <c r="W130" s="14">
        <f>IF(OR($S130="",$S130="PENDENTE",$U130=""),"",$S130*$U130)</f>
        <v/>
      </c>
      <c r="X130" s="14">
        <f>IF($W130="","",MAX(0,$W130-N($V130)))</f>
        <v/>
      </c>
      <c r="Y130" s="14">
        <f>IF($X130="","",$X130/EF_APLIC)</f>
        <v/>
      </c>
      <c r="Z130" s="15" t="n">
        <v>38</v>
      </c>
      <c r="AA130" s="16">
        <f>IF(OR($Y130="",$Z130=""),"",$Y130*$Z130*10)</f>
        <v/>
      </c>
      <c r="AB130" s="17" t="n">
        <v>0.714</v>
      </c>
      <c r="AC130" s="16">
        <f>IF(OR($AA130="",$AB130=""),"",$AA130*$AB130)</f>
        <v/>
      </c>
      <c r="AD130" s="18">
        <f>IF($S130="PENDENTE","Definir classe/Kc",IF($Y130="","-",IF($Y130&gt;='PARAMETROS'!$B$7/EF_APLIC,"Irrigar",IF($Y130&gt;='PARAMETROS'!$B$7/EF_APLIC*FRAC_ACOMP,"Acompanhar","Aguardar"))))</f>
        <v/>
      </c>
      <c r="AE130" s="18">
        <f>IF(OR($Y130="",$Y130=0),"-",IF($Y130&gt;=2*'PARAMETROS'!$B$7/EF_APLIC,"Alta",IF($Y130&gt;='PARAMETROS'!$B$7/EF_APLIC,"Media","Baixa")))</f>
        <v/>
      </c>
    </row>
    <row r="131">
      <c r="A131" s="5" t="inlineStr">
        <is>
          <t>Pivô 03</t>
        </is>
      </c>
      <c r="B131" s="5" t="inlineStr">
        <is>
          <t>Rdm</t>
        </is>
      </c>
      <c r="C131" s="5" t="inlineStr">
        <is>
          <t>R0</t>
        </is>
      </c>
      <c r="D131" s="5" t="inlineStr">
        <is>
          <t>Modulo 1</t>
        </is>
      </c>
      <c r="E131" s="5" t="inlineStr">
        <is>
          <t>SOJA</t>
        </is>
      </c>
      <c r="F131" s="6" t="inlineStr">
        <is>
          <t>BMX DOMINIO IPRO</t>
        </is>
      </c>
      <c r="G131" s="7" t="inlineStr">
        <is>
          <t>MÉDIA</t>
        </is>
      </c>
      <c r="H131" s="5" t="inlineStr">
        <is>
          <t>proximo</t>
        </is>
      </c>
      <c r="I131" s="8" t="n">
        <v>46332</v>
      </c>
      <c r="J131" s="9">
        <f>IF($I131="","",DATA_REF-$I131)</f>
        <v/>
      </c>
      <c r="K131" s="9">
        <f>IF($J131="","",MAX(0,$J131-'PARAMETROS'!$B$11))</f>
        <v/>
      </c>
      <c r="L131" s="10">
        <f>IFERROR(INDEX(KC_CURVAS!$C$5:$C$15,MATCH("SOJA|"&amp;$G131,KC_CURVAS!$K$5:$K$15,0)),IFERROR(INDEX(KC_CURVAS!$C$5:$C$15,MATCH("SOJA"&amp;"|",KC_CURVAS!$K$5:$K$15,0)),""))</f>
        <v/>
      </c>
      <c r="M131" s="10">
        <f>IFERROR(INDEX(KC_CURVAS!$D$5:$D$15,MATCH("SOJA|"&amp;$G131,KC_CURVAS!$K$5:$K$15,0)),IFERROR(INDEX(KC_CURVAS!$D$5:$D$15,MATCH("SOJA"&amp;"|",KC_CURVAS!$K$5:$K$15,0)),""))</f>
        <v/>
      </c>
      <c r="N131" s="10">
        <f>IFERROR(INDEX(KC_CURVAS!$E$5:$E$15,MATCH("SOJA|"&amp;$G131,KC_CURVAS!$K$5:$K$15,0)),IFERROR(INDEX(KC_CURVAS!$E$5:$E$15,MATCH("SOJA"&amp;"|",KC_CURVAS!$K$5:$K$15,0)),""))</f>
        <v/>
      </c>
      <c r="O131" s="10">
        <f>IFERROR(INDEX(KC_CURVAS!$F$5:$F$15,MATCH("SOJA|"&amp;$G131,KC_CURVAS!$K$5:$K$15,0)),IFERROR(INDEX(KC_CURVAS!$F$5:$F$15,MATCH("SOJA"&amp;"|",KC_CURVAS!$K$5:$K$15,0)),""))</f>
        <v/>
      </c>
      <c r="P131" s="11">
        <f>IFERROR(INDEX(KC_CURVAS!$G$5:$G$15,MATCH("SOJA|"&amp;$G131,KC_CURVAS!$K$5:$K$15,0)),IFERROR(INDEX(KC_CURVAS!$G$5:$G$15,MATCH("SOJA"&amp;"|",KC_CURVAS!$K$5:$K$15,0)),""))</f>
        <v/>
      </c>
      <c r="Q131" s="11">
        <f>IFERROR(INDEX(KC_CURVAS!$H$5:$H$15,MATCH("SOJA|"&amp;$G131,KC_CURVAS!$K$5:$K$15,0)),IFERROR(INDEX(KC_CURVAS!$H$5:$H$15,MATCH("SOJA"&amp;"|",KC_CURVAS!$K$5:$K$15,0)),""))</f>
        <v/>
      </c>
      <c r="R131" s="11">
        <f>IFERROR(INDEX(KC_CURVAS!$I$5:$I$15,MATCH("SOJA|"&amp;$G131,KC_CURVAS!$K$5:$K$15,0)),IFERROR(INDEX(KC_CURVAS!$I$5:$I$15,MATCH("SOJA"&amp;"|",KC_CURVAS!$K$5:$K$15,0)),""))</f>
        <v/>
      </c>
      <c r="S131" s="12">
        <f>IF(OR($K131="",$L131=""),"PENDENTE",IF($K131&lt;=$L131,$P131,IF($K131&lt;=$L131+$M131,$P131+($Q131-$P131)*($K131-$L131)/$M131,IF($K131&lt;=$L131+$M131+$N131,$Q131,IF($K131&lt;=$L131+$M131+$N131+$O131,$Q131+($R131-$Q131)*($K131-($L131+$M131+$N131))/$O131,$R131)))))</f>
        <v/>
      </c>
      <c r="T131" s="13">
        <f>IF($I131="","",$I131)</f>
        <v/>
      </c>
      <c r="U131" s="14">
        <f>IF($T131="","",SUMIFS(ETO_DIARIO!$B$5:$B$404,ETO_DIARIO!$A$5:$A$404,"&gt;"&amp;$T131,ETO_DIARIO!$A$5:$A$404,"&lt;="&amp;DATA_REF))</f>
        <v/>
      </c>
      <c r="V131" s="14">
        <f>IF($T131="","",SUMIFS(ETO_DIARIO!$C$5:$C$404,ETO_DIARIO!$A$5:$A$404,"&gt;"&amp;$T131,ETO_DIARIO!$A$5:$A$404,"&lt;="&amp;DATA_REF))</f>
        <v/>
      </c>
      <c r="W131" s="14">
        <f>IF(OR($S131="",$S131="PENDENTE",$U131=""),"",$S131*$U131)</f>
        <v/>
      </c>
      <c r="X131" s="14">
        <f>IF($W131="","",MAX(0,$W131-N($V131)))</f>
        <v/>
      </c>
      <c r="Y131" s="14">
        <f>IF($X131="","",$X131/EF_APLIC)</f>
        <v/>
      </c>
      <c r="Z131" s="15" t="n">
        <v>162</v>
      </c>
      <c r="AA131" s="16">
        <f>IF(OR($Y131="",$Z131=""),"",$Y131*$Z131*10)</f>
        <v/>
      </c>
      <c r="AB131" s="17" t="n">
        <v>0.638</v>
      </c>
      <c r="AC131" s="16">
        <f>IF(OR($AA131="",$AB131=""),"",$AA131*$AB131)</f>
        <v/>
      </c>
      <c r="AD131" s="18">
        <f>IF($S131="PENDENTE","Definir classe/Kc",IF($Y131="","-",IF($Y131&gt;='PARAMETROS'!$B$7/EF_APLIC,"Irrigar",IF($Y131&gt;='PARAMETROS'!$B$7/EF_APLIC*FRAC_ACOMP,"Acompanhar","Aguardar"))))</f>
        <v/>
      </c>
      <c r="AE131" s="18">
        <f>IF(OR($Y131="",$Y131=0),"-",IF($Y131&gt;=2*'PARAMETROS'!$B$7/EF_APLIC,"Alta",IF($Y131&gt;='PARAMETROS'!$B$7/EF_APLIC,"Media","Baixa")))</f>
        <v/>
      </c>
    </row>
    <row r="132">
      <c r="A132" s="5" t="inlineStr">
        <is>
          <t>Pivô 04</t>
        </is>
      </c>
      <c r="B132" s="5" t="inlineStr">
        <is>
          <t>Rdm</t>
        </is>
      </c>
      <c r="C132" s="5" t="inlineStr">
        <is>
          <t>R0</t>
        </is>
      </c>
      <c r="D132" s="5" t="inlineStr">
        <is>
          <t>Modulo 1</t>
        </is>
      </c>
      <c r="E132" s="5" t="inlineStr">
        <is>
          <t>SOJA</t>
        </is>
      </c>
      <c r="F132" s="6" t="inlineStr">
        <is>
          <t>BMX DOMINIO IPRO</t>
        </is>
      </c>
      <c r="G132" s="7" t="inlineStr">
        <is>
          <t>MÉDIA</t>
        </is>
      </c>
      <c r="H132" s="5" t="inlineStr">
        <is>
          <t>proximo</t>
        </is>
      </c>
      <c r="I132" s="8" t="n">
        <v>46332</v>
      </c>
      <c r="J132" s="9">
        <f>IF($I132="","",DATA_REF-$I132)</f>
        <v/>
      </c>
      <c r="K132" s="9">
        <f>IF($J132="","",MAX(0,$J132-'PARAMETROS'!$B$11))</f>
        <v/>
      </c>
      <c r="L132" s="10">
        <f>IFERROR(INDEX(KC_CURVAS!$C$5:$C$15,MATCH("SOJA|"&amp;$G132,KC_CURVAS!$K$5:$K$15,0)),IFERROR(INDEX(KC_CURVAS!$C$5:$C$15,MATCH("SOJA"&amp;"|",KC_CURVAS!$K$5:$K$15,0)),""))</f>
        <v/>
      </c>
      <c r="M132" s="10">
        <f>IFERROR(INDEX(KC_CURVAS!$D$5:$D$15,MATCH("SOJA|"&amp;$G132,KC_CURVAS!$K$5:$K$15,0)),IFERROR(INDEX(KC_CURVAS!$D$5:$D$15,MATCH("SOJA"&amp;"|",KC_CURVAS!$K$5:$K$15,0)),""))</f>
        <v/>
      </c>
      <c r="N132" s="10">
        <f>IFERROR(INDEX(KC_CURVAS!$E$5:$E$15,MATCH("SOJA|"&amp;$G132,KC_CURVAS!$K$5:$K$15,0)),IFERROR(INDEX(KC_CURVAS!$E$5:$E$15,MATCH("SOJA"&amp;"|",KC_CURVAS!$K$5:$K$15,0)),""))</f>
        <v/>
      </c>
      <c r="O132" s="10">
        <f>IFERROR(INDEX(KC_CURVAS!$F$5:$F$15,MATCH("SOJA|"&amp;$G132,KC_CURVAS!$K$5:$K$15,0)),IFERROR(INDEX(KC_CURVAS!$F$5:$F$15,MATCH("SOJA"&amp;"|",KC_CURVAS!$K$5:$K$15,0)),""))</f>
        <v/>
      </c>
      <c r="P132" s="11">
        <f>IFERROR(INDEX(KC_CURVAS!$G$5:$G$15,MATCH("SOJA|"&amp;$G132,KC_CURVAS!$K$5:$K$15,0)),IFERROR(INDEX(KC_CURVAS!$G$5:$G$15,MATCH("SOJA"&amp;"|",KC_CURVAS!$K$5:$K$15,0)),""))</f>
        <v/>
      </c>
      <c r="Q132" s="11">
        <f>IFERROR(INDEX(KC_CURVAS!$H$5:$H$15,MATCH("SOJA|"&amp;$G132,KC_CURVAS!$K$5:$K$15,0)),IFERROR(INDEX(KC_CURVAS!$H$5:$H$15,MATCH("SOJA"&amp;"|",KC_CURVAS!$K$5:$K$15,0)),""))</f>
        <v/>
      </c>
      <c r="R132" s="11">
        <f>IFERROR(INDEX(KC_CURVAS!$I$5:$I$15,MATCH("SOJA|"&amp;$G132,KC_CURVAS!$K$5:$K$15,0)),IFERROR(INDEX(KC_CURVAS!$I$5:$I$15,MATCH("SOJA"&amp;"|",KC_CURVAS!$K$5:$K$15,0)),""))</f>
        <v/>
      </c>
      <c r="S132" s="12">
        <f>IF(OR($K132="",$L132=""),"PENDENTE",IF($K132&lt;=$L132,$P132,IF($K132&lt;=$L132+$M132,$P132+($Q132-$P132)*($K132-$L132)/$M132,IF($K132&lt;=$L132+$M132+$N132,$Q132,IF($K132&lt;=$L132+$M132+$N132+$O132,$Q132+($R132-$Q132)*($K132-($L132+$M132+$N132))/$O132,$R132)))))</f>
        <v/>
      </c>
      <c r="T132" s="13">
        <f>IF($I132="","",$I132)</f>
        <v/>
      </c>
      <c r="U132" s="14">
        <f>IF($T132="","",SUMIFS(ETO_DIARIO!$B$5:$B$404,ETO_DIARIO!$A$5:$A$404,"&gt;"&amp;$T132,ETO_DIARIO!$A$5:$A$404,"&lt;="&amp;DATA_REF))</f>
        <v/>
      </c>
      <c r="V132" s="14">
        <f>IF($T132="","",SUMIFS(ETO_DIARIO!$C$5:$C$404,ETO_DIARIO!$A$5:$A$404,"&gt;"&amp;$T132,ETO_DIARIO!$A$5:$A$404,"&lt;="&amp;DATA_REF))</f>
        <v/>
      </c>
      <c r="W132" s="14">
        <f>IF(OR($S132="",$S132="PENDENTE",$U132=""),"",$S132*$U132)</f>
        <v/>
      </c>
      <c r="X132" s="14">
        <f>IF($W132="","",MAX(0,$W132-N($V132)))</f>
        <v/>
      </c>
      <c r="Y132" s="14">
        <f>IF($X132="","",$X132/EF_APLIC)</f>
        <v/>
      </c>
      <c r="Z132" s="15" t="n">
        <v>240</v>
      </c>
      <c r="AA132" s="16">
        <f>IF(OR($Y132="",$Z132=""),"",$Y132*$Z132*10)</f>
        <v/>
      </c>
      <c r="AB132" s="17" t="n">
        <v>0.532</v>
      </c>
      <c r="AC132" s="16">
        <f>IF(OR($AA132="",$AB132=""),"",$AA132*$AB132)</f>
        <v/>
      </c>
      <c r="AD132" s="18">
        <f>IF($S132="PENDENTE","Definir classe/Kc",IF($Y132="","-",IF($Y132&gt;='PARAMETROS'!$B$7/EF_APLIC,"Irrigar",IF($Y132&gt;='PARAMETROS'!$B$7/EF_APLIC*FRAC_ACOMP,"Acompanhar","Aguardar"))))</f>
        <v/>
      </c>
      <c r="AE132" s="18">
        <f>IF(OR($Y132="",$Y132=0),"-",IF($Y132&gt;=2*'PARAMETROS'!$B$7/EF_APLIC,"Alta",IF($Y132&gt;='PARAMETROS'!$B$7/EF_APLIC,"Media","Baixa")))</f>
        <v/>
      </c>
    </row>
    <row r="133">
      <c r="A133" s="5" t="inlineStr">
        <is>
          <t>Pivô 05</t>
        </is>
      </c>
      <c r="B133" s="5" t="inlineStr">
        <is>
          <t>Rdm</t>
        </is>
      </c>
      <c r="C133" s="5" t="inlineStr">
        <is>
          <t>R1</t>
        </is>
      </c>
      <c r="D133" s="5" t="inlineStr">
        <is>
          <t>Modulo 1</t>
        </is>
      </c>
      <c r="E133" s="5" t="inlineStr">
        <is>
          <t>SOJA</t>
        </is>
      </c>
      <c r="F133" s="6" t="inlineStr">
        <is>
          <t>BMX DOMINIO IPRO</t>
        </is>
      </c>
      <c r="G133" s="7" t="inlineStr">
        <is>
          <t>MÉDIA</t>
        </is>
      </c>
      <c r="H133" s="5" t="inlineStr">
        <is>
          <t>proximo</t>
        </is>
      </c>
      <c r="I133" s="8" t="n">
        <v>46332</v>
      </c>
      <c r="J133" s="9">
        <f>IF($I133="","",DATA_REF-$I133)</f>
        <v/>
      </c>
      <c r="K133" s="9">
        <f>IF($J133="","",MAX(0,$J133-'PARAMETROS'!$B$11))</f>
        <v/>
      </c>
      <c r="L133" s="10">
        <f>IFERROR(INDEX(KC_CURVAS!$C$5:$C$15,MATCH("SOJA|"&amp;$G133,KC_CURVAS!$K$5:$K$15,0)),IFERROR(INDEX(KC_CURVAS!$C$5:$C$15,MATCH("SOJA"&amp;"|",KC_CURVAS!$K$5:$K$15,0)),""))</f>
        <v/>
      </c>
      <c r="M133" s="10">
        <f>IFERROR(INDEX(KC_CURVAS!$D$5:$D$15,MATCH("SOJA|"&amp;$G133,KC_CURVAS!$K$5:$K$15,0)),IFERROR(INDEX(KC_CURVAS!$D$5:$D$15,MATCH("SOJA"&amp;"|",KC_CURVAS!$K$5:$K$15,0)),""))</f>
        <v/>
      </c>
      <c r="N133" s="10">
        <f>IFERROR(INDEX(KC_CURVAS!$E$5:$E$15,MATCH("SOJA|"&amp;$G133,KC_CURVAS!$K$5:$K$15,0)),IFERROR(INDEX(KC_CURVAS!$E$5:$E$15,MATCH("SOJA"&amp;"|",KC_CURVAS!$K$5:$K$15,0)),""))</f>
        <v/>
      </c>
      <c r="O133" s="10">
        <f>IFERROR(INDEX(KC_CURVAS!$F$5:$F$15,MATCH("SOJA|"&amp;$G133,KC_CURVAS!$K$5:$K$15,0)),IFERROR(INDEX(KC_CURVAS!$F$5:$F$15,MATCH("SOJA"&amp;"|",KC_CURVAS!$K$5:$K$15,0)),""))</f>
        <v/>
      </c>
      <c r="P133" s="11">
        <f>IFERROR(INDEX(KC_CURVAS!$G$5:$G$15,MATCH("SOJA|"&amp;$G133,KC_CURVAS!$K$5:$K$15,0)),IFERROR(INDEX(KC_CURVAS!$G$5:$G$15,MATCH("SOJA"&amp;"|",KC_CURVAS!$K$5:$K$15,0)),""))</f>
        <v/>
      </c>
      <c r="Q133" s="11">
        <f>IFERROR(INDEX(KC_CURVAS!$H$5:$H$15,MATCH("SOJA|"&amp;$G133,KC_CURVAS!$K$5:$K$15,0)),IFERROR(INDEX(KC_CURVAS!$H$5:$H$15,MATCH("SOJA"&amp;"|",KC_CURVAS!$K$5:$K$15,0)),""))</f>
        <v/>
      </c>
      <c r="R133" s="11">
        <f>IFERROR(INDEX(KC_CURVAS!$I$5:$I$15,MATCH("SOJA|"&amp;$G133,KC_CURVAS!$K$5:$K$15,0)),IFERROR(INDEX(KC_CURVAS!$I$5:$I$15,MATCH("SOJA"&amp;"|",KC_CURVAS!$K$5:$K$15,0)),""))</f>
        <v/>
      </c>
      <c r="S133" s="12">
        <f>IF(OR($K133="",$L133=""),"PENDENTE",IF($K133&lt;=$L133,$P133,IF($K133&lt;=$L133+$M133,$P133+($Q133-$P133)*($K133-$L133)/$M133,IF($K133&lt;=$L133+$M133+$N133,$Q133,IF($K133&lt;=$L133+$M133+$N133+$O133,$Q133+($R133-$Q133)*($K133-($L133+$M133+$N133))/$O133,$R133)))))</f>
        <v/>
      </c>
      <c r="T133" s="13">
        <f>IF($I133="","",$I133)</f>
        <v/>
      </c>
      <c r="U133" s="14">
        <f>IF($T133="","",SUMIFS(ETO_DIARIO!$B$5:$B$404,ETO_DIARIO!$A$5:$A$404,"&gt;"&amp;$T133,ETO_DIARIO!$A$5:$A$404,"&lt;="&amp;DATA_REF))</f>
        <v/>
      </c>
      <c r="V133" s="14">
        <f>IF($T133="","",SUMIFS(ETO_DIARIO!$C$5:$C$404,ETO_DIARIO!$A$5:$A$404,"&gt;"&amp;$T133,ETO_DIARIO!$A$5:$A$404,"&lt;="&amp;DATA_REF))</f>
        <v/>
      </c>
      <c r="W133" s="14">
        <f>IF(OR($S133="",$S133="PENDENTE",$U133=""),"",$S133*$U133)</f>
        <v/>
      </c>
      <c r="X133" s="14">
        <f>IF($W133="","",MAX(0,$W133-N($V133)))</f>
        <v/>
      </c>
      <c r="Y133" s="14">
        <f>IF($X133="","",$X133/EF_APLIC)</f>
        <v/>
      </c>
      <c r="Z133" s="15" t="n">
        <v>37</v>
      </c>
      <c r="AA133" s="16">
        <f>IF(OR($Y133="",$Z133=""),"",$Y133*$Z133*10)</f>
        <v/>
      </c>
      <c r="AB133" s="17" t="n">
        <v>0.699</v>
      </c>
      <c r="AC133" s="16">
        <f>IF(OR($AA133="",$AB133=""),"",$AA133*$AB133)</f>
        <v/>
      </c>
      <c r="AD133" s="18">
        <f>IF($S133="PENDENTE","Definir classe/Kc",IF($Y133="","-",IF($Y133&gt;='PARAMETROS'!$B$7/EF_APLIC,"Irrigar",IF($Y133&gt;='PARAMETROS'!$B$7/EF_APLIC*FRAC_ACOMP,"Acompanhar","Aguardar"))))</f>
        <v/>
      </c>
      <c r="AE133" s="18">
        <f>IF(OR($Y133="",$Y133=0),"-",IF($Y133&gt;=2*'PARAMETROS'!$B$7/EF_APLIC,"Alta",IF($Y133&gt;='PARAMETROS'!$B$7/EF_APLIC,"Media","Baixa")))</f>
        <v/>
      </c>
    </row>
    <row r="135">
      <c r="A135" s="20" t="inlineStr">
        <is>
          <t>Clima DIARIO: ETo/chuva acumulam de ETO_DIARIO entre a ultima irrigacao e HOJE. ETc = Kc(DAE) x ETo acum. Nec liquida = ETc - chuva; bruta = /0,90. Irriga quando a nec. bruta atinge o alvo/turno (PARAMETROS B7). CE = captacao do modulo + pressurizacao do pivo. Status 'proximo' = cultura ainda nao plantada.</t>
        </is>
      </c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2" t="n"/>
    </row>
  </sheetData>
  <mergeCells count="1">
    <mergeCell ref="A135:AE1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E9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8" customWidth="1" min="3" max="3"/>
    <col width="9" customWidth="1" min="4" max="4"/>
    <col width="9" customWidth="1" min="5" max="5"/>
    <col width="14" customWidth="1" min="6" max="6"/>
    <col width="8" customWidth="1" min="7" max="7"/>
    <col width="8" customWidth="1" min="8" max="8"/>
    <col width="11" customWidth="1" min="9" max="9"/>
    <col width="6" customWidth="1" min="10" max="10"/>
    <col width="6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6" customWidth="1" min="19" max="19"/>
    <col width="11" customWidth="1" min="20" max="20"/>
    <col width="9" customWidth="1" min="21" max="21"/>
    <col width="10" customWidth="1" min="22" max="22"/>
    <col width="9" customWidth="1" min="23" max="23"/>
    <col width="8" customWidth="1" min="24" max="24"/>
    <col width="9" customWidth="1" min="25" max="25"/>
    <col width="8" customWidth="1" min="26" max="26"/>
    <col width="11" customWidth="1" min="27" max="27"/>
    <col width="10" customWidth="1" min="28" max="28"/>
    <col width="11" customWidth="1" min="29" max="29"/>
    <col width="11" customWidth="1" min="30" max="30"/>
    <col width="10" customWidth="1" min="31" max="31"/>
  </cols>
  <sheetData>
    <row r="1" ht="20" customHeight="1">
      <c r="A1" s="1" t="inlineStr">
        <is>
          <t>SOJA 26/27 - demanda via clima</t>
        </is>
      </c>
    </row>
    <row r="2">
      <c r="A2" s="3" t="inlineStr">
        <is>
          <t>Kc FAO-56 linear por DAE. ETo diaria.</t>
        </is>
      </c>
    </row>
    <row r="4" ht="30" customHeight="1">
      <c r="A4" s="4" t="inlineStr">
        <is>
          <t>Pivo/Talhao</t>
        </is>
      </c>
      <c r="B4" s="4" t="inlineStr">
        <is>
          <t>Faz</t>
        </is>
      </c>
      <c r="C4" s="4" t="inlineStr">
        <is>
          <t>Casa b.</t>
        </is>
      </c>
      <c r="D4" s="4" t="inlineStr">
        <is>
          <t>Modulo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Status</t>
        </is>
      </c>
      <c r="I4" s="4" t="inlineStr">
        <is>
          <t>Plantio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Lini</t>
        </is>
      </c>
      <c r="M4" s="4" t="inlineStr">
        <is>
          <t>Ldev</t>
        </is>
      </c>
      <c r="N4" s="4" t="inlineStr">
        <is>
          <t>Lmid</t>
        </is>
      </c>
      <c r="O4" s="4" t="inlineStr">
        <is>
          <t>Llate</t>
        </is>
      </c>
      <c r="P4" s="4" t="inlineStr">
        <is>
          <t>Kcini</t>
        </is>
      </c>
      <c r="Q4" s="4" t="inlineStr">
        <is>
          <t>Kcmid</t>
        </is>
      </c>
      <c r="R4" s="4" t="inlineStr">
        <is>
          <t>Kcend</t>
        </is>
      </c>
      <c r="S4" s="4" t="inlineStr">
        <is>
          <t>Kc</t>
        </is>
      </c>
      <c r="T4" s="4" t="inlineStr">
        <is>
          <t>Ult.irrig</t>
        </is>
      </c>
      <c r="U4" s="4" t="inlineStr">
        <is>
          <t>ETo acum</t>
        </is>
      </c>
      <c r="V4" s="4" t="inlineStr">
        <is>
          <t>Chuva acum</t>
        </is>
      </c>
      <c r="W4" s="4" t="inlineStr">
        <is>
          <t>ETc acum</t>
        </is>
      </c>
      <c r="X4" s="4" t="inlineStr">
        <is>
          <t>Nec liq</t>
        </is>
      </c>
      <c r="Y4" s="4" t="inlineStr">
        <is>
          <t>Nec bruta</t>
        </is>
      </c>
      <c r="Z4" s="4" t="inlineStr">
        <is>
          <t>Area(ha)</t>
        </is>
      </c>
      <c r="AA4" s="4" t="inlineStr">
        <is>
          <t>Volume(m3)</t>
        </is>
      </c>
      <c r="AB4" s="4" t="inlineStr">
        <is>
          <t>CE(kWh/m3)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Prioridade</t>
        </is>
      </c>
    </row>
    <row r="5">
      <c r="A5" s="5" t="inlineStr">
        <is>
          <t>Pivô 02</t>
        </is>
      </c>
      <c r="B5" s="5" t="inlineStr">
        <is>
          <t>Karitel</t>
        </is>
      </c>
      <c r="C5" s="5" t="inlineStr">
        <is>
          <t>R0</t>
        </is>
      </c>
      <c r="D5" s="5" t="inlineStr">
        <is>
          <t>Modulo 1</t>
        </is>
      </c>
      <c r="E5" s="5" t="inlineStr">
        <is>
          <t>SOJA</t>
        </is>
      </c>
      <c r="F5" s="6" t="inlineStr">
        <is>
          <t>CZ 37B07 I2X</t>
        </is>
      </c>
      <c r="G5" s="7" t="inlineStr">
        <is>
          <t>PRECOCE</t>
        </is>
      </c>
      <c r="H5" s="5" t="inlineStr">
        <is>
          <t>ativo</t>
        </is>
      </c>
      <c r="I5" s="8" t="n">
        <v>46287</v>
      </c>
      <c r="J5" s="9">
        <f>IF($I5="","",DATA_REF-$I5)</f>
        <v/>
      </c>
      <c r="K5" s="9">
        <f>IF($J5="","",MAX(0,$J5-'PARAMETROS'!$B$11))</f>
        <v/>
      </c>
      <c r="L5" s="10">
        <f>IFERROR(INDEX(KC_CURVAS!$C$5:$C$15,MATCH("SOJA|"&amp;$G5,KC_CURVAS!$K$5:$K$15,0)),IFERROR(INDEX(KC_CURVAS!$C$5:$C$15,MATCH("SOJA"&amp;"|",KC_CURVAS!$K$5:$K$15,0)),""))</f>
        <v/>
      </c>
      <c r="M5" s="10">
        <f>IFERROR(INDEX(KC_CURVAS!$D$5:$D$15,MATCH("SOJA|"&amp;$G5,KC_CURVAS!$K$5:$K$15,0)),IFERROR(INDEX(KC_CURVAS!$D$5:$D$15,MATCH("SOJA"&amp;"|",KC_CURVAS!$K$5:$K$15,0)),""))</f>
        <v/>
      </c>
      <c r="N5" s="10">
        <f>IFERROR(INDEX(KC_CURVAS!$E$5:$E$15,MATCH("SOJA|"&amp;$G5,KC_CURVAS!$K$5:$K$15,0)),IFERROR(INDEX(KC_CURVAS!$E$5:$E$15,MATCH("SOJA"&amp;"|",KC_CURVAS!$K$5:$K$15,0)),""))</f>
        <v/>
      </c>
      <c r="O5" s="10">
        <f>IFERROR(INDEX(KC_CURVAS!$F$5:$F$15,MATCH("SOJA|"&amp;$G5,KC_CURVAS!$K$5:$K$15,0)),IFERROR(INDEX(KC_CURVAS!$F$5:$F$15,MATCH("SOJA"&amp;"|",KC_CURVAS!$K$5:$K$15,0)),""))</f>
        <v/>
      </c>
      <c r="P5" s="11">
        <f>IFERROR(INDEX(KC_CURVAS!$G$5:$G$15,MATCH("SOJA|"&amp;$G5,KC_CURVAS!$K$5:$K$15,0)),IFERROR(INDEX(KC_CURVAS!$G$5:$G$15,MATCH("SOJA"&amp;"|",KC_CURVAS!$K$5:$K$15,0)),""))</f>
        <v/>
      </c>
      <c r="Q5" s="11">
        <f>IFERROR(INDEX(KC_CURVAS!$H$5:$H$15,MATCH("SOJA|"&amp;$G5,KC_CURVAS!$K$5:$K$15,0)),IFERROR(INDEX(KC_CURVAS!$H$5:$H$15,MATCH("SOJA"&amp;"|",KC_CURVAS!$K$5:$K$15,0)),""))</f>
        <v/>
      </c>
      <c r="R5" s="11">
        <f>IFERROR(INDEX(KC_CURVAS!$I$5:$I$15,MATCH("SOJA|"&amp;$G5,KC_CURVAS!$K$5:$K$15,0)),IFERROR(INDEX(KC_CURVAS!$I$5:$I$15,MATCH("SOJA"&amp;"|",KC_CURVAS!$K$5:$K$15,0)),""))</f>
        <v/>
      </c>
      <c r="S5" s="12">
        <f>IF(OR($K5="",$L5=""),"PENDENTE",IF($K5&lt;=$L5,$P5,IF($K5&lt;=$L5+$M5,$P5+($Q5-$P5)*($K5-$L5)/$M5,IF($K5&lt;=$L5+$M5+$N5,$Q5,IF($K5&lt;=$L5+$M5+$N5+$O5,$Q5+($R5-$Q5)*($K5-($L5+$M5+$N5))/$O5,$R5)))))</f>
        <v/>
      </c>
      <c r="T5" s="13">
        <f>IF($I5="","",$I5)</f>
        <v/>
      </c>
      <c r="U5" s="14">
        <f>IF($T5="","",SUMIFS(ETO_DIARIO!$B$5:$B$404,ETO_DIARIO!$A$5:$A$404,"&gt;"&amp;$T5,ETO_DIARIO!$A$5:$A$404,"&lt;="&amp;DATA_REF))</f>
        <v/>
      </c>
      <c r="V5" s="14">
        <f>IF($T5="","",SUMIFS(ETO_DIARIO!$C$5:$C$404,ETO_DIARIO!$A$5:$A$404,"&gt;"&amp;$T5,ETO_DIARIO!$A$5:$A$404,"&lt;="&amp;DATA_REF))</f>
        <v/>
      </c>
      <c r="W5" s="14">
        <f>IF(OR($S5="",$S5="PENDENTE",$U5=""),"",$S5*$U5)</f>
        <v/>
      </c>
      <c r="X5" s="14">
        <f>IF($W5="","",MAX(0,$W5-N($V5)))</f>
        <v/>
      </c>
      <c r="Y5" s="14">
        <f>IF($X5="","",$X5/EF_APLIC)</f>
        <v/>
      </c>
      <c r="Z5" s="15" t="n">
        <v>124</v>
      </c>
      <c r="AA5" s="16">
        <f>IF(OR($Y5="",$Z5=""),"",$Y5*$Z5*10)</f>
        <v/>
      </c>
      <c r="AB5" s="17" t="n">
        <v>0.589</v>
      </c>
      <c r="AC5" s="16">
        <f>IF(OR($AA5="",$AB5=""),"",$AA5*$AB5)</f>
        <v/>
      </c>
      <c r="AD5" s="18">
        <f>IF($S5="PENDENTE","Definir classe/Kc",IF($Y5="","-",IF($Y5&gt;='PARAMETROS'!$B$7/EF_APLIC,"Irrigar",IF($Y5&gt;='PARAMETROS'!$B$7/EF_APLIC*FRAC_ACOMP,"Acompanhar","Aguardar"))))</f>
        <v/>
      </c>
      <c r="AE5" s="18">
        <f>IF(OR($Y5="",$Y5=0),"-",IF($Y5&gt;=2*'PARAMETROS'!$B$7/EF_APLIC,"Alta",IF($Y5&gt;='PARAMETROS'!$B$7/EF_APLIC,"Media","Baixa")))</f>
        <v/>
      </c>
    </row>
    <row r="6">
      <c r="A6" s="5" t="inlineStr">
        <is>
          <t>Pivô 03</t>
        </is>
      </c>
      <c r="B6" s="5" t="inlineStr">
        <is>
          <t>Karitel</t>
        </is>
      </c>
      <c r="C6" s="5" t="inlineStr">
        <is>
          <t>R0</t>
        </is>
      </c>
      <c r="D6" s="5" t="inlineStr">
        <is>
          <t>Modulo 1</t>
        </is>
      </c>
      <c r="E6" s="5" t="inlineStr">
        <is>
          <t>SOJA</t>
        </is>
      </c>
      <c r="F6" s="6" t="inlineStr">
        <is>
          <t>COMBATE IPRO</t>
        </is>
      </c>
      <c r="G6" s="7" t="inlineStr">
        <is>
          <t>PRECOCE</t>
        </is>
      </c>
      <c r="H6" s="5" t="inlineStr">
        <is>
          <t>ativo</t>
        </is>
      </c>
      <c r="I6" s="8" t="n">
        <v>46288</v>
      </c>
      <c r="J6" s="9">
        <f>IF($I6="","",DATA_REF-$I6)</f>
        <v/>
      </c>
      <c r="K6" s="9">
        <f>IF($J6="","",MAX(0,$J6-'PARAMETROS'!$B$11))</f>
        <v/>
      </c>
      <c r="L6" s="10">
        <f>IFERROR(INDEX(KC_CURVAS!$C$5:$C$15,MATCH("SOJA|"&amp;$G6,KC_CURVAS!$K$5:$K$15,0)),IFERROR(INDEX(KC_CURVAS!$C$5:$C$15,MATCH("SOJA"&amp;"|",KC_CURVAS!$K$5:$K$15,0)),""))</f>
        <v/>
      </c>
      <c r="M6" s="10">
        <f>IFERROR(INDEX(KC_CURVAS!$D$5:$D$15,MATCH("SOJA|"&amp;$G6,KC_CURVAS!$K$5:$K$15,0)),IFERROR(INDEX(KC_CURVAS!$D$5:$D$15,MATCH("SOJA"&amp;"|",KC_CURVAS!$K$5:$K$15,0)),""))</f>
        <v/>
      </c>
      <c r="N6" s="10">
        <f>IFERROR(INDEX(KC_CURVAS!$E$5:$E$15,MATCH("SOJA|"&amp;$G6,KC_CURVAS!$K$5:$K$15,0)),IFERROR(INDEX(KC_CURVAS!$E$5:$E$15,MATCH("SOJA"&amp;"|",KC_CURVAS!$K$5:$K$15,0)),""))</f>
        <v/>
      </c>
      <c r="O6" s="10">
        <f>IFERROR(INDEX(KC_CURVAS!$F$5:$F$15,MATCH("SOJA|"&amp;$G6,KC_CURVAS!$K$5:$K$15,0)),IFERROR(INDEX(KC_CURVAS!$F$5:$F$15,MATCH("SOJA"&amp;"|",KC_CURVAS!$K$5:$K$15,0)),""))</f>
        <v/>
      </c>
      <c r="P6" s="11">
        <f>IFERROR(INDEX(KC_CURVAS!$G$5:$G$15,MATCH("SOJA|"&amp;$G6,KC_CURVAS!$K$5:$K$15,0)),IFERROR(INDEX(KC_CURVAS!$G$5:$G$15,MATCH("SOJA"&amp;"|",KC_CURVAS!$K$5:$K$15,0)),""))</f>
        <v/>
      </c>
      <c r="Q6" s="11">
        <f>IFERROR(INDEX(KC_CURVAS!$H$5:$H$15,MATCH("SOJA|"&amp;$G6,KC_CURVAS!$K$5:$K$15,0)),IFERROR(INDEX(KC_CURVAS!$H$5:$H$15,MATCH("SOJA"&amp;"|",KC_CURVAS!$K$5:$K$15,0)),""))</f>
        <v/>
      </c>
      <c r="R6" s="11">
        <f>IFERROR(INDEX(KC_CURVAS!$I$5:$I$15,MATCH("SOJA|"&amp;$G6,KC_CURVAS!$K$5:$K$15,0)),IFERROR(INDEX(KC_CURVAS!$I$5:$I$15,MATCH("SOJA"&amp;"|",KC_CURVAS!$K$5:$K$15,0)),""))</f>
        <v/>
      </c>
      <c r="S6" s="12">
        <f>IF(OR($K6="",$L6=""),"PENDENTE",IF($K6&lt;=$L6,$P6,IF($K6&lt;=$L6+$M6,$P6+($Q6-$P6)*($K6-$L6)/$M6,IF($K6&lt;=$L6+$M6+$N6,$Q6,IF($K6&lt;=$L6+$M6+$N6+$O6,$Q6+($R6-$Q6)*($K6-($L6+$M6+$N6))/$O6,$R6)))))</f>
        <v/>
      </c>
      <c r="T6" s="13">
        <f>IF($I6="","",$I6)</f>
        <v/>
      </c>
      <c r="U6" s="14">
        <f>IF($T6="","",SUMIFS(ETO_DIARIO!$B$5:$B$404,ETO_DIARIO!$A$5:$A$404,"&gt;"&amp;$T6,ETO_DIARIO!$A$5:$A$404,"&lt;="&amp;DATA_REF))</f>
        <v/>
      </c>
      <c r="V6" s="14">
        <f>IF($T6="","",SUMIFS(ETO_DIARIO!$C$5:$C$404,ETO_DIARIO!$A$5:$A$404,"&gt;"&amp;$T6,ETO_DIARIO!$A$5:$A$404,"&lt;="&amp;DATA_REF))</f>
        <v/>
      </c>
      <c r="W6" s="14">
        <f>IF(OR($S6="",$S6="PENDENTE",$U6=""),"",$S6*$U6)</f>
        <v/>
      </c>
      <c r="X6" s="14">
        <f>IF($W6="","",MAX(0,$W6-N($V6)))</f>
        <v/>
      </c>
      <c r="Y6" s="14">
        <f>IF($X6="","",$X6/EF_APLIC)</f>
        <v/>
      </c>
      <c r="Z6" s="15" t="n">
        <v>150</v>
      </c>
      <c r="AA6" s="16">
        <f>IF(OR($Y6="",$Z6=""),"",$Y6*$Z6*10)</f>
        <v/>
      </c>
      <c r="AB6" s="17" t="n">
        <v>0.513</v>
      </c>
      <c r="AC6" s="16">
        <f>IF(OR($AA6="",$AB6=""),"",$AA6*$AB6)</f>
        <v/>
      </c>
      <c r="AD6" s="18">
        <f>IF($S6="PENDENTE","Definir classe/Kc",IF($Y6="","-",IF($Y6&gt;='PARAMETROS'!$B$7/EF_APLIC,"Irrigar",IF($Y6&gt;='PARAMETROS'!$B$7/EF_APLIC*FRAC_ACOMP,"Acompanhar","Aguardar"))))</f>
        <v/>
      </c>
      <c r="AE6" s="18">
        <f>IF(OR($Y6="",$Y6=0),"-",IF($Y6&gt;=2*'PARAMETROS'!$B$7/EF_APLIC,"Alta",IF($Y6&gt;='PARAMETROS'!$B$7/EF_APLIC,"Media","Baixa")))</f>
        <v/>
      </c>
    </row>
    <row r="7">
      <c r="A7" s="5" t="inlineStr">
        <is>
          <t>Pivô 04</t>
        </is>
      </c>
      <c r="B7" s="5" t="inlineStr">
        <is>
          <t>Karitel</t>
        </is>
      </c>
      <c r="C7" s="5" t="inlineStr">
        <is>
          <t>R0</t>
        </is>
      </c>
      <c r="D7" s="5" t="inlineStr">
        <is>
          <t>Modulo 1</t>
        </is>
      </c>
      <c r="E7" s="5" t="inlineStr">
        <is>
          <t>SOJA</t>
        </is>
      </c>
      <c r="F7" s="6" t="inlineStr">
        <is>
          <t>COMBATE IPRO</t>
        </is>
      </c>
      <c r="G7" s="7" t="inlineStr">
        <is>
          <t>PRECOCE</t>
        </is>
      </c>
      <c r="H7" s="5" t="inlineStr">
        <is>
          <t>ativo</t>
        </is>
      </c>
      <c r="I7" s="8" t="n">
        <v>46288</v>
      </c>
      <c r="J7" s="9">
        <f>IF($I7="","",DATA_REF-$I7)</f>
        <v/>
      </c>
      <c r="K7" s="9">
        <f>IF($J7="","",MAX(0,$J7-'PARAMETROS'!$B$11))</f>
        <v/>
      </c>
      <c r="L7" s="10">
        <f>IFERROR(INDEX(KC_CURVAS!$C$5:$C$15,MATCH("SOJA|"&amp;$G7,KC_CURVAS!$K$5:$K$15,0)),IFERROR(INDEX(KC_CURVAS!$C$5:$C$15,MATCH("SOJA"&amp;"|",KC_CURVAS!$K$5:$K$15,0)),""))</f>
        <v/>
      </c>
      <c r="M7" s="10">
        <f>IFERROR(INDEX(KC_CURVAS!$D$5:$D$15,MATCH("SOJA|"&amp;$G7,KC_CURVAS!$K$5:$K$15,0)),IFERROR(INDEX(KC_CURVAS!$D$5:$D$15,MATCH("SOJA"&amp;"|",KC_CURVAS!$K$5:$K$15,0)),""))</f>
        <v/>
      </c>
      <c r="N7" s="10">
        <f>IFERROR(INDEX(KC_CURVAS!$E$5:$E$15,MATCH("SOJA|"&amp;$G7,KC_CURVAS!$K$5:$K$15,0)),IFERROR(INDEX(KC_CURVAS!$E$5:$E$15,MATCH("SOJA"&amp;"|",KC_CURVAS!$K$5:$K$15,0)),""))</f>
        <v/>
      </c>
      <c r="O7" s="10">
        <f>IFERROR(INDEX(KC_CURVAS!$F$5:$F$15,MATCH("SOJA|"&amp;$G7,KC_CURVAS!$K$5:$K$15,0)),IFERROR(INDEX(KC_CURVAS!$F$5:$F$15,MATCH("SOJA"&amp;"|",KC_CURVAS!$K$5:$K$15,0)),""))</f>
        <v/>
      </c>
      <c r="P7" s="11">
        <f>IFERROR(INDEX(KC_CURVAS!$G$5:$G$15,MATCH("SOJA|"&amp;$G7,KC_CURVAS!$K$5:$K$15,0)),IFERROR(INDEX(KC_CURVAS!$G$5:$G$15,MATCH("SOJA"&amp;"|",KC_CURVAS!$K$5:$K$15,0)),""))</f>
        <v/>
      </c>
      <c r="Q7" s="11">
        <f>IFERROR(INDEX(KC_CURVAS!$H$5:$H$15,MATCH("SOJA|"&amp;$G7,KC_CURVAS!$K$5:$K$15,0)),IFERROR(INDEX(KC_CURVAS!$H$5:$H$15,MATCH("SOJA"&amp;"|",KC_CURVAS!$K$5:$K$15,0)),""))</f>
        <v/>
      </c>
      <c r="R7" s="11">
        <f>IFERROR(INDEX(KC_CURVAS!$I$5:$I$15,MATCH("SOJA|"&amp;$G7,KC_CURVAS!$K$5:$K$15,0)),IFERROR(INDEX(KC_CURVAS!$I$5:$I$15,MATCH("SOJA"&amp;"|",KC_CURVAS!$K$5:$K$15,0)),""))</f>
        <v/>
      </c>
      <c r="S7" s="12">
        <f>IF(OR($K7="",$L7=""),"PENDENTE",IF($K7&lt;=$L7,$P7,IF($K7&lt;=$L7+$M7,$P7+($Q7-$P7)*($K7-$L7)/$M7,IF($K7&lt;=$L7+$M7+$N7,$Q7,IF($K7&lt;=$L7+$M7+$N7+$O7,$Q7+($R7-$Q7)*($K7-($L7+$M7+$N7))/$O7,$R7)))))</f>
        <v/>
      </c>
      <c r="T7" s="13">
        <f>IF($I7="","",$I7)</f>
        <v/>
      </c>
      <c r="U7" s="14">
        <f>IF($T7="","",SUMIFS(ETO_DIARIO!$B$5:$B$404,ETO_DIARIO!$A$5:$A$404,"&gt;"&amp;$T7,ETO_DIARIO!$A$5:$A$404,"&lt;="&amp;DATA_REF))</f>
        <v/>
      </c>
      <c r="V7" s="14">
        <f>IF($T7="","",SUMIFS(ETO_DIARIO!$C$5:$C$404,ETO_DIARIO!$A$5:$A$404,"&gt;"&amp;$T7,ETO_DIARIO!$A$5:$A$404,"&lt;="&amp;DATA_REF))</f>
        <v/>
      </c>
      <c r="W7" s="14">
        <f>IF(OR($S7="",$S7="PENDENTE",$U7=""),"",$S7*$U7)</f>
        <v/>
      </c>
      <c r="X7" s="14">
        <f>IF($W7="","",MAX(0,$W7-N($V7)))</f>
        <v/>
      </c>
      <c r="Y7" s="14">
        <f>IF($X7="","",$X7/EF_APLIC)</f>
        <v/>
      </c>
      <c r="Z7" s="15" t="n">
        <v>63</v>
      </c>
      <c r="AA7" s="16">
        <f>IF(OR($Y7="",$Z7=""),"",$Y7*$Z7*10)</f>
        <v/>
      </c>
      <c r="AB7" s="17" t="n">
        <v>0.407</v>
      </c>
      <c r="AC7" s="16">
        <f>IF(OR($AA7="",$AB7=""),"",$AA7*$AB7)</f>
        <v/>
      </c>
      <c r="AD7" s="18">
        <f>IF($S7="PENDENTE","Definir classe/Kc",IF($Y7="","-",IF($Y7&gt;='PARAMETROS'!$B$7/EF_APLIC,"Irrigar",IF($Y7&gt;='PARAMETROS'!$B$7/EF_APLIC*FRAC_ACOMP,"Acompanhar","Aguardar"))))</f>
        <v/>
      </c>
      <c r="AE7" s="18">
        <f>IF(OR($Y7="",$Y7=0),"-",IF($Y7&gt;=2*'PARAMETROS'!$B$7/EF_APLIC,"Alta",IF($Y7&gt;='PARAMETROS'!$B$7/EF_APLIC,"Media","Baixa")))</f>
        <v/>
      </c>
    </row>
    <row r="8">
      <c r="A8" s="5" t="inlineStr">
        <is>
          <t>Pivô 05</t>
        </is>
      </c>
      <c r="B8" s="5" t="inlineStr">
        <is>
          <t>Karitel</t>
        </is>
      </c>
      <c r="C8" s="5" t="inlineStr">
        <is>
          <t>R1</t>
        </is>
      </c>
      <c r="D8" s="5" t="inlineStr">
        <is>
          <t>Modulo 1</t>
        </is>
      </c>
      <c r="E8" s="5" t="inlineStr">
        <is>
          <t>SOJA</t>
        </is>
      </c>
      <c r="F8" s="6" t="inlineStr">
        <is>
          <t>COMBATE IPRO</t>
        </is>
      </c>
      <c r="G8" s="7" t="inlineStr">
        <is>
          <t>PRECOCE</t>
        </is>
      </c>
      <c r="H8" s="5" t="inlineStr">
        <is>
          <t>ativo</t>
        </is>
      </c>
      <c r="I8" s="8" t="n">
        <v>46289</v>
      </c>
      <c r="J8" s="9">
        <f>IF($I8="","",DATA_REF-$I8)</f>
        <v/>
      </c>
      <c r="K8" s="9">
        <f>IF($J8="","",MAX(0,$J8-'PARAMETROS'!$B$11))</f>
        <v/>
      </c>
      <c r="L8" s="10">
        <f>IFERROR(INDEX(KC_CURVAS!$C$5:$C$15,MATCH("SOJA|"&amp;$G8,KC_CURVAS!$K$5:$K$15,0)),IFERROR(INDEX(KC_CURVAS!$C$5:$C$15,MATCH("SOJA"&amp;"|",KC_CURVAS!$K$5:$K$15,0)),""))</f>
        <v/>
      </c>
      <c r="M8" s="10">
        <f>IFERROR(INDEX(KC_CURVAS!$D$5:$D$15,MATCH("SOJA|"&amp;$G8,KC_CURVAS!$K$5:$K$15,0)),IFERROR(INDEX(KC_CURVAS!$D$5:$D$15,MATCH("SOJA"&amp;"|",KC_CURVAS!$K$5:$K$15,0)),""))</f>
        <v/>
      </c>
      <c r="N8" s="10">
        <f>IFERROR(INDEX(KC_CURVAS!$E$5:$E$15,MATCH("SOJA|"&amp;$G8,KC_CURVAS!$K$5:$K$15,0)),IFERROR(INDEX(KC_CURVAS!$E$5:$E$15,MATCH("SOJA"&amp;"|",KC_CURVAS!$K$5:$K$15,0)),""))</f>
        <v/>
      </c>
      <c r="O8" s="10">
        <f>IFERROR(INDEX(KC_CURVAS!$F$5:$F$15,MATCH("SOJA|"&amp;$G8,KC_CURVAS!$K$5:$K$15,0)),IFERROR(INDEX(KC_CURVAS!$F$5:$F$15,MATCH("SOJA"&amp;"|",KC_CURVAS!$K$5:$K$15,0)),""))</f>
        <v/>
      </c>
      <c r="P8" s="11">
        <f>IFERROR(INDEX(KC_CURVAS!$G$5:$G$15,MATCH("SOJA|"&amp;$G8,KC_CURVAS!$K$5:$K$15,0)),IFERROR(INDEX(KC_CURVAS!$G$5:$G$15,MATCH("SOJA"&amp;"|",KC_CURVAS!$K$5:$K$15,0)),""))</f>
        <v/>
      </c>
      <c r="Q8" s="11">
        <f>IFERROR(INDEX(KC_CURVAS!$H$5:$H$15,MATCH("SOJA|"&amp;$G8,KC_CURVAS!$K$5:$K$15,0)),IFERROR(INDEX(KC_CURVAS!$H$5:$H$15,MATCH("SOJA"&amp;"|",KC_CURVAS!$K$5:$K$15,0)),""))</f>
        <v/>
      </c>
      <c r="R8" s="11">
        <f>IFERROR(INDEX(KC_CURVAS!$I$5:$I$15,MATCH("SOJA|"&amp;$G8,KC_CURVAS!$K$5:$K$15,0)),IFERROR(INDEX(KC_CURVAS!$I$5:$I$15,MATCH("SOJA"&amp;"|",KC_CURVAS!$K$5:$K$15,0)),""))</f>
        <v/>
      </c>
      <c r="S8" s="12">
        <f>IF(OR($K8="",$L8=""),"PENDENTE",IF($K8&lt;=$L8,$P8,IF($K8&lt;=$L8+$M8,$P8+($Q8-$P8)*($K8-$L8)/$M8,IF($K8&lt;=$L8+$M8+$N8,$Q8,IF($K8&lt;=$L8+$M8+$N8+$O8,$Q8+($R8-$Q8)*($K8-($L8+$M8+$N8))/$O8,$R8)))))</f>
        <v/>
      </c>
      <c r="T8" s="13">
        <f>IF($I8="","",$I8)</f>
        <v/>
      </c>
      <c r="U8" s="14">
        <f>IF($T8="","",SUMIFS(ETO_DIARIO!$B$5:$B$404,ETO_DIARIO!$A$5:$A$404,"&gt;"&amp;$T8,ETO_DIARIO!$A$5:$A$404,"&lt;="&amp;DATA_REF))</f>
        <v/>
      </c>
      <c r="V8" s="14">
        <f>IF($T8="","",SUMIFS(ETO_DIARIO!$C$5:$C$404,ETO_DIARIO!$A$5:$A$404,"&gt;"&amp;$T8,ETO_DIARIO!$A$5:$A$404,"&lt;="&amp;DATA_REF))</f>
        <v/>
      </c>
      <c r="W8" s="14">
        <f>IF(OR($S8="",$S8="PENDENTE",$U8=""),"",$S8*$U8)</f>
        <v/>
      </c>
      <c r="X8" s="14">
        <f>IF($W8="","",MAX(0,$W8-N($V8)))</f>
        <v/>
      </c>
      <c r="Y8" s="14">
        <f>IF($X8="","",$X8/EF_APLIC)</f>
        <v/>
      </c>
      <c r="Z8" s="15" t="n">
        <v>150</v>
      </c>
      <c r="AA8" s="16">
        <f>IF(OR($Y8="",$Z8=""),"",$Y8*$Z8*10)</f>
        <v/>
      </c>
      <c r="AB8" s="17" t="n">
        <v>0.574</v>
      </c>
      <c r="AC8" s="16">
        <f>IF(OR($AA8="",$AB8=""),"",$AA8*$AB8)</f>
        <v/>
      </c>
      <c r="AD8" s="18">
        <f>IF($S8="PENDENTE","Definir classe/Kc",IF($Y8="","-",IF($Y8&gt;='PARAMETROS'!$B$7/EF_APLIC,"Irrigar",IF($Y8&gt;='PARAMETROS'!$B$7/EF_APLIC*FRAC_ACOMP,"Acompanhar","Aguardar"))))</f>
        <v/>
      </c>
      <c r="AE8" s="18">
        <f>IF(OR($Y8="",$Y8=0),"-",IF($Y8&gt;=2*'PARAMETROS'!$B$7/EF_APLIC,"Alta",IF($Y8&gt;='PARAMETROS'!$B$7/EF_APLIC,"Media","Baixa")))</f>
        <v/>
      </c>
    </row>
    <row r="9">
      <c r="A9" s="5" t="inlineStr">
        <is>
          <t>Pivô 06</t>
        </is>
      </c>
      <c r="B9" s="5" t="inlineStr">
        <is>
          <t>Karitel</t>
        </is>
      </c>
      <c r="C9" s="5" t="inlineStr">
        <is>
          <t>R1</t>
        </is>
      </c>
      <c r="D9" s="5" t="inlineStr">
        <is>
          <t>Modulo 1</t>
        </is>
      </c>
      <c r="E9" s="5" t="inlineStr">
        <is>
          <t>SOJA</t>
        </is>
      </c>
      <c r="F9" s="6" t="inlineStr">
        <is>
          <t>COMBATE IPRO</t>
        </is>
      </c>
      <c r="G9" s="7" t="inlineStr">
        <is>
          <t>PRECOCE</t>
        </is>
      </c>
      <c r="H9" s="5" t="inlineStr">
        <is>
          <t>ativo</t>
        </is>
      </c>
      <c r="I9" s="8" t="n">
        <v>46289</v>
      </c>
      <c r="J9" s="9">
        <f>IF($I9="","",DATA_REF-$I9)</f>
        <v/>
      </c>
      <c r="K9" s="9">
        <f>IF($J9="","",MAX(0,$J9-'PARAMETROS'!$B$11))</f>
        <v/>
      </c>
      <c r="L9" s="10">
        <f>IFERROR(INDEX(KC_CURVAS!$C$5:$C$15,MATCH("SOJA|"&amp;$G9,KC_CURVAS!$K$5:$K$15,0)),IFERROR(INDEX(KC_CURVAS!$C$5:$C$15,MATCH("SOJA"&amp;"|",KC_CURVAS!$K$5:$K$15,0)),""))</f>
        <v/>
      </c>
      <c r="M9" s="10">
        <f>IFERROR(INDEX(KC_CURVAS!$D$5:$D$15,MATCH("SOJA|"&amp;$G9,KC_CURVAS!$K$5:$K$15,0)),IFERROR(INDEX(KC_CURVAS!$D$5:$D$15,MATCH("SOJA"&amp;"|",KC_CURVAS!$K$5:$K$15,0)),""))</f>
        <v/>
      </c>
      <c r="N9" s="10">
        <f>IFERROR(INDEX(KC_CURVAS!$E$5:$E$15,MATCH("SOJA|"&amp;$G9,KC_CURVAS!$K$5:$K$15,0)),IFERROR(INDEX(KC_CURVAS!$E$5:$E$15,MATCH("SOJA"&amp;"|",KC_CURVAS!$K$5:$K$15,0)),""))</f>
        <v/>
      </c>
      <c r="O9" s="10">
        <f>IFERROR(INDEX(KC_CURVAS!$F$5:$F$15,MATCH("SOJA|"&amp;$G9,KC_CURVAS!$K$5:$K$15,0)),IFERROR(INDEX(KC_CURVAS!$F$5:$F$15,MATCH("SOJA"&amp;"|",KC_CURVAS!$K$5:$K$15,0)),""))</f>
        <v/>
      </c>
      <c r="P9" s="11">
        <f>IFERROR(INDEX(KC_CURVAS!$G$5:$G$15,MATCH("SOJA|"&amp;$G9,KC_CURVAS!$K$5:$K$15,0)),IFERROR(INDEX(KC_CURVAS!$G$5:$G$15,MATCH("SOJA"&amp;"|",KC_CURVAS!$K$5:$K$15,0)),""))</f>
        <v/>
      </c>
      <c r="Q9" s="11">
        <f>IFERROR(INDEX(KC_CURVAS!$H$5:$H$15,MATCH("SOJA|"&amp;$G9,KC_CURVAS!$K$5:$K$15,0)),IFERROR(INDEX(KC_CURVAS!$H$5:$H$15,MATCH("SOJA"&amp;"|",KC_CURVAS!$K$5:$K$15,0)),""))</f>
        <v/>
      </c>
      <c r="R9" s="11">
        <f>IFERROR(INDEX(KC_CURVAS!$I$5:$I$15,MATCH("SOJA|"&amp;$G9,KC_CURVAS!$K$5:$K$15,0)),IFERROR(INDEX(KC_CURVAS!$I$5:$I$15,MATCH("SOJA"&amp;"|",KC_CURVAS!$K$5:$K$15,0)),""))</f>
        <v/>
      </c>
      <c r="S9" s="12">
        <f>IF(OR($K9="",$L9=""),"PENDENTE",IF($K9&lt;=$L9,$P9,IF($K9&lt;=$L9+$M9,$P9+($Q9-$P9)*($K9-$L9)/$M9,IF($K9&lt;=$L9+$M9+$N9,$Q9,IF($K9&lt;=$L9+$M9+$N9+$O9,$Q9+($R9-$Q9)*($K9-($L9+$M9+$N9))/$O9,$R9)))))</f>
        <v/>
      </c>
      <c r="T9" s="13">
        <f>IF($I9="","",$I9)</f>
        <v/>
      </c>
      <c r="U9" s="14">
        <f>IF($T9="","",SUMIFS(ETO_DIARIO!$B$5:$B$404,ETO_DIARIO!$A$5:$A$404,"&gt;"&amp;$T9,ETO_DIARIO!$A$5:$A$404,"&lt;="&amp;DATA_REF))</f>
        <v/>
      </c>
      <c r="V9" s="14">
        <f>IF($T9="","",SUMIFS(ETO_DIARIO!$C$5:$C$404,ETO_DIARIO!$A$5:$A$404,"&gt;"&amp;$T9,ETO_DIARIO!$A$5:$A$404,"&lt;="&amp;DATA_REF))</f>
        <v/>
      </c>
      <c r="W9" s="14">
        <f>IF(OR($S9="",$S9="PENDENTE",$U9=""),"",$S9*$U9)</f>
        <v/>
      </c>
      <c r="X9" s="14">
        <f>IF($W9="","",MAX(0,$W9-N($V9)))</f>
        <v/>
      </c>
      <c r="Y9" s="14">
        <f>IF($X9="","",$X9/EF_APLIC)</f>
        <v/>
      </c>
      <c r="Z9" s="15" t="n">
        <v>150</v>
      </c>
      <c r="AA9" s="16">
        <f>IF(OR($Y9="",$Z9=""),"",$Y9*$Z9*10)</f>
        <v/>
      </c>
      <c r="AB9" s="17" t="n">
        <v>0.595</v>
      </c>
      <c r="AC9" s="16">
        <f>IF(OR($AA9="",$AB9=""),"",$AA9*$AB9)</f>
        <v/>
      </c>
      <c r="AD9" s="18">
        <f>IF($S9="PENDENTE","Definir classe/Kc",IF($Y9="","-",IF($Y9&gt;='PARAMETROS'!$B$7/EF_APLIC,"Irrigar",IF($Y9&gt;='PARAMETROS'!$B$7/EF_APLIC*FRAC_ACOMP,"Acompanhar","Aguardar"))))</f>
        <v/>
      </c>
      <c r="AE9" s="18">
        <f>IF(OR($Y9="",$Y9=0),"-",IF($Y9&gt;=2*'PARAMETROS'!$B$7/EF_APLIC,"Alta",IF($Y9&gt;='PARAMETROS'!$B$7/EF_APLIC,"Media","Baixa")))</f>
        <v/>
      </c>
    </row>
    <row r="10">
      <c r="A10" s="5" t="inlineStr">
        <is>
          <t>Pivô 12</t>
        </is>
      </c>
      <c r="B10" s="5" t="inlineStr">
        <is>
          <t>Karitel</t>
        </is>
      </c>
      <c r="C10" s="5" t="inlineStr">
        <is>
          <t>R5</t>
        </is>
      </c>
      <c r="D10" s="5" t="inlineStr">
        <is>
          <t>Modulo 1</t>
        </is>
      </c>
      <c r="E10" s="5" t="inlineStr">
        <is>
          <t>SOJA</t>
        </is>
      </c>
      <c r="F10" s="6" t="inlineStr">
        <is>
          <t>COMBATE IPRO</t>
        </is>
      </c>
      <c r="G10" s="7" t="inlineStr">
        <is>
          <t>PRECOCE</t>
        </is>
      </c>
      <c r="H10" s="5" t="inlineStr">
        <is>
          <t>proximo</t>
        </is>
      </c>
      <c r="I10" s="8" t="n">
        <v>46304</v>
      </c>
      <c r="J10" s="9">
        <f>IF($I10="","",DATA_REF-$I10)</f>
        <v/>
      </c>
      <c r="K10" s="9">
        <f>IF($J10="","",MAX(0,$J10-'PARAMETROS'!$B$11))</f>
        <v/>
      </c>
      <c r="L10" s="10">
        <f>IFERROR(INDEX(KC_CURVAS!$C$5:$C$15,MATCH("SOJA|"&amp;$G10,KC_CURVAS!$K$5:$K$15,0)),IFERROR(INDEX(KC_CURVAS!$C$5:$C$15,MATCH("SOJA"&amp;"|",KC_CURVAS!$K$5:$K$15,0)),""))</f>
        <v/>
      </c>
      <c r="M10" s="10">
        <f>IFERROR(INDEX(KC_CURVAS!$D$5:$D$15,MATCH("SOJA|"&amp;$G10,KC_CURVAS!$K$5:$K$15,0)),IFERROR(INDEX(KC_CURVAS!$D$5:$D$15,MATCH("SOJA"&amp;"|",KC_CURVAS!$K$5:$K$15,0)),""))</f>
        <v/>
      </c>
      <c r="N10" s="10">
        <f>IFERROR(INDEX(KC_CURVAS!$E$5:$E$15,MATCH("SOJA|"&amp;$G10,KC_CURVAS!$K$5:$K$15,0)),IFERROR(INDEX(KC_CURVAS!$E$5:$E$15,MATCH("SOJA"&amp;"|",KC_CURVAS!$K$5:$K$15,0)),""))</f>
        <v/>
      </c>
      <c r="O10" s="10">
        <f>IFERROR(INDEX(KC_CURVAS!$F$5:$F$15,MATCH("SOJA|"&amp;$G10,KC_CURVAS!$K$5:$K$15,0)),IFERROR(INDEX(KC_CURVAS!$F$5:$F$15,MATCH("SOJA"&amp;"|",KC_CURVAS!$K$5:$K$15,0)),""))</f>
        <v/>
      </c>
      <c r="P10" s="11">
        <f>IFERROR(INDEX(KC_CURVAS!$G$5:$G$15,MATCH("SOJA|"&amp;$G10,KC_CURVAS!$K$5:$K$15,0)),IFERROR(INDEX(KC_CURVAS!$G$5:$G$15,MATCH("SOJA"&amp;"|",KC_CURVAS!$K$5:$K$15,0)),""))</f>
        <v/>
      </c>
      <c r="Q10" s="11">
        <f>IFERROR(INDEX(KC_CURVAS!$H$5:$H$15,MATCH("SOJA|"&amp;$G10,KC_CURVAS!$K$5:$K$15,0)),IFERROR(INDEX(KC_CURVAS!$H$5:$H$15,MATCH("SOJA"&amp;"|",KC_CURVAS!$K$5:$K$15,0)),""))</f>
        <v/>
      </c>
      <c r="R10" s="11">
        <f>IFERROR(INDEX(KC_CURVAS!$I$5:$I$15,MATCH("SOJA|"&amp;$G10,KC_CURVAS!$K$5:$K$15,0)),IFERROR(INDEX(KC_CURVAS!$I$5:$I$15,MATCH("SOJA"&amp;"|",KC_CURVAS!$K$5:$K$15,0)),""))</f>
        <v/>
      </c>
      <c r="S10" s="12">
        <f>IF(OR($K10="",$L10=""),"PENDENTE",IF($K10&lt;=$L10,$P10,IF($K10&lt;=$L10+$M10,$P10+($Q10-$P10)*($K10-$L10)/$M10,IF($K10&lt;=$L10+$M10+$N10,$Q10,IF($K10&lt;=$L10+$M10+$N10+$O10,$Q10+($R10-$Q10)*($K10-($L10+$M10+$N10))/$O10,$R10)))))</f>
        <v/>
      </c>
      <c r="T10" s="13">
        <f>IF($I10="","",$I10)</f>
        <v/>
      </c>
      <c r="U10" s="14">
        <f>IF($T10="","",SUMIFS(ETO_DIARIO!$B$5:$B$404,ETO_DIARIO!$A$5:$A$404,"&gt;"&amp;$T10,ETO_DIARIO!$A$5:$A$404,"&lt;="&amp;DATA_REF))</f>
        <v/>
      </c>
      <c r="V10" s="14">
        <f>IF($T10="","",SUMIFS(ETO_DIARIO!$C$5:$C$404,ETO_DIARIO!$A$5:$A$404,"&gt;"&amp;$T10,ETO_DIARIO!$A$5:$A$404,"&lt;="&amp;DATA_REF))</f>
        <v/>
      </c>
      <c r="W10" s="14">
        <f>IF(OR($S10="",$S10="PENDENTE",$U10=""),"",$S10*$U10)</f>
        <v/>
      </c>
      <c r="X10" s="14">
        <f>IF($W10="","",MAX(0,$W10-N($V10)))</f>
        <v/>
      </c>
      <c r="Y10" s="14">
        <f>IF($X10="","",$X10/EF_APLIC)</f>
        <v/>
      </c>
      <c r="Z10" s="15" t="n">
        <v>150</v>
      </c>
      <c r="AA10" s="16">
        <f>IF(OR($Y10="",$Z10=""),"",$Y10*$Z10*10)</f>
        <v/>
      </c>
      <c r="AB10" s="17" t="n">
        <v>0.5659999999999999</v>
      </c>
      <c r="AC10" s="16">
        <f>IF(OR($AA10="",$AB10=""),"",$AA10*$AB10)</f>
        <v/>
      </c>
      <c r="AD10" s="18">
        <f>IF($S10="PENDENTE","Definir classe/Kc",IF($Y10="","-",IF($Y10&gt;='PARAMETROS'!$B$7/EF_APLIC,"Irrigar",IF($Y10&gt;='PARAMETROS'!$B$7/EF_APLIC*FRAC_ACOMP,"Acompanhar","Aguardar"))))</f>
        <v/>
      </c>
      <c r="AE10" s="18">
        <f>IF(OR($Y10="",$Y10=0),"-",IF($Y10&gt;=2*'PARAMETROS'!$B$7/EF_APLIC,"Alta",IF($Y10&gt;='PARAMETROS'!$B$7/EF_APLIC,"Media","Baixa")))</f>
        <v/>
      </c>
    </row>
    <row r="11">
      <c r="A11" s="5" t="inlineStr">
        <is>
          <t>Pivô 13</t>
        </is>
      </c>
      <c r="B11" s="5" t="inlineStr">
        <is>
          <t>Karitel</t>
        </is>
      </c>
      <c r="C11" s="5" t="inlineStr">
        <is>
          <t>R5</t>
        </is>
      </c>
      <c r="D11" s="5" t="inlineStr">
        <is>
          <t>Modulo 1</t>
        </is>
      </c>
      <c r="E11" s="5" t="inlineStr">
        <is>
          <t>SOJA</t>
        </is>
      </c>
      <c r="F11" s="6" t="inlineStr">
        <is>
          <t>COMBATE IPRO</t>
        </is>
      </c>
      <c r="G11" s="7" t="inlineStr">
        <is>
          <t>PRECOCE</t>
        </is>
      </c>
      <c r="H11" s="5" t="inlineStr">
        <is>
          <t>proximo</t>
        </is>
      </c>
      <c r="I11" s="8" t="n">
        <v>46304</v>
      </c>
      <c r="J11" s="9">
        <f>IF($I11="","",DATA_REF-$I11)</f>
        <v/>
      </c>
      <c r="K11" s="9">
        <f>IF($J11="","",MAX(0,$J11-'PARAMETROS'!$B$11))</f>
        <v/>
      </c>
      <c r="L11" s="10">
        <f>IFERROR(INDEX(KC_CURVAS!$C$5:$C$15,MATCH("SOJA|"&amp;$G11,KC_CURVAS!$K$5:$K$15,0)),IFERROR(INDEX(KC_CURVAS!$C$5:$C$15,MATCH("SOJA"&amp;"|",KC_CURVAS!$K$5:$K$15,0)),""))</f>
        <v/>
      </c>
      <c r="M11" s="10">
        <f>IFERROR(INDEX(KC_CURVAS!$D$5:$D$15,MATCH("SOJA|"&amp;$G11,KC_CURVAS!$K$5:$K$15,0)),IFERROR(INDEX(KC_CURVAS!$D$5:$D$15,MATCH("SOJA"&amp;"|",KC_CURVAS!$K$5:$K$15,0)),""))</f>
        <v/>
      </c>
      <c r="N11" s="10">
        <f>IFERROR(INDEX(KC_CURVAS!$E$5:$E$15,MATCH("SOJA|"&amp;$G11,KC_CURVAS!$K$5:$K$15,0)),IFERROR(INDEX(KC_CURVAS!$E$5:$E$15,MATCH("SOJA"&amp;"|",KC_CURVAS!$K$5:$K$15,0)),""))</f>
        <v/>
      </c>
      <c r="O11" s="10">
        <f>IFERROR(INDEX(KC_CURVAS!$F$5:$F$15,MATCH("SOJA|"&amp;$G11,KC_CURVAS!$K$5:$K$15,0)),IFERROR(INDEX(KC_CURVAS!$F$5:$F$15,MATCH("SOJA"&amp;"|",KC_CURVAS!$K$5:$K$15,0)),""))</f>
        <v/>
      </c>
      <c r="P11" s="11">
        <f>IFERROR(INDEX(KC_CURVAS!$G$5:$G$15,MATCH("SOJA|"&amp;$G11,KC_CURVAS!$K$5:$K$15,0)),IFERROR(INDEX(KC_CURVAS!$G$5:$G$15,MATCH("SOJA"&amp;"|",KC_CURVAS!$K$5:$K$15,0)),""))</f>
        <v/>
      </c>
      <c r="Q11" s="11">
        <f>IFERROR(INDEX(KC_CURVAS!$H$5:$H$15,MATCH("SOJA|"&amp;$G11,KC_CURVAS!$K$5:$K$15,0)),IFERROR(INDEX(KC_CURVAS!$H$5:$H$15,MATCH("SOJA"&amp;"|",KC_CURVAS!$K$5:$K$15,0)),""))</f>
        <v/>
      </c>
      <c r="R11" s="11">
        <f>IFERROR(INDEX(KC_CURVAS!$I$5:$I$15,MATCH("SOJA|"&amp;$G11,KC_CURVAS!$K$5:$K$15,0)),IFERROR(INDEX(KC_CURVAS!$I$5:$I$15,MATCH("SOJA"&amp;"|",KC_CURVAS!$K$5:$K$15,0)),""))</f>
        <v/>
      </c>
      <c r="S11" s="12">
        <f>IF(OR($K11="",$L11=""),"PENDENTE",IF($K11&lt;=$L11,$P11,IF($K11&lt;=$L11+$M11,$P11+($Q11-$P11)*($K11-$L11)/$M11,IF($K11&lt;=$L11+$M11+$N11,$Q11,IF($K11&lt;=$L11+$M11+$N11+$O11,$Q11+($R11-$Q11)*($K11-($L11+$M11+$N11))/$O11,$R11)))))</f>
        <v/>
      </c>
      <c r="T11" s="13">
        <f>IF($I11="","",$I11)</f>
        <v/>
      </c>
      <c r="U11" s="14">
        <f>IF($T11="","",SUMIFS(ETO_DIARIO!$B$5:$B$404,ETO_DIARIO!$A$5:$A$404,"&gt;"&amp;$T11,ETO_DIARIO!$A$5:$A$404,"&lt;="&amp;DATA_REF))</f>
        <v/>
      </c>
      <c r="V11" s="14">
        <f>IF($T11="","",SUMIFS(ETO_DIARIO!$C$5:$C$404,ETO_DIARIO!$A$5:$A$404,"&gt;"&amp;$T11,ETO_DIARIO!$A$5:$A$404,"&lt;="&amp;DATA_REF))</f>
        <v/>
      </c>
      <c r="W11" s="14">
        <f>IF(OR($S11="",$S11="PENDENTE",$U11=""),"",$S11*$U11)</f>
        <v/>
      </c>
      <c r="X11" s="14">
        <f>IF($W11="","",MAX(0,$W11-N($V11)))</f>
        <v/>
      </c>
      <c r="Y11" s="14">
        <f>IF($X11="","",$X11/EF_APLIC)</f>
        <v/>
      </c>
      <c r="Z11" s="15" t="n">
        <v>71</v>
      </c>
      <c r="AA11" s="16">
        <f>IF(OR($Y11="",$Z11=""),"",$Y11*$Z11*10)</f>
        <v/>
      </c>
      <c r="AB11" s="17" t="n">
        <v>0.634</v>
      </c>
      <c r="AC11" s="16">
        <f>IF(OR($AA11="",$AB11=""),"",$AA11*$AB11)</f>
        <v/>
      </c>
      <c r="AD11" s="18">
        <f>IF($S11="PENDENTE","Definir classe/Kc",IF($Y11="","-",IF($Y11&gt;='PARAMETROS'!$B$7/EF_APLIC,"Irrigar",IF($Y11&gt;='PARAMETROS'!$B$7/EF_APLIC*FRAC_ACOMP,"Acompanhar","Aguardar"))))</f>
        <v/>
      </c>
      <c r="AE11" s="18">
        <f>IF(OR($Y11="",$Y11=0),"-",IF($Y11&gt;=2*'PARAMETROS'!$B$7/EF_APLIC,"Alta",IF($Y11&gt;='PARAMETROS'!$B$7/EF_APLIC,"Media","Baixa")))</f>
        <v/>
      </c>
    </row>
    <row r="12">
      <c r="A12" s="5" t="inlineStr">
        <is>
          <t>Pivô 14</t>
        </is>
      </c>
      <c r="B12" s="5" t="inlineStr">
        <is>
          <t>Karitel</t>
        </is>
      </c>
      <c r="C12" s="5" t="inlineStr">
        <is>
          <t>R6</t>
        </is>
      </c>
      <c r="D12" s="5" t="inlineStr">
        <is>
          <t>Modulo 1</t>
        </is>
      </c>
      <c r="E12" s="5" t="inlineStr">
        <is>
          <t>SOJA</t>
        </is>
      </c>
      <c r="F12" s="6" t="inlineStr">
        <is>
          <t>COMBATE IPRO</t>
        </is>
      </c>
      <c r="G12" s="7" t="inlineStr">
        <is>
          <t>PRECOCE</t>
        </is>
      </c>
      <c r="H12" s="5" t="inlineStr">
        <is>
          <t>proximo</t>
        </is>
      </c>
      <c r="I12" s="8" t="n">
        <v>46319</v>
      </c>
      <c r="J12" s="9">
        <f>IF($I12="","",DATA_REF-$I12)</f>
        <v/>
      </c>
      <c r="K12" s="9">
        <f>IF($J12="","",MAX(0,$J12-'PARAMETROS'!$B$11))</f>
        <v/>
      </c>
      <c r="L12" s="10">
        <f>IFERROR(INDEX(KC_CURVAS!$C$5:$C$15,MATCH("SOJA|"&amp;$G12,KC_CURVAS!$K$5:$K$15,0)),IFERROR(INDEX(KC_CURVAS!$C$5:$C$15,MATCH("SOJA"&amp;"|",KC_CURVAS!$K$5:$K$15,0)),""))</f>
        <v/>
      </c>
      <c r="M12" s="10">
        <f>IFERROR(INDEX(KC_CURVAS!$D$5:$D$15,MATCH("SOJA|"&amp;$G12,KC_CURVAS!$K$5:$K$15,0)),IFERROR(INDEX(KC_CURVAS!$D$5:$D$15,MATCH("SOJA"&amp;"|",KC_CURVAS!$K$5:$K$15,0)),""))</f>
        <v/>
      </c>
      <c r="N12" s="10">
        <f>IFERROR(INDEX(KC_CURVAS!$E$5:$E$15,MATCH("SOJA|"&amp;$G12,KC_CURVAS!$K$5:$K$15,0)),IFERROR(INDEX(KC_CURVAS!$E$5:$E$15,MATCH("SOJA"&amp;"|",KC_CURVAS!$K$5:$K$15,0)),""))</f>
        <v/>
      </c>
      <c r="O12" s="10">
        <f>IFERROR(INDEX(KC_CURVAS!$F$5:$F$15,MATCH("SOJA|"&amp;$G12,KC_CURVAS!$K$5:$K$15,0)),IFERROR(INDEX(KC_CURVAS!$F$5:$F$15,MATCH("SOJA"&amp;"|",KC_CURVAS!$K$5:$K$15,0)),""))</f>
        <v/>
      </c>
      <c r="P12" s="11">
        <f>IFERROR(INDEX(KC_CURVAS!$G$5:$G$15,MATCH("SOJA|"&amp;$G12,KC_CURVAS!$K$5:$K$15,0)),IFERROR(INDEX(KC_CURVAS!$G$5:$G$15,MATCH("SOJA"&amp;"|",KC_CURVAS!$K$5:$K$15,0)),""))</f>
        <v/>
      </c>
      <c r="Q12" s="11">
        <f>IFERROR(INDEX(KC_CURVAS!$H$5:$H$15,MATCH("SOJA|"&amp;$G12,KC_CURVAS!$K$5:$K$15,0)),IFERROR(INDEX(KC_CURVAS!$H$5:$H$15,MATCH("SOJA"&amp;"|",KC_CURVAS!$K$5:$K$15,0)),""))</f>
        <v/>
      </c>
      <c r="R12" s="11">
        <f>IFERROR(INDEX(KC_CURVAS!$I$5:$I$15,MATCH("SOJA|"&amp;$G12,KC_CURVAS!$K$5:$K$15,0)),IFERROR(INDEX(KC_CURVAS!$I$5:$I$15,MATCH("SOJA"&amp;"|",KC_CURVAS!$K$5:$K$15,0)),""))</f>
        <v/>
      </c>
      <c r="S12" s="12">
        <f>IF(OR($K12="",$L12=""),"PENDENTE",IF($K12&lt;=$L12,$P12,IF($K12&lt;=$L12+$M12,$P12+($Q12-$P12)*($K12-$L12)/$M12,IF($K12&lt;=$L12+$M12+$N12,$Q12,IF($K12&lt;=$L12+$M12+$N12+$O12,$Q12+($R12-$Q12)*($K12-($L12+$M12+$N12))/$O12,$R12)))))</f>
        <v/>
      </c>
      <c r="T12" s="13">
        <f>IF($I12="","",$I12)</f>
        <v/>
      </c>
      <c r="U12" s="14">
        <f>IF($T12="","",SUMIFS(ETO_DIARIO!$B$5:$B$404,ETO_DIARIO!$A$5:$A$404,"&gt;"&amp;$T12,ETO_DIARIO!$A$5:$A$404,"&lt;="&amp;DATA_REF))</f>
        <v/>
      </c>
      <c r="V12" s="14">
        <f>IF($T12="","",SUMIFS(ETO_DIARIO!$C$5:$C$404,ETO_DIARIO!$A$5:$A$404,"&gt;"&amp;$T12,ETO_DIARIO!$A$5:$A$404,"&lt;="&amp;DATA_REF))</f>
        <v/>
      </c>
      <c r="W12" s="14">
        <f>IF(OR($S12="",$S12="PENDENTE",$U12=""),"",$S12*$U12)</f>
        <v/>
      </c>
      <c r="X12" s="14">
        <f>IF($W12="","",MAX(0,$W12-N($V12)))</f>
        <v/>
      </c>
      <c r="Y12" s="14">
        <f>IF($X12="","",$X12/EF_APLIC)</f>
        <v/>
      </c>
      <c r="Z12" s="15" t="n">
        <v>150</v>
      </c>
      <c r="AA12" s="16">
        <f>IF(OR($Y12="",$Z12=""),"",$Y12*$Z12*10)</f>
        <v/>
      </c>
      <c r="AB12" s="17" t="n">
        <v>0.396</v>
      </c>
      <c r="AC12" s="16">
        <f>IF(OR($AA12="",$AB12=""),"",$AA12*$AB12)</f>
        <v/>
      </c>
      <c r="AD12" s="18">
        <f>IF($S12="PENDENTE","Definir classe/Kc",IF($Y12="","-",IF($Y12&gt;='PARAMETROS'!$B$7/EF_APLIC,"Irrigar",IF($Y12&gt;='PARAMETROS'!$B$7/EF_APLIC*FRAC_ACOMP,"Acompanhar","Aguardar"))))</f>
        <v/>
      </c>
      <c r="AE12" s="18">
        <f>IF(OR($Y12="",$Y12=0),"-",IF($Y12&gt;=2*'PARAMETROS'!$B$7/EF_APLIC,"Alta",IF($Y12&gt;='PARAMETROS'!$B$7/EF_APLIC,"Media","Baixa")))</f>
        <v/>
      </c>
    </row>
    <row r="13">
      <c r="A13" s="5" t="inlineStr">
        <is>
          <t>Pivô 15</t>
        </is>
      </c>
      <c r="B13" s="5" t="inlineStr">
        <is>
          <t>Karitel</t>
        </is>
      </c>
      <c r="C13" s="5" t="inlineStr">
        <is>
          <t>R1</t>
        </is>
      </c>
      <c r="D13" s="5" t="inlineStr">
        <is>
          <t>Modulo 1</t>
        </is>
      </c>
      <c r="E13" s="5" t="inlineStr">
        <is>
          <t>SOJA</t>
        </is>
      </c>
      <c r="F13" s="6" t="inlineStr">
        <is>
          <t>CZ 37B07 I2X</t>
        </is>
      </c>
      <c r="G13" s="7" t="inlineStr">
        <is>
          <t>PRECOCE</t>
        </is>
      </c>
      <c r="H13" s="5" t="inlineStr">
        <is>
          <t>ativo</t>
        </is>
      </c>
      <c r="I13" s="8" t="n">
        <v>46297</v>
      </c>
      <c r="J13" s="9">
        <f>IF($I13="","",DATA_REF-$I13)</f>
        <v/>
      </c>
      <c r="K13" s="9">
        <f>IF($J13="","",MAX(0,$J13-'PARAMETROS'!$B$11))</f>
        <v/>
      </c>
      <c r="L13" s="10">
        <f>IFERROR(INDEX(KC_CURVAS!$C$5:$C$15,MATCH("SOJA|"&amp;$G13,KC_CURVAS!$K$5:$K$15,0)),IFERROR(INDEX(KC_CURVAS!$C$5:$C$15,MATCH("SOJA"&amp;"|",KC_CURVAS!$K$5:$K$15,0)),""))</f>
        <v/>
      </c>
      <c r="M13" s="10">
        <f>IFERROR(INDEX(KC_CURVAS!$D$5:$D$15,MATCH("SOJA|"&amp;$G13,KC_CURVAS!$K$5:$K$15,0)),IFERROR(INDEX(KC_CURVAS!$D$5:$D$15,MATCH("SOJA"&amp;"|",KC_CURVAS!$K$5:$K$15,0)),""))</f>
        <v/>
      </c>
      <c r="N13" s="10">
        <f>IFERROR(INDEX(KC_CURVAS!$E$5:$E$15,MATCH("SOJA|"&amp;$G13,KC_CURVAS!$K$5:$K$15,0)),IFERROR(INDEX(KC_CURVAS!$E$5:$E$15,MATCH("SOJA"&amp;"|",KC_CURVAS!$K$5:$K$15,0)),""))</f>
        <v/>
      </c>
      <c r="O13" s="10">
        <f>IFERROR(INDEX(KC_CURVAS!$F$5:$F$15,MATCH("SOJA|"&amp;$G13,KC_CURVAS!$K$5:$K$15,0)),IFERROR(INDEX(KC_CURVAS!$F$5:$F$15,MATCH("SOJA"&amp;"|",KC_CURVAS!$K$5:$K$15,0)),""))</f>
        <v/>
      </c>
      <c r="P13" s="11">
        <f>IFERROR(INDEX(KC_CURVAS!$G$5:$G$15,MATCH("SOJA|"&amp;$G13,KC_CURVAS!$K$5:$K$15,0)),IFERROR(INDEX(KC_CURVAS!$G$5:$G$15,MATCH("SOJA"&amp;"|",KC_CURVAS!$K$5:$K$15,0)),""))</f>
        <v/>
      </c>
      <c r="Q13" s="11">
        <f>IFERROR(INDEX(KC_CURVAS!$H$5:$H$15,MATCH("SOJA|"&amp;$G13,KC_CURVAS!$K$5:$K$15,0)),IFERROR(INDEX(KC_CURVAS!$H$5:$H$15,MATCH("SOJA"&amp;"|",KC_CURVAS!$K$5:$K$15,0)),""))</f>
        <v/>
      </c>
      <c r="R13" s="11">
        <f>IFERROR(INDEX(KC_CURVAS!$I$5:$I$15,MATCH("SOJA|"&amp;$G13,KC_CURVAS!$K$5:$K$15,0)),IFERROR(INDEX(KC_CURVAS!$I$5:$I$15,MATCH("SOJA"&amp;"|",KC_CURVAS!$K$5:$K$15,0)),""))</f>
        <v/>
      </c>
      <c r="S13" s="12">
        <f>IF(OR($K13="",$L13=""),"PENDENTE",IF($K13&lt;=$L13,$P13,IF($K13&lt;=$L13+$M13,$P13+($Q13-$P13)*($K13-$L13)/$M13,IF($K13&lt;=$L13+$M13+$N13,$Q13,IF($K13&lt;=$L13+$M13+$N13+$O13,$Q13+($R13-$Q13)*($K13-($L13+$M13+$N13))/$O13,$R13)))))</f>
        <v/>
      </c>
      <c r="T13" s="13">
        <f>IF($I13="","",$I13)</f>
        <v/>
      </c>
      <c r="U13" s="14">
        <f>IF($T13="","",SUMIFS(ETO_DIARIO!$B$5:$B$404,ETO_DIARIO!$A$5:$A$404,"&gt;"&amp;$T13,ETO_DIARIO!$A$5:$A$404,"&lt;="&amp;DATA_REF))</f>
        <v/>
      </c>
      <c r="V13" s="14">
        <f>IF($T13="","",SUMIFS(ETO_DIARIO!$C$5:$C$404,ETO_DIARIO!$A$5:$A$404,"&gt;"&amp;$T13,ETO_DIARIO!$A$5:$A$404,"&lt;="&amp;DATA_REF))</f>
        <v/>
      </c>
      <c r="W13" s="14">
        <f>IF(OR($S13="",$S13="PENDENTE",$U13=""),"",$S13*$U13)</f>
        <v/>
      </c>
      <c r="X13" s="14">
        <f>IF($W13="","",MAX(0,$W13-N($V13)))</f>
        <v/>
      </c>
      <c r="Y13" s="14">
        <f>IF($X13="","",$X13/EF_APLIC)</f>
        <v/>
      </c>
      <c r="Z13" s="15" t="n">
        <v>150</v>
      </c>
      <c r="AA13" s="16">
        <f>IF(OR($Y13="",$Z13=""),"",$Y13*$Z13*10)</f>
        <v/>
      </c>
      <c r="AB13" s="17" t="n">
        <v>0.513</v>
      </c>
      <c r="AC13" s="16">
        <f>IF(OR($AA13="",$AB13=""),"",$AA13*$AB13)</f>
        <v/>
      </c>
      <c r="AD13" s="18">
        <f>IF($S13="PENDENTE","Definir classe/Kc",IF($Y13="","-",IF($Y13&gt;='PARAMETROS'!$B$7/EF_APLIC,"Irrigar",IF($Y13&gt;='PARAMETROS'!$B$7/EF_APLIC*FRAC_ACOMP,"Acompanhar","Aguardar"))))</f>
        <v/>
      </c>
      <c r="AE13" s="18">
        <f>IF(OR($Y13="",$Y13=0),"-",IF($Y13&gt;=2*'PARAMETROS'!$B$7/EF_APLIC,"Alta",IF($Y13&gt;='PARAMETROS'!$B$7/EF_APLIC,"Media","Baixa")))</f>
        <v/>
      </c>
    </row>
    <row r="14">
      <c r="A14" s="5" t="inlineStr">
        <is>
          <t>Pivô 16</t>
        </is>
      </c>
      <c r="B14" s="5" t="inlineStr">
        <is>
          <t>Karitel</t>
        </is>
      </c>
      <c r="C14" s="5" t="inlineStr">
        <is>
          <t>R1</t>
        </is>
      </c>
      <c r="D14" s="5" t="inlineStr">
        <is>
          <t>Modulo 1</t>
        </is>
      </c>
      <c r="E14" s="5" t="inlineStr">
        <is>
          <t>SOJA</t>
        </is>
      </c>
      <c r="F14" s="6" t="inlineStr">
        <is>
          <t>ATAQUE I2X</t>
        </is>
      </c>
      <c r="G14" s="7" t="inlineStr">
        <is>
          <t>TARDIA</t>
        </is>
      </c>
      <c r="H14" s="5" t="inlineStr">
        <is>
          <t>proximo</t>
        </is>
      </c>
      <c r="I14" s="8" t="n">
        <v>46311</v>
      </c>
      <c r="J14" s="9">
        <f>IF($I14="","",DATA_REF-$I14)</f>
        <v/>
      </c>
      <c r="K14" s="9">
        <f>IF($J14="","",MAX(0,$J14-'PARAMETROS'!$B$11))</f>
        <v/>
      </c>
      <c r="L14" s="10">
        <f>IFERROR(INDEX(KC_CURVAS!$C$5:$C$15,MATCH("SOJA|"&amp;$G14,KC_CURVAS!$K$5:$K$15,0)),IFERROR(INDEX(KC_CURVAS!$C$5:$C$15,MATCH("SOJA"&amp;"|",KC_CURVAS!$K$5:$K$15,0)),""))</f>
        <v/>
      </c>
      <c r="M14" s="10">
        <f>IFERROR(INDEX(KC_CURVAS!$D$5:$D$15,MATCH("SOJA|"&amp;$G14,KC_CURVAS!$K$5:$K$15,0)),IFERROR(INDEX(KC_CURVAS!$D$5:$D$15,MATCH("SOJA"&amp;"|",KC_CURVAS!$K$5:$K$15,0)),""))</f>
        <v/>
      </c>
      <c r="N14" s="10">
        <f>IFERROR(INDEX(KC_CURVAS!$E$5:$E$15,MATCH("SOJA|"&amp;$G14,KC_CURVAS!$K$5:$K$15,0)),IFERROR(INDEX(KC_CURVAS!$E$5:$E$15,MATCH("SOJA"&amp;"|",KC_CURVAS!$K$5:$K$15,0)),""))</f>
        <v/>
      </c>
      <c r="O14" s="10">
        <f>IFERROR(INDEX(KC_CURVAS!$F$5:$F$15,MATCH("SOJA|"&amp;$G14,KC_CURVAS!$K$5:$K$15,0)),IFERROR(INDEX(KC_CURVAS!$F$5:$F$15,MATCH("SOJA"&amp;"|",KC_CURVAS!$K$5:$K$15,0)),""))</f>
        <v/>
      </c>
      <c r="P14" s="11">
        <f>IFERROR(INDEX(KC_CURVAS!$G$5:$G$15,MATCH("SOJA|"&amp;$G14,KC_CURVAS!$K$5:$K$15,0)),IFERROR(INDEX(KC_CURVAS!$G$5:$G$15,MATCH("SOJA"&amp;"|",KC_CURVAS!$K$5:$K$15,0)),""))</f>
        <v/>
      </c>
      <c r="Q14" s="11">
        <f>IFERROR(INDEX(KC_CURVAS!$H$5:$H$15,MATCH("SOJA|"&amp;$G14,KC_CURVAS!$K$5:$K$15,0)),IFERROR(INDEX(KC_CURVAS!$H$5:$H$15,MATCH("SOJA"&amp;"|",KC_CURVAS!$K$5:$K$15,0)),""))</f>
        <v/>
      </c>
      <c r="R14" s="11">
        <f>IFERROR(INDEX(KC_CURVAS!$I$5:$I$15,MATCH("SOJA|"&amp;$G14,KC_CURVAS!$K$5:$K$15,0)),IFERROR(INDEX(KC_CURVAS!$I$5:$I$15,MATCH("SOJA"&amp;"|",KC_CURVAS!$K$5:$K$15,0)),""))</f>
        <v/>
      </c>
      <c r="S14" s="12">
        <f>IF(OR($K14="",$L14=""),"PENDENTE",IF($K14&lt;=$L14,$P14,IF($K14&lt;=$L14+$M14,$P14+($Q14-$P14)*($K14-$L14)/$M14,IF($K14&lt;=$L14+$M14+$N14,$Q14,IF($K14&lt;=$L14+$M14+$N14+$O14,$Q14+($R14-$Q14)*($K14-($L14+$M14+$N14))/$O14,$R14)))))</f>
        <v/>
      </c>
      <c r="T14" s="13">
        <f>IF($I14="","",$I14)</f>
        <v/>
      </c>
      <c r="U14" s="14">
        <f>IF($T14="","",SUMIFS(ETO_DIARIO!$B$5:$B$404,ETO_DIARIO!$A$5:$A$404,"&gt;"&amp;$T14,ETO_DIARIO!$A$5:$A$404,"&lt;="&amp;DATA_REF))</f>
        <v/>
      </c>
      <c r="V14" s="14">
        <f>IF($T14="","",SUMIFS(ETO_DIARIO!$C$5:$C$404,ETO_DIARIO!$A$5:$A$404,"&gt;"&amp;$T14,ETO_DIARIO!$A$5:$A$404,"&lt;="&amp;DATA_REF))</f>
        <v/>
      </c>
      <c r="W14" s="14">
        <f>IF(OR($S14="",$S14="PENDENTE",$U14=""),"",$S14*$U14)</f>
        <v/>
      </c>
      <c r="X14" s="14">
        <f>IF($W14="","",MAX(0,$W14-N($V14)))</f>
        <v/>
      </c>
      <c r="Y14" s="14">
        <f>IF($X14="","",$X14/EF_APLIC)</f>
        <v/>
      </c>
      <c r="Z14" s="15" t="n">
        <v>150</v>
      </c>
      <c r="AA14" s="16">
        <f>IF(OR($Y14="",$Z14=""),"",$Y14*$Z14*10)</f>
        <v/>
      </c>
      <c r="AB14" s="17" t="n">
        <v>0.5659999999999999</v>
      </c>
      <c r="AC14" s="16">
        <f>IF(OR($AA14="",$AB14=""),"",$AA14*$AB14)</f>
        <v/>
      </c>
      <c r="AD14" s="18">
        <f>IF($S14="PENDENTE","Definir classe/Kc",IF($Y14="","-",IF($Y14&gt;='PARAMETROS'!$B$7/EF_APLIC,"Irrigar",IF($Y14&gt;='PARAMETROS'!$B$7/EF_APLIC*FRAC_ACOMP,"Acompanhar","Aguardar"))))</f>
        <v/>
      </c>
      <c r="AE14" s="18">
        <f>IF(OR($Y14="",$Y14=0),"-",IF($Y14&gt;=2*'PARAMETROS'!$B$7/EF_APLIC,"Alta",IF($Y14&gt;='PARAMETROS'!$B$7/EF_APLIC,"Media","Baixa")))</f>
        <v/>
      </c>
    </row>
    <row r="15">
      <c r="A15" s="5" t="inlineStr">
        <is>
          <t>Pivô 17</t>
        </is>
      </c>
      <c r="B15" s="5" t="inlineStr">
        <is>
          <t>Karitel</t>
        </is>
      </c>
      <c r="C15" s="5" t="inlineStr">
        <is>
          <t>R2</t>
        </is>
      </c>
      <c r="D15" s="5" t="inlineStr">
        <is>
          <t>Modulo 1</t>
        </is>
      </c>
      <c r="E15" s="5" t="inlineStr">
        <is>
          <t>SOJA</t>
        </is>
      </c>
      <c r="F15" s="6" t="inlineStr">
        <is>
          <t>CZ 37B07 I2X</t>
        </is>
      </c>
      <c r="G15" s="7" t="inlineStr">
        <is>
          <t>PRECOCE</t>
        </is>
      </c>
      <c r="H15" s="5" t="inlineStr">
        <is>
          <t>ativo</t>
        </is>
      </c>
      <c r="I15" s="8" t="n">
        <v>46297</v>
      </c>
      <c r="J15" s="9">
        <f>IF($I15="","",DATA_REF-$I15)</f>
        <v/>
      </c>
      <c r="K15" s="9">
        <f>IF($J15="","",MAX(0,$J15-'PARAMETROS'!$B$11))</f>
        <v/>
      </c>
      <c r="L15" s="10">
        <f>IFERROR(INDEX(KC_CURVAS!$C$5:$C$15,MATCH("SOJA|"&amp;$G15,KC_CURVAS!$K$5:$K$15,0)),IFERROR(INDEX(KC_CURVAS!$C$5:$C$15,MATCH("SOJA"&amp;"|",KC_CURVAS!$K$5:$K$15,0)),""))</f>
        <v/>
      </c>
      <c r="M15" s="10">
        <f>IFERROR(INDEX(KC_CURVAS!$D$5:$D$15,MATCH("SOJA|"&amp;$G15,KC_CURVAS!$K$5:$K$15,0)),IFERROR(INDEX(KC_CURVAS!$D$5:$D$15,MATCH("SOJA"&amp;"|",KC_CURVAS!$K$5:$K$15,0)),""))</f>
        <v/>
      </c>
      <c r="N15" s="10">
        <f>IFERROR(INDEX(KC_CURVAS!$E$5:$E$15,MATCH("SOJA|"&amp;$G15,KC_CURVAS!$K$5:$K$15,0)),IFERROR(INDEX(KC_CURVAS!$E$5:$E$15,MATCH("SOJA"&amp;"|",KC_CURVAS!$K$5:$K$15,0)),""))</f>
        <v/>
      </c>
      <c r="O15" s="10">
        <f>IFERROR(INDEX(KC_CURVAS!$F$5:$F$15,MATCH("SOJA|"&amp;$G15,KC_CURVAS!$K$5:$K$15,0)),IFERROR(INDEX(KC_CURVAS!$F$5:$F$15,MATCH("SOJA"&amp;"|",KC_CURVAS!$K$5:$K$15,0)),""))</f>
        <v/>
      </c>
      <c r="P15" s="11">
        <f>IFERROR(INDEX(KC_CURVAS!$G$5:$G$15,MATCH("SOJA|"&amp;$G15,KC_CURVAS!$K$5:$K$15,0)),IFERROR(INDEX(KC_CURVAS!$G$5:$G$15,MATCH("SOJA"&amp;"|",KC_CURVAS!$K$5:$K$15,0)),""))</f>
        <v/>
      </c>
      <c r="Q15" s="11">
        <f>IFERROR(INDEX(KC_CURVAS!$H$5:$H$15,MATCH("SOJA|"&amp;$G15,KC_CURVAS!$K$5:$K$15,0)),IFERROR(INDEX(KC_CURVAS!$H$5:$H$15,MATCH("SOJA"&amp;"|",KC_CURVAS!$K$5:$K$15,0)),""))</f>
        <v/>
      </c>
      <c r="R15" s="11">
        <f>IFERROR(INDEX(KC_CURVAS!$I$5:$I$15,MATCH("SOJA|"&amp;$G15,KC_CURVAS!$K$5:$K$15,0)),IFERROR(INDEX(KC_CURVAS!$I$5:$I$15,MATCH("SOJA"&amp;"|",KC_CURVAS!$K$5:$K$15,0)),""))</f>
        <v/>
      </c>
      <c r="S15" s="12">
        <f>IF(OR($K15="",$L15=""),"PENDENTE",IF($K15&lt;=$L15,$P15,IF($K15&lt;=$L15+$M15,$P15+($Q15-$P15)*($K15-$L15)/$M15,IF($K15&lt;=$L15+$M15+$N15,$Q15,IF($K15&lt;=$L15+$M15+$N15+$O15,$Q15+($R15-$Q15)*($K15-($L15+$M15+$N15))/$O15,$R15)))))</f>
        <v/>
      </c>
      <c r="T15" s="13">
        <f>IF($I15="","",$I15)</f>
        <v/>
      </c>
      <c r="U15" s="14">
        <f>IF($T15="","",SUMIFS(ETO_DIARIO!$B$5:$B$404,ETO_DIARIO!$A$5:$A$404,"&gt;"&amp;$T15,ETO_DIARIO!$A$5:$A$404,"&lt;="&amp;DATA_REF))</f>
        <v/>
      </c>
      <c r="V15" s="14">
        <f>IF($T15="","",SUMIFS(ETO_DIARIO!$C$5:$C$404,ETO_DIARIO!$A$5:$A$404,"&gt;"&amp;$T15,ETO_DIARIO!$A$5:$A$404,"&lt;="&amp;DATA_REF))</f>
        <v/>
      </c>
      <c r="W15" s="14">
        <f>IF(OR($S15="",$S15="PENDENTE",$U15=""),"",$S15*$U15)</f>
        <v/>
      </c>
      <c r="X15" s="14">
        <f>IF($W15="","",MAX(0,$W15-N($V15)))</f>
        <v/>
      </c>
      <c r="Y15" s="14">
        <f>IF($X15="","",$X15/EF_APLIC)</f>
        <v/>
      </c>
      <c r="Z15" s="15" t="n">
        <v>150</v>
      </c>
      <c r="AA15" s="16">
        <f>IF(OR($Y15="",$Z15=""),"",$Y15*$Z15*10)</f>
        <v/>
      </c>
      <c r="AB15" s="17" t="n">
        <v>0.513</v>
      </c>
      <c r="AC15" s="16">
        <f>IF(OR($AA15="",$AB15=""),"",$AA15*$AB15)</f>
        <v/>
      </c>
      <c r="AD15" s="18">
        <f>IF($S15="PENDENTE","Definir classe/Kc",IF($Y15="","-",IF($Y15&gt;='PARAMETROS'!$B$7/EF_APLIC,"Irrigar",IF($Y15&gt;='PARAMETROS'!$B$7/EF_APLIC*FRAC_ACOMP,"Acompanhar","Aguardar"))))</f>
        <v/>
      </c>
      <c r="AE15" s="18">
        <f>IF(OR($Y15="",$Y15=0),"-",IF($Y15&gt;=2*'PARAMETROS'!$B$7/EF_APLIC,"Alta",IF($Y15&gt;='PARAMETROS'!$B$7/EF_APLIC,"Media","Baixa")))</f>
        <v/>
      </c>
    </row>
    <row r="16">
      <c r="A16" s="5" t="inlineStr">
        <is>
          <t>Pivô 19</t>
        </is>
      </c>
      <c r="B16" s="5" t="inlineStr">
        <is>
          <t>Karitel</t>
        </is>
      </c>
      <c r="C16" s="5" t="inlineStr">
        <is>
          <t>R3</t>
        </is>
      </c>
      <c r="D16" s="5" t="inlineStr">
        <is>
          <t>Modulo 1</t>
        </is>
      </c>
      <c r="E16" s="5" t="inlineStr">
        <is>
          <t>SOJA</t>
        </is>
      </c>
      <c r="F16" s="6" t="inlineStr">
        <is>
          <t>NEO 761 I2X</t>
        </is>
      </c>
      <c r="G16" s="7" t="inlineStr">
        <is>
          <t>PRECOCE</t>
        </is>
      </c>
      <c r="H16" s="5" t="inlineStr">
        <is>
          <t>ativo</t>
        </is>
      </c>
      <c r="I16" s="8" t="n">
        <v>46298</v>
      </c>
      <c r="J16" s="9">
        <f>IF($I16="","",DATA_REF-$I16)</f>
        <v/>
      </c>
      <c r="K16" s="9">
        <f>IF($J16="","",MAX(0,$J16-'PARAMETROS'!$B$11))</f>
        <v/>
      </c>
      <c r="L16" s="10">
        <f>IFERROR(INDEX(KC_CURVAS!$C$5:$C$15,MATCH("SOJA|"&amp;$G16,KC_CURVAS!$K$5:$K$15,0)),IFERROR(INDEX(KC_CURVAS!$C$5:$C$15,MATCH("SOJA"&amp;"|",KC_CURVAS!$K$5:$K$15,0)),""))</f>
        <v/>
      </c>
      <c r="M16" s="10">
        <f>IFERROR(INDEX(KC_CURVAS!$D$5:$D$15,MATCH("SOJA|"&amp;$G16,KC_CURVAS!$K$5:$K$15,0)),IFERROR(INDEX(KC_CURVAS!$D$5:$D$15,MATCH("SOJA"&amp;"|",KC_CURVAS!$K$5:$K$15,0)),""))</f>
        <v/>
      </c>
      <c r="N16" s="10">
        <f>IFERROR(INDEX(KC_CURVAS!$E$5:$E$15,MATCH("SOJA|"&amp;$G16,KC_CURVAS!$K$5:$K$15,0)),IFERROR(INDEX(KC_CURVAS!$E$5:$E$15,MATCH("SOJA"&amp;"|",KC_CURVAS!$K$5:$K$15,0)),""))</f>
        <v/>
      </c>
      <c r="O16" s="10">
        <f>IFERROR(INDEX(KC_CURVAS!$F$5:$F$15,MATCH("SOJA|"&amp;$G16,KC_CURVAS!$K$5:$K$15,0)),IFERROR(INDEX(KC_CURVAS!$F$5:$F$15,MATCH("SOJA"&amp;"|",KC_CURVAS!$K$5:$K$15,0)),""))</f>
        <v/>
      </c>
      <c r="P16" s="11">
        <f>IFERROR(INDEX(KC_CURVAS!$G$5:$G$15,MATCH("SOJA|"&amp;$G16,KC_CURVAS!$K$5:$K$15,0)),IFERROR(INDEX(KC_CURVAS!$G$5:$G$15,MATCH("SOJA"&amp;"|",KC_CURVAS!$K$5:$K$15,0)),""))</f>
        <v/>
      </c>
      <c r="Q16" s="11">
        <f>IFERROR(INDEX(KC_CURVAS!$H$5:$H$15,MATCH("SOJA|"&amp;$G16,KC_CURVAS!$K$5:$K$15,0)),IFERROR(INDEX(KC_CURVAS!$H$5:$H$15,MATCH("SOJA"&amp;"|",KC_CURVAS!$K$5:$K$15,0)),""))</f>
        <v/>
      </c>
      <c r="R16" s="11">
        <f>IFERROR(INDEX(KC_CURVAS!$I$5:$I$15,MATCH("SOJA|"&amp;$G16,KC_CURVAS!$K$5:$K$15,0)),IFERROR(INDEX(KC_CURVAS!$I$5:$I$15,MATCH("SOJA"&amp;"|",KC_CURVAS!$K$5:$K$15,0)),""))</f>
        <v/>
      </c>
      <c r="S16" s="12">
        <f>IF(OR($K16="",$L16=""),"PENDENTE",IF($K16&lt;=$L16,$P16,IF($K16&lt;=$L16+$M16,$P16+($Q16-$P16)*($K16-$L16)/$M16,IF($K16&lt;=$L16+$M16+$N16,$Q16,IF($K16&lt;=$L16+$M16+$N16+$O16,$Q16+($R16-$Q16)*($K16-($L16+$M16+$N16))/$O16,$R16)))))</f>
        <v/>
      </c>
      <c r="T16" s="13">
        <f>IF($I16="","",$I16)</f>
        <v/>
      </c>
      <c r="U16" s="14">
        <f>IF($T16="","",SUMIFS(ETO_DIARIO!$B$5:$B$404,ETO_DIARIO!$A$5:$A$404,"&gt;"&amp;$T16,ETO_DIARIO!$A$5:$A$404,"&lt;="&amp;DATA_REF))</f>
        <v/>
      </c>
      <c r="V16" s="14">
        <f>IF($T16="","",SUMIFS(ETO_DIARIO!$C$5:$C$404,ETO_DIARIO!$A$5:$A$404,"&gt;"&amp;$T16,ETO_DIARIO!$A$5:$A$404,"&lt;="&amp;DATA_REF))</f>
        <v/>
      </c>
      <c r="W16" s="14">
        <f>IF(OR($S16="",$S16="PENDENTE",$U16=""),"",$S16*$U16)</f>
        <v/>
      </c>
      <c r="X16" s="14">
        <f>IF($W16="","",MAX(0,$W16-N($V16)))</f>
        <v/>
      </c>
      <c r="Y16" s="14">
        <f>IF($X16="","",$X16/EF_APLIC)</f>
        <v/>
      </c>
      <c r="Z16" s="15" t="n">
        <v>150</v>
      </c>
      <c r="AA16" s="16">
        <f>IF(OR($Y16="",$Z16=""),"",$Y16*$Z16*10)</f>
        <v/>
      </c>
      <c r="AB16" s="17" t="n">
        <v>0.513</v>
      </c>
      <c r="AC16" s="16">
        <f>IF(OR($AA16="",$AB16=""),"",$AA16*$AB16)</f>
        <v/>
      </c>
      <c r="AD16" s="18">
        <f>IF($S16="PENDENTE","Definir classe/Kc",IF($Y16="","-",IF($Y16&gt;='PARAMETROS'!$B$7/EF_APLIC,"Irrigar",IF($Y16&gt;='PARAMETROS'!$B$7/EF_APLIC*FRAC_ACOMP,"Acompanhar","Aguardar"))))</f>
        <v/>
      </c>
      <c r="AE16" s="18">
        <f>IF(OR($Y16="",$Y16=0),"-",IF($Y16&gt;=2*'PARAMETROS'!$B$7/EF_APLIC,"Alta",IF($Y16&gt;='PARAMETROS'!$B$7/EF_APLIC,"Media","Baixa")))</f>
        <v/>
      </c>
    </row>
    <row r="17">
      <c r="A17" s="5" t="inlineStr">
        <is>
          <t>Pivô 20</t>
        </is>
      </c>
      <c r="B17" s="5" t="inlineStr">
        <is>
          <t>Karitel</t>
        </is>
      </c>
      <c r="C17" s="5" t="inlineStr">
        <is>
          <t>R3</t>
        </is>
      </c>
      <c r="D17" s="5" t="inlineStr">
        <is>
          <t>Modulo 1</t>
        </is>
      </c>
      <c r="E17" s="5" t="inlineStr">
        <is>
          <t>SOJA</t>
        </is>
      </c>
      <c r="F17" s="6" t="inlineStr">
        <is>
          <t>NEO 761 I2X</t>
        </is>
      </c>
      <c r="G17" s="7" t="inlineStr">
        <is>
          <t>PRECOCE</t>
        </is>
      </c>
      <c r="H17" s="5" t="inlineStr">
        <is>
          <t>ativo</t>
        </is>
      </c>
      <c r="I17" s="8" t="n">
        <v>46299</v>
      </c>
      <c r="J17" s="9">
        <f>IF($I17="","",DATA_REF-$I17)</f>
        <v/>
      </c>
      <c r="K17" s="9">
        <f>IF($J17="","",MAX(0,$J17-'PARAMETROS'!$B$11))</f>
        <v/>
      </c>
      <c r="L17" s="10">
        <f>IFERROR(INDEX(KC_CURVAS!$C$5:$C$15,MATCH("SOJA|"&amp;$G17,KC_CURVAS!$K$5:$K$15,0)),IFERROR(INDEX(KC_CURVAS!$C$5:$C$15,MATCH("SOJA"&amp;"|",KC_CURVAS!$K$5:$K$15,0)),""))</f>
        <v/>
      </c>
      <c r="M17" s="10">
        <f>IFERROR(INDEX(KC_CURVAS!$D$5:$D$15,MATCH("SOJA|"&amp;$G17,KC_CURVAS!$K$5:$K$15,0)),IFERROR(INDEX(KC_CURVAS!$D$5:$D$15,MATCH("SOJA"&amp;"|",KC_CURVAS!$K$5:$K$15,0)),""))</f>
        <v/>
      </c>
      <c r="N17" s="10">
        <f>IFERROR(INDEX(KC_CURVAS!$E$5:$E$15,MATCH("SOJA|"&amp;$G17,KC_CURVAS!$K$5:$K$15,0)),IFERROR(INDEX(KC_CURVAS!$E$5:$E$15,MATCH("SOJA"&amp;"|",KC_CURVAS!$K$5:$K$15,0)),""))</f>
        <v/>
      </c>
      <c r="O17" s="10">
        <f>IFERROR(INDEX(KC_CURVAS!$F$5:$F$15,MATCH("SOJA|"&amp;$G17,KC_CURVAS!$K$5:$K$15,0)),IFERROR(INDEX(KC_CURVAS!$F$5:$F$15,MATCH("SOJA"&amp;"|",KC_CURVAS!$K$5:$K$15,0)),""))</f>
        <v/>
      </c>
      <c r="P17" s="11">
        <f>IFERROR(INDEX(KC_CURVAS!$G$5:$G$15,MATCH("SOJA|"&amp;$G17,KC_CURVAS!$K$5:$K$15,0)),IFERROR(INDEX(KC_CURVAS!$G$5:$G$15,MATCH("SOJA"&amp;"|",KC_CURVAS!$K$5:$K$15,0)),""))</f>
        <v/>
      </c>
      <c r="Q17" s="11">
        <f>IFERROR(INDEX(KC_CURVAS!$H$5:$H$15,MATCH("SOJA|"&amp;$G17,KC_CURVAS!$K$5:$K$15,0)),IFERROR(INDEX(KC_CURVAS!$H$5:$H$15,MATCH("SOJA"&amp;"|",KC_CURVAS!$K$5:$K$15,0)),""))</f>
        <v/>
      </c>
      <c r="R17" s="11">
        <f>IFERROR(INDEX(KC_CURVAS!$I$5:$I$15,MATCH("SOJA|"&amp;$G17,KC_CURVAS!$K$5:$K$15,0)),IFERROR(INDEX(KC_CURVAS!$I$5:$I$15,MATCH("SOJA"&amp;"|",KC_CURVAS!$K$5:$K$15,0)),""))</f>
        <v/>
      </c>
      <c r="S17" s="12">
        <f>IF(OR($K17="",$L17=""),"PENDENTE",IF($K17&lt;=$L17,$P17,IF($K17&lt;=$L17+$M17,$P17+($Q17-$P17)*($K17-$L17)/$M17,IF($K17&lt;=$L17+$M17+$N17,$Q17,IF($K17&lt;=$L17+$M17+$N17+$O17,$Q17+($R17-$Q17)*($K17-($L17+$M17+$N17))/$O17,$R17)))))</f>
        <v/>
      </c>
      <c r="T17" s="13">
        <f>IF($I17="","",$I17)</f>
        <v/>
      </c>
      <c r="U17" s="14">
        <f>IF($T17="","",SUMIFS(ETO_DIARIO!$B$5:$B$404,ETO_DIARIO!$A$5:$A$404,"&gt;"&amp;$T17,ETO_DIARIO!$A$5:$A$404,"&lt;="&amp;DATA_REF))</f>
        <v/>
      </c>
      <c r="V17" s="14">
        <f>IF($T17="","",SUMIFS(ETO_DIARIO!$C$5:$C$404,ETO_DIARIO!$A$5:$A$404,"&gt;"&amp;$T17,ETO_DIARIO!$A$5:$A$404,"&lt;="&amp;DATA_REF))</f>
        <v/>
      </c>
      <c r="W17" s="14">
        <f>IF(OR($S17="",$S17="PENDENTE",$U17=""),"",$S17*$U17)</f>
        <v/>
      </c>
      <c r="X17" s="14">
        <f>IF($W17="","",MAX(0,$W17-N($V17)))</f>
        <v/>
      </c>
      <c r="Y17" s="14">
        <f>IF($X17="","",$X17/EF_APLIC)</f>
        <v/>
      </c>
      <c r="Z17" s="15" t="n">
        <v>150</v>
      </c>
      <c r="AA17" s="16">
        <f>IF(OR($Y17="",$Z17=""),"",$Y17*$Z17*10)</f>
        <v/>
      </c>
      <c r="AB17" s="17" t="n">
        <v>0.409</v>
      </c>
      <c r="AC17" s="16">
        <f>IF(OR($AA17="",$AB17=""),"",$AA17*$AB17)</f>
        <v/>
      </c>
      <c r="AD17" s="18">
        <f>IF($S17="PENDENTE","Definir classe/Kc",IF($Y17="","-",IF($Y17&gt;='PARAMETROS'!$B$7/EF_APLIC,"Irrigar",IF($Y17&gt;='PARAMETROS'!$B$7/EF_APLIC*FRAC_ACOMP,"Acompanhar","Aguardar"))))</f>
        <v/>
      </c>
      <c r="AE17" s="18">
        <f>IF(OR($Y17="",$Y17=0),"-",IF($Y17&gt;=2*'PARAMETROS'!$B$7/EF_APLIC,"Alta",IF($Y17&gt;='PARAMETROS'!$B$7/EF_APLIC,"Media","Baixa")))</f>
        <v/>
      </c>
    </row>
    <row r="18">
      <c r="A18" s="5" t="inlineStr">
        <is>
          <t>Pivô 21</t>
        </is>
      </c>
      <c r="B18" s="5" t="inlineStr">
        <is>
          <t>Karitel</t>
        </is>
      </c>
      <c r="C18" s="5" t="inlineStr">
        <is>
          <t>R4</t>
        </is>
      </c>
      <c r="D18" s="5" t="inlineStr">
        <is>
          <t>Modulo 1</t>
        </is>
      </c>
      <c r="E18" s="5" t="inlineStr">
        <is>
          <t>SOJA</t>
        </is>
      </c>
      <c r="F18" s="6" t="inlineStr">
        <is>
          <t>NEO 761 I2X</t>
        </is>
      </c>
      <c r="G18" s="7" t="inlineStr">
        <is>
          <t>PRECOCE</t>
        </is>
      </c>
      <c r="H18" s="5" t="inlineStr">
        <is>
          <t>ativo</t>
        </is>
      </c>
      <c r="I18" s="8" t="n">
        <v>46298</v>
      </c>
      <c r="J18" s="9">
        <f>IF($I18="","",DATA_REF-$I18)</f>
        <v/>
      </c>
      <c r="K18" s="9">
        <f>IF($J18="","",MAX(0,$J18-'PARAMETROS'!$B$11))</f>
        <v/>
      </c>
      <c r="L18" s="10">
        <f>IFERROR(INDEX(KC_CURVAS!$C$5:$C$15,MATCH("SOJA|"&amp;$G18,KC_CURVAS!$K$5:$K$15,0)),IFERROR(INDEX(KC_CURVAS!$C$5:$C$15,MATCH("SOJA"&amp;"|",KC_CURVAS!$K$5:$K$15,0)),""))</f>
        <v/>
      </c>
      <c r="M18" s="10">
        <f>IFERROR(INDEX(KC_CURVAS!$D$5:$D$15,MATCH("SOJA|"&amp;$G18,KC_CURVAS!$K$5:$K$15,0)),IFERROR(INDEX(KC_CURVAS!$D$5:$D$15,MATCH("SOJA"&amp;"|",KC_CURVAS!$K$5:$K$15,0)),""))</f>
        <v/>
      </c>
      <c r="N18" s="10">
        <f>IFERROR(INDEX(KC_CURVAS!$E$5:$E$15,MATCH("SOJA|"&amp;$G18,KC_CURVAS!$K$5:$K$15,0)),IFERROR(INDEX(KC_CURVAS!$E$5:$E$15,MATCH("SOJA"&amp;"|",KC_CURVAS!$K$5:$K$15,0)),""))</f>
        <v/>
      </c>
      <c r="O18" s="10">
        <f>IFERROR(INDEX(KC_CURVAS!$F$5:$F$15,MATCH("SOJA|"&amp;$G18,KC_CURVAS!$K$5:$K$15,0)),IFERROR(INDEX(KC_CURVAS!$F$5:$F$15,MATCH("SOJA"&amp;"|",KC_CURVAS!$K$5:$K$15,0)),""))</f>
        <v/>
      </c>
      <c r="P18" s="11">
        <f>IFERROR(INDEX(KC_CURVAS!$G$5:$G$15,MATCH("SOJA|"&amp;$G18,KC_CURVAS!$K$5:$K$15,0)),IFERROR(INDEX(KC_CURVAS!$G$5:$G$15,MATCH("SOJA"&amp;"|",KC_CURVAS!$K$5:$K$15,0)),""))</f>
        <v/>
      </c>
      <c r="Q18" s="11">
        <f>IFERROR(INDEX(KC_CURVAS!$H$5:$H$15,MATCH("SOJA|"&amp;$G18,KC_CURVAS!$K$5:$K$15,0)),IFERROR(INDEX(KC_CURVAS!$H$5:$H$15,MATCH("SOJA"&amp;"|",KC_CURVAS!$K$5:$K$15,0)),""))</f>
        <v/>
      </c>
      <c r="R18" s="11">
        <f>IFERROR(INDEX(KC_CURVAS!$I$5:$I$15,MATCH("SOJA|"&amp;$G18,KC_CURVAS!$K$5:$K$15,0)),IFERROR(INDEX(KC_CURVAS!$I$5:$I$15,MATCH("SOJA"&amp;"|",KC_CURVAS!$K$5:$K$15,0)),""))</f>
        <v/>
      </c>
      <c r="S18" s="12">
        <f>IF(OR($K18="",$L18=""),"PENDENTE",IF($K18&lt;=$L18,$P18,IF($K18&lt;=$L18+$M18,$P18+($Q18-$P18)*($K18-$L18)/$M18,IF($K18&lt;=$L18+$M18+$N18,$Q18,IF($K18&lt;=$L18+$M18+$N18+$O18,$Q18+($R18-$Q18)*($K18-($L18+$M18+$N18))/$O18,$R18)))))</f>
        <v/>
      </c>
      <c r="T18" s="13">
        <f>IF($I18="","",$I18)</f>
        <v/>
      </c>
      <c r="U18" s="14">
        <f>IF($T18="","",SUMIFS(ETO_DIARIO!$B$5:$B$404,ETO_DIARIO!$A$5:$A$404,"&gt;"&amp;$T18,ETO_DIARIO!$A$5:$A$404,"&lt;="&amp;DATA_REF))</f>
        <v/>
      </c>
      <c r="V18" s="14">
        <f>IF($T18="","",SUMIFS(ETO_DIARIO!$C$5:$C$404,ETO_DIARIO!$A$5:$A$404,"&gt;"&amp;$T18,ETO_DIARIO!$A$5:$A$404,"&lt;="&amp;DATA_REF))</f>
        <v/>
      </c>
      <c r="W18" s="14">
        <f>IF(OR($S18="",$S18="PENDENTE",$U18=""),"",$S18*$U18)</f>
        <v/>
      </c>
      <c r="X18" s="14">
        <f>IF($W18="","",MAX(0,$W18-N($V18)))</f>
        <v/>
      </c>
      <c r="Y18" s="14">
        <f>IF($X18="","",$X18/EF_APLIC)</f>
        <v/>
      </c>
      <c r="Z18" s="15" t="n">
        <v>150</v>
      </c>
      <c r="AA18" s="16">
        <f>IF(OR($Y18="",$Z18=""),"",$Y18*$Z18*10)</f>
        <v/>
      </c>
      <c r="AB18" s="17" t="n">
        <v>0.513</v>
      </c>
      <c r="AC18" s="16">
        <f>IF(OR($AA18="",$AB18=""),"",$AA18*$AB18)</f>
        <v/>
      </c>
      <c r="AD18" s="18">
        <f>IF($S18="PENDENTE","Definir classe/Kc",IF($Y18="","-",IF($Y18&gt;='PARAMETROS'!$B$7/EF_APLIC,"Irrigar",IF($Y18&gt;='PARAMETROS'!$B$7/EF_APLIC*FRAC_ACOMP,"Acompanhar","Aguardar"))))</f>
        <v/>
      </c>
      <c r="AE18" s="18">
        <f>IF(OR($Y18="",$Y18=0),"-",IF($Y18&gt;=2*'PARAMETROS'!$B$7/EF_APLIC,"Alta",IF($Y18&gt;='PARAMETROS'!$B$7/EF_APLIC,"Media","Baixa")))</f>
        <v/>
      </c>
    </row>
    <row r="19">
      <c r="A19" s="5" t="inlineStr">
        <is>
          <t>Pivô 22</t>
        </is>
      </c>
      <c r="B19" s="5" t="inlineStr">
        <is>
          <t>Karitel</t>
        </is>
      </c>
      <c r="C19" s="5" t="inlineStr">
        <is>
          <t>R4</t>
        </is>
      </c>
      <c r="D19" s="5" t="inlineStr">
        <is>
          <t>Modulo 1</t>
        </is>
      </c>
      <c r="E19" s="5" t="inlineStr">
        <is>
          <t>SOJA</t>
        </is>
      </c>
      <c r="F19" s="6" t="inlineStr">
        <is>
          <t>NEO 761 I2X</t>
        </is>
      </c>
      <c r="G19" s="7" t="inlineStr">
        <is>
          <t>PRECOCE</t>
        </is>
      </c>
      <c r="H19" s="5" t="inlineStr">
        <is>
          <t>ativo</t>
        </is>
      </c>
      <c r="I19" s="8" t="n">
        <v>46299</v>
      </c>
      <c r="J19" s="9">
        <f>IF($I19="","",DATA_REF-$I19)</f>
        <v/>
      </c>
      <c r="K19" s="9">
        <f>IF($J19="","",MAX(0,$J19-'PARAMETROS'!$B$11))</f>
        <v/>
      </c>
      <c r="L19" s="10">
        <f>IFERROR(INDEX(KC_CURVAS!$C$5:$C$15,MATCH("SOJA|"&amp;$G19,KC_CURVAS!$K$5:$K$15,0)),IFERROR(INDEX(KC_CURVAS!$C$5:$C$15,MATCH("SOJA"&amp;"|",KC_CURVAS!$K$5:$K$15,0)),""))</f>
        <v/>
      </c>
      <c r="M19" s="10">
        <f>IFERROR(INDEX(KC_CURVAS!$D$5:$D$15,MATCH("SOJA|"&amp;$G19,KC_CURVAS!$K$5:$K$15,0)),IFERROR(INDEX(KC_CURVAS!$D$5:$D$15,MATCH("SOJA"&amp;"|",KC_CURVAS!$K$5:$K$15,0)),""))</f>
        <v/>
      </c>
      <c r="N19" s="10">
        <f>IFERROR(INDEX(KC_CURVAS!$E$5:$E$15,MATCH("SOJA|"&amp;$G19,KC_CURVAS!$K$5:$K$15,0)),IFERROR(INDEX(KC_CURVAS!$E$5:$E$15,MATCH("SOJA"&amp;"|",KC_CURVAS!$K$5:$K$15,0)),""))</f>
        <v/>
      </c>
      <c r="O19" s="10">
        <f>IFERROR(INDEX(KC_CURVAS!$F$5:$F$15,MATCH("SOJA|"&amp;$G19,KC_CURVAS!$K$5:$K$15,0)),IFERROR(INDEX(KC_CURVAS!$F$5:$F$15,MATCH("SOJA"&amp;"|",KC_CURVAS!$K$5:$K$15,0)),""))</f>
        <v/>
      </c>
      <c r="P19" s="11">
        <f>IFERROR(INDEX(KC_CURVAS!$G$5:$G$15,MATCH("SOJA|"&amp;$G19,KC_CURVAS!$K$5:$K$15,0)),IFERROR(INDEX(KC_CURVAS!$G$5:$G$15,MATCH("SOJA"&amp;"|",KC_CURVAS!$K$5:$K$15,0)),""))</f>
        <v/>
      </c>
      <c r="Q19" s="11">
        <f>IFERROR(INDEX(KC_CURVAS!$H$5:$H$15,MATCH("SOJA|"&amp;$G19,KC_CURVAS!$K$5:$K$15,0)),IFERROR(INDEX(KC_CURVAS!$H$5:$H$15,MATCH("SOJA"&amp;"|",KC_CURVAS!$K$5:$K$15,0)),""))</f>
        <v/>
      </c>
      <c r="R19" s="11">
        <f>IFERROR(INDEX(KC_CURVAS!$I$5:$I$15,MATCH("SOJA|"&amp;$G19,KC_CURVAS!$K$5:$K$15,0)),IFERROR(INDEX(KC_CURVAS!$I$5:$I$15,MATCH("SOJA"&amp;"|",KC_CURVAS!$K$5:$K$15,0)),""))</f>
        <v/>
      </c>
      <c r="S19" s="12">
        <f>IF(OR($K19="",$L19=""),"PENDENTE",IF($K19&lt;=$L19,$P19,IF($K19&lt;=$L19+$M19,$P19+($Q19-$P19)*($K19-$L19)/$M19,IF($K19&lt;=$L19+$M19+$N19,$Q19,IF($K19&lt;=$L19+$M19+$N19+$O19,$Q19+($R19-$Q19)*($K19-($L19+$M19+$N19))/$O19,$R19)))))</f>
        <v/>
      </c>
      <c r="T19" s="13">
        <f>IF($I19="","",$I19)</f>
        <v/>
      </c>
      <c r="U19" s="14">
        <f>IF($T19="","",SUMIFS(ETO_DIARIO!$B$5:$B$404,ETO_DIARIO!$A$5:$A$404,"&gt;"&amp;$T19,ETO_DIARIO!$A$5:$A$404,"&lt;="&amp;DATA_REF))</f>
        <v/>
      </c>
      <c r="V19" s="14">
        <f>IF($T19="","",SUMIFS(ETO_DIARIO!$C$5:$C$404,ETO_DIARIO!$A$5:$A$404,"&gt;"&amp;$T19,ETO_DIARIO!$A$5:$A$404,"&lt;="&amp;DATA_REF))</f>
        <v/>
      </c>
      <c r="W19" s="14">
        <f>IF(OR($S19="",$S19="PENDENTE",$U19=""),"",$S19*$U19)</f>
        <v/>
      </c>
      <c r="X19" s="14">
        <f>IF($W19="","",MAX(0,$W19-N($V19)))</f>
        <v/>
      </c>
      <c r="Y19" s="14">
        <f>IF($X19="","",$X19/EF_APLIC)</f>
        <v/>
      </c>
      <c r="Z19" s="15" t="n">
        <v>150</v>
      </c>
      <c r="AA19" s="16">
        <f>IF(OR($Y19="",$Z19=""),"",$Y19*$Z19*10)</f>
        <v/>
      </c>
      <c r="AB19" s="17" t="n">
        <v>0.513</v>
      </c>
      <c r="AC19" s="16">
        <f>IF(OR($AA19="",$AB19=""),"",$AA19*$AB19)</f>
        <v/>
      </c>
      <c r="AD19" s="18">
        <f>IF($S19="PENDENTE","Definir classe/Kc",IF($Y19="","-",IF($Y19&gt;='PARAMETROS'!$B$7/EF_APLIC,"Irrigar",IF($Y19&gt;='PARAMETROS'!$B$7/EF_APLIC*FRAC_ACOMP,"Acompanhar","Aguardar"))))</f>
        <v/>
      </c>
      <c r="AE19" s="18">
        <f>IF(OR($Y19="",$Y19=0),"-",IF($Y19&gt;=2*'PARAMETROS'!$B$7/EF_APLIC,"Alta",IF($Y19&gt;='PARAMETROS'!$B$7/EF_APLIC,"Media","Baixa")))</f>
        <v/>
      </c>
    </row>
    <row r="20">
      <c r="A20" s="5" t="inlineStr">
        <is>
          <t>Pivô 24</t>
        </is>
      </c>
      <c r="B20" s="5" t="inlineStr">
        <is>
          <t>Karitel</t>
        </is>
      </c>
      <c r="C20" s="5" t="inlineStr">
        <is>
          <t>R6</t>
        </is>
      </c>
      <c r="D20" s="5" t="inlineStr">
        <is>
          <t>Modulo 1</t>
        </is>
      </c>
      <c r="E20" s="5" t="inlineStr">
        <is>
          <t>SOJA</t>
        </is>
      </c>
      <c r="F20" s="6" t="inlineStr">
        <is>
          <t>BMX Olimpo IPRO</t>
        </is>
      </c>
      <c r="G20" s="7" t="inlineStr">
        <is>
          <t>MÉDIA</t>
        </is>
      </c>
      <c r="H20" s="5" t="inlineStr">
        <is>
          <t>ativo</t>
        </is>
      </c>
      <c r="I20" s="8" t="n">
        <v>46300</v>
      </c>
      <c r="J20" s="9">
        <f>IF($I20="","",DATA_REF-$I20)</f>
        <v/>
      </c>
      <c r="K20" s="9">
        <f>IF($J20="","",MAX(0,$J20-'PARAMETROS'!$B$11))</f>
        <v/>
      </c>
      <c r="L20" s="10">
        <f>IFERROR(INDEX(KC_CURVAS!$C$5:$C$15,MATCH("SOJA|"&amp;$G20,KC_CURVAS!$K$5:$K$15,0)),IFERROR(INDEX(KC_CURVAS!$C$5:$C$15,MATCH("SOJA"&amp;"|",KC_CURVAS!$K$5:$K$15,0)),""))</f>
        <v/>
      </c>
      <c r="M20" s="10">
        <f>IFERROR(INDEX(KC_CURVAS!$D$5:$D$15,MATCH("SOJA|"&amp;$G20,KC_CURVAS!$K$5:$K$15,0)),IFERROR(INDEX(KC_CURVAS!$D$5:$D$15,MATCH("SOJA"&amp;"|",KC_CURVAS!$K$5:$K$15,0)),""))</f>
        <v/>
      </c>
      <c r="N20" s="10">
        <f>IFERROR(INDEX(KC_CURVAS!$E$5:$E$15,MATCH("SOJA|"&amp;$G20,KC_CURVAS!$K$5:$K$15,0)),IFERROR(INDEX(KC_CURVAS!$E$5:$E$15,MATCH("SOJA"&amp;"|",KC_CURVAS!$K$5:$K$15,0)),""))</f>
        <v/>
      </c>
      <c r="O20" s="10">
        <f>IFERROR(INDEX(KC_CURVAS!$F$5:$F$15,MATCH("SOJA|"&amp;$G20,KC_CURVAS!$K$5:$K$15,0)),IFERROR(INDEX(KC_CURVAS!$F$5:$F$15,MATCH("SOJA"&amp;"|",KC_CURVAS!$K$5:$K$15,0)),""))</f>
        <v/>
      </c>
      <c r="P20" s="11">
        <f>IFERROR(INDEX(KC_CURVAS!$G$5:$G$15,MATCH("SOJA|"&amp;$G20,KC_CURVAS!$K$5:$K$15,0)),IFERROR(INDEX(KC_CURVAS!$G$5:$G$15,MATCH("SOJA"&amp;"|",KC_CURVAS!$K$5:$K$15,0)),""))</f>
        <v/>
      </c>
      <c r="Q20" s="11">
        <f>IFERROR(INDEX(KC_CURVAS!$H$5:$H$15,MATCH("SOJA|"&amp;$G20,KC_CURVAS!$K$5:$K$15,0)),IFERROR(INDEX(KC_CURVAS!$H$5:$H$15,MATCH("SOJA"&amp;"|",KC_CURVAS!$K$5:$K$15,0)),""))</f>
        <v/>
      </c>
      <c r="R20" s="11">
        <f>IFERROR(INDEX(KC_CURVAS!$I$5:$I$15,MATCH("SOJA|"&amp;$G20,KC_CURVAS!$K$5:$K$15,0)),IFERROR(INDEX(KC_CURVAS!$I$5:$I$15,MATCH("SOJA"&amp;"|",KC_CURVAS!$K$5:$K$15,0)),""))</f>
        <v/>
      </c>
      <c r="S20" s="12">
        <f>IF(OR($K20="",$L20=""),"PENDENTE",IF($K20&lt;=$L20,$P20,IF($K20&lt;=$L20+$M20,$P20+($Q20-$P20)*($K20-$L20)/$M20,IF($K20&lt;=$L20+$M20+$N20,$Q20,IF($K20&lt;=$L20+$M20+$N20+$O20,$Q20+($R20-$Q20)*($K20-($L20+$M20+$N20))/$O20,$R20)))))</f>
        <v/>
      </c>
      <c r="T20" s="13">
        <f>IF($I20="","",$I20)</f>
        <v/>
      </c>
      <c r="U20" s="14">
        <f>IF($T20="","",SUMIFS(ETO_DIARIO!$B$5:$B$404,ETO_DIARIO!$A$5:$A$404,"&gt;"&amp;$T20,ETO_DIARIO!$A$5:$A$404,"&lt;="&amp;DATA_REF))</f>
        <v/>
      </c>
      <c r="V20" s="14">
        <f>IF($T20="","",SUMIFS(ETO_DIARIO!$C$5:$C$404,ETO_DIARIO!$A$5:$A$404,"&gt;"&amp;$T20,ETO_DIARIO!$A$5:$A$404,"&lt;="&amp;DATA_REF))</f>
        <v/>
      </c>
      <c r="W20" s="14">
        <f>IF(OR($S20="",$S20="PENDENTE",$U20=""),"",$S20*$U20)</f>
        <v/>
      </c>
      <c r="X20" s="14">
        <f>IF($W20="","",MAX(0,$W20-N($V20)))</f>
        <v/>
      </c>
      <c r="Y20" s="14">
        <f>IF($X20="","",$X20/EF_APLIC)</f>
        <v/>
      </c>
      <c r="Z20" s="15" t="n">
        <v>150</v>
      </c>
      <c r="AA20" s="16">
        <f>IF(OR($Y20="",$Z20=""),"",$Y20*$Z20*10)</f>
        <v/>
      </c>
      <c r="AB20" s="17" t="n">
        <v>0.5659999999999999</v>
      </c>
      <c r="AC20" s="16">
        <f>IF(OR($AA20="",$AB20=""),"",$AA20*$AB20)</f>
        <v/>
      </c>
      <c r="AD20" s="18">
        <f>IF($S20="PENDENTE","Definir classe/Kc",IF($Y20="","-",IF($Y20&gt;='PARAMETROS'!$B$7/EF_APLIC,"Irrigar",IF($Y20&gt;='PARAMETROS'!$B$7/EF_APLIC*FRAC_ACOMP,"Acompanhar","Aguardar"))))</f>
        <v/>
      </c>
      <c r="AE20" s="18">
        <f>IF(OR($Y20="",$Y20=0),"-",IF($Y20&gt;=2*'PARAMETROS'!$B$7/EF_APLIC,"Alta",IF($Y20&gt;='PARAMETROS'!$B$7/EF_APLIC,"Media","Baixa")))</f>
        <v/>
      </c>
    </row>
    <row r="21">
      <c r="A21" s="5" t="inlineStr">
        <is>
          <t>Pivô 26</t>
        </is>
      </c>
      <c r="B21" s="5" t="inlineStr">
        <is>
          <t>Karitel</t>
        </is>
      </c>
      <c r="C21" s="5" t="inlineStr">
        <is>
          <t>R7</t>
        </is>
      </c>
      <c r="D21" s="5" t="inlineStr">
        <is>
          <t>Modulo 1</t>
        </is>
      </c>
      <c r="E21" s="5" t="inlineStr">
        <is>
          <t>SOJA</t>
        </is>
      </c>
      <c r="F21" s="6" t="inlineStr">
        <is>
          <t>ST 76KA72</t>
        </is>
      </c>
      <c r="G21" s="7" t="inlineStr">
        <is>
          <t>PRECOCE</t>
        </is>
      </c>
      <c r="H21" s="5" t="inlineStr">
        <is>
          <t>proximo</t>
        </is>
      </c>
      <c r="I21" s="8" t="n">
        <v>46302</v>
      </c>
      <c r="J21" s="9">
        <f>IF($I21="","",DATA_REF-$I21)</f>
        <v/>
      </c>
      <c r="K21" s="9">
        <f>IF($J21="","",MAX(0,$J21-'PARAMETROS'!$B$11))</f>
        <v/>
      </c>
      <c r="L21" s="10">
        <f>IFERROR(INDEX(KC_CURVAS!$C$5:$C$15,MATCH("SOJA|"&amp;$G21,KC_CURVAS!$K$5:$K$15,0)),IFERROR(INDEX(KC_CURVAS!$C$5:$C$15,MATCH("SOJA"&amp;"|",KC_CURVAS!$K$5:$K$15,0)),""))</f>
        <v/>
      </c>
      <c r="M21" s="10">
        <f>IFERROR(INDEX(KC_CURVAS!$D$5:$D$15,MATCH("SOJA|"&amp;$G21,KC_CURVAS!$K$5:$K$15,0)),IFERROR(INDEX(KC_CURVAS!$D$5:$D$15,MATCH("SOJA"&amp;"|",KC_CURVAS!$K$5:$K$15,0)),""))</f>
        <v/>
      </c>
      <c r="N21" s="10">
        <f>IFERROR(INDEX(KC_CURVAS!$E$5:$E$15,MATCH("SOJA|"&amp;$G21,KC_CURVAS!$K$5:$K$15,0)),IFERROR(INDEX(KC_CURVAS!$E$5:$E$15,MATCH("SOJA"&amp;"|",KC_CURVAS!$K$5:$K$15,0)),""))</f>
        <v/>
      </c>
      <c r="O21" s="10">
        <f>IFERROR(INDEX(KC_CURVAS!$F$5:$F$15,MATCH("SOJA|"&amp;$G21,KC_CURVAS!$K$5:$K$15,0)),IFERROR(INDEX(KC_CURVAS!$F$5:$F$15,MATCH("SOJA"&amp;"|",KC_CURVAS!$K$5:$K$15,0)),""))</f>
        <v/>
      </c>
      <c r="P21" s="11">
        <f>IFERROR(INDEX(KC_CURVAS!$G$5:$G$15,MATCH("SOJA|"&amp;$G21,KC_CURVAS!$K$5:$K$15,0)),IFERROR(INDEX(KC_CURVAS!$G$5:$G$15,MATCH("SOJA"&amp;"|",KC_CURVAS!$K$5:$K$15,0)),""))</f>
        <v/>
      </c>
      <c r="Q21" s="11">
        <f>IFERROR(INDEX(KC_CURVAS!$H$5:$H$15,MATCH("SOJA|"&amp;$G21,KC_CURVAS!$K$5:$K$15,0)),IFERROR(INDEX(KC_CURVAS!$H$5:$H$15,MATCH("SOJA"&amp;"|",KC_CURVAS!$K$5:$K$15,0)),""))</f>
        <v/>
      </c>
      <c r="R21" s="11">
        <f>IFERROR(INDEX(KC_CURVAS!$I$5:$I$15,MATCH("SOJA|"&amp;$G21,KC_CURVAS!$K$5:$K$15,0)),IFERROR(INDEX(KC_CURVAS!$I$5:$I$15,MATCH("SOJA"&amp;"|",KC_CURVAS!$K$5:$K$15,0)),""))</f>
        <v/>
      </c>
      <c r="S21" s="12">
        <f>IF(OR($K21="",$L21=""),"PENDENTE",IF($K21&lt;=$L21,$P21,IF($K21&lt;=$L21+$M21,$P21+($Q21-$P21)*($K21-$L21)/$M21,IF($K21&lt;=$L21+$M21+$N21,$Q21,IF($K21&lt;=$L21+$M21+$N21+$O21,$Q21+($R21-$Q21)*($K21-($L21+$M21+$N21))/$O21,$R21)))))</f>
        <v/>
      </c>
      <c r="T21" s="13">
        <f>IF($I21="","",$I21)</f>
        <v/>
      </c>
      <c r="U21" s="14">
        <f>IF($T21="","",SUMIFS(ETO_DIARIO!$B$5:$B$404,ETO_DIARIO!$A$5:$A$404,"&gt;"&amp;$T21,ETO_DIARIO!$A$5:$A$404,"&lt;="&amp;DATA_REF))</f>
        <v/>
      </c>
      <c r="V21" s="14">
        <f>IF($T21="","",SUMIFS(ETO_DIARIO!$C$5:$C$404,ETO_DIARIO!$A$5:$A$404,"&gt;"&amp;$T21,ETO_DIARIO!$A$5:$A$404,"&lt;="&amp;DATA_REF))</f>
        <v/>
      </c>
      <c r="W21" s="14">
        <f>IF(OR($S21="",$S21="PENDENTE",$U21=""),"",$S21*$U21)</f>
        <v/>
      </c>
      <c r="X21" s="14">
        <f>IF($W21="","",MAX(0,$W21-N($V21)))</f>
        <v/>
      </c>
      <c r="Y21" s="14">
        <f>IF($X21="","",$X21/EF_APLIC)</f>
        <v/>
      </c>
      <c r="Z21" s="15" t="n">
        <v>150</v>
      </c>
      <c r="AA21" s="16">
        <f>IF(OR($Y21="",$Z21=""),"",$Y21*$Z21*10)</f>
        <v/>
      </c>
      <c r="AB21" s="17" t="n">
        <v>0.591</v>
      </c>
      <c r="AC21" s="16">
        <f>IF(OR($AA21="",$AB21=""),"",$AA21*$AB21)</f>
        <v/>
      </c>
      <c r="AD21" s="18">
        <f>IF($S21="PENDENTE","Definir classe/Kc",IF($Y21="","-",IF($Y21&gt;='PARAMETROS'!$B$7/EF_APLIC,"Irrigar",IF($Y21&gt;='PARAMETROS'!$B$7/EF_APLIC*FRAC_ACOMP,"Acompanhar","Aguardar"))))</f>
        <v/>
      </c>
      <c r="AE21" s="18">
        <f>IF(OR($Y21="",$Y21=0),"-",IF($Y21&gt;=2*'PARAMETROS'!$B$7/EF_APLIC,"Alta",IF($Y21&gt;='PARAMETROS'!$B$7/EF_APLIC,"Media","Baixa")))</f>
        <v/>
      </c>
    </row>
    <row r="22">
      <c r="A22" s="5" t="inlineStr">
        <is>
          <t>Pivô 33</t>
        </is>
      </c>
      <c r="B22" s="5" t="inlineStr">
        <is>
          <t>Karitel</t>
        </is>
      </c>
      <c r="C22" s="5" t="inlineStr">
        <is>
          <t>C3Z3/R7</t>
        </is>
      </c>
      <c r="D22" s="5" t="inlineStr">
        <is>
          <t>Modulo 1</t>
        </is>
      </c>
      <c r="E22" s="5" t="inlineStr">
        <is>
          <t>SOJA</t>
        </is>
      </c>
      <c r="F22" s="6" t="inlineStr">
        <is>
          <t>ATAQUE I2X</t>
        </is>
      </c>
      <c r="G22" s="7" t="inlineStr">
        <is>
          <t>TARDIA</t>
        </is>
      </c>
      <c r="H22" s="5" t="inlineStr">
        <is>
          <t>proximo</t>
        </is>
      </c>
      <c r="I22" s="8" t="n">
        <v>46302</v>
      </c>
      <c r="J22" s="9">
        <f>IF($I22="","",DATA_REF-$I22)</f>
        <v/>
      </c>
      <c r="K22" s="9">
        <f>IF($J22="","",MAX(0,$J22-'PARAMETROS'!$B$11))</f>
        <v/>
      </c>
      <c r="L22" s="10">
        <f>IFERROR(INDEX(KC_CURVAS!$C$5:$C$15,MATCH("SOJA|"&amp;$G22,KC_CURVAS!$K$5:$K$15,0)),IFERROR(INDEX(KC_CURVAS!$C$5:$C$15,MATCH("SOJA"&amp;"|",KC_CURVAS!$K$5:$K$15,0)),""))</f>
        <v/>
      </c>
      <c r="M22" s="10">
        <f>IFERROR(INDEX(KC_CURVAS!$D$5:$D$15,MATCH("SOJA|"&amp;$G22,KC_CURVAS!$K$5:$K$15,0)),IFERROR(INDEX(KC_CURVAS!$D$5:$D$15,MATCH("SOJA"&amp;"|",KC_CURVAS!$K$5:$K$15,0)),""))</f>
        <v/>
      </c>
      <c r="N22" s="10">
        <f>IFERROR(INDEX(KC_CURVAS!$E$5:$E$15,MATCH("SOJA|"&amp;$G22,KC_CURVAS!$K$5:$K$15,0)),IFERROR(INDEX(KC_CURVAS!$E$5:$E$15,MATCH("SOJA"&amp;"|",KC_CURVAS!$K$5:$K$15,0)),""))</f>
        <v/>
      </c>
      <c r="O22" s="10">
        <f>IFERROR(INDEX(KC_CURVAS!$F$5:$F$15,MATCH("SOJA|"&amp;$G22,KC_CURVAS!$K$5:$K$15,0)),IFERROR(INDEX(KC_CURVAS!$F$5:$F$15,MATCH("SOJA"&amp;"|",KC_CURVAS!$K$5:$K$15,0)),""))</f>
        <v/>
      </c>
      <c r="P22" s="11">
        <f>IFERROR(INDEX(KC_CURVAS!$G$5:$G$15,MATCH("SOJA|"&amp;$G22,KC_CURVAS!$K$5:$K$15,0)),IFERROR(INDEX(KC_CURVAS!$G$5:$G$15,MATCH("SOJA"&amp;"|",KC_CURVAS!$K$5:$K$15,0)),""))</f>
        <v/>
      </c>
      <c r="Q22" s="11">
        <f>IFERROR(INDEX(KC_CURVAS!$H$5:$H$15,MATCH("SOJA|"&amp;$G22,KC_CURVAS!$K$5:$K$15,0)),IFERROR(INDEX(KC_CURVAS!$H$5:$H$15,MATCH("SOJA"&amp;"|",KC_CURVAS!$K$5:$K$15,0)),""))</f>
        <v/>
      </c>
      <c r="R22" s="11">
        <f>IFERROR(INDEX(KC_CURVAS!$I$5:$I$15,MATCH("SOJA|"&amp;$G22,KC_CURVAS!$K$5:$K$15,0)),IFERROR(INDEX(KC_CURVAS!$I$5:$I$15,MATCH("SOJA"&amp;"|",KC_CURVAS!$K$5:$K$15,0)),""))</f>
        <v/>
      </c>
      <c r="S22" s="12">
        <f>IF(OR($K22="",$L22=""),"PENDENTE",IF($K22&lt;=$L22,$P22,IF($K22&lt;=$L22+$M22,$P22+($Q22-$P22)*($K22-$L22)/$M22,IF($K22&lt;=$L22+$M22+$N22,$Q22,IF($K22&lt;=$L22+$M22+$N22+$O22,$Q22+($R22-$Q22)*($K22-($L22+$M22+$N22))/$O22,$R22)))))</f>
        <v/>
      </c>
      <c r="T22" s="13">
        <f>IF($I22="","",$I22)</f>
        <v/>
      </c>
      <c r="U22" s="14">
        <f>IF($T22="","",SUMIFS(ETO_DIARIO!$B$5:$B$404,ETO_DIARIO!$A$5:$A$404,"&gt;"&amp;$T22,ETO_DIARIO!$A$5:$A$404,"&lt;="&amp;DATA_REF))</f>
        <v/>
      </c>
      <c r="V22" s="14">
        <f>IF($T22="","",SUMIFS(ETO_DIARIO!$C$5:$C$404,ETO_DIARIO!$A$5:$A$404,"&gt;"&amp;$T22,ETO_DIARIO!$A$5:$A$404,"&lt;="&amp;DATA_REF))</f>
        <v/>
      </c>
      <c r="W22" s="14">
        <f>IF(OR($S22="",$S22="PENDENTE",$U22=""),"",$S22*$U22)</f>
        <v/>
      </c>
      <c r="X22" s="14">
        <f>IF($W22="","",MAX(0,$W22-N($V22)))</f>
        <v/>
      </c>
      <c r="Y22" s="14">
        <f>IF($X22="","",$X22/EF_APLIC)</f>
        <v/>
      </c>
      <c r="Z22" s="15" t="n">
        <v>138</v>
      </c>
      <c r="AA22" s="16">
        <f>IF(OR($Y22="",$Z22=""),"",$Y22*$Z22*10)</f>
        <v/>
      </c>
      <c r="AB22" s="17" t="n">
        <v>0.49</v>
      </c>
      <c r="AC22" s="16">
        <f>IF(OR($AA22="",$AB22=""),"",$AA22*$AB22)</f>
        <v/>
      </c>
      <c r="AD22" s="18">
        <f>IF($S22="PENDENTE","Definir classe/Kc",IF($Y22="","-",IF($Y22&gt;='PARAMETROS'!$B$7/EF_APLIC,"Irrigar",IF($Y22&gt;='PARAMETROS'!$B$7/EF_APLIC*FRAC_ACOMP,"Acompanhar","Aguardar"))))</f>
        <v/>
      </c>
      <c r="AE22" s="18">
        <f>IF(OR($Y22="",$Y22=0),"-",IF($Y22&gt;=2*'PARAMETROS'!$B$7/EF_APLIC,"Alta",IF($Y22&gt;='PARAMETROS'!$B$7/EF_APLIC,"Media","Baixa")))</f>
        <v/>
      </c>
    </row>
    <row r="23">
      <c r="A23" s="5" t="inlineStr">
        <is>
          <t>Pivô 35</t>
        </is>
      </c>
      <c r="B23" s="5" t="inlineStr">
        <is>
          <t>Karitel</t>
        </is>
      </c>
      <c r="C23" s="5" t="inlineStr">
        <is>
          <t>R8</t>
        </is>
      </c>
      <c r="D23" s="5" t="inlineStr">
        <is>
          <t>Modulo 2</t>
        </is>
      </c>
      <c r="E23" s="5" t="inlineStr">
        <is>
          <t>SOJA</t>
        </is>
      </c>
      <c r="F23" s="6" t="inlineStr">
        <is>
          <t>COMPLETA IPRO</t>
        </is>
      </c>
      <c r="G23" s="7" t="inlineStr">
        <is>
          <t>MÉDIA</t>
        </is>
      </c>
      <c r="H23" s="5" t="inlineStr">
        <is>
          <t>proximo</t>
        </is>
      </c>
      <c r="I23" s="8" t="n">
        <v>46303</v>
      </c>
      <c r="J23" s="9">
        <f>IF($I23="","",DATA_REF-$I23)</f>
        <v/>
      </c>
      <c r="K23" s="9">
        <f>IF($J23="","",MAX(0,$J23-'PARAMETROS'!$B$11))</f>
        <v/>
      </c>
      <c r="L23" s="10">
        <f>IFERROR(INDEX(KC_CURVAS!$C$5:$C$15,MATCH("SOJA|"&amp;$G23,KC_CURVAS!$K$5:$K$15,0)),IFERROR(INDEX(KC_CURVAS!$C$5:$C$15,MATCH("SOJA"&amp;"|",KC_CURVAS!$K$5:$K$15,0)),""))</f>
        <v/>
      </c>
      <c r="M23" s="10">
        <f>IFERROR(INDEX(KC_CURVAS!$D$5:$D$15,MATCH("SOJA|"&amp;$G23,KC_CURVAS!$K$5:$K$15,0)),IFERROR(INDEX(KC_CURVAS!$D$5:$D$15,MATCH("SOJA"&amp;"|",KC_CURVAS!$K$5:$K$15,0)),""))</f>
        <v/>
      </c>
      <c r="N23" s="10">
        <f>IFERROR(INDEX(KC_CURVAS!$E$5:$E$15,MATCH("SOJA|"&amp;$G23,KC_CURVAS!$K$5:$K$15,0)),IFERROR(INDEX(KC_CURVAS!$E$5:$E$15,MATCH("SOJA"&amp;"|",KC_CURVAS!$K$5:$K$15,0)),""))</f>
        <v/>
      </c>
      <c r="O23" s="10">
        <f>IFERROR(INDEX(KC_CURVAS!$F$5:$F$15,MATCH("SOJA|"&amp;$G23,KC_CURVAS!$K$5:$K$15,0)),IFERROR(INDEX(KC_CURVAS!$F$5:$F$15,MATCH("SOJA"&amp;"|",KC_CURVAS!$K$5:$K$15,0)),""))</f>
        <v/>
      </c>
      <c r="P23" s="11">
        <f>IFERROR(INDEX(KC_CURVAS!$G$5:$G$15,MATCH("SOJA|"&amp;$G23,KC_CURVAS!$K$5:$K$15,0)),IFERROR(INDEX(KC_CURVAS!$G$5:$G$15,MATCH("SOJA"&amp;"|",KC_CURVAS!$K$5:$K$15,0)),""))</f>
        <v/>
      </c>
      <c r="Q23" s="11">
        <f>IFERROR(INDEX(KC_CURVAS!$H$5:$H$15,MATCH("SOJA|"&amp;$G23,KC_CURVAS!$K$5:$K$15,0)),IFERROR(INDEX(KC_CURVAS!$H$5:$H$15,MATCH("SOJA"&amp;"|",KC_CURVAS!$K$5:$K$15,0)),""))</f>
        <v/>
      </c>
      <c r="R23" s="11">
        <f>IFERROR(INDEX(KC_CURVAS!$I$5:$I$15,MATCH("SOJA|"&amp;$G23,KC_CURVAS!$K$5:$K$15,0)),IFERROR(INDEX(KC_CURVAS!$I$5:$I$15,MATCH("SOJA"&amp;"|",KC_CURVAS!$K$5:$K$15,0)),""))</f>
        <v/>
      </c>
      <c r="S23" s="12">
        <f>IF(OR($K23="",$L23=""),"PENDENTE",IF($K23&lt;=$L23,$P23,IF($K23&lt;=$L23+$M23,$P23+($Q23-$P23)*($K23-$L23)/$M23,IF($K23&lt;=$L23+$M23+$N23,$Q23,IF($K23&lt;=$L23+$M23+$N23+$O23,$Q23+($R23-$Q23)*($K23-($L23+$M23+$N23))/$O23,$R23)))))</f>
        <v/>
      </c>
      <c r="T23" s="13">
        <f>IF($I23="","",$I23)</f>
        <v/>
      </c>
      <c r="U23" s="14">
        <f>IF($T23="","",SUMIFS(ETO_DIARIO!$B$5:$B$404,ETO_DIARIO!$A$5:$A$404,"&gt;"&amp;$T23,ETO_DIARIO!$A$5:$A$404,"&lt;="&amp;DATA_REF))</f>
        <v/>
      </c>
      <c r="V23" s="14">
        <f>IF($T23="","",SUMIFS(ETO_DIARIO!$C$5:$C$404,ETO_DIARIO!$A$5:$A$404,"&gt;"&amp;$T23,ETO_DIARIO!$A$5:$A$404,"&lt;="&amp;DATA_REF))</f>
        <v/>
      </c>
      <c r="W23" s="14">
        <f>IF(OR($S23="",$S23="PENDENTE",$U23=""),"",$S23*$U23)</f>
        <v/>
      </c>
      <c r="X23" s="14">
        <f>IF($W23="","",MAX(0,$W23-N($V23)))</f>
        <v/>
      </c>
      <c r="Y23" s="14">
        <f>IF($X23="","",$X23/EF_APLIC)</f>
        <v/>
      </c>
      <c r="Z23" s="15" t="n">
        <v>150</v>
      </c>
      <c r="AA23" s="16">
        <f>IF(OR($Y23="",$Z23=""),"",$Y23*$Z23*10)</f>
        <v/>
      </c>
      <c r="AB23" s="17" t="n">
        <v>0.5</v>
      </c>
      <c r="AC23" s="16">
        <f>IF(OR($AA23="",$AB23=""),"",$AA23*$AB23)</f>
        <v/>
      </c>
      <c r="AD23" s="18">
        <f>IF($S23="PENDENTE","Definir classe/Kc",IF($Y23="","-",IF($Y23&gt;='PARAMETROS'!$B$7/EF_APLIC,"Irrigar",IF($Y23&gt;='PARAMETROS'!$B$7/EF_APLIC*FRAC_ACOMP,"Acompanhar","Aguardar"))))</f>
        <v/>
      </c>
      <c r="AE23" s="18">
        <f>IF(OR($Y23="",$Y23=0),"-",IF($Y23&gt;=2*'PARAMETROS'!$B$7/EF_APLIC,"Alta",IF($Y23&gt;='PARAMETROS'!$B$7/EF_APLIC,"Media","Baixa")))</f>
        <v/>
      </c>
    </row>
    <row r="24">
      <c r="A24" s="5" t="inlineStr">
        <is>
          <t>Pivô 36</t>
        </is>
      </c>
      <c r="B24" s="5" t="inlineStr">
        <is>
          <t>Karitel</t>
        </is>
      </c>
      <c r="C24" s="5" t="inlineStr">
        <is>
          <t>R8</t>
        </is>
      </c>
      <c r="D24" s="5" t="inlineStr">
        <is>
          <t>Modulo 2</t>
        </is>
      </c>
      <c r="E24" s="5" t="inlineStr">
        <is>
          <t>SOJA</t>
        </is>
      </c>
      <c r="F24" s="6" t="inlineStr">
        <is>
          <t>COMPLETA IPRO</t>
        </is>
      </c>
      <c r="G24" s="7" t="inlineStr">
        <is>
          <t>MÉDIA</t>
        </is>
      </c>
      <c r="H24" s="5" t="inlineStr">
        <is>
          <t>proximo</t>
        </is>
      </c>
      <c r="I24" s="8" t="n">
        <v>46303</v>
      </c>
      <c r="J24" s="9">
        <f>IF($I24="","",DATA_REF-$I24)</f>
        <v/>
      </c>
      <c r="K24" s="9">
        <f>IF($J24="","",MAX(0,$J24-'PARAMETROS'!$B$11))</f>
        <v/>
      </c>
      <c r="L24" s="10">
        <f>IFERROR(INDEX(KC_CURVAS!$C$5:$C$15,MATCH("SOJA|"&amp;$G24,KC_CURVAS!$K$5:$K$15,0)),IFERROR(INDEX(KC_CURVAS!$C$5:$C$15,MATCH("SOJA"&amp;"|",KC_CURVAS!$K$5:$K$15,0)),""))</f>
        <v/>
      </c>
      <c r="M24" s="10">
        <f>IFERROR(INDEX(KC_CURVAS!$D$5:$D$15,MATCH("SOJA|"&amp;$G24,KC_CURVAS!$K$5:$K$15,0)),IFERROR(INDEX(KC_CURVAS!$D$5:$D$15,MATCH("SOJA"&amp;"|",KC_CURVAS!$K$5:$K$15,0)),""))</f>
        <v/>
      </c>
      <c r="N24" s="10">
        <f>IFERROR(INDEX(KC_CURVAS!$E$5:$E$15,MATCH("SOJA|"&amp;$G24,KC_CURVAS!$K$5:$K$15,0)),IFERROR(INDEX(KC_CURVAS!$E$5:$E$15,MATCH("SOJA"&amp;"|",KC_CURVAS!$K$5:$K$15,0)),""))</f>
        <v/>
      </c>
      <c r="O24" s="10">
        <f>IFERROR(INDEX(KC_CURVAS!$F$5:$F$15,MATCH("SOJA|"&amp;$G24,KC_CURVAS!$K$5:$K$15,0)),IFERROR(INDEX(KC_CURVAS!$F$5:$F$15,MATCH("SOJA"&amp;"|",KC_CURVAS!$K$5:$K$15,0)),""))</f>
        <v/>
      </c>
      <c r="P24" s="11">
        <f>IFERROR(INDEX(KC_CURVAS!$G$5:$G$15,MATCH("SOJA|"&amp;$G24,KC_CURVAS!$K$5:$K$15,0)),IFERROR(INDEX(KC_CURVAS!$G$5:$G$15,MATCH("SOJA"&amp;"|",KC_CURVAS!$K$5:$K$15,0)),""))</f>
        <v/>
      </c>
      <c r="Q24" s="11">
        <f>IFERROR(INDEX(KC_CURVAS!$H$5:$H$15,MATCH("SOJA|"&amp;$G24,KC_CURVAS!$K$5:$K$15,0)),IFERROR(INDEX(KC_CURVAS!$H$5:$H$15,MATCH("SOJA"&amp;"|",KC_CURVAS!$K$5:$K$15,0)),""))</f>
        <v/>
      </c>
      <c r="R24" s="11">
        <f>IFERROR(INDEX(KC_CURVAS!$I$5:$I$15,MATCH("SOJA|"&amp;$G24,KC_CURVAS!$K$5:$K$15,0)),IFERROR(INDEX(KC_CURVAS!$I$5:$I$15,MATCH("SOJA"&amp;"|",KC_CURVAS!$K$5:$K$15,0)),""))</f>
        <v/>
      </c>
      <c r="S24" s="12">
        <f>IF(OR($K24="",$L24=""),"PENDENTE",IF($K24&lt;=$L24,$P24,IF($K24&lt;=$L24+$M24,$P24+($Q24-$P24)*($K24-$L24)/$M24,IF($K24&lt;=$L24+$M24+$N24,$Q24,IF($K24&lt;=$L24+$M24+$N24+$O24,$Q24+($R24-$Q24)*($K24-($L24+$M24+$N24))/$O24,$R24)))))</f>
        <v/>
      </c>
      <c r="T24" s="13">
        <f>IF($I24="","",$I24)</f>
        <v/>
      </c>
      <c r="U24" s="14">
        <f>IF($T24="","",SUMIFS(ETO_DIARIO!$B$5:$B$404,ETO_DIARIO!$A$5:$A$404,"&gt;"&amp;$T24,ETO_DIARIO!$A$5:$A$404,"&lt;="&amp;DATA_REF))</f>
        <v/>
      </c>
      <c r="V24" s="14">
        <f>IF($T24="","",SUMIFS(ETO_DIARIO!$C$5:$C$404,ETO_DIARIO!$A$5:$A$404,"&gt;"&amp;$T24,ETO_DIARIO!$A$5:$A$404,"&lt;="&amp;DATA_REF))</f>
        <v/>
      </c>
      <c r="W24" s="14">
        <f>IF(OR($S24="",$S24="PENDENTE",$U24=""),"",$S24*$U24)</f>
        <v/>
      </c>
      <c r="X24" s="14">
        <f>IF($W24="","",MAX(0,$W24-N($V24)))</f>
        <v/>
      </c>
      <c r="Y24" s="14">
        <f>IF($X24="","",$X24/EF_APLIC)</f>
        <v/>
      </c>
      <c r="Z24" s="15" t="n">
        <v>150</v>
      </c>
      <c r="AA24" s="16">
        <f>IF(OR($Y24="",$Z24=""),"",$Y24*$Z24*10)</f>
        <v/>
      </c>
      <c r="AB24" s="17" t="n">
        <v>0.456</v>
      </c>
      <c r="AC24" s="16">
        <f>IF(OR($AA24="",$AB24=""),"",$AA24*$AB24)</f>
        <v/>
      </c>
      <c r="AD24" s="18">
        <f>IF($S24="PENDENTE","Definir classe/Kc",IF($Y24="","-",IF($Y24&gt;='PARAMETROS'!$B$7/EF_APLIC,"Irrigar",IF($Y24&gt;='PARAMETROS'!$B$7/EF_APLIC*FRAC_ACOMP,"Acompanhar","Aguardar"))))</f>
        <v/>
      </c>
      <c r="AE24" s="18">
        <f>IF(OR($Y24="",$Y24=0),"-",IF($Y24&gt;=2*'PARAMETROS'!$B$7/EF_APLIC,"Alta",IF($Y24&gt;='PARAMETROS'!$B$7/EF_APLIC,"Media","Baixa")))</f>
        <v/>
      </c>
    </row>
    <row r="25">
      <c r="A25" s="5" t="inlineStr">
        <is>
          <t>Pivô 37</t>
        </is>
      </c>
      <c r="B25" s="5" t="inlineStr">
        <is>
          <t>Karitel</t>
        </is>
      </c>
      <c r="C25" s="5" t="inlineStr">
        <is>
          <t>R8</t>
        </is>
      </c>
      <c r="D25" s="5" t="inlineStr">
        <is>
          <t>Modulo 2</t>
        </is>
      </c>
      <c r="E25" s="5" t="inlineStr">
        <is>
          <t>SOJA</t>
        </is>
      </c>
      <c r="F25" s="6" t="inlineStr">
        <is>
          <t>COMPLETA IPRO</t>
        </is>
      </c>
      <c r="G25" s="7" t="inlineStr">
        <is>
          <t>MÉDIA</t>
        </is>
      </c>
      <c r="H25" s="5" t="inlineStr">
        <is>
          <t>proximo</t>
        </is>
      </c>
      <c r="I25" s="8" t="n">
        <v>46304</v>
      </c>
      <c r="J25" s="9">
        <f>IF($I25="","",DATA_REF-$I25)</f>
        <v/>
      </c>
      <c r="K25" s="9">
        <f>IF($J25="","",MAX(0,$J25-'PARAMETROS'!$B$11))</f>
        <v/>
      </c>
      <c r="L25" s="10">
        <f>IFERROR(INDEX(KC_CURVAS!$C$5:$C$15,MATCH("SOJA|"&amp;$G25,KC_CURVAS!$K$5:$K$15,0)),IFERROR(INDEX(KC_CURVAS!$C$5:$C$15,MATCH("SOJA"&amp;"|",KC_CURVAS!$K$5:$K$15,0)),""))</f>
        <v/>
      </c>
      <c r="M25" s="10">
        <f>IFERROR(INDEX(KC_CURVAS!$D$5:$D$15,MATCH("SOJA|"&amp;$G25,KC_CURVAS!$K$5:$K$15,0)),IFERROR(INDEX(KC_CURVAS!$D$5:$D$15,MATCH("SOJA"&amp;"|",KC_CURVAS!$K$5:$K$15,0)),""))</f>
        <v/>
      </c>
      <c r="N25" s="10">
        <f>IFERROR(INDEX(KC_CURVAS!$E$5:$E$15,MATCH("SOJA|"&amp;$G25,KC_CURVAS!$K$5:$K$15,0)),IFERROR(INDEX(KC_CURVAS!$E$5:$E$15,MATCH("SOJA"&amp;"|",KC_CURVAS!$K$5:$K$15,0)),""))</f>
        <v/>
      </c>
      <c r="O25" s="10">
        <f>IFERROR(INDEX(KC_CURVAS!$F$5:$F$15,MATCH("SOJA|"&amp;$G25,KC_CURVAS!$K$5:$K$15,0)),IFERROR(INDEX(KC_CURVAS!$F$5:$F$15,MATCH("SOJA"&amp;"|",KC_CURVAS!$K$5:$K$15,0)),""))</f>
        <v/>
      </c>
      <c r="P25" s="11">
        <f>IFERROR(INDEX(KC_CURVAS!$G$5:$G$15,MATCH("SOJA|"&amp;$G25,KC_CURVAS!$K$5:$K$15,0)),IFERROR(INDEX(KC_CURVAS!$G$5:$G$15,MATCH("SOJA"&amp;"|",KC_CURVAS!$K$5:$K$15,0)),""))</f>
        <v/>
      </c>
      <c r="Q25" s="11">
        <f>IFERROR(INDEX(KC_CURVAS!$H$5:$H$15,MATCH("SOJA|"&amp;$G25,KC_CURVAS!$K$5:$K$15,0)),IFERROR(INDEX(KC_CURVAS!$H$5:$H$15,MATCH("SOJA"&amp;"|",KC_CURVAS!$K$5:$K$15,0)),""))</f>
        <v/>
      </c>
      <c r="R25" s="11">
        <f>IFERROR(INDEX(KC_CURVAS!$I$5:$I$15,MATCH("SOJA|"&amp;$G25,KC_CURVAS!$K$5:$K$15,0)),IFERROR(INDEX(KC_CURVAS!$I$5:$I$15,MATCH("SOJA"&amp;"|",KC_CURVAS!$K$5:$K$15,0)),""))</f>
        <v/>
      </c>
      <c r="S25" s="12">
        <f>IF(OR($K25="",$L25=""),"PENDENTE",IF($K25&lt;=$L25,$P25,IF($K25&lt;=$L25+$M25,$P25+($Q25-$P25)*($K25-$L25)/$M25,IF($K25&lt;=$L25+$M25+$N25,$Q25,IF($K25&lt;=$L25+$M25+$N25+$O25,$Q25+($R25-$Q25)*($K25-($L25+$M25+$N25))/$O25,$R25)))))</f>
        <v/>
      </c>
      <c r="T25" s="13">
        <f>IF($I25="","",$I25)</f>
        <v/>
      </c>
      <c r="U25" s="14">
        <f>IF($T25="","",SUMIFS(ETO_DIARIO!$B$5:$B$404,ETO_DIARIO!$A$5:$A$404,"&gt;"&amp;$T25,ETO_DIARIO!$A$5:$A$404,"&lt;="&amp;DATA_REF))</f>
        <v/>
      </c>
      <c r="V25" s="14">
        <f>IF($T25="","",SUMIFS(ETO_DIARIO!$C$5:$C$404,ETO_DIARIO!$A$5:$A$404,"&gt;"&amp;$T25,ETO_DIARIO!$A$5:$A$404,"&lt;="&amp;DATA_REF))</f>
        <v/>
      </c>
      <c r="W25" s="14">
        <f>IF(OR($S25="",$S25="PENDENTE",$U25=""),"",$S25*$U25)</f>
        <v/>
      </c>
      <c r="X25" s="14">
        <f>IF($W25="","",MAX(0,$W25-N($V25)))</f>
        <v/>
      </c>
      <c r="Y25" s="14">
        <f>IF($X25="","",$X25/EF_APLIC)</f>
        <v/>
      </c>
      <c r="Z25" s="15" t="n">
        <v>72</v>
      </c>
      <c r="AA25" s="16">
        <f>IF(OR($Y25="",$Z25=""),"",$Y25*$Z25*10)</f>
        <v/>
      </c>
      <c r="AB25" s="17" t="n">
        <v>0.443</v>
      </c>
      <c r="AC25" s="16">
        <f>IF(OR($AA25="",$AB25=""),"",$AA25*$AB25)</f>
        <v/>
      </c>
      <c r="AD25" s="18">
        <f>IF($S25="PENDENTE","Definir classe/Kc",IF($Y25="","-",IF($Y25&gt;='PARAMETROS'!$B$7/EF_APLIC,"Irrigar",IF($Y25&gt;='PARAMETROS'!$B$7/EF_APLIC*FRAC_ACOMP,"Acompanhar","Aguardar"))))</f>
        <v/>
      </c>
      <c r="AE25" s="18">
        <f>IF(OR($Y25="",$Y25=0),"-",IF($Y25&gt;=2*'PARAMETROS'!$B$7/EF_APLIC,"Alta",IF($Y25&gt;='PARAMETROS'!$B$7/EF_APLIC,"Media","Baixa")))</f>
        <v/>
      </c>
    </row>
    <row r="26">
      <c r="A26" s="5" t="inlineStr">
        <is>
          <t>Pivô 38</t>
        </is>
      </c>
      <c r="B26" s="5" t="inlineStr">
        <is>
          <t>Karitel</t>
        </is>
      </c>
      <c r="C26" s="5" t="inlineStr">
        <is>
          <t>R8</t>
        </is>
      </c>
      <c r="D26" s="5" t="inlineStr">
        <is>
          <t>Modulo 2</t>
        </is>
      </c>
      <c r="E26" s="5" t="inlineStr">
        <is>
          <t>SOJA</t>
        </is>
      </c>
      <c r="F26" s="6" t="inlineStr">
        <is>
          <t>COMPLETA IPRO</t>
        </is>
      </c>
      <c r="G26" s="7" t="inlineStr">
        <is>
          <t>MÉDIA</t>
        </is>
      </c>
      <c r="H26" s="5" t="inlineStr">
        <is>
          <t>proximo</t>
        </is>
      </c>
      <c r="I26" s="8" t="n">
        <v>46304</v>
      </c>
      <c r="J26" s="9">
        <f>IF($I26="","",DATA_REF-$I26)</f>
        <v/>
      </c>
      <c r="K26" s="9">
        <f>IF($J26="","",MAX(0,$J26-'PARAMETROS'!$B$11))</f>
        <v/>
      </c>
      <c r="L26" s="10">
        <f>IFERROR(INDEX(KC_CURVAS!$C$5:$C$15,MATCH("SOJA|"&amp;$G26,KC_CURVAS!$K$5:$K$15,0)),IFERROR(INDEX(KC_CURVAS!$C$5:$C$15,MATCH("SOJA"&amp;"|",KC_CURVAS!$K$5:$K$15,0)),""))</f>
        <v/>
      </c>
      <c r="M26" s="10">
        <f>IFERROR(INDEX(KC_CURVAS!$D$5:$D$15,MATCH("SOJA|"&amp;$G26,KC_CURVAS!$K$5:$K$15,0)),IFERROR(INDEX(KC_CURVAS!$D$5:$D$15,MATCH("SOJA"&amp;"|",KC_CURVAS!$K$5:$K$15,0)),""))</f>
        <v/>
      </c>
      <c r="N26" s="10">
        <f>IFERROR(INDEX(KC_CURVAS!$E$5:$E$15,MATCH("SOJA|"&amp;$G26,KC_CURVAS!$K$5:$K$15,0)),IFERROR(INDEX(KC_CURVAS!$E$5:$E$15,MATCH("SOJA"&amp;"|",KC_CURVAS!$K$5:$K$15,0)),""))</f>
        <v/>
      </c>
      <c r="O26" s="10">
        <f>IFERROR(INDEX(KC_CURVAS!$F$5:$F$15,MATCH("SOJA|"&amp;$G26,KC_CURVAS!$K$5:$K$15,0)),IFERROR(INDEX(KC_CURVAS!$F$5:$F$15,MATCH("SOJA"&amp;"|",KC_CURVAS!$K$5:$K$15,0)),""))</f>
        <v/>
      </c>
      <c r="P26" s="11">
        <f>IFERROR(INDEX(KC_CURVAS!$G$5:$G$15,MATCH("SOJA|"&amp;$G26,KC_CURVAS!$K$5:$K$15,0)),IFERROR(INDEX(KC_CURVAS!$G$5:$G$15,MATCH("SOJA"&amp;"|",KC_CURVAS!$K$5:$K$15,0)),""))</f>
        <v/>
      </c>
      <c r="Q26" s="11">
        <f>IFERROR(INDEX(KC_CURVAS!$H$5:$H$15,MATCH("SOJA|"&amp;$G26,KC_CURVAS!$K$5:$K$15,0)),IFERROR(INDEX(KC_CURVAS!$H$5:$H$15,MATCH("SOJA"&amp;"|",KC_CURVAS!$K$5:$K$15,0)),""))</f>
        <v/>
      </c>
      <c r="R26" s="11">
        <f>IFERROR(INDEX(KC_CURVAS!$I$5:$I$15,MATCH("SOJA|"&amp;$G26,KC_CURVAS!$K$5:$K$15,0)),IFERROR(INDEX(KC_CURVAS!$I$5:$I$15,MATCH("SOJA"&amp;"|",KC_CURVAS!$K$5:$K$15,0)),""))</f>
        <v/>
      </c>
      <c r="S26" s="12">
        <f>IF(OR($K26="",$L26=""),"PENDENTE",IF($K26&lt;=$L26,$P26,IF($K26&lt;=$L26+$M26,$P26+($Q26-$P26)*($K26-$L26)/$M26,IF($K26&lt;=$L26+$M26+$N26,$Q26,IF($K26&lt;=$L26+$M26+$N26+$O26,$Q26+($R26-$Q26)*($K26-($L26+$M26+$N26))/$O26,$R26)))))</f>
        <v/>
      </c>
      <c r="T26" s="13">
        <f>IF($I26="","",$I26)</f>
        <v/>
      </c>
      <c r="U26" s="14">
        <f>IF($T26="","",SUMIFS(ETO_DIARIO!$B$5:$B$404,ETO_DIARIO!$A$5:$A$404,"&gt;"&amp;$T26,ETO_DIARIO!$A$5:$A$404,"&lt;="&amp;DATA_REF))</f>
        <v/>
      </c>
      <c r="V26" s="14">
        <f>IF($T26="","",SUMIFS(ETO_DIARIO!$C$5:$C$404,ETO_DIARIO!$A$5:$A$404,"&gt;"&amp;$T26,ETO_DIARIO!$A$5:$A$404,"&lt;="&amp;DATA_REF))</f>
        <v/>
      </c>
      <c r="W26" s="14">
        <f>IF(OR($S26="",$S26="PENDENTE",$U26=""),"",$S26*$U26)</f>
        <v/>
      </c>
      <c r="X26" s="14">
        <f>IF($W26="","",MAX(0,$W26-N($V26)))</f>
        <v/>
      </c>
      <c r="Y26" s="14">
        <f>IF($X26="","",$X26/EF_APLIC)</f>
        <v/>
      </c>
      <c r="Z26" s="15" t="n">
        <v>141</v>
      </c>
      <c r="AA26" s="16">
        <f>IF(OR($Y26="",$Z26=""),"",$Y26*$Z26*10)</f>
        <v/>
      </c>
      <c r="AB26" s="17" t="n">
        <v>0.457</v>
      </c>
      <c r="AC26" s="16">
        <f>IF(OR($AA26="",$AB26=""),"",$AA26*$AB26)</f>
        <v/>
      </c>
      <c r="AD26" s="18">
        <f>IF($S26="PENDENTE","Definir classe/Kc",IF($Y26="","-",IF($Y26&gt;='PARAMETROS'!$B$7/EF_APLIC,"Irrigar",IF($Y26&gt;='PARAMETROS'!$B$7/EF_APLIC*FRAC_ACOMP,"Acompanhar","Aguardar"))))</f>
        <v/>
      </c>
      <c r="AE26" s="18">
        <f>IF(OR($Y26="",$Y26=0),"-",IF($Y26&gt;=2*'PARAMETROS'!$B$7/EF_APLIC,"Alta",IF($Y26&gt;='PARAMETROS'!$B$7/EF_APLIC,"Media","Baixa")))</f>
        <v/>
      </c>
    </row>
    <row r="27">
      <c r="A27" s="5" t="inlineStr">
        <is>
          <t>Pivô 40</t>
        </is>
      </c>
      <c r="B27" s="5" t="inlineStr">
        <is>
          <t>Karitel</t>
        </is>
      </c>
      <c r="C27" s="5" t="inlineStr">
        <is>
          <t>R10</t>
        </is>
      </c>
      <c r="D27" s="5" t="inlineStr">
        <is>
          <t>Modulo 2</t>
        </is>
      </c>
      <c r="E27" s="5" t="inlineStr">
        <is>
          <t>SOJA</t>
        </is>
      </c>
      <c r="F27" s="6" t="inlineStr">
        <is>
          <t>BMX Olimpo IPRO</t>
        </is>
      </c>
      <c r="G27" s="7" t="inlineStr">
        <is>
          <t>MÉDIA</t>
        </is>
      </c>
      <c r="H27" s="5" t="inlineStr">
        <is>
          <t>proximo</t>
        </is>
      </c>
      <c r="I27" s="8" t="n">
        <v>46305</v>
      </c>
      <c r="J27" s="9">
        <f>IF($I27="","",DATA_REF-$I27)</f>
        <v/>
      </c>
      <c r="K27" s="9">
        <f>IF($J27="","",MAX(0,$J27-'PARAMETROS'!$B$11))</f>
        <v/>
      </c>
      <c r="L27" s="10">
        <f>IFERROR(INDEX(KC_CURVAS!$C$5:$C$15,MATCH("SOJA|"&amp;$G27,KC_CURVAS!$K$5:$K$15,0)),IFERROR(INDEX(KC_CURVAS!$C$5:$C$15,MATCH("SOJA"&amp;"|",KC_CURVAS!$K$5:$K$15,0)),""))</f>
        <v/>
      </c>
      <c r="M27" s="10">
        <f>IFERROR(INDEX(KC_CURVAS!$D$5:$D$15,MATCH("SOJA|"&amp;$G27,KC_CURVAS!$K$5:$K$15,0)),IFERROR(INDEX(KC_CURVAS!$D$5:$D$15,MATCH("SOJA"&amp;"|",KC_CURVAS!$K$5:$K$15,0)),""))</f>
        <v/>
      </c>
      <c r="N27" s="10">
        <f>IFERROR(INDEX(KC_CURVAS!$E$5:$E$15,MATCH("SOJA|"&amp;$G27,KC_CURVAS!$K$5:$K$15,0)),IFERROR(INDEX(KC_CURVAS!$E$5:$E$15,MATCH("SOJA"&amp;"|",KC_CURVAS!$K$5:$K$15,0)),""))</f>
        <v/>
      </c>
      <c r="O27" s="10">
        <f>IFERROR(INDEX(KC_CURVAS!$F$5:$F$15,MATCH("SOJA|"&amp;$G27,KC_CURVAS!$K$5:$K$15,0)),IFERROR(INDEX(KC_CURVAS!$F$5:$F$15,MATCH("SOJA"&amp;"|",KC_CURVAS!$K$5:$K$15,0)),""))</f>
        <v/>
      </c>
      <c r="P27" s="11">
        <f>IFERROR(INDEX(KC_CURVAS!$G$5:$G$15,MATCH("SOJA|"&amp;$G27,KC_CURVAS!$K$5:$K$15,0)),IFERROR(INDEX(KC_CURVAS!$G$5:$G$15,MATCH("SOJA"&amp;"|",KC_CURVAS!$K$5:$K$15,0)),""))</f>
        <v/>
      </c>
      <c r="Q27" s="11">
        <f>IFERROR(INDEX(KC_CURVAS!$H$5:$H$15,MATCH("SOJA|"&amp;$G27,KC_CURVAS!$K$5:$K$15,0)),IFERROR(INDEX(KC_CURVAS!$H$5:$H$15,MATCH("SOJA"&amp;"|",KC_CURVAS!$K$5:$K$15,0)),""))</f>
        <v/>
      </c>
      <c r="R27" s="11">
        <f>IFERROR(INDEX(KC_CURVAS!$I$5:$I$15,MATCH("SOJA|"&amp;$G27,KC_CURVAS!$K$5:$K$15,0)),IFERROR(INDEX(KC_CURVAS!$I$5:$I$15,MATCH("SOJA"&amp;"|",KC_CURVAS!$K$5:$K$15,0)),""))</f>
        <v/>
      </c>
      <c r="S27" s="12">
        <f>IF(OR($K27="",$L27=""),"PENDENTE",IF($K27&lt;=$L27,$P27,IF($K27&lt;=$L27+$M27,$P27+($Q27-$P27)*($K27-$L27)/$M27,IF($K27&lt;=$L27+$M27+$N27,$Q27,IF($K27&lt;=$L27+$M27+$N27+$O27,$Q27+($R27-$Q27)*($K27-($L27+$M27+$N27))/$O27,$R27)))))</f>
        <v/>
      </c>
      <c r="T27" s="13">
        <f>IF($I27="","",$I27)</f>
        <v/>
      </c>
      <c r="U27" s="14">
        <f>IF($T27="","",SUMIFS(ETO_DIARIO!$B$5:$B$404,ETO_DIARIO!$A$5:$A$404,"&gt;"&amp;$T27,ETO_DIARIO!$A$5:$A$404,"&lt;="&amp;DATA_REF))</f>
        <v/>
      </c>
      <c r="V27" s="14">
        <f>IF($T27="","",SUMIFS(ETO_DIARIO!$C$5:$C$404,ETO_DIARIO!$A$5:$A$404,"&gt;"&amp;$T27,ETO_DIARIO!$A$5:$A$404,"&lt;="&amp;DATA_REF))</f>
        <v/>
      </c>
      <c r="W27" s="14">
        <f>IF(OR($S27="",$S27="PENDENTE",$U27=""),"",$S27*$U27)</f>
        <v/>
      </c>
      <c r="X27" s="14">
        <f>IF($W27="","",MAX(0,$W27-N($V27)))</f>
        <v/>
      </c>
      <c r="Y27" s="14">
        <f>IF($X27="","",$X27/EF_APLIC)</f>
        <v/>
      </c>
      <c r="Z27" s="15" t="n">
        <v>150</v>
      </c>
      <c r="AA27" s="16">
        <f>IF(OR($Y27="",$Z27=""),"",$Y27*$Z27*10)</f>
        <v/>
      </c>
      <c r="AB27" s="17" t="n">
        <v>0.451</v>
      </c>
      <c r="AC27" s="16">
        <f>IF(OR($AA27="",$AB27=""),"",$AA27*$AB27)</f>
        <v/>
      </c>
      <c r="AD27" s="18">
        <f>IF($S27="PENDENTE","Definir classe/Kc",IF($Y27="","-",IF($Y27&gt;='PARAMETROS'!$B$7/EF_APLIC,"Irrigar",IF($Y27&gt;='PARAMETROS'!$B$7/EF_APLIC*FRAC_ACOMP,"Acompanhar","Aguardar"))))</f>
        <v/>
      </c>
      <c r="AE27" s="18">
        <f>IF(OR($Y27="",$Y27=0),"-",IF($Y27&gt;=2*'PARAMETROS'!$B$7/EF_APLIC,"Alta",IF($Y27&gt;='PARAMETROS'!$B$7/EF_APLIC,"Media","Baixa")))</f>
        <v/>
      </c>
    </row>
    <row r="28">
      <c r="A28" s="5" t="inlineStr">
        <is>
          <t>Pivô 41</t>
        </is>
      </c>
      <c r="B28" s="5" t="inlineStr">
        <is>
          <t>Karitel</t>
        </is>
      </c>
      <c r="C28" s="5" t="inlineStr">
        <is>
          <t>R9</t>
        </is>
      </c>
      <c r="D28" s="5" t="inlineStr">
        <is>
          <t>Modulo 2</t>
        </is>
      </c>
      <c r="E28" s="5" t="inlineStr">
        <is>
          <t>SOJA</t>
        </is>
      </c>
      <c r="F28" s="6" t="inlineStr">
        <is>
          <t>NEO 761 I2X</t>
        </is>
      </c>
      <c r="G28" s="7" t="inlineStr">
        <is>
          <t>PRECOCE</t>
        </is>
      </c>
      <c r="H28" s="5" t="inlineStr">
        <is>
          <t>proximo</t>
        </is>
      </c>
      <c r="I28" s="8" t="n">
        <v>46305</v>
      </c>
      <c r="J28" s="9">
        <f>IF($I28="","",DATA_REF-$I28)</f>
        <v/>
      </c>
      <c r="K28" s="9">
        <f>IF($J28="","",MAX(0,$J28-'PARAMETROS'!$B$11))</f>
        <v/>
      </c>
      <c r="L28" s="10">
        <f>IFERROR(INDEX(KC_CURVAS!$C$5:$C$15,MATCH("SOJA|"&amp;$G28,KC_CURVAS!$K$5:$K$15,0)),IFERROR(INDEX(KC_CURVAS!$C$5:$C$15,MATCH("SOJA"&amp;"|",KC_CURVAS!$K$5:$K$15,0)),""))</f>
        <v/>
      </c>
      <c r="M28" s="10">
        <f>IFERROR(INDEX(KC_CURVAS!$D$5:$D$15,MATCH("SOJA|"&amp;$G28,KC_CURVAS!$K$5:$K$15,0)),IFERROR(INDEX(KC_CURVAS!$D$5:$D$15,MATCH("SOJA"&amp;"|",KC_CURVAS!$K$5:$K$15,0)),""))</f>
        <v/>
      </c>
      <c r="N28" s="10">
        <f>IFERROR(INDEX(KC_CURVAS!$E$5:$E$15,MATCH("SOJA|"&amp;$G28,KC_CURVAS!$K$5:$K$15,0)),IFERROR(INDEX(KC_CURVAS!$E$5:$E$15,MATCH("SOJA"&amp;"|",KC_CURVAS!$K$5:$K$15,0)),""))</f>
        <v/>
      </c>
      <c r="O28" s="10">
        <f>IFERROR(INDEX(KC_CURVAS!$F$5:$F$15,MATCH("SOJA|"&amp;$G28,KC_CURVAS!$K$5:$K$15,0)),IFERROR(INDEX(KC_CURVAS!$F$5:$F$15,MATCH("SOJA"&amp;"|",KC_CURVAS!$K$5:$K$15,0)),""))</f>
        <v/>
      </c>
      <c r="P28" s="11">
        <f>IFERROR(INDEX(KC_CURVAS!$G$5:$G$15,MATCH("SOJA|"&amp;$G28,KC_CURVAS!$K$5:$K$15,0)),IFERROR(INDEX(KC_CURVAS!$G$5:$G$15,MATCH("SOJA"&amp;"|",KC_CURVAS!$K$5:$K$15,0)),""))</f>
        <v/>
      </c>
      <c r="Q28" s="11">
        <f>IFERROR(INDEX(KC_CURVAS!$H$5:$H$15,MATCH("SOJA|"&amp;$G28,KC_CURVAS!$K$5:$K$15,0)),IFERROR(INDEX(KC_CURVAS!$H$5:$H$15,MATCH("SOJA"&amp;"|",KC_CURVAS!$K$5:$K$15,0)),""))</f>
        <v/>
      </c>
      <c r="R28" s="11">
        <f>IFERROR(INDEX(KC_CURVAS!$I$5:$I$15,MATCH("SOJA|"&amp;$G28,KC_CURVAS!$K$5:$K$15,0)),IFERROR(INDEX(KC_CURVAS!$I$5:$I$15,MATCH("SOJA"&amp;"|",KC_CURVAS!$K$5:$K$15,0)),""))</f>
        <v/>
      </c>
      <c r="S28" s="12">
        <f>IF(OR($K28="",$L28=""),"PENDENTE",IF($K28&lt;=$L28,$P28,IF($K28&lt;=$L28+$M28,$P28+($Q28-$P28)*($K28-$L28)/$M28,IF($K28&lt;=$L28+$M28+$N28,$Q28,IF($K28&lt;=$L28+$M28+$N28+$O28,$Q28+($R28-$Q28)*($K28-($L28+$M28+$N28))/$O28,$R28)))))</f>
        <v/>
      </c>
      <c r="T28" s="13">
        <f>IF($I28="","",$I28)</f>
        <v/>
      </c>
      <c r="U28" s="14">
        <f>IF($T28="","",SUMIFS(ETO_DIARIO!$B$5:$B$404,ETO_DIARIO!$A$5:$A$404,"&gt;"&amp;$T28,ETO_DIARIO!$A$5:$A$404,"&lt;="&amp;DATA_REF))</f>
        <v/>
      </c>
      <c r="V28" s="14">
        <f>IF($T28="","",SUMIFS(ETO_DIARIO!$C$5:$C$404,ETO_DIARIO!$A$5:$A$404,"&gt;"&amp;$T28,ETO_DIARIO!$A$5:$A$404,"&lt;="&amp;DATA_REF))</f>
        <v/>
      </c>
      <c r="W28" s="14">
        <f>IF(OR($S28="",$S28="PENDENTE",$U28=""),"",$S28*$U28)</f>
        <v/>
      </c>
      <c r="X28" s="14">
        <f>IF($W28="","",MAX(0,$W28-N($V28)))</f>
        <v/>
      </c>
      <c r="Y28" s="14">
        <f>IF($X28="","",$X28/EF_APLIC)</f>
        <v/>
      </c>
      <c r="Z28" s="15" t="n">
        <v>138</v>
      </c>
      <c r="AA28" s="16">
        <f>IF(OR($Y28="",$Z28=""),"",$Y28*$Z28*10)</f>
        <v/>
      </c>
      <c r="AB28" s="17" t="n">
        <v>0.452</v>
      </c>
      <c r="AC28" s="16">
        <f>IF(OR($AA28="",$AB28=""),"",$AA28*$AB28)</f>
        <v/>
      </c>
      <c r="AD28" s="18">
        <f>IF($S28="PENDENTE","Definir classe/Kc",IF($Y28="","-",IF($Y28&gt;='PARAMETROS'!$B$7/EF_APLIC,"Irrigar",IF($Y28&gt;='PARAMETROS'!$B$7/EF_APLIC*FRAC_ACOMP,"Acompanhar","Aguardar"))))</f>
        <v/>
      </c>
      <c r="AE28" s="18">
        <f>IF(OR($Y28="",$Y28=0),"-",IF($Y28&gt;=2*'PARAMETROS'!$B$7/EF_APLIC,"Alta",IF($Y28&gt;='PARAMETROS'!$B$7/EF_APLIC,"Media","Baixa")))</f>
        <v/>
      </c>
    </row>
    <row r="29">
      <c r="A29" s="5" t="inlineStr">
        <is>
          <t>Pivô 42</t>
        </is>
      </c>
      <c r="B29" s="5" t="inlineStr">
        <is>
          <t>Karitel</t>
        </is>
      </c>
      <c r="C29" s="5" t="inlineStr">
        <is>
          <t>R9</t>
        </is>
      </c>
      <c r="D29" s="5" t="inlineStr">
        <is>
          <t>Modulo 2</t>
        </is>
      </c>
      <c r="E29" s="5" t="inlineStr">
        <is>
          <t>SOJA</t>
        </is>
      </c>
      <c r="F29" s="6" t="inlineStr">
        <is>
          <t>BMX Olimpo IPRO</t>
        </is>
      </c>
      <c r="G29" s="7" t="inlineStr">
        <is>
          <t>MÉDIA</t>
        </is>
      </c>
      <c r="H29" s="5" t="inlineStr">
        <is>
          <t>proximo</t>
        </is>
      </c>
      <c r="I29" s="8" t="n">
        <v>46307</v>
      </c>
      <c r="J29" s="9">
        <f>IF($I29="","",DATA_REF-$I29)</f>
        <v/>
      </c>
      <c r="K29" s="9">
        <f>IF($J29="","",MAX(0,$J29-'PARAMETROS'!$B$11))</f>
        <v/>
      </c>
      <c r="L29" s="10">
        <f>IFERROR(INDEX(KC_CURVAS!$C$5:$C$15,MATCH("SOJA|"&amp;$G29,KC_CURVAS!$K$5:$K$15,0)),IFERROR(INDEX(KC_CURVAS!$C$5:$C$15,MATCH("SOJA"&amp;"|",KC_CURVAS!$K$5:$K$15,0)),""))</f>
        <v/>
      </c>
      <c r="M29" s="10">
        <f>IFERROR(INDEX(KC_CURVAS!$D$5:$D$15,MATCH("SOJA|"&amp;$G29,KC_CURVAS!$K$5:$K$15,0)),IFERROR(INDEX(KC_CURVAS!$D$5:$D$15,MATCH("SOJA"&amp;"|",KC_CURVAS!$K$5:$K$15,0)),""))</f>
        <v/>
      </c>
      <c r="N29" s="10">
        <f>IFERROR(INDEX(KC_CURVAS!$E$5:$E$15,MATCH("SOJA|"&amp;$G29,KC_CURVAS!$K$5:$K$15,0)),IFERROR(INDEX(KC_CURVAS!$E$5:$E$15,MATCH("SOJA"&amp;"|",KC_CURVAS!$K$5:$K$15,0)),""))</f>
        <v/>
      </c>
      <c r="O29" s="10">
        <f>IFERROR(INDEX(KC_CURVAS!$F$5:$F$15,MATCH("SOJA|"&amp;$G29,KC_CURVAS!$K$5:$K$15,0)),IFERROR(INDEX(KC_CURVAS!$F$5:$F$15,MATCH("SOJA"&amp;"|",KC_CURVAS!$K$5:$K$15,0)),""))</f>
        <v/>
      </c>
      <c r="P29" s="11">
        <f>IFERROR(INDEX(KC_CURVAS!$G$5:$G$15,MATCH("SOJA|"&amp;$G29,KC_CURVAS!$K$5:$K$15,0)),IFERROR(INDEX(KC_CURVAS!$G$5:$G$15,MATCH("SOJA"&amp;"|",KC_CURVAS!$K$5:$K$15,0)),""))</f>
        <v/>
      </c>
      <c r="Q29" s="11">
        <f>IFERROR(INDEX(KC_CURVAS!$H$5:$H$15,MATCH("SOJA|"&amp;$G29,KC_CURVAS!$K$5:$K$15,0)),IFERROR(INDEX(KC_CURVAS!$H$5:$H$15,MATCH("SOJA"&amp;"|",KC_CURVAS!$K$5:$K$15,0)),""))</f>
        <v/>
      </c>
      <c r="R29" s="11">
        <f>IFERROR(INDEX(KC_CURVAS!$I$5:$I$15,MATCH("SOJA|"&amp;$G29,KC_CURVAS!$K$5:$K$15,0)),IFERROR(INDEX(KC_CURVAS!$I$5:$I$15,MATCH("SOJA"&amp;"|",KC_CURVAS!$K$5:$K$15,0)),""))</f>
        <v/>
      </c>
      <c r="S29" s="12">
        <f>IF(OR($K29="",$L29=""),"PENDENTE",IF($K29&lt;=$L29,$P29,IF($K29&lt;=$L29+$M29,$P29+($Q29-$P29)*($K29-$L29)/$M29,IF($K29&lt;=$L29+$M29+$N29,$Q29,IF($K29&lt;=$L29+$M29+$N29+$O29,$Q29+($R29-$Q29)*($K29-($L29+$M29+$N29))/$O29,$R29)))))</f>
        <v/>
      </c>
      <c r="T29" s="13">
        <f>IF($I29="","",$I29)</f>
        <v/>
      </c>
      <c r="U29" s="14">
        <f>IF($T29="","",SUMIFS(ETO_DIARIO!$B$5:$B$404,ETO_DIARIO!$A$5:$A$404,"&gt;"&amp;$T29,ETO_DIARIO!$A$5:$A$404,"&lt;="&amp;DATA_REF))</f>
        <v/>
      </c>
      <c r="V29" s="14">
        <f>IF($T29="","",SUMIFS(ETO_DIARIO!$C$5:$C$404,ETO_DIARIO!$A$5:$A$404,"&gt;"&amp;$T29,ETO_DIARIO!$A$5:$A$404,"&lt;="&amp;DATA_REF))</f>
        <v/>
      </c>
      <c r="W29" s="14">
        <f>IF(OR($S29="",$S29="PENDENTE",$U29=""),"",$S29*$U29)</f>
        <v/>
      </c>
      <c r="X29" s="14">
        <f>IF($W29="","",MAX(0,$W29-N($V29)))</f>
        <v/>
      </c>
      <c r="Y29" s="14">
        <f>IF($X29="","",$X29/EF_APLIC)</f>
        <v/>
      </c>
      <c r="Z29" s="15" t="n">
        <v>100</v>
      </c>
      <c r="AA29" s="16">
        <f>IF(OR($Y29="",$Z29=""),"",$Y29*$Z29*10)</f>
        <v/>
      </c>
      <c r="AB29" s="17" t="n">
        <v>0.461</v>
      </c>
      <c r="AC29" s="16">
        <f>IF(OR($AA29="",$AB29=""),"",$AA29*$AB29)</f>
        <v/>
      </c>
      <c r="AD29" s="18">
        <f>IF($S29="PENDENTE","Definir classe/Kc",IF($Y29="","-",IF($Y29&gt;='PARAMETROS'!$B$7/EF_APLIC,"Irrigar",IF($Y29&gt;='PARAMETROS'!$B$7/EF_APLIC*FRAC_ACOMP,"Acompanhar","Aguardar"))))</f>
        <v/>
      </c>
      <c r="AE29" s="18">
        <f>IF(OR($Y29="",$Y29=0),"-",IF($Y29&gt;=2*'PARAMETROS'!$B$7/EF_APLIC,"Alta",IF($Y29&gt;='PARAMETROS'!$B$7/EF_APLIC,"Media","Baixa")))</f>
        <v/>
      </c>
    </row>
    <row r="30">
      <c r="A30" s="5" t="inlineStr">
        <is>
          <t>Pivô 43</t>
        </is>
      </c>
      <c r="B30" s="5" t="inlineStr">
        <is>
          <t>Karitel</t>
        </is>
      </c>
      <c r="C30" s="5" t="inlineStr">
        <is>
          <t>R9</t>
        </is>
      </c>
      <c r="D30" s="5" t="inlineStr">
        <is>
          <t>Modulo 2</t>
        </is>
      </c>
      <c r="E30" s="5" t="inlineStr">
        <is>
          <t>SOJA</t>
        </is>
      </c>
      <c r="F30" s="6" t="inlineStr">
        <is>
          <t>NEO 761 I2X</t>
        </is>
      </c>
      <c r="G30" s="7" t="inlineStr">
        <is>
          <t>PRECOCE</t>
        </is>
      </c>
      <c r="H30" s="5" t="inlineStr">
        <is>
          <t>proximo</t>
        </is>
      </c>
      <c r="I30" s="8" t="n">
        <v>46307</v>
      </c>
      <c r="J30" s="9">
        <f>IF($I30="","",DATA_REF-$I30)</f>
        <v/>
      </c>
      <c r="K30" s="9">
        <f>IF($J30="","",MAX(0,$J30-'PARAMETROS'!$B$11))</f>
        <v/>
      </c>
      <c r="L30" s="10">
        <f>IFERROR(INDEX(KC_CURVAS!$C$5:$C$15,MATCH("SOJA|"&amp;$G30,KC_CURVAS!$K$5:$K$15,0)),IFERROR(INDEX(KC_CURVAS!$C$5:$C$15,MATCH("SOJA"&amp;"|",KC_CURVAS!$K$5:$K$15,0)),""))</f>
        <v/>
      </c>
      <c r="M30" s="10">
        <f>IFERROR(INDEX(KC_CURVAS!$D$5:$D$15,MATCH("SOJA|"&amp;$G30,KC_CURVAS!$K$5:$K$15,0)),IFERROR(INDEX(KC_CURVAS!$D$5:$D$15,MATCH("SOJA"&amp;"|",KC_CURVAS!$K$5:$K$15,0)),""))</f>
        <v/>
      </c>
      <c r="N30" s="10">
        <f>IFERROR(INDEX(KC_CURVAS!$E$5:$E$15,MATCH("SOJA|"&amp;$G30,KC_CURVAS!$K$5:$K$15,0)),IFERROR(INDEX(KC_CURVAS!$E$5:$E$15,MATCH("SOJA"&amp;"|",KC_CURVAS!$K$5:$K$15,0)),""))</f>
        <v/>
      </c>
      <c r="O30" s="10">
        <f>IFERROR(INDEX(KC_CURVAS!$F$5:$F$15,MATCH("SOJA|"&amp;$G30,KC_CURVAS!$K$5:$K$15,0)),IFERROR(INDEX(KC_CURVAS!$F$5:$F$15,MATCH("SOJA"&amp;"|",KC_CURVAS!$K$5:$K$15,0)),""))</f>
        <v/>
      </c>
      <c r="P30" s="11">
        <f>IFERROR(INDEX(KC_CURVAS!$G$5:$G$15,MATCH("SOJA|"&amp;$G30,KC_CURVAS!$K$5:$K$15,0)),IFERROR(INDEX(KC_CURVAS!$G$5:$G$15,MATCH("SOJA"&amp;"|",KC_CURVAS!$K$5:$K$15,0)),""))</f>
        <v/>
      </c>
      <c r="Q30" s="11">
        <f>IFERROR(INDEX(KC_CURVAS!$H$5:$H$15,MATCH("SOJA|"&amp;$G30,KC_CURVAS!$K$5:$K$15,0)),IFERROR(INDEX(KC_CURVAS!$H$5:$H$15,MATCH("SOJA"&amp;"|",KC_CURVAS!$K$5:$K$15,0)),""))</f>
        <v/>
      </c>
      <c r="R30" s="11">
        <f>IFERROR(INDEX(KC_CURVAS!$I$5:$I$15,MATCH("SOJA|"&amp;$G30,KC_CURVAS!$K$5:$K$15,0)),IFERROR(INDEX(KC_CURVAS!$I$5:$I$15,MATCH("SOJA"&amp;"|",KC_CURVAS!$K$5:$K$15,0)),""))</f>
        <v/>
      </c>
      <c r="S30" s="12">
        <f>IF(OR($K30="",$L30=""),"PENDENTE",IF($K30&lt;=$L30,$P30,IF($K30&lt;=$L30+$M30,$P30+($Q30-$P30)*($K30-$L30)/$M30,IF($K30&lt;=$L30+$M30+$N30,$Q30,IF($K30&lt;=$L30+$M30+$N30+$O30,$Q30+($R30-$Q30)*($K30-($L30+$M30+$N30))/$O30,$R30)))))</f>
        <v/>
      </c>
      <c r="T30" s="13">
        <f>IF($I30="","",$I30)</f>
        <v/>
      </c>
      <c r="U30" s="14">
        <f>IF($T30="","",SUMIFS(ETO_DIARIO!$B$5:$B$404,ETO_DIARIO!$A$5:$A$404,"&gt;"&amp;$T30,ETO_DIARIO!$A$5:$A$404,"&lt;="&amp;DATA_REF))</f>
        <v/>
      </c>
      <c r="V30" s="14">
        <f>IF($T30="","",SUMIFS(ETO_DIARIO!$C$5:$C$404,ETO_DIARIO!$A$5:$A$404,"&gt;"&amp;$T30,ETO_DIARIO!$A$5:$A$404,"&lt;="&amp;DATA_REF))</f>
        <v/>
      </c>
      <c r="W30" s="14">
        <f>IF(OR($S30="",$S30="PENDENTE",$U30=""),"",$S30*$U30)</f>
        <v/>
      </c>
      <c r="X30" s="14">
        <f>IF($W30="","",MAX(0,$W30-N($V30)))</f>
        <v/>
      </c>
      <c r="Y30" s="14">
        <f>IF($X30="","",$X30/EF_APLIC)</f>
        <v/>
      </c>
      <c r="Z30" s="15" t="n">
        <v>138</v>
      </c>
      <c r="AA30" s="16">
        <f>IF(OR($Y30="",$Z30=""),"",$Y30*$Z30*10)</f>
        <v/>
      </c>
      <c r="AB30" s="17" t="n">
        <v>0.452</v>
      </c>
      <c r="AC30" s="16">
        <f>IF(OR($AA30="",$AB30=""),"",$AA30*$AB30)</f>
        <v/>
      </c>
      <c r="AD30" s="18">
        <f>IF($S30="PENDENTE","Definir classe/Kc",IF($Y30="","-",IF($Y30&gt;='PARAMETROS'!$B$7/EF_APLIC,"Irrigar",IF($Y30&gt;='PARAMETROS'!$B$7/EF_APLIC*FRAC_ACOMP,"Acompanhar","Aguardar"))))</f>
        <v/>
      </c>
      <c r="AE30" s="18">
        <f>IF(OR($Y30="",$Y30=0),"-",IF($Y30&gt;=2*'PARAMETROS'!$B$7/EF_APLIC,"Alta",IF($Y30&gt;='PARAMETROS'!$B$7/EF_APLIC,"Media","Baixa")))</f>
        <v/>
      </c>
    </row>
    <row r="31">
      <c r="A31" s="5" t="inlineStr">
        <is>
          <t>Pivô 44</t>
        </is>
      </c>
      <c r="B31" s="5" t="inlineStr">
        <is>
          <t>Karitel</t>
        </is>
      </c>
      <c r="C31" s="5" t="inlineStr">
        <is>
          <t>R13</t>
        </is>
      </c>
      <c r="D31" s="5" t="inlineStr">
        <is>
          <t>Modulo 3</t>
        </is>
      </c>
      <c r="E31" s="5" t="inlineStr">
        <is>
          <t>SOJA</t>
        </is>
      </c>
      <c r="F31" s="6" t="inlineStr">
        <is>
          <t>NEO 761 I2X</t>
        </is>
      </c>
      <c r="G31" s="7" t="inlineStr">
        <is>
          <t>PRECOCE</t>
        </is>
      </c>
      <c r="H31" s="5" t="inlineStr">
        <is>
          <t>ativo</t>
        </is>
      </c>
      <c r="I31" s="8" t="n">
        <v>46296</v>
      </c>
      <c r="J31" s="9">
        <f>IF($I31="","",DATA_REF-$I31)</f>
        <v/>
      </c>
      <c r="K31" s="9">
        <f>IF($J31="","",MAX(0,$J31-'PARAMETROS'!$B$11))</f>
        <v/>
      </c>
      <c r="L31" s="10">
        <f>IFERROR(INDEX(KC_CURVAS!$C$5:$C$15,MATCH("SOJA|"&amp;$G31,KC_CURVAS!$K$5:$K$15,0)),IFERROR(INDEX(KC_CURVAS!$C$5:$C$15,MATCH("SOJA"&amp;"|",KC_CURVAS!$K$5:$K$15,0)),""))</f>
        <v/>
      </c>
      <c r="M31" s="10">
        <f>IFERROR(INDEX(KC_CURVAS!$D$5:$D$15,MATCH("SOJA|"&amp;$G31,KC_CURVAS!$K$5:$K$15,0)),IFERROR(INDEX(KC_CURVAS!$D$5:$D$15,MATCH("SOJA"&amp;"|",KC_CURVAS!$K$5:$K$15,0)),""))</f>
        <v/>
      </c>
      <c r="N31" s="10">
        <f>IFERROR(INDEX(KC_CURVAS!$E$5:$E$15,MATCH("SOJA|"&amp;$G31,KC_CURVAS!$K$5:$K$15,0)),IFERROR(INDEX(KC_CURVAS!$E$5:$E$15,MATCH("SOJA"&amp;"|",KC_CURVAS!$K$5:$K$15,0)),""))</f>
        <v/>
      </c>
      <c r="O31" s="10">
        <f>IFERROR(INDEX(KC_CURVAS!$F$5:$F$15,MATCH("SOJA|"&amp;$G31,KC_CURVAS!$K$5:$K$15,0)),IFERROR(INDEX(KC_CURVAS!$F$5:$F$15,MATCH("SOJA"&amp;"|",KC_CURVAS!$K$5:$K$15,0)),""))</f>
        <v/>
      </c>
      <c r="P31" s="11">
        <f>IFERROR(INDEX(KC_CURVAS!$G$5:$G$15,MATCH("SOJA|"&amp;$G31,KC_CURVAS!$K$5:$K$15,0)),IFERROR(INDEX(KC_CURVAS!$G$5:$G$15,MATCH("SOJA"&amp;"|",KC_CURVAS!$K$5:$K$15,0)),""))</f>
        <v/>
      </c>
      <c r="Q31" s="11">
        <f>IFERROR(INDEX(KC_CURVAS!$H$5:$H$15,MATCH("SOJA|"&amp;$G31,KC_CURVAS!$K$5:$K$15,0)),IFERROR(INDEX(KC_CURVAS!$H$5:$H$15,MATCH("SOJA"&amp;"|",KC_CURVAS!$K$5:$K$15,0)),""))</f>
        <v/>
      </c>
      <c r="R31" s="11">
        <f>IFERROR(INDEX(KC_CURVAS!$I$5:$I$15,MATCH("SOJA|"&amp;$G31,KC_CURVAS!$K$5:$K$15,0)),IFERROR(INDEX(KC_CURVAS!$I$5:$I$15,MATCH("SOJA"&amp;"|",KC_CURVAS!$K$5:$K$15,0)),""))</f>
        <v/>
      </c>
      <c r="S31" s="12">
        <f>IF(OR($K31="",$L31=""),"PENDENTE",IF($K31&lt;=$L31,$P31,IF($K31&lt;=$L31+$M31,$P31+($Q31-$P31)*($K31-$L31)/$M31,IF($K31&lt;=$L31+$M31+$N31,$Q31,IF($K31&lt;=$L31+$M31+$N31+$O31,$Q31+($R31-$Q31)*($K31-($L31+$M31+$N31))/$O31,$R31)))))</f>
        <v/>
      </c>
      <c r="T31" s="13">
        <f>IF($I31="","",$I31)</f>
        <v/>
      </c>
      <c r="U31" s="14">
        <f>IF($T31="","",SUMIFS(ETO_DIARIO!$B$5:$B$404,ETO_DIARIO!$A$5:$A$404,"&gt;"&amp;$T31,ETO_DIARIO!$A$5:$A$404,"&lt;="&amp;DATA_REF))</f>
        <v/>
      </c>
      <c r="V31" s="14">
        <f>IF($T31="","",SUMIFS(ETO_DIARIO!$C$5:$C$404,ETO_DIARIO!$A$5:$A$404,"&gt;"&amp;$T31,ETO_DIARIO!$A$5:$A$404,"&lt;="&amp;DATA_REF))</f>
        <v/>
      </c>
      <c r="W31" s="14">
        <f>IF(OR($S31="",$S31="PENDENTE",$U31=""),"",$S31*$U31)</f>
        <v/>
      </c>
      <c r="X31" s="14">
        <f>IF($W31="","",MAX(0,$W31-N($V31)))</f>
        <v/>
      </c>
      <c r="Y31" s="14">
        <f>IF($X31="","",$X31/EF_APLIC)</f>
        <v/>
      </c>
      <c r="Z31" s="15" t="n">
        <v>75</v>
      </c>
      <c r="AA31" s="16">
        <f>IF(OR($Y31="",$Z31=""),"",$Y31*$Z31*10)</f>
        <v/>
      </c>
      <c r="AB31" s="17" t="n">
        <v>0.735</v>
      </c>
      <c r="AC31" s="16">
        <f>IF(OR($AA31="",$AB31=""),"",$AA31*$AB31)</f>
        <v/>
      </c>
      <c r="AD31" s="18">
        <f>IF($S31="PENDENTE","Definir classe/Kc",IF($Y31="","-",IF($Y31&gt;='PARAMETROS'!$B$7/EF_APLIC,"Irrigar",IF($Y31&gt;='PARAMETROS'!$B$7/EF_APLIC*FRAC_ACOMP,"Acompanhar","Aguardar"))))</f>
        <v/>
      </c>
      <c r="AE31" s="18">
        <f>IF(OR($Y31="",$Y31=0),"-",IF($Y31&gt;=2*'PARAMETROS'!$B$7/EF_APLIC,"Alta",IF($Y31&gt;='PARAMETROS'!$B$7/EF_APLIC,"Media","Baixa")))</f>
        <v/>
      </c>
    </row>
    <row r="32">
      <c r="A32" s="5" t="inlineStr">
        <is>
          <t>Pivô 45</t>
        </is>
      </c>
      <c r="B32" s="5" t="inlineStr">
        <is>
          <t>Karitel</t>
        </is>
      </c>
      <c r="C32" s="5" t="inlineStr">
        <is>
          <t>R11</t>
        </is>
      </c>
      <c r="D32" s="5" t="inlineStr">
        <is>
          <t>Modulo 2</t>
        </is>
      </c>
      <c r="E32" s="5" t="inlineStr">
        <is>
          <t>SOJA</t>
        </is>
      </c>
      <c r="F32" s="6" t="inlineStr">
        <is>
          <t>CZ 58B10 I2X</t>
        </is>
      </c>
      <c r="G32" s="7" t="inlineStr">
        <is>
          <t>MÉDIA</t>
        </is>
      </c>
      <c r="H32" s="5" t="inlineStr">
        <is>
          <t>proximo</t>
        </is>
      </c>
      <c r="I32" s="8" t="n">
        <v>46338</v>
      </c>
      <c r="J32" s="9">
        <f>IF($I32="","",DATA_REF-$I32)</f>
        <v/>
      </c>
      <c r="K32" s="9">
        <f>IF($J32="","",MAX(0,$J32-'PARAMETROS'!$B$11))</f>
        <v/>
      </c>
      <c r="L32" s="10">
        <f>IFERROR(INDEX(KC_CURVAS!$C$5:$C$15,MATCH("SOJA|"&amp;$G32,KC_CURVAS!$K$5:$K$15,0)),IFERROR(INDEX(KC_CURVAS!$C$5:$C$15,MATCH("SOJA"&amp;"|",KC_CURVAS!$K$5:$K$15,0)),""))</f>
        <v/>
      </c>
      <c r="M32" s="10">
        <f>IFERROR(INDEX(KC_CURVAS!$D$5:$D$15,MATCH("SOJA|"&amp;$G32,KC_CURVAS!$K$5:$K$15,0)),IFERROR(INDEX(KC_CURVAS!$D$5:$D$15,MATCH("SOJA"&amp;"|",KC_CURVAS!$K$5:$K$15,0)),""))</f>
        <v/>
      </c>
      <c r="N32" s="10">
        <f>IFERROR(INDEX(KC_CURVAS!$E$5:$E$15,MATCH("SOJA|"&amp;$G32,KC_CURVAS!$K$5:$K$15,0)),IFERROR(INDEX(KC_CURVAS!$E$5:$E$15,MATCH("SOJA"&amp;"|",KC_CURVAS!$K$5:$K$15,0)),""))</f>
        <v/>
      </c>
      <c r="O32" s="10">
        <f>IFERROR(INDEX(KC_CURVAS!$F$5:$F$15,MATCH("SOJA|"&amp;$G32,KC_CURVAS!$K$5:$K$15,0)),IFERROR(INDEX(KC_CURVAS!$F$5:$F$15,MATCH("SOJA"&amp;"|",KC_CURVAS!$K$5:$K$15,0)),""))</f>
        <v/>
      </c>
      <c r="P32" s="11">
        <f>IFERROR(INDEX(KC_CURVAS!$G$5:$G$15,MATCH("SOJA|"&amp;$G32,KC_CURVAS!$K$5:$K$15,0)),IFERROR(INDEX(KC_CURVAS!$G$5:$G$15,MATCH("SOJA"&amp;"|",KC_CURVAS!$K$5:$K$15,0)),""))</f>
        <v/>
      </c>
      <c r="Q32" s="11">
        <f>IFERROR(INDEX(KC_CURVAS!$H$5:$H$15,MATCH("SOJA|"&amp;$G32,KC_CURVAS!$K$5:$K$15,0)),IFERROR(INDEX(KC_CURVAS!$H$5:$H$15,MATCH("SOJA"&amp;"|",KC_CURVAS!$K$5:$K$15,0)),""))</f>
        <v/>
      </c>
      <c r="R32" s="11">
        <f>IFERROR(INDEX(KC_CURVAS!$I$5:$I$15,MATCH("SOJA|"&amp;$G32,KC_CURVAS!$K$5:$K$15,0)),IFERROR(INDEX(KC_CURVAS!$I$5:$I$15,MATCH("SOJA"&amp;"|",KC_CURVAS!$K$5:$K$15,0)),""))</f>
        <v/>
      </c>
      <c r="S32" s="12">
        <f>IF(OR($K32="",$L32=""),"PENDENTE",IF($K32&lt;=$L32,$P32,IF($K32&lt;=$L32+$M32,$P32+($Q32-$P32)*($K32-$L32)/$M32,IF($K32&lt;=$L32+$M32+$N32,$Q32,IF($K32&lt;=$L32+$M32+$N32+$O32,$Q32+($R32-$Q32)*($K32-($L32+$M32+$N32))/$O32,$R32)))))</f>
        <v/>
      </c>
      <c r="T32" s="13">
        <f>IF($I32="","",$I32)</f>
        <v/>
      </c>
      <c r="U32" s="14">
        <f>IF($T32="","",SUMIFS(ETO_DIARIO!$B$5:$B$404,ETO_DIARIO!$A$5:$A$404,"&gt;"&amp;$T32,ETO_DIARIO!$A$5:$A$404,"&lt;="&amp;DATA_REF))</f>
        <v/>
      </c>
      <c r="V32" s="14">
        <f>IF($T32="","",SUMIFS(ETO_DIARIO!$C$5:$C$404,ETO_DIARIO!$A$5:$A$404,"&gt;"&amp;$T32,ETO_DIARIO!$A$5:$A$404,"&lt;="&amp;DATA_REF))</f>
        <v/>
      </c>
      <c r="W32" s="14">
        <f>IF(OR($S32="",$S32="PENDENTE",$U32=""),"",$S32*$U32)</f>
        <v/>
      </c>
      <c r="X32" s="14">
        <f>IF($W32="","",MAX(0,$W32-N($V32)))</f>
        <v/>
      </c>
      <c r="Y32" s="14">
        <f>IF($X32="","",$X32/EF_APLIC)</f>
        <v/>
      </c>
      <c r="Z32" s="15" t="n">
        <v>123</v>
      </c>
      <c r="AA32" s="16">
        <f>IF(OR($Y32="",$Z32=""),"",$Y32*$Z32*10)</f>
        <v/>
      </c>
      <c r="AB32" s="17" t="n">
        <v>0.505</v>
      </c>
      <c r="AC32" s="16">
        <f>IF(OR($AA32="",$AB32=""),"",$AA32*$AB32)</f>
        <v/>
      </c>
      <c r="AD32" s="18">
        <f>IF($S32="PENDENTE","Definir classe/Kc",IF($Y32="","-",IF($Y32&gt;='PARAMETROS'!$B$7/EF_APLIC,"Irrigar",IF($Y32&gt;='PARAMETROS'!$B$7/EF_APLIC*FRAC_ACOMP,"Acompanhar","Aguardar"))))</f>
        <v/>
      </c>
      <c r="AE32" s="18">
        <f>IF(OR($Y32="",$Y32=0),"-",IF($Y32&gt;=2*'PARAMETROS'!$B$7/EF_APLIC,"Alta",IF($Y32&gt;='PARAMETROS'!$B$7/EF_APLIC,"Media","Baixa")))</f>
        <v/>
      </c>
    </row>
    <row r="33">
      <c r="A33" s="5" t="inlineStr">
        <is>
          <t>Pivô 46</t>
        </is>
      </c>
      <c r="B33" s="5" t="inlineStr">
        <is>
          <t>Karitel</t>
        </is>
      </c>
      <c r="C33" s="5" t="inlineStr">
        <is>
          <t>R11</t>
        </is>
      </c>
      <c r="D33" s="5" t="inlineStr">
        <is>
          <t>Modulo 2</t>
        </is>
      </c>
      <c r="E33" s="5" t="inlineStr">
        <is>
          <t>SOJA</t>
        </is>
      </c>
      <c r="F33" s="6" t="inlineStr">
        <is>
          <t>M8434 12X</t>
        </is>
      </c>
      <c r="G33" s="7" t="inlineStr">
        <is>
          <t>MÉDIA</t>
        </is>
      </c>
      <c r="H33" s="5" t="inlineStr">
        <is>
          <t>proximo</t>
        </is>
      </c>
      <c r="I33" s="8" t="n">
        <v>46331</v>
      </c>
      <c r="J33" s="9">
        <f>IF($I33="","",DATA_REF-$I33)</f>
        <v/>
      </c>
      <c r="K33" s="9">
        <f>IF($J33="","",MAX(0,$J33-'PARAMETROS'!$B$11))</f>
        <v/>
      </c>
      <c r="L33" s="10">
        <f>IFERROR(INDEX(KC_CURVAS!$C$5:$C$15,MATCH("SOJA|"&amp;$G33,KC_CURVAS!$K$5:$K$15,0)),IFERROR(INDEX(KC_CURVAS!$C$5:$C$15,MATCH("SOJA"&amp;"|",KC_CURVAS!$K$5:$K$15,0)),""))</f>
        <v/>
      </c>
      <c r="M33" s="10">
        <f>IFERROR(INDEX(KC_CURVAS!$D$5:$D$15,MATCH("SOJA|"&amp;$G33,KC_CURVAS!$K$5:$K$15,0)),IFERROR(INDEX(KC_CURVAS!$D$5:$D$15,MATCH("SOJA"&amp;"|",KC_CURVAS!$K$5:$K$15,0)),""))</f>
        <v/>
      </c>
      <c r="N33" s="10">
        <f>IFERROR(INDEX(KC_CURVAS!$E$5:$E$15,MATCH("SOJA|"&amp;$G33,KC_CURVAS!$K$5:$K$15,0)),IFERROR(INDEX(KC_CURVAS!$E$5:$E$15,MATCH("SOJA"&amp;"|",KC_CURVAS!$K$5:$K$15,0)),""))</f>
        <v/>
      </c>
      <c r="O33" s="10">
        <f>IFERROR(INDEX(KC_CURVAS!$F$5:$F$15,MATCH("SOJA|"&amp;$G33,KC_CURVAS!$K$5:$K$15,0)),IFERROR(INDEX(KC_CURVAS!$F$5:$F$15,MATCH("SOJA"&amp;"|",KC_CURVAS!$K$5:$K$15,0)),""))</f>
        <v/>
      </c>
      <c r="P33" s="11">
        <f>IFERROR(INDEX(KC_CURVAS!$G$5:$G$15,MATCH("SOJA|"&amp;$G33,KC_CURVAS!$K$5:$K$15,0)),IFERROR(INDEX(KC_CURVAS!$G$5:$G$15,MATCH("SOJA"&amp;"|",KC_CURVAS!$K$5:$K$15,0)),""))</f>
        <v/>
      </c>
      <c r="Q33" s="11">
        <f>IFERROR(INDEX(KC_CURVAS!$H$5:$H$15,MATCH("SOJA|"&amp;$G33,KC_CURVAS!$K$5:$K$15,0)),IFERROR(INDEX(KC_CURVAS!$H$5:$H$15,MATCH("SOJA"&amp;"|",KC_CURVAS!$K$5:$K$15,0)),""))</f>
        <v/>
      </c>
      <c r="R33" s="11">
        <f>IFERROR(INDEX(KC_CURVAS!$I$5:$I$15,MATCH("SOJA|"&amp;$G33,KC_CURVAS!$K$5:$K$15,0)),IFERROR(INDEX(KC_CURVAS!$I$5:$I$15,MATCH("SOJA"&amp;"|",KC_CURVAS!$K$5:$K$15,0)),""))</f>
        <v/>
      </c>
      <c r="S33" s="12">
        <f>IF(OR($K33="",$L33=""),"PENDENTE",IF($K33&lt;=$L33,$P33,IF($K33&lt;=$L33+$M33,$P33+($Q33-$P33)*($K33-$L33)/$M33,IF($K33&lt;=$L33+$M33+$N33,$Q33,IF($K33&lt;=$L33+$M33+$N33+$O33,$Q33+($R33-$Q33)*($K33-($L33+$M33+$N33))/$O33,$R33)))))</f>
        <v/>
      </c>
      <c r="T33" s="13">
        <f>IF($I33="","",$I33)</f>
        <v/>
      </c>
      <c r="U33" s="14">
        <f>IF($T33="","",SUMIFS(ETO_DIARIO!$B$5:$B$404,ETO_DIARIO!$A$5:$A$404,"&gt;"&amp;$T33,ETO_DIARIO!$A$5:$A$404,"&lt;="&amp;DATA_REF))</f>
        <v/>
      </c>
      <c r="V33" s="14">
        <f>IF($T33="","",SUMIFS(ETO_DIARIO!$C$5:$C$404,ETO_DIARIO!$A$5:$A$404,"&gt;"&amp;$T33,ETO_DIARIO!$A$5:$A$404,"&lt;="&amp;DATA_REF))</f>
        <v/>
      </c>
      <c r="W33" s="14">
        <f>IF(OR($S33="",$S33="PENDENTE",$U33=""),"",$S33*$U33)</f>
        <v/>
      </c>
      <c r="X33" s="14">
        <f>IF($W33="","",MAX(0,$W33-N($V33)))</f>
        <v/>
      </c>
      <c r="Y33" s="14">
        <f>IF($X33="","",$X33/EF_APLIC)</f>
        <v/>
      </c>
      <c r="Z33" s="15" t="n">
        <v>160</v>
      </c>
      <c r="AA33" s="16">
        <f>IF(OR($Y33="",$Z33=""),"",$Y33*$Z33*10)</f>
        <v/>
      </c>
      <c r="AB33" s="17" t="n">
        <v>0.465</v>
      </c>
      <c r="AC33" s="16">
        <f>IF(OR($AA33="",$AB33=""),"",$AA33*$AB33)</f>
        <v/>
      </c>
      <c r="AD33" s="18">
        <f>IF($S33="PENDENTE","Definir classe/Kc",IF($Y33="","-",IF($Y33&gt;='PARAMETROS'!$B$7/EF_APLIC,"Irrigar",IF($Y33&gt;='PARAMETROS'!$B$7/EF_APLIC*FRAC_ACOMP,"Acompanhar","Aguardar"))))</f>
        <v/>
      </c>
      <c r="AE33" s="18">
        <f>IF(OR($Y33="",$Y33=0),"-",IF($Y33&gt;=2*'PARAMETROS'!$B$7/EF_APLIC,"Alta",IF($Y33&gt;='PARAMETROS'!$B$7/EF_APLIC,"Media","Baixa")))</f>
        <v/>
      </c>
    </row>
    <row r="34">
      <c r="A34" s="5" t="inlineStr">
        <is>
          <t>Pivô 47</t>
        </is>
      </c>
      <c r="B34" s="5" t="inlineStr">
        <is>
          <t>Karitel</t>
        </is>
      </c>
      <c r="C34" s="5" t="inlineStr">
        <is>
          <t>R11</t>
        </is>
      </c>
      <c r="D34" s="5" t="inlineStr">
        <is>
          <t>Modulo 2</t>
        </is>
      </c>
      <c r="E34" s="5" t="inlineStr">
        <is>
          <t>SOJA</t>
        </is>
      </c>
      <c r="F34" s="6" t="inlineStr">
        <is>
          <t>M8434 12X</t>
        </is>
      </c>
      <c r="G34" s="7" t="inlineStr">
        <is>
          <t>MÉDIA</t>
        </is>
      </c>
      <c r="H34" s="5" t="inlineStr">
        <is>
          <t>proximo</t>
        </is>
      </c>
      <c r="I34" s="8" t="n">
        <v>46312</v>
      </c>
      <c r="J34" s="9">
        <f>IF($I34="","",DATA_REF-$I34)</f>
        <v/>
      </c>
      <c r="K34" s="9">
        <f>IF($J34="","",MAX(0,$J34-'PARAMETROS'!$B$11))</f>
        <v/>
      </c>
      <c r="L34" s="10">
        <f>IFERROR(INDEX(KC_CURVAS!$C$5:$C$15,MATCH("SOJA|"&amp;$G34,KC_CURVAS!$K$5:$K$15,0)),IFERROR(INDEX(KC_CURVAS!$C$5:$C$15,MATCH("SOJA"&amp;"|",KC_CURVAS!$K$5:$K$15,0)),""))</f>
        <v/>
      </c>
      <c r="M34" s="10">
        <f>IFERROR(INDEX(KC_CURVAS!$D$5:$D$15,MATCH("SOJA|"&amp;$G34,KC_CURVAS!$K$5:$K$15,0)),IFERROR(INDEX(KC_CURVAS!$D$5:$D$15,MATCH("SOJA"&amp;"|",KC_CURVAS!$K$5:$K$15,0)),""))</f>
        <v/>
      </c>
      <c r="N34" s="10">
        <f>IFERROR(INDEX(KC_CURVAS!$E$5:$E$15,MATCH("SOJA|"&amp;$G34,KC_CURVAS!$K$5:$K$15,0)),IFERROR(INDEX(KC_CURVAS!$E$5:$E$15,MATCH("SOJA"&amp;"|",KC_CURVAS!$K$5:$K$15,0)),""))</f>
        <v/>
      </c>
      <c r="O34" s="10">
        <f>IFERROR(INDEX(KC_CURVAS!$F$5:$F$15,MATCH("SOJA|"&amp;$G34,KC_CURVAS!$K$5:$K$15,0)),IFERROR(INDEX(KC_CURVAS!$F$5:$F$15,MATCH("SOJA"&amp;"|",KC_CURVAS!$K$5:$K$15,0)),""))</f>
        <v/>
      </c>
      <c r="P34" s="11">
        <f>IFERROR(INDEX(KC_CURVAS!$G$5:$G$15,MATCH("SOJA|"&amp;$G34,KC_CURVAS!$K$5:$K$15,0)),IFERROR(INDEX(KC_CURVAS!$G$5:$G$15,MATCH("SOJA"&amp;"|",KC_CURVAS!$K$5:$K$15,0)),""))</f>
        <v/>
      </c>
      <c r="Q34" s="11">
        <f>IFERROR(INDEX(KC_CURVAS!$H$5:$H$15,MATCH("SOJA|"&amp;$G34,KC_CURVAS!$K$5:$K$15,0)),IFERROR(INDEX(KC_CURVAS!$H$5:$H$15,MATCH("SOJA"&amp;"|",KC_CURVAS!$K$5:$K$15,0)),""))</f>
        <v/>
      </c>
      <c r="R34" s="11">
        <f>IFERROR(INDEX(KC_CURVAS!$I$5:$I$15,MATCH("SOJA|"&amp;$G34,KC_CURVAS!$K$5:$K$15,0)),IFERROR(INDEX(KC_CURVAS!$I$5:$I$15,MATCH("SOJA"&amp;"|",KC_CURVAS!$K$5:$K$15,0)),""))</f>
        <v/>
      </c>
      <c r="S34" s="12">
        <f>IF(OR($K34="",$L34=""),"PENDENTE",IF($K34&lt;=$L34,$P34,IF($K34&lt;=$L34+$M34,$P34+($Q34-$P34)*($K34-$L34)/$M34,IF($K34&lt;=$L34+$M34+$N34,$Q34,IF($K34&lt;=$L34+$M34+$N34+$O34,$Q34+($R34-$Q34)*($K34-($L34+$M34+$N34))/$O34,$R34)))))</f>
        <v/>
      </c>
      <c r="T34" s="13">
        <f>IF($I34="","",$I34)</f>
        <v/>
      </c>
      <c r="U34" s="14">
        <f>IF($T34="","",SUMIFS(ETO_DIARIO!$B$5:$B$404,ETO_DIARIO!$A$5:$A$404,"&gt;"&amp;$T34,ETO_DIARIO!$A$5:$A$404,"&lt;="&amp;DATA_REF))</f>
        <v/>
      </c>
      <c r="V34" s="14">
        <f>IF($T34="","",SUMIFS(ETO_DIARIO!$C$5:$C$404,ETO_DIARIO!$A$5:$A$404,"&gt;"&amp;$T34,ETO_DIARIO!$A$5:$A$404,"&lt;="&amp;DATA_REF))</f>
        <v/>
      </c>
      <c r="W34" s="14">
        <f>IF(OR($S34="",$S34="PENDENTE",$U34=""),"",$S34*$U34)</f>
        <v/>
      </c>
      <c r="X34" s="14">
        <f>IF($W34="","",MAX(0,$W34-N($V34)))</f>
        <v/>
      </c>
      <c r="Y34" s="14">
        <f>IF($X34="","",$X34/EF_APLIC)</f>
        <v/>
      </c>
      <c r="Z34" s="15" t="n">
        <v>160</v>
      </c>
      <c r="AA34" s="16">
        <f>IF(OR($Y34="",$Z34=""),"",$Y34*$Z34*10)</f>
        <v/>
      </c>
      <c r="AB34" s="17" t="n">
        <v>0.537</v>
      </c>
      <c r="AC34" s="16">
        <f>IF(OR($AA34="",$AB34=""),"",$AA34*$AB34)</f>
        <v/>
      </c>
      <c r="AD34" s="18">
        <f>IF($S34="PENDENTE","Definir classe/Kc",IF($Y34="","-",IF($Y34&gt;='PARAMETROS'!$B$7/EF_APLIC,"Irrigar",IF($Y34&gt;='PARAMETROS'!$B$7/EF_APLIC*FRAC_ACOMP,"Acompanhar","Aguardar"))))</f>
        <v/>
      </c>
      <c r="AE34" s="18">
        <f>IF(OR($Y34="",$Y34=0),"-",IF($Y34&gt;=2*'PARAMETROS'!$B$7/EF_APLIC,"Alta",IF($Y34&gt;='PARAMETROS'!$B$7/EF_APLIC,"Media","Baixa")))</f>
        <v/>
      </c>
    </row>
    <row r="35">
      <c r="A35" s="5" t="inlineStr">
        <is>
          <t>Pivô 48</t>
        </is>
      </c>
      <c r="B35" s="5" t="inlineStr">
        <is>
          <t>Karitel</t>
        </is>
      </c>
      <c r="C35" s="5" t="inlineStr">
        <is>
          <t>R11</t>
        </is>
      </c>
      <c r="D35" s="5" t="inlineStr">
        <is>
          <t>Modulo 2</t>
        </is>
      </c>
      <c r="E35" s="5" t="inlineStr">
        <is>
          <t>SOJA</t>
        </is>
      </c>
      <c r="F35" s="6" t="inlineStr">
        <is>
          <t>M8434 12X</t>
        </is>
      </c>
      <c r="G35" s="7" t="inlineStr">
        <is>
          <t>MÉDIA</t>
        </is>
      </c>
      <c r="H35" s="5" t="inlineStr">
        <is>
          <t>proximo</t>
        </is>
      </c>
      <c r="I35" s="8" t="n">
        <v>46314</v>
      </c>
      <c r="J35" s="9">
        <f>IF($I35="","",DATA_REF-$I35)</f>
        <v/>
      </c>
      <c r="K35" s="9">
        <f>IF($J35="","",MAX(0,$J35-'PARAMETROS'!$B$11))</f>
        <v/>
      </c>
      <c r="L35" s="10">
        <f>IFERROR(INDEX(KC_CURVAS!$C$5:$C$15,MATCH("SOJA|"&amp;$G35,KC_CURVAS!$K$5:$K$15,0)),IFERROR(INDEX(KC_CURVAS!$C$5:$C$15,MATCH("SOJA"&amp;"|",KC_CURVAS!$K$5:$K$15,0)),""))</f>
        <v/>
      </c>
      <c r="M35" s="10">
        <f>IFERROR(INDEX(KC_CURVAS!$D$5:$D$15,MATCH("SOJA|"&amp;$G35,KC_CURVAS!$K$5:$K$15,0)),IFERROR(INDEX(KC_CURVAS!$D$5:$D$15,MATCH("SOJA"&amp;"|",KC_CURVAS!$K$5:$K$15,0)),""))</f>
        <v/>
      </c>
      <c r="N35" s="10">
        <f>IFERROR(INDEX(KC_CURVAS!$E$5:$E$15,MATCH("SOJA|"&amp;$G35,KC_CURVAS!$K$5:$K$15,0)),IFERROR(INDEX(KC_CURVAS!$E$5:$E$15,MATCH("SOJA"&amp;"|",KC_CURVAS!$K$5:$K$15,0)),""))</f>
        <v/>
      </c>
      <c r="O35" s="10">
        <f>IFERROR(INDEX(KC_CURVAS!$F$5:$F$15,MATCH("SOJA|"&amp;$G35,KC_CURVAS!$K$5:$K$15,0)),IFERROR(INDEX(KC_CURVAS!$F$5:$F$15,MATCH("SOJA"&amp;"|",KC_CURVAS!$K$5:$K$15,0)),""))</f>
        <v/>
      </c>
      <c r="P35" s="11">
        <f>IFERROR(INDEX(KC_CURVAS!$G$5:$G$15,MATCH("SOJA|"&amp;$G35,KC_CURVAS!$K$5:$K$15,0)),IFERROR(INDEX(KC_CURVAS!$G$5:$G$15,MATCH("SOJA"&amp;"|",KC_CURVAS!$K$5:$K$15,0)),""))</f>
        <v/>
      </c>
      <c r="Q35" s="11">
        <f>IFERROR(INDEX(KC_CURVAS!$H$5:$H$15,MATCH("SOJA|"&amp;$G35,KC_CURVAS!$K$5:$K$15,0)),IFERROR(INDEX(KC_CURVAS!$H$5:$H$15,MATCH("SOJA"&amp;"|",KC_CURVAS!$K$5:$K$15,0)),""))</f>
        <v/>
      </c>
      <c r="R35" s="11">
        <f>IFERROR(INDEX(KC_CURVAS!$I$5:$I$15,MATCH("SOJA|"&amp;$G35,KC_CURVAS!$K$5:$K$15,0)),IFERROR(INDEX(KC_CURVAS!$I$5:$I$15,MATCH("SOJA"&amp;"|",KC_CURVAS!$K$5:$K$15,0)),""))</f>
        <v/>
      </c>
      <c r="S35" s="12">
        <f>IF(OR($K35="",$L35=""),"PENDENTE",IF($K35&lt;=$L35,$P35,IF($K35&lt;=$L35+$M35,$P35+($Q35-$P35)*($K35-$L35)/$M35,IF($K35&lt;=$L35+$M35+$N35,$Q35,IF($K35&lt;=$L35+$M35+$N35+$O35,$Q35+($R35-$Q35)*($K35-($L35+$M35+$N35))/$O35,$R35)))))</f>
        <v/>
      </c>
      <c r="T35" s="13">
        <f>IF($I35="","",$I35)</f>
        <v/>
      </c>
      <c r="U35" s="14">
        <f>IF($T35="","",SUMIFS(ETO_DIARIO!$B$5:$B$404,ETO_DIARIO!$A$5:$A$404,"&gt;"&amp;$T35,ETO_DIARIO!$A$5:$A$404,"&lt;="&amp;DATA_REF))</f>
        <v/>
      </c>
      <c r="V35" s="14">
        <f>IF($T35="","",SUMIFS(ETO_DIARIO!$C$5:$C$404,ETO_DIARIO!$A$5:$A$404,"&gt;"&amp;$T35,ETO_DIARIO!$A$5:$A$404,"&lt;="&amp;DATA_REF))</f>
        <v/>
      </c>
      <c r="W35" s="14">
        <f>IF(OR($S35="",$S35="PENDENTE",$U35=""),"",$S35*$U35)</f>
        <v/>
      </c>
      <c r="X35" s="14">
        <f>IF($W35="","",MAX(0,$W35-N($V35)))</f>
        <v/>
      </c>
      <c r="Y35" s="14">
        <f>IF($X35="","",$X35/EF_APLIC)</f>
        <v/>
      </c>
      <c r="Z35" s="15" t="n">
        <v>160</v>
      </c>
      <c r="AA35" s="16">
        <f>IF(OR($Y35="",$Z35=""),"",$Y35*$Z35*10)</f>
        <v/>
      </c>
      <c r="AB35" s="17" t="n">
        <v>0.434</v>
      </c>
      <c r="AC35" s="16">
        <f>IF(OR($AA35="",$AB35=""),"",$AA35*$AB35)</f>
        <v/>
      </c>
      <c r="AD35" s="18">
        <f>IF($S35="PENDENTE","Definir classe/Kc",IF($Y35="","-",IF($Y35&gt;='PARAMETROS'!$B$7/EF_APLIC,"Irrigar",IF($Y35&gt;='PARAMETROS'!$B$7/EF_APLIC*FRAC_ACOMP,"Acompanhar","Aguardar"))))</f>
        <v/>
      </c>
      <c r="AE35" s="18">
        <f>IF(OR($Y35="",$Y35=0),"-",IF($Y35&gt;=2*'PARAMETROS'!$B$7/EF_APLIC,"Alta",IF($Y35&gt;='PARAMETROS'!$B$7/EF_APLIC,"Media","Baixa")))</f>
        <v/>
      </c>
    </row>
    <row r="36">
      <c r="A36" s="5" t="inlineStr">
        <is>
          <t>Pivô 49</t>
        </is>
      </c>
      <c r="B36" s="5" t="inlineStr">
        <is>
          <t>Karitel</t>
        </is>
      </c>
      <c r="C36" s="5" t="inlineStr">
        <is>
          <t>R11</t>
        </is>
      </c>
      <c r="D36" s="5" t="inlineStr">
        <is>
          <t>Modulo 2</t>
        </is>
      </c>
      <c r="E36" s="5" t="inlineStr">
        <is>
          <t>SOJA</t>
        </is>
      </c>
      <c r="F36" s="6" t="inlineStr">
        <is>
          <t>M8434 12X</t>
        </is>
      </c>
      <c r="G36" s="7" t="inlineStr">
        <is>
          <t>MÉDIA</t>
        </is>
      </c>
      <c r="H36" s="5" t="inlineStr">
        <is>
          <t>proximo</t>
        </is>
      </c>
      <c r="I36" s="8" t="n">
        <v>46314</v>
      </c>
      <c r="J36" s="9">
        <f>IF($I36="","",DATA_REF-$I36)</f>
        <v/>
      </c>
      <c r="K36" s="9">
        <f>IF($J36="","",MAX(0,$J36-'PARAMETROS'!$B$11))</f>
        <v/>
      </c>
      <c r="L36" s="10">
        <f>IFERROR(INDEX(KC_CURVAS!$C$5:$C$15,MATCH("SOJA|"&amp;$G36,KC_CURVAS!$K$5:$K$15,0)),IFERROR(INDEX(KC_CURVAS!$C$5:$C$15,MATCH("SOJA"&amp;"|",KC_CURVAS!$K$5:$K$15,0)),""))</f>
        <v/>
      </c>
      <c r="M36" s="10">
        <f>IFERROR(INDEX(KC_CURVAS!$D$5:$D$15,MATCH("SOJA|"&amp;$G36,KC_CURVAS!$K$5:$K$15,0)),IFERROR(INDEX(KC_CURVAS!$D$5:$D$15,MATCH("SOJA"&amp;"|",KC_CURVAS!$K$5:$K$15,0)),""))</f>
        <v/>
      </c>
      <c r="N36" s="10">
        <f>IFERROR(INDEX(KC_CURVAS!$E$5:$E$15,MATCH("SOJA|"&amp;$G36,KC_CURVAS!$K$5:$K$15,0)),IFERROR(INDEX(KC_CURVAS!$E$5:$E$15,MATCH("SOJA"&amp;"|",KC_CURVAS!$K$5:$K$15,0)),""))</f>
        <v/>
      </c>
      <c r="O36" s="10">
        <f>IFERROR(INDEX(KC_CURVAS!$F$5:$F$15,MATCH("SOJA|"&amp;$G36,KC_CURVAS!$K$5:$K$15,0)),IFERROR(INDEX(KC_CURVAS!$F$5:$F$15,MATCH("SOJA"&amp;"|",KC_CURVAS!$K$5:$K$15,0)),""))</f>
        <v/>
      </c>
      <c r="P36" s="11">
        <f>IFERROR(INDEX(KC_CURVAS!$G$5:$G$15,MATCH("SOJA|"&amp;$G36,KC_CURVAS!$K$5:$K$15,0)),IFERROR(INDEX(KC_CURVAS!$G$5:$G$15,MATCH("SOJA"&amp;"|",KC_CURVAS!$K$5:$K$15,0)),""))</f>
        <v/>
      </c>
      <c r="Q36" s="11">
        <f>IFERROR(INDEX(KC_CURVAS!$H$5:$H$15,MATCH("SOJA|"&amp;$G36,KC_CURVAS!$K$5:$K$15,0)),IFERROR(INDEX(KC_CURVAS!$H$5:$H$15,MATCH("SOJA"&amp;"|",KC_CURVAS!$K$5:$K$15,0)),""))</f>
        <v/>
      </c>
      <c r="R36" s="11">
        <f>IFERROR(INDEX(KC_CURVAS!$I$5:$I$15,MATCH("SOJA|"&amp;$G36,KC_CURVAS!$K$5:$K$15,0)),IFERROR(INDEX(KC_CURVAS!$I$5:$I$15,MATCH("SOJA"&amp;"|",KC_CURVAS!$K$5:$K$15,0)),""))</f>
        <v/>
      </c>
      <c r="S36" s="12">
        <f>IF(OR($K36="",$L36=""),"PENDENTE",IF($K36&lt;=$L36,$P36,IF($K36&lt;=$L36+$M36,$P36+($Q36-$P36)*($K36-$L36)/$M36,IF($K36&lt;=$L36+$M36+$N36,$Q36,IF($K36&lt;=$L36+$M36+$N36+$O36,$Q36+($R36-$Q36)*($K36-($L36+$M36+$N36))/$O36,$R36)))))</f>
        <v/>
      </c>
      <c r="T36" s="13">
        <f>IF($I36="","",$I36)</f>
        <v/>
      </c>
      <c r="U36" s="14">
        <f>IF($T36="","",SUMIFS(ETO_DIARIO!$B$5:$B$404,ETO_DIARIO!$A$5:$A$404,"&gt;"&amp;$T36,ETO_DIARIO!$A$5:$A$404,"&lt;="&amp;DATA_REF))</f>
        <v/>
      </c>
      <c r="V36" s="14">
        <f>IF($T36="","",SUMIFS(ETO_DIARIO!$C$5:$C$404,ETO_DIARIO!$A$5:$A$404,"&gt;"&amp;$T36,ETO_DIARIO!$A$5:$A$404,"&lt;="&amp;DATA_REF))</f>
        <v/>
      </c>
      <c r="W36" s="14">
        <f>IF(OR($S36="",$S36="PENDENTE",$U36=""),"",$S36*$U36)</f>
        <v/>
      </c>
      <c r="X36" s="14">
        <f>IF($W36="","",MAX(0,$W36-N($V36)))</f>
        <v/>
      </c>
      <c r="Y36" s="14">
        <f>IF($X36="","",$X36/EF_APLIC)</f>
        <v/>
      </c>
      <c r="Z36" s="15" t="n">
        <v>125</v>
      </c>
      <c r="AA36" s="16">
        <f>IF(OR($Y36="",$Z36=""),"",$Y36*$Z36*10)</f>
        <v/>
      </c>
      <c r="AB36" s="17" t="n">
        <v>0.475</v>
      </c>
      <c r="AC36" s="16">
        <f>IF(OR($AA36="",$AB36=""),"",$AA36*$AB36)</f>
        <v/>
      </c>
      <c r="AD36" s="18">
        <f>IF($S36="PENDENTE","Definir classe/Kc",IF($Y36="","-",IF($Y36&gt;='PARAMETROS'!$B$7/EF_APLIC,"Irrigar",IF($Y36&gt;='PARAMETROS'!$B$7/EF_APLIC*FRAC_ACOMP,"Acompanhar","Aguardar"))))</f>
        <v/>
      </c>
      <c r="AE36" s="18">
        <f>IF(OR($Y36="",$Y36=0),"-",IF($Y36&gt;=2*'PARAMETROS'!$B$7/EF_APLIC,"Alta",IF($Y36&gt;='PARAMETROS'!$B$7/EF_APLIC,"Media","Baixa")))</f>
        <v/>
      </c>
    </row>
    <row r="37">
      <c r="A37" s="5" t="inlineStr">
        <is>
          <t>Pivô 50</t>
        </is>
      </c>
      <c r="B37" s="5" t="inlineStr">
        <is>
          <t>Karitel</t>
        </is>
      </c>
      <c r="C37" s="5" t="inlineStr">
        <is>
          <t>R14</t>
        </is>
      </c>
      <c r="D37" s="5" t="inlineStr">
        <is>
          <t>Modulo 3</t>
        </is>
      </c>
      <c r="E37" s="5" t="inlineStr">
        <is>
          <t>SOJA</t>
        </is>
      </c>
      <c r="F37" s="6" t="inlineStr">
        <is>
          <t>CZ 48B18 IPRO</t>
        </is>
      </c>
      <c r="G37" s="7" t="inlineStr">
        <is>
          <t>MÉDIA</t>
        </is>
      </c>
      <c r="H37" s="5" t="inlineStr">
        <is>
          <t>proximo</t>
        </is>
      </c>
      <c r="I37" s="8" t="n">
        <v>46352</v>
      </c>
      <c r="J37" s="9">
        <f>IF($I37="","",DATA_REF-$I37)</f>
        <v/>
      </c>
      <c r="K37" s="9">
        <f>IF($J37="","",MAX(0,$J37-'PARAMETROS'!$B$11))</f>
        <v/>
      </c>
      <c r="L37" s="10">
        <f>IFERROR(INDEX(KC_CURVAS!$C$5:$C$15,MATCH("SOJA|"&amp;$G37,KC_CURVAS!$K$5:$K$15,0)),IFERROR(INDEX(KC_CURVAS!$C$5:$C$15,MATCH("SOJA"&amp;"|",KC_CURVAS!$K$5:$K$15,0)),""))</f>
        <v/>
      </c>
      <c r="M37" s="10">
        <f>IFERROR(INDEX(KC_CURVAS!$D$5:$D$15,MATCH("SOJA|"&amp;$G37,KC_CURVAS!$K$5:$K$15,0)),IFERROR(INDEX(KC_CURVAS!$D$5:$D$15,MATCH("SOJA"&amp;"|",KC_CURVAS!$K$5:$K$15,0)),""))</f>
        <v/>
      </c>
      <c r="N37" s="10">
        <f>IFERROR(INDEX(KC_CURVAS!$E$5:$E$15,MATCH("SOJA|"&amp;$G37,KC_CURVAS!$K$5:$K$15,0)),IFERROR(INDEX(KC_CURVAS!$E$5:$E$15,MATCH("SOJA"&amp;"|",KC_CURVAS!$K$5:$K$15,0)),""))</f>
        <v/>
      </c>
      <c r="O37" s="10">
        <f>IFERROR(INDEX(KC_CURVAS!$F$5:$F$15,MATCH("SOJA|"&amp;$G37,KC_CURVAS!$K$5:$K$15,0)),IFERROR(INDEX(KC_CURVAS!$F$5:$F$15,MATCH("SOJA"&amp;"|",KC_CURVAS!$K$5:$K$15,0)),""))</f>
        <v/>
      </c>
      <c r="P37" s="11">
        <f>IFERROR(INDEX(KC_CURVAS!$G$5:$G$15,MATCH("SOJA|"&amp;$G37,KC_CURVAS!$K$5:$K$15,0)),IFERROR(INDEX(KC_CURVAS!$G$5:$G$15,MATCH("SOJA"&amp;"|",KC_CURVAS!$K$5:$K$15,0)),""))</f>
        <v/>
      </c>
      <c r="Q37" s="11">
        <f>IFERROR(INDEX(KC_CURVAS!$H$5:$H$15,MATCH("SOJA|"&amp;$G37,KC_CURVAS!$K$5:$K$15,0)),IFERROR(INDEX(KC_CURVAS!$H$5:$H$15,MATCH("SOJA"&amp;"|",KC_CURVAS!$K$5:$K$15,0)),""))</f>
        <v/>
      </c>
      <c r="R37" s="11">
        <f>IFERROR(INDEX(KC_CURVAS!$I$5:$I$15,MATCH("SOJA|"&amp;$G37,KC_CURVAS!$K$5:$K$15,0)),IFERROR(INDEX(KC_CURVAS!$I$5:$I$15,MATCH("SOJA"&amp;"|",KC_CURVAS!$K$5:$K$15,0)),""))</f>
        <v/>
      </c>
      <c r="S37" s="12">
        <f>IF(OR($K37="",$L37=""),"PENDENTE",IF($K37&lt;=$L37,$P37,IF($K37&lt;=$L37+$M37,$P37+($Q37-$P37)*($K37-$L37)/$M37,IF($K37&lt;=$L37+$M37+$N37,$Q37,IF($K37&lt;=$L37+$M37+$N37+$O37,$Q37+($R37-$Q37)*($K37-($L37+$M37+$N37))/$O37,$R37)))))</f>
        <v/>
      </c>
      <c r="T37" s="13">
        <f>IF($I37="","",$I37)</f>
        <v/>
      </c>
      <c r="U37" s="14">
        <f>IF($T37="","",SUMIFS(ETO_DIARIO!$B$5:$B$404,ETO_DIARIO!$A$5:$A$404,"&gt;"&amp;$T37,ETO_DIARIO!$A$5:$A$404,"&lt;="&amp;DATA_REF))</f>
        <v/>
      </c>
      <c r="V37" s="14">
        <f>IF($T37="","",SUMIFS(ETO_DIARIO!$C$5:$C$404,ETO_DIARIO!$A$5:$A$404,"&gt;"&amp;$T37,ETO_DIARIO!$A$5:$A$404,"&lt;="&amp;DATA_REF))</f>
        <v/>
      </c>
      <c r="W37" s="14">
        <f>IF(OR($S37="",$S37="PENDENTE",$U37=""),"",$S37*$U37)</f>
        <v/>
      </c>
      <c r="X37" s="14">
        <f>IF($W37="","",MAX(0,$W37-N($V37)))</f>
        <v/>
      </c>
      <c r="Y37" s="14">
        <f>IF($X37="","",$X37/EF_APLIC)</f>
        <v/>
      </c>
      <c r="Z37" s="15" t="n">
        <v>120</v>
      </c>
      <c r="AA37" s="16">
        <f>IF(OR($Y37="",$Z37=""),"",$Y37*$Z37*10)</f>
        <v/>
      </c>
      <c r="AB37" s="17" t="n">
        <v>0.828</v>
      </c>
      <c r="AC37" s="16">
        <f>IF(OR($AA37="",$AB37=""),"",$AA37*$AB37)</f>
        <v/>
      </c>
      <c r="AD37" s="18">
        <f>IF($S37="PENDENTE","Definir classe/Kc",IF($Y37="","-",IF($Y37&gt;='PARAMETROS'!$B$7/EF_APLIC,"Irrigar",IF($Y37&gt;='PARAMETROS'!$B$7/EF_APLIC*FRAC_ACOMP,"Acompanhar","Aguardar"))))</f>
        <v/>
      </c>
      <c r="AE37" s="18">
        <f>IF(OR($Y37="",$Y37=0),"-",IF($Y37&gt;=2*'PARAMETROS'!$B$7/EF_APLIC,"Alta",IF($Y37&gt;='PARAMETROS'!$B$7/EF_APLIC,"Media","Baixa")))</f>
        <v/>
      </c>
    </row>
    <row r="38">
      <c r="A38" s="5" t="inlineStr">
        <is>
          <t>Pivô 51</t>
        </is>
      </c>
      <c r="B38" s="5" t="inlineStr">
        <is>
          <t>Karitel</t>
        </is>
      </c>
      <c r="C38" s="5" t="inlineStr">
        <is>
          <t>R14</t>
        </is>
      </c>
      <c r="D38" s="5" t="inlineStr">
        <is>
          <t>Modulo 3</t>
        </is>
      </c>
      <c r="E38" s="5" t="inlineStr">
        <is>
          <t>SOJA</t>
        </is>
      </c>
      <c r="F38" s="6" t="inlineStr">
        <is>
          <t>CZ 48B18 IPRO</t>
        </is>
      </c>
      <c r="G38" s="7" t="inlineStr">
        <is>
          <t>MÉDIA</t>
        </is>
      </c>
      <c r="H38" s="5" t="inlineStr">
        <is>
          <t>proximo</t>
        </is>
      </c>
      <c r="I38" s="8" t="n">
        <v>46316</v>
      </c>
      <c r="J38" s="9">
        <f>IF($I38="","",DATA_REF-$I38)</f>
        <v/>
      </c>
      <c r="K38" s="9">
        <f>IF($J38="","",MAX(0,$J38-'PARAMETROS'!$B$11))</f>
        <v/>
      </c>
      <c r="L38" s="10">
        <f>IFERROR(INDEX(KC_CURVAS!$C$5:$C$15,MATCH("SOJA|"&amp;$G38,KC_CURVAS!$K$5:$K$15,0)),IFERROR(INDEX(KC_CURVAS!$C$5:$C$15,MATCH("SOJA"&amp;"|",KC_CURVAS!$K$5:$K$15,0)),""))</f>
        <v/>
      </c>
      <c r="M38" s="10">
        <f>IFERROR(INDEX(KC_CURVAS!$D$5:$D$15,MATCH("SOJA|"&amp;$G38,KC_CURVAS!$K$5:$K$15,0)),IFERROR(INDEX(KC_CURVAS!$D$5:$D$15,MATCH("SOJA"&amp;"|",KC_CURVAS!$K$5:$K$15,0)),""))</f>
        <v/>
      </c>
      <c r="N38" s="10">
        <f>IFERROR(INDEX(KC_CURVAS!$E$5:$E$15,MATCH("SOJA|"&amp;$G38,KC_CURVAS!$K$5:$K$15,0)),IFERROR(INDEX(KC_CURVAS!$E$5:$E$15,MATCH("SOJA"&amp;"|",KC_CURVAS!$K$5:$K$15,0)),""))</f>
        <v/>
      </c>
      <c r="O38" s="10">
        <f>IFERROR(INDEX(KC_CURVAS!$F$5:$F$15,MATCH("SOJA|"&amp;$G38,KC_CURVAS!$K$5:$K$15,0)),IFERROR(INDEX(KC_CURVAS!$F$5:$F$15,MATCH("SOJA"&amp;"|",KC_CURVAS!$K$5:$K$15,0)),""))</f>
        <v/>
      </c>
      <c r="P38" s="11">
        <f>IFERROR(INDEX(KC_CURVAS!$G$5:$G$15,MATCH("SOJA|"&amp;$G38,KC_CURVAS!$K$5:$K$15,0)),IFERROR(INDEX(KC_CURVAS!$G$5:$G$15,MATCH("SOJA"&amp;"|",KC_CURVAS!$K$5:$K$15,0)),""))</f>
        <v/>
      </c>
      <c r="Q38" s="11">
        <f>IFERROR(INDEX(KC_CURVAS!$H$5:$H$15,MATCH("SOJA|"&amp;$G38,KC_CURVAS!$K$5:$K$15,0)),IFERROR(INDEX(KC_CURVAS!$H$5:$H$15,MATCH("SOJA"&amp;"|",KC_CURVAS!$K$5:$K$15,0)),""))</f>
        <v/>
      </c>
      <c r="R38" s="11">
        <f>IFERROR(INDEX(KC_CURVAS!$I$5:$I$15,MATCH("SOJA|"&amp;$G38,KC_CURVAS!$K$5:$K$15,0)),IFERROR(INDEX(KC_CURVAS!$I$5:$I$15,MATCH("SOJA"&amp;"|",KC_CURVAS!$K$5:$K$15,0)),""))</f>
        <v/>
      </c>
      <c r="S38" s="12">
        <f>IF(OR($K38="",$L38=""),"PENDENTE",IF($K38&lt;=$L38,$P38,IF($K38&lt;=$L38+$M38,$P38+($Q38-$P38)*($K38-$L38)/$M38,IF($K38&lt;=$L38+$M38+$N38,$Q38,IF($K38&lt;=$L38+$M38+$N38+$O38,$Q38+($R38-$Q38)*($K38-($L38+$M38+$N38))/$O38,$R38)))))</f>
        <v/>
      </c>
      <c r="T38" s="13">
        <f>IF($I38="","",$I38)</f>
        <v/>
      </c>
      <c r="U38" s="14">
        <f>IF($T38="","",SUMIFS(ETO_DIARIO!$B$5:$B$404,ETO_DIARIO!$A$5:$A$404,"&gt;"&amp;$T38,ETO_DIARIO!$A$5:$A$404,"&lt;="&amp;DATA_REF))</f>
        <v/>
      </c>
      <c r="V38" s="14">
        <f>IF($T38="","",SUMIFS(ETO_DIARIO!$C$5:$C$404,ETO_DIARIO!$A$5:$A$404,"&gt;"&amp;$T38,ETO_DIARIO!$A$5:$A$404,"&lt;="&amp;DATA_REF))</f>
        <v/>
      </c>
      <c r="W38" s="14">
        <f>IF(OR($S38="",$S38="PENDENTE",$U38=""),"",$S38*$U38)</f>
        <v/>
      </c>
      <c r="X38" s="14">
        <f>IF($W38="","",MAX(0,$W38-N($V38)))</f>
        <v/>
      </c>
      <c r="Y38" s="14">
        <f>IF($X38="","",$X38/EF_APLIC)</f>
        <v/>
      </c>
      <c r="Z38" s="15" t="n">
        <v>120</v>
      </c>
      <c r="AA38" s="16">
        <f>IF(OR($Y38="",$Z38=""),"",$Y38*$Z38*10)</f>
        <v/>
      </c>
      <c r="AB38" s="17" t="n">
        <v>0.836</v>
      </c>
      <c r="AC38" s="16">
        <f>IF(OR($AA38="",$AB38=""),"",$AA38*$AB38)</f>
        <v/>
      </c>
      <c r="AD38" s="18">
        <f>IF($S38="PENDENTE","Definir classe/Kc",IF($Y38="","-",IF($Y38&gt;='PARAMETROS'!$B$7/EF_APLIC,"Irrigar",IF($Y38&gt;='PARAMETROS'!$B$7/EF_APLIC*FRAC_ACOMP,"Acompanhar","Aguardar"))))</f>
        <v/>
      </c>
      <c r="AE38" s="18">
        <f>IF(OR($Y38="",$Y38=0),"-",IF($Y38&gt;=2*'PARAMETROS'!$B$7/EF_APLIC,"Alta",IF($Y38&gt;='PARAMETROS'!$B$7/EF_APLIC,"Media","Baixa")))</f>
        <v/>
      </c>
    </row>
    <row r="39">
      <c r="A39" s="5" t="inlineStr">
        <is>
          <t>Pivô 52</t>
        </is>
      </c>
      <c r="B39" s="5" t="inlineStr">
        <is>
          <t>Karitel</t>
        </is>
      </c>
      <c r="C39" s="5" t="inlineStr">
        <is>
          <t>R12</t>
        </is>
      </c>
      <c r="D39" s="5" t="inlineStr">
        <is>
          <t>Modulo 2</t>
        </is>
      </c>
      <c r="E39" s="5" t="inlineStr">
        <is>
          <t>SOJA</t>
        </is>
      </c>
      <c r="F39" s="6" t="inlineStr">
        <is>
          <t>M8434 12X</t>
        </is>
      </c>
      <c r="G39" s="7" t="inlineStr">
        <is>
          <t>MÉDIA</t>
        </is>
      </c>
      <c r="H39" s="5" t="inlineStr">
        <is>
          <t>proximo</t>
        </is>
      </c>
      <c r="I39" s="8" t="n">
        <v>46331</v>
      </c>
      <c r="J39" s="9">
        <f>IF($I39="","",DATA_REF-$I39)</f>
        <v/>
      </c>
      <c r="K39" s="9">
        <f>IF($J39="","",MAX(0,$J39-'PARAMETROS'!$B$11))</f>
        <v/>
      </c>
      <c r="L39" s="10">
        <f>IFERROR(INDEX(KC_CURVAS!$C$5:$C$15,MATCH("SOJA|"&amp;$G39,KC_CURVAS!$K$5:$K$15,0)),IFERROR(INDEX(KC_CURVAS!$C$5:$C$15,MATCH("SOJA"&amp;"|",KC_CURVAS!$K$5:$K$15,0)),""))</f>
        <v/>
      </c>
      <c r="M39" s="10">
        <f>IFERROR(INDEX(KC_CURVAS!$D$5:$D$15,MATCH("SOJA|"&amp;$G39,KC_CURVAS!$K$5:$K$15,0)),IFERROR(INDEX(KC_CURVAS!$D$5:$D$15,MATCH("SOJA"&amp;"|",KC_CURVAS!$K$5:$K$15,0)),""))</f>
        <v/>
      </c>
      <c r="N39" s="10">
        <f>IFERROR(INDEX(KC_CURVAS!$E$5:$E$15,MATCH("SOJA|"&amp;$G39,KC_CURVAS!$K$5:$K$15,0)),IFERROR(INDEX(KC_CURVAS!$E$5:$E$15,MATCH("SOJA"&amp;"|",KC_CURVAS!$K$5:$K$15,0)),""))</f>
        <v/>
      </c>
      <c r="O39" s="10">
        <f>IFERROR(INDEX(KC_CURVAS!$F$5:$F$15,MATCH("SOJA|"&amp;$G39,KC_CURVAS!$K$5:$K$15,0)),IFERROR(INDEX(KC_CURVAS!$F$5:$F$15,MATCH("SOJA"&amp;"|",KC_CURVAS!$K$5:$K$15,0)),""))</f>
        <v/>
      </c>
      <c r="P39" s="11">
        <f>IFERROR(INDEX(KC_CURVAS!$G$5:$G$15,MATCH("SOJA|"&amp;$G39,KC_CURVAS!$K$5:$K$15,0)),IFERROR(INDEX(KC_CURVAS!$G$5:$G$15,MATCH("SOJA"&amp;"|",KC_CURVAS!$K$5:$K$15,0)),""))</f>
        <v/>
      </c>
      <c r="Q39" s="11">
        <f>IFERROR(INDEX(KC_CURVAS!$H$5:$H$15,MATCH("SOJA|"&amp;$G39,KC_CURVAS!$K$5:$K$15,0)),IFERROR(INDEX(KC_CURVAS!$H$5:$H$15,MATCH("SOJA"&amp;"|",KC_CURVAS!$K$5:$K$15,0)),""))</f>
        <v/>
      </c>
      <c r="R39" s="11">
        <f>IFERROR(INDEX(KC_CURVAS!$I$5:$I$15,MATCH("SOJA|"&amp;$G39,KC_CURVAS!$K$5:$K$15,0)),IFERROR(INDEX(KC_CURVAS!$I$5:$I$15,MATCH("SOJA"&amp;"|",KC_CURVAS!$K$5:$K$15,0)),""))</f>
        <v/>
      </c>
      <c r="S39" s="12">
        <f>IF(OR($K39="",$L39=""),"PENDENTE",IF($K39&lt;=$L39,$P39,IF($K39&lt;=$L39+$M39,$P39+($Q39-$P39)*($K39-$L39)/$M39,IF($K39&lt;=$L39+$M39+$N39,$Q39,IF($K39&lt;=$L39+$M39+$N39+$O39,$Q39+($R39-$Q39)*($K39-($L39+$M39+$N39))/$O39,$R39)))))</f>
        <v/>
      </c>
      <c r="T39" s="13">
        <f>IF($I39="","",$I39)</f>
        <v/>
      </c>
      <c r="U39" s="14">
        <f>IF($T39="","",SUMIFS(ETO_DIARIO!$B$5:$B$404,ETO_DIARIO!$A$5:$A$404,"&gt;"&amp;$T39,ETO_DIARIO!$A$5:$A$404,"&lt;="&amp;DATA_REF))</f>
        <v/>
      </c>
      <c r="V39" s="14">
        <f>IF($T39="","",SUMIFS(ETO_DIARIO!$C$5:$C$404,ETO_DIARIO!$A$5:$A$404,"&gt;"&amp;$T39,ETO_DIARIO!$A$5:$A$404,"&lt;="&amp;DATA_REF))</f>
        <v/>
      </c>
      <c r="W39" s="14">
        <f>IF(OR($S39="",$S39="PENDENTE",$U39=""),"",$S39*$U39)</f>
        <v/>
      </c>
      <c r="X39" s="14">
        <f>IF($W39="","",MAX(0,$W39-N($V39)))</f>
        <v/>
      </c>
      <c r="Y39" s="14">
        <f>IF($X39="","",$X39/EF_APLIC)</f>
        <v/>
      </c>
      <c r="Z39" s="15" t="n">
        <v>160</v>
      </c>
      <c r="AA39" s="16">
        <f>IF(OR($Y39="",$Z39=""),"",$Y39*$Z39*10)</f>
        <v/>
      </c>
      <c r="AB39" s="17" t="n">
        <v>0.475</v>
      </c>
      <c r="AC39" s="16">
        <f>IF(OR($AA39="",$AB39=""),"",$AA39*$AB39)</f>
        <v/>
      </c>
      <c r="AD39" s="18">
        <f>IF($S39="PENDENTE","Definir classe/Kc",IF($Y39="","-",IF($Y39&gt;='PARAMETROS'!$B$7/EF_APLIC,"Irrigar",IF($Y39&gt;='PARAMETROS'!$B$7/EF_APLIC*FRAC_ACOMP,"Acompanhar","Aguardar"))))</f>
        <v/>
      </c>
      <c r="AE39" s="18">
        <f>IF(OR($Y39="",$Y39=0),"-",IF($Y39&gt;=2*'PARAMETROS'!$B$7/EF_APLIC,"Alta",IF($Y39&gt;='PARAMETROS'!$B$7/EF_APLIC,"Media","Baixa")))</f>
        <v/>
      </c>
    </row>
    <row r="40">
      <c r="A40" s="5" t="inlineStr">
        <is>
          <t>Pivô 53</t>
        </is>
      </c>
      <c r="B40" s="5" t="inlineStr">
        <is>
          <t>Karitel</t>
        </is>
      </c>
      <c r="C40" s="5" t="inlineStr">
        <is>
          <t>R13</t>
        </is>
      </c>
      <c r="D40" s="5" t="inlineStr">
        <is>
          <t>Modulo 3</t>
        </is>
      </c>
      <c r="E40" s="5" t="inlineStr">
        <is>
          <t>SOJA</t>
        </is>
      </c>
      <c r="F40" s="6" t="inlineStr">
        <is>
          <t>CZ 48B18 IPRO</t>
        </is>
      </c>
      <c r="G40" s="7" t="inlineStr">
        <is>
          <t>MÉDIA</t>
        </is>
      </c>
      <c r="H40" s="5" t="inlineStr">
        <is>
          <t>proximo</t>
        </is>
      </c>
      <c r="I40" s="8" t="n">
        <v>46317</v>
      </c>
      <c r="J40" s="9">
        <f>IF($I40="","",DATA_REF-$I40)</f>
        <v/>
      </c>
      <c r="K40" s="9">
        <f>IF($J40="","",MAX(0,$J40-'PARAMETROS'!$B$11))</f>
        <v/>
      </c>
      <c r="L40" s="10">
        <f>IFERROR(INDEX(KC_CURVAS!$C$5:$C$15,MATCH("SOJA|"&amp;$G40,KC_CURVAS!$K$5:$K$15,0)),IFERROR(INDEX(KC_CURVAS!$C$5:$C$15,MATCH("SOJA"&amp;"|",KC_CURVAS!$K$5:$K$15,0)),""))</f>
        <v/>
      </c>
      <c r="M40" s="10">
        <f>IFERROR(INDEX(KC_CURVAS!$D$5:$D$15,MATCH("SOJA|"&amp;$G40,KC_CURVAS!$K$5:$K$15,0)),IFERROR(INDEX(KC_CURVAS!$D$5:$D$15,MATCH("SOJA"&amp;"|",KC_CURVAS!$K$5:$K$15,0)),""))</f>
        <v/>
      </c>
      <c r="N40" s="10">
        <f>IFERROR(INDEX(KC_CURVAS!$E$5:$E$15,MATCH("SOJA|"&amp;$G40,KC_CURVAS!$K$5:$K$15,0)),IFERROR(INDEX(KC_CURVAS!$E$5:$E$15,MATCH("SOJA"&amp;"|",KC_CURVAS!$K$5:$K$15,0)),""))</f>
        <v/>
      </c>
      <c r="O40" s="10">
        <f>IFERROR(INDEX(KC_CURVAS!$F$5:$F$15,MATCH("SOJA|"&amp;$G40,KC_CURVAS!$K$5:$K$15,0)),IFERROR(INDEX(KC_CURVAS!$F$5:$F$15,MATCH("SOJA"&amp;"|",KC_CURVAS!$K$5:$K$15,0)),""))</f>
        <v/>
      </c>
      <c r="P40" s="11">
        <f>IFERROR(INDEX(KC_CURVAS!$G$5:$G$15,MATCH("SOJA|"&amp;$G40,KC_CURVAS!$K$5:$K$15,0)),IFERROR(INDEX(KC_CURVAS!$G$5:$G$15,MATCH("SOJA"&amp;"|",KC_CURVAS!$K$5:$K$15,0)),""))</f>
        <v/>
      </c>
      <c r="Q40" s="11">
        <f>IFERROR(INDEX(KC_CURVAS!$H$5:$H$15,MATCH("SOJA|"&amp;$G40,KC_CURVAS!$K$5:$K$15,0)),IFERROR(INDEX(KC_CURVAS!$H$5:$H$15,MATCH("SOJA"&amp;"|",KC_CURVAS!$K$5:$K$15,0)),""))</f>
        <v/>
      </c>
      <c r="R40" s="11">
        <f>IFERROR(INDEX(KC_CURVAS!$I$5:$I$15,MATCH("SOJA|"&amp;$G40,KC_CURVAS!$K$5:$K$15,0)),IFERROR(INDEX(KC_CURVAS!$I$5:$I$15,MATCH("SOJA"&amp;"|",KC_CURVAS!$K$5:$K$15,0)),""))</f>
        <v/>
      </c>
      <c r="S40" s="12">
        <f>IF(OR($K40="",$L40=""),"PENDENTE",IF($K40&lt;=$L40,$P40,IF($K40&lt;=$L40+$M40,$P40+($Q40-$P40)*($K40-$L40)/$M40,IF($K40&lt;=$L40+$M40+$N40,$Q40,IF($K40&lt;=$L40+$M40+$N40+$O40,$Q40+($R40-$Q40)*($K40-($L40+$M40+$N40))/$O40,$R40)))))</f>
        <v/>
      </c>
      <c r="T40" s="13">
        <f>IF($I40="","",$I40)</f>
        <v/>
      </c>
      <c r="U40" s="14">
        <f>IF($T40="","",SUMIFS(ETO_DIARIO!$B$5:$B$404,ETO_DIARIO!$A$5:$A$404,"&gt;"&amp;$T40,ETO_DIARIO!$A$5:$A$404,"&lt;="&amp;DATA_REF))</f>
        <v/>
      </c>
      <c r="V40" s="14">
        <f>IF($T40="","",SUMIFS(ETO_DIARIO!$C$5:$C$404,ETO_DIARIO!$A$5:$A$404,"&gt;"&amp;$T40,ETO_DIARIO!$A$5:$A$404,"&lt;="&amp;DATA_REF))</f>
        <v/>
      </c>
      <c r="W40" s="14">
        <f>IF(OR($S40="",$S40="PENDENTE",$U40=""),"",$S40*$U40)</f>
        <v/>
      </c>
      <c r="X40" s="14">
        <f>IF($W40="","",MAX(0,$W40-N($V40)))</f>
        <v/>
      </c>
      <c r="Y40" s="14">
        <f>IF($X40="","",$X40/EF_APLIC)</f>
        <v/>
      </c>
      <c r="Z40" s="15" t="n">
        <v>75</v>
      </c>
      <c r="AA40" s="16">
        <f>IF(OR($Y40="",$Z40=""),"",$Y40*$Z40*10)</f>
        <v/>
      </c>
      <c r="AB40" s="17" t="n">
        <v>0.735</v>
      </c>
      <c r="AC40" s="16">
        <f>IF(OR($AA40="",$AB40=""),"",$AA40*$AB40)</f>
        <v/>
      </c>
      <c r="AD40" s="18">
        <f>IF($S40="PENDENTE","Definir classe/Kc",IF($Y40="","-",IF($Y40&gt;='PARAMETROS'!$B$7/EF_APLIC,"Irrigar",IF($Y40&gt;='PARAMETROS'!$B$7/EF_APLIC*FRAC_ACOMP,"Acompanhar","Aguardar"))))</f>
        <v/>
      </c>
      <c r="AE40" s="18">
        <f>IF(OR($Y40="",$Y40=0),"-",IF($Y40&gt;=2*'PARAMETROS'!$B$7/EF_APLIC,"Alta",IF($Y40&gt;='PARAMETROS'!$B$7/EF_APLIC,"Media","Baixa")))</f>
        <v/>
      </c>
    </row>
    <row r="41">
      <c r="A41" s="5" t="inlineStr">
        <is>
          <t>Pivô 54</t>
        </is>
      </c>
      <c r="B41" s="5" t="inlineStr">
        <is>
          <t>Karitel</t>
        </is>
      </c>
      <c r="C41" s="5" t="inlineStr">
        <is>
          <t>R13</t>
        </is>
      </c>
      <c r="D41" s="5" t="inlineStr">
        <is>
          <t>Modulo 3</t>
        </is>
      </c>
      <c r="E41" s="5" t="inlineStr">
        <is>
          <t>SOJA</t>
        </is>
      </c>
      <c r="F41" s="6" t="inlineStr">
        <is>
          <t>CZ 48B18 IPRO</t>
        </is>
      </c>
      <c r="G41" s="7" t="inlineStr">
        <is>
          <t>MÉDIA</t>
        </is>
      </c>
      <c r="H41" s="5" t="inlineStr">
        <is>
          <t>proximo</t>
        </is>
      </c>
      <c r="I41" s="8" t="n">
        <v>46316</v>
      </c>
      <c r="J41" s="9">
        <f>IF($I41="","",DATA_REF-$I41)</f>
        <v/>
      </c>
      <c r="K41" s="9">
        <f>IF($J41="","",MAX(0,$J41-'PARAMETROS'!$B$11))</f>
        <v/>
      </c>
      <c r="L41" s="10">
        <f>IFERROR(INDEX(KC_CURVAS!$C$5:$C$15,MATCH("SOJA|"&amp;$G41,KC_CURVAS!$K$5:$K$15,0)),IFERROR(INDEX(KC_CURVAS!$C$5:$C$15,MATCH("SOJA"&amp;"|",KC_CURVAS!$K$5:$K$15,0)),""))</f>
        <v/>
      </c>
      <c r="M41" s="10">
        <f>IFERROR(INDEX(KC_CURVAS!$D$5:$D$15,MATCH("SOJA|"&amp;$G41,KC_CURVAS!$K$5:$K$15,0)),IFERROR(INDEX(KC_CURVAS!$D$5:$D$15,MATCH("SOJA"&amp;"|",KC_CURVAS!$K$5:$K$15,0)),""))</f>
        <v/>
      </c>
      <c r="N41" s="10">
        <f>IFERROR(INDEX(KC_CURVAS!$E$5:$E$15,MATCH("SOJA|"&amp;$G41,KC_CURVAS!$K$5:$K$15,0)),IFERROR(INDEX(KC_CURVAS!$E$5:$E$15,MATCH("SOJA"&amp;"|",KC_CURVAS!$K$5:$K$15,0)),""))</f>
        <v/>
      </c>
      <c r="O41" s="10">
        <f>IFERROR(INDEX(KC_CURVAS!$F$5:$F$15,MATCH("SOJA|"&amp;$G41,KC_CURVAS!$K$5:$K$15,0)),IFERROR(INDEX(KC_CURVAS!$F$5:$F$15,MATCH("SOJA"&amp;"|",KC_CURVAS!$K$5:$K$15,0)),""))</f>
        <v/>
      </c>
      <c r="P41" s="11">
        <f>IFERROR(INDEX(KC_CURVAS!$G$5:$G$15,MATCH("SOJA|"&amp;$G41,KC_CURVAS!$K$5:$K$15,0)),IFERROR(INDEX(KC_CURVAS!$G$5:$G$15,MATCH("SOJA"&amp;"|",KC_CURVAS!$K$5:$K$15,0)),""))</f>
        <v/>
      </c>
      <c r="Q41" s="11">
        <f>IFERROR(INDEX(KC_CURVAS!$H$5:$H$15,MATCH("SOJA|"&amp;$G41,KC_CURVAS!$K$5:$K$15,0)),IFERROR(INDEX(KC_CURVAS!$H$5:$H$15,MATCH("SOJA"&amp;"|",KC_CURVAS!$K$5:$K$15,0)),""))</f>
        <v/>
      </c>
      <c r="R41" s="11">
        <f>IFERROR(INDEX(KC_CURVAS!$I$5:$I$15,MATCH("SOJA|"&amp;$G41,KC_CURVAS!$K$5:$K$15,0)),IFERROR(INDEX(KC_CURVAS!$I$5:$I$15,MATCH("SOJA"&amp;"|",KC_CURVAS!$K$5:$K$15,0)),""))</f>
        <v/>
      </c>
      <c r="S41" s="12">
        <f>IF(OR($K41="",$L41=""),"PENDENTE",IF($K41&lt;=$L41,$P41,IF($K41&lt;=$L41+$M41,$P41+($Q41-$P41)*($K41-$L41)/$M41,IF($K41&lt;=$L41+$M41+$N41,$Q41,IF($K41&lt;=$L41+$M41+$N41+$O41,$Q41+($R41-$Q41)*($K41-($L41+$M41+$N41))/$O41,$R41)))))</f>
        <v/>
      </c>
      <c r="T41" s="13">
        <f>IF($I41="","",$I41)</f>
        <v/>
      </c>
      <c r="U41" s="14">
        <f>IF($T41="","",SUMIFS(ETO_DIARIO!$B$5:$B$404,ETO_DIARIO!$A$5:$A$404,"&gt;"&amp;$T41,ETO_DIARIO!$A$5:$A$404,"&lt;="&amp;DATA_REF))</f>
        <v/>
      </c>
      <c r="V41" s="14">
        <f>IF($T41="","",SUMIFS(ETO_DIARIO!$C$5:$C$404,ETO_DIARIO!$A$5:$A$404,"&gt;"&amp;$T41,ETO_DIARIO!$A$5:$A$404,"&lt;="&amp;DATA_REF))</f>
        <v/>
      </c>
      <c r="W41" s="14">
        <f>IF(OR($S41="",$S41="PENDENTE",$U41=""),"",$S41*$U41)</f>
        <v/>
      </c>
      <c r="X41" s="14">
        <f>IF($W41="","",MAX(0,$W41-N($V41)))</f>
        <v/>
      </c>
      <c r="Y41" s="14">
        <f>IF($X41="","",$X41/EF_APLIC)</f>
        <v/>
      </c>
      <c r="Z41" s="15" t="n">
        <v>120</v>
      </c>
      <c r="AA41" s="16">
        <f>IF(OR($Y41="",$Z41=""),"",$Y41*$Z41*10)</f>
        <v/>
      </c>
      <c r="AB41" s="17" t="n">
        <v>0.827</v>
      </c>
      <c r="AC41" s="16">
        <f>IF(OR($AA41="",$AB41=""),"",$AA41*$AB41)</f>
        <v/>
      </c>
      <c r="AD41" s="18">
        <f>IF($S41="PENDENTE","Definir classe/Kc",IF($Y41="","-",IF($Y41&gt;='PARAMETROS'!$B$7/EF_APLIC,"Irrigar",IF($Y41&gt;='PARAMETROS'!$B$7/EF_APLIC*FRAC_ACOMP,"Acompanhar","Aguardar"))))</f>
        <v/>
      </c>
      <c r="AE41" s="18">
        <f>IF(OR($Y41="",$Y41=0),"-",IF($Y41&gt;=2*'PARAMETROS'!$B$7/EF_APLIC,"Alta",IF($Y41&gt;='PARAMETROS'!$B$7/EF_APLIC,"Media","Baixa")))</f>
        <v/>
      </c>
    </row>
    <row r="42">
      <c r="A42" s="5" t="inlineStr">
        <is>
          <t>Pivô 55</t>
        </is>
      </c>
      <c r="B42" s="5" t="inlineStr">
        <is>
          <t>Karitel</t>
        </is>
      </c>
      <c r="C42" s="5" t="inlineStr">
        <is>
          <t>R13</t>
        </is>
      </c>
      <c r="D42" s="5" t="inlineStr">
        <is>
          <t>Modulo 3</t>
        </is>
      </c>
      <c r="E42" s="5" t="inlineStr">
        <is>
          <t>SOJA</t>
        </is>
      </c>
      <c r="F42" s="6" t="inlineStr">
        <is>
          <t>CZ 48B18 IPRO</t>
        </is>
      </c>
      <c r="G42" s="7" t="inlineStr">
        <is>
          <t>MÉDIA</t>
        </is>
      </c>
      <c r="H42" s="5" t="inlineStr">
        <is>
          <t>proximo</t>
        </is>
      </c>
      <c r="I42" s="8" t="n">
        <v>46318</v>
      </c>
      <c r="J42" s="9">
        <f>IF($I42="","",DATA_REF-$I42)</f>
        <v/>
      </c>
      <c r="K42" s="9">
        <f>IF($J42="","",MAX(0,$J42-'PARAMETROS'!$B$11))</f>
        <v/>
      </c>
      <c r="L42" s="10">
        <f>IFERROR(INDEX(KC_CURVAS!$C$5:$C$15,MATCH("SOJA|"&amp;$G42,KC_CURVAS!$K$5:$K$15,0)),IFERROR(INDEX(KC_CURVAS!$C$5:$C$15,MATCH("SOJA"&amp;"|",KC_CURVAS!$K$5:$K$15,0)),""))</f>
        <v/>
      </c>
      <c r="M42" s="10">
        <f>IFERROR(INDEX(KC_CURVAS!$D$5:$D$15,MATCH("SOJA|"&amp;$G42,KC_CURVAS!$K$5:$K$15,0)),IFERROR(INDEX(KC_CURVAS!$D$5:$D$15,MATCH("SOJA"&amp;"|",KC_CURVAS!$K$5:$K$15,0)),""))</f>
        <v/>
      </c>
      <c r="N42" s="10">
        <f>IFERROR(INDEX(KC_CURVAS!$E$5:$E$15,MATCH("SOJA|"&amp;$G42,KC_CURVAS!$K$5:$K$15,0)),IFERROR(INDEX(KC_CURVAS!$E$5:$E$15,MATCH("SOJA"&amp;"|",KC_CURVAS!$K$5:$K$15,0)),""))</f>
        <v/>
      </c>
      <c r="O42" s="10">
        <f>IFERROR(INDEX(KC_CURVAS!$F$5:$F$15,MATCH("SOJA|"&amp;$G42,KC_CURVAS!$K$5:$K$15,0)),IFERROR(INDEX(KC_CURVAS!$F$5:$F$15,MATCH("SOJA"&amp;"|",KC_CURVAS!$K$5:$K$15,0)),""))</f>
        <v/>
      </c>
      <c r="P42" s="11">
        <f>IFERROR(INDEX(KC_CURVAS!$G$5:$G$15,MATCH("SOJA|"&amp;$G42,KC_CURVAS!$K$5:$K$15,0)),IFERROR(INDEX(KC_CURVAS!$G$5:$G$15,MATCH("SOJA"&amp;"|",KC_CURVAS!$K$5:$K$15,0)),""))</f>
        <v/>
      </c>
      <c r="Q42" s="11">
        <f>IFERROR(INDEX(KC_CURVAS!$H$5:$H$15,MATCH("SOJA|"&amp;$G42,KC_CURVAS!$K$5:$K$15,0)),IFERROR(INDEX(KC_CURVAS!$H$5:$H$15,MATCH("SOJA"&amp;"|",KC_CURVAS!$K$5:$K$15,0)),""))</f>
        <v/>
      </c>
      <c r="R42" s="11">
        <f>IFERROR(INDEX(KC_CURVAS!$I$5:$I$15,MATCH("SOJA|"&amp;$G42,KC_CURVAS!$K$5:$K$15,0)),IFERROR(INDEX(KC_CURVAS!$I$5:$I$15,MATCH("SOJA"&amp;"|",KC_CURVAS!$K$5:$K$15,0)),""))</f>
        <v/>
      </c>
      <c r="S42" s="12">
        <f>IF(OR($K42="",$L42=""),"PENDENTE",IF($K42&lt;=$L42,$P42,IF($K42&lt;=$L42+$M42,$P42+($Q42-$P42)*($K42-$L42)/$M42,IF($K42&lt;=$L42+$M42+$N42,$Q42,IF($K42&lt;=$L42+$M42+$N42+$O42,$Q42+($R42-$Q42)*($K42-($L42+$M42+$N42))/$O42,$R42)))))</f>
        <v/>
      </c>
      <c r="T42" s="13">
        <f>IF($I42="","",$I42)</f>
        <v/>
      </c>
      <c r="U42" s="14">
        <f>IF($T42="","",SUMIFS(ETO_DIARIO!$B$5:$B$404,ETO_DIARIO!$A$5:$A$404,"&gt;"&amp;$T42,ETO_DIARIO!$A$5:$A$404,"&lt;="&amp;DATA_REF))</f>
        <v/>
      </c>
      <c r="V42" s="14">
        <f>IF($T42="","",SUMIFS(ETO_DIARIO!$C$5:$C$404,ETO_DIARIO!$A$5:$A$404,"&gt;"&amp;$T42,ETO_DIARIO!$A$5:$A$404,"&lt;="&amp;DATA_REF))</f>
        <v/>
      </c>
      <c r="W42" s="14">
        <f>IF(OR($S42="",$S42="PENDENTE",$U42=""),"",$S42*$U42)</f>
        <v/>
      </c>
      <c r="X42" s="14">
        <f>IF($W42="","",MAX(0,$W42-N($V42)))</f>
        <v/>
      </c>
      <c r="Y42" s="14">
        <f>IF($X42="","",$X42/EF_APLIC)</f>
        <v/>
      </c>
      <c r="Z42" s="15" t="n">
        <v>150</v>
      </c>
      <c r="AA42" s="16">
        <f>IF(OR($Y42="",$Z42=""),"",$Y42*$Z42*10)</f>
        <v/>
      </c>
      <c r="AB42" s="17" t="n">
        <v>0.9429999999999999</v>
      </c>
      <c r="AC42" s="16">
        <f>IF(OR($AA42="",$AB42=""),"",$AA42*$AB42)</f>
        <v/>
      </c>
      <c r="AD42" s="18">
        <f>IF($S42="PENDENTE","Definir classe/Kc",IF($Y42="","-",IF($Y42&gt;='PARAMETROS'!$B$7/EF_APLIC,"Irrigar",IF($Y42&gt;='PARAMETROS'!$B$7/EF_APLIC*FRAC_ACOMP,"Acompanhar","Aguardar"))))</f>
        <v/>
      </c>
      <c r="AE42" s="18">
        <f>IF(OR($Y42="",$Y42=0),"-",IF($Y42&gt;=2*'PARAMETROS'!$B$7/EF_APLIC,"Alta",IF($Y42&gt;='PARAMETROS'!$B$7/EF_APLIC,"Media","Baixa")))</f>
        <v/>
      </c>
    </row>
    <row r="43">
      <c r="A43" s="5" t="inlineStr">
        <is>
          <t>Pivô 56</t>
        </is>
      </c>
      <c r="B43" s="5" t="inlineStr">
        <is>
          <t>Karitel</t>
        </is>
      </c>
      <c r="C43" s="5" t="inlineStr">
        <is>
          <t>R14</t>
        </is>
      </c>
      <c r="D43" s="5" t="inlineStr">
        <is>
          <t>Modulo 3</t>
        </is>
      </c>
      <c r="E43" s="5" t="inlineStr">
        <is>
          <t>SOJA</t>
        </is>
      </c>
      <c r="F43" s="6" t="inlineStr">
        <is>
          <t>CZ 48B18 IPRO</t>
        </is>
      </c>
      <c r="G43" s="7" t="inlineStr">
        <is>
          <t>MÉDIA</t>
        </is>
      </c>
      <c r="H43" s="5" t="inlineStr">
        <is>
          <t>proximo</t>
        </is>
      </c>
      <c r="I43" s="8" t="n">
        <v>46315</v>
      </c>
      <c r="J43" s="9">
        <f>IF($I43="","",DATA_REF-$I43)</f>
        <v/>
      </c>
      <c r="K43" s="9">
        <f>IF($J43="","",MAX(0,$J43-'PARAMETROS'!$B$11))</f>
        <v/>
      </c>
      <c r="L43" s="10">
        <f>IFERROR(INDEX(KC_CURVAS!$C$5:$C$15,MATCH("SOJA|"&amp;$G43,KC_CURVAS!$K$5:$K$15,0)),IFERROR(INDEX(KC_CURVAS!$C$5:$C$15,MATCH("SOJA"&amp;"|",KC_CURVAS!$K$5:$K$15,0)),""))</f>
        <v/>
      </c>
      <c r="M43" s="10">
        <f>IFERROR(INDEX(KC_CURVAS!$D$5:$D$15,MATCH("SOJA|"&amp;$G43,KC_CURVAS!$K$5:$K$15,0)),IFERROR(INDEX(KC_CURVAS!$D$5:$D$15,MATCH("SOJA"&amp;"|",KC_CURVAS!$K$5:$K$15,0)),""))</f>
        <v/>
      </c>
      <c r="N43" s="10">
        <f>IFERROR(INDEX(KC_CURVAS!$E$5:$E$15,MATCH("SOJA|"&amp;$G43,KC_CURVAS!$K$5:$K$15,0)),IFERROR(INDEX(KC_CURVAS!$E$5:$E$15,MATCH("SOJA"&amp;"|",KC_CURVAS!$K$5:$K$15,0)),""))</f>
        <v/>
      </c>
      <c r="O43" s="10">
        <f>IFERROR(INDEX(KC_CURVAS!$F$5:$F$15,MATCH("SOJA|"&amp;$G43,KC_CURVAS!$K$5:$K$15,0)),IFERROR(INDEX(KC_CURVAS!$F$5:$F$15,MATCH("SOJA"&amp;"|",KC_CURVAS!$K$5:$K$15,0)),""))</f>
        <v/>
      </c>
      <c r="P43" s="11">
        <f>IFERROR(INDEX(KC_CURVAS!$G$5:$G$15,MATCH("SOJA|"&amp;$G43,KC_CURVAS!$K$5:$K$15,0)),IFERROR(INDEX(KC_CURVAS!$G$5:$G$15,MATCH("SOJA"&amp;"|",KC_CURVAS!$K$5:$K$15,0)),""))</f>
        <v/>
      </c>
      <c r="Q43" s="11">
        <f>IFERROR(INDEX(KC_CURVAS!$H$5:$H$15,MATCH("SOJA|"&amp;$G43,KC_CURVAS!$K$5:$K$15,0)),IFERROR(INDEX(KC_CURVAS!$H$5:$H$15,MATCH("SOJA"&amp;"|",KC_CURVAS!$K$5:$K$15,0)),""))</f>
        <v/>
      </c>
      <c r="R43" s="11">
        <f>IFERROR(INDEX(KC_CURVAS!$I$5:$I$15,MATCH("SOJA|"&amp;$G43,KC_CURVAS!$K$5:$K$15,0)),IFERROR(INDEX(KC_CURVAS!$I$5:$I$15,MATCH("SOJA"&amp;"|",KC_CURVAS!$K$5:$K$15,0)),""))</f>
        <v/>
      </c>
      <c r="S43" s="12">
        <f>IF(OR($K43="",$L43=""),"PENDENTE",IF($K43&lt;=$L43,$P43,IF($K43&lt;=$L43+$M43,$P43+($Q43-$P43)*($K43-$L43)/$M43,IF($K43&lt;=$L43+$M43+$N43,$Q43,IF($K43&lt;=$L43+$M43+$N43+$O43,$Q43+($R43-$Q43)*($K43-($L43+$M43+$N43))/$O43,$R43)))))</f>
        <v/>
      </c>
      <c r="T43" s="13">
        <f>IF($I43="","",$I43)</f>
        <v/>
      </c>
      <c r="U43" s="14">
        <f>IF($T43="","",SUMIFS(ETO_DIARIO!$B$5:$B$404,ETO_DIARIO!$A$5:$A$404,"&gt;"&amp;$T43,ETO_DIARIO!$A$5:$A$404,"&lt;="&amp;DATA_REF))</f>
        <v/>
      </c>
      <c r="V43" s="14">
        <f>IF($T43="","",SUMIFS(ETO_DIARIO!$C$5:$C$404,ETO_DIARIO!$A$5:$A$404,"&gt;"&amp;$T43,ETO_DIARIO!$A$5:$A$404,"&lt;="&amp;DATA_REF))</f>
        <v/>
      </c>
      <c r="W43" s="14">
        <f>IF(OR($S43="",$S43="PENDENTE",$U43=""),"",$S43*$U43)</f>
        <v/>
      </c>
      <c r="X43" s="14">
        <f>IF($W43="","",MAX(0,$W43-N($V43)))</f>
        <v/>
      </c>
      <c r="Y43" s="14">
        <f>IF($X43="","",$X43/EF_APLIC)</f>
        <v/>
      </c>
      <c r="Z43" s="15" t="n">
        <v>55</v>
      </c>
      <c r="AA43" s="16">
        <f>IF(OR($Y43="",$Z43=""),"",$Y43*$Z43*10)</f>
        <v/>
      </c>
      <c r="AB43" s="17" t="n">
        <v>0.788</v>
      </c>
      <c r="AC43" s="16">
        <f>IF(OR($AA43="",$AB43=""),"",$AA43*$AB43)</f>
        <v/>
      </c>
      <c r="AD43" s="18">
        <f>IF($S43="PENDENTE","Definir classe/Kc",IF($Y43="","-",IF($Y43&gt;='PARAMETROS'!$B$7/EF_APLIC,"Irrigar",IF($Y43&gt;='PARAMETROS'!$B$7/EF_APLIC*FRAC_ACOMP,"Acompanhar","Aguardar"))))</f>
        <v/>
      </c>
      <c r="AE43" s="18">
        <f>IF(OR($Y43="",$Y43=0),"-",IF($Y43&gt;=2*'PARAMETROS'!$B$7/EF_APLIC,"Alta",IF($Y43&gt;='PARAMETROS'!$B$7/EF_APLIC,"Media","Baixa")))</f>
        <v/>
      </c>
    </row>
    <row r="44">
      <c r="A44" s="5" t="inlineStr">
        <is>
          <t>Pivô 57</t>
        </is>
      </c>
      <c r="B44" s="5" t="inlineStr">
        <is>
          <t>Karitel</t>
        </is>
      </c>
      <c r="C44" s="5" t="inlineStr">
        <is>
          <t>R15</t>
        </is>
      </c>
      <c r="D44" s="5" t="inlineStr">
        <is>
          <t>Modulo 3</t>
        </is>
      </c>
      <c r="E44" s="5" t="inlineStr">
        <is>
          <t>SOJA</t>
        </is>
      </c>
      <c r="F44" s="6" t="inlineStr">
        <is>
          <t>BMX Olimpo IPRO</t>
        </is>
      </c>
      <c r="G44" s="7" t="inlineStr">
        <is>
          <t>MÉDIA</t>
        </is>
      </c>
      <c r="H44" s="5" t="inlineStr">
        <is>
          <t>proximo</t>
        </is>
      </c>
      <c r="I44" s="8" t="n">
        <v>46354</v>
      </c>
      <c r="J44" s="9">
        <f>IF($I44="","",DATA_REF-$I44)</f>
        <v/>
      </c>
      <c r="K44" s="9">
        <f>IF($J44="","",MAX(0,$J44-'PARAMETROS'!$B$11))</f>
        <v/>
      </c>
      <c r="L44" s="10">
        <f>IFERROR(INDEX(KC_CURVAS!$C$5:$C$15,MATCH("SOJA|"&amp;$G44,KC_CURVAS!$K$5:$K$15,0)),IFERROR(INDEX(KC_CURVAS!$C$5:$C$15,MATCH("SOJA"&amp;"|",KC_CURVAS!$K$5:$K$15,0)),""))</f>
        <v/>
      </c>
      <c r="M44" s="10">
        <f>IFERROR(INDEX(KC_CURVAS!$D$5:$D$15,MATCH("SOJA|"&amp;$G44,KC_CURVAS!$K$5:$K$15,0)),IFERROR(INDEX(KC_CURVAS!$D$5:$D$15,MATCH("SOJA"&amp;"|",KC_CURVAS!$K$5:$K$15,0)),""))</f>
        <v/>
      </c>
      <c r="N44" s="10">
        <f>IFERROR(INDEX(KC_CURVAS!$E$5:$E$15,MATCH("SOJA|"&amp;$G44,KC_CURVAS!$K$5:$K$15,0)),IFERROR(INDEX(KC_CURVAS!$E$5:$E$15,MATCH("SOJA"&amp;"|",KC_CURVAS!$K$5:$K$15,0)),""))</f>
        <v/>
      </c>
      <c r="O44" s="10">
        <f>IFERROR(INDEX(KC_CURVAS!$F$5:$F$15,MATCH("SOJA|"&amp;$G44,KC_CURVAS!$K$5:$K$15,0)),IFERROR(INDEX(KC_CURVAS!$F$5:$F$15,MATCH("SOJA"&amp;"|",KC_CURVAS!$K$5:$K$15,0)),""))</f>
        <v/>
      </c>
      <c r="P44" s="11">
        <f>IFERROR(INDEX(KC_CURVAS!$G$5:$G$15,MATCH("SOJA|"&amp;$G44,KC_CURVAS!$K$5:$K$15,0)),IFERROR(INDEX(KC_CURVAS!$G$5:$G$15,MATCH("SOJA"&amp;"|",KC_CURVAS!$K$5:$K$15,0)),""))</f>
        <v/>
      </c>
      <c r="Q44" s="11">
        <f>IFERROR(INDEX(KC_CURVAS!$H$5:$H$15,MATCH("SOJA|"&amp;$G44,KC_CURVAS!$K$5:$K$15,0)),IFERROR(INDEX(KC_CURVAS!$H$5:$H$15,MATCH("SOJA"&amp;"|",KC_CURVAS!$K$5:$K$15,0)),""))</f>
        <v/>
      </c>
      <c r="R44" s="11">
        <f>IFERROR(INDEX(KC_CURVAS!$I$5:$I$15,MATCH("SOJA|"&amp;$G44,KC_CURVAS!$K$5:$K$15,0)),IFERROR(INDEX(KC_CURVAS!$I$5:$I$15,MATCH("SOJA"&amp;"|",KC_CURVAS!$K$5:$K$15,0)),""))</f>
        <v/>
      </c>
      <c r="S44" s="12">
        <f>IF(OR($K44="",$L44=""),"PENDENTE",IF($K44&lt;=$L44,$P44,IF($K44&lt;=$L44+$M44,$P44+($Q44-$P44)*($K44-$L44)/$M44,IF($K44&lt;=$L44+$M44+$N44,$Q44,IF($K44&lt;=$L44+$M44+$N44+$O44,$Q44+($R44-$Q44)*($K44-($L44+$M44+$N44))/$O44,$R44)))))</f>
        <v/>
      </c>
      <c r="T44" s="13">
        <f>IF($I44="","",$I44)</f>
        <v/>
      </c>
      <c r="U44" s="14">
        <f>IF($T44="","",SUMIFS(ETO_DIARIO!$B$5:$B$404,ETO_DIARIO!$A$5:$A$404,"&gt;"&amp;$T44,ETO_DIARIO!$A$5:$A$404,"&lt;="&amp;DATA_REF))</f>
        <v/>
      </c>
      <c r="V44" s="14">
        <f>IF($T44="","",SUMIFS(ETO_DIARIO!$C$5:$C$404,ETO_DIARIO!$A$5:$A$404,"&gt;"&amp;$T44,ETO_DIARIO!$A$5:$A$404,"&lt;="&amp;DATA_REF))</f>
        <v/>
      </c>
      <c r="W44" s="14">
        <f>IF(OR($S44="",$S44="PENDENTE",$U44=""),"",$S44*$U44)</f>
        <v/>
      </c>
      <c r="X44" s="14">
        <f>IF($W44="","",MAX(0,$W44-N($V44)))</f>
        <v/>
      </c>
      <c r="Y44" s="14">
        <f>IF($X44="","",$X44/EF_APLIC)</f>
        <v/>
      </c>
      <c r="Z44" s="15" t="n">
        <v>150</v>
      </c>
      <c r="AA44" s="16">
        <f>IF(OR($Y44="",$Z44=""),"",$Y44*$Z44*10)</f>
        <v/>
      </c>
      <c r="AB44" s="17" t="n">
        <v>0.841</v>
      </c>
      <c r="AC44" s="16">
        <f>IF(OR($AA44="",$AB44=""),"",$AA44*$AB44)</f>
        <v/>
      </c>
      <c r="AD44" s="18">
        <f>IF($S44="PENDENTE","Definir classe/Kc",IF($Y44="","-",IF($Y44&gt;='PARAMETROS'!$B$7/EF_APLIC,"Irrigar",IF($Y44&gt;='PARAMETROS'!$B$7/EF_APLIC*FRAC_ACOMP,"Acompanhar","Aguardar"))))</f>
        <v/>
      </c>
      <c r="AE44" s="18">
        <f>IF(OR($Y44="",$Y44=0),"-",IF($Y44&gt;=2*'PARAMETROS'!$B$7/EF_APLIC,"Alta",IF($Y44&gt;='PARAMETROS'!$B$7/EF_APLIC,"Media","Baixa")))</f>
        <v/>
      </c>
    </row>
    <row r="45">
      <c r="A45" s="5" t="inlineStr">
        <is>
          <t>Pivô 58</t>
        </is>
      </c>
      <c r="B45" s="5" t="inlineStr">
        <is>
          <t>Karitel</t>
        </is>
      </c>
      <c r="C45" s="5" t="inlineStr">
        <is>
          <t>R15</t>
        </is>
      </c>
      <c r="D45" s="5" t="inlineStr">
        <is>
          <t>Modulo 3</t>
        </is>
      </c>
      <c r="E45" s="5" t="inlineStr">
        <is>
          <t>SOJA</t>
        </is>
      </c>
      <c r="F45" s="6" t="inlineStr">
        <is>
          <t>BMX Olimpo IPRO</t>
        </is>
      </c>
      <c r="G45" s="7" t="inlineStr">
        <is>
          <t>MÉDIA</t>
        </is>
      </c>
      <c r="H45" s="5" t="inlineStr">
        <is>
          <t>proximo</t>
        </is>
      </c>
      <c r="I45" s="8" t="n">
        <v>46315</v>
      </c>
      <c r="J45" s="9">
        <f>IF($I45="","",DATA_REF-$I45)</f>
        <v/>
      </c>
      <c r="K45" s="9">
        <f>IF($J45="","",MAX(0,$J45-'PARAMETROS'!$B$11))</f>
        <v/>
      </c>
      <c r="L45" s="10">
        <f>IFERROR(INDEX(KC_CURVAS!$C$5:$C$15,MATCH("SOJA|"&amp;$G45,KC_CURVAS!$K$5:$K$15,0)),IFERROR(INDEX(KC_CURVAS!$C$5:$C$15,MATCH("SOJA"&amp;"|",KC_CURVAS!$K$5:$K$15,0)),""))</f>
        <v/>
      </c>
      <c r="M45" s="10">
        <f>IFERROR(INDEX(KC_CURVAS!$D$5:$D$15,MATCH("SOJA|"&amp;$G45,KC_CURVAS!$K$5:$K$15,0)),IFERROR(INDEX(KC_CURVAS!$D$5:$D$15,MATCH("SOJA"&amp;"|",KC_CURVAS!$K$5:$K$15,0)),""))</f>
        <v/>
      </c>
      <c r="N45" s="10">
        <f>IFERROR(INDEX(KC_CURVAS!$E$5:$E$15,MATCH("SOJA|"&amp;$G45,KC_CURVAS!$K$5:$K$15,0)),IFERROR(INDEX(KC_CURVAS!$E$5:$E$15,MATCH("SOJA"&amp;"|",KC_CURVAS!$K$5:$K$15,0)),""))</f>
        <v/>
      </c>
      <c r="O45" s="10">
        <f>IFERROR(INDEX(KC_CURVAS!$F$5:$F$15,MATCH("SOJA|"&amp;$G45,KC_CURVAS!$K$5:$K$15,0)),IFERROR(INDEX(KC_CURVAS!$F$5:$F$15,MATCH("SOJA"&amp;"|",KC_CURVAS!$K$5:$K$15,0)),""))</f>
        <v/>
      </c>
      <c r="P45" s="11">
        <f>IFERROR(INDEX(KC_CURVAS!$G$5:$G$15,MATCH("SOJA|"&amp;$G45,KC_CURVAS!$K$5:$K$15,0)),IFERROR(INDEX(KC_CURVAS!$G$5:$G$15,MATCH("SOJA"&amp;"|",KC_CURVAS!$K$5:$K$15,0)),""))</f>
        <v/>
      </c>
      <c r="Q45" s="11">
        <f>IFERROR(INDEX(KC_CURVAS!$H$5:$H$15,MATCH("SOJA|"&amp;$G45,KC_CURVAS!$K$5:$K$15,0)),IFERROR(INDEX(KC_CURVAS!$H$5:$H$15,MATCH("SOJA"&amp;"|",KC_CURVAS!$K$5:$K$15,0)),""))</f>
        <v/>
      </c>
      <c r="R45" s="11">
        <f>IFERROR(INDEX(KC_CURVAS!$I$5:$I$15,MATCH("SOJA|"&amp;$G45,KC_CURVAS!$K$5:$K$15,0)),IFERROR(INDEX(KC_CURVAS!$I$5:$I$15,MATCH("SOJA"&amp;"|",KC_CURVAS!$K$5:$K$15,0)),""))</f>
        <v/>
      </c>
      <c r="S45" s="12">
        <f>IF(OR($K45="",$L45=""),"PENDENTE",IF($K45&lt;=$L45,$P45,IF($K45&lt;=$L45+$M45,$P45+($Q45-$P45)*($K45-$L45)/$M45,IF($K45&lt;=$L45+$M45+$N45,$Q45,IF($K45&lt;=$L45+$M45+$N45+$O45,$Q45+($R45-$Q45)*($K45-($L45+$M45+$N45))/$O45,$R45)))))</f>
        <v/>
      </c>
      <c r="T45" s="13">
        <f>IF($I45="","",$I45)</f>
        <v/>
      </c>
      <c r="U45" s="14">
        <f>IF($T45="","",SUMIFS(ETO_DIARIO!$B$5:$B$404,ETO_DIARIO!$A$5:$A$404,"&gt;"&amp;$T45,ETO_DIARIO!$A$5:$A$404,"&lt;="&amp;DATA_REF))</f>
        <v/>
      </c>
      <c r="V45" s="14">
        <f>IF($T45="","",SUMIFS(ETO_DIARIO!$C$5:$C$404,ETO_DIARIO!$A$5:$A$404,"&gt;"&amp;$T45,ETO_DIARIO!$A$5:$A$404,"&lt;="&amp;DATA_REF))</f>
        <v/>
      </c>
      <c r="W45" s="14">
        <f>IF(OR($S45="",$S45="PENDENTE",$U45=""),"",$S45*$U45)</f>
        <v/>
      </c>
      <c r="X45" s="14">
        <f>IF($W45="","",MAX(0,$W45-N($V45)))</f>
        <v/>
      </c>
      <c r="Y45" s="14">
        <f>IF($X45="","",$X45/EF_APLIC)</f>
        <v/>
      </c>
      <c r="Z45" s="15" t="n">
        <v>150</v>
      </c>
      <c r="AA45" s="16">
        <f>IF(OR($Y45="",$Z45=""),"",$Y45*$Z45*10)</f>
        <v/>
      </c>
      <c r="AB45" s="17" t="n">
        <v>0.789</v>
      </c>
      <c r="AC45" s="16">
        <f>IF(OR($AA45="",$AB45=""),"",$AA45*$AB45)</f>
        <v/>
      </c>
      <c r="AD45" s="18">
        <f>IF($S45="PENDENTE","Definir classe/Kc",IF($Y45="","-",IF($Y45&gt;='PARAMETROS'!$B$7/EF_APLIC,"Irrigar",IF($Y45&gt;='PARAMETROS'!$B$7/EF_APLIC*FRAC_ACOMP,"Acompanhar","Aguardar"))))</f>
        <v/>
      </c>
      <c r="AE45" s="18">
        <f>IF(OR($Y45="",$Y45=0),"-",IF($Y45&gt;=2*'PARAMETROS'!$B$7/EF_APLIC,"Alta",IF($Y45&gt;='PARAMETROS'!$B$7/EF_APLIC,"Media","Baixa")))</f>
        <v/>
      </c>
    </row>
    <row r="46">
      <c r="A46" s="5" t="inlineStr">
        <is>
          <t>Pivô 59</t>
        </is>
      </c>
      <c r="B46" s="5" t="inlineStr">
        <is>
          <t>Karitel</t>
        </is>
      </c>
      <c r="C46" s="5" t="inlineStr">
        <is>
          <t>R15</t>
        </is>
      </c>
      <c r="D46" s="5" t="inlineStr">
        <is>
          <t>Modulo 3</t>
        </is>
      </c>
      <c r="E46" s="5" t="inlineStr">
        <is>
          <t>SOJA</t>
        </is>
      </c>
      <c r="F46" s="6" t="inlineStr">
        <is>
          <t>BMX Olimpo IPRO</t>
        </is>
      </c>
      <c r="G46" s="7" t="inlineStr">
        <is>
          <t>MÉDIA</t>
        </is>
      </c>
      <c r="H46" s="5" t="inlineStr">
        <is>
          <t>proximo</t>
        </is>
      </c>
      <c r="I46" s="8" t="n">
        <v>46354</v>
      </c>
      <c r="J46" s="9">
        <f>IF($I46="","",DATA_REF-$I46)</f>
        <v/>
      </c>
      <c r="K46" s="9">
        <f>IF($J46="","",MAX(0,$J46-'PARAMETROS'!$B$11))</f>
        <v/>
      </c>
      <c r="L46" s="10">
        <f>IFERROR(INDEX(KC_CURVAS!$C$5:$C$15,MATCH("SOJA|"&amp;$G46,KC_CURVAS!$K$5:$K$15,0)),IFERROR(INDEX(KC_CURVAS!$C$5:$C$15,MATCH("SOJA"&amp;"|",KC_CURVAS!$K$5:$K$15,0)),""))</f>
        <v/>
      </c>
      <c r="M46" s="10">
        <f>IFERROR(INDEX(KC_CURVAS!$D$5:$D$15,MATCH("SOJA|"&amp;$G46,KC_CURVAS!$K$5:$K$15,0)),IFERROR(INDEX(KC_CURVAS!$D$5:$D$15,MATCH("SOJA"&amp;"|",KC_CURVAS!$K$5:$K$15,0)),""))</f>
        <v/>
      </c>
      <c r="N46" s="10">
        <f>IFERROR(INDEX(KC_CURVAS!$E$5:$E$15,MATCH("SOJA|"&amp;$G46,KC_CURVAS!$K$5:$K$15,0)),IFERROR(INDEX(KC_CURVAS!$E$5:$E$15,MATCH("SOJA"&amp;"|",KC_CURVAS!$K$5:$K$15,0)),""))</f>
        <v/>
      </c>
      <c r="O46" s="10">
        <f>IFERROR(INDEX(KC_CURVAS!$F$5:$F$15,MATCH("SOJA|"&amp;$G46,KC_CURVAS!$K$5:$K$15,0)),IFERROR(INDEX(KC_CURVAS!$F$5:$F$15,MATCH("SOJA"&amp;"|",KC_CURVAS!$K$5:$K$15,0)),""))</f>
        <v/>
      </c>
      <c r="P46" s="11">
        <f>IFERROR(INDEX(KC_CURVAS!$G$5:$G$15,MATCH("SOJA|"&amp;$G46,KC_CURVAS!$K$5:$K$15,0)),IFERROR(INDEX(KC_CURVAS!$G$5:$G$15,MATCH("SOJA"&amp;"|",KC_CURVAS!$K$5:$K$15,0)),""))</f>
        <v/>
      </c>
      <c r="Q46" s="11">
        <f>IFERROR(INDEX(KC_CURVAS!$H$5:$H$15,MATCH("SOJA|"&amp;$G46,KC_CURVAS!$K$5:$K$15,0)),IFERROR(INDEX(KC_CURVAS!$H$5:$H$15,MATCH("SOJA"&amp;"|",KC_CURVAS!$K$5:$K$15,0)),""))</f>
        <v/>
      </c>
      <c r="R46" s="11">
        <f>IFERROR(INDEX(KC_CURVAS!$I$5:$I$15,MATCH("SOJA|"&amp;$G46,KC_CURVAS!$K$5:$K$15,0)),IFERROR(INDEX(KC_CURVAS!$I$5:$I$15,MATCH("SOJA"&amp;"|",KC_CURVAS!$K$5:$K$15,0)),""))</f>
        <v/>
      </c>
      <c r="S46" s="12">
        <f>IF(OR($K46="",$L46=""),"PENDENTE",IF($K46&lt;=$L46,$P46,IF($K46&lt;=$L46+$M46,$P46+($Q46-$P46)*($K46-$L46)/$M46,IF($K46&lt;=$L46+$M46+$N46,$Q46,IF($K46&lt;=$L46+$M46+$N46+$O46,$Q46+($R46-$Q46)*($K46-($L46+$M46+$N46))/$O46,$R46)))))</f>
        <v/>
      </c>
      <c r="T46" s="13">
        <f>IF($I46="","",$I46)</f>
        <v/>
      </c>
      <c r="U46" s="14">
        <f>IF($T46="","",SUMIFS(ETO_DIARIO!$B$5:$B$404,ETO_DIARIO!$A$5:$A$404,"&gt;"&amp;$T46,ETO_DIARIO!$A$5:$A$404,"&lt;="&amp;DATA_REF))</f>
        <v/>
      </c>
      <c r="V46" s="14">
        <f>IF($T46="","",SUMIFS(ETO_DIARIO!$C$5:$C$404,ETO_DIARIO!$A$5:$A$404,"&gt;"&amp;$T46,ETO_DIARIO!$A$5:$A$404,"&lt;="&amp;DATA_REF))</f>
        <v/>
      </c>
      <c r="W46" s="14">
        <f>IF(OR($S46="",$S46="PENDENTE",$U46=""),"",$S46*$U46)</f>
        <v/>
      </c>
      <c r="X46" s="14">
        <f>IF($W46="","",MAX(0,$W46-N($V46)))</f>
        <v/>
      </c>
      <c r="Y46" s="14">
        <f>IF($X46="","",$X46/EF_APLIC)</f>
        <v/>
      </c>
      <c r="Z46" s="15" t="n">
        <v>143</v>
      </c>
      <c r="AA46" s="16">
        <f>IF(OR($Y46="",$Z46=""),"",$Y46*$Z46*10)</f>
        <v/>
      </c>
      <c r="AB46" s="17" t="n">
        <v>0.823</v>
      </c>
      <c r="AC46" s="16">
        <f>IF(OR($AA46="",$AB46=""),"",$AA46*$AB46)</f>
        <v/>
      </c>
      <c r="AD46" s="18">
        <f>IF($S46="PENDENTE","Definir classe/Kc",IF($Y46="","-",IF($Y46&gt;='PARAMETROS'!$B$7/EF_APLIC,"Irrigar",IF($Y46&gt;='PARAMETROS'!$B$7/EF_APLIC*FRAC_ACOMP,"Acompanhar","Aguardar"))))</f>
        <v/>
      </c>
      <c r="AE46" s="18">
        <f>IF(OR($Y46="",$Y46=0),"-",IF($Y46&gt;=2*'PARAMETROS'!$B$7/EF_APLIC,"Alta",IF($Y46&gt;='PARAMETROS'!$B$7/EF_APLIC,"Media","Baixa")))</f>
        <v/>
      </c>
    </row>
    <row r="47">
      <c r="A47" s="5" t="inlineStr">
        <is>
          <t>Pivô 60</t>
        </is>
      </c>
      <c r="B47" s="5" t="inlineStr">
        <is>
          <t>Karitel</t>
        </is>
      </c>
      <c r="C47" s="5" t="inlineStr">
        <is>
          <t>R15</t>
        </is>
      </c>
      <c r="D47" s="5" t="inlineStr">
        <is>
          <t>Modulo 3</t>
        </is>
      </c>
      <c r="E47" s="5" t="inlineStr">
        <is>
          <t>SOJA</t>
        </is>
      </c>
      <c r="F47" s="6" t="inlineStr">
        <is>
          <t>BMX Olimpo IPRO</t>
        </is>
      </c>
      <c r="G47" s="7" t="inlineStr">
        <is>
          <t>MÉDIA</t>
        </is>
      </c>
      <c r="H47" s="5" t="inlineStr">
        <is>
          <t>proximo</t>
        </is>
      </c>
      <c r="I47" s="8" t="n">
        <v>46350</v>
      </c>
      <c r="J47" s="9">
        <f>IF($I47="","",DATA_REF-$I47)</f>
        <v/>
      </c>
      <c r="K47" s="9">
        <f>IF($J47="","",MAX(0,$J47-'PARAMETROS'!$B$11))</f>
        <v/>
      </c>
      <c r="L47" s="10">
        <f>IFERROR(INDEX(KC_CURVAS!$C$5:$C$15,MATCH("SOJA|"&amp;$G47,KC_CURVAS!$K$5:$K$15,0)),IFERROR(INDEX(KC_CURVAS!$C$5:$C$15,MATCH("SOJA"&amp;"|",KC_CURVAS!$K$5:$K$15,0)),""))</f>
        <v/>
      </c>
      <c r="M47" s="10">
        <f>IFERROR(INDEX(KC_CURVAS!$D$5:$D$15,MATCH("SOJA|"&amp;$G47,KC_CURVAS!$K$5:$K$15,0)),IFERROR(INDEX(KC_CURVAS!$D$5:$D$15,MATCH("SOJA"&amp;"|",KC_CURVAS!$K$5:$K$15,0)),""))</f>
        <v/>
      </c>
      <c r="N47" s="10">
        <f>IFERROR(INDEX(KC_CURVAS!$E$5:$E$15,MATCH("SOJA|"&amp;$G47,KC_CURVAS!$K$5:$K$15,0)),IFERROR(INDEX(KC_CURVAS!$E$5:$E$15,MATCH("SOJA"&amp;"|",KC_CURVAS!$K$5:$K$15,0)),""))</f>
        <v/>
      </c>
      <c r="O47" s="10">
        <f>IFERROR(INDEX(KC_CURVAS!$F$5:$F$15,MATCH("SOJA|"&amp;$G47,KC_CURVAS!$K$5:$K$15,0)),IFERROR(INDEX(KC_CURVAS!$F$5:$F$15,MATCH("SOJA"&amp;"|",KC_CURVAS!$K$5:$K$15,0)),""))</f>
        <v/>
      </c>
      <c r="P47" s="11">
        <f>IFERROR(INDEX(KC_CURVAS!$G$5:$G$15,MATCH("SOJA|"&amp;$G47,KC_CURVAS!$K$5:$K$15,0)),IFERROR(INDEX(KC_CURVAS!$G$5:$G$15,MATCH("SOJA"&amp;"|",KC_CURVAS!$K$5:$K$15,0)),""))</f>
        <v/>
      </c>
      <c r="Q47" s="11">
        <f>IFERROR(INDEX(KC_CURVAS!$H$5:$H$15,MATCH("SOJA|"&amp;$G47,KC_CURVAS!$K$5:$K$15,0)),IFERROR(INDEX(KC_CURVAS!$H$5:$H$15,MATCH("SOJA"&amp;"|",KC_CURVAS!$K$5:$K$15,0)),""))</f>
        <v/>
      </c>
      <c r="R47" s="11">
        <f>IFERROR(INDEX(KC_CURVAS!$I$5:$I$15,MATCH("SOJA|"&amp;$G47,KC_CURVAS!$K$5:$K$15,0)),IFERROR(INDEX(KC_CURVAS!$I$5:$I$15,MATCH("SOJA"&amp;"|",KC_CURVAS!$K$5:$K$15,0)),""))</f>
        <v/>
      </c>
      <c r="S47" s="12">
        <f>IF(OR($K47="",$L47=""),"PENDENTE",IF($K47&lt;=$L47,$P47,IF($K47&lt;=$L47+$M47,$P47+($Q47-$P47)*($K47-$L47)/$M47,IF($K47&lt;=$L47+$M47+$N47,$Q47,IF($K47&lt;=$L47+$M47+$N47+$O47,$Q47+($R47-$Q47)*($K47-($L47+$M47+$N47))/$O47,$R47)))))</f>
        <v/>
      </c>
      <c r="T47" s="13">
        <f>IF($I47="","",$I47)</f>
        <v/>
      </c>
      <c r="U47" s="14">
        <f>IF($T47="","",SUMIFS(ETO_DIARIO!$B$5:$B$404,ETO_DIARIO!$A$5:$A$404,"&gt;"&amp;$T47,ETO_DIARIO!$A$5:$A$404,"&lt;="&amp;DATA_REF))</f>
        <v/>
      </c>
      <c r="V47" s="14">
        <f>IF($T47="","",SUMIFS(ETO_DIARIO!$C$5:$C$404,ETO_DIARIO!$A$5:$A$404,"&gt;"&amp;$T47,ETO_DIARIO!$A$5:$A$404,"&lt;="&amp;DATA_REF))</f>
        <v/>
      </c>
      <c r="W47" s="14">
        <f>IF(OR($S47="",$S47="PENDENTE",$U47=""),"",$S47*$U47)</f>
        <v/>
      </c>
      <c r="X47" s="14">
        <f>IF($W47="","",MAX(0,$W47-N($V47)))</f>
        <v/>
      </c>
      <c r="Y47" s="14">
        <f>IF($X47="","",$X47/EF_APLIC)</f>
        <v/>
      </c>
      <c r="Z47" s="15" t="n">
        <v>150</v>
      </c>
      <c r="AA47" s="16">
        <f>IF(OR($Y47="",$Z47=""),"",$Y47*$Z47*10)</f>
        <v/>
      </c>
      <c r="AB47" s="17" t="n">
        <v>0.819</v>
      </c>
      <c r="AC47" s="16">
        <f>IF(OR($AA47="",$AB47=""),"",$AA47*$AB47)</f>
        <v/>
      </c>
      <c r="AD47" s="18">
        <f>IF($S47="PENDENTE","Definir classe/Kc",IF($Y47="","-",IF($Y47&gt;='PARAMETROS'!$B$7/EF_APLIC,"Irrigar",IF($Y47&gt;='PARAMETROS'!$B$7/EF_APLIC*FRAC_ACOMP,"Acompanhar","Aguardar"))))</f>
        <v/>
      </c>
      <c r="AE47" s="18">
        <f>IF(OR($Y47="",$Y47=0),"-",IF($Y47&gt;=2*'PARAMETROS'!$B$7/EF_APLIC,"Alta",IF($Y47&gt;='PARAMETROS'!$B$7/EF_APLIC,"Media","Baixa")))</f>
        <v/>
      </c>
    </row>
    <row r="48">
      <c r="A48" s="5" t="inlineStr">
        <is>
          <t>Pivô 61</t>
        </is>
      </c>
      <c r="B48" s="5" t="inlineStr">
        <is>
          <t>Karitel</t>
        </is>
      </c>
      <c r="C48" s="5" t="inlineStr">
        <is>
          <t>R16</t>
        </is>
      </c>
      <c r="D48" s="5" t="inlineStr">
        <is>
          <t>Modulo 3</t>
        </is>
      </c>
      <c r="E48" s="5" t="inlineStr">
        <is>
          <t>SOJA</t>
        </is>
      </c>
      <c r="F48" s="6" t="inlineStr">
        <is>
          <t>BMX Olimpo IPRO</t>
        </is>
      </c>
      <c r="G48" s="7" t="inlineStr">
        <is>
          <t>MÉDIA</t>
        </is>
      </c>
      <c r="H48" s="5" t="inlineStr">
        <is>
          <t>proximo</t>
        </is>
      </c>
      <c r="I48" s="8" t="n">
        <v>46368</v>
      </c>
      <c r="J48" s="9">
        <f>IF($I48="","",DATA_REF-$I48)</f>
        <v/>
      </c>
      <c r="K48" s="9">
        <f>IF($J48="","",MAX(0,$J48-'PARAMETROS'!$B$11))</f>
        <v/>
      </c>
      <c r="L48" s="10">
        <f>IFERROR(INDEX(KC_CURVAS!$C$5:$C$15,MATCH("SOJA|"&amp;$G48,KC_CURVAS!$K$5:$K$15,0)),IFERROR(INDEX(KC_CURVAS!$C$5:$C$15,MATCH("SOJA"&amp;"|",KC_CURVAS!$K$5:$K$15,0)),""))</f>
        <v/>
      </c>
      <c r="M48" s="10">
        <f>IFERROR(INDEX(KC_CURVAS!$D$5:$D$15,MATCH("SOJA|"&amp;$G48,KC_CURVAS!$K$5:$K$15,0)),IFERROR(INDEX(KC_CURVAS!$D$5:$D$15,MATCH("SOJA"&amp;"|",KC_CURVAS!$K$5:$K$15,0)),""))</f>
        <v/>
      </c>
      <c r="N48" s="10">
        <f>IFERROR(INDEX(KC_CURVAS!$E$5:$E$15,MATCH("SOJA|"&amp;$G48,KC_CURVAS!$K$5:$K$15,0)),IFERROR(INDEX(KC_CURVAS!$E$5:$E$15,MATCH("SOJA"&amp;"|",KC_CURVAS!$K$5:$K$15,0)),""))</f>
        <v/>
      </c>
      <c r="O48" s="10">
        <f>IFERROR(INDEX(KC_CURVAS!$F$5:$F$15,MATCH("SOJA|"&amp;$G48,KC_CURVAS!$K$5:$K$15,0)),IFERROR(INDEX(KC_CURVAS!$F$5:$F$15,MATCH("SOJA"&amp;"|",KC_CURVAS!$K$5:$K$15,0)),""))</f>
        <v/>
      </c>
      <c r="P48" s="11">
        <f>IFERROR(INDEX(KC_CURVAS!$G$5:$G$15,MATCH("SOJA|"&amp;$G48,KC_CURVAS!$K$5:$K$15,0)),IFERROR(INDEX(KC_CURVAS!$G$5:$G$15,MATCH("SOJA"&amp;"|",KC_CURVAS!$K$5:$K$15,0)),""))</f>
        <v/>
      </c>
      <c r="Q48" s="11">
        <f>IFERROR(INDEX(KC_CURVAS!$H$5:$H$15,MATCH("SOJA|"&amp;$G48,KC_CURVAS!$K$5:$K$15,0)),IFERROR(INDEX(KC_CURVAS!$H$5:$H$15,MATCH("SOJA"&amp;"|",KC_CURVAS!$K$5:$K$15,0)),""))</f>
        <v/>
      </c>
      <c r="R48" s="11">
        <f>IFERROR(INDEX(KC_CURVAS!$I$5:$I$15,MATCH("SOJA|"&amp;$G48,KC_CURVAS!$K$5:$K$15,0)),IFERROR(INDEX(KC_CURVAS!$I$5:$I$15,MATCH("SOJA"&amp;"|",KC_CURVAS!$K$5:$K$15,0)),""))</f>
        <v/>
      </c>
      <c r="S48" s="12">
        <f>IF(OR($K48="",$L48=""),"PENDENTE",IF($K48&lt;=$L48,$P48,IF($K48&lt;=$L48+$M48,$P48+($Q48-$P48)*($K48-$L48)/$M48,IF($K48&lt;=$L48+$M48+$N48,$Q48,IF($K48&lt;=$L48+$M48+$N48+$O48,$Q48+($R48-$Q48)*($K48-($L48+$M48+$N48))/$O48,$R48)))))</f>
        <v/>
      </c>
      <c r="T48" s="13">
        <f>IF($I48="","",$I48)</f>
        <v/>
      </c>
      <c r="U48" s="14">
        <f>IF($T48="","",SUMIFS(ETO_DIARIO!$B$5:$B$404,ETO_DIARIO!$A$5:$A$404,"&gt;"&amp;$T48,ETO_DIARIO!$A$5:$A$404,"&lt;="&amp;DATA_REF))</f>
        <v/>
      </c>
      <c r="V48" s="14">
        <f>IF($T48="","",SUMIFS(ETO_DIARIO!$C$5:$C$404,ETO_DIARIO!$A$5:$A$404,"&gt;"&amp;$T48,ETO_DIARIO!$A$5:$A$404,"&lt;="&amp;DATA_REF))</f>
        <v/>
      </c>
      <c r="W48" s="14">
        <f>IF(OR($S48="",$S48="PENDENTE",$U48=""),"",$S48*$U48)</f>
        <v/>
      </c>
      <c r="X48" s="14">
        <f>IF($W48="","",MAX(0,$W48-N($V48)))</f>
        <v/>
      </c>
      <c r="Y48" s="14">
        <f>IF($X48="","",$X48/EF_APLIC)</f>
        <v/>
      </c>
      <c r="Z48" s="15" t="n">
        <v>145</v>
      </c>
      <c r="AA48" s="16">
        <f>IF(OR($Y48="",$Z48=""),"",$Y48*$Z48*10)</f>
        <v/>
      </c>
      <c r="AB48" s="17" t="n">
        <v>0.821</v>
      </c>
      <c r="AC48" s="16">
        <f>IF(OR($AA48="",$AB48=""),"",$AA48*$AB48)</f>
        <v/>
      </c>
      <c r="AD48" s="18">
        <f>IF($S48="PENDENTE","Definir classe/Kc",IF($Y48="","-",IF($Y48&gt;='PARAMETROS'!$B$7/EF_APLIC,"Irrigar",IF($Y48&gt;='PARAMETROS'!$B$7/EF_APLIC*FRAC_ACOMP,"Acompanhar","Aguardar"))))</f>
        <v/>
      </c>
      <c r="AE48" s="18">
        <f>IF(OR($Y48="",$Y48=0),"-",IF($Y48&gt;=2*'PARAMETROS'!$B$7/EF_APLIC,"Alta",IF($Y48&gt;='PARAMETROS'!$B$7/EF_APLIC,"Media","Baixa")))</f>
        <v/>
      </c>
    </row>
    <row r="49">
      <c r="A49" s="5" t="inlineStr">
        <is>
          <t>Pivô 63</t>
        </is>
      </c>
      <c r="B49" s="5" t="inlineStr">
        <is>
          <t>Karitel</t>
        </is>
      </c>
      <c r="C49" s="5" t="inlineStr">
        <is>
          <t>R18</t>
        </is>
      </c>
      <c r="D49" s="5" t="inlineStr">
        <is>
          <t>Modulo 3</t>
        </is>
      </c>
      <c r="E49" s="5" t="inlineStr">
        <is>
          <t>SOJA</t>
        </is>
      </c>
      <c r="F49" s="6" t="inlineStr">
        <is>
          <t>NEO 761 I2X</t>
        </is>
      </c>
      <c r="G49" s="7" t="inlineStr">
        <is>
          <t>PRECOCE</t>
        </is>
      </c>
      <c r="H49" s="5" t="inlineStr">
        <is>
          <t>ativo</t>
        </is>
      </c>
      <c r="I49" s="8" t="n">
        <v>46294</v>
      </c>
      <c r="J49" s="9">
        <f>IF($I49="","",DATA_REF-$I49)</f>
        <v/>
      </c>
      <c r="K49" s="9">
        <f>IF($J49="","",MAX(0,$J49-'PARAMETROS'!$B$11))</f>
        <v/>
      </c>
      <c r="L49" s="10">
        <f>IFERROR(INDEX(KC_CURVAS!$C$5:$C$15,MATCH("SOJA|"&amp;$G49,KC_CURVAS!$K$5:$K$15,0)),IFERROR(INDEX(KC_CURVAS!$C$5:$C$15,MATCH("SOJA"&amp;"|",KC_CURVAS!$K$5:$K$15,0)),""))</f>
        <v/>
      </c>
      <c r="M49" s="10">
        <f>IFERROR(INDEX(KC_CURVAS!$D$5:$D$15,MATCH("SOJA|"&amp;$G49,KC_CURVAS!$K$5:$K$15,0)),IFERROR(INDEX(KC_CURVAS!$D$5:$D$15,MATCH("SOJA"&amp;"|",KC_CURVAS!$K$5:$K$15,0)),""))</f>
        <v/>
      </c>
      <c r="N49" s="10">
        <f>IFERROR(INDEX(KC_CURVAS!$E$5:$E$15,MATCH("SOJA|"&amp;$G49,KC_CURVAS!$K$5:$K$15,0)),IFERROR(INDEX(KC_CURVAS!$E$5:$E$15,MATCH("SOJA"&amp;"|",KC_CURVAS!$K$5:$K$15,0)),""))</f>
        <v/>
      </c>
      <c r="O49" s="10">
        <f>IFERROR(INDEX(KC_CURVAS!$F$5:$F$15,MATCH("SOJA|"&amp;$G49,KC_CURVAS!$K$5:$K$15,0)),IFERROR(INDEX(KC_CURVAS!$F$5:$F$15,MATCH("SOJA"&amp;"|",KC_CURVAS!$K$5:$K$15,0)),""))</f>
        <v/>
      </c>
      <c r="P49" s="11">
        <f>IFERROR(INDEX(KC_CURVAS!$G$5:$G$15,MATCH("SOJA|"&amp;$G49,KC_CURVAS!$K$5:$K$15,0)),IFERROR(INDEX(KC_CURVAS!$G$5:$G$15,MATCH("SOJA"&amp;"|",KC_CURVAS!$K$5:$K$15,0)),""))</f>
        <v/>
      </c>
      <c r="Q49" s="11">
        <f>IFERROR(INDEX(KC_CURVAS!$H$5:$H$15,MATCH("SOJA|"&amp;$G49,KC_CURVAS!$K$5:$K$15,0)),IFERROR(INDEX(KC_CURVAS!$H$5:$H$15,MATCH("SOJA"&amp;"|",KC_CURVAS!$K$5:$K$15,0)),""))</f>
        <v/>
      </c>
      <c r="R49" s="11">
        <f>IFERROR(INDEX(KC_CURVAS!$I$5:$I$15,MATCH("SOJA|"&amp;$G49,KC_CURVAS!$K$5:$K$15,0)),IFERROR(INDEX(KC_CURVAS!$I$5:$I$15,MATCH("SOJA"&amp;"|",KC_CURVAS!$K$5:$K$15,0)),""))</f>
        <v/>
      </c>
      <c r="S49" s="12">
        <f>IF(OR($K49="",$L49=""),"PENDENTE",IF($K49&lt;=$L49,$P49,IF($K49&lt;=$L49+$M49,$P49+($Q49-$P49)*($K49-$L49)/$M49,IF($K49&lt;=$L49+$M49+$N49,$Q49,IF($K49&lt;=$L49+$M49+$N49+$O49,$Q49+($R49-$Q49)*($K49-($L49+$M49+$N49))/$O49,$R49)))))</f>
        <v/>
      </c>
      <c r="T49" s="13">
        <f>IF($I49="","",$I49)</f>
        <v/>
      </c>
      <c r="U49" s="14">
        <f>IF($T49="","",SUMIFS(ETO_DIARIO!$B$5:$B$404,ETO_DIARIO!$A$5:$A$404,"&gt;"&amp;$T49,ETO_DIARIO!$A$5:$A$404,"&lt;="&amp;DATA_REF))</f>
        <v/>
      </c>
      <c r="V49" s="14">
        <f>IF($T49="","",SUMIFS(ETO_DIARIO!$C$5:$C$404,ETO_DIARIO!$A$5:$A$404,"&gt;"&amp;$T49,ETO_DIARIO!$A$5:$A$404,"&lt;="&amp;DATA_REF))</f>
        <v/>
      </c>
      <c r="W49" s="14">
        <f>IF(OR($S49="",$S49="PENDENTE",$U49=""),"",$S49*$U49)</f>
        <v/>
      </c>
      <c r="X49" s="14">
        <f>IF($W49="","",MAX(0,$W49-N($V49)))</f>
        <v/>
      </c>
      <c r="Y49" s="14">
        <f>IF($X49="","",$X49/EF_APLIC)</f>
        <v/>
      </c>
      <c r="Z49" s="15" t="n">
        <v>80</v>
      </c>
      <c r="AA49" s="16">
        <f>IF(OR($Y49="",$Z49=""),"",$Y49*$Z49*10)</f>
        <v/>
      </c>
      <c r="AB49" s="17" t="n">
        <v>0.827</v>
      </c>
      <c r="AC49" s="16">
        <f>IF(OR($AA49="",$AB49=""),"",$AA49*$AB49)</f>
        <v/>
      </c>
      <c r="AD49" s="18">
        <f>IF($S49="PENDENTE","Definir classe/Kc",IF($Y49="","-",IF($Y49&gt;='PARAMETROS'!$B$7/EF_APLIC,"Irrigar",IF($Y49&gt;='PARAMETROS'!$B$7/EF_APLIC*FRAC_ACOMP,"Acompanhar","Aguardar"))))</f>
        <v/>
      </c>
      <c r="AE49" s="18">
        <f>IF(OR($Y49="",$Y49=0),"-",IF($Y49&gt;=2*'PARAMETROS'!$B$7/EF_APLIC,"Alta",IF($Y49&gt;='PARAMETROS'!$B$7/EF_APLIC,"Media","Baixa")))</f>
        <v/>
      </c>
    </row>
    <row r="50">
      <c r="A50" s="5" t="inlineStr">
        <is>
          <t>Pivô 64</t>
        </is>
      </c>
      <c r="B50" s="5" t="inlineStr">
        <is>
          <t>Karitel</t>
        </is>
      </c>
      <c r="C50" s="5" t="inlineStr">
        <is>
          <t>R18</t>
        </is>
      </c>
      <c r="D50" s="5" t="inlineStr">
        <is>
          <t>Modulo 3</t>
        </is>
      </c>
      <c r="E50" s="5" t="inlineStr">
        <is>
          <t>SOJA</t>
        </is>
      </c>
      <c r="F50" s="6" t="inlineStr">
        <is>
          <t>NEO 761 I2X</t>
        </is>
      </c>
      <c r="G50" s="7" t="inlineStr">
        <is>
          <t>PRECOCE</t>
        </is>
      </c>
      <c r="H50" s="5" t="inlineStr">
        <is>
          <t>ativo</t>
        </is>
      </c>
      <c r="I50" s="8" t="n">
        <v>46295</v>
      </c>
      <c r="J50" s="9">
        <f>IF($I50="","",DATA_REF-$I50)</f>
        <v/>
      </c>
      <c r="K50" s="9">
        <f>IF($J50="","",MAX(0,$J50-'PARAMETROS'!$B$11))</f>
        <v/>
      </c>
      <c r="L50" s="10">
        <f>IFERROR(INDEX(KC_CURVAS!$C$5:$C$15,MATCH("SOJA|"&amp;$G50,KC_CURVAS!$K$5:$K$15,0)),IFERROR(INDEX(KC_CURVAS!$C$5:$C$15,MATCH("SOJA"&amp;"|",KC_CURVAS!$K$5:$K$15,0)),""))</f>
        <v/>
      </c>
      <c r="M50" s="10">
        <f>IFERROR(INDEX(KC_CURVAS!$D$5:$D$15,MATCH("SOJA|"&amp;$G50,KC_CURVAS!$K$5:$K$15,0)),IFERROR(INDEX(KC_CURVAS!$D$5:$D$15,MATCH("SOJA"&amp;"|",KC_CURVAS!$K$5:$K$15,0)),""))</f>
        <v/>
      </c>
      <c r="N50" s="10">
        <f>IFERROR(INDEX(KC_CURVAS!$E$5:$E$15,MATCH("SOJA|"&amp;$G50,KC_CURVAS!$K$5:$K$15,0)),IFERROR(INDEX(KC_CURVAS!$E$5:$E$15,MATCH("SOJA"&amp;"|",KC_CURVAS!$K$5:$K$15,0)),""))</f>
        <v/>
      </c>
      <c r="O50" s="10">
        <f>IFERROR(INDEX(KC_CURVAS!$F$5:$F$15,MATCH("SOJA|"&amp;$G50,KC_CURVAS!$K$5:$K$15,0)),IFERROR(INDEX(KC_CURVAS!$F$5:$F$15,MATCH("SOJA"&amp;"|",KC_CURVAS!$K$5:$K$15,0)),""))</f>
        <v/>
      </c>
      <c r="P50" s="11">
        <f>IFERROR(INDEX(KC_CURVAS!$G$5:$G$15,MATCH("SOJA|"&amp;$G50,KC_CURVAS!$K$5:$K$15,0)),IFERROR(INDEX(KC_CURVAS!$G$5:$G$15,MATCH("SOJA"&amp;"|",KC_CURVAS!$K$5:$K$15,0)),""))</f>
        <v/>
      </c>
      <c r="Q50" s="11">
        <f>IFERROR(INDEX(KC_CURVAS!$H$5:$H$15,MATCH("SOJA|"&amp;$G50,KC_CURVAS!$K$5:$K$15,0)),IFERROR(INDEX(KC_CURVAS!$H$5:$H$15,MATCH("SOJA"&amp;"|",KC_CURVAS!$K$5:$K$15,0)),""))</f>
        <v/>
      </c>
      <c r="R50" s="11">
        <f>IFERROR(INDEX(KC_CURVAS!$I$5:$I$15,MATCH("SOJA|"&amp;$G50,KC_CURVAS!$K$5:$K$15,0)),IFERROR(INDEX(KC_CURVAS!$I$5:$I$15,MATCH("SOJA"&amp;"|",KC_CURVAS!$K$5:$K$15,0)),""))</f>
        <v/>
      </c>
      <c r="S50" s="12">
        <f>IF(OR($K50="",$L50=""),"PENDENTE",IF($K50&lt;=$L50,$P50,IF($K50&lt;=$L50+$M50,$P50+($Q50-$P50)*($K50-$L50)/$M50,IF($K50&lt;=$L50+$M50+$N50,$Q50,IF($K50&lt;=$L50+$M50+$N50+$O50,$Q50+($R50-$Q50)*($K50-($L50+$M50+$N50))/$O50,$R50)))))</f>
        <v/>
      </c>
      <c r="T50" s="13">
        <f>IF($I50="","",$I50)</f>
        <v/>
      </c>
      <c r="U50" s="14">
        <f>IF($T50="","",SUMIFS(ETO_DIARIO!$B$5:$B$404,ETO_DIARIO!$A$5:$A$404,"&gt;"&amp;$T50,ETO_DIARIO!$A$5:$A$404,"&lt;="&amp;DATA_REF))</f>
        <v/>
      </c>
      <c r="V50" s="14">
        <f>IF($T50="","",SUMIFS(ETO_DIARIO!$C$5:$C$404,ETO_DIARIO!$A$5:$A$404,"&gt;"&amp;$T50,ETO_DIARIO!$A$5:$A$404,"&lt;="&amp;DATA_REF))</f>
        <v/>
      </c>
      <c r="W50" s="14">
        <f>IF(OR($S50="",$S50="PENDENTE",$U50=""),"",$S50*$U50)</f>
        <v/>
      </c>
      <c r="X50" s="14">
        <f>IF($W50="","",MAX(0,$W50-N($V50)))</f>
        <v/>
      </c>
      <c r="Y50" s="14">
        <f>IF($X50="","",$X50/EF_APLIC)</f>
        <v/>
      </c>
      <c r="Z50" s="15" t="n">
        <v>80</v>
      </c>
      <c r="AA50" s="16">
        <f>IF(OR($Y50="",$Z50=""),"",$Y50*$Z50*10)</f>
        <v/>
      </c>
      <c r="AB50" s="17" t="n">
        <v>0.779</v>
      </c>
      <c r="AC50" s="16">
        <f>IF(OR($AA50="",$AB50=""),"",$AA50*$AB50)</f>
        <v/>
      </c>
      <c r="AD50" s="18">
        <f>IF($S50="PENDENTE","Definir classe/Kc",IF($Y50="","-",IF($Y50&gt;='PARAMETROS'!$B$7/EF_APLIC,"Irrigar",IF($Y50&gt;='PARAMETROS'!$B$7/EF_APLIC*FRAC_ACOMP,"Acompanhar","Aguardar"))))</f>
        <v/>
      </c>
      <c r="AE50" s="18">
        <f>IF(OR($Y50="",$Y50=0),"-",IF($Y50&gt;=2*'PARAMETROS'!$B$7/EF_APLIC,"Alta",IF($Y50&gt;='PARAMETROS'!$B$7/EF_APLIC,"Media","Baixa")))</f>
        <v/>
      </c>
    </row>
    <row r="51">
      <c r="A51" s="5" t="inlineStr">
        <is>
          <t>Pivô 65</t>
        </is>
      </c>
      <c r="B51" s="5" t="inlineStr">
        <is>
          <t>Karitel</t>
        </is>
      </c>
      <c r="C51" s="5" t="inlineStr">
        <is>
          <t>R18</t>
        </is>
      </c>
      <c r="D51" s="5" t="inlineStr">
        <is>
          <t>Modulo 3</t>
        </is>
      </c>
      <c r="E51" s="5" t="inlineStr">
        <is>
          <t>SOJA</t>
        </is>
      </c>
      <c r="F51" s="6" t="inlineStr">
        <is>
          <t>NEO 761 I2X</t>
        </is>
      </c>
      <c r="G51" s="7" t="inlineStr">
        <is>
          <t>PRECOCE</t>
        </is>
      </c>
      <c r="H51" s="5" t="inlineStr">
        <is>
          <t>ativo</t>
        </is>
      </c>
      <c r="I51" s="8" t="n">
        <v>46295</v>
      </c>
      <c r="J51" s="9">
        <f>IF($I51="","",DATA_REF-$I51)</f>
        <v/>
      </c>
      <c r="K51" s="9">
        <f>IF($J51="","",MAX(0,$J51-'PARAMETROS'!$B$11))</f>
        <v/>
      </c>
      <c r="L51" s="10">
        <f>IFERROR(INDEX(KC_CURVAS!$C$5:$C$15,MATCH("SOJA|"&amp;$G51,KC_CURVAS!$K$5:$K$15,0)),IFERROR(INDEX(KC_CURVAS!$C$5:$C$15,MATCH("SOJA"&amp;"|",KC_CURVAS!$K$5:$K$15,0)),""))</f>
        <v/>
      </c>
      <c r="M51" s="10">
        <f>IFERROR(INDEX(KC_CURVAS!$D$5:$D$15,MATCH("SOJA|"&amp;$G51,KC_CURVAS!$K$5:$K$15,0)),IFERROR(INDEX(KC_CURVAS!$D$5:$D$15,MATCH("SOJA"&amp;"|",KC_CURVAS!$K$5:$K$15,0)),""))</f>
        <v/>
      </c>
      <c r="N51" s="10">
        <f>IFERROR(INDEX(KC_CURVAS!$E$5:$E$15,MATCH("SOJA|"&amp;$G51,KC_CURVAS!$K$5:$K$15,0)),IFERROR(INDEX(KC_CURVAS!$E$5:$E$15,MATCH("SOJA"&amp;"|",KC_CURVAS!$K$5:$K$15,0)),""))</f>
        <v/>
      </c>
      <c r="O51" s="10">
        <f>IFERROR(INDEX(KC_CURVAS!$F$5:$F$15,MATCH("SOJA|"&amp;$G51,KC_CURVAS!$K$5:$K$15,0)),IFERROR(INDEX(KC_CURVAS!$F$5:$F$15,MATCH("SOJA"&amp;"|",KC_CURVAS!$K$5:$K$15,0)),""))</f>
        <v/>
      </c>
      <c r="P51" s="11">
        <f>IFERROR(INDEX(KC_CURVAS!$G$5:$G$15,MATCH("SOJA|"&amp;$G51,KC_CURVAS!$K$5:$K$15,0)),IFERROR(INDEX(KC_CURVAS!$G$5:$G$15,MATCH("SOJA"&amp;"|",KC_CURVAS!$K$5:$K$15,0)),""))</f>
        <v/>
      </c>
      <c r="Q51" s="11">
        <f>IFERROR(INDEX(KC_CURVAS!$H$5:$H$15,MATCH("SOJA|"&amp;$G51,KC_CURVAS!$K$5:$K$15,0)),IFERROR(INDEX(KC_CURVAS!$H$5:$H$15,MATCH("SOJA"&amp;"|",KC_CURVAS!$K$5:$K$15,0)),""))</f>
        <v/>
      </c>
      <c r="R51" s="11">
        <f>IFERROR(INDEX(KC_CURVAS!$I$5:$I$15,MATCH("SOJA|"&amp;$G51,KC_CURVAS!$K$5:$K$15,0)),IFERROR(INDEX(KC_CURVAS!$I$5:$I$15,MATCH("SOJA"&amp;"|",KC_CURVAS!$K$5:$K$15,0)),""))</f>
        <v/>
      </c>
      <c r="S51" s="12">
        <f>IF(OR($K51="",$L51=""),"PENDENTE",IF($K51&lt;=$L51,$P51,IF($K51&lt;=$L51+$M51,$P51+($Q51-$P51)*($K51-$L51)/$M51,IF($K51&lt;=$L51+$M51+$N51,$Q51,IF($K51&lt;=$L51+$M51+$N51+$O51,$Q51+($R51-$Q51)*($K51-($L51+$M51+$N51))/$O51,$R51)))))</f>
        <v/>
      </c>
      <c r="T51" s="13">
        <f>IF($I51="","",$I51)</f>
        <v/>
      </c>
      <c r="U51" s="14">
        <f>IF($T51="","",SUMIFS(ETO_DIARIO!$B$5:$B$404,ETO_DIARIO!$A$5:$A$404,"&gt;"&amp;$T51,ETO_DIARIO!$A$5:$A$404,"&lt;="&amp;DATA_REF))</f>
        <v/>
      </c>
      <c r="V51" s="14">
        <f>IF($T51="","",SUMIFS(ETO_DIARIO!$C$5:$C$404,ETO_DIARIO!$A$5:$A$404,"&gt;"&amp;$T51,ETO_DIARIO!$A$5:$A$404,"&lt;="&amp;DATA_REF))</f>
        <v/>
      </c>
      <c r="W51" s="14">
        <f>IF(OR($S51="",$S51="PENDENTE",$U51=""),"",$S51*$U51)</f>
        <v/>
      </c>
      <c r="X51" s="14">
        <f>IF($W51="","",MAX(0,$W51-N($V51)))</f>
        <v/>
      </c>
      <c r="Y51" s="14">
        <f>IF($X51="","",$X51/EF_APLIC)</f>
        <v/>
      </c>
      <c r="Z51" s="15" t="n">
        <v>150</v>
      </c>
      <c r="AA51" s="16">
        <f>IF(OR($Y51="",$Z51=""),"",$Y51*$Z51*10)</f>
        <v/>
      </c>
      <c r="AB51" s="17" t="n">
        <v>0.848</v>
      </c>
      <c r="AC51" s="16">
        <f>IF(OR($AA51="",$AB51=""),"",$AA51*$AB51)</f>
        <v/>
      </c>
      <c r="AD51" s="18">
        <f>IF($S51="PENDENTE","Definir classe/Kc",IF($Y51="","-",IF($Y51&gt;='PARAMETROS'!$B$7/EF_APLIC,"Irrigar",IF($Y51&gt;='PARAMETROS'!$B$7/EF_APLIC*FRAC_ACOMP,"Acompanhar","Aguardar"))))</f>
        <v/>
      </c>
      <c r="AE51" s="18">
        <f>IF(OR($Y51="",$Y51=0),"-",IF($Y51&gt;=2*'PARAMETROS'!$B$7/EF_APLIC,"Alta",IF($Y51&gt;='PARAMETROS'!$B$7/EF_APLIC,"Media","Baixa")))</f>
        <v/>
      </c>
    </row>
    <row r="52">
      <c r="A52" s="5" t="inlineStr">
        <is>
          <t>Pivô 66</t>
        </is>
      </c>
      <c r="B52" s="5" t="inlineStr">
        <is>
          <t>Karitel</t>
        </is>
      </c>
      <c r="C52" s="5" t="inlineStr">
        <is>
          <t>R15</t>
        </is>
      </c>
      <c r="D52" s="5" t="inlineStr">
        <is>
          <t>Modulo 3</t>
        </is>
      </c>
      <c r="E52" s="5" t="inlineStr">
        <is>
          <t>SOJA</t>
        </is>
      </c>
      <c r="F52" s="6" t="inlineStr">
        <is>
          <t>NEO 761 I2X</t>
        </is>
      </c>
      <c r="G52" s="7" t="inlineStr">
        <is>
          <t>PRECOCE</t>
        </is>
      </c>
      <c r="H52" s="5" t="inlineStr">
        <is>
          <t>ativo</t>
        </is>
      </c>
      <c r="I52" s="8" t="n">
        <v>46286</v>
      </c>
      <c r="J52" s="9">
        <f>IF($I52="","",DATA_REF-$I52)</f>
        <v/>
      </c>
      <c r="K52" s="9">
        <f>IF($J52="","",MAX(0,$J52-'PARAMETROS'!$B$11))</f>
        <v/>
      </c>
      <c r="L52" s="10">
        <f>IFERROR(INDEX(KC_CURVAS!$C$5:$C$15,MATCH("SOJA|"&amp;$G52,KC_CURVAS!$K$5:$K$15,0)),IFERROR(INDEX(KC_CURVAS!$C$5:$C$15,MATCH("SOJA"&amp;"|",KC_CURVAS!$K$5:$K$15,0)),""))</f>
        <v/>
      </c>
      <c r="M52" s="10">
        <f>IFERROR(INDEX(KC_CURVAS!$D$5:$D$15,MATCH("SOJA|"&amp;$G52,KC_CURVAS!$K$5:$K$15,0)),IFERROR(INDEX(KC_CURVAS!$D$5:$D$15,MATCH("SOJA"&amp;"|",KC_CURVAS!$K$5:$K$15,0)),""))</f>
        <v/>
      </c>
      <c r="N52" s="10">
        <f>IFERROR(INDEX(KC_CURVAS!$E$5:$E$15,MATCH("SOJA|"&amp;$G52,KC_CURVAS!$K$5:$K$15,0)),IFERROR(INDEX(KC_CURVAS!$E$5:$E$15,MATCH("SOJA"&amp;"|",KC_CURVAS!$K$5:$K$15,0)),""))</f>
        <v/>
      </c>
      <c r="O52" s="10">
        <f>IFERROR(INDEX(KC_CURVAS!$F$5:$F$15,MATCH("SOJA|"&amp;$G52,KC_CURVAS!$K$5:$K$15,0)),IFERROR(INDEX(KC_CURVAS!$F$5:$F$15,MATCH("SOJA"&amp;"|",KC_CURVAS!$K$5:$K$15,0)),""))</f>
        <v/>
      </c>
      <c r="P52" s="11">
        <f>IFERROR(INDEX(KC_CURVAS!$G$5:$G$15,MATCH("SOJA|"&amp;$G52,KC_CURVAS!$K$5:$K$15,0)),IFERROR(INDEX(KC_CURVAS!$G$5:$G$15,MATCH("SOJA"&amp;"|",KC_CURVAS!$K$5:$K$15,0)),""))</f>
        <v/>
      </c>
      <c r="Q52" s="11">
        <f>IFERROR(INDEX(KC_CURVAS!$H$5:$H$15,MATCH("SOJA|"&amp;$G52,KC_CURVAS!$K$5:$K$15,0)),IFERROR(INDEX(KC_CURVAS!$H$5:$H$15,MATCH("SOJA"&amp;"|",KC_CURVAS!$K$5:$K$15,0)),""))</f>
        <v/>
      </c>
      <c r="R52" s="11">
        <f>IFERROR(INDEX(KC_CURVAS!$I$5:$I$15,MATCH("SOJA|"&amp;$G52,KC_CURVAS!$K$5:$K$15,0)),IFERROR(INDEX(KC_CURVAS!$I$5:$I$15,MATCH("SOJA"&amp;"|",KC_CURVAS!$K$5:$K$15,0)),""))</f>
        <v/>
      </c>
      <c r="S52" s="12">
        <f>IF(OR($K52="",$L52=""),"PENDENTE",IF($K52&lt;=$L52,$P52,IF($K52&lt;=$L52+$M52,$P52+($Q52-$P52)*($K52-$L52)/$M52,IF($K52&lt;=$L52+$M52+$N52,$Q52,IF($K52&lt;=$L52+$M52+$N52+$O52,$Q52+($R52-$Q52)*($K52-($L52+$M52+$N52))/$O52,$R52)))))</f>
        <v/>
      </c>
      <c r="T52" s="13">
        <f>IF($I52="","",$I52)</f>
        <v/>
      </c>
      <c r="U52" s="14">
        <f>IF($T52="","",SUMIFS(ETO_DIARIO!$B$5:$B$404,ETO_DIARIO!$A$5:$A$404,"&gt;"&amp;$T52,ETO_DIARIO!$A$5:$A$404,"&lt;="&amp;DATA_REF))</f>
        <v/>
      </c>
      <c r="V52" s="14">
        <f>IF($T52="","",SUMIFS(ETO_DIARIO!$C$5:$C$404,ETO_DIARIO!$A$5:$A$404,"&gt;"&amp;$T52,ETO_DIARIO!$A$5:$A$404,"&lt;="&amp;DATA_REF))</f>
        <v/>
      </c>
      <c r="W52" s="14">
        <f>IF(OR($S52="",$S52="PENDENTE",$U52=""),"",$S52*$U52)</f>
        <v/>
      </c>
      <c r="X52" s="14">
        <f>IF($W52="","",MAX(0,$W52-N($V52)))</f>
        <v/>
      </c>
      <c r="Y52" s="14">
        <f>IF($X52="","",$X52/EF_APLIC)</f>
        <v/>
      </c>
      <c r="Z52" s="15" t="n">
        <v>100</v>
      </c>
      <c r="AA52" s="16">
        <f>IF(OR($Y52="",$Z52=""),"",$Y52*$Z52*10)</f>
        <v/>
      </c>
      <c r="AB52" s="17" t="n">
        <v>0.905</v>
      </c>
      <c r="AC52" s="16">
        <f>IF(OR($AA52="",$AB52=""),"",$AA52*$AB52)</f>
        <v/>
      </c>
      <c r="AD52" s="18">
        <f>IF($S52="PENDENTE","Definir classe/Kc",IF($Y52="","-",IF($Y52&gt;='PARAMETROS'!$B$7/EF_APLIC,"Irrigar",IF($Y52&gt;='PARAMETROS'!$B$7/EF_APLIC*FRAC_ACOMP,"Acompanhar","Aguardar"))))</f>
        <v/>
      </c>
      <c r="AE52" s="18">
        <f>IF(OR($Y52="",$Y52=0),"-",IF($Y52&gt;=2*'PARAMETROS'!$B$7/EF_APLIC,"Alta",IF($Y52&gt;='PARAMETROS'!$B$7/EF_APLIC,"Media","Baixa")))</f>
        <v/>
      </c>
    </row>
    <row r="53">
      <c r="A53" s="5" t="inlineStr">
        <is>
          <t>Pivô 67</t>
        </is>
      </c>
      <c r="B53" s="5" t="inlineStr">
        <is>
          <t>Karitel</t>
        </is>
      </c>
      <c r="C53" s="5" t="inlineStr">
        <is>
          <t>R16</t>
        </is>
      </c>
      <c r="D53" s="5" t="inlineStr">
        <is>
          <t>Modulo 3</t>
        </is>
      </c>
      <c r="E53" s="5" t="inlineStr">
        <is>
          <t>SOJA</t>
        </is>
      </c>
      <c r="F53" s="6" t="inlineStr">
        <is>
          <t>NEO 761 I2X</t>
        </is>
      </c>
      <c r="G53" s="7" t="inlineStr">
        <is>
          <t>PRECOCE</t>
        </is>
      </c>
      <c r="H53" s="5" t="inlineStr">
        <is>
          <t>ativo</t>
        </is>
      </c>
      <c r="I53" s="8" t="n">
        <v>46286</v>
      </c>
      <c r="J53" s="9">
        <f>IF($I53="","",DATA_REF-$I53)</f>
        <v/>
      </c>
      <c r="K53" s="9">
        <f>IF($J53="","",MAX(0,$J53-'PARAMETROS'!$B$11))</f>
        <v/>
      </c>
      <c r="L53" s="10">
        <f>IFERROR(INDEX(KC_CURVAS!$C$5:$C$15,MATCH("SOJA|"&amp;$G53,KC_CURVAS!$K$5:$K$15,0)),IFERROR(INDEX(KC_CURVAS!$C$5:$C$15,MATCH("SOJA"&amp;"|",KC_CURVAS!$K$5:$K$15,0)),""))</f>
        <v/>
      </c>
      <c r="M53" s="10">
        <f>IFERROR(INDEX(KC_CURVAS!$D$5:$D$15,MATCH("SOJA|"&amp;$G53,KC_CURVAS!$K$5:$K$15,0)),IFERROR(INDEX(KC_CURVAS!$D$5:$D$15,MATCH("SOJA"&amp;"|",KC_CURVAS!$K$5:$K$15,0)),""))</f>
        <v/>
      </c>
      <c r="N53" s="10">
        <f>IFERROR(INDEX(KC_CURVAS!$E$5:$E$15,MATCH("SOJA|"&amp;$G53,KC_CURVAS!$K$5:$K$15,0)),IFERROR(INDEX(KC_CURVAS!$E$5:$E$15,MATCH("SOJA"&amp;"|",KC_CURVAS!$K$5:$K$15,0)),""))</f>
        <v/>
      </c>
      <c r="O53" s="10">
        <f>IFERROR(INDEX(KC_CURVAS!$F$5:$F$15,MATCH("SOJA|"&amp;$G53,KC_CURVAS!$K$5:$K$15,0)),IFERROR(INDEX(KC_CURVAS!$F$5:$F$15,MATCH("SOJA"&amp;"|",KC_CURVAS!$K$5:$K$15,0)),""))</f>
        <v/>
      </c>
      <c r="P53" s="11">
        <f>IFERROR(INDEX(KC_CURVAS!$G$5:$G$15,MATCH("SOJA|"&amp;$G53,KC_CURVAS!$K$5:$K$15,0)),IFERROR(INDEX(KC_CURVAS!$G$5:$G$15,MATCH("SOJA"&amp;"|",KC_CURVAS!$K$5:$K$15,0)),""))</f>
        <v/>
      </c>
      <c r="Q53" s="11">
        <f>IFERROR(INDEX(KC_CURVAS!$H$5:$H$15,MATCH("SOJA|"&amp;$G53,KC_CURVAS!$K$5:$K$15,0)),IFERROR(INDEX(KC_CURVAS!$H$5:$H$15,MATCH("SOJA"&amp;"|",KC_CURVAS!$K$5:$K$15,0)),""))</f>
        <v/>
      </c>
      <c r="R53" s="11">
        <f>IFERROR(INDEX(KC_CURVAS!$I$5:$I$15,MATCH("SOJA|"&amp;$G53,KC_CURVAS!$K$5:$K$15,0)),IFERROR(INDEX(KC_CURVAS!$I$5:$I$15,MATCH("SOJA"&amp;"|",KC_CURVAS!$K$5:$K$15,0)),""))</f>
        <v/>
      </c>
      <c r="S53" s="12">
        <f>IF(OR($K53="",$L53=""),"PENDENTE",IF($K53&lt;=$L53,$P53,IF($K53&lt;=$L53+$M53,$P53+($Q53-$P53)*($K53-$L53)/$M53,IF($K53&lt;=$L53+$M53+$N53,$Q53,IF($K53&lt;=$L53+$M53+$N53+$O53,$Q53+($R53-$Q53)*($K53-($L53+$M53+$N53))/$O53,$R53)))))</f>
        <v/>
      </c>
      <c r="T53" s="13">
        <f>IF($I53="","",$I53)</f>
        <v/>
      </c>
      <c r="U53" s="14">
        <f>IF($T53="","",SUMIFS(ETO_DIARIO!$B$5:$B$404,ETO_DIARIO!$A$5:$A$404,"&gt;"&amp;$T53,ETO_DIARIO!$A$5:$A$404,"&lt;="&amp;DATA_REF))</f>
        <v/>
      </c>
      <c r="V53" s="14">
        <f>IF($T53="","",SUMIFS(ETO_DIARIO!$C$5:$C$404,ETO_DIARIO!$A$5:$A$404,"&gt;"&amp;$T53,ETO_DIARIO!$A$5:$A$404,"&lt;="&amp;DATA_REF))</f>
        <v/>
      </c>
      <c r="W53" s="14">
        <f>IF(OR($S53="",$S53="PENDENTE",$U53=""),"",$S53*$U53)</f>
        <v/>
      </c>
      <c r="X53" s="14">
        <f>IF($W53="","",MAX(0,$W53-N($V53)))</f>
        <v/>
      </c>
      <c r="Y53" s="14">
        <f>IF($X53="","",$X53/EF_APLIC)</f>
        <v/>
      </c>
      <c r="Z53" s="15" t="n">
        <v>80</v>
      </c>
      <c r="AA53" s="16">
        <f>IF(OR($Y53="",$Z53=""),"",$Y53*$Z53*10)</f>
        <v/>
      </c>
      <c r="AB53" s="17" t="n">
        <v>0.974</v>
      </c>
      <c r="AC53" s="16">
        <f>IF(OR($AA53="",$AB53=""),"",$AA53*$AB53)</f>
        <v/>
      </c>
      <c r="AD53" s="18">
        <f>IF($S53="PENDENTE","Definir classe/Kc",IF($Y53="","-",IF($Y53&gt;='PARAMETROS'!$B$7/EF_APLIC,"Irrigar",IF($Y53&gt;='PARAMETROS'!$B$7/EF_APLIC*FRAC_ACOMP,"Acompanhar","Aguardar"))))</f>
        <v/>
      </c>
      <c r="AE53" s="18">
        <f>IF(OR($Y53="",$Y53=0),"-",IF($Y53&gt;=2*'PARAMETROS'!$B$7/EF_APLIC,"Alta",IF($Y53&gt;='PARAMETROS'!$B$7/EF_APLIC,"Media","Baixa")))</f>
        <v/>
      </c>
    </row>
    <row r="54">
      <c r="A54" s="5" t="inlineStr">
        <is>
          <t>Pivô 68</t>
        </is>
      </c>
      <c r="B54" s="5" t="inlineStr">
        <is>
          <t>Karitel</t>
        </is>
      </c>
      <c r="C54" s="5" t="inlineStr">
        <is>
          <t>R16</t>
        </is>
      </c>
      <c r="D54" s="5" t="inlineStr">
        <is>
          <t>Modulo 3</t>
        </is>
      </c>
      <c r="E54" s="5" t="inlineStr">
        <is>
          <t>SOJA</t>
        </is>
      </c>
      <c r="F54" s="6" t="inlineStr">
        <is>
          <t>COMPLETA IPRO</t>
        </is>
      </c>
      <c r="G54" s="7" t="inlineStr">
        <is>
          <t>MÉDIA</t>
        </is>
      </c>
      <c r="H54" s="5" t="inlineStr">
        <is>
          <t>ativo</t>
        </is>
      </c>
      <c r="I54" s="8" t="n">
        <v>46290</v>
      </c>
      <c r="J54" s="9">
        <f>IF($I54="","",DATA_REF-$I54)</f>
        <v/>
      </c>
      <c r="K54" s="9">
        <f>IF($J54="","",MAX(0,$J54-'PARAMETROS'!$B$11))</f>
        <v/>
      </c>
      <c r="L54" s="10">
        <f>IFERROR(INDEX(KC_CURVAS!$C$5:$C$15,MATCH("SOJA|"&amp;$G54,KC_CURVAS!$K$5:$K$15,0)),IFERROR(INDEX(KC_CURVAS!$C$5:$C$15,MATCH("SOJA"&amp;"|",KC_CURVAS!$K$5:$K$15,0)),""))</f>
        <v/>
      </c>
      <c r="M54" s="10">
        <f>IFERROR(INDEX(KC_CURVAS!$D$5:$D$15,MATCH("SOJA|"&amp;$G54,KC_CURVAS!$K$5:$K$15,0)),IFERROR(INDEX(KC_CURVAS!$D$5:$D$15,MATCH("SOJA"&amp;"|",KC_CURVAS!$K$5:$K$15,0)),""))</f>
        <v/>
      </c>
      <c r="N54" s="10">
        <f>IFERROR(INDEX(KC_CURVAS!$E$5:$E$15,MATCH("SOJA|"&amp;$G54,KC_CURVAS!$K$5:$K$15,0)),IFERROR(INDEX(KC_CURVAS!$E$5:$E$15,MATCH("SOJA"&amp;"|",KC_CURVAS!$K$5:$K$15,0)),""))</f>
        <v/>
      </c>
      <c r="O54" s="10">
        <f>IFERROR(INDEX(KC_CURVAS!$F$5:$F$15,MATCH("SOJA|"&amp;$G54,KC_CURVAS!$K$5:$K$15,0)),IFERROR(INDEX(KC_CURVAS!$F$5:$F$15,MATCH("SOJA"&amp;"|",KC_CURVAS!$K$5:$K$15,0)),""))</f>
        <v/>
      </c>
      <c r="P54" s="11">
        <f>IFERROR(INDEX(KC_CURVAS!$G$5:$G$15,MATCH("SOJA|"&amp;$G54,KC_CURVAS!$K$5:$K$15,0)),IFERROR(INDEX(KC_CURVAS!$G$5:$G$15,MATCH("SOJA"&amp;"|",KC_CURVAS!$K$5:$K$15,0)),""))</f>
        <v/>
      </c>
      <c r="Q54" s="11">
        <f>IFERROR(INDEX(KC_CURVAS!$H$5:$H$15,MATCH("SOJA|"&amp;$G54,KC_CURVAS!$K$5:$K$15,0)),IFERROR(INDEX(KC_CURVAS!$H$5:$H$15,MATCH("SOJA"&amp;"|",KC_CURVAS!$K$5:$K$15,0)),""))</f>
        <v/>
      </c>
      <c r="R54" s="11">
        <f>IFERROR(INDEX(KC_CURVAS!$I$5:$I$15,MATCH("SOJA|"&amp;$G54,KC_CURVAS!$K$5:$K$15,0)),IFERROR(INDEX(KC_CURVAS!$I$5:$I$15,MATCH("SOJA"&amp;"|",KC_CURVAS!$K$5:$K$15,0)),""))</f>
        <v/>
      </c>
      <c r="S54" s="12">
        <f>IF(OR($K54="",$L54=""),"PENDENTE",IF($K54&lt;=$L54,$P54,IF($K54&lt;=$L54+$M54,$P54+($Q54-$P54)*($K54-$L54)/$M54,IF($K54&lt;=$L54+$M54+$N54,$Q54,IF($K54&lt;=$L54+$M54+$N54+$O54,$Q54+($R54-$Q54)*($K54-($L54+$M54+$N54))/$O54,$R54)))))</f>
        <v/>
      </c>
      <c r="T54" s="13">
        <f>IF($I54="","",$I54)</f>
        <v/>
      </c>
      <c r="U54" s="14">
        <f>IF($T54="","",SUMIFS(ETO_DIARIO!$B$5:$B$404,ETO_DIARIO!$A$5:$A$404,"&gt;"&amp;$T54,ETO_DIARIO!$A$5:$A$404,"&lt;="&amp;DATA_REF))</f>
        <v/>
      </c>
      <c r="V54" s="14">
        <f>IF($T54="","",SUMIFS(ETO_DIARIO!$C$5:$C$404,ETO_DIARIO!$A$5:$A$404,"&gt;"&amp;$T54,ETO_DIARIO!$A$5:$A$404,"&lt;="&amp;DATA_REF))</f>
        <v/>
      </c>
      <c r="W54" s="14">
        <f>IF(OR($S54="",$S54="PENDENTE",$U54=""),"",$S54*$U54)</f>
        <v/>
      </c>
      <c r="X54" s="14">
        <f>IF($W54="","",MAX(0,$W54-N($V54)))</f>
        <v/>
      </c>
      <c r="Y54" s="14">
        <f>IF($X54="","",$X54/EF_APLIC)</f>
        <v/>
      </c>
      <c r="Z54" s="15" t="n">
        <v>80</v>
      </c>
      <c r="AA54" s="16">
        <f>IF(OR($Y54="",$Z54=""),"",$Y54*$Z54*10)</f>
        <v/>
      </c>
      <c r="AB54" s="17" t="n">
        <v>0.974</v>
      </c>
      <c r="AC54" s="16">
        <f>IF(OR($AA54="",$AB54=""),"",$AA54*$AB54)</f>
        <v/>
      </c>
      <c r="AD54" s="18">
        <f>IF($S54="PENDENTE","Definir classe/Kc",IF($Y54="","-",IF($Y54&gt;='PARAMETROS'!$B$7/EF_APLIC,"Irrigar",IF($Y54&gt;='PARAMETROS'!$B$7/EF_APLIC*FRAC_ACOMP,"Acompanhar","Aguardar"))))</f>
        <v/>
      </c>
      <c r="AE54" s="18">
        <f>IF(OR($Y54="",$Y54=0),"-",IF($Y54&gt;=2*'PARAMETROS'!$B$7/EF_APLIC,"Alta",IF($Y54&gt;='PARAMETROS'!$B$7/EF_APLIC,"Media","Baixa")))</f>
        <v/>
      </c>
    </row>
    <row r="55">
      <c r="A55" s="5" t="inlineStr">
        <is>
          <t>Pivô 72</t>
        </is>
      </c>
      <c r="B55" s="5" t="inlineStr">
        <is>
          <t>Karitel</t>
        </is>
      </c>
      <c r="C55" s="5" t="inlineStr">
        <is>
          <t>R17</t>
        </is>
      </c>
      <c r="D55" s="5" t="inlineStr">
        <is>
          <t>Modulo 3</t>
        </is>
      </c>
      <c r="E55" s="5" t="inlineStr">
        <is>
          <t>SOJA</t>
        </is>
      </c>
      <c r="F55" s="6" t="inlineStr">
        <is>
          <t>COMBATE IPRO</t>
        </is>
      </c>
      <c r="G55" s="7" t="inlineStr">
        <is>
          <t>PRECOCE</t>
        </is>
      </c>
      <c r="H55" s="5" t="inlineStr">
        <is>
          <t>ativo</t>
        </is>
      </c>
      <c r="I55" s="8" t="n">
        <v>46294</v>
      </c>
      <c r="J55" s="9">
        <f>IF($I55="","",DATA_REF-$I55)</f>
        <v/>
      </c>
      <c r="K55" s="9">
        <f>IF($J55="","",MAX(0,$J55-'PARAMETROS'!$B$11))</f>
        <v/>
      </c>
      <c r="L55" s="10">
        <f>IFERROR(INDEX(KC_CURVAS!$C$5:$C$15,MATCH("SOJA|"&amp;$G55,KC_CURVAS!$K$5:$K$15,0)),IFERROR(INDEX(KC_CURVAS!$C$5:$C$15,MATCH("SOJA"&amp;"|",KC_CURVAS!$K$5:$K$15,0)),""))</f>
        <v/>
      </c>
      <c r="M55" s="10">
        <f>IFERROR(INDEX(KC_CURVAS!$D$5:$D$15,MATCH("SOJA|"&amp;$G55,KC_CURVAS!$K$5:$K$15,0)),IFERROR(INDEX(KC_CURVAS!$D$5:$D$15,MATCH("SOJA"&amp;"|",KC_CURVAS!$K$5:$K$15,0)),""))</f>
        <v/>
      </c>
      <c r="N55" s="10">
        <f>IFERROR(INDEX(KC_CURVAS!$E$5:$E$15,MATCH("SOJA|"&amp;$G55,KC_CURVAS!$K$5:$K$15,0)),IFERROR(INDEX(KC_CURVAS!$E$5:$E$15,MATCH("SOJA"&amp;"|",KC_CURVAS!$K$5:$K$15,0)),""))</f>
        <v/>
      </c>
      <c r="O55" s="10">
        <f>IFERROR(INDEX(KC_CURVAS!$F$5:$F$15,MATCH("SOJA|"&amp;$G55,KC_CURVAS!$K$5:$K$15,0)),IFERROR(INDEX(KC_CURVAS!$F$5:$F$15,MATCH("SOJA"&amp;"|",KC_CURVAS!$K$5:$K$15,0)),""))</f>
        <v/>
      </c>
      <c r="P55" s="11">
        <f>IFERROR(INDEX(KC_CURVAS!$G$5:$G$15,MATCH("SOJA|"&amp;$G55,KC_CURVAS!$K$5:$K$15,0)),IFERROR(INDEX(KC_CURVAS!$G$5:$G$15,MATCH("SOJA"&amp;"|",KC_CURVAS!$K$5:$K$15,0)),""))</f>
        <v/>
      </c>
      <c r="Q55" s="11">
        <f>IFERROR(INDEX(KC_CURVAS!$H$5:$H$15,MATCH("SOJA|"&amp;$G55,KC_CURVAS!$K$5:$K$15,0)),IFERROR(INDEX(KC_CURVAS!$H$5:$H$15,MATCH("SOJA"&amp;"|",KC_CURVAS!$K$5:$K$15,0)),""))</f>
        <v/>
      </c>
      <c r="R55" s="11">
        <f>IFERROR(INDEX(KC_CURVAS!$I$5:$I$15,MATCH("SOJA|"&amp;$G55,KC_CURVAS!$K$5:$K$15,0)),IFERROR(INDEX(KC_CURVAS!$I$5:$I$15,MATCH("SOJA"&amp;"|",KC_CURVAS!$K$5:$K$15,0)),""))</f>
        <v/>
      </c>
      <c r="S55" s="12">
        <f>IF(OR($K55="",$L55=""),"PENDENTE",IF($K55&lt;=$L55,$P55,IF($K55&lt;=$L55+$M55,$P55+($Q55-$P55)*($K55-$L55)/$M55,IF($K55&lt;=$L55+$M55+$N55,$Q55,IF($K55&lt;=$L55+$M55+$N55+$O55,$Q55+($R55-$Q55)*($K55-($L55+$M55+$N55))/$O55,$R55)))))</f>
        <v/>
      </c>
      <c r="T55" s="13">
        <f>IF($I55="","",$I55)</f>
        <v/>
      </c>
      <c r="U55" s="14">
        <f>IF($T55="","",SUMIFS(ETO_DIARIO!$B$5:$B$404,ETO_DIARIO!$A$5:$A$404,"&gt;"&amp;$T55,ETO_DIARIO!$A$5:$A$404,"&lt;="&amp;DATA_REF))</f>
        <v/>
      </c>
      <c r="V55" s="14">
        <f>IF($T55="","",SUMIFS(ETO_DIARIO!$C$5:$C$404,ETO_DIARIO!$A$5:$A$404,"&gt;"&amp;$T55,ETO_DIARIO!$A$5:$A$404,"&lt;="&amp;DATA_REF))</f>
        <v/>
      </c>
      <c r="W55" s="14">
        <f>IF(OR($S55="",$S55="PENDENTE",$U55=""),"",$S55*$U55)</f>
        <v/>
      </c>
      <c r="X55" s="14">
        <f>IF($W55="","",MAX(0,$W55-N($V55)))</f>
        <v/>
      </c>
      <c r="Y55" s="14">
        <f>IF($X55="","",$X55/EF_APLIC)</f>
        <v/>
      </c>
      <c r="Z55" s="15" t="n">
        <v>125</v>
      </c>
      <c r="AA55" s="16">
        <f>IF(OR($Y55="",$Z55=""),"",$Y55*$Z55*10)</f>
        <v/>
      </c>
      <c r="AB55" s="17" t="n">
        <v>0.851</v>
      </c>
      <c r="AC55" s="16">
        <f>IF(OR($AA55="",$AB55=""),"",$AA55*$AB55)</f>
        <v/>
      </c>
      <c r="AD55" s="18">
        <f>IF($S55="PENDENTE","Definir classe/Kc",IF($Y55="","-",IF($Y55&gt;='PARAMETROS'!$B$7/EF_APLIC,"Irrigar",IF($Y55&gt;='PARAMETROS'!$B$7/EF_APLIC*FRAC_ACOMP,"Acompanhar","Aguardar"))))</f>
        <v/>
      </c>
      <c r="AE55" s="18">
        <f>IF(OR($Y55="",$Y55=0),"-",IF($Y55&gt;=2*'PARAMETROS'!$B$7/EF_APLIC,"Alta",IF($Y55&gt;='PARAMETROS'!$B$7/EF_APLIC,"Media","Baixa")))</f>
        <v/>
      </c>
    </row>
    <row r="56">
      <c r="A56" s="5" t="inlineStr">
        <is>
          <t>Pivô 73</t>
        </is>
      </c>
      <c r="B56" s="5" t="inlineStr">
        <is>
          <t>Karitel</t>
        </is>
      </c>
      <c r="C56" s="5" t="inlineStr">
        <is>
          <t>R12</t>
        </is>
      </c>
      <c r="D56" s="5" t="inlineStr">
        <is>
          <t>Modulo 2</t>
        </is>
      </c>
      <c r="E56" s="5" t="inlineStr">
        <is>
          <t>SOJA</t>
        </is>
      </c>
      <c r="F56" s="6" t="inlineStr">
        <is>
          <t>ATAQUE I2X</t>
        </is>
      </c>
      <c r="G56" s="7" t="inlineStr">
        <is>
          <t>TARDIA</t>
        </is>
      </c>
      <c r="H56" s="5" t="inlineStr">
        <is>
          <t>ativo</t>
        </is>
      </c>
      <c r="I56" s="8" t="n">
        <v>46296</v>
      </c>
      <c r="J56" s="9">
        <f>IF($I56="","",DATA_REF-$I56)</f>
        <v/>
      </c>
      <c r="K56" s="9">
        <f>IF($J56="","",MAX(0,$J56-'PARAMETROS'!$B$11))</f>
        <v/>
      </c>
      <c r="L56" s="10">
        <f>IFERROR(INDEX(KC_CURVAS!$C$5:$C$15,MATCH("SOJA|"&amp;$G56,KC_CURVAS!$K$5:$K$15,0)),IFERROR(INDEX(KC_CURVAS!$C$5:$C$15,MATCH("SOJA"&amp;"|",KC_CURVAS!$K$5:$K$15,0)),""))</f>
        <v/>
      </c>
      <c r="M56" s="10">
        <f>IFERROR(INDEX(KC_CURVAS!$D$5:$D$15,MATCH("SOJA|"&amp;$G56,KC_CURVAS!$K$5:$K$15,0)),IFERROR(INDEX(KC_CURVAS!$D$5:$D$15,MATCH("SOJA"&amp;"|",KC_CURVAS!$K$5:$K$15,0)),""))</f>
        <v/>
      </c>
      <c r="N56" s="10">
        <f>IFERROR(INDEX(KC_CURVAS!$E$5:$E$15,MATCH("SOJA|"&amp;$G56,KC_CURVAS!$K$5:$K$15,0)),IFERROR(INDEX(KC_CURVAS!$E$5:$E$15,MATCH("SOJA"&amp;"|",KC_CURVAS!$K$5:$K$15,0)),""))</f>
        <v/>
      </c>
      <c r="O56" s="10">
        <f>IFERROR(INDEX(KC_CURVAS!$F$5:$F$15,MATCH("SOJA|"&amp;$G56,KC_CURVAS!$K$5:$K$15,0)),IFERROR(INDEX(KC_CURVAS!$F$5:$F$15,MATCH("SOJA"&amp;"|",KC_CURVAS!$K$5:$K$15,0)),""))</f>
        <v/>
      </c>
      <c r="P56" s="11">
        <f>IFERROR(INDEX(KC_CURVAS!$G$5:$G$15,MATCH("SOJA|"&amp;$G56,KC_CURVAS!$K$5:$K$15,0)),IFERROR(INDEX(KC_CURVAS!$G$5:$G$15,MATCH("SOJA"&amp;"|",KC_CURVAS!$K$5:$K$15,0)),""))</f>
        <v/>
      </c>
      <c r="Q56" s="11">
        <f>IFERROR(INDEX(KC_CURVAS!$H$5:$H$15,MATCH("SOJA|"&amp;$G56,KC_CURVAS!$K$5:$K$15,0)),IFERROR(INDEX(KC_CURVAS!$H$5:$H$15,MATCH("SOJA"&amp;"|",KC_CURVAS!$K$5:$K$15,0)),""))</f>
        <v/>
      </c>
      <c r="R56" s="11">
        <f>IFERROR(INDEX(KC_CURVAS!$I$5:$I$15,MATCH("SOJA|"&amp;$G56,KC_CURVAS!$K$5:$K$15,0)),IFERROR(INDEX(KC_CURVAS!$I$5:$I$15,MATCH("SOJA"&amp;"|",KC_CURVAS!$K$5:$K$15,0)),""))</f>
        <v/>
      </c>
      <c r="S56" s="12">
        <f>IF(OR($K56="",$L56=""),"PENDENTE",IF($K56&lt;=$L56,$P56,IF($K56&lt;=$L56+$M56,$P56+($Q56-$P56)*($K56-$L56)/$M56,IF($K56&lt;=$L56+$M56+$N56,$Q56,IF($K56&lt;=$L56+$M56+$N56+$O56,$Q56+($R56-$Q56)*($K56-($L56+$M56+$N56))/$O56,$R56)))))</f>
        <v/>
      </c>
      <c r="T56" s="13">
        <f>IF($I56="","",$I56)</f>
        <v/>
      </c>
      <c r="U56" s="14">
        <f>IF($T56="","",SUMIFS(ETO_DIARIO!$B$5:$B$404,ETO_DIARIO!$A$5:$A$404,"&gt;"&amp;$T56,ETO_DIARIO!$A$5:$A$404,"&lt;="&amp;DATA_REF))</f>
        <v/>
      </c>
      <c r="V56" s="14">
        <f>IF($T56="","",SUMIFS(ETO_DIARIO!$C$5:$C$404,ETO_DIARIO!$A$5:$A$404,"&gt;"&amp;$T56,ETO_DIARIO!$A$5:$A$404,"&lt;="&amp;DATA_REF))</f>
        <v/>
      </c>
      <c r="W56" s="14">
        <f>IF(OR($S56="",$S56="PENDENTE",$U56=""),"",$S56*$U56)</f>
        <v/>
      </c>
      <c r="X56" s="14">
        <f>IF($W56="","",MAX(0,$W56-N($V56)))</f>
        <v/>
      </c>
      <c r="Y56" s="14">
        <f>IF($X56="","",$X56/EF_APLIC)</f>
        <v/>
      </c>
      <c r="Z56" s="15" t="n">
        <v>160</v>
      </c>
      <c r="AA56" s="16">
        <f>IF(OR($Y56="",$Z56=""),"",$Y56*$Z56*10)</f>
        <v/>
      </c>
      <c r="AB56" s="17" t="n">
        <v>0.554</v>
      </c>
      <c r="AC56" s="16">
        <f>IF(OR($AA56="",$AB56=""),"",$AA56*$AB56)</f>
        <v/>
      </c>
      <c r="AD56" s="18">
        <f>IF($S56="PENDENTE","Definir classe/Kc",IF($Y56="","-",IF($Y56&gt;='PARAMETROS'!$B$7/EF_APLIC,"Irrigar",IF($Y56&gt;='PARAMETROS'!$B$7/EF_APLIC*FRAC_ACOMP,"Acompanhar","Aguardar"))))</f>
        <v/>
      </c>
      <c r="AE56" s="18">
        <f>IF(OR($Y56="",$Y56=0),"-",IF($Y56&gt;=2*'PARAMETROS'!$B$7/EF_APLIC,"Alta",IF($Y56&gt;='PARAMETROS'!$B$7/EF_APLIC,"Media","Baixa")))</f>
        <v/>
      </c>
    </row>
    <row r="57">
      <c r="A57" s="5" t="inlineStr">
        <is>
          <t>Pivô 104</t>
        </is>
      </c>
      <c r="B57" s="5" t="inlineStr">
        <is>
          <t>Rdm</t>
        </is>
      </c>
      <c r="C57" s="5" t="inlineStr">
        <is>
          <t>RM4</t>
        </is>
      </c>
      <c r="D57" s="5" t="inlineStr">
        <is>
          <t>RDM</t>
        </is>
      </c>
      <c r="E57" s="5" t="inlineStr">
        <is>
          <t>SOJA</t>
        </is>
      </c>
      <c r="F57" s="6" t="inlineStr">
        <is>
          <t>COMBATE IPRO</t>
        </is>
      </c>
      <c r="G57" s="7" t="inlineStr">
        <is>
          <t>PRECOCE</t>
        </is>
      </c>
      <c r="H57" s="5" t="inlineStr">
        <is>
          <t>ativo</t>
        </is>
      </c>
      <c r="I57" s="8" t="n">
        <v>46291</v>
      </c>
      <c r="J57" s="9">
        <f>IF($I57="","",DATA_REF-$I57)</f>
        <v/>
      </c>
      <c r="K57" s="9">
        <f>IF($J57="","",MAX(0,$J57-'PARAMETROS'!$B$11))</f>
        <v/>
      </c>
      <c r="L57" s="10">
        <f>IFERROR(INDEX(KC_CURVAS!$C$5:$C$15,MATCH("SOJA|"&amp;$G57,KC_CURVAS!$K$5:$K$15,0)),IFERROR(INDEX(KC_CURVAS!$C$5:$C$15,MATCH("SOJA"&amp;"|",KC_CURVAS!$K$5:$K$15,0)),""))</f>
        <v/>
      </c>
      <c r="M57" s="10">
        <f>IFERROR(INDEX(KC_CURVAS!$D$5:$D$15,MATCH("SOJA|"&amp;$G57,KC_CURVAS!$K$5:$K$15,0)),IFERROR(INDEX(KC_CURVAS!$D$5:$D$15,MATCH("SOJA"&amp;"|",KC_CURVAS!$K$5:$K$15,0)),""))</f>
        <v/>
      </c>
      <c r="N57" s="10">
        <f>IFERROR(INDEX(KC_CURVAS!$E$5:$E$15,MATCH("SOJA|"&amp;$G57,KC_CURVAS!$K$5:$K$15,0)),IFERROR(INDEX(KC_CURVAS!$E$5:$E$15,MATCH("SOJA"&amp;"|",KC_CURVAS!$K$5:$K$15,0)),""))</f>
        <v/>
      </c>
      <c r="O57" s="10">
        <f>IFERROR(INDEX(KC_CURVAS!$F$5:$F$15,MATCH("SOJA|"&amp;$G57,KC_CURVAS!$K$5:$K$15,0)),IFERROR(INDEX(KC_CURVAS!$F$5:$F$15,MATCH("SOJA"&amp;"|",KC_CURVAS!$K$5:$K$15,0)),""))</f>
        <v/>
      </c>
      <c r="P57" s="11">
        <f>IFERROR(INDEX(KC_CURVAS!$G$5:$G$15,MATCH("SOJA|"&amp;$G57,KC_CURVAS!$K$5:$K$15,0)),IFERROR(INDEX(KC_CURVAS!$G$5:$G$15,MATCH("SOJA"&amp;"|",KC_CURVAS!$K$5:$K$15,0)),""))</f>
        <v/>
      </c>
      <c r="Q57" s="11">
        <f>IFERROR(INDEX(KC_CURVAS!$H$5:$H$15,MATCH("SOJA|"&amp;$G57,KC_CURVAS!$K$5:$K$15,0)),IFERROR(INDEX(KC_CURVAS!$H$5:$H$15,MATCH("SOJA"&amp;"|",KC_CURVAS!$K$5:$K$15,0)),""))</f>
        <v/>
      </c>
      <c r="R57" s="11">
        <f>IFERROR(INDEX(KC_CURVAS!$I$5:$I$15,MATCH("SOJA|"&amp;$G57,KC_CURVAS!$K$5:$K$15,0)),IFERROR(INDEX(KC_CURVAS!$I$5:$I$15,MATCH("SOJA"&amp;"|",KC_CURVAS!$K$5:$K$15,0)),""))</f>
        <v/>
      </c>
      <c r="S57" s="12">
        <f>IF(OR($K57="",$L57=""),"PENDENTE",IF($K57&lt;=$L57,$P57,IF($K57&lt;=$L57+$M57,$P57+($Q57-$P57)*($K57-$L57)/$M57,IF($K57&lt;=$L57+$M57+$N57,$Q57,IF($K57&lt;=$L57+$M57+$N57+$O57,$Q57+($R57-$Q57)*($K57-($L57+$M57+$N57))/$O57,$R57)))))</f>
        <v/>
      </c>
      <c r="T57" s="13">
        <f>IF($I57="","",$I57)</f>
        <v/>
      </c>
      <c r="U57" s="14">
        <f>IF($T57="","",SUMIFS(ETO_DIARIO!$B$5:$B$404,ETO_DIARIO!$A$5:$A$404,"&gt;"&amp;$T57,ETO_DIARIO!$A$5:$A$404,"&lt;="&amp;DATA_REF))</f>
        <v/>
      </c>
      <c r="V57" s="14">
        <f>IF($T57="","",SUMIFS(ETO_DIARIO!$C$5:$C$404,ETO_DIARIO!$A$5:$A$404,"&gt;"&amp;$T57,ETO_DIARIO!$A$5:$A$404,"&lt;="&amp;DATA_REF))</f>
        <v/>
      </c>
      <c r="W57" s="14">
        <f>IF(OR($S57="",$S57="PENDENTE",$U57=""),"",$S57*$U57)</f>
        <v/>
      </c>
      <c r="X57" s="14">
        <f>IF($W57="","",MAX(0,$W57-N($V57)))</f>
        <v/>
      </c>
      <c r="Y57" s="14">
        <f>IF($X57="","",$X57/EF_APLIC)</f>
        <v/>
      </c>
      <c r="Z57" s="15" t="n">
        <v>100</v>
      </c>
      <c r="AA57" s="16">
        <f>IF(OR($Y57="",$Z57=""),"",$Y57*$Z57*10)</f>
        <v/>
      </c>
      <c r="AB57" s="17" t="n">
        <v>0.583</v>
      </c>
      <c r="AC57" s="16">
        <f>IF(OR($AA57="",$AB57=""),"",$AA57*$AB57)</f>
        <v/>
      </c>
      <c r="AD57" s="18">
        <f>IF($S57="PENDENTE","Definir classe/Kc",IF($Y57="","-",IF($Y57&gt;='PARAMETROS'!$B$7/EF_APLIC,"Irrigar",IF($Y57&gt;='PARAMETROS'!$B$7/EF_APLIC*FRAC_ACOMP,"Acompanhar","Aguardar"))))</f>
        <v/>
      </c>
      <c r="AE57" s="18">
        <f>IF(OR($Y57="",$Y57=0),"-",IF($Y57&gt;=2*'PARAMETROS'!$B$7/EF_APLIC,"Alta",IF($Y57&gt;='PARAMETROS'!$B$7/EF_APLIC,"Media","Baixa")))</f>
        <v/>
      </c>
    </row>
    <row r="58">
      <c r="A58" s="5" t="inlineStr">
        <is>
          <t>Pivô 105</t>
        </is>
      </c>
      <c r="B58" s="5" t="inlineStr">
        <is>
          <t>Rdm</t>
        </is>
      </c>
      <c r="C58" s="5" t="inlineStr">
        <is>
          <t>RM3</t>
        </is>
      </c>
      <c r="D58" s="5" t="inlineStr">
        <is>
          <t>RDM</t>
        </is>
      </c>
      <c r="E58" s="5" t="inlineStr">
        <is>
          <t>SOJA</t>
        </is>
      </c>
      <c r="F58" s="6" t="inlineStr">
        <is>
          <t>COMBATE IPRO</t>
        </is>
      </c>
      <c r="G58" s="7" t="inlineStr">
        <is>
          <t>PRECOCE</t>
        </is>
      </c>
      <c r="H58" s="5" t="inlineStr">
        <is>
          <t>ativo</t>
        </is>
      </c>
      <c r="I58" s="8" t="n">
        <v>46293</v>
      </c>
      <c r="J58" s="9">
        <f>IF($I58="","",DATA_REF-$I58)</f>
        <v/>
      </c>
      <c r="K58" s="9">
        <f>IF($J58="","",MAX(0,$J58-'PARAMETROS'!$B$11))</f>
        <v/>
      </c>
      <c r="L58" s="10">
        <f>IFERROR(INDEX(KC_CURVAS!$C$5:$C$15,MATCH("SOJA|"&amp;$G58,KC_CURVAS!$K$5:$K$15,0)),IFERROR(INDEX(KC_CURVAS!$C$5:$C$15,MATCH("SOJA"&amp;"|",KC_CURVAS!$K$5:$K$15,0)),""))</f>
        <v/>
      </c>
      <c r="M58" s="10">
        <f>IFERROR(INDEX(KC_CURVAS!$D$5:$D$15,MATCH("SOJA|"&amp;$G58,KC_CURVAS!$K$5:$K$15,0)),IFERROR(INDEX(KC_CURVAS!$D$5:$D$15,MATCH("SOJA"&amp;"|",KC_CURVAS!$K$5:$K$15,0)),""))</f>
        <v/>
      </c>
      <c r="N58" s="10">
        <f>IFERROR(INDEX(KC_CURVAS!$E$5:$E$15,MATCH("SOJA|"&amp;$G58,KC_CURVAS!$K$5:$K$15,0)),IFERROR(INDEX(KC_CURVAS!$E$5:$E$15,MATCH("SOJA"&amp;"|",KC_CURVAS!$K$5:$K$15,0)),""))</f>
        <v/>
      </c>
      <c r="O58" s="10">
        <f>IFERROR(INDEX(KC_CURVAS!$F$5:$F$15,MATCH("SOJA|"&amp;$G58,KC_CURVAS!$K$5:$K$15,0)),IFERROR(INDEX(KC_CURVAS!$F$5:$F$15,MATCH("SOJA"&amp;"|",KC_CURVAS!$K$5:$K$15,0)),""))</f>
        <v/>
      </c>
      <c r="P58" s="11">
        <f>IFERROR(INDEX(KC_CURVAS!$G$5:$G$15,MATCH("SOJA|"&amp;$G58,KC_CURVAS!$K$5:$K$15,0)),IFERROR(INDEX(KC_CURVAS!$G$5:$G$15,MATCH("SOJA"&amp;"|",KC_CURVAS!$K$5:$K$15,0)),""))</f>
        <v/>
      </c>
      <c r="Q58" s="11">
        <f>IFERROR(INDEX(KC_CURVAS!$H$5:$H$15,MATCH("SOJA|"&amp;$G58,KC_CURVAS!$K$5:$K$15,0)),IFERROR(INDEX(KC_CURVAS!$H$5:$H$15,MATCH("SOJA"&amp;"|",KC_CURVAS!$K$5:$K$15,0)),""))</f>
        <v/>
      </c>
      <c r="R58" s="11">
        <f>IFERROR(INDEX(KC_CURVAS!$I$5:$I$15,MATCH("SOJA|"&amp;$G58,KC_CURVAS!$K$5:$K$15,0)),IFERROR(INDEX(KC_CURVAS!$I$5:$I$15,MATCH("SOJA"&amp;"|",KC_CURVAS!$K$5:$K$15,0)),""))</f>
        <v/>
      </c>
      <c r="S58" s="12">
        <f>IF(OR($K58="",$L58=""),"PENDENTE",IF($K58&lt;=$L58,$P58,IF($K58&lt;=$L58+$M58,$P58+($Q58-$P58)*($K58-$L58)/$M58,IF($K58&lt;=$L58+$M58+$N58,$Q58,IF($K58&lt;=$L58+$M58+$N58+$O58,$Q58+($R58-$Q58)*($K58-($L58+$M58+$N58))/$O58,$R58)))))</f>
        <v/>
      </c>
      <c r="T58" s="13">
        <f>IF($I58="","",$I58)</f>
        <v/>
      </c>
      <c r="U58" s="14">
        <f>IF($T58="","",SUMIFS(ETO_DIARIO!$B$5:$B$404,ETO_DIARIO!$A$5:$A$404,"&gt;"&amp;$T58,ETO_DIARIO!$A$5:$A$404,"&lt;="&amp;DATA_REF))</f>
        <v/>
      </c>
      <c r="V58" s="14">
        <f>IF($T58="","",SUMIFS(ETO_DIARIO!$C$5:$C$404,ETO_DIARIO!$A$5:$A$404,"&gt;"&amp;$T58,ETO_DIARIO!$A$5:$A$404,"&lt;="&amp;DATA_REF))</f>
        <v/>
      </c>
      <c r="W58" s="14">
        <f>IF(OR($S58="",$S58="PENDENTE",$U58=""),"",$S58*$U58)</f>
        <v/>
      </c>
      <c r="X58" s="14">
        <f>IF($W58="","",MAX(0,$W58-N($V58)))</f>
        <v/>
      </c>
      <c r="Y58" s="14">
        <f>IF($X58="","",$X58/EF_APLIC)</f>
        <v/>
      </c>
      <c r="Z58" s="15" t="n">
        <v>100</v>
      </c>
      <c r="AA58" s="16">
        <f>IF(OR($Y58="",$Z58=""),"",$Y58*$Z58*10)</f>
        <v/>
      </c>
      <c r="AB58" s="17" t="n">
        <v>0.583</v>
      </c>
      <c r="AC58" s="16">
        <f>IF(OR($AA58="",$AB58=""),"",$AA58*$AB58)</f>
        <v/>
      </c>
      <c r="AD58" s="18">
        <f>IF($S58="PENDENTE","Definir classe/Kc",IF($Y58="","-",IF($Y58&gt;='PARAMETROS'!$B$7/EF_APLIC,"Irrigar",IF($Y58&gt;='PARAMETROS'!$B$7/EF_APLIC*FRAC_ACOMP,"Acompanhar","Aguardar"))))</f>
        <v/>
      </c>
      <c r="AE58" s="18">
        <f>IF(OR($Y58="",$Y58=0),"-",IF($Y58&gt;=2*'PARAMETROS'!$B$7/EF_APLIC,"Alta",IF($Y58&gt;='PARAMETROS'!$B$7/EF_APLIC,"Media","Baixa")))</f>
        <v/>
      </c>
    </row>
    <row r="59">
      <c r="A59" s="5" t="inlineStr">
        <is>
          <t>Pivô 106</t>
        </is>
      </c>
      <c r="B59" s="5" t="inlineStr">
        <is>
          <t>Rdm</t>
        </is>
      </c>
      <c r="C59" s="5" t="inlineStr">
        <is>
          <t>RM2</t>
        </is>
      </c>
      <c r="D59" s="5" t="inlineStr">
        <is>
          <t>RDM</t>
        </is>
      </c>
      <c r="E59" s="5" t="inlineStr">
        <is>
          <t>SOJA</t>
        </is>
      </c>
      <c r="F59" s="6" t="inlineStr">
        <is>
          <t>NEO 761 I2X</t>
        </is>
      </c>
      <c r="G59" s="7" t="inlineStr">
        <is>
          <t>PRECOCE</t>
        </is>
      </c>
      <c r="H59" s="5" t="inlineStr">
        <is>
          <t>ativo</t>
        </is>
      </c>
      <c r="I59" s="8" t="n">
        <v>46291</v>
      </c>
      <c r="J59" s="9">
        <f>IF($I59="","",DATA_REF-$I59)</f>
        <v/>
      </c>
      <c r="K59" s="9">
        <f>IF($J59="","",MAX(0,$J59-'PARAMETROS'!$B$11))</f>
        <v/>
      </c>
      <c r="L59" s="10">
        <f>IFERROR(INDEX(KC_CURVAS!$C$5:$C$15,MATCH("SOJA|"&amp;$G59,KC_CURVAS!$K$5:$K$15,0)),IFERROR(INDEX(KC_CURVAS!$C$5:$C$15,MATCH("SOJA"&amp;"|",KC_CURVAS!$K$5:$K$15,0)),""))</f>
        <v/>
      </c>
      <c r="M59" s="10">
        <f>IFERROR(INDEX(KC_CURVAS!$D$5:$D$15,MATCH("SOJA|"&amp;$G59,KC_CURVAS!$K$5:$K$15,0)),IFERROR(INDEX(KC_CURVAS!$D$5:$D$15,MATCH("SOJA"&amp;"|",KC_CURVAS!$K$5:$K$15,0)),""))</f>
        <v/>
      </c>
      <c r="N59" s="10">
        <f>IFERROR(INDEX(KC_CURVAS!$E$5:$E$15,MATCH("SOJA|"&amp;$G59,KC_CURVAS!$K$5:$K$15,0)),IFERROR(INDEX(KC_CURVAS!$E$5:$E$15,MATCH("SOJA"&amp;"|",KC_CURVAS!$K$5:$K$15,0)),""))</f>
        <v/>
      </c>
      <c r="O59" s="10">
        <f>IFERROR(INDEX(KC_CURVAS!$F$5:$F$15,MATCH("SOJA|"&amp;$G59,KC_CURVAS!$K$5:$K$15,0)),IFERROR(INDEX(KC_CURVAS!$F$5:$F$15,MATCH("SOJA"&amp;"|",KC_CURVAS!$K$5:$K$15,0)),""))</f>
        <v/>
      </c>
      <c r="P59" s="11">
        <f>IFERROR(INDEX(KC_CURVAS!$G$5:$G$15,MATCH("SOJA|"&amp;$G59,KC_CURVAS!$K$5:$K$15,0)),IFERROR(INDEX(KC_CURVAS!$G$5:$G$15,MATCH("SOJA"&amp;"|",KC_CURVAS!$K$5:$K$15,0)),""))</f>
        <v/>
      </c>
      <c r="Q59" s="11">
        <f>IFERROR(INDEX(KC_CURVAS!$H$5:$H$15,MATCH("SOJA|"&amp;$G59,KC_CURVAS!$K$5:$K$15,0)),IFERROR(INDEX(KC_CURVAS!$H$5:$H$15,MATCH("SOJA"&amp;"|",KC_CURVAS!$K$5:$K$15,0)),""))</f>
        <v/>
      </c>
      <c r="R59" s="11">
        <f>IFERROR(INDEX(KC_CURVAS!$I$5:$I$15,MATCH("SOJA|"&amp;$G59,KC_CURVAS!$K$5:$K$15,0)),IFERROR(INDEX(KC_CURVAS!$I$5:$I$15,MATCH("SOJA"&amp;"|",KC_CURVAS!$K$5:$K$15,0)),""))</f>
        <v/>
      </c>
      <c r="S59" s="12">
        <f>IF(OR($K59="",$L59=""),"PENDENTE",IF($K59&lt;=$L59,$P59,IF($K59&lt;=$L59+$M59,$P59+($Q59-$P59)*($K59-$L59)/$M59,IF($K59&lt;=$L59+$M59+$N59,$Q59,IF($K59&lt;=$L59+$M59+$N59+$O59,$Q59+($R59-$Q59)*($K59-($L59+$M59+$N59))/$O59,$R59)))))</f>
        <v/>
      </c>
      <c r="T59" s="13">
        <f>IF($I59="","",$I59)</f>
        <v/>
      </c>
      <c r="U59" s="14">
        <f>IF($T59="","",SUMIFS(ETO_DIARIO!$B$5:$B$404,ETO_DIARIO!$A$5:$A$404,"&gt;"&amp;$T59,ETO_DIARIO!$A$5:$A$404,"&lt;="&amp;DATA_REF))</f>
        <v/>
      </c>
      <c r="V59" s="14">
        <f>IF($T59="","",SUMIFS(ETO_DIARIO!$C$5:$C$404,ETO_DIARIO!$A$5:$A$404,"&gt;"&amp;$T59,ETO_DIARIO!$A$5:$A$404,"&lt;="&amp;DATA_REF))</f>
        <v/>
      </c>
      <c r="W59" s="14">
        <f>IF(OR($S59="",$S59="PENDENTE",$U59=""),"",$S59*$U59)</f>
        <v/>
      </c>
      <c r="X59" s="14">
        <f>IF($W59="","",MAX(0,$W59-N($V59)))</f>
        <v/>
      </c>
      <c r="Y59" s="14">
        <f>IF($X59="","",$X59/EF_APLIC)</f>
        <v/>
      </c>
      <c r="Z59" s="15" t="n">
        <v>100</v>
      </c>
      <c r="AA59" s="16">
        <f>IF(OR($Y59="",$Z59=""),"",$Y59*$Z59*10)</f>
        <v/>
      </c>
      <c r="AB59" s="17" t="n">
        <v>0.583</v>
      </c>
      <c r="AC59" s="16">
        <f>IF(OR($AA59="",$AB59=""),"",$AA59*$AB59)</f>
        <v/>
      </c>
      <c r="AD59" s="18">
        <f>IF($S59="PENDENTE","Definir classe/Kc",IF($Y59="","-",IF($Y59&gt;='PARAMETROS'!$B$7/EF_APLIC,"Irrigar",IF($Y59&gt;='PARAMETROS'!$B$7/EF_APLIC*FRAC_ACOMP,"Acompanhar","Aguardar"))))</f>
        <v/>
      </c>
      <c r="AE59" s="18">
        <f>IF(OR($Y59="",$Y59=0),"-",IF($Y59&gt;=2*'PARAMETROS'!$B$7/EF_APLIC,"Alta",IF($Y59&gt;='PARAMETROS'!$B$7/EF_APLIC,"Media","Baixa")))</f>
        <v/>
      </c>
    </row>
    <row r="60">
      <c r="A60" s="5" t="inlineStr">
        <is>
          <t>Pivô 107</t>
        </is>
      </c>
      <c r="B60" s="5" t="inlineStr">
        <is>
          <t>Rdm</t>
        </is>
      </c>
      <c r="C60" s="5" t="inlineStr">
        <is>
          <t>RM3</t>
        </is>
      </c>
      <c r="D60" s="5" t="inlineStr">
        <is>
          <t>RDM</t>
        </is>
      </c>
      <c r="E60" s="5" t="inlineStr">
        <is>
          <t>SOJA</t>
        </is>
      </c>
      <c r="F60" s="6" t="inlineStr">
        <is>
          <t>NEO 761 I2X</t>
        </is>
      </c>
      <c r="G60" s="7" t="inlineStr">
        <is>
          <t>PRECOCE</t>
        </is>
      </c>
      <c r="H60" s="5" t="inlineStr">
        <is>
          <t>ativo</t>
        </is>
      </c>
      <c r="I60" s="8" t="n">
        <v>46293</v>
      </c>
      <c r="J60" s="9">
        <f>IF($I60="","",DATA_REF-$I60)</f>
        <v/>
      </c>
      <c r="K60" s="9">
        <f>IF($J60="","",MAX(0,$J60-'PARAMETROS'!$B$11))</f>
        <v/>
      </c>
      <c r="L60" s="10">
        <f>IFERROR(INDEX(KC_CURVAS!$C$5:$C$15,MATCH("SOJA|"&amp;$G60,KC_CURVAS!$K$5:$K$15,0)),IFERROR(INDEX(KC_CURVAS!$C$5:$C$15,MATCH("SOJA"&amp;"|",KC_CURVAS!$K$5:$K$15,0)),""))</f>
        <v/>
      </c>
      <c r="M60" s="10">
        <f>IFERROR(INDEX(KC_CURVAS!$D$5:$D$15,MATCH("SOJA|"&amp;$G60,KC_CURVAS!$K$5:$K$15,0)),IFERROR(INDEX(KC_CURVAS!$D$5:$D$15,MATCH("SOJA"&amp;"|",KC_CURVAS!$K$5:$K$15,0)),""))</f>
        <v/>
      </c>
      <c r="N60" s="10">
        <f>IFERROR(INDEX(KC_CURVAS!$E$5:$E$15,MATCH("SOJA|"&amp;$G60,KC_CURVAS!$K$5:$K$15,0)),IFERROR(INDEX(KC_CURVAS!$E$5:$E$15,MATCH("SOJA"&amp;"|",KC_CURVAS!$K$5:$K$15,0)),""))</f>
        <v/>
      </c>
      <c r="O60" s="10">
        <f>IFERROR(INDEX(KC_CURVAS!$F$5:$F$15,MATCH("SOJA|"&amp;$G60,KC_CURVAS!$K$5:$K$15,0)),IFERROR(INDEX(KC_CURVAS!$F$5:$F$15,MATCH("SOJA"&amp;"|",KC_CURVAS!$K$5:$K$15,0)),""))</f>
        <v/>
      </c>
      <c r="P60" s="11">
        <f>IFERROR(INDEX(KC_CURVAS!$G$5:$G$15,MATCH("SOJA|"&amp;$G60,KC_CURVAS!$K$5:$K$15,0)),IFERROR(INDEX(KC_CURVAS!$G$5:$G$15,MATCH("SOJA"&amp;"|",KC_CURVAS!$K$5:$K$15,0)),""))</f>
        <v/>
      </c>
      <c r="Q60" s="11">
        <f>IFERROR(INDEX(KC_CURVAS!$H$5:$H$15,MATCH("SOJA|"&amp;$G60,KC_CURVAS!$K$5:$K$15,0)),IFERROR(INDEX(KC_CURVAS!$H$5:$H$15,MATCH("SOJA"&amp;"|",KC_CURVAS!$K$5:$K$15,0)),""))</f>
        <v/>
      </c>
      <c r="R60" s="11">
        <f>IFERROR(INDEX(KC_CURVAS!$I$5:$I$15,MATCH("SOJA|"&amp;$G60,KC_CURVAS!$K$5:$K$15,0)),IFERROR(INDEX(KC_CURVAS!$I$5:$I$15,MATCH("SOJA"&amp;"|",KC_CURVAS!$K$5:$K$15,0)),""))</f>
        <v/>
      </c>
      <c r="S60" s="12">
        <f>IF(OR($K60="",$L60=""),"PENDENTE",IF($K60&lt;=$L60,$P60,IF($K60&lt;=$L60+$M60,$P60+($Q60-$P60)*($K60-$L60)/$M60,IF($K60&lt;=$L60+$M60+$N60,$Q60,IF($K60&lt;=$L60+$M60+$N60+$O60,$Q60+($R60-$Q60)*($K60-($L60+$M60+$N60))/$O60,$R60)))))</f>
        <v/>
      </c>
      <c r="T60" s="13">
        <f>IF($I60="","",$I60)</f>
        <v/>
      </c>
      <c r="U60" s="14">
        <f>IF($T60="","",SUMIFS(ETO_DIARIO!$B$5:$B$404,ETO_DIARIO!$A$5:$A$404,"&gt;"&amp;$T60,ETO_DIARIO!$A$5:$A$404,"&lt;="&amp;DATA_REF))</f>
        <v/>
      </c>
      <c r="V60" s="14">
        <f>IF($T60="","",SUMIFS(ETO_DIARIO!$C$5:$C$404,ETO_DIARIO!$A$5:$A$404,"&gt;"&amp;$T60,ETO_DIARIO!$A$5:$A$404,"&lt;="&amp;DATA_REF))</f>
        <v/>
      </c>
      <c r="W60" s="14">
        <f>IF(OR($S60="",$S60="PENDENTE",$U60=""),"",$S60*$U60)</f>
        <v/>
      </c>
      <c r="X60" s="14">
        <f>IF($W60="","",MAX(0,$W60-N($V60)))</f>
        <v/>
      </c>
      <c r="Y60" s="14">
        <f>IF($X60="","",$X60/EF_APLIC)</f>
        <v/>
      </c>
      <c r="Z60" s="15" t="n">
        <v>100</v>
      </c>
      <c r="AA60" s="16">
        <f>IF(OR($Y60="",$Z60=""),"",$Y60*$Z60*10)</f>
        <v/>
      </c>
      <c r="AB60" s="17" t="n">
        <v>0.621</v>
      </c>
      <c r="AC60" s="16">
        <f>IF(OR($AA60="",$AB60=""),"",$AA60*$AB60)</f>
        <v/>
      </c>
      <c r="AD60" s="18">
        <f>IF($S60="PENDENTE","Definir classe/Kc",IF($Y60="","-",IF($Y60&gt;='PARAMETROS'!$B$7/EF_APLIC,"Irrigar",IF($Y60&gt;='PARAMETROS'!$B$7/EF_APLIC*FRAC_ACOMP,"Acompanhar","Aguardar"))))</f>
        <v/>
      </c>
      <c r="AE60" s="18">
        <f>IF(OR($Y60="",$Y60=0),"-",IF($Y60&gt;=2*'PARAMETROS'!$B$7/EF_APLIC,"Alta",IF($Y60&gt;='PARAMETROS'!$B$7/EF_APLIC,"Media","Baixa")))</f>
        <v/>
      </c>
    </row>
    <row r="61">
      <c r="A61" s="5" t="inlineStr">
        <is>
          <t>Pivô 109</t>
        </is>
      </c>
      <c r="B61" s="5" t="inlineStr">
        <is>
          <t>Rdm</t>
        </is>
      </c>
      <c r="C61" s="5" t="inlineStr">
        <is>
          <t>RM1</t>
        </is>
      </c>
      <c r="D61" s="5" t="inlineStr">
        <is>
          <t>RDM</t>
        </is>
      </c>
      <c r="E61" s="5" t="inlineStr">
        <is>
          <t>SOJA</t>
        </is>
      </c>
      <c r="F61" s="6" t="inlineStr">
        <is>
          <t>NEO 690 I2X</t>
        </is>
      </c>
      <c r="G61" s="7" t="inlineStr">
        <is>
          <t>PRECOCE</t>
        </is>
      </c>
      <c r="H61" s="5" t="inlineStr">
        <is>
          <t>ativo</t>
        </is>
      </c>
      <c r="I61" s="8" t="n">
        <v>46290</v>
      </c>
      <c r="J61" s="9">
        <f>IF($I61="","",DATA_REF-$I61)</f>
        <v/>
      </c>
      <c r="K61" s="9">
        <f>IF($J61="","",MAX(0,$J61-'PARAMETROS'!$B$11))</f>
        <v/>
      </c>
      <c r="L61" s="10">
        <f>IFERROR(INDEX(KC_CURVAS!$C$5:$C$15,MATCH("SOJA|"&amp;$G61,KC_CURVAS!$K$5:$K$15,0)),IFERROR(INDEX(KC_CURVAS!$C$5:$C$15,MATCH("SOJA"&amp;"|",KC_CURVAS!$K$5:$K$15,0)),""))</f>
        <v/>
      </c>
      <c r="M61" s="10">
        <f>IFERROR(INDEX(KC_CURVAS!$D$5:$D$15,MATCH("SOJA|"&amp;$G61,KC_CURVAS!$K$5:$K$15,0)),IFERROR(INDEX(KC_CURVAS!$D$5:$D$15,MATCH("SOJA"&amp;"|",KC_CURVAS!$K$5:$K$15,0)),""))</f>
        <v/>
      </c>
      <c r="N61" s="10">
        <f>IFERROR(INDEX(KC_CURVAS!$E$5:$E$15,MATCH("SOJA|"&amp;$G61,KC_CURVAS!$K$5:$K$15,0)),IFERROR(INDEX(KC_CURVAS!$E$5:$E$15,MATCH("SOJA"&amp;"|",KC_CURVAS!$K$5:$K$15,0)),""))</f>
        <v/>
      </c>
      <c r="O61" s="10">
        <f>IFERROR(INDEX(KC_CURVAS!$F$5:$F$15,MATCH("SOJA|"&amp;$G61,KC_CURVAS!$K$5:$K$15,0)),IFERROR(INDEX(KC_CURVAS!$F$5:$F$15,MATCH("SOJA"&amp;"|",KC_CURVAS!$K$5:$K$15,0)),""))</f>
        <v/>
      </c>
      <c r="P61" s="11">
        <f>IFERROR(INDEX(KC_CURVAS!$G$5:$G$15,MATCH("SOJA|"&amp;$G61,KC_CURVAS!$K$5:$K$15,0)),IFERROR(INDEX(KC_CURVAS!$G$5:$G$15,MATCH("SOJA"&amp;"|",KC_CURVAS!$K$5:$K$15,0)),""))</f>
        <v/>
      </c>
      <c r="Q61" s="11">
        <f>IFERROR(INDEX(KC_CURVAS!$H$5:$H$15,MATCH("SOJA|"&amp;$G61,KC_CURVAS!$K$5:$K$15,0)),IFERROR(INDEX(KC_CURVAS!$H$5:$H$15,MATCH("SOJA"&amp;"|",KC_CURVAS!$K$5:$K$15,0)),""))</f>
        <v/>
      </c>
      <c r="R61" s="11">
        <f>IFERROR(INDEX(KC_CURVAS!$I$5:$I$15,MATCH("SOJA|"&amp;$G61,KC_CURVAS!$K$5:$K$15,0)),IFERROR(INDEX(KC_CURVAS!$I$5:$I$15,MATCH("SOJA"&amp;"|",KC_CURVAS!$K$5:$K$15,0)),""))</f>
        <v/>
      </c>
      <c r="S61" s="12">
        <f>IF(OR($K61="",$L61=""),"PENDENTE",IF($K61&lt;=$L61,$P61,IF($K61&lt;=$L61+$M61,$P61+($Q61-$P61)*($K61-$L61)/$M61,IF($K61&lt;=$L61+$M61+$N61,$Q61,IF($K61&lt;=$L61+$M61+$N61+$O61,$Q61+($R61-$Q61)*($K61-($L61+$M61+$N61))/$O61,$R61)))))</f>
        <v/>
      </c>
      <c r="T61" s="13">
        <f>IF($I61="","",$I61)</f>
        <v/>
      </c>
      <c r="U61" s="14">
        <f>IF($T61="","",SUMIFS(ETO_DIARIO!$B$5:$B$404,ETO_DIARIO!$A$5:$A$404,"&gt;"&amp;$T61,ETO_DIARIO!$A$5:$A$404,"&lt;="&amp;DATA_REF))</f>
        <v/>
      </c>
      <c r="V61" s="14">
        <f>IF($T61="","",SUMIFS(ETO_DIARIO!$C$5:$C$404,ETO_DIARIO!$A$5:$A$404,"&gt;"&amp;$T61,ETO_DIARIO!$A$5:$A$404,"&lt;="&amp;DATA_REF))</f>
        <v/>
      </c>
      <c r="W61" s="14">
        <f>IF(OR($S61="",$S61="PENDENTE",$U61=""),"",$S61*$U61)</f>
        <v/>
      </c>
      <c r="X61" s="14">
        <f>IF($W61="","",MAX(0,$W61-N($V61)))</f>
        <v/>
      </c>
      <c r="Y61" s="14">
        <f>IF($X61="","",$X61/EF_APLIC)</f>
        <v/>
      </c>
      <c r="Z61" s="15" t="n">
        <v>100</v>
      </c>
      <c r="AA61" s="16">
        <f>IF(OR($Y61="",$Z61=""),"",$Y61*$Z61*10)</f>
        <v/>
      </c>
      <c r="AB61" s="17" t="n">
        <v>0.621</v>
      </c>
      <c r="AC61" s="16">
        <f>IF(OR($AA61="",$AB61=""),"",$AA61*$AB61)</f>
        <v/>
      </c>
      <c r="AD61" s="18">
        <f>IF($S61="PENDENTE","Definir classe/Kc",IF($Y61="","-",IF($Y61&gt;='PARAMETROS'!$B$7/EF_APLIC,"Irrigar",IF($Y61&gt;='PARAMETROS'!$B$7/EF_APLIC*FRAC_ACOMP,"Acompanhar","Aguardar"))))</f>
        <v/>
      </c>
      <c r="AE61" s="18">
        <f>IF(OR($Y61="",$Y61=0),"-",IF($Y61&gt;=2*'PARAMETROS'!$B$7/EF_APLIC,"Alta",IF($Y61&gt;='PARAMETROS'!$B$7/EF_APLIC,"Media","Baixa")))</f>
        <v/>
      </c>
    </row>
    <row r="62">
      <c r="A62" s="5" t="inlineStr">
        <is>
          <t>Pivô 110</t>
        </is>
      </c>
      <c r="B62" s="5" t="inlineStr">
        <is>
          <t>Rdm</t>
        </is>
      </c>
      <c r="C62" s="5" t="inlineStr">
        <is>
          <t>RM4</t>
        </is>
      </c>
      <c r="D62" s="5" t="inlineStr">
        <is>
          <t>RDM</t>
        </is>
      </c>
      <c r="E62" s="5" t="inlineStr">
        <is>
          <t>SOJA</t>
        </is>
      </c>
      <c r="F62" s="6" t="inlineStr">
        <is>
          <t>NEO 690 I2X</t>
        </is>
      </c>
      <c r="G62" s="7" t="inlineStr">
        <is>
          <t>PRECOCE</t>
        </is>
      </c>
      <c r="H62" s="5" t="inlineStr">
        <is>
          <t>ativo</t>
        </is>
      </c>
      <c r="I62" s="8" t="n">
        <v>46290</v>
      </c>
      <c r="J62" s="9">
        <f>IF($I62="","",DATA_REF-$I62)</f>
        <v/>
      </c>
      <c r="K62" s="9">
        <f>IF($J62="","",MAX(0,$J62-'PARAMETROS'!$B$11))</f>
        <v/>
      </c>
      <c r="L62" s="10">
        <f>IFERROR(INDEX(KC_CURVAS!$C$5:$C$15,MATCH("SOJA|"&amp;$G62,KC_CURVAS!$K$5:$K$15,0)),IFERROR(INDEX(KC_CURVAS!$C$5:$C$15,MATCH("SOJA"&amp;"|",KC_CURVAS!$K$5:$K$15,0)),""))</f>
        <v/>
      </c>
      <c r="M62" s="10">
        <f>IFERROR(INDEX(KC_CURVAS!$D$5:$D$15,MATCH("SOJA|"&amp;$G62,KC_CURVAS!$K$5:$K$15,0)),IFERROR(INDEX(KC_CURVAS!$D$5:$D$15,MATCH("SOJA"&amp;"|",KC_CURVAS!$K$5:$K$15,0)),""))</f>
        <v/>
      </c>
      <c r="N62" s="10">
        <f>IFERROR(INDEX(KC_CURVAS!$E$5:$E$15,MATCH("SOJA|"&amp;$G62,KC_CURVAS!$K$5:$K$15,0)),IFERROR(INDEX(KC_CURVAS!$E$5:$E$15,MATCH("SOJA"&amp;"|",KC_CURVAS!$K$5:$K$15,0)),""))</f>
        <v/>
      </c>
      <c r="O62" s="10">
        <f>IFERROR(INDEX(KC_CURVAS!$F$5:$F$15,MATCH("SOJA|"&amp;$G62,KC_CURVAS!$K$5:$K$15,0)),IFERROR(INDEX(KC_CURVAS!$F$5:$F$15,MATCH("SOJA"&amp;"|",KC_CURVAS!$K$5:$K$15,0)),""))</f>
        <v/>
      </c>
      <c r="P62" s="11">
        <f>IFERROR(INDEX(KC_CURVAS!$G$5:$G$15,MATCH("SOJA|"&amp;$G62,KC_CURVAS!$K$5:$K$15,0)),IFERROR(INDEX(KC_CURVAS!$G$5:$G$15,MATCH("SOJA"&amp;"|",KC_CURVAS!$K$5:$K$15,0)),""))</f>
        <v/>
      </c>
      <c r="Q62" s="11">
        <f>IFERROR(INDEX(KC_CURVAS!$H$5:$H$15,MATCH("SOJA|"&amp;$G62,KC_CURVAS!$K$5:$K$15,0)),IFERROR(INDEX(KC_CURVAS!$H$5:$H$15,MATCH("SOJA"&amp;"|",KC_CURVAS!$K$5:$K$15,0)),""))</f>
        <v/>
      </c>
      <c r="R62" s="11">
        <f>IFERROR(INDEX(KC_CURVAS!$I$5:$I$15,MATCH("SOJA|"&amp;$G62,KC_CURVAS!$K$5:$K$15,0)),IFERROR(INDEX(KC_CURVAS!$I$5:$I$15,MATCH("SOJA"&amp;"|",KC_CURVAS!$K$5:$K$15,0)),""))</f>
        <v/>
      </c>
      <c r="S62" s="12">
        <f>IF(OR($K62="",$L62=""),"PENDENTE",IF($K62&lt;=$L62,$P62,IF($K62&lt;=$L62+$M62,$P62+($Q62-$P62)*($K62-$L62)/$M62,IF($K62&lt;=$L62+$M62+$N62,$Q62,IF($K62&lt;=$L62+$M62+$N62+$O62,$Q62+($R62-$Q62)*($K62-($L62+$M62+$N62))/$O62,$R62)))))</f>
        <v/>
      </c>
      <c r="T62" s="13">
        <f>IF($I62="","",$I62)</f>
        <v/>
      </c>
      <c r="U62" s="14">
        <f>IF($T62="","",SUMIFS(ETO_DIARIO!$B$5:$B$404,ETO_DIARIO!$A$5:$A$404,"&gt;"&amp;$T62,ETO_DIARIO!$A$5:$A$404,"&lt;="&amp;DATA_REF))</f>
        <v/>
      </c>
      <c r="V62" s="14">
        <f>IF($T62="","",SUMIFS(ETO_DIARIO!$C$5:$C$404,ETO_DIARIO!$A$5:$A$404,"&gt;"&amp;$T62,ETO_DIARIO!$A$5:$A$404,"&lt;="&amp;DATA_REF))</f>
        <v/>
      </c>
      <c r="W62" s="14">
        <f>IF(OR($S62="",$S62="PENDENTE",$U62=""),"",$S62*$U62)</f>
        <v/>
      </c>
      <c r="X62" s="14">
        <f>IF($W62="","",MAX(0,$W62-N($V62)))</f>
        <v/>
      </c>
      <c r="Y62" s="14">
        <f>IF($X62="","",$X62/EF_APLIC)</f>
        <v/>
      </c>
      <c r="Z62" s="15" t="n">
        <v>100</v>
      </c>
      <c r="AA62" s="16">
        <f>IF(OR($Y62="",$Z62=""),"",$Y62*$Z62*10)</f>
        <v/>
      </c>
      <c r="AB62" s="17" t="n">
        <v>0.622</v>
      </c>
      <c r="AC62" s="16">
        <f>IF(OR($AA62="",$AB62=""),"",$AA62*$AB62)</f>
        <v/>
      </c>
      <c r="AD62" s="18">
        <f>IF($S62="PENDENTE","Definir classe/Kc",IF($Y62="","-",IF($Y62&gt;='PARAMETROS'!$B$7/EF_APLIC,"Irrigar",IF($Y62&gt;='PARAMETROS'!$B$7/EF_APLIC*FRAC_ACOMP,"Acompanhar","Aguardar"))))</f>
        <v/>
      </c>
      <c r="AE62" s="18">
        <f>IF(OR($Y62="",$Y62=0),"-",IF($Y62&gt;=2*'PARAMETROS'!$B$7/EF_APLIC,"Alta",IF($Y62&gt;='PARAMETROS'!$B$7/EF_APLIC,"Media","Baixa")))</f>
        <v/>
      </c>
    </row>
    <row r="63">
      <c r="A63" s="5" t="inlineStr">
        <is>
          <t>Pivô 112</t>
        </is>
      </c>
      <c r="B63" s="5" t="inlineStr">
        <is>
          <t>Rdm</t>
        </is>
      </c>
      <c r="C63" s="5" t="inlineStr">
        <is>
          <t>RM5</t>
        </is>
      </c>
      <c r="D63" s="5" t="inlineStr">
        <is>
          <t>RDM</t>
        </is>
      </c>
      <c r="E63" s="5" t="inlineStr">
        <is>
          <t>SOJA</t>
        </is>
      </c>
      <c r="F63" s="6" t="inlineStr">
        <is>
          <t>NEO 761 I2X</t>
        </is>
      </c>
      <c r="G63" s="7" t="inlineStr">
        <is>
          <t>PRECOCE</t>
        </is>
      </c>
      <c r="H63" s="5" t="inlineStr">
        <is>
          <t>proximo</t>
        </is>
      </c>
      <c r="I63" s="8" t="n">
        <v>46307</v>
      </c>
      <c r="J63" s="9">
        <f>IF($I63="","",DATA_REF-$I63)</f>
        <v/>
      </c>
      <c r="K63" s="9">
        <f>IF($J63="","",MAX(0,$J63-'PARAMETROS'!$B$11))</f>
        <v/>
      </c>
      <c r="L63" s="10">
        <f>IFERROR(INDEX(KC_CURVAS!$C$5:$C$15,MATCH("SOJA|"&amp;$G63,KC_CURVAS!$K$5:$K$15,0)),IFERROR(INDEX(KC_CURVAS!$C$5:$C$15,MATCH("SOJA"&amp;"|",KC_CURVAS!$K$5:$K$15,0)),""))</f>
        <v/>
      </c>
      <c r="M63" s="10">
        <f>IFERROR(INDEX(KC_CURVAS!$D$5:$D$15,MATCH("SOJA|"&amp;$G63,KC_CURVAS!$K$5:$K$15,0)),IFERROR(INDEX(KC_CURVAS!$D$5:$D$15,MATCH("SOJA"&amp;"|",KC_CURVAS!$K$5:$K$15,0)),""))</f>
        <v/>
      </c>
      <c r="N63" s="10">
        <f>IFERROR(INDEX(KC_CURVAS!$E$5:$E$15,MATCH("SOJA|"&amp;$G63,KC_CURVAS!$K$5:$K$15,0)),IFERROR(INDEX(KC_CURVAS!$E$5:$E$15,MATCH("SOJA"&amp;"|",KC_CURVAS!$K$5:$K$15,0)),""))</f>
        <v/>
      </c>
      <c r="O63" s="10">
        <f>IFERROR(INDEX(KC_CURVAS!$F$5:$F$15,MATCH("SOJA|"&amp;$G63,KC_CURVAS!$K$5:$K$15,0)),IFERROR(INDEX(KC_CURVAS!$F$5:$F$15,MATCH("SOJA"&amp;"|",KC_CURVAS!$K$5:$K$15,0)),""))</f>
        <v/>
      </c>
      <c r="P63" s="11">
        <f>IFERROR(INDEX(KC_CURVAS!$G$5:$G$15,MATCH("SOJA|"&amp;$G63,KC_CURVAS!$K$5:$K$15,0)),IFERROR(INDEX(KC_CURVAS!$G$5:$G$15,MATCH("SOJA"&amp;"|",KC_CURVAS!$K$5:$K$15,0)),""))</f>
        <v/>
      </c>
      <c r="Q63" s="11">
        <f>IFERROR(INDEX(KC_CURVAS!$H$5:$H$15,MATCH("SOJA|"&amp;$G63,KC_CURVAS!$K$5:$K$15,0)),IFERROR(INDEX(KC_CURVAS!$H$5:$H$15,MATCH("SOJA"&amp;"|",KC_CURVAS!$K$5:$K$15,0)),""))</f>
        <v/>
      </c>
      <c r="R63" s="11">
        <f>IFERROR(INDEX(KC_CURVAS!$I$5:$I$15,MATCH("SOJA|"&amp;$G63,KC_CURVAS!$K$5:$K$15,0)),IFERROR(INDEX(KC_CURVAS!$I$5:$I$15,MATCH("SOJA"&amp;"|",KC_CURVAS!$K$5:$K$15,0)),""))</f>
        <v/>
      </c>
      <c r="S63" s="12">
        <f>IF(OR($K63="",$L63=""),"PENDENTE",IF($K63&lt;=$L63,$P63,IF($K63&lt;=$L63+$M63,$P63+($Q63-$P63)*($K63-$L63)/$M63,IF($K63&lt;=$L63+$M63+$N63,$Q63,IF($K63&lt;=$L63+$M63+$N63+$O63,$Q63+($R63-$Q63)*($K63-($L63+$M63+$N63))/$O63,$R63)))))</f>
        <v/>
      </c>
      <c r="T63" s="13">
        <f>IF($I63="","",$I63)</f>
        <v/>
      </c>
      <c r="U63" s="14">
        <f>IF($T63="","",SUMIFS(ETO_DIARIO!$B$5:$B$404,ETO_DIARIO!$A$5:$A$404,"&gt;"&amp;$T63,ETO_DIARIO!$A$5:$A$404,"&lt;="&amp;DATA_REF))</f>
        <v/>
      </c>
      <c r="V63" s="14">
        <f>IF($T63="","",SUMIFS(ETO_DIARIO!$C$5:$C$404,ETO_DIARIO!$A$5:$A$404,"&gt;"&amp;$T63,ETO_DIARIO!$A$5:$A$404,"&lt;="&amp;DATA_REF))</f>
        <v/>
      </c>
      <c r="W63" s="14">
        <f>IF(OR($S63="",$S63="PENDENTE",$U63=""),"",$S63*$U63)</f>
        <v/>
      </c>
      <c r="X63" s="14">
        <f>IF($W63="","",MAX(0,$W63-N($V63)))</f>
        <v/>
      </c>
      <c r="Y63" s="14">
        <f>IF($X63="","",$X63/EF_APLIC)</f>
        <v/>
      </c>
      <c r="Z63" s="15" t="n">
        <v>150</v>
      </c>
      <c r="AA63" s="16">
        <f>IF(OR($Y63="",$Z63=""),"",$Y63*$Z63*10)</f>
        <v/>
      </c>
      <c r="AB63" s="17" t="n">
        <v>0.698</v>
      </c>
      <c r="AC63" s="16">
        <f>IF(OR($AA63="",$AB63=""),"",$AA63*$AB63)</f>
        <v/>
      </c>
      <c r="AD63" s="18">
        <f>IF($S63="PENDENTE","Definir classe/Kc",IF($Y63="","-",IF($Y63&gt;='PARAMETROS'!$B$7/EF_APLIC,"Irrigar",IF($Y63&gt;='PARAMETROS'!$B$7/EF_APLIC*FRAC_ACOMP,"Acompanhar","Aguardar"))))</f>
        <v/>
      </c>
      <c r="AE63" s="18">
        <f>IF(OR($Y63="",$Y63=0),"-",IF($Y63&gt;=2*'PARAMETROS'!$B$7/EF_APLIC,"Alta",IF($Y63&gt;='PARAMETROS'!$B$7/EF_APLIC,"Media","Baixa")))</f>
        <v/>
      </c>
    </row>
    <row r="64">
      <c r="A64" s="5" t="inlineStr">
        <is>
          <t>Pivô 113</t>
        </is>
      </c>
      <c r="B64" s="5" t="inlineStr">
        <is>
          <t>Rdm</t>
        </is>
      </c>
      <c r="C64" s="5" t="inlineStr">
        <is>
          <t>RM5</t>
        </is>
      </c>
      <c r="D64" s="5" t="inlineStr">
        <is>
          <t>RDM</t>
        </is>
      </c>
      <c r="E64" s="5" t="inlineStr">
        <is>
          <t>SOJA</t>
        </is>
      </c>
      <c r="F64" s="6" t="inlineStr">
        <is>
          <t>NEO 761 I2X</t>
        </is>
      </c>
      <c r="G64" s="7" t="inlineStr">
        <is>
          <t>PRECOCE</t>
        </is>
      </c>
      <c r="H64" s="5" t="inlineStr">
        <is>
          <t>proximo</t>
        </is>
      </c>
      <c r="I64" s="8" t="n">
        <v>46307</v>
      </c>
      <c r="J64" s="9">
        <f>IF($I64="","",DATA_REF-$I64)</f>
        <v/>
      </c>
      <c r="K64" s="9">
        <f>IF($J64="","",MAX(0,$J64-'PARAMETROS'!$B$11))</f>
        <v/>
      </c>
      <c r="L64" s="10">
        <f>IFERROR(INDEX(KC_CURVAS!$C$5:$C$15,MATCH("SOJA|"&amp;$G64,KC_CURVAS!$K$5:$K$15,0)),IFERROR(INDEX(KC_CURVAS!$C$5:$C$15,MATCH("SOJA"&amp;"|",KC_CURVAS!$K$5:$K$15,0)),""))</f>
        <v/>
      </c>
      <c r="M64" s="10">
        <f>IFERROR(INDEX(KC_CURVAS!$D$5:$D$15,MATCH("SOJA|"&amp;$G64,KC_CURVAS!$K$5:$K$15,0)),IFERROR(INDEX(KC_CURVAS!$D$5:$D$15,MATCH("SOJA"&amp;"|",KC_CURVAS!$K$5:$K$15,0)),""))</f>
        <v/>
      </c>
      <c r="N64" s="10">
        <f>IFERROR(INDEX(KC_CURVAS!$E$5:$E$15,MATCH("SOJA|"&amp;$G64,KC_CURVAS!$K$5:$K$15,0)),IFERROR(INDEX(KC_CURVAS!$E$5:$E$15,MATCH("SOJA"&amp;"|",KC_CURVAS!$K$5:$K$15,0)),""))</f>
        <v/>
      </c>
      <c r="O64" s="10">
        <f>IFERROR(INDEX(KC_CURVAS!$F$5:$F$15,MATCH("SOJA|"&amp;$G64,KC_CURVAS!$K$5:$K$15,0)),IFERROR(INDEX(KC_CURVAS!$F$5:$F$15,MATCH("SOJA"&amp;"|",KC_CURVAS!$K$5:$K$15,0)),""))</f>
        <v/>
      </c>
      <c r="P64" s="11">
        <f>IFERROR(INDEX(KC_CURVAS!$G$5:$G$15,MATCH("SOJA|"&amp;$G64,KC_CURVAS!$K$5:$K$15,0)),IFERROR(INDEX(KC_CURVAS!$G$5:$G$15,MATCH("SOJA"&amp;"|",KC_CURVAS!$K$5:$K$15,0)),""))</f>
        <v/>
      </c>
      <c r="Q64" s="11">
        <f>IFERROR(INDEX(KC_CURVAS!$H$5:$H$15,MATCH("SOJA|"&amp;$G64,KC_CURVAS!$K$5:$K$15,0)),IFERROR(INDEX(KC_CURVAS!$H$5:$H$15,MATCH("SOJA"&amp;"|",KC_CURVAS!$K$5:$K$15,0)),""))</f>
        <v/>
      </c>
      <c r="R64" s="11">
        <f>IFERROR(INDEX(KC_CURVAS!$I$5:$I$15,MATCH("SOJA|"&amp;$G64,KC_CURVAS!$K$5:$K$15,0)),IFERROR(INDEX(KC_CURVAS!$I$5:$I$15,MATCH("SOJA"&amp;"|",KC_CURVAS!$K$5:$K$15,0)),""))</f>
        <v/>
      </c>
      <c r="S64" s="12">
        <f>IF(OR($K64="",$L64=""),"PENDENTE",IF($K64&lt;=$L64,$P64,IF($K64&lt;=$L64+$M64,$P64+($Q64-$P64)*($K64-$L64)/$M64,IF($K64&lt;=$L64+$M64+$N64,$Q64,IF($K64&lt;=$L64+$M64+$N64+$O64,$Q64+($R64-$Q64)*($K64-($L64+$M64+$N64))/$O64,$R64)))))</f>
        <v/>
      </c>
      <c r="T64" s="13">
        <f>IF($I64="","",$I64)</f>
        <v/>
      </c>
      <c r="U64" s="14">
        <f>IF($T64="","",SUMIFS(ETO_DIARIO!$B$5:$B$404,ETO_DIARIO!$A$5:$A$404,"&gt;"&amp;$T64,ETO_DIARIO!$A$5:$A$404,"&lt;="&amp;DATA_REF))</f>
        <v/>
      </c>
      <c r="V64" s="14">
        <f>IF($T64="","",SUMIFS(ETO_DIARIO!$C$5:$C$404,ETO_DIARIO!$A$5:$A$404,"&gt;"&amp;$T64,ETO_DIARIO!$A$5:$A$404,"&lt;="&amp;DATA_REF))</f>
        <v/>
      </c>
      <c r="W64" s="14">
        <f>IF(OR($S64="",$S64="PENDENTE",$U64=""),"",$S64*$U64)</f>
        <v/>
      </c>
      <c r="X64" s="14">
        <f>IF($W64="","",MAX(0,$W64-N($V64)))</f>
        <v/>
      </c>
      <c r="Y64" s="14">
        <f>IF($X64="","",$X64/EF_APLIC)</f>
        <v/>
      </c>
      <c r="Z64" s="15" t="n">
        <v>150</v>
      </c>
      <c r="AA64" s="16">
        <f>IF(OR($Y64="",$Z64=""),"",$Y64*$Z64*10)</f>
        <v/>
      </c>
      <c r="AB64" s="17" t="n">
        <v>0.698</v>
      </c>
      <c r="AC64" s="16">
        <f>IF(OR($AA64="",$AB64=""),"",$AA64*$AB64)</f>
        <v/>
      </c>
      <c r="AD64" s="18">
        <f>IF($S64="PENDENTE","Definir classe/Kc",IF($Y64="","-",IF($Y64&gt;='PARAMETROS'!$B$7/EF_APLIC,"Irrigar",IF($Y64&gt;='PARAMETROS'!$B$7/EF_APLIC*FRAC_ACOMP,"Acompanhar","Aguardar"))))</f>
        <v/>
      </c>
      <c r="AE64" s="18">
        <f>IF(OR($Y64="",$Y64=0),"-",IF($Y64&gt;=2*'PARAMETROS'!$B$7/EF_APLIC,"Alta",IF($Y64&gt;='PARAMETROS'!$B$7/EF_APLIC,"Media","Baixa")))</f>
        <v/>
      </c>
    </row>
    <row r="65">
      <c r="A65" s="5" t="inlineStr">
        <is>
          <t>Pivô 121</t>
        </is>
      </c>
      <c r="B65" s="5" t="inlineStr">
        <is>
          <t>Rdm</t>
        </is>
      </c>
      <c r="C65" s="5" t="inlineStr">
        <is>
          <t>RM7</t>
        </is>
      </c>
      <c r="D65" s="5" t="inlineStr">
        <is>
          <t>RDM</t>
        </is>
      </c>
      <c r="E65" s="5" t="inlineStr">
        <is>
          <t>SOJA</t>
        </is>
      </c>
      <c r="F65" s="6" t="inlineStr">
        <is>
          <t>BMX Olimpo IPRO</t>
        </is>
      </c>
      <c r="G65" s="7" t="inlineStr">
        <is>
          <t>MÉDIA</t>
        </is>
      </c>
      <c r="H65" s="5" t="inlineStr">
        <is>
          <t>proximo</t>
        </is>
      </c>
      <c r="I65" s="8" t="n">
        <v>46309</v>
      </c>
      <c r="J65" s="9">
        <f>IF($I65="","",DATA_REF-$I65)</f>
        <v/>
      </c>
      <c r="K65" s="9">
        <f>IF($J65="","",MAX(0,$J65-'PARAMETROS'!$B$11))</f>
        <v/>
      </c>
      <c r="L65" s="10">
        <f>IFERROR(INDEX(KC_CURVAS!$C$5:$C$15,MATCH("SOJA|"&amp;$G65,KC_CURVAS!$K$5:$K$15,0)),IFERROR(INDEX(KC_CURVAS!$C$5:$C$15,MATCH("SOJA"&amp;"|",KC_CURVAS!$K$5:$K$15,0)),""))</f>
        <v/>
      </c>
      <c r="M65" s="10">
        <f>IFERROR(INDEX(KC_CURVAS!$D$5:$D$15,MATCH("SOJA|"&amp;$G65,KC_CURVAS!$K$5:$K$15,0)),IFERROR(INDEX(KC_CURVAS!$D$5:$D$15,MATCH("SOJA"&amp;"|",KC_CURVAS!$K$5:$K$15,0)),""))</f>
        <v/>
      </c>
      <c r="N65" s="10">
        <f>IFERROR(INDEX(KC_CURVAS!$E$5:$E$15,MATCH("SOJA|"&amp;$G65,KC_CURVAS!$K$5:$K$15,0)),IFERROR(INDEX(KC_CURVAS!$E$5:$E$15,MATCH("SOJA"&amp;"|",KC_CURVAS!$K$5:$K$15,0)),""))</f>
        <v/>
      </c>
      <c r="O65" s="10">
        <f>IFERROR(INDEX(KC_CURVAS!$F$5:$F$15,MATCH("SOJA|"&amp;$G65,KC_CURVAS!$K$5:$K$15,0)),IFERROR(INDEX(KC_CURVAS!$F$5:$F$15,MATCH("SOJA"&amp;"|",KC_CURVAS!$K$5:$K$15,0)),""))</f>
        <v/>
      </c>
      <c r="P65" s="11">
        <f>IFERROR(INDEX(KC_CURVAS!$G$5:$G$15,MATCH("SOJA|"&amp;$G65,KC_CURVAS!$K$5:$K$15,0)),IFERROR(INDEX(KC_CURVAS!$G$5:$G$15,MATCH("SOJA"&amp;"|",KC_CURVAS!$K$5:$K$15,0)),""))</f>
        <v/>
      </c>
      <c r="Q65" s="11">
        <f>IFERROR(INDEX(KC_CURVAS!$H$5:$H$15,MATCH("SOJA|"&amp;$G65,KC_CURVAS!$K$5:$K$15,0)),IFERROR(INDEX(KC_CURVAS!$H$5:$H$15,MATCH("SOJA"&amp;"|",KC_CURVAS!$K$5:$K$15,0)),""))</f>
        <v/>
      </c>
      <c r="R65" s="11">
        <f>IFERROR(INDEX(KC_CURVAS!$I$5:$I$15,MATCH("SOJA|"&amp;$G65,KC_CURVAS!$K$5:$K$15,0)),IFERROR(INDEX(KC_CURVAS!$I$5:$I$15,MATCH("SOJA"&amp;"|",KC_CURVAS!$K$5:$K$15,0)),""))</f>
        <v/>
      </c>
      <c r="S65" s="12">
        <f>IF(OR($K65="",$L65=""),"PENDENTE",IF($K65&lt;=$L65,$P65,IF($K65&lt;=$L65+$M65,$P65+($Q65-$P65)*($K65-$L65)/$M65,IF($K65&lt;=$L65+$M65+$N65,$Q65,IF($K65&lt;=$L65+$M65+$N65+$O65,$Q65+($R65-$Q65)*($K65-($L65+$M65+$N65))/$O65,$R65)))))</f>
        <v/>
      </c>
      <c r="T65" s="13">
        <f>IF($I65="","",$I65)</f>
        <v/>
      </c>
      <c r="U65" s="14">
        <f>IF($T65="","",SUMIFS(ETO_DIARIO!$B$5:$B$404,ETO_DIARIO!$A$5:$A$404,"&gt;"&amp;$T65,ETO_DIARIO!$A$5:$A$404,"&lt;="&amp;DATA_REF))</f>
        <v/>
      </c>
      <c r="V65" s="14">
        <f>IF($T65="","",SUMIFS(ETO_DIARIO!$C$5:$C$404,ETO_DIARIO!$A$5:$A$404,"&gt;"&amp;$T65,ETO_DIARIO!$A$5:$A$404,"&lt;="&amp;DATA_REF))</f>
        <v/>
      </c>
      <c r="W65" s="14">
        <f>IF(OR($S65="",$S65="PENDENTE",$U65=""),"",$S65*$U65)</f>
        <v/>
      </c>
      <c r="X65" s="14">
        <f>IF($W65="","",MAX(0,$W65-N($V65)))</f>
        <v/>
      </c>
      <c r="Y65" s="14">
        <f>IF($X65="","",$X65/EF_APLIC)</f>
        <v/>
      </c>
      <c r="Z65" s="15" t="n">
        <v>145</v>
      </c>
      <c r="AA65" s="16">
        <f>IF(OR($Y65="",$Z65=""),"",$Y65*$Z65*10)</f>
        <v/>
      </c>
      <c r="AB65" s="17" t="n">
        <v>0.698</v>
      </c>
      <c r="AC65" s="16">
        <f>IF(OR($AA65="",$AB65=""),"",$AA65*$AB65)</f>
        <v/>
      </c>
      <c r="AD65" s="18">
        <f>IF($S65="PENDENTE","Definir classe/Kc",IF($Y65="","-",IF($Y65&gt;='PARAMETROS'!$B$7/EF_APLIC,"Irrigar",IF($Y65&gt;='PARAMETROS'!$B$7/EF_APLIC*FRAC_ACOMP,"Acompanhar","Aguardar"))))</f>
        <v/>
      </c>
      <c r="AE65" s="18">
        <f>IF(OR($Y65="",$Y65=0),"-",IF($Y65&gt;=2*'PARAMETROS'!$B$7/EF_APLIC,"Alta",IF($Y65&gt;='PARAMETROS'!$B$7/EF_APLIC,"Media","Baixa")))</f>
        <v/>
      </c>
    </row>
    <row r="66">
      <c r="A66" s="5" t="inlineStr">
        <is>
          <t>Pivô 122</t>
        </is>
      </c>
      <c r="B66" s="5" t="inlineStr">
        <is>
          <t>Rdm</t>
        </is>
      </c>
      <c r="C66" s="5" t="inlineStr">
        <is>
          <t>RM7</t>
        </is>
      </c>
      <c r="D66" s="5" t="inlineStr">
        <is>
          <t>RDM</t>
        </is>
      </c>
      <c r="E66" s="5" t="inlineStr">
        <is>
          <t>SOJA</t>
        </is>
      </c>
      <c r="F66" s="6" t="inlineStr">
        <is>
          <t>NEO 761 I2X</t>
        </is>
      </c>
      <c r="G66" s="7" t="inlineStr">
        <is>
          <t>PRECOCE</t>
        </is>
      </c>
      <c r="H66" s="5" t="inlineStr">
        <is>
          <t>proximo</t>
        </is>
      </c>
      <c r="I66" s="8" t="n">
        <v>46309</v>
      </c>
      <c r="J66" s="9">
        <f>IF($I66="","",DATA_REF-$I66)</f>
        <v/>
      </c>
      <c r="K66" s="9">
        <f>IF($J66="","",MAX(0,$J66-'PARAMETROS'!$B$11))</f>
        <v/>
      </c>
      <c r="L66" s="10">
        <f>IFERROR(INDEX(KC_CURVAS!$C$5:$C$15,MATCH("SOJA|"&amp;$G66,KC_CURVAS!$K$5:$K$15,0)),IFERROR(INDEX(KC_CURVAS!$C$5:$C$15,MATCH("SOJA"&amp;"|",KC_CURVAS!$K$5:$K$15,0)),""))</f>
        <v/>
      </c>
      <c r="M66" s="10">
        <f>IFERROR(INDEX(KC_CURVAS!$D$5:$D$15,MATCH("SOJA|"&amp;$G66,KC_CURVAS!$K$5:$K$15,0)),IFERROR(INDEX(KC_CURVAS!$D$5:$D$15,MATCH("SOJA"&amp;"|",KC_CURVAS!$K$5:$K$15,0)),""))</f>
        <v/>
      </c>
      <c r="N66" s="10">
        <f>IFERROR(INDEX(KC_CURVAS!$E$5:$E$15,MATCH("SOJA|"&amp;$G66,KC_CURVAS!$K$5:$K$15,0)),IFERROR(INDEX(KC_CURVAS!$E$5:$E$15,MATCH("SOJA"&amp;"|",KC_CURVAS!$K$5:$K$15,0)),""))</f>
        <v/>
      </c>
      <c r="O66" s="10">
        <f>IFERROR(INDEX(KC_CURVAS!$F$5:$F$15,MATCH("SOJA|"&amp;$G66,KC_CURVAS!$K$5:$K$15,0)),IFERROR(INDEX(KC_CURVAS!$F$5:$F$15,MATCH("SOJA"&amp;"|",KC_CURVAS!$K$5:$K$15,0)),""))</f>
        <v/>
      </c>
      <c r="P66" s="11">
        <f>IFERROR(INDEX(KC_CURVAS!$G$5:$G$15,MATCH("SOJA|"&amp;$G66,KC_CURVAS!$K$5:$K$15,0)),IFERROR(INDEX(KC_CURVAS!$G$5:$G$15,MATCH("SOJA"&amp;"|",KC_CURVAS!$K$5:$K$15,0)),""))</f>
        <v/>
      </c>
      <c r="Q66" s="11">
        <f>IFERROR(INDEX(KC_CURVAS!$H$5:$H$15,MATCH("SOJA|"&amp;$G66,KC_CURVAS!$K$5:$K$15,0)),IFERROR(INDEX(KC_CURVAS!$H$5:$H$15,MATCH("SOJA"&amp;"|",KC_CURVAS!$K$5:$K$15,0)),""))</f>
        <v/>
      </c>
      <c r="R66" s="11">
        <f>IFERROR(INDEX(KC_CURVAS!$I$5:$I$15,MATCH("SOJA|"&amp;$G66,KC_CURVAS!$K$5:$K$15,0)),IFERROR(INDEX(KC_CURVAS!$I$5:$I$15,MATCH("SOJA"&amp;"|",KC_CURVAS!$K$5:$K$15,0)),""))</f>
        <v/>
      </c>
      <c r="S66" s="12">
        <f>IF(OR($K66="",$L66=""),"PENDENTE",IF($K66&lt;=$L66,$P66,IF($K66&lt;=$L66+$M66,$P66+($Q66-$P66)*($K66-$L66)/$M66,IF($K66&lt;=$L66+$M66+$N66,$Q66,IF($K66&lt;=$L66+$M66+$N66+$O66,$Q66+($R66-$Q66)*($K66-($L66+$M66+$N66))/$O66,$R66)))))</f>
        <v/>
      </c>
      <c r="T66" s="13">
        <f>IF($I66="","",$I66)</f>
        <v/>
      </c>
      <c r="U66" s="14">
        <f>IF($T66="","",SUMIFS(ETO_DIARIO!$B$5:$B$404,ETO_DIARIO!$A$5:$A$404,"&gt;"&amp;$T66,ETO_DIARIO!$A$5:$A$404,"&lt;="&amp;DATA_REF))</f>
        <v/>
      </c>
      <c r="V66" s="14">
        <f>IF($T66="","",SUMIFS(ETO_DIARIO!$C$5:$C$404,ETO_DIARIO!$A$5:$A$404,"&gt;"&amp;$T66,ETO_DIARIO!$A$5:$A$404,"&lt;="&amp;DATA_REF))</f>
        <v/>
      </c>
      <c r="W66" s="14">
        <f>IF(OR($S66="",$S66="PENDENTE",$U66=""),"",$S66*$U66)</f>
        <v/>
      </c>
      <c r="X66" s="14">
        <f>IF($W66="","",MAX(0,$W66-N($V66)))</f>
        <v/>
      </c>
      <c r="Y66" s="14">
        <f>IF($X66="","",$X66/EF_APLIC)</f>
        <v/>
      </c>
      <c r="Z66" s="15" t="n">
        <v>150</v>
      </c>
      <c r="AA66" s="16">
        <f>IF(OR($Y66="",$Z66=""),"",$Y66*$Z66*10)</f>
        <v/>
      </c>
      <c r="AB66" s="17" t="n">
        <v>0.724</v>
      </c>
      <c r="AC66" s="16">
        <f>IF(OR($AA66="",$AB66=""),"",$AA66*$AB66)</f>
        <v/>
      </c>
      <c r="AD66" s="18">
        <f>IF($S66="PENDENTE","Definir classe/Kc",IF($Y66="","-",IF($Y66&gt;='PARAMETROS'!$B$7/EF_APLIC,"Irrigar",IF($Y66&gt;='PARAMETROS'!$B$7/EF_APLIC*FRAC_ACOMP,"Acompanhar","Aguardar"))))</f>
        <v/>
      </c>
      <c r="AE66" s="18">
        <f>IF(OR($Y66="",$Y66=0),"-",IF($Y66&gt;=2*'PARAMETROS'!$B$7/EF_APLIC,"Alta",IF($Y66&gt;='PARAMETROS'!$B$7/EF_APLIC,"Media","Baixa")))</f>
        <v/>
      </c>
    </row>
    <row r="67">
      <c r="A67" s="5" t="inlineStr">
        <is>
          <t>Pivô 123</t>
        </is>
      </c>
      <c r="B67" s="5" t="inlineStr">
        <is>
          <t>Rdm</t>
        </is>
      </c>
      <c r="C67" s="5" t="inlineStr">
        <is>
          <t>RM7</t>
        </is>
      </c>
      <c r="D67" s="5" t="inlineStr">
        <is>
          <t>RDM</t>
        </is>
      </c>
      <c r="E67" s="5" t="inlineStr">
        <is>
          <t>SOJA</t>
        </is>
      </c>
      <c r="F67" s="6" t="inlineStr">
        <is>
          <t>NEO 761 I2X</t>
        </is>
      </c>
      <c r="G67" s="7" t="inlineStr">
        <is>
          <t>PRECOCE</t>
        </is>
      </c>
      <c r="H67" s="5" t="inlineStr">
        <is>
          <t>proximo</t>
        </is>
      </c>
      <c r="I67" s="8" t="n">
        <v>46310</v>
      </c>
      <c r="J67" s="9">
        <f>IF($I67="","",DATA_REF-$I67)</f>
        <v/>
      </c>
      <c r="K67" s="9">
        <f>IF($J67="","",MAX(0,$J67-'PARAMETROS'!$B$11))</f>
        <v/>
      </c>
      <c r="L67" s="10">
        <f>IFERROR(INDEX(KC_CURVAS!$C$5:$C$15,MATCH("SOJA|"&amp;$G67,KC_CURVAS!$K$5:$K$15,0)),IFERROR(INDEX(KC_CURVAS!$C$5:$C$15,MATCH("SOJA"&amp;"|",KC_CURVAS!$K$5:$K$15,0)),""))</f>
        <v/>
      </c>
      <c r="M67" s="10">
        <f>IFERROR(INDEX(KC_CURVAS!$D$5:$D$15,MATCH("SOJA|"&amp;$G67,KC_CURVAS!$K$5:$K$15,0)),IFERROR(INDEX(KC_CURVAS!$D$5:$D$15,MATCH("SOJA"&amp;"|",KC_CURVAS!$K$5:$K$15,0)),""))</f>
        <v/>
      </c>
      <c r="N67" s="10">
        <f>IFERROR(INDEX(KC_CURVAS!$E$5:$E$15,MATCH("SOJA|"&amp;$G67,KC_CURVAS!$K$5:$K$15,0)),IFERROR(INDEX(KC_CURVAS!$E$5:$E$15,MATCH("SOJA"&amp;"|",KC_CURVAS!$K$5:$K$15,0)),""))</f>
        <v/>
      </c>
      <c r="O67" s="10">
        <f>IFERROR(INDEX(KC_CURVAS!$F$5:$F$15,MATCH("SOJA|"&amp;$G67,KC_CURVAS!$K$5:$K$15,0)),IFERROR(INDEX(KC_CURVAS!$F$5:$F$15,MATCH("SOJA"&amp;"|",KC_CURVAS!$K$5:$K$15,0)),""))</f>
        <v/>
      </c>
      <c r="P67" s="11">
        <f>IFERROR(INDEX(KC_CURVAS!$G$5:$G$15,MATCH("SOJA|"&amp;$G67,KC_CURVAS!$K$5:$K$15,0)),IFERROR(INDEX(KC_CURVAS!$G$5:$G$15,MATCH("SOJA"&amp;"|",KC_CURVAS!$K$5:$K$15,0)),""))</f>
        <v/>
      </c>
      <c r="Q67" s="11">
        <f>IFERROR(INDEX(KC_CURVAS!$H$5:$H$15,MATCH("SOJA|"&amp;$G67,KC_CURVAS!$K$5:$K$15,0)),IFERROR(INDEX(KC_CURVAS!$H$5:$H$15,MATCH("SOJA"&amp;"|",KC_CURVAS!$K$5:$K$15,0)),""))</f>
        <v/>
      </c>
      <c r="R67" s="11">
        <f>IFERROR(INDEX(KC_CURVAS!$I$5:$I$15,MATCH("SOJA|"&amp;$G67,KC_CURVAS!$K$5:$K$15,0)),IFERROR(INDEX(KC_CURVAS!$I$5:$I$15,MATCH("SOJA"&amp;"|",KC_CURVAS!$K$5:$K$15,0)),""))</f>
        <v/>
      </c>
      <c r="S67" s="12">
        <f>IF(OR($K67="",$L67=""),"PENDENTE",IF($K67&lt;=$L67,$P67,IF($K67&lt;=$L67+$M67,$P67+($Q67-$P67)*($K67-$L67)/$M67,IF($K67&lt;=$L67+$M67+$N67,$Q67,IF($K67&lt;=$L67+$M67+$N67+$O67,$Q67+($R67-$Q67)*($K67-($L67+$M67+$N67))/$O67,$R67)))))</f>
        <v/>
      </c>
      <c r="T67" s="13">
        <f>IF($I67="","",$I67)</f>
        <v/>
      </c>
      <c r="U67" s="14">
        <f>IF($T67="","",SUMIFS(ETO_DIARIO!$B$5:$B$404,ETO_DIARIO!$A$5:$A$404,"&gt;"&amp;$T67,ETO_DIARIO!$A$5:$A$404,"&lt;="&amp;DATA_REF))</f>
        <v/>
      </c>
      <c r="V67" s="14">
        <f>IF($T67="","",SUMIFS(ETO_DIARIO!$C$5:$C$404,ETO_DIARIO!$A$5:$A$404,"&gt;"&amp;$T67,ETO_DIARIO!$A$5:$A$404,"&lt;="&amp;DATA_REF))</f>
        <v/>
      </c>
      <c r="W67" s="14">
        <f>IF(OR($S67="",$S67="PENDENTE",$U67=""),"",$S67*$U67)</f>
        <v/>
      </c>
      <c r="X67" s="14">
        <f>IF($W67="","",MAX(0,$W67-N($V67)))</f>
        <v/>
      </c>
      <c r="Y67" s="14">
        <f>IF($X67="","",$X67/EF_APLIC)</f>
        <v/>
      </c>
      <c r="Z67" s="15" t="n">
        <v>148</v>
      </c>
      <c r="AA67" s="16">
        <f>IF(OR($Y67="",$Z67=""),"",$Y67*$Z67*10)</f>
        <v/>
      </c>
      <c r="AB67" s="17" t="n">
        <v>0.698</v>
      </c>
      <c r="AC67" s="16">
        <f>IF(OR($AA67="",$AB67=""),"",$AA67*$AB67)</f>
        <v/>
      </c>
      <c r="AD67" s="18">
        <f>IF($S67="PENDENTE","Definir classe/Kc",IF($Y67="","-",IF($Y67&gt;='PARAMETROS'!$B$7/EF_APLIC,"Irrigar",IF($Y67&gt;='PARAMETROS'!$B$7/EF_APLIC*FRAC_ACOMP,"Acompanhar","Aguardar"))))</f>
        <v/>
      </c>
      <c r="AE67" s="18">
        <f>IF(OR($Y67="",$Y67=0),"-",IF($Y67&gt;=2*'PARAMETROS'!$B$7/EF_APLIC,"Alta",IF($Y67&gt;='PARAMETROS'!$B$7/EF_APLIC,"Media","Baixa")))</f>
        <v/>
      </c>
    </row>
    <row r="68">
      <c r="A68" s="5" t="inlineStr">
        <is>
          <t>Pivô 124</t>
        </is>
      </c>
      <c r="B68" s="5" t="inlineStr">
        <is>
          <t>Rdm</t>
        </is>
      </c>
      <c r="C68" s="5" t="inlineStr">
        <is>
          <t>RM7</t>
        </is>
      </c>
      <c r="D68" s="5" t="inlineStr">
        <is>
          <t>RDM</t>
        </is>
      </c>
      <c r="E68" s="5" t="inlineStr">
        <is>
          <t>SOJA</t>
        </is>
      </c>
      <c r="F68" s="6" t="inlineStr">
        <is>
          <t>BMX Olimpo IPRO</t>
        </is>
      </c>
      <c r="G68" s="7" t="inlineStr">
        <is>
          <t>MÉDIA</t>
        </is>
      </c>
      <c r="H68" s="5" t="inlineStr">
        <is>
          <t>proximo</t>
        </is>
      </c>
      <c r="I68" s="8" t="n">
        <v>46310</v>
      </c>
      <c r="J68" s="9">
        <f>IF($I68="","",DATA_REF-$I68)</f>
        <v/>
      </c>
      <c r="K68" s="9">
        <f>IF($J68="","",MAX(0,$J68-'PARAMETROS'!$B$11))</f>
        <v/>
      </c>
      <c r="L68" s="10">
        <f>IFERROR(INDEX(KC_CURVAS!$C$5:$C$15,MATCH("SOJA|"&amp;$G68,KC_CURVAS!$K$5:$K$15,0)),IFERROR(INDEX(KC_CURVAS!$C$5:$C$15,MATCH("SOJA"&amp;"|",KC_CURVAS!$K$5:$K$15,0)),""))</f>
        <v/>
      </c>
      <c r="M68" s="10">
        <f>IFERROR(INDEX(KC_CURVAS!$D$5:$D$15,MATCH("SOJA|"&amp;$G68,KC_CURVAS!$K$5:$K$15,0)),IFERROR(INDEX(KC_CURVAS!$D$5:$D$15,MATCH("SOJA"&amp;"|",KC_CURVAS!$K$5:$K$15,0)),""))</f>
        <v/>
      </c>
      <c r="N68" s="10">
        <f>IFERROR(INDEX(KC_CURVAS!$E$5:$E$15,MATCH("SOJA|"&amp;$G68,KC_CURVAS!$K$5:$K$15,0)),IFERROR(INDEX(KC_CURVAS!$E$5:$E$15,MATCH("SOJA"&amp;"|",KC_CURVAS!$K$5:$K$15,0)),""))</f>
        <v/>
      </c>
      <c r="O68" s="10">
        <f>IFERROR(INDEX(KC_CURVAS!$F$5:$F$15,MATCH("SOJA|"&amp;$G68,KC_CURVAS!$K$5:$K$15,0)),IFERROR(INDEX(KC_CURVAS!$F$5:$F$15,MATCH("SOJA"&amp;"|",KC_CURVAS!$K$5:$K$15,0)),""))</f>
        <v/>
      </c>
      <c r="P68" s="11">
        <f>IFERROR(INDEX(KC_CURVAS!$G$5:$G$15,MATCH("SOJA|"&amp;$G68,KC_CURVAS!$K$5:$K$15,0)),IFERROR(INDEX(KC_CURVAS!$G$5:$G$15,MATCH("SOJA"&amp;"|",KC_CURVAS!$K$5:$K$15,0)),""))</f>
        <v/>
      </c>
      <c r="Q68" s="11">
        <f>IFERROR(INDEX(KC_CURVAS!$H$5:$H$15,MATCH("SOJA|"&amp;$G68,KC_CURVAS!$K$5:$K$15,0)),IFERROR(INDEX(KC_CURVAS!$H$5:$H$15,MATCH("SOJA"&amp;"|",KC_CURVAS!$K$5:$K$15,0)),""))</f>
        <v/>
      </c>
      <c r="R68" s="11">
        <f>IFERROR(INDEX(KC_CURVAS!$I$5:$I$15,MATCH("SOJA|"&amp;$G68,KC_CURVAS!$K$5:$K$15,0)),IFERROR(INDEX(KC_CURVAS!$I$5:$I$15,MATCH("SOJA"&amp;"|",KC_CURVAS!$K$5:$K$15,0)),""))</f>
        <v/>
      </c>
      <c r="S68" s="12">
        <f>IF(OR($K68="",$L68=""),"PENDENTE",IF($K68&lt;=$L68,$P68,IF($K68&lt;=$L68+$M68,$P68+($Q68-$P68)*($K68-$L68)/$M68,IF($K68&lt;=$L68+$M68+$N68,$Q68,IF($K68&lt;=$L68+$M68+$N68+$O68,$Q68+($R68-$Q68)*($K68-($L68+$M68+$N68))/$O68,$R68)))))</f>
        <v/>
      </c>
      <c r="T68" s="13">
        <f>IF($I68="","",$I68)</f>
        <v/>
      </c>
      <c r="U68" s="14">
        <f>IF($T68="","",SUMIFS(ETO_DIARIO!$B$5:$B$404,ETO_DIARIO!$A$5:$A$404,"&gt;"&amp;$T68,ETO_DIARIO!$A$5:$A$404,"&lt;="&amp;DATA_REF))</f>
        <v/>
      </c>
      <c r="V68" s="14">
        <f>IF($T68="","",SUMIFS(ETO_DIARIO!$C$5:$C$404,ETO_DIARIO!$A$5:$A$404,"&gt;"&amp;$T68,ETO_DIARIO!$A$5:$A$404,"&lt;="&amp;DATA_REF))</f>
        <v/>
      </c>
      <c r="W68" s="14">
        <f>IF(OR($S68="",$S68="PENDENTE",$U68=""),"",$S68*$U68)</f>
        <v/>
      </c>
      <c r="X68" s="14">
        <f>IF($W68="","",MAX(0,$W68-N($V68)))</f>
        <v/>
      </c>
      <c r="Y68" s="14">
        <f>IF($X68="","",$X68/EF_APLIC)</f>
        <v/>
      </c>
      <c r="Z68" s="15" t="n">
        <v>150</v>
      </c>
      <c r="AA68" s="16">
        <f>IF(OR($Y68="",$Z68=""),"",$Y68*$Z68*10)</f>
        <v/>
      </c>
      <c r="AB68" s="17" t="n">
        <v>0.702</v>
      </c>
      <c r="AC68" s="16">
        <f>IF(OR($AA68="",$AB68=""),"",$AA68*$AB68)</f>
        <v/>
      </c>
      <c r="AD68" s="18">
        <f>IF($S68="PENDENTE","Definir classe/Kc",IF($Y68="","-",IF($Y68&gt;='PARAMETROS'!$B$7/EF_APLIC,"Irrigar",IF($Y68&gt;='PARAMETROS'!$B$7/EF_APLIC*FRAC_ACOMP,"Acompanhar","Aguardar"))))</f>
        <v/>
      </c>
      <c r="AE68" s="18">
        <f>IF(OR($Y68="",$Y68=0),"-",IF($Y68&gt;=2*'PARAMETROS'!$B$7/EF_APLIC,"Alta",IF($Y68&gt;='PARAMETROS'!$B$7/EF_APLIC,"Media","Baixa")))</f>
        <v/>
      </c>
    </row>
    <row r="69">
      <c r="A69" s="5" t="inlineStr">
        <is>
          <t>Pivô 127</t>
        </is>
      </c>
      <c r="B69" s="5" t="inlineStr">
        <is>
          <t>Rdm</t>
        </is>
      </c>
      <c r="C69" s="5" t="inlineStr">
        <is>
          <t>RM7</t>
        </is>
      </c>
      <c r="D69" s="5" t="inlineStr">
        <is>
          <t>RDM</t>
        </is>
      </c>
      <c r="E69" s="5" t="inlineStr">
        <is>
          <t>SOJA</t>
        </is>
      </c>
      <c r="F69" s="6" t="inlineStr">
        <is>
          <t>NEO 761 I2X</t>
        </is>
      </c>
      <c r="G69" s="7" t="inlineStr">
        <is>
          <t>PRECOCE</t>
        </is>
      </c>
      <c r="H69" s="5" t="inlineStr">
        <is>
          <t>proximo</t>
        </is>
      </c>
      <c r="I69" s="8" t="n">
        <v>46308</v>
      </c>
      <c r="J69" s="9">
        <f>IF($I69="","",DATA_REF-$I69)</f>
        <v/>
      </c>
      <c r="K69" s="9">
        <f>IF($J69="","",MAX(0,$J69-'PARAMETROS'!$B$11))</f>
        <v/>
      </c>
      <c r="L69" s="10">
        <f>IFERROR(INDEX(KC_CURVAS!$C$5:$C$15,MATCH("SOJA|"&amp;$G69,KC_CURVAS!$K$5:$K$15,0)),IFERROR(INDEX(KC_CURVAS!$C$5:$C$15,MATCH("SOJA"&amp;"|",KC_CURVAS!$K$5:$K$15,0)),""))</f>
        <v/>
      </c>
      <c r="M69" s="10">
        <f>IFERROR(INDEX(KC_CURVAS!$D$5:$D$15,MATCH("SOJA|"&amp;$G69,KC_CURVAS!$K$5:$K$15,0)),IFERROR(INDEX(KC_CURVAS!$D$5:$D$15,MATCH("SOJA"&amp;"|",KC_CURVAS!$K$5:$K$15,0)),""))</f>
        <v/>
      </c>
      <c r="N69" s="10">
        <f>IFERROR(INDEX(KC_CURVAS!$E$5:$E$15,MATCH("SOJA|"&amp;$G69,KC_CURVAS!$K$5:$K$15,0)),IFERROR(INDEX(KC_CURVAS!$E$5:$E$15,MATCH("SOJA"&amp;"|",KC_CURVAS!$K$5:$K$15,0)),""))</f>
        <v/>
      </c>
      <c r="O69" s="10">
        <f>IFERROR(INDEX(KC_CURVAS!$F$5:$F$15,MATCH("SOJA|"&amp;$G69,KC_CURVAS!$K$5:$K$15,0)),IFERROR(INDEX(KC_CURVAS!$F$5:$F$15,MATCH("SOJA"&amp;"|",KC_CURVAS!$K$5:$K$15,0)),""))</f>
        <v/>
      </c>
      <c r="P69" s="11">
        <f>IFERROR(INDEX(KC_CURVAS!$G$5:$G$15,MATCH("SOJA|"&amp;$G69,KC_CURVAS!$K$5:$K$15,0)),IFERROR(INDEX(KC_CURVAS!$G$5:$G$15,MATCH("SOJA"&amp;"|",KC_CURVAS!$K$5:$K$15,0)),""))</f>
        <v/>
      </c>
      <c r="Q69" s="11">
        <f>IFERROR(INDEX(KC_CURVAS!$H$5:$H$15,MATCH("SOJA|"&amp;$G69,KC_CURVAS!$K$5:$K$15,0)),IFERROR(INDEX(KC_CURVAS!$H$5:$H$15,MATCH("SOJA"&amp;"|",KC_CURVAS!$K$5:$K$15,0)),""))</f>
        <v/>
      </c>
      <c r="R69" s="11">
        <f>IFERROR(INDEX(KC_CURVAS!$I$5:$I$15,MATCH("SOJA|"&amp;$G69,KC_CURVAS!$K$5:$K$15,0)),IFERROR(INDEX(KC_CURVAS!$I$5:$I$15,MATCH("SOJA"&amp;"|",KC_CURVAS!$K$5:$K$15,0)),""))</f>
        <v/>
      </c>
      <c r="S69" s="12">
        <f>IF(OR($K69="",$L69=""),"PENDENTE",IF($K69&lt;=$L69,$P69,IF($K69&lt;=$L69+$M69,$P69+($Q69-$P69)*($K69-$L69)/$M69,IF($K69&lt;=$L69+$M69+$N69,$Q69,IF($K69&lt;=$L69+$M69+$N69+$O69,$Q69+($R69-$Q69)*($K69-($L69+$M69+$N69))/$O69,$R69)))))</f>
        <v/>
      </c>
      <c r="T69" s="13">
        <f>IF($I69="","",$I69)</f>
        <v/>
      </c>
      <c r="U69" s="14">
        <f>IF($T69="","",SUMIFS(ETO_DIARIO!$B$5:$B$404,ETO_DIARIO!$A$5:$A$404,"&gt;"&amp;$T69,ETO_DIARIO!$A$5:$A$404,"&lt;="&amp;DATA_REF))</f>
        <v/>
      </c>
      <c r="V69" s="14">
        <f>IF($T69="","",SUMIFS(ETO_DIARIO!$C$5:$C$404,ETO_DIARIO!$A$5:$A$404,"&gt;"&amp;$T69,ETO_DIARIO!$A$5:$A$404,"&lt;="&amp;DATA_REF))</f>
        <v/>
      </c>
      <c r="W69" s="14">
        <f>IF(OR($S69="",$S69="PENDENTE",$U69=""),"",$S69*$U69)</f>
        <v/>
      </c>
      <c r="X69" s="14">
        <f>IF($W69="","",MAX(0,$W69-N($V69)))</f>
        <v/>
      </c>
      <c r="Y69" s="14">
        <f>IF($X69="","",$X69/EF_APLIC)</f>
        <v/>
      </c>
      <c r="Z69" s="15" t="n">
        <v>100</v>
      </c>
      <c r="AA69" s="16">
        <f>IF(OR($Y69="",$Z69=""),"",$Y69*$Z69*10)</f>
        <v/>
      </c>
      <c r="AB69" s="17" t="n">
        <v>0.821</v>
      </c>
      <c r="AC69" s="16">
        <f>IF(OR($AA69="",$AB69=""),"",$AA69*$AB69)</f>
        <v/>
      </c>
      <c r="AD69" s="18">
        <f>IF($S69="PENDENTE","Definir classe/Kc",IF($Y69="","-",IF($Y69&gt;='PARAMETROS'!$B$7/EF_APLIC,"Irrigar",IF($Y69&gt;='PARAMETROS'!$B$7/EF_APLIC*FRAC_ACOMP,"Acompanhar","Aguardar"))))</f>
        <v/>
      </c>
      <c r="AE69" s="18">
        <f>IF(OR($Y69="",$Y69=0),"-",IF($Y69&gt;=2*'PARAMETROS'!$B$7/EF_APLIC,"Alta",IF($Y69&gt;='PARAMETROS'!$B$7/EF_APLIC,"Media","Baixa")))</f>
        <v/>
      </c>
    </row>
    <row r="70">
      <c r="A70" s="5" t="inlineStr">
        <is>
          <t>Pivô 129</t>
        </is>
      </c>
      <c r="B70" s="5" t="inlineStr">
        <is>
          <t>Rdm</t>
        </is>
      </c>
      <c r="C70" s="5" t="inlineStr">
        <is>
          <t>RM6</t>
        </is>
      </c>
      <c r="D70" s="5" t="inlineStr">
        <is>
          <t>RDM</t>
        </is>
      </c>
      <c r="E70" s="5" t="inlineStr">
        <is>
          <t>SOJA</t>
        </is>
      </c>
      <c r="F70" s="6" t="inlineStr">
        <is>
          <t>NEO 761 I2X</t>
        </is>
      </c>
      <c r="G70" s="7" t="inlineStr">
        <is>
          <t>PRECOCE</t>
        </is>
      </c>
      <c r="H70" s="5" t="inlineStr">
        <is>
          <t>proximo</t>
        </is>
      </c>
      <c r="I70" s="8" t="n">
        <v>46308</v>
      </c>
      <c r="J70" s="9">
        <f>IF($I70="","",DATA_REF-$I70)</f>
        <v/>
      </c>
      <c r="K70" s="9">
        <f>IF($J70="","",MAX(0,$J70-'PARAMETROS'!$B$11))</f>
        <v/>
      </c>
      <c r="L70" s="10">
        <f>IFERROR(INDEX(KC_CURVAS!$C$5:$C$15,MATCH("SOJA|"&amp;$G70,KC_CURVAS!$K$5:$K$15,0)),IFERROR(INDEX(KC_CURVAS!$C$5:$C$15,MATCH("SOJA"&amp;"|",KC_CURVAS!$K$5:$K$15,0)),""))</f>
        <v/>
      </c>
      <c r="M70" s="10">
        <f>IFERROR(INDEX(KC_CURVAS!$D$5:$D$15,MATCH("SOJA|"&amp;$G70,KC_CURVAS!$K$5:$K$15,0)),IFERROR(INDEX(KC_CURVAS!$D$5:$D$15,MATCH("SOJA"&amp;"|",KC_CURVAS!$K$5:$K$15,0)),""))</f>
        <v/>
      </c>
      <c r="N70" s="10">
        <f>IFERROR(INDEX(KC_CURVAS!$E$5:$E$15,MATCH("SOJA|"&amp;$G70,KC_CURVAS!$K$5:$K$15,0)),IFERROR(INDEX(KC_CURVAS!$E$5:$E$15,MATCH("SOJA"&amp;"|",KC_CURVAS!$K$5:$K$15,0)),""))</f>
        <v/>
      </c>
      <c r="O70" s="10">
        <f>IFERROR(INDEX(KC_CURVAS!$F$5:$F$15,MATCH("SOJA|"&amp;$G70,KC_CURVAS!$K$5:$K$15,0)),IFERROR(INDEX(KC_CURVAS!$F$5:$F$15,MATCH("SOJA"&amp;"|",KC_CURVAS!$K$5:$K$15,0)),""))</f>
        <v/>
      </c>
      <c r="P70" s="11">
        <f>IFERROR(INDEX(KC_CURVAS!$G$5:$G$15,MATCH("SOJA|"&amp;$G70,KC_CURVAS!$K$5:$K$15,0)),IFERROR(INDEX(KC_CURVAS!$G$5:$G$15,MATCH("SOJA"&amp;"|",KC_CURVAS!$K$5:$K$15,0)),""))</f>
        <v/>
      </c>
      <c r="Q70" s="11">
        <f>IFERROR(INDEX(KC_CURVAS!$H$5:$H$15,MATCH("SOJA|"&amp;$G70,KC_CURVAS!$K$5:$K$15,0)),IFERROR(INDEX(KC_CURVAS!$H$5:$H$15,MATCH("SOJA"&amp;"|",KC_CURVAS!$K$5:$K$15,0)),""))</f>
        <v/>
      </c>
      <c r="R70" s="11">
        <f>IFERROR(INDEX(KC_CURVAS!$I$5:$I$15,MATCH("SOJA|"&amp;$G70,KC_CURVAS!$K$5:$K$15,0)),IFERROR(INDEX(KC_CURVAS!$I$5:$I$15,MATCH("SOJA"&amp;"|",KC_CURVAS!$K$5:$K$15,0)),""))</f>
        <v/>
      </c>
      <c r="S70" s="12">
        <f>IF(OR($K70="",$L70=""),"PENDENTE",IF($K70&lt;=$L70,$P70,IF($K70&lt;=$L70+$M70,$P70+($Q70-$P70)*($K70-$L70)/$M70,IF($K70&lt;=$L70+$M70+$N70,$Q70,IF($K70&lt;=$L70+$M70+$N70+$O70,$Q70+($R70-$Q70)*($K70-($L70+$M70+$N70))/$O70,$R70)))))</f>
        <v/>
      </c>
      <c r="T70" s="13">
        <f>IF($I70="","",$I70)</f>
        <v/>
      </c>
      <c r="U70" s="14">
        <f>IF($T70="","",SUMIFS(ETO_DIARIO!$B$5:$B$404,ETO_DIARIO!$A$5:$A$404,"&gt;"&amp;$T70,ETO_DIARIO!$A$5:$A$404,"&lt;="&amp;DATA_REF))</f>
        <v/>
      </c>
      <c r="V70" s="14">
        <f>IF($T70="","",SUMIFS(ETO_DIARIO!$C$5:$C$404,ETO_DIARIO!$A$5:$A$404,"&gt;"&amp;$T70,ETO_DIARIO!$A$5:$A$404,"&lt;="&amp;DATA_REF))</f>
        <v/>
      </c>
      <c r="W70" s="14">
        <f>IF(OR($S70="",$S70="PENDENTE",$U70=""),"",$S70*$U70)</f>
        <v/>
      </c>
      <c r="X70" s="14">
        <f>IF($W70="","",MAX(0,$W70-N($V70)))</f>
        <v/>
      </c>
      <c r="Y70" s="14">
        <f>IF($X70="","",$X70/EF_APLIC)</f>
        <v/>
      </c>
      <c r="Z70" s="15" t="n">
        <v>100</v>
      </c>
      <c r="AA70" s="16">
        <f>IF(OR($Y70="",$Z70=""),"",$Y70*$Z70*10)</f>
        <v/>
      </c>
      <c r="AB70" s="17" t="n">
        <v>0.821</v>
      </c>
      <c r="AC70" s="16">
        <f>IF(OR($AA70="",$AB70=""),"",$AA70*$AB70)</f>
        <v/>
      </c>
      <c r="AD70" s="18">
        <f>IF($S70="PENDENTE","Definir classe/Kc",IF($Y70="","-",IF($Y70&gt;='PARAMETROS'!$B$7/EF_APLIC,"Irrigar",IF($Y70&gt;='PARAMETROS'!$B$7/EF_APLIC*FRAC_ACOMP,"Acompanhar","Aguardar"))))</f>
        <v/>
      </c>
      <c r="AE70" s="18">
        <f>IF(OR($Y70="",$Y70=0),"-",IF($Y70&gt;=2*'PARAMETROS'!$B$7/EF_APLIC,"Alta",IF($Y70&gt;='PARAMETROS'!$B$7/EF_APLIC,"Media","Baixa")))</f>
        <v/>
      </c>
    </row>
    <row r="71">
      <c r="A71" s="5" t="inlineStr">
        <is>
          <t>TDRIPP</t>
        </is>
      </c>
      <c r="B71" s="5" t="inlineStr">
        <is>
          <t>Karitel</t>
        </is>
      </c>
      <c r="C71" s="5" t="inlineStr"/>
      <c r="D71" s="5" t="inlineStr"/>
      <c r="E71" s="5" t="inlineStr">
        <is>
          <t>SOJA</t>
        </is>
      </c>
      <c r="F71" s="6" t="inlineStr">
        <is>
          <t>MURALHA IPRO</t>
        </is>
      </c>
      <c r="G71" s="7" t="inlineStr">
        <is>
          <t>MÉDIA</t>
        </is>
      </c>
      <c r="H71" s="5" t="inlineStr">
        <is>
          <t>proximo</t>
        </is>
      </c>
      <c r="I71" s="8" t="n">
        <v>46327</v>
      </c>
      <c r="J71" s="9">
        <f>IF($I71="","",DATA_REF-$I71)</f>
        <v/>
      </c>
      <c r="K71" s="9">
        <f>IF($J71="","",MAX(0,$J71-'PARAMETROS'!$B$11))</f>
        <v/>
      </c>
      <c r="L71" s="10">
        <f>IFERROR(INDEX(KC_CURVAS!$C$5:$C$15,MATCH("SOJA|"&amp;$G71,KC_CURVAS!$K$5:$K$15,0)),IFERROR(INDEX(KC_CURVAS!$C$5:$C$15,MATCH("SOJA"&amp;"|",KC_CURVAS!$K$5:$K$15,0)),""))</f>
        <v/>
      </c>
      <c r="M71" s="10">
        <f>IFERROR(INDEX(KC_CURVAS!$D$5:$D$15,MATCH("SOJA|"&amp;$G71,KC_CURVAS!$K$5:$K$15,0)),IFERROR(INDEX(KC_CURVAS!$D$5:$D$15,MATCH("SOJA"&amp;"|",KC_CURVAS!$K$5:$K$15,0)),""))</f>
        <v/>
      </c>
      <c r="N71" s="10">
        <f>IFERROR(INDEX(KC_CURVAS!$E$5:$E$15,MATCH("SOJA|"&amp;$G71,KC_CURVAS!$K$5:$K$15,0)),IFERROR(INDEX(KC_CURVAS!$E$5:$E$15,MATCH("SOJA"&amp;"|",KC_CURVAS!$K$5:$K$15,0)),""))</f>
        <v/>
      </c>
      <c r="O71" s="10">
        <f>IFERROR(INDEX(KC_CURVAS!$F$5:$F$15,MATCH("SOJA|"&amp;$G71,KC_CURVAS!$K$5:$K$15,0)),IFERROR(INDEX(KC_CURVAS!$F$5:$F$15,MATCH("SOJA"&amp;"|",KC_CURVAS!$K$5:$K$15,0)),""))</f>
        <v/>
      </c>
      <c r="P71" s="11">
        <f>IFERROR(INDEX(KC_CURVAS!$G$5:$G$15,MATCH("SOJA|"&amp;$G71,KC_CURVAS!$K$5:$K$15,0)),IFERROR(INDEX(KC_CURVAS!$G$5:$G$15,MATCH("SOJA"&amp;"|",KC_CURVAS!$K$5:$K$15,0)),""))</f>
        <v/>
      </c>
      <c r="Q71" s="11">
        <f>IFERROR(INDEX(KC_CURVAS!$H$5:$H$15,MATCH("SOJA|"&amp;$G71,KC_CURVAS!$K$5:$K$15,0)),IFERROR(INDEX(KC_CURVAS!$H$5:$H$15,MATCH("SOJA"&amp;"|",KC_CURVAS!$K$5:$K$15,0)),""))</f>
        <v/>
      </c>
      <c r="R71" s="11">
        <f>IFERROR(INDEX(KC_CURVAS!$I$5:$I$15,MATCH("SOJA|"&amp;$G71,KC_CURVAS!$K$5:$K$15,0)),IFERROR(INDEX(KC_CURVAS!$I$5:$I$15,MATCH("SOJA"&amp;"|",KC_CURVAS!$K$5:$K$15,0)),""))</f>
        <v/>
      </c>
      <c r="S71" s="12">
        <f>IF(OR($K71="",$L71=""),"PENDENTE",IF($K71&lt;=$L71,$P71,IF($K71&lt;=$L71+$M71,$P71+($Q71-$P71)*($K71-$L71)/$M71,IF($K71&lt;=$L71+$M71+$N71,$Q71,IF($K71&lt;=$L71+$M71+$N71+$O71,$Q71+($R71-$Q71)*($K71-($L71+$M71+$N71))/$O71,$R71)))))</f>
        <v/>
      </c>
      <c r="T71" s="13">
        <f>IF($I71="","",$I71)</f>
        <v/>
      </c>
      <c r="U71" s="14">
        <f>IF($T71="","",SUMIFS(ETO_DIARIO!$B$5:$B$404,ETO_DIARIO!$A$5:$A$404,"&gt;"&amp;$T71,ETO_DIARIO!$A$5:$A$404,"&lt;="&amp;DATA_REF))</f>
        <v/>
      </c>
      <c r="V71" s="14">
        <f>IF($T71="","",SUMIFS(ETO_DIARIO!$C$5:$C$404,ETO_DIARIO!$A$5:$A$404,"&gt;"&amp;$T71,ETO_DIARIO!$A$5:$A$404,"&lt;="&amp;DATA_REF))</f>
        <v/>
      </c>
      <c r="W71" s="14">
        <f>IF(OR($S71="",$S71="PENDENTE",$U71=""),"",$S71*$U71)</f>
        <v/>
      </c>
      <c r="X71" s="14">
        <f>IF($W71="","",MAX(0,$W71-N($V71)))</f>
        <v/>
      </c>
      <c r="Y71" s="14">
        <f>IF($X71="","",$X71/EF_APLIC)</f>
        <v/>
      </c>
      <c r="Z71" s="15" t="n">
        <v>40</v>
      </c>
      <c r="AA71" s="16">
        <f>IF(OR($Y71="",$Z71=""),"",$Y71*$Z71*10)</f>
        <v/>
      </c>
      <c r="AB71" s="19" t="n"/>
      <c r="AC71" s="16">
        <f>IF(OR($AA71="",$AB71=""),"",$AA71*$AB71)</f>
        <v/>
      </c>
      <c r="AD71" s="18">
        <f>IF($S71="PENDENTE","Definir classe/Kc",IF($Y71="","-",IF($Y71&gt;='PARAMETROS'!$B$7/EF_APLIC,"Irrigar",IF($Y71&gt;='PARAMETROS'!$B$7/EF_APLIC*FRAC_ACOMP,"Acompanhar","Aguardar"))))</f>
        <v/>
      </c>
      <c r="AE71" s="18">
        <f>IF(OR($Y71="",$Y71=0),"-",IF($Y71&gt;=2*'PARAMETROS'!$B$7/EF_APLIC,"Alta",IF($Y71&gt;='PARAMETROS'!$B$7/EF_APLIC,"Media","Baixa")))</f>
        <v/>
      </c>
    </row>
    <row r="72">
      <c r="A72" s="5" t="inlineStr">
        <is>
          <t>Pivô 01</t>
        </is>
      </c>
      <c r="B72" s="5" t="inlineStr">
        <is>
          <t>Karitel</t>
        </is>
      </c>
      <c r="C72" s="5" t="inlineStr">
        <is>
          <t>R0</t>
        </is>
      </c>
      <c r="D72" s="5" t="inlineStr">
        <is>
          <t>Modulo 1</t>
        </is>
      </c>
      <c r="E72" s="5" t="inlineStr">
        <is>
          <t>SOJA</t>
        </is>
      </c>
      <c r="F72" s="6" t="inlineStr">
        <is>
          <t>BMX DOMINIO IPRO</t>
        </is>
      </c>
      <c r="G72" s="7" t="inlineStr">
        <is>
          <t>MÉDIA</t>
        </is>
      </c>
      <c r="H72" s="5" t="inlineStr">
        <is>
          <t>proximo</t>
        </is>
      </c>
      <c r="I72" s="8" t="n">
        <v>46327</v>
      </c>
      <c r="J72" s="9">
        <f>IF($I72="","",DATA_REF-$I72)</f>
        <v/>
      </c>
      <c r="K72" s="9">
        <f>IF($J72="","",MAX(0,$J72-'PARAMETROS'!$B$11))</f>
        <v/>
      </c>
      <c r="L72" s="10">
        <f>IFERROR(INDEX(KC_CURVAS!$C$5:$C$15,MATCH("SOJA|"&amp;$G72,KC_CURVAS!$K$5:$K$15,0)),IFERROR(INDEX(KC_CURVAS!$C$5:$C$15,MATCH("SOJA"&amp;"|",KC_CURVAS!$K$5:$K$15,0)),""))</f>
        <v/>
      </c>
      <c r="M72" s="10">
        <f>IFERROR(INDEX(KC_CURVAS!$D$5:$D$15,MATCH("SOJA|"&amp;$G72,KC_CURVAS!$K$5:$K$15,0)),IFERROR(INDEX(KC_CURVAS!$D$5:$D$15,MATCH("SOJA"&amp;"|",KC_CURVAS!$K$5:$K$15,0)),""))</f>
        <v/>
      </c>
      <c r="N72" s="10">
        <f>IFERROR(INDEX(KC_CURVAS!$E$5:$E$15,MATCH("SOJA|"&amp;$G72,KC_CURVAS!$K$5:$K$15,0)),IFERROR(INDEX(KC_CURVAS!$E$5:$E$15,MATCH("SOJA"&amp;"|",KC_CURVAS!$K$5:$K$15,0)),""))</f>
        <v/>
      </c>
      <c r="O72" s="10">
        <f>IFERROR(INDEX(KC_CURVAS!$F$5:$F$15,MATCH("SOJA|"&amp;$G72,KC_CURVAS!$K$5:$K$15,0)),IFERROR(INDEX(KC_CURVAS!$F$5:$F$15,MATCH("SOJA"&amp;"|",KC_CURVAS!$K$5:$K$15,0)),""))</f>
        <v/>
      </c>
      <c r="P72" s="11">
        <f>IFERROR(INDEX(KC_CURVAS!$G$5:$G$15,MATCH("SOJA|"&amp;$G72,KC_CURVAS!$K$5:$K$15,0)),IFERROR(INDEX(KC_CURVAS!$G$5:$G$15,MATCH("SOJA"&amp;"|",KC_CURVAS!$K$5:$K$15,0)),""))</f>
        <v/>
      </c>
      <c r="Q72" s="11">
        <f>IFERROR(INDEX(KC_CURVAS!$H$5:$H$15,MATCH("SOJA|"&amp;$G72,KC_CURVAS!$K$5:$K$15,0)),IFERROR(INDEX(KC_CURVAS!$H$5:$H$15,MATCH("SOJA"&amp;"|",KC_CURVAS!$K$5:$K$15,0)),""))</f>
        <v/>
      </c>
      <c r="R72" s="11">
        <f>IFERROR(INDEX(KC_CURVAS!$I$5:$I$15,MATCH("SOJA|"&amp;$G72,KC_CURVAS!$K$5:$K$15,0)),IFERROR(INDEX(KC_CURVAS!$I$5:$I$15,MATCH("SOJA"&amp;"|",KC_CURVAS!$K$5:$K$15,0)),""))</f>
        <v/>
      </c>
      <c r="S72" s="12">
        <f>IF(OR($K72="",$L72=""),"PENDENTE",IF($K72&lt;=$L72,$P72,IF($K72&lt;=$L72+$M72,$P72+($Q72-$P72)*($K72-$L72)/$M72,IF($K72&lt;=$L72+$M72+$N72,$Q72,IF($K72&lt;=$L72+$M72+$N72+$O72,$Q72+($R72-$Q72)*($K72-($L72+$M72+$N72))/$O72,$R72)))))</f>
        <v/>
      </c>
      <c r="T72" s="13">
        <f>IF($I72="","",$I72)</f>
        <v/>
      </c>
      <c r="U72" s="14">
        <f>IF($T72="","",SUMIFS(ETO_DIARIO!$B$5:$B$404,ETO_DIARIO!$A$5:$A$404,"&gt;"&amp;$T72,ETO_DIARIO!$A$5:$A$404,"&lt;="&amp;DATA_REF))</f>
        <v/>
      </c>
      <c r="V72" s="14">
        <f>IF($T72="","",SUMIFS(ETO_DIARIO!$C$5:$C$404,ETO_DIARIO!$A$5:$A$404,"&gt;"&amp;$T72,ETO_DIARIO!$A$5:$A$404,"&lt;="&amp;DATA_REF))</f>
        <v/>
      </c>
      <c r="W72" s="14">
        <f>IF(OR($S72="",$S72="PENDENTE",$U72=""),"",$S72*$U72)</f>
        <v/>
      </c>
      <c r="X72" s="14">
        <f>IF($W72="","",MAX(0,$W72-N($V72)))</f>
        <v/>
      </c>
      <c r="Y72" s="14">
        <f>IF($X72="","",$X72/EF_APLIC)</f>
        <v/>
      </c>
      <c r="Z72" s="15" t="n">
        <v>70</v>
      </c>
      <c r="AA72" s="16">
        <f>IF(OR($Y72="",$Z72=""),"",$Y72*$Z72*10)</f>
        <v/>
      </c>
      <c r="AB72" s="17" t="n">
        <v>0.513</v>
      </c>
      <c r="AC72" s="16">
        <f>IF(OR($AA72="",$AB72=""),"",$AA72*$AB72)</f>
        <v/>
      </c>
      <c r="AD72" s="18">
        <f>IF($S72="PENDENTE","Definir classe/Kc",IF($Y72="","-",IF($Y72&gt;='PARAMETROS'!$B$7/EF_APLIC,"Irrigar",IF($Y72&gt;='PARAMETROS'!$B$7/EF_APLIC*FRAC_ACOMP,"Acompanhar","Aguardar"))))</f>
        <v/>
      </c>
      <c r="AE72" s="18">
        <f>IF(OR($Y72="",$Y72=0),"-",IF($Y72&gt;=2*'PARAMETROS'!$B$7/EF_APLIC,"Alta",IF($Y72&gt;='PARAMETROS'!$B$7/EF_APLIC,"Media","Baixa")))</f>
        <v/>
      </c>
    </row>
    <row r="73">
      <c r="A73" s="5" t="inlineStr">
        <is>
          <t>Pivô 02</t>
        </is>
      </c>
      <c r="B73" s="5" t="inlineStr">
        <is>
          <t>Karitel</t>
        </is>
      </c>
      <c r="C73" s="5" t="inlineStr">
        <is>
          <t>R0</t>
        </is>
      </c>
      <c r="D73" s="5" t="inlineStr">
        <is>
          <t>Modulo 1</t>
        </is>
      </c>
      <c r="E73" s="5" t="inlineStr">
        <is>
          <t>SOJA</t>
        </is>
      </c>
      <c r="F73" s="6" t="inlineStr">
        <is>
          <t>BMX DOMINIO IPRO</t>
        </is>
      </c>
      <c r="G73" s="7" t="inlineStr">
        <is>
          <t>MÉDIA</t>
        </is>
      </c>
      <c r="H73" s="5" t="inlineStr">
        <is>
          <t>proximo</t>
        </is>
      </c>
      <c r="I73" s="8" t="n">
        <v>46327</v>
      </c>
      <c r="J73" s="9">
        <f>IF($I73="","",DATA_REF-$I73)</f>
        <v/>
      </c>
      <c r="K73" s="9">
        <f>IF($J73="","",MAX(0,$J73-'PARAMETROS'!$B$11))</f>
        <v/>
      </c>
      <c r="L73" s="10">
        <f>IFERROR(INDEX(KC_CURVAS!$C$5:$C$15,MATCH("SOJA|"&amp;$G73,KC_CURVAS!$K$5:$K$15,0)),IFERROR(INDEX(KC_CURVAS!$C$5:$C$15,MATCH("SOJA"&amp;"|",KC_CURVAS!$K$5:$K$15,0)),""))</f>
        <v/>
      </c>
      <c r="M73" s="10">
        <f>IFERROR(INDEX(KC_CURVAS!$D$5:$D$15,MATCH("SOJA|"&amp;$G73,KC_CURVAS!$K$5:$K$15,0)),IFERROR(INDEX(KC_CURVAS!$D$5:$D$15,MATCH("SOJA"&amp;"|",KC_CURVAS!$K$5:$K$15,0)),""))</f>
        <v/>
      </c>
      <c r="N73" s="10">
        <f>IFERROR(INDEX(KC_CURVAS!$E$5:$E$15,MATCH("SOJA|"&amp;$G73,KC_CURVAS!$K$5:$K$15,0)),IFERROR(INDEX(KC_CURVAS!$E$5:$E$15,MATCH("SOJA"&amp;"|",KC_CURVAS!$K$5:$K$15,0)),""))</f>
        <v/>
      </c>
      <c r="O73" s="10">
        <f>IFERROR(INDEX(KC_CURVAS!$F$5:$F$15,MATCH("SOJA|"&amp;$G73,KC_CURVAS!$K$5:$K$15,0)),IFERROR(INDEX(KC_CURVAS!$F$5:$F$15,MATCH("SOJA"&amp;"|",KC_CURVAS!$K$5:$K$15,0)),""))</f>
        <v/>
      </c>
      <c r="P73" s="11">
        <f>IFERROR(INDEX(KC_CURVAS!$G$5:$G$15,MATCH("SOJA|"&amp;$G73,KC_CURVAS!$K$5:$K$15,0)),IFERROR(INDEX(KC_CURVAS!$G$5:$G$15,MATCH("SOJA"&amp;"|",KC_CURVAS!$K$5:$K$15,0)),""))</f>
        <v/>
      </c>
      <c r="Q73" s="11">
        <f>IFERROR(INDEX(KC_CURVAS!$H$5:$H$15,MATCH("SOJA|"&amp;$G73,KC_CURVAS!$K$5:$K$15,0)),IFERROR(INDEX(KC_CURVAS!$H$5:$H$15,MATCH("SOJA"&amp;"|",KC_CURVAS!$K$5:$K$15,0)),""))</f>
        <v/>
      </c>
      <c r="R73" s="11">
        <f>IFERROR(INDEX(KC_CURVAS!$I$5:$I$15,MATCH("SOJA|"&amp;$G73,KC_CURVAS!$K$5:$K$15,0)),IFERROR(INDEX(KC_CURVAS!$I$5:$I$15,MATCH("SOJA"&amp;"|",KC_CURVAS!$K$5:$K$15,0)),""))</f>
        <v/>
      </c>
      <c r="S73" s="12">
        <f>IF(OR($K73="",$L73=""),"PENDENTE",IF($K73&lt;=$L73,$P73,IF($K73&lt;=$L73+$M73,$P73+($Q73-$P73)*($K73-$L73)/$M73,IF($K73&lt;=$L73+$M73+$N73,$Q73,IF($K73&lt;=$L73+$M73+$N73+$O73,$Q73+($R73-$Q73)*($K73-($L73+$M73+$N73))/$O73,$R73)))))</f>
        <v/>
      </c>
      <c r="T73" s="13">
        <f>IF($I73="","",$I73)</f>
        <v/>
      </c>
      <c r="U73" s="14">
        <f>IF($T73="","",SUMIFS(ETO_DIARIO!$B$5:$B$404,ETO_DIARIO!$A$5:$A$404,"&gt;"&amp;$T73,ETO_DIARIO!$A$5:$A$404,"&lt;="&amp;DATA_REF))</f>
        <v/>
      </c>
      <c r="V73" s="14">
        <f>IF($T73="","",SUMIFS(ETO_DIARIO!$C$5:$C$404,ETO_DIARIO!$A$5:$A$404,"&gt;"&amp;$T73,ETO_DIARIO!$A$5:$A$404,"&lt;="&amp;DATA_REF))</f>
        <v/>
      </c>
      <c r="W73" s="14">
        <f>IF(OR($S73="",$S73="PENDENTE",$U73=""),"",$S73*$U73)</f>
        <v/>
      </c>
      <c r="X73" s="14">
        <f>IF($W73="","",MAX(0,$W73-N($V73)))</f>
        <v/>
      </c>
      <c r="Y73" s="14">
        <f>IF($X73="","",$X73/EF_APLIC)</f>
        <v/>
      </c>
      <c r="Z73" s="15" t="n">
        <v>134</v>
      </c>
      <c r="AA73" s="16">
        <f>IF(OR($Y73="",$Z73=""),"",$Y73*$Z73*10)</f>
        <v/>
      </c>
      <c r="AB73" s="17" t="n">
        <v>0.589</v>
      </c>
      <c r="AC73" s="16">
        <f>IF(OR($AA73="",$AB73=""),"",$AA73*$AB73)</f>
        <v/>
      </c>
      <c r="AD73" s="18">
        <f>IF($S73="PENDENTE","Definir classe/Kc",IF($Y73="","-",IF($Y73&gt;='PARAMETROS'!$B$7/EF_APLIC,"Irrigar",IF($Y73&gt;='PARAMETROS'!$B$7/EF_APLIC*FRAC_ACOMP,"Acompanhar","Aguardar"))))</f>
        <v/>
      </c>
      <c r="AE73" s="18">
        <f>IF(OR($Y73="",$Y73=0),"-",IF($Y73&gt;=2*'PARAMETROS'!$B$7/EF_APLIC,"Alta",IF($Y73&gt;='PARAMETROS'!$B$7/EF_APLIC,"Media","Baixa")))</f>
        <v/>
      </c>
    </row>
    <row r="74">
      <c r="A74" s="5" t="inlineStr">
        <is>
          <t>Pivô 03</t>
        </is>
      </c>
      <c r="B74" s="5" t="inlineStr">
        <is>
          <t>Karitel</t>
        </is>
      </c>
      <c r="C74" s="5" t="inlineStr">
        <is>
          <t>R0</t>
        </is>
      </c>
      <c r="D74" s="5" t="inlineStr">
        <is>
          <t>Modulo 1</t>
        </is>
      </c>
      <c r="E74" s="5" t="inlineStr">
        <is>
          <t>SOJA</t>
        </is>
      </c>
      <c r="F74" s="6" t="inlineStr">
        <is>
          <t>MURALHA IPRO</t>
        </is>
      </c>
      <c r="G74" s="7" t="inlineStr">
        <is>
          <t>MÉDIA</t>
        </is>
      </c>
      <c r="H74" s="5" t="inlineStr">
        <is>
          <t>proximo</t>
        </is>
      </c>
      <c r="I74" s="8" t="n">
        <v>46328</v>
      </c>
      <c r="J74" s="9">
        <f>IF($I74="","",DATA_REF-$I74)</f>
        <v/>
      </c>
      <c r="K74" s="9">
        <f>IF($J74="","",MAX(0,$J74-'PARAMETROS'!$B$11))</f>
        <v/>
      </c>
      <c r="L74" s="10">
        <f>IFERROR(INDEX(KC_CURVAS!$C$5:$C$15,MATCH("SOJA|"&amp;$G74,KC_CURVAS!$K$5:$K$15,0)),IFERROR(INDEX(KC_CURVAS!$C$5:$C$15,MATCH("SOJA"&amp;"|",KC_CURVAS!$K$5:$K$15,0)),""))</f>
        <v/>
      </c>
      <c r="M74" s="10">
        <f>IFERROR(INDEX(KC_CURVAS!$D$5:$D$15,MATCH("SOJA|"&amp;$G74,KC_CURVAS!$K$5:$K$15,0)),IFERROR(INDEX(KC_CURVAS!$D$5:$D$15,MATCH("SOJA"&amp;"|",KC_CURVAS!$K$5:$K$15,0)),""))</f>
        <v/>
      </c>
      <c r="N74" s="10">
        <f>IFERROR(INDEX(KC_CURVAS!$E$5:$E$15,MATCH("SOJA|"&amp;$G74,KC_CURVAS!$K$5:$K$15,0)),IFERROR(INDEX(KC_CURVAS!$E$5:$E$15,MATCH("SOJA"&amp;"|",KC_CURVAS!$K$5:$K$15,0)),""))</f>
        <v/>
      </c>
      <c r="O74" s="10">
        <f>IFERROR(INDEX(KC_CURVAS!$F$5:$F$15,MATCH("SOJA|"&amp;$G74,KC_CURVAS!$K$5:$K$15,0)),IFERROR(INDEX(KC_CURVAS!$F$5:$F$15,MATCH("SOJA"&amp;"|",KC_CURVAS!$K$5:$K$15,0)),""))</f>
        <v/>
      </c>
      <c r="P74" s="11">
        <f>IFERROR(INDEX(KC_CURVAS!$G$5:$G$15,MATCH("SOJA|"&amp;$G74,KC_CURVAS!$K$5:$K$15,0)),IFERROR(INDEX(KC_CURVAS!$G$5:$G$15,MATCH("SOJA"&amp;"|",KC_CURVAS!$K$5:$K$15,0)),""))</f>
        <v/>
      </c>
      <c r="Q74" s="11">
        <f>IFERROR(INDEX(KC_CURVAS!$H$5:$H$15,MATCH("SOJA|"&amp;$G74,KC_CURVAS!$K$5:$K$15,0)),IFERROR(INDEX(KC_CURVAS!$H$5:$H$15,MATCH("SOJA"&amp;"|",KC_CURVAS!$K$5:$K$15,0)),""))</f>
        <v/>
      </c>
      <c r="R74" s="11">
        <f>IFERROR(INDEX(KC_CURVAS!$I$5:$I$15,MATCH("SOJA|"&amp;$G74,KC_CURVAS!$K$5:$K$15,0)),IFERROR(INDEX(KC_CURVAS!$I$5:$I$15,MATCH("SOJA"&amp;"|",KC_CURVAS!$K$5:$K$15,0)),""))</f>
        <v/>
      </c>
      <c r="S74" s="12">
        <f>IF(OR($K74="",$L74=""),"PENDENTE",IF($K74&lt;=$L74,$P74,IF($K74&lt;=$L74+$M74,$P74+($Q74-$P74)*($K74-$L74)/$M74,IF($K74&lt;=$L74+$M74+$N74,$Q74,IF($K74&lt;=$L74+$M74+$N74+$O74,$Q74+($R74-$Q74)*($K74-($L74+$M74+$N74))/$O74,$R74)))))</f>
        <v/>
      </c>
      <c r="T74" s="13">
        <f>IF($I74="","",$I74)</f>
        <v/>
      </c>
      <c r="U74" s="14">
        <f>IF($T74="","",SUMIFS(ETO_DIARIO!$B$5:$B$404,ETO_DIARIO!$A$5:$A$404,"&gt;"&amp;$T74,ETO_DIARIO!$A$5:$A$404,"&lt;="&amp;DATA_REF))</f>
        <v/>
      </c>
      <c r="V74" s="14">
        <f>IF($T74="","",SUMIFS(ETO_DIARIO!$C$5:$C$404,ETO_DIARIO!$A$5:$A$404,"&gt;"&amp;$T74,ETO_DIARIO!$A$5:$A$404,"&lt;="&amp;DATA_REF))</f>
        <v/>
      </c>
      <c r="W74" s="14">
        <f>IF(OR($S74="",$S74="PENDENTE",$U74=""),"",$S74*$U74)</f>
        <v/>
      </c>
      <c r="X74" s="14">
        <f>IF($W74="","",MAX(0,$W74-N($V74)))</f>
        <v/>
      </c>
      <c r="Y74" s="14">
        <f>IF($X74="","",$X74/EF_APLIC)</f>
        <v/>
      </c>
      <c r="Z74" s="15" t="n">
        <v>77</v>
      </c>
      <c r="AA74" s="16">
        <f>IF(OR($Y74="",$Z74=""),"",$Y74*$Z74*10)</f>
        <v/>
      </c>
      <c r="AB74" s="17" t="n">
        <v>0.513</v>
      </c>
      <c r="AC74" s="16">
        <f>IF(OR($AA74="",$AB74=""),"",$AA74*$AB74)</f>
        <v/>
      </c>
      <c r="AD74" s="18">
        <f>IF($S74="PENDENTE","Definir classe/Kc",IF($Y74="","-",IF($Y74&gt;='PARAMETROS'!$B$7/EF_APLIC,"Irrigar",IF($Y74&gt;='PARAMETROS'!$B$7/EF_APLIC*FRAC_ACOMP,"Acompanhar","Aguardar"))))</f>
        <v/>
      </c>
      <c r="AE74" s="18">
        <f>IF(OR($Y74="",$Y74=0),"-",IF($Y74&gt;=2*'PARAMETROS'!$B$7/EF_APLIC,"Alta",IF($Y74&gt;='PARAMETROS'!$B$7/EF_APLIC,"Media","Baixa")))</f>
        <v/>
      </c>
    </row>
    <row r="75">
      <c r="A75" s="5" t="inlineStr">
        <is>
          <t>Pivô 10</t>
        </is>
      </c>
      <c r="B75" s="5" t="inlineStr">
        <is>
          <t>Karitel</t>
        </is>
      </c>
      <c r="C75" s="5" t="inlineStr">
        <is>
          <t>R3</t>
        </is>
      </c>
      <c r="D75" s="5" t="inlineStr">
        <is>
          <t>Modulo 1</t>
        </is>
      </c>
      <c r="E75" s="5" t="inlineStr">
        <is>
          <t>SOJA</t>
        </is>
      </c>
      <c r="F75" s="6" t="inlineStr">
        <is>
          <t>ATAQUE I2X</t>
        </is>
      </c>
      <c r="G75" s="7" t="inlineStr">
        <is>
          <t>TARDIA</t>
        </is>
      </c>
      <c r="H75" s="5" t="inlineStr">
        <is>
          <t>proximo</t>
        </is>
      </c>
      <c r="I75" s="8" t="n">
        <v>46327</v>
      </c>
      <c r="J75" s="9">
        <f>IF($I75="","",DATA_REF-$I75)</f>
        <v/>
      </c>
      <c r="K75" s="9">
        <f>IF($J75="","",MAX(0,$J75-'PARAMETROS'!$B$11))</f>
        <v/>
      </c>
      <c r="L75" s="10">
        <f>IFERROR(INDEX(KC_CURVAS!$C$5:$C$15,MATCH("SOJA|"&amp;$G75,KC_CURVAS!$K$5:$K$15,0)),IFERROR(INDEX(KC_CURVAS!$C$5:$C$15,MATCH("SOJA"&amp;"|",KC_CURVAS!$K$5:$K$15,0)),""))</f>
        <v/>
      </c>
      <c r="M75" s="10">
        <f>IFERROR(INDEX(KC_CURVAS!$D$5:$D$15,MATCH("SOJA|"&amp;$G75,KC_CURVAS!$K$5:$K$15,0)),IFERROR(INDEX(KC_CURVAS!$D$5:$D$15,MATCH("SOJA"&amp;"|",KC_CURVAS!$K$5:$K$15,0)),""))</f>
        <v/>
      </c>
      <c r="N75" s="10">
        <f>IFERROR(INDEX(KC_CURVAS!$E$5:$E$15,MATCH("SOJA|"&amp;$G75,KC_CURVAS!$K$5:$K$15,0)),IFERROR(INDEX(KC_CURVAS!$E$5:$E$15,MATCH("SOJA"&amp;"|",KC_CURVAS!$K$5:$K$15,0)),""))</f>
        <v/>
      </c>
      <c r="O75" s="10">
        <f>IFERROR(INDEX(KC_CURVAS!$F$5:$F$15,MATCH("SOJA|"&amp;$G75,KC_CURVAS!$K$5:$K$15,0)),IFERROR(INDEX(KC_CURVAS!$F$5:$F$15,MATCH("SOJA"&amp;"|",KC_CURVAS!$K$5:$K$15,0)),""))</f>
        <v/>
      </c>
      <c r="P75" s="11">
        <f>IFERROR(INDEX(KC_CURVAS!$G$5:$G$15,MATCH("SOJA|"&amp;$G75,KC_CURVAS!$K$5:$K$15,0)),IFERROR(INDEX(KC_CURVAS!$G$5:$G$15,MATCH("SOJA"&amp;"|",KC_CURVAS!$K$5:$K$15,0)),""))</f>
        <v/>
      </c>
      <c r="Q75" s="11">
        <f>IFERROR(INDEX(KC_CURVAS!$H$5:$H$15,MATCH("SOJA|"&amp;$G75,KC_CURVAS!$K$5:$K$15,0)),IFERROR(INDEX(KC_CURVAS!$H$5:$H$15,MATCH("SOJA"&amp;"|",KC_CURVAS!$K$5:$K$15,0)),""))</f>
        <v/>
      </c>
      <c r="R75" s="11">
        <f>IFERROR(INDEX(KC_CURVAS!$I$5:$I$15,MATCH("SOJA|"&amp;$G75,KC_CURVAS!$K$5:$K$15,0)),IFERROR(INDEX(KC_CURVAS!$I$5:$I$15,MATCH("SOJA"&amp;"|",KC_CURVAS!$K$5:$K$15,0)),""))</f>
        <v/>
      </c>
      <c r="S75" s="12">
        <f>IF(OR($K75="",$L75=""),"PENDENTE",IF($K75&lt;=$L75,$P75,IF($K75&lt;=$L75+$M75,$P75+($Q75-$P75)*($K75-$L75)/$M75,IF($K75&lt;=$L75+$M75+$N75,$Q75,IF($K75&lt;=$L75+$M75+$N75+$O75,$Q75+($R75-$Q75)*($K75-($L75+$M75+$N75))/$O75,$R75)))))</f>
        <v/>
      </c>
      <c r="T75" s="13">
        <f>IF($I75="","",$I75)</f>
        <v/>
      </c>
      <c r="U75" s="14">
        <f>IF($T75="","",SUMIFS(ETO_DIARIO!$B$5:$B$404,ETO_DIARIO!$A$5:$A$404,"&gt;"&amp;$T75,ETO_DIARIO!$A$5:$A$404,"&lt;="&amp;DATA_REF))</f>
        <v/>
      </c>
      <c r="V75" s="14">
        <f>IF($T75="","",SUMIFS(ETO_DIARIO!$C$5:$C$404,ETO_DIARIO!$A$5:$A$404,"&gt;"&amp;$T75,ETO_DIARIO!$A$5:$A$404,"&lt;="&amp;DATA_REF))</f>
        <v/>
      </c>
      <c r="W75" s="14">
        <f>IF(OR($S75="",$S75="PENDENTE",$U75=""),"",$S75*$U75)</f>
        <v/>
      </c>
      <c r="X75" s="14">
        <f>IF($W75="","",MAX(0,$W75-N($V75)))</f>
        <v/>
      </c>
      <c r="Y75" s="14">
        <f>IF($X75="","",$X75/EF_APLIC)</f>
        <v/>
      </c>
      <c r="Z75" s="15" t="n">
        <v>13</v>
      </c>
      <c r="AA75" s="16">
        <f>IF(OR($Y75="",$Z75=""),"",$Y75*$Z75*10)</f>
        <v/>
      </c>
      <c r="AB75" s="17" t="n">
        <v>0.5659999999999999</v>
      </c>
      <c r="AC75" s="16">
        <f>IF(OR($AA75="",$AB75=""),"",$AA75*$AB75)</f>
        <v/>
      </c>
      <c r="AD75" s="18">
        <f>IF($S75="PENDENTE","Definir classe/Kc",IF($Y75="","-",IF($Y75&gt;='PARAMETROS'!$B$7/EF_APLIC,"Irrigar",IF($Y75&gt;='PARAMETROS'!$B$7/EF_APLIC*FRAC_ACOMP,"Acompanhar","Aguardar"))))</f>
        <v/>
      </c>
      <c r="AE75" s="18">
        <f>IF(OR($Y75="",$Y75=0),"-",IF($Y75&gt;=2*'PARAMETROS'!$B$7/EF_APLIC,"Alta",IF($Y75&gt;='PARAMETROS'!$B$7/EF_APLIC,"Media","Baixa")))</f>
        <v/>
      </c>
    </row>
    <row r="76">
      <c r="A76" s="5" t="inlineStr">
        <is>
          <t>Pivô 10</t>
        </is>
      </c>
      <c r="B76" s="5" t="inlineStr">
        <is>
          <t>Karitel</t>
        </is>
      </c>
      <c r="C76" s="5" t="inlineStr">
        <is>
          <t>R3</t>
        </is>
      </c>
      <c r="D76" s="5" t="inlineStr">
        <is>
          <t>Modulo 1</t>
        </is>
      </c>
      <c r="E76" s="5" t="inlineStr">
        <is>
          <t>SOJA</t>
        </is>
      </c>
      <c r="F76" s="6" t="inlineStr">
        <is>
          <t>ATAQUE I2X</t>
        </is>
      </c>
      <c r="G76" s="7" t="inlineStr">
        <is>
          <t>TARDIA</t>
        </is>
      </c>
      <c r="H76" s="5" t="inlineStr">
        <is>
          <t>proximo</t>
        </is>
      </c>
      <c r="I76" s="8" t="n">
        <v>46327</v>
      </c>
      <c r="J76" s="9">
        <f>IF($I76="","",DATA_REF-$I76)</f>
        <v/>
      </c>
      <c r="K76" s="9">
        <f>IF($J76="","",MAX(0,$J76-'PARAMETROS'!$B$11))</f>
        <v/>
      </c>
      <c r="L76" s="10">
        <f>IFERROR(INDEX(KC_CURVAS!$C$5:$C$15,MATCH("SOJA|"&amp;$G76,KC_CURVAS!$K$5:$K$15,0)),IFERROR(INDEX(KC_CURVAS!$C$5:$C$15,MATCH("SOJA"&amp;"|",KC_CURVAS!$K$5:$K$15,0)),""))</f>
        <v/>
      </c>
      <c r="M76" s="10">
        <f>IFERROR(INDEX(KC_CURVAS!$D$5:$D$15,MATCH("SOJA|"&amp;$G76,KC_CURVAS!$K$5:$K$15,0)),IFERROR(INDEX(KC_CURVAS!$D$5:$D$15,MATCH("SOJA"&amp;"|",KC_CURVAS!$K$5:$K$15,0)),""))</f>
        <v/>
      </c>
      <c r="N76" s="10">
        <f>IFERROR(INDEX(KC_CURVAS!$E$5:$E$15,MATCH("SOJA|"&amp;$G76,KC_CURVAS!$K$5:$K$15,0)),IFERROR(INDEX(KC_CURVAS!$E$5:$E$15,MATCH("SOJA"&amp;"|",KC_CURVAS!$K$5:$K$15,0)),""))</f>
        <v/>
      </c>
      <c r="O76" s="10">
        <f>IFERROR(INDEX(KC_CURVAS!$F$5:$F$15,MATCH("SOJA|"&amp;$G76,KC_CURVAS!$K$5:$K$15,0)),IFERROR(INDEX(KC_CURVAS!$F$5:$F$15,MATCH("SOJA"&amp;"|",KC_CURVAS!$K$5:$K$15,0)),""))</f>
        <v/>
      </c>
      <c r="P76" s="11">
        <f>IFERROR(INDEX(KC_CURVAS!$G$5:$G$15,MATCH("SOJA|"&amp;$G76,KC_CURVAS!$K$5:$K$15,0)),IFERROR(INDEX(KC_CURVAS!$G$5:$G$15,MATCH("SOJA"&amp;"|",KC_CURVAS!$K$5:$K$15,0)),""))</f>
        <v/>
      </c>
      <c r="Q76" s="11">
        <f>IFERROR(INDEX(KC_CURVAS!$H$5:$H$15,MATCH("SOJA|"&amp;$G76,KC_CURVAS!$K$5:$K$15,0)),IFERROR(INDEX(KC_CURVAS!$H$5:$H$15,MATCH("SOJA"&amp;"|",KC_CURVAS!$K$5:$K$15,0)),""))</f>
        <v/>
      </c>
      <c r="R76" s="11">
        <f>IFERROR(INDEX(KC_CURVAS!$I$5:$I$15,MATCH("SOJA|"&amp;$G76,KC_CURVAS!$K$5:$K$15,0)),IFERROR(INDEX(KC_CURVAS!$I$5:$I$15,MATCH("SOJA"&amp;"|",KC_CURVAS!$K$5:$K$15,0)),""))</f>
        <v/>
      </c>
      <c r="S76" s="12">
        <f>IF(OR($K76="",$L76=""),"PENDENTE",IF($K76&lt;=$L76,$P76,IF($K76&lt;=$L76+$M76,$P76+($Q76-$P76)*($K76-$L76)/$M76,IF($K76&lt;=$L76+$M76+$N76,$Q76,IF($K76&lt;=$L76+$M76+$N76+$O76,$Q76+($R76-$Q76)*($K76-($L76+$M76+$N76))/$O76,$R76)))))</f>
        <v/>
      </c>
      <c r="T76" s="13">
        <f>IF($I76="","",$I76)</f>
        <v/>
      </c>
      <c r="U76" s="14">
        <f>IF($T76="","",SUMIFS(ETO_DIARIO!$B$5:$B$404,ETO_DIARIO!$A$5:$A$404,"&gt;"&amp;$T76,ETO_DIARIO!$A$5:$A$404,"&lt;="&amp;DATA_REF))</f>
        <v/>
      </c>
      <c r="V76" s="14">
        <f>IF($T76="","",SUMIFS(ETO_DIARIO!$C$5:$C$404,ETO_DIARIO!$A$5:$A$404,"&gt;"&amp;$T76,ETO_DIARIO!$A$5:$A$404,"&lt;="&amp;DATA_REF))</f>
        <v/>
      </c>
      <c r="W76" s="14">
        <f>IF(OR($S76="",$S76="PENDENTE",$U76=""),"",$S76*$U76)</f>
        <v/>
      </c>
      <c r="X76" s="14">
        <f>IF($W76="","",MAX(0,$W76-N($V76)))</f>
        <v/>
      </c>
      <c r="Y76" s="14">
        <f>IF($X76="","",$X76/EF_APLIC)</f>
        <v/>
      </c>
      <c r="Z76" s="15" t="n">
        <v>13</v>
      </c>
      <c r="AA76" s="16">
        <f>IF(OR($Y76="",$Z76=""),"",$Y76*$Z76*10)</f>
        <v/>
      </c>
      <c r="AB76" s="17" t="n">
        <v>0.5659999999999999</v>
      </c>
      <c r="AC76" s="16">
        <f>IF(OR($AA76="",$AB76=""),"",$AA76*$AB76)</f>
        <v/>
      </c>
      <c r="AD76" s="18">
        <f>IF($S76="PENDENTE","Definir classe/Kc",IF($Y76="","-",IF($Y76&gt;='PARAMETROS'!$B$7/EF_APLIC,"Irrigar",IF($Y76&gt;='PARAMETROS'!$B$7/EF_APLIC*FRAC_ACOMP,"Acompanhar","Aguardar"))))</f>
        <v/>
      </c>
      <c r="AE76" s="18">
        <f>IF(OR($Y76="",$Y76=0),"-",IF($Y76&gt;=2*'PARAMETROS'!$B$7/EF_APLIC,"Alta",IF($Y76&gt;='PARAMETROS'!$B$7/EF_APLIC,"Media","Baixa")))</f>
        <v/>
      </c>
    </row>
    <row r="77">
      <c r="A77" s="5" t="inlineStr">
        <is>
          <t>Pivô 11</t>
        </is>
      </c>
      <c r="B77" s="5" t="inlineStr">
        <is>
          <t>Karitel</t>
        </is>
      </c>
      <c r="C77" s="5" t="inlineStr">
        <is>
          <t>R5</t>
        </is>
      </c>
      <c r="D77" s="5" t="inlineStr">
        <is>
          <t>Modulo 1</t>
        </is>
      </c>
      <c r="E77" s="5" t="inlineStr">
        <is>
          <t>SOJA</t>
        </is>
      </c>
      <c r="F77" s="6" t="inlineStr">
        <is>
          <t>BMX DOMINIO IPRO</t>
        </is>
      </c>
      <c r="G77" s="7" t="inlineStr">
        <is>
          <t>MÉDIA</t>
        </is>
      </c>
      <c r="H77" s="5" t="inlineStr">
        <is>
          <t>proximo</t>
        </is>
      </c>
      <c r="I77" s="8" t="n">
        <v>46328</v>
      </c>
      <c r="J77" s="9">
        <f>IF($I77="","",DATA_REF-$I77)</f>
        <v/>
      </c>
      <c r="K77" s="9">
        <f>IF($J77="","",MAX(0,$J77-'PARAMETROS'!$B$11))</f>
        <v/>
      </c>
      <c r="L77" s="10">
        <f>IFERROR(INDEX(KC_CURVAS!$C$5:$C$15,MATCH("SOJA|"&amp;$G77,KC_CURVAS!$K$5:$K$15,0)),IFERROR(INDEX(KC_CURVAS!$C$5:$C$15,MATCH("SOJA"&amp;"|",KC_CURVAS!$K$5:$K$15,0)),""))</f>
        <v/>
      </c>
      <c r="M77" s="10">
        <f>IFERROR(INDEX(KC_CURVAS!$D$5:$D$15,MATCH("SOJA|"&amp;$G77,KC_CURVAS!$K$5:$K$15,0)),IFERROR(INDEX(KC_CURVAS!$D$5:$D$15,MATCH("SOJA"&amp;"|",KC_CURVAS!$K$5:$K$15,0)),""))</f>
        <v/>
      </c>
      <c r="N77" s="10">
        <f>IFERROR(INDEX(KC_CURVAS!$E$5:$E$15,MATCH("SOJA|"&amp;$G77,KC_CURVAS!$K$5:$K$15,0)),IFERROR(INDEX(KC_CURVAS!$E$5:$E$15,MATCH("SOJA"&amp;"|",KC_CURVAS!$K$5:$K$15,0)),""))</f>
        <v/>
      </c>
      <c r="O77" s="10">
        <f>IFERROR(INDEX(KC_CURVAS!$F$5:$F$15,MATCH("SOJA|"&amp;$G77,KC_CURVAS!$K$5:$K$15,0)),IFERROR(INDEX(KC_CURVAS!$F$5:$F$15,MATCH("SOJA"&amp;"|",KC_CURVAS!$K$5:$K$15,0)),""))</f>
        <v/>
      </c>
      <c r="P77" s="11">
        <f>IFERROR(INDEX(KC_CURVAS!$G$5:$G$15,MATCH("SOJA|"&amp;$G77,KC_CURVAS!$K$5:$K$15,0)),IFERROR(INDEX(KC_CURVAS!$G$5:$G$15,MATCH("SOJA"&amp;"|",KC_CURVAS!$K$5:$K$15,0)),""))</f>
        <v/>
      </c>
      <c r="Q77" s="11">
        <f>IFERROR(INDEX(KC_CURVAS!$H$5:$H$15,MATCH("SOJA|"&amp;$G77,KC_CURVAS!$K$5:$K$15,0)),IFERROR(INDEX(KC_CURVAS!$H$5:$H$15,MATCH("SOJA"&amp;"|",KC_CURVAS!$K$5:$K$15,0)),""))</f>
        <v/>
      </c>
      <c r="R77" s="11">
        <f>IFERROR(INDEX(KC_CURVAS!$I$5:$I$15,MATCH("SOJA|"&amp;$G77,KC_CURVAS!$K$5:$K$15,0)),IFERROR(INDEX(KC_CURVAS!$I$5:$I$15,MATCH("SOJA"&amp;"|",KC_CURVAS!$K$5:$K$15,0)),""))</f>
        <v/>
      </c>
      <c r="S77" s="12">
        <f>IF(OR($K77="",$L77=""),"PENDENTE",IF($K77&lt;=$L77,$P77,IF($K77&lt;=$L77+$M77,$P77+($Q77-$P77)*($K77-$L77)/$M77,IF($K77&lt;=$L77+$M77+$N77,$Q77,IF($K77&lt;=$L77+$M77+$N77+$O77,$Q77+($R77-$Q77)*($K77-($L77+$M77+$N77))/$O77,$R77)))))</f>
        <v/>
      </c>
      <c r="T77" s="13">
        <f>IF($I77="","",$I77)</f>
        <v/>
      </c>
      <c r="U77" s="14">
        <f>IF($T77="","",SUMIFS(ETO_DIARIO!$B$5:$B$404,ETO_DIARIO!$A$5:$A$404,"&gt;"&amp;$T77,ETO_DIARIO!$A$5:$A$404,"&lt;="&amp;DATA_REF))</f>
        <v/>
      </c>
      <c r="V77" s="14">
        <f>IF($T77="","",SUMIFS(ETO_DIARIO!$C$5:$C$404,ETO_DIARIO!$A$5:$A$404,"&gt;"&amp;$T77,ETO_DIARIO!$A$5:$A$404,"&lt;="&amp;DATA_REF))</f>
        <v/>
      </c>
      <c r="W77" s="14">
        <f>IF(OR($S77="",$S77="PENDENTE",$U77=""),"",$S77*$U77)</f>
        <v/>
      </c>
      <c r="X77" s="14">
        <f>IF($W77="","",MAX(0,$W77-N($V77)))</f>
        <v/>
      </c>
      <c r="Y77" s="14">
        <f>IF($X77="","",$X77/EF_APLIC)</f>
        <v/>
      </c>
      <c r="Z77" s="15" t="n">
        <v>75</v>
      </c>
      <c r="AA77" s="16">
        <f>IF(OR($Y77="",$Z77=""),"",$Y77*$Z77*10)</f>
        <v/>
      </c>
      <c r="AB77" s="17" t="n">
        <v>0.577</v>
      </c>
      <c r="AC77" s="16">
        <f>IF(OR($AA77="",$AB77=""),"",$AA77*$AB77)</f>
        <v/>
      </c>
      <c r="AD77" s="18">
        <f>IF($S77="PENDENTE","Definir classe/Kc",IF($Y77="","-",IF($Y77&gt;='PARAMETROS'!$B$7/EF_APLIC,"Irrigar",IF($Y77&gt;='PARAMETROS'!$B$7/EF_APLIC*FRAC_ACOMP,"Acompanhar","Aguardar"))))</f>
        <v/>
      </c>
      <c r="AE77" s="18">
        <f>IF(OR($Y77="",$Y77=0),"-",IF($Y77&gt;=2*'PARAMETROS'!$B$7/EF_APLIC,"Alta",IF($Y77&gt;='PARAMETROS'!$B$7/EF_APLIC,"Media","Baixa")))</f>
        <v/>
      </c>
    </row>
    <row r="78">
      <c r="A78" s="5" t="inlineStr">
        <is>
          <t>Pivô 21</t>
        </is>
      </c>
      <c r="B78" s="5" t="inlineStr">
        <is>
          <t>Karitel</t>
        </is>
      </c>
      <c r="C78" s="5" t="inlineStr">
        <is>
          <t>R4</t>
        </is>
      </c>
      <c r="D78" s="5" t="inlineStr">
        <is>
          <t>Modulo 1</t>
        </is>
      </c>
      <c r="E78" s="5" t="inlineStr">
        <is>
          <t>SOJA</t>
        </is>
      </c>
      <c r="F78" s="6" t="inlineStr">
        <is>
          <t>BMX DOMINIO IPRO</t>
        </is>
      </c>
      <c r="G78" s="7" t="inlineStr">
        <is>
          <t>MÉDIA</t>
        </is>
      </c>
      <c r="H78" s="5" t="inlineStr">
        <is>
          <t>proximo</t>
        </is>
      </c>
      <c r="I78" s="8" t="n">
        <v>46329</v>
      </c>
      <c r="J78" s="9">
        <f>IF($I78="","",DATA_REF-$I78)</f>
        <v/>
      </c>
      <c r="K78" s="9">
        <f>IF($J78="","",MAX(0,$J78-'PARAMETROS'!$B$11))</f>
        <v/>
      </c>
      <c r="L78" s="10">
        <f>IFERROR(INDEX(KC_CURVAS!$C$5:$C$15,MATCH("SOJA|"&amp;$G78,KC_CURVAS!$K$5:$K$15,0)),IFERROR(INDEX(KC_CURVAS!$C$5:$C$15,MATCH("SOJA"&amp;"|",KC_CURVAS!$K$5:$K$15,0)),""))</f>
        <v/>
      </c>
      <c r="M78" s="10">
        <f>IFERROR(INDEX(KC_CURVAS!$D$5:$D$15,MATCH("SOJA|"&amp;$G78,KC_CURVAS!$K$5:$K$15,0)),IFERROR(INDEX(KC_CURVAS!$D$5:$D$15,MATCH("SOJA"&amp;"|",KC_CURVAS!$K$5:$K$15,0)),""))</f>
        <v/>
      </c>
      <c r="N78" s="10">
        <f>IFERROR(INDEX(KC_CURVAS!$E$5:$E$15,MATCH("SOJA|"&amp;$G78,KC_CURVAS!$K$5:$K$15,0)),IFERROR(INDEX(KC_CURVAS!$E$5:$E$15,MATCH("SOJA"&amp;"|",KC_CURVAS!$K$5:$K$15,0)),""))</f>
        <v/>
      </c>
      <c r="O78" s="10">
        <f>IFERROR(INDEX(KC_CURVAS!$F$5:$F$15,MATCH("SOJA|"&amp;$G78,KC_CURVAS!$K$5:$K$15,0)),IFERROR(INDEX(KC_CURVAS!$F$5:$F$15,MATCH("SOJA"&amp;"|",KC_CURVAS!$K$5:$K$15,0)),""))</f>
        <v/>
      </c>
      <c r="P78" s="11">
        <f>IFERROR(INDEX(KC_CURVAS!$G$5:$G$15,MATCH("SOJA|"&amp;$G78,KC_CURVAS!$K$5:$K$15,0)),IFERROR(INDEX(KC_CURVAS!$G$5:$G$15,MATCH("SOJA"&amp;"|",KC_CURVAS!$K$5:$K$15,0)),""))</f>
        <v/>
      </c>
      <c r="Q78" s="11">
        <f>IFERROR(INDEX(KC_CURVAS!$H$5:$H$15,MATCH("SOJA|"&amp;$G78,KC_CURVAS!$K$5:$K$15,0)),IFERROR(INDEX(KC_CURVAS!$H$5:$H$15,MATCH("SOJA"&amp;"|",KC_CURVAS!$K$5:$K$15,0)),""))</f>
        <v/>
      </c>
      <c r="R78" s="11">
        <f>IFERROR(INDEX(KC_CURVAS!$I$5:$I$15,MATCH("SOJA|"&amp;$G78,KC_CURVAS!$K$5:$K$15,0)),IFERROR(INDEX(KC_CURVAS!$I$5:$I$15,MATCH("SOJA"&amp;"|",KC_CURVAS!$K$5:$K$15,0)),""))</f>
        <v/>
      </c>
      <c r="S78" s="12">
        <f>IF(OR($K78="",$L78=""),"PENDENTE",IF($K78&lt;=$L78,$P78,IF($K78&lt;=$L78+$M78,$P78+($Q78-$P78)*($K78-$L78)/$M78,IF($K78&lt;=$L78+$M78+$N78,$Q78,IF($K78&lt;=$L78+$M78+$N78+$O78,$Q78+($R78-$Q78)*($K78-($L78+$M78+$N78))/$O78,$R78)))))</f>
        <v/>
      </c>
      <c r="T78" s="13">
        <f>IF($I78="","",$I78)</f>
        <v/>
      </c>
      <c r="U78" s="14">
        <f>IF($T78="","",SUMIFS(ETO_DIARIO!$B$5:$B$404,ETO_DIARIO!$A$5:$A$404,"&gt;"&amp;$T78,ETO_DIARIO!$A$5:$A$404,"&lt;="&amp;DATA_REF))</f>
        <v/>
      </c>
      <c r="V78" s="14">
        <f>IF($T78="","",SUMIFS(ETO_DIARIO!$C$5:$C$404,ETO_DIARIO!$A$5:$A$404,"&gt;"&amp;$T78,ETO_DIARIO!$A$5:$A$404,"&lt;="&amp;DATA_REF))</f>
        <v/>
      </c>
      <c r="W78" s="14">
        <f>IF(OR($S78="",$S78="PENDENTE",$U78=""),"",$S78*$U78)</f>
        <v/>
      </c>
      <c r="X78" s="14">
        <f>IF($W78="","",MAX(0,$W78-N($V78)))</f>
        <v/>
      </c>
      <c r="Y78" s="14">
        <f>IF($X78="","",$X78/EF_APLIC)</f>
        <v/>
      </c>
      <c r="Z78" s="15" t="n">
        <v>213</v>
      </c>
      <c r="AA78" s="16">
        <f>IF(OR($Y78="",$Z78=""),"",$Y78*$Z78*10)</f>
        <v/>
      </c>
      <c r="AB78" s="17" t="n">
        <v>0.513</v>
      </c>
      <c r="AC78" s="16">
        <f>IF(OR($AA78="",$AB78=""),"",$AA78*$AB78)</f>
        <v/>
      </c>
      <c r="AD78" s="18">
        <f>IF($S78="PENDENTE","Definir classe/Kc",IF($Y78="","-",IF($Y78&gt;='PARAMETROS'!$B$7/EF_APLIC,"Irrigar",IF($Y78&gt;='PARAMETROS'!$B$7/EF_APLIC*FRAC_ACOMP,"Acompanhar","Aguardar"))))</f>
        <v/>
      </c>
      <c r="AE78" s="18">
        <f>IF(OR($Y78="",$Y78=0),"-",IF($Y78&gt;=2*'PARAMETROS'!$B$7/EF_APLIC,"Alta",IF($Y78&gt;='PARAMETROS'!$B$7/EF_APLIC,"Media","Baixa")))</f>
        <v/>
      </c>
    </row>
    <row r="79">
      <c r="A79" s="5" t="inlineStr">
        <is>
          <t>Pivô 22</t>
        </is>
      </c>
      <c r="B79" s="5" t="inlineStr">
        <is>
          <t>Karitel</t>
        </is>
      </c>
      <c r="C79" s="5" t="inlineStr">
        <is>
          <t>R4</t>
        </is>
      </c>
      <c r="D79" s="5" t="inlineStr">
        <is>
          <t>Modulo 1</t>
        </is>
      </c>
      <c r="E79" s="5" t="inlineStr">
        <is>
          <t>SOJA</t>
        </is>
      </c>
      <c r="F79" s="6" t="inlineStr">
        <is>
          <t>BMX DOMINIO IPRO</t>
        </is>
      </c>
      <c r="G79" s="7" t="inlineStr">
        <is>
          <t>MÉDIA</t>
        </is>
      </c>
      <c r="H79" s="5" t="inlineStr">
        <is>
          <t>proximo</t>
        </is>
      </c>
      <c r="I79" s="8" t="n">
        <v>46329</v>
      </c>
      <c r="J79" s="9">
        <f>IF($I79="","",DATA_REF-$I79)</f>
        <v/>
      </c>
      <c r="K79" s="9">
        <f>IF($J79="","",MAX(0,$J79-'PARAMETROS'!$B$11))</f>
        <v/>
      </c>
      <c r="L79" s="10">
        <f>IFERROR(INDEX(KC_CURVAS!$C$5:$C$15,MATCH("SOJA|"&amp;$G79,KC_CURVAS!$K$5:$K$15,0)),IFERROR(INDEX(KC_CURVAS!$C$5:$C$15,MATCH("SOJA"&amp;"|",KC_CURVAS!$K$5:$K$15,0)),""))</f>
        <v/>
      </c>
      <c r="M79" s="10">
        <f>IFERROR(INDEX(KC_CURVAS!$D$5:$D$15,MATCH("SOJA|"&amp;$G79,KC_CURVAS!$K$5:$K$15,0)),IFERROR(INDEX(KC_CURVAS!$D$5:$D$15,MATCH("SOJA"&amp;"|",KC_CURVAS!$K$5:$K$15,0)),""))</f>
        <v/>
      </c>
      <c r="N79" s="10">
        <f>IFERROR(INDEX(KC_CURVAS!$E$5:$E$15,MATCH("SOJA|"&amp;$G79,KC_CURVAS!$K$5:$K$15,0)),IFERROR(INDEX(KC_CURVAS!$E$5:$E$15,MATCH("SOJA"&amp;"|",KC_CURVAS!$K$5:$K$15,0)),""))</f>
        <v/>
      </c>
      <c r="O79" s="10">
        <f>IFERROR(INDEX(KC_CURVAS!$F$5:$F$15,MATCH("SOJA|"&amp;$G79,KC_CURVAS!$K$5:$K$15,0)),IFERROR(INDEX(KC_CURVAS!$F$5:$F$15,MATCH("SOJA"&amp;"|",KC_CURVAS!$K$5:$K$15,0)),""))</f>
        <v/>
      </c>
      <c r="P79" s="11">
        <f>IFERROR(INDEX(KC_CURVAS!$G$5:$G$15,MATCH("SOJA|"&amp;$G79,KC_CURVAS!$K$5:$K$15,0)),IFERROR(INDEX(KC_CURVAS!$G$5:$G$15,MATCH("SOJA"&amp;"|",KC_CURVAS!$K$5:$K$15,0)),""))</f>
        <v/>
      </c>
      <c r="Q79" s="11">
        <f>IFERROR(INDEX(KC_CURVAS!$H$5:$H$15,MATCH("SOJA|"&amp;$G79,KC_CURVAS!$K$5:$K$15,0)),IFERROR(INDEX(KC_CURVAS!$H$5:$H$15,MATCH("SOJA"&amp;"|",KC_CURVAS!$K$5:$K$15,0)),""))</f>
        <v/>
      </c>
      <c r="R79" s="11">
        <f>IFERROR(INDEX(KC_CURVAS!$I$5:$I$15,MATCH("SOJA|"&amp;$G79,KC_CURVAS!$K$5:$K$15,0)),IFERROR(INDEX(KC_CURVAS!$I$5:$I$15,MATCH("SOJA"&amp;"|",KC_CURVAS!$K$5:$K$15,0)),""))</f>
        <v/>
      </c>
      <c r="S79" s="12">
        <f>IF(OR($K79="",$L79=""),"PENDENTE",IF($K79&lt;=$L79,$P79,IF($K79&lt;=$L79+$M79,$P79+($Q79-$P79)*($K79-$L79)/$M79,IF($K79&lt;=$L79+$M79+$N79,$Q79,IF($K79&lt;=$L79+$M79+$N79+$O79,$Q79+($R79-$Q79)*($K79-($L79+$M79+$N79))/$O79,$R79)))))</f>
        <v/>
      </c>
      <c r="T79" s="13">
        <f>IF($I79="","",$I79)</f>
        <v/>
      </c>
      <c r="U79" s="14">
        <f>IF($T79="","",SUMIFS(ETO_DIARIO!$B$5:$B$404,ETO_DIARIO!$A$5:$A$404,"&gt;"&amp;$T79,ETO_DIARIO!$A$5:$A$404,"&lt;="&amp;DATA_REF))</f>
        <v/>
      </c>
      <c r="V79" s="14">
        <f>IF($T79="","",SUMIFS(ETO_DIARIO!$C$5:$C$404,ETO_DIARIO!$A$5:$A$404,"&gt;"&amp;$T79,ETO_DIARIO!$A$5:$A$404,"&lt;="&amp;DATA_REF))</f>
        <v/>
      </c>
      <c r="W79" s="14">
        <f>IF(OR($S79="",$S79="PENDENTE",$U79=""),"",$S79*$U79)</f>
        <v/>
      </c>
      <c r="X79" s="14">
        <f>IF($W79="","",MAX(0,$W79-N($V79)))</f>
        <v/>
      </c>
      <c r="Y79" s="14">
        <f>IF($X79="","",$X79/EF_APLIC)</f>
        <v/>
      </c>
      <c r="Z79" s="15" t="n">
        <v>110</v>
      </c>
      <c r="AA79" s="16">
        <f>IF(OR($Y79="",$Z79=""),"",$Y79*$Z79*10)</f>
        <v/>
      </c>
      <c r="AB79" s="17" t="n">
        <v>0.513</v>
      </c>
      <c r="AC79" s="16">
        <f>IF(OR($AA79="",$AB79=""),"",$AA79*$AB79)</f>
        <v/>
      </c>
      <c r="AD79" s="18">
        <f>IF($S79="PENDENTE","Definir classe/Kc",IF($Y79="","-",IF($Y79&gt;='PARAMETROS'!$B$7/EF_APLIC,"Irrigar",IF($Y79&gt;='PARAMETROS'!$B$7/EF_APLIC*FRAC_ACOMP,"Acompanhar","Aguardar"))))</f>
        <v/>
      </c>
      <c r="AE79" s="18">
        <f>IF(OR($Y79="",$Y79=0),"-",IF($Y79&gt;=2*'PARAMETROS'!$B$7/EF_APLIC,"Alta",IF($Y79&gt;='PARAMETROS'!$B$7/EF_APLIC,"Media","Baixa")))</f>
        <v/>
      </c>
    </row>
    <row r="80">
      <c r="A80" s="5" t="inlineStr">
        <is>
          <t>Pivô 23</t>
        </is>
      </c>
      <c r="B80" s="5" t="inlineStr">
        <is>
          <t>Karitel</t>
        </is>
      </c>
      <c r="C80" s="5" t="inlineStr">
        <is>
          <t>R6</t>
        </is>
      </c>
      <c r="D80" s="5" t="inlineStr">
        <is>
          <t>Modulo 1</t>
        </is>
      </c>
      <c r="E80" s="5" t="inlineStr">
        <is>
          <t>SOJA</t>
        </is>
      </c>
      <c r="F80" s="6" t="inlineStr">
        <is>
          <t>BMX DOMINIO IPRO</t>
        </is>
      </c>
      <c r="G80" s="7" t="inlineStr">
        <is>
          <t>MÉDIA</t>
        </is>
      </c>
      <c r="H80" s="5" t="inlineStr">
        <is>
          <t>proximo</t>
        </is>
      </c>
      <c r="I80" s="8" t="n">
        <v>46329</v>
      </c>
      <c r="J80" s="9">
        <f>IF($I80="","",DATA_REF-$I80)</f>
        <v/>
      </c>
      <c r="K80" s="9">
        <f>IF($J80="","",MAX(0,$J80-'PARAMETROS'!$B$11))</f>
        <v/>
      </c>
      <c r="L80" s="10">
        <f>IFERROR(INDEX(KC_CURVAS!$C$5:$C$15,MATCH("SOJA|"&amp;$G80,KC_CURVAS!$K$5:$K$15,0)),IFERROR(INDEX(KC_CURVAS!$C$5:$C$15,MATCH("SOJA"&amp;"|",KC_CURVAS!$K$5:$K$15,0)),""))</f>
        <v/>
      </c>
      <c r="M80" s="10">
        <f>IFERROR(INDEX(KC_CURVAS!$D$5:$D$15,MATCH("SOJA|"&amp;$G80,KC_CURVAS!$K$5:$K$15,0)),IFERROR(INDEX(KC_CURVAS!$D$5:$D$15,MATCH("SOJA"&amp;"|",KC_CURVAS!$K$5:$K$15,0)),""))</f>
        <v/>
      </c>
      <c r="N80" s="10">
        <f>IFERROR(INDEX(KC_CURVAS!$E$5:$E$15,MATCH("SOJA|"&amp;$G80,KC_CURVAS!$K$5:$K$15,0)),IFERROR(INDEX(KC_CURVAS!$E$5:$E$15,MATCH("SOJA"&amp;"|",KC_CURVAS!$K$5:$K$15,0)),""))</f>
        <v/>
      </c>
      <c r="O80" s="10">
        <f>IFERROR(INDEX(KC_CURVAS!$F$5:$F$15,MATCH("SOJA|"&amp;$G80,KC_CURVAS!$K$5:$K$15,0)),IFERROR(INDEX(KC_CURVAS!$F$5:$F$15,MATCH("SOJA"&amp;"|",KC_CURVAS!$K$5:$K$15,0)),""))</f>
        <v/>
      </c>
      <c r="P80" s="11">
        <f>IFERROR(INDEX(KC_CURVAS!$G$5:$G$15,MATCH("SOJA|"&amp;$G80,KC_CURVAS!$K$5:$K$15,0)),IFERROR(INDEX(KC_CURVAS!$G$5:$G$15,MATCH("SOJA"&amp;"|",KC_CURVAS!$K$5:$K$15,0)),""))</f>
        <v/>
      </c>
      <c r="Q80" s="11">
        <f>IFERROR(INDEX(KC_CURVAS!$H$5:$H$15,MATCH("SOJA|"&amp;$G80,KC_CURVAS!$K$5:$K$15,0)),IFERROR(INDEX(KC_CURVAS!$H$5:$H$15,MATCH("SOJA"&amp;"|",KC_CURVAS!$K$5:$K$15,0)),""))</f>
        <v/>
      </c>
      <c r="R80" s="11">
        <f>IFERROR(INDEX(KC_CURVAS!$I$5:$I$15,MATCH("SOJA|"&amp;$G80,KC_CURVAS!$K$5:$K$15,0)),IFERROR(INDEX(KC_CURVAS!$I$5:$I$15,MATCH("SOJA"&amp;"|",KC_CURVAS!$K$5:$K$15,0)),""))</f>
        <v/>
      </c>
      <c r="S80" s="12">
        <f>IF(OR($K80="",$L80=""),"PENDENTE",IF($K80&lt;=$L80,$P80,IF($K80&lt;=$L80+$M80,$P80+($Q80-$P80)*($K80-$L80)/$M80,IF($K80&lt;=$L80+$M80+$N80,$Q80,IF($K80&lt;=$L80+$M80+$N80+$O80,$Q80+($R80-$Q80)*($K80-($L80+$M80+$N80))/$O80,$R80)))))</f>
        <v/>
      </c>
      <c r="T80" s="13">
        <f>IF($I80="","",$I80)</f>
        <v/>
      </c>
      <c r="U80" s="14">
        <f>IF($T80="","",SUMIFS(ETO_DIARIO!$B$5:$B$404,ETO_DIARIO!$A$5:$A$404,"&gt;"&amp;$T80,ETO_DIARIO!$A$5:$A$404,"&lt;="&amp;DATA_REF))</f>
        <v/>
      </c>
      <c r="V80" s="14">
        <f>IF($T80="","",SUMIFS(ETO_DIARIO!$C$5:$C$404,ETO_DIARIO!$A$5:$A$404,"&gt;"&amp;$T80,ETO_DIARIO!$A$5:$A$404,"&lt;="&amp;DATA_REF))</f>
        <v/>
      </c>
      <c r="W80" s="14">
        <f>IF(OR($S80="",$S80="PENDENTE",$U80=""),"",$S80*$U80)</f>
        <v/>
      </c>
      <c r="X80" s="14">
        <f>IF($W80="","",MAX(0,$W80-N($V80)))</f>
        <v/>
      </c>
      <c r="Y80" s="14">
        <f>IF($X80="","",$X80/EF_APLIC)</f>
        <v/>
      </c>
      <c r="Z80" s="15" t="n">
        <v>40</v>
      </c>
      <c r="AA80" s="16">
        <f>IF(OR($Y80="",$Z80=""),"",$Y80*$Z80*10)</f>
        <v/>
      </c>
      <c r="AB80" s="17" t="n">
        <v>0.552</v>
      </c>
      <c r="AC80" s="16">
        <f>IF(OR($AA80="",$AB80=""),"",$AA80*$AB80)</f>
        <v/>
      </c>
      <c r="AD80" s="18">
        <f>IF($S80="PENDENTE","Definir classe/Kc",IF($Y80="","-",IF($Y80&gt;='PARAMETROS'!$B$7/EF_APLIC,"Irrigar",IF($Y80&gt;='PARAMETROS'!$B$7/EF_APLIC*FRAC_ACOMP,"Acompanhar","Aguardar"))))</f>
        <v/>
      </c>
      <c r="AE80" s="18">
        <f>IF(OR($Y80="",$Y80=0),"-",IF($Y80&gt;=2*'PARAMETROS'!$B$7/EF_APLIC,"Alta",IF($Y80&gt;='PARAMETROS'!$B$7/EF_APLIC,"Media","Baixa")))</f>
        <v/>
      </c>
    </row>
    <row r="81">
      <c r="A81" s="5" t="inlineStr">
        <is>
          <t>Pivô 24</t>
        </is>
      </c>
      <c r="B81" s="5" t="inlineStr">
        <is>
          <t>Karitel</t>
        </is>
      </c>
      <c r="C81" s="5" t="inlineStr">
        <is>
          <t>R6</t>
        </is>
      </c>
      <c r="D81" s="5" t="inlineStr">
        <is>
          <t>Modulo 1</t>
        </is>
      </c>
      <c r="E81" s="5" t="inlineStr">
        <is>
          <t>SOJA</t>
        </is>
      </c>
      <c r="F81" s="6" t="inlineStr">
        <is>
          <t>BMX DOMINIO IPRO</t>
        </is>
      </c>
      <c r="G81" s="7" t="inlineStr">
        <is>
          <t>MÉDIA</t>
        </is>
      </c>
      <c r="H81" s="5" t="inlineStr">
        <is>
          <t>proximo</t>
        </is>
      </c>
      <c r="I81" s="8" t="n">
        <v>46330</v>
      </c>
      <c r="J81" s="9">
        <f>IF($I81="","",DATA_REF-$I81)</f>
        <v/>
      </c>
      <c r="K81" s="9">
        <f>IF($J81="","",MAX(0,$J81-'PARAMETROS'!$B$11))</f>
        <v/>
      </c>
      <c r="L81" s="10">
        <f>IFERROR(INDEX(KC_CURVAS!$C$5:$C$15,MATCH("SOJA|"&amp;$G81,KC_CURVAS!$K$5:$K$15,0)),IFERROR(INDEX(KC_CURVAS!$C$5:$C$15,MATCH("SOJA"&amp;"|",KC_CURVAS!$K$5:$K$15,0)),""))</f>
        <v/>
      </c>
      <c r="M81" s="10">
        <f>IFERROR(INDEX(KC_CURVAS!$D$5:$D$15,MATCH("SOJA|"&amp;$G81,KC_CURVAS!$K$5:$K$15,0)),IFERROR(INDEX(KC_CURVAS!$D$5:$D$15,MATCH("SOJA"&amp;"|",KC_CURVAS!$K$5:$K$15,0)),""))</f>
        <v/>
      </c>
      <c r="N81" s="10">
        <f>IFERROR(INDEX(KC_CURVAS!$E$5:$E$15,MATCH("SOJA|"&amp;$G81,KC_CURVAS!$K$5:$K$15,0)),IFERROR(INDEX(KC_CURVAS!$E$5:$E$15,MATCH("SOJA"&amp;"|",KC_CURVAS!$K$5:$K$15,0)),""))</f>
        <v/>
      </c>
      <c r="O81" s="10">
        <f>IFERROR(INDEX(KC_CURVAS!$F$5:$F$15,MATCH("SOJA|"&amp;$G81,KC_CURVAS!$K$5:$K$15,0)),IFERROR(INDEX(KC_CURVAS!$F$5:$F$15,MATCH("SOJA"&amp;"|",KC_CURVAS!$K$5:$K$15,0)),""))</f>
        <v/>
      </c>
      <c r="P81" s="11">
        <f>IFERROR(INDEX(KC_CURVAS!$G$5:$G$15,MATCH("SOJA|"&amp;$G81,KC_CURVAS!$K$5:$K$15,0)),IFERROR(INDEX(KC_CURVAS!$G$5:$G$15,MATCH("SOJA"&amp;"|",KC_CURVAS!$K$5:$K$15,0)),""))</f>
        <v/>
      </c>
      <c r="Q81" s="11">
        <f>IFERROR(INDEX(KC_CURVAS!$H$5:$H$15,MATCH("SOJA|"&amp;$G81,KC_CURVAS!$K$5:$K$15,0)),IFERROR(INDEX(KC_CURVAS!$H$5:$H$15,MATCH("SOJA"&amp;"|",KC_CURVAS!$K$5:$K$15,0)),""))</f>
        <v/>
      </c>
      <c r="R81" s="11">
        <f>IFERROR(INDEX(KC_CURVAS!$I$5:$I$15,MATCH("SOJA|"&amp;$G81,KC_CURVAS!$K$5:$K$15,0)),IFERROR(INDEX(KC_CURVAS!$I$5:$I$15,MATCH("SOJA"&amp;"|",KC_CURVAS!$K$5:$K$15,0)),""))</f>
        <v/>
      </c>
      <c r="S81" s="12">
        <f>IF(OR($K81="",$L81=""),"PENDENTE",IF($K81&lt;=$L81,$P81,IF($K81&lt;=$L81+$M81,$P81+($Q81-$P81)*($K81-$L81)/$M81,IF($K81&lt;=$L81+$M81+$N81,$Q81,IF($K81&lt;=$L81+$M81+$N81+$O81,$Q81+($R81-$Q81)*($K81-($L81+$M81+$N81))/$O81,$R81)))))</f>
        <v/>
      </c>
      <c r="T81" s="13">
        <f>IF($I81="","",$I81)</f>
        <v/>
      </c>
      <c r="U81" s="14">
        <f>IF($T81="","",SUMIFS(ETO_DIARIO!$B$5:$B$404,ETO_DIARIO!$A$5:$A$404,"&gt;"&amp;$T81,ETO_DIARIO!$A$5:$A$404,"&lt;="&amp;DATA_REF))</f>
        <v/>
      </c>
      <c r="V81" s="14">
        <f>IF($T81="","",SUMIFS(ETO_DIARIO!$C$5:$C$404,ETO_DIARIO!$A$5:$A$404,"&gt;"&amp;$T81,ETO_DIARIO!$A$5:$A$404,"&lt;="&amp;DATA_REF))</f>
        <v/>
      </c>
      <c r="W81" s="14">
        <f>IF(OR($S81="",$S81="PENDENTE",$U81=""),"",$S81*$U81)</f>
        <v/>
      </c>
      <c r="X81" s="14">
        <f>IF($W81="","",MAX(0,$W81-N($V81)))</f>
        <v/>
      </c>
      <c r="Y81" s="14">
        <f>IF($X81="","",$X81/EF_APLIC)</f>
        <v/>
      </c>
      <c r="Z81" s="15" t="n">
        <v>59</v>
      </c>
      <c r="AA81" s="16">
        <f>IF(OR($Y81="",$Z81=""),"",$Y81*$Z81*10)</f>
        <v/>
      </c>
      <c r="AB81" s="17" t="n">
        <v>0.5659999999999999</v>
      </c>
      <c r="AC81" s="16">
        <f>IF(OR($AA81="",$AB81=""),"",$AA81*$AB81)</f>
        <v/>
      </c>
      <c r="AD81" s="18">
        <f>IF($S81="PENDENTE","Definir classe/Kc",IF($Y81="","-",IF($Y81&gt;='PARAMETROS'!$B$7/EF_APLIC,"Irrigar",IF($Y81&gt;='PARAMETROS'!$B$7/EF_APLIC*FRAC_ACOMP,"Acompanhar","Aguardar"))))</f>
        <v/>
      </c>
      <c r="AE81" s="18">
        <f>IF(OR($Y81="",$Y81=0),"-",IF($Y81&gt;=2*'PARAMETROS'!$B$7/EF_APLIC,"Alta",IF($Y81&gt;='PARAMETROS'!$B$7/EF_APLIC,"Media","Baixa")))</f>
        <v/>
      </c>
    </row>
    <row r="82">
      <c r="A82" s="5" t="inlineStr">
        <is>
          <t>Pivô 25</t>
        </is>
      </c>
      <c r="B82" s="5" t="inlineStr">
        <is>
          <t>Karitel</t>
        </is>
      </c>
      <c r="C82" s="5" t="inlineStr">
        <is>
          <t>R7</t>
        </is>
      </c>
      <c r="D82" s="5" t="inlineStr">
        <is>
          <t>Modulo 1</t>
        </is>
      </c>
      <c r="E82" s="5" t="inlineStr">
        <is>
          <t>SOJA</t>
        </is>
      </c>
      <c r="F82" s="6" t="inlineStr">
        <is>
          <t>BMX DOMINIO IPRO</t>
        </is>
      </c>
      <c r="G82" s="7" t="inlineStr">
        <is>
          <t>MÉDIA</t>
        </is>
      </c>
      <c r="H82" s="5" t="inlineStr">
        <is>
          <t>proximo</t>
        </is>
      </c>
      <c r="I82" s="8" t="n">
        <v>46330</v>
      </c>
      <c r="J82" s="9">
        <f>IF($I82="","",DATA_REF-$I82)</f>
        <v/>
      </c>
      <c r="K82" s="9">
        <f>IF($J82="","",MAX(0,$J82-'PARAMETROS'!$B$11))</f>
        <v/>
      </c>
      <c r="L82" s="10">
        <f>IFERROR(INDEX(KC_CURVAS!$C$5:$C$15,MATCH("SOJA|"&amp;$G82,KC_CURVAS!$K$5:$K$15,0)),IFERROR(INDEX(KC_CURVAS!$C$5:$C$15,MATCH("SOJA"&amp;"|",KC_CURVAS!$K$5:$K$15,0)),""))</f>
        <v/>
      </c>
      <c r="M82" s="10">
        <f>IFERROR(INDEX(KC_CURVAS!$D$5:$D$15,MATCH("SOJA|"&amp;$G82,KC_CURVAS!$K$5:$K$15,0)),IFERROR(INDEX(KC_CURVAS!$D$5:$D$15,MATCH("SOJA"&amp;"|",KC_CURVAS!$K$5:$K$15,0)),""))</f>
        <v/>
      </c>
      <c r="N82" s="10">
        <f>IFERROR(INDEX(KC_CURVAS!$E$5:$E$15,MATCH("SOJA|"&amp;$G82,KC_CURVAS!$K$5:$K$15,0)),IFERROR(INDEX(KC_CURVAS!$E$5:$E$15,MATCH("SOJA"&amp;"|",KC_CURVAS!$K$5:$K$15,0)),""))</f>
        <v/>
      </c>
      <c r="O82" s="10">
        <f>IFERROR(INDEX(KC_CURVAS!$F$5:$F$15,MATCH("SOJA|"&amp;$G82,KC_CURVAS!$K$5:$K$15,0)),IFERROR(INDEX(KC_CURVAS!$F$5:$F$15,MATCH("SOJA"&amp;"|",KC_CURVAS!$K$5:$K$15,0)),""))</f>
        <v/>
      </c>
      <c r="P82" s="11">
        <f>IFERROR(INDEX(KC_CURVAS!$G$5:$G$15,MATCH("SOJA|"&amp;$G82,KC_CURVAS!$K$5:$K$15,0)),IFERROR(INDEX(KC_CURVAS!$G$5:$G$15,MATCH("SOJA"&amp;"|",KC_CURVAS!$K$5:$K$15,0)),""))</f>
        <v/>
      </c>
      <c r="Q82" s="11">
        <f>IFERROR(INDEX(KC_CURVAS!$H$5:$H$15,MATCH("SOJA|"&amp;$G82,KC_CURVAS!$K$5:$K$15,0)),IFERROR(INDEX(KC_CURVAS!$H$5:$H$15,MATCH("SOJA"&amp;"|",KC_CURVAS!$K$5:$K$15,0)),""))</f>
        <v/>
      </c>
      <c r="R82" s="11">
        <f>IFERROR(INDEX(KC_CURVAS!$I$5:$I$15,MATCH("SOJA|"&amp;$G82,KC_CURVAS!$K$5:$K$15,0)),IFERROR(INDEX(KC_CURVAS!$I$5:$I$15,MATCH("SOJA"&amp;"|",KC_CURVAS!$K$5:$K$15,0)),""))</f>
        <v/>
      </c>
      <c r="S82" s="12">
        <f>IF(OR($K82="",$L82=""),"PENDENTE",IF($K82&lt;=$L82,$P82,IF($K82&lt;=$L82+$M82,$P82+($Q82-$P82)*($K82-$L82)/$M82,IF($K82&lt;=$L82+$M82+$N82,$Q82,IF($K82&lt;=$L82+$M82+$N82+$O82,$Q82+($R82-$Q82)*($K82-($L82+$M82+$N82))/$O82,$R82)))))</f>
        <v/>
      </c>
      <c r="T82" s="13">
        <f>IF($I82="","",$I82)</f>
        <v/>
      </c>
      <c r="U82" s="14">
        <f>IF($T82="","",SUMIFS(ETO_DIARIO!$B$5:$B$404,ETO_DIARIO!$A$5:$A$404,"&gt;"&amp;$T82,ETO_DIARIO!$A$5:$A$404,"&lt;="&amp;DATA_REF))</f>
        <v/>
      </c>
      <c r="V82" s="14">
        <f>IF($T82="","",SUMIFS(ETO_DIARIO!$C$5:$C$404,ETO_DIARIO!$A$5:$A$404,"&gt;"&amp;$T82,ETO_DIARIO!$A$5:$A$404,"&lt;="&amp;DATA_REF))</f>
        <v/>
      </c>
      <c r="W82" s="14">
        <f>IF(OR($S82="",$S82="PENDENTE",$U82=""),"",$S82*$U82)</f>
        <v/>
      </c>
      <c r="X82" s="14">
        <f>IF($W82="","",MAX(0,$W82-N($V82)))</f>
        <v/>
      </c>
      <c r="Y82" s="14">
        <f>IF($X82="","",$X82/EF_APLIC)</f>
        <v/>
      </c>
      <c r="Z82" s="15" t="n">
        <v>171</v>
      </c>
      <c r="AA82" s="16">
        <f>IF(OR($Y82="",$Z82=""),"",$Y82*$Z82*10)</f>
        <v/>
      </c>
      <c r="AB82" s="17" t="n">
        <v>0.462</v>
      </c>
      <c r="AC82" s="16">
        <f>IF(OR($AA82="",$AB82=""),"",$AA82*$AB82)</f>
        <v/>
      </c>
      <c r="AD82" s="18">
        <f>IF($S82="PENDENTE","Definir classe/Kc",IF($Y82="","-",IF($Y82&gt;='PARAMETROS'!$B$7/EF_APLIC,"Irrigar",IF($Y82&gt;='PARAMETROS'!$B$7/EF_APLIC*FRAC_ACOMP,"Acompanhar","Aguardar"))))</f>
        <v/>
      </c>
      <c r="AE82" s="18">
        <f>IF(OR($Y82="",$Y82=0),"-",IF($Y82&gt;=2*'PARAMETROS'!$B$7/EF_APLIC,"Alta",IF($Y82&gt;='PARAMETROS'!$B$7/EF_APLIC,"Media","Baixa")))</f>
        <v/>
      </c>
    </row>
    <row r="83">
      <c r="A83" s="5" t="inlineStr">
        <is>
          <t>Pivô 25</t>
        </is>
      </c>
      <c r="B83" s="5" t="inlineStr">
        <is>
          <t>Karitel</t>
        </is>
      </c>
      <c r="C83" s="5" t="inlineStr">
        <is>
          <t>R7</t>
        </is>
      </c>
      <c r="D83" s="5" t="inlineStr">
        <is>
          <t>Modulo 1</t>
        </is>
      </c>
      <c r="E83" s="5" t="inlineStr">
        <is>
          <t>SOJA</t>
        </is>
      </c>
      <c r="F83" s="6" t="inlineStr">
        <is>
          <t>BMX DOMINIO IPRO</t>
        </is>
      </c>
      <c r="G83" s="7" t="inlineStr">
        <is>
          <t>MÉDIA</t>
        </is>
      </c>
      <c r="H83" s="5" t="inlineStr">
        <is>
          <t>proximo</t>
        </is>
      </c>
      <c r="I83" s="8" t="n">
        <v>46330</v>
      </c>
      <c r="J83" s="9">
        <f>IF($I83="","",DATA_REF-$I83)</f>
        <v/>
      </c>
      <c r="K83" s="9">
        <f>IF($J83="","",MAX(0,$J83-'PARAMETROS'!$B$11))</f>
        <v/>
      </c>
      <c r="L83" s="10">
        <f>IFERROR(INDEX(KC_CURVAS!$C$5:$C$15,MATCH("SOJA|"&amp;$G83,KC_CURVAS!$K$5:$K$15,0)),IFERROR(INDEX(KC_CURVAS!$C$5:$C$15,MATCH("SOJA"&amp;"|",KC_CURVAS!$K$5:$K$15,0)),""))</f>
        <v/>
      </c>
      <c r="M83" s="10">
        <f>IFERROR(INDEX(KC_CURVAS!$D$5:$D$15,MATCH("SOJA|"&amp;$G83,KC_CURVAS!$K$5:$K$15,0)),IFERROR(INDEX(KC_CURVAS!$D$5:$D$15,MATCH("SOJA"&amp;"|",KC_CURVAS!$K$5:$K$15,0)),""))</f>
        <v/>
      </c>
      <c r="N83" s="10">
        <f>IFERROR(INDEX(KC_CURVAS!$E$5:$E$15,MATCH("SOJA|"&amp;$G83,KC_CURVAS!$K$5:$K$15,0)),IFERROR(INDEX(KC_CURVAS!$E$5:$E$15,MATCH("SOJA"&amp;"|",KC_CURVAS!$K$5:$K$15,0)),""))</f>
        <v/>
      </c>
      <c r="O83" s="10">
        <f>IFERROR(INDEX(KC_CURVAS!$F$5:$F$15,MATCH("SOJA|"&amp;$G83,KC_CURVAS!$K$5:$K$15,0)),IFERROR(INDEX(KC_CURVAS!$F$5:$F$15,MATCH("SOJA"&amp;"|",KC_CURVAS!$K$5:$K$15,0)),""))</f>
        <v/>
      </c>
      <c r="P83" s="11">
        <f>IFERROR(INDEX(KC_CURVAS!$G$5:$G$15,MATCH("SOJA|"&amp;$G83,KC_CURVAS!$K$5:$K$15,0)),IFERROR(INDEX(KC_CURVAS!$G$5:$G$15,MATCH("SOJA"&amp;"|",KC_CURVAS!$K$5:$K$15,0)),""))</f>
        <v/>
      </c>
      <c r="Q83" s="11">
        <f>IFERROR(INDEX(KC_CURVAS!$H$5:$H$15,MATCH("SOJA|"&amp;$G83,KC_CURVAS!$K$5:$K$15,0)),IFERROR(INDEX(KC_CURVAS!$H$5:$H$15,MATCH("SOJA"&amp;"|",KC_CURVAS!$K$5:$K$15,0)),""))</f>
        <v/>
      </c>
      <c r="R83" s="11">
        <f>IFERROR(INDEX(KC_CURVAS!$I$5:$I$15,MATCH("SOJA|"&amp;$G83,KC_CURVAS!$K$5:$K$15,0)),IFERROR(INDEX(KC_CURVAS!$I$5:$I$15,MATCH("SOJA"&amp;"|",KC_CURVAS!$K$5:$K$15,0)),""))</f>
        <v/>
      </c>
      <c r="S83" s="12">
        <f>IF(OR($K83="",$L83=""),"PENDENTE",IF($K83&lt;=$L83,$P83,IF($K83&lt;=$L83+$M83,$P83+($Q83-$P83)*($K83-$L83)/$M83,IF($K83&lt;=$L83+$M83+$N83,$Q83,IF($K83&lt;=$L83+$M83+$N83+$O83,$Q83+($R83-$Q83)*($K83-($L83+$M83+$N83))/$O83,$R83)))))</f>
        <v/>
      </c>
      <c r="T83" s="13">
        <f>IF($I83="","",$I83)</f>
        <v/>
      </c>
      <c r="U83" s="14">
        <f>IF($T83="","",SUMIFS(ETO_DIARIO!$B$5:$B$404,ETO_DIARIO!$A$5:$A$404,"&gt;"&amp;$T83,ETO_DIARIO!$A$5:$A$404,"&lt;="&amp;DATA_REF))</f>
        <v/>
      </c>
      <c r="V83" s="14">
        <f>IF($T83="","",SUMIFS(ETO_DIARIO!$C$5:$C$404,ETO_DIARIO!$A$5:$A$404,"&gt;"&amp;$T83,ETO_DIARIO!$A$5:$A$404,"&lt;="&amp;DATA_REF))</f>
        <v/>
      </c>
      <c r="W83" s="14">
        <f>IF(OR($S83="",$S83="PENDENTE",$U83=""),"",$S83*$U83)</f>
        <v/>
      </c>
      <c r="X83" s="14">
        <f>IF($W83="","",MAX(0,$W83-N($V83)))</f>
        <v/>
      </c>
      <c r="Y83" s="14">
        <f>IF($X83="","",$X83/EF_APLIC)</f>
        <v/>
      </c>
      <c r="Z83" s="15" t="n">
        <v>171</v>
      </c>
      <c r="AA83" s="16">
        <f>IF(OR($Y83="",$Z83=""),"",$Y83*$Z83*10)</f>
        <v/>
      </c>
      <c r="AB83" s="17" t="n">
        <v>0.462</v>
      </c>
      <c r="AC83" s="16">
        <f>IF(OR($AA83="",$AB83=""),"",$AA83*$AB83)</f>
        <v/>
      </c>
      <c r="AD83" s="18">
        <f>IF($S83="PENDENTE","Definir classe/Kc",IF($Y83="","-",IF($Y83&gt;='PARAMETROS'!$B$7/EF_APLIC,"Irrigar",IF($Y83&gt;='PARAMETROS'!$B$7/EF_APLIC*FRAC_ACOMP,"Acompanhar","Aguardar"))))</f>
        <v/>
      </c>
      <c r="AE83" s="18">
        <f>IF(OR($Y83="",$Y83=0),"-",IF($Y83&gt;=2*'PARAMETROS'!$B$7/EF_APLIC,"Alta",IF($Y83&gt;='PARAMETROS'!$B$7/EF_APLIC,"Media","Baixa")))</f>
        <v/>
      </c>
    </row>
    <row r="84">
      <c r="A84" s="5" t="inlineStr">
        <is>
          <t>Pivô 27</t>
        </is>
      </c>
      <c r="B84" s="5" t="inlineStr">
        <is>
          <t>Karitel</t>
        </is>
      </c>
      <c r="C84" s="5" t="inlineStr">
        <is>
          <t>R7</t>
        </is>
      </c>
      <c r="D84" s="5" t="inlineStr">
        <is>
          <t>Modulo 1</t>
        </is>
      </c>
      <c r="E84" s="5" t="inlineStr">
        <is>
          <t>SOJA</t>
        </is>
      </c>
      <c r="F84" s="6" t="inlineStr">
        <is>
          <t>BMX DOMINIO IPRO</t>
        </is>
      </c>
      <c r="G84" s="7" t="inlineStr">
        <is>
          <t>MÉDIA</t>
        </is>
      </c>
      <c r="H84" s="5" t="inlineStr">
        <is>
          <t>proximo</t>
        </is>
      </c>
      <c r="I84" s="8" t="n">
        <v>46330</v>
      </c>
      <c r="J84" s="9">
        <f>IF($I84="","",DATA_REF-$I84)</f>
        <v/>
      </c>
      <c r="K84" s="9">
        <f>IF($J84="","",MAX(0,$J84-'PARAMETROS'!$B$11))</f>
        <v/>
      </c>
      <c r="L84" s="10">
        <f>IFERROR(INDEX(KC_CURVAS!$C$5:$C$15,MATCH("SOJA|"&amp;$G84,KC_CURVAS!$K$5:$K$15,0)),IFERROR(INDEX(KC_CURVAS!$C$5:$C$15,MATCH("SOJA"&amp;"|",KC_CURVAS!$K$5:$K$15,0)),""))</f>
        <v/>
      </c>
      <c r="M84" s="10">
        <f>IFERROR(INDEX(KC_CURVAS!$D$5:$D$15,MATCH("SOJA|"&amp;$G84,KC_CURVAS!$K$5:$K$15,0)),IFERROR(INDEX(KC_CURVAS!$D$5:$D$15,MATCH("SOJA"&amp;"|",KC_CURVAS!$K$5:$K$15,0)),""))</f>
        <v/>
      </c>
      <c r="N84" s="10">
        <f>IFERROR(INDEX(KC_CURVAS!$E$5:$E$15,MATCH("SOJA|"&amp;$G84,KC_CURVAS!$K$5:$K$15,0)),IFERROR(INDEX(KC_CURVAS!$E$5:$E$15,MATCH("SOJA"&amp;"|",KC_CURVAS!$K$5:$K$15,0)),""))</f>
        <v/>
      </c>
      <c r="O84" s="10">
        <f>IFERROR(INDEX(KC_CURVAS!$F$5:$F$15,MATCH("SOJA|"&amp;$G84,KC_CURVAS!$K$5:$K$15,0)),IFERROR(INDEX(KC_CURVAS!$F$5:$F$15,MATCH("SOJA"&amp;"|",KC_CURVAS!$K$5:$K$15,0)),""))</f>
        <v/>
      </c>
      <c r="P84" s="11">
        <f>IFERROR(INDEX(KC_CURVAS!$G$5:$G$15,MATCH("SOJA|"&amp;$G84,KC_CURVAS!$K$5:$K$15,0)),IFERROR(INDEX(KC_CURVAS!$G$5:$G$15,MATCH("SOJA"&amp;"|",KC_CURVAS!$K$5:$K$15,0)),""))</f>
        <v/>
      </c>
      <c r="Q84" s="11">
        <f>IFERROR(INDEX(KC_CURVAS!$H$5:$H$15,MATCH("SOJA|"&amp;$G84,KC_CURVAS!$K$5:$K$15,0)),IFERROR(INDEX(KC_CURVAS!$H$5:$H$15,MATCH("SOJA"&amp;"|",KC_CURVAS!$K$5:$K$15,0)),""))</f>
        <v/>
      </c>
      <c r="R84" s="11">
        <f>IFERROR(INDEX(KC_CURVAS!$I$5:$I$15,MATCH("SOJA|"&amp;$G84,KC_CURVAS!$K$5:$K$15,0)),IFERROR(INDEX(KC_CURVAS!$I$5:$I$15,MATCH("SOJA"&amp;"|",KC_CURVAS!$K$5:$K$15,0)),""))</f>
        <v/>
      </c>
      <c r="S84" s="12">
        <f>IF(OR($K84="",$L84=""),"PENDENTE",IF($K84&lt;=$L84,$P84,IF($K84&lt;=$L84+$M84,$P84+($Q84-$P84)*($K84-$L84)/$M84,IF($K84&lt;=$L84+$M84+$N84,$Q84,IF($K84&lt;=$L84+$M84+$N84+$O84,$Q84+($R84-$Q84)*($K84-($L84+$M84+$N84))/$O84,$R84)))))</f>
        <v/>
      </c>
      <c r="T84" s="13">
        <f>IF($I84="","",$I84)</f>
        <v/>
      </c>
      <c r="U84" s="14">
        <f>IF($T84="","",SUMIFS(ETO_DIARIO!$B$5:$B$404,ETO_DIARIO!$A$5:$A$404,"&gt;"&amp;$T84,ETO_DIARIO!$A$5:$A$404,"&lt;="&amp;DATA_REF))</f>
        <v/>
      </c>
      <c r="V84" s="14">
        <f>IF($T84="","",SUMIFS(ETO_DIARIO!$C$5:$C$404,ETO_DIARIO!$A$5:$A$404,"&gt;"&amp;$T84,ETO_DIARIO!$A$5:$A$404,"&lt;="&amp;DATA_REF))</f>
        <v/>
      </c>
      <c r="W84" s="14">
        <f>IF(OR($S84="",$S84="PENDENTE",$U84=""),"",$S84*$U84)</f>
        <v/>
      </c>
      <c r="X84" s="14">
        <f>IF($W84="","",MAX(0,$W84-N($V84)))</f>
        <v/>
      </c>
      <c r="Y84" s="14">
        <f>IF($X84="","",$X84/EF_APLIC)</f>
        <v/>
      </c>
      <c r="Z84" s="15" t="n">
        <v>313</v>
      </c>
      <c r="AA84" s="16">
        <f>IF(OR($Y84="",$Z84=""),"",$Y84*$Z84*10)</f>
        <v/>
      </c>
      <c r="AB84" s="17" t="n">
        <v>0.463</v>
      </c>
      <c r="AC84" s="16">
        <f>IF(OR($AA84="",$AB84=""),"",$AA84*$AB84)</f>
        <v/>
      </c>
      <c r="AD84" s="18">
        <f>IF($S84="PENDENTE","Definir classe/Kc",IF($Y84="","-",IF($Y84&gt;='PARAMETROS'!$B$7/EF_APLIC,"Irrigar",IF($Y84&gt;='PARAMETROS'!$B$7/EF_APLIC*FRAC_ACOMP,"Acompanhar","Aguardar"))))</f>
        <v/>
      </c>
      <c r="AE84" s="18">
        <f>IF(OR($Y84="",$Y84=0),"-",IF($Y84&gt;=2*'PARAMETROS'!$B$7/EF_APLIC,"Alta",IF($Y84&gt;='PARAMETROS'!$B$7/EF_APLIC,"Media","Baixa")))</f>
        <v/>
      </c>
    </row>
    <row r="85">
      <c r="A85" s="5" t="inlineStr">
        <is>
          <t>Pivô 01</t>
        </is>
      </c>
      <c r="B85" s="5" t="inlineStr">
        <is>
          <t>Rdm</t>
        </is>
      </c>
      <c r="C85" s="5" t="inlineStr">
        <is>
          <t>R0</t>
        </is>
      </c>
      <c r="D85" s="5" t="inlineStr">
        <is>
          <t>Modulo 1</t>
        </is>
      </c>
      <c r="E85" s="5" t="inlineStr">
        <is>
          <t>SOJA</t>
        </is>
      </c>
      <c r="F85" s="6" t="inlineStr">
        <is>
          <t>BMX DOMINIO IPRO</t>
        </is>
      </c>
      <c r="G85" s="7" t="inlineStr">
        <is>
          <t>MÉDIA</t>
        </is>
      </c>
      <c r="H85" s="5" t="inlineStr">
        <is>
          <t>proximo</t>
        </is>
      </c>
      <c r="I85" s="8" t="n">
        <v>46331</v>
      </c>
      <c r="J85" s="9">
        <f>IF($I85="","",DATA_REF-$I85)</f>
        <v/>
      </c>
      <c r="K85" s="9">
        <f>IF($J85="","",MAX(0,$J85-'PARAMETROS'!$B$11))</f>
        <v/>
      </c>
      <c r="L85" s="10">
        <f>IFERROR(INDEX(KC_CURVAS!$C$5:$C$15,MATCH("SOJA|"&amp;$G85,KC_CURVAS!$K$5:$K$15,0)),IFERROR(INDEX(KC_CURVAS!$C$5:$C$15,MATCH("SOJA"&amp;"|",KC_CURVAS!$K$5:$K$15,0)),""))</f>
        <v/>
      </c>
      <c r="M85" s="10">
        <f>IFERROR(INDEX(KC_CURVAS!$D$5:$D$15,MATCH("SOJA|"&amp;$G85,KC_CURVAS!$K$5:$K$15,0)),IFERROR(INDEX(KC_CURVAS!$D$5:$D$15,MATCH("SOJA"&amp;"|",KC_CURVAS!$K$5:$K$15,0)),""))</f>
        <v/>
      </c>
      <c r="N85" s="10">
        <f>IFERROR(INDEX(KC_CURVAS!$E$5:$E$15,MATCH("SOJA|"&amp;$G85,KC_CURVAS!$K$5:$K$15,0)),IFERROR(INDEX(KC_CURVAS!$E$5:$E$15,MATCH("SOJA"&amp;"|",KC_CURVAS!$K$5:$K$15,0)),""))</f>
        <v/>
      </c>
      <c r="O85" s="10">
        <f>IFERROR(INDEX(KC_CURVAS!$F$5:$F$15,MATCH("SOJA|"&amp;$G85,KC_CURVAS!$K$5:$K$15,0)),IFERROR(INDEX(KC_CURVAS!$F$5:$F$15,MATCH("SOJA"&amp;"|",KC_CURVAS!$K$5:$K$15,0)),""))</f>
        <v/>
      </c>
      <c r="P85" s="11">
        <f>IFERROR(INDEX(KC_CURVAS!$G$5:$G$15,MATCH("SOJA|"&amp;$G85,KC_CURVAS!$K$5:$K$15,0)),IFERROR(INDEX(KC_CURVAS!$G$5:$G$15,MATCH("SOJA"&amp;"|",KC_CURVAS!$K$5:$K$15,0)),""))</f>
        <v/>
      </c>
      <c r="Q85" s="11">
        <f>IFERROR(INDEX(KC_CURVAS!$H$5:$H$15,MATCH("SOJA|"&amp;$G85,KC_CURVAS!$K$5:$K$15,0)),IFERROR(INDEX(KC_CURVAS!$H$5:$H$15,MATCH("SOJA"&amp;"|",KC_CURVAS!$K$5:$K$15,0)),""))</f>
        <v/>
      </c>
      <c r="R85" s="11">
        <f>IFERROR(INDEX(KC_CURVAS!$I$5:$I$15,MATCH("SOJA|"&amp;$G85,KC_CURVAS!$K$5:$K$15,0)),IFERROR(INDEX(KC_CURVAS!$I$5:$I$15,MATCH("SOJA"&amp;"|",KC_CURVAS!$K$5:$K$15,0)),""))</f>
        <v/>
      </c>
      <c r="S85" s="12">
        <f>IF(OR($K85="",$L85=""),"PENDENTE",IF($K85&lt;=$L85,$P85,IF($K85&lt;=$L85+$M85,$P85+($Q85-$P85)*($K85-$L85)/$M85,IF($K85&lt;=$L85+$M85+$N85,$Q85,IF($K85&lt;=$L85+$M85+$N85+$O85,$Q85+($R85-$Q85)*($K85-($L85+$M85+$N85))/$O85,$R85)))))</f>
        <v/>
      </c>
      <c r="T85" s="13">
        <f>IF($I85="","",$I85)</f>
        <v/>
      </c>
      <c r="U85" s="14">
        <f>IF($T85="","",SUMIFS(ETO_DIARIO!$B$5:$B$404,ETO_DIARIO!$A$5:$A$404,"&gt;"&amp;$T85,ETO_DIARIO!$A$5:$A$404,"&lt;="&amp;DATA_REF))</f>
        <v/>
      </c>
      <c r="V85" s="14">
        <f>IF($T85="","",SUMIFS(ETO_DIARIO!$C$5:$C$404,ETO_DIARIO!$A$5:$A$404,"&gt;"&amp;$T85,ETO_DIARIO!$A$5:$A$404,"&lt;="&amp;DATA_REF))</f>
        <v/>
      </c>
      <c r="W85" s="14">
        <f>IF(OR($S85="",$S85="PENDENTE",$U85=""),"",$S85*$U85)</f>
        <v/>
      </c>
      <c r="X85" s="14">
        <f>IF($W85="","",MAX(0,$W85-N($V85)))</f>
        <v/>
      </c>
      <c r="Y85" s="14">
        <f>IF($X85="","",$X85/EF_APLIC)</f>
        <v/>
      </c>
      <c r="Z85" s="15" t="n">
        <v>71</v>
      </c>
      <c r="AA85" s="16">
        <f>IF(OR($Y85="",$Z85=""),"",$Y85*$Z85*10)</f>
        <v/>
      </c>
      <c r="AB85" s="17" t="n">
        <v>0.638</v>
      </c>
      <c r="AC85" s="16">
        <f>IF(OR($AA85="",$AB85=""),"",$AA85*$AB85)</f>
        <v/>
      </c>
      <c r="AD85" s="18">
        <f>IF($S85="PENDENTE","Definir classe/Kc",IF($Y85="","-",IF($Y85&gt;='PARAMETROS'!$B$7/EF_APLIC,"Irrigar",IF($Y85&gt;='PARAMETROS'!$B$7/EF_APLIC*FRAC_ACOMP,"Acompanhar","Aguardar"))))</f>
        <v/>
      </c>
      <c r="AE85" s="18">
        <f>IF(OR($Y85="",$Y85=0),"-",IF($Y85&gt;=2*'PARAMETROS'!$B$7/EF_APLIC,"Alta",IF($Y85&gt;='PARAMETROS'!$B$7/EF_APLIC,"Media","Baixa")))</f>
        <v/>
      </c>
    </row>
    <row r="86">
      <c r="A86" s="5" t="inlineStr">
        <is>
          <t>Pivô 02</t>
        </is>
      </c>
      <c r="B86" s="5" t="inlineStr">
        <is>
          <t>Rdm</t>
        </is>
      </c>
      <c r="C86" s="5" t="inlineStr">
        <is>
          <t>R0</t>
        </is>
      </c>
      <c r="D86" s="5" t="inlineStr">
        <is>
          <t>Modulo 1</t>
        </is>
      </c>
      <c r="E86" s="5" t="inlineStr">
        <is>
          <t>SOJA</t>
        </is>
      </c>
      <c r="F86" s="6" t="inlineStr">
        <is>
          <t>BMX DOMINIO IPRO</t>
        </is>
      </c>
      <c r="G86" s="7" t="inlineStr">
        <is>
          <t>MÉDIA</t>
        </is>
      </c>
      <c r="H86" s="5" t="inlineStr">
        <is>
          <t>proximo</t>
        </is>
      </c>
      <c r="I86" s="8" t="n">
        <v>46331</v>
      </c>
      <c r="J86" s="9">
        <f>IF($I86="","",DATA_REF-$I86)</f>
        <v/>
      </c>
      <c r="K86" s="9">
        <f>IF($J86="","",MAX(0,$J86-'PARAMETROS'!$B$11))</f>
        <v/>
      </c>
      <c r="L86" s="10">
        <f>IFERROR(INDEX(KC_CURVAS!$C$5:$C$15,MATCH("SOJA|"&amp;$G86,KC_CURVAS!$K$5:$K$15,0)),IFERROR(INDEX(KC_CURVAS!$C$5:$C$15,MATCH("SOJA"&amp;"|",KC_CURVAS!$K$5:$K$15,0)),""))</f>
        <v/>
      </c>
      <c r="M86" s="10">
        <f>IFERROR(INDEX(KC_CURVAS!$D$5:$D$15,MATCH("SOJA|"&amp;$G86,KC_CURVAS!$K$5:$K$15,0)),IFERROR(INDEX(KC_CURVAS!$D$5:$D$15,MATCH("SOJA"&amp;"|",KC_CURVAS!$K$5:$K$15,0)),""))</f>
        <v/>
      </c>
      <c r="N86" s="10">
        <f>IFERROR(INDEX(KC_CURVAS!$E$5:$E$15,MATCH("SOJA|"&amp;$G86,KC_CURVAS!$K$5:$K$15,0)),IFERROR(INDEX(KC_CURVAS!$E$5:$E$15,MATCH("SOJA"&amp;"|",KC_CURVAS!$K$5:$K$15,0)),""))</f>
        <v/>
      </c>
      <c r="O86" s="10">
        <f>IFERROR(INDEX(KC_CURVAS!$F$5:$F$15,MATCH("SOJA|"&amp;$G86,KC_CURVAS!$K$5:$K$15,0)),IFERROR(INDEX(KC_CURVAS!$F$5:$F$15,MATCH("SOJA"&amp;"|",KC_CURVAS!$K$5:$K$15,0)),""))</f>
        <v/>
      </c>
      <c r="P86" s="11">
        <f>IFERROR(INDEX(KC_CURVAS!$G$5:$G$15,MATCH("SOJA|"&amp;$G86,KC_CURVAS!$K$5:$K$15,0)),IFERROR(INDEX(KC_CURVAS!$G$5:$G$15,MATCH("SOJA"&amp;"|",KC_CURVAS!$K$5:$K$15,0)),""))</f>
        <v/>
      </c>
      <c r="Q86" s="11">
        <f>IFERROR(INDEX(KC_CURVAS!$H$5:$H$15,MATCH("SOJA|"&amp;$G86,KC_CURVAS!$K$5:$K$15,0)),IFERROR(INDEX(KC_CURVAS!$H$5:$H$15,MATCH("SOJA"&amp;"|",KC_CURVAS!$K$5:$K$15,0)),""))</f>
        <v/>
      </c>
      <c r="R86" s="11">
        <f>IFERROR(INDEX(KC_CURVAS!$I$5:$I$15,MATCH("SOJA|"&amp;$G86,KC_CURVAS!$K$5:$K$15,0)),IFERROR(INDEX(KC_CURVAS!$I$5:$I$15,MATCH("SOJA"&amp;"|",KC_CURVAS!$K$5:$K$15,0)),""))</f>
        <v/>
      </c>
      <c r="S86" s="12">
        <f>IF(OR($K86="",$L86=""),"PENDENTE",IF($K86&lt;=$L86,$P86,IF($K86&lt;=$L86+$M86,$P86+($Q86-$P86)*($K86-$L86)/$M86,IF($K86&lt;=$L86+$M86+$N86,$Q86,IF($K86&lt;=$L86+$M86+$N86+$O86,$Q86+($R86-$Q86)*($K86-($L86+$M86+$N86))/$O86,$R86)))))</f>
        <v/>
      </c>
      <c r="T86" s="13">
        <f>IF($I86="","",$I86)</f>
        <v/>
      </c>
      <c r="U86" s="14">
        <f>IF($T86="","",SUMIFS(ETO_DIARIO!$B$5:$B$404,ETO_DIARIO!$A$5:$A$404,"&gt;"&amp;$T86,ETO_DIARIO!$A$5:$A$404,"&lt;="&amp;DATA_REF))</f>
        <v/>
      </c>
      <c r="V86" s="14">
        <f>IF($T86="","",SUMIFS(ETO_DIARIO!$C$5:$C$404,ETO_DIARIO!$A$5:$A$404,"&gt;"&amp;$T86,ETO_DIARIO!$A$5:$A$404,"&lt;="&amp;DATA_REF))</f>
        <v/>
      </c>
      <c r="W86" s="14">
        <f>IF(OR($S86="",$S86="PENDENTE",$U86=""),"",$S86*$U86)</f>
        <v/>
      </c>
      <c r="X86" s="14">
        <f>IF($W86="","",MAX(0,$W86-N($V86)))</f>
        <v/>
      </c>
      <c r="Y86" s="14">
        <f>IF($X86="","",$X86/EF_APLIC)</f>
        <v/>
      </c>
      <c r="Z86" s="15" t="n">
        <v>38</v>
      </c>
      <c r="AA86" s="16">
        <f>IF(OR($Y86="",$Z86=""),"",$Y86*$Z86*10)</f>
        <v/>
      </c>
      <c r="AB86" s="17" t="n">
        <v>0.714</v>
      </c>
      <c r="AC86" s="16">
        <f>IF(OR($AA86="",$AB86=""),"",$AA86*$AB86)</f>
        <v/>
      </c>
      <c r="AD86" s="18">
        <f>IF($S86="PENDENTE","Definir classe/Kc",IF($Y86="","-",IF($Y86&gt;='PARAMETROS'!$B$7/EF_APLIC,"Irrigar",IF($Y86&gt;='PARAMETROS'!$B$7/EF_APLIC*FRAC_ACOMP,"Acompanhar","Aguardar"))))</f>
        <v/>
      </c>
      <c r="AE86" s="18">
        <f>IF(OR($Y86="",$Y86=0),"-",IF($Y86&gt;=2*'PARAMETROS'!$B$7/EF_APLIC,"Alta",IF($Y86&gt;='PARAMETROS'!$B$7/EF_APLIC,"Media","Baixa")))</f>
        <v/>
      </c>
    </row>
    <row r="87">
      <c r="A87" s="5" t="inlineStr">
        <is>
          <t>Pivô 03</t>
        </is>
      </c>
      <c r="B87" s="5" t="inlineStr">
        <is>
          <t>Rdm</t>
        </is>
      </c>
      <c r="C87" s="5" t="inlineStr">
        <is>
          <t>R0</t>
        </is>
      </c>
      <c r="D87" s="5" t="inlineStr">
        <is>
          <t>Modulo 1</t>
        </is>
      </c>
      <c r="E87" s="5" t="inlineStr">
        <is>
          <t>SOJA</t>
        </is>
      </c>
      <c r="F87" s="6" t="inlineStr">
        <is>
          <t>BMX DOMINIO IPRO</t>
        </is>
      </c>
      <c r="G87" s="7" t="inlineStr">
        <is>
          <t>MÉDIA</t>
        </is>
      </c>
      <c r="H87" s="5" t="inlineStr">
        <is>
          <t>proximo</t>
        </is>
      </c>
      <c r="I87" s="8" t="n">
        <v>46332</v>
      </c>
      <c r="J87" s="9">
        <f>IF($I87="","",DATA_REF-$I87)</f>
        <v/>
      </c>
      <c r="K87" s="9">
        <f>IF($J87="","",MAX(0,$J87-'PARAMETROS'!$B$11))</f>
        <v/>
      </c>
      <c r="L87" s="10">
        <f>IFERROR(INDEX(KC_CURVAS!$C$5:$C$15,MATCH("SOJA|"&amp;$G87,KC_CURVAS!$K$5:$K$15,0)),IFERROR(INDEX(KC_CURVAS!$C$5:$C$15,MATCH("SOJA"&amp;"|",KC_CURVAS!$K$5:$K$15,0)),""))</f>
        <v/>
      </c>
      <c r="M87" s="10">
        <f>IFERROR(INDEX(KC_CURVAS!$D$5:$D$15,MATCH("SOJA|"&amp;$G87,KC_CURVAS!$K$5:$K$15,0)),IFERROR(INDEX(KC_CURVAS!$D$5:$D$15,MATCH("SOJA"&amp;"|",KC_CURVAS!$K$5:$K$15,0)),""))</f>
        <v/>
      </c>
      <c r="N87" s="10">
        <f>IFERROR(INDEX(KC_CURVAS!$E$5:$E$15,MATCH("SOJA|"&amp;$G87,KC_CURVAS!$K$5:$K$15,0)),IFERROR(INDEX(KC_CURVAS!$E$5:$E$15,MATCH("SOJA"&amp;"|",KC_CURVAS!$K$5:$K$15,0)),""))</f>
        <v/>
      </c>
      <c r="O87" s="10">
        <f>IFERROR(INDEX(KC_CURVAS!$F$5:$F$15,MATCH("SOJA|"&amp;$G87,KC_CURVAS!$K$5:$K$15,0)),IFERROR(INDEX(KC_CURVAS!$F$5:$F$15,MATCH("SOJA"&amp;"|",KC_CURVAS!$K$5:$K$15,0)),""))</f>
        <v/>
      </c>
      <c r="P87" s="11">
        <f>IFERROR(INDEX(KC_CURVAS!$G$5:$G$15,MATCH("SOJA|"&amp;$G87,KC_CURVAS!$K$5:$K$15,0)),IFERROR(INDEX(KC_CURVAS!$G$5:$G$15,MATCH("SOJA"&amp;"|",KC_CURVAS!$K$5:$K$15,0)),""))</f>
        <v/>
      </c>
      <c r="Q87" s="11">
        <f>IFERROR(INDEX(KC_CURVAS!$H$5:$H$15,MATCH("SOJA|"&amp;$G87,KC_CURVAS!$K$5:$K$15,0)),IFERROR(INDEX(KC_CURVAS!$H$5:$H$15,MATCH("SOJA"&amp;"|",KC_CURVAS!$K$5:$K$15,0)),""))</f>
        <v/>
      </c>
      <c r="R87" s="11">
        <f>IFERROR(INDEX(KC_CURVAS!$I$5:$I$15,MATCH("SOJA|"&amp;$G87,KC_CURVAS!$K$5:$K$15,0)),IFERROR(INDEX(KC_CURVAS!$I$5:$I$15,MATCH("SOJA"&amp;"|",KC_CURVAS!$K$5:$K$15,0)),""))</f>
        <v/>
      </c>
      <c r="S87" s="12">
        <f>IF(OR($K87="",$L87=""),"PENDENTE",IF($K87&lt;=$L87,$P87,IF($K87&lt;=$L87+$M87,$P87+($Q87-$P87)*($K87-$L87)/$M87,IF($K87&lt;=$L87+$M87+$N87,$Q87,IF($K87&lt;=$L87+$M87+$N87+$O87,$Q87+($R87-$Q87)*($K87-($L87+$M87+$N87))/$O87,$R87)))))</f>
        <v/>
      </c>
      <c r="T87" s="13">
        <f>IF($I87="","",$I87)</f>
        <v/>
      </c>
      <c r="U87" s="14">
        <f>IF($T87="","",SUMIFS(ETO_DIARIO!$B$5:$B$404,ETO_DIARIO!$A$5:$A$404,"&gt;"&amp;$T87,ETO_DIARIO!$A$5:$A$404,"&lt;="&amp;DATA_REF))</f>
        <v/>
      </c>
      <c r="V87" s="14">
        <f>IF($T87="","",SUMIFS(ETO_DIARIO!$C$5:$C$404,ETO_DIARIO!$A$5:$A$404,"&gt;"&amp;$T87,ETO_DIARIO!$A$5:$A$404,"&lt;="&amp;DATA_REF))</f>
        <v/>
      </c>
      <c r="W87" s="14">
        <f>IF(OR($S87="",$S87="PENDENTE",$U87=""),"",$S87*$U87)</f>
        <v/>
      </c>
      <c r="X87" s="14">
        <f>IF($W87="","",MAX(0,$W87-N($V87)))</f>
        <v/>
      </c>
      <c r="Y87" s="14">
        <f>IF($X87="","",$X87/EF_APLIC)</f>
        <v/>
      </c>
      <c r="Z87" s="15" t="n">
        <v>162</v>
      </c>
      <c r="AA87" s="16">
        <f>IF(OR($Y87="",$Z87=""),"",$Y87*$Z87*10)</f>
        <v/>
      </c>
      <c r="AB87" s="17" t="n">
        <v>0.638</v>
      </c>
      <c r="AC87" s="16">
        <f>IF(OR($AA87="",$AB87=""),"",$AA87*$AB87)</f>
        <v/>
      </c>
      <c r="AD87" s="18">
        <f>IF($S87="PENDENTE","Definir classe/Kc",IF($Y87="","-",IF($Y87&gt;='PARAMETROS'!$B$7/EF_APLIC,"Irrigar",IF($Y87&gt;='PARAMETROS'!$B$7/EF_APLIC*FRAC_ACOMP,"Acompanhar","Aguardar"))))</f>
        <v/>
      </c>
      <c r="AE87" s="18">
        <f>IF(OR($Y87="",$Y87=0),"-",IF($Y87&gt;=2*'PARAMETROS'!$B$7/EF_APLIC,"Alta",IF($Y87&gt;='PARAMETROS'!$B$7/EF_APLIC,"Media","Baixa")))</f>
        <v/>
      </c>
    </row>
    <row r="88">
      <c r="A88" s="5" t="inlineStr">
        <is>
          <t>Pivô 04</t>
        </is>
      </c>
      <c r="B88" s="5" t="inlineStr">
        <is>
          <t>Rdm</t>
        </is>
      </c>
      <c r="C88" s="5" t="inlineStr">
        <is>
          <t>R0</t>
        </is>
      </c>
      <c r="D88" s="5" t="inlineStr">
        <is>
          <t>Modulo 1</t>
        </is>
      </c>
      <c r="E88" s="5" t="inlineStr">
        <is>
          <t>SOJA</t>
        </is>
      </c>
      <c r="F88" s="6" t="inlineStr">
        <is>
          <t>BMX DOMINIO IPRO</t>
        </is>
      </c>
      <c r="G88" s="7" t="inlineStr">
        <is>
          <t>MÉDIA</t>
        </is>
      </c>
      <c r="H88" s="5" t="inlineStr">
        <is>
          <t>proximo</t>
        </is>
      </c>
      <c r="I88" s="8" t="n">
        <v>46332</v>
      </c>
      <c r="J88" s="9">
        <f>IF($I88="","",DATA_REF-$I88)</f>
        <v/>
      </c>
      <c r="K88" s="9">
        <f>IF($J88="","",MAX(0,$J88-'PARAMETROS'!$B$11))</f>
        <v/>
      </c>
      <c r="L88" s="10">
        <f>IFERROR(INDEX(KC_CURVAS!$C$5:$C$15,MATCH("SOJA|"&amp;$G88,KC_CURVAS!$K$5:$K$15,0)),IFERROR(INDEX(KC_CURVAS!$C$5:$C$15,MATCH("SOJA"&amp;"|",KC_CURVAS!$K$5:$K$15,0)),""))</f>
        <v/>
      </c>
      <c r="M88" s="10">
        <f>IFERROR(INDEX(KC_CURVAS!$D$5:$D$15,MATCH("SOJA|"&amp;$G88,KC_CURVAS!$K$5:$K$15,0)),IFERROR(INDEX(KC_CURVAS!$D$5:$D$15,MATCH("SOJA"&amp;"|",KC_CURVAS!$K$5:$K$15,0)),""))</f>
        <v/>
      </c>
      <c r="N88" s="10">
        <f>IFERROR(INDEX(KC_CURVAS!$E$5:$E$15,MATCH("SOJA|"&amp;$G88,KC_CURVAS!$K$5:$K$15,0)),IFERROR(INDEX(KC_CURVAS!$E$5:$E$15,MATCH("SOJA"&amp;"|",KC_CURVAS!$K$5:$K$15,0)),""))</f>
        <v/>
      </c>
      <c r="O88" s="10">
        <f>IFERROR(INDEX(KC_CURVAS!$F$5:$F$15,MATCH("SOJA|"&amp;$G88,KC_CURVAS!$K$5:$K$15,0)),IFERROR(INDEX(KC_CURVAS!$F$5:$F$15,MATCH("SOJA"&amp;"|",KC_CURVAS!$K$5:$K$15,0)),""))</f>
        <v/>
      </c>
      <c r="P88" s="11">
        <f>IFERROR(INDEX(KC_CURVAS!$G$5:$G$15,MATCH("SOJA|"&amp;$G88,KC_CURVAS!$K$5:$K$15,0)),IFERROR(INDEX(KC_CURVAS!$G$5:$G$15,MATCH("SOJA"&amp;"|",KC_CURVAS!$K$5:$K$15,0)),""))</f>
        <v/>
      </c>
      <c r="Q88" s="11">
        <f>IFERROR(INDEX(KC_CURVAS!$H$5:$H$15,MATCH("SOJA|"&amp;$G88,KC_CURVAS!$K$5:$K$15,0)),IFERROR(INDEX(KC_CURVAS!$H$5:$H$15,MATCH("SOJA"&amp;"|",KC_CURVAS!$K$5:$K$15,0)),""))</f>
        <v/>
      </c>
      <c r="R88" s="11">
        <f>IFERROR(INDEX(KC_CURVAS!$I$5:$I$15,MATCH("SOJA|"&amp;$G88,KC_CURVAS!$K$5:$K$15,0)),IFERROR(INDEX(KC_CURVAS!$I$5:$I$15,MATCH("SOJA"&amp;"|",KC_CURVAS!$K$5:$K$15,0)),""))</f>
        <v/>
      </c>
      <c r="S88" s="12">
        <f>IF(OR($K88="",$L88=""),"PENDENTE",IF($K88&lt;=$L88,$P88,IF($K88&lt;=$L88+$M88,$P88+($Q88-$P88)*($K88-$L88)/$M88,IF($K88&lt;=$L88+$M88+$N88,$Q88,IF($K88&lt;=$L88+$M88+$N88+$O88,$Q88+($R88-$Q88)*($K88-($L88+$M88+$N88))/$O88,$R88)))))</f>
        <v/>
      </c>
      <c r="T88" s="13">
        <f>IF($I88="","",$I88)</f>
        <v/>
      </c>
      <c r="U88" s="14">
        <f>IF($T88="","",SUMIFS(ETO_DIARIO!$B$5:$B$404,ETO_DIARIO!$A$5:$A$404,"&gt;"&amp;$T88,ETO_DIARIO!$A$5:$A$404,"&lt;="&amp;DATA_REF))</f>
        <v/>
      </c>
      <c r="V88" s="14">
        <f>IF($T88="","",SUMIFS(ETO_DIARIO!$C$5:$C$404,ETO_DIARIO!$A$5:$A$404,"&gt;"&amp;$T88,ETO_DIARIO!$A$5:$A$404,"&lt;="&amp;DATA_REF))</f>
        <v/>
      </c>
      <c r="W88" s="14">
        <f>IF(OR($S88="",$S88="PENDENTE",$U88=""),"",$S88*$U88)</f>
        <v/>
      </c>
      <c r="X88" s="14">
        <f>IF($W88="","",MAX(0,$W88-N($V88)))</f>
        <v/>
      </c>
      <c r="Y88" s="14">
        <f>IF($X88="","",$X88/EF_APLIC)</f>
        <v/>
      </c>
      <c r="Z88" s="15" t="n">
        <v>240</v>
      </c>
      <c r="AA88" s="16">
        <f>IF(OR($Y88="",$Z88=""),"",$Y88*$Z88*10)</f>
        <v/>
      </c>
      <c r="AB88" s="17" t="n">
        <v>0.532</v>
      </c>
      <c r="AC88" s="16">
        <f>IF(OR($AA88="",$AB88=""),"",$AA88*$AB88)</f>
        <v/>
      </c>
      <c r="AD88" s="18">
        <f>IF($S88="PENDENTE","Definir classe/Kc",IF($Y88="","-",IF($Y88&gt;='PARAMETROS'!$B$7/EF_APLIC,"Irrigar",IF($Y88&gt;='PARAMETROS'!$B$7/EF_APLIC*FRAC_ACOMP,"Acompanhar","Aguardar"))))</f>
        <v/>
      </c>
      <c r="AE88" s="18">
        <f>IF(OR($Y88="",$Y88=0),"-",IF($Y88&gt;=2*'PARAMETROS'!$B$7/EF_APLIC,"Alta",IF($Y88&gt;='PARAMETROS'!$B$7/EF_APLIC,"Media","Baixa")))</f>
        <v/>
      </c>
    </row>
    <row r="89">
      <c r="A89" s="5" t="inlineStr">
        <is>
          <t>Pivô 05</t>
        </is>
      </c>
      <c r="B89" s="5" t="inlineStr">
        <is>
          <t>Rdm</t>
        </is>
      </c>
      <c r="C89" s="5" t="inlineStr">
        <is>
          <t>R1</t>
        </is>
      </c>
      <c r="D89" s="5" t="inlineStr">
        <is>
          <t>Modulo 1</t>
        </is>
      </c>
      <c r="E89" s="5" t="inlineStr">
        <is>
          <t>SOJA</t>
        </is>
      </c>
      <c r="F89" s="6" t="inlineStr">
        <is>
          <t>BMX DOMINIO IPRO</t>
        </is>
      </c>
      <c r="G89" s="7" t="inlineStr">
        <is>
          <t>MÉDIA</t>
        </is>
      </c>
      <c r="H89" s="5" t="inlineStr">
        <is>
          <t>proximo</t>
        </is>
      </c>
      <c r="I89" s="8" t="n">
        <v>46332</v>
      </c>
      <c r="J89" s="9">
        <f>IF($I89="","",DATA_REF-$I89)</f>
        <v/>
      </c>
      <c r="K89" s="9">
        <f>IF($J89="","",MAX(0,$J89-'PARAMETROS'!$B$11))</f>
        <v/>
      </c>
      <c r="L89" s="10">
        <f>IFERROR(INDEX(KC_CURVAS!$C$5:$C$15,MATCH("SOJA|"&amp;$G89,KC_CURVAS!$K$5:$K$15,0)),IFERROR(INDEX(KC_CURVAS!$C$5:$C$15,MATCH("SOJA"&amp;"|",KC_CURVAS!$K$5:$K$15,0)),""))</f>
        <v/>
      </c>
      <c r="M89" s="10">
        <f>IFERROR(INDEX(KC_CURVAS!$D$5:$D$15,MATCH("SOJA|"&amp;$G89,KC_CURVAS!$K$5:$K$15,0)),IFERROR(INDEX(KC_CURVAS!$D$5:$D$15,MATCH("SOJA"&amp;"|",KC_CURVAS!$K$5:$K$15,0)),""))</f>
        <v/>
      </c>
      <c r="N89" s="10">
        <f>IFERROR(INDEX(KC_CURVAS!$E$5:$E$15,MATCH("SOJA|"&amp;$G89,KC_CURVAS!$K$5:$K$15,0)),IFERROR(INDEX(KC_CURVAS!$E$5:$E$15,MATCH("SOJA"&amp;"|",KC_CURVAS!$K$5:$K$15,0)),""))</f>
        <v/>
      </c>
      <c r="O89" s="10">
        <f>IFERROR(INDEX(KC_CURVAS!$F$5:$F$15,MATCH("SOJA|"&amp;$G89,KC_CURVAS!$K$5:$K$15,0)),IFERROR(INDEX(KC_CURVAS!$F$5:$F$15,MATCH("SOJA"&amp;"|",KC_CURVAS!$K$5:$K$15,0)),""))</f>
        <v/>
      </c>
      <c r="P89" s="11">
        <f>IFERROR(INDEX(KC_CURVAS!$G$5:$G$15,MATCH("SOJA|"&amp;$G89,KC_CURVAS!$K$5:$K$15,0)),IFERROR(INDEX(KC_CURVAS!$G$5:$G$15,MATCH("SOJA"&amp;"|",KC_CURVAS!$K$5:$K$15,0)),""))</f>
        <v/>
      </c>
      <c r="Q89" s="11">
        <f>IFERROR(INDEX(KC_CURVAS!$H$5:$H$15,MATCH("SOJA|"&amp;$G89,KC_CURVAS!$K$5:$K$15,0)),IFERROR(INDEX(KC_CURVAS!$H$5:$H$15,MATCH("SOJA"&amp;"|",KC_CURVAS!$K$5:$K$15,0)),""))</f>
        <v/>
      </c>
      <c r="R89" s="11">
        <f>IFERROR(INDEX(KC_CURVAS!$I$5:$I$15,MATCH("SOJA|"&amp;$G89,KC_CURVAS!$K$5:$K$15,0)),IFERROR(INDEX(KC_CURVAS!$I$5:$I$15,MATCH("SOJA"&amp;"|",KC_CURVAS!$K$5:$K$15,0)),""))</f>
        <v/>
      </c>
      <c r="S89" s="12">
        <f>IF(OR($K89="",$L89=""),"PENDENTE",IF($K89&lt;=$L89,$P89,IF($K89&lt;=$L89+$M89,$P89+($Q89-$P89)*($K89-$L89)/$M89,IF($K89&lt;=$L89+$M89+$N89,$Q89,IF($K89&lt;=$L89+$M89+$N89+$O89,$Q89+($R89-$Q89)*($K89-($L89+$M89+$N89))/$O89,$R89)))))</f>
        <v/>
      </c>
      <c r="T89" s="13">
        <f>IF($I89="","",$I89)</f>
        <v/>
      </c>
      <c r="U89" s="14">
        <f>IF($T89="","",SUMIFS(ETO_DIARIO!$B$5:$B$404,ETO_DIARIO!$A$5:$A$404,"&gt;"&amp;$T89,ETO_DIARIO!$A$5:$A$404,"&lt;="&amp;DATA_REF))</f>
        <v/>
      </c>
      <c r="V89" s="14">
        <f>IF($T89="","",SUMIFS(ETO_DIARIO!$C$5:$C$404,ETO_DIARIO!$A$5:$A$404,"&gt;"&amp;$T89,ETO_DIARIO!$A$5:$A$404,"&lt;="&amp;DATA_REF))</f>
        <v/>
      </c>
      <c r="W89" s="14">
        <f>IF(OR($S89="",$S89="PENDENTE",$U89=""),"",$S89*$U89)</f>
        <v/>
      </c>
      <c r="X89" s="14">
        <f>IF($W89="","",MAX(0,$W89-N($V89)))</f>
        <v/>
      </c>
      <c r="Y89" s="14">
        <f>IF($X89="","",$X89/EF_APLIC)</f>
        <v/>
      </c>
      <c r="Z89" s="15" t="n">
        <v>37</v>
      </c>
      <c r="AA89" s="16">
        <f>IF(OR($Y89="",$Z89=""),"",$Y89*$Z89*10)</f>
        <v/>
      </c>
      <c r="AB89" s="17" t="n">
        <v>0.699</v>
      </c>
      <c r="AC89" s="16">
        <f>IF(OR($AA89="",$AB89=""),"",$AA89*$AB89)</f>
        <v/>
      </c>
      <c r="AD89" s="18">
        <f>IF($S89="PENDENTE","Definir classe/Kc",IF($Y89="","-",IF($Y89&gt;='PARAMETROS'!$B$7/EF_APLIC,"Irrigar",IF($Y89&gt;='PARAMETROS'!$B$7/EF_APLIC*FRAC_ACOMP,"Acompanhar","Aguardar"))))</f>
        <v/>
      </c>
      <c r="AE89" s="18">
        <f>IF(OR($Y89="",$Y89=0),"-",IF($Y89&gt;=2*'PARAMETROS'!$B$7/EF_APLIC,"Alta",IF($Y89&gt;='PARAMETROS'!$B$7/EF_APLIC,"Media","Baixa")))</f>
        <v/>
      </c>
    </row>
    <row r="91">
      <c r="A91" s="20" t="inlineStr">
        <is>
          <t>Clima DIARIO: ETo/chuva acumulam de ETO_DIARIO entre a ultima irrigacao e HOJE. ETc = Kc(DAE) x ETo acum. Nec liquida = ETc - chuva; bruta = /0,90. Irriga quando a nec. bruta atinge o alvo/turno (PARAMETROS B7). CE = captacao do modulo + pressurizacao do pivo. Status 'proximo' = cultura ainda nao plantada.</t>
        </is>
      </c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2" t="n"/>
    </row>
  </sheetData>
  <mergeCells count="1">
    <mergeCell ref="A91:AE9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AE3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8" customWidth="1" min="3" max="3"/>
    <col width="9" customWidth="1" min="4" max="4"/>
    <col width="9" customWidth="1" min="5" max="5"/>
    <col width="14" customWidth="1" min="6" max="6"/>
    <col width="8" customWidth="1" min="7" max="7"/>
    <col width="8" customWidth="1" min="8" max="8"/>
    <col width="11" customWidth="1" min="9" max="9"/>
    <col width="6" customWidth="1" min="10" max="10"/>
    <col width="6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6" customWidth="1" min="19" max="19"/>
    <col width="11" customWidth="1" min="20" max="20"/>
    <col width="9" customWidth="1" min="21" max="21"/>
    <col width="10" customWidth="1" min="22" max="22"/>
    <col width="9" customWidth="1" min="23" max="23"/>
    <col width="8" customWidth="1" min="24" max="24"/>
    <col width="9" customWidth="1" min="25" max="25"/>
    <col width="8" customWidth="1" min="26" max="26"/>
    <col width="11" customWidth="1" min="27" max="27"/>
    <col width="10" customWidth="1" min="28" max="28"/>
    <col width="11" customWidth="1" min="29" max="29"/>
    <col width="11" customWidth="1" min="30" max="30"/>
    <col width="10" customWidth="1" min="31" max="31"/>
  </cols>
  <sheetData>
    <row r="1" ht="20" customHeight="1">
      <c r="A1" s="1" t="inlineStr">
        <is>
          <t>ALGODAO 26/27 - demanda via clima</t>
        </is>
      </c>
    </row>
    <row r="2">
      <c r="A2" s="3" t="inlineStr">
        <is>
          <t>Kc FAO-56 linear por DAE. ETo diaria.</t>
        </is>
      </c>
    </row>
    <row r="4" ht="30" customHeight="1">
      <c r="A4" s="4" t="inlineStr">
        <is>
          <t>Pivo/Talhao</t>
        </is>
      </c>
      <c r="B4" s="4" t="inlineStr">
        <is>
          <t>Faz</t>
        </is>
      </c>
      <c r="C4" s="4" t="inlineStr">
        <is>
          <t>Casa b.</t>
        </is>
      </c>
      <c r="D4" s="4" t="inlineStr">
        <is>
          <t>Modulo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Status</t>
        </is>
      </c>
      <c r="I4" s="4" t="inlineStr">
        <is>
          <t>Plantio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Lini</t>
        </is>
      </c>
      <c r="M4" s="4" t="inlineStr">
        <is>
          <t>Ldev</t>
        </is>
      </c>
      <c r="N4" s="4" t="inlineStr">
        <is>
          <t>Lmid</t>
        </is>
      </c>
      <c r="O4" s="4" t="inlineStr">
        <is>
          <t>Llate</t>
        </is>
      </c>
      <c r="P4" s="4" t="inlineStr">
        <is>
          <t>Kcini</t>
        </is>
      </c>
      <c r="Q4" s="4" t="inlineStr">
        <is>
          <t>Kcmid</t>
        </is>
      </c>
      <c r="R4" s="4" t="inlineStr">
        <is>
          <t>Kcend</t>
        </is>
      </c>
      <c r="S4" s="4" t="inlineStr">
        <is>
          <t>Kc</t>
        </is>
      </c>
      <c r="T4" s="4" t="inlineStr">
        <is>
          <t>Ult.irrig</t>
        </is>
      </c>
      <c r="U4" s="4" t="inlineStr">
        <is>
          <t>ETo acum</t>
        </is>
      </c>
      <c r="V4" s="4" t="inlineStr">
        <is>
          <t>Chuva acum</t>
        </is>
      </c>
      <c r="W4" s="4" t="inlineStr">
        <is>
          <t>ETc acum</t>
        </is>
      </c>
      <c r="X4" s="4" t="inlineStr">
        <is>
          <t>Nec liq</t>
        </is>
      </c>
      <c r="Y4" s="4" t="inlineStr">
        <is>
          <t>Nec bruta</t>
        </is>
      </c>
      <c r="Z4" s="4" t="inlineStr">
        <is>
          <t>Area(ha)</t>
        </is>
      </c>
      <c r="AA4" s="4" t="inlineStr">
        <is>
          <t>Volume(m3)</t>
        </is>
      </c>
      <c r="AB4" s="4" t="inlineStr">
        <is>
          <t>CE(kWh/m3)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Prioridade</t>
        </is>
      </c>
    </row>
    <row r="5">
      <c r="A5" s="5" t="inlineStr">
        <is>
          <t>Pivô 01</t>
        </is>
      </c>
      <c r="B5" s="5" t="inlineStr">
        <is>
          <t>Karitel</t>
        </is>
      </c>
      <c r="C5" s="5" t="inlineStr">
        <is>
          <t>R0</t>
        </is>
      </c>
      <c r="D5" s="5" t="inlineStr">
        <is>
          <t>Modulo 1</t>
        </is>
      </c>
      <c r="E5" s="5" t="inlineStr">
        <is>
          <t>ALGODÃO</t>
        </is>
      </c>
      <c r="F5" s="6" t="inlineStr">
        <is>
          <t>IMA 5901 B2RF</t>
        </is>
      </c>
      <c r="G5" s="7" t="inlineStr">
        <is>
          <t>MÉDIO</t>
        </is>
      </c>
      <c r="H5" s="5" t="inlineStr">
        <is>
          <t>proximo</t>
        </is>
      </c>
      <c r="I5" s="8" t="n">
        <v>46403</v>
      </c>
      <c r="J5" s="9">
        <f>IF($I5="","",DATA_REF-$I5)</f>
        <v/>
      </c>
      <c r="K5" s="9">
        <f>IF($J5="","",MAX(0,$J5-'PARAMETROS'!$B$11))</f>
        <v/>
      </c>
      <c r="L5" s="10">
        <f>IFERROR(INDEX(KC_CURVAS!$C$5:$C$15,MATCH("ALGODÃO|"&amp;$G5,KC_CURVAS!$K$5:$K$15,0)),IFERROR(INDEX(KC_CURVAS!$C$5:$C$15,MATCH("ALGODÃO"&amp;"|",KC_CURVAS!$K$5:$K$15,0)),""))</f>
        <v/>
      </c>
      <c r="M5" s="10">
        <f>IFERROR(INDEX(KC_CURVAS!$D$5:$D$15,MATCH("ALGODÃO|"&amp;$G5,KC_CURVAS!$K$5:$K$15,0)),IFERROR(INDEX(KC_CURVAS!$D$5:$D$15,MATCH("ALGODÃO"&amp;"|",KC_CURVAS!$K$5:$K$15,0)),""))</f>
        <v/>
      </c>
      <c r="N5" s="10">
        <f>IFERROR(INDEX(KC_CURVAS!$E$5:$E$15,MATCH("ALGODÃO|"&amp;$G5,KC_CURVAS!$K$5:$K$15,0)),IFERROR(INDEX(KC_CURVAS!$E$5:$E$15,MATCH("ALGODÃO"&amp;"|",KC_CURVAS!$K$5:$K$15,0)),""))</f>
        <v/>
      </c>
      <c r="O5" s="10">
        <f>IFERROR(INDEX(KC_CURVAS!$F$5:$F$15,MATCH("ALGODÃO|"&amp;$G5,KC_CURVAS!$K$5:$K$15,0)),IFERROR(INDEX(KC_CURVAS!$F$5:$F$15,MATCH("ALGODÃO"&amp;"|",KC_CURVAS!$K$5:$K$15,0)),""))</f>
        <v/>
      </c>
      <c r="P5" s="11">
        <f>IFERROR(INDEX(KC_CURVAS!$G$5:$G$15,MATCH("ALGODÃO|"&amp;$G5,KC_CURVAS!$K$5:$K$15,0)),IFERROR(INDEX(KC_CURVAS!$G$5:$G$15,MATCH("ALGODÃO"&amp;"|",KC_CURVAS!$K$5:$K$15,0)),""))</f>
        <v/>
      </c>
      <c r="Q5" s="11">
        <f>IFERROR(INDEX(KC_CURVAS!$H$5:$H$15,MATCH("ALGODÃO|"&amp;$G5,KC_CURVAS!$K$5:$K$15,0)),IFERROR(INDEX(KC_CURVAS!$H$5:$H$15,MATCH("ALGODÃO"&amp;"|",KC_CURVAS!$K$5:$K$15,0)),""))</f>
        <v/>
      </c>
      <c r="R5" s="11">
        <f>IFERROR(INDEX(KC_CURVAS!$I$5:$I$15,MATCH("ALGODÃO|"&amp;$G5,KC_CURVAS!$K$5:$K$15,0)),IFERROR(INDEX(KC_CURVAS!$I$5:$I$15,MATCH("ALGODÃO"&amp;"|",KC_CURVAS!$K$5:$K$15,0)),""))</f>
        <v/>
      </c>
      <c r="S5" s="12">
        <f>IF(OR($K5="",$L5=""),"PENDENTE",IF($K5&lt;=$L5,$P5,IF($K5&lt;=$L5+$M5,$P5+($Q5-$P5)*($K5-$L5)/$M5,IF($K5&lt;=$L5+$M5+$N5,$Q5,IF($K5&lt;=$L5+$M5+$N5+$O5,$Q5+($R5-$Q5)*($K5-($L5+$M5+$N5))/$O5,$R5)))))</f>
        <v/>
      </c>
      <c r="T5" s="13">
        <f>IF($I5="","",$I5)</f>
        <v/>
      </c>
      <c r="U5" s="14">
        <f>IF($T5="","",SUMIFS(ETO_DIARIO!$B$5:$B$404,ETO_DIARIO!$A$5:$A$404,"&gt;"&amp;$T5,ETO_DIARIO!$A$5:$A$404,"&lt;="&amp;DATA_REF))</f>
        <v/>
      </c>
      <c r="V5" s="14">
        <f>IF($T5="","",SUMIFS(ETO_DIARIO!$C$5:$C$404,ETO_DIARIO!$A$5:$A$404,"&gt;"&amp;$T5,ETO_DIARIO!$A$5:$A$404,"&lt;="&amp;DATA_REF))</f>
        <v/>
      </c>
      <c r="W5" s="14">
        <f>IF(OR($S5="",$S5="PENDENTE",$U5=""),"",$S5*$U5)</f>
        <v/>
      </c>
      <c r="X5" s="14">
        <f>IF($W5="","",MAX(0,$W5-N($V5)))</f>
        <v/>
      </c>
      <c r="Y5" s="14">
        <f>IF($X5="","",$X5/EF_APLIC)</f>
        <v/>
      </c>
      <c r="Z5" s="15" t="n">
        <v>150</v>
      </c>
      <c r="AA5" s="16">
        <f>IF(OR($Y5="",$Z5=""),"",$Y5*$Z5*10)</f>
        <v/>
      </c>
      <c r="AB5" s="17" t="n">
        <v>0.513</v>
      </c>
      <c r="AC5" s="16">
        <f>IF(OR($AA5="",$AB5=""),"",$AA5*$AB5)</f>
        <v/>
      </c>
      <c r="AD5" s="18">
        <f>IF($S5="PENDENTE","Definir classe/Kc",IF($Y5="","-",IF($Y5&gt;='PARAMETROS'!$B$7/EF_APLIC,"Irrigar",IF($Y5&gt;='PARAMETROS'!$B$7/EF_APLIC*FRAC_ACOMP,"Acompanhar","Aguardar"))))</f>
        <v/>
      </c>
      <c r="AE5" s="18">
        <f>IF(OR($Y5="",$Y5=0),"-",IF($Y5&gt;=2*'PARAMETROS'!$B$7/EF_APLIC,"Alta",IF($Y5&gt;='PARAMETROS'!$B$7/EF_APLIC,"Media","Baixa")))</f>
        <v/>
      </c>
    </row>
    <row r="6">
      <c r="A6" s="5" t="inlineStr">
        <is>
          <t>Pivô 07</t>
        </is>
      </c>
      <c r="B6" s="5" t="inlineStr">
        <is>
          <t>Karitel</t>
        </is>
      </c>
      <c r="C6" s="5" t="inlineStr">
        <is>
          <t>R2</t>
        </is>
      </c>
      <c r="D6" s="5" t="inlineStr">
        <is>
          <t>Modulo 1</t>
        </is>
      </c>
      <c r="E6" s="5" t="inlineStr">
        <is>
          <t>ALGODÃO</t>
        </is>
      </c>
      <c r="F6" s="6" t="inlineStr">
        <is>
          <t>IMA 5901 B2RF</t>
        </is>
      </c>
      <c r="G6" s="7" t="inlineStr">
        <is>
          <t>MÉDIO</t>
        </is>
      </c>
      <c r="H6" s="5" t="inlineStr">
        <is>
          <t>proximo</t>
        </is>
      </c>
      <c r="I6" s="8" t="n">
        <v>46351</v>
      </c>
      <c r="J6" s="9">
        <f>IF($I6="","",DATA_REF-$I6)</f>
        <v/>
      </c>
      <c r="K6" s="9">
        <f>IF($J6="","",MAX(0,$J6-'PARAMETROS'!$B$11))</f>
        <v/>
      </c>
      <c r="L6" s="10">
        <f>IFERROR(INDEX(KC_CURVAS!$C$5:$C$15,MATCH("ALGODÃO|"&amp;$G6,KC_CURVAS!$K$5:$K$15,0)),IFERROR(INDEX(KC_CURVAS!$C$5:$C$15,MATCH("ALGODÃO"&amp;"|",KC_CURVAS!$K$5:$K$15,0)),""))</f>
        <v/>
      </c>
      <c r="M6" s="10">
        <f>IFERROR(INDEX(KC_CURVAS!$D$5:$D$15,MATCH("ALGODÃO|"&amp;$G6,KC_CURVAS!$K$5:$K$15,0)),IFERROR(INDEX(KC_CURVAS!$D$5:$D$15,MATCH("ALGODÃO"&amp;"|",KC_CURVAS!$K$5:$K$15,0)),""))</f>
        <v/>
      </c>
      <c r="N6" s="10">
        <f>IFERROR(INDEX(KC_CURVAS!$E$5:$E$15,MATCH("ALGODÃO|"&amp;$G6,KC_CURVAS!$K$5:$K$15,0)),IFERROR(INDEX(KC_CURVAS!$E$5:$E$15,MATCH("ALGODÃO"&amp;"|",KC_CURVAS!$K$5:$K$15,0)),""))</f>
        <v/>
      </c>
      <c r="O6" s="10">
        <f>IFERROR(INDEX(KC_CURVAS!$F$5:$F$15,MATCH("ALGODÃO|"&amp;$G6,KC_CURVAS!$K$5:$K$15,0)),IFERROR(INDEX(KC_CURVAS!$F$5:$F$15,MATCH("ALGODÃO"&amp;"|",KC_CURVAS!$K$5:$K$15,0)),""))</f>
        <v/>
      </c>
      <c r="P6" s="11">
        <f>IFERROR(INDEX(KC_CURVAS!$G$5:$G$15,MATCH("ALGODÃO|"&amp;$G6,KC_CURVAS!$K$5:$K$15,0)),IFERROR(INDEX(KC_CURVAS!$G$5:$G$15,MATCH("ALGODÃO"&amp;"|",KC_CURVAS!$K$5:$K$15,0)),""))</f>
        <v/>
      </c>
      <c r="Q6" s="11">
        <f>IFERROR(INDEX(KC_CURVAS!$H$5:$H$15,MATCH("ALGODÃO|"&amp;$G6,KC_CURVAS!$K$5:$K$15,0)),IFERROR(INDEX(KC_CURVAS!$H$5:$H$15,MATCH("ALGODÃO"&amp;"|",KC_CURVAS!$K$5:$K$15,0)),""))</f>
        <v/>
      </c>
      <c r="R6" s="11">
        <f>IFERROR(INDEX(KC_CURVAS!$I$5:$I$15,MATCH("ALGODÃO|"&amp;$G6,KC_CURVAS!$K$5:$K$15,0)),IFERROR(INDEX(KC_CURVAS!$I$5:$I$15,MATCH("ALGODÃO"&amp;"|",KC_CURVAS!$K$5:$K$15,0)),""))</f>
        <v/>
      </c>
      <c r="S6" s="12">
        <f>IF(OR($K6="",$L6=""),"PENDENTE",IF($K6&lt;=$L6,$P6,IF($K6&lt;=$L6+$M6,$P6+($Q6-$P6)*($K6-$L6)/$M6,IF($K6&lt;=$L6+$M6+$N6,$Q6,IF($K6&lt;=$L6+$M6+$N6+$O6,$Q6+($R6-$Q6)*($K6-($L6+$M6+$N6))/$O6,$R6)))))</f>
        <v/>
      </c>
      <c r="T6" s="13">
        <f>IF($I6="","",$I6)</f>
        <v/>
      </c>
      <c r="U6" s="14">
        <f>IF($T6="","",SUMIFS(ETO_DIARIO!$B$5:$B$404,ETO_DIARIO!$A$5:$A$404,"&gt;"&amp;$T6,ETO_DIARIO!$A$5:$A$404,"&lt;="&amp;DATA_REF))</f>
        <v/>
      </c>
      <c r="V6" s="14">
        <f>IF($T6="","",SUMIFS(ETO_DIARIO!$C$5:$C$404,ETO_DIARIO!$A$5:$A$404,"&gt;"&amp;$T6,ETO_DIARIO!$A$5:$A$404,"&lt;="&amp;DATA_REF))</f>
        <v/>
      </c>
      <c r="W6" s="14">
        <f>IF(OR($S6="",$S6="PENDENTE",$U6=""),"",$S6*$U6)</f>
        <v/>
      </c>
      <c r="X6" s="14">
        <f>IF($W6="","",MAX(0,$W6-N($V6)))</f>
        <v/>
      </c>
      <c r="Y6" s="14">
        <f>IF($X6="","",$X6/EF_APLIC)</f>
        <v/>
      </c>
      <c r="Z6" s="15" t="n">
        <v>120</v>
      </c>
      <c r="AA6" s="16">
        <f>IF(OR($Y6="",$Z6=""),"",$Y6*$Z6*10)</f>
        <v/>
      </c>
      <c r="AB6" s="17" t="n">
        <v>0.63</v>
      </c>
      <c r="AC6" s="16">
        <f>IF(OR($AA6="",$AB6=""),"",$AA6*$AB6)</f>
        <v/>
      </c>
      <c r="AD6" s="18">
        <f>IF($S6="PENDENTE","Definir classe/Kc",IF($Y6="","-",IF($Y6&gt;='PARAMETROS'!$B$7/EF_APLIC,"Irrigar",IF($Y6&gt;='PARAMETROS'!$B$7/EF_APLIC*FRAC_ACOMP,"Acompanhar","Aguardar"))))</f>
        <v/>
      </c>
      <c r="AE6" s="18">
        <f>IF(OR($Y6="",$Y6=0),"-",IF($Y6&gt;=2*'PARAMETROS'!$B$7/EF_APLIC,"Alta",IF($Y6&gt;='PARAMETROS'!$B$7/EF_APLIC,"Media","Baixa")))</f>
        <v/>
      </c>
    </row>
    <row r="7">
      <c r="A7" s="5" t="inlineStr">
        <is>
          <t>Pivô 08</t>
        </is>
      </c>
      <c r="B7" s="5" t="inlineStr">
        <is>
          <t>Karitel</t>
        </is>
      </c>
      <c r="C7" s="5" t="inlineStr">
        <is>
          <t>R2</t>
        </is>
      </c>
      <c r="D7" s="5" t="inlineStr">
        <is>
          <t>Modulo 1</t>
        </is>
      </c>
      <c r="E7" s="5" t="inlineStr">
        <is>
          <t>ALGODÃO</t>
        </is>
      </c>
      <c r="F7" s="6" t="inlineStr">
        <is>
          <t>IMA 5901 B2RF</t>
        </is>
      </c>
      <c r="G7" s="7" t="inlineStr">
        <is>
          <t>MÉDIO</t>
        </is>
      </c>
      <c r="H7" s="5" t="inlineStr">
        <is>
          <t>proximo</t>
        </is>
      </c>
      <c r="I7" s="8" t="n">
        <v>46351</v>
      </c>
      <c r="J7" s="9">
        <f>IF($I7="","",DATA_REF-$I7)</f>
        <v/>
      </c>
      <c r="K7" s="9">
        <f>IF($J7="","",MAX(0,$J7-'PARAMETROS'!$B$11))</f>
        <v/>
      </c>
      <c r="L7" s="10">
        <f>IFERROR(INDEX(KC_CURVAS!$C$5:$C$15,MATCH("ALGODÃO|"&amp;$G7,KC_CURVAS!$K$5:$K$15,0)),IFERROR(INDEX(KC_CURVAS!$C$5:$C$15,MATCH("ALGODÃO"&amp;"|",KC_CURVAS!$K$5:$K$15,0)),""))</f>
        <v/>
      </c>
      <c r="M7" s="10">
        <f>IFERROR(INDEX(KC_CURVAS!$D$5:$D$15,MATCH("ALGODÃO|"&amp;$G7,KC_CURVAS!$K$5:$K$15,0)),IFERROR(INDEX(KC_CURVAS!$D$5:$D$15,MATCH("ALGODÃO"&amp;"|",KC_CURVAS!$K$5:$K$15,0)),""))</f>
        <v/>
      </c>
      <c r="N7" s="10">
        <f>IFERROR(INDEX(KC_CURVAS!$E$5:$E$15,MATCH("ALGODÃO|"&amp;$G7,KC_CURVAS!$K$5:$K$15,0)),IFERROR(INDEX(KC_CURVAS!$E$5:$E$15,MATCH("ALGODÃO"&amp;"|",KC_CURVAS!$K$5:$K$15,0)),""))</f>
        <v/>
      </c>
      <c r="O7" s="10">
        <f>IFERROR(INDEX(KC_CURVAS!$F$5:$F$15,MATCH("ALGODÃO|"&amp;$G7,KC_CURVAS!$K$5:$K$15,0)),IFERROR(INDEX(KC_CURVAS!$F$5:$F$15,MATCH("ALGODÃO"&amp;"|",KC_CURVAS!$K$5:$K$15,0)),""))</f>
        <v/>
      </c>
      <c r="P7" s="11">
        <f>IFERROR(INDEX(KC_CURVAS!$G$5:$G$15,MATCH("ALGODÃO|"&amp;$G7,KC_CURVAS!$K$5:$K$15,0)),IFERROR(INDEX(KC_CURVAS!$G$5:$G$15,MATCH("ALGODÃO"&amp;"|",KC_CURVAS!$K$5:$K$15,0)),""))</f>
        <v/>
      </c>
      <c r="Q7" s="11">
        <f>IFERROR(INDEX(KC_CURVAS!$H$5:$H$15,MATCH("ALGODÃO|"&amp;$G7,KC_CURVAS!$K$5:$K$15,0)),IFERROR(INDEX(KC_CURVAS!$H$5:$H$15,MATCH("ALGODÃO"&amp;"|",KC_CURVAS!$K$5:$K$15,0)),""))</f>
        <v/>
      </c>
      <c r="R7" s="11">
        <f>IFERROR(INDEX(KC_CURVAS!$I$5:$I$15,MATCH("ALGODÃO|"&amp;$G7,KC_CURVAS!$K$5:$K$15,0)),IFERROR(INDEX(KC_CURVAS!$I$5:$I$15,MATCH("ALGODÃO"&amp;"|",KC_CURVAS!$K$5:$K$15,0)),""))</f>
        <v/>
      </c>
      <c r="S7" s="12">
        <f>IF(OR($K7="",$L7=""),"PENDENTE",IF($K7&lt;=$L7,$P7,IF($K7&lt;=$L7+$M7,$P7+($Q7-$P7)*($K7-$L7)/$M7,IF($K7&lt;=$L7+$M7+$N7,$Q7,IF($K7&lt;=$L7+$M7+$N7+$O7,$Q7+($R7-$Q7)*($K7-($L7+$M7+$N7))/$O7,$R7)))))</f>
        <v/>
      </c>
      <c r="T7" s="13">
        <f>IF($I7="","",$I7)</f>
        <v/>
      </c>
      <c r="U7" s="14">
        <f>IF($T7="","",SUMIFS(ETO_DIARIO!$B$5:$B$404,ETO_DIARIO!$A$5:$A$404,"&gt;"&amp;$T7,ETO_DIARIO!$A$5:$A$404,"&lt;="&amp;DATA_REF))</f>
        <v/>
      </c>
      <c r="V7" s="14">
        <f>IF($T7="","",SUMIFS(ETO_DIARIO!$C$5:$C$404,ETO_DIARIO!$A$5:$A$404,"&gt;"&amp;$T7,ETO_DIARIO!$A$5:$A$404,"&lt;="&amp;DATA_REF))</f>
        <v/>
      </c>
      <c r="W7" s="14">
        <f>IF(OR($S7="",$S7="PENDENTE",$U7=""),"",$S7*$U7)</f>
        <v/>
      </c>
      <c r="X7" s="14">
        <f>IF($W7="","",MAX(0,$W7-N($V7)))</f>
        <v/>
      </c>
      <c r="Y7" s="14">
        <f>IF($X7="","",$X7/EF_APLIC)</f>
        <v/>
      </c>
      <c r="Z7" s="15" t="n">
        <v>150</v>
      </c>
      <c r="AA7" s="16">
        <f>IF(OR($Y7="",$Z7=""),"",$Y7*$Z7*10)</f>
        <v/>
      </c>
      <c r="AB7" s="17" t="n">
        <v>0.5659999999999999</v>
      </c>
      <c r="AC7" s="16">
        <f>IF(OR($AA7="",$AB7=""),"",$AA7*$AB7)</f>
        <v/>
      </c>
      <c r="AD7" s="18">
        <f>IF($S7="PENDENTE","Definir classe/Kc",IF($Y7="","-",IF($Y7&gt;='PARAMETROS'!$B$7/EF_APLIC,"Irrigar",IF($Y7&gt;='PARAMETROS'!$B$7/EF_APLIC*FRAC_ACOMP,"Acompanhar","Aguardar"))))</f>
        <v/>
      </c>
      <c r="AE7" s="18">
        <f>IF(OR($Y7="",$Y7=0),"-",IF($Y7&gt;=2*'PARAMETROS'!$B$7/EF_APLIC,"Alta",IF($Y7&gt;='PARAMETROS'!$B$7/EF_APLIC,"Media","Baixa")))</f>
        <v/>
      </c>
    </row>
    <row r="8">
      <c r="A8" s="5" t="inlineStr">
        <is>
          <t>Pivô 09</t>
        </is>
      </c>
      <c r="B8" s="5" t="inlineStr">
        <is>
          <t>Karitel</t>
        </is>
      </c>
      <c r="C8" s="5" t="inlineStr">
        <is>
          <t>R3</t>
        </is>
      </c>
      <c r="D8" s="5" t="inlineStr">
        <is>
          <t>Modulo 1</t>
        </is>
      </c>
      <c r="E8" s="5" t="inlineStr">
        <is>
          <t>ALGODÃO</t>
        </is>
      </c>
      <c r="F8" s="6" t="inlineStr">
        <is>
          <t>IMA 5901 B2RF</t>
        </is>
      </c>
      <c r="G8" s="7" t="inlineStr">
        <is>
          <t>MÉDIO</t>
        </is>
      </c>
      <c r="H8" s="5" t="inlineStr">
        <is>
          <t>proximo</t>
        </is>
      </c>
      <c r="I8" s="8" t="n">
        <v>46352</v>
      </c>
      <c r="J8" s="9">
        <f>IF($I8="","",DATA_REF-$I8)</f>
        <v/>
      </c>
      <c r="K8" s="9">
        <f>IF($J8="","",MAX(0,$J8-'PARAMETROS'!$B$11))</f>
        <v/>
      </c>
      <c r="L8" s="10">
        <f>IFERROR(INDEX(KC_CURVAS!$C$5:$C$15,MATCH("ALGODÃO|"&amp;$G8,KC_CURVAS!$K$5:$K$15,0)),IFERROR(INDEX(KC_CURVAS!$C$5:$C$15,MATCH("ALGODÃO"&amp;"|",KC_CURVAS!$K$5:$K$15,0)),""))</f>
        <v/>
      </c>
      <c r="M8" s="10">
        <f>IFERROR(INDEX(KC_CURVAS!$D$5:$D$15,MATCH("ALGODÃO|"&amp;$G8,KC_CURVAS!$K$5:$K$15,0)),IFERROR(INDEX(KC_CURVAS!$D$5:$D$15,MATCH("ALGODÃO"&amp;"|",KC_CURVAS!$K$5:$K$15,0)),""))</f>
        <v/>
      </c>
      <c r="N8" s="10">
        <f>IFERROR(INDEX(KC_CURVAS!$E$5:$E$15,MATCH("ALGODÃO|"&amp;$G8,KC_CURVAS!$K$5:$K$15,0)),IFERROR(INDEX(KC_CURVAS!$E$5:$E$15,MATCH("ALGODÃO"&amp;"|",KC_CURVAS!$K$5:$K$15,0)),""))</f>
        <v/>
      </c>
      <c r="O8" s="10">
        <f>IFERROR(INDEX(KC_CURVAS!$F$5:$F$15,MATCH("ALGODÃO|"&amp;$G8,KC_CURVAS!$K$5:$K$15,0)),IFERROR(INDEX(KC_CURVAS!$F$5:$F$15,MATCH("ALGODÃO"&amp;"|",KC_CURVAS!$K$5:$K$15,0)),""))</f>
        <v/>
      </c>
      <c r="P8" s="11">
        <f>IFERROR(INDEX(KC_CURVAS!$G$5:$G$15,MATCH("ALGODÃO|"&amp;$G8,KC_CURVAS!$K$5:$K$15,0)),IFERROR(INDEX(KC_CURVAS!$G$5:$G$15,MATCH("ALGODÃO"&amp;"|",KC_CURVAS!$K$5:$K$15,0)),""))</f>
        <v/>
      </c>
      <c r="Q8" s="11">
        <f>IFERROR(INDEX(KC_CURVAS!$H$5:$H$15,MATCH("ALGODÃO|"&amp;$G8,KC_CURVAS!$K$5:$K$15,0)),IFERROR(INDEX(KC_CURVAS!$H$5:$H$15,MATCH("ALGODÃO"&amp;"|",KC_CURVAS!$K$5:$K$15,0)),""))</f>
        <v/>
      </c>
      <c r="R8" s="11">
        <f>IFERROR(INDEX(KC_CURVAS!$I$5:$I$15,MATCH("ALGODÃO|"&amp;$G8,KC_CURVAS!$K$5:$K$15,0)),IFERROR(INDEX(KC_CURVAS!$I$5:$I$15,MATCH("ALGODÃO"&amp;"|",KC_CURVAS!$K$5:$K$15,0)),""))</f>
        <v/>
      </c>
      <c r="S8" s="12">
        <f>IF(OR($K8="",$L8=""),"PENDENTE",IF($K8&lt;=$L8,$P8,IF($K8&lt;=$L8+$M8,$P8+($Q8-$P8)*($K8-$L8)/$M8,IF($K8&lt;=$L8+$M8+$N8,$Q8,IF($K8&lt;=$L8+$M8+$N8+$O8,$Q8+($R8-$Q8)*($K8-($L8+$M8+$N8))/$O8,$R8)))))</f>
        <v/>
      </c>
      <c r="T8" s="13">
        <f>IF($I8="","",$I8)</f>
        <v/>
      </c>
      <c r="U8" s="14">
        <f>IF($T8="","",SUMIFS(ETO_DIARIO!$B$5:$B$404,ETO_DIARIO!$A$5:$A$404,"&gt;"&amp;$T8,ETO_DIARIO!$A$5:$A$404,"&lt;="&amp;DATA_REF))</f>
        <v/>
      </c>
      <c r="V8" s="14">
        <f>IF($T8="","",SUMIFS(ETO_DIARIO!$C$5:$C$404,ETO_DIARIO!$A$5:$A$404,"&gt;"&amp;$T8,ETO_DIARIO!$A$5:$A$404,"&lt;="&amp;DATA_REF))</f>
        <v/>
      </c>
      <c r="W8" s="14">
        <f>IF(OR($S8="",$S8="PENDENTE",$U8=""),"",$S8*$U8)</f>
        <v/>
      </c>
      <c r="X8" s="14">
        <f>IF($W8="","",MAX(0,$W8-N($V8)))</f>
        <v/>
      </c>
      <c r="Y8" s="14">
        <f>IF($X8="","",$X8/EF_APLIC)</f>
        <v/>
      </c>
      <c r="Z8" s="15" t="n">
        <v>120</v>
      </c>
      <c r="AA8" s="16">
        <f>IF(OR($Y8="",$Z8=""),"",$Y8*$Z8*10)</f>
        <v/>
      </c>
      <c r="AB8" s="17" t="n">
        <v>0.5649999999999999</v>
      </c>
      <c r="AC8" s="16">
        <f>IF(OR($AA8="",$AB8=""),"",$AA8*$AB8)</f>
        <v/>
      </c>
      <c r="AD8" s="18">
        <f>IF($S8="PENDENTE","Definir classe/Kc",IF($Y8="","-",IF($Y8&gt;='PARAMETROS'!$B$7/EF_APLIC,"Irrigar",IF($Y8&gt;='PARAMETROS'!$B$7/EF_APLIC*FRAC_ACOMP,"Acompanhar","Aguardar"))))</f>
        <v/>
      </c>
      <c r="AE8" s="18">
        <f>IF(OR($Y8="",$Y8=0),"-",IF($Y8&gt;=2*'PARAMETROS'!$B$7/EF_APLIC,"Alta",IF($Y8&gt;='PARAMETROS'!$B$7/EF_APLIC,"Media","Baixa")))</f>
        <v/>
      </c>
    </row>
    <row r="9">
      <c r="A9" s="5" t="inlineStr">
        <is>
          <t>Pivô 10</t>
        </is>
      </c>
      <c r="B9" s="5" t="inlineStr">
        <is>
          <t>Karitel</t>
        </is>
      </c>
      <c r="C9" s="5" t="inlineStr">
        <is>
          <t>R3</t>
        </is>
      </c>
      <c r="D9" s="5" t="inlineStr">
        <is>
          <t>Modulo 1</t>
        </is>
      </c>
      <c r="E9" s="5" t="inlineStr">
        <is>
          <t>ALGODÃO</t>
        </is>
      </c>
      <c r="F9" s="6" t="inlineStr">
        <is>
          <t>IMA 5901 B2RF</t>
        </is>
      </c>
      <c r="G9" s="7" t="inlineStr">
        <is>
          <t>MÉDIO</t>
        </is>
      </c>
      <c r="H9" s="5" t="inlineStr">
        <is>
          <t>proximo</t>
        </is>
      </c>
      <c r="I9" s="8" t="n">
        <v>46352</v>
      </c>
      <c r="J9" s="9">
        <f>IF($I9="","",DATA_REF-$I9)</f>
        <v/>
      </c>
      <c r="K9" s="9">
        <f>IF($J9="","",MAX(0,$J9-'PARAMETROS'!$B$11))</f>
        <v/>
      </c>
      <c r="L9" s="10">
        <f>IFERROR(INDEX(KC_CURVAS!$C$5:$C$15,MATCH("ALGODÃO|"&amp;$G9,KC_CURVAS!$K$5:$K$15,0)),IFERROR(INDEX(KC_CURVAS!$C$5:$C$15,MATCH("ALGODÃO"&amp;"|",KC_CURVAS!$K$5:$K$15,0)),""))</f>
        <v/>
      </c>
      <c r="M9" s="10">
        <f>IFERROR(INDEX(KC_CURVAS!$D$5:$D$15,MATCH("ALGODÃO|"&amp;$G9,KC_CURVAS!$K$5:$K$15,0)),IFERROR(INDEX(KC_CURVAS!$D$5:$D$15,MATCH("ALGODÃO"&amp;"|",KC_CURVAS!$K$5:$K$15,0)),""))</f>
        <v/>
      </c>
      <c r="N9" s="10">
        <f>IFERROR(INDEX(KC_CURVAS!$E$5:$E$15,MATCH("ALGODÃO|"&amp;$G9,KC_CURVAS!$K$5:$K$15,0)),IFERROR(INDEX(KC_CURVAS!$E$5:$E$15,MATCH("ALGODÃO"&amp;"|",KC_CURVAS!$K$5:$K$15,0)),""))</f>
        <v/>
      </c>
      <c r="O9" s="10">
        <f>IFERROR(INDEX(KC_CURVAS!$F$5:$F$15,MATCH("ALGODÃO|"&amp;$G9,KC_CURVAS!$K$5:$K$15,0)),IFERROR(INDEX(KC_CURVAS!$F$5:$F$15,MATCH("ALGODÃO"&amp;"|",KC_CURVAS!$K$5:$K$15,0)),""))</f>
        <v/>
      </c>
      <c r="P9" s="11">
        <f>IFERROR(INDEX(KC_CURVAS!$G$5:$G$15,MATCH("ALGODÃO|"&amp;$G9,KC_CURVAS!$K$5:$K$15,0)),IFERROR(INDEX(KC_CURVAS!$G$5:$G$15,MATCH("ALGODÃO"&amp;"|",KC_CURVAS!$K$5:$K$15,0)),""))</f>
        <v/>
      </c>
      <c r="Q9" s="11">
        <f>IFERROR(INDEX(KC_CURVAS!$H$5:$H$15,MATCH("ALGODÃO|"&amp;$G9,KC_CURVAS!$K$5:$K$15,0)),IFERROR(INDEX(KC_CURVAS!$H$5:$H$15,MATCH("ALGODÃO"&amp;"|",KC_CURVAS!$K$5:$K$15,0)),""))</f>
        <v/>
      </c>
      <c r="R9" s="11">
        <f>IFERROR(INDEX(KC_CURVAS!$I$5:$I$15,MATCH("ALGODÃO|"&amp;$G9,KC_CURVAS!$K$5:$K$15,0)),IFERROR(INDEX(KC_CURVAS!$I$5:$I$15,MATCH("ALGODÃO"&amp;"|",KC_CURVAS!$K$5:$K$15,0)),""))</f>
        <v/>
      </c>
      <c r="S9" s="12">
        <f>IF(OR($K9="",$L9=""),"PENDENTE",IF($K9&lt;=$L9,$P9,IF($K9&lt;=$L9+$M9,$P9+($Q9-$P9)*($K9-$L9)/$M9,IF($K9&lt;=$L9+$M9+$N9,$Q9,IF($K9&lt;=$L9+$M9+$N9+$O9,$Q9+($R9-$Q9)*($K9-($L9+$M9+$N9))/$O9,$R9)))))</f>
        <v/>
      </c>
      <c r="T9" s="13">
        <f>IF($I9="","",$I9)</f>
        <v/>
      </c>
      <c r="U9" s="14">
        <f>IF($T9="","",SUMIFS(ETO_DIARIO!$B$5:$B$404,ETO_DIARIO!$A$5:$A$404,"&gt;"&amp;$T9,ETO_DIARIO!$A$5:$A$404,"&lt;="&amp;DATA_REF))</f>
        <v/>
      </c>
      <c r="V9" s="14">
        <f>IF($T9="","",SUMIFS(ETO_DIARIO!$C$5:$C$404,ETO_DIARIO!$A$5:$A$404,"&gt;"&amp;$T9,ETO_DIARIO!$A$5:$A$404,"&lt;="&amp;DATA_REF))</f>
        <v/>
      </c>
      <c r="W9" s="14">
        <f>IF(OR($S9="",$S9="PENDENTE",$U9=""),"",$S9*$U9)</f>
        <v/>
      </c>
      <c r="X9" s="14">
        <f>IF($W9="","",MAX(0,$W9-N($V9)))</f>
        <v/>
      </c>
      <c r="Y9" s="14">
        <f>IF($X9="","",$X9/EF_APLIC)</f>
        <v/>
      </c>
      <c r="Z9" s="15" t="n">
        <v>150</v>
      </c>
      <c r="AA9" s="16">
        <f>IF(OR($Y9="",$Z9=""),"",$Y9*$Z9*10)</f>
        <v/>
      </c>
      <c r="AB9" s="17" t="n">
        <v>0.5659999999999999</v>
      </c>
      <c r="AC9" s="16">
        <f>IF(OR($AA9="",$AB9=""),"",$AA9*$AB9)</f>
        <v/>
      </c>
      <c r="AD9" s="18">
        <f>IF($S9="PENDENTE","Definir classe/Kc",IF($Y9="","-",IF($Y9&gt;='PARAMETROS'!$B$7/EF_APLIC,"Irrigar",IF($Y9&gt;='PARAMETROS'!$B$7/EF_APLIC*FRAC_ACOMP,"Acompanhar","Aguardar"))))</f>
        <v/>
      </c>
      <c r="AE9" s="18">
        <f>IF(OR($Y9="",$Y9=0),"-",IF($Y9&gt;=2*'PARAMETROS'!$B$7/EF_APLIC,"Alta",IF($Y9&gt;='PARAMETROS'!$B$7/EF_APLIC,"Media","Baixa")))</f>
        <v/>
      </c>
    </row>
    <row r="10">
      <c r="A10" s="5" t="inlineStr">
        <is>
          <t>Pivô 11</t>
        </is>
      </c>
      <c r="B10" s="5" t="inlineStr">
        <is>
          <t>Karitel</t>
        </is>
      </c>
      <c r="C10" s="5" t="inlineStr">
        <is>
          <t>R5</t>
        </is>
      </c>
      <c r="D10" s="5" t="inlineStr">
        <is>
          <t>Modulo 1</t>
        </is>
      </c>
      <c r="E10" s="5" t="inlineStr">
        <is>
          <t>ALGODÃO</t>
        </is>
      </c>
      <c r="F10" s="6" t="inlineStr">
        <is>
          <t>IMA 5901 B2RF</t>
        </is>
      </c>
      <c r="G10" s="7" t="inlineStr">
        <is>
          <t>MÉDIO</t>
        </is>
      </c>
      <c r="H10" s="5" t="inlineStr">
        <is>
          <t>proximo</t>
        </is>
      </c>
      <c r="I10" s="8" t="n">
        <v>46353</v>
      </c>
      <c r="J10" s="9">
        <f>IF($I10="","",DATA_REF-$I10)</f>
        <v/>
      </c>
      <c r="K10" s="9">
        <f>IF($J10="","",MAX(0,$J10-'PARAMETROS'!$B$11))</f>
        <v/>
      </c>
      <c r="L10" s="10">
        <f>IFERROR(INDEX(KC_CURVAS!$C$5:$C$15,MATCH("ALGODÃO|"&amp;$G10,KC_CURVAS!$K$5:$K$15,0)),IFERROR(INDEX(KC_CURVAS!$C$5:$C$15,MATCH("ALGODÃO"&amp;"|",KC_CURVAS!$K$5:$K$15,0)),""))</f>
        <v/>
      </c>
      <c r="M10" s="10">
        <f>IFERROR(INDEX(KC_CURVAS!$D$5:$D$15,MATCH("ALGODÃO|"&amp;$G10,KC_CURVAS!$K$5:$K$15,0)),IFERROR(INDEX(KC_CURVAS!$D$5:$D$15,MATCH("ALGODÃO"&amp;"|",KC_CURVAS!$K$5:$K$15,0)),""))</f>
        <v/>
      </c>
      <c r="N10" s="10">
        <f>IFERROR(INDEX(KC_CURVAS!$E$5:$E$15,MATCH("ALGODÃO|"&amp;$G10,KC_CURVAS!$K$5:$K$15,0)),IFERROR(INDEX(KC_CURVAS!$E$5:$E$15,MATCH("ALGODÃO"&amp;"|",KC_CURVAS!$K$5:$K$15,0)),""))</f>
        <v/>
      </c>
      <c r="O10" s="10">
        <f>IFERROR(INDEX(KC_CURVAS!$F$5:$F$15,MATCH("ALGODÃO|"&amp;$G10,KC_CURVAS!$K$5:$K$15,0)),IFERROR(INDEX(KC_CURVAS!$F$5:$F$15,MATCH("ALGODÃO"&amp;"|",KC_CURVAS!$K$5:$K$15,0)),""))</f>
        <v/>
      </c>
      <c r="P10" s="11">
        <f>IFERROR(INDEX(KC_CURVAS!$G$5:$G$15,MATCH("ALGODÃO|"&amp;$G10,KC_CURVAS!$K$5:$K$15,0)),IFERROR(INDEX(KC_CURVAS!$G$5:$G$15,MATCH("ALGODÃO"&amp;"|",KC_CURVAS!$K$5:$K$15,0)),""))</f>
        <v/>
      </c>
      <c r="Q10" s="11">
        <f>IFERROR(INDEX(KC_CURVAS!$H$5:$H$15,MATCH("ALGODÃO|"&amp;$G10,KC_CURVAS!$K$5:$K$15,0)),IFERROR(INDEX(KC_CURVAS!$H$5:$H$15,MATCH("ALGODÃO"&amp;"|",KC_CURVAS!$K$5:$K$15,0)),""))</f>
        <v/>
      </c>
      <c r="R10" s="11">
        <f>IFERROR(INDEX(KC_CURVAS!$I$5:$I$15,MATCH("ALGODÃO|"&amp;$G10,KC_CURVAS!$K$5:$K$15,0)),IFERROR(INDEX(KC_CURVAS!$I$5:$I$15,MATCH("ALGODÃO"&amp;"|",KC_CURVAS!$K$5:$K$15,0)),""))</f>
        <v/>
      </c>
      <c r="S10" s="12">
        <f>IF(OR($K10="",$L10=""),"PENDENTE",IF($K10&lt;=$L10,$P10,IF($K10&lt;=$L10+$M10,$P10+($Q10-$P10)*($K10-$L10)/$M10,IF($K10&lt;=$L10+$M10+$N10,$Q10,IF($K10&lt;=$L10+$M10+$N10+$O10,$Q10+($R10-$Q10)*($K10-($L10+$M10+$N10))/$O10,$R10)))))</f>
        <v/>
      </c>
      <c r="T10" s="13">
        <f>IF($I10="","",$I10)</f>
        <v/>
      </c>
      <c r="U10" s="14">
        <f>IF($T10="","",SUMIFS(ETO_DIARIO!$B$5:$B$404,ETO_DIARIO!$A$5:$A$404,"&gt;"&amp;$T10,ETO_DIARIO!$A$5:$A$404,"&lt;="&amp;DATA_REF))</f>
        <v/>
      </c>
      <c r="V10" s="14">
        <f>IF($T10="","",SUMIFS(ETO_DIARIO!$C$5:$C$404,ETO_DIARIO!$A$5:$A$404,"&gt;"&amp;$T10,ETO_DIARIO!$A$5:$A$404,"&lt;="&amp;DATA_REF))</f>
        <v/>
      </c>
      <c r="W10" s="14">
        <f>IF(OR($S10="",$S10="PENDENTE",$U10=""),"",$S10*$U10)</f>
        <v/>
      </c>
      <c r="X10" s="14">
        <f>IF($W10="","",MAX(0,$W10-N($V10)))</f>
        <v/>
      </c>
      <c r="Y10" s="14">
        <f>IF($X10="","",$X10/EF_APLIC)</f>
        <v/>
      </c>
      <c r="Z10" s="15" t="n">
        <v>121</v>
      </c>
      <c r="AA10" s="16">
        <f>IF(OR($Y10="",$Z10=""),"",$Y10*$Z10*10)</f>
        <v/>
      </c>
      <c r="AB10" s="17" t="n">
        <v>0.577</v>
      </c>
      <c r="AC10" s="16">
        <f>IF(OR($AA10="",$AB10=""),"",$AA10*$AB10)</f>
        <v/>
      </c>
      <c r="AD10" s="18">
        <f>IF($S10="PENDENTE","Definir classe/Kc",IF($Y10="","-",IF($Y10&gt;='PARAMETROS'!$B$7/EF_APLIC,"Irrigar",IF($Y10&gt;='PARAMETROS'!$B$7/EF_APLIC*FRAC_ACOMP,"Acompanhar","Aguardar"))))</f>
        <v/>
      </c>
      <c r="AE10" s="18">
        <f>IF(OR($Y10="",$Y10=0),"-",IF($Y10&gt;=2*'PARAMETROS'!$B$7/EF_APLIC,"Alta",IF($Y10&gt;='PARAMETROS'!$B$7/EF_APLIC,"Media","Baixa")))</f>
        <v/>
      </c>
    </row>
    <row r="11">
      <c r="A11" s="5" t="inlineStr">
        <is>
          <t>Pivô 18</t>
        </is>
      </c>
      <c r="B11" s="5" t="inlineStr">
        <is>
          <t>Karitel</t>
        </is>
      </c>
      <c r="C11" s="5" t="inlineStr">
        <is>
          <t>R2</t>
        </is>
      </c>
      <c r="D11" s="5" t="inlineStr">
        <is>
          <t>Modulo 1</t>
        </is>
      </c>
      <c r="E11" s="5" t="inlineStr">
        <is>
          <t>ALGODÃO</t>
        </is>
      </c>
      <c r="F11" s="6" t="inlineStr">
        <is>
          <t>IMA 3764 B2RF</t>
        </is>
      </c>
      <c r="G11" s="7" t="inlineStr">
        <is>
          <t>TARDIO</t>
        </is>
      </c>
      <c r="H11" s="5" t="inlineStr">
        <is>
          <t>proximo</t>
        </is>
      </c>
      <c r="I11" s="8" t="n">
        <v>46416</v>
      </c>
      <c r="J11" s="9">
        <f>IF($I11="","",DATA_REF-$I11)</f>
        <v/>
      </c>
      <c r="K11" s="9">
        <f>IF($J11="","",MAX(0,$J11-'PARAMETROS'!$B$11))</f>
        <v/>
      </c>
      <c r="L11" s="10">
        <f>IFERROR(INDEX(KC_CURVAS!$C$5:$C$15,MATCH("ALGODÃO|"&amp;$G11,KC_CURVAS!$K$5:$K$15,0)),IFERROR(INDEX(KC_CURVAS!$C$5:$C$15,MATCH("ALGODÃO"&amp;"|",KC_CURVAS!$K$5:$K$15,0)),""))</f>
        <v/>
      </c>
      <c r="M11" s="10">
        <f>IFERROR(INDEX(KC_CURVAS!$D$5:$D$15,MATCH("ALGODÃO|"&amp;$G11,KC_CURVAS!$K$5:$K$15,0)),IFERROR(INDEX(KC_CURVAS!$D$5:$D$15,MATCH("ALGODÃO"&amp;"|",KC_CURVAS!$K$5:$K$15,0)),""))</f>
        <v/>
      </c>
      <c r="N11" s="10">
        <f>IFERROR(INDEX(KC_CURVAS!$E$5:$E$15,MATCH("ALGODÃO|"&amp;$G11,KC_CURVAS!$K$5:$K$15,0)),IFERROR(INDEX(KC_CURVAS!$E$5:$E$15,MATCH("ALGODÃO"&amp;"|",KC_CURVAS!$K$5:$K$15,0)),""))</f>
        <v/>
      </c>
      <c r="O11" s="10">
        <f>IFERROR(INDEX(KC_CURVAS!$F$5:$F$15,MATCH("ALGODÃO|"&amp;$G11,KC_CURVAS!$K$5:$K$15,0)),IFERROR(INDEX(KC_CURVAS!$F$5:$F$15,MATCH("ALGODÃO"&amp;"|",KC_CURVAS!$K$5:$K$15,0)),""))</f>
        <v/>
      </c>
      <c r="P11" s="11">
        <f>IFERROR(INDEX(KC_CURVAS!$G$5:$G$15,MATCH("ALGODÃO|"&amp;$G11,KC_CURVAS!$K$5:$K$15,0)),IFERROR(INDEX(KC_CURVAS!$G$5:$G$15,MATCH("ALGODÃO"&amp;"|",KC_CURVAS!$K$5:$K$15,0)),""))</f>
        <v/>
      </c>
      <c r="Q11" s="11">
        <f>IFERROR(INDEX(KC_CURVAS!$H$5:$H$15,MATCH("ALGODÃO|"&amp;$G11,KC_CURVAS!$K$5:$K$15,0)),IFERROR(INDEX(KC_CURVAS!$H$5:$H$15,MATCH("ALGODÃO"&amp;"|",KC_CURVAS!$K$5:$K$15,0)),""))</f>
        <v/>
      </c>
      <c r="R11" s="11">
        <f>IFERROR(INDEX(KC_CURVAS!$I$5:$I$15,MATCH("ALGODÃO|"&amp;$G11,KC_CURVAS!$K$5:$K$15,0)),IFERROR(INDEX(KC_CURVAS!$I$5:$I$15,MATCH("ALGODÃO"&amp;"|",KC_CURVAS!$K$5:$K$15,0)),""))</f>
        <v/>
      </c>
      <c r="S11" s="12">
        <f>IF(OR($K11="",$L11=""),"PENDENTE",IF($K11&lt;=$L11,$P11,IF($K11&lt;=$L11+$M11,$P11+($Q11-$P11)*($K11-$L11)/$M11,IF($K11&lt;=$L11+$M11+$N11,$Q11,IF($K11&lt;=$L11+$M11+$N11+$O11,$Q11+($R11-$Q11)*($K11-($L11+$M11+$N11))/$O11,$R11)))))</f>
        <v/>
      </c>
      <c r="T11" s="13">
        <f>IF($I11="","",$I11)</f>
        <v/>
      </c>
      <c r="U11" s="14">
        <f>IF($T11="","",SUMIFS(ETO_DIARIO!$B$5:$B$404,ETO_DIARIO!$A$5:$A$404,"&gt;"&amp;$T11,ETO_DIARIO!$A$5:$A$404,"&lt;="&amp;DATA_REF))</f>
        <v/>
      </c>
      <c r="V11" s="14">
        <f>IF($T11="","",SUMIFS(ETO_DIARIO!$C$5:$C$404,ETO_DIARIO!$A$5:$A$404,"&gt;"&amp;$T11,ETO_DIARIO!$A$5:$A$404,"&lt;="&amp;DATA_REF))</f>
        <v/>
      </c>
      <c r="W11" s="14">
        <f>IF(OR($S11="",$S11="PENDENTE",$U11=""),"",$S11*$U11)</f>
        <v/>
      </c>
      <c r="X11" s="14">
        <f>IF($W11="","",MAX(0,$W11-N($V11)))</f>
        <v/>
      </c>
      <c r="Y11" s="14">
        <f>IF($X11="","",$X11/EF_APLIC)</f>
        <v/>
      </c>
      <c r="Z11" s="15" t="n">
        <v>150</v>
      </c>
      <c r="AA11" s="16">
        <f>IF(OR($Y11="",$Z11=""),"",$Y11*$Z11*10)</f>
        <v/>
      </c>
      <c r="AB11" s="17" t="n">
        <v>0.513</v>
      </c>
      <c r="AC11" s="16">
        <f>IF(OR($AA11="",$AB11=""),"",$AA11*$AB11)</f>
        <v/>
      </c>
      <c r="AD11" s="18">
        <f>IF($S11="PENDENTE","Definir classe/Kc",IF($Y11="","-",IF($Y11&gt;='PARAMETROS'!$B$7/EF_APLIC,"Irrigar",IF($Y11&gt;='PARAMETROS'!$B$7/EF_APLIC*FRAC_ACOMP,"Acompanhar","Aguardar"))))</f>
        <v/>
      </c>
      <c r="AE11" s="18">
        <f>IF(OR($Y11="",$Y11=0),"-",IF($Y11&gt;=2*'PARAMETROS'!$B$7/EF_APLIC,"Alta",IF($Y11&gt;='PARAMETROS'!$B$7/EF_APLIC,"Media","Baixa")))</f>
        <v/>
      </c>
    </row>
    <row r="12">
      <c r="A12" s="5" t="inlineStr">
        <is>
          <t>Pivô 23</t>
        </is>
      </c>
      <c r="B12" s="5" t="inlineStr">
        <is>
          <t>Karitel</t>
        </is>
      </c>
      <c r="C12" s="5" t="inlineStr">
        <is>
          <t>R6</t>
        </is>
      </c>
      <c r="D12" s="5" t="inlineStr">
        <is>
          <t>Modulo 1</t>
        </is>
      </c>
      <c r="E12" s="5" t="inlineStr">
        <is>
          <t>ALGODÃO</t>
        </is>
      </c>
      <c r="F12" s="6" t="inlineStr">
        <is>
          <t>FM 974 GLT</t>
        </is>
      </c>
      <c r="G12" s="7" t="inlineStr">
        <is>
          <t>MÉDIO</t>
        </is>
      </c>
      <c r="H12" s="5" t="inlineStr">
        <is>
          <t>proximo</t>
        </is>
      </c>
      <c r="I12" s="8" t="n">
        <v>46353</v>
      </c>
      <c r="J12" s="9">
        <f>IF($I12="","",DATA_REF-$I12)</f>
        <v/>
      </c>
      <c r="K12" s="9">
        <f>IF($J12="","",MAX(0,$J12-'PARAMETROS'!$B$11))</f>
        <v/>
      </c>
      <c r="L12" s="10">
        <f>IFERROR(INDEX(KC_CURVAS!$C$5:$C$15,MATCH("ALGODÃO|"&amp;$G12,KC_CURVAS!$K$5:$K$15,0)),IFERROR(INDEX(KC_CURVAS!$C$5:$C$15,MATCH("ALGODÃO"&amp;"|",KC_CURVAS!$K$5:$K$15,0)),""))</f>
        <v/>
      </c>
      <c r="M12" s="10">
        <f>IFERROR(INDEX(KC_CURVAS!$D$5:$D$15,MATCH("ALGODÃO|"&amp;$G12,KC_CURVAS!$K$5:$K$15,0)),IFERROR(INDEX(KC_CURVAS!$D$5:$D$15,MATCH("ALGODÃO"&amp;"|",KC_CURVAS!$K$5:$K$15,0)),""))</f>
        <v/>
      </c>
      <c r="N12" s="10">
        <f>IFERROR(INDEX(KC_CURVAS!$E$5:$E$15,MATCH("ALGODÃO|"&amp;$G12,KC_CURVAS!$K$5:$K$15,0)),IFERROR(INDEX(KC_CURVAS!$E$5:$E$15,MATCH("ALGODÃO"&amp;"|",KC_CURVAS!$K$5:$K$15,0)),""))</f>
        <v/>
      </c>
      <c r="O12" s="10">
        <f>IFERROR(INDEX(KC_CURVAS!$F$5:$F$15,MATCH("ALGODÃO|"&amp;$G12,KC_CURVAS!$K$5:$K$15,0)),IFERROR(INDEX(KC_CURVAS!$F$5:$F$15,MATCH("ALGODÃO"&amp;"|",KC_CURVAS!$K$5:$K$15,0)),""))</f>
        <v/>
      </c>
      <c r="P12" s="11">
        <f>IFERROR(INDEX(KC_CURVAS!$G$5:$G$15,MATCH("ALGODÃO|"&amp;$G12,KC_CURVAS!$K$5:$K$15,0)),IFERROR(INDEX(KC_CURVAS!$G$5:$G$15,MATCH("ALGODÃO"&amp;"|",KC_CURVAS!$K$5:$K$15,0)),""))</f>
        <v/>
      </c>
      <c r="Q12" s="11">
        <f>IFERROR(INDEX(KC_CURVAS!$H$5:$H$15,MATCH("ALGODÃO|"&amp;$G12,KC_CURVAS!$K$5:$K$15,0)),IFERROR(INDEX(KC_CURVAS!$H$5:$H$15,MATCH("ALGODÃO"&amp;"|",KC_CURVAS!$K$5:$K$15,0)),""))</f>
        <v/>
      </c>
      <c r="R12" s="11">
        <f>IFERROR(INDEX(KC_CURVAS!$I$5:$I$15,MATCH("ALGODÃO|"&amp;$G12,KC_CURVAS!$K$5:$K$15,0)),IFERROR(INDEX(KC_CURVAS!$I$5:$I$15,MATCH("ALGODÃO"&amp;"|",KC_CURVAS!$K$5:$K$15,0)),""))</f>
        <v/>
      </c>
      <c r="S12" s="12">
        <f>IF(OR($K12="",$L12=""),"PENDENTE",IF($K12&lt;=$L12,$P12,IF($K12&lt;=$L12+$M12,$P12+($Q12-$P12)*($K12-$L12)/$M12,IF($K12&lt;=$L12+$M12+$N12,$Q12,IF($K12&lt;=$L12+$M12+$N12+$O12,$Q12+($R12-$Q12)*($K12-($L12+$M12+$N12))/$O12,$R12)))))</f>
        <v/>
      </c>
      <c r="T12" s="13">
        <f>IF($I12="","",$I12)</f>
        <v/>
      </c>
      <c r="U12" s="14">
        <f>IF($T12="","",SUMIFS(ETO_DIARIO!$B$5:$B$404,ETO_DIARIO!$A$5:$A$404,"&gt;"&amp;$T12,ETO_DIARIO!$A$5:$A$404,"&lt;="&amp;DATA_REF))</f>
        <v/>
      </c>
      <c r="V12" s="14">
        <f>IF($T12="","",SUMIFS(ETO_DIARIO!$C$5:$C$404,ETO_DIARIO!$A$5:$A$404,"&gt;"&amp;$T12,ETO_DIARIO!$A$5:$A$404,"&lt;="&amp;DATA_REF))</f>
        <v/>
      </c>
      <c r="W12" s="14">
        <f>IF(OR($S12="",$S12="PENDENTE",$U12=""),"",$S12*$U12)</f>
        <v/>
      </c>
      <c r="X12" s="14">
        <f>IF($W12="","",MAX(0,$W12-N($V12)))</f>
        <v/>
      </c>
      <c r="Y12" s="14">
        <f>IF($X12="","",$X12/EF_APLIC)</f>
        <v/>
      </c>
      <c r="Z12" s="15" t="n">
        <v>150</v>
      </c>
      <c r="AA12" s="16">
        <f>IF(OR($Y12="",$Z12=""),"",$Y12*$Z12*10)</f>
        <v/>
      </c>
      <c r="AB12" s="17" t="n">
        <v>0.552</v>
      </c>
      <c r="AC12" s="16">
        <f>IF(OR($AA12="",$AB12=""),"",$AA12*$AB12)</f>
        <v/>
      </c>
      <c r="AD12" s="18">
        <f>IF($S12="PENDENTE","Definir classe/Kc",IF($Y12="","-",IF($Y12&gt;='PARAMETROS'!$B$7/EF_APLIC,"Irrigar",IF($Y12&gt;='PARAMETROS'!$B$7/EF_APLIC*FRAC_ACOMP,"Acompanhar","Aguardar"))))</f>
        <v/>
      </c>
      <c r="AE12" s="18">
        <f>IF(OR($Y12="",$Y12=0),"-",IF($Y12&gt;=2*'PARAMETROS'!$B$7/EF_APLIC,"Alta",IF($Y12&gt;='PARAMETROS'!$B$7/EF_APLIC,"Media","Baixa")))</f>
        <v/>
      </c>
    </row>
    <row r="13">
      <c r="A13" s="5" t="inlineStr">
        <is>
          <t>Pivô 39</t>
        </is>
      </c>
      <c r="B13" s="5" t="inlineStr">
        <is>
          <t>Karitel</t>
        </is>
      </c>
      <c r="C13" s="5" t="inlineStr">
        <is>
          <t>R10</t>
        </is>
      </c>
      <c r="D13" s="5" t="inlineStr">
        <is>
          <t>Modulo 2</t>
        </is>
      </c>
      <c r="E13" s="5" t="inlineStr">
        <is>
          <t>ALGODÃO</t>
        </is>
      </c>
      <c r="F13" s="6" t="inlineStr">
        <is>
          <t>FM 979 STP/IMA 303 B3XF/DP 2335 B3XF/IMA 712 B3XF/GA 912 B3XF/IMA 497 B3XF</t>
        </is>
      </c>
      <c r="G13" s="7" t="inlineStr"/>
      <c r="H13" s="5" t="inlineStr">
        <is>
          <t>proximo</t>
        </is>
      </c>
      <c r="I13" s="8" t="n">
        <v>46360</v>
      </c>
      <c r="J13" s="9">
        <f>IF($I13="","",DATA_REF-$I13)</f>
        <v/>
      </c>
      <c r="K13" s="9">
        <f>IF($J13="","",MAX(0,$J13-'PARAMETROS'!$B$11))</f>
        <v/>
      </c>
      <c r="L13" s="10">
        <f>IFERROR(INDEX(KC_CURVAS!$C$5:$C$15,MATCH("ALGODÃO|"&amp;$G13,KC_CURVAS!$K$5:$K$15,0)),IFERROR(INDEX(KC_CURVAS!$C$5:$C$15,MATCH("ALGODÃO"&amp;"|",KC_CURVAS!$K$5:$K$15,0)),""))</f>
        <v/>
      </c>
      <c r="M13" s="10">
        <f>IFERROR(INDEX(KC_CURVAS!$D$5:$D$15,MATCH("ALGODÃO|"&amp;$G13,KC_CURVAS!$K$5:$K$15,0)),IFERROR(INDEX(KC_CURVAS!$D$5:$D$15,MATCH("ALGODÃO"&amp;"|",KC_CURVAS!$K$5:$K$15,0)),""))</f>
        <v/>
      </c>
      <c r="N13" s="10">
        <f>IFERROR(INDEX(KC_CURVAS!$E$5:$E$15,MATCH("ALGODÃO|"&amp;$G13,KC_CURVAS!$K$5:$K$15,0)),IFERROR(INDEX(KC_CURVAS!$E$5:$E$15,MATCH("ALGODÃO"&amp;"|",KC_CURVAS!$K$5:$K$15,0)),""))</f>
        <v/>
      </c>
      <c r="O13" s="10">
        <f>IFERROR(INDEX(KC_CURVAS!$F$5:$F$15,MATCH("ALGODÃO|"&amp;$G13,KC_CURVAS!$K$5:$K$15,0)),IFERROR(INDEX(KC_CURVAS!$F$5:$F$15,MATCH("ALGODÃO"&amp;"|",KC_CURVAS!$K$5:$K$15,0)),""))</f>
        <v/>
      </c>
      <c r="P13" s="11">
        <f>IFERROR(INDEX(KC_CURVAS!$G$5:$G$15,MATCH("ALGODÃO|"&amp;$G13,KC_CURVAS!$K$5:$K$15,0)),IFERROR(INDEX(KC_CURVAS!$G$5:$G$15,MATCH("ALGODÃO"&amp;"|",KC_CURVAS!$K$5:$K$15,0)),""))</f>
        <v/>
      </c>
      <c r="Q13" s="11">
        <f>IFERROR(INDEX(KC_CURVAS!$H$5:$H$15,MATCH("ALGODÃO|"&amp;$G13,KC_CURVAS!$K$5:$K$15,0)),IFERROR(INDEX(KC_CURVAS!$H$5:$H$15,MATCH("ALGODÃO"&amp;"|",KC_CURVAS!$K$5:$K$15,0)),""))</f>
        <v/>
      </c>
      <c r="R13" s="11">
        <f>IFERROR(INDEX(KC_CURVAS!$I$5:$I$15,MATCH("ALGODÃO|"&amp;$G13,KC_CURVAS!$K$5:$K$15,0)),IFERROR(INDEX(KC_CURVAS!$I$5:$I$15,MATCH("ALGODÃO"&amp;"|",KC_CURVAS!$K$5:$K$15,0)),""))</f>
        <v/>
      </c>
      <c r="S13" s="12">
        <f>IF(OR($K13="",$L13=""),"PENDENTE",IF($K13&lt;=$L13,$P13,IF($K13&lt;=$L13+$M13,$P13+($Q13-$P13)*($K13-$L13)/$M13,IF($K13&lt;=$L13+$M13+$N13,$Q13,IF($K13&lt;=$L13+$M13+$N13+$O13,$Q13+($R13-$Q13)*($K13-($L13+$M13+$N13))/$O13,$R13)))))</f>
        <v/>
      </c>
      <c r="T13" s="13">
        <f>IF($I13="","",$I13)</f>
        <v/>
      </c>
      <c r="U13" s="14">
        <f>IF($T13="","",SUMIFS(ETO_DIARIO!$B$5:$B$404,ETO_DIARIO!$A$5:$A$404,"&gt;"&amp;$T13,ETO_DIARIO!$A$5:$A$404,"&lt;="&amp;DATA_REF))</f>
        <v/>
      </c>
      <c r="V13" s="14">
        <f>IF($T13="","",SUMIFS(ETO_DIARIO!$C$5:$C$404,ETO_DIARIO!$A$5:$A$404,"&gt;"&amp;$T13,ETO_DIARIO!$A$5:$A$404,"&lt;="&amp;DATA_REF))</f>
        <v/>
      </c>
      <c r="W13" s="14">
        <f>IF(OR($S13="",$S13="PENDENTE",$U13=""),"",$S13*$U13)</f>
        <v/>
      </c>
      <c r="X13" s="14">
        <f>IF($W13="","",MAX(0,$W13-N($V13)))</f>
        <v/>
      </c>
      <c r="Y13" s="14">
        <f>IF($X13="","",$X13/EF_APLIC)</f>
        <v/>
      </c>
      <c r="Z13" s="15" t="n">
        <v>100</v>
      </c>
      <c r="AA13" s="16">
        <f>IF(OR($Y13="",$Z13=""),"",$Y13*$Z13*10)</f>
        <v/>
      </c>
      <c r="AB13" s="17" t="n">
        <v>0.461</v>
      </c>
      <c r="AC13" s="16">
        <f>IF(OR($AA13="",$AB13=""),"",$AA13*$AB13)</f>
        <v/>
      </c>
      <c r="AD13" s="18">
        <f>IF($S13="PENDENTE","Definir classe/Kc",IF($Y13="","-",IF($Y13&gt;='PARAMETROS'!$B$7/EF_APLIC,"Irrigar",IF($Y13&gt;='PARAMETROS'!$B$7/EF_APLIC*FRAC_ACOMP,"Acompanhar","Aguardar"))))</f>
        <v/>
      </c>
      <c r="AE13" s="18">
        <f>IF(OR($Y13="",$Y13=0),"-",IF($Y13&gt;=2*'PARAMETROS'!$B$7/EF_APLIC,"Alta",IF($Y13&gt;='PARAMETROS'!$B$7/EF_APLIC,"Media","Baixa")))</f>
        <v/>
      </c>
    </row>
    <row r="14">
      <c r="A14" s="5" t="inlineStr">
        <is>
          <t>Pivô 62</t>
        </is>
      </c>
      <c r="B14" s="5" t="inlineStr">
        <is>
          <t>Karitel</t>
        </is>
      </c>
      <c r="C14" s="5" t="inlineStr">
        <is>
          <t>R16</t>
        </is>
      </c>
      <c r="D14" s="5" t="inlineStr">
        <is>
          <t>Modulo 3</t>
        </is>
      </c>
      <c r="E14" s="5" t="inlineStr">
        <is>
          <t>ALGODÃO</t>
        </is>
      </c>
      <c r="F14" s="6" t="inlineStr">
        <is>
          <t>FM 911 GLTP</t>
        </is>
      </c>
      <c r="G14" s="7" t="inlineStr">
        <is>
          <t>PRECOCE</t>
        </is>
      </c>
      <c r="H14" s="5" t="inlineStr">
        <is>
          <t>proximo</t>
        </is>
      </c>
      <c r="I14" s="8" t="n">
        <v>46404</v>
      </c>
      <c r="J14" s="9">
        <f>IF($I14="","",DATA_REF-$I14)</f>
        <v/>
      </c>
      <c r="K14" s="9">
        <f>IF($J14="","",MAX(0,$J14-'PARAMETROS'!$B$11))</f>
        <v/>
      </c>
      <c r="L14" s="10">
        <f>IFERROR(INDEX(KC_CURVAS!$C$5:$C$15,MATCH("ALGODÃO|"&amp;$G14,KC_CURVAS!$K$5:$K$15,0)),IFERROR(INDEX(KC_CURVAS!$C$5:$C$15,MATCH("ALGODÃO"&amp;"|",KC_CURVAS!$K$5:$K$15,0)),""))</f>
        <v/>
      </c>
      <c r="M14" s="10">
        <f>IFERROR(INDEX(KC_CURVAS!$D$5:$D$15,MATCH("ALGODÃO|"&amp;$G14,KC_CURVAS!$K$5:$K$15,0)),IFERROR(INDEX(KC_CURVAS!$D$5:$D$15,MATCH("ALGODÃO"&amp;"|",KC_CURVAS!$K$5:$K$15,0)),""))</f>
        <v/>
      </c>
      <c r="N14" s="10">
        <f>IFERROR(INDEX(KC_CURVAS!$E$5:$E$15,MATCH("ALGODÃO|"&amp;$G14,KC_CURVAS!$K$5:$K$15,0)),IFERROR(INDEX(KC_CURVAS!$E$5:$E$15,MATCH("ALGODÃO"&amp;"|",KC_CURVAS!$K$5:$K$15,0)),""))</f>
        <v/>
      </c>
      <c r="O14" s="10">
        <f>IFERROR(INDEX(KC_CURVAS!$F$5:$F$15,MATCH("ALGODÃO|"&amp;$G14,KC_CURVAS!$K$5:$K$15,0)),IFERROR(INDEX(KC_CURVAS!$F$5:$F$15,MATCH("ALGODÃO"&amp;"|",KC_CURVAS!$K$5:$K$15,0)),""))</f>
        <v/>
      </c>
      <c r="P14" s="11">
        <f>IFERROR(INDEX(KC_CURVAS!$G$5:$G$15,MATCH("ALGODÃO|"&amp;$G14,KC_CURVAS!$K$5:$K$15,0)),IFERROR(INDEX(KC_CURVAS!$G$5:$G$15,MATCH("ALGODÃO"&amp;"|",KC_CURVAS!$K$5:$K$15,0)),""))</f>
        <v/>
      </c>
      <c r="Q14" s="11">
        <f>IFERROR(INDEX(KC_CURVAS!$H$5:$H$15,MATCH("ALGODÃO|"&amp;$G14,KC_CURVAS!$K$5:$K$15,0)),IFERROR(INDEX(KC_CURVAS!$H$5:$H$15,MATCH("ALGODÃO"&amp;"|",KC_CURVAS!$K$5:$K$15,0)),""))</f>
        <v/>
      </c>
      <c r="R14" s="11">
        <f>IFERROR(INDEX(KC_CURVAS!$I$5:$I$15,MATCH("ALGODÃO|"&amp;$G14,KC_CURVAS!$K$5:$K$15,0)),IFERROR(INDEX(KC_CURVAS!$I$5:$I$15,MATCH("ALGODÃO"&amp;"|",KC_CURVAS!$K$5:$K$15,0)),""))</f>
        <v/>
      </c>
      <c r="S14" s="12">
        <f>IF(OR($K14="",$L14=""),"PENDENTE",IF($K14&lt;=$L14,$P14,IF($K14&lt;=$L14+$M14,$P14+($Q14-$P14)*($K14-$L14)/$M14,IF($K14&lt;=$L14+$M14+$N14,$Q14,IF($K14&lt;=$L14+$M14+$N14+$O14,$Q14+($R14-$Q14)*($K14-($L14+$M14+$N14))/$O14,$R14)))))</f>
        <v/>
      </c>
      <c r="T14" s="13">
        <f>IF($I14="","",$I14)</f>
        <v/>
      </c>
      <c r="U14" s="14">
        <f>IF($T14="","",SUMIFS(ETO_DIARIO!$B$5:$B$404,ETO_DIARIO!$A$5:$A$404,"&gt;"&amp;$T14,ETO_DIARIO!$A$5:$A$404,"&lt;="&amp;DATA_REF))</f>
        <v/>
      </c>
      <c r="V14" s="14">
        <f>IF($T14="","",SUMIFS(ETO_DIARIO!$C$5:$C$404,ETO_DIARIO!$A$5:$A$404,"&gt;"&amp;$T14,ETO_DIARIO!$A$5:$A$404,"&lt;="&amp;DATA_REF))</f>
        <v/>
      </c>
      <c r="W14" s="14">
        <f>IF(OR($S14="",$S14="PENDENTE",$U14=""),"",$S14*$U14)</f>
        <v/>
      </c>
      <c r="X14" s="14">
        <f>IF($W14="","",MAX(0,$W14-N($V14)))</f>
        <v/>
      </c>
      <c r="Y14" s="14">
        <f>IF($X14="","",$X14/EF_APLIC)</f>
        <v/>
      </c>
      <c r="Z14" s="15" t="n">
        <v>140</v>
      </c>
      <c r="AA14" s="16">
        <f>IF(OR($Y14="",$Z14=""),"",$Y14*$Z14*10)</f>
        <v/>
      </c>
      <c r="AB14" s="17" t="n">
        <v>0.827</v>
      </c>
      <c r="AC14" s="16">
        <f>IF(OR($AA14="",$AB14=""),"",$AA14*$AB14)</f>
        <v/>
      </c>
      <c r="AD14" s="18">
        <f>IF($S14="PENDENTE","Definir classe/Kc",IF($Y14="","-",IF($Y14&gt;='PARAMETROS'!$B$7/EF_APLIC,"Irrigar",IF($Y14&gt;='PARAMETROS'!$B$7/EF_APLIC*FRAC_ACOMP,"Acompanhar","Aguardar"))))</f>
        <v/>
      </c>
      <c r="AE14" s="18">
        <f>IF(OR($Y14="",$Y14=0),"-",IF($Y14&gt;=2*'PARAMETROS'!$B$7/EF_APLIC,"Alta",IF($Y14&gt;='PARAMETROS'!$B$7/EF_APLIC,"Media","Baixa")))</f>
        <v/>
      </c>
    </row>
    <row r="15">
      <c r="A15" s="5" t="inlineStr">
        <is>
          <t>Pivô 69</t>
        </is>
      </c>
      <c r="B15" s="5" t="inlineStr">
        <is>
          <t>Karitel</t>
        </is>
      </c>
      <c r="C15" s="5" t="inlineStr">
        <is>
          <t>R17</t>
        </is>
      </c>
      <c r="D15" s="5" t="inlineStr">
        <is>
          <t>Modulo 3</t>
        </is>
      </c>
      <c r="E15" s="5" t="inlineStr">
        <is>
          <t>ALGODÃO</t>
        </is>
      </c>
      <c r="F15" s="6" t="inlineStr">
        <is>
          <t>IMA 3764 B2RF</t>
        </is>
      </c>
      <c r="G15" s="7" t="inlineStr">
        <is>
          <t>TARDIO</t>
        </is>
      </c>
      <c r="H15" s="5" t="inlineStr">
        <is>
          <t>proximo</t>
        </is>
      </c>
      <c r="I15" s="8" t="n">
        <v>46354</v>
      </c>
      <c r="J15" s="9">
        <f>IF($I15="","",DATA_REF-$I15)</f>
        <v/>
      </c>
      <c r="K15" s="9">
        <f>IF($J15="","",MAX(0,$J15-'PARAMETROS'!$B$11))</f>
        <v/>
      </c>
      <c r="L15" s="10">
        <f>IFERROR(INDEX(KC_CURVAS!$C$5:$C$15,MATCH("ALGODÃO|"&amp;$G15,KC_CURVAS!$K$5:$K$15,0)),IFERROR(INDEX(KC_CURVAS!$C$5:$C$15,MATCH("ALGODÃO"&amp;"|",KC_CURVAS!$K$5:$K$15,0)),""))</f>
        <v/>
      </c>
      <c r="M15" s="10">
        <f>IFERROR(INDEX(KC_CURVAS!$D$5:$D$15,MATCH("ALGODÃO|"&amp;$G15,KC_CURVAS!$K$5:$K$15,0)),IFERROR(INDEX(KC_CURVAS!$D$5:$D$15,MATCH("ALGODÃO"&amp;"|",KC_CURVAS!$K$5:$K$15,0)),""))</f>
        <v/>
      </c>
      <c r="N15" s="10">
        <f>IFERROR(INDEX(KC_CURVAS!$E$5:$E$15,MATCH("ALGODÃO|"&amp;$G15,KC_CURVAS!$K$5:$K$15,0)),IFERROR(INDEX(KC_CURVAS!$E$5:$E$15,MATCH("ALGODÃO"&amp;"|",KC_CURVAS!$K$5:$K$15,0)),""))</f>
        <v/>
      </c>
      <c r="O15" s="10">
        <f>IFERROR(INDEX(KC_CURVAS!$F$5:$F$15,MATCH("ALGODÃO|"&amp;$G15,KC_CURVAS!$K$5:$K$15,0)),IFERROR(INDEX(KC_CURVAS!$F$5:$F$15,MATCH("ALGODÃO"&amp;"|",KC_CURVAS!$K$5:$K$15,0)),""))</f>
        <v/>
      </c>
      <c r="P15" s="11">
        <f>IFERROR(INDEX(KC_CURVAS!$G$5:$G$15,MATCH("ALGODÃO|"&amp;$G15,KC_CURVAS!$K$5:$K$15,0)),IFERROR(INDEX(KC_CURVAS!$G$5:$G$15,MATCH("ALGODÃO"&amp;"|",KC_CURVAS!$K$5:$K$15,0)),""))</f>
        <v/>
      </c>
      <c r="Q15" s="11">
        <f>IFERROR(INDEX(KC_CURVAS!$H$5:$H$15,MATCH("ALGODÃO|"&amp;$G15,KC_CURVAS!$K$5:$K$15,0)),IFERROR(INDEX(KC_CURVAS!$H$5:$H$15,MATCH("ALGODÃO"&amp;"|",KC_CURVAS!$K$5:$K$15,0)),""))</f>
        <v/>
      </c>
      <c r="R15" s="11">
        <f>IFERROR(INDEX(KC_CURVAS!$I$5:$I$15,MATCH("ALGODÃO|"&amp;$G15,KC_CURVAS!$K$5:$K$15,0)),IFERROR(INDEX(KC_CURVAS!$I$5:$I$15,MATCH("ALGODÃO"&amp;"|",KC_CURVAS!$K$5:$K$15,0)),""))</f>
        <v/>
      </c>
      <c r="S15" s="12">
        <f>IF(OR($K15="",$L15=""),"PENDENTE",IF($K15&lt;=$L15,$P15,IF($K15&lt;=$L15+$M15,$P15+($Q15-$P15)*($K15-$L15)/$M15,IF($K15&lt;=$L15+$M15+$N15,$Q15,IF($K15&lt;=$L15+$M15+$N15+$O15,$Q15+($R15-$Q15)*($K15-($L15+$M15+$N15))/$O15,$R15)))))</f>
        <v/>
      </c>
      <c r="T15" s="13">
        <f>IF($I15="","",$I15)</f>
        <v/>
      </c>
      <c r="U15" s="14">
        <f>IF($T15="","",SUMIFS(ETO_DIARIO!$B$5:$B$404,ETO_DIARIO!$A$5:$A$404,"&gt;"&amp;$T15,ETO_DIARIO!$A$5:$A$404,"&lt;="&amp;DATA_REF))</f>
        <v/>
      </c>
      <c r="V15" s="14">
        <f>IF($T15="","",SUMIFS(ETO_DIARIO!$C$5:$C$404,ETO_DIARIO!$A$5:$A$404,"&gt;"&amp;$T15,ETO_DIARIO!$A$5:$A$404,"&lt;="&amp;DATA_REF))</f>
        <v/>
      </c>
      <c r="W15" s="14">
        <f>IF(OR($S15="",$S15="PENDENTE",$U15=""),"",$S15*$U15)</f>
        <v/>
      </c>
      <c r="X15" s="14">
        <f>IF($W15="","",MAX(0,$W15-N($V15)))</f>
        <v/>
      </c>
      <c r="Y15" s="14">
        <f>IF($X15="","",$X15/EF_APLIC)</f>
        <v/>
      </c>
      <c r="Z15" s="15" t="n">
        <v>80</v>
      </c>
      <c r="AA15" s="16">
        <f>IF(OR($Y15="",$Z15=""),"",$Y15*$Z15*10)</f>
        <v/>
      </c>
      <c r="AB15" s="17" t="n">
        <v>0.974</v>
      </c>
      <c r="AC15" s="16">
        <f>IF(OR($AA15="",$AB15=""),"",$AA15*$AB15)</f>
        <v/>
      </c>
      <c r="AD15" s="18">
        <f>IF($S15="PENDENTE","Definir classe/Kc",IF($Y15="","-",IF($Y15&gt;='PARAMETROS'!$B$7/EF_APLIC,"Irrigar",IF($Y15&gt;='PARAMETROS'!$B$7/EF_APLIC*FRAC_ACOMP,"Acompanhar","Aguardar"))))</f>
        <v/>
      </c>
      <c r="AE15" s="18">
        <f>IF(OR($Y15="",$Y15=0),"-",IF($Y15&gt;=2*'PARAMETROS'!$B$7/EF_APLIC,"Alta",IF($Y15&gt;='PARAMETROS'!$B$7/EF_APLIC,"Media","Baixa")))</f>
        <v/>
      </c>
    </row>
    <row r="16">
      <c r="A16" s="5" t="inlineStr">
        <is>
          <t>Pivô 70</t>
        </is>
      </c>
      <c r="B16" s="5" t="inlineStr">
        <is>
          <t>Karitel</t>
        </is>
      </c>
      <c r="C16" s="5" t="inlineStr">
        <is>
          <t>R17</t>
        </is>
      </c>
      <c r="D16" s="5" t="inlineStr">
        <is>
          <t>Modulo 3</t>
        </is>
      </c>
      <c r="E16" s="5" t="inlineStr">
        <is>
          <t>ALGODÃO</t>
        </is>
      </c>
      <c r="F16" s="6" t="inlineStr">
        <is>
          <t>IMA 3764 B2RF</t>
        </is>
      </c>
      <c r="G16" s="7" t="inlineStr">
        <is>
          <t>TARDIO</t>
        </is>
      </c>
      <c r="H16" s="5" t="inlineStr">
        <is>
          <t>proximo</t>
        </is>
      </c>
      <c r="I16" s="8" t="n">
        <v>46369</v>
      </c>
      <c r="J16" s="9">
        <f>IF($I16="","",DATA_REF-$I16)</f>
        <v/>
      </c>
      <c r="K16" s="9">
        <f>IF($J16="","",MAX(0,$J16-'PARAMETROS'!$B$11))</f>
        <v/>
      </c>
      <c r="L16" s="10">
        <f>IFERROR(INDEX(KC_CURVAS!$C$5:$C$15,MATCH("ALGODÃO|"&amp;$G16,KC_CURVAS!$K$5:$K$15,0)),IFERROR(INDEX(KC_CURVAS!$C$5:$C$15,MATCH("ALGODÃO"&amp;"|",KC_CURVAS!$K$5:$K$15,0)),""))</f>
        <v/>
      </c>
      <c r="M16" s="10">
        <f>IFERROR(INDEX(KC_CURVAS!$D$5:$D$15,MATCH("ALGODÃO|"&amp;$G16,KC_CURVAS!$K$5:$K$15,0)),IFERROR(INDEX(KC_CURVAS!$D$5:$D$15,MATCH("ALGODÃO"&amp;"|",KC_CURVAS!$K$5:$K$15,0)),""))</f>
        <v/>
      </c>
      <c r="N16" s="10">
        <f>IFERROR(INDEX(KC_CURVAS!$E$5:$E$15,MATCH("ALGODÃO|"&amp;$G16,KC_CURVAS!$K$5:$K$15,0)),IFERROR(INDEX(KC_CURVAS!$E$5:$E$15,MATCH("ALGODÃO"&amp;"|",KC_CURVAS!$K$5:$K$15,0)),""))</f>
        <v/>
      </c>
      <c r="O16" s="10">
        <f>IFERROR(INDEX(KC_CURVAS!$F$5:$F$15,MATCH("ALGODÃO|"&amp;$G16,KC_CURVAS!$K$5:$K$15,0)),IFERROR(INDEX(KC_CURVAS!$F$5:$F$15,MATCH("ALGODÃO"&amp;"|",KC_CURVAS!$K$5:$K$15,0)),""))</f>
        <v/>
      </c>
      <c r="P16" s="11">
        <f>IFERROR(INDEX(KC_CURVAS!$G$5:$G$15,MATCH("ALGODÃO|"&amp;$G16,KC_CURVAS!$K$5:$K$15,0)),IFERROR(INDEX(KC_CURVAS!$G$5:$G$15,MATCH("ALGODÃO"&amp;"|",KC_CURVAS!$K$5:$K$15,0)),""))</f>
        <v/>
      </c>
      <c r="Q16" s="11">
        <f>IFERROR(INDEX(KC_CURVAS!$H$5:$H$15,MATCH("ALGODÃO|"&amp;$G16,KC_CURVAS!$K$5:$K$15,0)),IFERROR(INDEX(KC_CURVAS!$H$5:$H$15,MATCH("ALGODÃO"&amp;"|",KC_CURVAS!$K$5:$K$15,0)),""))</f>
        <v/>
      </c>
      <c r="R16" s="11">
        <f>IFERROR(INDEX(KC_CURVAS!$I$5:$I$15,MATCH("ALGODÃO|"&amp;$G16,KC_CURVAS!$K$5:$K$15,0)),IFERROR(INDEX(KC_CURVAS!$I$5:$I$15,MATCH("ALGODÃO"&amp;"|",KC_CURVAS!$K$5:$K$15,0)),""))</f>
        <v/>
      </c>
      <c r="S16" s="12">
        <f>IF(OR($K16="",$L16=""),"PENDENTE",IF($K16&lt;=$L16,$P16,IF($K16&lt;=$L16+$M16,$P16+($Q16-$P16)*($K16-$L16)/$M16,IF($K16&lt;=$L16+$M16+$N16,$Q16,IF($K16&lt;=$L16+$M16+$N16+$O16,$Q16+($R16-$Q16)*($K16-($L16+$M16+$N16))/$O16,$R16)))))</f>
        <v/>
      </c>
      <c r="T16" s="13">
        <f>IF($I16="","",$I16)</f>
        <v/>
      </c>
      <c r="U16" s="14">
        <f>IF($T16="","",SUMIFS(ETO_DIARIO!$B$5:$B$404,ETO_DIARIO!$A$5:$A$404,"&gt;"&amp;$T16,ETO_DIARIO!$A$5:$A$404,"&lt;="&amp;DATA_REF))</f>
        <v/>
      </c>
      <c r="V16" s="14">
        <f>IF($T16="","",SUMIFS(ETO_DIARIO!$C$5:$C$404,ETO_DIARIO!$A$5:$A$404,"&gt;"&amp;$T16,ETO_DIARIO!$A$5:$A$404,"&lt;="&amp;DATA_REF))</f>
        <v/>
      </c>
      <c r="W16" s="14">
        <f>IF(OR($S16="",$S16="PENDENTE",$U16=""),"",$S16*$U16)</f>
        <v/>
      </c>
      <c r="X16" s="14">
        <f>IF($W16="","",MAX(0,$W16-N($V16)))</f>
        <v/>
      </c>
      <c r="Y16" s="14">
        <f>IF($X16="","",$X16/EF_APLIC)</f>
        <v/>
      </c>
      <c r="Z16" s="15" t="n">
        <v>150</v>
      </c>
      <c r="AA16" s="16">
        <f>IF(OR($Y16="",$Z16=""),"",$Y16*$Z16*10)</f>
        <v/>
      </c>
      <c r="AB16" s="17" t="n">
        <v>0.8149999999999999</v>
      </c>
      <c r="AC16" s="16">
        <f>IF(OR($AA16="",$AB16=""),"",$AA16*$AB16)</f>
        <v/>
      </c>
      <c r="AD16" s="18">
        <f>IF($S16="PENDENTE","Definir classe/Kc",IF($Y16="","-",IF($Y16&gt;='PARAMETROS'!$B$7/EF_APLIC,"Irrigar",IF($Y16&gt;='PARAMETROS'!$B$7/EF_APLIC*FRAC_ACOMP,"Acompanhar","Aguardar"))))</f>
        <v/>
      </c>
      <c r="AE16" s="18">
        <f>IF(OR($Y16="",$Y16=0),"-",IF($Y16&gt;=2*'PARAMETROS'!$B$7/EF_APLIC,"Alta",IF($Y16&gt;='PARAMETROS'!$B$7/EF_APLIC,"Media","Baixa")))</f>
        <v/>
      </c>
    </row>
    <row r="17">
      <c r="A17" s="5" t="inlineStr">
        <is>
          <t>Pivô 74</t>
        </is>
      </c>
      <c r="B17" s="5" t="inlineStr">
        <is>
          <t>Karitel</t>
        </is>
      </c>
      <c r="C17" s="5" t="inlineStr">
        <is>
          <t>R12</t>
        </is>
      </c>
      <c r="D17" s="5" t="inlineStr">
        <is>
          <t>Modulo 2</t>
        </is>
      </c>
      <c r="E17" s="5" t="inlineStr">
        <is>
          <t>ALGODÃO</t>
        </is>
      </c>
      <c r="F17" s="6" t="inlineStr">
        <is>
          <t>IMA 5901 B2RF</t>
        </is>
      </c>
      <c r="G17" s="7" t="inlineStr">
        <is>
          <t>MÉDIO</t>
        </is>
      </c>
      <c r="H17" s="5" t="inlineStr">
        <is>
          <t>proximo</t>
        </is>
      </c>
      <c r="I17" s="8" t="n">
        <v>46411</v>
      </c>
      <c r="J17" s="9">
        <f>IF($I17="","",DATA_REF-$I17)</f>
        <v/>
      </c>
      <c r="K17" s="9">
        <f>IF($J17="","",MAX(0,$J17-'PARAMETROS'!$B$11))</f>
        <v/>
      </c>
      <c r="L17" s="10">
        <f>IFERROR(INDEX(KC_CURVAS!$C$5:$C$15,MATCH("ALGODÃO|"&amp;$G17,KC_CURVAS!$K$5:$K$15,0)),IFERROR(INDEX(KC_CURVAS!$C$5:$C$15,MATCH("ALGODÃO"&amp;"|",KC_CURVAS!$K$5:$K$15,0)),""))</f>
        <v/>
      </c>
      <c r="M17" s="10">
        <f>IFERROR(INDEX(KC_CURVAS!$D$5:$D$15,MATCH("ALGODÃO|"&amp;$G17,KC_CURVAS!$K$5:$K$15,0)),IFERROR(INDEX(KC_CURVAS!$D$5:$D$15,MATCH("ALGODÃO"&amp;"|",KC_CURVAS!$K$5:$K$15,0)),""))</f>
        <v/>
      </c>
      <c r="N17" s="10">
        <f>IFERROR(INDEX(KC_CURVAS!$E$5:$E$15,MATCH("ALGODÃO|"&amp;$G17,KC_CURVAS!$K$5:$K$15,0)),IFERROR(INDEX(KC_CURVAS!$E$5:$E$15,MATCH("ALGODÃO"&amp;"|",KC_CURVAS!$K$5:$K$15,0)),""))</f>
        <v/>
      </c>
      <c r="O17" s="10">
        <f>IFERROR(INDEX(KC_CURVAS!$F$5:$F$15,MATCH("ALGODÃO|"&amp;$G17,KC_CURVAS!$K$5:$K$15,0)),IFERROR(INDEX(KC_CURVAS!$F$5:$F$15,MATCH("ALGODÃO"&amp;"|",KC_CURVAS!$K$5:$K$15,0)),""))</f>
        <v/>
      </c>
      <c r="P17" s="11">
        <f>IFERROR(INDEX(KC_CURVAS!$G$5:$G$15,MATCH("ALGODÃO|"&amp;$G17,KC_CURVAS!$K$5:$K$15,0)),IFERROR(INDEX(KC_CURVAS!$G$5:$G$15,MATCH("ALGODÃO"&amp;"|",KC_CURVAS!$K$5:$K$15,0)),""))</f>
        <v/>
      </c>
      <c r="Q17" s="11">
        <f>IFERROR(INDEX(KC_CURVAS!$H$5:$H$15,MATCH("ALGODÃO|"&amp;$G17,KC_CURVAS!$K$5:$K$15,0)),IFERROR(INDEX(KC_CURVAS!$H$5:$H$15,MATCH("ALGODÃO"&amp;"|",KC_CURVAS!$K$5:$K$15,0)),""))</f>
        <v/>
      </c>
      <c r="R17" s="11">
        <f>IFERROR(INDEX(KC_CURVAS!$I$5:$I$15,MATCH("ALGODÃO|"&amp;$G17,KC_CURVAS!$K$5:$K$15,0)),IFERROR(INDEX(KC_CURVAS!$I$5:$I$15,MATCH("ALGODÃO"&amp;"|",KC_CURVAS!$K$5:$K$15,0)),""))</f>
        <v/>
      </c>
      <c r="S17" s="12">
        <f>IF(OR($K17="",$L17=""),"PENDENTE",IF($K17&lt;=$L17,$P17,IF($K17&lt;=$L17+$M17,$P17+($Q17-$P17)*($K17-$L17)/$M17,IF($K17&lt;=$L17+$M17+$N17,$Q17,IF($K17&lt;=$L17+$M17+$N17+$O17,$Q17+($R17-$Q17)*($K17-($L17+$M17+$N17))/$O17,$R17)))))</f>
        <v/>
      </c>
      <c r="T17" s="13">
        <f>IF($I17="","",$I17)</f>
        <v/>
      </c>
      <c r="U17" s="14">
        <f>IF($T17="","",SUMIFS(ETO_DIARIO!$B$5:$B$404,ETO_DIARIO!$A$5:$A$404,"&gt;"&amp;$T17,ETO_DIARIO!$A$5:$A$404,"&lt;="&amp;DATA_REF))</f>
        <v/>
      </c>
      <c r="V17" s="14">
        <f>IF($T17="","",SUMIFS(ETO_DIARIO!$C$5:$C$404,ETO_DIARIO!$A$5:$A$404,"&gt;"&amp;$T17,ETO_DIARIO!$A$5:$A$404,"&lt;="&amp;DATA_REF))</f>
        <v/>
      </c>
      <c r="W17" s="14">
        <f>IF(OR($S17="",$S17="PENDENTE",$U17=""),"",$S17*$U17)</f>
        <v/>
      </c>
      <c r="X17" s="14">
        <f>IF($W17="","",MAX(0,$W17-N($V17)))</f>
        <v/>
      </c>
      <c r="Y17" s="14">
        <f>IF($X17="","",$X17/EF_APLIC)</f>
        <v/>
      </c>
      <c r="Z17" s="15" t="n">
        <v>160</v>
      </c>
      <c r="AA17" s="16">
        <f>IF(OR($Y17="",$Z17=""),"",$Y17*$Z17*10)</f>
        <v/>
      </c>
      <c r="AB17" s="17" t="n">
        <v>0.522</v>
      </c>
      <c r="AC17" s="16">
        <f>IF(OR($AA17="",$AB17=""),"",$AA17*$AB17)</f>
        <v/>
      </c>
      <c r="AD17" s="18">
        <f>IF($S17="PENDENTE","Definir classe/Kc",IF($Y17="","-",IF($Y17&gt;='PARAMETROS'!$B$7/EF_APLIC,"Irrigar",IF($Y17&gt;='PARAMETROS'!$B$7/EF_APLIC*FRAC_ACOMP,"Acompanhar","Aguardar"))))</f>
        <v/>
      </c>
      <c r="AE17" s="18">
        <f>IF(OR($Y17="",$Y17=0),"-",IF($Y17&gt;=2*'PARAMETROS'!$B$7/EF_APLIC,"Alta",IF($Y17&gt;='PARAMETROS'!$B$7/EF_APLIC,"Media","Baixa")))</f>
        <v/>
      </c>
    </row>
    <row r="18">
      <c r="A18" s="5" t="inlineStr">
        <is>
          <t>Pivô 101</t>
        </is>
      </c>
      <c r="B18" s="5" t="inlineStr">
        <is>
          <t>Rdm</t>
        </is>
      </c>
      <c r="C18" s="5" t="inlineStr">
        <is>
          <t>RM4</t>
        </is>
      </c>
      <c r="D18" s="5" t="inlineStr">
        <is>
          <t>RDM</t>
        </is>
      </c>
      <c r="E18" s="5" t="inlineStr">
        <is>
          <t>ALGODÃO</t>
        </is>
      </c>
      <c r="F18" s="6" t="inlineStr">
        <is>
          <t>IMA 5901 B2RF</t>
        </is>
      </c>
      <c r="G18" s="7" t="inlineStr">
        <is>
          <t>MÉDIO</t>
        </is>
      </c>
      <c r="H18" s="5" t="inlineStr">
        <is>
          <t>proximo</t>
        </is>
      </c>
      <c r="I18" s="8" t="n">
        <v>46359</v>
      </c>
      <c r="J18" s="9">
        <f>IF($I18="","",DATA_REF-$I18)</f>
        <v/>
      </c>
      <c r="K18" s="9">
        <f>IF($J18="","",MAX(0,$J18-'PARAMETROS'!$B$11))</f>
        <v/>
      </c>
      <c r="L18" s="10">
        <f>IFERROR(INDEX(KC_CURVAS!$C$5:$C$15,MATCH("ALGODÃO|"&amp;$G18,KC_CURVAS!$K$5:$K$15,0)),IFERROR(INDEX(KC_CURVAS!$C$5:$C$15,MATCH("ALGODÃO"&amp;"|",KC_CURVAS!$K$5:$K$15,0)),""))</f>
        <v/>
      </c>
      <c r="M18" s="10">
        <f>IFERROR(INDEX(KC_CURVAS!$D$5:$D$15,MATCH("ALGODÃO|"&amp;$G18,KC_CURVAS!$K$5:$K$15,0)),IFERROR(INDEX(KC_CURVAS!$D$5:$D$15,MATCH("ALGODÃO"&amp;"|",KC_CURVAS!$K$5:$K$15,0)),""))</f>
        <v/>
      </c>
      <c r="N18" s="10">
        <f>IFERROR(INDEX(KC_CURVAS!$E$5:$E$15,MATCH("ALGODÃO|"&amp;$G18,KC_CURVAS!$K$5:$K$15,0)),IFERROR(INDEX(KC_CURVAS!$E$5:$E$15,MATCH("ALGODÃO"&amp;"|",KC_CURVAS!$K$5:$K$15,0)),""))</f>
        <v/>
      </c>
      <c r="O18" s="10">
        <f>IFERROR(INDEX(KC_CURVAS!$F$5:$F$15,MATCH("ALGODÃO|"&amp;$G18,KC_CURVAS!$K$5:$K$15,0)),IFERROR(INDEX(KC_CURVAS!$F$5:$F$15,MATCH("ALGODÃO"&amp;"|",KC_CURVAS!$K$5:$K$15,0)),""))</f>
        <v/>
      </c>
      <c r="P18" s="11">
        <f>IFERROR(INDEX(KC_CURVAS!$G$5:$G$15,MATCH("ALGODÃO|"&amp;$G18,KC_CURVAS!$K$5:$K$15,0)),IFERROR(INDEX(KC_CURVAS!$G$5:$G$15,MATCH("ALGODÃO"&amp;"|",KC_CURVAS!$K$5:$K$15,0)),""))</f>
        <v/>
      </c>
      <c r="Q18" s="11">
        <f>IFERROR(INDEX(KC_CURVAS!$H$5:$H$15,MATCH("ALGODÃO|"&amp;$G18,KC_CURVAS!$K$5:$K$15,0)),IFERROR(INDEX(KC_CURVAS!$H$5:$H$15,MATCH("ALGODÃO"&amp;"|",KC_CURVAS!$K$5:$K$15,0)),""))</f>
        <v/>
      </c>
      <c r="R18" s="11">
        <f>IFERROR(INDEX(KC_CURVAS!$I$5:$I$15,MATCH("ALGODÃO|"&amp;$G18,KC_CURVAS!$K$5:$K$15,0)),IFERROR(INDEX(KC_CURVAS!$I$5:$I$15,MATCH("ALGODÃO"&amp;"|",KC_CURVAS!$K$5:$K$15,0)),""))</f>
        <v/>
      </c>
      <c r="S18" s="12">
        <f>IF(OR($K18="",$L18=""),"PENDENTE",IF($K18&lt;=$L18,$P18,IF($K18&lt;=$L18+$M18,$P18+($Q18-$P18)*($K18-$L18)/$M18,IF($K18&lt;=$L18+$M18+$N18,$Q18,IF($K18&lt;=$L18+$M18+$N18+$O18,$Q18+($R18-$Q18)*($K18-($L18+$M18+$N18))/$O18,$R18)))))</f>
        <v/>
      </c>
      <c r="T18" s="13">
        <f>IF($I18="","",$I18)</f>
        <v/>
      </c>
      <c r="U18" s="14">
        <f>IF($T18="","",SUMIFS(ETO_DIARIO!$B$5:$B$404,ETO_DIARIO!$A$5:$A$404,"&gt;"&amp;$T18,ETO_DIARIO!$A$5:$A$404,"&lt;="&amp;DATA_REF))</f>
        <v/>
      </c>
      <c r="V18" s="14">
        <f>IF($T18="","",SUMIFS(ETO_DIARIO!$C$5:$C$404,ETO_DIARIO!$A$5:$A$404,"&gt;"&amp;$T18,ETO_DIARIO!$A$5:$A$404,"&lt;="&amp;DATA_REF))</f>
        <v/>
      </c>
      <c r="W18" s="14">
        <f>IF(OR($S18="",$S18="PENDENTE",$U18=""),"",$S18*$U18)</f>
        <v/>
      </c>
      <c r="X18" s="14">
        <f>IF($W18="","",MAX(0,$W18-N($V18)))</f>
        <v/>
      </c>
      <c r="Y18" s="14">
        <f>IF($X18="","",$X18/EF_APLIC)</f>
        <v/>
      </c>
      <c r="Z18" s="15" t="n">
        <v>114</v>
      </c>
      <c r="AA18" s="16">
        <f>IF(OR($Y18="",$Z18=""),"",$Y18*$Z18*10)</f>
        <v/>
      </c>
      <c r="AB18" s="17" t="n">
        <v>0.632</v>
      </c>
      <c r="AC18" s="16">
        <f>IF(OR($AA18="",$AB18=""),"",$AA18*$AB18)</f>
        <v/>
      </c>
      <c r="AD18" s="18">
        <f>IF($S18="PENDENTE","Definir classe/Kc",IF($Y18="","-",IF($Y18&gt;='PARAMETROS'!$B$7/EF_APLIC,"Irrigar",IF($Y18&gt;='PARAMETROS'!$B$7/EF_APLIC*FRAC_ACOMP,"Acompanhar","Aguardar"))))</f>
        <v/>
      </c>
      <c r="AE18" s="18">
        <f>IF(OR($Y18="",$Y18=0),"-",IF($Y18&gt;=2*'PARAMETROS'!$B$7/EF_APLIC,"Alta",IF($Y18&gt;='PARAMETROS'!$B$7/EF_APLIC,"Media","Baixa")))</f>
        <v/>
      </c>
    </row>
    <row r="19">
      <c r="A19" s="5" t="inlineStr">
        <is>
          <t>Pivô 102</t>
        </is>
      </c>
      <c r="B19" s="5" t="inlineStr">
        <is>
          <t>Rdm</t>
        </is>
      </c>
      <c r="C19" s="5" t="inlineStr">
        <is>
          <t>RM4</t>
        </is>
      </c>
      <c r="D19" s="5" t="inlineStr">
        <is>
          <t>RDM</t>
        </is>
      </c>
      <c r="E19" s="5" t="inlineStr">
        <is>
          <t>ALGODÃO</t>
        </is>
      </c>
      <c r="F19" s="6" t="inlineStr">
        <is>
          <t>FM 974 GLT</t>
        </is>
      </c>
      <c r="G19" s="7" t="inlineStr">
        <is>
          <t>MÉDIO</t>
        </is>
      </c>
      <c r="H19" s="5" t="inlineStr">
        <is>
          <t>proximo</t>
        </is>
      </c>
      <c r="I19" s="8" t="n">
        <v>46367</v>
      </c>
      <c r="J19" s="9">
        <f>IF($I19="","",DATA_REF-$I19)</f>
        <v/>
      </c>
      <c r="K19" s="9">
        <f>IF($J19="","",MAX(0,$J19-'PARAMETROS'!$B$11))</f>
        <v/>
      </c>
      <c r="L19" s="10">
        <f>IFERROR(INDEX(KC_CURVAS!$C$5:$C$15,MATCH("ALGODÃO|"&amp;$G19,KC_CURVAS!$K$5:$K$15,0)),IFERROR(INDEX(KC_CURVAS!$C$5:$C$15,MATCH("ALGODÃO"&amp;"|",KC_CURVAS!$K$5:$K$15,0)),""))</f>
        <v/>
      </c>
      <c r="M19" s="10">
        <f>IFERROR(INDEX(KC_CURVAS!$D$5:$D$15,MATCH("ALGODÃO|"&amp;$G19,KC_CURVAS!$K$5:$K$15,0)),IFERROR(INDEX(KC_CURVAS!$D$5:$D$15,MATCH("ALGODÃO"&amp;"|",KC_CURVAS!$K$5:$K$15,0)),""))</f>
        <v/>
      </c>
      <c r="N19" s="10">
        <f>IFERROR(INDEX(KC_CURVAS!$E$5:$E$15,MATCH("ALGODÃO|"&amp;$G19,KC_CURVAS!$K$5:$K$15,0)),IFERROR(INDEX(KC_CURVAS!$E$5:$E$15,MATCH("ALGODÃO"&amp;"|",KC_CURVAS!$K$5:$K$15,0)),""))</f>
        <v/>
      </c>
      <c r="O19" s="10">
        <f>IFERROR(INDEX(KC_CURVAS!$F$5:$F$15,MATCH("ALGODÃO|"&amp;$G19,KC_CURVAS!$K$5:$K$15,0)),IFERROR(INDEX(KC_CURVAS!$F$5:$F$15,MATCH("ALGODÃO"&amp;"|",KC_CURVAS!$K$5:$K$15,0)),""))</f>
        <v/>
      </c>
      <c r="P19" s="11">
        <f>IFERROR(INDEX(KC_CURVAS!$G$5:$G$15,MATCH("ALGODÃO|"&amp;$G19,KC_CURVAS!$K$5:$K$15,0)),IFERROR(INDEX(KC_CURVAS!$G$5:$G$15,MATCH("ALGODÃO"&amp;"|",KC_CURVAS!$K$5:$K$15,0)),""))</f>
        <v/>
      </c>
      <c r="Q19" s="11">
        <f>IFERROR(INDEX(KC_CURVAS!$H$5:$H$15,MATCH("ALGODÃO|"&amp;$G19,KC_CURVAS!$K$5:$K$15,0)),IFERROR(INDEX(KC_CURVAS!$H$5:$H$15,MATCH("ALGODÃO"&amp;"|",KC_CURVAS!$K$5:$K$15,0)),""))</f>
        <v/>
      </c>
      <c r="R19" s="11">
        <f>IFERROR(INDEX(KC_CURVAS!$I$5:$I$15,MATCH("ALGODÃO|"&amp;$G19,KC_CURVAS!$K$5:$K$15,0)),IFERROR(INDEX(KC_CURVAS!$I$5:$I$15,MATCH("ALGODÃO"&amp;"|",KC_CURVAS!$K$5:$K$15,0)),""))</f>
        <v/>
      </c>
      <c r="S19" s="12">
        <f>IF(OR($K19="",$L19=""),"PENDENTE",IF($K19&lt;=$L19,$P19,IF($K19&lt;=$L19+$M19,$P19+($Q19-$P19)*($K19-$L19)/$M19,IF($K19&lt;=$L19+$M19+$N19,$Q19,IF($K19&lt;=$L19+$M19+$N19+$O19,$Q19+($R19-$Q19)*($K19-($L19+$M19+$N19))/$O19,$R19)))))</f>
        <v/>
      </c>
      <c r="T19" s="13">
        <f>IF($I19="","",$I19)</f>
        <v/>
      </c>
      <c r="U19" s="14">
        <f>IF($T19="","",SUMIFS(ETO_DIARIO!$B$5:$B$404,ETO_DIARIO!$A$5:$A$404,"&gt;"&amp;$T19,ETO_DIARIO!$A$5:$A$404,"&lt;="&amp;DATA_REF))</f>
        <v/>
      </c>
      <c r="V19" s="14">
        <f>IF($T19="","",SUMIFS(ETO_DIARIO!$C$5:$C$404,ETO_DIARIO!$A$5:$A$404,"&gt;"&amp;$T19,ETO_DIARIO!$A$5:$A$404,"&lt;="&amp;DATA_REF))</f>
        <v/>
      </c>
      <c r="W19" s="14">
        <f>IF(OR($S19="",$S19="PENDENTE",$U19=""),"",$S19*$U19)</f>
        <v/>
      </c>
      <c r="X19" s="14">
        <f>IF($W19="","",MAX(0,$W19-N($V19)))</f>
        <v/>
      </c>
      <c r="Y19" s="14">
        <f>IF($X19="","",$X19/EF_APLIC)</f>
        <v/>
      </c>
      <c r="Z19" s="15" t="n">
        <v>100</v>
      </c>
      <c r="AA19" s="16">
        <f>IF(OR($Y19="",$Z19=""),"",$Y19*$Z19*10)</f>
        <v/>
      </c>
      <c r="AB19" s="17" t="n">
        <v>0.621</v>
      </c>
      <c r="AC19" s="16">
        <f>IF(OR($AA19="",$AB19=""),"",$AA19*$AB19)</f>
        <v/>
      </c>
      <c r="AD19" s="18">
        <f>IF($S19="PENDENTE","Definir classe/Kc",IF($Y19="","-",IF($Y19&gt;='PARAMETROS'!$B$7/EF_APLIC,"Irrigar",IF($Y19&gt;='PARAMETROS'!$B$7/EF_APLIC*FRAC_ACOMP,"Acompanhar","Aguardar"))))</f>
        <v/>
      </c>
      <c r="AE19" s="18">
        <f>IF(OR($Y19="",$Y19=0),"-",IF($Y19&gt;=2*'PARAMETROS'!$B$7/EF_APLIC,"Alta",IF($Y19&gt;='PARAMETROS'!$B$7/EF_APLIC,"Media","Baixa")))</f>
        <v/>
      </c>
    </row>
    <row r="20">
      <c r="A20" s="5" t="inlineStr">
        <is>
          <t>Pivô 103</t>
        </is>
      </c>
      <c r="B20" s="5" t="inlineStr">
        <is>
          <t>Rdm</t>
        </is>
      </c>
      <c r="C20" s="5" t="inlineStr">
        <is>
          <t>RM4</t>
        </is>
      </c>
      <c r="D20" s="5" t="inlineStr">
        <is>
          <t>RDM</t>
        </is>
      </c>
      <c r="E20" s="5" t="inlineStr">
        <is>
          <t>ALGODÃO</t>
        </is>
      </c>
      <c r="F20" s="6" t="inlineStr">
        <is>
          <t>IMA 5901 B2RF</t>
        </is>
      </c>
      <c r="G20" s="7" t="inlineStr">
        <is>
          <t>MÉDIO</t>
        </is>
      </c>
      <c r="H20" s="5" t="inlineStr">
        <is>
          <t>proximo</t>
        </is>
      </c>
      <c r="I20" s="8" t="n">
        <v>46359</v>
      </c>
      <c r="J20" s="9">
        <f>IF($I20="","",DATA_REF-$I20)</f>
        <v/>
      </c>
      <c r="K20" s="9">
        <f>IF($J20="","",MAX(0,$J20-'PARAMETROS'!$B$11))</f>
        <v/>
      </c>
      <c r="L20" s="10">
        <f>IFERROR(INDEX(KC_CURVAS!$C$5:$C$15,MATCH("ALGODÃO|"&amp;$G20,KC_CURVAS!$K$5:$K$15,0)),IFERROR(INDEX(KC_CURVAS!$C$5:$C$15,MATCH("ALGODÃO"&amp;"|",KC_CURVAS!$K$5:$K$15,0)),""))</f>
        <v/>
      </c>
      <c r="M20" s="10">
        <f>IFERROR(INDEX(KC_CURVAS!$D$5:$D$15,MATCH("ALGODÃO|"&amp;$G20,KC_CURVAS!$K$5:$K$15,0)),IFERROR(INDEX(KC_CURVAS!$D$5:$D$15,MATCH("ALGODÃO"&amp;"|",KC_CURVAS!$K$5:$K$15,0)),""))</f>
        <v/>
      </c>
      <c r="N20" s="10">
        <f>IFERROR(INDEX(KC_CURVAS!$E$5:$E$15,MATCH("ALGODÃO|"&amp;$G20,KC_CURVAS!$K$5:$K$15,0)),IFERROR(INDEX(KC_CURVAS!$E$5:$E$15,MATCH("ALGODÃO"&amp;"|",KC_CURVAS!$K$5:$K$15,0)),""))</f>
        <v/>
      </c>
      <c r="O20" s="10">
        <f>IFERROR(INDEX(KC_CURVAS!$F$5:$F$15,MATCH("ALGODÃO|"&amp;$G20,KC_CURVAS!$K$5:$K$15,0)),IFERROR(INDEX(KC_CURVAS!$F$5:$F$15,MATCH("ALGODÃO"&amp;"|",KC_CURVAS!$K$5:$K$15,0)),""))</f>
        <v/>
      </c>
      <c r="P20" s="11">
        <f>IFERROR(INDEX(KC_CURVAS!$G$5:$G$15,MATCH("ALGODÃO|"&amp;$G20,KC_CURVAS!$K$5:$K$15,0)),IFERROR(INDEX(KC_CURVAS!$G$5:$G$15,MATCH("ALGODÃO"&amp;"|",KC_CURVAS!$K$5:$K$15,0)),""))</f>
        <v/>
      </c>
      <c r="Q20" s="11">
        <f>IFERROR(INDEX(KC_CURVAS!$H$5:$H$15,MATCH("ALGODÃO|"&amp;$G20,KC_CURVAS!$K$5:$K$15,0)),IFERROR(INDEX(KC_CURVAS!$H$5:$H$15,MATCH("ALGODÃO"&amp;"|",KC_CURVAS!$K$5:$K$15,0)),""))</f>
        <v/>
      </c>
      <c r="R20" s="11">
        <f>IFERROR(INDEX(KC_CURVAS!$I$5:$I$15,MATCH("ALGODÃO|"&amp;$G20,KC_CURVAS!$K$5:$K$15,0)),IFERROR(INDEX(KC_CURVAS!$I$5:$I$15,MATCH("ALGODÃO"&amp;"|",KC_CURVAS!$K$5:$K$15,0)),""))</f>
        <v/>
      </c>
      <c r="S20" s="12">
        <f>IF(OR($K20="",$L20=""),"PENDENTE",IF($K20&lt;=$L20,$P20,IF($K20&lt;=$L20+$M20,$P20+($Q20-$P20)*($K20-$L20)/$M20,IF($K20&lt;=$L20+$M20+$N20,$Q20,IF($K20&lt;=$L20+$M20+$N20+$O20,$Q20+($R20-$Q20)*($K20-($L20+$M20+$N20))/$O20,$R20)))))</f>
        <v/>
      </c>
      <c r="T20" s="13">
        <f>IF($I20="","",$I20)</f>
        <v/>
      </c>
      <c r="U20" s="14">
        <f>IF($T20="","",SUMIFS(ETO_DIARIO!$B$5:$B$404,ETO_DIARIO!$A$5:$A$404,"&gt;"&amp;$T20,ETO_DIARIO!$A$5:$A$404,"&lt;="&amp;DATA_REF))</f>
        <v/>
      </c>
      <c r="V20" s="14">
        <f>IF($T20="","",SUMIFS(ETO_DIARIO!$C$5:$C$404,ETO_DIARIO!$A$5:$A$404,"&gt;"&amp;$T20,ETO_DIARIO!$A$5:$A$404,"&lt;="&amp;DATA_REF))</f>
        <v/>
      </c>
      <c r="W20" s="14">
        <f>IF(OR($S20="",$S20="PENDENTE",$U20=""),"",$S20*$U20)</f>
        <v/>
      </c>
      <c r="X20" s="14">
        <f>IF($W20="","",MAX(0,$W20-N($V20)))</f>
        <v/>
      </c>
      <c r="Y20" s="14">
        <f>IF($X20="","",$X20/EF_APLIC)</f>
        <v/>
      </c>
      <c r="Z20" s="15" t="n">
        <v>100</v>
      </c>
      <c r="AA20" s="16">
        <f>IF(OR($Y20="",$Z20=""),"",$Y20*$Z20*10)</f>
        <v/>
      </c>
      <c r="AB20" s="17" t="n">
        <v>0.583</v>
      </c>
      <c r="AC20" s="16">
        <f>IF(OR($AA20="",$AB20=""),"",$AA20*$AB20)</f>
        <v/>
      </c>
      <c r="AD20" s="18">
        <f>IF($S20="PENDENTE","Definir classe/Kc",IF($Y20="","-",IF($Y20&gt;='PARAMETROS'!$B$7/EF_APLIC,"Irrigar",IF($Y20&gt;='PARAMETROS'!$B$7/EF_APLIC*FRAC_ACOMP,"Acompanhar","Aguardar"))))</f>
        <v/>
      </c>
      <c r="AE20" s="18">
        <f>IF(OR($Y20="",$Y20=0),"-",IF($Y20&gt;=2*'PARAMETROS'!$B$7/EF_APLIC,"Alta",IF($Y20&gt;='PARAMETROS'!$B$7/EF_APLIC,"Media","Baixa")))</f>
        <v/>
      </c>
    </row>
    <row r="21">
      <c r="A21" s="5" t="inlineStr">
        <is>
          <t>Pivô 108</t>
        </is>
      </c>
      <c r="B21" s="5" t="inlineStr">
        <is>
          <t>Rdm</t>
        </is>
      </c>
      <c r="C21" s="5" t="inlineStr">
        <is>
          <t>RM2</t>
        </is>
      </c>
      <c r="D21" s="5" t="inlineStr">
        <is>
          <t>RDM</t>
        </is>
      </c>
      <c r="E21" s="5" t="inlineStr">
        <is>
          <t>ALGODÃO</t>
        </is>
      </c>
      <c r="F21" s="6" t="inlineStr">
        <is>
          <t>IMA 5901 B2RF</t>
        </is>
      </c>
      <c r="G21" s="7" t="inlineStr">
        <is>
          <t>MÉDIO</t>
        </is>
      </c>
      <c r="H21" s="5" t="inlineStr">
        <is>
          <t>proximo</t>
        </is>
      </c>
      <c r="I21" s="8" t="n">
        <v>46360</v>
      </c>
      <c r="J21" s="9">
        <f>IF($I21="","",DATA_REF-$I21)</f>
        <v/>
      </c>
      <c r="K21" s="9">
        <f>IF($J21="","",MAX(0,$J21-'PARAMETROS'!$B$11))</f>
        <v/>
      </c>
      <c r="L21" s="10">
        <f>IFERROR(INDEX(KC_CURVAS!$C$5:$C$15,MATCH("ALGODÃO|"&amp;$G21,KC_CURVAS!$K$5:$K$15,0)),IFERROR(INDEX(KC_CURVAS!$C$5:$C$15,MATCH("ALGODÃO"&amp;"|",KC_CURVAS!$K$5:$K$15,0)),""))</f>
        <v/>
      </c>
      <c r="M21" s="10">
        <f>IFERROR(INDEX(KC_CURVAS!$D$5:$D$15,MATCH("ALGODÃO|"&amp;$G21,KC_CURVAS!$K$5:$K$15,0)),IFERROR(INDEX(KC_CURVAS!$D$5:$D$15,MATCH("ALGODÃO"&amp;"|",KC_CURVAS!$K$5:$K$15,0)),""))</f>
        <v/>
      </c>
      <c r="N21" s="10">
        <f>IFERROR(INDEX(KC_CURVAS!$E$5:$E$15,MATCH("ALGODÃO|"&amp;$G21,KC_CURVAS!$K$5:$K$15,0)),IFERROR(INDEX(KC_CURVAS!$E$5:$E$15,MATCH("ALGODÃO"&amp;"|",KC_CURVAS!$K$5:$K$15,0)),""))</f>
        <v/>
      </c>
      <c r="O21" s="10">
        <f>IFERROR(INDEX(KC_CURVAS!$F$5:$F$15,MATCH("ALGODÃO|"&amp;$G21,KC_CURVAS!$K$5:$K$15,0)),IFERROR(INDEX(KC_CURVAS!$F$5:$F$15,MATCH("ALGODÃO"&amp;"|",KC_CURVAS!$K$5:$K$15,0)),""))</f>
        <v/>
      </c>
      <c r="P21" s="11">
        <f>IFERROR(INDEX(KC_CURVAS!$G$5:$G$15,MATCH("ALGODÃO|"&amp;$G21,KC_CURVAS!$K$5:$K$15,0)),IFERROR(INDEX(KC_CURVAS!$G$5:$G$15,MATCH("ALGODÃO"&amp;"|",KC_CURVAS!$K$5:$K$15,0)),""))</f>
        <v/>
      </c>
      <c r="Q21" s="11">
        <f>IFERROR(INDEX(KC_CURVAS!$H$5:$H$15,MATCH("ALGODÃO|"&amp;$G21,KC_CURVAS!$K$5:$K$15,0)),IFERROR(INDEX(KC_CURVAS!$H$5:$H$15,MATCH("ALGODÃO"&amp;"|",KC_CURVAS!$K$5:$K$15,0)),""))</f>
        <v/>
      </c>
      <c r="R21" s="11">
        <f>IFERROR(INDEX(KC_CURVAS!$I$5:$I$15,MATCH("ALGODÃO|"&amp;$G21,KC_CURVAS!$K$5:$K$15,0)),IFERROR(INDEX(KC_CURVAS!$I$5:$I$15,MATCH("ALGODÃO"&amp;"|",KC_CURVAS!$K$5:$K$15,0)),""))</f>
        <v/>
      </c>
      <c r="S21" s="12">
        <f>IF(OR($K21="",$L21=""),"PENDENTE",IF($K21&lt;=$L21,$P21,IF($K21&lt;=$L21+$M21,$P21+($Q21-$P21)*($K21-$L21)/$M21,IF($K21&lt;=$L21+$M21+$N21,$Q21,IF($K21&lt;=$L21+$M21+$N21+$O21,$Q21+($R21-$Q21)*($K21-($L21+$M21+$N21))/$O21,$R21)))))</f>
        <v/>
      </c>
      <c r="T21" s="13">
        <f>IF($I21="","",$I21)</f>
        <v/>
      </c>
      <c r="U21" s="14">
        <f>IF($T21="","",SUMIFS(ETO_DIARIO!$B$5:$B$404,ETO_DIARIO!$A$5:$A$404,"&gt;"&amp;$T21,ETO_DIARIO!$A$5:$A$404,"&lt;="&amp;DATA_REF))</f>
        <v/>
      </c>
      <c r="V21" s="14">
        <f>IF($T21="","",SUMIFS(ETO_DIARIO!$C$5:$C$404,ETO_DIARIO!$A$5:$A$404,"&gt;"&amp;$T21,ETO_DIARIO!$A$5:$A$404,"&lt;="&amp;DATA_REF))</f>
        <v/>
      </c>
      <c r="W21" s="14">
        <f>IF(OR($S21="",$S21="PENDENTE",$U21=""),"",$S21*$U21)</f>
        <v/>
      </c>
      <c r="X21" s="14">
        <f>IF($W21="","",MAX(0,$W21-N($V21)))</f>
        <v/>
      </c>
      <c r="Y21" s="14">
        <f>IF($X21="","",$X21/EF_APLIC)</f>
        <v/>
      </c>
      <c r="Z21" s="15" t="n">
        <v>100</v>
      </c>
      <c r="AA21" s="16">
        <f>IF(OR($Y21="",$Z21=""),"",$Y21*$Z21*10)</f>
        <v/>
      </c>
      <c r="AB21" s="17" t="n">
        <v>0.583</v>
      </c>
      <c r="AC21" s="16">
        <f>IF(OR($AA21="",$AB21=""),"",$AA21*$AB21)</f>
        <v/>
      </c>
      <c r="AD21" s="18">
        <f>IF($S21="PENDENTE","Definir classe/Kc",IF($Y21="","-",IF($Y21&gt;='PARAMETROS'!$B$7/EF_APLIC,"Irrigar",IF($Y21&gt;='PARAMETROS'!$B$7/EF_APLIC*FRAC_ACOMP,"Acompanhar","Aguardar"))))</f>
        <v/>
      </c>
      <c r="AE21" s="18">
        <f>IF(OR($Y21="",$Y21=0),"-",IF($Y21&gt;=2*'PARAMETROS'!$B$7/EF_APLIC,"Alta",IF($Y21&gt;='PARAMETROS'!$B$7/EF_APLIC,"Media","Baixa")))</f>
        <v/>
      </c>
    </row>
    <row r="22">
      <c r="A22" s="5" t="inlineStr">
        <is>
          <t>Pivô 114</t>
        </is>
      </c>
      <c r="B22" s="5" t="inlineStr">
        <is>
          <t>Rdm</t>
        </is>
      </c>
      <c r="C22" s="5" t="inlineStr">
        <is>
          <t>RM5</t>
        </is>
      </c>
      <c r="D22" s="5" t="inlineStr">
        <is>
          <t>RDM</t>
        </is>
      </c>
      <c r="E22" s="5" t="inlineStr">
        <is>
          <t>ALGODÃO</t>
        </is>
      </c>
      <c r="F22" s="6" t="inlineStr">
        <is>
          <t>FM 974 GLT</t>
        </is>
      </c>
      <c r="G22" s="7" t="inlineStr">
        <is>
          <t>MÉDIO</t>
        </is>
      </c>
      <c r="H22" s="5" t="inlineStr">
        <is>
          <t>proximo</t>
        </is>
      </c>
      <c r="I22" s="8" t="n">
        <v>46356</v>
      </c>
      <c r="J22" s="9">
        <f>IF($I22="","",DATA_REF-$I22)</f>
        <v/>
      </c>
      <c r="K22" s="9">
        <f>IF($J22="","",MAX(0,$J22-'PARAMETROS'!$B$11))</f>
        <v/>
      </c>
      <c r="L22" s="10">
        <f>IFERROR(INDEX(KC_CURVAS!$C$5:$C$15,MATCH("ALGODÃO|"&amp;$G22,KC_CURVAS!$K$5:$K$15,0)),IFERROR(INDEX(KC_CURVAS!$C$5:$C$15,MATCH("ALGODÃO"&amp;"|",KC_CURVAS!$K$5:$K$15,0)),""))</f>
        <v/>
      </c>
      <c r="M22" s="10">
        <f>IFERROR(INDEX(KC_CURVAS!$D$5:$D$15,MATCH("ALGODÃO|"&amp;$G22,KC_CURVAS!$K$5:$K$15,0)),IFERROR(INDEX(KC_CURVAS!$D$5:$D$15,MATCH("ALGODÃO"&amp;"|",KC_CURVAS!$K$5:$K$15,0)),""))</f>
        <v/>
      </c>
      <c r="N22" s="10">
        <f>IFERROR(INDEX(KC_CURVAS!$E$5:$E$15,MATCH("ALGODÃO|"&amp;$G22,KC_CURVAS!$K$5:$K$15,0)),IFERROR(INDEX(KC_CURVAS!$E$5:$E$15,MATCH("ALGODÃO"&amp;"|",KC_CURVAS!$K$5:$K$15,0)),""))</f>
        <v/>
      </c>
      <c r="O22" s="10">
        <f>IFERROR(INDEX(KC_CURVAS!$F$5:$F$15,MATCH("ALGODÃO|"&amp;$G22,KC_CURVAS!$K$5:$K$15,0)),IFERROR(INDEX(KC_CURVAS!$F$5:$F$15,MATCH("ALGODÃO"&amp;"|",KC_CURVAS!$K$5:$K$15,0)),""))</f>
        <v/>
      </c>
      <c r="P22" s="11">
        <f>IFERROR(INDEX(KC_CURVAS!$G$5:$G$15,MATCH("ALGODÃO|"&amp;$G22,KC_CURVAS!$K$5:$K$15,0)),IFERROR(INDEX(KC_CURVAS!$G$5:$G$15,MATCH("ALGODÃO"&amp;"|",KC_CURVAS!$K$5:$K$15,0)),""))</f>
        <v/>
      </c>
      <c r="Q22" s="11">
        <f>IFERROR(INDEX(KC_CURVAS!$H$5:$H$15,MATCH("ALGODÃO|"&amp;$G22,KC_CURVAS!$K$5:$K$15,0)),IFERROR(INDEX(KC_CURVAS!$H$5:$H$15,MATCH("ALGODÃO"&amp;"|",KC_CURVAS!$K$5:$K$15,0)),""))</f>
        <v/>
      </c>
      <c r="R22" s="11">
        <f>IFERROR(INDEX(KC_CURVAS!$I$5:$I$15,MATCH("ALGODÃO|"&amp;$G22,KC_CURVAS!$K$5:$K$15,0)),IFERROR(INDEX(KC_CURVAS!$I$5:$I$15,MATCH("ALGODÃO"&amp;"|",KC_CURVAS!$K$5:$K$15,0)),""))</f>
        <v/>
      </c>
      <c r="S22" s="12">
        <f>IF(OR($K22="",$L22=""),"PENDENTE",IF($K22&lt;=$L22,$P22,IF($K22&lt;=$L22+$M22,$P22+($Q22-$P22)*($K22-$L22)/$M22,IF($K22&lt;=$L22+$M22+$N22,$Q22,IF($K22&lt;=$L22+$M22+$N22+$O22,$Q22+($R22-$Q22)*($K22-($L22+$M22+$N22))/$O22,$R22)))))</f>
        <v/>
      </c>
      <c r="T22" s="13">
        <f>IF($I22="","",$I22)</f>
        <v/>
      </c>
      <c r="U22" s="14">
        <f>IF($T22="","",SUMIFS(ETO_DIARIO!$B$5:$B$404,ETO_DIARIO!$A$5:$A$404,"&gt;"&amp;$T22,ETO_DIARIO!$A$5:$A$404,"&lt;="&amp;DATA_REF))</f>
        <v/>
      </c>
      <c r="V22" s="14">
        <f>IF($T22="","",SUMIFS(ETO_DIARIO!$C$5:$C$404,ETO_DIARIO!$A$5:$A$404,"&gt;"&amp;$T22,ETO_DIARIO!$A$5:$A$404,"&lt;="&amp;DATA_REF))</f>
        <v/>
      </c>
      <c r="W22" s="14">
        <f>IF(OR($S22="",$S22="PENDENTE",$U22=""),"",$S22*$U22)</f>
        <v/>
      </c>
      <c r="X22" s="14">
        <f>IF($W22="","",MAX(0,$W22-N($V22)))</f>
        <v/>
      </c>
      <c r="Y22" s="14">
        <f>IF($X22="","",$X22/EF_APLIC)</f>
        <v/>
      </c>
      <c r="Z22" s="15" t="n">
        <v>120</v>
      </c>
      <c r="AA22" s="16">
        <f>IF(OR($Y22="",$Z22=""),"",$Y22*$Z22*10)</f>
        <v/>
      </c>
      <c r="AB22" s="17" t="n">
        <v>0.711</v>
      </c>
      <c r="AC22" s="16">
        <f>IF(OR($AA22="",$AB22=""),"",$AA22*$AB22)</f>
        <v/>
      </c>
      <c r="AD22" s="18">
        <f>IF($S22="PENDENTE","Definir classe/Kc",IF($Y22="","-",IF($Y22&gt;='PARAMETROS'!$B$7/EF_APLIC,"Irrigar",IF($Y22&gt;='PARAMETROS'!$B$7/EF_APLIC*FRAC_ACOMP,"Acompanhar","Aguardar"))))</f>
        <v/>
      </c>
      <c r="AE22" s="18">
        <f>IF(OR($Y22="",$Y22=0),"-",IF($Y22&gt;=2*'PARAMETROS'!$B$7/EF_APLIC,"Alta",IF($Y22&gt;='PARAMETROS'!$B$7/EF_APLIC,"Media","Baixa")))</f>
        <v/>
      </c>
    </row>
    <row r="23">
      <c r="A23" s="5" t="inlineStr">
        <is>
          <t>Pivô 115</t>
        </is>
      </c>
      <c r="B23" s="5" t="inlineStr">
        <is>
          <t>Rdm</t>
        </is>
      </c>
      <c r="C23" s="5" t="inlineStr">
        <is>
          <t>RM5</t>
        </is>
      </c>
      <c r="D23" s="5" t="inlineStr">
        <is>
          <t>RDM</t>
        </is>
      </c>
      <c r="E23" s="5" t="inlineStr">
        <is>
          <t>ALGODÃO</t>
        </is>
      </c>
      <c r="F23" s="6" t="inlineStr">
        <is>
          <t>IMA 5901 B2RF</t>
        </is>
      </c>
      <c r="G23" s="7" t="inlineStr">
        <is>
          <t>MÉDIO</t>
        </is>
      </c>
      <c r="H23" s="5" t="inlineStr">
        <is>
          <t>proximo</t>
        </is>
      </c>
      <c r="I23" s="8" t="n">
        <v>46356</v>
      </c>
      <c r="J23" s="9">
        <f>IF($I23="","",DATA_REF-$I23)</f>
        <v/>
      </c>
      <c r="K23" s="9">
        <f>IF($J23="","",MAX(0,$J23-'PARAMETROS'!$B$11))</f>
        <v/>
      </c>
      <c r="L23" s="10">
        <f>IFERROR(INDEX(KC_CURVAS!$C$5:$C$15,MATCH("ALGODÃO|"&amp;$G23,KC_CURVAS!$K$5:$K$15,0)),IFERROR(INDEX(KC_CURVAS!$C$5:$C$15,MATCH("ALGODÃO"&amp;"|",KC_CURVAS!$K$5:$K$15,0)),""))</f>
        <v/>
      </c>
      <c r="M23" s="10">
        <f>IFERROR(INDEX(KC_CURVAS!$D$5:$D$15,MATCH("ALGODÃO|"&amp;$G23,KC_CURVAS!$K$5:$K$15,0)),IFERROR(INDEX(KC_CURVAS!$D$5:$D$15,MATCH("ALGODÃO"&amp;"|",KC_CURVAS!$K$5:$K$15,0)),""))</f>
        <v/>
      </c>
      <c r="N23" s="10">
        <f>IFERROR(INDEX(KC_CURVAS!$E$5:$E$15,MATCH("ALGODÃO|"&amp;$G23,KC_CURVAS!$K$5:$K$15,0)),IFERROR(INDEX(KC_CURVAS!$E$5:$E$15,MATCH("ALGODÃO"&amp;"|",KC_CURVAS!$K$5:$K$15,0)),""))</f>
        <v/>
      </c>
      <c r="O23" s="10">
        <f>IFERROR(INDEX(KC_CURVAS!$F$5:$F$15,MATCH("ALGODÃO|"&amp;$G23,KC_CURVAS!$K$5:$K$15,0)),IFERROR(INDEX(KC_CURVAS!$F$5:$F$15,MATCH("ALGODÃO"&amp;"|",KC_CURVAS!$K$5:$K$15,0)),""))</f>
        <v/>
      </c>
      <c r="P23" s="11">
        <f>IFERROR(INDEX(KC_CURVAS!$G$5:$G$15,MATCH("ALGODÃO|"&amp;$G23,KC_CURVAS!$K$5:$K$15,0)),IFERROR(INDEX(KC_CURVAS!$G$5:$G$15,MATCH("ALGODÃO"&amp;"|",KC_CURVAS!$K$5:$K$15,0)),""))</f>
        <v/>
      </c>
      <c r="Q23" s="11">
        <f>IFERROR(INDEX(KC_CURVAS!$H$5:$H$15,MATCH("ALGODÃO|"&amp;$G23,KC_CURVAS!$K$5:$K$15,0)),IFERROR(INDEX(KC_CURVAS!$H$5:$H$15,MATCH("ALGODÃO"&amp;"|",KC_CURVAS!$K$5:$K$15,0)),""))</f>
        <v/>
      </c>
      <c r="R23" s="11">
        <f>IFERROR(INDEX(KC_CURVAS!$I$5:$I$15,MATCH("ALGODÃO|"&amp;$G23,KC_CURVAS!$K$5:$K$15,0)),IFERROR(INDEX(KC_CURVAS!$I$5:$I$15,MATCH("ALGODÃO"&amp;"|",KC_CURVAS!$K$5:$K$15,0)),""))</f>
        <v/>
      </c>
      <c r="S23" s="12">
        <f>IF(OR($K23="",$L23=""),"PENDENTE",IF($K23&lt;=$L23,$P23,IF($K23&lt;=$L23+$M23,$P23+($Q23-$P23)*($K23-$L23)/$M23,IF($K23&lt;=$L23+$M23+$N23,$Q23,IF($K23&lt;=$L23+$M23+$N23+$O23,$Q23+($R23-$Q23)*($K23-($L23+$M23+$N23))/$O23,$R23)))))</f>
        <v/>
      </c>
      <c r="T23" s="13">
        <f>IF($I23="","",$I23)</f>
        <v/>
      </c>
      <c r="U23" s="14">
        <f>IF($T23="","",SUMIFS(ETO_DIARIO!$B$5:$B$404,ETO_DIARIO!$A$5:$A$404,"&gt;"&amp;$T23,ETO_DIARIO!$A$5:$A$404,"&lt;="&amp;DATA_REF))</f>
        <v/>
      </c>
      <c r="V23" s="14">
        <f>IF($T23="","",SUMIFS(ETO_DIARIO!$C$5:$C$404,ETO_DIARIO!$A$5:$A$404,"&gt;"&amp;$T23,ETO_DIARIO!$A$5:$A$404,"&lt;="&amp;DATA_REF))</f>
        <v/>
      </c>
      <c r="W23" s="14">
        <f>IF(OR($S23="",$S23="PENDENTE",$U23=""),"",$S23*$U23)</f>
        <v/>
      </c>
      <c r="X23" s="14">
        <f>IF($W23="","",MAX(0,$W23-N($V23)))</f>
        <v/>
      </c>
      <c r="Y23" s="14">
        <f>IF($X23="","",$X23/EF_APLIC)</f>
        <v/>
      </c>
      <c r="Z23" s="15" t="n">
        <v>150</v>
      </c>
      <c r="AA23" s="16">
        <f>IF(OR($Y23="",$Z23=""),"",$Y23*$Z23*10)</f>
        <v/>
      </c>
      <c r="AB23" s="17" t="n">
        <v>0.698</v>
      </c>
      <c r="AC23" s="16">
        <f>IF(OR($AA23="",$AB23=""),"",$AA23*$AB23)</f>
        <v/>
      </c>
      <c r="AD23" s="18">
        <f>IF($S23="PENDENTE","Definir classe/Kc",IF($Y23="","-",IF($Y23&gt;='PARAMETROS'!$B$7/EF_APLIC,"Irrigar",IF($Y23&gt;='PARAMETROS'!$B$7/EF_APLIC*FRAC_ACOMP,"Acompanhar","Aguardar"))))</f>
        <v/>
      </c>
      <c r="AE23" s="18">
        <f>IF(OR($Y23="",$Y23=0),"-",IF($Y23&gt;=2*'PARAMETROS'!$B$7/EF_APLIC,"Alta",IF($Y23&gt;='PARAMETROS'!$B$7/EF_APLIC,"Media","Baixa")))</f>
        <v/>
      </c>
    </row>
    <row r="24">
      <c r="A24" s="5" t="inlineStr">
        <is>
          <t>Pivô 116</t>
        </is>
      </c>
      <c r="B24" s="5" t="inlineStr">
        <is>
          <t>Rdm</t>
        </is>
      </c>
      <c r="C24" s="5" t="inlineStr">
        <is>
          <t>RM6</t>
        </is>
      </c>
      <c r="D24" s="5" t="inlineStr">
        <is>
          <t>RDM</t>
        </is>
      </c>
      <c r="E24" s="5" t="inlineStr">
        <is>
          <t>ALGODÃO</t>
        </is>
      </c>
      <c r="F24" s="6" t="inlineStr">
        <is>
          <t>FM 974 GLT</t>
        </is>
      </c>
      <c r="G24" s="7" t="inlineStr">
        <is>
          <t>MÉDIO</t>
        </is>
      </c>
      <c r="H24" s="5" t="inlineStr">
        <is>
          <t>proximo</t>
        </is>
      </c>
      <c r="I24" s="8" t="n">
        <v>46355</v>
      </c>
      <c r="J24" s="9">
        <f>IF($I24="","",DATA_REF-$I24)</f>
        <v/>
      </c>
      <c r="K24" s="9">
        <f>IF($J24="","",MAX(0,$J24-'PARAMETROS'!$B$11))</f>
        <v/>
      </c>
      <c r="L24" s="10">
        <f>IFERROR(INDEX(KC_CURVAS!$C$5:$C$15,MATCH("ALGODÃO|"&amp;$G24,KC_CURVAS!$K$5:$K$15,0)),IFERROR(INDEX(KC_CURVAS!$C$5:$C$15,MATCH("ALGODÃO"&amp;"|",KC_CURVAS!$K$5:$K$15,0)),""))</f>
        <v/>
      </c>
      <c r="M24" s="10">
        <f>IFERROR(INDEX(KC_CURVAS!$D$5:$D$15,MATCH("ALGODÃO|"&amp;$G24,KC_CURVAS!$K$5:$K$15,0)),IFERROR(INDEX(KC_CURVAS!$D$5:$D$15,MATCH("ALGODÃO"&amp;"|",KC_CURVAS!$K$5:$K$15,0)),""))</f>
        <v/>
      </c>
      <c r="N24" s="10">
        <f>IFERROR(INDEX(KC_CURVAS!$E$5:$E$15,MATCH("ALGODÃO|"&amp;$G24,KC_CURVAS!$K$5:$K$15,0)),IFERROR(INDEX(KC_CURVAS!$E$5:$E$15,MATCH("ALGODÃO"&amp;"|",KC_CURVAS!$K$5:$K$15,0)),""))</f>
        <v/>
      </c>
      <c r="O24" s="10">
        <f>IFERROR(INDEX(KC_CURVAS!$F$5:$F$15,MATCH("ALGODÃO|"&amp;$G24,KC_CURVAS!$K$5:$K$15,0)),IFERROR(INDEX(KC_CURVAS!$F$5:$F$15,MATCH("ALGODÃO"&amp;"|",KC_CURVAS!$K$5:$K$15,0)),""))</f>
        <v/>
      </c>
      <c r="P24" s="11">
        <f>IFERROR(INDEX(KC_CURVAS!$G$5:$G$15,MATCH("ALGODÃO|"&amp;$G24,KC_CURVAS!$K$5:$K$15,0)),IFERROR(INDEX(KC_CURVAS!$G$5:$G$15,MATCH("ALGODÃO"&amp;"|",KC_CURVAS!$K$5:$K$15,0)),""))</f>
        <v/>
      </c>
      <c r="Q24" s="11">
        <f>IFERROR(INDEX(KC_CURVAS!$H$5:$H$15,MATCH("ALGODÃO|"&amp;$G24,KC_CURVAS!$K$5:$K$15,0)),IFERROR(INDEX(KC_CURVAS!$H$5:$H$15,MATCH("ALGODÃO"&amp;"|",KC_CURVAS!$K$5:$K$15,0)),""))</f>
        <v/>
      </c>
      <c r="R24" s="11">
        <f>IFERROR(INDEX(KC_CURVAS!$I$5:$I$15,MATCH("ALGODÃO|"&amp;$G24,KC_CURVAS!$K$5:$K$15,0)),IFERROR(INDEX(KC_CURVAS!$I$5:$I$15,MATCH("ALGODÃO"&amp;"|",KC_CURVAS!$K$5:$K$15,0)),""))</f>
        <v/>
      </c>
      <c r="S24" s="12">
        <f>IF(OR($K24="",$L24=""),"PENDENTE",IF($K24&lt;=$L24,$P24,IF($K24&lt;=$L24+$M24,$P24+($Q24-$P24)*($K24-$L24)/$M24,IF($K24&lt;=$L24+$M24+$N24,$Q24,IF($K24&lt;=$L24+$M24+$N24+$O24,$Q24+($R24-$Q24)*($K24-($L24+$M24+$N24))/$O24,$R24)))))</f>
        <v/>
      </c>
      <c r="T24" s="13">
        <f>IF($I24="","",$I24)</f>
        <v/>
      </c>
      <c r="U24" s="14">
        <f>IF($T24="","",SUMIFS(ETO_DIARIO!$B$5:$B$404,ETO_DIARIO!$A$5:$A$404,"&gt;"&amp;$T24,ETO_DIARIO!$A$5:$A$404,"&lt;="&amp;DATA_REF))</f>
        <v/>
      </c>
      <c r="V24" s="14">
        <f>IF($T24="","",SUMIFS(ETO_DIARIO!$C$5:$C$404,ETO_DIARIO!$A$5:$A$404,"&gt;"&amp;$T24,ETO_DIARIO!$A$5:$A$404,"&lt;="&amp;DATA_REF))</f>
        <v/>
      </c>
      <c r="W24" s="14">
        <f>IF(OR($S24="",$S24="PENDENTE",$U24=""),"",$S24*$U24)</f>
        <v/>
      </c>
      <c r="X24" s="14">
        <f>IF($W24="","",MAX(0,$W24-N($V24)))</f>
        <v/>
      </c>
      <c r="Y24" s="14">
        <f>IF($X24="","",$X24/EF_APLIC)</f>
        <v/>
      </c>
      <c r="Z24" s="15" t="n">
        <v>150</v>
      </c>
      <c r="AA24" s="16">
        <f>IF(OR($Y24="",$Z24=""),"",$Y24*$Z24*10)</f>
        <v/>
      </c>
      <c r="AB24" s="17" t="n">
        <v>0.702</v>
      </c>
      <c r="AC24" s="16">
        <f>IF(OR($AA24="",$AB24=""),"",$AA24*$AB24)</f>
        <v/>
      </c>
      <c r="AD24" s="18">
        <f>IF($S24="PENDENTE","Definir classe/Kc",IF($Y24="","-",IF($Y24&gt;='PARAMETROS'!$B$7/EF_APLIC,"Irrigar",IF($Y24&gt;='PARAMETROS'!$B$7/EF_APLIC*FRAC_ACOMP,"Acompanhar","Aguardar"))))</f>
        <v/>
      </c>
      <c r="AE24" s="18">
        <f>IF(OR($Y24="",$Y24=0),"-",IF($Y24&gt;=2*'PARAMETROS'!$B$7/EF_APLIC,"Alta",IF($Y24&gt;='PARAMETROS'!$B$7/EF_APLIC,"Media","Baixa")))</f>
        <v/>
      </c>
    </row>
    <row r="25">
      <c r="A25" s="5" t="inlineStr">
        <is>
          <t>Pivô 117</t>
        </is>
      </c>
      <c r="B25" s="5" t="inlineStr">
        <is>
          <t>Rdm</t>
        </is>
      </c>
      <c r="C25" s="5" t="inlineStr">
        <is>
          <t>RM6</t>
        </is>
      </c>
      <c r="D25" s="5" t="inlineStr">
        <is>
          <t>RDM</t>
        </is>
      </c>
      <c r="E25" s="5" t="inlineStr">
        <is>
          <t>ALGODÃO</t>
        </is>
      </c>
      <c r="F25" s="6" t="inlineStr">
        <is>
          <t>IMA 5901 B2RF</t>
        </is>
      </c>
      <c r="G25" s="7" t="inlineStr">
        <is>
          <t>MÉDIO</t>
        </is>
      </c>
      <c r="H25" s="5" t="inlineStr">
        <is>
          <t>proximo</t>
        </is>
      </c>
      <c r="I25" s="8" t="n">
        <v>46356</v>
      </c>
      <c r="J25" s="9">
        <f>IF($I25="","",DATA_REF-$I25)</f>
        <v/>
      </c>
      <c r="K25" s="9">
        <f>IF($J25="","",MAX(0,$J25-'PARAMETROS'!$B$11))</f>
        <v/>
      </c>
      <c r="L25" s="10">
        <f>IFERROR(INDEX(KC_CURVAS!$C$5:$C$15,MATCH("ALGODÃO|"&amp;$G25,KC_CURVAS!$K$5:$K$15,0)),IFERROR(INDEX(KC_CURVAS!$C$5:$C$15,MATCH("ALGODÃO"&amp;"|",KC_CURVAS!$K$5:$K$15,0)),""))</f>
        <v/>
      </c>
      <c r="M25" s="10">
        <f>IFERROR(INDEX(KC_CURVAS!$D$5:$D$15,MATCH("ALGODÃO|"&amp;$G25,KC_CURVAS!$K$5:$K$15,0)),IFERROR(INDEX(KC_CURVAS!$D$5:$D$15,MATCH("ALGODÃO"&amp;"|",KC_CURVAS!$K$5:$K$15,0)),""))</f>
        <v/>
      </c>
      <c r="N25" s="10">
        <f>IFERROR(INDEX(KC_CURVAS!$E$5:$E$15,MATCH("ALGODÃO|"&amp;$G25,KC_CURVAS!$K$5:$K$15,0)),IFERROR(INDEX(KC_CURVAS!$E$5:$E$15,MATCH("ALGODÃO"&amp;"|",KC_CURVAS!$K$5:$K$15,0)),""))</f>
        <v/>
      </c>
      <c r="O25" s="10">
        <f>IFERROR(INDEX(KC_CURVAS!$F$5:$F$15,MATCH("ALGODÃO|"&amp;$G25,KC_CURVAS!$K$5:$K$15,0)),IFERROR(INDEX(KC_CURVAS!$F$5:$F$15,MATCH("ALGODÃO"&amp;"|",KC_CURVAS!$K$5:$K$15,0)),""))</f>
        <v/>
      </c>
      <c r="P25" s="11">
        <f>IFERROR(INDEX(KC_CURVAS!$G$5:$G$15,MATCH("ALGODÃO|"&amp;$G25,KC_CURVAS!$K$5:$K$15,0)),IFERROR(INDEX(KC_CURVAS!$G$5:$G$15,MATCH("ALGODÃO"&amp;"|",KC_CURVAS!$K$5:$K$15,0)),""))</f>
        <v/>
      </c>
      <c r="Q25" s="11">
        <f>IFERROR(INDEX(KC_CURVAS!$H$5:$H$15,MATCH("ALGODÃO|"&amp;$G25,KC_CURVAS!$K$5:$K$15,0)),IFERROR(INDEX(KC_CURVAS!$H$5:$H$15,MATCH("ALGODÃO"&amp;"|",KC_CURVAS!$K$5:$K$15,0)),""))</f>
        <v/>
      </c>
      <c r="R25" s="11">
        <f>IFERROR(INDEX(KC_CURVAS!$I$5:$I$15,MATCH("ALGODÃO|"&amp;$G25,KC_CURVAS!$K$5:$K$15,0)),IFERROR(INDEX(KC_CURVAS!$I$5:$I$15,MATCH("ALGODÃO"&amp;"|",KC_CURVAS!$K$5:$K$15,0)),""))</f>
        <v/>
      </c>
      <c r="S25" s="12">
        <f>IF(OR($K25="",$L25=""),"PENDENTE",IF($K25&lt;=$L25,$P25,IF($K25&lt;=$L25+$M25,$P25+($Q25-$P25)*($K25-$L25)/$M25,IF($K25&lt;=$L25+$M25+$N25,$Q25,IF($K25&lt;=$L25+$M25+$N25+$O25,$Q25+($R25-$Q25)*($K25-($L25+$M25+$N25))/$O25,$R25)))))</f>
        <v/>
      </c>
      <c r="T25" s="13">
        <f>IF($I25="","",$I25)</f>
        <v/>
      </c>
      <c r="U25" s="14">
        <f>IF($T25="","",SUMIFS(ETO_DIARIO!$B$5:$B$404,ETO_DIARIO!$A$5:$A$404,"&gt;"&amp;$T25,ETO_DIARIO!$A$5:$A$404,"&lt;="&amp;DATA_REF))</f>
        <v/>
      </c>
      <c r="V25" s="14">
        <f>IF($T25="","",SUMIFS(ETO_DIARIO!$C$5:$C$404,ETO_DIARIO!$A$5:$A$404,"&gt;"&amp;$T25,ETO_DIARIO!$A$5:$A$404,"&lt;="&amp;DATA_REF))</f>
        <v/>
      </c>
      <c r="W25" s="14">
        <f>IF(OR($S25="",$S25="PENDENTE",$U25=""),"",$S25*$U25)</f>
        <v/>
      </c>
      <c r="X25" s="14">
        <f>IF($W25="","",MAX(0,$W25-N($V25)))</f>
        <v/>
      </c>
      <c r="Y25" s="14">
        <f>IF($X25="","",$X25/EF_APLIC)</f>
        <v/>
      </c>
      <c r="Z25" s="15" t="n">
        <v>150</v>
      </c>
      <c r="AA25" s="16">
        <f>IF(OR($Y25="",$Z25=""),"",$Y25*$Z25*10)</f>
        <v/>
      </c>
      <c r="AB25" s="17" t="n">
        <v>0.698</v>
      </c>
      <c r="AC25" s="16">
        <f>IF(OR($AA25="",$AB25=""),"",$AA25*$AB25)</f>
        <v/>
      </c>
      <c r="AD25" s="18">
        <f>IF($S25="PENDENTE","Definir classe/Kc",IF($Y25="","-",IF($Y25&gt;='PARAMETROS'!$B$7/EF_APLIC,"Irrigar",IF($Y25&gt;='PARAMETROS'!$B$7/EF_APLIC*FRAC_ACOMP,"Acompanhar","Aguardar"))))</f>
        <v/>
      </c>
      <c r="AE25" s="18">
        <f>IF(OR($Y25="",$Y25=0),"-",IF($Y25&gt;=2*'PARAMETROS'!$B$7/EF_APLIC,"Alta",IF($Y25&gt;='PARAMETROS'!$B$7/EF_APLIC,"Media","Baixa")))</f>
        <v/>
      </c>
    </row>
    <row r="26">
      <c r="A26" s="5" t="inlineStr">
        <is>
          <t>Pivô 125</t>
        </is>
      </c>
      <c r="B26" s="5" t="inlineStr">
        <is>
          <t>Rdm</t>
        </is>
      </c>
      <c r="C26" s="5" t="inlineStr">
        <is>
          <t>RM7</t>
        </is>
      </c>
      <c r="D26" s="5" t="inlineStr">
        <is>
          <t>RDM</t>
        </is>
      </c>
      <c r="E26" s="5" t="inlineStr">
        <is>
          <t>ALGODÃO</t>
        </is>
      </c>
      <c r="F26" s="6" t="inlineStr">
        <is>
          <t>FM 974 GLT</t>
        </is>
      </c>
      <c r="G26" s="7" t="inlineStr">
        <is>
          <t>MÉDIO</t>
        </is>
      </c>
      <c r="H26" s="5" t="inlineStr">
        <is>
          <t>proximo</t>
        </is>
      </c>
      <c r="I26" s="8" t="n">
        <v>46357</v>
      </c>
      <c r="J26" s="9">
        <f>IF($I26="","",DATA_REF-$I26)</f>
        <v/>
      </c>
      <c r="K26" s="9">
        <f>IF($J26="","",MAX(0,$J26-'PARAMETROS'!$B$11))</f>
        <v/>
      </c>
      <c r="L26" s="10">
        <f>IFERROR(INDEX(KC_CURVAS!$C$5:$C$15,MATCH("ALGODÃO|"&amp;$G26,KC_CURVAS!$K$5:$K$15,0)),IFERROR(INDEX(KC_CURVAS!$C$5:$C$15,MATCH("ALGODÃO"&amp;"|",KC_CURVAS!$K$5:$K$15,0)),""))</f>
        <v/>
      </c>
      <c r="M26" s="10">
        <f>IFERROR(INDEX(KC_CURVAS!$D$5:$D$15,MATCH("ALGODÃO|"&amp;$G26,KC_CURVAS!$K$5:$K$15,0)),IFERROR(INDEX(KC_CURVAS!$D$5:$D$15,MATCH("ALGODÃO"&amp;"|",KC_CURVAS!$K$5:$K$15,0)),""))</f>
        <v/>
      </c>
      <c r="N26" s="10">
        <f>IFERROR(INDEX(KC_CURVAS!$E$5:$E$15,MATCH("ALGODÃO|"&amp;$G26,KC_CURVAS!$K$5:$K$15,0)),IFERROR(INDEX(KC_CURVAS!$E$5:$E$15,MATCH("ALGODÃO"&amp;"|",KC_CURVAS!$K$5:$K$15,0)),""))</f>
        <v/>
      </c>
      <c r="O26" s="10">
        <f>IFERROR(INDEX(KC_CURVAS!$F$5:$F$15,MATCH("ALGODÃO|"&amp;$G26,KC_CURVAS!$K$5:$K$15,0)),IFERROR(INDEX(KC_CURVAS!$F$5:$F$15,MATCH("ALGODÃO"&amp;"|",KC_CURVAS!$K$5:$K$15,0)),""))</f>
        <v/>
      </c>
      <c r="P26" s="11">
        <f>IFERROR(INDEX(KC_CURVAS!$G$5:$G$15,MATCH("ALGODÃO|"&amp;$G26,KC_CURVAS!$K$5:$K$15,0)),IFERROR(INDEX(KC_CURVAS!$G$5:$G$15,MATCH("ALGODÃO"&amp;"|",KC_CURVAS!$K$5:$K$15,0)),""))</f>
        <v/>
      </c>
      <c r="Q26" s="11">
        <f>IFERROR(INDEX(KC_CURVAS!$H$5:$H$15,MATCH("ALGODÃO|"&amp;$G26,KC_CURVAS!$K$5:$K$15,0)),IFERROR(INDEX(KC_CURVAS!$H$5:$H$15,MATCH("ALGODÃO"&amp;"|",KC_CURVAS!$K$5:$K$15,0)),""))</f>
        <v/>
      </c>
      <c r="R26" s="11">
        <f>IFERROR(INDEX(KC_CURVAS!$I$5:$I$15,MATCH("ALGODÃO|"&amp;$G26,KC_CURVAS!$K$5:$K$15,0)),IFERROR(INDEX(KC_CURVAS!$I$5:$I$15,MATCH("ALGODÃO"&amp;"|",KC_CURVAS!$K$5:$K$15,0)),""))</f>
        <v/>
      </c>
      <c r="S26" s="12">
        <f>IF(OR($K26="",$L26=""),"PENDENTE",IF($K26&lt;=$L26,$P26,IF($K26&lt;=$L26+$M26,$P26+($Q26-$P26)*($K26-$L26)/$M26,IF($K26&lt;=$L26+$M26+$N26,$Q26,IF($K26&lt;=$L26+$M26+$N26+$O26,$Q26+($R26-$Q26)*($K26-($L26+$M26+$N26))/$O26,$R26)))))</f>
        <v/>
      </c>
      <c r="T26" s="13">
        <f>IF($I26="","",$I26)</f>
        <v/>
      </c>
      <c r="U26" s="14">
        <f>IF($T26="","",SUMIFS(ETO_DIARIO!$B$5:$B$404,ETO_DIARIO!$A$5:$A$404,"&gt;"&amp;$T26,ETO_DIARIO!$A$5:$A$404,"&lt;="&amp;DATA_REF))</f>
        <v/>
      </c>
      <c r="V26" s="14">
        <f>IF($T26="","",SUMIFS(ETO_DIARIO!$C$5:$C$404,ETO_DIARIO!$A$5:$A$404,"&gt;"&amp;$T26,ETO_DIARIO!$A$5:$A$404,"&lt;="&amp;DATA_REF))</f>
        <v/>
      </c>
      <c r="W26" s="14">
        <f>IF(OR($S26="",$S26="PENDENTE",$U26=""),"",$S26*$U26)</f>
        <v/>
      </c>
      <c r="X26" s="14">
        <f>IF($W26="","",MAX(0,$W26-N($V26)))</f>
        <v/>
      </c>
      <c r="Y26" s="14">
        <f>IF($X26="","",$X26/EF_APLIC)</f>
        <v/>
      </c>
      <c r="Z26" s="15" t="n">
        <v>100</v>
      </c>
      <c r="AA26" s="16">
        <f>IF(OR($Y26="",$Z26=""),"",$Y26*$Z26*10)</f>
        <v/>
      </c>
      <c r="AB26" s="17" t="n">
        <v>0.787</v>
      </c>
      <c r="AC26" s="16">
        <f>IF(OR($AA26="",$AB26=""),"",$AA26*$AB26)</f>
        <v/>
      </c>
      <c r="AD26" s="18">
        <f>IF($S26="PENDENTE","Definir classe/Kc",IF($Y26="","-",IF($Y26&gt;='PARAMETROS'!$B$7/EF_APLIC,"Irrigar",IF($Y26&gt;='PARAMETROS'!$B$7/EF_APLIC*FRAC_ACOMP,"Acompanhar","Aguardar"))))</f>
        <v/>
      </c>
      <c r="AE26" s="18">
        <f>IF(OR($Y26="",$Y26=0),"-",IF($Y26&gt;=2*'PARAMETROS'!$B$7/EF_APLIC,"Alta",IF($Y26&gt;='PARAMETROS'!$B$7/EF_APLIC,"Media","Baixa")))</f>
        <v/>
      </c>
    </row>
    <row r="27">
      <c r="A27" s="5" t="inlineStr">
        <is>
          <t>Pivô 130</t>
        </is>
      </c>
      <c r="B27" s="5" t="inlineStr">
        <is>
          <t>Rdm</t>
        </is>
      </c>
      <c r="C27" s="5" t="inlineStr">
        <is>
          <t>RM6</t>
        </is>
      </c>
      <c r="D27" s="5" t="inlineStr">
        <is>
          <t>RDM</t>
        </is>
      </c>
      <c r="E27" s="5" t="inlineStr">
        <is>
          <t>ALGODÃO</t>
        </is>
      </c>
      <c r="F27" s="6" t="inlineStr">
        <is>
          <t>IMA 3764 B2RF</t>
        </is>
      </c>
      <c r="G27" s="7" t="inlineStr">
        <is>
          <t>TARDIO</t>
        </is>
      </c>
      <c r="H27" s="5" t="inlineStr">
        <is>
          <t>proximo</t>
        </is>
      </c>
      <c r="I27" s="8" t="n">
        <v>46358</v>
      </c>
      <c r="J27" s="9">
        <f>IF($I27="","",DATA_REF-$I27)</f>
        <v/>
      </c>
      <c r="K27" s="9">
        <f>IF($J27="","",MAX(0,$J27-'PARAMETROS'!$B$11))</f>
        <v/>
      </c>
      <c r="L27" s="10">
        <f>IFERROR(INDEX(KC_CURVAS!$C$5:$C$15,MATCH("ALGODÃO|"&amp;$G27,KC_CURVAS!$K$5:$K$15,0)),IFERROR(INDEX(KC_CURVAS!$C$5:$C$15,MATCH("ALGODÃO"&amp;"|",KC_CURVAS!$K$5:$K$15,0)),""))</f>
        <v/>
      </c>
      <c r="M27" s="10">
        <f>IFERROR(INDEX(KC_CURVAS!$D$5:$D$15,MATCH("ALGODÃO|"&amp;$G27,KC_CURVAS!$K$5:$K$15,0)),IFERROR(INDEX(KC_CURVAS!$D$5:$D$15,MATCH("ALGODÃO"&amp;"|",KC_CURVAS!$K$5:$K$15,0)),""))</f>
        <v/>
      </c>
      <c r="N27" s="10">
        <f>IFERROR(INDEX(KC_CURVAS!$E$5:$E$15,MATCH("ALGODÃO|"&amp;$G27,KC_CURVAS!$K$5:$K$15,0)),IFERROR(INDEX(KC_CURVAS!$E$5:$E$15,MATCH("ALGODÃO"&amp;"|",KC_CURVAS!$K$5:$K$15,0)),""))</f>
        <v/>
      </c>
      <c r="O27" s="10">
        <f>IFERROR(INDEX(KC_CURVAS!$F$5:$F$15,MATCH("ALGODÃO|"&amp;$G27,KC_CURVAS!$K$5:$K$15,0)),IFERROR(INDEX(KC_CURVAS!$F$5:$F$15,MATCH("ALGODÃO"&amp;"|",KC_CURVAS!$K$5:$K$15,0)),""))</f>
        <v/>
      </c>
      <c r="P27" s="11">
        <f>IFERROR(INDEX(KC_CURVAS!$G$5:$G$15,MATCH("ALGODÃO|"&amp;$G27,KC_CURVAS!$K$5:$K$15,0)),IFERROR(INDEX(KC_CURVAS!$G$5:$G$15,MATCH("ALGODÃO"&amp;"|",KC_CURVAS!$K$5:$K$15,0)),""))</f>
        <v/>
      </c>
      <c r="Q27" s="11">
        <f>IFERROR(INDEX(KC_CURVAS!$H$5:$H$15,MATCH("ALGODÃO|"&amp;$G27,KC_CURVAS!$K$5:$K$15,0)),IFERROR(INDEX(KC_CURVAS!$H$5:$H$15,MATCH("ALGODÃO"&amp;"|",KC_CURVAS!$K$5:$K$15,0)),""))</f>
        <v/>
      </c>
      <c r="R27" s="11">
        <f>IFERROR(INDEX(KC_CURVAS!$I$5:$I$15,MATCH("ALGODÃO|"&amp;$G27,KC_CURVAS!$K$5:$K$15,0)),IFERROR(INDEX(KC_CURVAS!$I$5:$I$15,MATCH("ALGODÃO"&amp;"|",KC_CURVAS!$K$5:$K$15,0)),""))</f>
        <v/>
      </c>
      <c r="S27" s="12">
        <f>IF(OR($K27="",$L27=""),"PENDENTE",IF($K27&lt;=$L27,$P27,IF($K27&lt;=$L27+$M27,$P27+($Q27-$P27)*($K27-$L27)/$M27,IF($K27&lt;=$L27+$M27+$N27,$Q27,IF($K27&lt;=$L27+$M27+$N27+$O27,$Q27+($R27-$Q27)*($K27-($L27+$M27+$N27))/$O27,$R27)))))</f>
        <v/>
      </c>
      <c r="T27" s="13">
        <f>IF($I27="","",$I27)</f>
        <v/>
      </c>
      <c r="U27" s="14">
        <f>IF($T27="","",SUMIFS(ETO_DIARIO!$B$5:$B$404,ETO_DIARIO!$A$5:$A$404,"&gt;"&amp;$T27,ETO_DIARIO!$A$5:$A$404,"&lt;="&amp;DATA_REF))</f>
        <v/>
      </c>
      <c r="V27" s="14">
        <f>IF($T27="","",SUMIFS(ETO_DIARIO!$C$5:$C$404,ETO_DIARIO!$A$5:$A$404,"&gt;"&amp;$T27,ETO_DIARIO!$A$5:$A$404,"&lt;="&amp;DATA_REF))</f>
        <v/>
      </c>
      <c r="W27" s="14">
        <f>IF(OR($S27="",$S27="PENDENTE",$U27=""),"",$S27*$U27)</f>
        <v/>
      </c>
      <c r="X27" s="14">
        <f>IF($W27="","",MAX(0,$W27-N($V27)))</f>
        <v/>
      </c>
      <c r="Y27" s="14">
        <f>IF($X27="","",$X27/EF_APLIC)</f>
        <v/>
      </c>
      <c r="Z27" s="15" t="n">
        <v>150</v>
      </c>
      <c r="AA27" s="16">
        <f>IF(OR($Y27="",$Z27=""),"",$Y27*$Z27*10)</f>
        <v/>
      </c>
      <c r="AB27" s="17" t="n">
        <v>0.724</v>
      </c>
      <c r="AC27" s="16">
        <f>IF(OR($AA27="",$AB27=""),"",$AA27*$AB27)</f>
        <v/>
      </c>
      <c r="AD27" s="18">
        <f>IF($S27="PENDENTE","Definir classe/Kc",IF($Y27="","-",IF($Y27&gt;='PARAMETROS'!$B$7/EF_APLIC,"Irrigar",IF($Y27&gt;='PARAMETROS'!$B$7/EF_APLIC*FRAC_ACOMP,"Acompanhar","Aguardar"))))</f>
        <v/>
      </c>
      <c r="AE27" s="18">
        <f>IF(OR($Y27="",$Y27=0),"-",IF($Y27&gt;=2*'PARAMETROS'!$B$7/EF_APLIC,"Alta",IF($Y27&gt;='PARAMETROS'!$B$7/EF_APLIC,"Media","Baixa")))</f>
        <v/>
      </c>
    </row>
    <row r="28">
      <c r="A28" s="5" t="inlineStr">
        <is>
          <t>Pivô 131</t>
        </is>
      </c>
      <c r="B28" s="5" t="inlineStr">
        <is>
          <t>Rdm</t>
        </is>
      </c>
      <c r="C28" s="5" t="inlineStr">
        <is>
          <t>RM5</t>
        </is>
      </c>
      <c r="D28" s="5" t="inlineStr">
        <is>
          <t>RDM</t>
        </is>
      </c>
      <c r="E28" s="5" t="inlineStr">
        <is>
          <t>ALGODÃO</t>
        </is>
      </c>
      <c r="F28" s="6" t="inlineStr">
        <is>
          <t>IMA 3764 B2RF</t>
        </is>
      </c>
      <c r="G28" s="7" t="inlineStr">
        <is>
          <t>TARDIO</t>
        </is>
      </c>
      <c r="H28" s="5" t="inlineStr">
        <is>
          <t>proximo</t>
        </is>
      </c>
      <c r="I28" s="8" t="n">
        <v>46357</v>
      </c>
      <c r="J28" s="9">
        <f>IF($I28="","",DATA_REF-$I28)</f>
        <v/>
      </c>
      <c r="K28" s="9">
        <f>IF($J28="","",MAX(0,$J28-'PARAMETROS'!$B$11))</f>
        <v/>
      </c>
      <c r="L28" s="10">
        <f>IFERROR(INDEX(KC_CURVAS!$C$5:$C$15,MATCH("ALGODÃO|"&amp;$G28,KC_CURVAS!$K$5:$K$15,0)),IFERROR(INDEX(KC_CURVAS!$C$5:$C$15,MATCH("ALGODÃO"&amp;"|",KC_CURVAS!$K$5:$K$15,0)),""))</f>
        <v/>
      </c>
      <c r="M28" s="10">
        <f>IFERROR(INDEX(KC_CURVAS!$D$5:$D$15,MATCH("ALGODÃO|"&amp;$G28,KC_CURVAS!$K$5:$K$15,0)),IFERROR(INDEX(KC_CURVAS!$D$5:$D$15,MATCH("ALGODÃO"&amp;"|",KC_CURVAS!$K$5:$K$15,0)),""))</f>
        <v/>
      </c>
      <c r="N28" s="10">
        <f>IFERROR(INDEX(KC_CURVAS!$E$5:$E$15,MATCH("ALGODÃO|"&amp;$G28,KC_CURVAS!$K$5:$K$15,0)),IFERROR(INDEX(KC_CURVAS!$E$5:$E$15,MATCH("ALGODÃO"&amp;"|",KC_CURVAS!$K$5:$K$15,0)),""))</f>
        <v/>
      </c>
      <c r="O28" s="10">
        <f>IFERROR(INDEX(KC_CURVAS!$F$5:$F$15,MATCH("ALGODÃO|"&amp;$G28,KC_CURVAS!$K$5:$K$15,0)),IFERROR(INDEX(KC_CURVAS!$F$5:$F$15,MATCH("ALGODÃO"&amp;"|",KC_CURVAS!$K$5:$K$15,0)),""))</f>
        <v/>
      </c>
      <c r="P28" s="11">
        <f>IFERROR(INDEX(KC_CURVAS!$G$5:$G$15,MATCH("ALGODÃO|"&amp;$G28,KC_CURVAS!$K$5:$K$15,0)),IFERROR(INDEX(KC_CURVAS!$G$5:$G$15,MATCH("ALGODÃO"&amp;"|",KC_CURVAS!$K$5:$K$15,0)),""))</f>
        <v/>
      </c>
      <c r="Q28" s="11">
        <f>IFERROR(INDEX(KC_CURVAS!$H$5:$H$15,MATCH("ALGODÃO|"&amp;$G28,KC_CURVAS!$K$5:$K$15,0)),IFERROR(INDEX(KC_CURVAS!$H$5:$H$15,MATCH("ALGODÃO"&amp;"|",KC_CURVAS!$K$5:$K$15,0)),""))</f>
        <v/>
      </c>
      <c r="R28" s="11">
        <f>IFERROR(INDEX(KC_CURVAS!$I$5:$I$15,MATCH("ALGODÃO|"&amp;$G28,KC_CURVAS!$K$5:$K$15,0)),IFERROR(INDEX(KC_CURVAS!$I$5:$I$15,MATCH("ALGODÃO"&amp;"|",KC_CURVAS!$K$5:$K$15,0)),""))</f>
        <v/>
      </c>
      <c r="S28" s="12">
        <f>IF(OR($K28="",$L28=""),"PENDENTE",IF($K28&lt;=$L28,$P28,IF($K28&lt;=$L28+$M28,$P28+($Q28-$P28)*($K28-$L28)/$M28,IF($K28&lt;=$L28+$M28+$N28,$Q28,IF($K28&lt;=$L28+$M28+$N28+$O28,$Q28+($R28-$Q28)*($K28-($L28+$M28+$N28))/$O28,$R28)))))</f>
        <v/>
      </c>
      <c r="T28" s="13">
        <f>IF($I28="","",$I28)</f>
        <v/>
      </c>
      <c r="U28" s="14">
        <f>IF($T28="","",SUMIFS(ETO_DIARIO!$B$5:$B$404,ETO_DIARIO!$A$5:$A$404,"&gt;"&amp;$T28,ETO_DIARIO!$A$5:$A$404,"&lt;="&amp;DATA_REF))</f>
        <v/>
      </c>
      <c r="V28" s="14">
        <f>IF($T28="","",SUMIFS(ETO_DIARIO!$C$5:$C$404,ETO_DIARIO!$A$5:$A$404,"&gt;"&amp;$T28,ETO_DIARIO!$A$5:$A$404,"&lt;="&amp;DATA_REF))</f>
        <v/>
      </c>
      <c r="W28" s="14">
        <f>IF(OR($S28="",$S28="PENDENTE",$U28=""),"",$S28*$U28)</f>
        <v/>
      </c>
      <c r="X28" s="14">
        <f>IF($W28="","",MAX(0,$W28-N($V28)))</f>
        <v/>
      </c>
      <c r="Y28" s="14">
        <f>IF($X28="","",$X28/EF_APLIC)</f>
        <v/>
      </c>
      <c r="Z28" s="15" t="n">
        <v>100</v>
      </c>
      <c r="AA28" s="16">
        <f>IF(OR($Y28="",$Z28=""),"",$Y28*$Z28*10)</f>
        <v/>
      </c>
      <c r="AB28" s="17" t="n">
        <v>0.711</v>
      </c>
      <c r="AC28" s="16">
        <f>IF(OR($AA28="",$AB28=""),"",$AA28*$AB28)</f>
        <v/>
      </c>
      <c r="AD28" s="18">
        <f>IF($S28="PENDENTE","Definir classe/Kc",IF($Y28="","-",IF($Y28&gt;='PARAMETROS'!$B$7/EF_APLIC,"Irrigar",IF($Y28&gt;='PARAMETROS'!$B$7/EF_APLIC*FRAC_ACOMP,"Acompanhar","Aguardar"))))</f>
        <v/>
      </c>
      <c r="AE28" s="18">
        <f>IF(OR($Y28="",$Y28=0),"-",IF($Y28&gt;=2*'PARAMETROS'!$B$7/EF_APLIC,"Alta",IF($Y28&gt;='PARAMETROS'!$B$7/EF_APLIC,"Media","Baixa")))</f>
        <v/>
      </c>
    </row>
    <row r="29">
      <c r="A29" s="5" t="inlineStr">
        <is>
          <t>Pivô 132</t>
        </is>
      </c>
      <c r="B29" s="5" t="inlineStr">
        <is>
          <t>Rdm</t>
        </is>
      </c>
      <c r="C29" s="5" t="inlineStr">
        <is>
          <t>RM5</t>
        </is>
      </c>
      <c r="D29" s="5" t="inlineStr">
        <is>
          <t>RDM</t>
        </is>
      </c>
      <c r="E29" s="5" t="inlineStr">
        <is>
          <t>ALGODÃO</t>
        </is>
      </c>
      <c r="F29" s="6" t="inlineStr">
        <is>
          <t>IMA 3764 B2RF</t>
        </is>
      </c>
      <c r="G29" s="7" t="inlineStr">
        <is>
          <t>TARDIO</t>
        </is>
      </c>
      <c r="H29" s="5" t="inlineStr">
        <is>
          <t>proximo</t>
        </is>
      </c>
      <c r="I29" s="8" t="n">
        <v>46357</v>
      </c>
      <c r="J29" s="9">
        <f>IF($I29="","",DATA_REF-$I29)</f>
        <v/>
      </c>
      <c r="K29" s="9">
        <f>IF($J29="","",MAX(0,$J29-'PARAMETROS'!$B$11))</f>
        <v/>
      </c>
      <c r="L29" s="10">
        <f>IFERROR(INDEX(KC_CURVAS!$C$5:$C$15,MATCH("ALGODÃO|"&amp;$G29,KC_CURVAS!$K$5:$K$15,0)),IFERROR(INDEX(KC_CURVAS!$C$5:$C$15,MATCH("ALGODÃO"&amp;"|",KC_CURVAS!$K$5:$K$15,0)),""))</f>
        <v/>
      </c>
      <c r="M29" s="10">
        <f>IFERROR(INDEX(KC_CURVAS!$D$5:$D$15,MATCH("ALGODÃO|"&amp;$G29,KC_CURVAS!$K$5:$K$15,0)),IFERROR(INDEX(KC_CURVAS!$D$5:$D$15,MATCH("ALGODÃO"&amp;"|",KC_CURVAS!$K$5:$K$15,0)),""))</f>
        <v/>
      </c>
      <c r="N29" s="10">
        <f>IFERROR(INDEX(KC_CURVAS!$E$5:$E$15,MATCH("ALGODÃO|"&amp;$G29,KC_CURVAS!$K$5:$K$15,0)),IFERROR(INDEX(KC_CURVAS!$E$5:$E$15,MATCH("ALGODÃO"&amp;"|",KC_CURVAS!$K$5:$K$15,0)),""))</f>
        <v/>
      </c>
      <c r="O29" s="10">
        <f>IFERROR(INDEX(KC_CURVAS!$F$5:$F$15,MATCH("ALGODÃO|"&amp;$G29,KC_CURVAS!$K$5:$K$15,0)),IFERROR(INDEX(KC_CURVAS!$F$5:$F$15,MATCH("ALGODÃO"&amp;"|",KC_CURVAS!$K$5:$K$15,0)),""))</f>
        <v/>
      </c>
      <c r="P29" s="11">
        <f>IFERROR(INDEX(KC_CURVAS!$G$5:$G$15,MATCH("ALGODÃO|"&amp;$G29,KC_CURVAS!$K$5:$K$15,0)),IFERROR(INDEX(KC_CURVAS!$G$5:$G$15,MATCH("ALGODÃO"&amp;"|",KC_CURVAS!$K$5:$K$15,0)),""))</f>
        <v/>
      </c>
      <c r="Q29" s="11">
        <f>IFERROR(INDEX(KC_CURVAS!$H$5:$H$15,MATCH("ALGODÃO|"&amp;$G29,KC_CURVAS!$K$5:$K$15,0)),IFERROR(INDEX(KC_CURVAS!$H$5:$H$15,MATCH("ALGODÃO"&amp;"|",KC_CURVAS!$K$5:$K$15,0)),""))</f>
        <v/>
      </c>
      <c r="R29" s="11">
        <f>IFERROR(INDEX(KC_CURVAS!$I$5:$I$15,MATCH("ALGODÃO|"&amp;$G29,KC_CURVAS!$K$5:$K$15,0)),IFERROR(INDEX(KC_CURVAS!$I$5:$I$15,MATCH("ALGODÃO"&amp;"|",KC_CURVAS!$K$5:$K$15,0)),""))</f>
        <v/>
      </c>
      <c r="S29" s="12">
        <f>IF(OR($K29="",$L29=""),"PENDENTE",IF($K29&lt;=$L29,$P29,IF($K29&lt;=$L29+$M29,$P29+($Q29-$P29)*($K29-$L29)/$M29,IF($K29&lt;=$L29+$M29+$N29,$Q29,IF($K29&lt;=$L29+$M29+$N29+$O29,$Q29+($R29-$Q29)*($K29-($L29+$M29+$N29))/$O29,$R29)))))</f>
        <v/>
      </c>
      <c r="T29" s="13">
        <f>IF($I29="","",$I29)</f>
        <v/>
      </c>
      <c r="U29" s="14">
        <f>IF($T29="","",SUMIFS(ETO_DIARIO!$B$5:$B$404,ETO_DIARIO!$A$5:$A$404,"&gt;"&amp;$T29,ETO_DIARIO!$A$5:$A$404,"&lt;="&amp;DATA_REF))</f>
        <v/>
      </c>
      <c r="V29" s="14">
        <f>IF($T29="","",SUMIFS(ETO_DIARIO!$C$5:$C$404,ETO_DIARIO!$A$5:$A$404,"&gt;"&amp;$T29,ETO_DIARIO!$A$5:$A$404,"&lt;="&amp;DATA_REF))</f>
        <v/>
      </c>
      <c r="W29" s="14">
        <f>IF(OR($S29="",$S29="PENDENTE",$U29=""),"",$S29*$U29)</f>
        <v/>
      </c>
      <c r="X29" s="14">
        <f>IF($W29="","",MAX(0,$W29-N($V29)))</f>
        <v/>
      </c>
      <c r="Y29" s="14">
        <f>IF($X29="","",$X29/EF_APLIC)</f>
        <v/>
      </c>
      <c r="Z29" s="15" t="n">
        <v>100</v>
      </c>
      <c r="AA29" s="16">
        <f>IF(OR($Y29="",$Z29=""),"",$Y29*$Z29*10)</f>
        <v/>
      </c>
      <c r="AB29" s="17" t="n">
        <v>0.711</v>
      </c>
      <c r="AC29" s="16">
        <f>IF(OR($AA29="",$AB29=""),"",$AA29*$AB29)</f>
        <v/>
      </c>
      <c r="AD29" s="18">
        <f>IF($S29="PENDENTE","Definir classe/Kc",IF($Y29="","-",IF($Y29&gt;='PARAMETROS'!$B$7/EF_APLIC,"Irrigar",IF($Y29&gt;='PARAMETROS'!$B$7/EF_APLIC*FRAC_ACOMP,"Acompanhar","Aguardar"))))</f>
        <v/>
      </c>
      <c r="AE29" s="18">
        <f>IF(OR($Y29="",$Y29=0),"-",IF($Y29&gt;=2*'PARAMETROS'!$B$7/EF_APLIC,"Alta",IF($Y29&gt;='PARAMETROS'!$B$7/EF_APLIC,"Media","Baixa")))</f>
        <v/>
      </c>
    </row>
    <row r="30">
      <c r="A30" s="5" t="inlineStr">
        <is>
          <t>Pivô 133</t>
        </is>
      </c>
      <c r="B30" s="5" t="inlineStr">
        <is>
          <t>Rdm</t>
        </is>
      </c>
      <c r="C30" s="5" t="inlineStr">
        <is>
          <t>RM7</t>
        </is>
      </c>
      <c r="D30" s="5" t="inlineStr">
        <is>
          <t>RDM</t>
        </is>
      </c>
      <c r="E30" s="5" t="inlineStr">
        <is>
          <t>ALGODÃO</t>
        </is>
      </c>
      <c r="F30" s="6" t="inlineStr">
        <is>
          <t>FM 974 GLT</t>
        </is>
      </c>
      <c r="G30" s="7" t="inlineStr">
        <is>
          <t>MÉDIO</t>
        </is>
      </c>
      <c r="H30" s="5" t="inlineStr">
        <is>
          <t>proximo</t>
        </is>
      </c>
      <c r="I30" s="8" t="n">
        <v>46357</v>
      </c>
      <c r="J30" s="9">
        <f>IF($I30="","",DATA_REF-$I30)</f>
        <v/>
      </c>
      <c r="K30" s="9">
        <f>IF($J30="","",MAX(0,$J30-'PARAMETROS'!$B$11))</f>
        <v/>
      </c>
      <c r="L30" s="10">
        <f>IFERROR(INDEX(KC_CURVAS!$C$5:$C$15,MATCH("ALGODÃO|"&amp;$G30,KC_CURVAS!$K$5:$K$15,0)),IFERROR(INDEX(KC_CURVAS!$C$5:$C$15,MATCH("ALGODÃO"&amp;"|",KC_CURVAS!$K$5:$K$15,0)),""))</f>
        <v/>
      </c>
      <c r="M30" s="10">
        <f>IFERROR(INDEX(KC_CURVAS!$D$5:$D$15,MATCH("ALGODÃO|"&amp;$G30,KC_CURVAS!$K$5:$K$15,0)),IFERROR(INDEX(KC_CURVAS!$D$5:$D$15,MATCH("ALGODÃO"&amp;"|",KC_CURVAS!$K$5:$K$15,0)),""))</f>
        <v/>
      </c>
      <c r="N30" s="10">
        <f>IFERROR(INDEX(KC_CURVAS!$E$5:$E$15,MATCH("ALGODÃO|"&amp;$G30,KC_CURVAS!$K$5:$K$15,0)),IFERROR(INDEX(KC_CURVAS!$E$5:$E$15,MATCH("ALGODÃO"&amp;"|",KC_CURVAS!$K$5:$K$15,0)),""))</f>
        <v/>
      </c>
      <c r="O30" s="10">
        <f>IFERROR(INDEX(KC_CURVAS!$F$5:$F$15,MATCH("ALGODÃO|"&amp;$G30,KC_CURVAS!$K$5:$K$15,0)),IFERROR(INDEX(KC_CURVAS!$F$5:$F$15,MATCH("ALGODÃO"&amp;"|",KC_CURVAS!$K$5:$K$15,0)),""))</f>
        <v/>
      </c>
      <c r="P30" s="11">
        <f>IFERROR(INDEX(KC_CURVAS!$G$5:$G$15,MATCH("ALGODÃO|"&amp;$G30,KC_CURVAS!$K$5:$K$15,0)),IFERROR(INDEX(KC_CURVAS!$G$5:$G$15,MATCH("ALGODÃO"&amp;"|",KC_CURVAS!$K$5:$K$15,0)),""))</f>
        <v/>
      </c>
      <c r="Q30" s="11">
        <f>IFERROR(INDEX(KC_CURVAS!$H$5:$H$15,MATCH("ALGODÃO|"&amp;$G30,KC_CURVAS!$K$5:$K$15,0)),IFERROR(INDEX(KC_CURVAS!$H$5:$H$15,MATCH("ALGODÃO"&amp;"|",KC_CURVAS!$K$5:$K$15,0)),""))</f>
        <v/>
      </c>
      <c r="R30" s="11">
        <f>IFERROR(INDEX(KC_CURVAS!$I$5:$I$15,MATCH("ALGODÃO|"&amp;$G30,KC_CURVAS!$K$5:$K$15,0)),IFERROR(INDEX(KC_CURVAS!$I$5:$I$15,MATCH("ALGODÃO"&amp;"|",KC_CURVAS!$K$5:$K$15,0)),""))</f>
        <v/>
      </c>
      <c r="S30" s="12">
        <f>IF(OR($K30="",$L30=""),"PENDENTE",IF($K30&lt;=$L30,$P30,IF($K30&lt;=$L30+$M30,$P30+($Q30-$P30)*($K30-$L30)/$M30,IF($K30&lt;=$L30+$M30+$N30,$Q30,IF($K30&lt;=$L30+$M30+$N30+$O30,$Q30+($R30-$Q30)*($K30-($L30+$M30+$N30))/$O30,$R30)))))</f>
        <v/>
      </c>
      <c r="T30" s="13">
        <f>IF($I30="","",$I30)</f>
        <v/>
      </c>
      <c r="U30" s="14">
        <f>IF($T30="","",SUMIFS(ETO_DIARIO!$B$5:$B$404,ETO_DIARIO!$A$5:$A$404,"&gt;"&amp;$T30,ETO_DIARIO!$A$5:$A$404,"&lt;="&amp;DATA_REF))</f>
        <v/>
      </c>
      <c r="V30" s="14">
        <f>IF($T30="","",SUMIFS(ETO_DIARIO!$C$5:$C$404,ETO_DIARIO!$A$5:$A$404,"&gt;"&amp;$T30,ETO_DIARIO!$A$5:$A$404,"&lt;="&amp;DATA_REF))</f>
        <v/>
      </c>
      <c r="W30" s="14">
        <f>IF(OR($S30="",$S30="PENDENTE",$U30=""),"",$S30*$U30)</f>
        <v/>
      </c>
      <c r="X30" s="14">
        <f>IF($W30="","",MAX(0,$W30-N($V30)))</f>
        <v/>
      </c>
      <c r="Y30" s="14">
        <f>IF($X30="","",$X30/EF_APLIC)</f>
        <v/>
      </c>
      <c r="Z30" s="15" t="n">
        <v>100</v>
      </c>
      <c r="AA30" s="16">
        <f>IF(OR($Y30="",$Z30=""),"",$Y30*$Z30*10)</f>
        <v/>
      </c>
      <c r="AB30" s="17" t="n">
        <v>0.825</v>
      </c>
      <c r="AC30" s="16">
        <f>IF(OR($AA30="",$AB30=""),"",$AA30*$AB30)</f>
        <v/>
      </c>
      <c r="AD30" s="18">
        <f>IF($S30="PENDENTE","Definir classe/Kc",IF($Y30="","-",IF($Y30&gt;='PARAMETROS'!$B$7/EF_APLIC,"Irrigar",IF($Y30&gt;='PARAMETROS'!$B$7/EF_APLIC*FRAC_ACOMP,"Acompanhar","Aguardar"))))</f>
        <v/>
      </c>
      <c r="AE30" s="18">
        <f>IF(OR($Y30="",$Y30=0),"-",IF($Y30&gt;=2*'PARAMETROS'!$B$7/EF_APLIC,"Alta",IF($Y30&gt;='PARAMETROS'!$B$7/EF_APLIC,"Media","Baixa")))</f>
        <v/>
      </c>
    </row>
    <row r="32">
      <c r="A32" s="20" t="inlineStr">
        <is>
          <t>Clima DIARIO: ETo/chuva acumulam de ETO_DIARIO entre a ultima irrigacao e HOJE. ETc = Kc(DAE) x ETo acum. Nec liquida = ETc - chuva; bruta = /0,90. Irriga quando a nec. bruta atinge o alvo/turno (PARAMETROS B7). CE = captacao do modulo + pressurizacao do pivo. Status 'proximo' = cultura ainda nao plantada.</t>
        </is>
      </c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2" t="n"/>
    </row>
  </sheetData>
  <mergeCells count="1">
    <mergeCell ref="A32:AE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AE1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8" customWidth="1" min="3" max="3"/>
    <col width="9" customWidth="1" min="4" max="4"/>
    <col width="9" customWidth="1" min="5" max="5"/>
    <col width="14" customWidth="1" min="6" max="6"/>
    <col width="8" customWidth="1" min="7" max="7"/>
    <col width="8" customWidth="1" min="8" max="8"/>
    <col width="11" customWidth="1" min="9" max="9"/>
    <col width="6" customWidth="1" min="10" max="10"/>
    <col width="6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6" customWidth="1" min="19" max="19"/>
    <col width="11" customWidth="1" min="20" max="20"/>
    <col width="9" customWidth="1" min="21" max="21"/>
    <col width="10" customWidth="1" min="22" max="22"/>
    <col width="9" customWidth="1" min="23" max="23"/>
    <col width="8" customWidth="1" min="24" max="24"/>
    <col width="9" customWidth="1" min="25" max="25"/>
    <col width="8" customWidth="1" min="26" max="26"/>
    <col width="11" customWidth="1" min="27" max="27"/>
    <col width="10" customWidth="1" min="28" max="28"/>
    <col width="11" customWidth="1" min="29" max="29"/>
    <col width="11" customWidth="1" min="30" max="30"/>
    <col width="10" customWidth="1" min="31" max="31"/>
  </cols>
  <sheetData>
    <row r="1" ht="20" customHeight="1">
      <c r="A1" s="1" t="inlineStr">
        <is>
          <t>TABACO 26/27 - demanda via clima</t>
        </is>
      </c>
    </row>
    <row r="2">
      <c r="A2" s="3" t="inlineStr">
        <is>
          <t>Kc FAO-56 linear por DAE. ETo diaria.</t>
        </is>
      </c>
    </row>
    <row r="4" ht="30" customHeight="1">
      <c r="A4" s="4" t="inlineStr">
        <is>
          <t>Pivo/Talhao</t>
        </is>
      </c>
      <c r="B4" s="4" t="inlineStr">
        <is>
          <t>Faz</t>
        </is>
      </c>
      <c r="C4" s="4" t="inlineStr">
        <is>
          <t>Casa b.</t>
        </is>
      </c>
      <c r="D4" s="4" t="inlineStr">
        <is>
          <t>Modulo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Status</t>
        </is>
      </c>
      <c r="I4" s="4" t="inlineStr">
        <is>
          <t>Plantio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Lini</t>
        </is>
      </c>
      <c r="M4" s="4" t="inlineStr">
        <is>
          <t>Ldev</t>
        </is>
      </c>
      <c r="N4" s="4" t="inlineStr">
        <is>
          <t>Lmid</t>
        </is>
      </c>
      <c r="O4" s="4" t="inlineStr">
        <is>
          <t>Llate</t>
        </is>
      </c>
      <c r="P4" s="4" t="inlineStr">
        <is>
          <t>Kcini</t>
        </is>
      </c>
      <c r="Q4" s="4" t="inlineStr">
        <is>
          <t>Kcmid</t>
        </is>
      </c>
      <c r="R4" s="4" t="inlineStr">
        <is>
          <t>Kcend</t>
        </is>
      </c>
      <c r="S4" s="4" t="inlineStr">
        <is>
          <t>Kc</t>
        </is>
      </c>
      <c r="T4" s="4" t="inlineStr">
        <is>
          <t>Ult.irrig</t>
        </is>
      </c>
      <c r="U4" s="4" t="inlineStr">
        <is>
          <t>ETo acum</t>
        </is>
      </c>
      <c r="V4" s="4" t="inlineStr">
        <is>
          <t>Chuva acum</t>
        </is>
      </c>
      <c r="W4" s="4" t="inlineStr">
        <is>
          <t>ETc acum</t>
        </is>
      </c>
      <c r="X4" s="4" t="inlineStr">
        <is>
          <t>Nec liq</t>
        </is>
      </c>
      <c r="Y4" s="4" t="inlineStr">
        <is>
          <t>Nec bruta</t>
        </is>
      </c>
      <c r="Z4" s="4" t="inlineStr">
        <is>
          <t>Area(ha)</t>
        </is>
      </c>
      <c r="AA4" s="4" t="inlineStr">
        <is>
          <t>Volume(m3)</t>
        </is>
      </c>
      <c r="AB4" s="4" t="inlineStr">
        <is>
          <t>CE(kWh/m3)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Prioridade</t>
        </is>
      </c>
    </row>
    <row r="5">
      <c r="A5" s="5" t="inlineStr">
        <is>
          <t>Pivô 118</t>
        </is>
      </c>
      <c r="B5" s="5" t="inlineStr">
        <is>
          <t>Rdm</t>
        </is>
      </c>
      <c r="C5" s="5" t="inlineStr">
        <is>
          <t>RM6</t>
        </is>
      </c>
      <c r="D5" s="5" t="inlineStr">
        <is>
          <t>RDM</t>
        </is>
      </c>
      <c r="E5" s="5" t="inlineStr">
        <is>
          <t>TABACO</t>
        </is>
      </c>
      <c r="F5" s="6" t="inlineStr">
        <is>
          <t>PVH-2343</t>
        </is>
      </c>
      <c r="G5" s="7" t="inlineStr"/>
      <c r="H5" s="5" t="inlineStr">
        <is>
          <t>proximo</t>
        </is>
      </c>
      <c r="I5" s="8" t="n">
        <v>46389</v>
      </c>
      <c r="J5" s="9">
        <f>IF($I5="","",DATA_REF-$I5)</f>
        <v/>
      </c>
      <c r="K5" s="9">
        <f>IF($J5="","",MAX(0,$J5-'PARAMETROS'!$B$11))</f>
        <v/>
      </c>
      <c r="L5" s="10">
        <f>IFERROR(INDEX(KC_CURVAS!$C$5:$C$15,MATCH("TABACO|"&amp;$G5,KC_CURVAS!$K$5:$K$15,0)),IFERROR(INDEX(KC_CURVAS!$C$5:$C$15,MATCH("TABACO"&amp;"|",KC_CURVAS!$K$5:$K$15,0)),""))</f>
        <v/>
      </c>
      <c r="M5" s="10">
        <f>IFERROR(INDEX(KC_CURVAS!$D$5:$D$15,MATCH("TABACO|"&amp;$G5,KC_CURVAS!$K$5:$K$15,0)),IFERROR(INDEX(KC_CURVAS!$D$5:$D$15,MATCH("TABACO"&amp;"|",KC_CURVAS!$K$5:$K$15,0)),""))</f>
        <v/>
      </c>
      <c r="N5" s="10">
        <f>IFERROR(INDEX(KC_CURVAS!$E$5:$E$15,MATCH("TABACO|"&amp;$G5,KC_CURVAS!$K$5:$K$15,0)),IFERROR(INDEX(KC_CURVAS!$E$5:$E$15,MATCH("TABACO"&amp;"|",KC_CURVAS!$K$5:$K$15,0)),""))</f>
        <v/>
      </c>
      <c r="O5" s="10">
        <f>IFERROR(INDEX(KC_CURVAS!$F$5:$F$15,MATCH("TABACO|"&amp;$G5,KC_CURVAS!$K$5:$K$15,0)),IFERROR(INDEX(KC_CURVAS!$F$5:$F$15,MATCH("TABACO"&amp;"|",KC_CURVAS!$K$5:$K$15,0)),""))</f>
        <v/>
      </c>
      <c r="P5" s="11">
        <f>IFERROR(INDEX(KC_CURVAS!$G$5:$G$15,MATCH("TABACO|"&amp;$G5,KC_CURVAS!$K$5:$K$15,0)),IFERROR(INDEX(KC_CURVAS!$G$5:$G$15,MATCH("TABACO"&amp;"|",KC_CURVAS!$K$5:$K$15,0)),""))</f>
        <v/>
      </c>
      <c r="Q5" s="11">
        <f>IFERROR(INDEX(KC_CURVAS!$H$5:$H$15,MATCH("TABACO|"&amp;$G5,KC_CURVAS!$K$5:$K$15,0)),IFERROR(INDEX(KC_CURVAS!$H$5:$H$15,MATCH("TABACO"&amp;"|",KC_CURVAS!$K$5:$K$15,0)),""))</f>
        <v/>
      </c>
      <c r="R5" s="11">
        <f>IFERROR(INDEX(KC_CURVAS!$I$5:$I$15,MATCH("TABACO|"&amp;$G5,KC_CURVAS!$K$5:$K$15,0)),IFERROR(INDEX(KC_CURVAS!$I$5:$I$15,MATCH("TABACO"&amp;"|",KC_CURVAS!$K$5:$K$15,0)),""))</f>
        <v/>
      </c>
      <c r="S5" s="12">
        <f>IF(OR($K5="",$L5=""),"PENDENTE",IF($K5&lt;=$L5,$P5,IF($K5&lt;=$L5+$M5,$P5+($Q5-$P5)*($K5-$L5)/$M5,IF($K5&lt;=$L5+$M5+$N5,$Q5,IF($K5&lt;=$L5+$M5+$N5+$O5,$Q5+($R5-$Q5)*($K5-($L5+$M5+$N5))/$O5,$R5)))))</f>
        <v/>
      </c>
      <c r="T5" s="13">
        <f>IF($I5="","",$I5)</f>
        <v/>
      </c>
      <c r="U5" s="14">
        <f>IF($T5="","",SUMIFS(ETO_DIARIO!$B$5:$B$404,ETO_DIARIO!$A$5:$A$404,"&gt;"&amp;$T5,ETO_DIARIO!$A$5:$A$404,"&lt;="&amp;DATA_REF))</f>
        <v/>
      </c>
      <c r="V5" s="14">
        <f>IF($T5="","",SUMIFS(ETO_DIARIO!$C$5:$C$404,ETO_DIARIO!$A$5:$A$404,"&gt;"&amp;$T5,ETO_DIARIO!$A$5:$A$404,"&lt;="&amp;DATA_REF))</f>
        <v/>
      </c>
      <c r="W5" s="14">
        <f>IF(OR($S5="",$S5="PENDENTE",$U5=""),"",$S5*$U5)</f>
        <v/>
      </c>
      <c r="X5" s="14">
        <f>IF($W5="","",MAX(0,$W5-N($V5)))</f>
        <v/>
      </c>
      <c r="Y5" s="14">
        <f>IF($X5="","",$X5/EF_APLIC)</f>
        <v/>
      </c>
      <c r="Z5" s="15" t="n">
        <v>147</v>
      </c>
      <c r="AA5" s="16">
        <f>IF(OR($Y5="",$Z5=""),"",$Y5*$Z5*10)</f>
        <v/>
      </c>
      <c r="AB5" s="17" t="n">
        <v>0.703</v>
      </c>
      <c r="AC5" s="16">
        <f>IF(OR($AA5="",$AB5=""),"",$AA5*$AB5)</f>
        <v/>
      </c>
      <c r="AD5" s="18">
        <f>IF($S5="PENDENTE","Definir classe/Kc",IF($Y5="","-",IF($Y5&gt;='PARAMETROS'!$B$7/EF_APLIC,"Irrigar",IF($Y5&gt;='PARAMETROS'!$B$7/EF_APLIC*FRAC_ACOMP,"Acompanhar","Aguardar"))))</f>
        <v/>
      </c>
      <c r="AE5" s="18">
        <f>IF(OR($Y5="",$Y5=0),"-",IF($Y5&gt;=2*'PARAMETROS'!$B$7/EF_APLIC,"Alta",IF($Y5&gt;='PARAMETROS'!$B$7/EF_APLIC,"Media","Baixa")))</f>
        <v/>
      </c>
    </row>
    <row r="6">
      <c r="A6" s="5" t="inlineStr">
        <is>
          <t>Pivô 119</t>
        </is>
      </c>
      <c r="B6" s="5" t="inlineStr">
        <is>
          <t>Rdm</t>
        </is>
      </c>
      <c r="C6" s="5" t="inlineStr">
        <is>
          <t>RM6</t>
        </is>
      </c>
      <c r="D6" s="5" t="inlineStr">
        <is>
          <t>RDM</t>
        </is>
      </c>
      <c r="E6" s="5" t="inlineStr">
        <is>
          <t>TABACO</t>
        </is>
      </c>
      <c r="F6" s="6" t="inlineStr">
        <is>
          <t>PVH-2343</t>
        </is>
      </c>
      <c r="G6" s="7" t="inlineStr"/>
      <c r="H6" s="5" t="inlineStr">
        <is>
          <t>proximo</t>
        </is>
      </c>
      <c r="I6" s="8" t="n">
        <v>46380</v>
      </c>
      <c r="J6" s="9">
        <f>IF($I6="","",DATA_REF-$I6)</f>
        <v/>
      </c>
      <c r="K6" s="9">
        <f>IF($J6="","",MAX(0,$J6-'PARAMETROS'!$B$11))</f>
        <v/>
      </c>
      <c r="L6" s="10">
        <f>IFERROR(INDEX(KC_CURVAS!$C$5:$C$15,MATCH("TABACO|"&amp;$G6,KC_CURVAS!$K$5:$K$15,0)),IFERROR(INDEX(KC_CURVAS!$C$5:$C$15,MATCH("TABACO"&amp;"|",KC_CURVAS!$K$5:$K$15,0)),""))</f>
        <v/>
      </c>
      <c r="M6" s="10">
        <f>IFERROR(INDEX(KC_CURVAS!$D$5:$D$15,MATCH("TABACO|"&amp;$G6,KC_CURVAS!$K$5:$K$15,0)),IFERROR(INDEX(KC_CURVAS!$D$5:$D$15,MATCH("TABACO"&amp;"|",KC_CURVAS!$K$5:$K$15,0)),""))</f>
        <v/>
      </c>
      <c r="N6" s="10">
        <f>IFERROR(INDEX(KC_CURVAS!$E$5:$E$15,MATCH("TABACO|"&amp;$G6,KC_CURVAS!$K$5:$K$15,0)),IFERROR(INDEX(KC_CURVAS!$E$5:$E$15,MATCH("TABACO"&amp;"|",KC_CURVAS!$K$5:$K$15,0)),""))</f>
        <v/>
      </c>
      <c r="O6" s="10">
        <f>IFERROR(INDEX(KC_CURVAS!$F$5:$F$15,MATCH("TABACO|"&amp;$G6,KC_CURVAS!$K$5:$K$15,0)),IFERROR(INDEX(KC_CURVAS!$F$5:$F$15,MATCH("TABACO"&amp;"|",KC_CURVAS!$K$5:$K$15,0)),""))</f>
        <v/>
      </c>
      <c r="P6" s="11">
        <f>IFERROR(INDEX(KC_CURVAS!$G$5:$G$15,MATCH("TABACO|"&amp;$G6,KC_CURVAS!$K$5:$K$15,0)),IFERROR(INDEX(KC_CURVAS!$G$5:$G$15,MATCH("TABACO"&amp;"|",KC_CURVAS!$K$5:$K$15,0)),""))</f>
        <v/>
      </c>
      <c r="Q6" s="11">
        <f>IFERROR(INDEX(KC_CURVAS!$H$5:$H$15,MATCH("TABACO|"&amp;$G6,KC_CURVAS!$K$5:$K$15,0)),IFERROR(INDEX(KC_CURVAS!$H$5:$H$15,MATCH("TABACO"&amp;"|",KC_CURVAS!$K$5:$K$15,0)),""))</f>
        <v/>
      </c>
      <c r="R6" s="11">
        <f>IFERROR(INDEX(KC_CURVAS!$I$5:$I$15,MATCH("TABACO|"&amp;$G6,KC_CURVAS!$K$5:$K$15,0)),IFERROR(INDEX(KC_CURVAS!$I$5:$I$15,MATCH("TABACO"&amp;"|",KC_CURVAS!$K$5:$K$15,0)),""))</f>
        <v/>
      </c>
      <c r="S6" s="12">
        <f>IF(OR($K6="",$L6=""),"PENDENTE",IF($K6&lt;=$L6,$P6,IF($K6&lt;=$L6+$M6,$P6+($Q6-$P6)*($K6-$L6)/$M6,IF($K6&lt;=$L6+$M6+$N6,$Q6,IF($K6&lt;=$L6+$M6+$N6+$O6,$Q6+($R6-$Q6)*($K6-($L6+$M6+$N6))/$O6,$R6)))))</f>
        <v/>
      </c>
      <c r="T6" s="13">
        <f>IF($I6="","",$I6)</f>
        <v/>
      </c>
      <c r="U6" s="14">
        <f>IF($T6="","",SUMIFS(ETO_DIARIO!$B$5:$B$404,ETO_DIARIO!$A$5:$A$404,"&gt;"&amp;$T6,ETO_DIARIO!$A$5:$A$404,"&lt;="&amp;DATA_REF))</f>
        <v/>
      </c>
      <c r="V6" s="14">
        <f>IF($T6="","",SUMIFS(ETO_DIARIO!$C$5:$C$404,ETO_DIARIO!$A$5:$A$404,"&gt;"&amp;$T6,ETO_DIARIO!$A$5:$A$404,"&lt;="&amp;DATA_REF))</f>
        <v/>
      </c>
      <c r="W6" s="14">
        <f>IF(OR($S6="",$S6="PENDENTE",$U6=""),"",$S6*$U6)</f>
        <v/>
      </c>
      <c r="X6" s="14">
        <f>IF($W6="","",MAX(0,$W6-N($V6)))</f>
        <v/>
      </c>
      <c r="Y6" s="14">
        <f>IF($X6="","",$X6/EF_APLIC)</f>
        <v/>
      </c>
      <c r="Z6" s="15" t="n">
        <v>150</v>
      </c>
      <c r="AA6" s="16">
        <f>IF(OR($Y6="",$Z6=""),"",$Y6*$Z6*10)</f>
        <v/>
      </c>
      <c r="AB6" s="17" t="n">
        <v>0.724</v>
      </c>
      <c r="AC6" s="16">
        <f>IF(OR($AA6="",$AB6=""),"",$AA6*$AB6)</f>
        <v/>
      </c>
      <c r="AD6" s="18">
        <f>IF($S6="PENDENTE","Definir classe/Kc",IF($Y6="","-",IF($Y6&gt;='PARAMETROS'!$B$7/EF_APLIC,"Irrigar",IF($Y6&gt;='PARAMETROS'!$B$7/EF_APLIC*FRAC_ACOMP,"Acompanhar","Aguardar"))))</f>
        <v/>
      </c>
      <c r="AE6" s="18">
        <f>IF(OR($Y6="",$Y6=0),"-",IF($Y6&gt;=2*'PARAMETROS'!$B$7/EF_APLIC,"Alta",IF($Y6&gt;='PARAMETROS'!$B$7/EF_APLIC,"Media","Baixa")))</f>
        <v/>
      </c>
    </row>
    <row r="7">
      <c r="A7" s="5" t="inlineStr">
        <is>
          <t>Pivô 120</t>
        </is>
      </c>
      <c r="B7" s="5" t="inlineStr">
        <is>
          <t>Rdm</t>
        </is>
      </c>
      <c r="C7" s="5" t="inlineStr">
        <is>
          <t>RM7</t>
        </is>
      </c>
      <c r="D7" s="5" t="inlineStr">
        <is>
          <t>RDM</t>
        </is>
      </c>
      <c r="E7" s="5" t="inlineStr">
        <is>
          <t>TABACO</t>
        </is>
      </c>
      <c r="F7" s="6" t="inlineStr">
        <is>
          <t>PVH-2343</t>
        </is>
      </c>
      <c r="G7" s="7" t="inlineStr"/>
      <c r="H7" s="5" t="inlineStr">
        <is>
          <t>proximo</t>
        </is>
      </c>
      <c r="I7" s="8" t="n">
        <v>46399</v>
      </c>
      <c r="J7" s="9">
        <f>IF($I7="","",DATA_REF-$I7)</f>
        <v/>
      </c>
      <c r="K7" s="9">
        <f>IF($J7="","",MAX(0,$J7-'PARAMETROS'!$B$11))</f>
        <v/>
      </c>
      <c r="L7" s="10">
        <f>IFERROR(INDEX(KC_CURVAS!$C$5:$C$15,MATCH("TABACO|"&amp;$G7,KC_CURVAS!$K$5:$K$15,0)),IFERROR(INDEX(KC_CURVAS!$C$5:$C$15,MATCH("TABACO"&amp;"|",KC_CURVAS!$K$5:$K$15,0)),""))</f>
        <v/>
      </c>
      <c r="M7" s="10">
        <f>IFERROR(INDEX(KC_CURVAS!$D$5:$D$15,MATCH("TABACO|"&amp;$G7,KC_CURVAS!$K$5:$K$15,0)),IFERROR(INDEX(KC_CURVAS!$D$5:$D$15,MATCH("TABACO"&amp;"|",KC_CURVAS!$K$5:$K$15,0)),""))</f>
        <v/>
      </c>
      <c r="N7" s="10">
        <f>IFERROR(INDEX(KC_CURVAS!$E$5:$E$15,MATCH("TABACO|"&amp;$G7,KC_CURVAS!$K$5:$K$15,0)),IFERROR(INDEX(KC_CURVAS!$E$5:$E$15,MATCH("TABACO"&amp;"|",KC_CURVAS!$K$5:$K$15,0)),""))</f>
        <v/>
      </c>
      <c r="O7" s="10">
        <f>IFERROR(INDEX(KC_CURVAS!$F$5:$F$15,MATCH("TABACO|"&amp;$G7,KC_CURVAS!$K$5:$K$15,0)),IFERROR(INDEX(KC_CURVAS!$F$5:$F$15,MATCH("TABACO"&amp;"|",KC_CURVAS!$K$5:$K$15,0)),""))</f>
        <v/>
      </c>
      <c r="P7" s="11">
        <f>IFERROR(INDEX(KC_CURVAS!$G$5:$G$15,MATCH("TABACO|"&amp;$G7,KC_CURVAS!$K$5:$K$15,0)),IFERROR(INDEX(KC_CURVAS!$G$5:$G$15,MATCH("TABACO"&amp;"|",KC_CURVAS!$K$5:$K$15,0)),""))</f>
        <v/>
      </c>
      <c r="Q7" s="11">
        <f>IFERROR(INDEX(KC_CURVAS!$H$5:$H$15,MATCH("TABACO|"&amp;$G7,KC_CURVAS!$K$5:$K$15,0)),IFERROR(INDEX(KC_CURVAS!$H$5:$H$15,MATCH("TABACO"&amp;"|",KC_CURVAS!$K$5:$K$15,0)),""))</f>
        <v/>
      </c>
      <c r="R7" s="11">
        <f>IFERROR(INDEX(KC_CURVAS!$I$5:$I$15,MATCH("TABACO|"&amp;$G7,KC_CURVAS!$K$5:$K$15,0)),IFERROR(INDEX(KC_CURVAS!$I$5:$I$15,MATCH("TABACO"&amp;"|",KC_CURVAS!$K$5:$K$15,0)),""))</f>
        <v/>
      </c>
      <c r="S7" s="12">
        <f>IF(OR($K7="",$L7=""),"PENDENTE",IF($K7&lt;=$L7,$P7,IF($K7&lt;=$L7+$M7,$P7+($Q7-$P7)*($K7-$L7)/$M7,IF($K7&lt;=$L7+$M7+$N7,$Q7,IF($K7&lt;=$L7+$M7+$N7+$O7,$Q7+($R7-$Q7)*($K7-($L7+$M7+$N7))/$O7,$R7)))))</f>
        <v/>
      </c>
      <c r="T7" s="13">
        <f>IF($I7="","",$I7)</f>
        <v/>
      </c>
      <c r="U7" s="14">
        <f>IF($T7="","",SUMIFS(ETO_DIARIO!$B$5:$B$404,ETO_DIARIO!$A$5:$A$404,"&gt;"&amp;$T7,ETO_DIARIO!$A$5:$A$404,"&lt;="&amp;DATA_REF))</f>
        <v/>
      </c>
      <c r="V7" s="14">
        <f>IF($T7="","",SUMIFS(ETO_DIARIO!$C$5:$C$404,ETO_DIARIO!$A$5:$A$404,"&gt;"&amp;$T7,ETO_DIARIO!$A$5:$A$404,"&lt;="&amp;DATA_REF))</f>
        <v/>
      </c>
      <c r="W7" s="14">
        <f>IF(OR($S7="",$S7="PENDENTE",$U7=""),"",$S7*$U7)</f>
        <v/>
      </c>
      <c r="X7" s="14">
        <f>IF($W7="","",MAX(0,$W7-N($V7)))</f>
        <v/>
      </c>
      <c r="Y7" s="14">
        <f>IF($X7="","",$X7/EF_APLIC)</f>
        <v/>
      </c>
      <c r="Z7" s="15" t="n">
        <v>147</v>
      </c>
      <c r="AA7" s="16">
        <f>IF(OR($Y7="",$Z7=""),"",$Y7*$Z7*10)</f>
        <v/>
      </c>
      <c r="AB7" s="17" t="n">
        <v>0.724</v>
      </c>
      <c r="AC7" s="16">
        <f>IF(OR($AA7="",$AB7=""),"",$AA7*$AB7)</f>
        <v/>
      </c>
      <c r="AD7" s="18">
        <f>IF($S7="PENDENTE","Definir classe/Kc",IF($Y7="","-",IF($Y7&gt;='PARAMETROS'!$B$7/EF_APLIC,"Irrigar",IF($Y7&gt;='PARAMETROS'!$B$7/EF_APLIC*FRAC_ACOMP,"Acompanhar","Aguardar"))))</f>
        <v/>
      </c>
      <c r="AE7" s="18">
        <f>IF(OR($Y7="",$Y7=0),"-",IF($Y7&gt;=2*'PARAMETROS'!$B$7/EF_APLIC,"Alta",IF($Y7&gt;='PARAMETROS'!$B$7/EF_APLIC,"Media","Baixa")))</f>
        <v/>
      </c>
    </row>
    <row r="8">
      <c r="A8" s="5" t="inlineStr">
        <is>
          <t>Pivô 126</t>
        </is>
      </c>
      <c r="B8" s="5" t="inlineStr">
        <is>
          <t>Rdm</t>
        </is>
      </c>
      <c r="C8" s="5" t="inlineStr">
        <is>
          <t>RM7</t>
        </is>
      </c>
      <c r="D8" s="5" t="inlineStr">
        <is>
          <t>RDM</t>
        </is>
      </c>
      <c r="E8" s="5" t="inlineStr">
        <is>
          <t>TABACO</t>
        </is>
      </c>
      <c r="F8" s="6" t="inlineStr">
        <is>
          <t>PVH-2343</t>
        </is>
      </c>
      <c r="G8" s="7" t="inlineStr"/>
      <c r="H8" s="5" t="inlineStr">
        <is>
          <t>proximo</t>
        </is>
      </c>
      <c r="I8" s="8" t="n">
        <v>46371</v>
      </c>
      <c r="J8" s="9">
        <f>IF($I8="","",DATA_REF-$I8)</f>
        <v/>
      </c>
      <c r="K8" s="9">
        <f>IF($J8="","",MAX(0,$J8-'PARAMETROS'!$B$11))</f>
        <v/>
      </c>
      <c r="L8" s="10">
        <f>IFERROR(INDEX(KC_CURVAS!$C$5:$C$15,MATCH("TABACO|"&amp;$G8,KC_CURVAS!$K$5:$K$15,0)),IFERROR(INDEX(KC_CURVAS!$C$5:$C$15,MATCH("TABACO"&amp;"|",KC_CURVAS!$K$5:$K$15,0)),""))</f>
        <v/>
      </c>
      <c r="M8" s="10">
        <f>IFERROR(INDEX(KC_CURVAS!$D$5:$D$15,MATCH("TABACO|"&amp;$G8,KC_CURVAS!$K$5:$K$15,0)),IFERROR(INDEX(KC_CURVAS!$D$5:$D$15,MATCH("TABACO"&amp;"|",KC_CURVAS!$K$5:$K$15,0)),""))</f>
        <v/>
      </c>
      <c r="N8" s="10">
        <f>IFERROR(INDEX(KC_CURVAS!$E$5:$E$15,MATCH("TABACO|"&amp;$G8,KC_CURVAS!$K$5:$K$15,0)),IFERROR(INDEX(KC_CURVAS!$E$5:$E$15,MATCH("TABACO"&amp;"|",KC_CURVAS!$K$5:$K$15,0)),""))</f>
        <v/>
      </c>
      <c r="O8" s="10">
        <f>IFERROR(INDEX(KC_CURVAS!$F$5:$F$15,MATCH("TABACO|"&amp;$G8,KC_CURVAS!$K$5:$K$15,0)),IFERROR(INDEX(KC_CURVAS!$F$5:$F$15,MATCH("TABACO"&amp;"|",KC_CURVAS!$K$5:$K$15,0)),""))</f>
        <v/>
      </c>
      <c r="P8" s="11">
        <f>IFERROR(INDEX(KC_CURVAS!$G$5:$G$15,MATCH("TABACO|"&amp;$G8,KC_CURVAS!$K$5:$K$15,0)),IFERROR(INDEX(KC_CURVAS!$G$5:$G$15,MATCH("TABACO"&amp;"|",KC_CURVAS!$K$5:$K$15,0)),""))</f>
        <v/>
      </c>
      <c r="Q8" s="11">
        <f>IFERROR(INDEX(KC_CURVAS!$H$5:$H$15,MATCH("TABACO|"&amp;$G8,KC_CURVAS!$K$5:$K$15,0)),IFERROR(INDEX(KC_CURVAS!$H$5:$H$15,MATCH("TABACO"&amp;"|",KC_CURVAS!$K$5:$K$15,0)),""))</f>
        <v/>
      </c>
      <c r="R8" s="11">
        <f>IFERROR(INDEX(KC_CURVAS!$I$5:$I$15,MATCH("TABACO|"&amp;$G8,KC_CURVAS!$K$5:$K$15,0)),IFERROR(INDEX(KC_CURVAS!$I$5:$I$15,MATCH("TABACO"&amp;"|",KC_CURVAS!$K$5:$K$15,0)),""))</f>
        <v/>
      </c>
      <c r="S8" s="12">
        <f>IF(OR($K8="",$L8=""),"PENDENTE",IF($K8&lt;=$L8,$P8,IF($K8&lt;=$L8+$M8,$P8+($Q8-$P8)*($K8-$L8)/$M8,IF($K8&lt;=$L8+$M8+$N8,$Q8,IF($K8&lt;=$L8+$M8+$N8+$O8,$Q8+($R8-$Q8)*($K8-($L8+$M8+$N8))/$O8,$R8)))))</f>
        <v/>
      </c>
      <c r="T8" s="13">
        <f>IF($I8="","",$I8)</f>
        <v/>
      </c>
      <c r="U8" s="14">
        <f>IF($T8="","",SUMIFS(ETO_DIARIO!$B$5:$B$404,ETO_DIARIO!$A$5:$A$404,"&gt;"&amp;$T8,ETO_DIARIO!$A$5:$A$404,"&lt;="&amp;DATA_REF))</f>
        <v/>
      </c>
      <c r="V8" s="14">
        <f>IF($T8="","",SUMIFS(ETO_DIARIO!$C$5:$C$404,ETO_DIARIO!$A$5:$A$404,"&gt;"&amp;$T8,ETO_DIARIO!$A$5:$A$404,"&lt;="&amp;DATA_REF))</f>
        <v/>
      </c>
      <c r="W8" s="14">
        <f>IF(OR($S8="",$S8="PENDENTE",$U8=""),"",$S8*$U8)</f>
        <v/>
      </c>
      <c r="X8" s="14">
        <f>IF($W8="","",MAX(0,$W8-N($V8)))</f>
        <v/>
      </c>
      <c r="Y8" s="14">
        <f>IF($X8="","",$X8/EF_APLIC)</f>
        <v/>
      </c>
      <c r="Z8" s="15" t="n">
        <v>140</v>
      </c>
      <c r="AA8" s="16">
        <f>IF(OR($Y8="",$Z8=""),"",$Y8*$Z8*10)</f>
        <v/>
      </c>
      <c r="AB8" s="17" t="n">
        <v>0.711</v>
      </c>
      <c r="AC8" s="16">
        <f>IF(OR($AA8="",$AB8=""),"",$AA8*$AB8)</f>
        <v/>
      </c>
      <c r="AD8" s="18">
        <f>IF($S8="PENDENTE","Definir classe/Kc",IF($Y8="","-",IF($Y8&gt;='PARAMETROS'!$B$7/EF_APLIC,"Irrigar",IF($Y8&gt;='PARAMETROS'!$B$7/EF_APLIC*FRAC_ACOMP,"Acompanhar","Aguardar"))))</f>
        <v/>
      </c>
      <c r="AE8" s="18">
        <f>IF(OR($Y8="",$Y8=0),"-",IF($Y8&gt;=2*'PARAMETROS'!$B$7/EF_APLIC,"Alta",IF($Y8&gt;='PARAMETROS'!$B$7/EF_APLIC,"Media","Baixa")))</f>
        <v/>
      </c>
    </row>
    <row r="9">
      <c r="A9" s="5" t="inlineStr">
        <is>
          <t>Pivô 128</t>
        </is>
      </c>
      <c r="B9" s="5" t="inlineStr">
        <is>
          <t>Rdm</t>
        </is>
      </c>
      <c r="C9" s="5" t="inlineStr">
        <is>
          <t>RM6</t>
        </is>
      </c>
      <c r="D9" s="5" t="inlineStr">
        <is>
          <t>RDM</t>
        </is>
      </c>
      <c r="E9" s="5" t="inlineStr">
        <is>
          <t>TABACO</t>
        </is>
      </c>
      <c r="F9" s="6" t="inlineStr">
        <is>
          <t>PVH-2343</t>
        </is>
      </c>
      <c r="G9" s="7" t="inlineStr"/>
      <c r="H9" s="5" t="inlineStr">
        <is>
          <t>proximo</t>
        </is>
      </c>
      <c r="I9" s="8" t="n">
        <v>46345</v>
      </c>
      <c r="J9" s="9">
        <f>IF($I9="","",DATA_REF-$I9)</f>
        <v/>
      </c>
      <c r="K9" s="9">
        <f>IF($J9="","",MAX(0,$J9-'PARAMETROS'!$B$11))</f>
        <v/>
      </c>
      <c r="L9" s="10">
        <f>IFERROR(INDEX(KC_CURVAS!$C$5:$C$15,MATCH("TABACO|"&amp;$G9,KC_CURVAS!$K$5:$K$15,0)),IFERROR(INDEX(KC_CURVAS!$C$5:$C$15,MATCH("TABACO"&amp;"|",KC_CURVAS!$K$5:$K$15,0)),""))</f>
        <v/>
      </c>
      <c r="M9" s="10">
        <f>IFERROR(INDEX(KC_CURVAS!$D$5:$D$15,MATCH("TABACO|"&amp;$G9,KC_CURVAS!$K$5:$K$15,0)),IFERROR(INDEX(KC_CURVAS!$D$5:$D$15,MATCH("TABACO"&amp;"|",KC_CURVAS!$K$5:$K$15,0)),""))</f>
        <v/>
      </c>
      <c r="N9" s="10">
        <f>IFERROR(INDEX(KC_CURVAS!$E$5:$E$15,MATCH("TABACO|"&amp;$G9,KC_CURVAS!$K$5:$K$15,0)),IFERROR(INDEX(KC_CURVAS!$E$5:$E$15,MATCH("TABACO"&amp;"|",KC_CURVAS!$K$5:$K$15,0)),""))</f>
        <v/>
      </c>
      <c r="O9" s="10">
        <f>IFERROR(INDEX(KC_CURVAS!$F$5:$F$15,MATCH("TABACO|"&amp;$G9,KC_CURVAS!$K$5:$K$15,0)),IFERROR(INDEX(KC_CURVAS!$F$5:$F$15,MATCH("TABACO"&amp;"|",KC_CURVAS!$K$5:$K$15,0)),""))</f>
        <v/>
      </c>
      <c r="P9" s="11">
        <f>IFERROR(INDEX(KC_CURVAS!$G$5:$G$15,MATCH("TABACO|"&amp;$G9,KC_CURVAS!$K$5:$K$15,0)),IFERROR(INDEX(KC_CURVAS!$G$5:$G$15,MATCH("TABACO"&amp;"|",KC_CURVAS!$K$5:$K$15,0)),""))</f>
        <v/>
      </c>
      <c r="Q9" s="11">
        <f>IFERROR(INDEX(KC_CURVAS!$H$5:$H$15,MATCH("TABACO|"&amp;$G9,KC_CURVAS!$K$5:$K$15,0)),IFERROR(INDEX(KC_CURVAS!$H$5:$H$15,MATCH("TABACO"&amp;"|",KC_CURVAS!$K$5:$K$15,0)),""))</f>
        <v/>
      </c>
      <c r="R9" s="11">
        <f>IFERROR(INDEX(KC_CURVAS!$I$5:$I$15,MATCH("TABACO|"&amp;$G9,KC_CURVAS!$K$5:$K$15,0)),IFERROR(INDEX(KC_CURVAS!$I$5:$I$15,MATCH("TABACO"&amp;"|",KC_CURVAS!$K$5:$K$15,0)),""))</f>
        <v/>
      </c>
      <c r="S9" s="12">
        <f>IF(OR($K9="",$L9=""),"PENDENTE",IF($K9&lt;=$L9,$P9,IF($K9&lt;=$L9+$M9,$P9+($Q9-$P9)*($K9-$L9)/$M9,IF($K9&lt;=$L9+$M9+$N9,$Q9,IF($K9&lt;=$L9+$M9+$N9+$O9,$Q9+($R9-$Q9)*($K9-($L9+$M9+$N9))/$O9,$R9)))))</f>
        <v/>
      </c>
      <c r="T9" s="13">
        <f>IF($I9="","",$I9)</f>
        <v/>
      </c>
      <c r="U9" s="14">
        <f>IF($T9="","",SUMIFS(ETO_DIARIO!$B$5:$B$404,ETO_DIARIO!$A$5:$A$404,"&gt;"&amp;$T9,ETO_DIARIO!$A$5:$A$404,"&lt;="&amp;DATA_REF))</f>
        <v/>
      </c>
      <c r="V9" s="14">
        <f>IF($T9="","",SUMIFS(ETO_DIARIO!$C$5:$C$404,ETO_DIARIO!$A$5:$A$404,"&gt;"&amp;$T9,ETO_DIARIO!$A$5:$A$404,"&lt;="&amp;DATA_REF))</f>
        <v/>
      </c>
      <c r="W9" s="14">
        <f>IF(OR($S9="",$S9="PENDENTE",$U9=""),"",$S9*$U9)</f>
        <v/>
      </c>
      <c r="X9" s="14">
        <f>IF($W9="","",MAX(0,$W9-N($V9)))</f>
        <v/>
      </c>
      <c r="Y9" s="14">
        <f>IF($X9="","",$X9/EF_APLIC)</f>
        <v/>
      </c>
      <c r="Z9" s="15" t="n">
        <v>140</v>
      </c>
      <c r="AA9" s="16">
        <f>IF(OR($Y9="",$Z9=""),"",$Y9*$Z9*10)</f>
        <v/>
      </c>
      <c r="AB9" s="17" t="n">
        <v>0.711</v>
      </c>
      <c r="AC9" s="16">
        <f>IF(OR($AA9="",$AB9=""),"",$AA9*$AB9)</f>
        <v/>
      </c>
      <c r="AD9" s="18">
        <f>IF($S9="PENDENTE","Definir classe/Kc",IF($Y9="","-",IF($Y9&gt;='PARAMETROS'!$B$7/EF_APLIC,"Irrigar",IF($Y9&gt;='PARAMETROS'!$B$7/EF_APLIC*FRAC_ACOMP,"Acompanhar","Aguardar"))))</f>
        <v/>
      </c>
      <c r="AE9" s="18">
        <f>IF(OR($Y9="",$Y9=0),"-",IF($Y9&gt;=2*'PARAMETROS'!$B$7/EF_APLIC,"Alta",IF($Y9&gt;='PARAMETROS'!$B$7/EF_APLIC,"Media","Baixa")))</f>
        <v/>
      </c>
    </row>
    <row r="11">
      <c r="A11" s="20" t="inlineStr">
        <is>
          <t>Clima DIARIO: ETo/chuva acumulam de ETO_DIARIO entre a ultima irrigacao e HOJE. ETc = Kc(DAE) x ETo acum. Nec liquida = ETc - chuva; bruta = /0,90. Irriga quando a nec. bruta atinge o alvo/turno (PARAMETROS B7). CE = captacao do modulo + pressurizacao do pivo. Status 'proximo' = cultura ainda nao plantada.</t>
        </is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2" t="n"/>
    </row>
  </sheetData>
  <mergeCells count="1">
    <mergeCell ref="A11:AE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43C0C"/>
    <outlinePr summaryBelow="1" summaryRight="1"/>
    <pageSetUpPr/>
  </sheetPr>
  <dimension ref="A1:AE1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8" customWidth="1" min="3" max="3"/>
    <col width="9" customWidth="1" min="4" max="4"/>
    <col width="9" customWidth="1" min="5" max="5"/>
    <col width="14" customWidth="1" min="6" max="6"/>
    <col width="8" customWidth="1" min="7" max="7"/>
    <col width="8" customWidth="1" min="8" max="8"/>
    <col width="11" customWidth="1" min="9" max="9"/>
    <col width="6" customWidth="1" min="10" max="10"/>
    <col width="6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6" customWidth="1" min="19" max="19"/>
    <col width="11" customWidth="1" min="20" max="20"/>
    <col width="9" customWidth="1" min="21" max="21"/>
    <col width="10" customWidth="1" min="22" max="22"/>
    <col width="9" customWidth="1" min="23" max="23"/>
    <col width="8" customWidth="1" min="24" max="24"/>
    <col width="9" customWidth="1" min="25" max="25"/>
    <col width="8" customWidth="1" min="26" max="26"/>
    <col width="11" customWidth="1" min="27" max="27"/>
    <col width="10" customWidth="1" min="28" max="28"/>
    <col width="11" customWidth="1" min="29" max="29"/>
    <col width="11" customWidth="1" min="30" max="30"/>
    <col width="10" customWidth="1" min="31" max="31"/>
  </cols>
  <sheetData>
    <row r="1" ht="20" customHeight="1">
      <c r="A1" s="1" t="inlineStr">
        <is>
          <t>CACAU 26/27 - demanda via clima</t>
        </is>
      </c>
    </row>
    <row r="2">
      <c r="A2" s="3" t="inlineStr">
        <is>
          <t>Kc FAO-56 linear por DAE. ETo diaria.</t>
        </is>
      </c>
    </row>
    <row r="4" ht="30" customHeight="1">
      <c r="A4" s="4" t="inlineStr">
        <is>
          <t>Pivo/Talhao</t>
        </is>
      </c>
      <c r="B4" s="4" t="inlineStr">
        <is>
          <t>Faz</t>
        </is>
      </c>
      <c r="C4" s="4" t="inlineStr">
        <is>
          <t>Casa b.</t>
        </is>
      </c>
      <c r="D4" s="4" t="inlineStr">
        <is>
          <t>Modulo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Status</t>
        </is>
      </c>
      <c r="I4" s="4" t="inlineStr">
        <is>
          <t>Plantio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Lini</t>
        </is>
      </c>
      <c r="M4" s="4" t="inlineStr">
        <is>
          <t>Ldev</t>
        </is>
      </c>
      <c r="N4" s="4" t="inlineStr">
        <is>
          <t>Lmid</t>
        </is>
      </c>
      <c r="O4" s="4" t="inlineStr">
        <is>
          <t>Llate</t>
        </is>
      </c>
      <c r="P4" s="4" t="inlineStr">
        <is>
          <t>Kcini</t>
        </is>
      </c>
      <c r="Q4" s="4" t="inlineStr">
        <is>
          <t>Kcmid</t>
        </is>
      </c>
      <c r="R4" s="4" t="inlineStr">
        <is>
          <t>Kcend</t>
        </is>
      </c>
      <c r="S4" s="4" t="inlineStr">
        <is>
          <t>Kc</t>
        </is>
      </c>
      <c r="T4" s="4" t="inlineStr">
        <is>
          <t>Ult.irrig</t>
        </is>
      </c>
      <c r="U4" s="4" t="inlineStr">
        <is>
          <t>ETo acum</t>
        </is>
      </c>
      <c r="V4" s="4" t="inlineStr">
        <is>
          <t>Chuva acum</t>
        </is>
      </c>
      <c r="W4" s="4" t="inlineStr">
        <is>
          <t>ETc acum</t>
        </is>
      </c>
      <c r="X4" s="4" t="inlineStr">
        <is>
          <t>Nec liq</t>
        </is>
      </c>
      <c r="Y4" s="4" t="inlineStr">
        <is>
          <t>Nec bruta</t>
        </is>
      </c>
      <c r="Z4" s="4" t="inlineStr">
        <is>
          <t>Area(ha)</t>
        </is>
      </c>
      <c r="AA4" s="4" t="inlineStr">
        <is>
          <t>Volume(m3)</t>
        </is>
      </c>
      <c r="AB4" s="4" t="inlineStr">
        <is>
          <t>CE(kWh/m3)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Prioridade</t>
        </is>
      </c>
    </row>
    <row r="5">
      <c r="A5" s="5" t="inlineStr">
        <is>
          <t>Pivô 25</t>
        </is>
      </c>
      <c r="B5" s="5" t="inlineStr">
        <is>
          <t>Karitel</t>
        </is>
      </c>
      <c r="C5" s="5" t="inlineStr">
        <is>
          <t>R7</t>
        </is>
      </c>
      <c r="D5" s="5" t="inlineStr">
        <is>
          <t>Modulo 1</t>
        </is>
      </c>
      <c r="E5" s="5" t="inlineStr">
        <is>
          <t>CACAU</t>
        </is>
      </c>
      <c r="F5" s="6" t="inlineStr">
        <is>
          <t>PS1319/FA13/CCN51</t>
        </is>
      </c>
      <c r="G5" s="7" t="inlineStr"/>
      <c r="H5" s="5" t="inlineStr">
        <is>
          <t>ativo</t>
        </is>
      </c>
      <c r="I5" s="8" t="n">
        <v>45901</v>
      </c>
      <c r="J5" s="9">
        <f>IF($I5="","",DATA_REF-$I5)</f>
        <v/>
      </c>
      <c r="K5" s="9">
        <f>IF($J5="","",MAX(0,$J5-'PARAMETROS'!$B$11))</f>
        <v/>
      </c>
      <c r="L5" s="10">
        <f>IFERROR(INDEX(KC_CURVAS!$C$5:$C$15,MATCH("CACAU|"&amp;$G5,KC_CURVAS!$K$5:$K$15,0)),IFERROR(INDEX(KC_CURVAS!$C$5:$C$15,MATCH("CACAU"&amp;"|",KC_CURVAS!$K$5:$K$15,0)),""))</f>
        <v/>
      </c>
      <c r="M5" s="10">
        <f>IFERROR(INDEX(KC_CURVAS!$D$5:$D$15,MATCH("CACAU|"&amp;$G5,KC_CURVAS!$K$5:$K$15,0)),IFERROR(INDEX(KC_CURVAS!$D$5:$D$15,MATCH("CACAU"&amp;"|",KC_CURVAS!$K$5:$K$15,0)),""))</f>
        <v/>
      </c>
      <c r="N5" s="10">
        <f>IFERROR(INDEX(KC_CURVAS!$E$5:$E$15,MATCH("CACAU|"&amp;$G5,KC_CURVAS!$K$5:$K$15,0)),IFERROR(INDEX(KC_CURVAS!$E$5:$E$15,MATCH("CACAU"&amp;"|",KC_CURVAS!$K$5:$K$15,0)),""))</f>
        <v/>
      </c>
      <c r="O5" s="10">
        <f>IFERROR(INDEX(KC_CURVAS!$F$5:$F$15,MATCH("CACAU|"&amp;$G5,KC_CURVAS!$K$5:$K$15,0)),IFERROR(INDEX(KC_CURVAS!$F$5:$F$15,MATCH("CACAU"&amp;"|",KC_CURVAS!$K$5:$K$15,0)),""))</f>
        <v/>
      </c>
      <c r="P5" s="11">
        <f>IFERROR(INDEX(KC_CURVAS!$G$5:$G$15,MATCH("CACAU|"&amp;$G5,KC_CURVAS!$K$5:$K$15,0)),IFERROR(INDEX(KC_CURVAS!$G$5:$G$15,MATCH("CACAU"&amp;"|",KC_CURVAS!$K$5:$K$15,0)),""))</f>
        <v/>
      </c>
      <c r="Q5" s="11">
        <f>IFERROR(INDEX(KC_CURVAS!$H$5:$H$15,MATCH("CACAU|"&amp;$G5,KC_CURVAS!$K$5:$K$15,0)),IFERROR(INDEX(KC_CURVAS!$H$5:$H$15,MATCH("CACAU"&amp;"|",KC_CURVAS!$K$5:$K$15,0)),""))</f>
        <v/>
      </c>
      <c r="R5" s="11">
        <f>IFERROR(INDEX(KC_CURVAS!$I$5:$I$15,MATCH("CACAU|"&amp;$G5,KC_CURVAS!$K$5:$K$15,0)),IFERROR(INDEX(KC_CURVAS!$I$5:$I$15,MATCH("CACAU"&amp;"|",KC_CURVAS!$K$5:$K$15,0)),""))</f>
        <v/>
      </c>
      <c r="S5" s="12">
        <f>IF(OR($K5="",$L5=""),"PENDENTE",IF($K5&lt;=$L5,$P5,IF($K5&lt;=$L5+$M5,$P5+($Q5-$P5)*($K5-$L5)/$M5,IF($K5&lt;=$L5+$M5+$N5,$Q5,IF($K5&lt;=$L5+$M5+$N5+$O5,$Q5+($R5-$Q5)*($K5-($L5+$M5+$N5))/$O5,$R5)))))</f>
        <v/>
      </c>
      <c r="T5" s="13">
        <f>IF($I5="","",$I5)</f>
        <v/>
      </c>
      <c r="U5" s="14">
        <f>IF($T5="","",SUMIFS(ETO_DIARIO!$B$5:$B$404,ETO_DIARIO!$A$5:$A$404,"&gt;"&amp;$T5,ETO_DIARIO!$A$5:$A$404,"&lt;="&amp;DATA_REF))</f>
        <v/>
      </c>
      <c r="V5" s="14">
        <f>IF($T5="","",SUMIFS(ETO_DIARIO!$C$5:$C$404,ETO_DIARIO!$A$5:$A$404,"&gt;"&amp;$T5,ETO_DIARIO!$A$5:$A$404,"&lt;="&amp;DATA_REF))</f>
        <v/>
      </c>
      <c r="W5" s="14">
        <f>IF(OR($S5="",$S5="PENDENTE",$U5=""),"",$S5*$U5)</f>
        <v/>
      </c>
      <c r="X5" s="14">
        <f>IF($W5="","",MAX(0,$W5-N($V5)))</f>
        <v/>
      </c>
      <c r="Y5" s="14">
        <f>IF($X5="","",$X5/EF_APLIC)</f>
        <v/>
      </c>
      <c r="Z5" s="15" t="n">
        <v>100</v>
      </c>
      <c r="AA5" s="16">
        <f>IF(OR($Y5="",$Z5=""),"",$Y5*$Z5*10)</f>
        <v/>
      </c>
      <c r="AB5" s="17" t="n">
        <v>0.462</v>
      </c>
      <c r="AC5" s="16">
        <f>IF(OR($AA5="",$AB5=""),"",$AA5*$AB5)</f>
        <v/>
      </c>
      <c r="AD5" s="18">
        <f>IF($S5="PENDENTE","Definir classe/Kc",IF($Y5="","-",IF($Y5&gt;='PARAMETROS'!$B$7/EF_APLIC,"Irrigar",IF($Y5&gt;='PARAMETROS'!$B$7/EF_APLIC*FRAC_ACOMP,"Acompanhar","Aguardar"))))</f>
        <v/>
      </c>
      <c r="AE5" s="18">
        <f>IF(OR($Y5="",$Y5=0),"-",IF($Y5&gt;=2*'PARAMETROS'!$B$7/EF_APLIC,"Alta",IF($Y5&gt;='PARAMETROS'!$B$7/EF_APLIC,"Media","Baixa")))</f>
        <v/>
      </c>
    </row>
    <row r="6">
      <c r="A6" s="5" t="inlineStr">
        <is>
          <t>Pivô 27</t>
        </is>
      </c>
      <c r="B6" s="5" t="inlineStr">
        <is>
          <t>Karitel</t>
        </is>
      </c>
      <c r="C6" s="5" t="inlineStr">
        <is>
          <t>R7</t>
        </is>
      </c>
      <c r="D6" s="5" t="inlineStr">
        <is>
          <t>Modulo 1</t>
        </is>
      </c>
      <c r="E6" s="5" t="inlineStr">
        <is>
          <t>CACAU</t>
        </is>
      </c>
      <c r="F6" s="6" t="inlineStr">
        <is>
          <t>PS1319/FA13/CCN51</t>
        </is>
      </c>
      <c r="G6" s="7" t="inlineStr"/>
      <c r="H6" s="5" t="inlineStr">
        <is>
          <t>ativo</t>
        </is>
      </c>
      <c r="I6" s="8" t="n">
        <v>45901</v>
      </c>
      <c r="J6" s="9">
        <f>IF($I6="","",DATA_REF-$I6)</f>
        <v/>
      </c>
      <c r="K6" s="9">
        <f>IF($J6="","",MAX(0,$J6-'PARAMETROS'!$B$11))</f>
        <v/>
      </c>
      <c r="L6" s="10">
        <f>IFERROR(INDEX(KC_CURVAS!$C$5:$C$15,MATCH("CACAU|"&amp;$G6,KC_CURVAS!$K$5:$K$15,0)),IFERROR(INDEX(KC_CURVAS!$C$5:$C$15,MATCH("CACAU"&amp;"|",KC_CURVAS!$K$5:$K$15,0)),""))</f>
        <v/>
      </c>
      <c r="M6" s="10">
        <f>IFERROR(INDEX(KC_CURVAS!$D$5:$D$15,MATCH("CACAU|"&amp;$G6,KC_CURVAS!$K$5:$K$15,0)),IFERROR(INDEX(KC_CURVAS!$D$5:$D$15,MATCH("CACAU"&amp;"|",KC_CURVAS!$K$5:$K$15,0)),""))</f>
        <v/>
      </c>
      <c r="N6" s="10">
        <f>IFERROR(INDEX(KC_CURVAS!$E$5:$E$15,MATCH("CACAU|"&amp;$G6,KC_CURVAS!$K$5:$K$15,0)),IFERROR(INDEX(KC_CURVAS!$E$5:$E$15,MATCH("CACAU"&amp;"|",KC_CURVAS!$K$5:$K$15,0)),""))</f>
        <v/>
      </c>
      <c r="O6" s="10">
        <f>IFERROR(INDEX(KC_CURVAS!$F$5:$F$15,MATCH("CACAU|"&amp;$G6,KC_CURVAS!$K$5:$K$15,0)),IFERROR(INDEX(KC_CURVAS!$F$5:$F$15,MATCH("CACAU"&amp;"|",KC_CURVAS!$K$5:$K$15,0)),""))</f>
        <v/>
      </c>
      <c r="P6" s="11">
        <f>IFERROR(INDEX(KC_CURVAS!$G$5:$G$15,MATCH("CACAU|"&amp;$G6,KC_CURVAS!$K$5:$K$15,0)),IFERROR(INDEX(KC_CURVAS!$G$5:$G$15,MATCH("CACAU"&amp;"|",KC_CURVAS!$K$5:$K$15,0)),""))</f>
        <v/>
      </c>
      <c r="Q6" s="11">
        <f>IFERROR(INDEX(KC_CURVAS!$H$5:$H$15,MATCH("CACAU|"&amp;$G6,KC_CURVAS!$K$5:$K$15,0)),IFERROR(INDEX(KC_CURVAS!$H$5:$H$15,MATCH("CACAU"&amp;"|",KC_CURVAS!$K$5:$K$15,0)),""))</f>
        <v/>
      </c>
      <c r="R6" s="11">
        <f>IFERROR(INDEX(KC_CURVAS!$I$5:$I$15,MATCH("CACAU|"&amp;$G6,KC_CURVAS!$K$5:$K$15,0)),IFERROR(INDEX(KC_CURVAS!$I$5:$I$15,MATCH("CACAU"&amp;"|",KC_CURVAS!$K$5:$K$15,0)),""))</f>
        <v/>
      </c>
      <c r="S6" s="12">
        <f>IF(OR($K6="",$L6=""),"PENDENTE",IF($K6&lt;=$L6,$P6,IF($K6&lt;=$L6+$M6,$P6+($Q6-$P6)*($K6-$L6)/$M6,IF($K6&lt;=$L6+$M6+$N6,$Q6,IF($K6&lt;=$L6+$M6+$N6+$O6,$Q6+($R6-$Q6)*($K6-($L6+$M6+$N6))/$O6,$R6)))))</f>
        <v/>
      </c>
      <c r="T6" s="13">
        <f>IF($I6="","",$I6)</f>
        <v/>
      </c>
      <c r="U6" s="14">
        <f>IF($T6="","",SUMIFS(ETO_DIARIO!$B$5:$B$404,ETO_DIARIO!$A$5:$A$404,"&gt;"&amp;$T6,ETO_DIARIO!$A$5:$A$404,"&lt;="&amp;DATA_REF))</f>
        <v/>
      </c>
      <c r="V6" s="14">
        <f>IF($T6="","",SUMIFS(ETO_DIARIO!$C$5:$C$404,ETO_DIARIO!$A$5:$A$404,"&gt;"&amp;$T6,ETO_DIARIO!$A$5:$A$404,"&lt;="&amp;DATA_REF))</f>
        <v/>
      </c>
      <c r="W6" s="14">
        <f>IF(OR($S6="",$S6="PENDENTE",$U6=""),"",$S6*$U6)</f>
        <v/>
      </c>
      <c r="X6" s="14">
        <f>IF($W6="","",MAX(0,$W6-N($V6)))</f>
        <v/>
      </c>
      <c r="Y6" s="14">
        <f>IF($X6="","",$X6/EF_APLIC)</f>
        <v/>
      </c>
      <c r="Z6" s="15" t="n">
        <v>100</v>
      </c>
      <c r="AA6" s="16">
        <f>IF(OR($Y6="",$Z6=""),"",$Y6*$Z6*10)</f>
        <v/>
      </c>
      <c r="AB6" s="17" t="n">
        <v>0.463</v>
      </c>
      <c r="AC6" s="16">
        <f>IF(OR($AA6="",$AB6=""),"",$AA6*$AB6)</f>
        <v/>
      </c>
      <c r="AD6" s="18">
        <f>IF($S6="PENDENTE","Definir classe/Kc",IF($Y6="","-",IF($Y6&gt;='PARAMETROS'!$B$7/EF_APLIC,"Irrigar",IF($Y6&gt;='PARAMETROS'!$B$7/EF_APLIC*FRAC_ACOMP,"Acompanhar","Aguardar"))))</f>
        <v/>
      </c>
      <c r="AE6" s="18">
        <f>IF(OR($Y6="",$Y6=0),"-",IF($Y6&gt;=2*'PARAMETROS'!$B$7/EF_APLIC,"Alta",IF($Y6&gt;='PARAMETROS'!$B$7/EF_APLIC,"Media","Baixa")))</f>
        <v/>
      </c>
    </row>
    <row r="7">
      <c r="A7" s="5" t="inlineStr">
        <is>
          <t>Pivô 28</t>
        </is>
      </c>
      <c r="B7" s="5" t="inlineStr">
        <is>
          <t>Karitel</t>
        </is>
      </c>
      <c r="C7" s="5" t="inlineStr">
        <is>
          <t>R7</t>
        </is>
      </c>
      <c r="D7" s="5" t="inlineStr">
        <is>
          <t>Modulo 1</t>
        </is>
      </c>
      <c r="E7" s="5" t="inlineStr">
        <is>
          <t>CACAU</t>
        </is>
      </c>
      <c r="F7" s="6" t="inlineStr">
        <is>
          <t>PS1319/FA13/CCN51</t>
        </is>
      </c>
      <c r="G7" s="7" t="inlineStr"/>
      <c r="H7" s="5" t="inlineStr">
        <is>
          <t>ativo</t>
        </is>
      </c>
      <c r="I7" s="8" t="n">
        <v>46196</v>
      </c>
      <c r="J7" s="9">
        <f>IF($I7="","",DATA_REF-$I7)</f>
        <v/>
      </c>
      <c r="K7" s="9">
        <f>IF($J7="","",MAX(0,$J7-'PARAMETROS'!$B$11))</f>
        <v/>
      </c>
      <c r="L7" s="10">
        <f>IFERROR(INDEX(KC_CURVAS!$C$5:$C$15,MATCH("CACAU|"&amp;$G7,KC_CURVAS!$K$5:$K$15,0)),IFERROR(INDEX(KC_CURVAS!$C$5:$C$15,MATCH("CACAU"&amp;"|",KC_CURVAS!$K$5:$K$15,0)),""))</f>
        <v/>
      </c>
      <c r="M7" s="10">
        <f>IFERROR(INDEX(KC_CURVAS!$D$5:$D$15,MATCH("CACAU|"&amp;$G7,KC_CURVAS!$K$5:$K$15,0)),IFERROR(INDEX(KC_CURVAS!$D$5:$D$15,MATCH("CACAU"&amp;"|",KC_CURVAS!$K$5:$K$15,0)),""))</f>
        <v/>
      </c>
      <c r="N7" s="10">
        <f>IFERROR(INDEX(KC_CURVAS!$E$5:$E$15,MATCH("CACAU|"&amp;$G7,KC_CURVAS!$K$5:$K$15,0)),IFERROR(INDEX(KC_CURVAS!$E$5:$E$15,MATCH("CACAU"&amp;"|",KC_CURVAS!$K$5:$K$15,0)),""))</f>
        <v/>
      </c>
      <c r="O7" s="10">
        <f>IFERROR(INDEX(KC_CURVAS!$F$5:$F$15,MATCH("CACAU|"&amp;$G7,KC_CURVAS!$K$5:$K$15,0)),IFERROR(INDEX(KC_CURVAS!$F$5:$F$15,MATCH("CACAU"&amp;"|",KC_CURVAS!$K$5:$K$15,0)),""))</f>
        <v/>
      </c>
      <c r="P7" s="11">
        <f>IFERROR(INDEX(KC_CURVAS!$G$5:$G$15,MATCH("CACAU|"&amp;$G7,KC_CURVAS!$K$5:$K$15,0)),IFERROR(INDEX(KC_CURVAS!$G$5:$G$15,MATCH("CACAU"&amp;"|",KC_CURVAS!$K$5:$K$15,0)),""))</f>
        <v/>
      </c>
      <c r="Q7" s="11">
        <f>IFERROR(INDEX(KC_CURVAS!$H$5:$H$15,MATCH("CACAU|"&amp;$G7,KC_CURVAS!$K$5:$K$15,0)),IFERROR(INDEX(KC_CURVAS!$H$5:$H$15,MATCH("CACAU"&amp;"|",KC_CURVAS!$K$5:$K$15,0)),""))</f>
        <v/>
      </c>
      <c r="R7" s="11">
        <f>IFERROR(INDEX(KC_CURVAS!$I$5:$I$15,MATCH("CACAU|"&amp;$G7,KC_CURVAS!$K$5:$K$15,0)),IFERROR(INDEX(KC_CURVAS!$I$5:$I$15,MATCH("CACAU"&amp;"|",KC_CURVAS!$K$5:$K$15,0)),""))</f>
        <v/>
      </c>
      <c r="S7" s="12">
        <f>IF(OR($K7="",$L7=""),"PENDENTE",IF($K7&lt;=$L7,$P7,IF($K7&lt;=$L7+$M7,$P7+($Q7-$P7)*($K7-$L7)/$M7,IF($K7&lt;=$L7+$M7+$N7,$Q7,IF($K7&lt;=$L7+$M7+$N7+$O7,$Q7+($R7-$Q7)*($K7-($L7+$M7+$N7))/$O7,$R7)))))</f>
        <v/>
      </c>
      <c r="T7" s="13">
        <f>IF($I7="","",$I7)</f>
        <v/>
      </c>
      <c r="U7" s="14">
        <f>IF($T7="","",SUMIFS(ETO_DIARIO!$B$5:$B$404,ETO_DIARIO!$A$5:$A$404,"&gt;"&amp;$T7,ETO_DIARIO!$A$5:$A$404,"&lt;="&amp;DATA_REF))</f>
        <v/>
      </c>
      <c r="V7" s="14">
        <f>IF($T7="","",SUMIFS(ETO_DIARIO!$C$5:$C$404,ETO_DIARIO!$A$5:$A$404,"&gt;"&amp;$T7,ETO_DIARIO!$A$5:$A$404,"&lt;="&amp;DATA_REF))</f>
        <v/>
      </c>
      <c r="W7" s="14">
        <f>IF(OR($S7="",$S7="PENDENTE",$U7=""),"",$S7*$U7)</f>
        <v/>
      </c>
      <c r="X7" s="14">
        <f>IF($W7="","",MAX(0,$W7-N($V7)))</f>
        <v/>
      </c>
      <c r="Y7" s="14">
        <f>IF($X7="","",$X7/EF_APLIC)</f>
        <v/>
      </c>
      <c r="Z7" s="15" t="n">
        <v>133</v>
      </c>
      <c r="AA7" s="16">
        <f>IF(OR($Y7="",$Z7=""),"",$Y7*$Z7*10)</f>
        <v/>
      </c>
      <c r="AB7" s="17" t="n">
        <v>0.54</v>
      </c>
      <c r="AC7" s="16">
        <f>IF(OR($AA7="",$AB7=""),"",$AA7*$AB7)</f>
        <v/>
      </c>
      <c r="AD7" s="18">
        <f>IF($S7="PENDENTE","Definir classe/Kc",IF($Y7="","-",IF($Y7&gt;='PARAMETROS'!$B$7/EF_APLIC,"Irrigar",IF($Y7&gt;='PARAMETROS'!$B$7/EF_APLIC*FRAC_ACOMP,"Acompanhar","Aguardar"))))</f>
        <v/>
      </c>
      <c r="AE7" s="18">
        <f>IF(OR($Y7="",$Y7=0),"-",IF($Y7&gt;=2*'PARAMETROS'!$B$7/EF_APLIC,"Alta",IF($Y7&gt;='PARAMETROS'!$B$7/EF_APLIC,"Media","Baixa")))</f>
        <v/>
      </c>
    </row>
    <row r="8">
      <c r="A8" s="5" t="inlineStr">
        <is>
          <t>Pivô 29</t>
        </is>
      </c>
      <c r="B8" s="5" t="inlineStr">
        <is>
          <t>Karitel</t>
        </is>
      </c>
      <c r="C8" s="5" t="inlineStr">
        <is>
          <t>R7</t>
        </is>
      </c>
      <c r="D8" s="5" t="inlineStr">
        <is>
          <t>Modulo 1</t>
        </is>
      </c>
      <c r="E8" s="5" t="inlineStr">
        <is>
          <t>CACAU</t>
        </is>
      </c>
      <c r="F8" s="6" t="inlineStr">
        <is>
          <t>PS1319/FA13/CCN51</t>
        </is>
      </c>
      <c r="G8" s="7" t="inlineStr"/>
      <c r="H8" s="5" t="inlineStr">
        <is>
          <t>ativo</t>
        </is>
      </c>
      <c r="I8" s="8" t="n">
        <v>45901</v>
      </c>
      <c r="J8" s="9">
        <f>IF($I8="","",DATA_REF-$I8)</f>
        <v/>
      </c>
      <c r="K8" s="9">
        <f>IF($J8="","",MAX(0,$J8-'PARAMETROS'!$B$11))</f>
        <v/>
      </c>
      <c r="L8" s="10">
        <f>IFERROR(INDEX(KC_CURVAS!$C$5:$C$15,MATCH("CACAU|"&amp;$G8,KC_CURVAS!$K$5:$K$15,0)),IFERROR(INDEX(KC_CURVAS!$C$5:$C$15,MATCH("CACAU"&amp;"|",KC_CURVAS!$K$5:$K$15,0)),""))</f>
        <v/>
      </c>
      <c r="M8" s="10">
        <f>IFERROR(INDEX(KC_CURVAS!$D$5:$D$15,MATCH("CACAU|"&amp;$G8,KC_CURVAS!$K$5:$K$15,0)),IFERROR(INDEX(KC_CURVAS!$D$5:$D$15,MATCH("CACAU"&amp;"|",KC_CURVAS!$K$5:$K$15,0)),""))</f>
        <v/>
      </c>
      <c r="N8" s="10">
        <f>IFERROR(INDEX(KC_CURVAS!$E$5:$E$15,MATCH("CACAU|"&amp;$G8,KC_CURVAS!$K$5:$K$15,0)),IFERROR(INDEX(KC_CURVAS!$E$5:$E$15,MATCH("CACAU"&amp;"|",KC_CURVAS!$K$5:$K$15,0)),""))</f>
        <v/>
      </c>
      <c r="O8" s="10">
        <f>IFERROR(INDEX(KC_CURVAS!$F$5:$F$15,MATCH("CACAU|"&amp;$G8,KC_CURVAS!$K$5:$K$15,0)),IFERROR(INDEX(KC_CURVAS!$F$5:$F$15,MATCH("CACAU"&amp;"|",KC_CURVAS!$K$5:$K$15,0)),""))</f>
        <v/>
      </c>
      <c r="P8" s="11">
        <f>IFERROR(INDEX(KC_CURVAS!$G$5:$G$15,MATCH("CACAU|"&amp;$G8,KC_CURVAS!$K$5:$K$15,0)),IFERROR(INDEX(KC_CURVAS!$G$5:$G$15,MATCH("CACAU"&amp;"|",KC_CURVAS!$K$5:$K$15,0)),""))</f>
        <v/>
      </c>
      <c r="Q8" s="11">
        <f>IFERROR(INDEX(KC_CURVAS!$H$5:$H$15,MATCH("CACAU|"&amp;$G8,KC_CURVAS!$K$5:$K$15,0)),IFERROR(INDEX(KC_CURVAS!$H$5:$H$15,MATCH("CACAU"&amp;"|",KC_CURVAS!$K$5:$K$15,0)),""))</f>
        <v/>
      </c>
      <c r="R8" s="11">
        <f>IFERROR(INDEX(KC_CURVAS!$I$5:$I$15,MATCH("CACAU|"&amp;$G8,KC_CURVAS!$K$5:$K$15,0)),IFERROR(INDEX(KC_CURVAS!$I$5:$I$15,MATCH("CACAU"&amp;"|",KC_CURVAS!$K$5:$K$15,0)),""))</f>
        <v/>
      </c>
      <c r="S8" s="12">
        <f>IF(OR($K8="",$L8=""),"PENDENTE",IF($K8&lt;=$L8,$P8,IF($K8&lt;=$L8+$M8,$P8+($Q8-$P8)*($K8-$L8)/$M8,IF($K8&lt;=$L8+$M8+$N8,$Q8,IF($K8&lt;=$L8+$M8+$N8+$O8,$Q8+($R8-$Q8)*($K8-($L8+$M8+$N8))/$O8,$R8)))))</f>
        <v/>
      </c>
      <c r="T8" s="13">
        <f>IF($I8="","",$I8)</f>
        <v/>
      </c>
      <c r="U8" s="14">
        <f>IF($T8="","",SUMIFS(ETO_DIARIO!$B$5:$B$404,ETO_DIARIO!$A$5:$A$404,"&gt;"&amp;$T8,ETO_DIARIO!$A$5:$A$404,"&lt;="&amp;DATA_REF))</f>
        <v/>
      </c>
      <c r="V8" s="14">
        <f>IF($T8="","",SUMIFS(ETO_DIARIO!$C$5:$C$404,ETO_DIARIO!$A$5:$A$404,"&gt;"&amp;$T8,ETO_DIARIO!$A$5:$A$404,"&lt;="&amp;DATA_REF))</f>
        <v/>
      </c>
      <c r="W8" s="14">
        <f>IF(OR($S8="",$S8="PENDENTE",$U8=""),"",$S8*$U8)</f>
        <v/>
      </c>
      <c r="X8" s="14">
        <f>IF($W8="","",MAX(0,$W8-N($V8)))</f>
        <v/>
      </c>
      <c r="Y8" s="14">
        <f>IF($X8="","",$X8/EF_APLIC)</f>
        <v/>
      </c>
      <c r="Z8" s="15" t="n">
        <v>80</v>
      </c>
      <c r="AA8" s="16">
        <f>IF(OR($Y8="",$Z8=""),"",$Y8*$Z8*10)</f>
        <v/>
      </c>
      <c r="AB8" s="17" t="n">
        <v>0.504</v>
      </c>
      <c r="AC8" s="16">
        <f>IF(OR($AA8="",$AB8=""),"",$AA8*$AB8)</f>
        <v/>
      </c>
      <c r="AD8" s="18">
        <f>IF($S8="PENDENTE","Definir classe/Kc",IF($Y8="","-",IF($Y8&gt;='PARAMETROS'!$B$7/EF_APLIC,"Irrigar",IF($Y8&gt;='PARAMETROS'!$B$7/EF_APLIC*FRAC_ACOMP,"Acompanhar","Aguardar"))))</f>
        <v/>
      </c>
      <c r="AE8" s="18">
        <f>IF(OR($Y8="",$Y8=0),"-",IF($Y8&gt;=2*'PARAMETROS'!$B$7/EF_APLIC,"Alta",IF($Y8&gt;='PARAMETROS'!$B$7/EF_APLIC,"Media","Baixa")))</f>
        <v/>
      </c>
    </row>
    <row r="9">
      <c r="A9" s="5" t="inlineStr">
        <is>
          <t>Pivô 30</t>
        </is>
      </c>
      <c r="B9" s="5" t="inlineStr">
        <is>
          <t>Karitel</t>
        </is>
      </c>
      <c r="C9" s="5" t="inlineStr">
        <is>
          <t>C3Z3/R7</t>
        </is>
      </c>
      <c r="D9" s="5" t="inlineStr">
        <is>
          <t>Modulo 1</t>
        </is>
      </c>
      <c r="E9" s="5" t="inlineStr">
        <is>
          <t>CACAU</t>
        </is>
      </c>
      <c r="F9" s="6" t="inlineStr">
        <is>
          <t>PS1319/FA13/CCN51</t>
        </is>
      </c>
      <c r="G9" s="7" t="inlineStr"/>
      <c r="H9" s="5" t="inlineStr">
        <is>
          <t>proximo</t>
        </is>
      </c>
      <c r="I9" s="8" t="n">
        <v>46447</v>
      </c>
      <c r="J9" s="9">
        <f>IF($I9="","",DATA_REF-$I9)</f>
        <v/>
      </c>
      <c r="K9" s="9">
        <f>IF($J9="","",MAX(0,$J9-'PARAMETROS'!$B$11))</f>
        <v/>
      </c>
      <c r="L9" s="10">
        <f>IFERROR(INDEX(KC_CURVAS!$C$5:$C$15,MATCH("CACAU|"&amp;$G9,KC_CURVAS!$K$5:$K$15,0)),IFERROR(INDEX(KC_CURVAS!$C$5:$C$15,MATCH("CACAU"&amp;"|",KC_CURVAS!$K$5:$K$15,0)),""))</f>
        <v/>
      </c>
      <c r="M9" s="10">
        <f>IFERROR(INDEX(KC_CURVAS!$D$5:$D$15,MATCH("CACAU|"&amp;$G9,KC_CURVAS!$K$5:$K$15,0)),IFERROR(INDEX(KC_CURVAS!$D$5:$D$15,MATCH("CACAU"&amp;"|",KC_CURVAS!$K$5:$K$15,0)),""))</f>
        <v/>
      </c>
      <c r="N9" s="10">
        <f>IFERROR(INDEX(KC_CURVAS!$E$5:$E$15,MATCH("CACAU|"&amp;$G9,KC_CURVAS!$K$5:$K$15,0)),IFERROR(INDEX(KC_CURVAS!$E$5:$E$15,MATCH("CACAU"&amp;"|",KC_CURVAS!$K$5:$K$15,0)),""))</f>
        <v/>
      </c>
      <c r="O9" s="10">
        <f>IFERROR(INDEX(KC_CURVAS!$F$5:$F$15,MATCH("CACAU|"&amp;$G9,KC_CURVAS!$K$5:$K$15,0)),IFERROR(INDEX(KC_CURVAS!$F$5:$F$15,MATCH("CACAU"&amp;"|",KC_CURVAS!$K$5:$K$15,0)),""))</f>
        <v/>
      </c>
      <c r="P9" s="11">
        <f>IFERROR(INDEX(KC_CURVAS!$G$5:$G$15,MATCH("CACAU|"&amp;$G9,KC_CURVAS!$K$5:$K$15,0)),IFERROR(INDEX(KC_CURVAS!$G$5:$G$15,MATCH("CACAU"&amp;"|",KC_CURVAS!$K$5:$K$15,0)),""))</f>
        <v/>
      </c>
      <c r="Q9" s="11">
        <f>IFERROR(INDEX(KC_CURVAS!$H$5:$H$15,MATCH("CACAU|"&amp;$G9,KC_CURVAS!$K$5:$K$15,0)),IFERROR(INDEX(KC_CURVAS!$H$5:$H$15,MATCH("CACAU"&amp;"|",KC_CURVAS!$K$5:$K$15,0)),""))</f>
        <v/>
      </c>
      <c r="R9" s="11">
        <f>IFERROR(INDEX(KC_CURVAS!$I$5:$I$15,MATCH("CACAU|"&amp;$G9,KC_CURVAS!$K$5:$K$15,0)),IFERROR(INDEX(KC_CURVAS!$I$5:$I$15,MATCH("CACAU"&amp;"|",KC_CURVAS!$K$5:$K$15,0)),""))</f>
        <v/>
      </c>
      <c r="S9" s="12">
        <f>IF(OR($K9="",$L9=""),"PENDENTE",IF($K9&lt;=$L9,$P9,IF($K9&lt;=$L9+$M9,$P9+($Q9-$P9)*($K9-$L9)/$M9,IF($K9&lt;=$L9+$M9+$N9,$Q9,IF($K9&lt;=$L9+$M9+$N9+$O9,$Q9+($R9-$Q9)*($K9-($L9+$M9+$N9))/$O9,$R9)))))</f>
        <v/>
      </c>
      <c r="T9" s="13">
        <f>IF($I9="","",$I9)</f>
        <v/>
      </c>
      <c r="U9" s="14">
        <f>IF($T9="","",SUMIFS(ETO_DIARIO!$B$5:$B$404,ETO_DIARIO!$A$5:$A$404,"&gt;"&amp;$T9,ETO_DIARIO!$A$5:$A$404,"&lt;="&amp;DATA_REF))</f>
        <v/>
      </c>
      <c r="V9" s="14">
        <f>IF($T9="","",SUMIFS(ETO_DIARIO!$C$5:$C$404,ETO_DIARIO!$A$5:$A$404,"&gt;"&amp;$T9,ETO_DIARIO!$A$5:$A$404,"&lt;="&amp;DATA_REF))</f>
        <v/>
      </c>
      <c r="W9" s="14">
        <f>IF(OR($S9="",$S9="PENDENTE",$U9=""),"",$S9*$U9)</f>
        <v/>
      </c>
      <c r="X9" s="14">
        <f>IF($W9="","",MAX(0,$W9-N($V9)))</f>
        <v/>
      </c>
      <c r="Y9" s="14">
        <f>IF($X9="","",$X9/EF_APLIC)</f>
        <v/>
      </c>
      <c r="Z9" s="15" t="n">
        <v>150</v>
      </c>
      <c r="AA9" s="16">
        <f>IF(OR($Y9="",$Z9=""),"",$Y9*$Z9*10)</f>
        <v/>
      </c>
      <c r="AB9" s="17" t="n">
        <v>0.441</v>
      </c>
      <c r="AC9" s="16">
        <f>IF(OR($AA9="",$AB9=""),"",$AA9*$AB9)</f>
        <v/>
      </c>
      <c r="AD9" s="18">
        <f>IF($S9="PENDENTE","Definir classe/Kc",IF($Y9="","-",IF($Y9&gt;='PARAMETROS'!$B$7/EF_APLIC,"Irrigar",IF($Y9&gt;='PARAMETROS'!$B$7/EF_APLIC*FRAC_ACOMP,"Acompanhar","Aguardar"))))</f>
        <v/>
      </c>
      <c r="AE9" s="18">
        <f>IF(OR($Y9="",$Y9=0),"-",IF($Y9&gt;=2*'PARAMETROS'!$B$7/EF_APLIC,"Alta",IF($Y9&gt;='PARAMETROS'!$B$7/EF_APLIC,"Media","Baixa")))</f>
        <v/>
      </c>
    </row>
    <row r="10">
      <c r="A10" s="5" t="inlineStr">
        <is>
          <t>Pivô 31</t>
        </is>
      </c>
      <c r="B10" s="5" t="inlineStr">
        <is>
          <t>Karitel</t>
        </is>
      </c>
      <c r="C10" s="5" t="inlineStr">
        <is>
          <t>C3Z3/R7</t>
        </is>
      </c>
      <c r="D10" s="5" t="inlineStr">
        <is>
          <t>Modulo 1</t>
        </is>
      </c>
      <c r="E10" s="5" t="inlineStr">
        <is>
          <t>CACAU</t>
        </is>
      </c>
      <c r="F10" s="6" t="inlineStr">
        <is>
          <t>PS1319/FA13/CCN51</t>
        </is>
      </c>
      <c r="G10" s="7" t="inlineStr"/>
      <c r="H10" s="5" t="inlineStr">
        <is>
          <t>proximo</t>
        </is>
      </c>
      <c r="I10" s="8" t="n">
        <v>46357</v>
      </c>
      <c r="J10" s="9">
        <f>IF($I10="","",DATA_REF-$I10)</f>
        <v/>
      </c>
      <c r="K10" s="9">
        <f>IF($J10="","",MAX(0,$J10-'PARAMETROS'!$B$11))</f>
        <v/>
      </c>
      <c r="L10" s="10">
        <f>IFERROR(INDEX(KC_CURVAS!$C$5:$C$15,MATCH("CACAU|"&amp;$G10,KC_CURVAS!$K$5:$K$15,0)),IFERROR(INDEX(KC_CURVAS!$C$5:$C$15,MATCH("CACAU"&amp;"|",KC_CURVAS!$K$5:$K$15,0)),""))</f>
        <v/>
      </c>
      <c r="M10" s="10">
        <f>IFERROR(INDEX(KC_CURVAS!$D$5:$D$15,MATCH("CACAU|"&amp;$G10,KC_CURVAS!$K$5:$K$15,0)),IFERROR(INDEX(KC_CURVAS!$D$5:$D$15,MATCH("CACAU"&amp;"|",KC_CURVAS!$K$5:$K$15,0)),""))</f>
        <v/>
      </c>
      <c r="N10" s="10">
        <f>IFERROR(INDEX(KC_CURVAS!$E$5:$E$15,MATCH("CACAU|"&amp;$G10,KC_CURVAS!$K$5:$K$15,0)),IFERROR(INDEX(KC_CURVAS!$E$5:$E$15,MATCH("CACAU"&amp;"|",KC_CURVAS!$K$5:$K$15,0)),""))</f>
        <v/>
      </c>
      <c r="O10" s="10">
        <f>IFERROR(INDEX(KC_CURVAS!$F$5:$F$15,MATCH("CACAU|"&amp;$G10,KC_CURVAS!$K$5:$K$15,0)),IFERROR(INDEX(KC_CURVAS!$F$5:$F$15,MATCH("CACAU"&amp;"|",KC_CURVAS!$K$5:$K$15,0)),""))</f>
        <v/>
      </c>
      <c r="P10" s="11">
        <f>IFERROR(INDEX(KC_CURVAS!$G$5:$G$15,MATCH("CACAU|"&amp;$G10,KC_CURVAS!$K$5:$K$15,0)),IFERROR(INDEX(KC_CURVAS!$G$5:$G$15,MATCH("CACAU"&amp;"|",KC_CURVAS!$K$5:$K$15,0)),""))</f>
        <v/>
      </c>
      <c r="Q10" s="11">
        <f>IFERROR(INDEX(KC_CURVAS!$H$5:$H$15,MATCH("CACAU|"&amp;$G10,KC_CURVAS!$K$5:$K$15,0)),IFERROR(INDEX(KC_CURVAS!$H$5:$H$15,MATCH("CACAU"&amp;"|",KC_CURVAS!$K$5:$K$15,0)),""))</f>
        <v/>
      </c>
      <c r="R10" s="11">
        <f>IFERROR(INDEX(KC_CURVAS!$I$5:$I$15,MATCH("CACAU|"&amp;$G10,KC_CURVAS!$K$5:$K$15,0)),IFERROR(INDEX(KC_CURVAS!$I$5:$I$15,MATCH("CACAU"&amp;"|",KC_CURVAS!$K$5:$K$15,0)),""))</f>
        <v/>
      </c>
      <c r="S10" s="12">
        <f>IF(OR($K10="",$L10=""),"PENDENTE",IF($K10&lt;=$L10,$P10,IF($K10&lt;=$L10+$M10,$P10+($Q10-$P10)*($K10-$L10)/$M10,IF($K10&lt;=$L10+$M10+$N10,$Q10,IF($K10&lt;=$L10+$M10+$N10+$O10,$Q10+($R10-$Q10)*($K10-($L10+$M10+$N10))/$O10,$R10)))))</f>
        <v/>
      </c>
      <c r="T10" s="13">
        <f>IF($I10="","",$I10)</f>
        <v/>
      </c>
      <c r="U10" s="14">
        <f>IF($T10="","",SUMIFS(ETO_DIARIO!$B$5:$B$404,ETO_DIARIO!$A$5:$A$404,"&gt;"&amp;$T10,ETO_DIARIO!$A$5:$A$404,"&lt;="&amp;DATA_REF))</f>
        <v/>
      </c>
      <c r="V10" s="14">
        <f>IF($T10="","",SUMIFS(ETO_DIARIO!$C$5:$C$404,ETO_DIARIO!$A$5:$A$404,"&gt;"&amp;$T10,ETO_DIARIO!$A$5:$A$404,"&lt;="&amp;DATA_REF))</f>
        <v/>
      </c>
      <c r="W10" s="14">
        <f>IF(OR($S10="",$S10="PENDENTE",$U10=""),"",$S10*$U10)</f>
        <v/>
      </c>
      <c r="X10" s="14">
        <f>IF($W10="","",MAX(0,$W10-N($V10)))</f>
        <v/>
      </c>
      <c r="Y10" s="14">
        <f>IF($X10="","",$X10/EF_APLIC)</f>
        <v/>
      </c>
      <c r="Z10" s="15" t="n">
        <v>150</v>
      </c>
      <c r="AA10" s="16">
        <f>IF(OR($Y10="",$Z10=""),"",$Y10*$Z10*10)</f>
        <v/>
      </c>
      <c r="AB10" s="17" t="n">
        <v>0.449</v>
      </c>
      <c r="AC10" s="16">
        <f>IF(OR($AA10="",$AB10=""),"",$AA10*$AB10)</f>
        <v/>
      </c>
      <c r="AD10" s="18">
        <f>IF($S10="PENDENTE","Definir classe/Kc",IF($Y10="","-",IF($Y10&gt;='PARAMETROS'!$B$7/EF_APLIC,"Irrigar",IF($Y10&gt;='PARAMETROS'!$B$7/EF_APLIC*FRAC_ACOMP,"Acompanhar","Aguardar"))))</f>
        <v/>
      </c>
      <c r="AE10" s="18">
        <f>IF(OR($Y10="",$Y10=0),"-",IF($Y10&gt;=2*'PARAMETROS'!$B$7/EF_APLIC,"Alta",IF($Y10&gt;='PARAMETROS'!$B$7/EF_APLIC,"Media","Baixa")))</f>
        <v/>
      </c>
    </row>
    <row r="11">
      <c r="A11" s="5" t="inlineStr">
        <is>
          <t>Pivô 32</t>
        </is>
      </c>
      <c r="B11" s="5" t="inlineStr">
        <is>
          <t>Karitel</t>
        </is>
      </c>
      <c r="C11" s="5" t="inlineStr">
        <is>
          <t>C3Z3/R7</t>
        </is>
      </c>
      <c r="D11" s="5" t="inlineStr">
        <is>
          <t>Modulo 1</t>
        </is>
      </c>
      <c r="E11" s="5" t="inlineStr">
        <is>
          <t>CACAU</t>
        </is>
      </c>
      <c r="F11" s="6" t="inlineStr">
        <is>
          <t>PS1319/FA13/CCN51</t>
        </is>
      </c>
      <c r="G11" s="7" t="inlineStr"/>
      <c r="H11" s="5" t="inlineStr">
        <is>
          <t>ativo</t>
        </is>
      </c>
      <c r="I11" s="8" t="n">
        <v>45923</v>
      </c>
      <c r="J11" s="9">
        <f>IF($I11="","",DATA_REF-$I11)</f>
        <v/>
      </c>
      <c r="K11" s="9">
        <f>IF($J11="","",MAX(0,$J11-'PARAMETROS'!$B$11))</f>
        <v/>
      </c>
      <c r="L11" s="10">
        <f>IFERROR(INDEX(KC_CURVAS!$C$5:$C$15,MATCH("CACAU|"&amp;$G11,KC_CURVAS!$K$5:$K$15,0)),IFERROR(INDEX(KC_CURVAS!$C$5:$C$15,MATCH("CACAU"&amp;"|",KC_CURVAS!$K$5:$K$15,0)),""))</f>
        <v/>
      </c>
      <c r="M11" s="10">
        <f>IFERROR(INDEX(KC_CURVAS!$D$5:$D$15,MATCH("CACAU|"&amp;$G11,KC_CURVAS!$K$5:$K$15,0)),IFERROR(INDEX(KC_CURVAS!$D$5:$D$15,MATCH("CACAU"&amp;"|",KC_CURVAS!$K$5:$K$15,0)),""))</f>
        <v/>
      </c>
      <c r="N11" s="10">
        <f>IFERROR(INDEX(KC_CURVAS!$E$5:$E$15,MATCH("CACAU|"&amp;$G11,KC_CURVAS!$K$5:$K$15,0)),IFERROR(INDEX(KC_CURVAS!$E$5:$E$15,MATCH("CACAU"&amp;"|",KC_CURVAS!$K$5:$K$15,0)),""))</f>
        <v/>
      </c>
      <c r="O11" s="10">
        <f>IFERROR(INDEX(KC_CURVAS!$F$5:$F$15,MATCH("CACAU|"&amp;$G11,KC_CURVAS!$K$5:$K$15,0)),IFERROR(INDEX(KC_CURVAS!$F$5:$F$15,MATCH("CACAU"&amp;"|",KC_CURVAS!$K$5:$K$15,0)),""))</f>
        <v/>
      </c>
      <c r="P11" s="11">
        <f>IFERROR(INDEX(KC_CURVAS!$G$5:$G$15,MATCH("CACAU|"&amp;$G11,KC_CURVAS!$K$5:$K$15,0)),IFERROR(INDEX(KC_CURVAS!$G$5:$G$15,MATCH("CACAU"&amp;"|",KC_CURVAS!$K$5:$K$15,0)),""))</f>
        <v/>
      </c>
      <c r="Q11" s="11">
        <f>IFERROR(INDEX(KC_CURVAS!$H$5:$H$15,MATCH("CACAU|"&amp;$G11,KC_CURVAS!$K$5:$K$15,0)),IFERROR(INDEX(KC_CURVAS!$H$5:$H$15,MATCH("CACAU"&amp;"|",KC_CURVAS!$K$5:$K$15,0)),""))</f>
        <v/>
      </c>
      <c r="R11" s="11">
        <f>IFERROR(INDEX(KC_CURVAS!$I$5:$I$15,MATCH("CACAU|"&amp;$G11,KC_CURVAS!$K$5:$K$15,0)),IFERROR(INDEX(KC_CURVAS!$I$5:$I$15,MATCH("CACAU"&amp;"|",KC_CURVAS!$K$5:$K$15,0)),""))</f>
        <v/>
      </c>
      <c r="S11" s="12">
        <f>IF(OR($K11="",$L11=""),"PENDENTE",IF($K11&lt;=$L11,$P11,IF($K11&lt;=$L11+$M11,$P11+($Q11-$P11)*($K11-$L11)/$M11,IF($K11&lt;=$L11+$M11+$N11,$Q11,IF($K11&lt;=$L11+$M11+$N11+$O11,$Q11+($R11-$Q11)*($K11-($L11+$M11+$N11))/$O11,$R11)))))</f>
        <v/>
      </c>
      <c r="T11" s="13">
        <f>IF($I11="","",$I11)</f>
        <v/>
      </c>
      <c r="U11" s="14">
        <f>IF($T11="","",SUMIFS(ETO_DIARIO!$B$5:$B$404,ETO_DIARIO!$A$5:$A$404,"&gt;"&amp;$T11,ETO_DIARIO!$A$5:$A$404,"&lt;="&amp;DATA_REF))</f>
        <v/>
      </c>
      <c r="V11" s="14">
        <f>IF($T11="","",SUMIFS(ETO_DIARIO!$C$5:$C$404,ETO_DIARIO!$A$5:$A$404,"&gt;"&amp;$T11,ETO_DIARIO!$A$5:$A$404,"&lt;="&amp;DATA_REF))</f>
        <v/>
      </c>
      <c r="W11" s="14">
        <f>IF(OR($S11="",$S11="PENDENTE",$U11=""),"",$S11*$U11)</f>
        <v/>
      </c>
      <c r="X11" s="14">
        <f>IF($W11="","",MAX(0,$W11-N($V11)))</f>
        <v/>
      </c>
      <c r="Y11" s="14">
        <f>IF($X11="","",$X11/EF_APLIC)</f>
        <v/>
      </c>
      <c r="Z11" s="15" t="n">
        <v>133</v>
      </c>
      <c r="AA11" s="16">
        <f>IF(OR($Y11="",$Z11=""),"",$Y11*$Z11*10)</f>
        <v/>
      </c>
      <c r="AB11" s="17" t="n">
        <v>0.446</v>
      </c>
      <c r="AC11" s="16">
        <f>IF(OR($AA11="",$AB11=""),"",$AA11*$AB11)</f>
        <v/>
      </c>
      <c r="AD11" s="18">
        <f>IF($S11="PENDENTE","Definir classe/Kc",IF($Y11="","-",IF($Y11&gt;='PARAMETROS'!$B$7/EF_APLIC,"Irrigar",IF($Y11&gt;='PARAMETROS'!$B$7/EF_APLIC*FRAC_ACOMP,"Acompanhar","Aguardar"))))</f>
        <v/>
      </c>
      <c r="AE11" s="18">
        <f>IF(OR($Y11="",$Y11=0),"-",IF($Y11&gt;=2*'PARAMETROS'!$B$7/EF_APLIC,"Alta",IF($Y11&gt;='PARAMETROS'!$B$7/EF_APLIC,"Media","Baixa")))</f>
        <v/>
      </c>
    </row>
    <row r="12">
      <c r="A12" s="5" t="inlineStr">
        <is>
          <t>Pivô 34</t>
        </is>
      </c>
      <c r="B12" s="5" t="inlineStr">
        <is>
          <t>Karitel</t>
        </is>
      </c>
      <c r="C12" s="5" t="inlineStr">
        <is>
          <t>C3Z3/R7</t>
        </is>
      </c>
      <c r="D12" s="5" t="inlineStr">
        <is>
          <t>Modulo 1</t>
        </is>
      </c>
      <c r="E12" s="5" t="inlineStr">
        <is>
          <t>CACAU</t>
        </is>
      </c>
      <c r="F12" s="6" t="inlineStr">
        <is>
          <t>PS1319/FA13/CCN51</t>
        </is>
      </c>
      <c r="G12" s="7" t="inlineStr"/>
      <c r="H12" s="5" t="inlineStr">
        <is>
          <t>proximo</t>
        </is>
      </c>
      <c r="I12" s="8" t="n">
        <v>46326</v>
      </c>
      <c r="J12" s="9">
        <f>IF($I12="","",DATA_REF-$I12)</f>
        <v/>
      </c>
      <c r="K12" s="9">
        <f>IF($J12="","",MAX(0,$J12-'PARAMETROS'!$B$11))</f>
        <v/>
      </c>
      <c r="L12" s="10">
        <f>IFERROR(INDEX(KC_CURVAS!$C$5:$C$15,MATCH("CACAU|"&amp;$G12,KC_CURVAS!$K$5:$K$15,0)),IFERROR(INDEX(KC_CURVAS!$C$5:$C$15,MATCH("CACAU"&amp;"|",KC_CURVAS!$K$5:$K$15,0)),""))</f>
        <v/>
      </c>
      <c r="M12" s="10">
        <f>IFERROR(INDEX(KC_CURVAS!$D$5:$D$15,MATCH("CACAU|"&amp;$G12,KC_CURVAS!$K$5:$K$15,0)),IFERROR(INDEX(KC_CURVAS!$D$5:$D$15,MATCH("CACAU"&amp;"|",KC_CURVAS!$K$5:$K$15,0)),""))</f>
        <v/>
      </c>
      <c r="N12" s="10">
        <f>IFERROR(INDEX(KC_CURVAS!$E$5:$E$15,MATCH("CACAU|"&amp;$G12,KC_CURVAS!$K$5:$K$15,0)),IFERROR(INDEX(KC_CURVAS!$E$5:$E$15,MATCH("CACAU"&amp;"|",KC_CURVAS!$K$5:$K$15,0)),""))</f>
        <v/>
      </c>
      <c r="O12" s="10">
        <f>IFERROR(INDEX(KC_CURVAS!$F$5:$F$15,MATCH("CACAU|"&amp;$G12,KC_CURVAS!$K$5:$K$15,0)),IFERROR(INDEX(KC_CURVAS!$F$5:$F$15,MATCH("CACAU"&amp;"|",KC_CURVAS!$K$5:$K$15,0)),""))</f>
        <v/>
      </c>
      <c r="P12" s="11">
        <f>IFERROR(INDEX(KC_CURVAS!$G$5:$G$15,MATCH("CACAU|"&amp;$G12,KC_CURVAS!$K$5:$K$15,0)),IFERROR(INDEX(KC_CURVAS!$G$5:$G$15,MATCH("CACAU"&amp;"|",KC_CURVAS!$K$5:$K$15,0)),""))</f>
        <v/>
      </c>
      <c r="Q12" s="11">
        <f>IFERROR(INDEX(KC_CURVAS!$H$5:$H$15,MATCH("CACAU|"&amp;$G12,KC_CURVAS!$K$5:$K$15,0)),IFERROR(INDEX(KC_CURVAS!$H$5:$H$15,MATCH("CACAU"&amp;"|",KC_CURVAS!$K$5:$K$15,0)),""))</f>
        <v/>
      </c>
      <c r="R12" s="11">
        <f>IFERROR(INDEX(KC_CURVAS!$I$5:$I$15,MATCH("CACAU|"&amp;$G12,KC_CURVAS!$K$5:$K$15,0)),IFERROR(INDEX(KC_CURVAS!$I$5:$I$15,MATCH("CACAU"&amp;"|",KC_CURVAS!$K$5:$K$15,0)),""))</f>
        <v/>
      </c>
      <c r="S12" s="12">
        <f>IF(OR($K12="",$L12=""),"PENDENTE",IF($K12&lt;=$L12,$P12,IF($K12&lt;=$L12+$M12,$P12+($Q12-$P12)*($K12-$L12)/$M12,IF($K12&lt;=$L12+$M12+$N12,$Q12,IF($K12&lt;=$L12+$M12+$N12+$O12,$Q12+($R12-$Q12)*($K12-($L12+$M12+$N12))/$O12,$R12)))))</f>
        <v/>
      </c>
      <c r="T12" s="13">
        <f>IF($I12="","",$I12)</f>
        <v/>
      </c>
      <c r="U12" s="14">
        <f>IF($T12="","",SUMIFS(ETO_DIARIO!$B$5:$B$404,ETO_DIARIO!$A$5:$A$404,"&gt;"&amp;$T12,ETO_DIARIO!$A$5:$A$404,"&lt;="&amp;DATA_REF))</f>
        <v/>
      </c>
      <c r="V12" s="14">
        <f>IF($T12="","",SUMIFS(ETO_DIARIO!$C$5:$C$404,ETO_DIARIO!$A$5:$A$404,"&gt;"&amp;$T12,ETO_DIARIO!$A$5:$A$404,"&lt;="&amp;DATA_REF))</f>
        <v/>
      </c>
      <c r="W12" s="14">
        <f>IF(OR($S12="",$S12="PENDENTE",$U12=""),"",$S12*$U12)</f>
        <v/>
      </c>
      <c r="X12" s="14">
        <f>IF($W12="","",MAX(0,$W12-N($V12)))</f>
        <v/>
      </c>
      <c r="Y12" s="14">
        <f>IF($X12="","",$X12/EF_APLIC)</f>
        <v/>
      </c>
      <c r="Z12" s="15" t="n">
        <v>150</v>
      </c>
      <c r="AA12" s="16">
        <f>IF(OR($Y12="",$Z12=""),"",$Y12*$Z12*10)</f>
        <v/>
      </c>
      <c r="AB12" s="17" t="n">
        <v>0.461</v>
      </c>
      <c r="AC12" s="16">
        <f>IF(OR($AA12="",$AB12=""),"",$AA12*$AB12)</f>
        <v/>
      </c>
      <c r="AD12" s="18">
        <f>IF($S12="PENDENTE","Definir classe/Kc",IF($Y12="","-",IF($Y12&gt;='PARAMETROS'!$B$7/EF_APLIC,"Irrigar",IF($Y12&gt;='PARAMETROS'!$B$7/EF_APLIC*FRAC_ACOMP,"Acompanhar","Aguardar"))))</f>
        <v/>
      </c>
      <c r="AE12" s="18">
        <f>IF(OR($Y12="",$Y12=0),"-",IF($Y12&gt;=2*'PARAMETROS'!$B$7/EF_APLIC,"Alta",IF($Y12&gt;='PARAMETROS'!$B$7/EF_APLIC,"Media","Baixa")))</f>
        <v/>
      </c>
    </row>
    <row r="13">
      <c r="A13" s="5" t="inlineStr">
        <is>
          <t>Pivô 75</t>
        </is>
      </c>
      <c r="B13" s="5" t="inlineStr">
        <is>
          <t>Karitel</t>
        </is>
      </c>
      <c r="C13" s="5" t="inlineStr">
        <is>
          <t>C3Z3/R7</t>
        </is>
      </c>
      <c r="D13" s="5" t="inlineStr">
        <is>
          <t>Modulo 1</t>
        </is>
      </c>
      <c r="E13" s="5" t="inlineStr">
        <is>
          <t>CACAU</t>
        </is>
      </c>
      <c r="F13" s="6" t="inlineStr">
        <is>
          <t>PS1319/FA13/CCN51</t>
        </is>
      </c>
      <c r="G13" s="7" t="inlineStr"/>
      <c r="H13" s="5" t="inlineStr">
        <is>
          <t>ativo</t>
        </is>
      </c>
      <c r="I13" s="8" t="n">
        <v>45923</v>
      </c>
      <c r="J13" s="9">
        <f>IF($I13="","",DATA_REF-$I13)</f>
        <v/>
      </c>
      <c r="K13" s="9">
        <f>IF($J13="","",MAX(0,$J13-'PARAMETROS'!$B$11))</f>
        <v/>
      </c>
      <c r="L13" s="10">
        <f>IFERROR(INDEX(KC_CURVAS!$C$5:$C$15,MATCH("CACAU|"&amp;$G13,KC_CURVAS!$K$5:$K$15,0)),IFERROR(INDEX(KC_CURVAS!$C$5:$C$15,MATCH("CACAU"&amp;"|",KC_CURVAS!$K$5:$K$15,0)),""))</f>
        <v/>
      </c>
      <c r="M13" s="10">
        <f>IFERROR(INDEX(KC_CURVAS!$D$5:$D$15,MATCH("CACAU|"&amp;$G13,KC_CURVAS!$K$5:$K$15,0)),IFERROR(INDEX(KC_CURVAS!$D$5:$D$15,MATCH("CACAU"&amp;"|",KC_CURVAS!$K$5:$K$15,0)),""))</f>
        <v/>
      </c>
      <c r="N13" s="10">
        <f>IFERROR(INDEX(KC_CURVAS!$E$5:$E$15,MATCH("CACAU|"&amp;$G13,KC_CURVAS!$K$5:$K$15,0)),IFERROR(INDEX(KC_CURVAS!$E$5:$E$15,MATCH("CACAU"&amp;"|",KC_CURVAS!$K$5:$K$15,0)),""))</f>
        <v/>
      </c>
      <c r="O13" s="10">
        <f>IFERROR(INDEX(KC_CURVAS!$F$5:$F$15,MATCH("CACAU|"&amp;$G13,KC_CURVAS!$K$5:$K$15,0)),IFERROR(INDEX(KC_CURVAS!$F$5:$F$15,MATCH("CACAU"&amp;"|",KC_CURVAS!$K$5:$K$15,0)),""))</f>
        <v/>
      </c>
      <c r="P13" s="11">
        <f>IFERROR(INDEX(KC_CURVAS!$G$5:$G$15,MATCH("CACAU|"&amp;$G13,KC_CURVAS!$K$5:$K$15,0)),IFERROR(INDEX(KC_CURVAS!$G$5:$G$15,MATCH("CACAU"&amp;"|",KC_CURVAS!$K$5:$K$15,0)),""))</f>
        <v/>
      </c>
      <c r="Q13" s="11">
        <f>IFERROR(INDEX(KC_CURVAS!$H$5:$H$15,MATCH("CACAU|"&amp;$G13,KC_CURVAS!$K$5:$K$15,0)),IFERROR(INDEX(KC_CURVAS!$H$5:$H$15,MATCH("CACAU"&amp;"|",KC_CURVAS!$K$5:$K$15,0)),""))</f>
        <v/>
      </c>
      <c r="R13" s="11">
        <f>IFERROR(INDEX(KC_CURVAS!$I$5:$I$15,MATCH("CACAU|"&amp;$G13,KC_CURVAS!$K$5:$K$15,0)),IFERROR(INDEX(KC_CURVAS!$I$5:$I$15,MATCH("CACAU"&amp;"|",KC_CURVAS!$K$5:$K$15,0)),""))</f>
        <v/>
      </c>
      <c r="S13" s="12">
        <f>IF(OR($K13="",$L13=""),"PENDENTE",IF($K13&lt;=$L13,$P13,IF($K13&lt;=$L13+$M13,$P13+($Q13-$P13)*($K13-$L13)/$M13,IF($K13&lt;=$L13+$M13+$N13,$Q13,IF($K13&lt;=$L13+$M13+$N13+$O13,$Q13+($R13-$Q13)*($K13-($L13+$M13+$N13))/$O13,$R13)))))</f>
        <v/>
      </c>
      <c r="T13" s="13">
        <f>IF($I13="","",$I13)</f>
        <v/>
      </c>
      <c r="U13" s="14">
        <f>IF($T13="","",SUMIFS(ETO_DIARIO!$B$5:$B$404,ETO_DIARIO!$A$5:$A$404,"&gt;"&amp;$T13,ETO_DIARIO!$A$5:$A$404,"&lt;="&amp;DATA_REF))</f>
        <v/>
      </c>
      <c r="V13" s="14">
        <f>IF($T13="","",SUMIFS(ETO_DIARIO!$C$5:$C$404,ETO_DIARIO!$A$5:$A$404,"&gt;"&amp;$T13,ETO_DIARIO!$A$5:$A$404,"&lt;="&amp;DATA_REF))</f>
        <v/>
      </c>
      <c r="W13" s="14">
        <f>IF(OR($S13="",$S13="PENDENTE",$U13=""),"",$S13*$U13)</f>
        <v/>
      </c>
      <c r="X13" s="14">
        <f>IF($W13="","",MAX(0,$W13-N($V13)))</f>
        <v/>
      </c>
      <c r="Y13" s="14">
        <f>IF($X13="","",$X13/EF_APLIC)</f>
        <v/>
      </c>
      <c r="Z13" s="15" t="n">
        <v>9</v>
      </c>
      <c r="AA13" s="16">
        <f>IF(OR($Y13="",$Z13=""),"",$Y13*$Z13*10)</f>
        <v/>
      </c>
      <c r="AB13" s="17" t="n">
        <v>0.305</v>
      </c>
      <c r="AC13" s="16">
        <f>IF(OR($AA13="",$AB13=""),"",$AA13*$AB13)</f>
        <v/>
      </c>
      <c r="AD13" s="18">
        <f>IF($S13="PENDENTE","Definir classe/Kc",IF($Y13="","-",IF($Y13&gt;='PARAMETROS'!$B$7/EF_APLIC,"Irrigar",IF($Y13&gt;='PARAMETROS'!$B$7/EF_APLIC*FRAC_ACOMP,"Acompanhar","Aguardar"))))</f>
        <v/>
      </c>
      <c r="AE13" s="18">
        <f>IF(OR($Y13="",$Y13=0),"-",IF($Y13&gt;=2*'PARAMETROS'!$B$7/EF_APLIC,"Alta",IF($Y13&gt;='PARAMETROS'!$B$7/EF_APLIC,"Media","Baixa")))</f>
        <v/>
      </c>
    </row>
    <row r="14">
      <c r="A14" s="5" t="inlineStr">
        <is>
          <t>Pivô 76</t>
        </is>
      </c>
      <c r="B14" s="5" t="inlineStr">
        <is>
          <t>Karitel</t>
        </is>
      </c>
      <c r="C14" s="5" t="inlineStr">
        <is>
          <t>C3Z3/R7</t>
        </is>
      </c>
      <c r="D14" s="5" t="inlineStr">
        <is>
          <t>Modulo 1</t>
        </is>
      </c>
      <c r="E14" s="5" t="inlineStr">
        <is>
          <t>CACAU</t>
        </is>
      </c>
      <c r="F14" s="6" t="inlineStr">
        <is>
          <t>PS1319/FA13/CCN51</t>
        </is>
      </c>
      <c r="G14" s="7" t="inlineStr"/>
      <c r="H14" s="5" t="inlineStr">
        <is>
          <t>ativo</t>
        </is>
      </c>
      <c r="I14" s="8" t="n">
        <v>45923</v>
      </c>
      <c r="J14" s="9">
        <f>IF($I14="","",DATA_REF-$I14)</f>
        <v/>
      </c>
      <c r="K14" s="9">
        <f>IF($J14="","",MAX(0,$J14-'PARAMETROS'!$B$11))</f>
        <v/>
      </c>
      <c r="L14" s="10">
        <f>IFERROR(INDEX(KC_CURVAS!$C$5:$C$15,MATCH("CACAU|"&amp;$G14,KC_CURVAS!$K$5:$K$15,0)),IFERROR(INDEX(KC_CURVAS!$C$5:$C$15,MATCH("CACAU"&amp;"|",KC_CURVAS!$K$5:$K$15,0)),""))</f>
        <v/>
      </c>
      <c r="M14" s="10">
        <f>IFERROR(INDEX(KC_CURVAS!$D$5:$D$15,MATCH("CACAU|"&amp;$G14,KC_CURVAS!$K$5:$K$15,0)),IFERROR(INDEX(KC_CURVAS!$D$5:$D$15,MATCH("CACAU"&amp;"|",KC_CURVAS!$K$5:$K$15,0)),""))</f>
        <v/>
      </c>
      <c r="N14" s="10">
        <f>IFERROR(INDEX(KC_CURVAS!$E$5:$E$15,MATCH("CACAU|"&amp;$G14,KC_CURVAS!$K$5:$K$15,0)),IFERROR(INDEX(KC_CURVAS!$E$5:$E$15,MATCH("CACAU"&amp;"|",KC_CURVAS!$K$5:$K$15,0)),""))</f>
        <v/>
      </c>
      <c r="O14" s="10">
        <f>IFERROR(INDEX(KC_CURVAS!$F$5:$F$15,MATCH("CACAU|"&amp;$G14,KC_CURVAS!$K$5:$K$15,0)),IFERROR(INDEX(KC_CURVAS!$F$5:$F$15,MATCH("CACAU"&amp;"|",KC_CURVAS!$K$5:$K$15,0)),""))</f>
        <v/>
      </c>
      <c r="P14" s="11">
        <f>IFERROR(INDEX(KC_CURVAS!$G$5:$G$15,MATCH("CACAU|"&amp;$G14,KC_CURVAS!$K$5:$K$15,0)),IFERROR(INDEX(KC_CURVAS!$G$5:$G$15,MATCH("CACAU"&amp;"|",KC_CURVAS!$K$5:$K$15,0)),""))</f>
        <v/>
      </c>
      <c r="Q14" s="11">
        <f>IFERROR(INDEX(KC_CURVAS!$H$5:$H$15,MATCH("CACAU|"&amp;$G14,KC_CURVAS!$K$5:$K$15,0)),IFERROR(INDEX(KC_CURVAS!$H$5:$H$15,MATCH("CACAU"&amp;"|",KC_CURVAS!$K$5:$K$15,0)),""))</f>
        <v/>
      </c>
      <c r="R14" s="11">
        <f>IFERROR(INDEX(KC_CURVAS!$I$5:$I$15,MATCH("CACAU|"&amp;$G14,KC_CURVAS!$K$5:$K$15,0)),IFERROR(INDEX(KC_CURVAS!$I$5:$I$15,MATCH("CACAU"&amp;"|",KC_CURVAS!$K$5:$K$15,0)),""))</f>
        <v/>
      </c>
      <c r="S14" s="12">
        <f>IF(OR($K14="",$L14=""),"PENDENTE",IF($K14&lt;=$L14,$P14,IF($K14&lt;=$L14+$M14,$P14+($Q14-$P14)*($K14-$L14)/$M14,IF($K14&lt;=$L14+$M14+$N14,$Q14,IF($K14&lt;=$L14+$M14+$N14+$O14,$Q14+($R14-$Q14)*($K14-($L14+$M14+$N14))/$O14,$R14)))))</f>
        <v/>
      </c>
      <c r="T14" s="13">
        <f>IF($I14="","",$I14)</f>
        <v/>
      </c>
      <c r="U14" s="14">
        <f>IF($T14="","",SUMIFS(ETO_DIARIO!$B$5:$B$404,ETO_DIARIO!$A$5:$A$404,"&gt;"&amp;$T14,ETO_DIARIO!$A$5:$A$404,"&lt;="&amp;DATA_REF))</f>
        <v/>
      </c>
      <c r="V14" s="14">
        <f>IF($T14="","",SUMIFS(ETO_DIARIO!$C$5:$C$404,ETO_DIARIO!$A$5:$A$404,"&gt;"&amp;$T14,ETO_DIARIO!$A$5:$A$404,"&lt;="&amp;DATA_REF))</f>
        <v/>
      </c>
      <c r="W14" s="14">
        <f>IF(OR($S14="",$S14="PENDENTE",$U14=""),"",$S14*$U14)</f>
        <v/>
      </c>
      <c r="X14" s="14">
        <f>IF($W14="","",MAX(0,$W14-N($V14)))</f>
        <v/>
      </c>
      <c r="Y14" s="14">
        <f>IF($X14="","",$X14/EF_APLIC)</f>
        <v/>
      </c>
      <c r="Z14" s="15" t="n">
        <v>84</v>
      </c>
      <c r="AA14" s="16">
        <f>IF(OR($Y14="",$Z14=""),"",$Y14*$Z14*10)</f>
        <v/>
      </c>
      <c r="AB14" s="17" t="n">
        <v>0.305</v>
      </c>
      <c r="AC14" s="16">
        <f>IF(OR($AA14="",$AB14=""),"",$AA14*$AB14)</f>
        <v/>
      </c>
      <c r="AD14" s="18">
        <f>IF($S14="PENDENTE","Definir classe/Kc",IF($Y14="","-",IF($Y14&gt;='PARAMETROS'!$B$7/EF_APLIC,"Irrigar",IF($Y14&gt;='PARAMETROS'!$B$7/EF_APLIC*FRAC_ACOMP,"Acompanhar","Aguardar"))))</f>
        <v/>
      </c>
      <c r="AE14" s="18">
        <f>IF(OR($Y14="",$Y14=0),"-",IF($Y14&gt;=2*'PARAMETROS'!$B$7/EF_APLIC,"Alta",IF($Y14&gt;='PARAMETROS'!$B$7/EF_APLIC,"Media","Baixa")))</f>
        <v/>
      </c>
    </row>
    <row r="15">
      <c r="A15" s="5" t="inlineStr">
        <is>
          <t>Pivô 01</t>
        </is>
      </c>
      <c r="B15" s="5" t="inlineStr">
        <is>
          <t>Karitel</t>
        </is>
      </c>
      <c r="C15" s="5" t="inlineStr">
        <is>
          <t>R0</t>
        </is>
      </c>
      <c r="D15" s="5" t="inlineStr">
        <is>
          <t>Modulo 1</t>
        </is>
      </c>
      <c r="E15" s="5" t="inlineStr">
        <is>
          <t>CACAU</t>
        </is>
      </c>
      <c r="F15" s="6" t="inlineStr">
        <is>
          <t>PS1319/FA13/CCN51</t>
        </is>
      </c>
      <c r="G15" s="7" t="inlineStr"/>
      <c r="H15" s="5" t="inlineStr">
        <is>
          <t>ativo</t>
        </is>
      </c>
      <c r="I15" s="8" t="n">
        <v>45901</v>
      </c>
      <c r="J15" s="9">
        <f>IF($I15="","",DATA_REF-$I15)</f>
        <v/>
      </c>
      <c r="K15" s="9">
        <f>IF($J15="","",MAX(0,$J15-'PARAMETROS'!$B$11))</f>
        <v/>
      </c>
      <c r="L15" s="10">
        <f>IFERROR(INDEX(KC_CURVAS!$C$5:$C$15,MATCH("CACAU|"&amp;$G15,KC_CURVAS!$K$5:$K$15,0)),IFERROR(INDEX(KC_CURVAS!$C$5:$C$15,MATCH("CACAU"&amp;"|",KC_CURVAS!$K$5:$K$15,0)),""))</f>
        <v/>
      </c>
      <c r="M15" s="10">
        <f>IFERROR(INDEX(KC_CURVAS!$D$5:$D$15,MATCH("CACAU|"&amp;$G15,KC_CURVAS!$K$5:$K$15,0)),IFERROR(INDEX(KC_CURVAS!$D$5:$D$15,MATCH("CACAU"&amp;"|",KC_CURVAS!$K$5:$K$15,0)),""))</f>
        <v/>
      </c>
      <c r="N15" s="10">
        <f>IFERROR(INDEX(KC_CURVAS!$E$5:$E$15,MATCH("CACAU|"&amp;$G15,KC_CURVAS!$K$5:$K$15,0)),IFERROR(INDEX(KC_CURVAS!$E$5:$E$15,MATCH("CACAU"&amp;"|",KC_CURVAS!$K$5:$K$15,0)),""))</f>
        <v/>
      </c>
      <c r="O15" s="10">
        <f>IFERROR(INDEX(KC_CURVAS!$F$5:$F$15,MATCH("CACAU|"&amp;$G15,KC_CURVAS!$K$5:$K$15,0)),IFERROR(INDEX(KC_CURVAS!$F$5:$F$15,MATCH("CACAU"&amp;"|",KC_CURVAS!$K$5:$K$15,0)),""))</f>
        <v/>
      </c>
      <c r="P15" s="11">
        <f>IFERROR(INDEX(KC_CURVAS!$G$5:$G$15,MATCH("CACAU|"&amp;$G15,KC_CURVAS!$K$5:$K$15,0)),IFERROR(INDEX(KC_CURVAS!$G$5:$G$15,MATCH("CACAU"&amp;"|",KC_CURVAS!$K$5:$K$15,0)),""))</f>
        <v/>
      </c>
      <c r="Q15" s="11">
        <f>IFERROR(INDEX(KC_CURVAS!$H$5:$H$15,MATCH("CACAU|"&amp;$G15,KC_CURVAS!$K$5:$K$15,0)),IFERROR(INDEX(KC_CURVAS!$H$5:$H$15,MATCH("CACAU"&amp;"|",KC_CURVAS!$K$5:$K$15,0)),""))</f>
        <v/>
      </c>
      <c r="R15" s="11">
        <f>IFERROR(INDEX(KC_CURVAS!$I$5:$I$15,MATCH("CACAU|"&amp;$G15,KC_CURVAS!$K$5:$K$15,0)),IFERROR(INDEX(KC_CURVAS!$I$5:$I$15,MATCH("CACAU"&amp;"|",KC_CURVAS!$K$5:$K$15,0)),""))</f>
        <v/>
      </c>
      <c r="S15" s="12">
        <f>IF(OR($K15="",$L15=""),"PENDENTE",IF($K15&lt;=$L15,$P15,IF($K15&lt;=$L15+$M15,$P15+($Q15-$P15)*($K15-$L15)/$M15,IF($K15&lt;=$L15+$M15+$N15,$Q15,IF($K15&lt;=$L15+$M15+$N15+$O15,$Q15+($R15-$Q15)*($K15-($L15+$M15+$N15))/$O15,$R15)))))</f>
        <v/>
      </c>
      <c r="T15" s="13">
        <f>IF($I15="","",$I15)</f>
        <v/>
      </c>
      <c r="U15" s="14">
        <f>IF($T15="","",SUMIFS(ETO_DIARIO!$B$5:$B$404,ETO_DIARIO!$A$5:$A$404,"&gt;"&amp;$T15,ETO_DIARIO!$A$5:$A$404,"&lt;="&amp;DATA_REF))</f>
        <v/>
      </c>
      <c r="V15" s="14">
        <f>IF($T15="","",SUMIFS(ETO_DIARIO!$C$5:$C$404,ETO_DIARIO!$A$5:$A$404,"&gt;"&amp;$T15,ETO_DIARIO!$A$5:$A$404,"&lt;="&amp;DATA_REF))</f>
        <v/>
      </c>
      <c r="W15" s="14">
        <f>IF(OR($S15="",$S15="PENDENTE",$U15=""),"",$S15*$U15)</f>
        <v/>
      </c>
      <c r="X15" s="14">
        <f>IF($W15="","",MAX(0,$W15-N($V15)))</f>
        <v/>
      </c>
      <c r="Y15" s="14">
        <f>IF($X15="","",$X15/EF_APLIC)</f>
        <v/>
      </c>
      <c r="Z15" s="15" t="n">
        <v>47.5</v>
      </c>
      <c r="AA15" s="16">
        <f>IF(OR($Y15="",$Z15=""),"",$Y15*$Z15*10)</f>
        <v/>
      </c>
      <c r="AB15" s="17" t="n">
        <v>0.513</v>
      </c>
      <c r="AC15" s="16">
        <f>IF(OR($AA15="",$AB15=""),"",$AA15*$AB15)</f>
        <v/>
      </c>
      <c r="AD15" s="18">
        <f>IF($S15="PENDENTE","Definir classe/Kc",IF($Y15="","-",IF($Y15&gt;='PARAMETROS'!$B$7/EF_APLIC,"Irrigar",IF($Y15&gt;='PARAMETROS'!$B$7/EF_APLIC*FRAC_ACOMP,"Acompanhar","Aguardar"))))</f>
        <v/>
      </c>
      <c r="AE15" s="18">
        <f>IF(OR($Y15="",$Y15=0),"-",IF($Y15&gt;=2*'PARAMETROS'!$B$7/EF_APLIC,"Alta",IF($Y15&gt;='PARAMETROS'!$B$7/EF_APLIC,"Media","Baixa")))</f>
        <v/>
      </c>
    </row>
    <row r="16">
      <c r="A16" s="5" t="inlineStr">
        <is>
          <t>Pivô 02</t>
        </is>
      </c>
      <c r="B16" s="5" t="inlineStr">
        <is>
          <t>Karitel</t>
        </is>
      </c>
      <c r="C16" s="5" t="inlineStr">
        <is>
          <t>R0</t>
        </is>
      </c>
      <c r="D16" s="5" t="inlineStr">
        <is>
          <t>Modulo 1</t>
        </is>
      </c>
      <c r="E16" s="5" t="inlineStr">
        <is>
          <t>CACAU</t>
        </is>
      </c>
      <c r="F16" s="6" t="inlineStr">
        <is>
          <t>PS1319/FA13/CCN51</t>
        </is>
      </c>
      <c r="G16" s="7" t="inlineStr"/>
      <c r="H16" s="5" t="inlineStr">
        <is>
          <t>ativo</t>
        </is>
      </c>
      <c r="I16" s="8" t="n">
        <v>45901</v>
      </c>
      <c r="J16" s="9">
        <f>IF($I16="","",DATA_REF-$I16)</f>
        <v/>
      </c>
      <c r="K16" s="9">
        <f>IF($J16="","",MAX(0,$J16-'PARAMETROS'!$B$11))</f>
        <v/>
      </c>
      <c r="L16" s="10">
        <f>IFERROR(INDEX(KC_CURVAS!$C$5:$C$15,MATCH("CACAU|"&amp;$G16,KC_CURVAS!$K$5:$K$15,0)),IFERROR(INDEX(KC_CURVAS!$C$5:$C$15,MATCH("CACAU"&amp;"|",KC_CURVAS!$K$5:$K$15,0)),""))</f>
        <v/>
      </c>
      <c r="M16" s="10">
        <f>IFERROR(INDEX(KC_CURVAS!$D$5:$D$15,MATCH("CACAU|"&amp;$G16,KC_CURVAS!$K$5:$K$15,0)),IFERROR(INDEX(KC_CURVAS!$D$5:$D$15,MATCH("CACAU"&amp;"|",KC_CURVAS!$K$5:$K$15,0)),""))</f>
        <v/>
      </c>
      <c r="N16" s="10">
        <f>IFERROR(INDEX(KC_CURVAS!$E$5:$E$15,MATCH("CACAU|"&amp;$G16,KC_CURVAS!$K$5:$K$15,0)),IFERROR(INDEX(KC_CURVAS!$E$5:$E$15,MATCH("CACAU"&amp;"|",KC_CURVAS!$K$5:$K$15,0)),""))</f>
        <v/>
      </c>
      <c r="O16" s="10">
        <f>IFERROR(INDEX(KC_CURVAS!$F$5:$F$15,MATCH("CACAU|"&amp;$G16,KC_CURVAS!$K$5:$K$15,0)),IFERROR(INDEX(KC_CURVAS!$F$5:$F$15,MATCH("CACAU"&amp;"|",KC_CURVAS!$K$5:$K$15,0)),""))</f>
        <v/>
      </c>
      <c r="P16" s="11">
        <f>IFERROR(INDEX(KC_CURVAS!$G$5:$G$15,MATCH("CACAU|"&amp;$G16,KC_CURVAS!$K$5:$K$15,0)),IFERROR(INDEX(KC_CURVAS!$G$5:$G$15,MATCH("CACAU"&amp;"|",KC_CURVAS!$K$5:$K$15,0)),""))</f>
        <v/>
      </c>
      <c r="Q16" s="11">
        <f>IFERROR(INDEX(KC_CURVAS!$H$5:$H$15,MATCH("CACAU|"&amp;$G16,KC_CURVAS!$K$5:$K$15,0)),IFERROR(INDEX(KC_CURVAS!$H$5:$H$15,MATCH("CACAU"&amp;"|",KC_CURVAS!$K$5:$K$15,0)),""))</f>
        <v/>
      </c>
      <c r="R16" s="11">
        <f>IFERROR(INDEX(KC_CURVAS!$I$5:$I$15,MATCH("CACAU|"&amp;$G16,KC_CURVAS!$K$5:$K$15,0)),IFERROR(INDEX(KC_CURVAS!$I$5:$I$15,MATCH("CACAU"&amp;"|",KC_CURVAS!$K$5:$K$15,0)),""))</f>
        <v/>
      </c>
      <c r="S16" s="12">
        <f>IF(OR($K16="",$L16=""),"PENDENTE",IF($K16&lt;=$L16,$P16,IF($K16&lt;=$L16+$M16,$P16+($Q16-$P16)*($K16-$L16)/$M16,IF($K16&lt;=$L16+$M16+$N16,$Q16,IF($K16&lt;=$L16+$M16+$N16+$O16,$Q16+($R16-$Q16)*($K16-($L16+$M16+$N16))/$O16,$R16)))))</f>
        <v/>
      </c>
      <c r="T16" s="13">
        <f>IF($I16="","",$I16)</f>
        <v/>
      </c>
      <c r="U16" s="14">
        <f>IF($T16="","",SUMIFS(ETO_DIARIO!$B$5:$B$404,ETO_DIARIO!$A$5:$A$404,"&gt;"&amp;$T16,ETO_DIARIO!$A$5:$A$404,"&lt;="&amp;DATA_REF))</f>
        <v/>
      </c>
      <c r="V16" s="14">
        <f>IF($T16="","",SUMIFS(ETO_DIARIO!$C$5:$C$404,ETO_DIARIO!$A$5:$A$404,"&gt;"&amp;$T16,ETO_DIARIO!$A$5:$A$404,"&lt;="&amp;DATA_REF))</f>
        <v/>
      </c>
      <c r="W16" s="14">
        <f>IF(OR($S16="",$S16="PENDENTE",$U16=""),"",$S16*$U16)</f>
        <v/>
      </c>
      <c r="X16" s="14">
        <f>IF($W16="","",MAX(0,$W16-N($V16)))</f>
        <v/>
      </c>
      <c r="Y16" s="14">
        <f>IF($X16="","",$X16/EF_APLIC)</f>
        <v/>
      </c>
      <c r="Z16" s="15" t="n">
        <v>131.5</v>
      </c>
      <c r="AA16" s="16">
        <f>IF(OR($Y16="",$Z16=""),"",$Y16*$Z16*10)</f>
        <v/>
      </c>
      <c r="AB16" s="17" t="n">
        <v>0.589</v>
      </c>
      <c r="AC16" s="16">
        <f>IF(OR($AA16="",$AB16=""),"",$AA16*$AB16)</f>
        <v/>
      </c>
      <c r="AD16" s="18">
        <f>IF($S16="PENDENTE","Definir classe/Kc",IF($Y16="","-",IF($Y16&gt;='PARAMETROS'!$B$7/EF_APLIC,"Irrigar",IF($Y16&gt;='PARAMETROS'!$B$7/EF_APLIC*FRAC_ACOMP,"Acompanhar","Aguardar"))))</f>
        <v/>
      </c>
      <c r="AE16" s="18">
        <f>IF(OR($Y16="",$Y16=0),"-",IF($Y16&gt;=2*'PARAMETROS'!$B$7/EF_APLIC,"Alta",IF($Y16&gt;='PARAMETROS'!$B$7/EF_APLIC,"Media","Baixa")))</f>
        <v/>
      </c>
    </row>
    <row r="17">
      <c r="A17" s="5" t="inlineStr">
        <is>
          <t>Pivô 03</t>
        </is>
      </c>
      <c r="B17" s="5" t="inlineStr">
        <is>
          <t>Karitel</t>
        </is>
      </c>
      <c r="C17" s="5" t="inlineStr">
        <is>
          <t>R0</t>
        </is>
      </c>
      <c r="D17" s="5" t="inlineStr">
        <is>
          <t>Modulo 1</t>
        </is>
      </c>
      <c r="E17" s="5" t="inlineStr">
        <is>
          <t>CACAU</t>
        </is>
      </c>
      <c r="F17" s="6" t="inlineStr">
        <is>
          <t>PS1319/FA13/CCN51</t>
        </is>
      </c>
      <c r="G17" s="7" t="inlineStr"/>
      <c r="H17" s="5" t="inlineStr">
        <is>
          <t>ativo</t>
        </is>
      </c>
      <c r="I17" s="8" t="n">
        <v>45901</v>
      </c>
      <c r="J17" s="9">
        <f>IF($I17="","",DATA_REF-$I17)</f>
        <v/>
      </c>
      <c r="K17" s="9">
        <f>IF($J17="","",MAX(0,$J17-'PARAMETROS'!$B$11))</f>
        <v/>
      </c>
      <c r="L17" s="10">
        <f>IFERROR(INDEX(KC_CURVAS!$C$5:$C$15,MATCH("CACAU|"&amp;$G17,KC_CURVAS!$K$5:$K$15,0)),IFERROR(INDEX(KC_CURVAS!$C$5:$C$15,MATCH("CACAU"&amp;"|",KC_CURVAS!$K$5:$K$15,0)),""))</f>
        <v/>
      </c>
      <c r="M17" s="10">
        <f>IFERROR(INDEX(KC_CURVAS!$D$5:$D$15,MATCH("CACAU|"&amp;$G17,KC_CURVAS!$K$5:$K$15,0)),IFERROR(INDEX(KC_CURVAS!$D$5:$D$15,MATCH("CACAU"&amp;"|",KC_CURVAS!$K$5:$K$15,0)),""))</f>
        <v/>
      </c>
      <c r="N17" s="10">
        <f>IFERROR(INDEX(KC_CURVAS!$E$5:$E$15,MATCH("CACAU|"&amp;$G17,KC_CURVAS!$K$5:$K$15,0)),IFERROR(INDEX(KC_CURVAS!$E$5:$E$15,MATCH("CACAU"&amp;"|",KC_CURVAS!$K$5:$K$15,0)),""))</f>
        <v/>
      </c>
      <c r="O17" s="10">
        <f>IFERROR(INDEX(KC_CURVAS!$F$5:$F$15,MATCH("CACAU|"&amp;$G17,KC_CURVAS!$K$5:$K$15,0)),IFERROR(INDEX(KC_CURVAS!$F$5:$F$15,MATCH("CACAU"&amp;"|",KC_CURVAS!$K$5:$K$15,0)),""))</f>
        <v/>
      </c>
      <c r="P17" s="11">
        <f>IFERROR(INDEX(KC_CURVAS!$G$5:$G$15,MATCH("CACAU|"&amp;$G17,KC_CURVAS!$K$5:$K$15,0)),IFERROR(INDEX(KC_CURVAS!$G$5:$G$15,MATCH("CACAU"&amp;"|",KC_CURVAS!$K$5:$K$15,0)),""))</f>
        <v/>
      </c>
      <c r="Q17" s="11">
        <f>IFERROR(INDEX(KC_CURVAS!$H$5:$H$15,MATCH("CACAU|"&amp;$G17,KC_CURVAS!$K$5:$K$15,0)),IFERROR(INDEX(KC_CURVAS!$H$5:$H$15,MATCH("CACAU"&amp;"|",KC_CURVAS!$K$5:$K$15,0)),""))</f>
        <v/>
      </c>
      <c r="R17" s="11">
        <f>IFERROR(INDEX(KC_CURVAS!$I$5:$I$15,MATCH("CACAU|"&amp;$G17,KC_CURVAS!$K$5:$K$15,0)),IFERROR(INDEX(KC_CURVAS!$I$5:$I$15,MATCH("CACAU"&amp;"|",KC_CURVAS!$K$5:$K$15,0)),""))</f>
        <v/>
      </c>
      <c r="S17" s="12">
        <f>IF(OR($K17="",$L17=""),"PENDENTE",IF($K17&lt;=$L17,$P17,IF($K17&lt;=$L17+$M17,$P17+($Q17-$P17)*($K17-$L17)/$M17,IF($K17&lt;=$L17+$M17+$N17,$Q17,IF($K17&lt;=$L17+$M17+$N17+$O17,$Q17+($R17-$Q17)*($K17-($L17+$M17+$N17))/$O17,$R17)))))</f>
        <v/>
      </c>
      <c r="T17" s="13">
        <f>IF($I17="","",$I17)</f>
        <v/>
      </c>
      <c r="U17" s="14">
        <f>IF($T17="","",SUMIFS(ETO_DIARIO!$B$5:$B$404,ETO_DIARIO!$A$5:$A$404,"&gt;"&amp;$T17,ETO_DIARIO!$A$5:$A$404,"&lt;="&amp;DATA_REF))</f>
        <v/>
      </c>
      <c r="V17" s="14">
        <f>IF($T17="","",SUMIFS(ETO_DIARIO!$C$5:$C$404,ETO_DIARIO!$A$5:$A$404,"&gt;"&amp;$T17,ETO_DIARIO!$A$5:$A$404,"&lt;="&amp;DATA_REF))</f>
        <v/>
      </c>
      <c r="W17" s="14">
        <f>IF(OR($S17="",$S17="PENDENTE",$U17=""),"",$S17*$U17)</f>
        <v/>
      </c>
      <c r="X17" s="14">
        <f>IF($W17="","",MAX(0,$W17-N($V17)))</f>
        <v/>
      </c>
      <c r="Y17" s="14">
        <f>IF($X17="","",$X17/EF_APLIC)</f>
        <v/>
      </c>
      <c r="Z17" s="15" t="n">
        <v>82.8</v>
      </c>
      <c r="AA17" s="16">
        <f>IF(OR($Y17="",$Z17=""),"",$Y17*$Z17*10)</f>
        <v/>
      </c>
      <c r="AB17" s="17" t="n">
        <v>0.513</v>
      </c>
      <c r="AC17" s="16">
        <f>IF(OR($AA17="",$AB17=""),"",$AA17*$AB17)</f>
        <v/>
      </c>
      <c r="AD17" s="18">
        <f>IF($S17="PENDENTE","Definir classe/Kc",IF($Y17="","-",IF($Y17&gt;='PARAMETROS'!$B$7/EF_APLIC,"Irrigar",IF($Y17&gt;='PARAMETROS'!$B$7/EF_APLIC*FRAC_ACOMP,"Acompanhar","Aguardar"))))</f>
        <v/>
      </c>
      <c r="AE17" s="18">
        <f>IF(OR($Y17="",$Y17=0),"-",IF($Y17&gt;=2*'PARAMETROS'!$B$7/EF_APLIC,"Alta",IF($Y17&gt;='PARAMETROS'!$B$7/EF_APLIC,"Media","Baixa")))</f>
        <v/>
      </c>
    </row>
    <row r="19">
      <c r="A19" s="20" t="inlineStr">
        <is>
          <t>Clima DIARIO: ETo/chuva acumulam de ETO_DIARIO entre a ultima irrigacao e HOJE. ETc = Kc(DAE) x ETo acum. Nec liquida = ETc - chuva; bruta = /0,90. Irriga quando a nec. bruta atinge o alvo/turno (PARAMETROS B7). CE = captacao do modulo + pressurizacao do pivo. Status 'proximo' = cultura ainda nao plantada.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2" t="n"/>
    </row>
  </sheetData>
  <mergeCells count="1">
    <mergeCell ref="A19:AE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D966"/>
    <outlinePr summaryBelow="1" summaryRight="1"/>
    <pageSetUpPr/>
  </sheetPr>
  <dimension ref="A1:AE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8" customWidth="1" min="3" max="3"/>
    <col width="9" customWidth="1" min="4" max="4"/>
    <col width="9" customWidth="1" min="5" max="5"/>
    <col width="14" customWidth="1" min="6" max="6"/>
    <col width="8" customWidth="1" min="7" max="7"/>
    <col width="8" customWidth="1" min="8" max="8"/>
    <col width="11" customWidth="1" min="9" max="9"/>
    <col width="6" customWidth="1" min="10" max="10"/>
    <col width="6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6" customWidth="1" min="19" max="19"/>
    <col width="11" customWidth="1" min="20" max="20"/>
    <col width="9" customWidth="1" min="21" max="21"/>
    <col width="10" customWidth="1" min="22" max="22"/>
    <col width="9" customWidth="1" min="23" max="23"/>
    <col width="8" customWidth="1" min="24" max="24"/>
    <col width="9" customWidth="1" min="25" max="25"/>
    <col width="8" customWidth="1" min="26" max="26"/>
    <col width="11" customWidth="1" min="27" max="27"/>
    <col width="10" customWidth="1" min="28" max="28"/>
    <col width="11" customWidth="1" min="29" max="29"/>
    <col width="11" customWidth="1" min="30" max="30"/>
    <col width="10" customWidth="1" min="31" max="31"/>
  </cols>
  <sheetData>
    <row r="1" ht="20" customHeight="1">
      <c r="A1" s="1" t="inlineStr">
        <is>
          <t>MILHO 26/27 - demanda via clima</t>
        </is>
      </c>
    </row>
    <row r="2">
      <c r="A2" s="3" t="inlineStr">
        <is>
          <t>Curva MILHO GRAO.</t>
        </is>
      </c>
    </row>
    <row r="4" ht="30" customHeight="1">
      <c r="A4" s="4" t="inlineStr">
        <is>
          <t>Pivo/Talhao</t>
        </is>
      </c>
      <c r="B4" s="4" t="inlineStr">
        <is>
          <t>Faz</t>
        </is>
      </c>
      <c r="C4" s="4" t="inlineStr">
        <is>
          <t>Casa b.</t>
        </is>
      </c>
      <c r="D4" s="4" t="inlineStr">
        <is>
          <t>Modulo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Status</t>
        </is>
      </c>
      <c r="I4" s="4" t="inlineStr">
        <is>
          <t>Plantio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Lini</t>
        </is>
      </c>
      <c r="M4" s="4" t="inlineStr">
        <is>
          <t>Ldev</t>
        </is>
      </c>
      <c r="N4" s="4" t="inlineStr">
        <is>
          <t>Lmid</t>
        </is>
      </c>
      <c r="O4" s="4" t="inlineStr">
        <is>
          <t>Llate</t>
        </is>
      </c>
      <c r="P4" s="4" t="inlineStr">
        <is>
          <t>Kcini</t>
        </is>
      </c>
      <c r="Q4" s="4" t="inlineStr">
        <is>
          <t>Kcmid</t>
        </is>
      </c>
      <c r="R4" s="4" t="inlineStr">
        <is>
          <t>Kcend</t>
        </is>
      </c>
      <c r="S4" s="4" t="inlineStr">
        <is>
          <t>Kc</t>
        </is>
      </c>
      <c r="T4" s="4" t="inlineStr">
        <is>
          <t>Ult.irrig</t>
        </is>
      </c>
      <c r="U4" s="4" t="inlineStr">
        <is>
          <t>ETo acum</t>
        </is>
      </c>
      <c r="V4" s="4" t="inlineStr">
        <is>
          <t>Chuva acum</t>
        </is>
      </c>
      <c r="W4" s="4" t="inlineStr">
        <is>
          <t>ETc acum</t>
        </is>
      </c>
      <c r="X4" s="4" t="inlineStr">
        <is>
          <t>Nec liq</t>
        </is>
      </c>
      <c r="Y4" s="4" t="inlineStr">
        <is>
          <t>Nec bruta</t>
        </is>
      </c>
      <c r="Z4" s="4" t="inlineStr">
        <is>
          <t>Area(ha)</t>
        </is>
      </c>
      <c r="AA4" s="4" t="inlineStr">
        <is>
          <t>Volume(m3)</t>
        </is>
      </c>
      <c r="AB4" s="4" t="inlineStr">
        <is>
          <t>CE(kWh/m3)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Prioridade</t>
        </is>
      </c>
    </row>
    <row r="5">
      <c r="A5" s="5" t="inlineStr"/>
      <c r="B5" s="5" t="inlineStr"/>
      <c r="C5" s="5" t="inlineStr"/>
      <c r="D5" s="5" t="inlineStr"/>
      <c r="E5" s="5" t="inlineStr">
        <is>
          <t>MILHO GRÃO</t>
        </is>
      </c>
      <c r="F5" s="6" t="inlineStr"/>
      <c r="G5" s="7" t="inlineStr"/>
      <c r="H5" s="5" t="inlineStr"/>
      <c r="I5" s="13" t="n"/>
      <c r="J5" s="9">
        <f>IF($I5="","",DATA_REF-$I5)</f>
        <v/>
      </c>
      <c r="K5" s="9">
        <f>IF($J5="","",MAX(0,$J5-'PARAMETROS'!$B$11))</f>
        <v/>
      </c>
      <c r="L5" s="10">
        <f>IFERROR(INDEX(KC_CURVAS!$C$5:$C$15,MATCH("MILHO GRÃO|"&amp;$G5,KC_CURVAS!$K$5:$K$15,0)),IFERROR(INDEX(KC_CURVAS!$C$5:$C$15,MATCH("MILHO GRÃO"&amp;"|",KC_CURVAS!$K$5:$K$15,0)),""))</f>
        <v/>
      </c>
      <c r="M5" s="10">
        <f>IFERROR(INDEX(KC_CURVAS!$D$5:$D$15,MATCH("MILHO GRÃO|"&amp;$G5,KC_CURVAS!$K$5:$K$15,0)),IFERROR(INDEX(KC_CURVAS!$D$5:$D$15,MATCH("MILHO GRÃO"&amp;"|",KC_CURVAS!$K$5:$K$15,0)),""))</f>
        <v/>
      </c>
      <c r="N5" s="10">
        <f>IFERROR(INDEX(KC_CURVAS!$E$5:$E$15,MATCH("MILHO GRÃO|"&amp;$G5,KC_CURVAS!$K$5:$K$15,0)),IFERROR(INDEX(KC_CURVAS!$E$5:$E$15,MATCH("MILHO GRÃO"&amp;"|",KC_CURVAS!$K$5:$K$15,0)),""))</f>
        <v/>
      </c>
      <c r="O5" s="10">
        <f>IFERROR(INDEX(KC_CURVAS!$F$5:$F$15,MATCH("MILHO GRÃO|"&amp;$G5,KC_CURVAS!$K$5:$K$15,0)),IFERROR(INDEX(KC_CURVAS!$F$5:$F$15,MATCH("MILHO GRÃO"&amp;"|",KC_CURVAS!$K$5:$K$15,0)),""))</f>
        <v/>
      </c>
      <c r="P5" s="11">
        <f>IFERROR(INDEX(KC_CURVAS!$G$5:$G$15,MATCH("MILHO GRÃO|"&amp;$G5,KC_CURVAS!$K$5:$K$15,0)),IFERROR(INDEX(KC_CURVAS!$G$5:$G$15,MATCH("MILHO GRÃO"&amp;"|",KC_CURVAS!$K$5:$K$15,0)),""))</f>
        <v/>
      </c>
      <c r="Q5" s="11">
        <f>IFERROR(INDEX(KC_CURVAS!$H$5:$H$15,MATCH("MILHO GRÃO|"&amp;$G5,KC_CURVAS!$K$5:$K$15,0)),IFERROR(INDEX(KC_CURVAS!$H$5:$H$15,MATCH("MILHO GRÃO"&amp;"|",KC_CURVAS!$K$5:$K$15,0)),""))</f>
        <v/>
      </c>
      <c r="R5" s="11">
        <f>IFERROR(INDEX(KC_CURVAS!$I$5:$I$15,MATCH("MILHO GRÃO|"&amp;$G5,KC_CURVAS!$K$5:$K$15,0)),IFERROR(INDEX(KC_CURVAS!$I$5:$I$15,MATCH("MILHO GRÃO"&amp;"|",KC_CURVAS!$K$5:$K$15,0)),""))</f>
        <v/>
      </c>
      <c r="S5" s="12">
        <f>IF(OR($K5="",$L5=""),"PENDENTE",IF($K5&lt;=$L5,$P5,IF($K5&lt;=$L5+$M5,$P5+($Q5-$P5)*($K5-$L5)/$M5,IF($K5&lt;=$L5+$M5+$N5,$Q5,IF($K5&lt;=$L5+$M5+$N5+$O5,$Q5+($R5-$Q5)*($K5-($L5+$M5+$N5))/$O5,$R5)))))</f>
        <v/>
      </c>
      <c r="T5" s="13">
        <f>IF($I5="","",$I5)</f>
        <v/>
      </c>
      <c r="U5" s="14">
        <f>IF($T5="","",SUMIFS(ETO_DIARIO!$B$5:$B$404,ETO_DIARIO!$A$5:$A$404,"&gt;"&amp;$T5,ETO_DIARIO!$A$5:$A$404,"&lt;="&amp;DATA_REF))</f>
        <v/>
      </c>
      <c r="V5" s="14">
        <f>IF($T5="","",SUMIFS(ETO_DIARIO!$C$5:$C$404,ETO_DIARIO!$A$5:$A$404,"&gt;"&amp;$T5,ETO_DIARIO!$A$5:$A$404,"&lt;="&amp;DATA_REF))</f>
        <v/>
      </c>
      <c r="W5" s="14">
        <f>IF(OR($S5="",$S5="PENDENTE",$U5=""),"",$S5*$U5)</f>
        <v/>
      </c>
      <c r="X5" s="14">
        <f>IF($W5="","",MAX(0,$W5-N($V5)))</f>
        <v/>
      </c>
      <c r="Y5" s="14">
        <f>IF($X5="","",$X5/EF_APLIC)</f>
        <v/>
      </c>
      <c r="Z5" s="15" t="n"/>
      <c r="AA5" s="16">
        <f>IF(OR($Y5="",$Z5=""),"",$Y5*$Z5*10)</f>
        <v/>
      </c>
      <c r="AB5" s="19" t="n"/>
      <c r="AC5" s="16">
        <f>IF(OR($AA5="",$AB5=""),"",$AA5*$AB5)</f>
        <v/>
      </c>
      <c r="AD5" s="18">
        <f>IF($S5="PENDENTE","Definir classe/Kc",IF($Y5="","-",IF($Y5&gt;='PARAMETROS'!$B$7/EF_APLIC,"Irrigar",IF($Y5&gt;='PARAMETROS'!$B$7/EF_APLIC*FRAC_ACOMP,"Acompanhar","Aguardar"))))</f>
        <v/>
      </c>
      <c r="AE5" s="18">
        <f>IF(OR($Y5="",$Y5=0),"-",IF($Y5&gt;=2*'PARAMETROS'!$B$7/EF_APLIC,"Alta",IF($Y5&gt;='PARAMETROS'!$B$7/EF_APLIC,"Media","Baixa")))</f>
        <v/>
      </c>
    </row>
    <row r="7">
      <c r="A7" s="20" t="inlineStr">
        <is>
          <t>Clima DIARIO: ETo/chuva acumulam de ETO_DIARIO entre a ultima irrigacao e HOJE. ETc = Kc(DAE) x ETo acum. Nec liquida = ETc - chuva; bruta = /0,90. Irriga quando a nec. bruta atinge o alvo/turno (PARAMETROS B7). CE = captacao do modulo + pressurizacao do pivo. Status 'proximo' = cultura ainda nao plantada.</t>
        </is>
      </c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2" t="n"/>
    </row>
  </sheetData>
  <mergeCells count="1">
    <mergeCell ref="A7:AE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AH138"/>
  <sheetViews>
    <sheetView showGridLines="0" workbookViewId="0">
      <pane xSplit="9" ySplit="4" topLeftCell="J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9" customWidth="1" min="4" max="4"/>
    <col width="14" customWidth="1" min="5" max="5"/>
    <col width="6" customWidth="1" min="6" max="6"/>
    <col width="8" customWidth="1" min="7" max="7"/>
    <col width="10" customWidth="1" min="8" max="8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12" customWidth="1" min="31" max="31"/>
    <col width="12" customWidth="1" min="32" max="32"/>
    <col width="12" customWidth="1" min="33" max="33"/>
    <col width="12" customWidth="1" min="34" max="34"/>
  </cols>
  <sheetData>
    <row r="1" ht="20" customHeight="1">
      <c r="A1" s="1" t="inlineStr">
        <is>
          <t>PROGRAMACAO 26/27 - por cultura (7 dias)</t>
        </is>
      </c>
    </row>
    <row r="2">
      <c r="A2" s="3" t="inlineStr">
        <is>
          <t>Agrupada por cultura. Lamina/horas por percentimetro (LAMINA_HORA). Energia = Volume x CE.</t>
        </is>
      </c>
    </row>
    <row r="3">
      <c r="J3" s="23">
        <f>DATA_REF+0</f>
        <v/>
      </c>
      <c r="M3" s="23">
        <f>DATA_REF+1</f>
        <v/>
      </c>
      <c r="P3" s="23">
        <f>DATA_REF+2</f>
        <v/>
      </c>
      <c r="S3" s="23">
        <f>DATA_REF+3</f>
        <v/>
      </c>
      <c r="V3" s="23">
        <f>DATA_REF+4</f>
        <v/>
      </c>
      <c r="Y3" s="23">
        <f>DATA_REF+5</f>
        <v/>
      </c>
      <c r="AB3" s="23">
        <f>DATA_REF+6</f>
        <v/>
      </c>
    </row>
    <row r="4" ht="30" customHeight="1">
      <c r="A4" s="4" t="inlineStr">
        <is>
          <t>Pivo</t>
        </is>
      </c>
      <c r="B4" s="4" t="inlineStr">
        <is>
          <t>Cod</t>
        </is>
      </c>
      <c r="C4" s="4" t="inlineStr">
        <is>
          <t>Casa b.</t>
        </is>
      </c>
      <c r="D4" s="4" t="inlineStr">
        <is>
          <t>Modulo</t>
        </is>
      </c>
      <c r="E4" s="4" t="inlineStr">
        <is>
          <t>Variedade</t>
        </is>
      </c>
      <c r="F4" s="4" t="inlineStr">
        <is>
          <t>DAE</t>
        </is>
      </c>
      <c r="G4" s="4" t="inlineStr">
        <is>
          <t>Area(ha)</t>
        </is>
      </c>
      <c r="H4" s="4" t="inlineStr">
        <is>
          <t>CE(kWh/m3)</t>
        </is>
      </c>
      <c r="J4" s="24" t="inlineStr">
        <is>
          <t>%</t>
        </is>
      </c>
      <c r="K4" s="24" t="inlineStr">
        <is>
          <t>Lam</t>
        </is>
      </c>
      <c r="L4" s="24" t="inlineStr">
        <is>
          <t>h</t>
        </is>
      </c>
      <c r="M4" s="24" t="inlineStr">
        <is>
          <t>%</t>
        </is>
      </c>
      <c r="N4" s="24" t="inlineStr">
        <is>
          <t>Lam</t>
        </is>
      </c>
      <c r="O4" s="24" t="inlineStr">
        <is>
          <t>h</t>
        </is>
      </c>
      <c r="P4" s="24" t="inlineStr">
        <is>
          <t>%</t>
        </is>
      </c>
      <c r="Q4" s="24" t="inlineStr">
        <is>
          <t>Lam</t>
        </is>
      </c>
      <c r="R4" s="24" t="inlineStr">
        <is>
          <t>h</t>
        </is>
      </c>
      <c r="S4" s="24" t="inlineStr">
        <is>
          <t>%</t>
        </is>
      </c>
      <c r="T4" s="24" t="inlineStr">
        <is>
          <t>Lam</t>
        </is>
      </c>
      <c r="U4" s="24" t="inlineStr">
        <is>
          <t>h</t>
        </is>
      </c>
      <c r="V4" s="24" t="inlineStr">
        <is>
          <t>%</t>
        </is>
      </c>
      <c r="W4" s="24" t="inlineStr">
        <is>
          <t>Lam</t>
        </is>
      </c>
      <c r="X4" s="24" t="inlineStr">
        <is>
          <t>h</t>
        </is>
      </c>
      <c r="Y4" s="24" t="inlineStr">
        <is>
          <t>%</t>
        </is>
      </c>
      <c r="Z4" s="24" t="inlineStr">
        <is>
          <t>Lam</t>
        </is>
      </c>
      <c r="AA4" s="24" t="inlineStr">
        <is>
          <t>h</t>
        </is>
      </c>
      <c r="AB4" s="24" t="inlineStr">
        <is>
          <t>%</t>
        </is>
      </c>
      <c r="AC4" s="24" t="inlineStr">
        <is>
          <t>Lam</t>
        </is>
      </c>
      <c r="AD4" s="24" t="inlineStr">
        <is>
          <t>h</t>
        </is>
      </c>
      <c r="AE4" s="4" t="inlineStr">
        <is>
          <t>Lam tot</t>
        </is>
      </c>
      <c r="AF4" s="4" t="inlineStr">
        <is>
          <t>Vol(m3)</t>
        </is>
      </c>
      <c r="AG4" s="4" t="inlineStr">
        <is>
          <t>Energia(kWh)</t>
        </is>
      </c>
      <c r="AH4" s="4" t="inlineStr">
        <is>
          <t>Pend</t>
        </is>
      </c>
    </row>
    <row r="5">
      <c r="A5" s="25" t="inlineStr">
        <is>
          <t>CULTURA: SOJA  (84 pivos)</t>
        </is>
      </c>
    </row>
    <row r="6">
      <c r="A6" s="5" t="inlineStr">
        <is>
          <t>Pivô 02</t>
        </is>
      </c>
      <c r="B6" s="7" t="inlineStr">
        <is>
          <t>P2</t>
        </is>
      </c>
      <c r="C6" s="5" t="inlineStr">
        <is>
          <t>R0</t>
        </is>
      </c>
      <c r="D6" s="5" t="inlineStr">
        <is>
          <t>Modulo 1</t>
        </is>
      </c>
      <c r="E6" s="6" t="inlineStr">
        <is>
          <t>CZ 37B07 I2X</t>
        </is>
      </c>
      <c r="F6" s="26" t="inlineStr"/>
      <c r="G6" s="15" t="n">
        <v>124</v>
      </c>
      <c r="H6" s="17" t="n">
        <v>0.589</v>
      </c>
      <c r="J6" s="7" t="n"/>
      <c r="K6" s="27">
        <f>IF(OR($B6="",J6=""),"",IFERROR(INDEX(LAMINA_HORA!$C$5:$V$114,MATCH($B6,LAMINA_HORA!$A$5:$A$114,0),MATCH(J6,LAMINA_HORA!$C$3:$V$3,0)),"?"))</f>
        <v/>
      </c>
      <c r="L6" s="27">
        <f>IF(OR($B6="",J6=""),"",IFERROR(INDEX(LAMINA_HORA!$W$5:$AP$114,MATCH($B6,LAMINA_HORA!$A$5:$A$114,0),MATCH(J6,LAMINA_HORA!$W$3:$AP$3,0)),"?"))</f>
        <v/>
      </c>
      <c r="M6" s="7" t="n"/>
      <c r="N6" s="27">
        <f>IF(OR($B6="",M6=""),"",IFERROR(INDEX(LAMINA_HORA!$C$5:$V$114,MATCH($B6,LAMINA_HORA!$A$5:$A$114,0),MATCH(M6,LAMINA_HORA!$C$3:$V$3,0)),"?"))</f>
        <v/>
      </c>
      <c r="O6" s="27">
        <f>IF(OR($B6="",M6=""),"",IFERROR(INDEX(LAMINA_HORA!$W$5:$AP$114,MATCH($B6,LAMINA_HORA!$A$5:$A$114,0),MATCH(M6,LAMINA_HORA!$W$3:$AP$3,0)),"?"))</f>
        <v/>
      </c>
      <c r="P6" s="7" t="n"/>
      <c r="Q6" s="27">
        <f>IF(OR($B6="",P6=""),"",IFERROR(INDEX(LAMINA_HORA!$C$5:$V$114,MATCH($B6,LAMINA_HORA!$A$5:$A$114,0),MATCH(P6,LAMINA_HORA!$C$3:$V$3,0)),"?"))</f>
        <v/>
      </c>
      <c r="R6" s="27">
        <f>IF(OR($B6="",P6=""),"",IFERROR(INDEX(LAMINA_HORA!$W$5:$AP$114,MATCH($B6,LAMINA_HORA!$A$5:$A$114,0),MATCH(P6,LAMINA_HORA!$W$3:$AP$3,0)),"?"))</f>
        <v/>
      </c>
      <c r="S6" s="7" t="n"/>
      <c r="T6" s="27">
        <f>IF(OR($B6="",S6=""),"",IFERROR(INDEX(LAMINA_HORA!$C$5:$V$114,MATCH($B6,LAMINA_HORA!$A$5:$A$114,0),MATCH(S6,LAMINA_HORA!$C$3:$V$3,0)),"?"))</f>
        <v/>
      </c>
      <c r="U6" s="27">
        <f>IF(OR($B6="",S6=""),"",IFERROR(INDEX(LAMINA_HORA!$W$5:$AP$114,MATCH($B6,LAMINA_HORA!$A$5:$A$114,0),MATCH(S6,LAMINA_HORA!$W$3:$AP$3,0)),"?"))</f>
        <v/>
      </c>
      <c r="V6" s="7" t="n"/>
      <c r="W6" s="27">
        <f>IF(OR($B6="",V6=""),"",IFERROR(INDEX(LAMINA_HORA!$C$5:$V$114,MATCH($B6,LAMINA_HORA!$A$5:$A$114,0),MATCH(V6,LAMINA_HORA!$C$3:$V$3,0)),"?"))</f>
        <v/>
      </c>
      <c r="X6" s="27">
        <f>IF(OR($B6="",V6=""),"",IFERROR(INDEX(LAMINA_HORA!$W$5:$AP$114,MATCH($B6,LAMINA_HORA!$A$5:$A$114,0),MATCH(V6,LAMINA_HORA!$W$3:$AP$3,0)),"?"))</f>
        <v/>
      </c>
      <c r="Y6" s="7" t="n"/>
      <c r="Z6" s="27">
        <f>IF(OR($B6="",Y6=""),"",IFERROR(INDEX(LAMINA_HORA!$C$5:$V$114,MATCH($B6,LAMINA_HORA!$A$5:$A$114,0),MATCH(Y6,LAMINA_HORA!$C$3:$V$3,0)),"?"))</f>
        <v/>
      </c>
      <c r="AA6" s="27">
        <f>IF(OR($B6="",Y6=""),"",IFERROR(INDEX(LAMINA_HORA!$W$5:$AP$114,MATCH($B6,LAMINA_HORA!$A$5:$A$114,0),MATCH(Y6,LAMINA_HORA!$W$3:$AP$3,0)),"?"))</f>
        <v/>
      </c>
      <c r="AB6" s="7" t="n"/>
      <c r="AC6" s="27">
        <f>IF(OR($B6="",AB6=""),"",IFERROR(INDEX(LAMINA_HORA!$C$5:$V$114,MATCH($B6,LAMINA_HORA!$A$5:$A$114,0),MATCH(AB6,LAMINA_HORA!$C$3:$V$3,0)),"?"))</f>
        <v/>
      </c>
      <c r="AD6" s="27">
        <f>IF(OR($B6="",AB6=""),"",IFERROR(INDEX(LAMINA_HORA!$W$5:$AP$114,MATCH($B6,LAMINA_HORA!$A$5:$A$114,0),MATCH(AB6,LAMINA_HORA!$W$3:$AP$3,0)),"?"))</f>
        <v/>
      </c>
      <c r="AE6" s="14">
        <f>SUM(K6,N6,Q6,T6,W6,Z6,AC6)</f>
        <v/>
      </c>
      <c r="AF6" s="16">
        <f>IF(OR($G6="",AE6=""),"",AE6*$G6*10)</f>
        <v/>
      </c>
      <c r="AG6" s="16">
        <f>IF(OR(AF6="",$H6=""),"",AF6*$H6)</f>
        <v/>
      </c>
      <c r="AH6" s="20" t="n"/>
    </row>
    <row r="7">
      <c r="A7" s="5" t="inlineStr">
        <is>
          <t>Pivô 03</t>
        </is>
      </c>
      <c r="B7" s="7" t="inlineStr">
        <is>
          <t>P3</t>
        </is>
      </c>
      <c r="C7" s="5" t="inlineStr">
        <is>
          <t>R0</t>
        </is>
      </c>
      <c r="D7" s="5" t="inlineStr">
        <is>
          <t>Modulo 1</t>
        </is>
      </c>
      <c r="E7" s="6" t="inlineStr">
        <is>
          <t>COMBATE IPRO</t>
        </is>
      </c>
      <c r="F7" s="26" t="inlineStr"/>
      <c r="G7" s="15" t="n">
        <v>150</v>
      </c>
      <c r="H7" s="17" t="n">
        <v>0.513</v>
      </c>
      <c r="J7" s="7" t="n"/>
      <c r="K7" s="27">
        <f>IF(OR($B7="",J7=""),"",IFERROR(INDEX(LAMINA_HORA!$C$5:$V$114,MATCH($B7,LAMINA_HORA!$A$5:$A$114,0),MATCH(J7,LAMINA_HORA!$C$3:$V$3,0)),"?"))</f>
        <v/>
      </c>
      <c r="L7" s="27">
        <f>IF(OR($B7="",J7=""),"",IFERROR(INDEX(LAMINA_HORA!$W$5:$AP$114,MATCH($B7,LAMINA_HORA!$A$5:$A$114,0),MATCH(J7,LAMINA_HORA!$W$3:$AP$3,0)),"?"))</f>
        <v/>
      </c>
      <c r="M7" s="7" t="n"/>
      <c r="N7" s="27">
        <f>IF(OR($B7="",M7=""),"",IFERROR(INDEX(LAMINA_HORA!$C$5:$V$114,MATCH($B7,LAMINA_HORA!$A$5:$A$114,0),MATCH(M7,LAMINA_HORA!$C$3:$V$3,0)),"?"))</f>
        <v/>
      </c>
      <c r="O7" s="27">
        <f>IF(OR($B7="",M7=""),"",IFERROR(INDEX(LAMINA_HORA!$W$5:$AP$114,MATCH($B7,LAMINA_HORA!$A$5:$A$114,0),MATCH(M7,LAMINA_HORA!$W$3:$AP$3,0)),"?"))</f>
        <v/>
      </c>
      <c r="P7" s="7" t="n"/>
      <c r="Q7" s="27">
        <f>IF(OR($B7="",P7=""),"",IFERROR(INDEX(LAMINA_HORA!$C$5:$V$114,MATCH($B7,LAMINA_HORA!$A$5:$A$114,0),MATCH(P7,LAMINA_HORA!$C$3:$V$3,0)),"?"))</f>
        <v/>
      </c>
      <c r="R7" s="27">
        <f>IF(OR($B7="",P7=""),"",IFERROR(INDEX(LAMINA_HORA!$W$5:$AP$114,MATCH($B7,LAMINA_HORA!$A$5:$A$114,0),MATCH(P7,LAMINA_HORA!$W$3:$AP$3,0)),"?"))</f>
        <v/>
      </c>
      <c r="S7" s="7" t="n"/>
      <c r="T7" s="27">
        <f>IF(OR($B7="",S7=""),"",IFERROR(INDEX(LAMINA_HORA!$C$5:$V$114,MATCH($B7,LAMINA_HORA!$A$5:$A$114,0),MATCH(S7,LAMINA_HORA!$C$3:$V$3,0)),"?"))</f>
        <v/>
      </c>
      <c r="U7" s="27">
        <f>IF(OR($B7="",S7=""),"",IFERROR(INDEX(LAMINA_HORA!$W$5:$AP$114,MATCH($B7,LAMINA_HORA!$A$5:$A$114,0),MATCH(S7,LAMINA_HORA!$W$3:$AP$3,0)),"?"))</f>
        <v/>
      </c>
      <c r="V7" s="7" t="n"/>
      <c r="W7" s="27">
        <f>IF(OR($B7="",V7=""),"",IFERROR(INDEX(LAMINA_HORA!$C$5:$V$114,MATCH($B7,LAMINA_HORA!$A$5:$A$114,0),MATCH(V7,LAMINA_HORA!$C$3:$V$3,0)),"?"))</f>
        <v/>
      </c>
      <c r="X7" s="27">
        <f>IF(OR($B7="",V7=""),"",IFERROR(INDEX(LAMINA_HORA!$W$5:$AP$114,MATCH($B7,LAMINA_HORA!$A$5:$A$114,0),MATCH(V7,LAMINA_HORA!$W$3:$AP$3,0)),"?"))</f>
        <v/>
      </c>
      <c r="Y7" s="7" t="n"/>
      <c r="Z7" s="27">
        <f>IF(OR($B7="",Y7=""),"",IFERROR(INDEX(LAMINA_HORA!$C$5:$V$114,MATCH($B7,LAMINA_HORA!$A$5:$A$114,0),MATCH(Y7,LAMINA_HORA!$C$3:$V$3,0)),"?"))</f>
        <v/>
      </c>
      <c r="AA7" s="27">
        <f>IF(OR($B7="",Y7=""),"",IFERROR(INDEX(LAMINA_HORA!$W$5:$AP$114,MATCH($B7,LAMINA_HORA!$A$5:$A$114,0),MATCH(Y7,LAMINA_HORA!$W$3:$AP$3,0)),"?"))</f>
        <v/>
      </c>
      <c r="AB7" s="7" t="n"/>
      <c r="AC7" s="27">
        <f>IF(OR($B7="",AB7=""),"",IFERROR(INDEX(LAMINA_HORA!$C$5:$V$114,MATCH($B7,LAMINA_HORA!$A$5:$A$114,0),MATCH(AB7,LAMINA_HORA!$C$3:$V$3,0)),"?"))</f>
        <v/>
      </c>
      <c r="AD7" s="27">
        <f>IF(OR($B7="",AB7=""),"",IFERROR(INDEX(LAMINA_HORA!$W$5:$AP$114,MATCH($B7,LAMINA_HORA!$A$5:$A$114,0),MATCH(AB7,LAMINA_HORA!$W$3:$AP$3,0)),"?"))</f>
        <v/>
      </c>
      <c r="AE7" s="14">
        <f>SUM(K7,N7,Q7,T7,W7,Z7,AC7)</f>
        <v/>
      </c>
      <c r="AF7" s="16">
        <f>IF(OR($G7="",AE7=""),"",AE7*$G7*10)</f>
        <v/>
      </c>
      <c r="AG7" s="16">
        <f>IF(OR(AF7="",$H7=""),"",AF7*$H7)</f>
        <v/>
      </c>
      <c r="AH7" s="20" t="n"/>
    </row>
    <row r="8">
      <c r="A8" s="5" t="inlineStr">
        <is>
          <t>Pivô 04</t>
        </is>
      </c>
      <c r="B8" s="7" t="inlineStr">
        <is>
          <t>P4</t>
        </is>
      </c>
      <c r="C8" s="5" t="inlineStr">
        <is>
          <t>R0</t>
        </is>
      </c>
      <c r="D8" s="5" t="inlineStr">
        <is>
          <t>Modulo 1</t>
        </is>
      </c>
      <c r="E8" s="6" t="inlineStr">
        <is>
          <t>COMBATE IPRO</t>
        </is>
      </c>
      <c r="F8" s="26" t="inlineStr"/>
      <c r="G8" s="15" t="n">
        <v>63</v>
      </c>
      <c r="H8" s="17" t="n">
        <v>0.407</v>
      </c>
      <c r="J8" s="7" t="n"/>
      <c r="K8" s="27">
        <f>IF(OR($B8="",J8=""),"",IFERROR(INDEX(LAMINA_HORA!$C$5:$V$114,MATCH($B8,LAMINA_HORA!$A$5:$A$114,0),MATCH(J8,LAMINA_HORA!$C$3:$V$3,0)),"?"))</f>
        <v/>
      </c>
      <c r="L8" s="27">
        <f>IF(OR($B8="",J8=""),"",IFERROR(INDEX(LAMINA_HORA!$W$5:$AP$114,MATCH($B8,LAMINA_HORA!$A$5:$A$114,0),MATCH(J8,LAMINA_HORA!$W$3:$AP$3,0)),"?"))</f>
        <v/>
      </c>
      <c r="M8" s="7" t="n"/>
      <c r="N8" s="27">
        <f>IF(OR($B8="",M8=""),"",IFERROR(INDEX(LAMINA_HORA!$C$5:$V$114,MATCH($B8,LAMINA_HORA!$A$5:$A$114,0),MATCH(M8,LAMINA_HORA!$C$3:$V$3,0)),"?"))</f>
        <v/>
      </c>
      <c r="O8" s="27">
        <f>IF(OR($B8="",M8=""),"",IFERROR(INDEX(LAMINA_HORA!$W$5:$AP$114,MATCH($B8,LAMINA_HORA!$A$5:$A$114,0),MATCH(M8,LAMINA_HORA!$W$3:$AP$3,0)),"?"))</f>
        <v/>
      </c>
      <c r="P8" s="7" t="n"/>
      <c r="Q8" s="27">
        <f>IF(OR($B8="",P8=""),"",IFERROR(INDEX(LAMINA_HORA!$C$5:$V$114,MATCH($B8,LAMINA_HORA!$A$5:$A$114,0),MATCH(P8,LAMINA_HORA!$C$3:$V$3,0)),"?"))</f>
        <v/>
      </c>
      <c r="R8" s="27">
        <f>IF(OR($B8="",P8=""),"",IFERROR(INDEX(LAMINA_HORA!$W$5:$AP$114,MATCH($B8,LAMINA_HORA!$A$5:$A$114,0),MATCH(P8,LAMINA_HORA!$W$3:$AP$3,0)),"?"))</f>
        <v/>
      </c>
      <c r="S8" s="7" t="n"/>
      <c r="T8" s="27">
        <f>IF(OR($B8="",S8=""),"",IFERROR(INDEX(LAMINA_HORA!$C$5:$V$114,MATCH($B8,LAMINA_HORA!$A$5:$A$114,0),MATCH(S8,LAMINA_HORA!$C$3:$V$3,0)),"?"))</f>
        <v/>
      </c>
      <c r="U8" s="27">
        <f>IF(OR($B8="",S8=""),"",IFERROR(INDEX(LAMINA_HORA!$W$5:$AP$114,MATCH($B8,LAMINA_HORA!$A$5:$A$114,0),MATCH(S8,LAMINA_HORA!$W$3:$AP$3,0)),"?"))</f>
        <v/>
      </c>
      <c r="V8" s="7" t="n"/>
      <c r="W8" s="27">
        <f>IF(OR($B8="",V8=""),"",IFERROR(INDEX(LAMINA_HORA!$C$5:$V$114,MATCH($B8,LAMINA_HORA!$A$5:$A$114,0),MATCH(V8,LAMINA_HORA!$C$3:$V$3,0)),"?"))</f>
        <v/>
      </c>
      <c r="X8" s="27">
        <f>IF(OR($B8="",V8=""),"",IFERROR(INDEX(LAMINA_HORA!$W$5:$AP$114,MATCH($B8,LAMINA_HORA!$A$5:$A$114,0),MATCH(V8,LAMINA_HORA!$W$3:$AP$3,0)),"?"))</f>
        <v/>
      </c>
      <c r="Y8" s="7" t="n"/>
      <c r="Z8" s="27">
        <f>IF(OR($B8="",Y8=""),"",IFERROR(INDEX(LAMINA_HORA!$C$5:$V$114,MATCH($B8,LAMINA_HORA!$A$5:$A$114,0),MATCH(Y8,LAMINA_HORA!$C$3:$V$3,0)),"?"))</f>
        <v/>
      </c>
      <c r="AA8" s="27">
        <f>IF(OR($B8="",Y8=""),"",IFERROR(INDEX(LAMINA_HORA!$W$5:$AP$114,MATCH($B8,LAMINA_HORA!$A$5:$A$114,0),MATCH(Y8,LAMINA_HORA!$W$3:$AP$3,0)),"?"))</f>
        <v/>
      </c>
      <c r="AB8" s="7" t="n"/>
      <c r="AC8" s="27">
        <f>IF(OR($B8="",AB8=""),"",IFERROR(INDEX(LAMINA_HORA!$C$5:$V$114,MATCH($B8,LAMINA_HORA!$A$5:$A$114,0),MATCH(AB8,LAMINA_HORA!$C$3:$V$3,0)),"?"))</f>
        <v/>
      </c>
      <c r="AD8" s="27">
        <f>IF(OR($B8="",AB8=""),"",IFERROR(INDEX(LAMINA_HORA!$W$5:$AP$114,MATCH($B8,LAMINA_HORA!$A$5:$A$114,0),MATCH(AB8,LAMINA_HORA!$W$3:$AP$3,0)),"?"))</f>
        <v/>
      </c>
      <c r="AE8" s="14">
        <f>SUM(K8,N8,Q8,T8,W8,Z8,AC8)</f>
        <v/>
      </c>
      <c r="AF8" s="16">
        <f>IF(OR($G8="",AE8=""),"",AE8*$G8*10)</f>
        <v/>
      </c>
      <c r="AG8" s="16">
        <f>IF(OR(AF8="",$H8=""),"",AF8*$H8)</f>
        <v/>
      </c>
      <c r="AH8" s="20" t="n"/>
    </row>
    <row r="9">
      <c r="A9" s="5" t="inlineStr">
        <is>
          <t>Pivô 05</t>
        </is>
      </c>
      <c r="B9" s="7" t="inlineStr">
        <is>
          <t>P5</t>
        </is>
      </c>
      <c r="C9" s="5" t="inlineStr">
        <is>
          <t>R1</t>
        </is>
      </c>
      <c r="D9" s="5" t="inlineStr">
        <is>
          <t>Modulo 1</t>
        </is>
      </c>
      <c r="E9" s="6" t="inlineStr">
        <is>
          <t>COMBATE IPRO</t>
        </is>
      </c>
      <c r="F9" s="26" t="inlineStr"/>
      <c r="G9" s="15" t="n">
        <v>150</v>
      </c>
      <c r="H9" s="17" t="n">
        <v>0.574</v>
      </c>
      <c r="J9" s="7" t="n"/>
      <c r="K9" s="27">
        <f>IF(OR($B9="",J9=""),"",IFERROR(INDEX(LAMINA_HORA!$C$5:$V$114,MATCH($B9,LAMINA_HORA!$A$5:$A$114,0),MATCH(J9,LAMINA_HORA!$C$3:$V$3,0)),"?"))</f>
        <v/>
      </c>
      <c r="L9" s="27">
        <f>IF(OR($B9="",J9=""),"",IFERROR(INDEX(LAMINA_HORA!$W$5:$AP$114,MATCH($B9,LAMINA_HORA!$A$5:$A$114,0),MATCH(J9,LAMINA_HORA!$W$3:$AP$3,0)),"?"))</f>
        <v/>
      </c>
      <c r="M9" s="7" t="n"/>
      <c r="N9" s="27">
        <f>IF(OR($B9="",M9=""),"",IFERROR(INDEX(LAMINA_HORA!$C$5:$V$114,MATCH($B9,LAMINA_HORA!$A$5:$A$114,0),MATCH(M9,LAMINA_HORA!$C$3:$V$3,0)),"?"))</f>
        <v/>
      </c>
      <c r="O9" s="27">
        <f>IF(OR($B9="",M9=""),"",IFERROR(INDEX(LAMINA_HORA!$W$5:$AP$114,MATCH($B9,LAMINA_HORA!$A$5:$A$114,0),MATCH(M9,LAMINA_HORA!$W$3:$AP$3,0)),"?"))</f>
        <v/>
      </c>
      <c r="P9" s="7" t="n"/>
      <c r="Q9" s="27">
        <f>IF(OR($B9="",P9=""),"",IFERROR(INDEX(LAMINA_HORA!$C$5:$V$114,MATCH($B9,LAMINA_HORA!$A$5:$A$114,0),MATCH(P9,LAMINA_HORA!$C$3:$V$3,0)),"?"))</f>
        <v/>
      </c>
      <c r="R9" s="27">
        <f>IF(OR($B9="",P9=""),"",IFERROR(INDEX(LAMINA_HORA!$W$5:$AP$114,MATCH($B9,LAMINA_HORA!$A$5:$A$114,0),MATCH(P9,LAMINA_HORA!$W$3:$AP$3,0)),"?"))</f>
        <v/>
      </c>
      <c r="S9" s="7" t="n"/>
      <c r="T9" s="27">
        <f>IF(OR($B9="",S9=""),"",IFERROR(INDEX(LAMINA_HORA!$C$5:$V$114,MATCH($B9,LAMINA_HORA!$A$5:$A$114,0),MATCH(S9,LAMINA_HORA!$C$3:$V$3,0)),"?"))</f>
        <v/>
      </c>
      <c r="U9" s="27">
        <f>IF(OR($B9="",S9=""),"",IFERROR(INDEX(LAMINA_HORA!$W$5:$AP$114,MATCH($B9,LAMINA_HORA!$A$5:$A$114,0),MATCH(S9,LAMINA_HORA!$W$3:$AP$3,0)),"?"))</f>
        <v/>
      </c>
      <c r="V9" s="7" t="n"/>
      <c r="W9" s="27">
        <f>IF(OR($B9="",V9=""),"",IFERROR(INDEX(LAMINA_HORA!$C$5:$V$114,MATCH($B9,LAMINA_HORA!$A$5:$A$114,0),MATCH(V9,LAMINA_HORA!$C$3:$V$3,0)),"?"))</f>
        <v/>
      </c>
      <c r="X9" s="27">
        <f>IF(OR($B9="",V9=""),"",IFERROR(INDEX(LAMINA_HORA!$W$5:$AP$114,MATCH($B9,LAMINA_HORA!$A$5:$A$114,0),MATCH(V9,LAMINA_HORA!$W$3:$AP$3,0)),"?"))</f>
        <v/>
      </c>
      <c r="Y9" s="7" t="n"/>
      <c r="Z9" s="27">
        <f>IF(OR($B9="",Y9=""),"",IFERROR(INDEX(LAMINA_HORA!$C$5:$V$114,MATCH($B9,LAMINA_HORA!$A$5:$A$114,0),MATCH(Y9,LAMINA_HORA!$C$3:$V$3,0)),"?"))</f>
        <v/>
      </c>
      <c r="AA9" s="27">
        <f>IF(OR($B9="",Y9=""),"",IFERROR(INDEX(LAMINA_HORA!$W$5:$AP$114,MATCH($B9,LAMINA_HORA!$A$5:$A$114,0),MATCH(Y9,LAMINA_HORA!$W$3:$AP$3,0)),"?"))</f>
        <v/>
      </c>
      <c r="AB9" s="7" t="n"/>
      <c r="AC9" s="27">
        <f>IF(OR($B9="",AB9=""),"",IFERROR(INDEX(LAMINA_HORA!$C$5:$V$114,MATCH($B9,LAMINA_HORA!$A$5:$A$114,0),MATCH(AB9,LAMINA_HORA!$C$3:$V$3,0)),"?"))</f>
        <v/>
      </c>
      <c r="AD9" s="27">
        <f>IF(OR($B9="",AB9=""),"",IFERROR(INDEX(LAMINA_HORA!$W$5:$AP$114,MATCH($B9,LAMINA_HORA!$A$5:$A$114,0),MATCH(AB9,LAMINA_HORA!$W$3:$AP$3,0)),"?"))</f>
        <v/>
      </c>
      <c r="AE9" s="14">
        <f>SUM(K9,N9,Q9,T9,W9,Z9,AC9)</f>
        <v/>
      </c>
      <c r="AF9" s="16">
        <f>IF(OR($G9="",AE9=""),"",AE9*$G9*10)</f>
        <v/>
      </c>
      <c r="AG9" s="16">
        <f>IF(OR(AF9="",$H9=""),"",AF9*$H9)</f>
        <v/>
      </c>
      <c r="AH9" s="20" t="n"/>
    </row>
    <row r="10">
      <c r="A10" s="5" t="inlineStr">
        <is>
          <t>Pivô 06</t>
        </is>
      </c>
      <c r="B10" s="7" t="inlineStr">
        <is>
          <t>P6</t>
        </is>
      </c>
      <c r="C10" s="5" t="inlineStr">
        <is>
          <t>R1</t>
        </is>
      </c>
      <c r="D10" s="5" t="inlineStr">
        <is>
          <t>Modulo 1</t>
        </is>
      </c>
      <c r="E10" s="6" t="inlineStr">
        <is>
          <t>COMBATE IPRO</t>
        </is>
      </c>
      <c r="F10" s="26" t="inlineStr"/>
      <c r="G10" s="15" t="n">
        <v>150</v>
      </c>
      <c r="H10" s="17" t="n">
        <v>0.595</v>
      </c>
      <c r="J10" s="7" t="n"/>
      <c r="K10" s="27">
        <f>IF(OR($B10="",J10=""),"",IFERROR(INDEX(LAMINA_HORA!$C$5:$V$114,MATCH($B10,LAMINA_HORA!$A$5:$A$114,0),MATCH(J10,LAMINA_HORA!$C$3:$V$3,0)),"?"))</f>
        <v/>
      </c>
      <c r="L10" s="27">
        <f>IF(OR($B10="",J10=""),"",IFERROR(INDEX(LAMINA_HORA!$W$5:$AP$114,MATCH($B10,LAMINA_HORA!$A$5:$A$114,0),MATCH(J10,LAMINA_HORA!$W$3:$AP$3,0)),"?"))</f>
        <v/>
      </c>
      <c r="M10" s="7" t="n"/>
      <c r="N10" s="27">
        <f>IF(OR($B10="",M10=""),"",IFERROR(INDEX(LAMINA_HORA!$C$5:$V$114,MATCH($B10,LAMINA_HORA!$A$5:$A$114,0),MATCH(M10,LAMINA_HORA!$C$3:$V$3,0)),"?"))</f>
        <v/>
      </c>
      <c r="O10" s="27">
        <f>IF(OR($B10="",M10=""),"",IFERROR(INDEX(LAMINA_HORA!$W$5:$AP$114,MATCH($B10,LAMINA_HORA!$A$5:$A$114,0),MATCH(M10,LAMINA_HORA!$W$3:$AP$3,0)),"?"))</f>
        <v/>
      </c>
      <c r="P10" s="7" t="n"/>
      <c r="Q10" s="27">
        <f>IF(OR($B10="",P10=""),"",IFERROR(INDEX(LAMINA_HORA!$C$5:$V$114,MATCH($B10,LAMINA_HORA!$A$5:$A$114,0),MATCH(P10,LAMINA_HORA!$C$3:$V$3,0)),"?"))</f>
        <v/>
      </c>
      <c r="R10" s="27">
        <f>IF(OR($B10="",P10=""),"",IFERROR(INDEX(LAMINA_HORA!$W$5:$AP$114,MATCH($B10,LAMINA_HORA!$A$5:$A$114,0),MATCH(P10,LAMINA_HORA!$W$3:$AP$3,0)),"?"))</f>
        <v/>
      </c>
      <c r="S10" s="7" t="n"/>
      <c r="T10" s="27">
        <f>IF(OR($B10="",S10=""),"",IFERROR(INDEX(LAMINA_HORA!$C$5:$V$114,MATCH($B10,LAMINA_HORA!$A$5:$A$114,0),MATCH(S10,LAMINA_HORA!$C$3:$V$3,0)),"?"))</f>
        <v/>
      </c>
      <c r="U10" s="27">
        <f>IF(OR($B10="",S10=""),"",IFERROR(INDEX(LAMINA_HORA!$W$5:$AP$114,MATCH($B10,LAMINA_HORA!$A$5:$A$114,0),MATCH(S10,LAMINA_HORA!$W$3:$AP$3,0)),"?"))</f>
        <v/>
      </c>
      <c r="V10" s="7" t="n"/>
      <c r="W10" s="27">
        <f>IF(OR($B10="",V10=""),"",IFERROR(INDEX(LAMINA_HORA!$C$5:$V$114,MATCH($B10,LAMINA_HORA!$A$5:$A$114,0),MATCH(V10,LAMINA_HORA!$C$3:$V$3,0)),"?"))</f>
        <v/>
      </c>
      <c r="X10" s="27">
        <f>IF(OR($B10="",V10=""),"",IFERROR(INDEX(LAMINA_HORA!$W$5:$AP$114,MATCH($B10,LAMINA_HORA!$A$5:$A$114,0),MATCH(V10,LAMINA_HORA!$W$3:$AP$3,0)),"?"))</f>
        <v/>
      </c>
      <c r="Y10" s="7" t="n"/>
      <c r="Z10" s="27">
        <f>IF(OR($B10="",Y10=""),"",IFERROR(INDEX(LAMINA_HORA!$C$5:$V$114,MATCH($B10,LAMINA_HORA!$A$5:$A$114,0),MATCH(Y10,LAMINA_HORA!$C$3:$V$3,0)),"?"))</f>
        <v/>
      </c>
      <c r="AA10" s="27">
        <f>IF(OR($B10="",Y10=""),"",IFERROR(INDEX(LAMINA_HORA!$W$5:$AP$114,MATCH($B10,LAMINA_HORA!$A$5:$A$114,0),MATCH(Y10,LAMINA_HORA!$W$3:$AP$3,0)),"?"))</f>
        <v/>
      </c>
      <c r="AB10" s="7" t="n"/>
      <c r="AC10" s="27">
        <f>IF(OR($B10="",AB10=""),"",IFERROR(INDEX(LAMINA_HORA!$C$5:$V$114,MATCH($B10,LAMINA_HORA!$A$5:$A$114,0),MATCH(AB10,LAMINA_HORA!$C$3:$V$3,0)),"?"))</f>
        <v/>
      </c>
      <c r="AD10" s="27">
        <f>IF(OR($B10="",AB10=""),"",IFERROR(INDEX(LAMINA_HORA!$W$5:$AP$114,MATCH($B10,LAMINA_HORA!$A$5:$A$114,0),MATCH(AB10,LAMINA_HORA!$W$3:$AP$3,0)),"?"))</f>
        <v/>
      </c>
      <c r="AE10" s="14">
        <f>SUM(K10,N10,Q10,T10,W10,Z10,AC10)</f>
        <v/>
      </c>
      <c r="AF10" s="16">
        <f>IF(OR($G10="",AE10=""),"",AE10*$G10*10)</f>
        <v/>
      </c>
      <c r="AG10" s="16">
        <f>IF(OR(AF10="",$H10=""),"",AF10*$H10)</f>
        <v/>
      </c>
      <c r="AH10" s="20" t="n"/>
    </row>
    <row r="11">
      <c r="A11" s="5" t="inlineStr">
        <is>
          <t>Pivô 12</t>
        </is>
      </c>
      <c r="B11" s="7" t="inlineStr">
        <is>
          <t>P12</t>
        </is>
      </c>
      <c r="C11" s="5" t="inlineStr">
        <is>
          <t>R5</t>
        </is>
      </c>
      <c r="D11" s="5" t="inlineStr">
        <is>
          <t>Modulo 1</t>
        </is>
      </c>
      <c r="E11" s="6" t="inlineStr">
        <is>
          <t>COMBATE IPRO</t>
        </is>
      </c>
      <c r="F11" s="26" t="inlineStr"/>
      <c r="G11" s="15" t="n">
        <v>150</v>
      </c>
      <c r="H11" s="17" t="n">
        <v>0.5659999999999999</v>
      </c>
      <c r="J11" s="7" t="n"/>
      <c r="K11" s="27">
        <f>IF(OR($B11="",J11=""),"",IFERROR(INDEX(LAMINA_HORA!$C$5:$V$114,MATCH($B11,LAMINA_HORA!$A$5:$A$114,0),MATCH(J11,LAMINA_HORA!$C$3:$V$3,0)),"?"))</f>
        <v/>
      </c>
      <c r="L11" s="27">
        <f>IF(OR($B11="",J11=""),"",IFERROR(INDEX(LAMINA_HORA!$W$5:$AP$114,MATCH($B11,LAMINA_HORA!$A$5:$A$114,0),MATCH(J11,LAMINA_HORA!$W$3:$AP$3,0)),"?"))</f>
        <v/>
      </c>
      <c r="M11" s="7" t="n"/>
      <c r="N11" s="27">
        <f>IF(OR($B11="",M11=""),"",IFERROR(INDEX(LAMINA_HORA!$C$5:$V$114,MATCH($B11,LAMINA_HORA!$A$5:$A$114,0),MATCH(M11,LAMINA_HORA!$C$3:$V$3,0)),"?"))</f>
        <v/>
      </c>
      <c r="O11" s="27">
        <f>IF(OR($B11="",M11=""),"",IFERROR(INDEX(LAMINA_HORA!$W$5:$AP$114,MATCH($B11,LAMINA_HORA!$A$5:$A$114,0),MATCH(M11,LAMINA_HORA!$W$3:$AP$3,0)),"?"))</f>
        <v/>
      </c>
      <c r="P11" s="7" t="n"/>
      <c r="Q11" s="27">
        <f>IF(OR($B11="",P11=""),"",IFERROR(INDEX(LAMINA_HORA!$C$5:$V$114,MATCH($B11,LAMINA_HORA!$A$5:$A$114,0),MATCH(P11,LAMINA_HORA!$C$3:$V$3,0)),"?"))</f>
        <v/>
      </c>
      <c r="R11" s="27">
        <f>IF(OR($B11="",P11=""),"",IFERROR(INDEX(LAMINA_HORA!$W$5:$AP$114,MATCH($B11,LAMINA_HORA!$A$5:$A$114,0),MATCH(P11,LAMINA_HORA!$W$3:$AP$3,0)),"?"))</f>
        <v/>
      </c>
      <c r="S11" s="7" t="n"/>
      <c r="T11" s="27">
        <f>IF(OR($B11="",S11=""),"",IFERROR(INDEX(LAMINA_HORA!$C$5:$V$114,MATCH($B11,LAMINA_HORA!$A$5:$A$114,0),MATCH(S11,LAMINA_HORA!$C$3:$V$3,0)),"?"))</f>
        <v/>
      </c>
      <c r="U11" s="27">
        <f>IF(OR($B11="",S11=""),"",IFERROR(INDEX(LAMINA_HORA!$W$5:$AP$114,MATCH($B11,LAMINA_HORA!$A$5:$A$114,0),MATCH(S11,LAMINA_HORA!$W$3:$AP$3,0)),"?"))</f>
        <v/>
      </c>
      <c r="V11" s="7" t="n"/>
      <c r="W11" s="27">
        <f>IF(OR($B11="",V11=""),"",IFERROR(INDEX(LAMINA_HORA!$C$5:$V$114,MATCH($B11,LAMINA_HORA!$A$5:$A$114,0),MATCH(V11,LAMINA_HORA!$C$3:$V$3,0)),"?"))</f>
        <v/>
      </c>
      <c r="X11" s="27">
        <f>IF(OR($B11="",V11=""),"",IFERROR(INDEX(LAMINA_HORA!$W$5:$AP$114,MATCH($B11,LAMINA_HORA!$A$5:$A$114,0),MATCH(V11,LAMINA_HORA!$W$3:$AP$3,0)),"?"))</f>
        <v/>
      </c>
      <c r="Y11" s="7" t="n"/>
      <c r="Z11" s="27">
        <f>IF(OR($B11="",Y11=""),"",IFERROR(INDEX(LAMINA_HORA!$C$5:$V$114,MATCH($B11,LAMINA_HORA!$A$5:$A$114,0),MATCH(Y11,LAMINA_HORA!$C$3:$V$3,0)),"?"))</f>
        <v/>
      </c>
      <c r="AA11" s="27">
        <f>IF(OR($B11="",Y11=""),"",IFERROR(INDEX(LAMINA_HORA!$W$5:$AP$114,MATCH($B11,LAMINA_HORA!$A$5:$A$114,0),MATCH(Y11,LAMINA_HORA!$W$3:$AP$3,0)),"?"))</f>
        <v/>
      </c>
      <c r="AB11" s="7" t="n"/>
      <c r="AC11" s="27">
        <f>IF(OR($B11="",AB11=""),"",IFERROR(INDEX(LAMINA_HORA!$C$5:$V$114,MATCH($B11,LAMINA_HORA!$A$5:$A$114,0),MATCH(AB11,LAMINA_HORA!$C$3:$V$3,0)),"?"))</f>
        <v/>
      </c>
      <c r="AD11" s="27">
        <f>IF(OR($B11="",AB11=""),"",IFERROR(INDEX(LAMINA_HORA!$W$5:$AP$114,MATCH($B11,LAMINA_HORA!$A$5:$A$114,0),MATCH(AB11,LAMINA_HORA!$W$3:$AP$3,0)),"?"))</f>
        <v/>
      </c>
      <c r="AE11" s="14">
        <f>SUM(K11,N11,Q11,T11,W11,Z11,AC11)</f>
        <v/>
      </c>
      <c r="AF11" s="16">
        <f>IF(OR($G11="",AE11=""),"",AE11*$G11*10)</f>
        <v/>
      </c>
      <c r="AG11" s="16">
        <f>IF(OR(AF11="",$H11=""),"",AF11*$H11)</f>
        <v/>
      </c>
      <c r="AH11" s="20" t="n"/>
    </row>
    <row r="12">
      <c r="A12" s="5" t="inlineStr">
        <is>
          <t>Pivô 13</t>
        </is>
      </c>
      <c r="B12" s="7" t="inlineStr">
        <is>
          <t>P13</t>
        </is>
      </c>
      <c r="C12" s="5" t="inlineStr">
        <is>
          <t>R5</t>
        </is>
      </c>
      <c r="D12" s="5" t="inlineStr">
        <is>
          <t>Modulo 1</t>
        </is>
      </c>
      <c r="E12" s="6" t="inlineStr">
        <is>
          <t>COMBATE IPRO</t>
        </is>
      </c>
      <c r="F12" s="26" t="inlineStr"/>
      <c r="G12" s="15" t="n">
        <v>71</v>
      </c>
      <c r="H12" s="17" t="n">
        <v>0.634</v>
      </c>
      <c r="J12" s="7" t="n"/>
      <c r="K12" s="27">
        <f>IF(OR($B12="",J12=""),"",IFERROR(INDEX(LAMINA_HORA!$C$5:$V$114,MATCH($B12,LAMINA_HORA!$A$5:$A$114,0),MATCH(J12,LAMINA_HORA!$C$3:$V$3,0)),"?"))</f>
        <v/>
      </c>
      <c r="L12" s="27">
        <f>IF(OR($B12="",J12=""),"",IFERROR(INDEX(LAMINA_HORA!$W$5:$AP$114,MATCH($B12,LAMINA_HORA!$A$5:$A$114,0),MATCH(J12,LAMINA_HORA!$W$3:$AP$3,0)),"?"))</f>
        <v/>
      </c>
      <c r="M12" s="7" t="n"/>
      <c r="N12" s="27">
        <f>IF(OR($B12="",M12=""),"",IFERROR(INDEX(LAMINA_HORA!$C$5:$V$114,MATCH($B12,LAMINA_HORA!$A$5:$A$114,0),MATCH(M12,LAMINA_HORA!$C$3:$V$3,0)),"?"))</f>
        <v/>
      </c>
      <c r="O12" s="27">
        <f>IF(OR($B12="",M12=""),"",IFERROR(INDEX(LAMINA_HORA!$W$5:$AP$114,MATCH($B12,LAMINA_HORA!$A$5:$A$114,0),MATCH(M12,LAMINA_HORA!$W$3:$AP$3,0)),"?"))</f>
        <v/>
      </c>
      <c r="P12" s="7" t="n"/>
      <c r="Q12" s="27">
        <f>IF(OR($B12="",P12=""),"",IFERROR(INDEX(LAMINA_HORA!$C$5:$V$114,MATCH($B12,LAMINA_HORA!$A$5:$A$114,0),MATCH(P12,LAMINA_HORA!$C$3:$V$3,0)),"?"))</f>
        <v/>
      </c>
      <c r="R12" s="27">
        <f>IF(OR($B12="",P12=""),"",IFERROR(INDEX(LAMINA_HORA!$W$5:$AP$114,MATCH($B12,LAMINA_HORA!$A$5:$A$114,0),MATCH(P12,LAMINA_HORA!$W$3:$AP$3,0)),"?"))</f>
        <v/>
      </c>
      <c r="S12" s="7" t="n"/>
      <c r="T12" s="27">
        <f>IF(OR($B12="",S12=""),"",IFERROR(INDEX(LAMINA_HORA!$C$5:$V$114,MATCH($B12,LAMINA_HORA!$A$5:$A$114,0),MATCH(S12,LAMINA_HORA!$C$3:$V$3,0)),"?"))</f>
        <v/>
      </c>
      <c r="U12" s="27">
        <f>IF(OR($B12="",S12=""),"",IFERROR(INDEX(LAMINA_HORA!$W$5:$AP$114,MATCH($B12,LAMINA_HORA!$A$5:$A$114,0),MATCH(S12,LAMINA_HORA!$W$3:$AP$3,0)),"?"))</f>
        <v/>
      </c>
      <c r="V12" s="7" t="n"/>
      <c r="W12" s="27">
        <f>IF(OR($B12="",V12=""),"",IFERROR(INDEX(LAMINA_HORA!$C$5:$V$114,MATCH($B12,LAMINA_HORA!$A$5:$A$114,0),MATCH(V12,LAMINA_HORA!$C$3:$V$3,0)),"?"))</f>
        <v/>
      </c>
      <c r="X12" s="27">
        <f>IF(OR($B12="",V12=""),"",IFERROR(INDEX(LAMINA_HORA!$W$5:$AP$114,MATCH($B12,LAMINA_HORA!$A$5:$A$114,0),MATCH(V12,LAMINA_HORA!$W$3:$AP$3,0)),"?"))</f>
        <v/>
      </c>
      <c r="Y12" s="7" t="n"/>
      <c r="Z12" s="27">
        <f>IF(OR($B12="",Y12=""),"",IFERROR(INDEX(LAMINA_HORA!$C$5:$V$114,MATCH($B12,LAMINA_HORA!$A$5:$A$114,0),MATCH(Y12,LAMINA_HORA!$C$3:$V$3,0)),"?"))</f>
        <v/>
      </c>
      <c r="AA12" s="27">
        <f>IF(OR($B12="",Y12=""),"",IFERROR(INDEX(LAMINA_HORA!$W$5:$AP$114,MATCH($B12,LAMINA_HORA!$A$5:$A$114,0),MATCH(Y12,LAMINA_HORA!$W$3:$AP$3,0)),"?"))</f>
        <v/>
      </c>
      <c r="AB12" s="7" t="n"/>
      <c r="AC12" s="27">
        <f>IF(OR($B12="",AB12=""),"",IFERROR(INDEX(LAMINA_HORA!$C$5:$V$114,MATCH($B12,LAMINA_HORA!$A$5:$A$114,0),MATCH(AB12,LAMINA_HORA!$C$3:$V$3,0)),"?"))</f>
        <v/>
      </c>
      <c r="AD12" s="27">
        <f>IF(OR($B12="",AB12=""),"",IFERROR(INDEX(LAMINA_HORA!$W$5:$AP$114,MATCH($B12,LAMINA_HORA!$A$5:$A$114,0),MATCH(AB12,LAMINA_HORA!$W$3:$AP$3,0)),"?"))</f>
        <v/>
      </c>
      <c r="AE12" s="14">
        <f>SUM(K12,N12,Q12,T12,W12,Z12,AC12)</f>
        <v/>
      </c>
      <c r="AF12" s="16">
        <f>IF(OR($G12="",AE12=""),"",AE12*$G12*10)</f>
        <v/>
      </c>
      <c r="AG12" s="16">
        <f>IF(OR(AF12="",$H12=""),"",AF12*$H12)</f>
        <v/>
      </c>
      <c r="AH12" s="20" t="n"/>
    </row>
    <row r="13">
      <c r="A13" s="5" t="inlineStr">
        <is>
          <t>Pivô 14</t>
        </is>
      </c>
      <c r="B13" s="7" t="inlineStr">
        <is>
          <t>P14</t>
        </is>
      </c>
      <c r="C13" s="5" t="inlineStr">
        <is>
          <t>R6</t>
        </is>
      </c>
      <c r="D13" s="5" t="inlineStr">
        <is>
          <t>Modulo 1</t>
        </is>
      </c>
      <c r="E13" s="6" t="inlineStr">
        <is>
          <t>COMBATE IPRO</t>
        </is>
      </c>
      <c r="F13" s="26" t="inlineStr"/>
      <c r="G13" s="15" t="n">
        <v>150</v>
      </c>
      <c r="H13" s="17" t="n">
        <v>0.396</v>
      </c>
      <c r="J13" s="7" t="n"/>
      <c r="K13" s="27">
        <f>IF(OR($B13="",J13=""),"",IFERROR(INDEX(LAMINA_HORA!$C$5:$V$114,MATCH($B13,LAMINA_HORA!$A$5:$A$114,0),MATCH(J13,LAMINA_HORA!$C$3:$V$3,0)),"?"))</f>
        <v/>
      </c>
      <c r="L13" s="27">
        <f>IF(OR($B13="",J13=""),"",IFERROR(INDEX(LAMINA_HORA!$W$5:$AP$114,MATCH($B13,LAMINA_HORA!$A$5:$A$114,0),MATCH(J13,LAMINA_HORA!$W$3:$AP$3,0)),"?"))</f>
        <v/>
      </c>
      <c r="M13" s="7" t="n"/>
      <c r="N13" s="27">
        <f>IF(OR($B13="",M13=""),"",IFERROR(INDEX(LAMINA_HORA!$C$5:$V$114,MATCH($B13,LAMINA_HORA!$A$5:$A$114,0),MATCH(M13,LAMINA_HORA!$C$3:$V$3,0)),"?"))</f>
        <v/>
      </c>
      <c r="O13" s="27">
        <f>IF(OR($B13="",M13=""),"",IFERROR(INDEX(LAMINA_HORA!$W$5:$AP$114,MATCH($B13,LAMINA_HORA!$A$5:$A$114,0),MATCH(M13,LAMINA_HORA!$W$3:$AP$3,0)),"?"))</f>
        <v/>
      </c>
      <c r="P13" s="7" t="n"/>
      <c r="Q13" s="27">
        <f>IF(OR($B13="",P13=""),"",IFERROR(INDEX(LAMINA_HORA!$C$5:$V$114,MATCH($B13,LAMINA_HORA!$A$5:$A$114,0),MATCH(P13,LAMINA_HORA!$C$3:$V$3,0)),"?"))</f>
        <v/>
      </c>
      <c r="R13" s="27">
        <f>IF(OR($B13="",P13=""),"",IFERROR(INDEX(LAMINA_HORA!$W$5:$AP$114,MATCH($B13,LAMINA_HORA!$A$5:$A$114,0),MATCH(P13,LAMINA_HORA!$W$3:$AP$3,0)),"?"))</f>
        <v/>
      </c>
      <c r="S13" s="7" t="n"/>
      <c r="T13" s="27">
        <f>IF(OR($B13="",S13=""),"",IFERROR(INDEX(LAMINA_HORA!$C$5:$V$114,MATCH($B13,LAMINA_HORA!$A$5:$A$114,0),MATCH(S13,LAMINA_HORA!$C$3:$V$3,0)),"?"))</f>
        <v/>
      </c>
      <c r="U13" s="27">
        <f>IF(OR($B13="",S13=""),"",IFERROR(INDEX(LAMINA_HORA!$W$5:$AP$114,MATCH($B13,LAMINA_HORA!$A$5:$A$114,0),MATCH(S13,LAMINA_HORA!$W$3:$AP$3,0)),"?"))</f>
        <v/>
      </c>
      <c r="V13" s="7" t="n"/>
      <c r="W13" s="27">
        <f>IF(OR($B13="",V13=""),"",IFERROR(INDEX(LAMINA_HORA!$C$5:$V$114,MATCH($B13,LAMINA_HORA!$A$5:$A$114,0),MATCH(V13,LAMINA_HORA!$C$3:$V$3,0)),"?"))</f>
        <v/>
      </c>
      <c r="X13" s="27">
        <f>IF(OR($B13="",V13=""),"",IFERROR(INDEX(LAMINA_HORA!$W$5:$AP$114,MATCH($B13,LAMINA_HORA!$A$5:$A$114,0),MATCH(V13,LAMINA_HORA!$W$3:$AP$3,0)),"?"))</f>
        <v/>
      </c>
      <c r="Y13" s="7" t="n"/>
      <c r="Z13" s="27">
        <f>IF(OR($B13="",Y13=""),"",IFERROR(INDEX(LAMINA_HORA!$C$5:$V$114,MATCH($B13,LAMINA_HORA!$A$5:$A$114,0),MATCH(Y13,LAMINA_HORA!$C$3:$V$3,0)),"?"))</f>
        <v/>
      </c>
      <c r="AA13" s="27">
        <f>IF(OR($B13="",Y13=""),"",IFERROR(INDEX(LAMINA_HORA!$W$5:$AP$114,MATCH($B13,LAMINA_HORA!$A$5:$A$114,0),MATCH(Y13,LAMINA_HORA!$W$3:$AP$3,0)),"?"))</f>
        <v/>
      </c>
      <c r="AB13" s="7" t="n"/>
      <c r="AC13" s="27">
        <f>IF(OR($B13="",AB13=""),"",IFERROR(INDEX(LAMINA_HORA!$C$5:$V$114,MATCH($B13,LAMINA_HORA!$A$5:$A$114,0),MATCH(AB13,LAMINA_HORA!$C$3:$V$3,0)),"?"))</f>
        <v/>
      </c>
      <c r="AD13" s="27">
        <f>IF(OR($B13="",AB13=""),"",IFERROR(INDEX(LAMINA_HORA!$W$5:$AP$114,MATCH($B13,LAMINA_HORA!$A$5:$A$114,0),MATCH(AB13,LAMINA_HORA!$W$3:$AP$3,0)),"?"))</f>
        <v/>
      </c>
      <c r="AE13" s="14">
        <f>SUM(K13,N13,Q13,T13,W13,Z13,AC13)</f>
        <v/>
      </c>
      <c r="AF13" s="16">
        <f>IF(OR($G13="",AE13=""),"",AE13*$G13*10)</f>
        <v/>
      </c>
      <c r="AG13" s="16">
        <f>IF(OR(AF13="",$H13=""),"",AF13*$H13)</f>
        <v/>
      </c>
      <c r="AH13" s="20" t="n"/>
    </row>
    <row r="14">
      <c r="A14" s="5" t="inlineStr">
        <is>
          <t>Pivô 15</t>
        </is>
      </c>
      <c r="B14" s="7" t="inlineStr">
        <is>
          <t>P15</t>
        </is>
      </c>
      <c r="C14" s="5" t="inlineStr">
        <is>
          <t>R1</t>
        </is>
      </c>
      <c r="D14" s="5" t="inlineStr">
        <is>
          <t>Modulo 1</t>
        </is>
      </c>
      <c r="E14" s="6" t="inlineStr">
        <is>
          <t>CZ 37B07 I2X</t>
        </is>
      </c>
      <c r="F14" s="26" t="inlineStr"/>
      <c r="G14" s="15" t="n">
        <v>150</v>
      </c>
      <c r="H14" s="17" t="n">
        <v>0.513</v>
      </c>
      <c r="J14" s="7" t="n"/>
      <c r="K14" s="27">
        <f>IF(OR($B14="",J14=""),"",IFERROR(INDEX(LAMINA_HORA!$C$5:$V$114,MATCH($B14,LAMINA_HORA!$A$5:$A$114,0),MATCH(J14,LAMINA_HORA!$C$3:$V$3,0)),"?"))</f>
        <v/>
      </c>
      <c r="L14" s="27">
        <f>IF(OR($B14="",J14=""),"",IFERROR(INDEX(LAMINA_HORA!$W$5:$AP$114,MATCH($B14,LAMINA_HORA!$A$5:$A$114,0),MATCH(J14,LAMINA_HORA!$W$3:$AP$3,0)),"?"))</f>
        <v/>
      </c>
      <c r="M14" s="7" t="n"/>
      <c r="N14" s="27">
        <f>IF(OR($B14="",M14=""),"",IFERROR(INDEX(LAMINA_HORA!$C$5:$V$114,MATCH($B14,LAMINA_HORA!$A$5:$A$114,0),MATCH(M14,LAMINA_HORA!$C$3:$V$3,0)),"?"))</f>
        <v/>
      </c>
      <c r="O14" s="27">
        <f>IF(OR($B14="",M14=""),"",IFERROR(INDEX(LAMINA_HORA!$W$5:$AP$114,MATCH($B14,LAMINA_HORA!$A$5:$A$114,0),MATCH(M14,LAMINA_HORA!$W$3:$AP$3,0)),"?"))</f>
        <v/>
      </c>
      <c r="P14" s="7" t="n"/>
      <c r="Q14" s="27">
        <f>IF(OR($B14="",P14=""),"",IFERROR(INDEX(LAMINA_HORA!$C$5:$V$114,MATCH($B14,LAMINA_HORA!$A$5:$A$114,0),MATCH(P14,LAMINA_HORA!$C$3:$V$3,0)),"?"))</f>
        <v/>
      </c>
      <c r="R14" s="27">
        <f>IF(OR($B14="",P14=""),"",IFERROR(INDEX(LAMINA_HORA!$W$5:$AP$114,MATCH($B14,LAMINA_HORA!$A$5:$A$114,0),MATCH(P14,LAMINA_HORA!$W$3:$AP$3,0)),"?"))</f>
        <v/>
      </c>
      <c r="S14" s="7" t="n"/>
      <c r="T14" s="27">
        <f>IF(OR($B14="",S14=""),"",IFERROR(INDEX(LAMINA_HORA!$C$5:$V$114,MATCH($B14,LAMINA_HORA!$A$5:$A$114,0),MATCH(S14,LAMINA_HORA!$C$3:$V$3,0)),"?"))</f>
        <v/>
      </c>
      <c r="U14" s="27">
        <f>IF(OR($B14="",S14=""),"",IFERROR(INDEX(LAMINA_HORA!$W$5:$AP$114,MATCH($B14,LAMINA_HORA!$A$5:$A$114,0),MATCH(S14,LAMINA_HORA!$W$3:$AP$3,0)),"?"))</f>
        <v/>
      </c>
      <c r="V14" s="7" t="n"/>
      <c r="W14" s="27">
        <f>IF(OR($B14="",V14=""),"",IFERROR(INDEX(LAMINA_HORA!$C$5:$V$114,MATCH($B14,LAMINA_HORA!$A$5:$A$114,0),MATCH(V14,LAMINA_HORA!$C$3:$V$3,0)),"?"))</f>
        <v/>
      </c>
      <c r="X14" s="27">
        <f>IF(OR($B14="",V14=""),"",IFERROR(INDEX(LAMINA_HORA!$W$5:$AP$114,MATCH($B14,LAMINA_HORA!$A$5:$A$114,0),MATCH(V14,LAMINA_HORA!$W$3:$AP$3,0)),"?"))</f>
        <v/>
      </c>
      <c r="Y14" s="7" t="n"/>
      <c r="Z14" s="27">
        <f>IF(OR($B14="",Y14=""),"",IFERROR(INDEX(LAMINA_HORA!$C$5:$V$114,MATCH($B14,LAMINA_HORA!$A$5:$A$114,0),MATCH(Y14,LAMINA_HORA!$C$3:$V$3,0)),"?"))</f>
        <v/>
      </c>
      <c r="AA14" s="27">
        <f>IF(OR($B14="",Y14=""),"",IFERROR(INDEX(LAMINA_HORA!$W$5:$AP$114,MATCH($B14,LAMINA_HORA!$A$5:$A$114,0),MATCH(Y14,LAMINA_HORA!$W$3:$AP$3,0)),"?"))</f>
        <v/>
      </c>
      <c r="AB14" s="7" t="n"/>
      <c r="AC14" s="27">
        <f>IF(OR($B14="",AB14=""),"",IFERROR(INDEX(LAMINA_HORA!$C$5:$V$114,MATCH($B14,LAMINA_HORA!$A$5:$A$114,0),MATCH(AB14,LAMINA_HORA!$C$3:$V$3,0)),"?"))</f>
        <v/>
      </c>
      <c r="AD14" s="27">
        <f>IF(OR($B14="",AB14=""),"",IFERROR(INDEX(LAMINA_HORA!$W$5:$AP$114,MATCH($B14,LAMINA_HORA!$A$5:$A$114,0),MATCH(AB14,LAMINA_HORA!$W$3:$AP$3,0)),"?"))</f>
        <v/>
      </c>
      <c r="AE14" s="14">
        <f>SUM(K14,N14,Q14,T14,W14,Z14,AC14)</f>
        <v/>
      </c>
      <c r="AF14" s="16">
        <f>IF(OR($G14="",AE14=""),"",AE14*$G14*10)</f>
        <v/>
      </c>
      <c r="AG14" s="16">
        <f>IF(OR(AF14="",$H14=""),"",AF14*$H14)</f>
        <v/>
      </c>
      <c r="AH14" s="20" t="n"/>
    </row>
    <row r="15">
      <c r="A15" s="5" t="inlineStr">
        <is>
          <t>Pivô 16</t>
        </is>
      </c>
      <c r="B15" s="7" t="inlineStr">
        <is>
          <t>P16</t>
        </is>
      </c>
      <c r="C15" s="5" t="inlineStr">
        <is>
          <t>R1</t>
        </is>
      </c>
      <c r="D15" s="5" t="inlineStr">
        <is>
          <t>Modulo 1</t>
        </is>
      </c>
      <c r="E15" s="6" t="inlineStr">
        <is>
          <t>ATAQUE I2X</t>
        </is>
      </c>
      <c r="F15" s="26" t="inlineStr"/>
      <c r="G15" s="15" t="n">
        <v>150</v>
      </c>
      <c r="H15" s="17" t="n">
        <v>0.5659999999999999</v>
      </c>
      <c r="J15" s="7" t="n"/>
      <c r="K15" s="27">
        <f>IF(OR($B15="",J15=""),"",IFERROR(INDEX(LAMINA_HORA!$C$5:$V$114,MATCH($B15,LAMINA_HORA!$A$5:$A$114,0),MATCH(J15,LAMINA_HORA!$C$3:$V$3,0)),"?"))</f>
        <v/>
      </c>
      <c r="L15" s="27">
        <f>IF(OR($B15="",J15=""),"",IFERROR(INDEX(LAMINA_HORA!$W$5:$AP$114,MATCH($B15,LAMINA_HORA!$A$5:$A$114,0),MATCH(J15,LAMINA_HORA!$W$3:$AP$3,0)),"?"))</f>
        <v/>
      </c>
      <c r="M15" s="7" t="n"/>
      <c r="N15" s="27">
        <f>IF(OR($B15="",M15=""),"",IFERROR(INDEX(LAMINA_HORA!$C$5:$V$114,MATCH($B15,LAMINA_HORA!$A$5:$A$114,0),MATCH(M15,LAMINA_HORA!$C$3:$V$3,0)),"?"))</f>
        <v/>
      </c>
      <c r="O15" s="27">
        <f>IF(OR($B15="",M15=""),"",IFERROR(INDEX(LAMINA_HORA!$W$5:$AP$114,MATCH($B15,LAMINA_HORA!$A$5:$A$114,0),MATCH(M15,LAMINA_HORA!$W$3:$AP$3,0)),"?"))</f>
        <v/>
      </c>
      <c r="P15" s="7" t="n"/>
      <c r="Q15" s="27">
        <f>IF(OR($B15="",P15=""),"",IFERROR(INDEX(LAMINA_HORA!$C$5:$V$114,MATCH($B15,LAMINA_HORA!$A$5:$A$114,0),MATCH(P15,LAMINA_HORA!$C$3:$V$3,0)),"?"))</f>
        <v/>
      </c>
      <c r="R15" s="27">
        <f>IF(OR($B15="",P15=""),"",IFERROR(INDEX(LAMINA_HORA!$W$5:$AP$114,MATCH($B15,LAMINA_HORA!$A$5:$A$114,0),MATCH(P15,LAMINA_HORA!$W$3:$AP$3,0)),"?"))</f>
        <v/>
      </c>
      <c r="S15" s="7" t="n"/>
      <c r="T15" s="27">
        <f>IF(OR($B15="",S15=""),"",IFERROR(INDEX(LAMINA_HORA!$C$5:$V$114,MATCH($B15,LAMINA_HORA!$A$5:$A$114,0),MATCH(S15,LAMINA_HORA!$C$3:$V$3,0)),"?"))</f>
        <v/>
      </c>
      <c r="U15" s="27">
        <f>IF(OR($B15="",S15=""),"",IFERROR(INDEX(LAMINA_HORA!$W$5:$AP$114,MATCH($B15,LAMINA_HORA!$A$5:$A$114,0),MATCH(S15,LAMINA_HORA!$W$3:$AP$3,0)),"?"))</f>
        <v/>
      </c>
      <c r="V15" s="7" t="n"/>
      <c r="W15" s="27">
        <f>IF(OR($B15="",V15=""),"",IFERROR(INDEX(LAMINA_HORA!$C$5:$V$114,MATCH($B15,LAMINA_HORA!$A$5:$A$114,0),MATCH(V15,LAMINA_HORA!$C$3:$V$3,0)),"?"))</f>
        <v/>
      </c>
      <c r="X15" s="27">
        <f>IF(OR($B15="",V15=""),"",IFERROR(INDEX(LAMINA_HORA!$W$5:$AP$114,MATCH($B15,LAMINA_HORA!$A$5:$A$114,0),MATCH(V15,LAMINA_HORA!$W$3:$AP$3,0)),"?"))</f>
        <v/>
      </c>
      <c r="Y15" s="7" t="n"/>
      <c r="Z15" s="27">
        <f>IF(OR($B15="",Y15=""),"",IFERROR(INDEX(LAMINA_HORA!$C$5:$V$114,MATCH($B15,LAMINA_HORA!$A$5:$A$114,0),MATCH(Y15,LAMINA_HORA!$C$3:$V$3,0)),"?"))</f>
        <v/>
      </c>
      <c r="AA15" s="27">
        <f>IF(OR($B15="",Y15=""),"",IFERROR(INDEX(LAMINA_HORA!$W$5:$AP$114,MATCH($B15,LAMINA_HORA!$A$5:$A$114,0),MATCH(Y15,LAMINA_HORA!$W$3:$AP$3,0)),"?"))</f>
        <v/>
      </c>
      <c r="AB15" s="7" t="n"/>
      <c r="AC15" s="27">
        <f>IF(OR($B15="",AB15=""),"",IFERROR(INDEX(LAMINA_HORA!$C$5:$V$114,MATCH($B15,LAMINA_HORA!$A$5:$A$114,0),MATCH(AB15,LAMINA_HORA!$C$3:$V$3,0)),"?"))</f>
        <v/>
      </c>
      <c r="AD15" s="27">
        <f>IF(OR($B15="",AB15=""),"",IFERROR(INDEX(LAMINA_HORA!$W$5:$AP$114,MATCH($B15,LAMINA_HORA!$A$5:$A$114,0),MATCH(AB15,LAMINA_HORA!$W$3:$AP$3,0)),"?"))</f>
        <v/>
      </c>
      <c r="AE15" s="14">
        <f>SUM(K15,N15,Q15,T15,W15,Z15,AC15)</f>
        <v/>
      </c>
      <c r="AF15" s="16">
        <f>IF(OR($G15="",AE15=""),"",AE15*$G15*10)</f>
        <v/>
      </c>
      <c r="AG15" s="16">
        <f>IF(OR(AF15="",$H15=""),"",AF15*$H15)</f>
        <v/>
      </c>
      <c r="AH15" s="20" t="n"/>
    </row>
    <row r="16">
      <c r="A16" s="5" t="inlineStr">
        <is>
          <t>Pivô 17</t>
        </is>
      </c>
      <c r="B16" s="7" t="inlineStr">
        <is>
          <t>P17</t>
        </is>
      </c>
      <c r="C16" s="5" t="inlineStr">
        <is>
          <t>R2</t>
        </is>
      </c>
      <c r="D16" s="5" t="inlineStr">
        <is>
          <t>Modulo 1</t>
        </is>
      </c>
      <c r="E16" s="6" t="inlineStr">
        <is>
          <t>CZ 37B07 I2X</t>
        </is>
      </c>
      <c r="F16" s="26" t="inlineStr"/>
      <c r="G16" s="15" t="n">
        <v>150</v>
      </c>
      <c r="H16" s="17" t="n">
        <v>0.513</v>
      </c>
      <c r="J16" s="7" t="n"/>
      <c r="K16" s="27">
        <f>IF(OR($B16="",J16=""),"",IFERROR(INDEX(LAMINA_HORA!$C$5:$V$114,MATCH($B16,LAMINA_HORA!$A$5:$A$114,0),MATCH(J16,LAMINA_HORA!$C$3:$V$3,0)),"?"))</f>
        <v/>
      </c>
      <c r="L16" s="27">
        <f>IF(OR($B16="",J16=""),"",IFERROR(INDEX(LAMINA_HORA!$W$5:$AP$114,MATCH($B16,LAMINA_HORA!$A$5:$A$114,0),MATCH(J16,LAMINA_HORA!$W$3:$AP$3,0)),"?"))</f>
        <v/>
      </c>
      <c r="M16" s="7" t="n"/>
      <c r="N16" s="27">
        <f>IF(OR($B16="",M16=""),"",IFERROR(INDEX(LAMINA_HORA!$C$5:$V$114,MATCH($B16,LAMINA_HORA!$A$5:$A$114,0),MATCH(M16,LAMINA_HORA!$C$3:$V$3,0)),"?"))</f>
        <v/>
      </c>
      <c r="O16" s="27">
        <f>IF(OR($B16="",M16=""),"",IFERROR(INDEX(LAMINA_HORA!$W$5:$AP$114,MATCH($B16,LAMINA_HORA!$A$5:$A$114,0),MATCH(M16,LAMINA_HORA!$W$3:$AP$3,0)),"?"))</f>
        <v/>
      </c>
      <c r="P16" s="7" t="n"/>
      <c r="Q16" s="27">
        <f>IF(OR($B16="",P16=""),"",IFERROR(INDEX(LAMINA_HORA!$C$5:$V$114,MATCH($B16,LAMINA_HORA!$A$5:$A$114,0),MATCH(P16,LAMINA_HORA!$C$3:$V$3,0)),"?"))</f>
        <v/>
      </c>
      <c r="R16" s="27">
        <f>IF(OR($B16="",P16=""),"",IFERROR(INDEX(LAMINA_HORA!$W$5:$AP$114,MATCH($B16,LAMINA_HORA!$A$5:$A$114,0),MATCH(P16,LAMINA_HORA!$W$3:$AP$3,0)),"?"))</f>
        <v/>
      </c>
      <c r="S16" s="7" t="n"/>
      <c r="T16" s="27">
        <f>IF(OR($B16="",S16=""),"",IFERROR(INDEX(LAMINA_HORA!$C$5:$V$114,MATCH($B16,LAMINA_HORA!$A$5:$A$114,0),MATCH(S16,LAMINA_HORA!$C$3:$V$3,0)),"?"))</f>
        <v/>
      </c>
      <c r="U16" s="27">
        <f>IF(OR($B16="",S16=""),"",IFERROR(INDEX(LAMINA_HORA!$W$5:$AP$114,MATCH($B16,LAMINA_HORA!$A$5:$A$114,0),MATCH(S16,LAMINA_HORA!$W$3:$AP$3,0)),"?"))</f>
        <v/>
      </c>
      <c r="V16" s="7" t="n"/>
      <c r="W16" s="27">
        <f>IF(OR($B16="",V16=""),"",IFERROR(INDEX(LAMINA_HORA!$C$5:$V$114,MATCH($B16,LAMINA_HORA!$A$5:$A$114,0),MATCH(V16,LAMINA_HORA!$C$3:$V$3,0)),"?"))</f>
        <v/>
      </c>
      <c r="X16" s="27">
        <f>IF(OR($B16="",V16=""),"",IFERROR(INDEX(LAMINA_HORA!$W$5:$AP$114,MATCH($B16,LAMINA_HORA!$A$5:$A$114,0),MATCH(V16,LAMINA_HORA!$W$3:$AP$3,0)),"?"))</f>
        <v/>
      </c>
      <c r="Y16" s="7" t="n"/>
      <c r="Z16" s="27">
        <f>IF(OR($B16="",Y16=""),"",IFERROR(INDEX(LAMINA_HORA!$C$5:$V$114,MATCH($B16,LAMINA_HORA!$A$5:$A$114,0),MATCH(Y16,LAMINA_HORA!$C$3:$V$3,0)),"?"))</f>
        <v/>
      </c>
      <c r="AA16" s="27">
        <f>IF(OR($B16="",Y16=""),"",IFERROR(INDEX(LAMINA_HORA!$W$5:$AP$114,MATCH($B16,LAMINA_HORA!$A$5:$A$114,0),MATCH(Y16,LAMINA_HORA!$W$3:$AP$3,0)),"?"))</f>
        <v/>
      </c>
      <c r="AB16" s="7" t="n"/>
      <c r="AC16" s="27">
        <f>IF(OR($B16="",AB16=""),"",IFERROR(INDEX(LAMINA_HORA!$C$5:$V$114,MATCH($B16,LAMINA_HORA!$A$5:$A$114,0),MATCH(AB16,LAMINA_HORA!$C$3:$V$3,0)),"?"))</f>
        <v/>
      </c>
      <c r="AD16" s="27">
        <f>IF(OR($B16="",AB16=""),"",IFERROR(INDEX(LAMINA_HORA!$W$5:$AP$114,MATCH($B16,LAMINA_HORA!$A$5:$A$114,0),MATCH(AB16,LAMINA_HORA!$W$3:$AP$3,0)),"?"))</f>
        <v/>
      </c>
      <c r="AE16" s="14">
        <f>SUM(K16,N16,Q16,T16,W16,Z16,AC16)</f>
        <v/>
      </c>
      <c r="AF16" s="16">
        <f>IF(OR($G16="",AE16=""),"",AE16*$G16*10)</f>
        <v/>
      </c>
      <c r="AG16" s="16">
        <f>IF(OR(AF16="",$H16=""),"",AF16*$H16)</f>
        <v/>
      </c>
      <c r="AH16" s="20" t="n"/>
    </row>
    <row r="17">
      <c r="A17" s="5" t="inlineStr">
        <is>
          <t>Pivô 19</t>
        </is>
      </c>
      <c r="B17" s="7" t="inlineStr">
        <is>
          <t>P19</t>
        </is>
      </c>
      <c r="C17" s="5" t="inlineStr">
        <is>
          <t>R3</t>
        </is>
      </c>
      <c r="D17" s="5" t="inlineStr">
        <is>
          <t>Modulo 1</t>
        </is>
      </c>
      <c r="E17" s="6" t="inlineStr">
        <is>
          <t>NEO 761 I2X</t>
        </is>
      </c>
      <c r="F17" s="26" t="inlineStr"/>
      <c r="G17" s="15" t="n">
        <v>150</v>
      </c>
      <c r="H17" s="17" t="n">
        <v>0.513</v>
      </c>
      <c r="J17" s="7" t="n"/>
      <c r="K17" s="27">
        <f>IF(OR($B17="",J17=""),"",IFERROR(INDEX(LAMINA_HORA!$C$5:$V$114,MATCH($B17,LAMINA_HORA!$A$5:$A$114,0),MATCH(J17,LAMINA_HORA!$C$3:$V$3,0)),"?"))</f>
        <v/>
      </c>
      <c r="L17" s="27">
        <f>IF(OR($B17="",J17=""),"",IFERROR(INDEX(LAMINA_HORA!$W$5:$AP$114,MATCH($B17,LAMINA_HORA!$A$5:$A$114,0),MATCH(J17,LAMINA_HORA!$W$3:$AP$3,0)),"?"))</f>
        <v/>
      </c>
      <c r="M17" s="7" t="n"/>
      <c r="N17" s="27">
        <f>IF(OR($B17="",M17=""),"",IFERROR(INDEX(LAMINA_HORA!$C$5:$V$114,MATCH($B17,LAMINA_HORA!$A$5:$A$114,0),MATCH(M17,LAMINA_HORA!$C$3:$V$3,0)),"?"))</f>
        <v/>
      </c>
      <c r="O17" s="27">
        <f>IF(OR($B17="",M17=""),"",IFERROR(INDEX(LAMINA_HORA!$W$5:$AP$114,MATCH($B17,LAMINA_HORA!$A$5:$A$114,0),MATCH(M17,LAMINA_HORA!$W$3:$AP$3,0)),"?"))</f>
        <v/>
      </c>
      <c r="P17" s="7" t="n"/>
      <c r="Q17" s="27">
        <f>IF(OR($B17="",P17=""),"",IFERROR(INDEX(LAMINA_HORA!$C$5:$V$114,MATCH($B17,LAMINA_HORA!$A$5:$A$114,0),MATCH(P17,LAMINA_HORA!$C$3:$V$3,0)),"?"))</f>
        <v/>
      </c>
      <c r="R17" s="27">
        <f>IF(OR($B17="",P17=""),"",IFERROR(INDEX(LAMINA_HORA!$W$5:$AP$114,MATCH($B17,LAMINA_HORA!$A$5:$A$114,0),MATCH(P17,LAMINA_HORA!$W$3:$AP$3,0)),"?"))</f>
        <v/>
      </c>
      <c r="S17" s="7" t="n"/>
      <c r="T17" s="27">
        <f>IF(OR($B17="",S17=""),"",IFERROR(INDEX(LAMINA_HORA!$C$5:$V$114,MATCH($B17,LAMINA_HORA!$A$5:$A$114,0),MATCH(S17,LAMINA_HORA!$C$3:$V$3,0)),"?"))</f>
        <v/>
      </c>
      <c r="U17" s="27">
        <f>IF(OR($B17="",S17=""),"",IFERROR(INDEX(LAMINA_HORA!$W$5:$AP$114,MATCH($B17,LAMINA_HORA!$A$5:$A$114,0),MATCH(S17,LAMINA_HORA!$W$3:$AP$3,0)),"?"))</f>
        <v/>
      </c>
      <c r="V17" s="7" t="n"/>
      <c r="W17" s="27">
        <f>IF(OR($B17="",V17=""),"",IFERROR(INDEX(LAMINA_HORA!$C$5:$V$114,MATCH($B17,LAMINA_HORA!$A$5:$A$114,0),MATCH(V17,LAMINA_HORA!$C$3:$V$3,0)),"?"))</f>
        <v/>
      </c>
      <c r="X17" s="27">
        <f>IF(OR($B17="",V17=""),"",IFERROR(INDEX(LAMINA_HORA!$W$5:$AP$114,MATCH($B17,LAMINA_HORA!$A$5:$A$114,0),MATCH(V17,LAMINA_HORA!$W$3:$AP$3,0)),"?"))</f>
        <v/>
      </c>
      <c r="Y17" s="7" t="n"/>
      <c r="Z17" s="27">
        <f>IF(OR($B17="",Y17=""),"",IFERROR(INDEX(LAMINA_HORA!$C$5:$V$114,MATCH($B17,LAMINA_HORA!$A$5:$A$114,0),MATCH(Y17,LAMINA_HORA!$C$3:$V$3,0)),"?"))</f>
        <v/>
      </c>
      <c r="AA17" s="27">
        <f>IF(OR($B17="",Y17=""),"",IFERROR(INDEX(LAMINA_HORA!$W$5:$AP$114,MATCH($B17,LAMINA_HORA!$A$5:$A$114,0),MATCH(Y17,LAMINA_HORA!$W$3:$AP$3,0)),"?"))</f>
        <v/>
      </c>
      <c r="AB17" s="7" t="n"/>
      <c r="AC17" s="27">
        <f>IF(OR($B17="",AB17=""),"",IFERROR(INDEX(LAMINA_HORA!$C$5:$V$114,MATCH($B17,LAMINA_HORA!$A$5:$A$114,0),MATCH(AB17,LAMINA_HORA!$C$3:$V$3,0)),"?"))</f>
        <v/>
      </c>
      <c r="AD17" s="27">
        <f>IF(OR($B17="",AB17=""),"",IFERROR(INDEX(LAMINA_HORA!$W$5:$AP$114,MATCH($B17,LAMINA_HORA!$A$5:$A$114,0),MATCH(AB17,LAMINA_HORA!$W$3:$AP$3,0)),"?"))</f>
        <v/>
      </c>
      <c r="AE17" s="14">
        <f>SUM(K17,N17,Q17,T17,W17,Z17,AC17)</f>
        <v/>
      </c>
      <c r="AF17" s="16">
        <f>IF(OR($G17="",AE17=""),"",AE17*$G17*10)</f>
        <v/>
      </c>
      <c r="AG17" s="16">
        <f>IF(OR(AF17="",$H17=""),"",AF17*$H17)</f>
        <v/>
      </c>
      <c r="AH17" s="20" t="n"/>
    </row>
    <row r="18">
      <c r="A18" s="5" t="inlineStr">
        <is>
          <t>Pivô 20</t>
        </is>
      </c>
      <c r="B18" s="7" t="inlineStr">
        <is>
          <t>P20</t>
        </is>
      </c>
      <c r="C18" s="5" t="inlineStr">
        <is>
          <t>R3</t>
        </is>
      </c>
      <c r="D18" s="5" t="inlineStr">
        <is>
          <t>Modulo 1</t>
        </is>
      </c>
      <c r="E18" s="6" t="inlineStr">
        <is>
          <t>NEO 761 I2X</t>
        </is>
      </c>
      <c r="F18" s="26" t="inlineStr"/>
      <c r="G18" s="15" t="n">
        <v>150</v>
      </c>
      <c r="H18" s="17" t="n">
        <v>0.409</v>
      </c>
      <c r="J18" s="7" t="n"/>
      <c r="K18" s="27">
        <f>IF(OR($B18="",J18=""),"",IFERROR(INDEX(LAMINA_HORA!$C$5:$V$114,MATCH($B18,LAMINA_HORA!$A$5:$A$114,0),MATCH(J18,LAMINA_HORA!$C$3:$V$3,0)),"?"))</f>
        <v/>
      </c>
      <c r="L18" s="27">
        <f>IF(OR($B18="",J18=""),"",IFERROR(INDEX(LAMINA_HORA!$W$5:$AP$114,MATCH($B18,LAMINA_HORA!$A$5:$A$114,0),MATCH(J18,LAMINA_HORA!$W$3:$AP$3,0)),"?"))</f>
        <v/>
      </c>
      <c r="M18" s="7" t="n"/>
      <c r="N18" s="27">
        <f>IF(OR($B18="",M18=""),"",IFERROR(INDEX(LAMINA_HORA!$C$5:$V$114,MATCH($B18,LAMINA_HORA!$A$5:$A$114,0),MATCH(M18,LAMINA_HORA!$C$3:$V$3,0)),"?"))</f>
        <v/>
      </c>
      <c r="O18" s="27">
        <f>IF(OR($B18="",M18=""),"",IFERROR(INDEX(LAMINA_HORA!$W$5:$AP$114,MATCH($B18,LAMINA_HORA!$A$5:$A$114,0),MATCH(M18,LAMINA_HORA!$W$3:$AP$3,0)),"?"))</f>
        <v/>
      </c>
      <c r="P18" s="7" t="n"/>
      <c r="Q18" s="27">
        <f>IF(OR($B18="",P18=""),"",IFERROR(INDEX(LAMINA_HORA!$C$5:$V$114,MATCH($B18,LAMINA_HORA!$A$5:$A$114,0),MATCH(P18,LAMINA_HORA!$C$3:$V$3,0)),"?"))</f>
        <v/>
      </c>
      <c r="R18" s="27">
        <f>IF(OR($B18="",P18=""),"",IFERROR(INDEX(LAMINA_HORA!$W$5:$AP$114,MATCH($B18,LAMINA_HORA!$A$5:$A$114,0),MATCH(P18,LAMINA_HORA!$W$3:$AP$3,0)),"?"))</f>
        <v/>
      </c>
      <c r="S18" s="7" t="n"/>
      <c r="T18" s="27">
        <f>IF(OR($B18="",S18=""),"",IFERROR(INDEX(LAMINA_HORA!$C$5:$V$114,MATCH($B18,LAMINA_HORA!$A$5:$A$114,0),MATCH(S18,LAMINA_HORA!$C$3:$V$3,0)),"?"))</f>
        <v/>
      </c>
      <c r="U18" s="27">
        <f>IF(OR($B18="",S18=""),"",IFERROR(INDEX(LAMINA_HORA!$W$5:$AP$114,MATCH($B18,LAMINA_HORA!$A$5:$A$114,0),MATCH(S18,LAMINA_HORA!$W$3:$AP$3,0)),"?"))</f>
        <v/>
      </c>
      <c r="V18" s="7" t="n"/>
      <c r="W18" s="27">
        <f>IF(OR($B18="",V18=""),"",IFERROR(INDEX(LAMINA_HORA!$C$5:$V$114,MATCH($B18,LAMINA_HORA!$A$5:$A$114,0),MATCH(V18,LAMINA_HORA!$C$3:$V$3,0)),"?"))</f>
        <v/>
      </c>
      <c r="X18" s="27">
        <f>IF(OR($B18="",V18=""),"",IFERROR(INDEX(LAMINA_HORA!$W$5:$AP$114,MATCH($B18,LAMINA_HORA!$A$5:$A$114,0),MATCH(V18,LAMINA_HORA!$W$3:$AP$3,0)),"?"))</f>
        <v/>
      </c>
      <c r="Y18" s="7" t="n"/>
      <c r="Z18" s="27">
        <f>IF(OR($B18="",Y18=""),"",IFERROR(INDEX(LAMINA_HORA!$C$5:$V$114,MATCH($B18,LAMINA_HORA!$A$5:$A$114,0),MATCH(Y18,LAMINA_HORA!$C$3:$V$3,0)),"?"))</f>
        <v/>
      </c>
      <c r="AA18" s="27">
        <f>IF(OR($B18="",Y18=""),"",IFERROR(INDEX(LAMINA_HORA!$W$5:$AP$114,MATCH($B18,LAMINA_HORA!$A$5:$A$114,0),MATCH(Y18,LAMINA_HORA!$W$3:$AP$3,0)),"?"))</f>
        <v/>
      </c>
      <c r="AB18" s="7" t="n"/>
      <c r="AC18" s="27">
        <f>IF(OR($B18="",AB18=""),"",IFERROR(INDEX(LAMINA_HORA!$C$5:$V$114,MATCH($B18,LAMINA_HORA!$A$5:$A$114,0),MATCH(AB18,LAMINA_HORA!$C$3:$V$3,0)),"?"))</f>
        <v/>
      </c>
      <c r="AD18" s="27">
        <f>IF(OR($B18="",AB18=""),"",IFERROR(INDEX(LAMINA_HORA!$W$5:$AP$114,MATCH($B18,LAMINA_HORA!$A$5:$A$114,0),MATCH(AB18,LAMINA_HORA!$W$3:$AP$3,0)),"?"))</f>
        <v/>
      </c>
      <c r="AE18" s="14">
        <f>SUM(K18,N18,Q18,T18,W18,Z18,AC18)</f>
        <v/>
      </c>
      <c r="AF18" s="16">
        <f>IF(OR($G18="",AE18=""),"",AE18*$G18*10)</f>
        <v/>
      </c>
      <c r="AG18" s="16">
        <f>IF(OR(AF18="",$H18=""),"",AF18*$H18)</f>
        <v/>
      </c>
      <c r="AH18" s="20" t="n"/>
    </row>
    <row r="19">
      <c r="A19" s="5" t="inlineStr">
        <is>
          <t>Pivô 21</t>
        </is>
      </c>
      <c r="B19" s="7" t="inlineStr">
        <is>
          <t>P21</t>
        </is>
      </c>
      <c r="C19" s="5" t="inlineStr">
        <is>
          <t>R4</t>
        </is>
      </c>
      <c r="D19" s="5" t="inlineStr">
        <is>
          <t>Modulo 1</t>
        </is>
      </c>
      <c r="E19" s="6" t="inlineStr">
        <is>
          <t>NEO 761 I2X</t>
        </is>
      </c>
      <c r="F19" s="26" t="inlineStr"/>
      <c r="G19" s="15" t="n">
        <v>150</v>
      </c>
      <c r="H19" s="17" t="n">
        <v>0.513</v>
      </c>
      <c r="J19" s="7" t="n"/>
      <c r="K19" s="27">
        <f>IF(OR($B19="",J19=""),"",IFERROR(INDEX(LAMINA_HORA!$C$5:$V$114,MATCH($B19,LAMINA_HORA!$A$5:$A$114,0),MATCH(J19,LAMINA_HORA!$C$3:$V$3,0)),"?"))</f>
        <v/>
      </c>
      <c r="L19" s="27">
        <f>IF(OR($B19="",J19=""),"",IFERROR(INDEX(LAMINA_HORA!$W$5:$AP$114,MATCH($B19,LAMINA_HORA!$A$5:$A$114,0),MATCH(J19,LAMINA_HORA!$W$3:$AP$3,0)),"?"))</f>
        <v/>
      </c>
      <c r="M19" s="7" t="n"/>
      <c r="N19" s="27">
        <f>IF(OR($B19="",M19=""),"",IFERROR(INDEX(LAMINA_HORA!$C$5:$V$114,MATCH($B19,LAMINA_HORA!$A$5:$A$114,0),MATCH(M19,LAMINA_HORA!$C$3:$V$3,0)),"?"))</f>
        <v/>
      </c>
      <c r="O19" s="27">
        <f>IF(OR($B19="",M19=""),"",IFERROR(INDEX(LAMINA_HORA!$W$5:$AP$114,MATCH($B19,LAMINA_HORA!$A$5:$A$114,0),MATCH(M19,LAMINA_HORA!$W$3:$AP$3,0)),"?"))</f>
        <v/>
      </c>
      <c r="P19" s="7" t="n"/>
      <c r="Q19" s="27">
        <f>IF(OR($B19="",P19=""),"",IFERROR(INDEX(LAMINA_HORA!$C$5:$V$114,MATCH($B19,LAMINA_HORA!$A$5:$A$114,0),MATCH(P19,LAMINA_HORA!$C$3:$V$3,0)),"?"))</f>
        <v/>
      </c>
      <c r="R19" s="27">
        <f>IF(OR($B19="",P19=""),"",IFERROR(INDEX(LAMINA_HORA!$W$5:$AP$114,MATCH($B19,LAMINA_HORA!$A$5:$A$114,0),MATCH(P19,LAMINA_HORA!$W$3:$AP$3,0)),"?"))</f>
        <v/>
      </c>
      <c r="S19" s="7" t="n"/>
      <c r="T19" s="27">
        <f>IF(OR($B19="",S19=""),"",IFERROR(INDEX(LAMINA_HORA!$C$5:$V$114,MATCH($B19,LAMINA_HORA!$A$5:$A$114,0),MATCH(S19,LAMINA_HORA!$C$3:$V$3,0)),"?"))</f>
        <v/>
      </c>
      <c r="U19" s="27">
        <f>IF(OR($B19="",S19=""),"",IFERROR(INDEX(LAMINA_HORA!$W$5:$AP$114,MATCH($B19,LAMINA_HORA!$A$5:$A$114,0),MATCH(S19,LAMINA_HORA!$W$3:$AP$3,0)),"?"))</f>
        <v/>
      </c>
      <c r="V19" s="7" t="n"/>
      <c r="W19" s="27">
        <f>IF(OR($B19="",V19=""),"",IFERROR(INDEX(LAMINA_HORA!$C$5:$V$114,MATCH($B19,LAMINA_HORA!$A$5:$A$114,0),MATCH(V19,LAMINA_HORA!$C$3:$V$3,0)),"?"))</f>
        <v/>
      </c>
      <c r="X19" s="27">
        <f>IF(OR($B19="",V19=""),"",IFERROR(INDEX(LAMINA_HORA!$W$5:$AP$114,MATCH($B19,LAMINA_HORA!$A$5:$A$114,0),MATCH(V19,LAMINA_HORA!$W$3:$AP$3,0)),"?"))</f>
        <v/>
      </c>
      <c r="Y19" s="7" t="n"/>
      <c r="Z19" s="27">
        <f>IF(OR($B19="",Y19=""),"",IFERROR(INDEX(LAMINA_HORA!$C$5:$V$114,MATCH($B19,LAMINA_HORA!$A$5:$A$114,0),MATCH(Y19,LAMINA_HORA!$C$3:$V$3,0)),"?"))</f>
        <v/>
      </c>
      <c r="AA19" s="27">
        <f>IF(OR($B19="",Y19=""),"",IFERROR(INDEX(LAMINA_HORA!$W$5:$AP$114,MATCH($B19,LAMINA_HORA!$A$5:$A$114,0),MATCH(Y19,LAMINA_HORA!$W$3:$AP$3,0)),"?"))</f>
        <v/>
      </c>
      <c r="AB19" s="7" t="n"/>
      <c r="AC19" s="27">
        <f>IF(OR($B19="",AB19=""),"",IFERROR(INDEX(LAMINA_HORA!$C$5:$V$114,MATCH($B19,LAMINA_HORA!$A$5:$A$114,0),MATCH(AB19,LAMINA_HORA!$C$3:$V$3,0)),"?"))</f>
        <v/>
      </c>
      <c r="AD19" s="27">
        <f>IF(OR($B19="",AB19=""),"",IFERROR(INDEX(LAMINA_HORA!$W$5:$AP$114,MATCH($B19,LAMINA_HORA!$A$5:$A$114,0),MATCH(AB19,LAMINA_HORA!$W$3:$AP$3,0)),"?"))</f>
        <v/>
      </c>
      <c r="AE19" s="14">
        <f>SUM(K19,N19,Q19,T19,W19,Z19,AC19)</f>
        <v/>
      </c>
      <c r="AF19" s="16">
        <f>IF(OR($G19="",AE19=""),"",AE19*$G19*10)</f>
        <v/>
      </c>
      <c r="AG19" s="16">
        <f>IF(OR(AF19="",$H19=""),"",AF19*$H19)</f>
        <v/>
      </c>
      <c r="AH19" s="20" t="n"/>
    </row>
    <row r="20">
      <c r="A20" s="5" t="inlineStr">
        <is>
          <t>Pivô 22</t>
        </is>
      </c>
      <c r="B20" s="7" t="inlineStr">
        <is>
          <t>P22</t>
        </is>
      </c>
      <c r="C20" s="5" t="inlineStr">
        <is>
          <t>R4</t>
        </is>
      </c>
      <c r="D20" s="5" t="inlineStr">
        <is>
          <t>Modulo 1</t>
        </is>
      </c>
      <c r="E20" s="6" t="inlineStr">
        <is>
          <t>NEO 761 I2X</t>
        </is>
      </c>
      <c r="F20" s="26" t="inlineStr"/>
      <c r="G20" s="15" t="n">
        <v>150</v>
      </c>
      <c r="H20" s="17" t="n">
        <v>0.513</v>
      </c>
      <c r="J20" s="7" t="n"/>
      <c r="K20" s="27">
        <f>IF(OR($B20="",J20=""),"",IFERROR(INDEX(LAMINA_HORA!$C$5:$V$114,MATCH($B20,LAMINA_HORA!$A$5:$A$114,0),MATCH(J20,LAMINA_HORA!$C$3:$V$3,0)),"?"))</f>
        <v/>
      </c>
      <c r="L20" s="27">
        <f>IF(OR($B20="",J20=""),"",IFERROR(INDEX(LAMINA_HORA!$W$5:$AP$114,MATCH($B20,LAMINA_HORA!$A$5:$A$114,0),MATCH(J20,LAMINA_HORA!$W$3:$AP$3,0)),"?"))</f>
        <v/>
      </c>
      <c r="M20" s="7" t="n"/>
      <c r="N20" s="27">
        <f>IF(OR($B20="",M20=""),"",IFERROR(INDEX(LAMINA_HORA!$C$5:$V$114,MATCH($B20,LAMINA_HORA!$A$5:$A$114,0),MATCH(M20,LAMINA_HORA!$C$3:$V$3,0)),"?"))</f>
        <v/>
      </c>
      <c r="O20" s="27">
        <f>IF(OR($B20="",M20=""),"",IFERROR(INDEX(LAMINA_HORA!$W$5:$AP$114,MATCH($B20,LAMINA_HORA!$A$5:$A$114,0),MATCH(M20,LAMINA_HORA!$W$3:$AP$3,0)),"?"))</f>
        <v/>
      </c>
      <c r="P20" s="7" t="n"/>
      <c r="Q20" s="27">
        <f>IF(OR($B20="",P20=""),"",IFERROR(INDEX(LAMINA_HORA!$C$5:$V$114,MATCH($B20,LAMINA_HORA!$A$5:$A$114,0),MATCH(P20,LAMINA_HORA!$C$3:$V$3,0)),"?"))</f>
        <v/>
      </c>
      <c r="R20" s="27">
        <f>IF(OR($B20="",P20=""),"",IFERROR(INDEX(LAMINA_HORA!$W$5:$AP$114,MATCH($B20,LAMINA_HORA!$A$5:$A$114,0),MATCH(P20,LAMINA_HORA!$W$3:$AP$3,0)),"?"))</f>
        <v/>
      </c>
      <c r="S20" s="7" t="n"/>
      <c r="T20" s="27">
        <f>IF(OR($B20="",S20=""),"",IFERROR(INDEX(LAMINA_HORA!$C$5:$V$114,MATCH($B20,LAMINA_HORA!$A$5:$A$114,0),MATCH(S20,LAMINA_HORA!$C$3:$V$3,0)),"?"))</f>
        <v/>
      </c>
      <c r="U20" s="27">
        <f>IF(OR($B20="",S20=""),"",IFERROR(INDEX(LAMINA_HORA!$W$5:$AP$114,MATCH($B20,LAMINA_HORA!$A$5:$A$114,0),MATCH(S20,LAMINA_HORA!$W$3:$AP$3,0)),"?"))</f>
        <v/>
      </c>
      <c r="V20" s="7" t="n"/>
      <c r="W20" s="27">
        <f>IF(OR($B20="",V20=""),"",IFERROR(INDEX(LAMINA_HORA!$C$5:$V$114,MATCH($B20,LAMINA_HORA!$A$5:$A$114,0),MATCH(V20,LAMINA_HORA!$C$3:$V$3,0)),"?"))</f>
        <v/>
      </c>
      <c r="X20" s="27">
        <f>IF(OR($B20="",V20=""),"",IFERROR(INDEX(LAMINA_HORA!$W$5:$AP$114,MATCH($B20,LAMINA_HORA!$A$5:$A$114,0),MATCH(V20,LAMINA_HORA!$W$3:$AP$3,0)),"?"))</f>
        <v/>
      </c>
      <c r="Y20" s="7" t="n"/>
      <c r="Z20" s="27">
        <f>IF(OR($B20="",Y20=""),"",IFERROR(INDEX(LAMINA_HORA!$C$5:$V$114,MATCH($B20,LAMINA_HORA!$A$5:$A$114,0),MATCH(Y20,LAMINA_HORA!$C$3:$V$3,0)),"?"))</f>
        <v/>
      </c>
      <c r="AA20" s="27">
        <f>IF(OR($B20="",Y20=""),"",IFERROR(INDEX(LAMINA_HORA!$W$5:$AP$114,MATCH($B20,LAMINA_HORA!$A$5:$A$114,0),MATCH(Y20,LAMINA_HORA!$W$3:$AP$3,0)),"?"))</f>
        <v/>
      </c>
      <c r="AB20" s="7" t="n"/>
      <c r="AC20" s="27">
        <f>IF(OR($B20="",AB20=""),"",IFERROR(INDEX(LAMINA_HORA!$C$5:$V$114,MATCH($B20,LAMINA_HORA!$A$5:$A$114,0),MATCH(AB20,LAMINA_HORA!$C$3:$V$3,0)),"?"))</f>
        <v/>
      </c>
      <c r="AD20" s="27">
        <f>IF(OR($B20="",AB20=""),"",IFERROR(INDEX(LAMINA_HORA!$W$5:$AP$114,MATCH($B20,LAMINA_HORA!$A$5:$A$114,0),MATCH(AB20,LAMINA_HORA!$W$3:$AP$3,0)),"?"))</f>
        <v/>
      </c>
      <c r="AE20" s="14">
        <f>SUM(K20,N20,Q20,T20,W20,Z20,AC20)</f>
        <v/>
      </c>
      <c r="AF20" s="16">
        <f>IF(OR($G20="",AE20=""),"",AE20*$G20*10)</f>
        <v/>
      </c>
      <c r="AG20" s="16">
        <f>IF(OR(AF20="",$H20=""),"",AF20*$H20)</f>
        <v/>
      </c>
      <c r="AH20" s="20" t="n"/>
    </row>
    <row r="21">
      <c r="A21" s="5" t="inlineStr">
        <is>
          <t>Pivô 24</t>
        </is>
      </c>
      <c r="B21" s="7" t="inlineStr">
        <is>
          <t>P24</t>
        </is>
      </c>
      <c r="C21" s="5" t="inlineStr">
        <is>
          <t>R6</t>
        </is>
      </c>
      <c r="D21" s="5" t="inlineStr">
        <is>
          <t>Modulo 1</t>
        </is>
      </c>
      <c r="E21" s="6" t="inlineStr">
        <is>
          <t>BMX Olimpo IPRO</t>
        </is>
      </c>
      <c r="F21" s="26" t="inlineStr"/>
      <c r="G21" s="15" t="n">
        <v>150</v>
      </c>
      <c r="H21" s="17" t="n">
        <v>0.5659999999999999</v>
      </c>
      <c r="J21" s="7" t="n"/>
      <c r="K21" s="27">
        <f>IF(OR($B21="",J21=""),"",IFERROR(INDEX(LAMINA_HORA!$C$5:$V$114,MATCH($B21,LAMINA_HORA!$A$5:$A$114,0),MATCH(J21,LAMINA_HORA!$C$3:$V$3,0)),"?"))</f>
        <v/>
      </c>
      <c r="L21" s="27">
        <f>IF(OR($B21="",J21=""),"",IFERROR(INDEX(LAMINA_HORA!$W$5:$AP$114,MATCH($B21,LAMINA_HORA!$A$5:$A$114,0),MATCH(J21,LAMINA_HORA!$W$3:$AP$3,0)),"?"))</f>
        <v/>
      </c>
      <c r="M21" s="7" t="n"/>
      <c r="N21" s="27">
        <f>IF(OR($B21="",M21=""),"",IFERROR(INDEX(LAMINA_HORA!$C$5:$V$114,MATCH($B21,LAMINA_HORA!$A$5:$A$114,0),MATCH(M21,LAMINA_HORA!$C$3:$V$3,0)),"?"))</f>
        <v/>
      </c>
      <c r="O21" s="27">
        <f>IF(OR($B21="",M21=""),"",IFERROR(INDEX(LAMINA_HORA!$W$5:$AP$114,MATCH($B21,LAMINA_HORA!$A$5:$A$114,0),MATCH(M21,LAMINA_HORA!$W$3:$AP$3,0)),"?"))</f>
        <v/>
      </c>
      <c r="P21" s="7" t="n"/>
      <c r="Q21" s="27">
        <f>IF(OR($B21="",P21=""),"",IFERROR(INDEX(LAMINA_HORA!$C$5:$V$114,MATCH($B21,LAMINA_HORA!$A$5:$A$114,0),MATCH(P21,LAMINA_HORA!$C$3:$V$3,0)),"?"))</f>
        <v/>
      </c>
      <c r="R21" s="27">
        <f>IF(OR($B21="",P21=""),"",IFERROR(INDEX(LAMINA_HORA!$W$5:$AP$114,MATCH($B21,LAMINA_HORA!$A$5:$A$114,0),MATCH(P21,LAMINA_HORA!$W$3:$AP$3,0)),"?"))</f>
        <v/>
      </c>
      <c r="S21" s="7" t="n"/>
      <c r="T21" s="27">
        <f>IF(OR($B21="",S21=""),"",IFERROR(INDEX(LAMINA_HORA!$C$5:$V$114,MATCH($B21,LAMINA_HORA!$A$5:$A$114,0),MATCH(S21,LAMINA_HORA!$C$3:$V$3,0)),"?"))</f>
        <v/>
      </c>
      <c r="U21" s="27">
        <f>IF(OR($B21="",S21=""),"",IFERROR(INDEX(LAMINA_HORA!$W$5:$AP$114,MATCH($B21,LAMINA_HORA!$A$5:$A$114,0),MATCH(S21,LAMINA_HORA!$W$3:$AP$3,0)),"?"))</f>
        <v/>
      </c>
      <c r="V21" s="7" t="n"/>
      <c r="W21" s="27">
        <f>IF(OR($B21="",V21=""),"",IFERROR(INDEX(LAMINA_HORA!$C$5:$V$114,MATCH($B21,LAMINA_HORA!$A$5:$A$114,0),MATCH(V21,LAMINA_HORA!$C$3:$V$3,0)),"?"))</f>
        <v/>
      </c>
      <c r="X21" s="27">
        <f>IF(OR($B21="",V21=""),"",IFERROR(INDEX(LAMINA_HORA!$W$5:$AP$114,MATCH($B21,LAMINA_HORA!$A$5:$A$114,0),MATCH(V21,LAMINA_HORA!$W$3:$AP$3,0)),"?"))</f>
        <v/>
      </c>
      <c r="Y21" s="7" t="n"/>
      <c r="Z21" s="27">
        <f>IF(OR($B21="",Y21=""),"",IFERROR(INDEX(LAMINA_HORA!$C$5:$V$114,MATCH($B21,LAMINA_HORA!$A$5:$A$114,0),MATCH(Y21,LAMINA_HORA!$C$3:$V$3,0)),"?"))</f>
        <v/>
      </c>
      <c r="AA21" s="27">
        <f>IF(OR($B21="",Y21=""),"",IFERROR(INDEX(LAMINA_HORA!$W$5:$AP$114,MATCH($B21,LAMINA_HORA!$A$5:$A$114,0),MATCH(Y21,LAMINA_HORA!$W$3:$AP$3,0)),"?"))</f>
        <v/>
      </c>
      <c r="AB21" s="7" t="n"/>
      <c r="AC21" s="27">
        <f>IF(OR($B21="",AB21=""),"",IFERROR(INDEX(LAMINA_HORA!$C$5:$V$114,MATCH($B21,LAMINA_HORA!$A$5:$A$114,0),MATCH(AB21,LAMINA_HORA!$C$3:$V$3,0)),"?"))</f>
        <v/>
      </c>
      <c r="AD21" s="27">
        <f>IF(OR($B21="",AB21=""),"",IFERROR(INDEX(LAMINA_HORA!$W$5:$AP$114,MATCH($B21,LAMINA_HORA!$A$5:$A$114,0),MATCH(AB21,LAMINA_HORA!$W$3:$AP$3,0)),"?"))</f>
        <v/>
      </c>
      <c r="AE21" s="14">
        <f>SUM(K21,N21,Q21,T21,W21,Z21,AC21)</f>
        <v/>
      </c>
      <c r="AF21" s="16">
        <f>IF(OR($G21="",AE21=""),"",AE21*$G21*10)</f>
        <v/>
      </c>
      <c r="AG21" s="16">
        <f>IF(OR(AF21="",$H21=""),"",AF21*$H21)</f>
        <v/>
      </c>
      <c r="AH21" s="20" t="n"/>
    </row>
    <row r="22">
      <c r="A22" s="5" t="inlineStr">
        <is>
          <t>Pivô 26</t>
        </is>
      </c>
      <c r="B22" s="7" t="inlineStr">
        <is>
          <t>P26</t>
        </is>
      </c>
      <c r="C22" s="5" t="inlineStr">
        <is>
          <t>R7</t>
        </is>
      </c>
      <c r="D22" s="5" t="inlineStr">
        <is>
          <t>Modulo 1</t>
        </is>
      </c>
      <c r="E22" s="6" t="inlineStr">
        <is>
          <t>ST 76KA72</t>
        </is>
      </c>
      <c r="F22" s="26" t="inlineStr"/>
      <c r="G22" s="15" t="n">
        <v>150</v>
      </c>
      <c r="H22" s="17" t="n">
        <v>0.591</v>
      </c>
      <c r="J22" s="7" t="n"/>
      <c r="K22" s="27">
        <f>IF(OR($B22="",J22=""),"",IFERROR(INDEX(LAMINA_HORA!$C$5:$V$114,MATCH($B22,LAMINA_HORA!$A$5:$A$114,0),MATCH(J22,LAMINA_HORA!$C$3:$V$3,0)),"?"))</f>
        <v/>
      </c>
      <c r="L22" s="27">
        <f>IF(OR($B22="",J22=""),"",IFERROR(INDEX(LAMINA_HORA!$W$5:$AP$114,MATCH($B22,LAMINA_HORA!$A$5:$A$114,0),MATCH(J22,LAMINA_HORA!$W$3:$AP$3,0)),"?"))</f>
        <v/>
      </c>
      <c r="M22" s="7" t="n"/>
      <c r="N22" s="27">
        <f>IF(OR($B22="",M22=""),"",IFERROR(INDEX(LAMINA_HORA!$C$5:$V$114,MATCH($B22,LAMINA_HORA!$A$5:$A$114,0),MATCH(M22,LAMINA_HORA!$C$3:$V$3,0)),"?"))</f>
        <v/>
      </c>
      <c r="O22" s="27">
        <f>IF(OR($B22="",M22=""),"",IFERROR(INDEX(LAMINA_HORA!$W$5:$AP$114,MATCH($B22,LAMINA_HORA!$A$5:$A$114,0),MATCH(M22,LAMINA_HORA!$W$3:$AP$3,0)),"?"))</f>
        <v/>
      </c>
      <c r="P22" s="7" t="n"/>
      <c r="Q22" s="27">
        <f>IF(OR($B22="",P22=""),"",IFERROR(INDEX(LAMINA_HORA!$C$5:$V$114,MATCH($B22,LAMINA_HORA!$A$5:$A$114,0),MATCH(P22,LAMINA_HORA!$C$3:$V$3,0)),"?"))</f>
        <v/>
      </c>
      <c r="R22" s="27">
        <f>IF(OR($B22="",P22=""),"",IFERROR(INDEX(LAMINA_HORA!$W$5:$AP$114,MATCH($B22,LAMINA_HORA!$A$5:$A$114,0),MATCH(P22,LAMINA_HORA!$W$3:$AP$3,0)),"?"))</f>
        <v/>
      </c>
      <c r="S22" s="7" t="n"/>
      <c r="T22" s="27">
        <f>IF(OR($B22="",S22=""),"",IFERROR(INDEX(LAMINA_HORA!$C$5:$V$114,MATCH($B22,LAMINA_HORA!$A$5:$A$114,0),MATCH(S22,LAMINA_HORA!$C$3:$V$3,0)),"?"))</f>
        <v/>
      </c>
      <c r="U22" s="27">
        <f>IF(OR($B22="",S22=""),"",IFERROR(INDEX(LAMINA_HORA!$W$5:$AP$114,MATCH($B22,LAMINA_HORA!$A$5:$A$114,0),MATCH(S22,LAMINA_HORA!$W$3:$AP$3,0)),"?"))</f>
        <v/>
      </c>
      <c r="V22" s="7" t="n"/>
      <c r="W22" s="27">
        <f>IF(OR($B22="",V22=""),"",IFERROR(INDEX(LAMINA_HORA!$C$5:$V$114,MATCH($B22,LAMINA_HORA!$A$5:$A$114,0),MATCH(V22,LAMINA_HORA!$C$3:$V$3,0)),"?"))</f>
        <v/>
      </c>
      <c r="X22" s="27">
        <f>IF(OR($B22="",V22=""),"",IFERROR(INDEX(LAMINA_HORA!$W$5:$AP$114,MATCH($B22,LAMINA_HORA!$A$5:$A$114,0),MATCH(V22,LAMINA_HORA!$W$3:$AP$3,0)),"?"))</f>
        <v/>
      </c>
      <c r="Y22" s="7" t="n"/>
      <c r="Z22" s="27">
        <f>IF(OR($B22="",Y22=""),"",IFERROR(INDEX(LAMINA_HORA!$C$5:$V$114,MATCH($B22,LAMINA_HORA!$A$5:$A$114,0),MATCH(Y22,LAMINA_HORA!$C$3:$V$3,0)),"?"))</f>
        <v/>
      </c>
      <c r="AA22" s="27">
        <f>IF(OR($B22="",Y22=""),"",IFERROR(INDEX(LAMINA_HORA!$W$5:$AP$114,MATCH($B22,LAMINA_HORA!$A$5:$A$114,0),MATCH(Y22,LAMINA_HORA!$W$3:$AP$3,0)),"?"))</f>
        <v/>
      </c>
      <c r="AB22" s="7" t="n"/>
      <c r="AC22" s="27">
        <f>IF(OR($B22="",AB22=""),"",IFERROR(INDEX(LAMINA_HORA!$C$5:$V$114,MATCH($B22,LAMINA_HORA!$A$5:$A$114,0),MATCH(AB22,LAMINA_HORA!$C$3:$V$3,0)),"?"))</f>
        <v/>
      </c>
      <c r="AD22" s="27">
        <f>IF(OR($B22="",AB22=""),"",IFERROR(INDEX(LAMINA_HORA!$W$5:$AP$114,MATCH($B22,LAMINA_HORA!$A$5:$A$114,0),MATCH(AB22,LAMINA_HORA!$W$3:$AP$3,0)),"?"))</f>
        <v/>
      </c>
      <c r="AE22" s="14">
        <f>SUM(K22,N22,Q22,T22,W22,Z22,AC22)</f>
        <v/>
      </c>
      <c r="AF22" s="16">
        <f>IF(OR($G22="",AE22=""),"",AE22*$G22*10)</f>
        <v/>
      </c>
      <c r="AG22" s="16">
        <f>IF(OR(AF22="",$H22=""),"",AF22*$H22)</f>
        <v/>
      </c>
      <c r="AH22" s="20" t="n"/>
    </row>
    <row r="23">
      <c r="A23" s="5" t="inlineStr">
        <is>
          <t>Pivô 33</t>
        </is>
      </c>
      <c r="B23" s="7" t="inlineStr">
        <is>
          <t>P33</t>
        </is>
      </c>
      <c r="C23" s="5" t="inlineStr">
        <is>
          <t>C3Z3/R7</t>
        </is>
      </c>
      <c r="D23" s="5" t="inlineStr">
        <is>
          <t>Modulo 1</t>
        </is>
      </c>
      <c r="E23" s="6" t="inlineStr">
        <is>
          <t>ATAQUE I2X</t>
        </is>
      </c>
      <c r="F23" s="26" t="inlineStr"/>
      <c r="G23" s="15" t="n">
        <v>138</v>
      </c>
      <c r="H23" s="17" t="n">
        <v>0.49</v>
      </c>
      <c r="J23" s="7" t="n"/>
      <c r="K23" s="27">
        <f>IF(OR($B23="",J23=""),"",IFERROR(INDEX(LAMINA_HORA!$C$5:$V$114,MATCH($B23,LAMINA_HORA!$A$5:$A$114,0),MATCH(J23,LAMINA_HORA!$C$3:$V$3,0)),"?"))</f>
        <v/>
      </c>
      <c r="L23" s="27">
        <f>IF(OR($B23="",J23=""),"",IFERROR(INDEX(LAMINA_HORA!$W$5:$AP$114,MATCH($B23,LAMINA_HORA!$A$5:$A$114,0),MATCH(J23,LAMINA_HORA!$W$3:$AP$3,0)),"?"))</f>
        <v/>
      </c>
      <c r="M23" s="7" t="n"/>
      <c r="N23" s="27">
        <f>IF(OR($B23="",M23=""),"",IFERROR(INDEX(LAMINA_HORA!$C$5:$V$114,MATCH($B23,LAMINA_HORA!$A$5:$A$114,0),MATCH(M23,LAMINA_HORA!$C$3:$V$3,0)),"?"))</f>
        <v/>
      </c>
      <c r="O23" s="27">
        <f>IF(OR($B23="",M23=""),"",IFERROR(INDEX(LAMINA_HORA!$W$5:$AP$114,MATCH($B23,LAMINA_HORA!$A$5:$A$114,0),MATCH(M23,LAMINA_HORA!$W$3:$AP$3,0)),"?"))</f>
        <v/>
      </c>
      <c r="P23" s="7" t="n"/>
      <c r="Q23" s="27">
        <f>IF(OR($B23="",P23=""),"",IFERROR(INDEX(LAMINA_HORA!$C$5:$V$114,MATCH($B23,LAMINA_HORA!$A$5:$A$114,0),MATCH(P23,LAMINA_HORA!$C$3:$V$3,0)),"?"))</f>
        <v/>
      </c>
      <c r="R23" s="27">
        <f>IF(OR($B23="",P23=""),"",IFERROR(INDEX(LAMINA_HORA!$W$5:$AP$114,MATCH($B23,LAMINA_HORA!$A$5:$A$114,0),MATCH(P23,LAMINA_HORA!$W$3:$AP$3,0)),"?"))</f>
        <v/>
      </c>
      <c r="S23" s="7" t="n"/>
      <c r="T23" s="27">
        <f>IF(OR($B23="",S23=""),"",IFERROR(INDEX(LAMINA_HORA!$C$5:$V$114,MATCH($B23,LAMINA_HORA!$A$5:$A$114,0),MATCH(S23,LAMINA_HORA!$C$3:$V$3,0)),"?"))</f>
        <v/>
      </c>
      <c r="U23" s="27">
        <f>IF(OR($B23="",S23=""),"",IFERROR(INDEX(LAMINA_HORA!$W$5:$AP$114,MATCH($B23,LAMINA_HORA!$A$5:$A$114,0),MATCH(S23,LAMINA_HORA!$W$3:$AP$3,0)),"?"))</f>
        <v/>
      </c>
      <c r="V23" s="7" t="n"/>
      <c r="W23" s="27">
        <f>IF(OR($B23="",V23=""),"",IFERROR(INDEX(LAMINA_HORA!$C$5:$V$114,MATCH($B23,LAMINA_HORA!$A$5:$A$114,0),MATCH(V23,LAMINA_HORA!$C$3:$V$3,0)),"?"))</f>
        <v/>
      </c>
      <c r="X23" s="27">
        <f>IF(OR($B23="",V23=""),"",IFERROR(INDEX(LAMINA_HORA!$W$5:$AP$114,MATCH($B23,LAMINA_HORA!$A$5:$A$114,0),MATCH(V23,LAMINA_HORA!$W$3:$AP$3,0)),"?"))</f>
        <v/>
      </c>
      <c r="Y23" s="7" t="n"/>
      <c r="Z23" s="27">
        <f>IF(OR($B23="",Y23=""),"",IFERROR(INDEX(LAMINA_HORA!$C$5:$V$114,MATCH($B23,LAMINA_HORA!$A$5:$A$114,0),MATCH(Y23,LAMINA_HORA!$C$3:$V$3,0)),"?"))</f>
        <v/>
      </c>
      <c r="AA23" s="27">
        <f>IF(OR($B23="",Y23=""),"",IFERROR(INDEX(LAMINA_HORA!$W$5:$AP$114,MATCH($B23,LAMINA_HORA!$A$5:$A$114,0),MATCH(Y23,LAMINA_HORA!$W$3:$AP$3,0)),"?"))</f>
        <v/>
      </c>
      <c r="AB23" s="7" t="n"/>
      <c r="AC23" s="27">
        <f>IF(OR($B23="",AB23=""),"",IFERROR(INDEX(LAMINA_HORA!$C$5:$V$114,MATCH($B23,LAMINA_HORA!$A$5:$A$114,0),MATCH(AB23,LAMINA_HORA!$C$3:$V$3,0)),"?"))</f>
        <v/>
      </c>
      <c r="AD23" s="27">
        <f>IF(OR($B23="",AB23=""),"",IFERROR(INDEX(LAMINA_HORA!$W$5:$AP$114,MATCH($B23,LAMINA_HORA!$A$5:$A$114,0),MATCH(AB23,LAMINA_HORA!$W$3:$AP$3,0)),"?"))</f>
        <v/>
      </c>
      <c r="AE23" s="14">
        <f>SUM(K23,N23,Q23,T23,W23,Z23,AC23)</f>
        <v/>
      </c>
      <c r="AF23" s="16">
        <f>IF(OR($G23="",AE23=""),"",AE23*$G23*10)</f>
        <v/>
      </c>
      <c r="AG23" s="16">
        <f>IF(OR(AF23="",$H23=""),"",AF23*$H23)</f>
        <v/>
      </c>
      <c r="AH23" s="20" t="n"/>
    </row>
    <row r="24">
      <c r="A24" s="5" t="inlineStr">
        <is>
          <t>Pivô 35</t>
        </is>
      </c>
      <c r="B24" s="7" t="inlineStr">
        <is>
          <t>P35</t>
        </is>
      </c>
      <c r="C24" s="5" t="inlineStr">
        <is>
          <t>R8</t>
        </is>
      </c>
      <c r="D24" s="5" t="inlineStr">
        <is>
          <t>Modulo 2</t>
        </is>
      </c>
      <c r="E24" s="6" t="inlineStr">
        <is>
          <t>COMPLETA IPRO</t>
        </is>
      </c>
      <c r="F24" s="26" t="inlineStr"/>
      <c r="G24" s="15" t="n">
        <v>150</v>
      </c>
      <c r="H24" s="17" t="n">
        <v>0.5</v>
      </c>
      <c r="J24" s="7" t="n"/>
      <c r="K24" s="27">
        <f>IF(OR($B24="",J24=""),"",IFERROR(INDEX(LAMINA_HORA!$C$5:$V$114,MATCH($B24,LAMINA_HORA!$A$5:$A$114,0),MATCH(J24,LAMINA_HORA!$C$3:$V$3,0)),"?"))</f>
        <v/>
      </c>
      <c r="L24" s="27">
        <f>IF(OR($B24="",J24=""),"",IFERROR(INDEX(LAMINA_HORA!$W$5:$AP$114,MATCH($B24,LAMINA_HORA!$A$5:$A$114,0),MATCH(J24,LAMINA_HORA!$W$3:$AP$3,0)),"?"))</f>
        <v/>
      </c>
      <c r="M24" s="7" t="n"/>
      <c r="N24" s="27">
        <f>IF(OR($B24="",M24=""),"",IFERROR(INDEX(LAMINA_HORA!$C$5:$V$114,MATCH($B24,LAMINA_HORA!$A$5:$A$114,0),MATCH(M24,LAMINA_HORA!$C$3:$V$3,0)),"?"))</f>
        <v/>
      </c>
      <c r="O24" s="27">
        <f>IF(OR($B24="",M24=""),"",IFERROR(INDEX(LAMINA_HORA!$W$5:$AP$114,MATCH($B24,LAMINA_HORA!$A$5:$A$114,0),MATCH(M24,LAMINA_HORA!$W$3:$AP$3,0)),"?"))</f>
        <v/>
      </c>
      <c r="P24" s="7" t="n"/>
      <c r="Q24" s="27">
        <f>IF(OR($B24="",P24=""),"",IFERROR(INDEX(LAMINA_HORA!$C$5:$V$114,MATCH($B24,LAMINA_HORA!$A$5:$A$114,0),MATCH(P24,LAMINA_HORA!$C$3:$V$3,0)),"?"))</f>
        <v/>
      </c>
      <c r="R24" s="27">
        <f>IF(OR($B24="",P24=""),"",IFERROR(INDEX(LAMINA_HORA!$W$5:$AP$114,MATCH($B24,LAMINA_HORA!$A$5:$A$114,0),MATCH(P24,LAMINA_HORA!$W$3:$AP$3,0)),"?"))</f>
        <v/>
      </c>
      <c r="S24" s="7" t="n"/>
      <c r="T24" s="27">
        <f>IF(OR($B24="",S24=""),"",IFERROR(INDEX(LAMINA_HORA!$C$5:$V$114,MATCH($B24,LAMINA_HORA!$A$5:$A$114,0),MATCH(S24,LAMINA_HORA!$C$3:$V$3,0)),"?"))</f>
        <v/>
      </c>
      <c r="U24" s="27">
        <f>IF(OR($B24="",S24=""),"",IFERROR(INDEX(LAMINA_HORA!$W$5:$AP$114,MATCH($B24,LAMINA_HORA!$A$5:$A$114,0),MATCH(S24,LAMINA_HORA!$W$3:$AP$3,0)),"?"))</f>
        <v/>
      </c>
      <c r="V24" s="7" t="n"/>
      <c r="W24" s="27">
        <f>IF(OR($B24="",V24=""),"",IFERROR(INDEX(LAMINA_HORA!$C$5:$V$114,MATCH($B24,LAMINA_HORA!$A$5:$A$114,0),MATCH(V24,LAMINA_HORA!$C$3:$V$3,0)),"?"))</f>
        <v/>
      </c>
      <c r="X24" s="27">
        <f>IF(OR($B24="",V24=""),"",IFERROR(INDEX(LAMINA_HORA!$W$5:$AP$114,MATCH($B24,LAMINA_HORA!$A$5:$A$114,0),MATCH(V24,LAMINA_HORA!$W$3:$AP$3,0)),"?"))</f>
        <v/>
      </c>
      <c r="Y24" s="7" t="n"/>
      <c r="Z24" s="27">
        <f>IF(OR($B24="",Y24=""),"",IFERROR(INDEX(LAMINA_HORA!$C$5:$V$114,MATCH($B24,LAMINA_HORA!$A$5:$A$114,0),MATCH(Y24,LAMINA_HORA!$C$3:$V$3,0)),"?"))</f>
        <v/>
      </c>
      <c r="AA24" s="27">
        <f>IF(OR($B24="",Y24=""),"",IFERROR(INDEX(LAMINA_HORA!$W$5:$AP$114,MATCH($B24,LAMINA_HORA!$A$5:$A$114,0),MATCH(Y24,LAMINA_HORA!$W$3:$AP$3,0)),"?"))</f>
        <v/>
      </c>
      <c r="AB24" s="7" t="n"/>
      <c r="AC24" s="27">
        <f>IF(OR($B24="",AB24=""),"",IFERROR(INDEX(LAMINA_HORA!$C$5:$V$114,MATCH($B24,LAMINA_HORA!$A$5:$A$114,0),MATCH(AB24,LAMINA_HORA!$C$3:$V$3,0)),"?"))</f>
        <v/>
      </c>
      <c r="AD24" s="27">
        <f>IF(OR($B24="",AB24=""),"",IFERROR(INDEX(LAMINA_HORA!$W$5:$AP$114,MATCH($B24,LAMINA_HORA!$A$5:$A$114,0),MATCH(AB24,LAMINA_HORA!$W$3:$AP$3,0)),"?"))</f>
        <v/>
      </c>
      <c r="AE24" s="14">
        <f>SUM(K24,N24,Q24,T24,W24,Z24,AC24)</f>
        <v/>
      </c>
      <c r="AF24" s="16">
        <f>IF(OR($G24="",AE24=""),"",AE24*$G24*10)</f>
        <v/>
      </c>
      <c r="AG24" s="16">
        <f>IF(OR(AF24="",$H24=""),"",AF24*$H24)</f>
        <v/>
      </c>
      <c r="AH24" s="20" t="n"/>
    </row>
    <row r="25">
      <c r="A25" s="5" t="inlineStr">
        <is>
          <t>Pivô 36</t>
        </is>
      </c>
      <c r="B25" s="7" t="inlineStr">
        <is>
          <t>P36</t>
        </is>
      </c>
      <c r="C25" s="5" t="inlineStr">
        <is>
          <t>R8</t>
        </is>
      </c>
      <c r="D25" s="5" t="inlineStr">
        <is>
          <t>Modulo 2</t>
        </is>
      </c>
      <c r="E25" s="6" t="inlineStr">
        <is>
          <t>COMPLETA IPRO</t>
        </is>
      </c>
      <c r="F25" s="26" t="inlineStr"/>
      <c r="G25" s="15" t="n">
        <v>150</v>
      </c>
      <c r="H25" s="17" t="n">
        <v>0.456</v>
      </c>
      <c r="J25" s="7" t="n"/>
      <c r="K25" s="27">
        <f>IF(OR($B25="",J25=""),"",IFERROR(INDEX(LAMINA_HORA!$C$5:$V$114,MATCH($B25,LAMINA_HORA!$A$5:$A$114,0),MATCH(J25,LAMINA_HORA!$C$3:$V$3,0)),"?"))</f>
        <v/>
      </c>
      <c r="L25" s="27">
        <f>IF(OR($B25="",J25=""),"",IFERROR(INDEX(LAMINA_HORA!$W$5:$AP$114,MATCH($B25,LAMINA_HORA!$A$5:$A$114,0),MATCH(J25,LAMINA_HORA!$W$3:$AP$3,0)),"?"))</f>
        <v/>
      </c>
      <c r="M25" s="7" t="n"/>
      <c r="N25" s="27">
        <f>IF(OR($B25="",M25=""),"",IFERROR(INDEX(LAMINA_HORA!$C$5:$V$114,MATCH($B25,LAMINA_HORA!$A$5:$A$114,0),MATCH(M25,LAMINA_HORA!$C$3:$V$3,0)),"?"))</f>
        <v/>
      </c>
      <c r="O25" s="27">
        <f>IF(OR($B25="",M25=""),"",IFERROR(INDEX(LAMINA_HORA!$W$5:$AP$114,MATCH($B25,LAMINA_HORA!$A$5:$A$114,0),MATCH(M25,LAMINA_HORA!$W$3:$AP$3,0)),"?"))</f>
        <v/>
      </c>
      <c r="P25" s="7" t="n"/>
      <c r="Q25" s="27">
        <f>IF(OR($B25="",P25=""),"",IFERROR(INDEX(LAMINA_HORA!$C$5:$V$114,MATCH($B25,LAMINA_HORA!$A$5:$A$114,0),MATCH(P25,LAMINA_HORA!$C$3:$V$3,0)),"?"))</f>
        <v/>
      </c>
      <c r="R25" s="27">
        <f>IF(OR($B25="",P25=""),"",IFERROR(INDEX(LAMINA_HORA!$W$5:$AP$114,MATCH($B25,LAMINA_HORA!$A$5:$A$114,0),MATCH(P25,LAMINA_HORA!$W$3:$AP$3,0)),"?"))</f>
        <v/>
      </c>
      <c r="S25" s="7" t="n"/>
      <c r="T25" s="27">
        <f>IF(OR($B25="",S25=""),"",IFERROR(INDEX(LAMINA_HORA!$C$5:$V$114,MATCH($B25,LAMINA_HORA!$A$5:$A$114,0),MATCH(S25,LAMINA_HORA!$C$3:$V$3,0)),"?"))</f>
        <v/>
      </c>
      <c r="U25" s="27">
        <f>IF(OR($B25="",S25=""),"",IFERROR(INDEX(LAMINA_HORA!$W$5:$AP$114,MATCH($B25,LAMINA_HORA!$A$5:$A$114,0),MATCH(S25,LAMINA_HORA!$W$3:$AP$3,0)),"?"))</f>
        <v/>
      </c>
      <c r="V25" s="7" t="n"/>
      <c r="W25" s="27">
        <f>IF(OR($B25="",V25=""),"",IFERROR(INDEX(LAMINA_HORA!$C$5:$V$114,MATCH($B25,LAMINA_HORA!$A$5:$A$114,0),MATCH(V25,LAMINA_HORA!$C$3:$V$3,0)),"?"))</f>
        <v/>
      </c>
      <c r="X25" s="27">
        <f>IF(OR($B25="",V25=""),"",IFERROR(INDEX(LAMINA_HORA!$W$5:$AP$114,MATCH($B25,LAMINA_HORA!$A$5:$A$114,0),MATCH(V25,LAMINA_HORA!$W$3:$AP$3,0)),"?"))</f>
        <v/>
      </c>
      <c r="Y25" s="7" t="n"/>
      <c r="Z25" s="27">
        <f>IF(OR($B25="",Y25=""),"",IFERROR(INDEX(LAMINA_HORA!$C$5:$V$114,MATCH($B25,LAMINA_HORA!$A$5:$A$114,0),MATCH(Y25,LAMINA_HORA!$C$3:$V$3,0)),"?"))</f>
        <v/>
      </c>
      <c r="AA25" s="27">
        <f>IF(OR($B25="",Y25=""),"",IFERROR(INDEX(LAMINA_HORA!$W$5:$AP$114,MATCH($B25,LAMINA_HORA!$A$5:$A$114,0),MATCH(Y25,LAMINA_HORA!$W$3:$AP$3,0)),"?"))</f>
        <v/>
      </c>
      <c r="AB25" s="7" t="n"/>
      <c r="AC25" s="27">
        <f>IF(OR($B25="",AB25=""),"",IFERROR(INDEX(LAMINA_HORA!$C$5:$V$114,MATCH($B25,LAMINA_HORA!$A$5:$A$114,0),MATCH(AB25,LAMINA_HORA!$C$3:$V$3,0)),"?"))</f>
        <v/>
      </c>
      <c r="AD25" s="27">
        <f>IF(OR($B25="",AB25=""),"",IFERROR(INDEX(LAMINA_HORA!$W$5:$AP$114,MATCH($B25,LAMINA_HORA!$A$5:$A$114,0),MATCH(AB25,LAMINA_HORA!$W$3:$AP$3,0)),"?"))</f>
        <v/>
      </c>
      <c r="AE25" s="14">
        <f>SUM(K25,N25,Q25,T25,W25,Z25,AC25)</f>
        <v/>
      </c>
      <c r="AF25" s="16">
        <f>IF(OR($G25="",AE25=""),"",AE25*$G25*10)</f>
        <v/>
      </c>
      <c r="AG25" s="16">
        <f>IF(OR(AF25="",$H25=""),"",AF25*$H25)</f>
        <v/>
      </c>
      <c r="AH25" s="20" t="n"/>
    </row>
    <row r="26">
      <c r="A26" s="5" t="inlineStr">
        <is>
          <t>Pivô 37</t>
        </is>
      </c>
      <c r="B26" s="7" t="inlineStr">
        <is>
          <t>P37</t>
        </is>
      </c>
      <c r="C26" s="5" t="inlineStr">
        <is>
          <t>R8</t>
        </is>
      </c>
      <c r="D26" s="5" t="inlineStr">
        <is>
          <t>Modulo 2</t>
        </is>
      </c>
      <c r="E26" s="6" t="inlineStr">
        <is>
          <t>COMPLETA IPRO</t>
        </is>
      </c>
      <c r="F26" s="26" t="inlineStr"/>
      <c r="G26" s="15" t="n">
        <v>72</v>
      </c>
      <c r="H26" s="17" t="n">
        <v>0.443</v>
      </c>
      <c r="J26" s="7" t="n"/>
      <c r="K26" s="27">
        <f>IF(OR($B26="",J26=""),"",IFERROR(INDEX(LAMINA_HORA!$C$5:$V$114,MATCH($B26,LAMINA_HORA!$A$5:$A$114,0),MATCH(J26,LAMINA_HORA!$C$3:$V$3,0)),"?"))</f>
        <v/>
      </c>
      <c r="L26" s="27">
        <f>IF(OR($B26="",J26=""),"",IFERROR(INDEX(LAMINA_HORA!$W$5:$AP$114,MATCH($B26,LAMINA_HORA!$A$5:$A$114,0),MATCH(J26,LAMINA_HORA!$W$3:$AP$3,0)),"?"))</f>
        <v/>
      </c>
      <c r="M26" s="7" t="n"/>
      <c r="N26" s="27">
        <f>IF(OR($B26="",M26=""),"",IFERROR(INDEX(LAMINA_HORA!$C$5:$V$114,MATCH($B26,LAMINA_HORA!$A$5:$A$114,0),MATCH(M26,LAMINA_HORA!$C$3:$V$3,0)),"?"))</f>
        <v/>
      </c>
      <c r="O26" s="27">
        <f>IF(OR($B26="",M26=""),"",IFERROR(INDEX(LAMINA_HORA!$W$5:$AP$114,MATCH($B26,LAMINA_HORA!$A$5:$A$114,0),MATCH(M26,LAMINA_HORA!$W$3:$AP$3,0)),"?"))</f>
        <v/>
      </c>
      <c r="P26" s="7" t="n"/>
      <c r="Q26" s="27">
        <f>IF(OR($B26="",P26=""),"",IFERROR(INDEX(LAMINA_HORA!$C$5:$V$114,MATCH($B26,LAMINA_HORA!$A$5:$A$114,0),MATCH(P26,LAMINA_HORA!$C$3:$V$3,0)),"?"))</f>
        <v/>
      </c>
      <c r="R26" s="27">
        <f>IF(OR($B26="",P26=""),"",IFERROR(INDEX(LAMINA_HORA!$W$5:$AP$114,MATCH($B26,LAMINA_HORA!$A$5:$A$114,0),MATCH(P26,LAMINA_HORA!$W$3:$AP$3,0)),"?"))</f>
        <v/>
      </c>
      <c r="S26" s="7" t="n"/>
      <c r="T26" s="27">
        <f>IF(OR($B26="",S26=""),"",IFERROR(INDEX(LAMINA_HORA!$C$5:$V$114,MATCH($B26,LAMINA_HORA!$A$5:$A$114,0),MATCH(S26,LAMINA_HORA!$C$3:$V$3,0)),"?"))</f>
        <v/>
      </c>
      <c r="U26" s="27">
        <f>IF(OR($B26="",S26=""),"",IFERROR(INDEX(LAMINA_HORA!$W$5:$AP$114,MATCH($B26,LAMINA_HORA!$A$5:$A$114,0),MATCH(S26,LAMINA_HORA!$W$3:$AP$3,0)),"?"))</f>
        <v/>
      </c>
      <c r="V26" s="7" t="n"/>
      <c r="W26" s="27">
        <f>IF(OR($B26="",V26=""),"",IFERROR(INDEX(LAMINA_HORA!$C$5:$V$114,MATCH($B26,LAMINA_HORA!$A$5:$A$114,0),MATCH(V26,LAMINA_HORA!$C$3:$V$3,0)),"?"))</f>
        <v/>
      </c>
      <c r="X26" s="27">
        <f>IF(OR($B26="",V26=""),"",IFERROR(INDEX(LAMINA_HORA!$W$5:$AP$114,MATCH($B26,LAMINA_HORA!$A$5:$A$114,0),MATCH(V26,LAMINA_HORA!$W$3:$AP$3,0)),"?"))</f>
        <v/>
      </c>
      <c r="Y26" s="7" t="n"/>
      <c r="Z26" s="27">
        <f>IF(OR($B26="",Y26=""),"",IFERROR(INDEX(LAMINA_HORA!$C$5:$V$114,MATCH($B26,LAMINA_HORA!$A$5:$A$114,0),MATCH(Y26,LAMINA_HORA!$C$3:$V$3,0)),"?"))</f>
        <v/>
      </c>
      <c r="AA26" s="27">
        <f>IF(OR($B26="",Y26=""),"",IFERROR(INDEX(LAMINA_HORA!$W$5:$AP$114,MATCH($B26,LAMINA_HORA!$A$5:$A$114,0),MATCH(Y26,LAMINA_HORA!$W$3:$AP$3,0)),"?"))</f>
        <v/>
      </c>
      <c r="AB26" s="7" t="n"/>
      <c r="AC26" s="27">
        <f>IF(OR($B26="",AB26=""),"",IFERROR(INDEX(LAMINA_HORA!$C$5:$V$114,MATCH($B26,LAMINA_HORA!$A$5:$A$114,0),MATCH(AB26,LAMINA_HORA!$C$3:$V$3,0)),"?"))</f>
        <v/>
      </c>
      <c r="AD26" s="27">
        <f>IF(OR($B26="",AB26=""),"",IFERROR(INDEX(LAMINA_HORA!$W$5:$AP$114,MATCH($B26,LAMINA_HORA!$A$5:$A$114,0),MATCH(AB26,LAMINA_HORA!$W$3:$AP$3,0)),"?"))</f>
        <v/>
      </c>
      <c r="AE26" s="14">
        <f>SUM(K26,N26,Q26,T26,W26,Z26,AC26)</f>
        <v/>
      </c>
      <c r="AF26" s="16">
        <f>IF(OR($G26="",AE26=""),"",AE26*$G26*10)</f>
        <v/>
      </c>
      <c r="AG26" s="16">
        <f>IF(OR(AF26="",$H26=""),"",AF26*$H26)</f>
        <v/>
      </c>
      <c r="AH26" s="20" t="n"/>
    </row>
    <row r="27">
      <c r="A27" s="5" t="inlineStr">
        <is>
          <t>Pivô 38</t>
        </is>
      </c>
      <c r="B27" s="7" t="inlineStr">
        <is>
          <t>P38</t>
        </is>
      </c>
      <c r="C27" s="5" t="inlineStr">
        <is>
          <t>R8</t>
        </is>
      </c>
      <c r="D27" s="5" t="inlineStr">
        <is>
          <t>Modulo 2</t>
        </is>
      </c>
      <c r="E27" s="6" t="inlineStr">
        <is>
          <t>COMPLETA IPRO</t>
        </is>
      </c>
      <c r="F27" s="26" t="inlineStr"/>
      <c r="G27" s="15" t="n">
        <v>141</v>
      </c>
      <c r="H27" s="17" t="n">
        <v>0.457</v>
      </c>
      <c r="J27" s="7" t="n"/>
      <c r="K27" s="27">
        <f>IF(OR($B27="",J27=""),"",IFERROR(INDEX(LAMINA_HORA!$C$5:$V$114,MATCH($B27,LAMINA_HORA!$A$5:$A$114,0),MATCH(J27,LAMINA_HORA!$C$3:$V$3,0)),"?"))</f>
        <v/>
      </c>
      <c r="L27" s="27">
        <f>IF(OR($B27="",J27=""),"",IFERROR(INDEX(LAMINA_HORA!$W$5:$AP$114,MATCH($B27,LAMINA_HORA!$A$5:$A$114,0),MATCH(J27,LAMINA_HORA!$W$3:$AP$3,0)),"?"))</f>
        <v/>
      </c>
      <c r="M27" s="7" t="n"/>
      <c r="N27" s="27">
        <f>IF(OR($B27="",M27=""),"",IFERROR(INDEX(LAMINA_HORA!$C$5:$V$114,MATCH($B27,LAMINA_HORA!$A$5:$A$114,0),MATCH(M27,LAMINA_HORA!$C$3:$V$3,0)),"?"))</f>
        <v/>
      </c>
      <c r="O27" s="27">
        <f>IF(OR($B27="",M27=""),"",IFERROR(INDEX(LAMINA_HORA!$W$5:$AP$114,MATCH($B27,LAMINA_HORA!$A$5:$A$114,0),MATCH(M27,LAMINA_HORA!$W$3:$AP$3,0)),"?"))</f>
        <v/>
      </c>
      <c r="P27" s="7" t="n"/>
      <c r="Q27" s="27">
        <f>IF(OR($B27="",P27=""),"",IFERROR(INDEX(LAMINA_HORA!$C$5:$V$114,MATCH($B27,LAMINA_HORA!$A$5:$A$114,0),MATCH(P27,LAMINA_HORA!$C$3:$V$3,0)),"?"))</f>
        <v/>
      </c>
      <c r="R27" s="27">
        <f>IF(OR($B27="",P27=""),"",IFERROR(INDEX(LAMINA_HORA!$W$5:$AP$114,MATCH($B27,LAMINA_HORA!$A$5:$A$114,0),MATCH(P27,LAMINA_HORA!$W$3:$AP$3,0)),"?"))</f>
        <v/>
      </c>
      <c r="S27" s="7" t="n"/>
      <c r="T27" s="27">
        <f>IF(OR($B27="",S27=""),"",IFERROR(INDEX(LAMINA_HORA!$C$5:$V$114,MATCH($B27,LAMINA_HORA!$A$5:$A$114,0),MATCH(S27,LAMINA_HORA!$C$3:$V$3,0)),"?"))</f>
        <v/>
      </c>
      <c r="U27" s="27">
        <f>IF(OR($B27="",S27=""),"",IFERROR(INDEX(LAMINA_HORA!$W$5:$AP$114,MATCH($B27,LAMINA_HORA!$A$5:$A$114,0),MATCH(S27,LAMINA_HORA!$W$3:$AP$3,0)),"?"))</f>
        <v/>
      </c>
      <c r="V27" s="7" t="n"/>
      <c r="W27" s="27">
        <f>IF(OR($B27="",V27=""),"",IFERROR(INDEX(LAMINA_HORA!$C$5:$V$114,MATCH($B27,LAMINA_HORA!$A$5:$A$114,0),MATCH(V27,LAMINA_HORA!$C$3:$V$3,0)),"?"))</f>
        <v/>
      </c>
      <c r="X27" s="27">
        <f>IF(OR($B27="",V27=""),"",IFERROR(INDEX(LAMINA_HORA!$W$5:$AP$114,MATCH($B27,LAMINA_HORA!$A$5:$A$114,0),MATCH(V27,LAMINA_HORA!$W$3:$AP$3,0)),"?"))</f>
        <v/>
      </c>
      <c r="Y27" s="7" t="n"/>
      <c r="Z27" s="27">
        <f>IF(OR($B27="",Y27=""),"",IFERROR(INDEX(LAMINA_HORA!$C$5:$V$114,MATCH($B27,LAMINA_HORA!$A$5:$A$114,0),MATCH(Y27,LAMINA_HORA!$C$3:$V$3,0)),"?"))</f>
        <v/>
      </c>
      <c r="AA27" s="27">
        <f>IF(OR($B27="",Y27=""),"",IFERROR(INDEX(LAMINA_HORA!$W$5:$AP$114,MATCH($B27,LAMINA_HORA!$A$5:$A$114,0),MATCH(Y27,LAMINA_HORA!$W$3:$AP$3,0)),"?"))</f>
        <v/>
      </c>
      <c r="AB27" s="7" t="n"/>
      <c r="AC27" s="27">
        <f>IF(OR($B27="",AB27=""),"",IFERROR(INDEX(LAMINA_HORA!$C$5:$V$114,MATCH($B27,LAMINA_HORA!$A$5:$A$114,0),MATCH(AB27,LAMINA_HORA!$C$3:$V$3,0)),"?"))</f>
        <v/>
      </c>
      <c r="AD27" s="27">
        <f>IF(OR($B27="",AB27=""),"",IFERROR(INDEX(LAMINA_HORA!$W$5:$AP$114,MATCH($B27,LAMINA_HORA!$A$5:$A$114,0),MATCH(AB27,LAMINA_HORA!$W$3:$AP$3,0)),"?"))</f>
        <v/>
      </c>
      <c r="AE27" s="14">
        <f>SUM(K27,N27,Q27,T27,W27,Z27,AC27)</f>
        <v/>
      </c>
      <c r="AF27" s="16">
        <f>IF(OR($G27="",AE27=""),"",AE27*$G27*10)</f>
        <v/>
      </c>
      <c r="AG27" s="16">
        <f>IF(OR(AF27="",$H27=""),"",AF27*$H27)</f>
        <v/>
      </c>
      <c r="AH27" s="20" t="n"/>
    </row>
    <row r="28">
      <c r="A28" s="5" t="inlineStr">
        <is>
          <t>Pivô 40</t>
        </is>
      </c>
      <c r="B28" s="7" t="inlineStr">
        <is>
          <t>P40</t>
        </is>
      </c>
      <c r="C28" s="5" t="inlineStr">
        <is>
          <t>R10</t>
        </is>
      </c>
      <c r="D28" s="5" t="inlineStr">
        <is>
          <t>Modulo 2</t>
        </is>
      </c>
      <c r="E28" s="6" t="inlineStr">
        <is>
          <t>BMX Olimpo IPRO</t>
        </is>
      </c>
      <c r="F28" s="26" t="inlineStr"/>
      <c r="G28" s="15" t="n">
        <v>150</v>
      </c>
      <c r="H28" s="17" t="n">
        <v>0.451</v>
      </c>
      <c r="J28" s="7" t="n"/>
      <c r="K28" s="27">
        <f>IF(OR($B28="",J28=""),"",IFERROR(INDEX(LAMINA_HORA!$C$5:$V$114,MATCH($B28,LAMINA_HORA!$A$5:$A$114,0),MATCH(J28,LAMINA_HORA!$C$3:$V$3,0)),"?"))</f>
        <v/>
      </c>
      <c r="L28" s="27">
        <f>IF(OR($B28="",J28=""),"",IFERROR(INDEX(LAMINA_HORA!$W$5:$AP$114,MATCH($B28,LAMINA_HORA!$A$5:$A$114,0),MATCH(J28,LAMINA_HORA!$W$3:$AP$3,0)),"?"))</f>
        <v/>
      </c>
      <c r="M28" s="7" t="n"/>
      <c r="N28" s="27">
        <f>IF(OR($B28="",M28=""),"",IFERROR(INDEX(LAMINA_HORA!$C$5:$V$114,MATCH($B28,LAMINA_HORA!$A$5:$A$114,0),MATCH(M28,LAMINA_HORA!$C$3:$V$3,0)),"?"))</f>
        <v/>
      </c>
      <c r="O28" s="27">
        <f>IF(OR($B28="",M28=""),"",IFERROR(INDEX(LAMINA_HORA!$W$5:$AP$114,MATCH($B28,LAMINA_HORA!$A$5:$A$114,0),MATCH(M28,LAMINA_HORA!$W$3:$AP$3,0)),"?"))</f>
        <v/>
      </c>
      <c r="P28" s="7" t="n"/>
      <c r="Q28" s="27">
        <f>IF(OR($B28="",P28=""),"",IFERROR(INDEX(LAMINA_HORA!$C$5:$V$114,MATCH($B28,LAMINA_HORA!$A$5:$A$114,0),MATCH(P28,LAMINA_HORA!$C$3:$V$3,0)),"?"))</f>
        <v/>
      </c>
      <c r="R28" s="27">
        <f>IF(OR($B28="",P28=""),"",IFERROR(INDEX(LAMINA_HORA!$W$5:$AP$114,MATCH($B28,LAMINA_HORA!$A$5:$A$114,0),MATCH(P28,LAMINA_HORA!$W$3:$AP$3,0)),"?"))</f>
        <v/>
      </c>
      <c r="S28" s="7" t="n"/>
      <c r="T28" s="27">
        <f>IF(OR($B28="",S28=""),"",IFERROR(INDEX(LAMINA_HORA!$C$5:$V$114,MATCH($B28,LAMINA_HORA!$A$5:$A$114,0),MATCH(S28,LAMINA_HORA!$C$3:$V$3,0)),"?"))</f>
        <v/>
      </c>
      <c r="U28" s="27">
        <f>IF(OR($B28="",S28=""),"",IFERROR(INDEX(LAMINA_HORA!$W$5:$AP$114,MATCH($B28,LAMINA_HORA!$A$5:$A$114,0),MATCH(S28,LAMINA_HORA!$W$3:$AP$3,0)),"?"))</f>
        <v/>
      </c>
      <c r="V28" s="7" t="n"/>
      <c r="W28" s="27">
        <f>IF(OR($B28="",V28=""),"",IFERROR(INDEX(LAMINA_HORA!$C$5:$V$114,MATCH($B28,LAMINA_HORA!$A$5:$A$114,0),MATCH(V28,LAMINA_HORA!$C$3:$V$3,0)),"?"))</f>
        <v/>
      </c>
      <c r="X28" s="27">
        <f>IF(OR($B28="",V28=""),"",IFERROR(INDEX(LAMINA_HORA!$W$5:$AP$114,MATCH($B28,LAMINA_HORA!$A$5:$A$114,0),MATCH(V28,LAMINA_HORA!$W$3:$AP$3,0)),"?"))</f>
        <v/>
      </c>
      <c r="Y28" s="7" t="n"/>
      <c r="Z28" s="27">
        <f>IF(OR($B28="",Y28=""),"",IFERROR(INDEX(LAMINA_HORA!$C$5:$V$114,MATCH($B28,LAMINA_HORA!$A$5:$A$114,0),MATCH(Y28,LAMINA_HORA!$C$3:$V$3,0)),"?"))</f>
        <v/>
      </c>
      <c r="AA28" s="27">
        <f>IF(OR($B28="",Y28=""),"",IFERROR(INDEX(LAMINA_HORA!$W$5:$AP$114,MATCH($B28,LAMINA_HORA!$A$5:$A$114,0),MATCH(Y28,LAMINA_HORA!$W$3:$AP$3,0)),"?"))</f>
        <v/>
      </c>
      <c r="AB28" s="7" t="n"/>
      <c r="AC28" s="27">
        <f>IF(OR($B28="",AB28=""),"",IFERROR(INDEX(LAMINA_HORA!$C$5:$V$114,MATCH($B28,LAMINA_HORA!$A$5:$A$114,0),MATCH(AB28,LAMINA_HORA!$C$3:$V$3,0)),"?"))</f>
        <v/>
      </c>
      <c r="AD28" s="27">
        <f>IF(OR($B28="",AB28=""),"",IFERROR(INDEX(LAMINA_HORA!$W$5:$AP$114,MATCH($B28,LAMINA_HORA!$A$5:$A$114,0),MATCH(AB28,LAMINA_HORA!$W$3:$AP$3,0)),"?"))</f>
        <v/>
      </c>
      <c r="AE28" s="14">
        <f>SUM(K28,N28,Q28,T28,W28,Z28,AC28)</f>
        <v/>
      </c>
      <c r="AF28" s="16">
        <f>IF(OR($G28="",AE28=""),"",AE28*$G28*10)</f>
        <v/>
      </c>
      <c r="AG28" s="16">
        <f>IF(OR(AF28="",$H28=""),"",AF28*$H28)</f>
        <v/>
      </c>
      <c r="AH28" s="20" t="n"/>
    </row>
    <row r="29">
      <c r="A29" s="5" t="inlineStr">
        <is>
          <t>Pivô 41</t>
        </is>
      </c>
      <c r="B29" s="7" t="inlineStr">
        <is>
          <t>P41</t>
        </is>
      </c>
      <c r="C29" s="5" t="inlineStr">
        <is>
          <t>R9</t>
        </is>
      </c>
      <c r="D29" s="5" t="inlineStr">
        <is>
          <t>Modulo 2</t>
        </is>
      </c>
      <c r="E29" s="6" t="inlineStr">
        <is>
          <t>NEO 761 I2X</t>
        </is>
      </c>
      <c r="F29" s="26" t="inlineStr"/>
      <c r="G29" s="15" t="n">
        <v>138</v>
      </c>
      <c r="H29" s="17" t="n">
        <v>0.452</v>
      </c>
      <c r="J29" s="7" t="n"/>
      <c r="K29" s="27">
        <f>IF(OR($B29="",J29=""),"",IFERROR(INDEX(LAMINA_HORA!$C$5:$V$114,MATCH($B29,LAMINA_HORA!$A$5:$A$114,0),MATCH(J29,LAMINA_HORA!$C$3:$V$3,0)),"?"))</f>
        <v/>
      </c>
      <c r="L29" s="27">
        <f>IF(OR($B29="",J29=""),"",IFERROR(INDEX(LAMINA_HORA!$W$5:$AP$114,MATCH($B29,LAMINA_HORA!$A$5:$A$114,0),MATCH(J29,LAMINA_HORA!$W$3:$AP$3,0)),"?"))</f>
        <v/>
      </c>
      <c r="M29" s="7" t="n"/>
      <c r="N29" s="27">
        <f>IF(OR($B29="",M29=""),"",IFERROR(INDEX(LAMINA_HORA!$C$5:$V$114,MATCH($B29,LAMINA_HORA!$A$5:$A$114,0),MATCH(M29,LAMINA_HORA!$C$3:$V$3,0)),"?"))</f>
        <v/>
      </c>
      <c r="O29" s="27">
        <f>IF(OR($B29="",M29=""),"",IFERROR(INDEX(LAMINA_HORA!$W$5:$AP$114,MATCH($B29,LAMINA_HORA!$A$5:$A$114,0),MATCH(M29,LAMINA_HORA!$W$3:$AP$3,0)),"?"))</f>
        <v/>
      </c>
      <c r="P29" s="7" t="n"/>
      <c r="Q29" s="27">
        <f>IF(OR($B29="",P29=""),"",IFERROR(INDEX(LAMINA_HORA!$C$5:$V$114,MATCH($B29,LAMINA_HORA!$A$5:$A$114,0),MATCH(P29,LAMINA_HORA!$C$3:$V$3,0)),"?"))</f>
        <v/>
      </c>
      <c r="R29" s="27">
        <f>IF(OR($B29="",P29=""),"",IFERROR(INDEX(LAMINA_HORA!$W$5:$AP$114,MATCH($B29,LAMINA_HORA!$A$5:$A$114,0),MATCH(P29,LAMINA_HORA!$W$3:$AP$3,0)),"?"))</f>
        <v/>
      </c>
      <c r="S29" s="7" t="n"/>
      <c r="T29" s="27">
        <f>IF(OR($B29="",S29=""),"",IFERROR(INDEX(LAMINA_HORA!$C$5:$V$114,MATCH($B29,LAMINA_HORA!$A$5:$A$114,0),MATCH(S29,LAMINA_HORA!$C$3:$V$3,0)),"?"))</f>
        <v/>
      </c>
      <c r="U29" s="27">
        <f>IF(OR($B29="",S29=""),"",IFERROR(INDEX(LAMINA_HORA!$W$5:$AP$114,MATCH($B29,LAMINA_HORA!$A$5:$A$114,0),MATCH(S29,LAMINA_HORA!$W$3:$AP$3,0)),"?"))</f>
        <v/>
      </c>
      <c r="V29" s="7" t="n"/>
      <c r="W29" s="27">
        <f>IF(OR($B29="",V29=""),"",IFERROR(INDEX(LAMINA_HORA!$C$5:$V$114,MATCH($B29,LAMINA_HORA!$A$5:$A$114,0),MATCH(V29,LAMINA_HORA!$C$3:$V$3,0)),"?"))</f>
        <v/>
      </c>
      <c r="X29" s="27">
        <f>IF(OR($B29="",V29=""),"",IFERROR(INDEX(LAMINA_HORA!$W$5:$AP$114,MATCH($B29,LAMINA_HORA!$A$5:$A$114,0),MATCH(V29,LAMINA_HORA!$W$3:$AP$3,0)),"?"))</f>
        <v/>
      </c>
      <c r="Y29" s="7" t="n"/>
      <c r="Z29" s="27">
        <f>IF(OR($B29="",Y29=""),"",IFERROR(INDEX(LAMINA_HORA!$C$5:$V$114,MATCH($B29,LAMINA_HORA!$A$5:$A$114,0),MATCH(Y29,LAMINA_HORA!$C$3:$V$3,0)),"?"))</f>
        <v/>
      </c>
      <c r="AA29" s="27">
        <f>IF(OR($B29="",Y29=""),"",IFERROR(INDEX(LAMINA_HORA!$W$5:$AP$114,MATCH($B29,LAMINA_HORA!$A$5:$A$114,0),MATCH(Y29,LAMINA_HORA!$W$3:$AP$3,0)),"?"))</f>
        <v/>
      </c>
      <c r="AB29" s="7" t="n"/>
      <c r="AC29" s="27">
        <f>IF(OR($B29="",AB29=""),"",IFERROR(INDEX(LAMINA_HORA!$C$5:$V$114,MATCH($B29,LAMINA_HORA!$A$5:$A$114,0),MATCH(AB29,LAMINA_HORA!$C$3:$V$3,0)),"?"))</f>
        <v/>
      </c>
      <c r="AD29" s="27">
        <f>IF(OR($B29="",AB29=""),"",IFERROR(INDEX(LAMINA_HORA!$W$5:$AP$114,MATCH($B29,LAMINA_HORA!$A$5:$A$114,0),MATCH(AB29,LAMINA_HORA!$W$3:$AP$3,0)),"?"))</f>
        <v/>
      </c>
      <c r="AE29" s="14">
        <f>SUM(K29,N29,Q29,T29,W29,Z29,AC29)</f>
        <v/>
      </c>
      <c r="AF29" s="16">
        <f>IF(OR($G29="",AE29=""),"",AE29*$G29*10)</f>
        <v/>
      </c>
      <c r="AG29" s="16">
        <f>IF(OR(AF29="",$H29=""),"",AF29*$H29)</f>
        <v/>
      </c>
      <c r="AH29" s="20" t="n"/>
    </row>
    <row r="30">
      <c r="A30" s="5" t="inlineStr">
        <is>
          <t>Pivô 42</t>
        </is>
      </c>
      <c r="B30" s="7" t="inlineStr">
        <is>
          <t>P42</t>
        </is>
      </c>
      <c r="C30" s="5" t="inlineStr">
        <is>
          <t>R9</t>
        </is>
      </c>
      <c r="D30" s="5" t="inlineStr">
        <is>
          <t>Modulo 2</t>
        </is>
      </c>
      <c r="E30" s="6" t="inlineStr">
        <is>
          <t>BMX Olimpo IPRO</t>
        </is>
      </c>
      <c r="F30" s="26" t="inlineStr"/>
      <c r="G30" s="15" t="n">
        <v>100</v>
      </c>
      <c r="H30" s="17" t="n">
        <v>0.461</v>
      </c>
      <c r="J30" s="7" t="n"/>
      <c r="K30" s="27">
        <f>IF(OR($B30="",J30=""),"",IFERROR(INDEX(LAMINA_HORA!$C$5:$V$114,MATCH($B30,LAMINA_HORA!$A$5:$A$114,0),MATCH(J30,LAMINA_HORA!$C$3:$V$3,0)),"?"))</f>
        <v/>
      </c>
      <c r="L30" s="27">
        <f>IF(OR($B30="",J30=""),"",IFERROR(INDEX(LAMINA_HORA!$W$5:$AP$114,MATCH($B30,LAMINA_HORA!$A$5:$A$114,0),MATCH(J30,LAMINA_HORA!$W$3:$AP$3,0)),"?"))</f>
        <v/>
      </c>
      <c r="M30" s="7" t="n"/>
      <c r="N30" s="27">
        <f>IF(OR($B30="",M30=""),"",IFERROR(INDEX(LAMINA_HORA!$C$5:$V$114,MATCH($B30,LAMINA_HORA!$A$5:$A$114,0),MATCH(M30,LAMINA_HORA!$C$3:$V$3,0)),"?"))</f>
        <v/>
      </c>
      <c r="O30" s="27">
        <f>IF(OR($B30="",M30=""),"",IFERROR(INDEX(LAMINA_HORA!$W$5:$AP$114,MATCH($B30,LAMINA_HORA!$A$5:$A$114,0),MATCH(M30,LAMINA_HORA!$W$3:$AP$3,0)),"?"))</f>
        <v/>
      </c>
      <c r="P30" s="7" t="n"/>
      <c r="Q30" s="27">
        <f>IF(OR($B30="",P30=""),"",IFERROR(INDEX(LAMINA_HORA!$C$5:$V$114,MATCH($B30,LAMINA_HORA!$A$5:$A$114,0),MATCH(P30,LAMINA_HORA!$C$3:$V$3,0)),"?"))</f>
        <v/>
      </c>
      <c r="R30" s="27">
        <f>IF(OR($B30="",P30=""),"",IFERROR(INDEX(LAMINA_HORA!$W$5:$AP$114,MATCH($B30,LAMINA_HORA!$A$5:$A$114,0),MATCH(P30,LAMINA_HORA!$W$3:$AP$3,0)),"?"))</f>
        <v/>
      </c>
      <c r="S30" s="7" t="n"/>
      <c r="T30" s="27">
        <f>IF(OR($B30="",S30=""),"",IFERROR(INDEX(LAMINA_HORA!$C$5:$V$114,MATCH($B30,LAMINA_HORA!$A$5:$A$114,0),MATCH(S30,LAMINA_HORA!$C$3:$V$3,0)),"?"))</f>
        <v/>
      </c>
      <c r="U30" s="27">
        <f>IF(OR($B30="",S30=""),"",IFERROR(INDEX(LAMINA_HORA!$W$5:$AP$114,MATCH($B30,LAMINA_HORA!$A$5:$A$114,0),MATCH(S30,LAMINA_HORA!$W$3:$AP$3,0)),"?"))</f>
        <v/>
      </c>
      <c r="V30" s="7" t="n"/>
      <c r="W30" s="27">
        <f>IF(OR($B30="",V30=""),"",IFERROR(INDEX(LAMINA_HORA!$C$5:$V$114,MATCH($B30,LAMINA_HORA!$A$5:$A$114,0),MATCH(V30,LAMINA_HORA!$C$3:$V$3,0)),"?"))</f>
        <v/>
      </c>
      <c r="X30" s="27">
        <f>IF(OR($B30="",V30=""),"",IFERROR(INDEX(LAMINA_HORA!$W$5:$AP$114,MATCH($B30,LAMINA_HORA!$A$5:$A$114,0),MATCH(V30,LAMINA_HORA!$W$3:$AP$3,0)),"?"))</f>
        <v/>
      </c>
      <c r="Y30" s="7" t="n"/>
      <c r="Z30" s="27">
        <f>IF(OR($B30="",Y30=""),"",IFERROR(INDEX(LAMINA_HORA!$C$5:$V$114,MATCH($B30,LAMINA_HORA!$A$5:$A$114,0),MATCH(Y30,LAMINA_HORA!$C$3:$V$3,0)),"?"))</f>
        <v/>
      </c>
      <c r="AA30" s="27">
        <f>IF(OR($B30="",Y30=""),"",IFERROR(INDEX(LAMINA_HORA!$W$5:$AP$114,MATCH($B30,LAMINA_HORA!$A$5:$A$114,0),MATCH(Y30,LAMINA_HORA!$W$3:$AP$3,0)),"?"))</f>
        <v/>
      </c>
      <c r="AB30" s="7" t="n"/>
      <c r="AC30" s="27">
        <f>IF(OR($B30="",AB30=""),"",IFERROR(INDEX(LAMINA_HORA!$C$5:$V$114,MATCH($B30,LAMINA_HORA!$A$5:$A$114,0),MATCH(AB30,LAMINA_HORA!$C$3:$V$3,0)),"?"))</f>
        <v/>
      </c>
      <c r="AD30" s="27">
        <f>IF(OR($B30="",AB30=""),"",IFERROR(INDEX(LAMINA_HORA!$W$5:$AP$114,MATCH($B30,LAMINA_HORA!$A$5:$A$114,0),MATCH(AB30,LAMINA_HORA!$W$3:$AP$3,0)),"?"))</f>
        <v/>
      </c>
      <c r="AE30" s="14">
        <f>SUM(K30,N30,Q30,T30,W30,Z30,AC30)</f>
        <v/>
      </c>
      <c r="AF30" s="16">
        <f>IF(OR($G30="",AE30=""),"",AE30*$G30*10)</f>
        <v/>
      </c>
      <c r="AG30" s="16">
        <f>IF(OR(AF30="",$H30=""),"",AF30*$H30)</f>
        <v/>
      </c>
      <c r="AH30" s="20" t="n"/>
    </row>
    <row r="31">
      <c r="A31" s="5" t="inlineStr">
        <is>
          <t>Pivô 43</t>
        </is>
      </c>
      <c r="B31" s="7" t="inlineStr">
        <is>
          <t>P43</t>
        </is>
      </c>
      <c r="C31" s="5" t="inlineStr">
        <is>
          <t>R9</t>
        </is>
      </c>
      <c r="D31" s="5" t="inlineStr">
        <is>
          <t>Modulo 2</t>
        </is>
      </c>
      <c r="E31" s="6" t="inlineStr">
        <is>
          <t>NEO 761 I2X</t>
        </is>
      </c>
      <c r="F31" s="26" t="inlineStr"/>
      <c r="G31" s="15" t="n">
        <v>138</v>
      </c>
      <c r="H31" s="17" t="n">
        <v>0.452</v>
      </c>
      <c r="J31" s="7" t="n"/>
      <c r="K31" s="27">
        <f>IF(OR($B31="",J31=""),"",IFERROR(INDEX(LAMINA_HORA!$C$5:$V$114,MATCH($B31,LAMINA_HORA!$A$5:$A$114,0),MATCH(J31,LAMINA_HORA!$C$3:$V$3,0)),"?"))</f>
        <v/>
      </c>
      <c r="L31" s="27">
        <f>IF(OR($B31="",J31=""),"",IFERROR(INDEX(LAMINA_HORA!$W$5:$AP$114,MATCH($B31,LAMINA_HORA!$A$5:$A$114,0),MATCH(J31,LAMINA_HORA!$W$3:$AP$3,0)),"?"))</f>
        <v/>
      </c>
      <c r="M31" s="7" t="n"/>
      <c r="N31" s="27">
        <f>IF(OR($B31="",M31=""),"",IFERROR(INDEX(LAMINA_HORA!$C$5:$V$114,MATCH($B31,LAMINA_HORA!$A$5:$A$114,0),MATCH(M31,LAMINA_HORA!$C$3:$V$3,0)),"?"))</f>
        <v/>
      </c>
      <c r="O31" s="27">
        <f>IF(OR($B31="",M31=""),"",IFERROR(INDEX(LAMINA_HORA!$W$5:$AP$114,MATCH($B31,LAMINA_HORA!$A$5:$A$114,0),MATCH(M31,LAMINA_HORA!$W$3:$AP$3,0)),"?"))</f>
        <v/>
      </c>
      <c r="P31" s="7" t="n"/>
      <c r="Q31" s="27">
        <f>IF(OR($B31="",P31=""),"",IFERROR(INDEX(LAMINA_HORA!$C$5:$V$114,MATCH($B31,LAMINA_HORA!$A$5:$A$114,0),MATCH(P31,LAMINA_HORA!$C$3:$V$3,0)),"?"))</f>
        <v/>
      </c>
      <c r="R31" s="27">
        <f>IF(OR($B31="",P31=""),"",IFERROR(INDEX(LAMINA_HORA!$W$5:$AP$114,MATCH($B31,LAMINA_HORA!$A$5:$A$114,0),MATCH(P31,LAMINA_HORA!$W$3:$AP$3,0)),"?"))</f>
        <v/>
      </c>
      <c r="S31" s="7" t="n"/>
      <c r="T31" s="27">
        <f>IF(OR($B31="",S31=""),"",IFERROR(INDEX(LAMINA_HORA!$C$5:$V$114,MATCH($B31,LAMINA_HORA!$A$5:$A$114,0),MATCH(S31,LAMINA_HORA!$C$3:$V$3,0)),"?"))</f>
        <v/>
      </c>
      <c r="U31" s="27">
        <f>IF(OR($B31="",S31=""),"",IFERROR(INDEX(LAMINA_HORA!$W$5:$AP$114,MATCH($B31,LAMINA_HORA!$A$5:$A$114,0),MATCH(S31,LAMINA_HORA!$W$3:$AP$3,0)),"?"))</f>
        <v/>
      </c>
      <c r="V31" s="7" t="n"/>
      <c r="W31" s="27">
        <f>IF(OR($B31="",V31=""),"",IFERROR(INDEX(LAMINA_HORA!$C$5:$V$114,MATCH($B31,LAMINA_HORA!$A$5:$A$114,0),MATCH(V31,LAMINA_HORA!$C$3:$V$3,0)),"?"))</f>
        <v/>
      </c>
      <c r="X31" s="27">
        <f>IF(OR($B31="",V31=""),"",IFERROR(INDEX(LAMINA_HORA!$W$5:$AP$114,MATCH($B31,LAMINA_HORA!$A$5:$A$114,0),MATCH(V31,LAMINA_HORA!$W$3:$AP$3,0)),"?"))</f>
        <v/>
      </c>
      <c r="Y31" s="7" t="n"/>
      <c r="Z31" s="27">
        <f>IF(OR($B31="",Y31=""),"",IFERROR(INDEX(LAMINA_HORA!$C$5:$V$114,MATCH($B31,LAMINA_HORA!$A$5:$A$114,0),MATCH(Y31,LAMINA_HORA!$C$3:$V$3,0)),"?"))</f>
        <v/>
      </c>
      <c r="AA31" s="27">
        <f>IF(OR($B31="",Y31=""),"",IFERROR(INDEX(LAMINA_HORA!$W$5:$AP$114,MATCH($B31,LAMINA_HORA!$A$5:$A$114,0),MATCH(Y31,LAMINA_HORA!$W$3:$AP$3,0)),"?"))</f>
        <v/>
      </c>
      <c r="AB31" s="7" t="n"/>
      <c r="AC31" s="27">
        <f>IF(OR($B31="",AB31=""),"",IFERROR(INDEX(LAMINA_HORA!$C$5:$V$114,MATCH($B31,LAMINA_HORA!$A$5:$A$114,0),MATCH(AB31,LAMINA_HORA!$C$3:$V$3,0)),"?"))</f>
        <v/>
      </c>
      <c r="AD31" s="27">
        <f>IF(OR($B31="",AB31=""),"",IFERROR(INDEX(LAMINA_HORA!$W$5:$AP$114,MATCH($B31,LAMINA_HORA!$A$5:$A$114,0),MATCH(AB31,LAMINA_HORA!$W$3:$AP$3,0)),"?"))</f>
        <v/>
      </c>
      <c r="AE31" s="14">
        <f>SUM(K31,N31,Q31,T31,W31,Z31,AC31)</f>
        <v/>
      </c>
      <c r="AF31" s="16">
        <f>IF(OR($G31="",AE31=""),"",AE31*$G31*10)</f>
        <v/>
      </c>
      <c r="AG31" s="16">
        <f>IF(OR(AF31="",$H31=""),"",AF31*$H31)</f>
        <v/>
      </c>
      <c r="AH31" s="20" t="n"/>
    </row>
    <row r="32">
      <c r="A32" s="5" t="inlineStr">
        <is>
          <t>Pivô 44</t>
        </is>
      </c>
      <c r="B32" s="7" t="inlineStr">
        <is>
          <t>P44</t>
        </is>
      </c>
      <c r="C32" s="5" t="inlineStr">
        <is>
          <t>R13</t>
        </is>
      </c>
      <c r="D32" s="5" t="inlineStr">
        <is>
          <t>Modulo 3</t>
        </is>
      </c>
      <c r="E32" s="6" t="inlineStr">
        <is>
          <t>NEO 761 I2X</t>
        </is>
      </c>
      <c r="F32" s="26" t="inlineStr"/>
      <c r="G32" s="15" t="n">
        <v>75</v>
      </c>
      <c r="H32" s="17" t="n">
        <v>0.735</v>
      </c>
      <c r="J32" s="7" t="n"/>
      <c r="K32" s="27">
        <f>IF(OR($B32="",J32=""),"",IFERROR(INDEX(LAMINA_HORA!$C$5:$V$114,MATCH($B32,LAMINA_HORA!$A$5:$A$114,0),MATCH(J32,LAMINA_HORA!$C$3:$V$3,0)),"?"))</f>
        <v/>
      </c>
      <c r="L32" s="27">
        <f>IF(OR($B32="",J32=""),"",IFERROR(INDEX(LAMINA_HORA!$W$5:$AP$114,MATCH($B32,LAMINA_HORA!$A$5:$A$114,0),MATCH(J32,LAMINA_HORA!$W$3:$AP$3,0)),"?"))</f>
        <v/>
      </c>
      <c r="M32" s="7" t="n"/>
      <c r="N32" s="27">
        <f>IF(OR($B32="",M32=""),"",IFERROR(INDEX(LAMINA_HORA!$C$5:$V$114,MATCH($B32,LAMINA_HORA!$A$5:$A$114,0),MATCH(M32,LAMINA_HORA!$C$3:$V$3,0)),"?"))</f>
        <v/>
      </c>
      <c r="O32" s="27">
        <f>IF(OR($B32="",M32=""),"",IFERROR(INDEX(LAMINA_HORA!$W$5:$AP$114,MATCH($B32,LAMINA_HORA!$A$5:$A$114,0),MATCH(M32,LAMINA_HORA!$W$3:$AP$3,0)),"?"))</f>
        <v/>
      </c>
      <c r="P32" s="7" t="n"/>
      <c r="Q32" s="27">
        <f>IF(OR($B32="",P32=""),"",IFERROR(INDEX(LAMINA_HORA!$C$5:$V$114,MATCH($B32,LAMINA_HORA!$A$5:$A$114,0),MATCH(P32,LAMINA_HORA!$C$3:$V$3,0)),"?"))</f>
        <v/>
      </c>
      <c r="R32" s="27">
        <f>IF(OR($B32="",P32=""),"",IFERROR(INDEX(LAMINA_HORA!$W$5:$AP$114,MATCH($B32,LAMINA_HORA!$A$5:$A$114,0),MATCH(P32,LAMINA_HORA!$W$3:$AP$3,0)),"?"))</f>
        <v/>
      </c>
      <c r="S32" s="7" t="n"/>
      <c r="T32" s="27">
        <f>IF(OR($B32="",S32=""),"",IFERROR(INDEX(LAMINA_HORA!$C$5:$V$114,MATCH($B32,LAMINA_HORA!$A$5:$A$114,0),MATCH(S32,LAMINA_HORA!$C$3:$V$3,0)),"?"))</f>
        <v/>
      </c>
      <c r="U32" s="27">
        <f>IF(OR($B32="",S32=""),"",IFERROR(INDEX(LAMINA_HORA!$W$5:$AP$114,MATCH($B32,LAMINA_HORA!$A$5:$A$114,0),MATCH(S32,LAMINA_HORA!$W$3:$AP$3,0)),"?"))</f>
        <v/>
      </c>
      <c r="V32" s="7" t="n"/>
      <c r="W32" s="27">
        <f>IF(OR($B32="",V32=""),"",IFERROR(INDEX(LAMINA_HORA!$C$5:$V$114,MATCH($B32,LAMINA_HORA!$A$5:$A$114,0),MATCH(V32,LAMINA_HORA!$C$3:$V$3,0)),"?"))</f>
        <v/>
      </c>
      <c r="X32" s="27">
        <f>IF(OR($B32="",V32=""),"",IFERROR(INDEX(LAMINA_HORA!$W$5:$AP$114,MATCH($B32,LAMINA_HORA!$A$5:$A$114,0),MATCH(V32,LAMINA_HORA!$W$3:$AP$3,0)),"?"))</f>
        <v/>
      </c>
      <c r="Y32" s="7" t="n"/>
      <c r="Z32" s="27">
        <f>IF(OR($B32="",Y32=""),"",IFERROR(INDEX(LAMINA_HORA!$C$5:$V$114,MATCH($B32,LAMINA_HORA!$A$5:$A$114,0),MATCH(Y32,LAMINA_HORA!$C$3:$V$3,0)),"?"))</f>
        <v/>
      </c>
      <c r="AA32" s="27">
        <f>IF(OR($B32="",Y32=""),"",IFERROR(INDEX(LAMINA_HORA!$W$5:$AP$114,MATCH($B32,LAMINA_HORA!$A$5:$A$114,0),MATCH(Y32,LAMINA_HORA!$W$3:$AP$3,0)),"?"))</f>
        <v/>
      </c>
      <c r="AB32" s="7" t="n"/>
      <c r="AC32" s="27">
        <f>IF(OR($B32="",AB32=""),"",IFERROR(INDEX(LAMINA_HORA!$C$5:$V$114,MATCH($B32,LAMINA_HORA!$A$5:$A$114,0),MATCH(AB32,LAMINA_HORA!$C$3:$V$3,0)),"?"))</f>
        <v/>
      </c>
      <c r="AD32" s="27">
        <f>IF(OR($B32="",AB32=""),"",IFERROR(INDEX(LAMINA_HORA!$W$5:$AP$114,MATCH($B32,LAMINA_HORA!$A$5:$A$114,0),MATCH(AB32,LAMINA_HORA!$W$3:$AP$3,0)),"?"))</f>
        <v/>
      </c>
      <c r="AE32" s="14">
        <f>SUM(K32,N32,Q32,T32,W32,Z32,AC32)</f>
        <v/>
      </c>
      <c r="AF32" s="16">
        <f>IF(OR($G32="",AE32=""),"",AE32*$G32*10)</f>
        <v/>
      </c>
      <c r="AG32" s="16">
        <f>IF(OR(AF32="",$H32=""),"",AF32*$H32)</f>
        <v/>
      </c>
      <c r="AH32" s="20" t="n"/>
    </row>
    <row r="33">
      <c r="A33" s="5" t="inlineStr">
        <is>
          <t>Pivô 45</t>
        </is>
      </c>
      <c r="B33" s="7" t="inlineStr">
        <is>
          <t>P45</t>
        </is>
      </c>
      <c r="C33" s="5" t="inlineStr">
        <is>
          <t>R11</t>
        </is>
      </c>
      <c r="D33" s="5" t="inlineStr">
        <is>
          <t>Modulo 2</t>
        </is>
      </c>
      <c r="E33" s="6" t="inlineStr">
        <is>
          <t>CZ 58B10 I2X</t>
        </is>
      </c>
      <c r="F33" s="26" t="inlineStr"/>
      <c r="G33" s="15" t="n">
        <v>123</v>
      </c>
      <c r="H33" s="17" t="n">
        <v>0.505</v>
      </c>
      <c r="J33" s="7" t="n"/>
      <c r="K33" s="27">
        <f>IF(OR($B33="",J33=""),"",IFERROR(INDEX(LAMINA_HORA!$C$5:$V$114,MATCH($B33,LAMINA_HORA!$A$5:$A$114,0),MATCH(J33,LAMINA_HORA!$C$3:$V$3,0)),"?"))</f>
        <v/>
      </c>
      <c r="L33" s="27">
        <f>IF(OR($B33="",J33=""),"",IFERROR(INDEX(LAMINA_HORA!$W$5:$AP$114,MATCH($B33,LAMINA_HORA!$A$5:$A$114,0),MATCH(J33,LAMINA_HORA!$W$3:$AP$3,0)),"?"))</f>
        <v/>
      </c>
      <c r="M33" s="7" t="n"/>
      <c r="N33" s="27">
        <f>IF(OR($B33="",M33=""),"",IFERROR(INDEX(LAMINA_HORA!$C$5:$V$114,MATCH($B33,LAMINA_HORA!$A$5:$A$114,0),MATCH(M33,LAMINA_HORA!$C$3:$V$3,0)),"?"))</f>
        <v/>
      </c>
      <c r="O33" s="27">
        <f>IF(OR($B33="",M33=""),"",IFERROR(INDEX(LAMINA_HORA!$W$5:$AP$114,MATCH($B33,LAMINA_HORA!$A$5:$A$114,0),MATCH(M33,LAMINA_HORA!$W$3:$AP$3,0)),"?"))</f>
        <v/>
      </c>
      <c r="P33" s="7" t="n"/>
      <c r="Q33" s="27">
        <f>IF(OR($B33="",P33=""),"",IFERROR(INDEX(LAMINA_HORA!$C$5:$V$114,MATCH($B33,LAMINA_HORA!$A$5:$A$114,0),MATCH(P33,LAMINA_HORA!$C$3:$V$3,0)),"?"))</f>
        <v/>
      </c>
      <c r="R33" s="27">
        <f>IF(OR($B33="",P33=""),"",IFERROR(INDEX(LAMINA_HORA!$W$5:$AP$114,MATCH($B33,LAMINA_HORA!$A$5:$A$114,0),MATCH(P33,LAMINA_HORA!$W$3:$AP$3,0)),"?"))</f>
        <v/>
      </c>
      <c r="S33" s="7" t="n"/>
      <c r="T33" s="27">
        <f>IF(OR($B33="",S33=""),"",IFERROR(INDEX(LAMINA_HORA!$C$5:$V$114,MATCH($B33,LAMINA_HORA!$A$5:$A$114,0),MATCH(S33,LAMINA_HORA!$C$3:$V$3,0)),"?"))</f>
        <v/>
      </c>
      <c r="U33" s="27">
        <f>IF(OR($B33="",S33=""),"",IFERROR(INDEX(LAMINA_HORA!$W$5:$AP$114,MATCH($B33,LAMINA_HORA!$A$5:$A$114,0),MATCH(S33,LAMINA_HORA!$W$3:$AP$3,0)),"?"))</f>
        <v/>
      </c>
      <c r="V33" s="7" t="n"/>
      <c r="W33" s="27">
        <f>IF(OR($B33="",V33=""),"",IFERROR(INDEX(LAMINA_HORA!$C$5:$V$114,MATCH($B33,LAMINA_HORA!$A$5:$A$114,0),MATCH(V33,LAMINA_HORA!$C$3:$V$3,0)),"?"))</f>
        <v/>
      </c>
      <c r="X33" s="27">
        <f>IF(OR($B33="",V33=""),"",IFERROR(INDEX(LAMINA_HORA!$W$5:$AP$114,MATCH($B33,LAMINA_HORA!$A$5:$A$114,0),MATCH(V33,LAMINA_HORA!$W$3:$AP$3,0)),"?"))</f>
        <v/>
      </c>
      <c r="Y33" s="7" t="n"/>
      <c r="Z33" s="27">
        <f>IF(OR($B33="",Y33=""),"",IFERROR(INDEX(LAMINA_HORA!$C$5:$V$114,MATCH($B33,LAMINA_HORA!$A$5:$A$114,0),MATCH(Y33,LAMINA_HORA!$C$3:$V$3,0)),"?"))</f>
        <v/>
      </c>
      <c r="AA33" s="27">
        <f>IF(OR($B33="",Y33=""),"",IFERROR(INDEX(LAMINA_HORA!$W$5:$AP$114,MATCH($B33,LAMINA_HORA!$A$5:$A$114,0),MATCH(Y33,LAMINA_HORA!$W$3:$AP$3,0)),"?"))</f>
        <v/>
      </c>
      <c r="AB33" s="7" t="n"/>
      <c r="AC33" s="27">
        <f>IF(OR($B33="",AB33=""),"",IFERROR(INDEX(LAMINA_HORA!$C$5:$V$114,MATCH($B33,LAMINA_HORA!$A$5:$A$114,0),MATCH(AB33,LAMINA_HORA!$C$3:$V$3,0)),"?"))</f>
        <v/>
      </c>
      <c r="AD33" s="27">
        <f>IF(OR($B33="",AB33=""),"",IFERROR(INDEX(LAMINA_HORA!$W$5:$AP$114,MATCH($B33,LAMINA_HORA!$A$5:$A$114,0),MATCH(AB33,LAMINA_HORA!$W$3:$AP$3,0)),"?"))</f>
        <v/>
      </c>
      <c r="AE33" s="14">
        <f>SUM(K33,N33,Q33,T33,W33,Z33,AC33)</f>
        <v/>
      </c>
      <c r="AF33" s="16">
        <f>IF(OR($G33="",AE33=""),"",AE33*$G33*10)</f>
        <v/>
      </c>
      <c r="AG33" s="16">
        <f>IF(OR(AF33="",$H33=""),"",AF33*$H33)</f>
        <v/>
      </c>
      <c r="AH33" s="20" t="n"/>
    </row>
    <row r="34">
      <c r="A34" s="5" t="inlineStr">
        <is>
          <t>Pivô 46</t>
        </is>
      </c>
      <c r="B34" s="7" t="inlineStr">
        <is>
          <t>P46</t>
        </is>
      </c>
      <c r="C34" s="5" t="inlineStr">
        <is>
          <t>R11</t>
        </is>
      </c>
      <c r="D34" s="5" t="inlineStr">
        <is>
          <t>Modulo 2</t>
        </is>
      </c>
      <c r="E34" s="6" t="inlineStr">
        <is>
          <t>M8434 12X</t>
        </is>
      </c>
      <c r="F34" s="26" t="inlineStr"/>
      <c r="G34" s="15" t="n">
        <v>160</v>
      </c>
      <c r="H34" s="17" t="n">
        <v>0.465</v>
      </c>
      <c r="J34" s="7" t="n"/>
      <c r="K34" s="27">
        <f>IF(OR($B34="",J34=""),"",IFERROR(INDEX(LAMINA_HORA!$C$5:$V$114,MATCH($B34,LAMINA_HORA!$A$5:$A$114,0),MATCH(J34,LAMINA_HORA!$C$3:$V$3,0)),"?"))</f>
        <v/>
      </c>
      <c r="L34" s="27">
        <f>IF(OR($B34="",J34=""),"",IFERROR(INDEX(LAMINA_HORA!$W$5:$AP$114,MATCH($B34,LAMINA_HORA!$A$5:$A$114,0),MATCH(J34,LAMINA_HORA!$W$3:$AP$3,0)),"?"))</f>
        <v/>
      </c>
      <c r="M34" s="7" t="n"/>
      <c r="N34" s="27">
        <f>IF(OR($B34="",M34=""),"",IFERROR(INDEX(LAMINA_HORA!$C$5:$V$114,MATCH($B34,LAMINA_HORA!$A$5:$A$114,0),MATCH(M34,LAMINA_HORA!$C$3:$V$3,0)),"?"))</f>
        <v/>
      </c>
      <c r="O34" s="27">
        <f>IF(OR($B34="",M34=""),"",IFERROR(INDEX(LAMINA_HORA!$W$5:$AP$114,MATCH($B34,LAMINA_HORA!$A$5:$A$114,0),MATCH(M34,LAMINA_HORA!$W$3:$AP$3,0)),"?"))</f>
        <v/>
      </c>
      <c r="P34" s="7" t="n"/>
      <c r="Q34" s="27">
        <f>IF(OR($B34="",P34=""),"",IFERROR(INDEX(LAMINA_HORA!$C$5:$V$114,MATCH($B34,LAMINA_HORA!$A$5:$A$114,0),MATCH(P34,LAMINA_HORA!$C$3:$V$3,0)),"?"))</f>
        <v/>
      </c>
      <c r="R34" s="27">
        <f>IF(OR($B34="",P34=""),"",IFERROR(INDEX(LAMINA_HORA!$W$5:$AP$114,MATCH($B34,LAMINA_HORA!$A$5:$A$114,0),MATCH(P34,LAMINA_HORA!$W$3:$AP$3,0)),"?"))</f>
        <v/>
      </c>
      <c r="S34" s="7" t="n"/>
      <c r="T34" s="27">
        <f>IF(OR($B34="",S34=""),"",IFERROR(INDEX(LAMINA_HORA!$C$5:$V$114,MATCH($B34,LAMINA_HORA!$A$5:$A$114,0),MATCH(S34,LAMINA_HORA!$C$3:$V$3,0)),"?"))</f>
        <v/>
      </c>
      <c r="U34" s="27">
        <f>IF(OR($B34="",S34=""),"",IFERROR(INDEX(LAMINA_HORA!$W$5:$AP$114,MATCH($B34,LAMINA_HORA!$A$5:$A$114,0),MATCH(S34,LAMINA_HORA!$W$3:$AP$3,0)),"?"))</f>
        <v/>
      </c>
      <c r="V34" s="7" t="n"/>
      <c r="W34" s="27">
        <f>IF(OR($B34="",V34=""),"",IFERROR(INDEX(LAMINA_HORA!$C$5:$V$114,MATCH($B34,LAMINA_HORA!$A$5:$A$114,0),MATCH(V34,LAMINA_HORA!$C$3:$V$3,0)),"?"))</f>
        <v/>
      </c>
      <c r="X34" s="27">
        <f>IF(OR($B34="",V34=""),"",IFERROR(INDEX(LAMINA_HORA!$W$5:$AP$114,MATCH($B34,LAMINA_HORA!$A$5:$A$114,0),MATCH(V34,LAMINA_HORA!$W$3:$AP$3,0)),"?"))</f>
        <v/>
      </c>
      <c r="Y34" s="7" t="n"/>
      <c r="Z34" s="27">
        <f>IF(OR($B34="",Y34=""),"",IFERROR(INDEX(LAMINA_HORA!$C$5:$V$114,MATCH($B34,LAMINA_HORA!$A$5:$A$114,0),MATCH(Y34,LAMINA_HORA!$C$3:$V$3,0)),"?"))</f>
        <v/>
      </c>
      <c r="AA34" s="27">
        <f>IF(OR($B34="",Y34=""),"",IFERROR(INDEX(LAMINA_HORA!$W$5:$AP$114,MATCH($B34,LAMINA_HORA!$A$5:$A$114,0),MATCH(Y34,LAMINA_HORA!$W$3:$AP$3,0)),"?"))</f>
        <v/>
      </c>
      <c r="AB34" s="7" t="n"/>
      <c r="AC34" s="27">
        <f>IF(OR($B34="",AB34=""),"",IFERROR(INDEX(LAMINA_HORA!$C$5:$V$114,MATCH($B34,LAMINA_HORA!$A$5:$A$114,0),MATCH(AB34,LAMINA_HORA!$C$3:$V$3,0)),"?"))</f>
        <v/>
      </c>
      <c r="AD34" s="27">
        <f>IF(OR($B34="",AB34=""),"",IFERROR(INDEX(LAMINA_HORA!$W$5:$AP$114,MATCH($B34,LAMINA_HORA!$A$5:$A$114,0),MATCH(AB34,LAMINA_HORA!$W$3:$AP$3,0)),"?"))</f>
        <v/>
      </c>
      <c r="AE34" s="14">
        <f>SUM(K34,N34,Q34,T34,W34,Z34,AC34)</f>
        <v/>
      </c>
      <c r="AF34" s="16">
        <f>IF(OR($G34="",AE34=""),"",AE34*$G34*10)</f>
        <v/>
      </c>
      <c r="AG34" s="16">
        <f>IF(OR(AF34="",$H34=""),"",AF34*$H34)</f>
        <v/>
      </c>
      <c r="AH34" s="20" t="n"/>
    </row>
    <row r="35">
      <c r="A35" s="5" t="inlineStr">
        <is>
          <t>Pivô 47</t>
        </is>
      </c>
      <c r="B35" s="7" t="inlineStr">
        <is>
          <t>P47</t>
        </is>
      </c>
      <c r="C35" s="5" t="inlineStr">
        <is>
          <t>R11</t>
        </is>
      </c>
      <c r="D35" s="5" t="inlineStr">
        <is>
          <t>Modulo 2</t>
        </is>
      </c>
      <c r="E35" s="6" t="inlineStr">
        <is>
          <t>M8434 12X</t>
        </is>
      </c>
      <c r="F35" s="26" t="inlineStr"/>
      <c r="G35" s="15" t="n">
        <v>160</v>
      </c>
      <c r="H35" s="17" t="n">
        <v>0.537</v>
      </c>
      <c r="J35" s="7" t="n"/>
      <c r="K35" s="27">
        <f>IF(OR($B35="",J35=""),"",IFERROR(INDEX(LAMINA_HORA!$C$5:$V$114,MATCH($B35,LAMINA_HORA!$A$5:$A$114,0),MATCH(J35,LAMINA_HORA!$C$3:$V$3,0)),"?"))</f>
        <v/>
      </c>
      <c r="L35" s="27">
        <f>IF(OR($B35="",J35=""),"",IFERROR(INDEX(LAMINA_HORA!$W$5:$AP$114,MATCH($B35,LAMINA_HORA!$A$5:$A$114,0),MATCH(J35,LAMINA_HORA!$W$3:$AP$3,0)),"?"))</f>
        <v/>
      </c>
      <c r="M35" s="7" t="n"/>
      <c r="N35" s="27">
        <f>IF(OR($B35="",M35=""),"",IFERROR(INDEX(LAMINA_HORA!$C$5:$V$114,MATCH($B35,LAMINA_HORA!$A$5:$A$114,0),MATCH(M35,LAMINA_HORA!$C$3:$V$3,0)),"?"))</f>
        <v/>
      </c>
      <c r="O35" s="27">
        <f>IF(OR($B35="",M35=""),"",IFERROR(INDEX(LAMINA_HORA!$W$5:$AP$114,MATCH($B35,LAMINA_HORA!$A$5:$A$114,0),MATCH(M35,LAMINA_HORA!$W$3:$AP$3,0)),"?"))</f>
        <v/>
      </c>
      <c r="P35" s="7" t="n"/>
      <c r="Q35" s="27">
        <f>IF(OR($B35="",P35=""),"",IFERROR(INDEX(LAMINA_HORA!$C$5:$V$114,MATCH($B35,LAMINA_HORA!$A$5:$A$114,0),MATCH(P35,LAMINA_HORA!$C$3:$V$3,0)),"?"))</f>
        <v/>
      </c>
      <c r="R35" s="27">
        <f>IF(OR($B35="",P35=""),"",IFERROR(INDEX(LAMINA_HORA!$W$5:$AP$114,MATCH($B35,LAMINA_HORA!$A$5:$A$114,0),MATCH(P35,LAMINA_HORA!$W$3:$AP$3,0)),"?"))</f>
        <v/>
      </c>
      <c r="S35" s="7" t="n"/>
      <c r="T35" s="27">
        <f>IF(OR($B35="",S35=""),"",IFERROR(INDEX(LAMINA_HORA!$C$5:$V$114,MATCH($B35,LAMINA_HORA!$A$5:$A$114,0),MATCH(S35,LAMINA_HORA!$C$3:$V$3,0)),"?"))</f>
        <v/>
      </c>
      <c r="U35" s="27">
        <f>IF(OR($B35="",S35=""),"",IFERROR(INDEX(LAMINA_HORA!$W$5:$AP$114,MATCH($B35,LAMINA_HORA!$A$5:$A$114,0),MATCH(S35,LAMINA_HORA!$W$3:$AP$3,0)),"?"))</f>
        <v/>
      </c>
      <c r="V35" s="7" t="n"/>
      <c r="W35" s="27">
        <f>IF(OR($B35="",V35=""),"",IFERROR(INDEX(LAMINA_HORA!$C$5:$V$114,MATCH($B35,LAMINA_HORA!$A$5:$A$114,0),MATCH(V35,LAMINA_HORA!$C$3:$V$3,0)),"?"))</f>
        <v/>
      </c>
      <c r="X35" s="27">
        <f>IF(OR($B35="",V35=""),"",IFERROR(INDEX(LAMINA_HORA!$W$5:$AP$114,MATCH($B35,LAMINA_HORA!$A$5:$A$114,0),MATCH(V35,LAMINA_HORA!$W$3:$AP$3,0)),"?"))</f>
        <v/>
      </c>
      <c r="Y35" s="7" t="n"/>
      <c r="Z35" s="27">
        <f>IF(OR($B35="",Y35=""),"",IFERROR(INDEX(LAMINA_HORA!$C$5:$V$114,MATCH($B35,LAMINA_HORA!$A$5:$A$114,0),MATCH(Y35,LAMINA_HORA!$C$3:$V$3,0)),"?"))</f>
        <v/>
      </c>
      <c r="AA35" s="27">
        <f>IF(OR($B35="",Y35=""),"",IFERROR(INDEX(LAMINA_HORA!$W$5:$AP$114,MATCH($B35,LAMINA_HORA!$A$5:$A$114,0),MATCH(Y35,LAMINA_HORA!$W$3:$AP$3,0)),"?"))</f>
        <v/>
      </c>
      <c r="AB35" s="7" t="n"/>
      <c r="AC35" s="27">
        <f>IF(OR($B35="",AB35=""),"",IFERROR(INDEX(LAMINA_HORA!$C$5:$V$114,MATCH($B35,LAMINA_HORA!$A$5:$A$114,0),MATCH(AB35,LAMINA_HORA!$C$3:$V$3,0)),"?"))</f>
        <v/>
      </c>
      <c r="AD35" s="27">
        <f>IF(OR($B35="",AB35=""),"",IFERROR(INDEX(LAMINA_HORA!$W$5:$AP$114,MATCH($B35,LAMINA_HORA!$A$5:$A$114,0),MATCH(AB35,LAMINA_HORA!$W$3:$AP$3,0)),"?"))</f>
        <v/>
      </c>
      <c r="AE35" s="14">
        <f>SUM(K35,N35,Q35,T35,W35,Z35,AC35)</f>
        <v/>
      </c>
      <c r="AF35" s="16">
        <f>IF(OR($G35="",AE35=""),"",AE35*$G35*10)</f>
        <v/>
      </c>
      <c r="AG35" s="16">
        <f>IF(OR(AF35="",$H35=""),"",AF35*$H35)</f>
        <v/>
      </c>
      <c r="AH35" s="20" t="n"/>
    </row>
    <row r="36">
      <c r="A36" s="5" t="inlineStr">
        <is>
          <t>Pivô 48</t>
        </is>
      </c>
      <c r="B36" s="7" t="inlineStr">
        <is>
          <t>P48</t>
        </is>
      </c>
      <c r="C36" s="5" t="inlineStr">
        <is>
          <t>R11</t>
        </is>
      </c>
      <c r="D36" s="5" t="inlineStr">
        <is>
          <t>Modulo 2</t>
        </is>
      </c>
      <c r="E36" s="6" t="inlineStr">
        <is>
          <t>M8434 12X</t>
        </is>
      </c>
      <c r="F36" s="26" t="inlineStr"/>
      <c r="G36" s="15" t="n">
        <v>160</v>
      </c>
      <c r="H36" s="17" t="n">
        <v>0.434</v>
      </c>
      <c r="J36" s="7" t="n"/>
      <c r="K36" s="27">
        <f>IF(OR($B36="",J36=""),"",IFERROR(INDEX(LAMINA_HORA!$C$5:$V$114,MATCH($B36,LAMINA_HORA!$A$5:$A$114,0),MATCH(J36,LAMINA_HORA!$C$3:$V$3,0)),"?"))</f>
        <v/>
      </c>
      <c r="L36" s="27">
        <f>IF(OR($B36="",J36=""),"",IFERROR(INDEX(LAMINA_HORA!$W$5:$AP$114,MATCH($B36,LAMINA_HORA!$A$5:$A$114,0),MATCH(J36,LAMINA_HORA!$W$3:$AP$3,0)),"?"))</f>
        <v/>
      </c>
      <c r="M36" s="7" t="n"/>
      <c r="N36" s="27">
        <f>IF(OR($B36="",M36=""),"",IFERROR(INDEX(LAMINA_HORA!$C$5:$V$114,MATCH($B36,LAMINA_HORA!$A$5:$A$114,0),MATCH(M36,LAMINA_HORA!$C$3:$V$3,0)),"?"))</f>
        <v/>
      </c>
      <c r="O36" s="27">
        <f>IF(OR($B36="",M36=""),"",IFERROR(INDEX(LAMINA_HORA!$W$5:$AP$114,MATCH($B36,LAMINA_HORA!$A$5:$A$114,0),MATCH(M36,LAMINA_HORA!$W$3:$AP$3,0)),"?"))</f>
        <v/>
      </c>
      <c r="P36" s="7" t="n"/>
      <c r="Q36" s="27">
        <f>IF(OR($B36="",P36=""),"",IFERROR(INDEX(LAMINA_HORA!$C$5:$V$114,MATCH($B36,LAMINA_HORA!$A$5:$A$114,0),MATCH(P36,LAMINA_HORA!$C$3:$V$3,0)),"?"))</f>
        <v/>
      </c>
      <c r="R36" s="27">
        <f>IF(OR($B36="",P36=""),"",IFERROR(INDEX(LAMINA_HORA!$W$5:$AP$114,MATCH($B36,LAMINA_HORA!$A$5:$A$114,0),MATCH(P36,LAMINA_HORA!$W$3:$AP$3,0)),"?"))</f>
        <v/>
      </c>
      <c r="S36" s="7" t="n"/>
      <c r="T36" s="27">
        <f>IF(OR($B36="",S36=""),"",IFERROR(INDEX(LAMINA_HORA!$C$5:$V$114,MATCH($B36,LAMINA_HORA!$A$5:$A$114,0),MATCH(S36,LAMINA_HORA!$C$3:$V$3,0)),"?"))</f>
        <v/>
      </c>
      <c r="U36" s="27">
        <f>IF(OR($B36="",S36=""),"",IFERROR(INDEX(LAMINA_HORA!$W$5:$AP$114,MATCH($B36,LAMINA_HORA!$A$5:$A$114,0),MATCH(S36,LAMINA_HORA!$W$3:$AP$3,0)),"?"))</f>
        <v/>
      </c>
      <c r="V36" s="7" t="n"/>
      <c r="W36" s="27">
        <f>IF(OR($B36="",V36=""),"",IFERROR(INDEX(LAMINA_HORA!$C$5:$V$114,MATCH($B36,LAMINA_HORA!$A$5:$A$114,0),MATCH(V36,LAMINA_HORA!$C$3:$V$3,0)),"?"))</f>
        <v/>
      </c>
      <c r="X36" s="27">
        <f>IF(OR($B36="",V36=""),"",IFERROR(INDEX(LAMINA_HORA!$W$5:$AP$114,MATCH($B36,LAMINA_HORA!$A$5:$A$114,0),MATCH(V36,LAMINA_HORA!$W$3:$AP$3,0)),"?"))</f>
        <v/>
      </c>
      <c r="Y36" s="7" t="n"/>
      <c r="Z36" s="27">
        <f>IF(OR($B36="",Y36=""),"",IFERROR(INDEX(LAMINA_HORA!$C$5:$V$114,MATCH($B36,LAMINA_HORA!$A$5:$A$114,0),MATCH(Y36,LAMINA_HORA!$C$3:$V$3,0)),"?"))</f>
        <v/>
      </c>
      <c r="AA36" s="27">
        <f>IF(OR($B36="",Y36=""),"",IFERROR(INDEX(LAMINA_HORA!$W$5:$AP$114,MATCH($B36,LAMINA_HORA!$A$5:$A$114,0),MATCH(Y36,LAMINA_HORA!$W$3:$AP$3,0)),"?"))</f>
        <v/>
      </c>
      <c r="AB36" s="7" t="n"/>
      <c r="AC36" s="27">
        <f>IF(OR($B36="",AB36=""),"",IFERROR(INDEX(LAMINA_HORA!$C$5:$V$114,MATCH($B36,LAMINA_HORA!$A$5:$A$114,0),MATCH(AB36,LAMINA_HORA!$C$3:$V$3,0)),"?"))</f>
        <v/>
      </c>
      <c r="AD36" s="27">
        <f>IF(OR($B36="",AB36=""),"",IFERROR(INDEX(LAMINA_HORA!$W$5:$AP$114,MATCH($B36,LAMINA_HORA!$A$5:$A$114,0),MATCH(AB36,LAMINA_HORA!$W$3:$AP$3,0)),"?"))</f>
        <v/>
      </c>
      <c r="AE36" s="14">
        <f>SUM(K36,N36,Q36,T36,W36,Z36,AC36)</f>
        <v/>
      </c>
      <c r="AF36" s="16">
        <f>IF(OR($G36="",AE36=""),"",AE36*$G36*10)</f>
        <v/>
      </c>
      <c r="AG36" s="16">
        <f>IF(OR(AF36="",$H36=""),"",AF36*$H36)</f>
        <v/>
      </c>
      <c r="AH36" s="20" t="n"/>
    </row>
    <row r="37">
      <c r="A37" s="5" t="inlineStr">
        <is>
          <t>Pivô 49</t>
        </is>
      </c>
      <c r="B37" s="7" t="inlineStr">
        <is>
          <t>P49</t>
        </is>
      </c>
      <c r="C37" s="5" t="inlineStr">
        <is>
          <t>R11</t>
        </is>
      </c>
      <c r="D37" s="5" t="inlineStr">
        <is>
          <t>Modulo 2</t>
        </is>
      </c>
      <c r="E37" s="6" t="inlineStr">
        <is>
          <t>M8434 12X</t>
        </is>
      </c>
      <c r="F37" s="26" t="inlineStr"/>
      <c r="G37" s="15" t="n">
        <v>125</v>
      </c>
      <c r="H37" s="17" t="n">
        <v>0.475</v>
      </c>
      <c r="J37" s="7" t="n"/>
      <c r="K37" s="27">
        <f>IF(OR($B37="",J37=""),"",IFERROR(INDEX(LAMINA_HORA!$C$5:$V$114,MATCH($B37,LAMINA_HORA!$A$5:$A$114,0),MATCH(J37,LAMINA_HORA!$C$3:$V$3,0)),"?"))</f>
        <v/>
      </c>
      <c r="L37" s="27">
        <f>IF(OR($B37="",J37=""),"",IFERROR(INDEX(LAMINA_HORA!$W$5:$AP$114,MATCH($B37,LAMINA_HORA!$A$5:$A$114,0),MATCH(J37,LAMINA_HORA!$W$3:$AP$3,0)),"?"))</f>
        <v/>
      </c>
      <c r="M37" s="7" t="n"/>
      <c r="N37" s="27">
        <f>IF(OR($B37="",M37=""),"",IFERROR(INDEX(LAMINA_HORA!$C$5:$V$114,MATCH($B37,LAMINA_HORA!$A$5:$A$114,0),MATCH(M37,LAMINA_HORA!$C$3:$V$3,0)),"?"))</f>
        <v/>
      </c>
      <c r="O37" s="27">
        <f>IF(OR($B37="",M37=""),"",IFERROR(INDEX(LAMINA_HORA!$W$5:$AP$114,MATCH($B37,LAMINA_HORA!$A$5:$A$114,0),MATCH(M37,LAMINA_HORA!$W$3:$AP$3,0)),"?"))</f>
        <v/>
      </c>
      <c r="P37" s="7" t="n"/>
      <c r="Q37" s="27">
        <f>IF(OR($B37="",P37=""),"",IFERROR(INDEX(LAMINA_HORA!$C$5:$V$114,MATCH($B37,LAMINA_HORA!$A$5:$A$114,0),MATCH(P37,LAMINA_HORA!$C$3:$V$3,0)),"?"))</f>
        <v/>
      </c>
      <c r="R37" s="27">
        <f>IF(OR($B37="",P37=""),"",IFERROR(INDEX(LAMINA_HORA!$W$5:$AP$114,MATCH($B37,LAMINA_HORA!$A$5:$A$114,0),MATCH(P37,LAMINA_HORA!$W$3:$AP$3,0)),"?"))</f>
        <v/>
      </c>
      <c r="S37" s="7" t="n"/>
      <c r="T37" s="27">
        <f>IF(OR($B37="",S37=""),"",IFERROR(INDEX(LAMINA_HORA!$C$5:$V$114,MATCH($B37,LAMINA_HORA!$A$5:$A$114,0),MATCH(S37,LAMINA_HORA!$C$3:$V$3,0)),"?"))</f>
        <v/>
      </c>
      <c r="U37" s="27">
        <f>IF(OR($B37="",S37=""),"",IFERROR(INDEX(LAMINA_HORA!$W$5:$AP$114,MATCH($B37,LAMINA_HORA!$A$5:$A$114,0),MATCH(S37,LAMINA_HORA!$W$3:$AP$3,0)),"?"))</f>
        <v/>
      </c>
      <c r="V37" s="7" t="n"/>
      <c r="W37" s="27">
        <f>IF(OR($B37="",V37=""),"",IFERROR(INDEX(LAMINA_HORA!$C$5:$V$114,MATCH($B37,LAMINA_HORA!$A$5:$A$114,0),MATCH(V37,LAMINA_HORA!$C$3:$V$3,0)),"?"))</f>
        <v/>
      </c>
      <c r="X37" s="27">
        <f>IF(OR($B37="",V37=""),"",IFERROR(INDEX(LAMINA_HORA!$W$5:$AP$114,MATCH($B37,LAMINA_HORA!$A$5:$A$114,0),MATCH(V37,LAMINA_HORA!$W$3:$AP$3,0)),"?"))</f>
        <v/>
      </c>
      <c r="Y37" s="7" t="n"/>
      <c r="Z37" s="27">
        <f>IF(OR($B37="",Y37=""),"",IFERROR(INDEX(LAMINA_HORA!$C$5:$V$114,MATCH($B37,LAMINA_HORA!$A$5:$A$114,0),MATCH(Y37,LAMINA_HORA!$C$3:$V$3,0)),"?"))</f>
        <v/>
      </c>
      <c r="AA37" s="27">
        <f>IF(OR($B37="",Y37=""),"",IFERROR(INDEX(LAMINA_HORA!$W$5:$AP$114,MATCH($B37,LAMINA_HORA!$A$5:$A$114,0),MATCH(Y37,LAMINA_HORA!$W$3:$AP$3,0)),"?"))</f>
        <v/>
      </c>
      <c r="AB37" s="7" t="n"/>
      <c r="AC37" s="27">
        <f>IF(OR($B37="",AB37=""),"",IFERROR(INDEX(LAMINA_HORA!$C$5:$V$114,MATCH($B37,LAMINA_HORA!$A$5:$A$114,0),MATCH(AB37,LAMINA_HORA!$C$3:$V$3,0)),"?"))</f>
        <v/>
      </c>
      <c r="AD37" s="27">
        <f>IF(OR($B37="",AB37=""),"",IFERROR(INDEX(LAMINA_HORA!$W$5:$AP$114,MATCH($B37,LAMINA_HORA!$A$5:$A$114,0),MATCH(AB37,LAMINA_HORA!$W$3:$AP$3,0)),"?"))</f>
        <v/>
      </c>
      <c r="AE37" s="14">
        <f>SUM(K37,N37,Q37,T37,W37,Z37,AC37)</f>
        <v/>
      </c>
      <c r="AF37" s="16">
        <f>IF(OR($G37="",AE37=""),"",AE37*$G37*10)</f>
        <v/>
      </c>
      <c r="AG37" s="16">
        <f>IF(OR(AF37="",$H37=""),"",AF37*$H37)</f>
        <v/>
      </c>
      <c r="AH37" s="20" t="n"/>
    </row>
    <row r="38">
      <c r="A38" s="5" t="inlineStr">
        <is>
          <t>Pivô 50</t>
        </is>
      </c>
      <c r="B38" s="7" t="inlineStr">
        <is>
          <t>P50</t>
        </is>
      </c>
      <c r="C38" s="5" t="inlineStr">
        <is>
          <t>R14</t>
        </is>
      </c>
      <c r="D38" s="5" t="inlineStr">
        <is>
          <t>Modulo 3</t>
        </is>
      </c>
      <c r="E38" s="6" t="inlineStr">
        <is>
          <t>CZ 48B18 IPRO</t>
        </is>
      </c>
      <c r="F38" s="26" t="inlineStr"/>
      <c r="G38" s="15" t="n">
        <v>120</v>
      </c>
      <c r="H38" s="17" t="n">
        <v>0.828</v>
      </c>
      <c r="J38" s="7" t="n"/>
      <c r="K38" s="27">
        <f>IF(OR($B38="",J38=""),"",IFERROR(INDEX(LAMINA_HORA!$C$5:$V$114,MATCH($B38,LAMINA_HORA!$A$5:$A$114,0),MATCH(J38,LAMINA_HORA!$C$3:$V$3,0)),"?"))</f>
        <v/>
      </c>
      <c r="L38" s="27">
        <f>IF(OR($B38="",J38=""),"",IFERROR(INDEX(LAMINA_HORA!$W$5:$AP$114,MATCH($B38,LAMINA_HORA!$A$5:$A$114,0),MATCH(J38,LAMINA_HORA!$W$3:$AP$3,0)),"?"))</f>
        <v/>
      </c>
      <c r="M38" s="7" t="n"/>
      <c r="N38" s="27">
        <f>IF(OR($B38="",M38=""),"",IFERROR(INDEX(LAMINA_HORA!$C$5:$V$114,MATCH($B38,LAMINA_HORA!$A$5:$A$114,0),MATCH(M38,LAMINA_HORA!$C$3:$V$3,0)),"?"))</f>
        <v/>
      </c>
      <c r="O38" s="27">
        <f>IF(OR($B38="",M38=""),"",IFERROR(INDEX(LAMINA_HORA!$W$5:$AP$114,MATCH($B38,LAMINA_HORA!$A$5:$A$114,0),MATCH(M38,LAMINA_HORA!$W$3:$AP$3,0)),"?"))</f>
        <v/>
      </c>
      <c r="P38" s="7" t="n"/>
      <c r="Q38" s="27">
        <f>IF(OR($B38="",P38=""),"",IFERROR(INDEX(LAMINA_HORA!$C$5:$V$114,MATCH($B38,LAMINA_HORA!$A$5:$A$114,0),MATCH(P38,LAMINA_HORA!$C$3:$V$3,0)),"?"))</f>
        <v/>
      </c>
      <c r="R38" s="27">
        <f>IF(OR($B38="",P38=""),"",IFERROR(INDEX(LAMINA_HORA!$W$5:$AP$114,MATCH($B38,LAMINA_HORA!$A$5:$A$114,0),MATCH(P38,LAMINA_HORA!$W$3:$AP$3,0)),"?"))</f>
        <v/>
      </c>
      <c r="S38" s="7" t="n"/>
      <c r="T38" s="27">
        <f>IF(OR($B38="",S38=""),"",IFERROR(INDEX(LAMINA_HORA!$C$5:$V$114,MATCH($B38,LAMINA_HORA!$A$5:$A$114,0),MATCH(S38,LAMINA_HORA!$C$3:$V$3,0)),"?"))</f>
        <v/>
      </c>
      <c r="U38" s="27">
        <f>IF(OR($B38="",S38=""),"",IFERROR(INDEX(LAMINA_HORA!$W$5:$AP$114,MATCH($B38,LAMINA_HORA!$A$5:$A$114,0),MATCH(S38,LAMINA_HORA!$W$3:$AP$3,0)),"?"))</f>
        <v/>
      </c>
      <c r="V38" s="7" t="n"/>
      <c r="W38" s="27">
        <f>IF(OR($B38="",V38=""),"",IFERROR(INDEX(LAMINA_HORA!$C$5:$V$114,MATCH($B38,LAMINA_HORA!$A$5:$A$114,0),MATCH(V38,LAMINA_HORA!$C$3:$V$3,0)),"?"))</f>
        <v/>
      </c>
      <c r="X38" s="27">
        <f>IF(OR($B38="",V38=""),"",IFERROR(INDEX(LAMINA_HORA!$W$5:$AP$114,MATCH($B38,LAMINA_HORA!$A$5:$A$114,0),MATCH(V38,LAMINA_HORA!$W$3:$AP$3,0)),"?"))</f>
        <v/>
      </c>
      <c r="Y38" s="7" t="n"/>
      <c r="Z38" s="27">
        <f>IF(OR($B38="",Y38=""),"",IFERROR(INDEX(LAMINA_HORA!$C$5:$V$114,MATCH($B38,LAMINA_HORA!$A$5:$A$114,0),MATCH(Y38,LAMINA_HORA!$C$3:$V$3,0)),"?"))</f>
        <v/>
      </c>
      <c r="AA38" s="27">
        <f>IF(OR($B38="",Y38=""),"",IFERROR(INDEX(LAMINA_HORA!$W$5:$AP$114,MATCH($B38,LAMINA_HORA!$A$5:$A$114,0),MATCH(Y38,LAMINA_HORA!$W$3:$AP$3,0)),"?"))</f>
        <v/>
      </c>
      <c r="AB38" s="7" t="n"/>
      <c r="AC38" s="27">
        <f>IF(OR($B38="",AB38=""),"",IFERROR(INDEX(LAMINA_HORA!$C$5:$V$114,MATCH($B38,LAMINA_HORA!$A$5:$A$114,0),MATCH(AB38,LAMINA_HORA!$C$3:$V$3,0)),"?"))</f>
        <v/>
      </c>
      <c r="AD38" s="27">
        <f>IF(OR($B38="",AB38=""),"",IFERROR(INDEX(LAMINA_HORA!$W$5:$AP$114,MATCH($B38,LAMINA_HORA!$A$5:$A$114,0),MATCH(AB38,LAMINA_HORA!$W$3:$AP$3,0)),"?"))</f>
        <v/>
      </c>
      <c r="AE38" s="14">
        <f>SUM(K38,N38,Q38,T38,W38,Z38,AC38)</f>
        <v/>
      </c>
      <c r="AF38" s="16">
        <f>IF(OR($G38="",AE38=""),"",AE38*$G38*10)</f>
        <v/>
      </c>
      <c r="AG38" s="16">
        <f>IF(OR(AF38="",$H38=""),"",AF38*$H38)</f>
        <v/>
      </c>
      <c r="AH38" s="20" t="n"/>
    </row>
    <row r="39">
      <c r="A39" s="5" t="inlineStr">
        <is>
          <t>Pivô 51</t>
        </is>
      </c>
      <c r="B39" s="7" t="inlineStr">
        <is>
          <t>P51</t>
        </is>
      </c>
      <c r="C39" s="5" t="inlineStr">
        <is>
          <t>R14</t>
        </is>
      </c>
      <c r="D39" s="5" t="inlineStr">
        <is>
          <t>Modulo 3</t>
        </is>
      </c>
      <c r="E39" s="6" t="inlineStr">
        <is>
          <t>CZ 48B18 IPRO</t>
        </is>
      </c>
      <c r="F39" s="26" t="inlineStr"/>
      <c r="G39" s="15" t="n">
        <v>120</v>
      </c>
      <c r="H39" s="17" t="n">
        <v>0.836</v>
      </c>
      <c r="J39" s="7" t="n"/>
      <c r="K39" s="27">
        <f>IF(OR($B39="",J39=""),"",IFERROR(INDEX(LAMINA_HORA!$C$5:$V$114,MATCH($B39,LAMINA_HORA!$A$5:$A$114,0),MATCH(J39,LAMINA_HORA!$C$3:$V$3,0)),"?"))</f>
        <v/>
      </c>
      <c r="L39" s="27">
        <f>IF(OR($B39="",J39=""),"",IFERROR(INDEX(LAMINA_HORA!$W$5:$AP$114,MATCH($B39,LAMINA_HORA!$A$5:$A$114,0),MATCH(J39,LAMINA_HORA!$W$3:$AP$3,0)),"?"))</f>
        <v/>
      </c>
      <c r="M39" s="7" t="n"/>
      <c r="N39" s="27">
        <f>IF(OR($B39="",M39=""),"",IFERROR(INDEX(LAMINA_HORA!$C$5:$V$114,MATCH($B39,LAMINA_HORA!$A$5:$A$114,0),MATCH(M39,LAMINA_HORA!$C$3:$V$3,0)),"?"))</f>
        <v/>
      </c>
      <c r="O39" s="27">
        <f>IF(OR($B39="",M39=""),"",IFERROR(INDEX(LAMINA_HORA!$W$5:$AP$114,MATCH($B39,LAMINA_HORA!$A$5:$A$114,0),MATCH(M39,LAMINA_HORA!$W$3:$AP$3,0)),"?"))</f>
        <v/>
      </c>
      <c r="P39" s="7" t="n"/>
      <c r="Q39" s="27">
        <f>IF(OR($B39="",P39=""),"",IFERROR(INDEX(LAMINA_HORA!$C$5:$V$114,MATCH($B39,LAMINA_HORA!$A$5:$A$114,0),MATCH(P39,LAMINA_HORA!$C$3:$V$3,0)),"?"))</f>
        <v/>
      </c>
      <c r="R39" s="27">
        <f>IF(OR($B39="",P39=""),"",IFERROR(INDEX(LAMINA_HORA!$W$5:$AP$114,MATCH($B39,LAMINA_HORA!$A$5:$A$114,0),MATCH(P39,LAMINA_HORA!$W$3:$AP$3,0)),"?"))</f>
        <v/>
      </c>
      <c r="S39" s="7" t="n"/>
      <c r="T39" s="27">
        <f>IF(OR($B39="",S39=""),"",IFERROR(INDEX(LAMINA_HORA!$C$5:$V$114,MATCH($B39,LAMINA_HORA!$A$5:$A$114,0),MATCH(S39,LAMINA_HORA!$C$3:$V$3,0)),"?"))</f>
        <v/>
      </c>
      <c r="U39" s="27">
        <f>IF(OR($B39="",S39=""),"",IFERROR(INDEX(LAMINA_HORA!$W$5:$AP$114,MATCH($B39,LAMINA_HORA!$A$5:$A$114,0),MATCH(S39,LAMINA_HORA!$W$3:$AP$3,0)),"?"))</f>
        <v/>
      </c>
      <c r="V39" s="7" t="n"/>
      <c r="W39" s="27">
        <f>IF(OR($B39="",V39=""),"",IFERROR(INDEX(LAMINA_HORA!$C$5:$V$114,MATCH($B39,LAMINA_HORA!$A$5:$A$114,0),MATCH(V39,LAMINA_HORA!$C$3:$V$3,0)),"?"))</f>
        <v/>
      </c>
      <c r="X39" s="27">
        <f>IF(OR($B39="",V39=""),"",IFERROR(INDEX(LAMINA_HORA!$W$5:$AP$114,MATCH($B39,LAMINA_HORA!$A$5:$A$114,0),MATCH(V39,LAMINA_HORA!$W$3:$AP$3,0)),"?"))</f>
        <v/>
      </c>
      <c r="Y39" s="7" t="n"/>
      <c r="Z39" s="27">
        <f>IF(OR($B39="",Y39=""),"",IFERROR(INDEX(LAMINA_HORA!$C$5:$V$114,MATCH($B39,LAMINA_HORA!$A$5:$A$114,0),MATCH(Y39,LAMINA_HORA!$C$3:$V$3,0)),"?"))</f>
        <v/>
      </c>
      <c r="AA39" s="27">
        <f>IF(OR($B39="",Y39=""),"",IFERROR(INDEX(LAMINA_HORA!$W$5:$AP$114,MATCH($B39,LAMINA_HORA!$A$5:$A$114,0),MATCH(Y39,LAMINA_HORA!$W$3:$AP$3,0)),"?"))</f>
        <v/>
      </c>
      <c r="AB39" s="7" t="n"/>
      <c r="AC39" s="27">
        <f>IF(OR($B39="",AB39=""),"",IFERROR(INDEX(LAMINA_HORA!$C$5:$V$114,MATCH($B39,LAMINA_HORA!$A$5:$A$114,0),MATCH(AB39,LAMINA_HORA!$C$3:$V$3,0)),"?"))</f>
        <v/>
      </c>
      <c r="AD39" s="27">
        <f>IF(OR($B39="",AB39=""),"",IFERROR(INDEX(LAMINA_HORA!$W$5:$AP$114,MATCH($B39,LAMINA_HORA!$A$5:$A$114,0),MATCH(AB39,LAMINA_HORA!$W$3:$AP$3,0)),"?"))</f>
        <v/>
      </c>
      <c r="AE39" s="14">
        <f>SUM(K39,N39,Q39,T39,W39,Z39,AC39)</f>
        <v/>
      </c>
      <c r="AF39" s="16">
        <f>IF(OR($G39="",AE39=""),"",AE39*$G39*10)</f>
        <v/>
      </c>
      <c r="AG39" s="16">
        <f>IF(OR(AF39="",$H39=""),"",AF39*$H39)</f>
        <v/>
      </c>
      <c r="AH39" s="20" t="n"/>
    </row>
    <row r="40">
      <c r="A40" s="5" t="inlineStr">
        <is>
          <t>Pivô 52</t>
        </is>
      </c>
      <c r="B40" s="7" t="inlineStr">
        <is>
          <t>P52</t>
        </is>
      </c>
      <c r="C40" s="5" t="inlineStr">
        <is>
          <t>R12</t>
        </is>
      </c>
      <c r="D40" s="5" t="inlineStr">
        <is>
          <t>Modulo 2</t>
        </is>
      </c>
      <c r="E40" s="6" t="inlineStr">
        <is>
          <t>M8434 12X</t>
        </is>
      </c>
      <c r="F40" s="26" t="inlineStr"/>
      <c r="G40" s="15" t="n">
        <v>160</v>
      </c>
      <c r="H40" s="17" t="n">
        <v>0.475</v>
      </c>
      <c r="J40" s="7" t="n"/>
      <c r="K40" s="27">
        <f>IF(OR($B40="",J40=""),"",IFERROR(INDEX(LAMINA_HORA!$C$5:$V$114,MATCH($B40,LAMINA_HORA!$A$5:$A$114,0),MATCH(J40,LAMINA_HORA!$C$3:$V$3,0)),"?"))</f>
        <v/>
      </c>
      <c r="L40" s="27">
        <f>IF(OR($B40="",J40=""),"",IFERROR(INDEX(LAMINA_HORA!$W$5:$AP$114,MATCH($B40,LAMINA_HORA!$A$5:$A$114,0),MATCH(J40,LAMINA_HORA!$W$3:$AP$3,0)),"?"))</f>
        <v/>
      </c>
      <c r="M40" s="7" t="n"/>
      <c r="N40" s="27">
        <f>IF(OR($B40="",M40=""),"",IFERROR(INDEX(LAMINA_HORA!$C$5:$V$114,MATCH($B40,LAMINA_HORA!$A$5:$A$114,0),MATCH(M40,LAMINA_HORA!$C$3:$V$3,0)),"?"))</f>
        <v/>
      </c>
      <c r="O40" s="27">
        <f>IF(OR($B40="",M40=""),"",IFERROR(INDEX(LAMINA_HORA!$W$5:$AP$114,MATCH($B40,LAMINA_HORA!$A$5:$A$114,0),MATCH(M40,LAMINA_HORA!$W$3:$AP$3,0)),"?"))</f>
        <v/>
      </c>
      <c r="P40" s="7" t="n"/>
      <c r="Q40" s="27">
        <f>IF(OR($B40="",P40=""),"",IFERROR(INDEX(LAMINA_HORA!$C$5:$V$114,MATCH($B40,LAMINA_HORA!$A$5:$A$114,0),MATCH(P40,LAMINA_HORA!$C$3:$V$3,0)),"?"))</f>
        <v/>
      </c>
      <c r="R40" s="27">
        <f>IF(OR($B40="",P40=""),"",IFERROR(INDEX(LAMINA_HORA!$W$5:$AP$114,MATCH($B40,LAMINA_HORA!$A$5:$A$114,0),MATCH(P40,LAMINA_HORA!$W$3:$AP$3,0)),"?"))</f>
        <v/>
      </c>
      <c r="S40" s="7" t="n"/>
      <c r="T40" s="27">
        <f>IF(OR($B40="",S40=""),"",IFERROR(INDEX(LAMINA_HORA!$C$5:$V$114,MATCH($B40,LAMINA_HORA!$A$5:$A$114,0),MATCH(S40,LAMINA_HORA!$C$3:$V$3,0)),"?"))</f>
        <v/>
      </c>
      <c r="U40" s="27">
        <f>IF(OR($B40="",S40=""),"",IFERROR(INDEX(LAMINA_HORA!$W$5:$AP$114,MATCH($B40,LAMINA_HORA!$A$5:$A$114,0),MATCH(S40,LAMINA_HORA!$W$3:$AP$3,0)),"?"))</f>
        <v/>
      </c>
      <c r="V40" s="7" t="n"/>
      <c r="W40" s="27">
        <f>IF(OR($B40="",V40=""),"",IFERROR(INDEX(LAMINA_HORA!$C$5:$V$114,MATCH($B40,LAMINA_HORA!$A$5:$A$114,0),MATCH(V40,LAMINA_HORA!$C$3:$V$3,0)),"?"))</f>
        <v/>
      </c>
      <c r="X40" s="27">
        <f>IF(OR($B40="",V40=""),"",IFERROR(INDEX(LAMINA_HORA!$W$5:$AP$114,MATCH($B40,LAMINA_HORA!$A$5:$A$114,0),MATCH(V40,LAMINA_HORA!$W$3:$AP$3,0)),"?"))</f>
        <v/>
      </c>
      <c r="Y40" s="7" t="n"/>
      <c r="Z40" s="27">
        <f>IF(OR($B40="",Y40=""),"",IFERROR(INDEX(LAMINA_HORA!$C$5:$V$114,MATCH($B40,LAMINA_HORA!$A$5:$A$114,0),MATCH(Y40,LAMINA_HORA!$C$3:$V$3,0)),"?"))</f>
        <v/>
      </c>
      <c r="AA40" s="27">
        <f>IF(OR($B40="",Y40=""),"",IFERROR(INDEX(LAMINA_HORA!$W$5:$AP$114,MATCH($B40,LAMINA_HORA!$A$5:$A$114,0),MATCH(Y40,LAMINA_HORA!$W$3:$AP$3,0)),"?"))</f>
        <v/>
      </c>
      <c r="AB40" s="7" t="n"/>
      <c r="AC40" s="27">
        <f>IF(OR($B40="",AB40=""),"",IFERROR(INDEX(LAMINA_HORA!$C$5:$V$114,MATCH($B40,LAMINA_HORA!$A$5:$A$114,0),MATCH(AB40,LAMINA_HORA!$C$3:$V$3,0)),"?"))</f>
        <v/>
      </c>
      <c r="AD40" s="27">
        <f>IF(OR($B40="",AB40=""),"",IFERROR(INDEX(LAMINA_HORA!$W$5:$AP$114,MATCH($B40,LAMINA_HORA!$A$5:$A$114,0),MATCH(AB40,LAMINA_HORA!$W$3:$AP$3,0)),"?"))</f>
        <v/>
      </c>
      <c r="AE40" s="14">
        <f>SUM(K40,N40,Q40,T40,W40,Z40,AC40)</f>
        <v/>
      </c>
      <c r="AF40" s="16">
        <f>IF(OR($G40="",AE40=""),"",AE40*$G40*10)</f>
        <v/>
      </c>
      <c r="AG40" s="16">
        <f>IF(OR(AF40="",$H40=""),"",AF40*$H40)</f>
        <v/>
      </c>
      <c r="AH40" s="20" t="n"/>
    </row>
    <row r="41">
      <c r="A41" s="5" t="inlineStr">
        <is>
          <t>Pivô 53</t>
        </is>
      </c>
      <c r="B41" s="7" t="inlineStr">
        <is>
          <t>P53</t>
        </is>
      </c>
      <c r="C41" s="5" t="inlineStr">
        <is>
          <t>R13</t>
        </is>
      </c>
      <c r="D41" s="5" t="inlineStr">
        <is>
          <t>Modulo 3</t>
        </is>
      </c>
      <c r="E41" s="6" t="inlineStr">
        <is>
          <t>CZ 48B18 IPRO</t>
        </is>
      </c>
      <c r="F41" s="26" t="inlineStr"/>
      <c r="G41" s="15" t="n">
        <v>75</v>
      </c>
      <c r="H41" s="17" t="n">
        <v>0.735</v>
      </c>
      <c r="J41" s="7" t="n"/>
      <c r="K41" s="27">
        <f>IF(OR($B41="",J41=""),"",IFERROR(INDEX(LAMINA_HORA!$C$5:$V$114,MATCH($B41,LAMINA_HORA!$A$5:$A$114,0),MATCH(J41,LAMINA_HORA!$C$3:$V$3,0)),"?"))</f>
        <v/>
      </c>
      <c r="L41" s="27">
        <f>IF(OR($B41="",J41=""),"",IFERROR(INDEX(LAMINA_HORA!$W$5:$AP$114,MATCH($B41,LAMINA_HORA!$A$5:$A$114,0),MATCH(J41,LAMINA_HORA!$W$3:$AP$3,0)),"?"))</f>
        <v/>
      </c>
      <c r="M41" s="7" t="n"/>
      <c r="N41" s="27">
        <f>IF(OR($B41="",M41=""),"",IFERROR(INDEX(LAMINA_HORA!$C$5:$V$114,MATCH($B41,LAMINA_HORA!$A$5:$A$114,0),MATCH(M41,LAMINA_HORA!$C$3:$V$3,0)),"?"))</f>
        <v/>
      </c>
      <c r="O41" s="27">
        <f>IF(OR($B41="",M41=""),"",IFERROR(INDEX(LAMINA_HORA!$W$5:$AP$114,MATCH($B41,LAMINA_HORA!$A$5:$A$114,0),MATCH(M41,LAMINA_HORA!$W$3:$AP$3,0)),"?"))</f>
        <v/>
      </c>
      <c r="P41" s="7" t="n"/>
      <c r="Q41" s="27">
        <f>IF(OR($B41="",P41=""),"",IFERROR(INDEX(LAMINA_HORA!$C$5:$V$114,MATCH($B41,LAMINA_HORA!$A$5:$A$114,0),MATCH(P41,LAMINA_HORA!$C$3:$V$3,0)),"?"))</f>
        <v/>
      </c>
      <c r="R41" s="27">
        <f>IF(OR($B41="",P41=""),"",IFERROR(INDEX(LAMINA_HORA!$W$5:$AP$114,MATCH($B41,LAMINA_HORA!$A$5:$A$114,0),MATCH(P41,LAMINA_HORA!$W$3:$AP$3,0)),"?"))</f>
        <v/>
      </c>
      <c r="S41" s="7" t="n"/>
      <c r="T41" s="27">
        <f>IF(OR($B41="",S41=""),"",IFERROR(INDEX(LAMINA_HORA!$C$5:$V$114,MATCH($B41,LAMINA_HORA!$A$5:$A$114,0),MATCH(S41,LAMINA_HORA!$C$3:$V$3,0)),"?"))</f>
        <v/>
      </c>
      <c r="U41" s="27">
        <f>IF(OR($B41="",S41=""),"",IFERROR(INDEX(LAMINA_HORA!$W$5:$AP$114,MATCH($B41,LAMINA_HORA!$A$5:$A$114,0),MATCH(S41,LAMINA_HORA!$W$3:$AP$3,0)),"?"))</f>
        <v/>
      </c>
      <c r="V41" s="7" t="n"/>
      <c r="W41" s="27">
        <f>IF(OR($B41="",V41=""),"",IFERROR(INDEX(LAMINA_HORA!$C$5:$V$114,MATCH($B41,LAMINA_HORA!$A$5:$A$114,0),MATCH(V41,LAMINA_HORA!$C$3:$V$3,0)),"?"))</f>
        <v/>
      </c>
      <c r="X41" s="27">
        <f>IF(OR($B41="",V41=""),"",IFERROR(INDEX(LAMINA_HORA!$W$5:$AP$114,MATCH($B41,LAMINA_HORA!$A$5:$A$114,0),MATCH(V41,LAMINA_HORA!$W$3:$AP$3,0)),"?"))</f>
        <v/>
      </c>
      <c r="Y41" s="7" t="n"/>
      <c r="Z41" s="27">
        <f>IF(OR($B41="",Y41=""),"",IFERROR(INDEX(LAMINA_HORA!$C$5:$V$114,MATCH($B41,LAMINA_HORA!$A$5:$A$114,0),MATCH(Y41,LAMINA_HORA!$C$3:$V$3,0)),"?"))</f>
        <v/>
      </c>
      <c r="AA41" s="27">
        <f>IF(OR($B41="",Y41=""),"",IFERROR(INDEX(LAMINA_HORA!$W$5:$AP$114,MATCH($B41,LAMINA_HORA!$A$5:$A$114,0),MATCH(Y41,LAMINA_HORA!$W$3:$AP$3,0)),"?"))</f>
        <v/>
      </c>
      <c r="AB41" s="7" t="n"/>
      <c r="AC41" s="27">
        <f>IF(OR($B41="",AB41=""),"",IFERROR(INDEX(LAMINA_HORA!$C$5:$V$114,MATCH($B41,LAMINA_HORA!$A$5:$A$114,0),MATCH(AB41,LAMINA_HORA!$C$3:$V$3,0)),"?"))</f>
        <v/>
      </c>
      <c r="AD41" s="27">
        <f>IF(OR($B41="",AB41=""),"",IFERROR(INDEX(LAMINA_HORA!$W$5:$AP$114,MATCH($B41,LAMINA_HORA!$A$5:$A$114,0),MATCH(AB41,LAMINA_HORA!$W$3:$AP$3,0)),"?"))</f>
        <v/>
      </c>
      <c r="AE41" s="14">
        <f>SUM(K41,N41,Q41,T41,W41,Z41,AC41)</f>
        <v/>
      </c>
      <c r="AF41" s="16">
        <f>IF(OR($G41="",AE41=""),"",AE41*$G41*10)</f>
        <v/>
      </c>
      <c r="AG41" s="16">
        <f>IF(OR(AF41="",$H41=""),"",AF41*$H41)</f>
        <v/>
      </c>
      <c r="AH41" s="20" t="n"/>
    </row>
    <row r="42">
      <c r="A42" s="5" t="inlineStr">
        <is>
          <t>Pivô 54</t>
        </is>
      </c>
      <c r="B42" s="7" t="inlineStr">
        <is>
          <t>P54</t>
        </is>
      </c>
      <c r="C42" s="5" t="inlineStr">
        <is>
          <t>R13</t>
        </is>
      </c>
      <c r="D42" s="5" t="inlineStr">
        <is>
          <t>Modulo 3</t>
        </is>
      </c>
      <c r="E42" s="6" t="inlineStr">
        <is>
          <t>CZ 48B18 IPRO</t>
        </is>
      </c>
      <c r="F42" s="26" t="inlineStr"/>
      <c r="G42" s="15" t="n">
        <v>120</v>
      </c>
      <c r="H42" s="17" t="n">
        <v>0.827</v>
      </c>
      <c r="J42" s="7" t="n"/>
      <c r="K42" s="27">
        <f>IF(OR($B42="",J42=""),"",IFERROR(INDEX(LAMINA_HORA!$C$5:$V$114,MATCH($B42,LAMINA_HORA!$A$5:$A$114,0),MATCH(J42,LAMINA_HORA!$C$3:$V$3,0)),"?"))</f>
        <v/>
      </c>
      <c r="L42" s="27">
        <f>IF(OR($B42="",J42=""),"",IFERROR(INDEX(LAMINA_HORA!$W$5:$AP$114,MATCH($B42,LAMINA_HORA!$A$5:$A$114,0),MATCH(J42,LAMINA_HORA!$W$3:$AP$3,0)),"?"))</f>
        <v/>
      </c>
      <c r="M42" s="7" t="n"/>
      <c r="N42" s="27">
        <f>IF(OR($B42="",M42=""),"",IFERROR(INDEX(LAMINA_HORA!$C$5:$V$114,MATCH($B42,LAMINA_HORA!$A$5:$A$114,0),MATCH(M42,LAMINA_HORA!$C$3:$V$3,0)),"?"))</f>
        <v/>
      </c>
      <c r="O42" s="27">
        <f>IF(OR($B42="",M42=""),"",IFERROR(INDEX(LAMINA_HORA!$W$5:$AP$114,MATCH($B42,LAMINA_HORA!$A$5:$A$114,0),MATCH(M42,LAMINA_HORA!$W$3:$AP$3,0)),"?"))</f>
        <v/>
      </c>
      <c r="P42" s="7" t="n"/>
      <c r="Q42" s="27">
        <f>IF(OR($B42="",P42=""),"",IFERROR(INDEX(LAMINA_HORA!$C$5:$V$114,MATCH($B42,LAMINA_HORA!$A$5:$A$114,0),MATCH(P42,LAMINA_HORA!$C$3:$V$3,0)),"?"))</f>
        <v/>
      </c>
      <c r="R42" s="27">
        <f>IF(OR($B42="",P42=""),"",IFERROR(INDEX(LAMINA_HORA!$W$5:$AP$114,MATCH($B42,LAMINA_HORA!$A$5:$A$114,0),MATCH(P42,LAMINA_HORA!$W$3:$AP$3,0)),"?"))</f>
        <v/>
      </c>
      <c r="S42" s="7" t="n"/>
      <c r="T42" s="27">
        <f>IF(OR($B42="",S42=""),"",IFERROR(INDEX(LAMINA_HORA!$C$5:$V$114,MATCH($B42,LAMINA_HORA!$A$5:$A$114,0),MATCH(S42,LAMINA_HORA!$C$3:$V$3,0)),"?"))</f>
        <v/>
      </c>
      <c r="U42" s="27">
        <f>IF(OR($B42="",S42=""),"",IFERROR(INDEX(LAMINA_HORA!$W$5:$AP$114,MATCH($B42,LAMINA_HORA!$A$5:$A$114,0),MATCH(S42,LAMINA_HORA!$W$3:$AP$3,0)),"?"))</f>
        <v/>
      </c>
      <c r="V42" s="7" t="n"/>
      <c r="W42" s="27">
        <f>IF(OR($B42="",V42=""),"",IFERROR(INDEX(LAMINA_HORA!$C$5:$V$114,MATCH($B42,LAMINA_HORA!$A$5:$A$114,0),MATCH(V42,LAMINA_HORA!$C$3:$V$3,0)),"?"))</f>
        <v/>
      </c>
      <c r="X42" s="27">
        <f>IF(OR($B42="",V42=""),"",IFERROR(INDEX(LAMINA_HORA!$W$5:$AP$114,MATCH($B42,LAMINA_HORA!$A$5:$A$114,0),MATCH(V42,LAMINA_HORA!$W$3:$AP$3,0)),"?"))</f>
        <v/>
      </c>
      <c r="Y42" s="7" t="n"/>
      <c r="Z42" s="27">
        <f>IF(OR($B42="",Y42=""),"",IFERROR(INDEX(LAMINA_HORA!$C$5:$V$114,MATCH($B42,LAMINA_HORA!$A$5:$A$114,0),MATCH(Y42,LAMINA_HORA!$C$3:$V$3,0)),"?"))</f>
        <v/>
      </c>
      <c r="AA42" s="27">
        <f>IF(OR($B42="",Y42=""),"",IFERROR(INDEX(LAMINA_HORA!$W$5:$AP$114,MATCH($B42,LAMINA_HORA!$A$5:$A$114,0),MATCH(Y42,LAMINA_HORA!$W$3:$AP$3,0)),"?"))</f>
        <v/>
      </c>
      <c r="AB42" s="7" t="n"/>
      <c r="AC42" s="27">
        <f>IF(OR($B42="",AB42=""),"",IFERROR(INDEX(LAMINA_HORA!$C$5:$V$114,MATCH($B42,LAMINA_HORA!$A$5:$A$114,0),MATCH(AB42,LAMINA_HORA!$C$3:$V$3,0)),"?"))</f>
        <v/>
      </c>
      <c r="AD42" s="27">
        <f>IF(OR($B42="",AB42=""),"",IFERROR(INDEX(LAMINA_HORA!$W$5:$AP$114,MATCH($B42,LAMINA_HORA!$A$5:$A$114,0),MATCH(AB42,LAMINA_HORA!$W$3:$AP$3,0)),"?"))</f>
        <v/>
      </c>
      <c r="AE42" s="14">
        <f>SUM(K42,N42,Q42,T42,W42,Z42,AC42)</f>
        <v/>
      </c>
      <c r="AF42" s="16">
        <f>IF(OR($G42="",AE42=""),"",AE42*$G42*10)</f>
        <v/>
      </c>
      <c r="AG42" s="16">
        <f>IF(OR(AF42="",$H42=""),"",AF42*$H42)</f>
        <v/>
      </c>
      <c r="AH42" s="20" t="n"/>
    </row>
    <row r="43">
      <c r="A43" s="5" t="inlineStr">
        <is>
          <t>Pivô 55</t>
        </is>
      </c>
      <c r="B43" s="7" t="inlineStr">
        <is>
          <t>P55</t>
        </is>
      </c>
      <c r="C43" s="5" t="inlineStr">
        <is>
          <t>R13</t>
        </is>
      </c>
      <c r="D43" s="5" t="inlineStr">
        <is>
          <t>Modulo 3</t>
        </is>
      </c>
      <c r="E43" s="6" t="inlineStr">
        <is>
          <t>CZ 48B18 IPRO</t>
        </is>
      </c>
      <c r="F43" s="26" t="inlineStr"/>
      <c r="G43" s="15" t="n">
        <v>150</v>
      </c>
      <c r="H43" s="17" t="n">
        <v>0.9429999999999999</v>
      </c>
      <c r="J43" s="7" t="n"/>
      <c r="K43" s="27">
        <f>IF(OR($B43="",J43=""),"",IFERROR(INDEX(LAMINA_HORA!$C$5:$V$114,MATCH($B43,LAMINA_HORA!$A$5:$A$114,0),MATCH(J43,LAMINA_HORA!$C$3:$V$3,0)),"?"))</f>
        <v/>
      </c>
      <c r="L43" s="27">
        <f>IF(OR($B43="",J43=""),"",IFERROR(INDEX(LAMINA_HORA!$W$5:$AP$114,MATCH($B43,LAMINA_HORA!$A$5:$A$114,0),MATCH(J43,LAMINA_HORA!$W$3:$AP$3,0)),"?"))</f>
        <v/>
      </c>
      <c r="M43" s="7" t="n"/>
      <c r="N43" s="27">
        <f>IF(OR($B43="",M43=""),"",IFERROR(INDEX(LAMINA_HORA!$C$5:$V$114,MATCH($B43,LAMINA_HORA!$A$5:$A$114,0),MATCH(M43,LAMINA_HORA!$C$3:$V$3,0)),"?"))</f>
        <v/>
      </c>
      <c r="O43" s="27">
        <f>IF(OR($B43="",M43=""),"",IFERROR(INDEX(LAMINA_HORA!$W$5:$AP$114,MATCH($B43,LAMINA_HORA!$A$5:$A$114,0),MATCH(M43,LAMINA_HORA!$W$3:$AP$3,0)),"?"))</f>
        <v/>
      </c>
      <c r="P43" s="7" t="n"/>
      <c r="Q43" s="27">
        <f>IF(OR($B43="",P43=""),"",IFERROR(INDEX(LAMINA_HORA!$C$5:$V$114,MATCH($B43,LAMINA_HORA!$A$5:$A$114,0),MATCH(P43,LAMINA_HORA!$C$3:$V$3,0)),"?"))</f>
        <v/>
      </c>
      <c r="R43" s="27">
        <f>IF(OR($B43="",P43=""),"",IFERROR(INDEX(LAMINA_HORA!$W$5:$AP$114,MATCH($B43,LAMINA_HORA!$A$5:$A$114,0),MATCH(P43,LAMINA_HORA!$W$3:$AP$3,0)),"?"))</f>
        <v/>
      </c>
      <c r="S43" s="7" t="n"/>
      <c r="T43" s="27">
        <f>IF(OR($B43="",S43=""),"",IFERROR(INDEX(LAMINA_HORA!$C$5:$V$114,MATCH($B43,LAMINA_HORA!$A$5:$A$114,0),MATCH(S43,LAMINA_HORA!$C$3:$V$3,0)),"?"))</f>
        <v/>
      </c>
      <c r="U43" s="27">
        <f>IF(OR($B43="",S43=""),"",IFERROR(INDEX(LAMINA_HORA!$W$5:$AP$114,MATCH($B43,LAMINA_HORA!$A$5:$A$114,0),MATCH(S43,LAMINA_HORA!$W$3:$AP$3,0)),"?"))</f>
        <v/>
      </c>
      <c r="V43" s="7" t="n"/>
      <c r="W43" s="27">
        <f>IF(OR($B43="",V43=""),"",IFERROR(INDEX(LAMINA_HORA!$C$5:$V$114,MATCH($B43,LAMINA_HORA!$A$5:$A$114,0),MATCH(V43,LAMINA_HORA!$C$3:$V$3,0)),"?"))</f>
        <v/>
      </c>
      <c r="X43" s="27">
        <f>IF(OR($B43="",V43=""),"",IFERROR(INDEX(LAMINA_HORA!$W$5:$AP$114,MATCH($B43,LAMINA_HORA!$A$5:$A$114,0),MATCH(V43,LAMINA_HORA!$W$3:$AP$3,0)),"?"))</f>
        <v/>
      </c>
      <c r="Y43" s="7" t="n"/>
      <c r="Z43" s="27">
        <f>IF(OR($B43="",Y43=""),"",IFERROR(INDEX(LAMINA_HORA!$C$5:$V$114,MATCH($B43,LAMINA_HORA!$A$5:$A$114,0),MATCH(Y43,LAMINA_HORA!$C$3:$V$3,0)),"?"))</f>
        <v/>
      </c>
      <c r="AA43" s="27">
        <f>IF(OR($B43="",Y43=""),"",IFERROR(INDEX(LAMINA_HORA!$W$5:$AP$114,MATCH($B43,LAMINA_HORA!$A$5:$A$114,0),MATCH(Y43,LAMINA_HORA!$W$3:$AP$3,0)),"?"))</f>
        <v/>
      </c>
      <c r="AB43" s="7" t="n"/>
      <c r="AC43" s="27">
        <f>IF(OR($B43="",AB43=""),"",IFERROR(INDEX(LAMINA_HORA!$C$5:$V$114,MATCH($B43,LAMINA_HORA!$A$5:$A$114,0),MATCH(AB43,LAMINA_HORA!$C$3:$V$3,0)),"?"))</f>
        <v/>
      </c>
      <c r="AD43" s="27">
        <f>IF(OR($B43="",AB43=""),"",IFERROR(INDEX(LAMINA_HORA!$W$5:$AP$114,MATCH($B43,LAMINA_HORA!$A$5:$A$114,0),MATCH(AB43,LAMINA_HORA!$W$3:$AP$3,0)),"?"))</f>
        <v/>
      </c>
      <c r="AE43" s="14">
        <f>SUM(K43,N43,Q43,T43,W43,Z43,AC43)</f>
        <v/>
      </c>
      <c r="AF43" s="16">
        <f>IF(OR($G43="",AE43=""),"",AE43*$G43*10)</f>
        <v/>
      </c>
      <c r="AG43" s="16">
        <f>IF(OR(AF43="",$H43=""),"",AF43*$H43)</f>
        <v/>
      </c>
      <c r="AH43" s="20" t="n"/>
    </row>
    <row r="44">
      <c r="A44" s="5" t="inlineStr">
        <is>
          <t>Pivô 56</t>
        </is>
      </c>
      <c r="B44" s="7" t="inlineStr">
        <is>
          <t>P56</t>
        </is>
      </c>
      <c r="C44" s="5" t="inlineStr">
        <is>
          <t>R14</t>
        </is>
      </c>
      <c r="D44" s="5" t="inlineStr">
        <is>
          <t>Modulo 3</t>
        </is>
      </c>
      <c r="E44" s="6" t="inlineStr">
        <is>
          <t>CZ 48B18 IPRO</t>
        </is>
      </c>
      <c r="F44" s="26" t="inlineStr"/>
      <c r="G44" s="15" t="n">
        <v>55</v>
      </c>
      <c r="H44" s="17" t="n">
        <v>0.788</v>
      </c>
      <c r="J44" s="7" t="n"/>
      <c r="K44" s="27">
        <f>IF(OR($B44="",J44=""),"",IFERROR(INDEX(LAMINA_HORA!$C$5:$V$114,MATCH($B44,LAMINA_HORA!$A$5:$A$114,0),MATCH(J44,LAMINA_HORA!$C$3:$V$3,0)),"?"))</f>
        <v/>
      </c>
      <c r="L44" s="27">
        <f>IF(OR($B44="",J44=""),"",IFERROR(INDEX(LAMINA_HORA!$W$5:$AP$114,MATCH($B44,LAMINA_HORA!$A$5:$A$114,0),MATCH(J44,LAMINA_HORA!$W$3:$AP$3,0)),"?"))</f>
        <v/>
      </c>
      <c r="M44" s="7" t="n"/>
      <c r="N44" s="27">
        <f>IF(OR($B44="",M44=""),"",IFERROR(INDEX(LAMINA_HORA!$C$5:$V$114,MATCH($B44,LAMINA_HORA!$A$5:$A$114,0),MATCH(M44,LAMINA_HORA!$C$3:$V$3,0)),"?"))</f>
        <v/>
      </c>
      <c r="O44" s="27">
        <f>IF(OR($B44="",M44=""),"",IFERROR(INDEX(LAMINA_HORA!$W$5:$AP$114,MATCH($B44,LAMINA_HORA!$A$5:$A$114,0),MATCH(M44,LAMINA_HORA!$W$3:$AP$3,0)),"?"))</f>
        <v/>
      </c>
      <c r="P44" s="7" t="n"/>
      <c r="Q44" s="27">
        <f>IF(OR($B44="",P44=""),"",IFERROR(INDEX(LAMINA_HORA!$C$5:$V$114,MATCH($B44,LAMINA_HORA!$A$5:$A$114,0),MATCH(P44,LAMINA_HORA!$C$3:$V$3,0)),"?"))</f>
        <v/>
      </c>
      <c r="R44" s="27">
        <f>IF(OR($B44="",P44=""),"",IFERROR(INDEX(LAMINA_HORA!$W$5:$AP$114,MATCH($B44,LAMINA_HORA!$A$5:$A$114,0),MATCH(P44,LAMINA_HORA!$W$3:$AP$3,0)),"?"))</f>
        <v/>
      </c>
      <c r="S44" s="7" t="n"/>
      <c r="T44" s="27">
        <f>IF(OR($B44="",S44=""),"",IFERROR(INDEX(LAMINA_HORA!$C$5:$V$114,MATCH($B44,LAMINA_HORA!$A$5:$A$114,0),MATCH(S44,LAMINA_HORA!$C$3:$V$3,0)),"?"))</f>
        <v/>
      </c>
      <c r="U44" s="27">
        <f>IF(OR($B44="",S44=""),"",IFERROR(INDEX(LAMINA_HORA!$W$5:$AP$114,MATCH($B44,LAMINA_HORA!$A$5:$A$114,0),MATCH(S44,LAMINA_HORA!$W$3:$AP$3,0)),"?"))</f>
        <v/>
      </c>
      <c r="V44" s="7" t="n"/>
      <c r="W44" s="27">
        <f>IF(OR($B44="",V44=""),"",IFERROR(INDEX(LAMINA_HORA!$C$5:$V$114,MATCH($B44,LAMINA_HORA!$A$5:$A$114,0),MATCH(V44,LAMINA_HORA!$C$3:$V$3,0)),"?"))</f>
        <v/>
      </c>
      <c r="X44" s="27">
        <f>IF(OR($B44="",V44=""),"",IFERROR(INDEX(LAMINA_HORA!$W$5:$AP$114,MATCH($B44,LAMINA_HORA!$A$5:$A$114,0),MATCH(V44,LAMINA_HORA!$W$3:$AP$3,0)),"?"))</f>
        <v/>
      </c>
      <c r="Y44" s="7" t="n"/>
      <c r="Z44" s="27">
        <f>IF(OR($B44="",Y44=""),"",IFERROR(INDEX(LAMINA_HORA!$C$5:$V$114,MATCH($B44,LAMINA_HORA!$A$5:$A$114,0),MATCH(Y44,LAMINA_HORA!$C$3:$V$3,0)),"?"))</f>
        <v/>
      </c>
      <c r="AA44" s="27">
        <f>IF(OR($B44="",Y44=""),"",IFERROR(INDEX(LAMINA_HORA!$W$5:$AP$114,MATCH($B44,LAMINA_HORA!$A$5:$A$114,0),MATCH(Y44,LAMINA_HORA!$W$3:$AP$3,0)),"?"))</f>
        <v/>
      </c>
      <c r="AB44" s="7" t="n"/>
      <c r="AC44" s="27">
        <f>IF(OR($B44="",AB44=""),"",IFERROR(INDEX(LAMINA_HORA!$C$5:$V$114,MATCH($B44,LAMINA_HORA!$A$5:$A$114,0),MATCH(AB44,LAMINA_HORA!$C$3:$V$3,0)),"?"))</f>
        <v/>
      </c>
      <c r="AD44" s="27">
        <f>IF(OR($B44="",AB44=""),"",IFERROR(INDEX(LAMINA_HORA!$W$5:$AP$114,MATCH($B44,LAMINA_HORA!$A$5:$A$114,0),MATCH(AB44,LAMINA_HORA!$W$3:$AP$3,0)),"?"))</f>
        <v/>
      </c>
      <c r="AE44" s="14">
        <f>SUM(K44,N44,Q44,T44,W44,Z44,AC44)</f>
        <v/>
      </c>
      <c r="AF44" s="16">
        <f>IF(OR($G44="",AE44=""),"",AE44*$G44*10)</f>
        <v/>
      </c>
      <c r="AG44" s="16">
        <f>IF(OR(AF44="",$H44=""),"",AF44*$H44)</f>
        <v/>
      </c>
      <c r="AH44" s="20" t="n"/>
    </row>
    <row r="45">
      <c r="A45" s="5" t="inlineStr">
        <is>
          <t>Pivô 57</t>
        </is>
      </c>
      <c r="B45" s="7" t="inlineStr">
        <is>
          <t>P57</t>
        </is>
      </c>
      <c r="C45" s="5" t="inlineStr">
        <is>
          <t>R15</t>
        </is>
      </c>
      <c r="D45" s="5" t="inlineStr">
        <is>
          <t>Modulo 3</t>
        </is>
      </c>
      <c r="E45" s="6" t="inlineStr">
        <is>
          <t>BMX Olimpo IPRO</t>
        </is>
      </c>
      <c r="F45" s="26" t="inlineStr"/>
      <c r="G45" s="15" t="n">
        <v>150</v>
      </c>
      <c r="H45" s="17" t="n">
        <v>0.841</v>
      </c>
      <c r="J45" s="7" t="n"/>
      <c r="K45" s="27">
        <f>IF(OR($B45="",J45=""),"",IFERROR(INDEX(LAMINA_HORA!$C$5:$V$114,MATCH($B45,LAMINA_HORA!$A$5:$A$114,0),MATCH(J45,LAMINA_HORA!$C$3:$V$3,0)),"?"))</f>
        <v/>
      </c>
      <c r="L45" s="27">
        <f>IF(OR($B45="",J45=""),"",IFERROR(INDEX(LAMINA_HORA!$W$5:$AP$114,MATCH($B45,LAMINA_HORA!$A$5:$A$114,0),MATCH(J45,LAMINA_HORA!$W$3:$AP$3,0)),"?"))</f>
        <v/>
      </c>
      <c r="M45" s="7" t="n"/>
      <c r="N45" s="27">
        <f>IF(OR($B45="",M45=""),"",IFERROR(INDEX(LAMINA_HORA!$C$5:$V$114,MATCH($B45,LAMINA_HORA!$A$5:$A$114,0),MATCH(M45,LAMINA_HORA!$C$3:$V$3,0)),"?"))</f>
        <v/>
      </c>
      <c r="O45" s="27">
        <f>IF(OR($B45="",M45=""),"",IFERROR(INDEX(LAMINA_HORA!$W$5:$AP$114,MATCH($B45,LAMINA_HORA!$A$5:$A$114,0),MATCH(M45,LAMINA_HORA!$W$3:$AP$3,0)),"?"))</f>
        <v/>
      </c>
      <c r="P45" s="7" t="n"/>
      <c r="Q45" s="27">
        <f>IF(OR($B45="",P45=""),"",IFERROR(INDEX(LAMINA_HORA!$C$5:$V$114,MATCH($B45,LAMINA_HORA!$A$5:$A$114,0),MATCH(P45,LAMINA_HORA!$C$3:$V$3,0)),"?"))</f>
        <v/>
      </c>
      <c r="R45" s="27">
        <f>IF(OR($B45="",P45=""),"",IFERROR(INDEX(LAMINA_HORA!$W$5:$AP$114,MATCH($B45,LAMINA_HORA!$A$5:$A$114,0),MATCH(P45,LAMINA_HORA!$W$3:$AP$3,0)),"?"))</f>
        <v/>
      </c>
      <c r="S45" s="7" t="n"/>
      <c r="T45" s="27">
        <f>IF(OR($B45="",S45=""),"",IFERROR(INDEX(LAMINA_HORA!$C$5:$V$114,MATCH($B45,LAMINA_HORA!$A$5:$A$114,0),MATCH(S45,LAMINA_HORA!$C$3:$V$3,0)),"?"))</f>
        <v/>
      </c>
      <c r="U45" s="27">
        <f>IF(OR($B45="",S45=""),"",IFERROR(INDEX(LAMINA_HORA!$W$5:$AP$114,MATCH($B45,LAMINA_HORA!$A$5:$A$114,0),MATCH(S45,LAMINA_HORA!$W$3:$AP$3,0)),"?"))</f>
        <v/>
      </c>
      <c r="V45" s="7" t="n"/>
      <c r="W45" s="27">
        <f>IF(OR($B45="",V45=""),"",IFERROR(INDEX(LAMINA_HORA!$C$5:$V$114,MATCH($B45,LAMINA_HORA!$A$5:$A$114,0),MATCH(V45,LAMINA_HORA!$C$3:$V$3,0)),"?"))</f>
        <v/>
      </c>
      <c r="X45" s="27">
        <f>IF(OR($B45="",V45=""),"",IFERROR(INDEX(LAMINA_HORA!$W$5:$AP$114,MATCH($B45,LAMINA_HORA!$A$5:$A$114,0),MATCH(V45,LAMINA_HORA!$W$3:$AP$3,0)),"?"))</f>
        <v/>
      </c>
      <c r="Y45" s="7" t="n"/>
      <c r="Z45" s="27">
        <f>IF(OR($B45="",Y45=""),"",IFERROR(INDEX(LAMINA_HORA!$C$5:$V$114,MATCH($B45,LAMINA_HORA!$A$5:$A$114,0),MATCH(Y45,LAMINA_HORA!$C$3:$V$3,0)),"?"))</f>
        <v/>
      </c>
      <c r="AA45" s="27">
        <f>IF(OR($B45="",Y45=""),"",IFERROR(INDEX(LAMINA_HORA!$W$5:$AP$114,MATCH($B45,LAMINA_HORA!$A$5:$A$114,0),MATCH(Y45,LAMINA_HORA!$W$3:$AP$3,0)),"?"))</f>
        <v/>
      </c>
      <c r="AB45" s="7" t="n"/>
      <c r="AC45" s="27">
        <f>IF(OR($B45="",AB45=""),"",IFERROR(INDEX(LAMINA_HORA!$C$5:$V$114,MATCH($B45,LAMINA_HORA!$A$5:$A$114,0),MATCH(AB45,LAMINA_HORA!$C$3:$V$3,0)),"?"))</f>
        <v/>
      </c>
      <c r="AD45" s="27">
        <f>IF(OR($B45="",AB45=""),"",IFERROR(INDEX(LAMINA_HORA!$W$5:$AP$114,MATCH($B45,LAMINA_HORA!$A$5:$A$114,0),MATCH(AB45,LAMINA_HORA!$W$3:$AP$3,0)),"?"))</f>
        <v/>
      </c>
      <c r="AE45" s="14">
        <f>SUM(K45,N45,Q45,T45,W45,Z45,AC45)</f>
        <v/>
      </c>
      <c r="AF45" s="16">
        <f>IF(OR($G45="",AE45=""),"",AE45*$G45*10)</f>
        <v/>
      </c>
      <c r="AG45" s="16">
        <f>IF(OR(AF45="",$H45=""),"",AF45*$H45)</f>
        <v/>
      </c>
      <c r="AH45" s="20" t="n"/>
    </row>
    <row r="46">
      <c r="A46" s="5" t="inlineStr">
        <is>
          <t>Pivô 58</t>
        </is>
      </c>
      <c r="B46" s="7" t="inlineStr">
        <is>
          <t>P58</t>
        </is>
      </c>
      <c r="C46" s="5" t="inlineStr">
        <is>
          <t>R15</t>
        </is>
      </c>
      <c r="D46" s="5" t="inlineStr">
        <is>
          <t>Modulo 3</t>
        </is>
      </c>
      <c r="E46" s="6" t="inlineStr">
        <is>
          <t>BMX Olimpo IPRO</t>
        </is>
      </c>
      <c r="F46" s="26" t="inlineStr"/>
      <c r="G46" s="15" t="n">
        <v>150</v>
      </c>
      <c r="H46" s="17" t="n">
        <v>0.789</v>
      </c>
      <c r="J46" s="7" t="n"/>
      <c r="K46" s="27">
        <f>IF(OR($B46="",J46=""),"",IFERROR(INDEX(LAMINA_HORA!$C$5:$V$114,MATCH($B46,LAMINA_HORA!$A$5:$A$114,0),MATCH(J46,LAMINA_HORA!$C$3:$V$3,0)),"?"))</f>
        <v/>
      </c>
      <c r="L46" s="27">
        <f>IF(OR($B46="",J46=""),"",IFERROR(INDEX(LAMINA_HORA!$W$5:$AP$114,MATCH($B46,LAMINA_HORA!$A$5:$A$114,0),MATCH(J46,LAMINA_HORA!$W$3:$AP$3,0)),"?"))</f>
        <v/>
      </c>
      <c r="M46" s="7" t="n"/>
      <c r="N46" s="27">
        <f>IF(OR($B46="",M46=""),"",IFERROR(INDEX(LAMINA_HORA!$C$5:$V$114,MATCH($B46,LAMINA_HORA!$A$5:$A$114,0),MATCH(M46,LAMINA_HORA!$C$3:$V$3,0)),"?"))</f>
        <v/>
      </c>
      <c r="O46" s="27">
        <f>IF(OR($B46="",M46=""),"",IFERROR(INDEX(LAMINA_HORA!$W$5:$AP$114,MATCH($B46,LAMINA_HORA!$A$5:$A$114,0),MATCH(M46,LAMINA_HORA!$W$3:$AP$3,0)),"?"))</f>
        <v/>
      </c>
      <c r="P46" s="7" t="n"/>
      <c r="Q46" s="27">
        <f>IF(OR($B46="",P46=""),"",IFERROR(INDEX(LAMINA_HORA!$C$5:$V$114,MATCH($B46,LAMINA_HORA!$A$5:$A$114,0),MATCH(P46,LAMINA_HORA!$C$3:$V$3,0)),"?"))</f>
        <v/>
      </c>
      <c r="R46" s="27">
        <f>IF(OR($B46="",P46=""),"",IFERROR(INDEX(LAMINA_HORA!$W$5:$AP$114,MATCH($B46,LAMINA_HORA!$A$5:$A$114,0),MATCH(P46,LAMINA_HORA!$W$3:$AP$3,0)),"?"))</f>
        <v/>
      </c>
      <c r="S46" s="7" t="n"/>
      <c r="T46" s="27">
        <f>IF(OR($B46="",S46=""),"",IFERROR(INDEX(LAMINA_HORA!$C$5:$V$114,MATCH($B46,LAMINA_HORA!$A$5:$A$114,0),MATCH(S46,LAMINA_HORA!$C$3:$V$3,0)),"?"))</f>
        <v/>
      </c>
      <c r="U46" s="27">
        <f>IF(OR($B46="",S46=""),"",IFERROR(INDEX(LAMINA_HORA!$W$5:$AP$114,MATCH($B46,LAMINA_HORA!$A$5:$A$114,0),MATCH(S46,LAMINA_HORA!$W$3:$AP$3,0)),"?"))</f>
        <v/>
      </c>
      <c r="V46" s="7" t="n"/>
      <c r="W46" s="27">
        <f>IF(OR($B46="",V46=""),"",IFERROR(INDEX(LAMINA_HORA!$C$5:$V$114,MATCH($B46,LAMINA_HORA!$A$5:$A$114,0),MATCH(V46,LAMINA_HORA!$C$3:$V$3,0)),"?"))</f>
        <v/>
      </c>
      <c r="X46" s="27">
        <f>IF(OR($B46="",V46=""),"",IFERROR(INDEX(LAMINA_HORA!$W$5:$AP$114,MATCH($B46,LAMINA_HORA!$A$5:$A$114,0),MATCH(V46,LAMINA_HORA!$W$3:$AP$3,0)),"?"))</f>
        <v/>
      </c>
      <c r="Y46" s="7" t="n"/>
      <c r="Z46" s="27">
        <f>IF(OR($B46="",Y46=""),"",IFERROR(INDEX(LAMINA_HORA!$C$5:$V$114,MATCH($B46,LAMINA_HORA!$A$5:$A$114,0),MATCH(Y46,LAMINA_HORA!$C$3:$V$3,0)),"?"))</f>
        <v/>
      </c>
      <c r="AA46" s="27">
        <f>IF(OR($B46="",Y46=""),"",IFERROR(INDEX(LAMINA_HORA!$W$5:$AP$114,MATCH($B46,LAMINA_HORA!$A$5:$A$114,0),MATCH(Y46,LAMINA_HORA!$W$3:$AP$3,0)),"?"))</f>
        <v/>
      </c>
      <c r="AB46" s="7" t="n"/>
      <c r="AC46" s="27">
        <f>IF(OR($B46="",AB46=""),"",IFERROR(INDEX(LAMINA_HORA!$C$5:$V$114,MATCH($B46,LAMINA_HORA!$A$5:$A$114,0),MATCH(AB46,LAMINA_HORA!$C$3:$V$3,0)),"?"))</f>
        <v/>
      </c>
      <c r="AD46" s="27">
        <f>IF(OR($B46="",AB46=""),"",IFERROR(INDEX(LAMINA_HORA!$W$5:$AP$114,MATCH($B46,LAMINA_HORA!$A$5:$A$114,0),MATCH(AB46,LAMINA_HORA!$W$3:$AP$3,0)),"?"))</f>
        <v/>
      </c>
      <c r="AE46" s="14">
        <f>SUM(K46,N46,Q46,T46,W46,Z46,AC46)</f>
        <v/>
      </c>
      <c r="AF46" s="16">
        <f>IF(OR($G46="",AE46=""),"",AE46*$G46*10)</f>
        <v/>
      </c>
      <c r="AG46" s="16">
        <f>IF(OR(AF46="",$H46=""),"",AF46*$H46)</f>
        <v/>
      </c>
      <c r="AH46" s="20" t="n"/>
    </row>
    <row r="47">
      <c r="A47" s="5" t="inlineStr">
        <is>
          <t>Pivô 59</t>
        </is>
      </c>
      <c r="B47" s="7" t="inlineStr">
        <is>
          <t>P59</t>
        </is>
      </c>
      <c r="C47" s="5" t="inlineStr">
        <is>
          <t>R15</t>
        </is>
      </c>
      <c r="D47" s="5" t="inlineStr">
        <is>
          <t>Modulo 3</t>
        </is>
      </c>
      <c r="E47" s="6" t="inlineStr">
        <is>
          <t>BMX Olimpo IPRO</t>
        </is>
      </c>
      <c r="F47" s="26" t="inlineStr"/>
      <c r="G47" s="15" t="n">
        <v>143</v>
      </c>
      <c r="H47" s="17" t="n">
        <v>0.823</v>
      </c>
      <c r="J47" s="7" t="n"/>
      <c r="K47" s="27">
        <f>IF(OR($B47="",J47=""),"",IFERROR(INDEX(LAMINA_HORA!$C$5:$V$114,MATCH($B47,LAMINA_HORA!$A$5:$A$114,0),MATCH(J47,LAMINA_HORA!$C$3:$V$3,0)),"?"))</f>
        <v/>
      </c>
      <c r="L47" s="27">
        <f>IF(OR($B47="",J47=""),"",IFERROR(INDEX(LAMINA_HORA!$W$5:$AP$114,MATCH($B47,LAMINA_HORA!$A$5:$A$114,0),MATCH(J47,LAMINA_HORA!$W$3:$AP$3,0)),"?"))</f>
        <v/>
      </c>
      <c r="M47" s="7" t="n"/>
      <c r="N47" s="27">
        <f>IF(OR($B47="",M47=""),"",IFERROR(INDEX(LAMINA_HORA!$C$5:$V$114,MATCH($B47,LAMINA_HORA!$A$5:$A$114,0),MATCH(M47,LAMINA_HORA!$C$3:$V$3,0)),"?"))</f>
        <v/>
      </c>
      <c r="O47" s="27">
        <f>IF(OR($B47="",M47=""),"",IFERROR(INDEX(LAMINA_HORA!$W$5:$AP$114,MATCH($B47,LAMINA_HORA!$A$5:$A$114,0),MATCH(M47,LAMINA_HORA!$W$3:$AP$3,0)),"?"))</f>
        <v/>
      </c>
      <c r="P47" s="7" t="n"/>
      <c r="Q47" s="27">
        <f>IF(OR($B47="",P47=""),"",IFERROR(INDEX(LAMINA_HORA!$C$5:$V$114,MATCH($B47,LAMINA_HORA!$A$5:$A$114,0),MATCH(P47,LAMINA_HORA!$C$3:$V$3,0)),"?"))</f>
        <v/>
      </c>
      <c r="R47" s="27">
        <f>IF(OR($B47="",P47=""),"",IFERROR(INDEX(LAMINA_HORA!$W$5:$AP$114,MATCH($B47,LAMINA_HORA!$A$5:$A$114,0),MATCH(P47,LAMINA_HORA!$W$3:$AP$3,0)),"?"))</f>
        <v/>
      </c>
      <c r="S47" s="7" t="n"/>
      <c r="T47" s="27">
        <f>IF(OR($B47="",S47=""),"",IFERROR(INDEX(LAMINA_HORA!$C$5:$V$114,MATCH($B47,LAMINA_HORA!$A$5:$A$114,0),MATCH(S47,LAMINA_HORA!$C$3:$V$3,0)),"?"))</f>
        <v/>
      </c>
      <c r="U47" s="27">
        <f>IF(OR($B47="",S47=""),"",IFERROR(INDEX(LAMINA_HORA!$W$5:$AP$114,MATCH($B47,LAMINA_HORA!$A$5:$A$114,0),MATCH(S47,LAMINA_HORA!$W$3:$AP$3,0)),"?"))</f>
        <v/>
      </c>
      <c r="V47" s="7" t="n"/>
      <c r="W47" s="27">
        <f>IF(OR($B47="",V47=""),"",IFERROR(INDEX(LAMINA_HORA!$C$5:$V$114,MATCH($B47,LAMINA_HORA!$A$5:$A$114,0),MATCH(V47,LAMINA_HORA!$C$3:$V$3,0)),"?"))</f>
        <v/>
      </c>
      <c r="X47" s="27">
        <f>IF(OR($B47="",V47=""),"",IFERROR(INDEX(LAMINA_HORA!$W$5:$AP$114,MATCH($B47,LAMINA_HORA!$A$5:$A$114,0),MATCH(V47,LAMINA_HORA!$W$3:$AP$3,0)),"?"))</f>
        <v/>
      </c>
      <c r="Y47" s="7" t="n"/>
      <c r="Z47" s="27">
        <f>IF(OR($B47="",Y47=""),"",IFERROR(INDEX(LAMINA_HORA!$C$5:$V$114,MATCH($B47,LAMINA_HORA!$A$5:$A$114,0),MATCH(Y47,LAMINA_HORA!$C$3:$V$3,0)),"?"))</f>
        <v/>
      </c>
      <c r="AA47" s="27">
        <f>IF(OR($B47="",Y47=""),"",IFERROR(INDEX(LAMINA_HORA!$W$5:$AP$114,MATCH($B47,LAMINA_HORA!$A$5:$A$114,0),MATCH(Y47,LAMINA_HORA!$W$3:$AP$3,0)),"?"))</f>
        <v/>
      </c>
      <c r="AB47" s="7" t="n"/>
      <c r="AC47" s="27">
        <f>IF(OR($B47="",AB47=""),"",IFERROR(INDEX(LAMINA_HORA!$C$5:$V$114,MATCH($B47,LAMINA_HORA!$A$5:$A$114,0),MATCH(AB47,LAMINA_HORA!$C$3:$V$3,0)),"?"))</f>
        <v/>
      </c>
      <c r="AD47" s="27">
        <f>IF(OR($B47="",AB47=""),"",IFERROR(INDEX(LAMINA_HORA!$W$5:$AP$114,MATCH($B47,LAMINA_HORA!$A$5:$A$114,0),MATCH(AB47,LAMINA_HORA!$W$3:$AP$3,0)),"?"))</f>
        <v/>
      </c>
      <c r="AE47" s="14">
        <f>SUM(K47,N47,Q47,T47,W47,Z47,AC47)</f>
        <v/>
      </c>
      <c r="AF47" s="16">
        <f>IF(OR($G47="",AE47=""),"",AE47*$G47*10)</f>
        <v/>
      </c>
      <c r="AG47" s="16">
        <f>IF(OR(AF47="",$H47=""),"",AF47*$H47)</f>
        <v/>
      </c>
      <c r="AH47" s="20" t="n"/>
    </row>
    <row r="48">
      <c r="A48" s="5" t="inlineStr">
        <is>
          <t>Pivô 60</t>
        </is>
      </c>
      <c r="B48" s="7" t="inlineStr">
        <is>
          <t>P60</t>
        </is>
      </c>
      <c r="C48" s="5" t="inlineStr">
        <is>
          <t>R15</t>
        </is>
      </c>
      <c r="D48" s="5" t="inlineStr">
        <is>
          <t>Modulo 3</t>
        </is>
      </c>
      <c r="E48" s="6" t="inlineStr">
        <is>
          <t>BMX Olimpo IPRO</t>
        </is>
      </c>
      <c r="F48" s="26" t="inlineStr"/>
      <c r="G48" s="15" t="n">
        <v>150</v>
      </c>
      <c r="H48" s="17" t="n">
        <v>0.819</v>
      </c>
      <c r="J48" s="7" t="n"/>
      <c r="K48" s="27">
        <f>IF(OR($B48="",J48=""),"",IFERROR(INDEX(LAMINA_HORA!$C$5:$V$114,MATCH($B48,LAMINA_HORA!$A$5:$A$114,0),MATCH(J48,LAMINA_HORA!$C$3:$V$3,0)),"?"))</f>
        <v/>
      </c>
      <c r="L48" s="27">
        <f>IF(OR($B48="",J48=""),"",IFERROR(INDEX(LAMINA_HORA!$W$5:$AP$114,MATCH($B48,LAMINA_HORA!$A$5:$A$114,0),MATCH(J48,LAMINA_HORA!$W$3:$AP$3,0)),"?"))</f>
        <v/>
      </c>
      <c r="M48" s="7" t="n"/>
      <c r="N48" s="27">
        <f>IF(OR($B48="",M48=""),"",IFERROR(INDEX(LAMINA_HORA!$C$5:$V$114,MATCH($B48,LAMINA_HORA!$A$5:$A$114,0),MATCH(M48,LAMINA_HORA!$C$3:$V$3,0)),"?"))</f>
        <v/>
      </c>
      <c r="O48" s="27">
        <f>IF(OR($B48="",M48=""),"",IFERROR(INDEX(LAMINA_HORA!$W$5:$AP$114,MATCH($B48,LAMINA_HORA!$A$5:$A$114,0),MATCH(M48,LAMINA_HORA!$W$3:$AP$3,0)),"?"))</f>
        <v/>
      </c>
      <c r="P48" s="7" t="n"/>
      <c r="Q48" s="27">
        <f>IF(OR($B48="",P48=""),"",IFERROR(INDEX(LAMINA_HORA!$C$5:$V$114,MATCH($B48,LAMINA_HORA!$A$5:$A$114,0),MATCH(P48,LAMINA_HORA!$C$3:$V$3,0)),"?"))</f>
        <v/>
      </c>
      <c r="R48" s="27">
        <f>IF(OR($B48="",P48=""),"",IFERROR(INDEX(LAMINA_HORA!$W$5:$AP$114,MATCH($B48,LAMINA_HORA!$A$5:$A$114,0),MATCH(P48,LAMINA_HORA!$W$3:$AP$3,0)),"?"))</f>
        <v/>
      </c>
      <c r="S48" s="7" t="n"/>
      <c r="T48" s="27">
        <f>IF(OR($B48="",S48=""),"",IFERROR(INDEX(LAMINA_HORA!$C$5:$V$114,MATCH($B48,LAMINA_HORA!$A$5:$A$114,0),MATCH(S48,LAMINA_HORA!$C$3:$V$3,0)),"?"))</f>
        <v/>
      </c>
      <c r="U48" s="27">
        <f>IF(OR($B48="",S48=""),"",IFERROR(INDEX(LAMINA_HORA!$W$5:$AP$114,MATCH($B48,LAMINA_HORA!$A$5:$A$114,0),MATCH(S48,LAMINA_HORA!$W$3:$AP$3,0)),"?"))</f>
        <v/>
      </c>
      <c r="V48" s="7" t="n"/>
      <c r="W48" s="27">
        <f>IF(OR($B48="",V48=""),"",IFERROR(INDEX(LAMINA_HORA!$C$5:$V$114,MATCH($B48,LAMINA_HORA!$A$5:$A$114,0),MATCH(V48,LAMINA_HORA!$C$3:$V$3,0)),"?"))</f>
        <v/>
      </c>
      <c r="X48" s="27">
        <f>IF(OR($B48="",V48=""),"",IFERROR(INDEX(LAMINA_HORA!$W$5:$AP$114,MATCH($B48,LAMINA_HORA!$A$5:$A$114,0),MATCH(V48,LAMINA_HORA!$W$3:$AP$3,0)),"?"))</f>
        <v/>
      </c>
      <c r="Y48" s="7" t="n"/>
      <c r="Z48" s="27">
        <f>IF(OR($B48="",Y48=""),"",IFERROR(INDEX(LAMINA_HORA!$C$5:$V$114,MATCH($B48,LAMINA_HORA!$A$5:$A$114,0),MATCH(Y48,LAMINA_HORA!$C$3:$V$3,0)),"?"))</f>
        <v/>
      </c>
      <c r="AA48" s="27">
        <f>IF(OR($B48="",Y48=""),"",IFERROR(INDEX(LAMINA_HORA!$W$5:$AP$114,MATCH($B48,LAMINA_HORA!$A$5:$A$114,0),MATCH(Y48,LAMINA_HORA!$W$3:$AP$3,0)),"?"))</f>
        <v/>
      </c>
      <c r="AB48" s="7" t="n"/>
      <c r="AC48" s="27">
        <f>IF(OR($B48="",AB48=""),"",IFERROR(INDEX(LAMINA_HORA!$C$5:$V$114,MATCH($B48,LAMINA_HORA!$A$5:$A$114,0),MATCH(AB48,LAMINA_HORA!$C$3:$V$3,0)),"?"))</f>
        <v/>
      </c>
      <c r="AD48" s="27">
        <f>IF(OR($B48="",AB48=""),"",IFERROR(INDEX(LAMINA_HORA!$W$5:$AP$114,MATCH($B48,LAMINA_HORA!$A$5:$A$114,0),MATCH(AB48,LAMINA_HORA!$W$3:$AP$3,0)),"?"))</f>
        <v/>
      </c>
      <c r="AE48" s="14">
        <f>SUM(K48,N48,Q48,T48,W48,Z48,AC48)</f>
        <v/>
      </c>
      <c r="AF48" s="16">
        <f>IF(OR($G48="",AE48=""),"",AE48*$G48*10)</f>
        <v/>
      </c>
      <c r="AG48" s="16">
        <f>IF(OR(AF48="",$H48=""),"",AF48*$H48)</f>
        <v/>
      </c>
      <c r="AH48" s="20" t="n"/>
    </row>
    <row r="49">
      <c r="A49" s="5" t="inlineStr">
        <is>
          <t>Pivô 61</t>
        </is>
      </c>
      <c r="B49" s="7" t="inlineStr">
        <is>
          <t>P61</t>
        </is>
      </c>
      <c r="C49" s="5" t="inlineStr">
        <is>
          <t>R16</t>
        </is>
      </c>
      <c r="D49" s="5" t="inlineStr">
        <is>
          <t>Modulo 3</t>
        </is>
      </c>
      <c r="E49" s="6" t="inlineStr">
        <is>
          <t>BMX Olimpo IPRO</t>
        </is>
      </c>
      <c r="F49" s="26" t="inlineStr"/>
      <c r="G49" s="15" t="n">
        <v>145</v>
      </c>
      <c r="H49" s="17" t="n">
        <v>0.821</v>
      </c>
      <c r="J49" s="7" t="n"/>
      <c r="K49" s="27">
        <f>IF(OR($B49="",J49=""),"",IFERROR(INDEX(LAMINA_HORA!$C$5:$V$114,MATCH($B49,LAMINA_HORA!$A$5:$A$114,0),MATCH(J49,LAMINA_HORA!$C$3:$V$3,0)),"?"))</f>
        <v/>
      </c>
      <c r="L49" s="27">
        <f>IF(OR($B49="",J49=""),"",IFERROR(INDEX(LAMINA_HORA!$W$5:$AP$114,MATCH($B49,LAMINA_HORA!$A$5:$A$114,0),MATCH(J49,LAMINA_HORA!$W$3:$AP$3,0)),"?"))</f>
        <v/>
      </c>
      <c r="M49" s="7" t="n"/>
      <c r="N49" s="27">
        <f>IF(OR($B49="",M49=""),"",IFERROR(INDEX(LAMINA_HORA!$C$5:$V$114,MATCH($B49,LAMINA_HORA!$A$5:$A$114,0),MATCH(M49,LAMINA_HORA!$C$3:$V$3,0)),"?"))</f>
        <v/>
      </c>
      <c r="O49" s="27">
        <f>IF(OR($B49="",M49=""),"",IFERROR(INDEX(LAMINA_HORA!$W$5:$AP$114,MATCH($B49,LAMINA_HORA!$A$5:$A$114,0),MATCH(M49,LAMINA_HORA!$W$3:$AP$3,0)),"?"))</f>
        <v/>
      </c>
      <c r="P49" s="7" t="n"/>
      <c r="Q49" s="27">
        <f>IF(OR($B49="",P49=""),"",IFERROR(INDEX(LAMINA_HORA!$C$5:$V$114,MATCH($B49,LAMINA_HORA!$A$5:$A$114,0),MATCH(P49,LAMINA_HORA!$C$3:$V$3,0)),"?"))</f>
        <v/>
      </c>
      <c r="R49" s="27">
        <f>IF(OR($B49="",P49=""),"",IFERROR(INDEX(LAMINA_HORA!$W$5:$AP$114,MATCH($B49,LAMINA_HORA!$A$5:$A$114,0),MATCH(P49,LAMINA_HORA!$W$3:$AP$3,0)),"?"))</f>
        <v/>
      </c>
      <c r="S49" s="7" t="n"/>
      <c r="T49" s="27">
        <f>IF(OR($B49="",S49=""),"",IFERROR(INDEX(LAMINA_HORA!$C$5:$V$114,MATCH($B49,LAMINA_HORA!$A$5:$A$114,0),MATCH(S49,LAMINA_HORA!$C$3:$V$3,0)),"?"))</f>
        <v/>
      </c>
      <c r="U49" s="27">
        <f>IF(OR($B49="",S49=""),"",IFERROR(INDEX(LAMINA_HORA!$W$5:$AP$114,MATCH($B49,LAMINA_HORA!$A$5:$A$114,0),MATCH(S49,LAMINA_HORA!$W$3:$AP$3,0)),"?"))</f>
        <v/>
      </c>
      <c r="V49" s="7" t="n"/>
      <c r="W49" s="27">
        <f>IF(OR($B49="",V49=""),"",IFERROR(INDEX(LAMINA_HORA!$C$5:$V$114,MATCH($B49,LAMINA_HORA!$A$5:$A$114,0),MATCH(V49,LAMINA_HORA!$C$3:$V$3,0)),"?"))</f>
        <v/>
      </c>
      <c r="X49" s="27">
        <f>IF(OR($B49="",V49=""),"",IFERROR(INDEX(LAMINA_HORA!$W$5:$AP$114,MATCH($B49,LAMINA_HORA!$A$5:$A$114,0),MATCH(V49,LAMINA_HORA!$W$3:$AP$3,0)),"?"))</f>
        <v/>
      </c>
      <c r="Y49" s="7" t="n"/>
      <c r="Z49" s="27">
        <f>IF(OR($B49="",Y49=""),"",IFERROR(INDEX(LAMINA_HORA!$C$5:$V$114,MATCH($B49,LAMINA_HORA!$A$5:$A$114,0),MATCH(Y49,LAMINA_HORA!$C$3:$V$3,0)),"?"))</f>
        <v/>
      </c>
      <c r="AA49" s="27">
        <f>IF(OR($B49="",Y49=""),"",IFERROR(INDEX(LAMINA_HORA!$W$5:$AP$114,MATCH($B49,LAMINA_HORA!$A$5:$A$114,0),MATCH(Y49,LAMINA_HORA!$W$3:$AP$3,0)),"?"))</f>
        <v/>
      </c>
      <c r="AB49" s="7" t="n"/>
      <c r="AC49" s="27">
        <f>IF(OR($B49="",AB49=""),"",IFERROR(INDEX(LAMINA_HORA!$C$5:$V$114,MATCH($B49,LAMINA_HORA!$A$5:$A$114,0),MATCH(AB49,LAMINA_HORA!$C$3:$V$3,0)),"?"))</f>
        <v/>
      </c>
      <c r="AD49" s="27">
        <f>IF(OR($B49="",AB49=""),"",IFERROR(INDEX(LAMINA_HORA!$W$5:$AP$114,MATCH($B49,LAMINA_HORA!$A$5:$A$114,0),MATCH(AB49,LAMINA_HORA!$W$3:$AP$3,0)),"?"))</f>
        <v/>
      </c>
      <c r="AE49" s="14">
        <f>SUM(K49,N49,Q49,T49,W49,Z49,AC49)</f>
        <v/>
      </c>
      <c r="AF49" s="16">
        <f>IF(OR($G49="",AE49=""),"",AE49*$G49*10)</f>
        <v/>
      </c>
      <c r="AG49" s="16">
        <f>IF(OR(AF49="",$H49=""),"",AF49*$H49)</f>
        <v/>
      </c>
      <c r="AH49" s="20" t="n"/>
    </row>
    <row r="50">
      <c r="A50" s="5" t="inlineStr">
        <is>
          <t>Pivô 63</t>
        </is>
      </c>
      <c r="B50" s="7" t="inlineStr">
        <is>
          <t>P63</t>
        </is>
      </c>
      <c r="C50" s="5" t="inlineStr">
        <is>
          <t>R18</t>
        </is>
      </c>
      <c r="D50" s="5" t="inlineStr">
        <is>
          <t>Modulo 3</t>
        </is>
      </c>
      <c r="E50" s="6" t="inlineStr">
        <is>
          <t>NEO 761 I2X</t>
        </is>
      </c>
      <c r="F50" s="26" t="inlineStr"/>
      <c r="G50" s="15" t="n">
        <v>80</v>
      </c>
      <c r="H50" s="17" t="n">
        <v>0.827</v>
      </c>
      <c r="J50" s="7" t="n"/>
      <c r="K50" s="27">
        <f>IF(OR($B50="",J50=""),"",IFERROR(INDEX(LAMINA_HORA!$C$5:$V$114,MATCH($B50,LAMINA_HORA!$A$5:$A$114,0),MATCH(J50,LAMINA_HORA!$C$3:$V$3,0)),"?"))</f>
        <v/>
      </c>
      <c r="L50" s="27">
        <f>IF(OR($B50="",J50=""),"",IFERROR(INDEX(LAMINA_HORA!$W$5:$AP$114,MATCH($B50,LAMINA_HORA!$A$5:$A$114,0),MATCH(J50,LAMINA_HORA!$W$3:$AP$3,0)),"?"))</f>
        <v/>
      </c>
      <c r="M50" s="7" t="n"/>
      <c r="N50" s="27">
        <f>IF(OR($B50="",M50=""),"",IFERROR(INDEX(LAMINA_HORA!$C$5:$V$114,MATCH($B50,LAMINA_HORA!$A$5:$A$114,0),MATCH(M50,LAMINA_HORA!$C$3:$V$3,0)),"?"))</f>
        <v/>
      </c>
      <c r="O50" s="27">
        <f>IF(OR($B50="",M50=""),"",IFERROR(INDEX(LAMINA_HORA!$W$5:$AP$114,MATCH($B50,LAMINA_HORA!$A$5:$A$114,0),MATCH(M50,LAMINA_HORA!$W$3:$AP$3,0)),"?"))</f>
        <v/>
      </c>
      <c r="P50" s="7" t="n"/>
      <c r="Q50" s="27">
        <f>IF(OR($B50="",P50=""),"",IFERROR(INDEX(LAMINA_HORA!$C$5:$V$114,MATCH($B50,LAMINA_HORA!$A$5:$A$114,0),MATCH(P50,LAMINA_HORA!$C$3:$V$3,0)),"?"))</f>
        <v/>
      </c>
      <c r="R50" s="27">
        <f>IF(OR($B50="",P50=""),"",IFERROR(INDEX(LAMINA_HORA!$W$5:$AP$114,MATCH($B50,LAMINA_HORA!$A$5:$A$114,0),MATCH(P50,LAMINA_HORA!$W$3:$AP$3,0)),"?"))</f>
        <v/>
      </c>
      <c r="S50" s="7" t="n"/>
      <c r="T50" s="27">
        <f>IF(OR($B50="",S50=""),"",IFERROR(INDEX(LAMINA_HORA!$C$5:$V$114,MATCH($B50,LAMINA_HORA!$A$5:$A$114,0),MATCH(S50,LAMINA_HORA!$C$3:$V$3,0)),"?"))</f>
        <v/>
      </c>
      <c r="U50" s="27">
        <f>IF(OR($B50="",S50=""),"",IFERROR(INDEX(LAMINA_HORA!$W$5:$AP$114,MATCH($B50,LAMINA_HORA!$A$5:$A$114,0),MATCH(S50,LAMINA_HORA!$W$3:$AP$3,0)),"?"))</f>
        <v/>
      </c>
      <c r="V50" s="7" t="n"/>
      <c r="W50" s="27">
        <f>IF(OR($B50="",V50=""),"",IFERROR(INDEX(LAMINA_HORA!$C$5:$V$114,MATCH($B50,LAMINA_HORA!$A$5:$A$114,0),MATCH(V50,LAMINA_HORA!$C$3:$V$3,0)),"?"))</f>
        <v/>
      </c>
      <c r="X50" s="27">
        <f>IF(OR($B50="",V50=""),"",IFERROR(INDEX(LAMINA_HORA!$W$5:$AP$114,MATCH($B50,LAMINA_HORA!$A$5:$A$114,0),MATCH(V50,LAMINA_HORA!$W$3:$AP$3,0)),"?"))</f>
        <v/>
      </c>
      <c r="Y50" s="7" t="n"/>
      <c r="Z50" s="27">
        <f>IF(OR($B50="",Y50=""),"",IFERROR(INDEX(LAMINA_HORA!$C$5:$V$114,MATCH($B50,LAMINA_HORA!$A$5:$A$114,0),MATCH(Y50,LAMINA_HORA!$C$3:$V$3,0)),"?"))</f>
        <v/>
      </c>
      <c r="AA50" s="27">
        <f>IF(OR($B50="",Y50=""),"",IFERROR(INDEX(LAMINA_HORA!$W$5:$AP$114,MATCH($B50,LAMINA_HORA!$A$5:$A$114,0),MATCH(Y50,LAMINA_HORA!$W$3:$AP$3,0)),"?"))</f>
        <v/>
      </c>
      <c r="AB50" s="7" t="n"/>
      <c r="AC50" s="27">
        <f>IF(OR($B50="",AB50=""),"",IFERROR(INDEX(LAMINA_HORA!$C$5:$V$114,MATCH($B50,LAMINA_HORA!$A$5:$A$114,0),MATCH(AB50,LAMINA_HORA!$C$3:$V$3,0)),"?"))</f>
        <v/>
      </c>
      <c r="AD50" s="27">
        <f>IF(OR($B50="",AB50=""),"",IFERROR(INDEX(LAMINA_HORA!$W$5:$AP$114,MATCH($B50,LAMINA_HORA!$A$5:$A$114,0),MATCH(AB50,LAMINA_HORA!$W$3:$AP$3,0)),"?"))</f>
        <v/>
      </c>
      <c r="AE50" s="14">
        <f>SUM(K50,N50,Q50,T50,W50,Z50,AC50)</f>
        <v/>
      </c>
      <c r="AF50" s="16">
        <f>IF(OR($G50="",AE50=""),"",AE50*$G50*10)</f>
        <v/>
      </c>
      <c r="AG50" s="16">
        <f>IF(OR(AF50="",$H50=""),"",AF50*$H50)</f>
        <v/>
      </c>
      <c r="AH50" s="20" t="n"/>
    </row>
    <row r="51">
      <c r="A51" s="5" t="inlineStr">
        <is>
          <t>Pivô 64</t>
        </is>
      </c>
      <c r="B51" s="7" t="inlineStr">
        <is>
          <t>P64</t>
        </is>
      </c>
      <c r="C51" s="5" t="inlineStr">
        <is>
          <t>R18</t>
        </is>
      </c>
      <c r="D51" s="5" t="inlineStr">
        <is>
          <t>Modulo 3</t>
        </is>
      </c>
      <c r="E51" s="6" t="inlineStr">
        <is>
          <t>NEO 761 I2X</t>
        </is>
      </c>
      <c r="F51" s="26" t="inlineStr"/>
      <c r="G51" s="15" t="n">
        <v>80</v>
      </c>
      <c r="H51" s="17" t="n">
        <v>0.779</v>
      </c>
      <c r="J51" s="7" t="n"/>
      <c r="K51" s="27">
        <f>IF(OR($B51="",J51=""),"",IFERROR(INDEX(LAMINA_HORA!$C$5:$V$114,MATCH($B51,LAMINA_HORA!$A$5:$A$114,0),MATCH(J51,LAMINA_HORA!$C$3:$V$3,0)),"?"))</f>
        <v/>
      </c>
      <c r="L51" s="27">
        <f>IF(OR($B51="",J51=""),"",IFERROR(INDEX(LAMINA_HORA!$W$5:$AP$114,MATCH($B51,LAMINA_HORA!$A$5:$A$114,0),MATCH(J51,LAMINA_HORA!$W$3:$AP$3,0)),"?"))</f>
        <v/>
      </c>
      <c r="M51" s="7" t="n"/>
      <c r="N51" s="27">
        <f>IF(OR($B51="",M51=""),"",IFERROR(INDEX(LAMINA_HORA!$C$5:$V$114,MATCH($B51,LAMINA_HORA!$A$5:$A$114,0),MATCH(M51,LAMINA_HORA!$C$3:$V$3,0)),"?"))</f>
        <v/>
      </c>
      <c r="O51" s="27">
        <f>IF(OR($B51="",M51=""),"",IFERROR(INDEX(LAMINA_HORA!$W$5:$AP$114,MATCH($B51,LAMINA_HORA!$A$5:$A$114,0),MATCH(M51,LAMINA_HORA!$W$3:$AP$3,0)),"?"))</f>
        <v/>
      </c>
      <c r="P51" s="7" t="n"/>
      <c r="Q51" s="27">
        <f>IF(OR($B51="",P51=""),"",IFERROR(INDEX(LAMINA_HORA!$C$5:$V$114,MATCH($B51,LAMINA_HORA!$A$5:$A$114,0),MATCH(P51,LAMINA_HORA!$C$3:$V$3,0)),"?"))</f>
        <v/>
      </c>
      <c r="R51" s="27">
        <f>IF(OR($B51="",P51=""),"",IFERROR(INDEX(LAMINA_HORA!$W$5:$AP$114,MATCH($B51,LAMINA_HORA!$A$5:$A$114,0),MATCH(P51,LAMINA_HORA!$W$3:$AP$3,0)),"?"))</f>
        <v/>
      </c>
      <c r="S51" s="7" t="n"/>
      <c r="T51" s="27">
        <f>IF(OR($B51="",S51=""),"",IFERROR(INDEX(LAMINA_HORA!$C$5:$V$114,MATCH($B51,LAMINA_HORA!$A$5:$A$114,0),MATCH(S51,LAMINA_HORA!$C$3:$V$3,0)),"?"))</f>
        <v/>
      </c>
      <c r="U51" s="27">
        <f>IF(OR($B51="",S51=""),"",IFERROR(INDEX(LAMINA_HORA!$W$5:$AP$114,MATCH($B51,LAMINA_HORA!$A$5:$A$114,0),MATCH(S51,LAMINA_HORA!$W$3:$AP$3,0)),"?"))</f>
        <v/>
      </c>
      <c r="V51" s="7" t="n"/>
      <c r="W51" s="27">
        <f>IF(OR($B51="",V51=""),"",IFERROR(INDEX(LAMINA_HORA!$C$5:$V$114,MATCH($B51,LAMINA_HORA!$A$5:$A$114,0),MATCH(V51,LAMINA_HORA!$C$3:$V$3,0)),"?"))</f>
        <v/>
      </c>
      <c r="X51" s="27">
        <f>IF(OR($B51="",V51=""),"",IFERROR(INDEX(LAMINA_HORA!$W$5:$AP$114,MATCH($B51,LAMINA_HORA!$A$5:$A$114,0),MATCH(V51,LAMINA_HORA!$W$3:$AP$3,0)),"?"))</f>
        <v/>
      </c>
      <c r="Y51" s="7" t="n"/>
      <c r="Z51" s="27">
        <f>IF(OR($B51="",Y51=""),"",IFERROR(INDEX(LAMINA_HORA!$C$5:$V$114,MATCH($B51,LAMINA_HORA!$A$5:$A$114,0),MATCH(Y51,LAMINA_HORA!$C$3:$V$3,0)),"?"))</f>
        <v/>
      </c>
      <c r="AA51" s="27">
        <f>IF(OR($B51="",Y51=""),"",IFERROR(INDEX(LAMINA_HORA!$W$5:$AP$114,MATCH($B51,LAMINA_HORA!$A$5:$A$114,0),MATCH(Y51,LAMINA_HORA!$W$3:$AP$3,0)),"?"))</f>
        <v/>
      </c>
      <c r="AB51" s="7" t="n"/>
      <c r="AC51" s="27">
        <f>IF(OR($B51="",AB51=""),"",IFERROR(INDEX(LAMINA_HORA!$C$5:$V$114,MATCH($B51,LAMINA_HORA!$A$5:$A$114,0),MATCH(AB51,LAMINA_HORA!$C$3:$V$3,0)),"?"))</f>
        <v/>
      </c>
      <c r="AD51" s="27">
        <f>IF(OR($B51="",AB51=""),"",IFERROR(INDEX(LAMINA_HORA!$W$5:$AP$114,MATCH($B51,LAMINA_HORA!$A$5:$A$114,0),MATCH(AB51,LAMINA_HORA!$W$3:$AP$3,0)),"?"))</f>
        <v/>
      </c>
      <c r="AE51" s="14">
        <f>SUM(K51,N51,Q51,T51,W51,Z51,AC51)</f>
        <v/>
      </c>
      <c r="AF51" s="16">
        <f>IF(OR($G51="",AE51=""),"",AE51*$G51*10)</f>
        <v/>
      </c>
      <c r="AG51" s="16">
        <f>IF(OR(AF51="",$H51=""),"",AF51*$H51)</f>
        <v/>
      </c>
      <c r="AH51" s="20" t="n"/>
    </row>
    <row r="52">
      <c r="A52" s="5" t="inlineStr">
        <is>
          <t>Pivô 65</t>
        </is>
      </c>
      <c r="B52" s="7" t="inlineStr">
        <is>
          <t>P65</t>
        </is>
      </c>
      <c r="C52" s="5" t="inlineStr">
        <is>
          <t>R18</t>
        </is>
      </c>
      <c r="D52" s="5" t="inlineStr">
        <is>
          <t>Modulo 3</t>
        </is>
      </c>
      <c r="E52" s="6" t="inlineStr">
        <is>
          <t>NEO 761 I2X</t>
        </is>
      </c>
      <c r="F52" s="26" t="inlineStr"/>
      <c r="G52" s="15" t="n">
        <v>150</v>
      </c>
      <c r="H52" s="17" t="n">
        <v>0.848</v>
      </c>
      <c r="J52" s="7" t="n"/>
      <c r="K52" s="27">
        <f>IF(OR($B52="",J52=""),"",IFERROR(INDEX(LAMINA_HORA!$C$5:$V$114,MATCH($B52,LAMINA_HORA!$A$5:$A$114,0),MATCH(J52,LAMINA_HORA!$C$3:$V$3,0)),"?"))</f>
        <v/>
      </c>
      <c r="L52" s="27">
        <f>IF(OR($B52="",J52=""),"",IFERROR(INDEX(LAMINA_HORA!$W$5:$AP$114,MATCH($B52,LAMINA_HORA!$A$5:$A$114,0),MATCH(J52,LAMINA_HORA!$W$3:$AP$3,0)),"?"))</f>
        <v/>
      </c>
      <c r="M52" s="7" t="n"/>
      <c r="N52" s="27">
        <f>IF(OR($B52="",M52=""),"",IFERROR(INDEX(LAMINA_HORA!$C$5:$V$114,MATCH($B52,LAMINA_HORA!$A$5:$A$114,0),MATCH(M52,LAMINA_HORA!$C$3:$V$3,0)),"?"))</f>
        <v/>
      </c>
      <c r="O52" s="27">
        <f>IF(OR($B52="",M52=""),"",IFERROR(INDEX(LAMINA_HORA!$W$5:$AP$114,MATCH($B52,LAMINA_HORA!$A$5:$A$114,0),MATCH(M52,LAMINA_HORA!$W$3:$AP$3,0)),"?"))</f>
        <v/>
      </c>
      <c r="P52" s="7" t="n"/>
      <c r="Q52" s="27">
        <f>IF(OR($B52="",P52=""),"",IFERROR(INDEX(LAMINA_HORA!$C$5:$V$114,MATCH($B52,LAMINA_HORA!$A$5:$A$114,0),MATCH(P52,LAMINA_HORA!$C$3:$V$3,0)),"?"))</f>
        <v/>
      </c>
      <c r="R52" s="27">
        <f>IF(OR($B52="",P52=""),"",IFERROR(INDEX(LAMINA_HORA!$W$5:$AP$114,MATCH($B52,LAMINA_HORA!$A$5:$A$114,0),MATCH(P52,LAMINA_HORA!$W$3:$AP$3,0)),"?"))</f>
        <v/>
      </c>
      <c r="S52" s="7" t="n"/>
      <c r="T52" s="27">
        <f>IF(OR($B52="",S52=""),"",IFERROR(INDEX(LAMINA_HORA!$C$5:$V$114,MATCH($B52,LAMINA_HORA!$A$5:$A$114,0),MATCH(S52,LAMINA_HORA!$C$3:$V$3,0)),"?"))</f>
        <v/>
      </c>
      <c r="U52" s="27">
        <f>IF(OR($B52="",S52=""),"",IFERROR(INDEX(LAMINA_HORA!$W$5:$AP$114,MATCH($B52,LAMINA_HORA!$A$5:$A$114,0),MATCH(S52,LAMINA_HORA!$W$3:$AP$3,0)),"?"))</f>
        <v/>
      </c>
      <c r="V52" s="7" t="n"/>
      <c r="W52" s="27">
        <f>IF(OR($B52="",V52=""),"",IFERROR(INDEX(LAMINA_HORA!$C$5:$V$114,MATCH($B52,LAMINA_HORA!$A$5:$A$114,0),MATCH(V52,LAMINA_HORA!$C$3:$V$3,0)),"?"))</f>
        <v/>
      </c>
      <c r="X52" s="27">
        <f>IF(OR($B52="",V52=""),"",IFERROR(INDEX(LAMINA_HORA!$W$5:$AP$114,MATCH($B52,LAMINA_HORA!$A$5:$A$114,0),MATCH(V52,LAMINA_HORA!$W$3:$AP$3,0)),"?"))</f>
        <v/>
      </c>
      <c r="Y52" s="7" t="n"/>
      <c r="Z52" s="27">
        <f>IF(OR($B52="",Y52=""),"",IFERROR(INDEX(LAMINA_HORA!$C$5:$V$114,MATCH($B52,LAMINA_HORA!$A$5:$A$114,0),MATCH(Y52,LAMINA_HORA!$C$3:$V$3,0)),"?"))</f>
        <v/>
      </c>
      <c r="AA52" s="27">
        <f>IF(OR($B52="",Y52=""),"",IFERROR(INDEX(LAMINA_HORA!$W$5:$AP$114,MATCH($B52,LAMINA_HORA!$A$5:$A$114,0),MATCH(Y52,LAMINA_HORA!$W$3:$AP$3,0)),"?"))</f>
        <v/>
      </c>
      <c r="AB52" s="7" t="n"/>
      <c r="AC52" s="27">
        <f>IF(OR($B52="",AB52=""),"",IFERROR(INDEX(LAMINA_HORA!$C$5:$V$114,MATCH($B52,LAMINA_HORA!$A$5:$A$114,0),MATCH(AB52,LAMINA_HORA!$C$3:$V$3,0)),"?"))</f>
        <v/>
      </c>
      <c r="AD52" s="27">
        <f>IF(OR($B52="",AB52=""),"",IFERROR(INDEX(LAMINA_HORA!$W$5:$AP$114,MATCH($B52,LAMINA_HORA!$A$5:$A$114,0),MATCH(AB52,LAMINA_HORA!$W$3:$AP$3,0)),"?"))</f>
        <v/>
      </c>
      <c r="AE52" s="14">
        <f>SUM(K52,N52,Q52,T52,W52,Z52,AC52)</f>
        <v/>
      </c>
      <c r="AF52" s="16">
        <f>IF(OR($G52="",AE52=""),"",AE52*$G52*10)</f>
        <v/>
      </c>
      <c r="AG52" s="16">
        <f>IF(OR(AF52="",$H52=""),"",AF52*$H52)</f>
        <v/>
      </c>
      <c r="AH52" s="20" t="n"/>
    </row>
    <row r="53">
      <c r="A53" s="5" t="inlineStr">
        <is>
          <t>Pivô 66</t>
        </is>
      </c>
      <c r="B53" s="7" t="inlineStr">
        <is>
          <t>P66</t>
        </is>
      </c>
      <c r="C53" s="5" t="inlineStr">
        <is>
          <t>R15</t>
        </is>
      </c>
      <c r="D53" s="5" t="inlineStr">
        <is>
          <t>Modulo 3</t>
        </is>
      </c>
      <c r="E53" s="6" t="inlineStr">
        <is>
          <t>NEO 761 I2X</t>
        </is>
      </c>
      <c r="F53" s="26" t="inlineStr"/>
      <c r="G53" s="15" t="n">
        <v>100</v>
      </c>
      <c r="H53" s="17" t="n">
        <v>0.905</v>
      </c>
      <c r="J53" s="7" t="n"/>
      <c r="K53" s="27">
        <f>IF(OR($B53="",J53=""),"",IFERROR(INDEX(LAMINA_HORA!$C$5:$V$114,MATCH($B53,LAMINA_HORA!$A$5:$A$114,0),MATCH(J53,LAMINA_HORA!$C$3:$V$3,0)),"?"))</f>
        <v/>
      </c>
      <c r="L53" s="27">
        <f>IF(OR($B53="",J53=""),"",IFERROR(INDEX(LAMINA_HORA!$W$5:$AP$114,MATCH($B53,LAMINA_HORA!$A$5:$A$114,0),MATCH(J53,LAMINA_HORA!$W$3:$AP$3,0)),"?"))</f>
        <v/>
      </c>
      <c r="M53" s="7" t="n"/>
      <c r="N53" s="27">
        <f>IF(OR($B53="",M53=""),"",IFERROR(INDEX(LAMINA_HORA!$C$5:$V$114,MATCH($B53,LAMINA_HORA!$A$5:$A$114,0),MATCH(M53,LAMINA_HORA!$C$3:$V$3,0)),"?"))</f>
        <v/>
      </c>
      <c r="O53" s="27">
        <f>IF(OR($B53="",M53=""),"",IFERROR(INDEX(LAMINA_HORA!$W$5:$AP$114,MATCH($B53,LAMINA_HORA!$A$5:$A$114,0),MATCH(M53,LAMINA_HORA!$W$3:$AP$3,0)),"?"))</f>
        <v/>
      </c>
      <c r="P53" s="7" t="n"/>
      <c r="Q53" s="27">
        <f>IF(OR($B53="",P53=""),"",IFERROR(INDEX(LAMINA_HORA!$C$5:$V$114,MATCH($B53,LAMINA_HORA!$A$5:$A$114,0),MATCH(P53,LAMINA_HORA!$C$3:$V$3,0)),"?"))</f>
        <v/>
      </c>
      <c r="R53" s="27">
        <f>IF(OR($B53="",P53=""),"",IFERROR(INDEX(LAMINA_HORA!$W$5:$AP$114,MATCH($B53,LAMINA_HORA!$A$5:$A$114,0),MATCH(P53,LAMINA_HORA!$W$3:$AP$3,0)),"?"))</f>
        <v/>
      </c>
      <c r="S53" s="7" t="n"/>
      <c r="T53" s="27">
        <f>IF(OR($B53="",S53=""),"",IFERROR(INDEX(LAMINA_HORA!$C$5:$V$114,MATCH($B53,LAMINA_HORA!$A$5:$A$114,0),MATCH(S53,LAMINA_HORA!$C$3:$V$3,0)),"?"))</f>
        <v/>
      </c>
      <c r="U53" s="27">
        <f>IF(OR($B53="",S53=""),"",IFERROR(INDEX(LAMINA_HORA!$W$5:$AP$114,MATCH($B53,LAMINA_HORA!$A$5:$A$114,0),MATCH(S53,LAMINA_HORA!$W$3:$AP$3,0)),"?"))</f>
        <v/>
      </c>
      <c r="V53" s="7" t="n"/>
      <c r="W53" s="27">
        <f>IF(OR($B53="",V53=""),"",IFERROR(INDEX(LAMINA_HORA!$C$5:$V$114,MATCH($B53,LAMINA_HORA!$A$5:$A$114,0),MATCH(V53,LAMINA_HORA!$C$3:$V$3,0)),"?"))</f>
        <v/>
      </c>
      <c r="X53" s="27">
        <f>IF(OR($B53="",V53=""),"",IFERROR(INDEX(LAMINA_HORA!$W$5:$AP$114,MATCH($B53,LAMINA_HORA!$A$5:$A$114,0),MATCH(V53,LAMINA_HORA!$W$3:$AP$3,0)),"?"))</f>
        <v/>
      </c>
      <c r="Y53" s="7" t="n"/>
      <c r="Z53" s="27">
        <f>IF(OR($B53="",Y53=""),"",IFERROR(INDEX(LAMINA_HORA!$C$5:$V$114,MATCH($B53,LAMINA_HORA!$A$5:$A$114,0),MATCH(Y53,LAMINA_HORA!$C$3:$V$3,0)),"?"))</f>
        <v/>
      </c>
      <c r="AA53" s="27">
        <f>IF(OR($B53="",Y53=""),"",IFERROR(INDEX(LAMINA_HORA!$W$5:$AP$114,MATCH($B53,LAMINA_HORA!$A$5:$A$114,0),MATCH(Y53,LAMINA_HORA!$W$3:$AP$3,0)),"?"))</f>
        <v/>
      </c>
      <c r="AB53" s="7" t="n"/>
      <c r="AC53" s="27">
        <f>IF(OR($B53="",AB53=""),"",IFERROR(INDEX(LAMINA_HORA!$C$5:$V$114,MATCH($B53,LAMINA_HORA!$A$5:$A$114,0),MATCH(AB53,LAMINA_HORA!$C$3:$V$3,0)),"?"))</f>
        <v/>
      </c>
      <c r="AD53" s="27">
        <f>IF(OR($B53="",AB53=""),"",IFERROR(INDEX(LAMINA_HORA!$W$5:$AP$114,MATCH($B53,LAMINA_HORA!$A$5:$A$114,0),MATCH(AB53,LAMINA_HORA!$W$3:$AP$3,0)),"?"))</f>
        <v/>
      </c>
      <c r="AE53" s="14">
        <f>SUM(K53,N53,Q53,T53,W53,Z53,AC53)</f>
        <v/>
      </c>
      <c r="AF53" s="16">
        <f>IF(OR($G53="",AE53=""),"",AE53*$G53*10)</f>
        <v/>
      </c>
      <c r="AG53" s="16">
        <f>IF(OR(AF53="",$H53=""),"",AF53*$H53)</f>
        <v/>
      </c>
      <c r="AH53" s="20" t="n"/>
    </row>
    <row r="54">
      <c r="A54" s="5" t="inlineStr">
        <is>
          <t>Pivô 67</t>
        </is>
      </c>
      <c r="B54" s="7" t="inlineStr">
        <is>
          <t>P67</t>
        </is>
      </c>
      <c r="C54" s="5" t="inlineStr">
        <is>
          <t>R16</t>
        </is>
      </c>
      <c r="D54" s="5" t="inlineStr">
        <is>
          <t>Modulo 3</t>
        </is>
      </c>
      <c r="E54" s="6" t="inlineStr">
        <is>
          <t>NEO 761 I2X</t>
        </is>
      </c>
      <c r="F54" s="26" t="inlineStr"/>
      <c r="G54" s="15" t="n">
        <v>80</v>
      </c>
      <c r="H54" s="17" t="n">
        <v>0.974</v>
      </c>
      <c r="J54" s="7" t="n"/>
      <c r="K54" s="27">
        <f>IF(OR($B54="",J54=""),"",IFERROR(INDEX(LAMINA_HORA!$C$5:$V$114,MATCH($B54,LAMINA_HORA!$A$5:$A$114,0),MATCH(J54,LAMINA_HORA!$C$3:$V$3,0)),"?"))</f>
        <v/>
      </c>
      <c r="L54" s="27">
        <f>IF(OR($B54="",J54=""),"",IFERROR(INDEX(LAMINA_HORA!$W$5:$AP$114,MATCH($B54,LAMINA_HORA!$A$5:$A$114,0),MATCH(J54,LAMINA_HORA!$W$3:$AP$3,0)),"?"))</f>
        <v/>
      </c>
      <c r="M54" s="7" t="n"/>
      <c r="N54" s="27">
        <f>IF(OR($B54="",M54=""),"",IFERROR(INDEX(LAMINA_HORA!$C$5:$V$114,MATCH($B54,LAMINA_HORA!$A$5:$A$114,0),MATCH(M54,LAMINA_HORA!$C$3:$V$3,0)),"?"))</f>
        <v/>
      </c>
      <c r="O54" s="27">
        <f>IF(OR($B54="",M54=""),"",IFERROR(INDEX(LAMINA_HORA!$W$5:$AP$114,MATCH($B54,LAMINA_HORA!$A$5:$A$114,0),MATCH(M54,LAMINA_HORA!$W$3:$AP$3,0)),"?"))</f>
        <v/>
      </c>
      <c r="P54" s="7" t="n"/>
      <c r="Q54" s="27">
        <f>IF(OR($B54="",P54=""),"",IFERROR(INDEX(LAMINA_HORA!$C$5:$V$114,MATCH($B54,LAMINA_HORA!$A$5:$A$114,0),MATCH(P54,LAMINA_HORA!$C$3:$V$3,0)),"?"))</f>
        <v/>
      </c>
      <c r="R54" s="27">
        <f>IF(OR($B54="",P54=""),"",IFERROR(INDEX(LAMINA_HORA!$W$5:$AP$114,MATCH($B54,LAMINA_HORA!$A$5:$A$114,0),MATCH(P54,LAMINA_HORA!$W$3:$AP$3,0)),"?"))</f>
        <v/>
      </c>
      <c r="S54" s="7" t="n"/>
      <c r="T54" s="27">
        <f>IF(OR($B54="",S54=""),"",IFERROR(INDEX(LAMINA_HORA!$C$5:$V$114,MATCH($B54,LAMINA_HORA!$A$5:$A$114,0),MATCH(S54,LAMINA_HORA!$C$3:$V$3,0)),"?"))</f>
        <v/>
      </c>
      <c r="U54" s="27">
        <f>IF(OR($B54="",S54=""),"",IFERROR(INDEX(LAMINA_HORA!$W$5:$AP$114,MATCH($B54,LAMINA_HORA!$A$5:$A$114,0),MATCH(S54,LAMINA_HORA!$W$3:$AP$3,0)),"?"))</f>
        <v/>
      </c>
      <c r="V54" s="7" t="n"/>
      <c r="W54" s="27">
        <f>IF(OR($B54="",V54=""),"",IFERROR(INDEX(LAMINA_HORA!$C$5:$V$114,MATCH($B54,LAMINA_HORA!$A$5:$A$114,0),MATCH(V54,LAMINA_HORA!$C$3:$V$3,0)),"?"))</f>
        <v/>
      </c>
      <c r="X54" s="27">
        <f>IF(OR($B54="",V54=""),"",IFERROR(INDEX(LAMINA_HORA!$W$5:$AP$114,MATCH($B54,LAMINA_HORA!$A$5:$A$114,0),MATCH(V54,LAMINA_HORA!$W$3:$AP$3,0)),"?"))</f>
        <v/>
      </c>
      <c r="Y54" s="7" t="n"/>
      <c r="Z54" s="27">
        <f>IF(OR($B54="",Y54=""),"",IFERROR(INDEX(LAMINA_HORA!$C$5:$V$114,MATCH($B54,LAMINA_HORA!$A$5:$A$114,0),MATCH(Y54,LAMINA_HORA!$C$3:$V$3,0)),"?"))</f>
        <v/>
      </c>
      <c r="AA54" s="27">
        <f>IF(OR($B54="",Y54=""),"",IFERROR(INDEX(LAMINA_HORA!$W$5:$AP$114,MATCH($B54,LAMINA_HORA!$A$5:$A$114,0),MATCH(Y54,LAMINA_HORA!$W$3:$AP$3,0)),"?"))</f>
        <v/>
      </c>
      <c r="AB54" s="7" t="n"/>
      <c r="AC54" s="27">
        <f>IF(OR($B54="",AB54=""),"",IFERROR(INDEX(LAMINA_HORA!$C$5:$V$114,MATCH($B54,LAMINA_HORA!$A$5:$A$114,0),MATCH(AB54,LAMINA_HORA!$C$3:$V$3,0)),"?"))</f>
        <v/>
      </c>
      <c r="AD54" s="27">
        <f>IF(OR($B54="",AB54=""),"",IFERROR(INDEX(LAMINA_HORA!$W$5:$AP$114,MATCH($B54,LAMINA_HORA!$A$5:$A$114,0),MATCH(AB54,LAMINA_HORA!$W$3:$AP$3,0)),"?"))</f>
        <v/>
      </c>
      <c r="AE54" s="14">
        <f>SUM(K54,N54,Q54,T54,W54,Z54,AC54)</f>
        <v/>
      </c>
      <c r="AF54" s="16">
        <f>IF(OR($G54="",AE54=""),"",AE54*$G54*10)</f>
        <v/>
      </c>
      <c r="AG54" s="16">
        <f>IF(OR(AF54="",$H54=""),"",AF54*$H54)</f>
        <v/>
      </c>
      <c r="AH54" s="20" t="n"/>
    </row>
    <row r="55">
      <c r="A55" s="5" t="inlineStr">
        <is>
          <t>Pivô 68</t>
        </is>
      </c>
      <c r="B55" s="7" t="inlineStr">
        <is>
          <t>P68</t>
        </is>
      </c>
      <c r="C55" s="5" t="inlineStr">
        <is>
          <t>R16</t>
        </is>
      </c>
      <c r="D55" s="5" t="inlineStr">
        <is>
          <t>Modulo 3</t>
        </is>
      </c>
      <c r="E55" s="6" t="inlineStr">
        <is>
          <t>COMPLETA IPRO</t>
        </is>
      </c>
      <c r="F55" s="26" t="inlineStr"/>
      <c r="G55" s="15" t="n">
        <v>80</v>
      </c>
      <c r="H55" s="17" t="n">
        <v>0.974</v>
      </c>
      <c r="J55" s="7" t="n"/>
      <c r="K55" s="27">
        <f>IF(OR($B55="",J55=""),"",IFERROR(INDEX(LAMINA_HORA!$C$5:$V$114,MATCH($B55,LAMINA_HORA!$A$5:$A$114,0),MATCH(J55,LAMINA_HORA!$C$3:$V$3,0)),"?"))</f>
        <v/>
      </c>
      <c r="L55" s="27">
        <f>IF(OR($B55="",J55=""),"",IFERROR(INDEX(LAMINA_HORA!$W$5:$AP$114,MATCH($B55,LAMINA_HORA!$A$5:$A$114,0),MATCH(J55,LAMINA_HORA!$W$3:$AP$3,0)),"?"))</f>
        <v/>
      </c>
      <c r="M55" s="7" t="n"/>
      <c r="N55" s="27">
        <f>IF(OR($B55="",M55=""),"",IFERROR(INDEX(LAMINA_HORA!$C$5:$V$114,MATCH($B55,LAMINA_HORA!$A$5:$A$114,0),MATCH(M55,LAMINA_HORA!$C$3:$V$3,0)),"?"))</f>
        <v/>
      </c>
      <c r="O55" s="27">
        <f>IF(OR($B55="",M55=""),"",IFERROR(INDEX(LAMINA_HORA!$W$5:$AP$114,MATCH($B55,LAMINA_HORA!$A$5:$A$114,0),MATCH(M55,LAMINA_HORA!$W$3:$AP$3,0)),"?"))</f>
        <v/>
      </c>
      <c r="P55" s="7" t="n"/>
      <c r="Q55" s="27">
        <f>IF(OR($B55="",P55=""),"",IFERROR(INDEX(LAMINA_HORA!$C$5:$V$114,MATCH($B55,LAMINA_HORA!$A$5:$A$114,0),MATCH(P55,LAMINA_HORA!$C$3:$V$3,0)),"?"))</f>
        <v/>
      </c>
      <c r="R55" s="27">
        <f>IF(OR($B55="",P55=""),"",IFERROR(INDEX(LAMINA_HORA!$W$5:$AP$114,MATCH($B55,LAMINA_HORA!$A$5:$A$114,0),MATCH(P55,LAMINA_HORA!$W$3:$AP$3,0)),"?"))</f>
        <v/>
      </c>
      <c r="S55" s="7" t="n"/>
      <c r="T55" s="27">
        <f>IF(OR($B55="",S55=""),"",IFERROR(INDEX(LAMINA_HORA!$C$5:$V$114,MATCH($B55,LAMINA_HORA!$A$5:$A$114,0),MATCH(S55,LAMINA_HORA!$C$3:$V$3,0)),"?"))</f>
        <v/>
      </c>
      <c r="U55" s="27">
        <f>IF(OR($B55="",S55=""),"",IFERROR(INDEX(LAMINA_HORA!$W$5:$AP$114,MATCH($B55,LAMINA_HORA!$A$5:$A$114,0),MATCH(S55,LAMINA_HORA!$W$3:$AP$3,0)),"?"))</f>
        <v/>
      </c>
      <c r="V55" s="7" t="n"/>
      <c r="W55" s="27">
        <f>IF(OR($B55="",V55=""),"",IFERROR(INDEX(LAMINA_HORA!$C$5:$V$114,MATCH($B55,LAMINA_HORA!$A$5:$A$114,0),MATCH(V55,LAMINA_HORA!$C$3:$V$3,0)),"?"))</f>
        <v/>
      </c>
      <c r="X55" s="27">
        <f>IF(OR($B55="",V55=""),"",IFERROR(INDEX(LAMINA_HORA!$W$5:$AP$114,MATCH($B55,LAMINA_HORA!$A$5:$A$114,0),MATCH(V55,LAMINA_HORA!$W$3:$AP$3,0)),"?"))</f>
        <v/>
      </c>
      <c r="Y55" s="7" t="n"/>
      <c r="Z55" s="27">
        <f>IF(OR($B55="",Y55=""),"",IFERROR(INDEX(LAMINA_HORA!$C$5:$V$114,MATCH($B55,LAMINA_HORA!$A$5:$A$114,0),MATCH(Y55,LAMINA_HORA!$C$3:$V$3,0)),"?"))</f>
        <v/>
      </c>
      <c r="AA55" s="27">
        <f>IF(OR($B55="",Y55=""),"",IFERROR(INDEX(LAMINA_HORA!$W$5:$AP$114,MATCH($B55,LAMINA_HORA!$A$5:$A$114,0),MATCH(Y55,LAMINA_HORA!$W$3:$AP$3,0)),"?"))</f>
        <v/>
      </c>
      <c r="AB55" s="7" t="n"/>
      <c r="AC55" s="27">
        <f>IF(OR($B55="",AB55=""),"",IFERROR(INDEX(LAMINA_HORA!$C$5:$V$114,MATCH($B55,LAMINA_HORA!$A$5:$A$114,0),MATCH(AB55,LAMINA_HORA!$C$3:$V$3,0)),"?"))</f>
        <v/>
      </c>
      <c r="AD55" s="27">
        <f>IF(OR($B55="",AB55=""),"",IFERROR(INDEX(LAMINA_HORA!$W$5:$AP$114,MATCH($B55,LAMINA_HORA!$A$5:$A$114,0),MATCH(AB55,LAMINA_HORA!$W$3:$AP$3,0)),"?"))</f>
        <v/>
      </c>
      <c r="AE55" s="14">
        <f>SUM(K55,N55,Q55,T55,W55,Z55,AC55)</f>
        <v/>
      </c>
      <c r="AF55" s="16">
        <f>IF(OR($G55="",AE55=""),"",AE55*$G55*10)</f>
        <v/>
      </c>
      <c r="AG55" s="16">
        <f>IF(OR(AF55="",$H55=""),"",AF55*$H55)</f>
        <v/>
      </c>
      <c r="AH55" s="20" t="n"/>
    </row>
    <row r="56">
      <c r="A56" s="5" t="inlineStr">
        <is>
          <t>Pivô 72</t>
        </is>
      </c>
      <c r="B56" s="7" t="inlineStr">
        <is>
          <t>P72</t>
        </is>
      </c>
      <c r="C56" s="5" t="inlineStr">
        <is>
          <t>R17</t>
        </is>
      </c>
      <c r="D56" s="5" t="inlineStr">
        <is>
          <t>Modulo 3</t>
        </is>
      </c>
      <c r="E56" s="6" t="inlineStr">
        <is>
          <t>COMBATE IPRO</t>
        </is>
      </c>
      <c r="F56" s="26" t="inlineStr"/>
      <c r="G56" s="15" t="n">
        <v>125</v>
      </c>
      <c r="H56" s="17" t="n">
        <v>0.851</v>
      </c>
      <c r="J56" s="7" t="n"/>
      <c r="K56" s="27">
        <f>IF(OR($B56="",J56=""),"",IFERROR(INDEX(LAMINA_HORA!$C$5:$V$114,MATCH($B56,LAMINA_HORA!$A$5:$A$114,0),MATCH(J56,LAMINA_HORA!$C$3:$V$3,0)),"?"))</f>
        <v/>
      </c>
      <c r="L56" s="27">
        <f>IF(OR($B56="",J56=""),"",IFERROR(INDEX(LAMINA_HORA!$W$5:$AP$114,MATCH($B56,LAMINA_HORA!$A$5:$A$114,0),MATCH(J56,LAMINA_HORA!$W$3:$AP$3,0)),"?"))</f>
        <v/>
      </c>
      <c r="M56" s="7" t="n"/>
      <c r="N56" s="27">
        <f>IF(OR($B56="",M56=""),"",IFERROR(INDEX(LAMINA_HORA!$C$5:$V$114,MATCH($B56,LAMINA_HORA!$A$5:$A$114,0),MATCH(M56,LAMINA_HORA!$C$3:$V$3,0)),"?"))</f>
        <v/>
      </c>
      <c r="O56" s="27">
        <f>IF(OR($B56="",M56=""),"",IFERROR(INDEX(LAMINA_HORA!$W$5:$AP$114,MATCH($B56,LAMINA_HORA!$A$5:$A$114,0),MATCH(M56,LAMINA_HORA!$W$3:$AP$3,0)),"?"))</f>
        <v/>
      </c>
      <c r="P56" s="7" t="n"/>
      <c r="Q56" s="27">
        <f>IF(OR($B56="",P56=""),"",IFERROR(INDEX(LAMINA_HORA!$C$5:$V$114,MATCH($B56,LAMINA_HORA!$A$5:$A$114,0),MATCH(P56,LAMINA_HORA!$C$3:$V$3,0)),"?"))</f>
        <v/>
      </c>
      <c r="R56" s="27">
        <f>IF(OR($B56="",P56=""),"",IFERROR(INDEX(LAMINA_HORA!$W$5:$AP$114,MATCH($B56,LAMINA_HORA!$A$5:$A$114,0),MATCH(P56,LAMINA_HORA!$W$3:$AP$3,0)),"?"))</f>
        <v/>
      </c>
      <c r="S56" s="7" t="n"/>
      <c r="T56" s="27">
        <f>IF(OR($B56="",S56=""),"",IFERROR(INDEX(LAMINA_HORA!$C$5:$V$114,MATCH($B56,LAMINA_HORA!$A$5:$A$114,0),MATCH(S56,LAMINA_HORA!$C$3:$V$3,0)),"?"))</f>
        <v/>
      </c>
      <c r="U56" s="27">
        <f>IF(OR($B56="",S56=""),"",IFERROR(INDEX(LAMINA_HORA!$W$5:$AP$114,MATCH($B56,LAMINA_HORA!$A$5:$A$114,0),MATCH(S56,LAMINA_HORA!$W$3:$AP$3,0)),"?"))</f>
        <v/>
      </c>
      <c r="V56" s="7" t="n"/>
      <c r="W56" s="27">
        <f>IF(OR($B56="",V56=""),"",IFERROR(INDEX(LAMINA_HORA!$C$5:$V$114,MATCH($B56,LAMINA_HORA!$A$5:$A$114,0),MATCH(V56,LAMINA_HORA!$C$3:$V$3,0)),"?"))</f>
        <v/>
      </c>
      <c r="X56" s="27">
        <f>IF(OR($B56="",V56=""),"",IFERROR(INDEX(LAMINA_HORA!$W$5:$AP$114,MATCH($B56,LAMINA_HORA!$A$5:$A$114,0),MATCH(V56,LAMINA_HORA!$W$3:$AP$3,0)),"?"))</f>
        <v/>
      </c>
      <c r="Y56" s="7" t="n"/>
      <c r="Z56" s="27">
        <f>IF(OR($B56="",Y56=""),"",IFERROR(INDEX(LAMINA_HORA!$C$5:$V$114,MATCH($B56,LAMINA_HORA!$A$5:$A$114,0),MATCH(Y56,LAMINA_HORA!$C$3:$V$3,0)),"?"))</f>
        <v/>
      </c>
      <c r="AA56" s="27">
        <f>IF(OR($B56="",Y56=""),"",IFERROR(INDEX(LAMINA_HORA!$W$5:$AP$114,MATCH($B56,LAMINA_HORA!$A$5:$A$114,0),MATCH(Y56,LAMINA_HORA!$W$3:$AP$3,0)),"?"))</f>
        <v/>
      </c>
      <c r="AB56" s="7" t="n"/>
      <c r="AC56" s="27">
        <f>IF(OR($B56="",AB56=""),"",IFERROR(INDEX(LAMINA_HORA!$C$5:$V$114,MATCH($B56,LAMINA_HORA!$A$5:$A$114,0),MATCH(AB56,LAMINA_HORA!$C$3:$V$3,0)),"?"))</f>
        <v/>
      </c>
      <c r="AD56" s="27">
        <f>IF(OR($B56="",AB56=""),"",IFERROR(INDEX(LAMINA_HORA!$W$5:$AP$114,MATCH($B56,LAMINA_HORA!$A$5:$A$114,0),MATCH(AB56,LAMINA_HORA!$W$3:$AP$3,0)),"?"))</f>
        <v/>
      </c>
      <c r="AE56" s="14">
        <f>SUM(K56,N56,Q56,T56,W56,Z56,AC56)</f>
        <v/>
      </c>
      <c r="AF56" s="16">
        <f>IF(OR($G56="",AE56=""),"",AE56*$G56*10)</f>
        <v/>
      </c>
      <c r="AG56" s="16">
        <f>IF(OR(AF56="",$H56=""),"",AF56*$H56)</f>
        <v/>
      </c>
      <c r="AH56" s="20" t="n"/>
    </row>
    <row r="57">
      <c r="A57" s="5" t="inlineStr">
        <is>
          <t>Pivô 73</t>
        </is>
      </c>
      <c r="B57" s="7" t="inlineStr">
        <is>
          <t>P73</t>
        </is>
      </c>
      <c r="C57" s="5" t="inlineStr">
        <is>
          <t>R12</t>
        </is>
      </c>
      <c r="D57" s="5" t="inlineStr">
        <is>
          <t>Modulo 2</t>
        </is>
      </c>
      <c r="E57" s="6" t="inlineStr">
        <is>
          <t>ATAQUE I2X</t>
        </is>
      </c>
      <c r="F57" s="26" t="inlineStr"/>
      <c r="G57" s="15" t="n">
        <v>160</v>
      </c>
      <c r="H57" s="17" t="n">
        <v>0.554</v>
      </c>
      <c r="J57" s="7" t="n"/>
      <c r="K57" s="27">
        <f>IF(OR($B57="",J57=""),"",IFERROR(INDEX(LAMINA_HORA!$C$5:$V$114,MATCH($B57,LAMINA_HORA!$A$5:$A$114,0),MATCH(J57,LAMINA_HORA!$C$3:$V$3,0)),"?"))</f>
        <v/>
      </c>
      <c r="L57" s="27">
        <f>IF(OR($B57="",J57=""),"",IFERROR(INDEX(LAMINA_HORA!$W$5:$AP$114,MATCH($B57,LAMINA_HORA!$A$5:$A$114,0),MATCH(J57,LAMINA_HORA!$W$3:$AP$3,0)),"?"))</f>
        <v/>
      </c>
      <c r="M57" s="7" t="n"/>
      <c r="N57" s="27">
        <f>IF(OR($B57="",M57=""),"",IFERROR(INDEX(LAMINA_HORA!$C$5:$V$114,MATCH($B57,LAMINA_HORA!$A$5:$A$114,0),MATCH(M57,LAMINA_HORA!$C$3:$V$3,0)),"?"))</f>
        <v/>
      </c>
      <c r="O57" s="27">
        <f>IF(OR($B57="",M57=""),"",IFERROR(INDEX(LAMINA_HORA!$W$5:$AP$114,MATCH($B57,LAMINA_HORA!$A$5:$A$114,0),MATCH(M57,LAMINA_HORA!$W$3:$AP$3,0)),"?"))</f>
        <v/>
      </c>
      <c r="P57" s="7" t="n"/>
      <c r="Q57" s="27">
        <f>IF(OR($B57="",P57=""),"",IFERROR(INDEX(LAMINA_HORA!$C$5:$V$114,MATCH($B57,LAMINA_HORA!$A$5:$A$114,0),MATCH(P57,LAMINA_HORA!$C$3:$V$3,0)),"?"))</f>
        <v/>
      </c>
      <c r="R57" s="27">
        <f>IF(OR($B57="",P57=""),"",IFERROR(INDEX(LAMINA_HORA!$W$5:$AP$114,MATCH($B57,LAMINA_HORA!$A$5:$A$114,0),MATCH(P57,LAMINA_HORA!$W$3:$AP$3,0)),"?"))</f>
        <v/>
      </c>
      <c r="S57" s="7" t="n"/>
      <c r="T57" s="27">
        <f>IF(OR($B57="",S57=""),"",IFERROR(INDEX(LAMINA_HORA!$C$5:$V$114,MATCH($B57,LAMINA_HORA!$A$5:$A$114,0),MATCH(S57,LAMINA_HORA!$C$3:$V$3,0)),"?"))</f>
        <v/>
      </c>
      <c r="U57" s="27">
        <f>IF(OR($B57="",S57=""),"",IFERROR(INDEX(LAMINA_HORA!$W$5:$AP$114,MATCH($B57,LAMINA_HORA!$A$5:$A$114,0),MATCH(S57,LAMINA_HORA!$W$3:$AP$3,0)),"?"))</f>
        <v/>
      </c>
      <c r="V57" s="7" t="n"/>
      <c r="W57" s="27">
        <f>IF(OR($B57="",V57=""),"",IFERROR(INDEX(LAMINA_HORA!$C$5:$V$114,MATCH($B57,LAMINA_HORA!$A$5:$A$114,0),MATCH(V57,LAMINA_HORA!$C$3:$V$3,0)),"?"))</f>
        <v/>
      </c>
      <c r="X57" s="27">
        <f>IF(OR($B57="",V57=""),"",IFERROR(INDEX(LAMINA_HORA!$W$5:$AP$114,MATCH($B57,LAMINA_HORA!$A$5:$A$114,0),MATCH(V57,LAMINA_HORA!$W$3:$AP$3,0)),"?"))</f>
        <v/>
      </c>
      <c r="Y57" s="7" t="n"/>
      <c r="Z57" s="27">
        <f>IF(OR($B57="",Y57=""),"",IFERROR(INDEX(LAMINA_HORA!$C$5:$V$114,MATCH($B57,LAMINA_HORA!$A$5:$A$114,0),MATCH(Y57,LAMINA_HORA!$C$3:$V$3,0)),"?"))</f>
        <v/>
      </c>
      <c r="AA57" s="27">
        <f>IF(OR($B57="",Y57=""),"",IFERROR(INDEX(LAMINA_HORA!$W$5:$AP$114,MATCH($B57,LAMINA_HORA!$A$5:$A$114,0),MATCH(Y57,LAMINA_HORA!$W$3:$AP$3,0)),"?"))</f>
        <v/>
      </c>
      <c r="AB57" s="7" t="n"/>
      <c r="AC57" s="27">
        <f>IF(OR($B57="",AB57=""),"",IFERROR(INDEX(LAMINA_HORA!$C$5:$V$114,MATCH($B57,LAMINA_HORA!$A$5:$A$114,0),MATCH(AB57,LAMINA_HORA!$C$3:$V$3,0)),"?"))</f>
        <v/>
      </c>
      <c r="AD57" s="27">
        <f>IF(OR($B57="",AB57=""),"",IFERROR(INDEX(LAMINA_HORA!$W$5:$AP$114,MATCH($B57,LAMINA_HORA!$A$5:$A$114,0),MATCH(AB57,LAMINA_HORA!$W$3:$AP$3,0)),"?"))</f>
        <v/>
      </c>
      <c r="AE57" s="14">
        <f>SUM(K57,N57,Q57,T57,W57,Z57,AC57)</f>
        <v/>
      </c>
      <c r="AF57" s="16">
        <f>IF(OR($G57="",AE57=""),"",AE57*$G57*10)</f>
        <v/>
      </c>
      <c r="AG57" s="16">
        <f>IF(OR(AF57="",$H57=""),"",AF57*$H57)</f>
        <v/>
      </c>
      <c r="AH57" s="20" t="n"/>
    </row>
    <row r="58">
      <c r="A58" s="5" t="inlineStr">
        <is>
          <t>Pivô 104</t>
        </is>
      </c>
      <c r="B58" s="7" t="inlineStr">
        <is>
          <t>P104</t>
        </is>
      </c>
      <c r="C58" s="5" t="inlineStr">
        <is>
          <t>RM4</t>
        </is>
      </c>
      <c r="D58" s="5" t="inlineStr">
        <is>
          <t>RDM</t>
        </is>
      </c>
      <c r="E58" s="6" t="inlineStr">
        <is>
          <t>COMBATE IPRO</t>
        </is>
      </c>
      <c r="F58" s="26" t="inlineStr"/>
      <c r="G58" s="15" t="n">
        <v>100</v>
      </c>
      <c r="H58" s="17" t="n">
        <v>0.583</v>
      </c>
      <c r="J58" s="7" t="n"/>
      <c r="K58" s="27">
        <f>IF(OR($B58="",J58=""),"",IFERROR(INDEX(LAMINA_HORA!$C$5:$V$114,MATCH($B58,LAMINA_HORA!$A$5:$A$114,0),MATCH(J58,LAMINA_HORA!$C$3:$V$3,0)),"?"))</f>
        <v/>
      </c>
      <c r="L58" s="27">
        <f>IF(OR($B58="",J58=""),"",IFERROR(INDEX(LAMINA_HORA!$W$5:$AP$114,MATCH($B58,LAMINA_HORA!$A$5:$A$114,0),MATCH(J58,LAMINA_HORA!$W$3:$AP$3,0)),"?"))</f>
        <v/>
      </c>
      <c r="M58" s="7" t="n"/>
      <c r="N58" s="27">
        <f>IF(OR($B58="",M58=""),"",IFERROR(INDEX(LAMINA_HORA!$C$5:$V$114,MATCH($B58,LAMINA_HORA!$A$5:$A$114,0),MATCH(M58,LAMINA_HORA!$C$3:$V$3,0)),"?"))</f>
        <v/>
      </c>
      <c r="O58" s="27">
        <f>IF(OR($B58="",M58=""),"",IFERROR(INDEX(LAMINA_HORA!$W$5:$AP$114,MATCH($B58,LAMINA_HORA!$A$5:$A$114,0),MATCH(M58,LAMINA_HORA!$W$3:$AP$3,0)),"?"))</f>
        <v/>
      </c>
      <c r="P58" s="7" t="n"/>
      <c r="Q58" s="27">
        <f>IF(OR($B58="",P58=""),"",IFERROR(INDEX(LAMINA_HORA!$C$5:$V$114,MATCH($B58,LAMINA_HORA!$A$5:$A$114,0),MATCH(P58,LAMINA_HORA!$C$3:$V$3,0)),"?"))</f>
        <v/>
      </c>
      <c r="R58" s="27">
        <f>IF(OR($B58="",P58=""),"",IFERROR(INDEX(LAMINA_HORA!$W$5:$AP$114,MATCH($B58,LAMINA_HORA!$A$5:$A$114,0),MATCH(P58,LAMINA_HORA!$W$3:$AP$3,0)),"?"))</f>
        <v/>
      </c>
      <c r="S58" s="7" t="n"/>
      <c r="T58" s="27">
        <f>IF(OR($B58="",S58=""),"",IFERROR(INDEX(LAMINA_HORA!$C$5:$V$114,MATCH($B58,LAMINA_HORA!$A$5:$A$114,0),MATCH(S58,LAMINA_HORA!$C$3:$V$3,0)),"?"))</f>
        <v/>
      </c>
      <c r="U58" s="27">
        <f>IF(OR($B58="",S58=""),"",IFERROR(INDEX(LAMINA_HORA!$W$5:$AP$114,MATCH($B58,LAMINA_HORA!$A$5:$A$114,0),MATCH(S58,LAMINA_HORA!$W$3:$AP$3,0)),"?"))</f>
        <v/>
      </c>
      <c r="V58" s="7" t="n"/>
      <c r="W58" s="27">
        <f>IF(OR($B58="",V58=""),"",IFERROR(INDEX(LAMINA_HORA!$C$5:$V$114,MATCH($B58,LAMINA_HORA!$A$5:$A$114,0),MATCH(V58,LAMINA_HORA!$C$3:$V$3,0)),"?"))</f>
        <v/>
      </c>
      <c r="X58" s="27">
        <f>IF(OR($B58="",V58=""),"",IFERROR(INDEX(LAMINA_HORA!$W$5:$AP$114,MATCH($B58,LAMINA_HORA!$A$5:$A$114,0),MATCH(V58,LAMINA_HORA!$W$3:$AP$3,0)),"?"))</f>
        <v/>
      </c>
      <c r="Y58" s="7" t="n"/>
      <c r="Z58" s="27">
        <f>IF(OR($B58="",Y58=""),"",IFERROR(INDEX(LAMINA_HORA!$C$5:$V$114,MATCH($B58,LAMINA_HORA!$A$5:$A$114,0),MATCH(Y58,LAMINA_HORA!$C$3:$V$3,0)),"?"))</f>
        <v/>
      </c>
      <c r="AA58" s="27">
        <f>IF(OR($B58="",Y58=""),"",IFERROR(INDEX(LAMINA_HORA!$W$5:$AP$114,MATCH($B58,LAMINA_HORA!$A$5:$A$114,0),MATCH(Y58,LAMINA_HORA!$W$3:$AP$3,0)),"?"))</f>
        <v/>
      </c>
      <c r="AB58" s="7" t="n"/>
      <c r="AC58" s="27">
        <f>IF(OR($B58="",AB58=""),"",IFERROR(INDEX(LAMINA_HORA!$C$5:$V$114,MATCH($B58,LAMINA_HORA!$A$5:$A$114,0),MATCH(AB58,LAMINA_HORA!$C$3:$V$3,0)),"?"))</f>
        <v/>
      </c>
      <c r="AD58" s="27">
        <f>IF(OR($B58="",AB58=""),"",IFERROR(INDEX(LAMINA_HORA!$W$5:$AP$114,MATCH($B58,LAMINA_HORA!$A$5:$A$114,0),MATCH(AB58,LAMINA_HORA!$W$3:$AP$3,0)),"?"))</f>
        <v/>
      </c>
      <c r="AE58" s="14">
        <f>SUM(K58,N58,Q58,T58,W58,Z58,AC58)</f>
        <v/>
      </c>
      <c r="AF58" s="16">
        <f>IF(OR($G58="",AE58=""),"",AE58*$G58*10)</f>
        <v/>
      </c>
      <c r="AG58" s="16">
        <f>IF(OR(AF58="",$H58=""),"",AF58*$H58)</f>
        <v/>
      </c>
      <c r="AH58" s="20" t="n"/>
    </row>
    <row r="59">
      <c r="A59" s="5" t="inlineStr">
        <is>
          <t>Pivô 105</t>
        </is>
      </c>
      <c r="B59" s="7" t="inlineStr">
        <is>
          <t>P105</t>
        </is>
      </c>
      <c r="C59" s="5" t="inlineStr">
        <is>
          <t>RM3</t>
        </is>
      </c>
      <c r="D59" s="5" t="inlineStr">
        <is>
          <t>RDM</t>
        </is>
      </c>
      <c r="E59" s="6" t="inlineStr">
        <is>
          <t>COMBATE IPRO</t>
        </is>
      </c>
      <c r="F59" s="26" t="inlineStr"/>
      <c r="G59" s="15" t="n">
        <v>100</v>
      </c>
      <c r="H59" s="17" t="n">
        <v>0.583</v>
      </c>
      <c r="J59" s="7" t="n"/>
      <c r="K59" s="27">
        <f>IF(OR($B59="",J59=""),"",IFERROR(INDEX(LAMINA_HORA!$C$5:$V$114,MATCH($B59,LAMINA_HORA!$A$5:$A$114,0),MATCH(J59,LAMINA_HORA!$C$3:$V$3,0)),"?"))</f>
        <v/>
      </c>
      <c r="L59" s="27">
        <f>IF(OR($B59="",J59=""),"",IFERROR(INDEX(LAMINA_HORA!$W$5:$AP$114,MATCH($B59,LAMINA_HORA!$A$5:$A$114,0),MATCH(J59,LAMINA_HORA!$W$3:$AP$3,0)),"?"))</f>
        <v/>
      </c>
      <c r="M59" s="7" t="n"/>
      <c r="N59" s="27">
        <f>IF(OR($B59="",M59=""),"",IFERROR(INDEX(LAMINA_HORA!$C$5:$V$114,MATCH($B59,LAMINA_HORA!$A$5:$A$114,0),MATCH(M59,LAMINA_HORA!$C$3:$V$3,0)),"?"))</f>
        <v/>
      </c>
      <c r="O59" s="27">
        <f>IF(OR($B59="",M59=""),"",IFERROR(INDEX(LAMINA_HORA!$W$5:$AP$114,MATCH($B59,LAMINA_HORA!$A$5:$A$114,0),MATCH(M59,LAMINA_HORA!$W$3:$AP$3,0)),"?"))</f>
        <v/>
      </c>
      <c r="P59" s="7" t="n"/>
      <c r="Q59" s="27">
        <f>IF(OR($B59="",P59=""),"",IFERROR(INDEX(LAMINA_HORA!$C$5:$V$114,MATCH($B59,LAMINA_HORA!$A$5:$A$114,0),MATCH(P59,LAMINA_HORA!$C$3:$V$3,0)),"?"))</f>
        <v/>
      </c>
      <c r="R59" s="27">
        <f>IF(OR($B59="",P59=""),"",IFERROR(INDEX(LAMINA_HORA!$W$5:$AP$114,MATCH($B59,LAMINA_HORA!$A$5:$A$114,0),MATCH(P59,LAMINA_HORA!$W$3:$AP$3,0)),"?"))</f>
        <v/>
      </c>
      <c r="S59" s="7" t="n"/>
      <c r="T59" s="27">
        <f>IF(OR($B59="",S59=""),"",IFERROR(INDEX(LAMINA_HORA!$C$5:$V$114,MATCH($B59,LAMINA_HORA!$A$5:$A$114,0),MATCH(S59,LAMINA_HORA!$C$3:$V$3,0)),"?"))</f>
        <v/>
      </c>
      <c r="U59" s="27">
        <f>IF(OR($B59="",S59=""),"",IFERROR(INDEX(LAMINA_HORA!$W$5:$AP$114,MATCH($B59,LAMINA_HORA!$A$5:$A$114,0),MATCH(S59,LAMINA_HORA!$W$3:$AP$3,0)),"?"))</f>
        <v/>
      </c>
      <c r="V59" s="7" t="n"/>
      <c r="W59" s="27">
        <f>IF(OR($B59="",V59=""),"",IFERROR(INDEX(LAMINA_HORA!$C$5:$V$114,MATCH($B59,LAMINA_HORA!$A$5:$A$114,0),MATCH(V59,LAMINA_HORA!$C$3:$V$3,0)),"?"))</f>
        <v/>
      </c>
      <c r="X59" s="27">
        <f>IF(OR($B59="",V59=""),"",IFERROR(INDEX(LAMINA_HORA!$W$5:$AP$114,MATCH($B59,LAMINA_HORA!$A$5:$A$114,0),MATCH(V59,LAMINA_HORA!$W$3:$AP$3,0)),"?"))</f>
        <v/>
      </c>
      <c r="Y59" s="7" t="n"/>
      <c r="Z59" s="27">
        <f>IF(OR($B59="",Y59=""),"",IFERROR(INDEX(LAMINA_HORA!$C$5:$V$114,MATCH($B59,LAMINA_HORA!$A$5:$A$114,0),MATCH(Y59,LAMINA_HORA!$C$3:$V$3,0)),"?"))</f>
        <v/>
      </c>
      <c r="AA59" s="27">
        <f>IF(OR($B59="",Y59=""),"",IFERROR(INDEX(LAMINA_HORA!$W$5:$AP$114,MATCH($B59,LAMINA_HORA!$A$5:$A$114,0),MATCH(Y59,LAMINA_HORA!$W$3:$AP$3,0)),"?"))</f>
        <v/>
      </c>
      <c r="AB59" s="7" t="n"/>
      <c r="AC59" s="27">
        <f>IF(OR($B59="",AB59=""),"",IFERROR(INDEX(LAMINA_HORA!$C$5:$V$114,MATCH($B59,LAMINA_HORA!$A$5:$A$114,0),MATCH(AB59,LAMINA_HORA!$C$3:$V$3,0)),"?"))</f>
        <v/>
      </c>
      <c r="AD59" s="27">
        <f>IF(OR($B59="",AB59=""),"",IFERROR(INDEX(LAMINA_HORA!$W$5:$AP$114,MATCH($B59,LAMINA_HORA!$A$5:$A$114,0),MATCH(AB59,LAMINA_HORA!$W$3:$AP$3,0)),"?"))</f>
        <v/>
      </c>
      <c r="AE59" s="14">
        <f>SUM(K59,N59,Q59,T59,W59,Z59,AC59)</f>
        <v/>
      </c>
      <c r="AF59" s="16">
        <f>IF(OR($G59="",AE59=""),"",AE59*$G59*10)</f>
        <v/>
      </c>
      <c r="AG59" s="16">
        <f>IF(OR(AF59="",$H59=""),"",AF59*$H59)</f>
        <v/>
      </c>
      <c r="AH59" s="20" t="n"/>
    </row>
    <row r="60">
      <c r="A60" s="5" t="inlineStr">
        <is>
          <t>Pivô 106</t>
        </is>
      </c>
      <c r="B60" s="7" t="inlineStr">
        <is>
          <t>P106</t>
        </is>
      </c>
      <c r="C60" s="5" t="inlineStr">
        <is>
          <t>RM2</t>
        </is>
      </c>
      <c r="D60" s="5" t="inlineStr">
        <is>
          <t>RDM</t>
        </is>
      </c>
      <c r="E60" s="6" t="inlineStr">
        <is>
          <t>NEO 761 I2X</t>
        </is>
      </c>
      <c r="F60" s="26" t="inlineStr"/>
      <c r="G60" s="15" t="n">
        <v>100</v>
      </c>
      <c r="H60" s="17" t="n">
        <v>0.583</v>
      </c>
      <c r="J60" s="7" t="n"/>
      <c r="K60" s="27">
        <f>IF(OR($B60="",J60=""),"",IFERROR(INDEX(LAMINA_HORA!$C$5:$V$114,MATCH($B60,LAMINA_HORA!$A$5:$A$114,0),MATCH(J60,LAMINA_HORA!$C$3:$V$3,0)),"?"))</f>
        <v/>
      </c>
      <c r="L60" s="27">
        <f>IF(OR($B60="",J60=""),"",IFERROR(INDEX(LAMINA_HORA!$W$5:$AP$114,MATCH($B60,LAMINA_HORA!$A$5:$A$114,0),MATCH(J60,LAMINA_HORA!$W$3:$AP$3,0)),"?"))</f>
        <v/>
      </c>
      <c r="M60" s="7" t="n"/>
      <c r="N60" s="27">
        <f>IF(OR($B60="",M60=""),"",IFERROR(INDEX(LAMINA_HORA!$C$5:$V$114,MATCH($B60,LAMINA_HORA!$A$5:$A$114,0),MATCH(M60,LAMINA_HORA!$C$3:$V$3,0)),"?"))</f>
        <v/>
      </c>
      <c r="O60" s="27">
        <f>IF(OR($B60="",M60=""),"",IFERROR(INDEX(LAMINA_HORA!$W$5:$AP$114,MATCH($B60,LAMINA_HORA!$A$5:$A$114,0),MATCH(M60,LAMINA_HORA!$W$3:$AP$3,0)),"?"))</f>
        <v/>
      </c>
      <c r="P60" s="7" t="n"/>
      <c r="Q60" s="27">
        <f>IF(OR($B60="",P60=""),"",IFERROR(INDEX(LAMINA_HORA!$C$5:$V$114,MATCH($B60,LAMINA_HORA!$A$5:$A$114,0),MATCH(P60,LAMINA_HORA!$C$3:$V$3,0)),"?"))</f>
        <v/>
      </c>
      <c r="R60" s="27">
        <f>IF(OR($B60="",P60=""),"",IFERROR(INDEX(LAMINA_HORA!$W$5:$AP$114,MATCH($B60,LAMINA_HORA!$A$5:$A$114,0),MATCH(P60,LAMINA_HORA!$W$3:$AP$3,0)),"?"))</f>
        <v/>
      </c>
      <c r="S60" s="7" t="n"/>
      <c r="T60" s="27">
        <f>IF(OR($B60="",S60=""),"",IFERROR(INDEX(LAMINA_HORA!$C$5:$V$114,MATCH($B60,LAMINA_HORA!$A$5:$A$114,0),MATCH(S60,LAMINA_HORA!$C$3:$V$3,0)),"?"))</f>
        <v/>
      </c>
      <c r="U60" s="27">
        <f>IF(OR($B60="",S60=""),"",IFERROR(INDEX(LAMINA_HORA!$W$5:$AP$114,MATCH($B60,LAMINA_HORA!$A$5:$A$114,0),MATCH(S60,LAMINA_HORA!$W$3:$AP$3,0)),"?"))</f>
        <v/>
      </c>
      <c r="V60" s="7" t="n"/>
      <c r="W60" s="27">
        <f>IF(OR($B60="",V60=""),"",IFERROR(INDEX(LAMINA_HORA!$C$5:$V$114,MATCH($B60,LAMINA_HORA!$A$5:$A$114,0),MATCH(V60,LAMINA_HORA!$C$3:$V$3,0)),"?"))</f>
        <v/>
      </c>
      <c r="X60" s="27">
        <f>IF(OR($B60="",V60=""),"",IFERROR(INDEX(LAMINA_HORA!$W$5:$AP$114,MATCH($B60,LAMINA_HORA!$A$5:$A$114,0),MATCH(V60,LAMINA_HORA!$W$3:$AP$3,0)),"?"))</f>
        <v/>
      </c>
      <c r="Y60" s="7" t="n"/>
      <c r="Z60" s="27">
        <f>IF(OR($B60="",Y60=""),"",IFERROR(INDEX(LAMINA_HORA!$C$5:$V$114,MATCH($B60,LAMINA_HORA!$A$5:$A$114,0),MATCH(Y60,LAMINA_HORA!$C$3:$V$3,0)),"?"))</f>
        <v/>
      </c>
      <c r="AA60" s="27">
        <f>IF(OR($B60="",Y60=""),"",IFERROR(INDEX(LAMINA_HORA!$W$5:$AP$114,MATCH($B60,LAMINA_HORA!$A$5:$A$114,0),MATCH(Y60,LAMINA_HORA!$W$3:$AP$3,0)),"?"))</f>
        <v/>
      </c>
      <c r="AB60" s="7" t="n"/>
      <c r="AC60" s="27">
        <f>IF(OR($B60="",AB60=""),"",IFERROR(INDEX(LAMINA_HORA!$C$5:$V$114,MATCH($B60,LAMINA_HORA!$A$5:$A$114,0),MATCH(AB60,LAMINA_HORA!$C$3:$V$3,0)),"?"))</f>
        <v/>
      </c>
      <c r="AD60" s="27">
        <f>IF(OR($B60="",AB60=""),"",IFERROR(INDEX(LAMINA_HORA!$W$5:$AP$114,MATCH($B60,LAMINA_HORA!$A$5:$A$114,0),MATCH(AB60,LAMINA_HORA!$W$3:$AP$3,0)),"?"))</f>
        <v/>
      </c>
      <c r="AE60" s="14">
        <f>SUM(K60,N60,Q60,T60,W60,Z60,AC60)</f>
        <v/>
      </c>
      <c r="AF60" s="16">
        <f>IF(OR($G60="",AE60=""),"",AE60*$G60*10)</f>
        <v/>
      </c>
      <c r="AG60" s="16">
        <f>IF(OR(AF60="",$H60=""),"",AF60*$H60)</f>
        <v/>
      </c>
      <c r="AH60" s="20" t="n"/>
    </row>
    <row r="61">
      <c r="A61" s="5" t="inlineStr">
        <is>
          <t>Pivô 107</t>
        </is>
      </c>
      <c r="B61" s="7" t="inlineStr">
        <is>
          <t>P107</t>
        </is>
      </c>
      <c r="C61" s="5" t="inlineStr">
        <is>
          <t>RM3</t>
        </is>
      </c>
      <c r="D61" s="5" t="inlineStr">
        <is>
          <t>RDM</t>
        </is>
      </c>
      <c r="E61" s="6" t="inlineStr">
        <is>
          <t>NEO 761 I2X</t>
        </is>
      </c>
      <c r="F61" s="26" t="inlineStr"/>
      <c r="G61" s="15" t="n">
        <v>100</v>
      </c>
      <c r="H61" s="17" t="n">
        <v>0.621</v>
      </c>
      <c r="J61" s="7" t="n"/>
      <c r="K61" s="27">
        <f>IF(OR($B61="",J61=""),"",IFERROR(INDEX(LAMINA_HORA!$C$5:$V$114,MATCH($B61,LAMINA_HORA!$A$5:$A$114,0),MATCH(J61,LAMINA_HORA!$C$3:$V$3,0)),"?"))</f>
        <v/>
      </c>
      <c r="L61" s="27">
        <f>IF(OR($B61="",J61=""),"",IFERROR(INDEX(LAMINA_HORA!$W$5:$AP$114,MATCH($B61,LAMINA_HORA!$A$5:$A$114,0),MATCH(J61,LAMINA_HORA!$W$3:$AP$3,0)),"?"))</f>
        <v/>
      </c>
      <c r="M61" s="7" t="n"/>
      <c r="N61" s="27">
        <f>IF(OR($B61="",M61=""),"",IFERROR(INDEX(LAMINA_HORA!$C$5:$V$114,MATCH($B61,LAMINA_HORA!$A$5:$A$114,0),MATCH(M61,LAMINA_HORA!$C$3:$V$3,0)),"?"))</f>
        <v/>
      </c>
      <c r="O61" s="27">
        <f>IF(OR($B61="",M61=""),"",IFERROR(INDEX(LAMINA_HORA!$W$5:$AP$114,MATCH($B61,LAMINA_HORA!$A$5:$A$114,0),MATCH(M61,LAMINA_HORA!$W$3:$AP$3,0)),"?"))</f>
        <v/>
      </c>
      <c r="P61" s="7" t="n"/>
      <c r="Q61" s="27">
        <f>IF(OR($B61="",P61=""),"",IFERROR(INDEX(LAMINA_HORA!$C$5:$V$114,MATCH($B61,LAMINA_HORA!$A$5:$A$114,0),MATCH(P61,LAMINA_HORA!$C$3:$V$3,0)),"?"))</f>
        <v/>
      </c>
      <c r="R61" s="27">
        <f>IF(OR($B61="",P61=""),"",IFERROR(INDEX(LAMINA_HORA!$W$5:$AP$114,MATCH($B61,LAMINA_HORA!$A$5:$A$114,0),MATCH(P61,LAMINA_HORA!$W$3:$AP$3,0)),"?"))</f>
        <v/>
      </c>
      <c r="S61" s="7" t="n"/>
      <c r="T61" s="27">
        <f>IF(OR($B61="",S61=""),"",IFERROR(INDEX(LAMINA_HORA!$C$5:$V$114,MATCH($B61,LAMINA_HORA!$A$5:$A$114,0),MATCH(S61,LAMINA_HORA!$C$3:$V$3,0)),"?"))</f>
        <v/>
      </c>
      <c r="U61" s="27">
        <f>IF(OR($B61="",S61=""),"",IFERROR(INDEX(LAMINA_HORA!$W$5:$AP$114,MATCH($B61,LAMINA_HORA!$A$5:$A$114,0),MATCH(S61,LAMINA_HORA!$W$3:$AP$3,0)),"?"))</f>
        <v/>
      </c>
      <c r="V61" s="7" t="n"/>
      <c r="W61" s="27">
        <f>IF(OR($B61="",V61=""),"",IFERROR(INDEX(LAMINA_HORA!$C$5:$V$114,MATCH($B61,LAMINA_HORA!$A$5:$A$114,0),MATCH(V61,LAMINA_HORA!$C$3:$V$3,0)),"?"))</f>
        <v/>
      </c>
      <c r="X61" s="27">
        <f>IF(OR($B61="",V61=""),"",IFERROR(INDEX(LAMINA_HORA!$W$5:$AP$114,MATCH($B61,LAMINA_HORA!$A$5:$A$114,0),MATCH(V61,LAMINA_HORA!$W$3:$AP$3,0)),"?"))</f>
        <v/>
      </c>
      <c r="Y61" s="7" t="n"/>
      <c r="Z61" s="27">
        <f>IF(OR($B61="",Y61=""),"",IFERROR(INDEX(LAMINA_HORA!$C$5:$V$114,MATCH($B61,LAMINA_HORA!$A$5:$A$114,0),MATCH(Y61,LAMINA_HORA!$C$3:$V$3,0)),"?"))</f>
        <v/>
      </c>
      <c r="AA61" s="27">
        <f>IF(OR($B61="",Y61=""),"",IFERROR(INDEX(LAMINA_HORA!$W$5:$AP$114,MATCH($B61,LAMINA_HORA!$A$5:$A$114,0),MATCH(Y61,LAMINA_HORA!$W$3:$AP$3,0)),"?"))</f>
        <v/>
      </c>
      <c r="AB61" s="7" t="n"/>
      <c r="AC61" s="27">
        <f>IF(OR($B61="",AB61=""),"",IFERROR(INDEX(LAMINA_HORA!$C$5:$V$114,MATCH($B61,LAMINA_HORA!$A$5:$A$114,0),MATCH(AB61,LAMINA_HORA!$C$3:$V$3,0)),"?"))</f>
        <v/>
      </c>
      <c r="AD61" s="27">
        <f>IF(OR($B61="",AB61=""),"",IFERROR(INDEX(LAMINA_HORA!$W$5:$AP$114,MATCH($B61,LAMINA_HORA!$A$5:$A$114,0),MATCH(AB61,LAMINA_HORA!$W$3:$AP$3,0)),"?"))</f>
        <v/>
      </c>
      <c r="AE61" s="14">
        <f>SUM(K61,N61,Q61,T61,W61,Z61,AC61)</f>
        <v/>
      </c>
      <c r="AF61" s="16">
        <f>IF(OR($G61="",AE61=""),"",AE61*$G61*10)</f>
        <v/>
      </c>
      <c r="AG61" s="16">
        <f>IF(OR(AF61="",$H61=""),"",AF61*$H61)</f>
        <v/>
      </c>
      <c r="AH61" s="20" t="n"/>
    </row>
    <row r="62">
      <c r="A62" s="5" t="inlineStr">
        <is>
          <t>Pivô 109</t>
        </is>
      </c>
      <c r="B62" s="7" t="inlineStr">
        <is>
          <t>P109</t>
        </is>
      </c>
      <c r="C62" s="5" t="inlineStr">
        <is>
          <t>RM1</t>
        </is>
      </c>
      <c r="D62" s="5" t="inlineStr">
        <is>
          <t>RDM</t>
        </is>
      </c>
      <c r="E62" s="6" t="inlineStr">
        <is>
          <t>NEO 690 I2X</t>
        </is>
      </c>
      <c r="F62" s="26" t="inlineStr"/>
      <c r="G62" s="15" t="n">
        <v>100</v>
      </c>
      <c r="H62" s="17" t="n">
        <v>0.621</v>
      </c>
      <c r="J62" s="7" t="n"/>
      <c r="K62" s="27">
        <f>IF(OR($B62="",J62=""),"",IFERROR(INDEX(LAMINA_HORA!$C$5:$V$114,MATCH($B62,LAMINA_HORA!$A$5:$A$114,0),MATCH(J62,LAMINA_HORA!$C$3:$V$3,0)),"?"))</f>
        <v/>
      </c>
      <c r="L62" s="27">
        <f>IF(OR($B62="",J62=""),"",IFERROR(INDEX(LAMINA_HORA!$W$5:$AP$114,MATCH($B62,LAMINA_HORA!$A$5:$A$114,0),MATCH(J62,LAMINA_HORA!$W$3:$AP$3,0)),"?"))</f>
        <v/>
      </c>
      <c r="M62" s="7" t="n"/>
      <c r="N62" s="27">
        <f>IF(OR($B62="",M62=""),"",IFERROR(INDEX(LAMINA_HORA!$C$5:$V$114,MATCH($B62,LAMINA_HORA!$A$5:$A$114,0),MATCH(M62,LAMINA_HORA!$C$3:$V$3,0)),"?"))</f>
        <v/>
      </c>
      <c r="O62" s="27">
        <f>IF(OR($B62="",M62=""),"",IFERROR(INDEX(LAMINA_HORA!$W$5:$AP$114,MATCH($B62,LAMINA_HORA!$A$5:$A$114,0),MATCH(M62,LAMINA_HORA!$W$3:$AP$3,0)),"?"))</f>
        <v/>
      </c>
      <c r="P62" s="7" t="n"/>
      <c r="Q62" s="27">
        <f>IF(OR($B62="",P62=""),"",IFERROR(INDEX(LAMINA_HORA!$C$5:$V$114,MATCH($B62,LAMINA_HORA!$A$5:$A$114,0),MATCH(P62,LAMINA_HORA!$C$3:$V$3,0)),"?"))</f>
        <v/>
      </c>
      <c r="R62" s="27">
        <f>IF(OR($B62="",P62=""),"",IFERROR(INDEX(LAMINA_HORA!$W$5:$AP$114,MATCH($B62,LAMINA_HORA!$A$5:$A$114,0),MATCH(P62,LAMINA_HORA!$W$3:$AP$3,0)),"?"))</f>
        <v/>
      </c>
      <c r="S62" s="7" t="n"/>
      <c r="T62" s="27">
        <f>IF(OR($B62="",S62=""),"",IFERROR(INDEX(LAMINA_HORA!$C$5:$V$114,MATCH($B62,LAMINA_HORA!$A$5:$A$114,0),MATCH(S62,LAMINA_HORA!$C$3:$V$3,0)),"?"))</f>
        <v/>
      </c>
      <c r="U62" s="27">
        <f>IF(OR($B62="",S62=""),"",IFERROR(INDEX(LAMINA_HORA!$W$5:$AP$114,MATCH($B62,LAMINA_HORA!$A$5:$A$114,0),MATCH(S62,LAMINA_HORA!$W$3:$AP$3,0)),"?"))</f>
        <v/>
      </c>
      <c r="V62" s="7" t="n"/>
      <c r="W62" s="27">
        <f>IF(OR($B62="",V62=""),"",IFERROR(INDEX(LAMINA_HORA!$C$5:$V$114,MATCH($B62,LAMINA_HORA!$A$5:$A$114,0),MATCH(V62,LAMINA_HORA!$C$3:$V$3,0)),"?"))</f>
        <v/>
      </c>
      <c r="X62" s="27">
        <f>IF(OR($B62="",V62=""),"",IFERROR(INDEX(LAMINA_HORA!$W$5:$AP$114,MATCH($B62,LAMINA_HORA!$A$5:$A$114,0),MATCH(V62,LAMINA_HORA!$W$3:$AP$3,0)),"?"))</f>
        <v/>
      </c>
      <c r="Y62" s="7" t="n"/>
      <c r="Z62" s="27">
        <f>IF(OR($B62="",Y62=""),"",IFERROR(INDEX(LAMINA_HORA!$C$5:$V$114,MATCH($B62,LAMINA_HORA!$A$5:$A$114,0),MATCH(Y62,LAMINA_HORA!$C$3:$V$3,0)),"?"))</f>
        <v/>
      </c>
      <c r="AA62" s="27">
        <f>IF(OR($B62="",Y62=""),"",IFERROR(INDEX(LAMINA_HORA!$W$5:$AP$114,MATCH($B62,LAMINA_HORA!$A$5:$A$114,0),MATCH(Y62,LAMINA_HORA!$W$3:$AP$3,0)),"?"))</f>
        <v/>
      </c>
      <c r="AB62" s="7" t="n"/>
      <c r="AC62" s="27">
        <f>IF(OR($B62="",AB62=""),"",IFERROR(INDEX(LAMINA_HORA!$C$5:$V$114,MATCH($B62,LAMINA_HORA!$A$5:$A$114,0),MATCH(AB62,LAMINA_HORA!$C$3:$V$3,0)),"?"))</f>
        <v/>
      </c>
      <c r="AD62" s="27">
        <f>IF(OR($B62="",AB62=""),"",IFERROR(INDEX(LAMINA_HORA!$W$5:$AP$114,MATCH($B62,LAMINA_HORA!$A$5:$A$114,0),MATCH(AB62,LAMINA_HORA!$W$3:$AP$3,0)),"?"))</f>
        <v/>
      </c>
      <c r="AE62" s="14">
        <f>SUM(K62,N62,Q62,T62,W62,Z62,AC62)</f>
        <v/>
      </c>
      <c r="AF62" s="16">
        <f>IF(OR($G62="",AE62=""),"",AE62*$G62*10)</f>
        <v/>
      </c>
      <c r="AG62" s="16">
        <f>IF(OR(AF62="",$H62=""),"",AF62*$H62)</f>
        <v/>
      </c>
      <c r="AH62" s="20" t="n"/>
    </row>
    <row r="63">
      <c r="A63" s="5" t="inlineStr">
        <is>
          <t>Pivô 110</t>
        </is>
      </c>
      <c r="B63" s="7" t="inlineStr">
        <is>
          <t>P110</t>
        </is>
      </c>
      <c r="C63" s="5" t="inlineStr">
        <is>
          <t>RM4</t>
        </is>
      </c>
      <c r="D63" s="5" t="inlineStr">
        <is>
          <t>RDM</t>
        </is>
      </c>
      <c r="E63" s="6" t="inlineStr">
        <is>
          <t>NEO 690 I2X</t>
        </is>
      </c>
      <c r="F63" s="26" t="inlineStr"/>
      <c r="G63" s="15" t="n">
        <v>100</v>
      </c>
      <c r="H63" s="17" t="n">
        <v>0.622</v>
      </c>
      <c r="J63" s="7" t="n"/>
      <c r="K63" s="27">
        <f>IF(OR($B63="",J63=""),"",IFERROR(INDEX(LAMINA_HORA!$C$5:$V$114,MATCH($B63,LAMINA_HORA!$A$5:$A$114,0),MATCH(J63,LAMINA_HORA!$C$3:$V$3,0)),"?"))</f>
        <v/>
      </c>
      <c r="L63" s="27">
        <f>IF(OR($B63="",J63=""),"",IFERROR(INDEX(LAMINA_HORA!$W$5:$AP$114,MATCH($B63,LAMINA_HORA!$A$5:$A$114,0),MATCH(J63,LAMINA_HORA!$W$3:$AP$3,0)),"?"))</f>
        <v/>
      </c>
      <c r="M63" s="7" t="n"/>
      <c r="N63" s="27">
        <f>IF(OR($B63="",M63=""),"",IFERROR(INDEX(LAMINA_HORA!$C$5:$V$114,MATCH($B63,LAMINA_HORA!$A$5:$A$114,0),MATCH(M63,LAMINA_HORA!$C$3:$V$3,0)),"?"))</f>
        <v/>
      </c>
      <c r="O63" s="27">
        <f>IF(OR($B63="",M63=""),"",IFERROR(INDEX(LAMINA_HORA!$W$5:$AP$114,MATCH($B63,LAMINA_HORA!$A$5:$A$114,0),MATCH(M63,LAMINA_HORA!$W$3:$AP$3,0)),"?"))</f>
        <v/>
      </c>
      <c r="P63" s="7" t="n"/>
      <c r="Q63" s="27">
        <f>IF(OR($B63="",P63=""),"",IFERROR(INDEX(LAMINA_HORA!$C$5:$V$114,MATCH($B63,LAMINA_HORA!$A$5:$A$114,0),MATCH(P63,LAMINA_HORA!$C$3:$V$3,0)),"?"))</f>
        <v/>
      </c>
      <c r="R63" s="27">
        <f>IF(OR($B63="",P63=""),"",IFERROR(INDEX(LAMINA_HORA!$W$5:$AP$114,MATCH($B63,LAMINA_HORA!$A$5:$A$114,0),MATCH(P63,LAMINA_HORA!$W$3:$AP$3,0)),"?"))</f>
        <v/>
      </c>
      <c r="S63" s="7" t="n"/>
      <c r="T63" s="27">
        <f>IF(OR($B63="",S63=""),"",IFERROR(INDEX(LAMINA_HORA!$C$5:$V$114,MATCH($B63,LAMINA_HORA!$A$5:$A$114,0),MATCH(S63,LAMINA_HORA!$C$3:$V$3,0)),"?"))</f>
        <v/>
      </c>
      <c r="U63" s="27">
        <f>IF(OR($B63="",S63=""),"",IFERROR(INDEX(LAMINA_HORA!$W$5:$AP$114,MATCH($B63,LAMINA_HORA!$A$5:$A$114,0),MATCH(S63,LAMINA_HORA!$W$3:$AP$3,0)),"?"))</f>
        <v/>
      </c>
      <c r="V63" s="7" t="n"/>
      <c r="W63" s="27">
        <f>IF(OR($B63="",V63=""),"",IFERROR(INDEX(LAMINA_HORA!$C$5:$V$114,MATCH($B63,LAMINA_HORA!$A$5:$A$114,0),MATCH(V63,LAMINA_HORA!$C$3:$V$3,0)),"?"))</f>
        <v/>
      </c>
      <c r="X63" s="27">
        <f>IF(OR($B63="",V63=""),"",IFERROR(INDEX(LAMINA_HORA!$W$5:$AP$114,MATCH($B63,LAMINA_HORA!$A$5:$A$114,0),MATCH(V63,LAMINA_HORA!$W$3:$AP$3,0)),"?"))</f>
        <v/>
      </c>
      <c r="Y63" s="7" t="n"/>
      <c r="Z63" s="27">
        <f>IF(OR($B63="",Y63=""),"",IFERROR(INDEX(LAMINA_HORA!$C$5:$V$114,MATCH($B63,LAMINA_HORA!$A$5:$A$114,0),MATCH(Y63,LAMINA_HORA!$C$3:$V$3,0)),"?"))</f>
        <v/>
      </c>
      <c r="AA63" s="27">
        <f>IF(OR($B63="",Y63=""),"",IFERROR(INDEX(LAMINA_HORA!$W$5:$AP$114,MATCH($B63,LAMINA_HORA!$A$5:$A$114,0),MATCH(Y63,LAMINA_HORA!$W$3:$AP$3,0)),"?"))</f>
        <v/>
      </c>
      <c r="AB63" s="7" t="n"/>
      <c r="AC63" s="27">
        <f>IF(OR($B63="",AB63=""),"",IFERROR(INDEX(LAMINA_HORA!$C$5:$V$114,MATCH($B63,LAMINA_HORA!$A$5:$A$114,0),MATCH(AB63,LAMINA_HORA!$C$3:$V$3,0)),"?"))</f>
        <v/>
      </c>
      <c r="AD63" s="27">
        <f>IF(OR($B63="",AB63=""),"",IFERROR(INDEX(LAMINA_HORA!$W$5:$AP$114,MATCH($B63,LAMINA_HORA!$A$5:$A$114,0),MATCH(AB63,LAMINA_HORA!$W$3:$AP$3,0)),"?"))</f>
        <v/>
      </c>
      <c r="AE63" s="14">
        <f>SUM(K63,N63,Q63,T63,W63,Z63,AC63)</f>
        <v/>
      </c>
      <c r="AF63" s="16">
        <f>IF(OR($G63="",AE63=""),"",AE63*$G63*10)</f>
        <v/>
      </c>
      <c r="AG63" s="16">
        <f>IF(OR(AF63="",$H63=""),"",AF63*$H63)</f>
        <v/>
      </c>
      <c r="AH63" s="20" t="n"/>
    </row>
    <row r="64">
      <c r="A64" s="5" t="inlineStr">
        <is>
          <t>Pivô 112</t>
        </is>
      </c>
      <c r="B64" s="7" t="inlineStr">
        <is>
          <t>P112</t>
        </is>
      </c>
      <c r="C64" s="5" t="inlineStr">
        <is>
          <t>RM5</t>
        </is>
      </c>
      <c r="D64" s="5" t="inlineStr">
        <is>
          <t>RDM</t>
        </is>
      </c>
      <c r="E64" s="6" t="inlineStr">
        <is>
          <t>NEO 761 I2X</t>
        </is>
      </c>
      <c r="F64" s="26" t="inlineStr"/>
      <c r="G64" s="15" t="n">
        <v>150</v>
      </c>
      <c r="H64" s="17" t="n">
        <v>0.698</v>
      </c>
      <c r="J64" s="7" t="n"/>
      <c r="K64" s="27">
        <f>IF(OR($B64="",J64=""),"",IFERROR(INDEX(LAMINA_HORA!$C$5:$V$114,MATCH($B64,LAMINA_HORA!$A$5:$A$114,0),MATCH(J64,LAMINA_HORA!$C$3:$V$3,0)),"?"))</f>
        <v/>
      </c>
      <c r="L64" s="27">
        <f>IF(OR($B64="",J64=""),"",IFERROR(INDEX(LAMINA_HORA!$W$5:$AP$114,MATCH($B64,LAMINA_HORA!$A$5:$A$114,0),MATCH(J64,LAMINA_HORA!$W$3:$AP$3,0)),"?"))</f>
        <v/>
      </c>
      <c r="M64" s="7" t="n"/>
      <c r="N64" s="27">
        <f>IF(OR($B64="",M64=""),"",IFERROR(INDEX(LAMINA_HORA!$C$5:$V$114,MATCH($B64,LAMINA_HORA!$A$5:$A$114,0),MATCH(M64,LAMINA_HORA!$C$3:$V$3,0)),"?"))</f>
        <v/>
      </c>
      <c r="O64" s="27">
        <f>IF(OR($B64="",M64=""),"",IFERROR(INDEX(LAMINA_HORA!$W$5:$AP$114,MATCH($B64,LAMINA_HORA!$A$5:$A$114,0),MATCH(M64,LAMINA_HORA!$W$3:$AP$3,0)),"?"))</f>
        <v/>
      </c>
      <c r="P64" s="7" t="n"/>
      <c r="Q64" s="27">
        <f>IF(OR($B64="",P64=""),"",IFERROR(INDEX(LAMINA_HORA!$C$5:$V$114,MATCH($B64,LAMINA_HORA!$A$5:$A$114,0),MATCH(P64,LAMINA_HORA!$C$3:$V$3,0)),"?"))</f>
        <v/>
      </c>
      <c r="R64" s="27">
        <f>IF(OR($B64="",P64=""),"",IFERROR(INDEX(LAMINA_HORA!$W$5:$AP$114,MATCH($B64,LAMINA_HORA!$A$5:$A$114,0),MATCH(P64,LAMINA_HORA!$W$3:$AP$3,0)),"?"))</f>
        <v/>
      </c>
      <c r="S64" s="7" t="n"/>
      <c r="T64" s="27">
        <f>IF(OR($B64="",S64=""),"",IFERROR(INDEX(LAMINA_HORA!$C$5:$V$114,MATCH($B64,LAMINA_HORA!$A$5:$A$114,0),MATCH(S64,LAMINA_HORA!$C$3:$V$3,0)),"?"))</f>
        <v/>
      </c>
      <c r="U64" s="27">
        <f>IF(OR($B64="",S64=""),"",IFERROR(INDEX(LAMINA_HORA!$W$5:$AP$114,MATCH($B64,LAMINA_HORA!$A$5:$A$114,0),MATCH(S64,LAMINA_HORA!$W$3:$AP$3,0)),"?"))</f>
        <v/>
      </c>
      <c r="V64" s="7" t="n"/>
      <c r="W64" s="27">
        <f>IF(OR($B64="",V64=""),"",IFERROR(INDEX(LAMINA_HORA!$C$5:$V$114,MATCH($B64,LAMINA_HORA!$A$5:$A$114,0),MATCH(V64,LAMINA_HORA!$C$3:$V$3,0)),"?"))</f>
        <v/>
      </c>
      <c r="X64" s="27">
        <f>IF(OR($B64="",V64=""),"",IFERROR(INDEX(LAMINA_HORA!$W$5:$AP$114,MATCH($B64,LAMINA_HORA!$A$5:$A$114,0),MATCH(V64,LAMINA_HORA!$W$3:$AP$3,0)),"?"))</f>
        <v/>
      </c>
      <c r="Y64" s="7" t="n"/>
      <c r="Z64" s="27">
        <f>IF(OR($B64="",Y64=""),"",IFERROR(INDEX(LAMINA_HORA!$C$5:$V$114,MATCH($B64,LAMINA_HORA!$A$5:$A$114,0),MATCH(Y64,LAMINA_HORA!$C$3:$V$3,0)),"?"))</f>
        <v/>
      </c>
      <c r="AA64" s="27">
        <f>IF(OR($B64="",Y64=""),"",IFERROR(INDEX(LAMINA_HORA!$W$5:$AP$114,MATCH($B64,LAMINA_HORA!$A$5:$A$114,0),MATCH(Y64,LAMINA_HORA!$W$3:$AP$3,0)),"?"))</f>
        <v/>
      </c>
      <c r="AB64" s="7" t="n"/>
      <c r="AC64" s="27">
        <f>IF(OR($B64="",AB64=""),"",IFERROR(INDEX(LAMINA_HORA!$C$5:$V$114,MATCH($B64,LAMINA_HORA!$A$5:$A$114,0),MATCH(AB64,LAMINA_HORA!$C$3:$V$3,0)),"?"))</f>
        <v/>
      </c>
      <c r="AD64" s="27">
        <f>IF(OR($B64="",AB64=""),"",IFERROR(INDEX(LAMINA_HORA!$W$5:$AP$114,MATCH($B64,LAMINA_HORA!$A$5:$A$114,0),MATCH(AB64,LAMINA_HORA!$W$3:$AP$3,0)),"?"))</f>
        <v/>
      </c>
      <c r="AE64" s="14">
        <f>SUM(K64,N64,Q64,T64,W64,Z64,AC64)</f>
        <v/>
      </c>
      <c r="AF64" s="16">
        <f>IF(OR($G64="",AE64=""),"",AE64*$G64*10)</f>
        <v/>
      </c>
      <c r="AG64" s="16">
        <f>IF(OR(AF64="",$H64=""),"",AF64*$H64)</f>
        <v/>
      </c>
      <c r="AH64" s="20" t="n"/>
    </row>
    <row r="65">
      <c r="A65" s="5" t="inlineStr">
        <is>
          <t>Pivô 113</t>
        </is>
      </c>
      <c r="B65" s="7" t="inlineStr">
        <is>
          <t>P113</t>
        </is>
      </c>
      <c r="C65" s="5" t="inlineStr">
        <is>
          <t>RM5</t>
        </is>
      </c>
      <c r="D65" s="5" t="inlineStr">
        <is>
          <t>RDM</t>
        </is>
      </c>
      <c r="E65" s="6" t="inlineStr">
        <is>
          <t>NEO 761 I2X</t>
        </is>
      </c>
      <c r="F65" s="26" t="inlineStr"/>
      <c r="G65" s="15" t="n">
        <v>150</v>
      </c>
      <c r="H65" s="17" t="n">
        <v>0.698</v>
      </c>
      <c r="J65" s="7" t="n"/>
      <c r="K65" s="27">
        <f>IF(OR($B65="",J65=""),"",IFERROR(INDEX(LAMINA_HORA!$C$5:$V$114,MATCH($B65,LAMINA_HORA!$A$5:$A$114,0),MATCH(J65,LAMINA_HORA!$C$3:$V$3,0)),"?"))</f>
        <v/>
      </c>
      <c r="L65" s="27">
        <f>IF(OR($B65="",J65=""),"",IFERROR(INDEX(LAMINA_HORA!$W$5:$AP$114,MATCH($B65,LAMINA_HORA!$A$5:$A$114,0),MATCH(J65,LAMINA_HORA!$W$3:$AP$3,0)),"?"))</f>
        <v/>
      </c>
      <c r="M65" s="7" t="n"/>
      <c r="N65" s="27">
        <f>IF(OR($B65="",M65=""),"",IFERROR(INDEX(LAMINA_HORA!$C$5:$V$114,MATCH($B65,LAMINA_HORA!$A$5:$A$114,0),MATCH(M65,LAMINA_HORA!$C$3:$V$3,0)),"?"))</f>
        <v/>
      </c>
      <c r="O65" s="27">
        <f>IF(OR($B65="",M65=""),"",IFERROR(INDEX(LAMINA_HORA!$W$5:$AP$114,MATCH($B65,LAMINA_HORA!$A$5:$A$114,0),MATCH(M65,LAMINA_HORA!$W$3:$AP$3,0)),"?"))</f>
        <v/>
      </c>
      <c r="P65" s="7" t="n"/>
      <c r="Q65" s="27">
        <f>IF(OR($B65="",P65=""),"",IFERROR(INDEX(LAMINA_HORA!$C$5:$V$114,MATCH($B65,LAMINA_HORA!$A$5:$A$114,0),MATCH(P65,LAMINA_HORA!$C$3:$V$3,0)),"?"))</f>
        <v/>
      </c>
      <c r="R65" s="27">
        <f>IF(OR($B65="",P65=""),"",IFERROR(INDEX(LAMINA_HORA!$W$5:$AP$114,MATCH($B65,LAMINA_HORA!$A$5:$A$114,0),MATCH(P65,LAMINA_HORA!$W$3:$AP$3,0)),"?"))</f>
        <v/>
      </c>
      <c r="S65" s="7" t="n"/>
      <c r="T65" s="27">
        <f>IF(OR($B65="",S65=""),"",IFERROR(INDEX(LAMINA_HORA!$C$5:$V$114,MATCH($B65,LAMINA_HORA!$A$5:$A$114,0),MATCH(S65,LAMINA_HORA!$C$3:$V$3,0)),"?"))</f>
        <v/>
      </c>
      <c r="U65" s="27">
        <f>IF(OR($B65="",S65=""),"",IFERROR(INDEX(LAMINA_HORA!$W$5:$AP$114,MATCH($B65,LAMINA_HORA!$A$5:$A$114,0),MATCH(S65,LAMINA_HORA!$W$3:$AP$3,0)),"?"))</f>
        <v/>
      </c>
      <c r="V65" s="7" t="n"/>
      <c r="W65" s="27">
        <f>IF(OR($B65="",V65=""),"",IFERROR(INDEX(LAMINA_HORA!$C$5:$V$114,MATCH($B65,LAMINA_HORA!$A$5:$A$114,0),MATCH(V65,LAMINA_HORA!$C$3:$V$3,0)),"?"))</f>
        <v/>
      </c>
      <c r="X65" s="27">
        <f>IF(OR($B65="",V65=""),"",IFERROR(INDEX(LAMINA_HORA!$W$5:$AP$114,MATCH($B65,LAMINA_HORA!$A$5:$A$114,0),MATCH(V65,LAMINA_HORA!$W$3:$AP$3,0)),"?"))</f>
        <v/>
      </c>
      <c r="Y65" s="7" t="n"/>
      <c r="Z65" s="27">
        <f>IF(OR($B65="",Y65=""),"",IFERROR(INDEX(LAMINA_HORA!$C$5:$V$114,MATCH($B65,LAMINA_HORA!$A$5:$A$114,0),MATCH(Y65,LAMINA_HORA!$C$3:$V$3,0)),"?"))</f>
        <v/>
      </c>
      <c r="AA65" s="27">
        <f>IF(OR($B65="",Y65=""),"",IFERROR(INDEX(LAMINA_HORA!$W$5:$AP$114,MATCH($B65,LAMINA_HORA!$A$5:$A$114,0),MATCH(Y65,LAMINA_HORA!$W$3:$AP$3,0)),"?"))</f>
        <v/>
      </c>
      <c r="AB65" s="7" t="n"/>
      <c r="AC65" s="27">
        <f>IF(OR($B65="",AB65=""),"",IFERROR(INDEX(LAMINA_HORA!$C$5:$V$114,MATCH($B65,LAMINA_HORA!$A$5:$A$114,0),MATCH(AB65,LAMINA_HORA!$C$3:$V$3,0)),"?"))</f>
        <v/>
      </c>
      <c r="AD65" s="27">
        <f>IF(OR($B65="",AB65=""),"",IFERROR(INDEX(LAMINA_HORA!$W$5:$AP$114,MATCH($B65,LAMINA_HORA!$A$5:$A$114,0),MATCH(AB65,LAMINA_HORA!$W$3:$AP$3,0)),"?"))</f>
        <v/>
      </c>
      <c r="AE65" s="14">
        <f>SUM(K65,N65,Q65,T65,W65,Z65,AC65)</f>
        <v/>
      </c>
      <c r="AF65" s="16">
        <f>IF(OR($G65="",AE65=""),"",AE65*$G65*10)</f>
        <v/>
      </c>
      <c r="AG65" s="16">
        <f>IF(OR(AF65="",$H65=""),"",AF65*$H65)</f>
        <v/>
      </c>
      <c r="AH65" s="20" t="n"/>
    </row>
    <row r="66">
      <c r="A66" s="5" t="inlineStr">
        <is>
          <t>Pivô 121</t>
        </is>
      </c>
      <c r="B66" s="7" t="inlineStr">
        <is>
          <t>P121</t>
        </is>
      </c>
      <c r="C66" s="5" t="inlineStr">
        <is>
          <t>RM7</t>
        </is>
      </c>
      <c r="D66" s="5" t="inlineStr">
        <is>
          <t>RDM</t>
        </is>
      </c>
      <c r="E66" s="6" t="inlineStr">
        <is>
          <t>BMX Olimpo IPRO</t>
        </is>
      </c>
      <c r="F66" s="26" t="inlineStr"/>
      <c r="G66" s="15" t="n">
        <v>145</v>
      </c>
      <c r="H66" s="17" t="n">
        <v>0.698</v>
      </c>
      <c r="J66" s="7" t="n"/>
      <c r="K66" s="27">
        <f>IF(OR($B66="",J66=""),"",IFERROR(INDEX(LAMINA_HORA!$C$5:$V$114,MATCH($B66,LAMINA_HORA!$A$5:$A$114,0),MATCH(J66,LAMINA_HORA!$C$3:$V$3,0)),"?"))</f>
        <v/>
      </c>
      <c r="L66" s="27">
        <f>IF(OR($B66="",J66=""),"",IFERROR(INDEX(LAMINA_HORA!$W$5:$AP$114,MATCH($B66,LAMINA_HORA!$A$5:$A$114,0),MATCH(J66,LAMINA_HORA!$W$3:$AP$3,0)),"?"))</f>
        <v/>
      </c>
      <c r="M66" s="7" t="n"/>
      <c r="N66" s="27">
        <f>IF(OR($B66="",M66=""),"",IFERROR(INDEX(LAMINA_HORA!$C$5:$V$114,MATCH($B66,LAMINA_HORA!$A$5:$A$114,0),MATCH(M66,LAMINA_HORA!$C$3:$V$3,0)),"?"))</f>
        <v/>
      </c>
      <c r="O66" s="27">
        <f>IF(OR($B66="",M66=""),"",IFERROR(INDEX(LAMINA_HORA!$W$5:$AP$114,MATCH($B66,LAMINA_HORA!$A$5:$A$114,0),MATCH(M66,LAMINA_HORA!$W$3:$AP$3,0)),"?"))</f>
        <v/>
      </c>
      <c r="P66" s="7" t="n"/>
      <c r="Q66" s="27">
        <f>IF(OR($B66="",P66=""),"",IFERROR(INDEX(LAMINA_HORA!$C$5:$V$114,MATCH($B66,LAMINA_HORA!$A$5:$A$114,0),MATCH(P66,LAMINA_HORA!$C$3:$V$3,0)),"?"))</f>
        <v/>
      </c>
      <c r="R66" s="27">
        <f>IF(OR($B66="",P66=""),"",IFERROR(INDEX(LAMINA_HORA!$W$5:$AP$114,MATCH($B66,LAMINA_HORA!$A$5:$A$114,0),MATCH(P66,LAMINA_HORA!$W$3:$AP$3,0)),"?"))</f>
        <v/>
      </c>
      <c r="S66" s="7" t="n"/>
      <c r="T66" s="27">
        <f>IF(OR($B66="",S66=""),"",IFERROR(INDEX(LAMINA_HORA!$C$5:$V$114,MATCH($B66,LAMINA_HORA!$A$5:$A$114,0),MATCH(S66,LAMINA_HORA!$C$3:$V$3,0)),"?"))</f>
        <v/>
      </c>
      <c r="U66" s="27">
        <f>IF(OR($B66="",S66=""),"",IFERROR(INDEX(LAMINA_HORA!$W$5:$AP$114,MATCH($B66,LAMINA_HORA!$A$5:$A$114,0),MATCH(S66,LAMINA_HORA!$W$3:$AP$3,0)),"?"))</f>
        <v/>
      </c>
      <c r="V66" s="7" t="n"/>
      <c r="W66" s="27">
        <f>IF(OR($B66="",V66=""),"",IFERROR(INDEX(LAMINA_HORA!$C$5:$V$114,MATCH($B66,LAMINA_HORA!$A$5:$A$114,0),MATCH(V66,LAMINA_HORA!$C$3:$V$3,0)),"?"))</f>
        <v/>
      </c>
      <c r="X66" s="27">
        <f>IF(OR($B66="",V66=""),"",IFERROR(INDEX(LAMINA_HORA!$W$5:$AP$114,MATCH($B66,LAMINA_HORA!$A$5:$A$114,0),MATCH(V66,LAMINA_HORA!$W$3:$AP$3,0)),"?"))</f>
        <v/>
      </c>
      <c r="Y66" s="7" t="n"/>
      <c r="Z66" s="27">
        <f>IF(OR($B66="",Y66=""),"",IFERROR(INDEX(LAMINA_HORA!$C$5:$V$114,MATCH($B66,LAMINA_HORA!$A$5:$A$114,0),MATCH(Y66,LAMINA_HORA!$C$3:$V$3,0)),"?"))</f>
        <v/>
      </c>
      <c r="AA66" s="27">
        <f>IF(OR($B66="",Y66=""),"",IFERROR(INDEX(LAMINA_HORA!$W$5:$AP$114,MATCH($B66,LAMINA_HORA!$A$5:$A$114,0),MATCH(Y66,LAMINA_HORA!$W$3:$AP$3,0)),"?"))</f>
        <v/>
      </c>
      <c r="AB66" s="7" t="n"/>
      <c r="AC66" s="27">
        <f>IF(OR($B66="",AB66=""),"",IFERROR(INDEX(LAMINA_HORA!$C$5:$V$114,MATCH($B66,LAMINA_HORA!$A$5:$A$114,0),MATCH(AB66,LAMINA_HORA!$C$3:$V$3,0)),"?"))</f>
        <v/>
      </c>
      <c r="AD66" s="27">
        <f>IF(OR($B66="",AB66=""),"",IFERROR(INDEX(LAMINA_HORA!$W$5:$AP$114,MATCH($B66,LAMINA_HORA!$A$5:$A$114,0),MATCH(AB66,LAMINA_HORA!$W$3:$AP$3,0)),"?"))</f>
        <v/>
      </c>
      <c r="AE66" s="14">
        <f>SUM(K66,N66,Q66,T66,W66,Z66,AC66)</f>
        <v/>
      </c>
      <c r="AF66" s="16">
        <f>IF(OR($G66="",AE66=""),"",AE66*$G66*10)</f>
        <v/>
      </c>
      <c r="AG66" s="16">
        <f>IF(OR(AF66="",$H66=""),"",AF66*$H66)</f>
        <v/>
      </c>
      <c r="AH66" s="20" t="n"/>
    </row>
    <row r="67">
      <c r="A67" s="5" t="inlineStr">
        <is>
          <t>Pivô 122</t>
        </is>
      </c>
      <c r="B67" s="7" t="inlineStr">
        <is>
          <t>P122</t>
        </is>
      </c>
      <c r="C67" s="5" t="inlineStr">
        <is>
          <t>RM7</t>
        </is>
      </c>
      <c r="D67" s="5" t="inlineStr">
        <is>
          <t>RDM</t>
        </is>
      </c>
      <c r="E67" s="6" t="inlineStr">
        <is>
          <t>NEO 761 I2X</t>
        </is>
      </c>
      <c r="F67" s="26" t="inlineStr"/>
      <c r="G67" s="15" t="n">
        <v>150</v>
      </c>
      <c r="H67" s="17" t="n">
        <v>0.724</v>
      </c>
      <c r="J67" s="7" t="n"/>
      <c r="K67" s="27">
        <f>IF(OR($B67="",J67=""),"",IFERROR(INDEX(LAMINA_HORA!$C$5:$V$114,MATCH($B67,LAMINA_HORA!$A$5:$A$114,0),MATCH(J67,LAMINA_HORA!$C$3:$V$3,0)),"?"))</f>
        <v/>
      </c>
      <c r="L67" s="27">
        <f>IF(OR($B67="",J67=""),"",IFERROR(INDEX(LAMINA_HORA!$W$5:$AP$114,MATCH($B67,LAMINA_HORA!$A$5:$A$114,0),MATCH(J67,LAMINA_HORA!$W$3:$AP$3,0)),"?"))</f>
        <v/>
      </c>
      <c r="M67" s="7" t="n"/>
      <c r="N67" s="27">
        <f>IF(OR($B67="",M67=""),"",IFERROR(INDEX(LAMINA_HORA!$C$5:$V$114,MATCH($B67,LAMINA_HORA!$A$5:$A$114,0),MATCH(M67,LAMINA_HORA!$C$3:$V$3,0)),"?"))</f>
        <v/>
      </c>
      <c r="O67" s="27">
        <f>IF(OR($B67="",M67=""),"",IFERROR(INDEX(LAMINA_HORA!$W$5:$AP$114,MATCH($B67,LAMINA_HORA!$A$5:$A$114,0),MATCH(M67,LAMINA_HORA!$W$3:$AP$3,0)),"?"))</f>
        <v/>
      </c>
      <c r="P67" s="7" t="n"/>
      <c r="Q67" s="27">
        <f>IF(OR($B67="",P67=""),"",IFERROR(INDEX(LAMINA_HORA!$C$5:$V$114,MATCH($B67,LAMINA_HORA!$A$5:$A$114,0),MATCH(P67,LAMINA_HORA!$C$3:$V$3,0)),"?"))</f>
        <v/>
      </c>
      <c r="R67" s="27">
        <f>IF(OR($B67="",P67=""),"",IFERROR(INDEX(LAMINA_HORA!$W$5:$AP$114,MATCH($B67,LAMINA_HORA!$A$5:$A$114,0),MATCH(P67,LAMINA_HORA!$W$3:$AP$3,0)),"?"))</f>
        <v/>
      </c>
      <c r="S67" s="7" t="n"/>
      <c r="T67" s="27">
        <f>IF(OR($B67="",S67=""),"",IFERROR(INDEX(LAMINA_HORA!$C$5:$V$114,MATCH($B67,LAMINA_HORA!$A$5:$A$114,0),MATCH(S67,LAMINA_HORA!$C$3:$V$3,0)),"?"))</f>
        <v/>
      </c>
      <c r="U67" s="27">
        <f>IF(OR($B67="",S67=""),"",IFERROR(INDEX(LAMINA_HORA!$W$5:$AP$114,MATCH($B67,LAMINA_HORA!$A$5:$A$114,0),MATCH(S67,LAMINA_HORA!$W$3:$AP$3,0)),"?"))</f>
        <v/>
      </c>
      <c r="V67" s="7" t="n"/>
      <c r="W67" s="27">
        <f>IF(OR($B67="",V67=""),"",IFERROR(INDEX(LAMINA_HORA!$C$5:$V$114,MATCH($B67,LAMINA_HORA!$A$5:$A$114,0),MATCH(V67,LAMINA_HORA!$C$3:$V$3,0)),"?"))</f>
        <v/>
      </c>
      <c r="X67" s="27">
        <f>IF(OR($B67="",V67=""),"",IFERROR(INDEX(LAMINA_HORA!$W$5:$AP$114,MATCH($B67,LAMINA_HORA!$A$5:$A$114,0),MATCH(V67,LAMINA_HORA!$W$3:$AP$3,0)),"?"))</f>
        <v/>
      </c>
      <c r="Y67" s="7" t="n"/>
      <c r="Z67" s="27">
        <f>IF(OR($B67="",Y67=""),"",IFERROR(INDEX(LAMINA_HORA!$C$5:$V$114,MATCH($B67,LAMINA_HORA!$A$5:$A$114,0),MATCH(Y67,LAMINA_HORA!$C$3:$V$3,0)),"?"))</f>
        <v/>
      </c>
      <c r="AA67" s="27">
        <f>IF(OR($B67="",Y67=""),"",IFERROR(INDEX(LAMINA_HORA!$W$5:$AP$114,MATCH($B67,LAMINA_HORA!$A$5:$A$114,0),MATCH(Y67,LAMINA_HORA!$W$3:$AP$3,0)),"?"))</f>
        <v/>
      </c>
      <c r="AB67" s="7" t="n"/>
      <c r="AC67" s="27">
        <f>IF(OR($B67="",AB67=""),"",IFERROR(INDEX(LAMINA_HORA!$C$5:$V$114,MATCH($B67,LAMINA_HORA!$A$5:$A$114,0),MATCH(AB67,LAMINA_HORA!$C$3:$V$3,0)),"?"))</f>
        <v/>
      </c>
      <c r="AD67" s="27">
        <f>IF(OR($B67="",AB67=""),"",IFERROR(INDEX(LAMINA_HORA!$W$5:$AP$114,MATCH($B67,LAMINA_HORA!$A$5:$A$114,0),MATCH(AB67,LAMINA_HORA!$W$3:$AP$3,0)),"?"))</f>
        <v/>
      </c>
      <c r="AE67" s="14">
        <f>SUM(K67,N67,Q67,T67,W67,Z67,AC67)</f>
        <v/>
      </c>
      <c r="AF67" s="16">
        <f>IF(OR($G67="",AE67=""),"",AE67*$G67*10)</f>
        <v/>
      </c>
      <c r="AG67" s="16">
        <f>IF(OR(AF67="",$H67=""),"",AF67*$H67)</f>
        <v/>
      </c>
      <c r="AH67" s="20" t="n"/>
    </row>
    <row r="68">
      <c r="A68" s="5" t="inlineStr">
        <is>
          <t>Pivô 123</t>
        </is>
      </c>
      <c r="B68" s="7" t="inlineStr">
        <is>
          <t>P123</t>
        </is>
      </c>
      <c r="C68" s="5" t="inlineStr">
        <is>
          <t>RM7</t>
        </is>
      </c>
      <c r="D68" s="5" t="inlineStr">
        <is>
          <t>RDM</t>
        </is>
      </c>
      <c r="E68" s="6" t="inlineStr">
        <is>
          <t>NEO 761 I2X</t>
        </is>
      </c>
      <c r="F68" s="26" t="inlineStr"/>
      <c r="G68" s="15" t="n">
        <v>148</v>
      </c>
      <c r="H68" s="17" t="n">
        <v>0.698</v>
      </c>
      <c r="J68" s="7" t="n"/>
      <c r="K68" s="27">
        <f>IF(OR($B68="",J68=""),"",IFERROR(INDEX(LAMINA_HORA!$C$5:$V$114,MATCH($B68,LAMINA_HORA!$A$5:$A$114,0),MATCH(J68,LAMINA_HORA!$C$3:$V$3,0)),"?"))</f>
        <v/>
      </c>
      <c r="L68" s="27">
        <f>IF(OR($B68="",J68=""),"",IFERROR(INDEX(LAMINA_HORA!$W$5:$AP$114,MATCH($B68,LAMINA_HORA!$A$5:$A$114,0),MATCH(J68,LAMINA_HORA!$W$3:$AP$3,0)),"?"))</f>
        <v/>
      </c>
      <c r="M68" s="7" t="n"/>
      <c r="N68" s="27">
        <f>IF(OR($B68="",M68=""),"",IFERROR(INDEX(LAMINA_HORA!$C$5:$V$114,MATCH($B68,LAMINA_HORA!$A$5:$A$114,0),MATCH(M68,LAMINA_HORA!$C$3:$V$3,0)),"?"))</f>
        <v/>
      </c>
      <c r="O68" s="27">
        <f>IF(OR($B68="",M68=""),"",IFERROR(INDEX(LAMINA_HORA!$W$5:$AP$114,MATCH($B68,LAMINA_HORA!$A$5:$A$114,0),MATCH(M68,LAMINA_HORA!$W$3:$AP$3,0)),"?"))</f>
        <v/>
      </c>
      <c r="P68" s="7" t="n"/>
      <c r="Q68" s="27">
        <f>IF(OR($B68="",P68=""),"",IFERROR(INDEX(LAMINA_HORA!$C$5:$V$114,MATCH($B68,LAMINA_HORA!$A$5:$A$114,0),MATCH(P68,LAMINA_HORA!$C$3:$V$3,0)),"?"))</f>
        <v/>
      </c>
      <c r="R68" s="27">
        <f>IF(OR($B68="",P68=""),"",IFERROR(INDEX(LAMINA_HORA!$W$5:$AP$114,MATCH($B68,LAMINA_HORA!$A$5:$A$114,0),MATCH(P68,LAMINA_HORA!$W$3:$AP$3,0)),"?"))</f>
        <v/>
      </c>
      <c r="S68" s="7" t="n"/>
      <c r="T68" s="27">
        <f>IF(OR($B68="",S68=""),"",IFERROR(INDEX(LAMINA_HORA!$C$5:$V$114,MATCH($B68,LAMINA_HORA!$A$5:$A$114,0),MATCH(S68,LAMINA_HORA!$C$3:$V$3,0)),"?"))</f>
        <v/>
      </c>
      <c r="U68" s="27">
        <f>IF(OR($B68="",S68=""),"",IFERROR(INDEX(LAMINA_HORA!$W$5:$AP$114,MATCH($B68,LAMINA_HORA!$A$5:$A$114,0),MATCH(S68,LAMINA_HORA!$W$3:$AP$3,0)),"?"))</f>
        <v/>
      </c>
      <c r="V68" s="7" t="n"/>
      <c r="W68" s="27">
        <f>IF(OR($B68="",V68=""),"",IFERROR(INDEX(LAMINA_HORA!$C$5:$V$114,MATCH($B68,LAMINA_HORA!$A$5:$A$114,0),MATCH(V68,LAMINA_HORA!$C$3:$V$3,0)),"?"))</f>
        <v/>
      </c>
      <c r="X68" s="27">
        <f>IF(OR($B68="",V68=""),"",IFERROR(INDEX(LAMINA_HORA!$W$5:$AP$114,MATCH($B68,LAMINA_HORA!$A$5:$A$114,0),MATCH(V68,LAMINA_HORA!$W$3:$AP$3,0)),"?"))</f>
        <v/>
      </c>
      <c r="Y68" s="7" t="n"/>
      <c r="Z68" s="27">
        <f>IF(OR($B68="",Y68=""),"",IFERROR(INDEX(LAMINA_HORA!$C$5:$V$114,MATCH($B68,LAMINA_HORA!$A$5:$A$114,0),MATCH(Y68,LAMINA_HORA!$C$3:$V$3,0)),"?"))</f>
        <v/>
      </c>
      <c r="AA68" s="27">
        <f>IF(OR($B68="",Y68=""),"",IFERROR(INDEX(LAMINA_HORA!$W$5:$AP$114,MATCH($B68,LAMINA_HORA!$A$5:$A$114,0),MATCH(Y68,LAMINA_HORA!$W$3:$AP$3,0)),"?"))</f>
        <v/>
      </c>
      <c r="AB68" s="7" t="n"/>
      <c r="AC68" s="27">
        <f>IF(OR($B68="",AB68=""),"",IFERROR(INDEX(LAMINA_HORA!$C$5:$V$114,MATCH($B68,LAMINA_HORA!$A$5:$A$114,0),MATCH(AB68,LAMINA_HORA!$C$3:$V$3,0)),"?"))</f>
        <v/>
      </c>
      <c r="AD68" s="27">
        <f>IF(OR($B68="",AB68=""),"",IFERROR(INDEX(LAMINA_HORA!$W$5:$AP$114,MATCH($B68,LAMINA_HORA!$A$5:$A$114,0),MATCH(AB68,LAMINA_HORA!$W$3:$AP$3,0)),"?"))</f>
        <v/>
      </c>
      <c r="AE68" s="14">
        <f>SUM(K68,N68,Q68,T68,W68,Z68,AC68)</f>
        <v/>
      </c>
      <c r="AF68" s="16">
        <f>IF(OR($G68="",AE68=""),"",AE68*$G68*10)</f>
        <v/>
      </c>
      <c r="AG68" s="16">
        <f>IF(OR(AF68="",$H68=""),"",AF68*$H68)</f>
        <v/>
      </c>
      <c r="AH68" s="20" t="n"/>
    </row>
    <row r="69">
      <c r="A69" s="5" t="inlineStr">
        <is>
          <t>Pivô 124</t>
        </is>
      </c>
      <c r="B69" s="7" t="inlineStr">
        <is>
          <t>P124</t>
        </is>
      </c>
      <c r="C69" s="5" t="inlineStr">
        <is>
          <t>RM7</t>
        </is>
      </c>
      <c r="D69" s="5" t="inlineStr">
        <is>
          <t>RDM</t>
        </is>
      </c>
      <c r="E69" s="6" t="inlineStr">
        <is>
          <t>BMX Olimpo IPRO</t>
        </is>
      </c>
      <c r="F69" s="26" t="inlineStr"/>
      <c r="G69" s="15" t="n">
        <v>150</v>
      </c>
      <c r="H69" s="17" t="n">
        <v>0.702</v>
      </c>
      <c r="J69" s="7" t="n"/>
      <c r="K69" s="27">
        <f>IF(OR($B69="",J69=""),"",IFERROR(INDEX(LAMINA_HORA!$C$5:$V$114,MATCH($B69,LAMINA_HORA!$A$5:$A$114,0),MATCH(J69,LAMINA_HORA!$C$3:$V$3,0)),"?"))</f>
        <v/>
      </c>
      <c r="L69" s="27">
        <f>IF(OR($B69="",J69=""),"",IFERROR(INDEX(LAMINA_HORA!$W$5:$AP$114,MATCH($B69,LAMINA_HORA!$A$5:$A$114,0),MATCH(J69,LAMINA_HORA!$W$3:$AP$3,0)),"?"))</f>
        <v/>
      </c>
      <c r="M69" s="7" t="n"/>
      <c r="N69" s="27">
        <f>IF(OR($B69="",M69=""),"",IFERROR(INDEX(LAMINA_HORA!$C$5:$V$114,MATCH($B69,LAMINA_HORA!$A$5:$A$114,0),MATCH(M69,LAMINA_HORA!$C$3:$V$3,0)),"?"))</f>
        <v/>
      </c>
      <c r="O69" s="27">
        <f>IF(OR($B69="",M69=""),"",IFERROR(INDEX(LAMINA_HORA!$W$5:$AP$114,MATCH($B69,LAMINA_HORA!$A$5:$A$114,0),MATCH(M69,LAMINA_HORA!$W$3:$AP$3,0)),"?"))</f>
        <v/>
      </c>
      <c r="P69" s="7" t="n"/>
      <c r="Q69" s="27">
        <f>IF(OR($B69="",P69=""),"",IFERROR(INDEX(LAMINA_HORA!$C$5:$V$114,MATCH($B69,LAMINA_HORA!$A$5:$A$114,0),MATCH(P69,LAMINA_HORA!$C$3:$V$3,0)),"?"))</f>
        <v/>
      </c>
      <c r="R69" s="27">
        <f>IF(OR($B69="",P69=""),"",IFERROR(INDEX(LAMINA_HORA!$W$5:$AP$114,MATCH($B69,LAMINA_HORA!$A$5:$A$114,0),MATCH(P69,LAMINA_HORA!$W$3:$AP$3,0)),"?"))</f>
        <v/>
      </c>
      <c r="S69" s="7" t="n"/>
      <c r="T69" s="27">
        <f>IF(OR($B69="",S69=""),"",IFERROR(INDEX(LAMINA_HORA!$C$5:$V$114,MATCH($B69,LAMINA_HORA!$A$5:$A$114,0),MATCH(S69,LAMINA_HORA!$C$3:$V$3,0)),"?"))</f>
        <v/>
      </c>
      <c r="U69" s="27">
        <f>IF(OR($B69="",S69=""),"",IFERROR(INDEX(LAMINA_HORA!$W$5:$AP$114,MATCH($B69,LAMINA_HORA!$A$5:$A$114,0),MATCH(S69,LAMINA_HORA!$W$3:$AP$3,0)),"?"))</f>
        <v/>
      </c>
      <c r="V69" s="7" t="n"/>
      <c r="W69" s="27">
        <f>IF(OR($B69="",V69=""),"",IFERROR(INDEX(LAMINA_HORA!$C$5:$V$114,MATCH($B69,LAMINA_HORA!$A$5:$A$114,0),MATCH(V69,LAMINA_HORA!$C$3:$V$3,0)),"?"))</f>
        <v/>
      </c>
      <c r="X69" s="27">
        <f>IF(OR($B69="",V69=""),"",IFERROR(INDEX(LAMINA_HORA!$W$5:$AP$114,MATCH($B69,LAMINA_HORA!$A$5:$A$114,0),MATCH(V69,LAMINA_HORA!$W$3:$AP$3,0)),"?"))</f>
        <v/>
      </c>
      <c r="Y69" s="7" t="n"/>
      <c r="Z69" s="27">
        <f>IF(OR($B69="",Y69=""),"",IFERROR(INDEX(LAMINA_HORA!$C$5:$V$114,MATCH($B69,LAMINA_HORA!$A$5:$A$114,0),MATCH(Y69,LAMINA_HORA!$C$3:$V$3,0)),"?"))</f>
        <v/>
      </c>
      <c r="AA69" s="27">
        <f>IF(OR($B69="",Y69=""),"",IFERROR(INDEX(LAMINA_HORA!$W$5:$AP$114,MATCH($B69,LAMINA_HORA!$A$5:$A$114,0),MATCH(Y69,LAMINA_HORA!$W$3:$AP$3,0)),"?"))</f>
        <v/>
      </c>
      <c r="AB69" s="7" t="n"/>
      <c r="AC69" s="27">
        <f>IF(OR($B69="",AB69=""),"",IFERROR(INDEX(LAMINA_HORA!$C$5:$V$114,MATCH($B69,LAMINA_HORA!$A$5:$A$114,0),MATCH(AB69,LAMINA_HORA!$C$3:$V$3,0)),"?"))</f>
        <v/>
      </c>
      <c r="AD69" s="27">
        <f>IF(OR($B69="",AB69=""),"",IFERROR(INDEX(LAMINA_HORA!$W$5:$AP$114,MATCH($B69,LAMINA_HORA!$A$5:$A$114,0),MATCH(AB69,LAMINA_HORA!$W$3:$AP$3,0)),"?"))</f>
        <v/>
      </c>
      <c r="AE69" s="14">
        <f>SUM(K69,N69,Q69,T69,W69,Z69,AC69)</f>
        <v/>
      </c>
      <c r="AF69" s="16">
        <f>IF(OR($G69="",AE69=""),"",AE69*$G69*10)</f>
        <v/>
      </c>
      <c r="AG69" s="16">
        <f>IF(OR(AF69="",$H69=""),"",AF69*$H69)</f>
        <v/>
      </c>
      <c r="AH69" s="20" t="n"/>
    </row>
    <row r="70">
      <c r="A70" s="5" t="inlineStr">
        <is>
          <t>Pivô 127</t>
        </is>
      </c>
      <c r="B70" s="7" t="inlineStr">
        <is>
          <t>P127</t>
        </is>
      </c>
      <c r="C70" s="5" t="inlineStr">
        <is>
          <t>RM7</t>
        </is>
      </c>
      <c r="D70" s="5" t="inlineStr">
        <is>
          <t>RDM</t>
        </is>
      </c>
      <c r="E70" s="6" t="inlineStr">
        <is>
          <t>NEO 761 I2X</t>
        </is>
      </c>
      <c r="F70" s="26" t="inlineStr"/>
      <c r="G70" s="15" t="n">
        <v>100</v>
      </c>
      <c r="H70" s="17" t="n">
        <v>0.821</v>
      </c>
      <c r="J70" s="7" t="n"/>
      <c r="K70" s="27">
        <f>IF(OR($B70="",J70=""),"",IFERROR(INDEX(LAMINA_HORA!$C$5:$V$114,MATCH($B70,LAMINA_HORA!$A$5:$A$114,0),MATCH(J70,LAMINA_HORA!$C$3:$V$3,0)),"?"))</f>
        <v/>
      </c>
      <c r="L70" s="27">
        <f>IF(OR($B70="",J70=""),"",IFERROR(INDEX(LAMINA_HORA!$W$5:$AP$114,MATCH($B70,LAMINA_HORA!$A$5:$A$114,0),MATCH(J70,LAMINA_HORA!$W$3:$AP$3,0)),"?"))</f>
        <v/>
      </c>
      <c r="M70" s="7" t="n"/>
      <c r="N70" s="27">
        <f>IF(OR($B70="",M70=""),"",IFERROR(INDEX(LAMINA_HORA!$C$5:$V$114,MATCH($B70,LAMINA_HORA!$A$5:$A$114,0),MATCH(M70,LAMINA_HORA!$C$3:$V$3,0)),"?"))</f>
        <v/>
      </c>
      <c r="O70" s="27">
        <f>IF(OR($B70="",M70=""),"",IFERROR(INDEX(LAMINA_HORA!$W$5:$AP$114,MATCH($B70,LAMINA_HORA!$A$5:$A$114,0),MATCH(M70,LAMINA_HORA!$W$3:$AP$3,0)),"?"))</f>
        <v/>
      </c>
      <c r="P70" s="7" t="n"/>
      <c r="Q70" s="27">
        <f>IF(OR($B70="",P70=""),"",IFERROR(INDEX(LAMINA_HORA!$C$5:$V$114,MATCH($B70,LAMINA_HORA!$A$5:$A$114,0),MATCH(P70,LAMINA_HORA!$C$3:$V$3,0)),"?"))</f>
        <v/>
      </c>
      <c r="R70" s="27">
        <f>IF(OR($B70="",P70=""),"",IFERROR(INDEX(LAMINA_HORA!$W$5:$AP$114,MATCH($B70,LAMINA_HORA!$A$5:$A$114,0),MATCH(P70,LAMINA_HORA!$W$3:$AP$3,0)),"?"))</f>
        <v/>
      </c>
      <c r="S70" s="7" t="n"/>
      <c r="T70" s="27">
        <f>IF(OR($B70="",S70=""),"",IFERROR(INDEX(LAMINA_HORA!$C$5:$V$114,MATCH($B70,LAMINA_HORA!$A$5:$A$114,0),MATCH(S70,LAMINA_HORA!$C$3:$V$3,0)),"?"))</f>
        <v/>
      </c>
      <c r="U70" s="27">
        <f>IF(OR($B70="",S70=""),"",IFERROR(INDEX(LAMINA_HORA!$W$5:$AP$114,MATCH($B70,LAMINA_HORA!$A$5:$A$114,0),MATCH(S70,LAMINA_HORA!$W$3:$AP$3,0)),"?"))</f>
        <v/>
      </c>
      <c r="V70" s="7" t="n"/>
      <c r="W70" s="27">
        <f>IF(OR($B70="",V70=""),"",IFERROR(INDEX(LAMINA_HORA!$C$5:$V$114,MATCH($B70,LAMINA_HORA!$A$5:$A$114,0),MATCH(V70,LAMINA_HORA!$C$3:$V$3,0)),"?"))</f>
        <v/>
      </c>
      <c r="X70" s="27">
        <f>IF(OR($B70="",V70=""),"",IFERROR(INDEX(LAMINA_HORA!$W$5:$AP$114,MATCH($B70,LAMINA_HORA!$A$5:$A$114,0),MATCH(V70,LAMINA_HORA!$W$3:$AP$3,0)),"?"))</f>
        <v/>
      </c>
      <c r="Y70" s="7" t="n"/>
      <c r="Z70" s="27">
        <f>IF(OR($B70="",Y70=""),"",IFERROR(INDEX(LAMINA_HORA!$C$5:$V$114,MATCH($B70,LAMINA_HORA!$A$5:$A$114,0),MATCH(Y70,LAMINA_HORA!$C$3:$V$3,0)),"?"))</f>
        <v/>
      </c>
      <c r="AA70" s="27">
        <f>IF(OR($B70="",Y70=""),"",IFERROR(INDEX(LAMINA_HORA!$W$5:$AP$114,MATCH($B70,LAMINA_HORA!$A$5:$A$114,0),MATCH(Y70,LAMINA_HORA!$W$3:$AP$3,0)),"?"))</f>
        <v/>
      </c>
      <c r="AB70" s="7" t="n"/>
      <c r="AC70" s="27">
        <f>IF(OR($B70="",AB70=""),"",IFERROR(INDEX(LAMINA_HORA!$C$5:$V$114,MATCH($B70,LAMINA_HORA!$A$5:$A$114,0),MATCH(AB70,LAMINA_HORA!$C$3:$V$3,0)),"?"))</f>
        <v/>
      </c>
      <c r="AD70" s="27">
        <f>IF(OR($B70="",AB70=""),"",IFERROR(INDEX(LAMINA_HORA!$W$5:$AP$114,MATCH($B70,LAMINA_HORA!$A$5:$A$114,0),MATCH(AB70,LAMINA_HORA!$W$3:$AP$3,0)),"?"))</f>
        <v/>
      </c>
      <c r="AE70" s="14">
        <f>SUM(K70,N70,Q70,T70,W70,Z70,AC70)</f>
        <v/>
      </c>
      <c r="AF70" s="16">
        <f>IF(OR($G70="",AE70=""),"",AE70*$G70*10)</f>
        <v/>
      </c>
      <c r="AG70" s="16">
        <f>IF(OR(AF70="",$H70=""),"",AF70*$H70)</f>
        <v/>
      </c>
      <c r="AH70" s="20" t="n"/>
    </row>
    <row r="71">
      <c r="A71" s="5" t="inlineStr">
        <is>
          <t>Pivô 129</t>
        </is>
      </c>
      <c r="B71" s="7" t="inlineStr">
        <is>
          <t>P129</t>
        </is>
      </c>
      <c r="C71" s="5" t="inlineStr">
        <is>
          <t>RM6</t>
        </is>
      </c>
      <c r="D71" s="5" t="inlineStr">
        <is>
          <t>RDM</t>
        </is>
      </c>
      <c r="E71" s="6" t="inlineStr">
        <is>
          <t>NEO 761 I2X</t>
        </is>
      </c>
      <c r="F71" s="26" t="inlineStr"/>
      <c r="G71" s="15" t="n">
        <v>100</v>
      </c>
      <c r="H71" s="17" t="n">
        <v>0.821</v>
      </c>
      <c r="J71" s="7" t="n"/>
      <c r="K71" s="27">
        <f>IF(OR($B71="",J71=""),"",IFERROR(INDEX(LAMINA_HORA!$C$5:$V$114,MATCH($B71,LAMINA_HORA!$A$5:$A$114,0),MATCH(J71,LAMINA_HORA!$C$3:$V$3,0)),"?"))</f>
        <v/>
      </c>
      <c r="L71" s="27">
        <f>IF(OR($B71="",J71=""),"",IFERROR(INDEX(LAMINA_HORA!$W$5:$AP$114,MATCH($B71,LAMINA_HORA!$A$5:$A$114,0),MATCH(J71,LAMINA_HORA!$W$3:$AP$3,0)),"?"))</f>
        <v/>
      </c>
      <c r="M71" s="7" t="n"/>
      <c r="N71" s="27">
        <f>IF(OR($B71="",M71=""),"",IFERROR(INDEX(LAMINA_HORA!$C$5:$V$114,MATCH($B71,LAMINA_HORA!$A$5:$A$114,0),MATCH(M71,LAMINA_HORA!$C$3:$V$3,0)),"?"))</f>
        <v/>
      </c>
      <c r="O71" s="27">
        <f>IF(OR($B71="",M71=""),"",IFERROR(INDEX(LAMINA_HORA!$W$5:$AP$114,MATCH($B71,LAMINA_HORA!$A$5:$A$114,0),MATCH(M71,LAMINA_HORA!$W$3:$AP$3,0)),"?"))</f>
        <v/>
      </c>
      <c r="P71" s="7" t="n"/>
      <c r="Q71" s="27">
        <f>IF(OR($B71="",P71=""),"",IFERROR(INDEX(LAMINA_HORA!$C$5:$V$114,MATCH($B71,LAMINA_HORA!$A$5:$A$114,0),MATCH(P71,LAMINA_HORA!$C$3:$V$3,0)),"?"))</f>
        <v/>
      </c>
      <c r="R71" s="27">
        <f>IF(OR($B71="",P71=""),"",IFERROR(INDEX(LAMINA_HORA!$W$5:$AP$114,MATCH($B71,LAMINA_HORA!$A$5:$A$114,0),MATCH(P71,LAMINA_HORA!$W$3:$AP$3,0)),"?"))</f>
        <v/>
      </c>
      <c r="S71" s="7" t="n"/>
      <c r="T71" s="27">
        <f>IF(OR($B71="",S71=""),"",IFERROR(INDEX(LAMINA_HORA!$C$5:$V$114,MATCH($B71,LAMINA_HORA!$A$5:$A$114,0),MATCH(S71,LAMINA_HORA!$C$3:$V$3,0)),"?"))</f>
        <v/>
      </c>
      <c r="U71" s="27">
        <f>IF(OR($B71="",S71=""),"",IFERROR(INDEX(LAMINA_HORA!$W$5:$AP$114,MATCH($B71,LAMINA_HORA!$A$5:$A$114,0),MATCH(S71,LAMINA_HORA!$W$3:$AP$3,0)),"?"))</f>
        <v/>
      </c>
      <c r="V71" s="7" t="n"/>
      <c r="W71" s="27">
        <f>IF(OR($B71="",V71=""),"",IFERROR(INDEX(LAMINA_HORA!$C$5:$V$114,MATCH($B71,LAMINA_HORA!$A$5:$A$114,0),MATCH(V71,LAMINA_HORA!$C$3:$V$3,0)),"?"))</f>
        <v/>
      </c>
      <c r="X71" s="27">
        <f>IF(OR($B71="",V71=""),"",IFERROR(INDEX(LAMINA_HORA!$W$5:$AP$114,MATCH($B71,LAMINA_HORA!$A$5:$A$114,0),MATCH(V71,LAMINA_HORA!$W$3:$AP$3,0)),"?"))</f>
        <v/>
      </c>
      <c r="Y71" s="7" t="n"/>
      <c r="Z71" s="27">
        <f>IF(OR($B71="",Y71=""),"",IFERROR(INDEX(LAMINA_HORA!$C$5:$V$114,MATCH($B71,LAMINA_HORA!$A$5:$A$114,0),MATCH(Y71,LAMINA_HORA!$C$3:$V$3,0)),"?"))</f>
        <v/>
      </c>
      <c r="AA71" s="27">
        <f>IF(OR($B71="",Y71=""),"",IFERROR(INDEX(LAMINA_HORA!$W$5:$AP$114,MATCH($B71,LAMINA_HORA!$A$5:$A$114,0),MATCH(Y71,LAMINA_HORA!$W$3:$AP$3,0)),"?"))</f>
        <v/>
      </c>
      <c r="AB71" s="7" t="n"/>
      <c r="AC71" s="27">
        <f>IF(OR($B71="",AB71=""),"",IFERROR(INDEX(LAMINA_HORA!$C$5:$V$114,MATCH($B71,LAMINA_HORA!$A$5:$A$114,0),MATCH(AB71,LAMINA_HORA!$C$3:$V$3,0)),"?"))</f>
        <v/>
      </c>
      <c r="AD71" s="27">
        <f>IF(OR($B71="",AB71=""),"",IFERROR(INDEX(LAMINA_HORA!$W$5:$AP$114,MATCH($B71,LAMINA_HORA!$A$5:$A$114,0),MATCH(AB71,LAMINA_HORA!$W$3:$AP$3,0)),"?"))</f>
        <v/>
      </c>
      <c r="AE71" s="14">
        <f>SUM(K71,N71,Q71,T71,W71,Z71,AC71)</f>
        <v/>
      </c>
      <c r="AF71" s="16">
        <f>IF(OR($G71="",AE71=""),"",AE71*$G71*10)</f>
        <v/>
      </c>
      <c r="AG71" s="16">
        <f>IF(OR(AF71="",$H71=""),"",AF71*$H71)</f>
        <v/>
      </c>
      <c r="AH71" s="20" t="n"/>
    </row>
    <row r="72">
      <c r="A72" s="5" t="inlineStr">
        <is>
          <t>Pivô 01</t>
        </is>
      </c>
      <c r="B72" s="7" t="inlineStr">
        <is>
          <t>P1</t>
        </is>
      </c>
      <c r="C72" s="5" t="inlineStr">
        <is>
          <t>R0</t>
        </is>
      </c>
      <c r="D72" s="5" t="inlineStr">
        <is>
          <t>Modulo 1</t>
        </is>
      </c>
      <c r="E72" s="6" t="inlineStr">
        <is>
          <t>BMX DOMINIO IPRO</t>
        </is>
      </c>
      <c r="F72" s="26" t="inlineStr"/>
      <c r="G72" s="15" t="n">
        <v>70</v>
      </c>
      <c r="H72" s="17" t="n">
        <v>0.513</v>
      </c>
      <c r="J72" s="7" t="n"/>
      <c r="K72" s="27">
        <f>IF(OR($B72="",J72=""),"",IFERROR(INDEX(LAMINA_HORA!$C$5:$V$114,MATCH($B72,LAMINA_HORA!$A$5:$A$114,0),MATCH(J72,LAMINA_HORA!$C$3:$V$3,0)),"?"))</f>
        <v/>
      </c>
      <c r="L72" s="27">
        <f>IF(OR($B72="",J72=""),"",IFERROR(INDEX(LAMINA_HORA!$W$5:$AP$114,MATCH($B72,LAMINA_HORA!$A$5:$A$114,0),MATCH(J72,LAMINA_HORA!$W$3:$AP$3,0)),"?"))</f>
        <v/>
      </c>
      <c r="M72" s="7" t="n"/>
      <c r="N72" s="27">
        <f>IF(OR($B72="",M72=""),"",IFERROR(INDEX(LAMINA_HORA!$C$5:$V$114,MATCH($B72,LAMINA_HORA!$A$5:$A$114,0),MATCH(M72,LAMINA_HORA!$C$3:$V$3,0)),"?"))</f>
        <v/>
      </c>
      <c r="O72" s="27">
        <f>IF(OR($B72="",M72=""),"",IFERROR(INDEX(LAMINA_HORA!$W$5:$AP$114,MATCH($B72,LAMINA_HORA!$A$5:$A$114,0),MATCH(M72,LAMINA_HORA!$W$3:$AP$3,0)),"?"))</f>
        <v/>
      </c>
      <c r="P72" s="7" t="n"/>
      <c r="Q72" s="27">
        <f>IF(OR($B72="",P72=""),"",IFERROR(INDEX(LAMINA_HORA!$C$5:$V$114,MATCH($B72,LAMINA_HORA!$A$5:$A$114,0),MATCH(P72,LAMINA_HORA!$C$3:$V$3,0)),"?"))</f>
        <v/>
      </c>
      <c r="R72" s="27">
        <f>IF(OR($B72="",P72=""),"",IFERROR(INDEX(LAMINA_HORA!$W$5:$AP$114,MATCH($B72,LAMINA_HORA!$A$5:$A$114,0),MATCH(P72,LAMINA_HORA!$W$3:$AP$3,0)),"?"))</f>
        <v/>
      </c>
      <c r="S72" s="7" t="n"/>
      <c r="T72" s="27">
        <f>IF(OR($B72="",S72=""),"",IFERROR(INDEX(LAMINA_HORA!$C$5:$V$114,MATCH($B72,LAMINA_HORA!$A$5:$A$114,0),MATCH(S72,LAMINA_HORA!$C$3:$V$3,0)),"?"))</f>
        <v/>
      </c>
      <c r="U72" s="27">
        <f>IF(OR($B72="",S72=""),"",IFERROR(INDEX(LAMINA_HORA!$W$5:$AP$114,MATCH($B72,LAMINA_HORA!$A$5:$A$114,0),MATCH(S72,LAMINA_HORA!$W$3:$AP$3,0)),"?"))</f>
        <v/>
      </c>
      <c r="V72" s="7" t="n"/>
      <c r="W72" s="27">
        <f>IF(OR($B72="",V72=""),"",IFERROR(INDEX(LAMINA_HORA!$C$5:$V$114,MATCH($B72,LAMINA_HORA!$A$5:$A$114,0),MATCH(V72,LAMINA_HORA!$C$3:$V$3,0)),"?"))</f>
        <v/>
      </c>
      <c r="X72" s="27">
        <f>IF(OR($B72="",V72=""),"",IFERROR(INDEX(LAMINA_HORA!$W$5:$AP$114,MATCH($B72,LAMINA_HORA!$A$5:$A$114,0),MATCH(V72,LAMINA_HORA!$W$3:$AP$3,0)),"?"))</f>
        <v/>
      </c>
      <c r="Y72" s="7" t="n"/>
      <c r="Z72" s="27">
        <f>IF(OR($B72="",Y72=""),"",IFERROR(INDEX(LAMINA_HORA!$C$5:$V$114,MATCH($B72,LAMINA_HORA!$A$5:$A$114,0),MATCH(Y72,LAMINA_HORA!$C$3:$V$3,0)),"?"))</f>
        <v/>
      </c>
      <c r="AA72" s="27">
        <f>IF(OR($B72="",Y72=""),"",IFERROR(INDEX(LAMINA_HORA!$W$5:$AP$114,MATCH($B72,LAMINA_HORA!$A$5:$A$114,0),MATCH(Y72,LAMINA_HORA!$W$3:$AP$3,0)),"?"))</f>
        <v/>
      </c>
      <c r="AB72" s="7" t="n"/>
      <c r="AC72" s="27">
        <f>IF(OR($B72="",AB72=""),"",IFERROR(INDEX(LAMINA_HORA!$C$5:$V$114,MATCH($B72,LAMINA_HORA!$A$5:$A$114,0),MATCH(AB72,LAMINA_HORA!$C$3:$V$3,0)),"?"))</f>
        <v/>
      </c>
      <c r="AD72" s="27">
        <f>IF(OR($B72="",AB72=""),"",IFERROR(INDEX(LAMINA_HORA!$W$5:$AP$114,MATCH($B72,LAMINA_HORA!$A$5:$A$114,0),MATCH(AB72,LAMINA_HORA!$W$3:$AP$3,0)),"?"))</f>
        <v/>
      </c>
      <c r="AE72" s="14">
        <f>SUM(K72,N72,Q72,T72,W72,Z72,AC72)</f>
        <v/>
      </c>
      <c r="AF72" s="16">
        <f>IF(OR($G72="",AE72=""),"",AE72*$G72*10)</f>
        <v/>
      </c>
      <c r="AG72" s="16">
        <f>IF(OR(AF72="",$H72=""),"",AF72*$H72)</f>
        <v/>
      </c>
      <c r="AH72" s="20" t="n"/>
    </row>
    <row r="73">
      <c r="A73" s="5" t="inlineStr">
        <is>
          <t>Pivô 02</t>
        </is>
      </c>
      <c r="B73" s="7" t="inlineStr">
        <is>
          <t>P2</t>
        </is>
      </c>
      <c r="C73" s="5" t="inlineStr">
        <is>
          <t>R0</t>
        </is>
      </c>
      <c r="D73" s="5" t="inlineStr">
        <is>
          <t>Modulo 1</t>
        </is>
      </c>
      <c r="E73" s="6" t="inlineStr">
        <is>
          <t>BMX DOMINIO IPRO</t>
        </is>
      </c>
      <c r="F73" s="26" t="inlineStr"/>
      <c r="G73" s="15" t="n">
        <v>134</v>
      </c>
      <c r="H73" s="17" t="n">
        <v>0.589</v>
      </c>
      <c r="J73" s="7" t="n"/>
      <c r="K73" s="27">
        <f>IF(OR($B73="",J73=""),"",IFERROR(INDEX(LAMINA_HORA!$C$5:$V$114,MATCH($B73,LAMINA_HORA!$A$5:$A$114,0),MATCH(J73,LAMINA_HORA!$C$3:$V$3,0)),"?"))</f>
        <v/>
      </c>
      <c r="L73" s="27">
        <f>IF(OR($B73="",J73=""),"",IFERROR(INDEX(LAMINA_HORA!$W$5:$AP$114,MATCH($B73,LAMINA_HORA!$A$5:$A$114,0),MATCH(J73,LAMINA_HORA!$W$3:$AP$3,0)),"?"))</f>
        <v/>
      </c>
      <c r="M73" s="7" t="n"/>
      <c r="N73" s="27">
        <f>IF(OR($B73="",M73=""),"",IFERROR(INDEX(LAMINA_HORA!$C$5:$V$114,MATCH($B73,LAMINA_HORA!$A$5:$A$114,0),MATCH(M73,LAMINA_HORA!$C$3:$V$3,0)),"?"))</f>
        <v/>
      </c>
      <c r="O73" s="27">
        <f>IF(OR($B73="",M73=""),"",IFERROR(INDEX(LAMINA_HORA!$W$5:$AP$114,MATCH($B73,LAMINA_HORA!$A$5:$A$114,0),MATCH(M73,LAMINA_HORA!$W$3:$AP$3,0)),"?"))</f>
        <v/>
      </c>
      <c r="P73" s="7" t="n"/>
      <c r="Q73" s="27">
        <f>IF(OR($B73="",P73=""),"",IFERROR(INDEX(LAMINA_HORA!$C$5:$V$114,MATCH($B73,LAMINA_HORA!$A$5:$A$114,0),MATCH(P73,LAMINA_HORA!$C$3:$V$3,0)),"?"))</f>
        <v/>
      </c>
      <c r="R73" s="27">
        <f>IF(OR($B73="",P73=""),"",IFERROR(INDEX(LAMINA_HORA!$W$5:$AP$114,MATCH($B73,LAMINA_HORA!$A$5:$A$114,0),MATCH(P73,LAMINA_HORA!$W$3:$AP$3,0)),"?"))</f>
        <v/>
      </c>
      <c r="S73" s="7" t="n"/>
      <c r="T73" s="27">
        <f>IF(OR($B73="",S73=""),"",IFERROR(INDEX(LAMINA_HORA!$C$5:$V$114,MATCH($B73,LAMINA_HORA!$A$5:$A$114,0),MATCH(S73,LAMINA_HORA!$C$3:$V$3,0)),"?"))</f>
        <v/>
      </c>
      <c r="U73" s="27">
        <f>IF(OR($B73="",S73=""),"",IFERROR(INDEX(LAMINA_HORA!$W$5:$AP$114,MATCH($B73,LAMINA_HORA!$A$5:$A$114,0),MATCH(S73,LAMINA_HORA!$W$3:$AP$3,0)),"?"))</f>
        <v/>
      </c>
      <c r="V73" s="7" t="n"/>
      <c r="W73" s="27">
        <f>IF(OR($B73="",V73=""),"",IFERROR(INDEX(LAMINA_HORA!$C$5:$V$114,MATCH($B73,LAMINA_HORA!$A$5:$A$114,0),MATCH(V73,LAMINA_HORA!$C$3:$V$3,0)),"?"))</f>
        <v/>
      </c>
      <c r="X73" s="27">
        <f>IF(OR($B73="",V73=""),"",IFERROR(INDEX(LAMINA_HORA!$W$5:$AP$114,MATCH($B73,LAMINA_HORA!$A$5:$A$114,0),MATCH(V73,LAMINA_HORA!$W$3:$AP$3,0)),"?"))</f>
        <v/>
      </c>
      <c r="Y73" s="7" t="n"/>
      <c r="Z73" s="27">
        <f>IF(OR($B73="",Y73=""),"",IFERROR(INDEX(LAMINA_HORA!$C$5:$V$114,MATCH($B73,LAMINA_HORA!$A$5:$A$114,0),MATCH(Y73,LAMINA_HORA!$C$3:$V$3,0)),"?"))</f>
        <v/>
      </c>
      <c r="AA73" s="27">
        <f>IF(OR($B73="",Y73=""),"",IFERROR(INDEX(LAMINA_HORA!$W$5:$AP$114,MATCH($B73,LAMINA_HORA!$A$5:$A$114,0),MATCH(Y73,LAMINA_HORA!$W$3:$AP$3,0)),"?"))</f>
        <v/>
      </c>
      <c r="AB73" s="7" t="n"/>
      <c r="AC73" s="27">
        <f>IF(OR($B73="",AB73=""),"",IFERROR(INDEX(LAMINA_HORA!$C$5:$V$114,MATCH($B73,LAMINA_HORA!$A$5:$A$114,0),MATCH(AB73,LAMINA_HORA!$C$3:$V$3,0)),"?"))</f>
        <v/>
      </c>
      <c r="AD73" s="27">
        <f>IF(OR($B73="",AB73=""),"",IFERROR(INDEX(LAMINA_HORA!$W$5:$AP$114,MATCH($B73,LAMINA_HORA!$A$5:$A$114,0),MATCH(AB73,LAMINA_HORA!$W$3:$AP$3,0)),"?"))</f>
        <v/>
      </c>
      <c r="AE73" s="14">
        <f>SUM(K73,N73,Q73,T73,W73,Z73,AC73)</f>
        <v/>
      </c>
      <c r="AF73" s="16">
        <f>IF(OR($G73="",AE73=""),"",AE73*$G73*10)</f>
        <v/>
      </c>
      <c r="AG73" s="16">
        <f>IF(OR(AF73="",$H73=""),"",AF73*$H73)</f>
        <v/>
      </c>
      <c r="AH73" s="20" t="n"/>
    </row>
    <row r="74">
      <c r="A74" s="5" t="inlineStr">
        <is>
          <t>Pivô 03</t>
        </is>
      </c>
      <c r="B74" s="7" t="inlineStr">
        <is>
          <t>P3</t>
        </is>
      </c>
      <c r="C74" s="5" t="inlineStr">
        <is>
          <t>R0</t>
        </is>
      </c>
      <c r="D74" s="5" t="inlineStr">
        <is>
          <t>Modulo 1</t>
        </is>
      </c>
      <c r="E74" s="6" t="inlineStr">
        <is>
          <t>MURALHA IPRO</t>
        </is>
      </c>
      <c r="F74" s="26" t="inlineStr"/>
      <c r="G74" s="15" t="n">
        <v>77</v>
      </c>
      <c r="H74" s="17" t="n">
        <v>0.513</v>
      </c>
      <c r="J74" s="7" t="n"/>
      <c r="K74" s="27">
        <f>IF(OR($B74="",J74=""),"",IFERROR(INDEX(LAMINA_HORA!$C$5:$V$114,MATCH($B74,LAMINA_HORA!$A$5:$A$114,0),MATCH(J74,LAMINA_HORA!$C$3:$V$3,0)),"?"))</f>
        <v/>
      </c>
      <c r="L74" s="27">
        <f>IF(OR($B74="",J74=""),"",IFERROR(INDEX(LAMINA_HORA!$W$5:$AP$114,MATCH($B74,LAMINA_HORA!$A$5:$A$114,0),MATCH(J74,LAMINA_HORA!$W$3:$AP$3,0)),"?"))</f>
        <v/>
      </c>
      <c r="M74" s="7" t="n"/>
      <c r="N74" s="27">
        <f>IF(OR($B74="",M74=""),"",IFERROR(INDEX(LAMINA_HORA!$C$5:$V$114,MATCH($B74,LAMINA_HORA!$A$5:$A$114,0),MATCH(M74,LAMINA_HORA!$C$3:$V$3,0)),"?"))</f>
        <v/>
      </c>
      <c r="O74" s="27">
        <f>IF(OR($B74="",M74=""),"",IFERROR(INDEX(LAMINA_HORA!$W$5:$AP$114,MATCH($B74,LAMINA_HORA!$A$5:$A$114,0),MATCH(M74,LAMINA_HORA!$W$3:$AP$3,0)),"?"))</f>
        <v/>
      </c>
      <c r="P74" s="7" t="n"/>
      <c r="Q74" s="27">
        <f>IF(OR($B74="",P74=""),"",IFERROR(INDEX(LAMINA_HORA!$C$5:$V$114,MATCH($B74,LAMINA_HORA!$A$5:$A$114,0),MATCH(P74,LAMINA_HORA!$C$3:$V$3,0)),"?"))</f>
        <v/>
      </c>
      <c r="R74" s="27">
        <f>IF(OR($B74="",P74=""),"",IFERROR(INDEX(LAMINA_HORA!$W$5:$AP$114,MATCH($B74,LAMINA_HORA!$A$5:$A$114,0),MATCH(P74,LAMINA_HORA!$W$3:$AP$3,0)),"?"))</f>
        <v/>
      </c>
      <c r="S74" s="7" t="n"/>
      <c r="T74" s="27">
        <f>IF(OR($B74="",S74=""),"",IFERROR(INDEX(LAMINA_HORA!$C$5:$V$114,MATCH($B74,LAMINA_HORA!$A$5:$A$114,0),MATCH(S74,LAMINA_HORA!$C$3:$V$3,0)),"?"))</f>
        <v/>
      </c>
      <c r="U74" s="27">
        <f>IF(OR($B74="",S74=""),"",IFERROR(INDEX(LAMINA_HORA!$W$5:$AP$114,MATCH($B74,LAMINA_HORA!$A$5:$A$114,0),MATCH(S74,LAMINA_HORA!$W$3:$AP$3,0)),"?"))</f>
        <v/>
      </c>
      <c r="V74" s="7" t="n"/>
      <c r="W74" s="27">
        <f>IF(OR($B74="",V74=""),"",IFERROR(INDEX(LAMINA_HORA!$C$5:$V$114,MATCH($B74,LAMINA_HORA!$A$5:$A$114,0),MATCH(V74,LAMINA_HORA!$C$3:$V$3,0)),"?"))</f>
        <v/>
      </c>
      <c r="X74" s="27">
        <f>IF(OR($B74="",V74=""),"",IFERROR(INDEX(LAMINA_HORA!$W$5:$AP$114,MATCH($B74,LAMINA_HORA!$A$5:$A$114,0),MATCH(V74,LAMINA_HORA!$W$3:$AP$3,0)),"?"))</f>
        <v/>
      </c>
      <c r="Y74" s="7" t="n"/>
      <c r="Z74" s="27">
        <f>IF(OR($B74="",Y74=""),"",IFERROR(INDEX(LAMINA_HORA!$C$5:$V$114,MATCH($B74,LAMINA_HORA!$A$5:$A$114,0),MATCH(Y74,LAMINA_HORA!$C$3:$V$3,0)),"?"))</f>
        <v/>
      </c>
      <c r="AA74" s="27">
        <f>IF(OR($B74="",Y74=""),"",IFERROR(INDEX(LAMINA_HORA!$W$5:$AP$114,MATCH($B74,LAMINA_HORA!$A$5:$A$114,0),MATCH(Y74,LAMINA_HORA!$W$3:$AP$3,0)),"?"))</f>
        <v/>
      </c>
      <c r="AB74" s="7" t="n"/>
      <c r="AC74" s="27">
        <f>IF(OR($B74="",AB74=""),"",IFERROR(INDEX(LAMINA_HORA!$C$5:$V$114,MATCH($B74,LAMINA_HORA!$A$5:$A$114,0),MATCH(AB74,LAMINA_HORA!$C$3:$V$3,0)),"?"))</f>
        <v/>
      </c>
      <c r="AD74" s="27">
        <f>IF(OR($B74="",AB74=""),"",IFERROR(INDEX(LAMINA_HORA!$W$5:$AP$114,MATCH($B74,LAMINA_HORA!$A$5:$A$114,0),MATCH(AB74,LAMINA_HORA!$W$3:$AP$3,0)),"?"))</f>
        <v/>
      </c>
      <c r="AE74" s="14">
        <f>SUM(K74,N74,Q74,T74,W74,Z74,AC74)</f>
        <v/>
      </c>
      <c r="AF74" s="16">
        <f>IF(OR($G74="",AE74=""),"",AE74*$G74*10)</f>
        <v/>
      </c>
      <c r="AG74" s="16">
        <f>IF(OR(AF74="",$H74=""),"",AF74*$H74)</f>
        <v/>
      </c>
      <c r="AH74" s="20" t="n"/>
    </row>
    <row r="75">
      <c r="A75" s="5" t="inlineStr">
        <is>
          <t>Pivô 10</t>
        </is>
      </c>
      <c r="B75" s="7" t="inlineStr">
        <is>
          <t>P10</t>
        </is>
      </c>
      <c r="C75" s="5" t="inlineStr">
        <is>
          <t>R3</t>
        </is>
      </c>
      <c r="D75" s="5" t="inlineStr">
        <is>
          <t>Modulo 1</t>
        </is>
      </c>
      <c r="E75" s="6" t="inlineStr">
        <is>
          <t>ATAQUE I2X</t>
        </is>
      </c>
      <c r="F75" s="26" t="inlineStr"/>
      <c r="G75" s="15" t="n">
        <v>13</v>
      </c>
      <c r="H75" s="17" t="n">
        <v>0.5659999999999999</v>
      </c>
      <c r="J75" s="7" t="n"/>
      <c r="K75" s="27">
        <f>IF(OR($B75="",J75=""),"",IFERROR(INDEX(LAMINA_HORA!$C$5:$V$114,MATCH($B75,LAMINA_HORA!$A$5:$A$114,0),MATCH(J75,LAMINA_HORA!$C$3:$V$3,0)),"?"))</f>
        <v/>
      </c>
      <c r="L75" s="27">
        <f>IF(OR($B75="",J75=""),"",IFERROR(INDEX(LAMINA_HORA!$W$5:$AP$114,MATCH($B75,LAMINA_HORA!$A$5:$A$114,0),MATCH(J75,LAMINA_HORA!$W$3:$AP$3,0)),"?"))</f>
        <v/>
      </c>
      <c r="M75" s="7" t="n"/>
      <c r="N75" s="27">
        <f>IF(OR($B75="",M75=""),"",IFERROR(INDEX(LAMINA_HORA!$C$5:$V$114,MATCH($B75,LAMINA_HORA!$A$5:$A$114,0),MATCH(M75,LAMINA_HORA!$C$3:$V$3,0)),"?"))</f>
        <v/>
      </c>
      <c r="O75" s="27">
        <f>IF(OR($B75="",M75=""),"",IFERROR(INDEX(LAMINA_HORA!$W$5:$AP$114,MATCH($B75,LAMINA_HORA!$A$5:$A$114,0),MATCH(M75,LAMINA_HORA!$W$3:$AP$3,0)),"?"))</f>
        <v/>
      </c>
      <c r="P75" s="7" t="n"/>
      <c r="Q75" s="27">
        <f>IF(OR($B75="",P75=""),"",IFERROR(INDEX(LAMINA_HORA!$C$5:$V$114,MATCH($B75,LAMINA_HORA!$A$5:$A$114,0),MATCH(P75,LAMINA_HORA!$C$3:$V$3,0)),"?"))</f>
        <v/>
      </c>
      <c r="R75" s="27">
        <f>IF(OR($B75="",P75=""),"",IFERROR(INDEX(LAMINA_HORA!$W$5:$AP$114,MATCH($B75,LAMINA_HORA!$A$5:$A$114,0),MATCH(P75,LAMINA_HORA!$W$3:$AP$3,0)),"?"))</f>
        <v/>
      </c>
      <c r="S75" s="7" t="n"/>
      <c r="T75" s="27">
        <f>IF(OR($B75="",S75=""),"",IFERROR(INDEX(LAMINA_HORA!$C$5:$V$114,MATCH($B75,LAMINA_HORA!$A$5:$A$114,0),MATCH(S75,LAMINA_HORA!$C$3:$V$3,0)),"?"))</f>
        <v/>
      </c>
      <c r="U75" s="27">
        <f>IF(OR($B75="",S75=""),"",IFERROR(INDEX(LAMINA_HORA!$W$5:$AP$114,MATCH($B75,LAMINA_HORA!$A$5:$A$114,0),MATCH(S75,LAMINA_HORA!$W$3:$AP$3,0)),"?"))</f>
        <v/>
      </c>
      <c r="V75" s="7" t="n"/>
      <c r="W75" s="27">
        <f>IF(OR($B75="",V75=""),"",IFERROR(INDEX(LAMINA_HORA!$C$5:$V$114,MATCH($B75,LAMINA_HORA!$A$5:$A$114,0),MATCH(V75,LAMINA_HORA!$C$3:$V$3,0)),"?"))</f>
        <v/>
      </c>
      <c r="X75" s="27">
        <f>IF(OR($B75="",V75=""),"",IFERROR(INDEX(LAMINA_HORA!$W$5:$AP$114,MATCH($B75,LAMINA_HORA!$A$5:$A$114,0),MATCH(V75,LAMINA_HORA!$W$3:$AP$3,0)),"?"))</f>
        <v/>
      </c>
      <c r="Y75" s="7" t="n"/>
      <c r="Z75" s="27">
        <f>IF(OR($B75="",Y75=""),"",IFERROR(INDEX(LAMINA_HORA!$C$5:$V$114,MATCH($B75,LAMINA_HORA!$A$5:$A$114,0),MATCH(Y75,LAMINA_HORA!$C$3:$V$3,0)),"?"))</f>
        <v/>
      </c>
      <c r="AA75" s="27">
        <f>IF(OR($B75="",Y75=""),"",IFERROR(INDEX(LAMINA_HORA!$W$5:$AP$114,MATCH($B75,LAMINA_HORA!$A$5:$A$114,0),MATCH(Y75,LAMINA_HORA!$W$3:$AP$3,0)),"?"))</f>
        <v/>
      </c>
      <c r="AB75" s="7" t="n"/>
      <c r="AC75" s="27">
        <f>IF(OR($B75="",AB75=""),"",IFERROR(INDEX(LAMINA_HORA!$C$5:$V$114,MATCH($B75,LAMINA_HORA!$A$5:$A$114,0),MATCH(AB75,LAMINA_HORA!$C$3:$V$3,0)),"?"))</f>
        <v/>
      </c>
      <c r="AD75" s="27">
        <f>IF(OR($B75="",AB75=""),"",IFERROR(INDEX(LAMINA_HORA!$W$5:$AP$114,MATCH($B75,LAMINA_HORA!$A$5:$A$114,0),MATCH(AB75,LAMINA_HORA!$W$3:$AP$3,0)),"?"))</f>
        <v/>
      </c>
      <c r="AE75" s="14">
        <f>SUM(K75,N75,Q75,T75,W75,Z75,AC75)</f>
        <v/>
      </c>
      <c r="AF75" s="16">
        <f>IF(OR($G75="",AE75=""),"",AE75*$G75*10)</f>
        <v/>
      </c>
      <c r="AG75" s="16">
        <f>IF(OR(AF75="",$H75=""),"",AF75*$H75)</f>
        <v/>
      </c>
      <c r="AH75" s="20" t="n"/>
    </row>
    <row r="76">
      <c r="A76" s="5" t="inlineStr">
        <is>
          <t>Pivô 10</t>
        </is>
      </c>
      <c r="B76" s="7" t="inlineStr">
        <is>
          <t>P10</t>
        </is>
      </c>
      <c r="C76" s="5" t="inlineStr">
        <is>
          <t>R3</t>
        </is>
      </c>
      <c r="D76" s="5" t="inlineStr">
        <is>
          <t>Modulo 1</t>
        </is>
      </c>
      <c r="E76" s="6" t="inlineStr">
        <is>
          <t>ATAQUE I2X</t>
        </is>
      </c>
      <c r="F76" s="26" t="inlineStr"/>
      <c r="G76" s="15" t="n">
        <v>13</v>
      </c>
      <c r="H76" s="17" t="n">
        <v>0.5659999999999999</v>
      </c>
      <c r="J76" s="7" t="n"/>
      <c r="K76" s="27">
        <f>IF(OR($B76="",J76=""),"",IFERROR(INDEX(LAMINA_HORA!$C$5:$V$114,MATCH($B76,LAMINA_HORA!$A$5:$A$114,0),MATCH(J76,LAMINA_HORA!$C$3:$V$3,0)),"?"))</f>
        <v/>
      </c>
      <c r="L76" s="27">
        <f>IF(OR($B76="",J76=""),"",IFERROR(INDEX(LAMINA_HORA!$W$5:$AP$114,MATCH($B76,LAMINA_HORA!$A$5:$A$114,0),MATCH(J76,LAMINA_HORA!$W$3:$AP$3,0)),"?"))</f>
        <v/>
      </c>
      <c r="M76" s="7" t="n"/>
      <c r="N76" s="27">
        <f>IF(OR($B76="",M76=""),"",IFERROR(INDEX(LAMINA_HORA!$C$5:$V$114,MATCH($B76,LAMINA_HORA!$A$5:$A$114,0),MATCH(M76,LAMINA_HORA!$C$3:$V$3,0)),"?"))</f>
        <v/>
      </c>
      <c r="O76" s="27">
        <f>IF(OR($B76="",M76=""),"",IFERROR(INDEX(LAMINA_HORA!$W$5:$AP$114,MATCH($B76,LAMINA_HORA!$A$5:$A$114,0),MATCH(M76,LAMINA_HORA!$W$3:$AP$3,0)),"?"))</f>
        <v/>
      </c>
      <c r="P76" s="7" t="n"/>
      <c r="Q76" s="27">
        <f>IF(OR($B76="",P76=""),"",IFERROR(INDEX(LAMINA_HORA!$C$5:$V$114,MATCH($B76,LAMINA_HORA!$A$5:$A$114,0),MATCH(P76,LAMINA_HORA!$C$3:$V$3,0)),"?"))</f>
        <v/>
      </c>
      <c r="R76" s="27">
        <f>IF(OR($B76="",P76=""),"",IFERROR(INDEX(LAMINA_HORA!$W$5:$AP$114,MATCH($B76,LAMINA_HORA!$A$5:$A$114,0),MATCH(P76,LAMINA_HORA!$W$3:$AP$3,0)),"?"))</f>
        <v/>
      </c>
      <c r="S76" s="7" t="n"/>
      <c r="T76" s="27">
        <f>IF(OR($B76="",S76=""),"",IFERROR(INDEX(LAMINA_HORA!$C$5:$V$114,MATCH($B76,LAMINA_HORA!$A$5:$A$114,0),MATCH(S76,LAMINA_HORA!$C$3:$V$3,0)),"?"))</f>
        <v/>
      </c>
      <c r="U76" s="27">
        <f>IF(OR($B76="",S76=""),"",IFERROR(INDEX(LAMINA_HORA!$W$5:$AP$114,MATCH($B76,LAMINA_HORA!$A$5:$A$114,0),MATCH(S76,LAMINA_HORA!$W$3:$AP$3,0)),"?"))</f>
        <v/>
      </c>
      <c r="V76" s="7" t="n"/>
      <c r="W76" s="27">
        <f>IF(OR($B76="",V76=""),"",IFERROR(INDEX(LAMINA_HORA!$C$5:$V$114,MATCH($B76,LAMINA_HORA!$A$5:$A$114,0),MATCH(V76,LAMINA_HORA!$C$3:$V$3,0)),"?"))</f>
        <v/>
      </c>
      <c r="X76" s="27">
        <f>IF(OR($B76="",V76=""),"",IFERROR(INDEX(LAMINA_HORA!$W$5:$AP$114,MATCH($B76,LAMINA_HORA!$A$5:$A$114,0),MATCH(V76,LAMINA_HORA!$W$3:$AP$3,0)),"?"))</f>
        <v/>
      </c>
      <c r="Y76" s="7" t="n"/>
      <c r="Z76" s="27">
        <f>IF(OR($B76="",Y76=""),"",IFERROR(INDEX(LAMINA_HORA!$C$5:$V$114,MATCH($B76,LAMINA_HORA!$A$5:$A$114,0),MATCH(Y76,LAMINA_HORA!$C$3:$V$3,0)),"?"))</f>
        <v/>
      </c>
      <c r="AA76" s="27">
        <f>IF(OR($B76="",Y76=""),"",IFERROR(INDEX(LAMINA_HORA!$W$5:$AP$114,MATCH($B76,LAMINA_HORA!$A$5:$A$114,0),MATCH(Y76,LAMINA_HORA!$W$3:$AP$3,0)),"?"))</f>
        <v/>
      </c>
      <c r="AB76" s="7" t="n"/>
      <c r="AC76" s="27">
        <f>IF(OR($B76="",AB76=""),"",IFERROR(INDEX(LAMINA_HORA!$C$5:$V$114,MATCH($B76,LAMINA_HORA!$A$5:$A$114,0),MATCH(AB76,LAMINA_HORA!$C$3:$V$3,0)),"?"))</f>
        <v/>
      </c>
      <c r="AD76" s="27">
        <f>IF(OR($B76="",AB76=""),"",IFERROR(INDEX(LAMINA_HORA!$W$5:$AP$114,MATCH($B76,LAMINA_HORA!$A$5:$A$114,0),MATCH(AB76,LAMINA_HORA!$W$3:$AP$3,0)),"?"))</f>
        <v/>
      </c>
      <c r="AE76" s="14">
        <f>SUM(K76,N76,Q76,T76,W76,Z76,AC76)</f>
        <v/>
      </c>
      <c r="AF76" s="16">
        <f>IF(OR($G76="",AE76=""),"",AE76*$G76*10)</f>
        <v/>
      </c>
      <c r="AG76" s="16">
        <f>IF(OR(AF76="",$H76=""),"",AF76*$H76)</f>
        <v/>
      </c>
      <c r="AH76" s="20" t="n"/>
    </row>
    <row r="77">
      <c r="A77" s="5" t="inlineStr">
        <is>
          <t>Pivô 11</t>
        </is>
      </c>
      <c r="B77" s="7" t="inlineStr">
        <is>
          <t>P11</t>
        </is>
      </c>
      <c r="C77" s="5" t="inlineStr">
        <is>
          <t>R5</t>
        </is>
      </c>
      <c r="D77" s="5" t="inlineStr">
        <is>
          <t>Modulo 1</t>
        </is>
      </c>
      <c r="E77" s="6" t="inlineStr">
        <is>
          <t>BMX DOMINIO IPRO</t>
        </is>
      </c>
      <c r="F77" s="26" t="inlineStr"/>
      <c r="G77" s="15" t="n">
        <v>75</v>
      </c>
      <c r="H77" s="17" t="n">
        <v>0.577</v>
      </c>
      <c r="J77" s="7" t="n"/>
      <c r="K77" s="27">
        <f>IF(OR($B77="",J77=""),"",IFERROR(INDEX(LAMINA_HORA!$C$5:$V$114,MATCH($B77,LAMINA_HORA!$A$5:$A$114,0),MATCH(J77,LAMINA_HORA!$C$3:$V$3,0)),"?"))</f>
        <v/>
      </c>
      <c r="L77" s="27">
        <f>IF(OR($B77="",J77=""),"",IFERROR(INDEX(LAMINA_HORA!$W$5:$AP$114,MATCH($B77,LAMINA_HORA!$A$5:$A$114,0),MATCH(J77,LAMINA_HORA!$W$3:$AP$3,0)),"?"))</f>
        <v/>
      </c>
      <c r="M77" s="7" t="n"/>
      <c r="N77" s="27">
        <f>IF(OR($B77="",M77=""),"",IFERROR(INDEX(LAMINA_HORA!$C$5:$V$114,MATCH($B77,LAMINA_HORA!$A$5:$A$114,0),MATCH(M77,LAMINA_HORA!$C$3:$V$3,0)),"?"))</f>
        <v/>
      </c>
      <c r="O77" s="27">
        <f>IF(OR($B77="",M77=""),"",IFERROR(INDEX(LAMINA_HORA!$W$5:$AP$114,MATCH($B77,LAMINA_HORA!$A$5:$A$114,0),MATCH(M77,LAMINA_HORA!$W$3:$AP$3,0)),"?"))</f>
        <v/>
      </c>
      <c r="P77" s="7" t="n"/>
      <c r="Q77" s="27">
        <f>IF(OR($B77="",P77=""),"",IFERROR(INDEX(LAMINA_HORA!$C$5:$V$114,MATCH($B77,LAMINA_HORA!$A$5:$A$114,0),MATCH(P77,LAMINA_HORA!$C$3:$V$3,0)),"?"))</f>
        <v/>
      </c>
      <c r="R77" s="27">
        <f>IF(OR($B77="",P77=""),"",IFERROR(INDEX(LAMINA_HORA!$W$5:$AP$114,MATCH($B77,LAMINA_HORA!$A$5:$A$114,0),MATCH(P77,LAMINA_HORA!$W$3:$AP$3,0)),"?"))</f>
        <v/>
      </c>
      <c r="S77" s="7" t="n"/>
      <c r="T77" s="27">
        <f>IF(OR($B77="",S77=""),"",IFERROR(INDEX(LAMINA_HORA!$C$5:$V$114,MATCH($B77,LAMINA_HORA!$A$5:$A$114,0),MATCH(S77,LAMINA_HORA!$C$3:$V$3,0)),"?"))</f>
        <v/>
      </c>
      <c r="U77" s="27">
        <f>IF(OR($B77="",S77=""),"",IFERROR(INDEX(LAMINA_HORA!$W$5:$AP$114,MATCH($B77,LAMINA_HORA!$A$5:$A$114,0),MATCH(S77,LAMINA_HORA!$W$3:$AP$3,0)),"?"))</f>
        <v/>
      </c>
      <c r="V77" s="7" t="n"/>
      <c r="W77" s="27">
        <f>IF(OR($B77="",V77=""),"",IFERROR(INDEX(LAMINA_HORA!$C$5:$V$114,MATCH($B77,LAMINA_HORA!$A$5:$A$114,0),MATCH(V77,LAMINA_HORA!$C$3:$V$3,0)),"?"))</f>
        <v/>
      </c>
      <c r="X77" s="27">
        <f>IF(OR($B77="",V77=""),"",IFERROR(INDEX(LAMINA_HORA!$W$5:$AP$114,MATCH($B77,LAMINA_HORA!$A$5:$A$114,0),MATCH(V77,LAMINA_HORA!$W$3:$AP$3,0)),"?"))</f>
        <v/>
      </c>
      <c r="Y77" s="7" t="n"/>
      <c r="Z77" s="27">
        <f>IF(OR($B77="",Y77=""),"",IFERROR(INDEX(LAMINA_HORA!$C$5:$V$114,MATCH($B77,LAMINA_HORA!$A$5:$A$114,0),MATCH(Y77,LAMINA_HORA!$C$3:$V$3,0)),"?"))</f>
        <v/>
      </c>
      <c r="AA77" s="27">
        <f>IF(OR($B77="",Y77=""),"",IFERROR(INDEX(LAMINA_HORA!$W$5:$AP$114,MATCH($B77,LAMINA_HORA!$A$5:$A$114,0),MATCH(Y77,LAMINA_HORA!$W$3:$AP$3,0)),"?"))</f>
        <v/>
      </c>
      <c r="AB77" s="7" t="n"/>
      <c r="AC77" s="27">
        <f>IF(OR($B77="",AB77=""),"",IFERROR(INDEX(LAMINA_HORA!$C$5:$V$114,MATCH($B77,LAMINA_HORA!$A$5:$A$114,0),MATCH(AB77,LAMINA_HORA!$C$3:$V$3,0)),"?"))</f>
        <v/>
      </c>
      <c r="AD77" s="27">
        <f>IF(OR($B77="",AB77=""),"",IFERROR(INDEX(LAMINA_HORA!$W$5:$AP$114,MATCH($B77,LAMINA_HORA!$A$5:$A$114,0),MATCH(AB77,LAMINA_HORA!$W$3:$AP$3,0)),"?"))</f>
        <v/>
      </c>
      <c r="AE77" s="14">
        <f>SUM(K77,N77,Q77,T77,W77,Z77,AC77)</f>
        <v/>
      </c>
      <c r="AF77" s="16">
        <f>IF(OR($G77="",AE77=""),"",AE77*$G77*10)</f>
        <v/>
      </c>
      <c r="AG77" s="16">
        <f>IF(OR(AF77="",$H77=""),"",AF77*$H77)</f>
        <v/>
      </c>
      <c r="AH77" s="20" t="n"/>
    </row>
    <row r="78">
      <c r="A78" s="5" t="inlineStr">
        <is>
          <t>Pivô 21</t>
        </is>
      </c>
      <c r="B78" s="7" t="inlineStr">
        <is>
          <t>P21</t>
        </is>
      </c>
      <c r="C78" s="5" t="inlineStr">
        <is>
          <t>R4</t>
        </is>
      </c>
      <c r="D78" s="5" t="inlineStr">
        <is>
          <t>Modulo 1</t>
        </is>
      </c>
      <c r="E78" s="6" t="inlineStr">
        <is>
          <t>BMX DOMINIO IPRO</t>
        </is>
      </c>
      <c r="F78" s="26" t="inlineStr"/>
      <c r="G78" s="15" t="n">
        <v>213</v>
      </c>
      <c r="H78" s="17" t="n">
        <v>0.513</v>
      </c>
      <c r="J78" s="7" t="n"/>
      <c r="K78" s="27">
        <f>IF(OR($B78="",J78=""),"",IFERROR(INDEX(LAMINA_HORA!$C$5:$V$114,MATCH($B78,LAMINA_HORA!$A$5:$A$114,0),MATCH(J78,LAMINA_HORA!$C$3:$V$3,0)),"?"))</f>
        <v/>
      </c>
      <c r="L78" s="27">
        <f>IF(OR($B78="",J78=""),"",IFERROR(INDEX(LAMINA_HORA!$W$5:$AP$114,MATCH($B78,LAMINA_HORA!$A$5:$A$114,0),MATCH(J78,LAMINA_HORA!$W$3:$AP$3,0)),"?"))</f>
        <v/>
      </c>
      <c r="M78" s="7" t="n"/>
      <c r="N78" s="27">
        <f>IF(OR($B78="",M78=""),"",IFERROR(INDEX(LAMINA_HORA!$C$5:$V$114,MATCH($B78,LAMINA_HORA!$A$5:$A$114,0),MATCH(M78,LAMINA_HORA!$C$3:$V$3,0)),"?"))</f>
        <v/>
      </c>
      <c r="O78" s="27">
        <f>IF(OR($B78="",M78=""),"",IFERROR(INDEX(LAMINA_HORA!$W$5:$AP$114,MATCH($B78,LAMINA_HORA!$A$5:$A$114,0),MATCH(M78,LAMINA_HORA!$W$3:$AP$3,0)),"?"))</f>
        <v/>
      </c>
      <c r="P78" s="7" t="n"/>
      <c r="Q78" s="27">
        <f>IF(OR($B78="",P78=""),"",IFERROR(INDEX(LAMINA_HORA!$C$5:$V$114,MATCH($B78,LAMINA_HORA!$A$5:$A$114,0),MATCH(P78,LAMINA_HORA!$C$3:$V$3,0)),"?"))</f>
        <v/>
      </c>
      <c r="R78" s="27">
        <f>IF(OR($B78="",P78=""),"",IFERROR(INDEX(LAMINA_HORA!$W$5:$AP$114,MATCH($B78,LAMINA_HORA!$A$5:$A$114,0),MATCH(P78,LAMINA_HORA!$W$3:$AP$3,0)),"?"))</f>
        <v/>
      </c>
      <c r="S78" s="7" t="n"/>
      <c r="T78" s="27">
        <f>IF(OR($B78="",S78=""),"",IFERROR(INDEX(LAMINA_HORA!$C$5:$V$114,MATCH($B78,LAMINA_HORA!$A$5:$A$114,0),MATCH(S78,LAMINA_HORA!$C$3:$V$3,0)),"?"))</f>
        <v/>
      </c>
      <c r="U78" s="27">
        <f>IF(OR($B78="",S78=""),"",IFERROR(INDEX(LAMINA_HORA!$W$5:$AP$114,MATCH($B78,LAMINA_HORA!$A$5:$A$114,0),MATCH(S78,LAMINA_HORA!$W$3:$AP$3,0)),"?"))</f>
        <v/>
      </c>
      <c r="V78" s="7" t="n"/>
      <c r="W78" s="27">
        <f>IF(OR($B78="",V78=""),"",IFERROR(INDEX(LAMINA_HORA!$C$5:$V$114,MATCH($B78,LAMINA_HORA!$A$5:$A$114,0),MATCH(V78,LAMINA_HORA!$C$3:$V$3,0)),"?"))</f>
        <v/>
      </c>
      <c r="X78" s="27">
        <f>IF(OR($B78="",V78=""),"",IFERROR(INDEX(LAMINA_HORA!$W$5:$AP$114,MATCH($B78,LAMINA_HORA!$A$5:$A$114,0),MATCH(V78,LAMINA_HORA!$W$3:$AP$3,0)),"?"))</f>
        <v/>
      </c>
      <c r="Y78" s="7" t="n"/>
      <c r="Z78" s="27">
        <f>IF(OR($B78="",Y78=""),"",IFERROR(INDEX(LAMINA_HORA!$C$5:$V$114,MATCH($B78,LAMINA_HORA!$A$5:$A$114,0),MATCH(Y78,LAMINA_HORA!$C$3:$V$3,0)),"?"))</f>
        <v/>
      </c>
      <c r="AA78" s="27">
        <f>IF(OR($B78="",Y78=""),"",IFERROR(INDEX(LAMINA_HORA!$W$5:$AP$114,MATCH($B78,LAMINA_HORA!$A$5:$A$114,0),MATCH(Y78,LAMINA_HORA!$W$3:$AP$3,0)),"?"))</f>
        <v/>
      </c>
      <c r="AB78" s="7" t="n"/>
      <c r="AC78" s="27">
        <f>IF(OR($B78="",AB78=""),"",IFERROR(INDEX(LAMINA_HORA!$C$5:$V$114,MATCH($B78,LAMINA_HORA!$A$5:$A$114,0),MATCH(AB78,LAMINA_HORA!$C$3:$V$3,0)),"?"))</f>
        <v/>
      </c>
      <c r="AD78" s="27">
        <f>IF(OR($B78="",AB78=""),"",IFERROR(INDEX(LAMINA_HORA!$W$5:$AP$114,MATCH($B78,LAMINA_HORA!$A$5:$A$114,0),MATCH(AB78,LAMINA_HORA!$W$3:$AP$3,0)),"?"))</f>
        <v/>
      </c>
      <c r="AE78" s="14">
        <f>SUM(K78,N78,Q78,T78,W78,Z78,AC78)</f>
        <v/>
      </c>
      <c r="AF78" s="16">
        <f>IF(OR($G78="",AE78=""),"",AE78*$G78*10)</f>
        <v/>
      </c>
      <c r="AG78" s="16">
        <f>IF(OR(AF78="",$H78=""),"",AF78*$H78)</f>
        <v/>
      </c>
      <c r="AH78" s="20" t="n"/>
    </row>
    <row r="79">
      <c r="A79" s="5" t="inlineStr">
        <is>
          <t>Pivô 22</t>
        </is>
      </c>
      <c r="B79" s="7" t="inlineStr">
        <is>
          <t>P22</t>
        </is>
      </c>
      <c r="C79" s="5" t="inlineStr">
        <is>
          <t>R4</t>
        </is>
      </c>
      <c r="D79" s="5" t="inlineStr">
        <is>
          <t>Modulo 1</t>
        </is>
      </c>
      <c r="E79" s="6" t="inlineStr">
        <is>
          <t>BMX DOMINIO IPRO</t>
        </is>
      </c>
      <c r="F79" s="26" t="inlineStr"/>
      <c r="G79" s="15" t="n">
        <v>110</v>
      </c>
      <c r="H79" s="17" t="n">
        <v>0.513</v>
      </c>
      <c r="J79" s="7" t="n"/>
      <c r="K79" s="27">
        <f>IF(OR($B79="",J79=""),"",IFERROR(INDEX(LAMINA_HORA!$C$5:$V$114,MATCH($B79,LAMINA_HORA!$A$5:$A$114,0),MATCH(J79,LAMINA_HORA!$C$3:$V$3,0)),"?"))</f>
        <v/>
      </c>
      <c r="L79" s="27">
        <f>IF(OR($B79="",J79=""),"",IFERROR(INDEX(LAMINA_HORA!$W$5:$AP$114,MATCH($B79,LAMINA_HORA!$A$5:$A$114,0),MATCH(J79,LAMINA_HORA!$W$3:$AP$3,0)),"?"))</f>
        <v/>
      </c>
      <c r="M79" s="7" t="n"/>
      <c r="N79" s="27">
        <f>IF(OR($B79="",M79=""),"",IFERROR(INDEX(LAMINA_HORA!$C$5:$V$114,MATCH($B79,LAMINA_HORA!$A$5:$A$114,0),MATCH(M79,LAMINA_HORA!$C$3:$V$3,0)),"?"))</f>
        <v/>
      </c>
      <c r="O79" s="27">
        <f>IF(OR($B79="",M79=""),"",IFERROR(INDEX(LAMINA_HORA!$W$5:$AP$114,MATCH($B79,LAMINA_HORA!$A$5:$A$114,0),MATCH(M79,LAMINA_HORA!$W$3:$AP$3,0)),"?"))</f>
        <v/>
      </c>
      <c r="P79" s="7" t="n"/>
      <c r="Q79" s="27">
        <f>IF(OR($B79="",P79=""),"",IFERROR(INDEX(LAMINA_HORA!$C$5:$V$114,MATCH($B79,LAMINA_HORA!$A$5:$A$114,0),MATCH(P79,LAMINA_HORA!$C$3:$V$3,0)),"?"))</f>
        <v/>
      </c>
      <c r="R79" s="27">
        <f>IF(OR($B79="",P79=""),"",IFERROR(INDEX(LAMINA_HORA!$W$5:$AP$114,MATCH($B79,LAMINA_HORA!$A$5:$A$114,0),MATCH(P79,LAMINA_HORA!$W$3:$AP$3,0)),"?"))</f>
        <v/>
      </c>
      <c r="S79" s="7" t="n"/>
      <c r="T79" s="27">
        <f>IF(OR($B79="",S79=""),"",IFERROR(INDEX(LAMINA_HORA!$C$5:$V$114,MATCH($B79,LAMINA_HORA!$A$5:$A$114,0),MATCH(S79,LAMINA_HORA!$C$3:$V$3,0)),"?"))</f>
        <v/>
      </c>
      <c r="U79" s="27">
        <f>IF(OR($B79="",S79=""),"",IFERROR(INDEX(LAMINA_HORA!$W$5:$AP$114,MATCH($B79,LAMINA_HORA!$A$5:$A$114,0),MATCH(S79,LAMINA_HORA!$W$3:$AP$3,0)),"?"))</f>
        <v/>
      </c>
      <c r="V79" s="7" t="n"/>
      <c r="W79" s="27">
        <f>IF(OR($B79="",V79=""),"",IFERROR(INDEX(LAMINA_HORA!$C$5:$V$114,MATCH($B79,LAMINA_HORA!$A$5:$A$114,0),MATCH(V79,LAMINA_HORA!$C$3:$V$3,0)),"?"))</f>
        <v/>
      </c>
      <c r="X79" s="27">
        <f>IF(OR($B79="",V79=""),"",IFERROR(INDEX(LAMINA_HORA!$W$5:$AP$114,MATCH($B79,LAMINA_HORA!$A$5:$A$114,0),MATCH(V79,LAMINA_HORA!$W$3:$AP$3,0)),"?"))</f>
        <v/>
      </c>
      <c r="Y79" s="7" t="n"/>
      <c r="Z79" s="27">
        <f>IF(OR($B79="",Y79=""),"",IFERROR(INDEX(LAMINA_HORA!$C$5:$V$114,MATCH($B79,LAMINA_HORA!$A$5:$A$114,0),MATCH(Y79,LAMINA_HORA!$C$3:$V$3,0)),"?"))</f>
        <v/>
      </c>
      <c r="AA79" s="27">
        <f>IF(OR($B79="",Y79=""),"",IFERROR(INDEX(LAMINA_HORA!$W$5:$AP$114,MATCH($B79,LAMINA_HORA!$A$5:$A$114,0),MATCH(Y79,LAMINA_HORA!$W$3:$AP$3,0)),"?"))</f>
        <v/>
      </c>
      <c r="AB79" s="7" t="n"/>
      <c r="AC79" s="27">
        <f>IF(OR($B79="",AB79=""),"",IFERROR(INDEX(LAMINA_HORA!$C$5:$V$114,MATCH($B79,LAMINA_HORA!$A$5:$A$114,0),MATCH(AB79,LAMINA_HORA!$C$3:$V$3,0)),"?"))</f>
        <v/>
      </c>
      <c r="AD79" s="27">
        <f>IF(OR($B79="",AB79=""),"",IFERROR(INDEX(LAMINA_HORA!$W$5:$AP$114,MATCH($B79,LAMINA_HORA!$A$5:$A$114,0),MATCH(AB79,LAMINA_HORA!$W$3:$AP$3,0)),"?"))</f>
        <v/>
      </c>
      <c r="AE79" s="14">
        <f>SUM(K79,N79,Q79,T79,W79,Z79,AC79)</f>
        <v/>
      </c>
      <c r="AF79" s="16">
        <f>IF(OR($G79="",AE79=""),"",AE79*$G79*10)</f>
        <v/>
      </c>
      <c r="AG79" s="16">
        <f>IF(OR(AF79="",$H79=""),"",AF79*$H79)</f>
        <v/>
      </c>
      <c r="AH79" s="20" t="n"/>
    </row>
    <row r="80">
      <c r="A80" s="5" t="inlineStr">
        <is>
          <t>Pivô 23</t>
        </is>
      </c>
      <c r="B80" s="7" t="inlineStr">
        <is>
          <t>P23</t>
        </is>
      </c>
      <c r="C80" s="5" t="inlineStr">
        <is>
          <t>R6</t>
        </is>
      </c>
      <c r="D80" s="5" t="inlineStr">
        <is>
          <t>Modulo 1</t>
        </is>
      </c>
      <c r="E80" s="6" t="inlineStr">
        <is>
          <t>BMX DOMINIO IPRO</t>
        </is>
      </c>
      <c r="F80" s="26" t="inlineStr"/>
      <c r="G80" s="15" t="n">
        <v>40</v>
      </c>
      <c r="H80" s="17" t="n">
        <v>0.552</v>
      </c>
      <c r="J80" s="7" t="n"/>
      <c r="K80" s="27">
        <f>IF(OR($B80="",J80=""),"",IFERROR(INDEX(LAMINA_HORA!$C$5:$V$114,MATCH($B80,LAMINA_HORA!$A$5:$A$114,0),MATCH(J80,LAMINA_HORA!$C$3:$V$3,0)),"?"))</f>
        <v/>
      </c>
      <c r="L80" s="27">
        <f>IF(OR($B80="",J80=""),"",IFERROR(INDEX(LAMINA_HORA!$W$5:$AP$114,MATCH($B80,LAMINA_HORA!$A$5:$A$114,0),MATCH(J80,LAMINA_HORA!$W$3:$AP$3,0)),"?"))</f>
        <v/>
      </c>
      <c r="M80" s="7" t="n"/>
      <c r="N80" s="27">
        <f>IF(OR($B80="",M80=""),"",IFERROR(INDEX(LAMINA_HORA!$C$5:$V$114,MATCH($B80,LAMINA_HORA!$A$5:$A$114,0),MATCH(M80,LAMINA_HORA!$C$3:$V$3,0)),"?"))</f>
        <v/>
      </c>
      <c r="O80" s="27">
        <f>IF(OR($B80="",M80=""),"",IFERROR(INDEX(LAMINA_HORA!$W$5:$AP$114,MATCH($B80,LAMINA_HORA!$A$5:$A$114,0),MATCH(M80,LAMINA_HORA!$W$3:$AP$3,0)),"?"))</f>
        <v/>
      </c>
      <c r="P80" s="7" t="n"/>
      <c r="Q80" s="27">
        <f>IF(OR($B80="",P80=""),"",IFERROR(INDEX(LAMINA_HORA!$C$5:$V$114,MATCH($B80,LAMINA_HORA!$A$5:$A$114,0),MATCH(P80,LAMINA_HORA!$C$3:$V$3,0)),"?"))</f>
        <v/>
      </c>
      <c r="R80" s="27">
        <f>IF(OR($B80="",P80=""),"",IFERROR(INDEX(LAMINA_HORA!$W$5:$AP$114,MATCH($B80,LAMINA_HORA!$A$5:$A$114,0),MATCH(P80,LAMINA_HORA!$W$3:$AP$3,0)),"?"))</f>
        <v/>
      </c>
      <c r="S80" s="7" t="n"/>
      <c r="T80" s="27">
        <f>IF(OR($B80="",S80=""),"",IFERROR(INDEX(LAMINA_HORA!$C$5:$V$114,MATCH($B80,LAMINA_HORA!$A$5:$A$114,0),MATCH(S80,LAMINA_HORA!$C$3:$V$3,0)),"?"))</f>
        <v/>
      </c>
      <c r="U80" s="27">
        <f>IF(OR($B80="",S80=""),"",IFERROR(INDEX(LAMINA_HORA!$W$5:$AP$114,MATCH($B80,LAMINA_HORA!$A$5:$A$114,0),MATCH(S80,LAMINA_HORA!$W$3:$AP$3,0)),"?"))</f>
        <v/>
      </c>
      <c r="V80" s="7" t="n"/>
      <c r="W80" s="27">
        <f>IF(OR($B80="",V80=""),"",IFERROR(INDEX(LAMINA_HORA!$C$5:$V$114,MATCH($B80,LAMINA_HORA!$A$5:$A$114,0),MATCH(V80,LAMINA_HORA!$C$3:$V$3,0)),"?"))</f>
        <v/>
      </c>
      <c r="X80" s="27">
        <f>IF(OR($B80="",V80=""),"",IFERROR(INDEX(LAMINA_HORA!$W$5:$AP$114,MATCH($B80,LAMINA_HORA!$A$5:$A$114,0),MATCH(V80,LAMINA_HORA!$W$3:$AP$3,0)),"?"))</f>
        <v/>
      </c>
      <c r="Y80" s="7" t="n"/>
      <c r="Z80" s="27">
        <f>IF(OR($B80="",Y80=""),"",IFERROR(INDEX(LAMINA_HORA!$C$5:$V$114,MATCH($B80,LAMINA_HORA!$A$5:$A$114,0),MATCH(Y80,LAMINA_HORA!$C$3:$V$3,0)),"?"))</f>
        <v/>
      </c>
      <c r="AA80" s="27">
        <f>IF(OR($B80="",Y80=""),"",IFERROR(INDEX(LAMINA_HORA!$W$5:$AP$114,MATCH($B80,LAMINA_HORA!$A$5:$A$114,0),MATCH(Y80,LAMINA_HORA!$W$3:$AP$3,0)),"?"))</f>
        <v/>
      </c>
      <c r="AB80" s="7" t="n"/>
      <c r="AC80" s="27">
        <f>IF(OR($B80="",AB80=""),"",IFERROR(INDEX(LAMINA_HORA!$C$5:$V$114,MATCH($B80,LAMINA_HORA!$A$5:$A$114,0),MATCH(AB80,LAMINA_HORA!$C$3:$V$3,0)),"?"))</f>
        <v/>
      </c>
      <c r="AD80" s="27">
        <f>IF(OR($B80="",AB80=""),"",IFERROR(INDEX(LAMINA_HORA!$W$5:$AP$114,MATCH($B80,LAMINA_HORA!$A$5:$A$114,0),MATCH(AB80,LAMINA_HORA!$W$3:$AP$3,0)),"?"))</f>
        <v/>
      </c>
      <c r="AE80" s="14">
        <f>SUM(K80,N80,Q80,T80,W80,Z80,AC80)</f>
        <v/>
      </c>
      <c r="AF80" s="16">
        <f>IF(OR($G80="",AE80=""),"",AE80*$G80*10)</f>
        <v/>
      </c>
      <c r="AG80" s="16">
        <f>IF(OR(AF80="",$H80=""),"",AF80*$H80)</f>
        <v/>
      </c>
      <c r="AH80" s="20" t="n"/>
    </row>
    <row r="81">
      <c r="A81" s="5" t="inlineStr">
        <is>
          <t>Pivô 24</t>
        </is>
      </c>
      <c r="B81" s="7" t="inlineStr">
        <is>
          <t>P24</t>
        </is>
      </c>
      <c r="C81" s="5" t="inlineStr">
        <is>
          <t>R6</t>
        </is>
      </c>
      <c r="D81" s="5" t="inlineStr">
        <is>
          <t>Modulo 1</t>
        </is>
      </c>
      <c r="E81" s="6" t="inlineStr">
        <is>
          <t>BMX DOMINIO IPRO</t>
        </is>
      </c>
      <c r="F81" s="26" t="inlineStr"/>
      <c r="G81" s="15" t="n">
        <v>59</v>
      </c>
      <c r="H81" s="17" t="n">
        <v>0.5659999999999999</v>
      </c>
      <c r="J81" s="7" t="n"/>
      <c r="K81" s="27">
        <f>IF(OR($B81="",J81=""),"",IFERROR(INDEX(LAMINA_HORA!$C$5:$V$114,MATCH($B81,LAMINA_HORA!$A$5:$A$114,0),MATCH(J81,LAMINA_HORA!$C$3:$V$3,0)),"?"))</f>
        <v/>
      </c>
      <c r="L81" s="27">
        <f>IF(OR($B81="",J81=""),"",IFERROR(INDEX(LAMINA_HORA!$W$5:$AP$114,MATCH($B81,LAMINA_HORA!$A$5:$A$114,0),MATCH(J81,LAMINA_HORA!$W$3:$AP$3,0)),"?"))</f>
        <v/>
      </c>
      <c r="M81" s="7" t="n"/>
      <c r="N81" s="27">
        <f>IF(OR($B81="",M81=""),"",IFERROR(INDEX(LAMINA_HORA!$C$5:$V$114,MATCH($B81,LAMINA_HORA!$A$5:$A$114,0),MATCH(M81,LAMINA_HORA!$C$3:$V$3,0)),"?"))</f>
        <v/>
      </c>
      <c r="O81" s="27">
        <f>IF(OR($B81="",M81=""),"",IFERROR(INDEX(LAMINA_HORA!$W$5:$AP$114,MATCH($B81,LAMINA_HORA!$A$5:$A$114,0),MATCH(M81,LAMINA_HORA!$W$3:$AP$3,0)),"?"))</f>
        <v/>
      </c>
      <c r="P81" s="7" t="n"/>
      <c r="Q81" s="27">
        <f>IF(OR($B81="",P81=""),"",IFERROR(INDEX(LAMINA_HORA!$C$5:$V$114,MATCH($B81,LAMINA_HORA!$A$5:$A$114,0),MATCH(P81,LAMINA_HORA!$C$3:$V$3,0)),"?"))</f>
        <v/>
      </c>
      <c r="R81" s="27">
        <f>IF(OR($B81="",P81=""),"",IFERROR(INDEX(LAMINA_HORA!$W$5:$AP$114,MATCH($B81,LAMINA_HORA!$A$5:$A$114,0),MATCH(P81,LAMINA_HORA!$W$3:$AP$3,0)),"?"))</f>
        <v/>
      </c>
      <c r="S81" s="7" t="n"/>
      <c r="T81" s="27">
        <f>IF(OR($B81="",S81=""),"",IFERROR(INDEX(LAMINA_HORA!$C$5:$V$114,MATCH($B81,LAMINA_HORA!$A$5:$A$114,0),MATCH(S81,LAMINA_HORA!$C$3:$V$3,0)),"?"))</f>
        <v/>
      </c>
      <c r="U81" s="27">
        <f>IF(OR($B81="",S81=""),"",IFERROR(INDEX(LAMINA_HORA!$W$5:$AP$114,MATCH($B81,LAMINA_HORA!$A$5:$A$114,0),MATCH(S81,LAMINA_HORA!$W$3:$AP$3,0)),"?"))</f>
        <v/>
      </c>
      <c r="V81" s="7" t="n"/>
      <c r="W81" s="27">
        <f>IF(OR($B81="",V81=""),"",IFERROR(INDEX(LAMINA_HORA!$C$5:$V$114,MATCH($B81,LAMINA_HORA!$A$5:$A$114,0),MATCH(V81,LAMINA_HORA!$C$3:$V$3,0)),"?"))</f>
        <v/>
      </c>
      <c r="X81" s="27">
        <f>IF(OR($B81="",V81=""),"",IFERROR(INDEX(LAMINA_HORA!$W$5:$AP$114,MATCH($B81,LAMINA_HORA!$A$5:$A$114,0),MATCH(V81,LAMINA_HORA!$W$3:$AP$3,0)),"?"))</f>
        <v/>
      </c>
      <c r="Y81" s="7" t="n"/>
      <c r="Z81" s="27">
        <f>IF(OR($B81="",Y81=""),"",IFERROR(INDEX(LAMINA_HORA!$C$5:$V$114,MATCH($B81,LAMINA_HORA!$A$5:$A$114,0),MATCH(Y81,LAMINA_HORA!$C$3:$V$3,0)),"?"))</f>
        <v/>
      </c>
      <c r="AA81" s="27">
        <f>IF(OR($B81="",Y81=""),"",IFERROR(INDEX(LAMINA_HORA!$W$5:$AP$114,MATCH($B81,LAMINA_HORA!$A$5:$A$114,0),MATCH(Y81,LAMINA_HORA!$W$3:$AP$3,0)),"?"))</f>
        <v/>
      </c>
      <c r="AB81" s="7" t="n"/>
      <c r="AC81" s="27">
        <f>IF(OR($B81="",AB81=""),"",IFERROR(INDEX(LAMINA_HORA!$C$5:$V$114,MATCH($B81,LAMINA_HORA!$A$5:$A$114,0),MATCH(AB81,LAMINA_HORA!$C$3:$V$3,0)),"?"))</f>
        <v/>
      </c>
      <c r="AD81" s="27">
        <f>IF(OR($B81="",AB81=""),"",IFERROR(INDEX(LAMINA_HORA!$W$5:$AP$114,MATCH($B81,LAMINA_HORA!$A$5:$A$114,0),MATCH(AB81,LAMINA_HORA!$W$3:$AP$3,0)),"?"))</f>
        <v/>
      </c>
      <c r="AE81" s="14">
        <f>SUM(K81,N81,Q81,T81,W81,Z81,AC81)</f>
        <v/>
      </c>
      <c r="AF81" s="16">
        <f>IF(OR($G81="",AE81=""),"",AE81*$G81*10)</f>
        <v/>
      </c>
      <c r="AG81" s="16">
        <f>IF(OR(AF81="",$H81=""),"",AF81*$H81)</f>
        <v/>
      </c>
      <c r="AH81" s="20" t="n"/>
    </row>
    <row r="82">
      <c r="A82" s="5" t="inlineStr">
        <is>
          <t>Pivô 25</t>
        </is>
      </c>
      <c r="B82" s="7" t="inlineStr">
        <is>
          <t>P25</t>
        </is>
      </c>
      <c r="C82" s="5" t="inlineStr">
        <is>
          <t>R7</t>
        </is>
      </c>
      <c r="D82" s="5" t="inlineStr">
        <is>
          <t>Modulo 1</t>
        </is>
      </c>
      <c r="E82" s="6" t="inlineStr">
        <is>
          <t>BMX DOMINIO IPRO</t>
        </is>
      </c>
      <c r="F82" s="26" t="inlineStr"/>
      <c r="G82" s="15" t="n">
        <v>171</v>
      </c>
      <c r="H82" s="17" t="n">
        <v>0.462</v>
      </c>
      <c r="J82" s="7" t="n"/>
      <c r="K82" s="27">
        <f>IF(OR($B82="",J82=""),"",IFERROR(INDEX(LAMINA_HORA!$C$5:$V$114,MATCH($B82,LAMINA_HORA!$A$5:$A$114,0),MATCH(J82,LAMINA_HORA!$C$3:$V$3,0)),"?"))</f>
        <v/>
      </c>
      <c r="L82" s="27">
        <f>IF(OR($B82="",J82=""),"",IFERROR(INDEX(LAMINA_HORA!$W$5:$AP$114,MATCH($B82,LAMINA_HORA!$A$5:$A$114,0),MATCH(J82,LAMINA_HORA!$W$3:$AP$3,0)),"?"))</f>
        <v/>
      </c>
      <c r="M82" s="7" t="n"/>
      <c r="N82" s="27">
        <f>IF(OR($B82="",M82=""),"",IFERROR(INDEX(LAMINA_HORA!$C$5:$V$114,MATCH($B82,LAMINA_HORA!$A$5:$A$114,0),MATCH(M82,LAMINA_HORA!$C$3:$V$3,0)),"?"))</f>
        <v/>
      </c>
      <c r="O82" s="27">
        <f>IF(OR($B82="",M82=""),"",IFERROR(INDEX(LAMINA_HORA!$W$5:$AP$114,MATCH($B82,LAMINA_HORA!$A$5:$A$114,0),MATCH(M82,LAMINA_HORA!$W$3:$AP$3,0)),"?"))</f>
        <v/>
      </c>
      <c r="P82" s="7" t="n"/>
      <c r="Q82" s="27">
        <f>IF(OR($B82="",P82=""),"",IFERROR(INDEX(LAMINA_HORA!$C$5:$V$114,MATCH($B82,LAMINA_HORA!$A$5:$A$114,0),MATCH(P82,LAMINA_HORA!$C$3:$V$3,0)),"?"))</f>
        <v/>
      </c>
      <c r="R82" s="27">
        <f>IF(OR($B82="",P82=""),"",IFERROR(INDEX(LAMINA_HORA!$W$5:$AP$114,MATCH($B82,LAMINA_HORA!$A$5:$A$114,0),MATCH(P82,LAMINA_HORA!$W$3:$AP$3,0)),"?"))</f>
        <v/>
      </c>
      <c r="S82" s="7" t="n"/>
      <c r="T82" s="27">
        <f>IF(OR($B82="",S82=""),"",IFERROR(INDEX(LAMINA_HORA!$C$5:$V$114,MATCH($B82,LAMINA_HORA!$A$5:$A$114,0),MATCH(S82,LAMINA_HORA!$C$3:$V$3,0)),"?"))</f>
        <v/>
      </c>
      <c r="U82" s="27">
        <f>IF(OR($B82="",S82=""),"",IFERROR(INDEX(LAMINA_HORA!$W$5:$AP$114,MATCH($B82,LAMINA_HORA!$A$5:$A$114,0),MATCH(S82,LAMINA_HORA!$W$3:$AP$3,0)),"?"))</f>
        <v/>
      </c>
      <c r="V82" s="7" t="n"/>
      <c r="W82" s="27">
        <f>IF(OR($B82="",V82=""),"",IFERROR(INDEX(LAMINA_HORA!$C$5:$V$114,MATCH($B82,LAMINA_HORA!$A$5:$A$114,0),MATCH(V82,LAMINA_HORA!$C$3:$V$3,0)),"?"))</f>
        <v/>
      </c>
      <c r="X82" s="27">
        <f>IF(OR($B82="",V82=""),"",IFERROR(INDEX(LAMINA_HORA!$W$5:$AP$114,MATCH($B82,LAMINA_HORA!$A$5:$A$114,0),MATCH(V82,LAMINA_HORA!$W$3:$AP$3,0)),"?"))</f>
        <v/>
      </c>
      <c r="Y82" s="7" t="n"/>
      <c r="Z82" s="27">
        <f>IF(OR($B82="",Y82=""),"",IFERROR(INDEX(LAMINA_HORA!$C$5:$V$114,MATCH($B82,LAMINA_HORA!$A$5:$A$114,0),MATCH(Y82,LAMINA_HORA!$C$3:$V$3,0)),"?"))</f>
        <v/>
      </c>
      <c r="AA82" s="27">
        <f>IF(OR($B82="",Y82=""),"",IFERROR(INDEX(LAMINA_HORA!$W$5:$AP$114,MATCH($B82,LAMINA_HORA!$A$5:$A$114,0),MATCH(Y82,LAMINA_HORA!$W$3:$AP$3,0)),"?"))</f>
        <v/>
      </c>
      <c r="AB82" s="7" t="n"/>
      <c r="AC82" s="27">
        <f>IF(OR($B82="",AB82=""),"",IFERROR(INDEX(LAMINA_HORA!$C$5:$V$114,MATCH($B82,LAMINA_HORA!$A$5:$A$114,0),MATCH(AB82,LAMINA_HORA!$C$3:$V$3,0)),"?"))</f>
        <v/>
      </c>
      <c r="AD82" s="27">
        <f>IF(OR($B82="",AB82=""),"",IFERROR(INDEX(LAMINA_HORA!$W$5:$AP$114,MATCH($B82,LAMINA_HORA!$A$5:$A$114,0),MATCH(AB82,LAMINA_HORA!$W$3:$AP$3,0)),"?"))</f>
        <v/>
      </c>
      <c r="AE82" s="14">
        <f>SUM(K82,N82,Q82,T82,W82,Z82,AC82)</f>
        <v/>
      </c>
      <c r="AF82" s="16">
        <f>IF(OR($G82="",AE82=""),"",AE82*$G82*10)</f>
        <v/>
      </c>
      <c r="AG82" s="16">
        <f>IF(OR(AF82="",$H82=""),"",AF82*$H82)</f>
        <v/>
      </c>
      <c r="AH82" s="20" t="n"/>
    </row>
    <row r="83">
      <c r="A83" s="5" t="inlineStr">
        <is>
          <t>Pivô 25</t>
        </is>
      </c>
      <c r="B83" s="7" t="inlineStr">
        <is>
          <t>P25</t>
        </is>
      </c>
      <c r="C83" s="5" t="inlineStr">
        <is>
          <t>R7</t>
        </is>
      </c>
      <c r="D83" s="5" t="inlineStr">
        <is>
          <t>Modulo 1</t>
        </is>
      </c>
      <c r="E83" s="6" t="inlineStr">
        <is>
          <t>BMX DOMINIO IPRO</t>
        </is>
      </c>
      <c r="F83" s="26" t="inlineStr"/>
      <c r="G83" s="15" t="n">
        <v>171</v>
      </c>
      <c r="H83" s="17" t="n">
        <v>0.462</v>
      </c>
      <c r="J83" s="7" t="n"/>
      <c r="K83" s="27">
        <f>IF(OR($B83="",J83=""),"",IFERROR(INDEX(LAMINA_HORA!$C$5:$V$114,MATCH($B83,LAMINA_HORA!$A$5:$A$114,0),MATCH(J83,LAMINA_HORA!$C$3:$V$3,0)),"?"))</f>
        <v/>
      </c>
      <c r="L83" s="27">
        <f>IF(OR($B83="",J83=""),"",IFERROR(INDEX(LAMINA_HORA!$W$5:$AP$114,MATCH($B83,LAMINA_HORA!$A$5:$A$114,0),MATCH(J83,LAMINA_HORA!$W$3:$AP$3,0)),"?"))</f>
        <v/>
      </c>
      <c r="M83" s="7" t="n"/>
      <c r="N83" s="27">
        <f>IF(OR($B83="",M83=""),"",IFERROR(INDEX(LAMINA_HORA!$C$5:$V$114,MATCH($B83,LAMINA_HORA!$A$5:$A$114,0),MATCH(M83,LAMINA_HORA!$C$3:$V$3,0)),"?"))</f>
        <v/>
      </c>
      <c r="O83" s="27">
        <f>IF(OR($B83="",M83=""),"",IFERROR(INDEX(LAMINA_HORA!$W$5:$AP$114,MATCH($B83,LAMINA_HORA!$A$5:$A$114,0),MATCH(M83,LAMINA_HORA!$W$3:$AP$3,0)),"?"))</f>
        <v/>
      </c>
      <c r="P83" s="7" t="n"/>
      <c r="Q83" s="27">
        <f>IF(OR($B83="",P83=""),"",IFERROR(INDEX(LAMINA_HORA!$C$5:$V$114,MATCH($B83,LAMINA_HORA!$A$5:$A$114,0),MATCH(P83,LAMINA_HORA!$C$3:$V$3,0)),"?"))</f>
        <v/>
      </c>
      <c r="R83" s="27">
        <f>IF(OR($B83="",P83=""),"",IFERROR(INDEX(LAMINA_HORA!$W$5:$AP$114,MATCH($B83,LAMINA_HORA!$A$5:$A$114,0),MATCH(P83,LAMINA_HORA!$W$3:$AP$3,0)),"?"))</f>
        <v/>
      </c>
      <c r="S83" s="7" t="n"/>
      <c r="T83" s="27">
        <f>IF(OR($B83="",S83=""),"",IFERROR(INDEX(LAMINA_HORA!$C$5:$V$114,MATCH($B83,LAMINA_HORA!$A$5:$A$114,0),MATCH(S83,LAMINA_HORA!$C$3:$V$3,0)),"?"))</f>
        <v/>
      </c>
      <c r="U83" s="27">
        <f>IF(OR($B83="",S83=""),"",IFERROR(INDEX(LAMINA_HORA!$W$5:$AP$114,MATCH($B83,LAMINA_HORA!$A$5:$A$114,0),MATCH(S83,LAMINA_HORA!$W$3:$AP$3,0)),"?"))</f>
        <v/>
      </c>
      <c r="V83" s="7" t="n"/>
      <c r="W83" s="27">
        <f>IF(OR($B83="",V83=""),"",IFERROR(INDEX(LAMINA_HORA!$C$5:$V$114,MATCH($B83,LAMINA_HORA!$A$5:$A$114,0),MATCH(V83,LAMINA_HORA!$C$3:$V$3,0)),"?"))</f>
        <v/>
      </c>
      <c r="X83" s="27">
        <f>IF(OR($B83="",V83=""),"",IFERROR(INDEX(LAMINA_HORA!$W$5:$AP$114,MATCH($B83,LAMINA_HORA!$A$5:$A$114,0),MATCH(V83,LAMINA_HORA!$W$3:$AP$3,0)),"?"))</f>
        <v/>
      </c>
      <c r="Y83" s="7" t="n"/>
      <c r="Z83" s="27">
        <f>IF(OR($B83="",Y83=""),"",IFERROR(INDEX(LAMINA_HORA!$C$5:$V$114,MATCH($B83,LAMINA_HORA!$A$5:$A$114,0),MATCH(Y83,LAMINA_HORA!$C$3:$V$3,0)),"?"))</f>
        <v/>
      </c>
      <c r="AA83" s="27">
        <f>IF(OR($B83="",Y83=""),"",IFERROR(INDEX(LAMINA_HORA!$W$5:$AP$114,MATCH($B83,LAMINA_HORA!$A$5:$A$114,0),MATCH(Y83,LAMINA_HORA!$W$3:$AP$3,0)),"?"))</f>
        <v/>
      </c>
      <c r="AB83" s="7" t="n"/>
      <c r="AC83" s="27">
        <f>IF(OR($B83="",AB83=""),"",IFERROR(INDEX(LAMINA_HORA!$C$5:$V$114,MATCH($B83,LAMINA_HORA!$A$5:$A$114,0),MATCH(AB83,LAMINA_HORA!$C$3:$V$3,0)),"?"))</f>
        <v/>
      </c>
      <c r="AD83" s="27">
        <f>IF(OR($B83="",AB83=""),"",IFERROR(INDEX(LAMINA_HORA!$W$5:$AP$114,MATCH($B83,LAMINA_HORA!$A$5:$A$114,0),MATCH(AB83,LAMINA_HORA!$W$3:$AP$3,0)),"?"))</f>
        <v/>
      </c>
      <c r="AE83" s="14">
        <f>SUM(K83,N83,Q83,T83,W83,Z83,AC83)</f>
        <v/>
      </c>
      <c r="AF83" s="16">
        <f>IF(OR($G83="",AE83=""),"",AE83*$G83*10)</f>
        <v/>
      </c>
      <c r="AG83" s="16">
        <f>IF(OR(AF83="",$H83=""),"",AF83*$H83)</f>
        <v/>
      </c>
      <c r="AH83" s="20" t="n"/>
    </row>
    <row r="84">
      <c r="A84" s="5" t="inlineStr">
        <is>
          <t>Pivô 27</t>
        </is>
      </c>
      <c r="B84" s="7" t="inlineStr">
        <is>
          <t>P27</t>
        </is>
      </c>
      <c r="C84" s="5" t="inlineStr">
        <is>
          <t>R7</t>
        </is>
      </c>
      <c r="D84" s="5" t="inlineStr">
        <is>
          <t>Modulo 1</t>
        </is>
      </c>
      <c r="E84" s="6" t="inlineStr">
        <is>
          <t>BMX DOMINIO IPRO</t>
        </is>
      </c>
      <c r="F84" s="26" t="inlineStr"/>
      <c r="G84" s="15" t="n">
        <v>313</v>
      </c>
      <c r="H84" s="17" t="n">
        <v>0.463</v>
      </c>
      <c r="J84" s="7" t="n"/>
      <c r="K84" s="27">
        <f>IF(OR($B84="",J84=""),"",IFERROR(INDEX(LAMINA_HORA!$C$5:$V$114,MATCH($B84,LAMINA_HORA!$A$5:$A$114,0),MATCH(J84,LAMINA_HORA!$C$3:$V$3,0)),"?"))</f>
        <v/>
      </c>
      <c r="L84" s="27">
        <f>IF(OR($B84="",J84=""),"",IFERROR(INDEX(LAMINA_HORA!$W$5:$AP$114,MATCH($B84,LAMINA_HORA!$A$5:$A$114,0),MATCH(J84,LAMINA_HORA!$W$3:$AP$3,0)),"?"))</f>
        <v/>
      </c>
      <c r="M84" s="7" t="n"/>
      <c r="N84" s="27">
        <f>IF(OR($B84="",M84=""),"",IFERROR(INDEX(LAMINA_HORA!$C$5:$V$114,MATCH($B84,LAMINA_HORA!$A$5:$A$114,0),MATCH(M84,LAMINA_HORA!$C$3:$V$3,0)),"?"))</f>
        <v/>
      </c>
      <c r="O84" s="27">
        <f>IF(OR($B84="",M84=""),"",IFERROR(INDEX(LAMINA_HORA!$W$5:$AP$114,MATCH($B84,LAMINA_HORA!$A$5:$A$114,0),MATCH(M84,LAMINA_HORA!$W$3:$AP$3,0)),"?"))</f>
        <v/>
      </c>
      <c r="P84" s="7" t="n"/>
      <c r="Q84" s="27">
        <f>IF(OR($B84="",P84=""),"",IFERROR(INDEX(LAMINA_HORA!$C$5:$V$114,MATCH($B84,LAMINA_HORA!$A$5:$A$114,0),MATCH(P84,LAMINA_HORA!$C$3:$V$3,0)),"?"))</f>
        <v/>
      </c>
      <c r="R84" s="27">
        <f>IF(OR($B84="",P84=""),"",IFERROR(INDEX(LAMINA_HORA!$W$5:$AP$114,MATCH($B84,LAMINA_HORA!$A$5:$A$114,0),MATCH(P84,LAMINA_HORA!$W$3:$AP$3,0)),"?"))</f>
        <v/>
      </c>
      <c r="S84" s="7" t="n"/>
      <c r="T84" s="27">
        <f>IF(OR($B84="",S84=""),"",IFERROR(INDEX(LAMINA_HORA!$C$5:$V$114,MATCH($B84,LAMINA_HORA!$A$5:$A$114,0),MATCH(S84,LAMINA_HORA!$C$3:$V$3,0)),"?"))</f>
        <v/>
      </c>
      <c r="U84" s="27">
        <f>IF(OR($B84="",S84=""),"",IFERROR(INDEX(LAMINA_HORA!$W$5:$AP$114,MATCH($B84,LAMINA_HORA!$A$5:$A$114,0),MATCH(S84,LAMINA_HORA!$W$3:$AP$3,0)),"?"))</f>
        <v/>
      </c>
      <c r="V84" s="7" t="n"/>
      <c r="W84" s="27">
        <f>IF(OR($B84="",V84=""),"",IFERROR(INDEX(LAMINA_HORA!$C$5:$V$114,MATCH($B84,LAMINA_HORA!$A$5:$A$114,0),MATCH(V84,LAMINA_HORA!$C$3:$V$3,0)),"?"))</f>
        <v/>
      </c>
      <c r="X84" s="27">
        <f>IF(OR($B84="",V84=""),"",IFERROR(INDEX(LAMINA_HORA!$W$5:$AP$114,MATCH($B84,LAMINA_HORA!$A$5:$A$114,0),MATCH(V84,LAMINA_HORA!$W$3:$AP$3,0)),"?"))</f>
        <v/>
      </c>
      <c r="Y84" s="7" t="n"/>
      <c r="Z84" s="27">
        <f>IF(OR($B84="",Y84=""),"",IFERROR(INDEX(LAMINA_HORA!$C$5:$V$114,MATCH($B84,LAMINA_HORA!$A$5:$A$114,0),MATCH(Y84,LAMINA_HORA!$C$3:$V$3,0)),"?"))</f>
        <v/>
      </c>
      <c r="AA84" s="27">
        <f>IF(OR($B84="",Y84=""),"",IFERROR(INDEX(LAMINA_HORA!$W$5:$AP$114,MATCH($B84,LAMINA_HORA!$A$5:$A$114,0),MATCH(Y84,LAMINA_HORA!$W$3:$AP$3,0)),"?"))</f>
        <v/>
      </c>
      <c r="AB84" s="7" t="n"/>
      <c r="AC84" s="27">
        <f>IF(OR($B84="",AB84=""),"",IFERROR(INDEX(LAMINA_HORA!$C$5:$V$114,MATCH($B84,LAMINA_HORA!$A$5:$A$114,0),MATCH(AB84,LAMINA_HORA!$C$3:$V$3,0)),"?"))</f>
        <v/>
      </c>
      <c r="AD84" s="27">
        <f>IF(OR($B84="",AB84=""),"",IFERROR(INDEX(LAMINA_HORA!$W$5:$AP$114,MATCH($B84,LAMINA_HORA!$A$5:$A$114,0),MATCH(AB84,LAMINA_HORA!$W$3:$AP$3,0)),"?"))</f>
        <v/>
      </c>
      <c r="AE84" s="14">
        <f>SUM(K84,N84,Q84,T84,W84,Z84,AC84)</f>
        <v/>
      </c>
      <c r="AF84" s="16">
        <f>IF(OR($G84="",AE84=""),"",AE84*$G84*10)</f>
        <v/>
      </c>
      <c r="AG84" s="16">
        <f>IF(OR(AF84="",$H84=""),"",AF84*$H84)</f>
        <v/>
      </c>
      <c r="AH84" s="20" t="n"/>
    </row>
    <row r="85">
      <c r="A85" s="5" t="inlineStr">
        <is>
          <t>Pivô 01</t>
        </is>
      </c>
      <c r="B85" s="7" t="inlineStr">
        <is>
          <t>P1</t>
        </is>
      </c>
      <c r="C85" s="5" t="inlineStr">
        <is>
          <t>R0</t>
        </is>
      </c>
      <c r="D85" s="5" t="inlineStr">
        <is>
          <t>Modulo 1</t>
        </is>
      </c>
      <c r="E85" s="6" t="inlineStr">
        <is>
          <t>BMX DOMINIO IPRO</t>
        </is>
      </c>
      <c r="F85" s="26" t="inlineStr"/>
      <c r="G85" s="15" t="n">
        <v>71</v>
      </c>
      <c r="H85" s="17" t="n">
        <v>0.638</v>
      </c>
      <c r="J85" s="7" t="n"/>
      <c r="K85" s="27">
        <f>IF(OR($B85="",J85=""),"",IFERROR(INDEX(LAMINA_HORA!$C$5:$V$114,MATCH($B85,LAMINA_HORA!$A$5:$A$114,0),MATCH(J85,LAMINA_HORA!$C$3:$V$3,0)),"?"))</f>
        <v/>
      </c>
      <c r="L85" s="27">
        <f>IF(OR($B85="",J85=""),"",IFERROR(INDEX(LAMINA_HORA!$W$5:$AP$114,MATCH($B85,LAMINA_HORA!$A$5:$A$114,0),MATCH(J85,LAMINA_HORA!$W$3:$AP$3,0)),"?"))</f>
        <v/>
      </c>
      <c r="M85" s="7" t="n"/>
      <c r="N85" s="27">
        <f>IF(OR($B85="",M85=""),"",IFERROR(INDEX(LAMINA_HORA!$C$5:$V$114,MATCH($B85,LAMINA_HORA!$A$5:$A$114,0),MATCH(M85,LAMINA_HORA!$C$3:$V$3,0)),"?"))</f>
        <v/>
      </c>
      <c r="O85" s="27">
        <f>IF(OR($B85="",M85=""),"",IFERROR(INDEX(LAMINA_HORA!$W$5:$AP$114,MATCH($B85,LAMINA_HORA!$A$5:$A$114,0),MATCH(M85,LAMINA_HORA!$W$3:$AP$3,0)),"?"))</f>
        <v/>
      </c>
      <c r="P85" s="7" t="n"/>
      <c r="Q85" s="27">
        <f>IF(OR($B85="",P85=""),"",IFERROR(INDEX(LAMINA_HORA!$C$5:$V$114,MATCH($B85,LAMINA_HORA!$A$5:$A$114,0),MATCH(P85,LAMINA_HORA!$C$3:$V$3,0)),"?"))</f>
        <v/>
      </c>
      <c r="R85" s="27">
        <f>IF(OR($B85="",P85=""),"",IFERROR(INDEX(LAMINA_HORA!$W$5:$AP$114,MATCH($B85,LAMINA_HORA!$A$5:$A$114,0),MATCH(P85,LAMINA_HORA!$W$3:$AP$3,0)),"?"))</f>
        <v/>
      </c>
      <c r="S85" s="7" t="n"/>
      <c r="T85" s="27">
        <f>IF(OR($B85="",S85=""),"",IFERROR(INDEX(LAMINA_HORA!$C$5:$V$114,MATCH($B85,LAMINA_HORA!$A$5:$A$114,0),MATCH(S85,LAMINA_HORA!$C$3:$V$3,0)),"?"))</f>
        <v/>
      </c>
      <c r="U85" s="27">
        <f>IF(OR($B85="",S85=""),"",IFERROR(INDEX(LAMINA_HORA!$W$5:$AP$114,MATCH($B85,LAMINA_HORA!$A$5:$A$114,0),MATCH(S85,LAMINA_HORA!$W$3:$AP$3,0)),"?"))</f>
        <v/>
      </c>
      <c r="V85" s="7" t="n"/>
      <c r="W85" s="27">
        <f>IF(OR($B85="",V85=""),"",IFERROR(INDEX(LAMINA_HORA!$C$5:$V$114,MATCH($B85,LAMINA_HORA!$A$5:$A$114,0),MATCH(V85,LAMINA_HORA!$C$3:$V$3,0)),"?"))</f>
        <v/>
      </c>
      <c r="X85" s="27">
        <f>IF(OR($B85="",V85=""),"",IFERROR(INDEX(LAMINA_HORA!$W$5:$AP$114,MATCH($B85,LAMINA_HORA!$A$5:$A$114,0),MATCH(V85,LAMINA_HORA!$W$3:$AP$3,0)),"?"))</f>
        <v/>
      </c>
      <c r="Y85" s="7" t="n"/>
      <c r="Z85" s="27">
        <f>IF(OR($B85="",Y85=""),"",IFERROR(INDEX(LAMINA_HORA!$C$5:$V$114,MATCH($B85,LAMINA_HORA!$A$5:$A$114,0),MATCH(Y85,LAMINA_HORA!$C$3:$V$3,0)),"?"))</f>
        <v/>
      </c>
      <c r="AA85" s="27">
        <f>IF(OR($B85="",Y85=""),"",IFERROR(INDEX(LAMINA_HORA!$W$5:$AP$114,MATCH($B85,LAMINA_HORA!$A$5:$A$114,0),MATCH(Y85,LAMINA_HORA!$W$3:$AP$3,0)),"?"))</f>
        <v/>
      </c>
      <c r="AB85" s="7" t="n"/>
      <c r="AC85" s="27">
        <f>IF(OR($B85="",AB85=""),"",IFERROR(INDEX(LAMINA_HORA!$C$5:$V$114,MATCH($B85,LAMINA_HORA!$A$5:$A$114,0),MATCH(AB85,LAMINA_HORA!$C$3:$V$3,0)),"?"))</f>
        <v/>
      </c>
      <c r="AD85" s="27">
        <f>IF(OR($B85="",AB85=""),"",IFERROR(INDEX(LAMINA_HORA!$W$5:$AP$114,MATCH($B85,LAMINA_HORA!$A$5:$A$114,0),MATCH(AB85,LAMINA_HORA!$W$3:$AP$3,0)),"?"))</f>
        <v/>
      </c>
      <c r="AE85" s="14">
        <f>SUM(K85,N85,Q85,T85,W85,Z85,AC85)</f>
        <v/>
      </c>
      <c r="AF85" s="16">
        <f>IF(OR($G85="",AE85=""),"",AE85*$G85*10)</f>
        <v/>
      </c>
      <c r="AG85" s="16">
        <f>IF(OR(AF85="",$H85=""),"",AF85*$H85)</f>
        <v/>
      </c>
      <c r="AH85" s="20" t="n"/>
    </row>
    <row r="86">
      <c r="A86" s="5" t="inlineStr">
        <is>
          <t>Pivô 02</t>
        </is>
      </c>
      <c r="B86" s="7" t="inlineStr">
        <is>
          <t>P2</t>
        </is>
      </c>
      <c r="C86" s="5" t="inlineStr">
        <is>
          <t>R0</t>
        </is>
      </c>
      <c r="D86" s="5" t="inlineStr">
        <is>
          <t>Modulo 1</t>
        </is>
      </c>
      <c r="E86" s="6" t="inlineStr">
        <is>
          <t>BMX DOMINIO IPRO</t>
        </is>
      </c>
      <c r="F86" s="26" t="inlineStr"/>
      <c r="G86" s="15" t="n">
        <v>38</v>
      </c>
      <c r="H86" s="17" t="n">
        <v>0.714</v>
      </c>
      <c r="J86" s="7" t="n"/>
      <c r="K86" s="27">
        <f>IF(OR($B86="",J86=""),"",IFERROR(INDEX(LAMINA_HORA!$C$5:$V$114,MATCH($B86,LAMINA_HORA!$A$5:$A$114,0),MATCH(J86,LAMINA_HORA!$C$3:$V$3,0)),"?"))</f>
        <v/>
      </c>
      <c r="L86" s="27">
        <f>IF(OR($B86="",J86=""),"",IFERROR(INDEX(LAMINA_HORA!$W$5:$AP$114,MATCH($B86,LAMINA_HORA!$A$5:$A$114,0),MATCH(J86,LAMINA_HORA!$W$3:$AP$3,0)),"?"))</f>
        <v/>
      </c>
      <c r="M86" s="7" t="n"/>
      <c r="N86" s="27">
        <f>IF(OR($B86="",M86=""),"",IFERROR(INDEX(LAMINA_HORA!$C$5:$V$114,MATCH($B86,LAMINA_HORA!$A$5:$A$114,0),MATCH(M86,LAMINA_HORA!$C$3:$V$3,0)),"?"))</f>
        <v/>
      </c>
      <c r="O86" s="27">
        <f>IF(OR($B86="",M86=""),"",IFERROR(INDEX(LAMINA_HORA!$W$5:$AP$114,MATCH($B86,LAMINA_HORA!$A$5:$A$114,0),MATCH(M86,LAMINA_HORA!$W$3:$AP$3,0)),"?"))</f>
        <v/>
      </c>
      <c r="P86" s="7" t="n"/>
      <c r="Q86" s="27">
        <f>IF(OR($B86="",P86=""),"",IFERROR(INDEX(LAMINA_HORA!$C$5:$V$114,MATCH($B86,LAMINA_HORA!$A$5:$A$114,0),MATCH(P86,LAMINA_HORA!$C$3:$V$3,0)),"?"))</f>
        <v/>
      </c>
      <c r="R86" s="27">
        <f>IF(OR($B86="",P86=""),"",IFERROR(INDEX(LAMINA_HORA!$W$5:$AP$114,MATCH($B86,LAMINA_HORA!$A$5:$A$114,0),MATCH(P86,LAMINA_HORA!$W$3:$AP$3,0)),"?"))</f>
        <v/>
      </c>
      <c r="S86" s="7" t="n"/>
      <c r="T86" s="27">
        <f>IF(OR($B86="",S86=""),"",IFERROR(INDEX(LAMINA_HORA!$C$5:$V$114,MATCH($B86,LAMINA_HORA!$A$5:$A$114,0),MATCH(S86,LAMINA_HORA!$C$3:$V$3,0)),"?"))</f>
        <v/>
      </c>
      <c r="U86" s="27">
        <f>IF(OR($B86="",S86=""),"",IFERROR(INDEX(LAMINA_HORA!$W$5:$AP$114,MATCH($B86,LAMINA_HORA!$A$5:$A$114,0),MATCH(S86,LAMINA_HORA!$W$3:$AP$3,0)),"?"))</f>
        <v/>
      </c>
      <c r="V86" s="7" t="n"/>
      <c r="W86" s="27">
        <f>IF(OR($B86="",V86=""),"",IFERROR(INDEX(LAMINA_HORA!$C$5:$V$114,MATCH($B86,LAMINA_HORA!$A$5:$A$114,0),MATCH(V86,LAMINA_HORA!$C$3:$V$3,0)),"?"))</f>
        <v/>
      </c>
      <c r="X86" s="27">
        <f>IF(OR($B86="",V86=""),"",IFERROR(INDEX(LAMINA_HORA!$W$5:$AP$114,MATCH($B86,LAMINA_HORA!$A$5:$A$114,0),MATCH(V86,LAMINA_HORA!$W$3:$AP$3,0)),"?"))</f>
        <v/>
      </c>
      <c r="Y86" s="7" t="n"/>
      <c r="Z86" s="27">
        <f>IF(OR($B86="",Y86=""),"",IFERROR(INDEX(LAMINA_HORA!$C$5:$V$114,MATCH($B86,LAMINA_HORA!$A$5:$A$114,0),MATCH(Y86,LAMINA_HORA!$C$3:$V$3,0)),"?"))</f>
        <v/>
      </c>
      <c r="AA86" s="27">
        <f>IF(OR($B86="",Y86=""),"",IFERROR(INDEX(LAMINA_HORA!$W$5:$AP$114,MATCH($B86,LAMINA_HORA!$A$5:$A$114,0),MATCH(Y86,LAMINA_HORA!$W$3:$AP$3,0)),"?"))</f>
        <v/>
      </c>
      <c r="AB86" s="7" t="n"/>
      <c r="AC86" s="27">
        <f>IF(OR($B86="",AB86=""),"",IFERROR(INDEX(LAMINA_HORA!$C$5:$V$114,MATCH($B86,LAMINA_HORA!$A$5:$A$114,0),MATCH(AB86,LAMINA_HORA!$C$3:$V$3,0)),"?"))</f>
        <v/>
      </c>
      <c r="AD86" s="27">
        <f>IF(OR($B86="",AB86=""),"",IFERROR(INDEX(LAMINA_HORA!$W$5:$AP$114,MATCH($B86,LAMINA_HORA!$A$5:$A$114,0),MATCH(AB86,LAMINA_HORA!$W$3:$AP$3,0)),"?"))</f>
        <v/>
      </c>
      <c r="AE86" s="14">
        <f>SUM(K86,N86,Q86,T86,W86,Z86,AC86)</f>
        <v/>
      </c>
      <c r="AF86" s="16">
        <f>IF(OR($G86="",AE86=""),"",AE86*$G86*10)</f>
        <v/>
      </c>
      <c r="AG86" s="16">
        <f>IF(OR(AF86="",$H86=""),"",AF86*$H86)</f>
        <v/>
      </c>
      <c r="AH86" s="20" t="n"/>
    </row>
    <row r="87">
      <c r="A87" s="5" t="inlineStr">
        <is>
          <t>Pivô 03</t>
        </is>
      </c>
      <c r="B87" s="7" t="inlineStr">
        <is>
          <t>P3</t>
        </is>
      </c>
      <c r="C87" s="5" t="inlineStr">
        <is>
          <t>R0</t>
        </is>
      </c>
      <c r="D87" s="5" t="inlineStr">
        <is>
          <t>Modulo 1</t>
        </is>
      </c>
      <c r="E87" s="6" t="inlineStr">
        <is>
          <t>BMX DOMINIO IPRO</t>
        </is>
      </c>
      <c r="F87" s="26" t="inlineStr"/>
      <c r="G87" s="15" t="n">
        <v>162</v>
      </c>
      <c r="H87" s="17" t="n">
        <v>0.638</v>
      </c>
      <c r="J87" s="7" t="n"/>
      <c r="K87" s="27">
        <f>IF(OR($B87="",J87=""),"",IFERROR(INDEX(LAMINA_HORA!$C$5:$V$114,MATCH($B87,LAMINA_HORA!$A$5:$A$114,0),MATCH(J87,LAMINA_HORA!$C$3:$V$3,0)),"?"))</f>
        <v/>
      </c>
      <c r="L87" s="27">
        <f>IF(OR($B87="",J87=""),"",IFERROR(INDEX(LAMINA_HORA!$W$5:$AP$114,MATCH($B87,LAMINA_HORA!$A$5:$A$114,0),MATCH(J87,LAMINA_HORA!$W$3:$AP$3,0)),"?"))</f>
        <v/>
      </c>
      <c r="M87" s="7" t="n"/>
      <c r="N87" s="27">
        <f>IF(OR($B87="",M87=""),"",IFERROR(INDEX(LAMINA_HORA!$C$5:$V$114,MATCH($B87,LAMINA_HORA!$A$5:$A$114,0),MATCH(M87,LAMINA_HORA!$C$3:$V$3,0)),"?"))</f>
        <v/>
      </c>
      <c r="O87" s="27">
        <f>IF(OR($B87="",M87=""),"",IFERROR(INDEX(LAMINA_HORA!$W$5:$AP$114,MATCH($B87,LAMINA_HORA!$A$5:$A$114,0),MATCH(M87,LAMINA_HORA!$W$3:$AP$3,0)),"?"))</f>
        <v/>
      </c>
      <c r="P87" s="7" t="n"/>
      <c r="Q87" s="27">
        <f>IF(OR($B87="",P87=""),"",IFERROR(INDEX(LAMINA_HORA!$C$5:$V$114,MATCH($B87,LAMINA_HORA!$A$5:$A$114,0),MATCH(P87,LAMINA_HORA!$C$3:$V$3,0)),"?"))</f>
        <v/>
      </c>
      <c r="R87" s="27">
        <f>IF(OR($B87="",P87=""),"",IFERROR(INDEX(LAMINA_HORA!$W$5:$AP$114,MATCH($B87,LAMINA_HORA!$A$5:$A$114,0),MATCH(P87,LAMINA_HORA!$W$3:$AP$3,0)),"?"))</f>
        <v/>
      </c>
      <c r="S87" s="7" t="n"/>
      <c r="T87" s="27">
        <f>IF(OR($B87="",S87=""),"",IFERROR(INDEX(LAMINA_HORA!$C$5:$V$114,MATCH($B87,LAMINA_HORA!$A$5:$A$114,0),MATCH(S87,LAMINA_HORA!$C$3:$V$3,0)),"?"))</f>
        <v/>
      </c>
      <c r="U87" s="27">
        <f>IF(OR($B87="",S87=""),"",IFERROR(INDEX(LAMINA_HORA!$W$5:$AP$114,MATCH($B87,LAMINA_HORA!$A$5:$A$114,0),MATCH(S87,LAMINA_HORA!$W$3:$AP$3,0)),"?"))</f>
        <v/>
      </c>
      <c r="V87" s="7" t="n"/>
      <c r="W87" s="27">
        <f>IF(OR($B87="",V87=""),"",IFERROR(INDEX(LAMINA_HORA!$C$5:$V$114,MATCH($B87,LAMINA_HORA!$A$5:$A$114,0),MATCH(V87,LAMINA_HORA!$C$3:$V$3,0)),"?"))</f>
        <v/>
      </c>
      <c r="X87" s="27">
        <f>IF(OR($B87="",V87=""),"",IFERROR(INDEX(LAMINA_HORA!$W$5:$AP$114,MATCH($B87,LAMINA_HORA!$A$5:$A$114,0),MATCH(V87,LAMINA_HORA!$W$3:$AP$3,0)),"?"))</f>
        <v/>
      </c>
      <c r="Y87" s="7" t="n"/>
      <c r="Z87" s="27">
        <f>IF(OR($B87="",Y87=""),"",IFERROR(INDEX(LAMINA_HORA!$C$5:$V$114,MATCH($B87,LAMINA_HORA!$A$5:$A$114,0),MATCH(Y87,LAMINA_HORA!$C$3:$V$3,0)),"?"))</f>
        <v/>
      </c>
      <c r="AA87" s="27">
        <f>IF(OR($B87="",Y87=""),"",IFERROR(INDEX(LAMINA_HORA!$W$5:$AP$114,MATCH($B87,LAMINA_HORA!$A$5:$A$114,0),MATCH(Y87,LAMINA_HORA!$W$3:$AP$3,0)),"?"))</f>
        <v/>
      </c>
      <c r="AB87" s="7" t="n"/>
      <c r="AC87" s="27">
        <f>IF(OR($B87="",AB87=""),"",IFERROR(INDEX(LAMINA_HORA!$C$5:$V$114,MATCH($B87,LAMINA_HORA!$A$5:$A$114,0),MATCH(AB87,LAMINA_HORA!$C$3:$V$3,0)),"?"))</f>
        <v/>
      </c>
      <c r="AD87" s="27">
        <f>IF(OR($B87="",AB87=""),"",IFERROR(INDEX(LAMINA_HORA!$W$5:$AP$114,MATCH($B87,LAMINA_HORA!$A$5:$A$114,0),MATCH(AB87,LAMINA_HORA!$W$3:$AP$3,0)),"?"))</f>
        <v/>
      </c>
      <c r="AE87" s="14">
        <f>SUM(K87,N87,Q87,T87,W87,Z87,AC87)</f>
        <v/>
      </c>
      <c r="AF87" s="16">
        <f>IF(OR($G87="",AE87=""),"",AE87*$G87*10)</f>
        <v/>
      </c>
      <c r="AG87" s="16">
        <f>IF(OR(AF87="",$H87=""),"",AF87*$H87)</f>
        <v/>
      </c>
      <c r="AH87" s="20" t="n"/>
    </row>
    <row r="88">
      <c r="A88" s="5" t="inlineStr">
        <is>
          <t>Pivô 04</t>
        </is>
      </c>
      <c r="B88" s="7" t="inlineStr">
        <is>
          <t>P4</t>
        </is>
      </c>
      <c r="C88" s="5" t="inlineStr">
        <is>
          <t>R0</t>
        </is>
      </c>
      <c r="D88" s="5" t="inlineStr">
        <is>
          <t>Modulo 1</t>
        </is>
      </c>
      <c r="E88" s="6" t="inlineStr">
        <is>
          <t>BMX DOMINIO IPRO</t>
        </is>
      </c>
      <c r="F88" s="26" t="inlineStr"/>
      <c r="G88" s="15" t="n">
        <v>240</v>
      </c>
      <c r="H88" s="17" t="n">
        <v>0.532</v>
      </c>
      <c r="J88" s="7" t="n"/>
      <c r="K88" s="27">
        <f>IF(OR($B88="",J88=""),"",IFERROR(INDEX(LAMINA_HORA!$C$5:$V$114,MATCH($B88,LAMINA_HORA!$A$5:$A$114,0),MATCH(J88,LAMINA_HORA!$C$3:$V$3,0)),"?"))</f>
        <v/>
      </c>
      <c r="L88" s="27">
        <f>IF(OR($B88="",J88=""),"",IFERROR(INDEX(LAMINA_HORA!$W$5:$AP$114,MATCH($B88,LAMINA_HORA!$A$5:$A$114,0),MATCH(J88,LAMINA_HORA!$W$3:$AP$3,0)),"?"))</f>
        <v/>
      </c>
      <c r="M88" s="7" t="n"/>
      <c r="N88" s="27">
        <f>IF(OR($B88="",M88=""),"",IFERROR(INDEX(LAMINA_HORA!$C$5:$V$114,MATCH($B88,LAMINA_HORA!$A$5:$A$114,0),MATCH(M88,LAMINA_HORA!$C$3:$V$3,0)),"?"))</f>
        <v/>
      </c>
      <c r="O88" s="27">
        <f>IF(OR($B88="",M88=""),"",IFERROR(INDEX(LAMINA_HORA!$W$5:$AP$114,MATCH($B88,LAMINA_HORA!$A$5:$A$114,0),MATCH(M88,LAMINA_HORA!$W$3:$AP$3,0)),"?"))</f>
        <v/>
      </c>
      <c r="P88" s="7" t="n"/>
      <c r="Q88" s="27">
        <f>IF(OR($B88="",P88=""),"",IFERROR(INDEX(LAMINA_HORA!$C$5:$V$114,MATCH($B88,LAMINA_HORA!$A$5:$A$114,0),MATCH(P88,LAMINA_HORA!$C$3:$V$3,0)),"?"))</f>
        <v/>
      </c>
      <c r="R88" s="27">
        <f>IF(OR($B88="",P88=""),"",IFERROR(INDEX(LAMINA_HORA!$W$5:$AP$114,MATCH($B88,LAMINA_HORA!$A$5:$A$114,0),MATCH(P88,LAMINA_HORA!$W$3:$AP$3,0)),"?"))</f>
        <v/>
      </c>
      <c r="S88" s="7" t="n"/>
      <c r="T88" s="27">
        <f>IF(OR($B88="",S88=""),"",IFERROR(INDEX(LAMINA_HORA!$C$5:$V$114,MATCH($B88,LAMINA_HORA!$A$5:$A$114,0),MATCH(S88,LAMINA_HORA!$C$3:$V$3,0)),"?"))</f>
        <v/>
      </c>
      <c r="U88" s="27">
        <f>IF(OR($B88="",S88=""),"",IFERROR(INDEX(LAMINA_HORA!$W$5:$AP$114,MATCH($B88,LAMINA_HORA!$A$5:$A$114,0),MATCH(S88,LAMINA_HORA!$W$3:$AP$3,0)),"?"))</f>
        <v/>
      </c>
      <c r="V88" s="7" t="n"/>
      <c r="W88" s="27">
        <f>IF(OR($B88="",V88=""),"",IFERROR(INDEX(LAMINA_HORA!$C$5:$V$114,MATCH($B88,LAMINA_HORA!$A$5:$A$114,0),MATCH(V88,LAMINA_HORA!$C$3:$V$3,0)),"?"))</f>
        <v/>
      </c>
      <c r="X88" s="27">
        <f>IF(OR($B88="",V88=""),"",IFERROR(INDEX(LAMINA_HORA!$W$5:$AP$114,MATCH($B88,LAMINA_HORA!$A$5:$A$114,0),MATCH(V88,LAMINA_HORA!$W$3:$AP$3,0)),"?"))</f>
        <v/>
      </c>
      <c r="Y88" s="7" t="n"/>
      <c r="Z88" s="27">
        <f>IF(OR($B88="",Y88=""),"",IFERROR(INDEX(LAMINA_HORA!$C$5:$V$114,MATCH($B88,LAMINA_HORA!$A$5:$A$114,0),MATCH(Y88,LAMINA_HORA!$C$3:$V$3,0)),"?"))</f>
        <v/>
      </c>
      <c r="AA88" s="27">
        <f>IF(OR($B88="",Y88=""),"",IFERROR(INDEX(LAMINA_HORA!$W$5:$AP$114,MATCH($B88,LAMINA_HORA!$A$5:$A$114,0),MATCH(Y88,LAMINA_HORA!$W$3:$AP$3,0)),"?"))</f>
        <v/>
      </c>
      <c r="AB88" s="7" t="n"/>
      <c r="AC88" s="27">
        <f>IF(OR($B88="",AB88=""),"",IFERROR(INDEX(LAMINA_HORA!$C$5:$V$114,MATCH($B88,LAMINA_HORA!$A$5:$A$114,0),MATCH(AB88,LAMINA_HORA!$C$3:$V$3,0)),"?"))</f>
        <v/>
      </c>
      <c r="AD88" s="27">
        <f>IF(OR($B88="",AB88=""),"",IFERROR(INDEX(LAMINA_HORA!$W$5:$AP$114,MATCH($B88,LAMINA_HORA!$A$5:$A$114,0),MATCH(AB88,LAMINA_HORA!$W$3:$AP$3,0)),"?"))</f>
        <v/>
      </c>
      <c r="AE88" s="14">
        <f>SUM(K88,N88,Q88,T88,W88,Z88,AC88)</f>
        <v/>
      </c>
      <c r="AF88" s="16">
        <f>IF(OR($G88="",AE88=""),"",AE88*$G88*10)</f>
        <v/>
      </c>
      <c r="AG88" s="16">
        <f>IF(OR(AF88="",$H88=""),"",AF88*$H88)</f>
        <v/>
      </c>
      <c r="AH88" s="20" t="n"/>
    </row>
    <row r="89">
      <c r="A89" s="5" t="inlineStr">
        <is>
          <t>Pivô 05</t>
        </is>
      </c>
      <c r="B89" s="7" t="inlineStr">
        <is>
          <t>P5</t>
        </is>
      </c>
      <c r="C89" s="5" t="inlineStr">
        <is>
          <t>R1</t>
        </is>
      </c>
      <c r="D89" s="5" t="inlineStr">
        <is>
          <t>Modulo 1</t>
        </is>
      </c>
      <c r="E89" s="6" t="inlineStr">
        <is>
          <t>BMX DOMINIO IPRO</t>
        </is>
      </c>
      <c r="F89" s="26" t="inlineStr"/>
      <c r="G89" s="15" t="n">
        <v>37</v>
      </c>
      <c r="H89" s="17" t="n">
        <v>0.699</v>
      </c>
      <c r="J89" s="7" t="n"/>
      <c r="K89" s="27">
        <f>IF(OR($B89="",J89=""),"",IFERROR(INDEX(LAMINA_HORA!$C$5:$V$114,MATCH($B89,LAMINA_HORA!$A$5:$A$114,0),MATCH(J89,LAMINA_HORA!$C$3:$V$3,0)),"?"))</f>
        <v/>
      </c>
      <c r="L89" s="27">
        <f>IF(OR($B89="",J89=""),"",IFERROR(INDEX(LAMINA_HORA!$W$5:$AP$114,MATCH($B89,LAMINA_HORA!$A$5:$A$114,0),MATCH(J89,LAMINA_HORA!$W$3:$AP$3,0)),"?"))</f>
        <v/>
      </c>
      <c r="M89" s="7" t="n"/>
      <c r="N89" s="27">
        <f>IF(OR($B89="",M89=""),"",IFERROR(INDEX(LAMINA_HORA!$C$5:$V$114,MATCH($B89,LAMINA_HORA!$A$5:$A$114,0),MATCH(M89,LAMINA_HORA!$C$3:$V$3,0)),"?"))</f>
        <v/>
      </c>
      <c r="O89" s="27">
        <f>IF(OR($B89="",M89=""),"",IFERROR(INDEX(LAMINA_HORA!$W$5:$AP$114,MATCH($B89,LAMINA_HORA!$A$5:$A$114,0),MATCH(M89,LAMINA_HORA!$W$3:$AP$3,0)),"?"))</f>
        <v/>
      </c>
      <c r="P89" s="7" t="n"/>
      <c r="Q89" s="27">
        <f>IF(OR($B89="",P89=""),"",IFERROR(INDEX(LAMINA_HORA!$C$5:$V$114,MATCH($B89,LAMINA_HORA!$A$5:$A$114,0),MATCH(P89,LAMINA_HORA!$C$3:$V$3,0)),"?"))</f>
        <v/>
      </c>
      <c r="R89" s="27">
        <f>IF(OR($B89="",P89=""),"",IFERROR(INDEX(LAMINA_HORA!$W$5:$AP$114,MATCH($B89,LAMINA_HORA!$A$5:$A$114,0),MATCH(P89,LAMINA_HORA!$W$3:$AP$3,0)),"?"))</f>
        <v/>
      </c>
      <c r="S89" s="7" t="n"/>
      <c r="T89" s="27">
        <f>IF(OR($B89="",S89=""),"",IFERROR(INDEX(LAMINA_HORA!$C$5:$V$114,MATCH($B89,LAMINA_HORA!$A$5:$A$114,0),MATCH(S89,LAMINA_HORA!$C$3:$V$3,0)),"?"))</f>
        <v/>
      </c>
      <c r="U89" s="27">
        <f>IF(OR($B89="",S89=""),"",IFERROR(INDEX(LAMINA_HORA!$W$5:$AP$114,MATCH($B89,LAMINA_HORA!$A$5:$A$114,0),MATCH(S89,LAMINA_HORA!$W$3:$AP$3,0)),"?"))</f>
        <v/>
      </c>
      <c r="V89" s="7" t="n"/>
      <c r="W89" s="27">
        <f>IF(OR($B89="",V89=""),"",IFERROR(INDEX(LAMINA_HORA!$C$5:$V$114,MATCH($B89,LAMINA_HORA!$A$5:$A$114,0),MATCH(V89,LAMINA_HORA!$C$3:$V$3,0)),"?"))</f>
        <v/>
      </c>
      <c r="X89" s="27">
        <f>IF(OR($B89="",V89=""),"",IFERROR(INDEX(LAMINA_HORA!$W$5:$AP$114,MATCH($B89,LAMINA_HORA!$A$5:$A$114,0),MATCH(V89,LAMINA_HORA!$W$3:$AP$3,0)),"?"))</f>
        <v/>
      </c>
      <c r="Y89" s="7" t="n"/>
      <c r="Z89" s="27">
        <f>IF(OR($B89="",Y89=""),"",IFERROR(INDEX(LAMINA_HORA!$C$5:$V$114,MATCH($B89,LAMINA_HORA!$A$5:$A$114,0),MATCH(Y89,LAMINA_HORA!$C$3:$V$3,0)),"?"))</f>
        <v/>
      </c>
      <c r="AA89" s="27">
        <f>IF(OR($B89="",Y89=""),"",IFERROR(INDEX(LAMINA_HORA!$W$5:$AP$114,MATCH($B89,LAMINA_HORA!$A$5:$A$114,0),MATCH(Y89,LAMINA_HORA!$W$3:$AP$3,0)),"?"))</f>
        <v/>
      </c>
      <c r="AB89" s="7" t="n"/>
      <c r="AC89" s="27">
        <f>IF(OR($B89="",AB89=""),"",IFERROR(INDEX(LAMINA_HORA!$C$5:$V$114,MATCH($B89,LAMINA_HORA!$A$5:$A$114,0),MATCH(AB89,LAMINA_HORA!$C$3:$V$3,0)),"?"))</f>
        <v/>
      </c>
      <c r="AD89" s="27">
        <f>IF(OR($B89="",AB89=""),"",IFERROR(INDEX(LAMINA_HORA!$W$5:$AP$114,MATCH($B89,LAMINA_HORA!$A$5:$A$114,0),MATCH(AB89,LAMINA_HORA!$W$3:$AP$3,0)),"?"))</f>
        <v/>
      </c>
      <c r="AE89" s="14">
        <f>SUM(K89,N89,Q89,T89,W89,Z89,AC89)</f>
        <v/>
      </c>
      <c r="AF89" s="16">
        <f>IF(OR($G89="",AE89=""),"",AE89*$G89*10)</f>
        <v/>
      </c>
      <c r="AG89" s="16">
        <f>IF(OR(AF89="",$H89=""),"",AF89*$H89)</f>
        <v/>
      </c>
      <c r="AH89" s="20" t="n"/>
    </row>
    <row r="90">
      <c r="A90" s="25" t="inlineStr">
        <is>
          <t>CULTURA: ALGODÃO  (26 pivos)</t>
        </is>
      </c>
    </row>
    <row r="91">
      <c r="A91" s="5" t="inlineStr">
        <is>
          <t>Pivô 01</t>
        </is>
      </c>
      <c r="B91" s="7" t="inlineStr">
        <is>
          <t>P1</t>
        </is>
      </c>
      <c r="C91" s="5" t="inlineStr">
        <is>
          <t>R0</t>
        </is>
      </c>
      <c r="D91" s="5" t="inlineStr">
        <is>
          <t>Modulo 1</t>
        </is>
      </c>
      <c r="E91" s="6" t="inlineStr">
        <is>
          <t>IMA 5901 B2RF</t>
        </is>
      </c>
      <c r="F91" s="26" t="inlineStr"/>
      <c r="G91" s="15" t="n">
        <v>150</v>
      </c>
      <c r="H91" s="17" t="n">
        <v>0.513</v>
      </c>
      <c r="J91" s="7" t="n"/>
      <c r="K91" s="27">
        <f>IF(OR($B91="",J91=""),"",IFERROR(INDEX(LAMINA_HORA!$C$5:$V$114,MATCH($B91,LAMINA_HORA!$A$5:$A$114,0),MATCH(J91,LAMINA_HORA!$C$3:$V$3,0)),"?"))</f>
        <v/>
      </c>
      <c r="L91" s="27">
        <f>IF(OR($B91="",J91=""),"",IFERROR(INDEX(LAMINA_HORA!$W$5:$AP$114,MATCH($B91,LAMINA_HORA!$A$5:$A$114,0),MATCH(J91,LAMINA_HORA!$W$3:$AP$3,0)),"?"))</f>
        <v/>
      </c>
      <c r="M91" s="7" t="n"/>
      <c r="N91" s="27">
        <f>IF(OR($B91="",M91=""),"",IFERROR(INDEX(LAMINA_HORA!$C$5:$V$114,MATCH($B91,LAMINA_HORA!$A$5:$A$114,0),MATCH(M91,LAMINA_HORA!$C$3:$V$3,0)),"?"))</f>
        <v/>
      </c>
      <c r="O91" s="27">
        <f>IF(OR($B91="",M91=""),"",IFERROR(INDEX(LAMINA_HORA!$W$5:$AP$114,MATCH($B91,LAMINA_HORA!$A$5:$A$114,0),MATCH(M91,LAMINA_HORA!$W$3:$AP$3,0)),"?"))</f>
        <v/>
      </c>
      <c r="P91" s="7" t="n"/>
      <c r="Q91" s="27">
        <f>IF(OR($B91="",P91=""),"",IFERROR(INDEX(LAMINA_HORA!$C$5:$V$114,MATCH($B91,LAMINA_HORA!$A$5:$A$114,0),MATCH(P91,LAMINA_HORA!$C$3:$V$3,0)),"?"))</f>
        <v/>
      </c>
      <c r="R91" s="27">
        <f>IF(OR($B91="",P91=""),"",IFERROR(INDEX(LAMINA_HORA!$W$5:$AP$114,MATCH($B91,LAMINA_HORA!$A$5:$A$114,0),MATCH(P91,LAMINA_HORA!$W$3:$AP$3,0)),"?"))</f>
        <v/>
      </c>
      <c r="S91" s="7" t="n"/>
      <c r="T91" s="27">
        <f>IF(OR($B91="",S91=""),"",IFERROR(INDEX(LAMINA_HORA!$C$5:$V$114,MATCH($B91,LAMINA_HORA!$A$5:$A$114,0),MATCH(S91,LAMINA_HORA!$C$3:$V$3,0)),"?"))</f>
        <v/>
      </c>
      <c r="U91" s="27">
        <f>IF(OR($B91="",S91=""),"",IFERROR(INDEX(LAMINA_HORA!$W$5:$AP$114,MATCH($B91,LAMINA_HORA!$A$5:$A$114,0),MATCH(S91,LAMINA_HORA!$W$3:$AP$3,0)),"?"))</f>
        <v/>
      </c>
      <c r="V91" s="7" t="n"/>
      <c r="W91" s="27">
        <f>IF(OR($B91="",V91=""),"",IFERROR(INDEX(LAMINA_HORA!$C$5:$V$114,MATCH($B91,LAMINA_HORA!$A$5:$A$114,0),MATCH(V91,LAMINA_HORA!$C$3:$V$3,0)),"?"))</f>
        <v/>
      </c>
      <c r="X91" s="27">
        <f>IF(OR($B91="",V91=""),"",IFERROR(INDEX(LAMINA_HORA!$W$5:$AP$114,MATCH($B91,LAMINA_HORA!$A$5:$A$114,0),MATCH(V91,LAMINA_HORA!$W$3:$AP$3,0)),"?"))</f>
        <v/>
      </c>
      <c r="Y91" s="7" t="n"/>
      <c r="Z91" s="27">
        <f>IF(OR($B91="",Y91=""),"",IFERROR(INDEX(LAMINA_HORA!$C$5:$V$114,MATCH($B91,LAMINA_HORA!$A$5:$A$114,0),MATCH(Y91,LAMINA_HORA!$C$3:$V$3,0)),"?"))</f>
        <v/>
      </c>
      <c r="AA91" s="27">
        <f>IF(OR($B91="",Y91=""),"",IFERROR(INDEX(LAMINA_HORA!$W$5:$AP$114,MATCH($B91,LAMINA_HORA!$A$5:$A$114,0),MATCH(Y91,LAMINA_HORA!$W$3:$AP$3,0)),"?"))</f>
        <v/>
      </c>
      <c r="AB91" s="7" t="n"/>
      <c r="AC91" s="27">
        <f>IF(OR($B91="",AB91=""),"",IFERROR(INDEX(LAMINA_HORA!$C$5:$V$114,MATCH($B91,LAMINA_HORA!$A$5:$A$114,0),MATCH(AB91,LAMINA_HORA!$C$3:$V$3,0)),"?"))</f>
        <v/>
      </c>
      <c r="AD91" s="27">
        <f>IF(OR($B91="",AB91=""),"",IFERROR(INDEX(LAMINA_HORA!$W$5:$AP$114,MATCH($B91,LAMINA_HORA!$A$5:$A$114,0),MATCH(AB91,LAMINA_HORA!$W$3:$AP$3,0)),"?"))</f>
        <v/>
      </c>
      <c r="AE91" s="14">
        <f>SUM(K91,N91,Q91,T91,W91,Z91,AC91)</f>
        <v/>
      </c>
      <c r="AF91" s="16">
        <f>IF(OR($G91="",AE91=""),"",AE91*$G91*10)</f>
        <v/>
      </c>
      <c r="AG91" s="16">
        <f>IF(OR(AF91="",$H91=""),"",AF91*$H91)</f>
        <v/>
      </c>
      <c r="AH91" s="20" t="n"/>
    </row>
    <row r="92">
      <c r="A92" s="5" t="inlineStr">
        <is>
          <t>Pivô 07</t>
        </is>
      </c>
      <c r="B92" s="7" t="inlineStr">
        <is>
          <t>P7</t>
        </is>
      </c>
      <c r="C92" s="5" t="inlineStr">
        <is>
          <t>R2</t>
        </is>
      </c>
      <c r="D92" s="5" t="inlineStr">
        <is>
          <t>Modulo 1</t>
        </is>
      </c>
      <c r="E92" s="6" t="inlineStr">
        <is>
          <t>IMA 5901 B2RF</t>
        </is>
      </c>
      <c r="F92" s="26" t="inlineStr"/>
      <c r="G92" s="15" t="n">
        <v>120</v>
      </c>
      <c r="H92" s="17" t="n">
        <v>0.63</v>
      </c>
      <c r="J92" s="7" t="n"/>
      <c r="K92" s="27">
        <f>IF(OR($B92="",J92=""),"",IFERROR(INDEX(LAMINA_HORA!$C$5:$V$114,MATCH($B92,LAMINA_HORA!$A$5:$A$114,0),MATCH(J92,LAMINA_HORA!$C$3:$V$3,0)),"?"))</f>
        <v/>
      </c>
      <c r="L92" s="27">
        <f>IF(OR($B92="",J92=""),"",IFERROR(INDEX(LAMINA_HORA!$W$5:$AP$114,MATCH($B92,LAMINA_HORA!$A$5:$A$114,0),MATCH(J92,LAMINA_HORA!$W$3:$AP$3,0)),"?"))</f>
        <v/>
      </c>
      <c r="M92" s="7" t="n"/>
      <c r="N92" s="27">
        <f>IF(OR($B92="",M92=""),"",IFERROR(INDEX(LAMINA_HORA!$C$5:$V$114,MATCH($B92,LAMINA_HORA!$A$5:$A$114,0),MATCH(M92,LAMINA_HORA!$C$3:$V$3,0)),"?"))</f>
        <v/>
      </c>
      <c r="O92" s="27">
        <f>IF(OR($B92="",M92=""),"",IFERROR(INDEX(LAMINA_HORA!$W$5:$AP$114,MATCH($B92,LAMINA_HORA!$A$5:$A$114,0),MATCH(M92,LAMINA_HORA!$W$3:$AP$3,0)),"?"))</f>
        <v/>
      </c>
      <c r="P92" s="7" t="n"/>
      <c r="Q92" s="27">
        <f>IF(OR($B92="",P92=""),"",IFERROR(INDEX(LAMINA_HORA!$C$5:$V$114,MATCH($B92,LAMINA_HORA!$A$5:$A$114,0),MATCH(P92,LAMINA_HORA!$C$3:$V$3,0)),"?"))</f>
        <v/>
      </c>
      <c r="R92" s="27">
        <f>IF(OR($B92="",P92=""),"",IFERROR(INDEX(LAMINA_HORA!$W$5:$AP$114,MATCH($B92,LAMINA_HORA!$A$5:$A$114,0),MATCH(P92,LAMINA_HORA!$W$3:$AP$3,0)),"?"))</f>
        <v/>
      </c>
      <c r="S92" s="7" t="n"/>
      <c r="T92" s="27">
        <f>IF(OR($B92="",S92=""),"",IFERROR(INDEX(LAMINA_HORA!$C$5:$V$114,MATCH($B92,LAMINA_HORA!$A$5:$A$114,0),MATCH(S92,LAMINA_HORA!$C$3:$V$3,0)),"?"))</f>
        <v/>
      </c>
      <c r="U92" s="27">
        <f>IF(OR($B92="",S92=""),"",IFERROR(INDEX(LAMINA_HORA!$W$5:$AP$114,MATCH($B92,LAMINA_HORA!$A$5:$A$114,0),MATCH(S92,LAMINA_HORA!$W$3:$AP$3,0)),"?"))</f>
        <v/>
      </c>
      <c r="V92" s="7" t="n"/>
      <c r="W92" s="27">
        <f>IF(OR($B92="",V92=""),"",IFERROR(INDEX(LAMINA_HORA!$C$5:$V$114,MATCH($B92,LAMINA_HORA!$A$5:$A$114,0),MATCH(V92,LAMINA_HORA!$C$3:$V$3,0)),"?"))</f>
        <v/>
      </c>
      <c r="X92" s="27">
        <f>IF(OR($B92="",V92=""),"",IFERROR(INDEX(LAMINA_HORA!$W$5:$AP$114,MATCH($B92,LAMINA_HORA!$A$5:$A$114,0),MATCH(V92,LAMINA_HORA!$W$3:$AP$3,0)),"?"))</f>
        <v/>
      </c>
      <c r="Y92" s="7" t="n"/>
      <c r="Z92" s="27">
        <f>IF(OR($B92="",Y92=""),"",IFERROR(INDEX(LAMINA_HORA!$C$5:$V$114,MATCH($B92,LAMINA_HORA!$A$5:$A$114,0),MATCH(Y92,LAMINA_HORA!$C$3:$V$3,0)),"?"))</f>
        <v/>
      </c>
      <c r="AA92" s="27">
        <f>IF(OR($B92="",Y92=""),"",IFERROR(INDEX(LAMINA_HORA!$W$5:$AP$114,MATCH($B92,LAMINA_HORA!$A$5:$A$114,0),MATCH(Y92,LAMINA_HORA!$W$3:$AP$3,0)),"?"))</f>
        <v/>
      </c>
      <c r="AB92" s="7" t="n"/>
      <c r="AC92" s="27">
        <f>IF(OR($B92="",AB92=""),"",IFERROR(INDEX(LAMINA_HORA!$C$5:$V$114,MATCH($B92,LAMINA_HORA!$A$5:$A$114,0),MATCH(AB92,LAMINA_HORA!$C$3:$V$3,0)),"?"))</f>
        <v/>
      </c>
      <c r="AD92" s="27">
        <f>IF(OR($B92="",AB92=""),"",IFERROR(INDEX(LAMINA_HORA!$W$5:$AP$114,MATCH($B92,LAMINA_HORA!$A$5:$A$114,0),MATCH(AB92,LAMINA_HORA!$W$3:$AP$3,0)),"?"))</f>
        <v/>
      </c>
      <c r="AE92" s="14">
        <f>SUM(K92,N92,Q92,T92,W92,Z92,AC92)</f>
        <v/>
      </c>
      <c r="AF92" s="16">
        <f>IF(OR($G92="",AE92=""),"",AE92*$G92*10)</f>
        <v/>
      </c>
      <c r="AG92" s="16">
        <f>IF(OR(AF92="",$H92=""),"",AF92*$H92)</f>
        <v/>
      </c>
      <c r="AH92" s="20" t="n"/>
    </row>
    <row r="93">
      <c r="A93" s="5" t="inlineStr">
        <is>
          <t>Pivô 08</t>
        </is>
      </c>
      <c r="B93" s="7" t="inlineStr">
        <is>
          <t>P8</t>
        </is>
      </c>
      <c r="C93" s="5" t="inlineStr">
        <is>
          <t>R2</t>
        </is>
      </c>
      <c r="D93" s="5" t="inlineStr">
        <is>
          <t>Modulo 1</t>
        </is>
      </c>
      <c r="E93" s="6" t="inlineStr">
        <is>
          <t>IMA 5901 B2RF</t>
        </is>
      </c>
      <c r="F93" s="26" t="inlineStr"/>
      <c r="G93" s="15" t="n">
        <v>150</v>
      </c>
      <c r="H93" s="17" t="n">
        <v>0.5659999999999999</v>
      </c>
      <c r="J93" s="7" t="n"/>
      <c r="K93" s="27">
        <f>IF(OR($B93="",J93=""),"",IFERROR(INDEX(LAMINA_HORA!$C$5:$V$114,MATCH($B93,LAMINA_HORA!$A$5:$A$114,0),MATCH(J93,LAMINA_HORA!$C$3:$V$3,0)),"?"))</f>
        <v/>
      </c>
      <c r="L93" s="27">
        <f>IF(OR($B93="",J93=""),"",IFERROR(INDEX(LAMINA_HORA!$W$5:$AP$114,MATCH($B93,LAMINA_HORA!$A$5:$A$114,0),MATCH(J93,LAMINA_HORA!$W$3:$AP$3,0)),"?"))</f>
        <v/>
      </c>
      <c r="M93" s="7" t="n"/>
      <c r="N93" s="27">
        <f>IF(OR($B93="",M93=""),"",IFERROR(INDEX(LAMINA_HORA!$C$5:$V$114,MATCH($B93,LAMINA_HORA!$A$5:$A$114,0),MATCH(M93,LAMINA_HORA!$C$3:$V$3,0)),"?"))</f>
        <v/>
      </c>
      <c r="O93" s="27">
        <f>IF(OR($B93="",M93=""),"",IFERROR(INDEX(LAMINA_HORA!$W$5:$AP$114,MATCH($B93,LAMINA_HORA!$A$5:$A$114,0),MATCH(M93,LAMINA_HORA!$W$3:$AP$3,0)),"?"))</f>
        <v/>
      </c>
      <c r="P93" s="7" t="n"/>
      <c r="Q93" s="27">
        <f>IF(OR($B93="",P93=""),"",IFERROR(INDEX(LAMINA_HORA!$C$5:$V$114,MATCH($B93,LAMINA_HORA!$A$5:$A$114,0),MATCH(P93,LAMINA_HORA!$C$3:$V$3,0)),"?"))</f>
        <v/>
      </c>
      <c r="R93" s="27">
        <f>IF(OR($B93="",P93=""),"",IFERROR(INDEX(LAMINA_HORA!$W$5:$AP$114,MATCH($B93,LAMINA_HORA!$A$5:$A$114,0),MATCH(P93,LAMINA_HORA!$W$3:$AP$3,0)),"?"))</f>
        <v/>
      </c>
      <c r="S93" s="7" t="n"/>
      <c r="T93" s="27">
        <f>IF(OR($B93="",S93=""),"",IFERROR(INDEX(LAMINA_HORA!$C$5:$V$114,MATCH($B93,LAMINA_HORA!$A$5:$A$114,0),MATCH(S93,LAMINA_HORA!$C$3:$V$3,0)),"?"))</f>
        <v/>
      </c>
      <c r="U93" s="27">
        <f>IF(OR($B93="",S93=""),"",IFERROR(INDEX(LAMINA_HORA!$W$5:$AP$114,MATCH($B93,LAMINA_HORA!$A$5:$A$114,0),MATCH(S93,LAMINA_HORA!$W$3:$AP$3,0)),"?"))</f>
        <v/>
      </c>
      <c r="V93" s="7" t="n"/>
      <c r="W93" s="27">
        <f>IF(OR($B93="",V93=""),"",IFERROR(INDEX(LAMINA_HORA!$C$5:$V$114,MATCH($B93,LAMINA_HORA!$A$5:$A$114,0),MATCH(V93,LAMINA_HORA!$C$3:$V$3,0)),"?"))</f>
        <v/>
      </c>
      <c r="X93" s="27">
        <f>IF(OR($B93="",V93=""),"",IFERROR(INDEX(LAMINA_HORA!$W$5:$AP$114,MATCH($B93,LAMINA_HORA!$A$5:$A$114,0),MATCH(V93,LAMINA_HORA!$W$3:$AP$3,0)),"?"))</f>
        <v/>
      </c>
      <c r="Y93" s="7" t="n"/>
      <c r="Z93" s="27">
        <f>IF(OR($B93="",Y93=""),"",IFERROR(INDEX(LAMINA_HORA!$C$5:$V$114,MATCH($B93,LAMINA_HORA!$A$5:$A$114,0),MATCH(Y93,LAMINA_HORA!$C$3:$V$3,0)),"?"))</f>
        <v/>
      </c>
      <c r="AA93" s="27">
        <f>IF(OR($B93="",Y93=""),"",IFERROR(INDEX(LAMINA_HORA!$W$5:$AP$114,MATCH($B93,LAMINA_HORA!$A$5:$A$114,0),MATCH(Y93,LAMINA_HORA!$W$3:$AP$3,0)),"?"))</f>
        <v/>
      </c>
      <c r="AB93" s="7" t="n"/>
      <c r="AC93" s="27">
        <f>IF(OR($B93="",AB93=""),"",IFERROR(INDEX(LAMINA_HORA!$C$5:$V$114,MATCH($B93,LAMINA_HORA!$A$5:$A$114,0),MATCH(AB93,LAMINA_HORA!$C$3:$V$3,0)),"?"))</f>
        <v/>
      </c>
      <c r="AD93" s="27">
        <f>IF(OR($B93="",AB93=""),"",IFERROR(INDEX(LAMINA_HORA!$W$5:$AP$114,MATCH($B93,LAMINA_HORA!$A$5:$A$114,0),MATCH(AB93,LAMINA_HORA!$W$3:$AP$3,0)),"?"))</f>
        <v/>
      </c>
      <c r="AE93" s="14">
        <f>SUM(K93,N93,Q93,T93,W93,Z93,AC93)</f>
        <v/>
      </c>
      <c r="AF93" s="16">
        <f>IF(OR($G93="",AE93=""),"",AE93*$G93*10)</f>
        <v/>
      </c>
      <c r="AG93" s="16">
        <f>IF(OR(AF93="",$H93=""),"",AF93*$H93)</f>
        <v/>
      </c>
      <c r="AH93" s="20" t="n"/>
    </row>
    <row r="94">
      <c r="A94" s="5" t="inlineStr">
        <is>
          <t>Pivô 09</t>
        </is>
      </c>
      <c r="B94" s="7" t="inlineStr">
        <is>
          <t>P9</t>
        </is>
      </c>
      <c r="C94" s="5" t="inlineStr">
        <is>
          <t>R3</t>
        </is>
      </c>
      <c r="D94" s="5" t="inlineStr">
        <is>
          <t>Modulo 1</t>
        </is>
      </c>
      <c r="E94" s="6" t="inlineStr">
        <is>
          <t>IMA 5901 B2RF</t>
        </is>
      </c>
      <c r="F94" s="26" t="inlineStr"/>
      <c r="G94" s="15" t="n">
        <v>120</v>
      </c>
      <c r="H94" s="17" t="n">
        <v>0.5649999999999999</v>
      </c>
      <c r="J94" s="7" t="n"/>
      <c r="K94" s="27">
        <f>IF(OR($B94="",J94=""),"",IFERROR(INDEX(LAMINA_HORA!$C$5:$V$114,MATCH($B94,LAMINA_HORA!$A$5:$A$114,0),MATCH(J94,LAMINA_HORA!$C$3:$V$3,0)),"?"))</f>
        <v/>
      </c>
      <c r="L94" s="27">
        <f>IF(OR($B94="",J94=""),"",IFERROR(INDEX(LAMINA_HORA!$W$5:$AP$114,MATCH($B94,LAMINA_HORA!$A$5:$A$114,0),MATCH(J94,LAMINA_HORA!$W$3:$AP$3,0)),"?"))</f>
        <v/>
      </c>
      <c r="M94" s="7" t="n"/>
      <c r="N94" s="27">
        <f>IF(OR($B94="",M94=""),"",IFERROR(INDEX(LAMINA_HORA!$C$5:$V$114,MATCH($B94,LAMINA_HORA!$A$5:$A$114,0),MATCH(M94,LAMINA_HORA!$C$3:$V$3,0)),"?"))</f>
        <v/>
      </c>
      <c r="O94" s="27">
        <f>IF(OR($B94="",M94=""),"",IFERROR(INDEX(LAMINA_HORA!$W$5:$AP$114,MATCH($B94,LAMINA_HORA!$A$5:$A$114,0),MATCH(M94,LAMINA_HORA!$W$3:$AP$3,0)),"?"))</f>
        <v/>
      </c>
      <c r="P94" s="7" t="n"/>
      <c r="Q94" s="27">
        <f>IF(OR($B94="",P94=""),"",IFERROR(INDEX(LAMINA_HORA!$C$5:$V$114,MATCH($B94,LAMINA_HORA!$A$5:$A$114,0),MATCH(P94,LAMINA_HORA!$C$3:$V$3,0)),"?"))</f>
        <v/>
      </c>
      <c r="R94" s="27">
        <f>IF(OR($B94="",P94=""),"",IFERROR(INDEX(LAMINA_HORA!$W$5:$AP$114,MATCH($B94,LAMINA_HORA!$A$5:$A$114,0),MATCH(P94,LAMINA_HORA!$W$3:$AP$3,0)),"?"))</f>
        <v/>
      </c>
      <c r="S94" s="7" t="n"/>
      <c r="T94" s="27">
        <f>IF(OR($B94="",S94=""),"",IFERROR(INDEX(LAMINA_HORA!$C$5:$V$114,MATCH($B94,LAMINA_HORA!$A$5:$A$114,0),MATCH(S94,LAMINA_HORA!$C$3:$V$3,0)),"?"))</f>
        <v/>
      </c>
      <c r="U94" s="27">
        <f>IF(OR($B94="",S94=""),"",IFERROR(INDEX(LAMINA_HORA!$W$5:$AP$114,MATCH($B94,LAMINA_HORA!$A$5:$A$114,0),MATCH(S94,LAMINA_HORA!$W$3:$AP$3,0)),"?"))</f>
        <v/>
      </c>
      <c r="V94" s="7" t="n"/>
      <c r="W94" s="27">
        <f>IF(OR($B94="",V94=""),"",IFERROR(INDEX(LAMINA_HORA!$C$5:$V$114,MATCH($B94,LAMINA_HORA!$A$5:$A$114,0),MATCH(V94,LAMINA_HORA!$C$3:$V$3,0)),"?"))</f>
        <v/>
      </c>
      <c r="X94" s="27">
        <f>IF(OR($B94="",V94=""),"",IFERROR(INDEX(LAMINA_HORA!$W$5:$AP$114,MATCH($B94,LAMINA_HORA!$A$5:$A$114,0),MATCH(V94,LAMINA_HORA!$W$3:$AP$3,0)),"?"))</f>
        <v/>
      </c>
      <c r="Y94" s="7" t="n"/>
      <c r="Z94" s="27">
        <f>IF(OR($B94="",Y94=""),"",IFERROR(INDEX(LAMINA_HORA!$C$5:$V$114,MATCH($B94,LAMINA_HORA!$A$5:$A$114,0),MATCH(Y94,LAMINA_HORA!$C$3:$V$3,0)),"?"))</f>
        <v/>
      </c>
      <c r="AA94" s="27">
        <f>IF(OR($B94="",Y94=""),"",IFERROR(INDEX(LAMINA_HORA!$W$5:$AP$114,MATCH($B94,LAMINA_HORA!$A$5:$A$114,0),MATCH(Y94,LAMINA_HORA!$W$3:$AP$3,0)),"?"))</f>
        <v/>
      </c>
      <c r="AB94" s="7" t="n"/>
      <c r="AC94" s="27">
        <f>IF(OR($B94="",AB94=""),"",IFERROR(INDEX(LAMINA_HORA!$C$5:$V$114,MATCH($B94,LAMINA_HORA!$A$5:$A$114,0),MATCH(AB94,LAMINA_HORA!$C$3:$V$3,0)),"?"))</f>
        <v/>
      </c>
      <c r="AD94" s="27">
        <f>IF(OR($B94="",AB94=""),"",IFERROR(INDEX(LAMINA_HORA!$W$5:$AP$114,MATCH($B94,LAMINA_HORA!$A$5:$A$114,0),MATCH(AB94,LAMINA_HORA!$W$3:$AP$3,0)),"?"))</f>
        <v/>
      </c>
      <c r="AE94" s="14">
        <f>SUM(K94,N94,Q94,T94,W94,Z94,AC94)</f>
        <v/>
      </c>
      <c r="AF94" s="16">
        <f>IF(OR($G94="",AE94=""),"",AE94*$G94*10)</f>
        <v/>
      </c>
      <c r="AG94" s="16">
        <f>IF(OR(AF94="",$H94=""),"",AF94*$H94)</f>
        <v/>
      </c>
      <c r="AH94" s="20" t="n"/>
    </row>
    <row r="95">
      <c r="A95" s="5" t="inlineStr">
        <is>
          <t>Pivô 10</t>
        </is>
      </c>
      <c r="B95" s="7" t="inlineStr">
        <is>
          <t>P10</t>
        </is>
      </c>
      <c r="C95" s="5" t="inlineStr">
        <is>
          <t>R3</t>
        </is>
      </c>
      <c r="D95" s="5" t="inlineStr">
        <is>
          <t>Modulo 1</t>
        </is>
      </c>
      <c r="E95" s="6" t="inlineStr">
        <is>
          <t>IMA 5901 B2RF</t>
        </is>
      </c>
      <c r="F95" s="26" t="inlineStr"/>
      <c r="G95" s="15" t="n">
        <v>150</v>
      </c>
      <c r="H95" s="17" t="n">
        <v>0.5659999999999999</v>
      </c>
      <c r="J95" s="7" t="n"/>
      <c r="K95" s="27">
        <f>IF(OR($B95="",J95=""),"",IFERROR(INDEX(LAMINA_HORA!$C$5:$V$114,MATCH($B95,LAMINA_HORA!$A$5:$A$114,0),MATCH(J95,LAMINA_HORA!$C$3:$V$3,0)),"?"))</f>
        <v/>
      </c>
      <c r="L95" s="27">
        <f>IF(OR($B95="",J95=""),"",IFERROR(INDEX(LAMINA_HORA!$W$5:$AP$114,MATCH($B95,LAMINA_HORA!$A$5:$A$114,0),MATCH(J95,LAMINA_HORA!$W$3:$AP$3,0)),"?"))</f>
        <v/>
      </c>
      <c r="M95" s="7" t="n"/>
      <c r="N95" s="27">
        <f>IF(OR($B95="",M95=""),"",IFERROR(INDEX(LAMINA_HORA!$C$5:$V$114,MATCH($B95,LAMINA_HORA!$A$5:$A$114,0),MATCH(M95,LAMINA_HORA!$C$3:$V$3,0)),"?"))</f>
        <v/>
      </c>
      <c r="O95" s="27">
        <f>IF(OR($B95="",M95=""),"",IFERROR(INDEX(LAMINA_HORA!$W$5:$AP$114,MATCH($B95,LAMINA_HORA!$A$5:$A$114,0),MATCH(M95,LAMINA_HORA!$W$3:$AP$3,0)),"?"))</f>
        <v/>
      </c>
      <c r="P95" s="7" t="n"/>
      <c r="Q95" s="27">
        <f>IF(OR($B95="",P95=""),"",IFERROR(INDEX(LAMINA_HORA!$C$5:$V$114,MATCH($B95,LAMINA_HORA!$A$5:$A$114,0),MATCH(P95,LAMINA_HORA!$C$3:$V$3,0)),"?"))</f>
        <v/>
      </c>
      <c r="R95" s="27">
        <f>IF(OR($B95="",P95=""),"",IFERROR(INDEX(LAMINA_HORA!$W$5:$AP$114,MATCH($B95,LAMINA_HORA!$A$5:$A$114,0),MATCH(P95,LAMINA_HORA!$W$3:$AP$3,0)),"?"))</f>
        <v/>
      </c>
      <c r="S95" s="7" t="n"/>
      <c r="T95" s="27">
        <f>IF(OR($B95="",S95=""),"",IFERROR(INDEX(LAMINA_HORA!$C$5:$V$114,MATCH($B95,LAMINA_HORA!$A$5:$A$114,0),MATCH(S95,LAMINA_HORA!$C$3:$V$3,0)),"?"))</f>
        <v/>
      </c>
      <c r="U95" s="27">
        <f>IF(OR($B95="",S95=""),"",IFERROR(INDEX(LAMINA_HORA!$W$5:$AP$114,MATCH($B95,LAMINA_HORA!$A$5:$A$114,0),MATCH(S95,LAMINA_HORA!$W$3:$AP$3,0)),"?"))</f>
        <v/>
      </c>
      <c r="V95" s="7" t="n"/>
      <c r="W95" s="27">
        <f>IF(OR($B95="",V95=""),"",IFERROR(INDEX(LAMINA_HORA!$C$5:$V$114,MATCH($B95,LAMINA_HORA!$A$5:$A$114,0),MATCH(V95,LAMINA_HORA!$C$3:$V$3,0)),"?"))</f>
        <v/>
      </c>
      <c r="X95" s="27">
        <f>IF(OR($B95="",V95=""),"",IFERROR(INDEX(LAMINA_HORA!$W$5:$AP$114,MATCH($B95,LAMINA_HORA!$A$5:$A$114,0),MATCH(V95,LAMINA_HORA!$W$3:$AP$3,0)),"?"))</f>
        <v/>
      </c>
      <c r="Y95" s="7" t="n"/>
      <c r="Z95" s="27">
        <f>IF(OR($B95="",Y95=""),"",IFERROR(INDEX(LAMINA_HORA!$C$5:$V$114,MATCH($B95,LAMINA_HORA!$A$5:$A$114,0),MATCH(Y95,LAMINA_HORA!$C$3:$V$3,0)),"?"))</f>
        <v/>
      </c>
      <c r="AA95" s="27">
        <f>IF(OR($B95="",Y95=""),"",IFERROR(INDEX(LAMINA_HORA!$W$5:$AP$114,MATCH($B95,LAMINA_HORA!$A$5:$A$114,0),MATCH(Y95,LAMINA_HORA!$W$3:$AP$3,0)),"?"))</f>
        <v/>
      </c>
      <c r="AB95" s="7" t="n"/>
      <c r="AC95" s="27">
        <f>IF(OR($B95="",AB95=""),"",IFERROR(INDEX(LAMINA_HORA!$C$5:$V$114,MATCH($B95,LAMINA_HORA!$A$5:$A$114,0),MATCH(AB95,LAMINA_HORA!$C$3:$V$3,0)),"?"))</f>
        <v/>
      </c>
      <c r="AD95" s="27">
        <f>IF(OR($B95="",AB95=""),"",IFERROR(INDEX(LAMINA_HORA!$W$5:$AP$114,MATCH($B95,LAMINA_HORA!$A$5:$A$114,0),MATCH(AB95,LAMINA_HORA!$W$3:$AP$3,0)),"?"))</f>
        <v/>
      </c>
      <c r="AE95" s="14">
        <f>SUM(K95,N95,Q95,T95,W95,Z95,AC95)</f>
        <v/>
      </c>
      <c r="AF95" s="16">
        <f>IF(OR($G95="",AE95=""),"",AE95*$G95*10)</f>
        <v/>
      </c>
      <c r="AG95" s="16">
        <f>IF(OR(AF95="",$H95=""),"",AF95*$H95)</f>
        <v/>
      </c>
      <c r="AH95" s="20" t="n"/>
    </row>
    <row r="96">
      <c r="A96" s="5" t="inlineStr">
        <is>
          <t>Pivô 11</t>
        </is>
      </c>
      <c r="B96" s="7" t="inlineStr">
        <is>
          <t>P11</t>
        </is>
      </c>
      <c r="C96" s="5" t="inlineStr">
        <is>
          <t>R5</t>
        </is>
      </c>
      <c r="D96" s="5" t="inlineStr">
        <is>
          <t>Modulo 1</t>
        </is>
      </c>
      <c r="E96" s="6" t="inlineStr">
        <is>
          <t>IMA 5901 B2RF</t>
        </is>
      </c>
      <c r="F96" s="26" t="inlineStr"/>
      <c r="G96" s="15" t="n">
        <v>121</v>
      </c>
      <c r="H96" s="17" t="n">
        <v>0.577</v>
      </c>
      <c r="J96" s="7" t="n"/>
      <c r="K96" s="27">
        <f>IF(OR($B96="",J96=""),"",IFERROR(INDEX(LAMINA_HORA!$C$5:$V$114,MATCH($B96,LAMINA_HORA!$A$5:$A$114,0),MATCH(J96,LAMINA_HORA!$C$3:$V$3,0)),"?"))</f>
        <v/>
      </c>
      <c r="L96" s="27">
        <f>IF(OR($B96="",J96=""),"",IFERROR(INDEX(LAMINA_HORA!$W$5:$AP$114,MATCH($B96,LAMINA_HORA!$A$5:$A$114,0),MATCH(J96,LAMINA_HORA!$W$3:$AP$3,0)),"?"))</f>
        <v/>
      </c>
      <c r="M96" s="7" t="n"/>
      <c r="N96" s="27">
        <f>IF(OR($B96="",M96=""),"",IFERROR(INDEX(LAMINA_HORA!$C$5:$V$114,MATCH($B96,LAMINA_HORA!$A$5:$A$114,0),MATCH(M96,LAMINA_HORA!$C$3:$V$3,0)),"?"))</f>
        <v/>
      </c>
      <c r="O96" s="27">
        <f>IF(OR($B96="",M96=""),"",IFERROR(INDEX(LAMINA_HORA!$W$5:$AP$114,MATCH($B96,LAMINA_HORA!$A$5:$A$114,0),MATCH(M96,LAMINA_HORA!$W$3:$AP$3,0)),"?"))</f>
        <v/>
      </c>
      <c r="P96" s="7" t="n"/>
      <c r="Q96" s="27">
        <f>IF(OR($B96="",P96=""),"",IFERROR(INDEX(LAMINA_HORA!$C$5:$V$114,MATCH($B96,LAMINA_HORA!$A$5:$A$114,0),MATCH(P96,LAMINA_HORA!$C$3:$V$3,0)),"?"))</f>
        <v/>
      </c>
      <c r="R96" s="27">
        <f>IF(OR($B96="",P96=""),"",IFERROR(INDEX(LAMINA_HORA!$W$5:$AP$114,MATCH($B96,LAMINA_HORA!$A$5:$A$114,0),MATCH(P96,LAMINA_HORA!$W$3:$AP$3,0)),"?"))</f>
        <v/>
      </c>
      <c r="S96" s="7" t="n"/>
      <c r="T96" s="27">
        <f>IF(OR($B96="",S96=""),"",IFERROR(INDEX(LAMINA_HORA!$C$5:$V$114,MATCH($B96,LAMINA_HORA!$A$5:$A$114,0),MATCH(S96,LAMINA_HORA!$C$3:$V$3,0)),"?"))</f>
        <v/>
      </c>
      <c r="U96" s="27">
        <f>IF(OR($B96="",S96=""),"",IFERROR(INDEX(LAMINA_HORA!$W$5:$AP$114,MATCH($B96,LAMINA_HORA!$A$5:$A$114,0),MATCH(S96,LAMINA_HORA!$W$3:$AP$3,0)),"?"))</f>
        <v/>
      </c>
      <c r="V96" s="7" t="n"/>
      <c r="W96" s="27">
        <f>IF(OR($B96="",V96=""),"",IFERROR(INDEX(LAMINA_HORA!$C$5:$V$114,MATCH($B96,LAMINA_HORA!$A$5:$A$114,0),MATCH(V96,LAMINA_HORA!$C$3:$V$3,0)),"?"))</f>
        <v/>
      </c>
      <c r="X96" s="27">
        <f>IF(OR($B96="",V96=""),"",IFERROR(INDEX(LAMINA_HORA!$W$5:$AP$114,MATCH($B96,LAMINA_HORA!$A$5:$A$114,0),MATCH(V96,LAMINA_HORA!$W$3:$AP$3,0)),"?"))</f>
        <v/>
      </c>
      <c r="Y96" s="7" t="n"/>
      <c r="Z96" s="27">
        <f>IF(OR($B96="",Y96=""),"",IFERROR(INDEX(LAMINA_HORA!$C$5:$V$114,MATCH($B96,LAMINA_HORA!$A$5:$A$114,0),MATCH(Y96,LAMINA_HORA!$C$3:$V$3,0)),"?"))</f>
        <v/>
      </c>
      <c r="AA96" s="27">
        <f>IF(OR($B96="",Y96=""),"",IFERROR(INDEX(LAMINA_HORA!$W$5:$AP$114,MATCH($B96,LAMINA_HORA!$A$5:$A$114,0),MATCH(Y96,LAMINA_HORA!$W$3:$AP$3,0)),"?"))</f>
        <v/>
      </c>
      <c r="AB96" s="7" t="n"/>
      <c r="AC96" s="27">
        <f>IF(OR($B96="",AB96=""),"",IFERROR(INDEX(LAMINA_HORA!$C$5:$V$114,MATCH($B96,LAMINA_HORA!$A$5:$A$114,0),MATCH(AB96,LAMINA_HORA!$C$3:$V$3,0)),"?"))</f>
        <v/>
      </c>
      <c r="AD96" s="27">
        <f>IF(OR($B96="",AB96=""),"",IFERROR(INDEX(LAMINA_HORA!$W$5:$AP$114,MATCH($B96,LAMINA_HORA!$A$5:$A$114,0),MATCH(AB96,LAMINA_HORA!$W$3:$AP$3,0)),"?"))</f>
        <v/>
      </c>
      <c r="AE96" s="14">
        <f>SUM(K96,N96,Q96,T96,W96,Z96,AC96)</f>
        <v/>
      </c>
      <c r="AF96" s="16">
        <f>IF(OR($G96="",AE96=""),"",AE96*$G96*10)</f>
        <v/>
      </c>
      <c r="AG96" s="16">
        <f>IF(OR(AF96="",$H96=""),"",AF96*$H96)</f>
        <v/>
      </c>
      <c r="AH96" s="20" t="n"/>
    </row>
    <row r="97">
      <c r="A97" s="5" t="inlineStr">
        <is>
          <t>Pivô 18</t>
        </is>
      </c>
      <c r="B97" s="7" t="inlineStr">
        <is>
          <t>P18</t>
        </is>
      </c>
      <c r="C97" s="5" t="inlineStr">
        <is>
          <t>R2</t>
        </is>
      </c>
      <c r="D97" s="5" t="inlineStr">
        <is>
          <t>Modulo 1</t>
        </is>
      </c>
      <c r="E97" s="6" t="inlineStr">
        <is>
          <t>IMA 3764 B2RF</t>
        </is>
      </c>
      <c r="F97" s="26" t="inlineStr"/>
      <c r="G97" s="15" t="n">
        <v>150</v>
      </c>
      <c r="H97" s="17" t="n">
        <v>0.513</v>
      </c>
      <c r="J97" s="7" t="n"/>
      <c r="K97" s="27">
        <f>IF(OR($B97="",J97=""),"",IFERROR(INDEX(LAMINA_HORA!$C$5:$V$114,MATCH($B97,LAMINA_HORA!$A$5:$A$114,0),MATCH(J97,LAMINA_HORA!$C$3:$V$3,0)),"?"))</f>
        <v/>
      </c>
      <c r="L97" s="27">
        <f>IF(OR($B97="",J97=""),"",IFERROR(INDEX(LAMINA_HORA!$W$5:$AP$114,MATCH($B97,LAMINA_HORA!$A$5:$A$114,0),MATCH(J97,LAMINA_HORA!$W$3:$AP$3,0)),"?"))</f>
        <v/>
      </c>
      <c r="M97" s="7" t="n"/>
      <c r="N97" s="27">
        <f>IF(OR($B97="",M97=""),"",IFERROR(INDEX(LAMINA_HORA!$C$5:$V$114,MATCH($B97,LAMINA_HORA!$A$5:$A$114,0),MATCH(M97,LAMINA_HORA!$C$3:$V$3,0)),"?"))</f>
        <v/>
      </c>
      <c r="O97" s="27">
        <f>IF(OR($B97="",M97=""),"",IFERROR(INDEX(LAMINA_HORA!$W$5:$AP$114,MATCH($B97,LAMINA_HORA!$A$5:$A$114,0),MATCH(M97,LAMINA_HORA!$W$3:$AP$3,0)),"?"))</f>
        <v/>
      </c>
      <c r="P97" s="7" t="n"/>
      <c r="Q97" s="27">
        <f>IF(OR($B97="",P97=""),"",IFERROR(INDEX(LAMINA_HORA!$C$5:$V$114,MATCH($B97,LAMINA_HORA!$A$5:$A$114,0),MATCH(P97,LAMINA_HORA!$C$3:$V$3,0)),"?"))</f>
        <v/>
      </c>
      <c r="R97" s="27">
        <f>IF(OR($B97="",P97=""),"",IFERROR(INDEX(LAMINA_HORA!$W$5:$AP$114,MATCH($B97,LAMINA_HORA!$A$5:$A$114,0),MATCH(P97,LAMINA_HORA!$W$3:$AP$3,0)),"?"))</f>
        <v/>
      </c>
      <c r="S97" s="7" t="n"/>
      <c r="T97" s="27">
        <f>IF(OR($B97="",S97=""),"",IFERROR(INDEX(LAMINA_HORA!$C$5:$V$114,MATCH($B97,LAMINA_HORA!$A$5:$A$114,0),MATCH(S97,LAMINA_HORA!$C$3:$V$3,0)),"?"))</f>
        <v/>
      </c>
      <c r="U97" s="27">
        <f>IF(OR($B97="",S97=""),"",IFERROR(INDEX(LAMINA_HORA!$W$5:$AP$114,MATCH($B97,LAMINA_HORA!$A$5:$A$114,0),MATCH(S97,LAMINA_HORA!$W$3:$AP$3,0)),"?"))</f>
        <v/>
      </c>
      <c r="V97" s="7" t="n"/>
      <c r="W97" s="27">
        <f>IF(OR($B97="",V97=""),"",IFERROR(INDEX(LAMINA_HORA!$C$5:$V$114,MATCH($B97,LAMINA_HORA!$A$5:$A$114,0),MATCH(V97,LAMINA_HORA!$C$3:$V$3,0)),"?"))</f>
        <v/>
      </c>
      <c r="X97" s="27">
        <f>IF(OR($B97="",V97=""),"",IFERROR(INDEX(LAMINA_HORA!$W$5:$AP$114,MATCH($B97,LAMINA_HORA!$A$5:$A$114,0),MATCH(V97,LAMINA_HORA!$W$3:$AP$3,0)),"?"))</f>
        <v/>
      </c>
      <c r="Y97" s="7" t="n"/>
      <c r="Z97" s="27">
        <f>IF(OR($B97="",Y97=""),"",IFERROR(INDEX(LAMINA_HORA!$C$5:$V$114,MATCH($B97,LAMINA_HORA!$A$5:$A$114,0),MATCH(Y97,LAMINA_HORA!$C$3:$V$3,0)),"?"))</f>
        <v/>
      </c>
      <c r="AA97" s="27">
        <f>IF(OR($B97="",Y97=""),"",IFERROR(INDEX(LAMINA_HORA!$W$5:$AP$114,MATCH($B97,LAMINA_HORA!$A$5:$A$114,0),MATCH(Y97,LAMINA_HORA!$W$3:$AP$3,0)),"?"))</f>
        <v/>
      </c>
      <c r="AB97" s="7" t="n"/>
      <c r="AC97" s="27">
        <f>IF(OR($B97="",AB97=""),"",IFERROR(INDEX(LAMINA_HORA!$C$5:$V$114,MATCH($B97,LAMINA_HORA!$A$5:$A$114,0),MATCH(AB97,LAMINA_HORA!$C$3:$V$3,0)),"?"))</f>
        <v/>
      </c>
      <c r="AD97" s="27">
        <f>IF(OR($B97="",AB97=""),"",IFERROR(INDEX(LAMINA_HORA!$W$5:$AP$114,MATCH($B97,LAMINA_HORA!$A$5:$A$114,0),MATCH(AB97,LAMINA_HORA!$W$3:$AP$3,0)),"?"))</f>
        <v/>
      </c>
      <c r="AE97" s="14">
        <f>SUM(K97,N97,Q97,T97,W97,Z97,AC97)</f>
        <v/>
      </c>
      <c r="AF97" s="16">
        <f>IF(OR($G97="",AE97=""),"",AE97*$G97*10)</f>
        <v/>
      </c>
      <c r="AG97" s="16">
        <f>IF(OR(AF97="",$H97=""),"",AF97*$H97)</f>
        <v/>
      </c>
      <c r="AH97" s="20" t="n"/>
    </row>
    <row r="98">
      <c r="A98" s="5" t="inlineStr">
        <is>
          <t>Pivô 23</t>
        </is>
      </c>
      <c r="B98" s="7" t="inlineStr">
        <is>
          <t>P23</t>
        </is>
      </c>
      <c r="C98" s="5" t="inlineStr">
        <is>
          <t>R6</t>
        </is>
      </c>
      <c r="D98" s="5" t="inlineStr">
        <is>
          <t>Modulo 1</t>
        </is>
      </c>
      <c r="E98" s="6" t="inlineStr">
        <is>
          <t>FM 974 GLT</t>
        </is>
      </c>
      <c r="F98" s="26" t="inlineStr"/>
      <c r="G98" s="15" t="n">
        <v>150</v>
      </c>
      <c r="H98" s="17" t="n">
        <v>0.552</v>
      </c>
      <c r="J98" s="7" t="n"/>
      <c r="K98" s="27">
        <f>IF(OR($B98="",J98=""),"",IFERROR(INDEX(LAMINA_HORA!$C$5:$V$114,MATCH($B98,LAMINA_HORA!$A$5:$A$114,0),MATCH(J98,LAMINA_HORA!$C$3:$V$3,0)),"?"))</f>
        <v/>
      </c>
      <c r="L98" s="27">
        <f>IF(OR($B98="",J98=""),"",IFERROR(INDEX(LAMINA_HORA!$W$5:$AP$114,MATCH($B98,LAMINA_HORA!$A$5:$A$114,0),MATCH(J98,LAMINA_HORA!$W$3:$AP$3,0)),"?"))</f>
        <v/>
      </c>
      <c r="M98" s="7" t="n"/>
      <c r="N98" s="27">
        <f>IF(OR($B98="",M98=""),"",IFERROR(INDEX(LAMINA_HORA!$C$5:$V$114,MATCH($B98,LAMINA_HORA!$A$5:$A$114,0),MATCH(M98,LAMINA_HORA!$C$3:$V$3,0)),"?"))</f>
        <v/>
      </c>
      <c r="O98" s="27">
        <f>IF(OR($B98="",M98=""),"",IFERROR(INDEX(LAMINA_HORA!$W$5:$AP$114,MATCH($B98,LAMINA_HORA!$A$5:$A$114,0),MATCH(M98,LAMINA_HORA!$W$3:$AP$3,0)),"?"))</f>
        <v/>
      </c>
      <c r="P98" s="7" t="n"/>
      <c r="Q98" s="27">
        <f>IF(OR($B98="",P98=""),"",IFERROR(INDEX(LAMINA_HORA!$C$5:$V$114,MATCH($B98,LAMINA_HORA!$A$5:$A$114,0),MATCH(P98,LAMINA_HORA!$C$3:$V$3,0)),"?"))</f>
        <v/>
      </c>
      <c r="R98" s="27">
        <f>IF(OR($B98="",P98=""),"",IFERROR(INDEX(LAMINA_HORA!$W$5:$AP$114,MATCH($B98,LAMINA_HORA!$A$5:$A$114,0),MATCH(P98,LAMINA_HORA!$W$3:$AP$3,0)),"?"))</f>
        <v/>
      </c>
      <c r="S98" s="7" t="n"/>
      <c r="T98" s="27">
        <f>IF(OR($B98="",S98=""),"",IFERROR(INDEX(LAMINA_HORA!$C$5:$V$114,MATCH($B98,LAMINA_HORA!$A$5:$A$114,0),MATCH(S98,LAMINA_HORA!$C$3:$V$3,0)),"?"))</f>
        <v/>
      </c>
      <c r="U98" s="27">
        <f>IF(OR($B98="",S98=""),"",IFERROR(INDEX(LAMINA_HORA!$W$5:$AP$114,MATCH($B98,LAMINA_HORA!$A$5:$A$114,0),MATCH(S98,LAMINA_HORA!$W$3:$AP$3,0)),"?"))</f>
        <v/>
      </c>
      <c r="V98" s="7" t="n"/>
      <c r="W98" s="27">
        <f>IF(OR($B98="",V98=""),"",IFERROR(INDEX(LAMINA_HORA!$C$5:$V$114,MATCH($B98,LAMINA_HORA!$A$5:$A$114,0),MATCH(V98,LAMINA_HORA!$C$3:$V$3,0)),"?"))</f>
        <v/>
      </c>
      <c r="X98" s="27">
        <f>IF(OR($B98="",V98=""),"",IFERROR(INDEX(LAMINA_HORA!$W$5:$AP$114,MATCH($B98,LAMINA_HORA!$A$5:$A$114,0),MATCH(V98,LAMINA_HORA!$W$3:$AP$3,0)),"?"))</f>
        <v/>
      </c>
      <c r="Y98" s="7" t="n"/>
      <c r="Z98" s="27">
        <f>IF(OR($B98="",Y98=""),"",IFERROR(INDEX(LAMINA_HORA!$C$5:$V$114,MATCH($B98,LAMINA_HORA!$A$5:$A$114,0),MATCH(Y98,LAMINA_HORA!$C$3:$V$3,0)),"?"))</f>
        <v/>
      </c>
      <c r="AA98" s="27">
        <f>IF(OR($B98="",Y98=""),"",IFERROR(INDEX(LAMINA_HORA!$W$5:$AP$114,MATCH($B98,LAMINA_HORA!$A$5:$A$114,0),MATCH(Y98,LAMINA_HORA!$W$3:$AP$3,0)),"?"))</f>
        <v/>
      </c>
      <c r="AB98" s="7" t="n"/>
      <c r="AC98" s="27">
        <f>IF(OR($B98="",AB98=""),"",IFERROR(INDEX(LAMINA_HORA!$C$5:$V$114,MATCH($B98,LAMINA_HORA!$A$5:$A$114,0),MATCH(AB98,LAMINA_HORA!$C$3:$V$3,0)),"?"))</f>
        <v/>
      </c>
      <c r="AD98" s="27">
        <f>IF(OR($B98="",AB98=""),"",IFERROR(INDEX(LAMINA_HORA!$W$5:$AP$114,MATCH($B98,LAMINA_HORA!$A$5:$A$114,0),MATCH(AB98,LAMINA_HORA!$W$3:$AP$3,0)),"?"))</f>
        <v/>
      </c>
      <c r="AE98" s="14">
        <f>SUM(K98,N98,Q98,T98,W98,Z98,AC98)</f>
        <v/>
      </c>
      <c r="AF98" s="16">
        <f>IF(OR($G98="",AE98=""),"",AE98*$G98*10)</f>
        <v/>
      </c>
      <c r="AG98" s="16">
        <f>IF(OR(AF98="",$H98=""),"",AF98*$H98)</f>
        <v/>
      </c>
      <c r="AH98" s="20" t="n"/>
    </row>
    <row r="99">
      <c r="A99" s="5" t="inlineStr">
        <is>
          <t>Pivô 39</t>
        </is>
      </c>
      <c r="B99" s="7" t="inlineStr">
        <is>
          <t>P39</t>
        </is>
      </c>
      <c r="C99" s="5" t="inlineStr">
        <is>
          <t>R10</t>
        </is>
      </c>
      <c r="D99" s="5" t="inlineStr">
        <is>
          <t>Modulo 2</t>
        </is>
      </c>
      <c r="E99" s="6" t="inlineStr">
        <is>
          <t>FM 979 STP/IMA 303 B3XF/DP 2335 B3XF/IMA 712 B3XF/GA 912 B3XF/IMA 497 B3XF</t>
        </is>
      </c>
      <c r="F99" s="26" t="inlineStr"/>
      <c r="G99" s="15" t="n">
        <v>100</v>
      </c>
      <c r="H99" s="17" t="n">
        <v>0.461</v>
      </c>
      <c r="J99" s="7" t="n"/>
      <c r="K99" s="27">
        <f>IF(OR($B99="",J99=""),"",IFERROR(INDEX(LAMINA_HORA!$C$5:$V$114,MATCH($B99,LAMINA_HORA!$A$5:$A$114,0),MATCH(J99,LAMINA_HORA!$C$3:$V$3,0)),"?"))</f>
        <v/>
      </c>
      <c r="L99" s="27">
        <f>IF(OR($B99="",J99=""),"",IFERROR(INDEX(LAMINA_HORA!$W$5:$AP$114,MATCH($B99,LAMINA_HORA!$A$5:$A$114,0),MATCH(J99,LAMINA_HORA!$W$3:$AP$3,0)),"?"))</f>
        <v/>
      </c>
      <c r="M99" s="7" t="n"/>
      <c r="N99" s="27">
        <f>IF(OR($B99="",M99=""),"",IFERROR(INDEX(LAMINA_HORA!$C$5:$V$114,MATCH($B99,LAMINA_HORA!$A$5:$A$114,0),MATCH(M99,LAMINA_HORA!$C$3:$V$3,0)),"?"))</f>
        <v/>
      </c>
      <c r="O99" s="27">
        <f>IF(OR($B99="",M99=""),"",IFERROR(INDEX(LAMINA_HORA!$W$5:$AP$114,MATCH($B99,LAMINA_HORA!$A$5:$A$114,0),MATCH(M99,LAMINA_HORA!$W$3:$AP$3,0)),"?"))</f>
        <v/>
      </c>
      <c r="P99" s="7" t="n"/>
      <c r="Q99" s="27">
        <f>IF(OR($B99="",P99=""),"",IFERROR(INDEX(LAMINA_HORA!$C$5:$V$114,MATCH($B99,LAMINA_HORA!$A$5:$A$114,0),MATCH(P99,LAMINA_HORA!$C$3:$V$3,0)),"?"))</f>
        <v/>
      </c>
      <c r="R99" s="27">
        <f>IF(OR($B99="",P99=""),"",IFERROR(INDEX(LAMINA_HORA!$W$5:$AP$114,MATCH($B99,LAMINA_HORA!$A$5:$A$114,0),MATCH(P99,LAMINA_HORA!$W$3:$AP$3,0)),"?"))</f>
        <v/>
      </c>
      <c r="S99" s="7" t="n"/>
      <c r="T99" s="27">
        <f>IF(OR($B99="",S99=""),"",IFERROR(INDEX(LAMINA_HORA!$C$5:$V$114,MATCH($B99,LAMINA_HORA!$A$5:$A$114,0),MATCH(S99,LAMINA_HORA!$C$3:$V$3,0)),"?"))</f>
        <v/>
      </c>
      <c r="U99" s="27">
        <f>IF(OR($B99="",S99=""),"",IFERROR(INDEX(LAMINA_HORA!$W$5:$AP$114,MATCH($B99,LAMINA_HORA!$A$5:$A$114,0),MATCH(S99,LAMINA_HORA!$W$3:$AP$3,0)),"?"))</f>
        <v/>
      </c>
      <c r="V99" s="7" t="n"/>
      <c r="W99" s="27">
        <f>IF(OR($B99="",V99=""),"",IFERROR(INDEX(LAMINA_HORA!$C$5:$V$114,MATCH($B99,LAMINA_HORA!$A$5:$A$114,0),MATCH(V99,LAMINA_HORA!$C$3:$V$3,0)),"?"))</f>
        <v/>
      </c>
      <c r="X99" s="27">
        <f>IF(OR($B99="",V99=""),"",IFERROR(INDEX(LAMINA_HORA!$W$5:$AP$114,MATCH($B99,LAMINA_HORA!$A$5:$A$114,0),MATCH(V99,LAMINA_HORA!$W$3:$AP$3,0)),"?"))</f>
        <v/>
      </c>
      <c r="Y99" s="7" t="n"/>
      <c r="Z99" s="27">
        <f>IF(OR($B99="",Y99=""),"",IFERROR(INDEX(LAMINA_HORA!$C$5:$V$114,MATCH($B99,LAMINA_HORA!$A$5:$A$114,0),MATCH(Y99,LAMINA_HORA!$C$3:$V$3,0)),"?"))</f>
        <v/>
      </c>
      <c r="AA99" s="27">
        <f>IF(OR($B99="",Y99=""),"",IFERROR(INDEX(LAMINA_HORA!$W$5:$AP$114,MATCH($B99,LAMINA_HORA!$A$5:$A$114,0),MATCH(Y99,LAMINA_HORA!$W$3:$AP$3,0)),"?"))</f>
        <v/>
      </c>
      <c r="AB99" s="7" t="n"/>
      <c r="AC99" s="27">
        <f>IF(OR($B99="",AB99=""),"",IFERROR(INDEX(LAMINA_HORA!$C$5:$V$114,MATCH($B99,LAMINA_HORA!$A$5:$A$114,0),MATCH(AB99,LAMINA_HORA!$C$3:$V$3,0)),"?"))</f>
        <v/>
      </c>
      <c r="AD99" s="27">
        <f>IF(OR($B99="",AB99=""),"",IFERROR(INDEX(LAMINA_HORA!$W$5:$AP$114,MATCH($B99,LAMINA_HORA!$A$5:$A$114,0),MATCH(AB99,LAMINA_HORA!$W$3:$AP$3,0)),"?"))</f>
        <v/>
      </c>
      <c r="AE99" s="14">
        <f>SUM(K99,N99,Q99,T99,W99,Z99,AC99)</f>
        <v/>
      </c>
      <c r="AF99" s="16">
        <f>IF(OR($G99="",AE99=""),"",AE99*$G99*10)</f>
        <v/>
      </c>
      <c r="AG99" s="16">
        <f>IF(OR(AF99="",$H99=""),"",AF99*$H99)</f>
        <v/>
      </c>
      <c r="AH99" s="20" t="n"/>
    </row>
    <row r="100">
      <c r="A100" s="5" t="inlineStr">
        <is>
          <t>Pivô 62</t>
        </is>
      </c>
      <c r="B100" s="7" t="inlineStr">
        <is>
          <t>P62</t>
        </is>
      </c>
      <c r="C100" s="5" t="inlineStr">
        <is>
          <t>R16</t>
        </is>
      </c>
      <c r="D100" s="5" t="inlineStr">
        <is>
          <t>Modulo 3</t>
        </is>
      </c>
      <c r="E100" s="6" t="inlineStr">
        <is>
          <t>FM 911 GLTP</t>
        </is>
      </c>
      <c r="F100" s="26" t="inlineStr"/>
      <c r="G100" s="15" t="n">
        <v>140</v>
      </c>
      <c r="H100" s="17" t="n">
        <v>0.827</v>
      </c>
      <c r="J100" s="7" t="n"/>
      <c r="K100" s="27">
        <f>IF(OR($B100="",J100=""),"",IFERROR(INDEX(LAMINA_HORA!$C$5:$V$114,MATCH($B100,LAMINA_HORA!$A$5:$A$114,0),MATCH(J100,LAMINA_HORA!$C$3:$V$3,0)),"?"))</f>
        <v/>
      </c>
      <c r="L100" s="27">
        <f>IF(OR($B100="",J100=""),"",IFERROR(INDEX(LAMINA_HORA!$W$5:$AP$114,MATCH($B100,LAMINA_HORA!$A$5:$A$114,0),MATCH(J100,LAMINA_HORA!$W$3:$AP$3,0)),"?"))</f>
        <v/>
      </c>
      <c r="M100" s="7" t="n"/>
      <c r="N100" s="27">
        <f>IF(OR($B100="",M100=""),"",IFERROR(INDEX(LAMINA_HORA!$C$5:$V$114,MATCH($B100,LAMINA_HORA!$A$5:$A$114,0),MATCH(M100,LAMINA_HORA!$C$3:$V$3,0)),"?"))</f>
        <v/>
      </c>
      <c r="O100" s="27">
        <f>IF(OR($B100="",M100=""),"",IFERROR(INDEX(LAMINA_HORA!$W$5:$AP$114,MATCH($B100,LAMINA_HORA!$A$5:$A$114,0),MATCH(M100,LAMINA_HORA!$W$3:$AP$3,0)),"?"))</f>
        <v/>
      </c>
      <c r="P100" s="7" t="n"/>
      <c r="Q100" s="27">
        <f>IF(OR($B100="",P100=""),"",IFERROR(INDEX(LAMINA_HORA!$C$5:$V$114,MATCH($B100,LAMINA_HORA!$A$5:$A$114,0),MATCH(P100,LAMINA_HORA!$C$3:$V$3,0)),"?"))</f>
        <v/>
      </c>
      <c r="R100" s="27">
        <f>IF(OR($B100="",P100=""),"",IFERROR(INDEX(LAMINA_HORA!$W$5:$AP$114,MATCH($B100,LAMINA_HORA!$A$5:$A$114,0),MATCH(P100,LAMINA_HORA!$W$3:$AP$3,0)),"?"))</f>
        <v/>
      </c>
      <c r="S100" s="7" t="n"/>
      <c r="T100" s="27">
        <f>IF(OR($B100="",S100=""),"",IFERROR(INDEX(LAMINA_HORA!$C$5:$V$114,MATCH($B100,LAMINA_HORA!$A$5:$A$114,0),MATCH(S100,LAMINA_HORA!$C$3:$V$3,0)),"?"))</f>
        <v/>
      </c>
      <c r="U100" s="27">
        <f>IF(OR($B100="",S100=""),"",IFERROR(INDEX(LAMINA_HORA!$W$5:$AP$114,MATCH($B100,LAMINA_HORA!$A$5:$A$114,0),MATCH(S100,LAMINA_HORA!$W$3:$AP$3,0)),"?"))</f>
        <v/>
      </c>
      <c r="V100" s="7" t="n"/>
      <c r="W100" s="27">
        <f>IF(OR($B100="",V100=""),"",IFERROR(INDEX(LAMINA_HORA!$C$5:$V$114,MATCH($B100,LAMINA_HORA!$A$5:$A$114,0),MATCH(V100,LAMINA_HORA!$C$3:$V$3,0)),"?"))</f>
        <v/>
      </c>
      <c r="X100" s="27">
        <f>IF(OR($B100="",V100=""),"",IFERROR(INDEX(LAMINA_HORA!$W$5:$AP$114,MATCH($B100,LAMINA_HORA!$A$5:$A$114,0),MATCH(V100,LAMINA_HORA!$W$3:$AP$3,0)),"?"))</f>
        <v/>
      </c>
      <c r="Y100" s="7" t="n"/>
      <c r="Z100" s="27">
        <f>IF(OR($B100="",Y100=""),"",IFERROR(INDEX(LAMINA_HORA!$C$5:$V$114,MATCH($B100,LAMINA_HORA!$A$5:$A$114,0),MATCH(Y100,LAMINA_HORA!$C$3:$V$3,0)),"?"))</f>
        <v/>
      </c>
      <c r="AA100" s="27">
        <f>IF(OR($B100="",Y100=""),"",IFERROR(INDEX(LAMINA_HORA!$W$5:$AP$114,MATCH($B100,LAMINA_HORA!$A$5:$A$114,0),MATCH(Y100,LAMINA_HORA!$W$3:$AP$3,0)),"?"))</f>
        <v/>
      </c>
      <c r="AB100" s="7" t="n"/>
      <c r="AC100" s="27">
        <f>IF(OR($B100="",AB100=""),"",IFERROR(INDEX(LAMINA_HORA!$C$5:$V$114,MATCH($B100,LAMINA_HORA!$A$5:$A$114,0),MATCH(AB100,LAMINA_HORA!$C$3:$V$3,0)),"?"))</f>
        <v/>
      </c>
      <c r="AD100" s="27">
        <f>IF(OR($B100="",AB100=""),"",IFERROR(INDEX(LAMINA_HORA!$W$5:$AP$114,MATCH($B100,LAMINA_HORA!$A$5:$A$114,0),MATCH(AB100,LAMINA_HORA!$W$3:$AP$3,0)),"?"))</f>
        <v/>
      </c>
      <c r="AE100" s="14">
        <f>SUM(K100,N100,Q100,T100,W100,Z100,AC100)</f>
        <v/>
      </c>
      <c r="AF100" s="16">
        <f>IF(OR($G100="",AE100=""),"",AE100*$G100*10)</f>
        <v/>
      </c>
      <c r="AG100" s="16">
        <f>IF(OR(AF100="",$H100=""),"",AF100*$H100)</f>
        <v/>
      </c>
      <c r="AH100" s="20" t="n"/>
    </row>
    <row r="101">
      <c r="A101" s="5" t="inlineStr">
        <is>
          <t>Pivô 69</t>
        </is>
      </c>
      <c r="B101" s="7" t="inlineStr">
        <is>
          <t>P69</t>
        </is>
      </c>
      <c r="C101" s="5" t="inlineStr">
        <is>
          <t>R17</t>
        </is>
      </c>
      <c r="D101" s="5" t="inlineStr">
        <is>
          <t>Modulo 3</t>
        </is>
      </c>
      <c r="E101" s="6" t="inlineStr">
        <is>
          <t>IMA 3764 B2RF</t>
        </is>
      </c>
      <c r="F101" s="26" t="inlineStr"/>
      <c r="G101" s="15" t="n">
        <v>80</v>
      </c>
      <c r="H101" s="17" t="n">
        <v>0.974</v>
      </c>
      <c r="J101" s="7" t="n"/>
      <c r="K101" s="27">
        <f>IF(OR($B101="",J101=""),"",IFERROR(INDEX(LAMINA_HORA!$C$5:$V$114,MATCH($B101,LAMINA_HORA!$A$5:$A$114,0),MATCH(J101,LAMINA_HORA!$C$3:$V$3,0)),"?"))</f>
        <v/>
      </c>
      <c r="L101" s="27">
        <f>IF(OR($B101="",J101=""),"",IFERROR(INDEX(LAMINA_HORA!$W$5:$AP$114,MATCH($B101,LAMINA_HORA!$A$5:$A$114,0),MATCH(J101,LAMINA_HORA!$W$3:$AP$3,0)),"?"))</f>
        <v/>
      </c>
      <c r="M101" s="7" t="n"/>
      <c r="N101" s="27">
        <f>IF(OR($B101="",M101=""),"",IFERROR(INDEX(LAMINA_HORA!$C$5:$V$114,MATCH($B101,LAMINA_HORA!$A$5:$A$114,0),MATCH(M101,LAMINA_HORA!$C$3:$V$3,0)),"?"))</f>
        <v/>
      </c>
      <c r="O101" s="27">
        <f>IF(OR($B101="",M101=""),"",IFERROR(INDEX(LAMINA_HORA!$W$5:$AP$114,MATCH($B101,LAMINA_HORA!$A$5:$A$114,0),MATCH(M101,LAMINA_HORA!$W$3:$AP$3,0)),"?"))</f>
        <v/>
      </c>
      <c r="P101" s="7" t="n"/>
      <c r="Q101" s="27">
        <f>IF(OR($B101="",P101=""),"",IFERROR(INDEX(LAMINA_HORA!$C$5:$V$114,MATCH($B101,LAMINA_HORA!$A$5:$A$114,0),MATCH(P101,LAMINA_HORA!$C$3:$V$3,0)),"?"))</f>
        <v/>
      </c>
      <c r="R101" s="27">
        <f>IF(OR($B101="",P101=""),"",IFERROR(INDEX(LAMINA_HORA!$W$5:$AP$114,MATCH($B101,LAMINA_HORA!$A$5:$A$114,0),MATCH(P101,LAMINA_HORA!$W$3:$AP$3,0)),"?"))</f>
        <v/>
      </c>
      <c r="S101" s="7" t="n"/>
      <c r="T101" s="27">
        <f>IF(OR($B101="",S101=""),"",IFERROR(INDEX(LAMINA_HORA!$C$5:$V$114,MATCH($B101,LAMINA_HORA!$A$5:$A$114,0),MATCH(S101,LAMINA_HORA!$C$3:$V$3,0)),"?"))</f>
        <v/>
      </c>
      <c r="U101" s="27">
        <f>IF(OR($B101="",S101=""),"",IFERROR(INDEX(LAMINA_HORA!$W$5:$AP$114,MATCH($B101,LAMINA_HORA!$A$5:$A$114,0),MATCH(S101,LAMINA_HORA!$W$3:$AP$3,0)),"?"))</f>
        <v/>
      </c>
      <c r="V101" s="7" t="n"/>
      <c r="W101" s="27">
        <f>IF(OR($B101="",V101=""),"",IFERROR(INDEX(LAMINA_HORA!$C$5:$V$114,MATCH($B101,LAMINA_HORA!$A$5:$A$114,0),MATCH(V101,LAMINA_HORA!$C$3:$V$3,0)),"?"))</f>
        <v/>
      </c>
      <c r="X101" s="27">
        <f>IF(OR($B101="",V101=""),"",IFERROR(INDEX(LAMINA_HORA!$W$5:$AP$114,MATCH($B101,LAMINA_HORA!$A$5:$A$114,0),MATCH(V101,LAMINA_HORA!$W$3:$AP$3,0)),"?"))</f>
        <v/>
      </c>
      <c r="Y101" s="7" t="n"/>
      <c r="Z101" s="27">
        <f>IF(OR($B101="",Y101=""),"",IFERROR(INDEX(LAMINA_HORA!$C$5:$V$114,MATCH($B101,LAMINA_HORA!$A$5:$A$114,0),MATCH(Y101,LAMINA_HORA!$C$3:$V$3,0)),"?"))</f>
        <v/>
      </c>
      <c r="AA101" s="27">
        <f>IF(OR($B101="",Y101=""),"",IFERROR(INDEX(LAMINA_HORA!$W$5:$AP$114,MATCH($B101,LAMINA_HORA!$A$5:$A$114,0),MATCH(Y101,LAMINA_HORA!$W$3:$AP$3,0)),"?"))</f>
        <v/>
      </c>
      <c r="AB101" s="7" t="n"/>
      <c r="AC101" s="27">
        <f>IF(OR($B101="",AB101=""),"",IFERROR(INDEX(LAMINA_HORA!$C$5:$V$114,MATCH($B101,LAMINA_HORA!$A$5:$A$114,0),MATCH(AB101,LAMINA_HORA!$C$3:$V$3,0)),"?"))</f>
        <v/>
      </c>
      <c r="AD101" s="27">
        <f>IF(OR($B101="",AB101=""),"",IFERROR(INDEX(LAMINA_HORA!$W$5:$AP$114,MATCH($B101,LAMINA_HORA!$A$5:$A$114,0),MATCH(AB101,LAMINA_HORA!$W$3:$AP$3,0)),"?"))</f>
        <v/>
      </c>
      <c r="AE101" s="14">
        <f>SUM(K101,N101,Q101,T101,W101,Z101,AC101)</f>
        <v/>
      </c>
      <c r="AF101" s="16">
        <f>IF(OR($G101="",AE101=""),"",AE101*$G101*10)</f>
        <v/>
      </c>
      <c r="AG101" s="16">
        <f>IF(OR(AF101="",$H101=""),"",AF101*$H101)</f>
        <v/>
      </c>
      <c r="AH101" s="20" t="n"/>
    </row>
    <row r="102">
      <c r="A102" s="5" t="inlineStr">
        <is>
          <t>Pivô 70</t>
        </is>
      </c>
      <c r="B102" s="7" t="inlineStr">
        <is>
          <t>P70</t>
        </is>
      </c>
      <c r="C102" s="5" t="inlineStr">
        <is>
          <t>R17</t>
        </is>
      </c>
      <c r="D102" s="5" t="inlineStr">
        <is>
          <t>Modulo 3</t>
        </is>
      </c>
      <c r="E102" s="6" t="inlineStr">
        <is>
          <t>IMA 3764 B2RF</t>
        </is>
      </c>
      <c r="F102" s="26" t="inlineStr"/>
      <c r="G102" s="15" t="n">
        <v>150</v>
      </c>
      <c r="H102" s="17" t="n">
        <v>0.8149999999999999</v>
      </c>
      <c r="J102" s="7" t="n"/>
      <c r="K102" s="27">
        <f>IF(OR($B102="",J102=""),"",IFERROR(INDEX(LAMINA_HORA!$C$5:$V$114,MATCH($B102,LAMINA_HORA!$A$5:$A$114,0),MATCH(J102,LAMINA_HORA!$C$3:$V$3,0)),"?"))</f>
        <v/>
      </c>
      <c r="L102" s="27">
        <f>IF(OR($B102="",J102=""),"",IFERROR(INDEX(LAMINA_HORA!$W$5:$AP$114,MATCH($B102,LAMINA_HORA!$A$5:$A$114,0),MATCH(J102,LAMINA_HORA!$W$3:$AP$3,0)),"?"))</f>
        <v/>
      </c>
      <c r="M102" s="7" t="n"/>
      <c r="N102" s="27">
        <f>IF(OR($B102="",M102=""),"",IFERROR(INDEX(LAMINA_HORA!$C$5:$V$114,MATCH($B102,LAMINA_HORA!$A$5:$A$114,0),MATCH(M102,LAMINA_HORA!$C$3:$V$3,0)),"?"))</f>
        <v/>
      </c>
      <c r="O102" s="27">
        <f>IF(OR($B102="",M102=""),"",IFERROR(INDEX(LAMINA_HORA!$W$5:$AP$114,MATCH($B102,LAMINA_HORA!$A$5:$A$114,0),MATCH(M102,LAMINA_HORA!$W$3:$AP$3,0)),"?"))</f>
        <v/>
      </c>
      <c r="P102" s="7" t="n"/>
      <c r="Q102" s="27">
        <f>IF(OR($B102="",P102=""),"",IFERROR(INDEX(LAMINA_HORA!$C$5:$V$114,MATCH($B102,LAMINA_HORA!$A$5:$A$114,0),MATCH(P102,LAMINA_HORA!$C$3:$V$3,0)),"?"))</f>
        <v/>
      </c>
      <c r="R102" s="27">
        <f>IF(OR($B102="",P102=""),"",IFERROR(INDEX(LAMINA_HORA!$W$5:$AP$114,MATCH($B102,LAMINA_HORA!$A$5:$A$114,0),MATCH(P102,LAMINA_HORA!$W$3:$AP$3,0)),"?"))</f>
        <v/>
      </c>
      <c r="S102" s="7" t="n"/>
      <c r="T102" s="27">
        <f>IF(OR($B102="",S102=""),"",IFERROR(INDEX(LAMINA_HORA!$C$5:$V$114,MATCH($B102,LAMINA_HORA!$A$5:$A$114,0),MATCH(S102,LAMINA_HORA!$C$3:$V$3,0)),"?"))</f>
        <v/>
      </c>
      <c r="U102" s="27">
        <f>IF(OR($B102="",S102=""),"",IFERROR(INDEX(LAMINA_HORA!$W$5:$AP$114,MATCH($B102,LAMINA_HORA!$A$5:$A$114,0),MATCH(S102,LAMINA_HORA!$W$3:$AP$3,0)),"?"))</f>
        <v/>
      </c>
      <c r="V102" s="7" t="n"/>
      <c r="W102" s="27">
        <f>IF(OR($B102="",V102=""),"",IFERROR(INDEX(LAMINA_HORA!$C$5:$V$114,MATCH($B102,LAMINA_HORA!$A$5:$A$114,0),MATCH(V102,LAMINA_HORA!$C$3:$V$3,0)),"?"))</f>
        <v/>
      </c>
      <c r="X102" s="27">
        <f>IF(OR($B102="",V102=""),"",IFERROR(INDEX(LAMINA_HORA!$W$5:$AP$114,MATCH($B102,LAMINA_HORA!$A$5:$A$114,0),MATCH(V102,LAMINA_HORA!$W$3:$AP$3,0)),"?"))</f>
        <v/>
      </c>
      <c r="Y102" s="7" t="n"/>
      <c r="Z102" s="27">
        <f>IF(OR($B102="",Y102=""),"",IFERROR(INDEX(LAMINA_HORA!$C$5:$V$114,MATCH($B102,LAMINA_HORA!$A$5:$A$114,0),MATCH(Y102,LAMINA_HORA!$C$3:$V$3,0)),"?"))</f>
        <v/>
      </c>
      <c r="AA102" s="27">
        <f>IF(OR($B102="",Y102=""),"",IFERROR(INDEX(LAMINA_HORA!$W$5:$AP$114,MATCH($B102,LAMINA_HORA!$A$5:$A$114,0),MATCH(Y102,LAMINA_HORA!$W$3:$AP$3,0)),"?"))</f>
        <v/>
      </c>
      <c r="AB102" s="7" t="n"/>
      <c r="AC102" s="27">
        <f>IF(OR($B102="",AB102=""),"",IFERROR(INDEX(LAMINA_HORA!$C$5:$V$114,MATCH($B102,LAMINA_HORA!$A$5:$A$114,0),MATCH(AB102,LAMINA_HORA!$C$3:$V$3,0)),"?"))</f>
        <v/>
      </c>
      <c r="AD102" s="27">
        <f>IF(OR($B102="",AB102=""),"",IFERROR(INDEX(LAMINA_HORA!$W$5:$AP$114,MATCH($B102,LAMINA_HORA!$A$5:$A$114,0),MATCH(AB102,LAMINA_HORA!$W$3:$AP$3,0)),"?"))</f>
        <v/>
      </c>
      <c r="AE102" s="14">
        <f>SUM(K102,N102,Q102,T102,W102,Z102,AC102)</f>
        <v/>
      </c>
      <c r="AF102" s="16">
        <f>IF(OR($G102="",AE102=""),"",AE102*$G102*10)</f>
        <v/>
      </c>
      <c r="AG102" s="16">
        <f>IF(OR(AF102="",$H102=""),"",AF102*$H102)</f>
        <v/>
      </c>
      <c r="AH102" s="20" t="n"/>
    </row>
    <row r="103">
      <c r="A103" s="5" t="inlineStr">
        <is>
          <t>Pivô 74</t>
        </is>
      </c>
      <c r="B103" s="7" t="inlineStr">
        <is>
          <t>P74</t>
        </is>
      </c>
      <c r="C103" s="5" t="inlineStr">
        <is>
          <t>R12</t>
        </is>
      </c>
      <c r="D103" s="5" t="inlineStr">
        <is>
          <t>Modulo 2</t>
        </is>
      </c>
      <c r="E103" s="6" t="inlineStr">
        <is>
          <t>IMA 5901 B2RF</t>
        </is>
      </c>
      <c r="F103" s="26" t="inlineStr"/>
      <c r="G103" s="15" t="n">
        <v>160</v>
      </c>
      <c r="H103" s="17" t="n">
        <v>0.522</v>
      </c>
      <c r="J103" s="7" t="n"/>
      <c r="K103" s="27">
        <f>IF(OR($B103="",J103=""),"",IFERROR(INDEX(LAMINA_HORA!$C$5:$V$114,MATCH($B103,LAMINA_HORA!$A$5:$A$114,0),MATCH(J103,LAMINA_HORA!$C$3:$V$3,0)),"?"))</f>
        <v/>
      </c>
      <c r="L103" s="27">
        <f>IF(OR($B103="",J103=""),"",IFERROR(INDEX(LAMINA_HORA!$W$5:$AP$114,MATCH($B103,LAMINA_HORA!$A$5:$A$114,0),MATCH(J103,LAMINA_HORA!$W$3:$AP$3,0)),"?"))</f>
        <v/>
      </c>
      <c r="M103" s="7" t="n"/>
      <c r="N103" s="27">
        <f>IF(OR($B103="",M103=""),"",IFERROR(INDEX(LAMINA_HORA!$C$5:$V$114,MATCH($B103,LAMINA_HORA!$A$5:$A$114,0),MATCH(M103,LAMINA_HORA!$C$3:$V$3,0)),"?"))</f>
        <v/>
      </c>
      <c r="O103" s="27">
        <f>IF(OR($B103="",M103=""),"",IFERROR(INDEX(LAMINA_HORA!$W$5:$AP$114,MATCH($B103,LAMINA_HORA!$A$5:$A$114,0),MATCH(M103,LAMINA_HORA!$W$3:$AP$3,0)),"?"))</f>
        <v/>
      </c>
      <c r="P103" s="7" t="n"/>
      <c r="Q103" s="27">
        <f>IF(OR($B103="",P103=""),"",IFERROR(INDEX(LAMINA_HORA!$C$5:$V$114,MATCH($B103,LAMINA_HORA!$A$5:$A$114,0),MATCH(P103,LAMINA_HORA!$C$3:$V$3,0)),"?"))</f>
        <v/>
      </c>
      <c r="R103" s="27">
        <f>IF(OR($B103="",P103=""),"",IFERROR(INDEX(LAMINA_HORA!$W$5:$AP$114,MATCH($B103,LAMINA_HORA!$A$5:$A$114,0),MATCH(P103,LAMINA_HORA!$W$3:$AP$3,0)),"?"))</f>
        <v/>
      </c>
      <c r="S103" s="7" t="n"/>
      <c r="T103" s="27">
        <f>IF(OR($B103="",S103=""),"",IFERROR(INDEX(LAMINA_HORA!$C$5:$V$114,MATCH($B103,LAMINA_HORA!$A$5:$A$114,0),MATCH(S103,LAMINA_HORA!$C$3:$V$3,0)),"?"))</f>
        <v/>
      </c>
      <c r="U103" s="27">
        <f>IF(OR($B103="",S103=""),"",IFERROR(INDEX(LAMINA_HORA!$W$5:$AP$114,MATCH($B103,LAMINA_HORA!$A$5:$A$114,0),MATCH(S103,LAMINA_HORA!$W$3:$AP$3,0)),"?"))</f>
        <v/>
      </c>
      <c r="V103" s="7" t="n"/>
      <c r="W103" s="27">
        <f>IF(OR($B103="",V103=""),"",IFERROR(INDEX(LAMINA_HORA!$C$5:$V$114,MATCH($B103,LAMINA_HORA!$A$5:$A$114,0),MATCH(V103,LAMINA_HORA!$C$3:$V$3,0)),"?"))</f>
        <v/>
      </c>
      <c r="X103" s="27">
        <f>IF(OR($B103="",V103=""),"",IFERROR(INDEX(LAMINA_HORA!$W$5:$AP$114,MATCH($B103,LAMINA_HORA!$A$5:$A$114,0),MATCH(V103,LAMINA_HORA!$W$3:$AP$3,0)),"?"))</f>
        <v/>
      </c>
      <c r="Y103" s="7" t="n"/>
      <c r="Z103" s="27">
        <f>IF(OR($B103="",Y103=""),"",IFERROR(INDEX(LAMINA_HORA!$C$5:$V$114,MATCH($B103,LAMINA_HORA!$A$5:$A$114,0),MATCH(Y103,LAMINA_HORA!$C$3:$V$3,0)),"?"))</f>
        <v/>
      </c>
      <c r="AA103" s="27">
        <f>IF(OR($B103="",Y103=""),"",IFERROR(INDEX(LAMINA_HORA!$W$5:$AP$114,MATCH($B103,LAMINA_HORA!$A$5:$A$114,0),MATCH(Y103,LAMINA_HORA!$W$3:$AP$3,0)),"?"))</f>
        <v/>
      </c>
      <c r="AB103" s="7" t="n"/>
      <c r="AC103" s="27">
        <f>IF(OR($B103="",AB103=""),"",IFERROR(INDEX(LAMINA_HORA!$C$5:$V$114,MATCH($B103,LAMINA_HORA!$A$5:$A$114,0),MATCH(AB103,LAMINA_HORA!$C$3:$V$3,0)),"?"))</f>
        <v/>
      </c>
      <c r="AD103" s="27">
        <f>IF(OR($B103="",AB103=""),"",IFERROR(INDEX(LAMINA_HORA!$W$5:$AP$114,MATCH($B103,LAMINA_HORA!$A$5:$A$114,0),MATCH(AB103,LAMINA_HORA!$W$3:$AP$3,0)),"?"))</f>
        <v/>
      </c>
      <c r="AE103" s="14">
        <f>SUM(K103,N103,Q103,T103,W103,Z103,AC103)</f>
        <v/>
      </c>
      <c r="AF103" s="16">
        <f>IF(OR($G103="",AE103=""),"",AE103*$G103*10)</f>
        <v/>
      </c>
      <c r="AG103" s="16">
        <f>IF(OR(AF103="",$H103=""),"",AF103*$H103)</f>
        <v/>
      </c>
      <c r="AH103" s="20" t="n"/>
    </row>
    <row r="104">
      <c r="A104" s="5" t="inlineStr">
        <is>
          <t>Pivô 101</t>
        </is>
      </c>
      <c r="B104" s="7" t="inlineStr">
        <is>
          <t>P101</t>
        </is>
      </c>
      <c r="C104" s="5" t="inlineStr">
        <is>
          <t>RM4</t>
        </is>
      </c>
      <c r="D104" s="5" t="inlineStr">
        <is>
          <t>RDM</t>
        </is>
      </c>
      <c r="E104" s="6" t="inlineStr">
        <is>
          <t>IMA 5901 B2RF</t>
        </is>
      </c>
      <c r="F104" s="26" t="inlineStr"/>
      <c r="G104" s="15" t="n">
        <v>114</v>
      </c>
      <c r="H104" s="17" t="n">
        <v>0.632</v>
      </c>
      <c r="J104" s="7" t="n"/>
      <c r="K104" s="27">
        <f>IF(OR($B104="",J104=""),"",IFERROR(INDEX(LAMINA_HORA!$C$5:$V$114,MATCH($B104,LAMINA_HORA!$A$5:$A$114,0),MATCH(J104,LAMINA_HORA!$C$3:$V$3,0)),"?"))</f>
        <v/>
      </c>
      <c r="L104" s="27">
        <f>IF(OR($B104="",J104=""),"",IFERROR(INDEX(LAMINA_HORA!$W$5:$AP$114,MATCH($B104,LAMINA_HORA!$A$5:$A$114,0),MATCH(J104,LAMINA_HORA!$W$3:$AP$3,0)),"?"))</f>
        <v/>
      </c>
      <c r="M104" s="7" t="n"/>
      <c r="N104" s="27">
        <f>IF(OR($B104="",M104=""),"",IFERROR(INDEX(LAMINA_HORA!$C$5:$V$114,MATCH($B104,LAMINA_HORA!$A$5:$A$114,0),MATCH(M104,LAMINA_HORA!$C$3:$V$3,0)),"?"))</f>
        <v/>
      </c>
      <c r="O104" s="27">
        <f>IF(OR($B104="",M104=""),"",IFERROR(INDEX(LAMINA_HORA!$W$5:$AP$114,MATCH($B104,LAMINA_HORA!$A$5:$A$114,0),MATCH(M104,LAMINA_HORA!$W$3:$AP$3,0)),"?"))</f>
        <v/>
      </c>
      <c r="P104" s="7" t="n"/>
      <c r="Q104" s="27">
        <f>IF(OR($B104="",P104=""),"",IFERROR(INDEX(LAMINA_HORA!$C$5:$V$114,MATCH($B104,LAMINA_HORA!$A$5:$A$114,0),MATCH(P104,LAMINA_HORA!$C$3:$V$3,0)),"?"))</f>
        <v/>
      </c>
      <c r="R104" s="27">
        <f>IF(OR($B104="",P104=""),"",IFERROR(INDEX(LAMINA_HORA!$W$5:$AP$114,MATCH($B104,LAMINA_HORA!$A$5:$A$114,0),MATCH(P104,LAMINA_HORA!$W$3:$AP$3,0)),"?"))</f>
        <v/>
      </c>
      <c r="S104" s="7" t="n"/>
      <c r="T104" s="27">
        <f>IF(OR($B104="",S104=""),"",IFERROR(INDEX(LAMINA_HORA!$C$5:$V$114,MATCH($B104,LAMINA_HORA!$A$5:$A$114,0),MATCH(S104,LAMINA_HORA!$C$3:$V$3,0)),"?"))</f>
        <v/>
      </c>
      <c r="U104" s="27">
        <f>IF(OR($B104="",S104=""),"",IFERROR(INDEX(LAMINA_HORA!$W$5:$AP$114,MATCH($B104,LAMINA_HORA!$A$5:$A$114,0),MATCH(S104,LAMINA_HORA!$W$3:$AP$3,0)),"?"))</f>
        <v/>
      </c>
      <c r="V104" s="7" t="n"/>
      <c r="W104" s="27">
        <f>IF(OR($B104="",V104=""),"",IFERROR(INDEX(LAMINA_HORA!$C$5:$V$114,MATCH($B104,LAMINA_HORA!$A$5:$A$114,0),MATCH(V104,LAMINA_HORA!$C$3:$V$3,0)),"?"))</f>
        <v/>
      </c>
      <c r="X104" s="27">
        <f>IF(OR($B104="",V104=""),"",IFERROR(INDEX(LAMINA_HORA!$W$5:$AP$114,MATCH($B104,LAMINA_HORA!$A$5:$A$114,0),MATCH(V104,LAMINA_HORA!$W$3:$AP$3,0)),"?"))</f>
        <v/>
      </c>
      <c r="Y104" s="7" t="n"/>
      <c r="Z104" s="27">
        <f>IF(OR($B104="",Y104=""),"",IFERROR(INDEX(LAMINA_HORA!$C$5:$V$114,MATCH($B104,LAMINA_HORA!$A$5:$A$114,0),MATCH(Y104,LAMINA_HORA!$C$3:$V$3,0)),"?"))</f>
        <v/>
      </c>
      <c r="AA104" s="27">
        <f>IF(OR($B104="",Y104=""),"",IFERROR(INDEX(LAMINA_HORA!$W$5:$AP$114,MATCH($B104,LAMINA_HORA!$A$5:$A$114,0),MATCH(Y104,LAMINA_HORA!$W$3:$AP$3,0)),"?"))</f>
        <v/>
      </c>
      <c r="AB104" s="7" t="n"/>
      <c r="AC104" s="27">
        <f>IF(OR($B104="",AB104=""),"",IFERROR(INDEX(LAMINA_HORA!$C$5:$V$114,MATCH($B104,LAMINA_HORA!$A$5:$A$114,0),MATCH(AB104,LAMINA_HORA!$C$3:$V$3,0)),"?"))</f>
        <v/>
      </c>
      <c r="AD104" s="27">
        <f>IF(OR($B104="",AB104=""),"",IFERROR(INDEX(LAMINA_HORA!$W$5:$AP$114,MATCH($B104,LAMINA_HORA!$A$5:$A$114,0),MATCH(AB104,LAMINA_HORA!$W$3:$AP$3,0)),"?"))</f>
        <v/>
      </c>
      <c r="AE104" s="14">
        <f>SUM(K104,N104,Q104,T104,W104,Z104,AC104)</f>
        <v/>
      </c>
      <c r="AF104" s="16">
        <f>IF(OR($G104="",AE104=""),"",AE104*$G104*10)</f>
        <v/>
      </c>
      <c r="AG104" s="16">
        <f>IF(OR(AF104="",$H104=""),"",AF104*$H104)</f>
        <v/>
      </c>
      <c r="AH104" s="20" t="n"/>
    </row>
    <row r="105">
      <c r="A105" s="5" t="inlineStr">
        <is>
          <t>Pivô 102</t>
        </is>
      </c>
      <c r="B105" s="7" t="inlineStr">
        <is>
          <t>P102</t>
        </is>
      </c>
      <c r="C105" s="5" t="inlineStr">
        <is>
          <t>RM4</t>
        </is>
      </c>
      <c r="D105" s="5" t="inlineStr">
        <is>
          <t>RDM</t>
        </is>
      </c>
      <c r="E105" s="6" t="inlineStr">
        <is>
          <t>FM 974 GLT</t>
        </is>
      </c>
      <c r="F105" s="26" t="inlineStr"/>
      <c r="G105" s="15" t="n">
        <v>100</v>
      </c>
      <c r="H105" s="17" t="n">
        <v>0.621</v>
      </c>
      <c r="J105" s="7" t="n"/>
      <c r="K105" s="27">
        <f>IF(OR($B105="",J105=""),"",IFERROR(INDEX(LAMINA_HORA!$C$5:$V$114,MATCH($B105,LAMINA_HORA!$A$5:$A$114,0),MATCH(J105,LAMINA_HORA!$C$3:$V$3,0)),"?"))</f>
        <v/>
      </c>
      <c r="L105" s="27">
        <f>IF(OR($B105="",J105=""),"",IFERROR(INDEX(LAMINA_HORA!$W$5:$AP$114,MATCH($B105,LAMINA_HORA!$A$5:$A$114,0),MATCH(J105,LAMINA_HORA!$W$3:$AP$3,0)),"?"))</f>
        <v/>
      </c>
      <c r="M105" s="7" t="n"/>
      <c r="N105" s="27">
        <f>IF(OR($B105="",M105=""),"",IFERROR(INDEX(LAMINA_HORA!$C$5:$V$114,MATCH($B105,LAMINA_HORA!$A$5:$A$114,0),MATCH(M105,LAMINA_HORA!$C$3:$V$3,0)),"?"))</f>
        <v/>
      </c>
      <c r="O105" s="27">
        <f>IF(OR($B105="",M105=""),"",IFERROR(INDEX(LAMINA_HORA!$W$5:$AP$114,MATCH($B105,LAMINA_HORA!$A$5:$A$114,0),MATCH(M105,LAMINA_HORA!$W$3:$AP$3,0)),"?"))</f>
        <v/>
      </c>
      <c r="P105" s="7" t="n"/>
      <c r="Q105" s="27">
        <f>IF(OR($B105="",P105=""),"",IFERROR(INDEX(LAMINA_HORA!$C$5:$V$114,MATCH($B105,LAMINA_HORA!$A$5:$A$114,0),MATCH(P105,LAMINA_HORA!$C$3:$V$3,0)),"?"))</f>
        <v/>
      </c>
      <c r="R105" s="27">
        <f>IF(OR($B105="",P105=""),"",IFERROR(INDEX(LAMINA_HORA!$W$5:$AP$114,MATCH($B105,LAMINA_HORA!$A$5:$A$114,0),MATCH(P105,LAMINA_HORA!$W$3:$AP$3,0)),"?"))</f>
        <v/>
      </c>
      <c r="S105" s="7" t="n"/>
      <c r="T105" s="27">
        <f>IF(OR($B105="",S105=""),"",IFERROR(INDEX(LAMINA_HORA!$C$5:$V$114,MATCH($B105,LAMINA_HORA!$A$5:$A$114,0),MATCH(S105,LAMINA_HORA!$C$3:$V$3,0)),"?"))</f>
        <v/>
      </c>
      <c r="U105" s="27">
        <f>IF(OR($B105="",S105=""),"",IFERROR(INDEX(LAMINA_HORA!$W$5:$AP$114,MATCH($B105,LAMINA_HORA!$A$5:$A$114,0),MATCH(S105,LAMINA_HORA!$W$3:$AP$3,0)),"?"))</f>
        <v/>
      </c>
      <c r="V105" s="7" t="n"/>
      <c r="W105" s="27">
        <f>IF(OR($B105="",V105=""),"",IFERROR(INDEX(LAMINA_HORA!$C$5:$V$114,MATCH($B105,LAMINA_HORA!$A$5:$A$114,0),MATCH(V105,LAMINA_HORA!$C$3:$V$3,0)),"?"))</f>
        <v/>
      </c>
      <c r="X105" s="27">
        <f>IF(OR($B105="",V105=""),"",IFERROR(INDEX(LAMINA_HORA!$W$5:$AP$114,MATCH($B105,LAMINA_HORA!$A$5:$A$114,0),MATCH(V105,LAMINA_HORA!$W$3:$AP$3,0)),"?"))</f>
        <v/>
      </c>
      <c r="Y105" s="7" t="n"/>
      <c r="Z105" s="27">
        <f>IF(OR($B105="",Y105=""),"",IFERROR(INDEX(LAMINA_HORA!$C$5:$V$114,MATCH($B105,LAMINA_HORA!$A$5:$A$114,0),MATCH(Y105,LAMINA_HORA!$C$3:$V$3,0)),"?"))</f>
        <v/>
      </c>
      <c r="AA105" s="27">
        <f>IF(OR($B105="",Y105=""),"",IFERROR(INDEX(LAMINA_HORA!$W$5:$AP$114,MATCH($B105,LAMINA_HORA!$A$5:$A$114,0),MATCH(Y105,LAMINA_HORA!$W$3:$AP$3,0)),"?"))</f>
        <v/>
      </c>
      <c r="AB105" s="7" t="n"/>
      <c r="AC105" s="27">
        <f>IF(OR($B105="",AB105=""),"",IFERROR(INDEX(LAMINA_HORA!$C$5:$V$114,MATCH($B105,LAMINA_HORA!$A$5:$A$114,0),MATCH(AB105,LAMINA_HORA!$C$3:$V$3,0)),"?"))</f>
        <v/>
      </c>
      <c r="AD105" s="27">
        <f>IF(OR($B105="",AB105=""),"",IFERROR(INDEX(LAMINA_HORA!$W$5:$AP$114,MATCH($B105,LAMINA_HORA!$A$5:$A$114,0),MATCH(AB105,LAMINA_HORA!$W$3:$AP$3,0)),"?"))</f>
        <v/>
      </c>
      <c r="AE105" s="14">
        <f>SUM(K105,N105,Q105,T105,W105,Z105,AC105)</f>
        <v/>
      </c>
      <c r="AF105" s="16">
        <f>IF(OR($G105="",AE105=""),"",AE105*$G105*10)</f>
        <v/>
      </c>
      <c r="AG105" s="16">
        <f>IF(OR(AF105="",$H105=""),"",AF105*$H105)</f>
        <v/>
      </c>
      <c r="AH105" s="20" t="n"/>
    </row>
    <row r="106">
      <c r="A106" s="5" t="inlineStr">
        <is>
          <t>Pivô 103</t>
        </is>
      </c>
      <c r="B106" s="7" t="inlineStr">
        <is>
          <t>P103</t>
        </is>
      </c>
      <c r="C106" s="5" t="inlineStr">
        <is>
          <t>RM4</t>
        </is>
      </c>
      <c r="D106" s="5" t="inlineStr">
        <is>
          <t>RDM</t>
        </is>
      </c>
      <c r="E106" s="6" t="inlineStr">
        <is>
          <t>IMA 5901 B2RF</t>
        </is>
      </c>
      <c r="F106" s="26" t="inlineStr"/>
      <c r="G106" s="15" t="n">
        <v>100</v>
      </c>
      <c r="H106" s="17" t="n">
        <v>0.583</v>
      </c>
      <c r="J106" s="7" t="n"/>
      <c r="K106" s="27">
        <f>IF(OR($B106="",J106=""),"",IFERROR(INDEX(LAMINA_HORA!$C$5:$V$114,MATCH($B106,LAMINA_HORA!$A$5:$A$114,0),MATCH(J106,LAMINA_HORA!$C$3:$V$3,0)),"?"))</f>
        <v/>
      </c>
      <c r="L106" s="27">
        <f>IF(OR($B106="",J106=""),"",IFERROR(INDEX(LAMINA_HORA!$W$5:$AP$114,MATCH($B106,LAMINA_HORA!$A$5:$A$114,0),MATCH(J106,LAMINA_HORA!$W$3:$AP$3,0)),"?"))</f>
        <v/>
      </c>
      <c r="M106" s="7" t="n"/>
      <c r="N106" s="27">
        <f>IF(OR($B106="",M106=""),"",IFERROR(INDEX(LAMINA_HORA!$C$5:$V$114,MATCH($B106,LAMINA_HORA!$A$5:$A$114,0),MATCH(M106,LAMINA_HORA!$C$3:$V$3,0)),"?"))</f>
        <v/>
      </c>
      <c r="O106" s="27">
        <f>IF(OR($B106="",M106=""),"",IFERROR(INDEX(LAMINA_HORA!$W$5:$AP$114,MATCH($B106,LAMINA_HORA!$A$5:$A$114,0),MATCH(M106,LAMINA_HORA!$W$3:$AP$3,0)),"?"))</f>
        <v/>
      </c>
      <c r="P106" s="7" t="n"/>
      <c r="Q106" s="27">
        <f>IF(OR($B106="",P106=""),"",IFERROR(INDEX(LAMINA_HORA!$C$5:$V$114,MATCH($B106,LAMINA_HORA!$A$5:$A$114,0),MATCH(P106,LAMINA_HORA!$C$3:$V$3,0)),"?"))</f>
        <v/>
      </c>
      <c r="R106" s="27">
        <f>IF(OR($B106="",P106=""),"",IFERROR(INDEX(LAMINA_HORA!$W$5:$AP$114,MATCH($B106,LAMINA_HORA!$A$5:$A$114,0),MATCH(P106,LAMINA_HORA!$W$3:$AP$3,0)),"?"))</f>
        <v/>
      </c>
      <c r="S106" s="7" t="n"/>
      <c r="T106" s="27">
        <f>IF(OR($B106="",S106=""),"",IFERROR(INDEX(LAMINA_HORA!$C$5:$V$114,MATCH($B106,LAMINA_HORA!$A$5:$A$114,0),MATCH(S106,LAMINA_HORA!$C$3:$V$3,0)),"?"))</f>
        <v/>
      </c>
      <c r="U106" s="27">
        <f>IF(OR($B106="",S106=""),"",IFERROR(INDEX(LAMINA_HORA!$W$5:$AP$114,MATCH($B106,LAMINA_HORA!$A$5:$A$114,0),MATCH(S106,LAMINA_HORA!$W$3:$AP$3,0)),"?"))</f>
        <v/>
      </c>
      <c r="V106" s="7" t="n"/>
      <c r="W106" s="27">
        <f>IF(OR($B106="",V106=""),"",IFERROR(INDEX(LAMINA_HORA!$C$5:$V$114,MATCH($B106,LAMINA_HORA!$A$5:$A$114,0),MATCH(V106,LAMINA_HORA!$C$3:$V$3,0)),"?"))</f>
        <v/>
      </c>
      <c r="X106" s="27">
        <f>IF(OR($B106="",V106=""),"",IFERROR(INDEX(LAMINA_HORA!$W$5:$AP$114,MATCH($B106,LAMINA_HORA!$A$5:$A$114,0),MATCH(V106,LAMINA_HORA!$W$3:$AP$3,0)),"?"))</f>
        <v/>
      </c>
      <c r="Y106" s="7" t="n"/>
      <c r="Z106" s="27">
        <f>IF(OR($B106="",Y106=""),"",IFERROR(INDEX(LAMINA_HORA!$C$5:$V$114,MATCH($B106,LAMINA_HORA!$A$5:$A$114,0),MATCH(Y106,LAMINA_HORA!$C$3:$V$3,0)),"?"))</f>
        <v/>
      </c>
      <c r="AA106" s="27">
        <f>IF(OR($B106="",Y106=""),"",IFERROR(INDEX(LAMINA_HORA!$W$5:$AP$114,MATCH($B106,LAMINA_HORA!$A$5:$A$114,0),MATCH(Y106,LAMINA_HORA!$W$3:$AP$3,0)),"?"))</f>
        <v/>
      </c>
      <c r="AB106" s="7" t="n"/>
      <c r="AC106" s="27">
        <f>IF(OR($B106="",AB106=""),"",IFERROR(INDEX(LAMINA_HORA!$C$5:$V$114,MATCH($B106,LAMINA_HORA!$A$5:$A$114,0),MATCH(AB106,LAMINA_HORA!$C$3:$V$3,0)),"?"))</f>
        <v/>
      </c>
      <c r="AD106" s="27">
        <f>IF(OR($B106="",AB106=""),"",IFERROR(INDEX(LAMINA_HORA!$W$5:$AP$114,MATCH($B106,LAMINA_HORA!$A$5:$A$114,0),MATCH(AB106,LAMINA_HORA!$W$3:$AP$3,0)),"?"))</f>
        <v/>
      </c>
      <c r="AE106" s="14">
        <f>SUM(K106,N106,Q106,T106,W106,Z106,AC106)</f>
        <v/>
      </c>
      <c r="AF106" s="16">
        <f>IF(OR($G106="",AE106=""),"",AE106*$G106*10)</f>
        <v/>
      </c>
      <c r="AG106" s="16">
        <f>IF(OR(AF106="",$H106=""),"",AF106*$H106)</f>
        <v/>
      </c>
      <c r="AH106" s="20" t="n"/>
    </row>
    <row r="107">
      <c r="A107" s="5" t="inlineStr">
        <is>
          <t>Pivô 108</t>
        </is>
      </c>
      <c r="B107" s="7" t="inlineStr">
        <is>
          <t>P108</t>
        </is>
      </c>
      <c r="C107" s="5" t="inlineStr">
        <is>
          <t>RM2</t>
        </is>
      </c>
      <c r="D107" s="5" t="inlineStr">
        <is>
          <t>RDM</t>
        </is>
      </c>
      <c r="E107" s="6" t="inlineStr">
        <is>
          <t>IMA 5901 B2RF</t>
        </is>
      </c>
      <c r="F107" s="26" t="inlineStr"/>
      <c r="G107" s="15" t="n">
        <v>100</v>
      </c>
      <c r="H107" s="17" t="n">
        <v>0.583</v>
      </c>
      <c r="J107" s="7" t="n"/>
      <c r="K107" s="27">
        <f>IF(OR($B107="",J107=""),"",IFERROR(INDEX(LAMINA_HORA!$C$5:$V$114,MATCH($B107,LAMINA_HORA!$A$5:$A$114,0),MATCH(J107,LAMINA_HORA!$C$3:$V$3,0)),"?"))</f>
        <v/>
      </c>
      <c r="L107" s="27">
        <f>IF(OR($B107="",J107=""),"",IFERROR(INDEX(LAMINA_HORA!$W$5:$AP$114,MATCH($B107,LAMINA_HORA!$A$5:$A$114,0),MATCH(J107,LAMINA_HORA!$W$3:$AP$3,0)),"?"))</f>
        <v/>
      </c>
      <c r="M107" s="7" t="n"/>
      <c r="N107" s="27">
        <f>IF(OR($B107="",M107=""),"",IFERROR(INDEX(LAMINA_HORA!$C$5:$V$114,MATCH($B107,LAMINA_HORA!$A$5:$A$114,0),MATCH(M107,LAMINA_HORA!$C$3:$V$3,0)),"?"))</f>
        <v/>
      </c>
      <c r="O107" s="27">
        <f>IF(OR($B107="",M107=""),"",IFERROR(INDEX(LAMINA_HORA!$W$5:$AP$114,MATCH($B107,LAMINA_HORA!$A$5:$A$114,0),MATCH(M107,LAMINA_HORA!$W$3:$AP$3,0)),"?"))</f>
        <v/>
      </c>
      <c r="P107" s="7" t="n"/>
      <c r="Q107" s="27">
        <f>IF(OR($B107="",P107=""),"",IFERROR(INDEX(LAMINA_HORA!$C$5:$V$114,MATCH($B107,LAMINA_HORA!$A$5:$A$114,0),MATCH(P107,LAMINA_HORA!$C$3:$V$3,0)),"?"))</f>
        <v/>
      </c>
      <c r="R107" s="27">
        <f>IF(OR($B107="",P107=""),"",IFERROR(INDEX(LAMINA_HORA!$W$5:$AP$114,MATCH($B107,LAMINA_HORA!$A$5:$A$114,0),MATCH(P107,LAMINA_HORA!$W$3:$AP$3,0)),"?"))</f>
        <v/>
      </c>
      <c r="S107" s="7" t="n"/>
      <c r="T107" s="27">
        <f>IF(OR($B107="",S107=""),"",IFERROR(INDEX(LAMINA_HORA!$C$5:$V$114,MATCH($B107,LAMINA_HORA!$A$5:$A$114,0),MATCH(S107,LAMINA_HORA!$C$3:$V$3,0)),"?"))</f>
        <v/>
      </c>
      <c r="U107" s="27">
        <f>IF(OR($B107="",S107=""),"",IFERROR(INDEX(LAMINA_HORA!$W$5:$AP$114,MATCH($B107,LAMINA_HORA!$A$5:$A$114,0),MATCH(S107,LAMINA_HORA!$W$3:$AP$3,0)),"?"))</f>
        <v/>
      </c>
      <c r="V107" s="7" t="n"/>
      <c r="W107" s="27">
        <f>IF(OR($B107="",V107=""),"",IFERROR(INDEX(LAMINA_HORA!$C$5:$V$114,MATCH($B107,LAMINA_HORA!$A$5:$A$114,0),MATCH(V107,LAMINA_HORA!$C$3:$V$3,0)),"?"))</f>
        <v/>
      </c>
      <c r="X107" s="27">
        <f>IF(OR($B107="",V107=""),"",IFERROR(INDEX(LAMINA_HORA!$W$5:$AP$114,MATCH($B107,LAMINA_HORA!$A$5:$A$114,0),MATCH(V107,LAMINA_HORA!$W$3:$AP$3,0)),"?"))</f>
        <v/>
      </c>
      <c r="Y107" s="7" t="n"/>
      <c r="Z107" s="27">
        <f>IF(OR($B107="",Y107=""),"",IFERROR(INDEX(LAMINA_HORA!$C$5:$V$114,MATCH($B107,LAMINA_HORA!$A$5:$A$114,0),MATCH(Y107,LAMINA_HORA!$C$3:$V$3,0)),"?"))</f>
        <v/>
      </c>
      <c r="AA107" s="27">
        <f>IF(OR($B107="",Y107=""),"",IFERROR(INDEX(LAMINA_HORA!$W$5:$AP$114,MATCH($B107,LAMINA_HORA!$A$5:$A$114,0),MATCH(Y107,LAMINA_HORA!$W$3:$AP$3,0)),"?"))</f>
        <v/>
      </c>
      <c r="AB107" s="7" t="n"/>
      <c r="AC107" s="27">
        <f>IF(OR($B107="",AB107=""),"",IFERROR(INDEX(LAMINA_HORA!$C$5:$V$114,MATCH($B107,LAMINA_HORA!$A$5:$A$114,0),MATCH(AB107,LAMINA_HORA!$C$3:$V$3,0)),"?"))</f>
        <v/>
      </c>
      <c r="AD107" s="27">
        <f>IF(OR($B107="",AB107=""),"",IFERROR(INDEX(LAMINA_HORA!$W$5:$AP$114,MATCH($B107,LAMINA_HORA!$A$5:$A$114,0),MATCH(AB107,LAMINA_HORA!$W$3:$AP$3,0)),"?"))</f>
        <v/>
      </c>
      <c r="AE107" s="14">
        <f>SUM(K107,N107,Q107,T107,W107,Z107,AC107)</f>
        <v/>
      </c>
      <c r="AF107" s="16">
        <f>IF(OR($G107="",AE107=""),"",AE107*$G107*10)</f>
        <v/>
      </c>
      <c r="AG107" s="16">
        <f>IF(OR(AF107="",$H107=""),"",AF107*$H107)</f>
        <v/>
      </c>
      <c r="AH107" s="20" t="n"/>
    </row>
    <row r="108">
      <c r="A108" s="5" t="inlineStr">
        <is>
          <t>Pivô 114</t>
        </is>
      </c>
      <c r="B108" s="7" t="inlineStr">
        <is>
          <t>P114</t>
        </is>
      </c>
      <c r="C108" s="5" t="inlineStr">
        <is>
          <t>RM5</t>
        </is>
      </c>
      <c r="D108" s="5" t="inlineStr">
        <is>
          <t>RDM</t>
        </is>
      </c>
      <c r="E108" s="6" t="inlineStr">
        <is>
          <t>FM 974 GLT</t>
        </is>
      </c>
      <c r="F108" s="26" t="inlineStr"/>
      <c r="G108" s="15" t="n">
        <v>120</v>
      </c>
      <c r="H108" s="17" t="n">
        <v>0.711</v>
      </c>
      <c r="J108" s="7" t="n"/>
      <c r="K108" s="27">
        <f>IF(OR($B108="",J108=""),"",IFERROR(INDEX(LAMINA_HORA!$C$5:$V$114,MATCH($B108,LAMINA_HORA!$A$5:$A$114,0),MATCH(J108,LAMINA_HORA!$C$3:$V$3,0)),"?"))</f>
        <v/>
      </c>
      <c r="L108" s="27">
        <f>IF(OR($B108="",J108=""),"",IFERROR(INDEX(LAMINA_HORA!$W$5:$AP$114,MATCH($B108,LAMINA_HORA!$A$5:$A$114,0),MATCH(J108,LAMINA_HORA!$W$3:$AP$3,0)),"?"))</f>
        <v/>
      </c>
      <c r="M108" s="7" t="n"/>
      <c r="N108" s="27">
        <f>IF(OR($B108="",M108=""),"",IFERROR(INDEX(LAMINA_HORA!$C$5:$V$114,MATCH($B108,LAMINA_HORA!$A$5:$A$114,0),MATCH(M108,LAMINA_HORA!$C$3:$V$3,0)),"?"))</f>
        <v/>
      </c>
      <c r="O108" s="27">
        <f>IF(OR($B108="",M108=""),"",IFERROR(INDEX(LAMINA_HORA!$W$5:$AP$114,MATCH($B108,LAMINA_HORA!$A$5:$A$114,0),MATCH(M108,LAMINA_HORA!$W$3:$AP$3,0)),"?"))</f>
        <v/>
      </c>
      <c r="P108" s="7" t="n"/>
      <c r="Q108" s="27">
        <f>IF(OR($B108="",P108=""),"",IFERROR(INDEX(LAMINA_HORA!$C$5:$V$114,MATCH($B108,LAMINA_HORA!$A$5:$A$114,0),MATCH(P108,LAMINA_HORA!$C$3:$V$3,0)),"?"))</f>
        <v/>
      </c>
      <c r="R108" s="27">
        <f>IF(OR($B108="",P108=""),"",IFERROR(INDEX(LAMINA_HORA!$W$5:$AP$114,MATCH($B108,LAMINA_HORA!$A$5:$A$114,0),MATCH(P108,LAMINA_HORA!$W$3:$AP$3,0)),"?"))</f>
        <v/>
      </c>
      <c r="S108" s="7" t="n"/>
      <c r="T108" s="27">
        <f>IF(OR($B108="",S108=""),"",IFERROR(INDEX(LAMINA_HORA!$C$5:$V$114,MATCH($B108,LAMINA_HORA!$A$5:$A$114,0),MATCH(S108,LAMINA_HORA!$C$3:$V$3,0)),"?"))</f>
        <v/>
      </c>
      <c r="U108" s="27">
        <f>IF(OR($B108="",S108=""),"",IFERROR(INDEX(LAMINA_HORA!$W$5:$AP$114,MATCH($B108,LAMINA_HORA!$A$5:$A$114,0),MATCH(S108,LAMINA_HORA!$W$3:$AP$3,0)),"?"))</f>
        <v/>
      </c>
      <c r="V108" s="7" t="n"/>
      <c r="W108" s="27">
        <f>IF(OR($B108="",V108=""),"",IFERROR(INDEX(LAMINA_HORA!$C$5:$V$114,MATCH($B108,LAMINA_HORA!$A$5:$A$114,0),MATCH(V108,LAMINA_HORA!$C$3:$V$3,0)),"?"))</f>
        <v/>
      </c>
      <c r="X108" s="27">
        <f>IF(OR($B108="",V108=""),"",IFERROR(INDEX(LAMINA_HORA!$W$5:$AP$114,MATCH($B108,LAMINA_HORA!$A$5:$A$114,0),MATCH(V108,LAMINA_HORA!$W$3:$AP$3,0)),"?"))</f>
        <v/>
      </c>
      <c r="Y108" s="7" t="n"/>
      <c r="Z108" s="27">
        <f>IF(OR($B108="",Y108=""),"",IFERROR(INDEX(LAMINA_HORA!$C$5:$V$114,MATCH($B108,LAMINA_HORA!$A$5:$A$114,0),MATCH(Y108,LAMINA_HORA!$C$3:$V$3,0)),"?"))</f>
        <v/>
      </c>
      <c r="AA108" s="27">
        <f>IF(OR($B108="",Y108=""),"",IFERROR(INDEX(LAMINA_HORA!$W$5:$AP$114,MATCH($B108,LAMINA_HORA!$A$5:$A$114,0),MATCH(Y108,LAMINA_HORA!$W$3:$AP$3,0)),"?"))</f>
        <v/>
      </c>
      <c r="AB108" s="7" t="n"/>
      <c r="AC108" s="27">
        <f>IF(OR($B108="",AB108=""),"",IFERROR(INDEX(LAMINA_HORA!$C$5:$V$114,MATCH($B108,LAMINA_HORA!$A$5:$A$114,0),MATCH(AB108,LAMINA_HORA!$C$3:$V$3,0)),"?"))</f>
        <v/>
      </c>
      <c r="AD108" s="27">
        <f>IF(OR($B108="",AB108=""),"",IFERROR(INDEX(LAMINA_HORA!$W$5:$AP$114,MATCH($B108,LAMINA_HORA!$A$5:$A$114,0),MATCH(AB108,LAMINA_HORA!$W$3:$AP$3,0)),"?"))</f>
        <v/>
      </c>
      <c r="AE108" s="14">
        <f>SUM(K108,N108,Q108,T108,W108,Z108,AC108)</f>
        <v/>
      </c>
      <c r="AF108" s="16">
        <f>IF(OR($G108="",AE108=""),"",AE108*$G108*10)</f>
        <v/>
      </c>
      <c r="AG108" s="16">
        <f>IF(OR(AF108="",$H108=""),"",AF108*$H108)</f>
        <v/>
      </c>
      <c r="AH108" s="20" t="n"/>
    </row>
    <row r="109">
      <c r="A109" s="5" t="inlineStr">
        <is>
          <t>Pivô 115</t>
        </is>
      </c>
      <c r="B109" s="7" t="inlineStr">
        <is>
          <t>P115</t>
        </is>
      </c>
      <c r="C109" s="5" t="inlineStr">
        <is>
          <t>RM5</t>
        </is>
      </c>
      <c r="D109" s="5" t="inlineStr">
        <is>
          <t>RDM</t>
        </is>
      </c>
      <c r="E109" s="6" t="inlineStr">
        <is>
          <t>IMA 5901 B2RF</t>
        </is>
      </c>
      <c r="F109" s="26" t="inlineStr"/>
      <c r="G109" s="15" t="n">
        <v>150</v>
      </c>
      <c r="H109" s="17" t="n">
        <v>0.698</v>
      </c>
      <c r="J109" s="7" t="n"/>
      <c r="K109" s="27">
        <f>IF(OR($B109="",J109=""),"",IFERROR(INDEX(LAMINA_HORA!$C$5:$V$114,MATCH($B109,LAMINA_HORA!$A$5:$A$114,0),MATCH(J109,LAMINA_HORA!$C$3:$V$3,0)),"?"))</f>
        <v/>
      </c>
      <c r="L109" s="27">
        <f>IF(OR($B109="",J109=""),"",IFERROR(INDEX(LAMINA_HORA!$W$5:$AP$114,MATCH($B109,LAMINA_HORA!$A$5:$A$114,0),MATCH(J109,LAMINA_HORA!$W$3:$AP$3,0)),"?"))</f>
        <v/>
      </c>
      <c r="M109" s="7" t="n"/>
      <c r="N109" s="27">
        <f>IF(OR($B109="",M109=""),"",IFERROR(INDEX(LAMINA_HORA!$C$5:$V$114,MATCH($B109,LAMINA_HORA!$A$5:$A$114,0),MATCH(M109,LAMINA_HORA!$C$3:$V$3,0)),"?"))</f>
        <v/>
      </c>
      <c r="O109" s="27">
        <f>IF(OR($B109="",M109=""),"",IFERROR(INDEX(LAMINA_HORA!$W$5:$AP$114,MATCH($B109,LAMINA_HORA!$A$5:$A$114,0),MATCH(M109,LAMINA_HORA!$W$3:$AP$3,0)),"?"))</f>
        <v/>
      </c>
      <c r="P109" s="7" t="n"/>
      <c r="Q109" s="27">
        <f>IF(OR($B109="",P109=""),"",IFERROR(INDEX(LAMINA_HORA!$C$5:$V$114,MATCH($B109,LAMINA_HORA!$A$5:$A$114,0),MATCH(P109,LAMINA_HORA!$C$3:$V$3,0)),"?"))</f>
        <v/>
      </c>
      <c r="R109" s="27">
        <f>IF(OR($B109="",P109=""),"",IFERROR(INDEX(LAMINA_HORA!$W$5:$AP$114,MATCH($B109,LAMINA_HORA!$A$5:$A$114,0),MATCH(P109,LAMINA_HORA!$W$3:$AP$3,0)),"?"))</f>
        <v/>
      </c>
      <c r="S109" s="7" t="n"/>
      <c r="T109" s="27">
        <f>IF(OR($B109="",S109=""),"",IFERROR(INDEX(LAMINA_HORA!$C$5:$V$114,MATCH($B109,LAMINA_HORA!$A$5:$A$114,0),MATCH(S109,LAMINA_HORA!$C$3:$V$3,0)),"?"))</f>
        <v/>
      </c>
      <c r="U109" s="27">
        <f>IF(OR($B109="",S109=""),"",IFERROR(INDEX(LAMINA_HORA!$W$5:$AP$114,MATCH($B109,LAMINA_HORA!$A$5:$A$114,0),MATCH(S109,LAMINA_HORA!$W$3:$AP$3,0)),"?"))</f>
        <v/>
      </c>
      <c r="V109" s="7" t="n"/>
      <c r="W109" s="27">
        <f>IF(OR($B109="",V109=""),"",IFERROR(INDEX(LAMINA_HORA!$C$5:$V$114,MATCH($B109,LAMINA_HORA!$A$5:$A$114,0),MATCH(V109,LAMINA_HORA!$C$3:$V$3,0)),"?"))</f>
        <v/>
      </c>
      <c r="X109" s="27">
        <f>IF(OR($B109="",V109=""),"",IFERROR(INDEX(LAMINA_HORA!$W$5:$AP$114,MATCH($B109,LAMINA_HORA!$A$5:$A$114,0),MATCH(V109,LAMINA_HORA!$W$3:$AP$3,0)),"?"))</f>
        <v/>
      </c>
      <c r="Y109" s="7" t="n"/>
      <c r="Z109" s="27">
        <f>IF(OR($B109="",Y109=""),"",IFERROR(INDEX(LAMINA_HORA!$C$5:$V$114,MATCH($B109,LAMINA_HORA!$A$5:$A$114,0),MATCH(Y109,LAMINA_HORA!$C$3:$V$3,0)),"?"))</f>
        <v/>
      </c>
      <c r="AA109" s="27">
        <f>IF(OR($B109="",Y109=""),"",IFERROR(INDEX(LAMINA_HORA!$W$5:$AP$114,MATCH($B109,LAMINA_HORA!$A$5:$A$114,0),MATCH(Y109,LAMINA_HORA!$W$3:$AP$3,0)),"?"))</f>
        <v/>
      </c>
      <c r="AB109" s="7" t="n"/>
      <c r="AC109" s="27">
        <f>IF(OR($B109="",AB109=""),"",IFERROR(INDEX(LAMINA_HORA!$C$5:$V$114,MATCH($B109,LAMINA_HORA!$A$5:$A$114,0),MATCH(AB109,LAMINA_HORA!$C$3:$V$3,0)),"?"))</f>
        <v/>
      </c>
      <c r="AD109" s="27">
        <f>IF(OR($B109="",AB109=""),"",IFERROR(INDEX(LAMINA_HORA!$W$5:$AP$114,MATCH($B109,LAMINA_HORA!$A$5:$A$114,0),MATCH(AB109,LAMINA_HORA!$W$3:$AP$3,0)),"?"))</f>
        <v/>
      </c>
      <c r="AE109" s="14">
        <f>SUM(K109,N109,Q109,T109,W109,Z109,AC109)</f>
        <v/>
      </c>
      <c r="AF109" s="16">
        <f>IF(OR($G109="",AE109=""),"",AE109*$G109*10)</f>
        <v/>
      </c>
      <c r="AG109" s="16">
        <f>IF(OR(AF109="",$H109=""),"",AF109*$H109)</f>
        <v/>
      </c>
      <c r="AH109" s="20" t="n"/>
    </row>
    <row r="110">
      <c r="A110" s="5" t="inlineStr">
        <is>
          <t>Pivô 116</t>
        </is>
      </c>
      <c r="B110" s="7" t="inlineStr">
        <is>
          <t>P116</t>
        </is>
      </c>
      <c r="C110" s="5" t="inlineStr">
        <is>
          <t>RM6</t>
        </is>
      </c>
      <c r="D110" s="5" t="inlineStr">
        <is>
          <t>RDM</t>
        </is>
      </c>
      <c r="E110" s="6" t="inlineStr">
        <is>
          <t>FM 974 GLT</t>
        </is>
      </c>
      <c r="F110" s="26" t="inlineStr"/>
      <c r="G110" s="15" t="n">
        <v>150</v>
      </c>
      <c r="H110" s="17" t="n">
        <v>0.702</v>
      </c>
      <c r="J110" s="7" t="n"/>
      <c r="K110" s="27">
        <f>IF(OR($B110="",J110=""),"",IFERROR(INDEX(LAMINA_HORA!$C$5:$V$114,MATCH($B110,LAMINA_HORA!$A$5:$A$114,0),MATCH(J110,LAMINA_HORA!$C$3:$V$3,0)),"?"))</f>
        <v/>
      </c>
      <c r="L110" s="27">
        <f>IF(OR($B110="",J110=""),"",IFERROR(INDEX(LAMINA_HORA!$W$5:$AP$114,MATCH($B110,LAMINA_HORA!$A$5:$A$114,0),MATCH(J110,LAMINA_HORA!$W$3:$AP$3,0)),"?"))</f>
        <v/>
      </c>
      <c r="M110" s="7" t="n"/>
      <c r="N110" s="27">
        <f>IF(OR($B110="",M110=""),"",IFERROR(INDEX(LAMINA_HORA!$C$5:$V$114,MATCH($B110,LAMINA_HORA!$A$5:$A$114,0),MATCH(M110,LAMINA_HORA!$C$3:$V$3,0)),"?"))</f>
        <v/>
      </c>
      <c r="O110" s="27">
        <f>IF(OR($B110="",M110=""),"",IFERROR(INDEX(LAMINA_HORA!$W$5:$AP$114,MATCH($B110,LAMINA_HORA!$A$5:$A$114,0),MATCH(M110,LAMINA_HORA!$W$3:$AP$3,0)),"?"))</f>
        <v/>
      </c>
      <c r="P110" s="7" t="n"/>
      <c r="Q110" s="27">
        <f>IF(OR($B110="",P110=""),"",IFERROR(INDEX(LAMINA_HORA!$C$5:$V$114,MATCH($B110,LAMINA_HORA!$A$5:$A$114,0),MATCH(P110,LAMINA_HORA!$C$3:$V$3,0)),"?"))</f>
        <v/>
      </c>
      <c r="R110" s="27">
        <f>IF(OR($B110="",P110=""),"",IFERROR(INDEX(LAMINA_HORA!$W$5:$AP$114,MATCH($B110,LAMINA_HORA!$A$5:$A$114,0),MATCH(P110,LAMINA_HORA!$W$3:$AP$3,0)),"?"))</f>
        <v/>
      </c>
      <c r="S110" s="7" t="n"/>
      <c r="T110" s="27">
        <f>IF(OR($B110="",S110=""),"",IFERROR(INDEX(LAMINA_HORA!$C$5:$V$114,MATCH($B110,LAMINA_HORA!$A$5:$A$114,0),MATCH(S110,LAMINA_HORA!$C$3:$V$3,0)),"?"))</f>
        <v/>
      </c>
      <c r="U110" s="27">
        <f>IF(OR($B110="",S110=""),"",IFERROR(INDEX(LAMINA_HORA!$W$5:$AP$114,MATCH($B110,LAMINA_HORA!$A$5:$A$114,0),MATCH(S110,LAMINA_HORA!$W$3:$AP$3,0)),"?"))</f>
        <v/>
      </c>
      <c r="V110" s="7" t="n"/>
      <c r="W110" s="27">
        <f>IF(OR($B110="",V110=""),"",IFERROR(INDEX(LAMINA_HORA!$C$5:$V$114,MATCH($B110,LAMINA_HORA!$A$5:$A$114,0),MATCH(V110,LAMINA_HORA!$C$3:$V$3,0)),"?"))</f>
        <v/>
      </c>
      <c r="X110" s="27">
        <f>IF(OR($B110="",V110=""),"",IFERROR(INDEX(LAMINA_HORA!$W$5:$AP$114,MATCH($B110,LAMINA_HORA!$A$5:$A$114,0),MATCH(V110,LAMINA_HORA!$W$3:$AP$3,0)),"?"))</f>
        <v/>
      </c>
      <c r="Y110" s="7" t="n"/>
      <c r="Z110" s="27">
        <f>IF(OR($B110="",Y110=""),"",IFERROR(INDEX(LAMINA_HORA!$C$5:$V$114,MATCH($B110,LAMINA_HORA!$A$5:$A$114,0),MATCH(Y110,LAMINA_HORA!$C$3:$V$3,0)),"?"))</f>
        <v/>
      </c>
      <c r="AA110" s="27">
        <f>IF(OR($B110="",Y110=""),"",IFERROR(INDEX(LAMINA_HORA!$W$5:$AP$114,MATCH($B110,LAMINA_HORA!$A$5:$A$114,0),MATCH(Y110,LAMINA_HORA!$W$3:$AP$3,0)),"?"))</f>
        <v/>
      </c>
      <c r="AB110" s="7" t="n"/>
      <c r="AC110" s="27">
        <f>IF(OR($B110="",AB110=""),"",IFERROR(INDEX(LAMINA_HORA!$C$5:$V$114,MATCH($B110,LAMINA_HORA!$A$5:$A$114,0),MATCH(AB110,LAMINA_HORA!$C$3:$V$3,0)),"?"))</f>
        <v/>
      </c>
      <c r="AD110" s="27">
        <f>IF(OR($B110="",AB110=""),"",IFERROR(INDEX(LAMINA_HORA!$W$5:$AP$114,MATCH($B110,LAMINA_HORA!$A$5:$A$114,0),MATCH(AB110,LAMINA_HORA!$W$3:$AP$3,0)),"?"))</f>
        <v/>
      </c>
      <c r="AE110" s="14">
        <f>SUM(K110,N110,Q110,T110,W110,Z110,AC110)</f>
        <v/>
      </c>
      <c r="AF110" s="16">
        <f>IF(OR($G110="",AE110=""),"",AE110*$G110*10)</f>
        <v/>
      </c>
      <c r="AG110" s="16">
        <f>IF(OR(AF110="",$H110=""),"",AF110*$H110)</f>
        <v/>
      </c>
      <c r="AH110" s="20" t="n"/>
    </row>
    <row r="111">
      <c r="A111" s="5" t="inlineStr">
        <is>
          <t>Pivô 117</t>
        </is>
      </c>
      <c r="B111" s="7" t="inlineStr">
        <is>
          <t>P117</t>
        </is>
      </c>
      <c r="C111" s="5" t="inlineStr">
        <is>
          <t>RM6</t>
        </is>
      </c>
      <c r="D111" s="5" t="inlineStr">
        <is>
          <t>RDM</t>
        </is>
      </c>
      <c r="E111" s="6" t="inlineStr">
        <is>
          <t>IMA 5901 B2RF</t>
        </is>
      </c>
      <c r="F111" s="26" t="inlineStr"/>
      <c r="G111" s="15" t="n">
        <v>150</v>
      </c>
      <c r="H111" s="17" t="n">
        <v>0.698</v>
      </c>
      <c r="J111" s="7" t="n"/>
      <c r="K111" s="27">
        <f>IF(OR($B111="",J111=""),"",IFERROR(INDEX(LAMINA_HORA!$C$5:$V$114,MATCH($B111,LAMINA_HORA!$A$5:$A$114,0),MATCH(J111,LAMINA_HORA!$C$3:$V$3,0)),"?"))</f>
        <v/>
      </c>
      <c r="L111" s="27">
        <f>IF(OR($B111="",J111=""),"",IFERROR(INDEX(LAMINA_HORA!$W$5:$AP$114,MATCH($B111,LAMINA_HORA!$A$5:$A$114,0),MATCH(J111,LAMINA_HORA!$W$3:$AP$3,0)),"?"))</f>
        <v/>
      </c>
      <c r="M111" s="7" t="n"/>
      <c r="N111" s="27">
        <f>IF(OR($B111="",M111=""),"",IFERROR(INDEX(LAMINA_HORA!$C$5:$V$114,MATCH($B111,LAMINA_HORA!$A$5:$A$114,0),MATCH(M111,LAMINA_HORA!$C$3:$V$3,0)),"?"))</f>
        <v/>
      </c>
      <c r="O111" s="27">
        <f>IF(OR($B111="",M111=""),"",IFERROR(INDEX(LAMINA_HORA!$W$5:$AP$114,MATCH($B111,LAMINA_HORA!$A$5:$A$114,0),MATCH(M111,LAMINA_HORA!$W$3:$AP$3,0)),"?"))</f>
        <v/>
      </c>
      <c r="P111" s="7" t="n"/>
      <c r="Q111" s="27">
        <f>IF(OR($B111="",P111=""),"",IFERROR(INDEX(LAMINA_HORA!$C$5:$V$114,MATCH($B111,LAMINA_HORA!$A$5:$A$114,0),MATCH(P111,LAMINA_HORA!$C$3:$V$3,0)),"?"))</f>
        <v/>
      </c>
      <c r="R111" s="27">
        <f>IF(OR($B111="",P111=""),"",IFERROR(INDEX(LAMINA_HORA!$W$5:$AP$114,MATCH($B111,LAMINA_HORA!$A$5:$A$114,0),MATCH(P111,LAMINA_HORA!$W$3:$AP$3,0)),"?"))</f>
        <v/>
      </c>
      <c r="S111" s="7" t="n"/>
      <c r="T111" s="27">
        <f>IF(OR($B111="",S111=""),"",IFERROR(INDEX(LAMINA_HORA!$C$5:$V$114,MATCH($B111,LAMINA_HORA!$A$5:$A$114,0),MATCH(S111,LAMINA_HORA!$C$3:$V$3,0)),"?"))</f>
        <v/>
      </c>
      <c r="U111" s="27">
        <f>IF(OR($B111="",S111=""),"",IFERROR(INDEX(LAMINA_HORA!$W$5:$AP$114,MATCH($B111,LAMINA_HORA!$A$5:$A$114,0),MATCH(S111,LAMINA_HORA!$W$3:$AP$3,0)),"?"))</f>
        <v/>
      </c>
      <c r="V111" s="7" t="n"/>
      <c r="W111" s="27">
        <f>IF(OR($B111="",V111=""),"",IFERROR(INDEX(LAMINA_HORA!$C$5:$V$114,MATCH($B111,LAMINA_HORA!$A$5:$A$114,0),MATCH(V111,LAMINA_HORA!$C$3:$V$3,0)),"?"))</f>
        <v/>
      </c>
      <c r="X111" s="27">
        <f>IF(OR($B111="",V111=""),"",IFERROR(INDEX(LAMINA_HORA!$W$5:$AP$114,MATCH($B111,LAMINA_HORA!$A$5:$A$114,0),MATCH(V111,LAMINA_HORA!$W$3:$AP$3,0)),"?"))</f>
        <v/>
      </c>
      <c r="Y111" s="7" t="n"/>
      <c r="Z111" s="27">
        <f>IF(OR($B111="",Y111=""),"",IFERROR(INDEX(LAMINA_HORA!$C$5:$V$114,MATCH($B111,LAMINA_HORA!$A$5:$A$114,0),MATCH(Y111,LAMINA_HORA!$C$3:$V$3,0)),"?"))</f>
        <v/>
      </c>
      <c r="AA111" s="27">
        <f>IF(OR($B111="",Y111=""),"",IFERROR(INDEX(LAMINA_HORA!$W$5:$AP$114,MATCH($B111,LAMINA_HORA!$A$5:$A$114,0),MATCH(Y111,LAMINA_HORA!$W$3:$AP$3,0)),"?"))</f>
        <v/>
      </c>
      <c r="AB111" s="7" t="n"/>
      <c r="AC111" s="27">
        <f>IF(OR($B111="",AB111=""),"",IFERROR(INDEX(LAMINA_HORA!$C$5:$V$114,MATCH($B111,LAMINA_HORA!$A$5:$A$114,0),MATCH(AB111,LAMINA_HORA!$C$3:$V$3,0)),"?"))</f>
        <v/>
      </c>
      <c r="AD111" s="27">
        <f>IF(OR($B111="",AB111=""),"",IFERROR(INDEX(LAMINA_HORA!$W$5:$AP$114,MATCH($B111,LAMINA_HORA!$A$5:$A$114,0),MATCH(AB111,LAMINA_HORA!$W$3:$AP$3,0)),"?"))</f>
        <v/>
      </c>
      <c r="AE111" s="14">
        <f>SUM(K111,N111,Q111,T111,W111,Z111,AC111)</f>
        <v/>
      </c>
      <c r="AF111" s="16">
        <f>IF(OR($G111="",AE111=""),"",AE111*$G111*10)</f>
        <v/>
      </c>
      <c r="AG111" s="16">
        <f>IF(OR(AF111="",$H111=""),"",AF111*$H111)</f>
        <v/>
      </c>
      <c r="AH111" s="20" t="n"/>
    </row>
    <row r="112">
      <c r="A112" s="5" t="inlineStr">
        <is>
          <t>Pivô 125</t>
        </is>
      </c>
      <c r="B112" s="7" t="inlineStr">
        <is>
          <t>P125</t>
        </is>
      </c>
      <c r="C112" s="5" t="inlineStr">
        <is>
          <t>RM7</t>
        </is>
      </c>
      <c r="D112" s="5" t="inlineStr">
        <is>
          <t>RDM</t>
        </is>
      </c>
      <c r="E112" s="6" t="inlineStr">
        <is>
          <t>FM 974 GLT</t>
        </is>
      </c>
      <c r="F112" s="26" t="inlineStr"/>
      <c r="G112" s="15" t="n">
        <v>100</v>
      </c>
      <c r="H112" s="17" t="n">
        <v>0.787</v>
      </c>
      <c r="J112" s="7" t="n"/>
      <c r="K112" s="27">
        <f>IF(OR($B112="",J112=""),"",IFERROR(INDEX(LAMINA_HORA!$C$5:$V$114,MATCH($B112,LAMINA_HORA!$A$5:$A$114,0),MATCH(J112,LAMINA_HORA!$C$3:$V$3,0)),"?"))</f>
        <v/>
      </c>
      <c r="L112" s="27">
        <f>IF(OR($B112="",J112=""),"",IFERROR(INDEX(LAMINA_HORA!$W$5:$AP$114,MATCH($B112,LAMINA_HORA!$A$5:$A$114,0),MATCH(J112,LAMINA_HORA!$W$3:$AP$3,0)),"?"))</f>
        <v/>
      </c>
      <c r="M112" s="7" t="n"/>
      <c r="N112" s="27">
        <f>IF(OR($B112="",M112=""),"",IFERROR(INDEX(LAMINA_HORA!$C$5:$V$114,MATCH($B112,LAMINA_HORA!$A$5:$A$114,0),MATCH(M112,LAMINA_HORA!$C$3:$V$3,0)),"?"))</f>
        <v/>
      </c>
      <c r="O112" s="27">
        <f>IF(OR($B112="",M112=""),"",IFERROR(INDEX(LAMINA_HORA!$W$5:$AP$114,MATCH($B112,LAMINA_HORA!$A$5:$A$114,0),MATCH(M112,LAMINA_HORA!$W$3:$AP$3,0)),"?"))</f>
        <v/>
      </c>
      <c r="P112" s="7" t="n"/>
      <c r="Q112" s="27">
        <f>IF(OR($B112="",P112=""),"",IFERROR(INDEX(LAMINA_HORA!$C$5:$V$114,MATCH($B112,LAMINA_HORA!$A$5:$A$114,0),MATCH(P112,LAMINA_HORA!$C$3:$V$3,0)),"?"))</f>
        <v/>
      </c>
      <c r="R112" s="27">
        <f>IF(OR($B112="",P112=""),"",IFERROR(INDEX(LAMINA_HORA!$W$5:$AP$114,MATCH($B112,LAMINA_HORA!$A$5:$A$114,0),MATCH(P112,LAMINA_HORA!$W$3:$AP$3,0)),"?"))</f>
        <v/>
      </c>
      <c r="S112" s="7" t="n"/>
      <c r="T112" s="27">
        <f>IF(OR($B112="",S112=""),"",IFERROR(INDEX(LAMINA_HORA!$C$5:$V$114,MATCH($B112,LAMINA_HORA!$A$5:$A$114,0),MATCH(S112,LAMINA_HORA!$C$3:$V$3,0)),"?"))</f>
        <v/>
      </c>
      <c r="U112" s="27">
        <f>IF(OR($B112="",S112=""),"",IFERROR(INDEX(LAMINA_HORA!$W$5:$AP$114,MATCH($B112,LAMINA_HORA!$A$5:$A$114,0),MATCH(S112,LAMINA_HORA!$W$3:$AP$3,0)),"?"))</f>
        <v/>
      </c>
      <c r="V112" s="7" t="n"/>
      <c r="W112" s="27">
        <f>IF(OR($B112="",V112=""),"",IFERROR(INDEX(LAMINA_HORA!$C$5:$V$114,MATCH($B112,LAMINA_HORA!$A$5:$A$114,0),MATCH(V112,LAMINA_HORA!$C$3:$V$3,0)),"?"))</f>
        <v/>
      </c>
      <c r="X112" s="27">
        <f>IF(OR($B112="",V112=""),"",IFERROR(INDEX(LAMINA_HORA!$W$5:$AP$114,MATCH($B112,LAMINA_HORA!$A$5:$A$114,0),MATCH(V112,LAMINA_HORA!$W$3:$AP$3,0)),"?"))</f>
        <v/>
      </c>
      <c r="Y112" s="7" t="n"/>
      <c r="Z112" s="27">
        <f>IF(OR($B112="",Y112=""),"",IFERROR(INDEX(LAMINA_HORA!$C$5:$V$114,MATCH($B112,LAMINA_HORA!$A$5:$A$114,0),MATCH(Y112,LAMINA_HORA!$C$3:$V$3,0)),"?"))</f>
        <v/>
      </c>
      <c r="AA112" s="27">
        <f>IF(OR($B112="",Y112=""),"",IFERROR(INDEX(LAMINA_HORA!$W$5:$AP$114,MATCH($B112,LAMINA_HORA!$A$5:$A$114,0),MATCH(Y112,LAMINA_HORA!$W$3:$AP$3,0)),"?"))</f>
        <v/>
      </c>
      <c r="AB112" s="7" t="n"/>
      <c r="AC112" s="27">
        <f>IF(OR($B112="",AB112=""),"",IFERROR(INDEX(LAMINA_HORA!$C$5:$V$114,MATCH($B112,LAMINA_HORA!$A$5:$A$114,0),MATCH(AB112,LAMINA_HORA!$C$3:$V$3,0)),"?"))</f>
        <v/>
      </c>
      <c r="AD112" s="27">
        <f>IF(OR($B112="",AB112=""),"",IFERROR(INDEX(LAMINA_HORA!$W$5:$AP$114,MATCH($B112,LAMINA_HORA!$A$5:$A$114,0),MATCH(AB112,LAMINA_HORA!$W$3:$AP$3,0)),"?"))</f>
        <v/>
      </c>
      <c r="AE112" s="14">
        <f>SUM(K112,N112,Q112,T112,W112,Z112,AC112)</f>
        <v/>
      </c>
      <c r="AF112" s="16">
        <f>IF(OR($G112="",AE112=""),"",AE112*$G112*10)</f>
        <v/>
      </c>
      <c r="AG112" s="16">
        <f>IF(OR(AF112="",$H112=""),"",AF112*$H112)</f>
        <v/>
      </c>
      <c r="AH112" s="20" t="n"/>
    </row>
    <row r="113">
      <c r="A113" s="5" t="inlineStr">
        <is>
          <t>Pivô 130</t>
        </is>
      </c>
      <c r="B113" s="7" t="inlineStr">
        <is>
          <t>P130</t>
        </is>
      </c>
      <c r="C113" s="5" t="inlineStr">
        <is>
          <t>RM6</t>
        </is>
      </c>
      <c r="D113" s="5" t="inlineStr">
        <is>
          <t>RDM</t>
        </is>
      </c>
      <c r="E113" s="6" t="inlineStr">
        <is>
          <t>IMA 3764 B2RF</t>
        </is>
      </c>
      <c r="F113" s="26" t="inlineStr"/>
      <c r="G113" s="15" t="n">
        <v>150</v>
      </c>
      <c r="H113" s="17" t="n">
        <v>0.724</v>
      </c>
      <c r="J113" s="7" t="n"/>
      <c r="K113" s="27">
        <f>IF(OR($B113="",J113=""),"",IFERROR(INDEX(LAMINA_HORA!$C$5:$V$114,MATCH($B113,LAMINA_HORA!$A$5:$A$114,0),MATCH(J113,LAMINA_HORA!$C$3:$V$3,0)),"?"))</f>
        <v/>
      </c>
      <c r="L113" s="27">
        <f>IF(OR($B113="",J113=""),"",IFERROR(INDEX(LAMINA_HORA!$W$5:$AP$114,MATCH($B113,LAMINA_HORA!$A$5:$A$114,0),MATCH(J113,LAMINA_HORA!$W$3:$AP$3,0)),"?"))</f>
        <v/>
      </c>
      <c r="M113" s="7" t="n"/>
      <c r="N113" s="27">
        <f>IF(OR($B113="",M113=""),"",IFERROR(INDEX(LAMINA_HORA!$C$5:$V$114,MATCH($B113,LAMINA_HORA!$A$5:$A$114,0),MATCH(M113,LAMINA_HORA!$C$3:$V$3,0)),"?"))</f>
        <v/>
      </c>
      <c r="O113" s="27">
        <f>IF(OR($B113="",M113=""),"",IFERROR(INDEX(LAMINA_HORA!$W$5:$AP$114,MATCH($B113,LAMINA_HORA!$A$5:$A$114,0),MATCH(M113,LAMINA_HORA!$W$3:$AP$3,0)),"?"))</f>
        <v/>
      </c>
      <c r="P113" s="7" t="n"/>
      <c r="Q113" s="27">
        <f>IF(OR($B113="",P113=""),"",IFERROR(INDEX(LAMINA_HORA!$C$5:$V$114,MATCH($B113,LAMINA_HORA!$A$5:$A$114,0),MATCH(P113,LAMINA_HORA!$C$3:$V$3,0)),"?"))</f>
        <v/>
      </c>
      <c r="R113" s="27">
        <f>IF(OR($B113="",P113=""),"",IFERROR(INDEX(LAMINA_HORA!$W$5:$AP$114,MATCH($B113,LAMINA_HORA!$A$5:$A$114,0),MATCH(P113,LAMINA_HORA!$W$3:$AP$3,0)),"?"))</f>
        <v/>
      </c>
      <c r="S113" s="7" t="n"/>
      <c r="T113" s="27">
        <f>IF(OR($B113="",S113=""),"",IFERROR(INDEX(LAMINA_HORA!$C$5:$V$114,MATCH($B113,LAMINA_HORA!$A$5:$A$114,0),MATCH(S113,LAMINA_HORA!$C$3:$V$3,0)),"?"))</f>
        <v/>
      </c>
      <c r="U113" s="27">
        <f>IF(OR($B113="",S113=""),"",IFERROR(INDEX(LAMINA_HORA!$W$5:$AP$114,MATCH($B113,LAMINA_HORA!$A$5:$A$114,0),MATCH(S113,LAMINA_HORA!$W$3:$AP$3,0)),"?"))</f>
        <v/>
      </c>
      <c r="V113" s="7" t="n"/>
      <c r="W113" s="27">
        <f>IF(OR($B113="",V113=""),"",IFERROR(INDEX(LAMINA_HORA!$C$5:$V$114,MATCH($B113,LAMINA_HORA!$A$5:$A$114,0),MATCH(V113,LAMINA_HORA!$C$3:$V$3,0)),"?"))</f>
        <v/>
      </c>
      <c r="X113" s="27">
        <f>IF(OR($B113="",V113=""),"",IFERROR(INDEX(LAMINA_HORA!$W$5:$AP$114,MATCH($B113,LAMINA_HORA!$A$5:$A$114,0),MATCH(V113,LAMINA_HORA!$W$3:$AP$3,0)),"?"))</f>
        <v/>
      </c>
      <c r="Y113" s="7" t="n"/>
      <c r="Z113" s="27">
        <f>IF(OR($B113="",Y113=""),"",IFERROR(INDEX(LAMINA_HORA!$C$5:$V$114,MATCH($B113,LAMINA_HORA!$A$5:$A$114,0),MATCH(Y113,LAMINA_HORA!$C$3:$V$3,0)),"?"))</f>
        <v/>
      </c>
      <c r="AA113" s="27">
        <f>IF(OR($B113="",Y113=""),"",IFERROR(INDEX(LAMINA_HORA!$W$5:$AP$114,MATCH($B113,LAMINA_HORA!$A$5:$A$114,0),MATCH(Y113,LAMINA_HORA!$W$3:$AP$3,0)),"?"))</f>
        <v/>
      </c>
      <c r="AB113" s="7" t="n"/>
      <c r="AC113" s="27">
        <f>IF(OR($B113="",AB113=""),"",IFERROR(INDEX(LAMINA_HORA!$C$5:$V$114,MATCH($B113,LAMINA_HORA!$A$5:$A$114,0),MATCH(AB113,LAMINA_HORA!$C$3:$V$3,0)),"?"))</f>
        <v/>
      </c>
      <c r="AD113" s="27">
        <f>IF(OR($B113="",AB113=""),"",IFERROR(INDEX(LAMINA_HORA!$W$5:$AP$114,MATCH($B113,LAMINA_HORA!$A$5:$A$114,0),MATCH(AB113,LAMINA_HORA!$W$3:$AP$3,0)),"?"))</f>
        <v/>
      </c>
      <c r="AE113" s="14">
        <f>SUM(K113,N113,Q113,T113,W113,Z113,AC113)</f>
        <v/>
      </c>
      <c r="AF113" s="16">
        <f>IF(OR($G113="",AE113=""),"",AE113*$G113*10)</f>
        <v/>
      </c>
      <c r="AG113" s="16">
        <f>IF(OR(AF113="",$H113=""),"",AF113*$H113)</f>
        <v/>
      </c>
      <c r="AH113" s="20" t="n"/>
    </row>
    <row r="114">
      <c r="A114" s="5" t="inlineStr">
        <is>
          <t>Pivô 131</t>
        </is>
      </c>
      <c r="B114" s="7" t="inlineStr">
        <is>
          <t>P131</t>
        </is>
      </c>
      <c r="C114" s="5" t="inlineStr">
        <is>
          <t>RM5</t>
        </is>
      </c>
      <c r="D114" s="5" t="inlineStr">
        <is>
          <t>RDM</t>
        </is>
      </c>
      <c r="E114" s="6" t="inlineStr">
        <is>
          <t>IMA 3764 B2RF</t>
        </is>
      </c>
      <c r="F114" s="26" t="inlineStr"/>
      <c r="G114" s="15" t="n">
        <v>100</v>
      </c>
      <c r="H114" s="17" t="n">
        <v>0.711</v>
      </c>
      <c r="J114" s="7" t="n"/>
      <c r="K114" s="27">
        <f>IF(OR($B114="",J114=""),"",IFERROR(INDEX(LAMINA_HORA!$C$5:$V$114,MATCH($B114,LAMINA_HORA!$A$5:$A$114,0),MATCH(J114,LAMINA_HORA!$C$3:$V$3,0)),"?"))</f>
        <v/>
      </c>
      <c r="L114" s="27">
        <f>IF(OR($B114="",J114=""),"",IFERROR(INDEX(LAMINA_HORA!$W$5:$AP$114,MATCH($B114,LAMINA_HORA!$A$5:$A$114,0),MATCH(J114,LAMINA_HORA!$W$3:$AP$3,0)),"?"))</f>
        <v/>
      </c>
      <c r="M114" s="7" t="n"/>
      <c r="N114" s="27">
        <f>IF(OR($B114="",M114=""),"",IFERROR(INDEX(LAMINA_HORA!$C$5:$V$114,MATCH($B114,LAMINA_HORA!$A$5:$A$114,0),MATCH(M114,LAMINA_HORA!$C$3:$V$3,0)),"?"))</f>
        <v/>
      </c>
      <c r="O114" s="27">
        <f>IF(OR($B114="",M114=""),"",IFERROR(INDEX(LAMINA_HORA!$W$5:$AP$114,MATCH($B114,LAMINA_HORA!$A$5:$A$114,0),MATCH(M114,LAMINA_HORA!$W$3:$AP$3,0)),"?"))</f>
        <v/>
      </c>
      <c r="P114" s="7" t="n"/>
      <c r="Q114" s="27">
        <f>IF(OR($B114="",P114=""),"",IFERROR(INDEX(LAMINA_HORA!$C$5:$V$114,MATCH($B114,LAMINA_HORA!$A$5:$A$114,0),MATCH(P114,LAMINA_HORA!$C$3:$V$3,0)),"?"))</f>
        <v/>
      </c>
      <c r="R114" s="27">
        <f>IF(OR($B114="",P114=""),"",IFERROR(INDEX(LAMINA_HORA!$W$5:$AP$114,MATCH($B114,LAMINA_HORA!$A$5:$A$114,0),MATCH(P114,LAMINA_HORA!$W$3:$AP$3,0)),"?"))</f>
        <v/>
      </c>
      <c r="S114" s="7" t="n"/>
      <c r="T114" s="27">
        <f>IF(OR($B114="",S114=""),"",IFERROR(INDEX(LAMINA_HORA!$C$5:$V$114,MATCH($B114,LAMINA_HORA!$A$5:$A$114,0),MATCH(S114,LAMINA_HORA!$C$3:$V$3,0)),"?"))</f>
        <v/>
      </c>
      <c r="U114" s="27">
        <f>IF(OR($B114="",S114=""),"",IFERROR(INDEX(LAMINA_HORA!$W$5:$AP$114,MATCH($B114,LAMINA_HORA!$A$5:$A$114,0),MATCH(S114,LAMINA_HORA!$W$3:$AP$3,0)),"?"))</f>
        <v/>
      </c>
      <c r="V114" s="7" t="n"/>
      <c r="W114" s="27">
        <f>IF(OR($B114="",V114=""),"",IFERROR(INDEX(LAMINA_HORA!$C$5:$V$114,MATCH($B114,LAMINA_HORA!$A$5:$A$114,0),MATCH(V114,LAMINA_HORA!$C$3:$V$3,0)),"?"))</f>
        <v/>
      </c>
      <c r="X114" s="27">
        <f>IF(OR($B114="",V114=""),"",IFERROR(INDEX(LAMINA_HORA!$W$5:$AP$114,MATCH($B114,LAMINA_HORA!$A$5:$A$114,0),MATCH(V114,LAMINA_HORA!$W$3:$AP$3,0)),"?"))</f>
        <v/>
      </c>
      <c r="Y114" s="7" t="n"/>
      <c r="Z114" s="27">
        <f>IF(OR($B114="",Y114=""),"",IFERROR(INDEX(LAMINA_HORA!$C$5:$V$114,MATCH($B114,LAMINA_HORA!$A$5:$A$114,0),MATCH(Y114,LAMINA_HORA!$C$3:$V$3,0)),"?"))</f>
        <v/>
      </c>
      <c r="AA114" s="27">
        <f>IF(OR($B114="",Y114=""),"",IFERROR(INDEX(LAMINA_HORA!$W$5:$AP$114,MATCH($B114,LAMINA_HORA!$A$5:$A$114,0),MATCH(Y114,LAMINA_HORA!$W$3:$AP$3,0)),"?"))</f>
        <v/>
      </c>
      <c r="AB114" s="7" t="n"/>
      <c r="AC114" s="27">
        <f>IF(OR($B114="",AB114=""),"",IFERROR(INDEX(LAMINA_HORA!$C$5:$V$114,MATCH($B114,LAMINA_HORA!$A$5:$A$114,0),MATCH(AB114,LAMINA_HORA!$C$3:$V$3,0)),"?"))</f>
        <v/>
      </c>
      <c r="AD114" s="27">
        <f>IF(OR($B114="",AB114=""),"",IFERROR(INDEX(LAMINA_HORA!$W$5:$AP$114,MATCH($B114,LAMINA_HORA!$A$5:$A$114,0),MATCH(AB114,LAMINA_HORA!$W$3:$AP$3,0)),"?"))</f>
        <v/>
      </c>
      <c r="AE114" s="14">
        <f>SUM(K114,N114,Q114,T114,W114,Z114,AC114)</f>
        <v/>
      </c>
      <c r="AF114" s="16">
        <f>IF(OR($G114="",AE114=""),"",AE114*$G114*10)</f>
        <v/>
      </c>
      <c r="AG114" s="16">
        <f>IF(OR(AF114="",$H114=""),"",AF114*$H114)</f>
        <v/>
      </c>
      <c r="AH114" s="20" t="n"/>
    </row>
    <row r="115">
      <c r="A115" s="5" t="inlineStr">
        <is>
          <t>Pivô 132</t>
        </is>
      </c>
      <c r="B115" s="7" t="inlineStr">
        <is>
          <t>P132</t>
        </is>
      </c>
      <c r="C115" s="5" t="inlineStr">
        <is>
          <t>RM5</t>
        </is>
      </c>
      <c r="D115" s="5" t="inlineStr">
        <is>
          <t>RDM</t>
        </is>
      </c>
      <c r="E115" s="6" t="inlineStr">
        <is>
          <t>IMA 3764 B2RF</t>
        </is>
      </c>
      <c r="F115" s="26" t="inlineStr"/>
      <c r="G115" s="15" t="n">
        <v>100</v>
      </c>
      <c r="H115" s="17" t="n">
        <v>0.711</v>
      </c>
      <c r="J115" s="7" t="n"/>
      <c r="K115" s="27">
        <f>IF(OR($B115="",J115=""),"",IFERROR(INDEX(LAMINA_HORA!$C$5:$V$114,MATCH($B115,LAMINA_HORA!$A$5:$A$114,0),MATCH(J115,LAMINA_HORA!$C$3:$V$3,0)),"?"))</f>
        <v/>
      </c>
      <c r="L115" s="27">
        <f>IF(OR($B115="",J115=""),"",IFERROR(INDEX(LAMINA_HORA!$W$5:$AP$114,MATCH($B115,LAMINA_HORA!$A$5:$A$114,0),MATCH(J115,LAMINA_HORA!$W$3:$AP$3,0)),"?"))</f>
        <v/>
      </c>
      <c r="M115" s="7" t="n"/>
      <c r="N115" s="27">
        <f>IF(OR($B115="",M115=""),"",IFERROR(INDEX(LAMINA_HORA!$C$5:$V$114,MATCH($B115,LAMINA_HORA!$A$5:$A$114,0),MATCH(M115,LAMINA_HORA!$C$3:$V$3,0)),"?"))</f>
        <v/>
      </c>
      <c r="O115" s="27">
        <f>IF(OR($B115="",M115=""),"",IFERROR(INDEX(LAMINA_HORA!$W$5:$AP$114,MATCH($B115,LAMINA_HORA!$A$5:$A$114,0),MATCH(M115,LAMINA_HORA!$W$3:$AP$3,0)),"?"))</f>
        <v/>
      </c>
      <c r="P115" s="7" t="n"/>
      <c r="Q115" s="27">
        <f>IF(OR($B115="",P115=""),"",IFERROR(INDEX(LAMINA_HORA!$C$5:$V$114,MATCH($B115,LAMINA_HORA!$A$5:$A$114,0),MATCH(P115,LAMINA_HORA!$C$3:$V$3,0)),"?"))</f>
        <v/>
      </c>
      <c r="R115" s="27">
        <f>IF(OR($B115="",P115=""),"",IFERROR(INDEX(LAMINA_HORA!$W$5:$AP$114,MATCH($B115,LAMINA_HORA!$A$5:$A$114,0),MATCH(P115,LAMINA_HORA!$W$3:$AP$3,0)),"?"))</f>
        <v/>
      </c>
      <c r="S115" s="7" t="n"/>
      <c r="T115" s="27">
        <f>IF(OR($B115="",S115=""),"",IFERROR(INDEX(LAMINA_HORA!$C$5:$V$114,MATCH($B115,LAMINA_HORA!$A$5:$A$114,0),MATCH(S115,LAMINA_HORA!$C$3:$V$3,0)),"?"))</f>
        <v/>
      </c>
      <c r="U115" s="27">
        <f>IF(OR($B115="",S115=""),"",IFERROR(INDEX(LAMINA_HORA!$W$5:$AP$114,MATCH($B115,LAMINA_HORA!$A$5:$A$114,0),MATCH(S115,LAMINA_HORA!$W$3:$AP$3,0)),"?"))</f>
        <v/>
      </c>
      <c r="V115" s="7" t="n"/>
      <c r="W115" s="27">
        <f>IF(OR($B115="",V115=""),"",IFERROR(INDEX(LAMINA_HORA!$C$5:$V$114,MATCH($B115,LAMINA_HORA!$A$5:$A$114,0),MATCH(V115,LAMINA_HORA!$C$3:$V$3,0)),"?"))</f>
        <v/>
      </c>
      <c r="X115" s="27">
        <f>IF(OR($B115="",V115=""),"",IFERROR(INDEX(LAMINA_HORA!$W$5:$AP$114,MATCH($B115,LAMINA_HORA!$A$5:$A$114,0),MATCH(V115,LAMINA_HORA!$W$3:$AP$3,0)),"?"))</f>
        <v/>
      </c>
      <c r="Y115" s="7" t="n"/>
      <c r="Z115" s="27">
        <f>IF(OR($B115="",Y115=""),"",IFERROR(INDEX(LAMINA_HORA!$C$5:$V$114,MATCH($B115,LAMINA_HORA!$A$5:$A$114,0),MATCH(Y115,LAMINA_HORA!$C$3:$V$3,0)),"?"))</f>
        <v/>
      </c>
      <c r="AA115" s="27">
        <f>IF(OR($B115="",Y115=""),"",IFERROR(INDEX(LAMINA_HORA!$W$5:$AP$114,MATCH($B115,LAMINA_HORA!$A$5:$A$114,0),MATCH(Y115,LAMINA_HORA!$W$3:$AP$3,0)),"?"))</f>
        <v/>
      </c>
      <c r="AB115" s="7" t="n"/>
      <c r="AC115" s="27">
        <f>IF(OR($B115="",AB115=""),"",IFERROR(INDEX(LAMINA_HORA!$C$5:$V$114,MATCH($B115,LAMINA_HORA!$A$5:$A$114,0),MATCH(AB115,LAMINA_HORA!$C$3:$V$3,0)),"?"))</f>
        <v/>
      </c>
      <c r="AD115" s="27">
        <f>IF(OR($B115="",AB115=""),"",IFERROR(INDEX(LAMINA_HORA!$W$5:$AP$114,MATCH($B115,LAMINA_HORA!$A$5:$A$114,0),MATCH(AB115,LAMINA_HORA!$W$3:$AP$3,0)),"?"))</f>
        <v/>
      </c>
      <c r="AE115" s="14">
        <f>SUM(K115,N115,Q115,T115,W115,Z115,AC115)</f>
        <v/>
      </c>
      <c r="AF115" s="16">
        <f>IF(OR($G115="",AE115=""),"",AE115*$G115*10)</f>
        <v/>
      </c>
      <c r="AG115" s="16">
        <f>IF(OR(AF115="",$H115=""),"",AF115*$H115)</f>
        <v/>
      </c>
      <c r="AH115" s="20" t="n"/>
    </row>
    <row r="116">
      <c r="A116" s="5" t="inlineStr">
        <is>
          <t>Pivô 133</t>
        </is>
      </c>
      <c r="B116" s="7" t="inlineStr">
        <is>
          <t>P133</t>
        </is>
      </c>
      <c r="C116" s="5" t="inlineStr">
        <is>
          <t>RM7</t>
        </is>
      </c>
      <c r="D116" s="5" t="inlineStr">
        <is>
          <t>RDM</t>
        </is>
      </c>
      <c r="E116" s="6" t="inlineStr">
        <is>
          <t>FM 974 GLT</t>
        </is>
      </c>
      <c r="F116" s="26" t="inlineStr"/>
      <c r="G116" s="15" t="n">
        <v>100</v>
      </c>
      <c r="H116" s="17" t="n">
        <v>0.825</v>
      </c>
      <c r="J116" s="7" t="n"/>
      <c r="K116" s="27">
        <f>IF(OR($B116="",J116=""),"",IFERROR(INDEX(LAMINA_HORA!$C$5:$V$114,MATCH($B116,LAMINA_HORA!$A$5:$A$114,0),MATCH(J116,LAMINA_HORA!$C$3:$V$3,0)),"?"))</f>
        <v/>
      </c>
      <c r="L116" s="27">
        <f>IF(OR($B116="",J116=""),"",IFERROR(INDEX(LAMINA_HORA!$W$5:$AP$114,MATCH($B116,LAMINA_HORA!$A$5:$A$114,0),MATCH(J116,LAMINA_HORA!$W$3:$AP$3,0)),"?"))</f>
        <v/>
      </c>
      <c r="M116" s="7" t="n"/>
      <c r="N116" s="27">
        <f>IF(OR($B116="",M116=""),"",IFERROR(INDEX(LAMINA_HORA!$C$5:$V$114,MATCH($B116,LAMINA_HORA!$A$5:$A$114,0),MATCH(M116,LAMINA_HORA!$C$3:$V$3,0)),"?"))</f>
        <v/>
      </c>
      <c r="O116" s="27">
        <f>IF(OR($B116="",M116=""),"",IFERROR(INDEX(LAMINA_HORA!$W$5:$AP$114,MATCH($B116,LAMINA_HORA!$A$5:$A$114,0),MATCH(M116,LAMINA_HORA!$W$3:$AP$3,0)),"?"))</f>
        <v/>
      </c>
      <c r="P116" s="7" t="n"/>
      <c r="Q116" s="27">
        <f>IF(OR($B116="",P116=""),"",IFERROR(INDEX(LAMINA_HORA!$C$5:$V$114,MATCH($B116,LAMINA_HORA!$A$5:$A$114,0),MATCH(P116,LAMINA_HORA!$C$3:$V$3,0)),"?"))</f>
        <v/>
      </c>
      <c r="R116" s="27">
        <f>IF(OR($B116="",P116=""),"",IFERROR(INDEX(LAMINA_HORA!$W$5:$AP$114,MATCH($B116,LAMINA_HORA!$A$5:$A$114,0),MATCH(P116,LAMINA_HORA!$W$3:$AP$3,0)),"?"))</f>
        <v/>
      </c>
      <c r="S116" s="7" t="n"/>
      <c r="T116" s="27">
        <f>IF(OR($B116="",S116=""),"",IFERROR(INDEX(LAMINA_HORA!$C$5:$V$114,MATCH($B116,LAMINA_HORA!$A$5:$A$114,0),MATCH(S116,LAMINA_HORA!$C$3:$V$3,0)),"?"))</f>
        <v/>
      </c>
      <c r="U116" s="27">
        <f>IF(OR($B116="",S116=""),"",IFERROR(INDEX(LAMINA_HORA!$W$5:$AP$114,MATCH($B116,LAMINA_HORA!$A$5:$A$114,0),MATCH(S116,LAMINA_HORA!$W$3:$AP$3,0)),"?"))</f>
        <v/>
      </c>
      <c r="V116" s="7" t="n"/>
      <c r="W116" s="27">
        <f>IF(OR($B116="",V116=""),"",IFERROR(INDEX(LAMINA_HORA!$C$5:$V$114,MATCH($B116,LAMINA_HORA!$A$5:$A$114,0),MATCH(V116,LAMINA_HORA!$C$3:$V$3,0)),"?"))</f>
        <v/>
      </c>
      <c r="X116" s="27">
        <f>IF(OR($B116="",V116=""),"",IFERROR(INDEX(LAMINA_HORA!$W$5:$AP$114,MATCH($B116,LAMINA_HORA!$A$5:$A$114,0),MATCH(V116,LAMINA_HORA!$W$3:$AP$3,0)),"?"))</f>
        <v/>
      </c>
      <c r="Y116" s="7" t="n"/>
      <c r="Z116" s="27">
        <f>IF(OR($B116="",Y116=""),"",IFERROR(INDEX(LAMINA_HORA!$C$5:$V$114,MATCH($B116,LAMINA_HORA!$A$5:$A$114,0),MATCH(Y116,LAMINA_HORA!$C$3:$V$3,0)),"?"))</f>
        <v/>
      </c>
      <c r="AA116" s="27">
        <f>IF(OR($B116="",Y116=""),"",IFERROR(INDEX(LAMINA_HORA!$W$5:$AP$114,MATCH($B116,LAMINA_HORA!$A$5:$A$114,0),MATCH(Y116,LAMINA_HORA!$W$3:$AP$3,0)),"?"))</f>
        <v/>
      </c>
      <c r="AB116" s="7" t="n"/>
      <c r="AC116" s="27">
        <f>IF(OR($B116="",AB116=""),"",IFERROR(INDEX(LAMINA_HORA!$C$5:$V$114,MATCH($B116,LAMINA_HORA!$A$5:$A$114,0),MATCH(AB116,LAMINA_HORA!$C$3:$V$3,0)),"?"))</f>
        <v/>
      </c>
      <c r="AD116" s="27">
        <f>IF(OR($B116="",AB116=""),"",IFERROR(INDEX(LAMINA_HORA!$W$5:$AP$114,MATCH($B116,LAMINA_HORA!$A$5:$A$114,0),MATCH(AB116,LAMINA_HORA!$W$3:$AP$3,0)),"?"))</f>
        <v/>
      </c>
      <c r="AE116" s="14">
        <f>SUM(K116,N116,Q116,T116,W116,Z116,AC116)</f>
        <v/>
      </c>
      <c r="AF116" s="16">
        <f>IF(OR($G116="",AE116=""),"",AE116*$G116*10)</f>
        <v/>
      </c>
      <c r="AG116" s="16">
        <f>IF(OR(AF116="",$H116=""),"",AF116*$H116)</f>
        <v/>
      </c>
      <c r="AH116" s="20" t="n"/>
    </row>
    <row r="117">
      <c r="A117" s="25" t="inlineStr">
        <is>
          <t>CULTURA: TABACO  (5 pivos)</t>
        </is>
      </c>
    </row>
    <row r="118">
      <c r="A118" s="5" t="inlineStr">
        <is>
          <t>Pivô 118</t>
        </is>
      </c>
      <c r="B118" s="7" t="inlineStr">
        <is>
          <t>P118</t>
        </is>
      </c>
      <c r="C118" s="5" t="inlineStr">
        <is>
          <t>RM6</t>
        </is>
      </c>
      <c r="D118" s="5" t="inlineStr">
        <is>
          <t>RDM</t>
        </is>
      </c>
      <c r="E118" s="6" t="inlineStr">
        <is>
          <t>PVH-2343</t>
        </is>
      </c>
      <c r="F118" s="26" t="inlineStr"/>
      <c r="G118" s="15" t="n">
        <v>147</v>
      </c>
      <c r="H118" s="17" t="n">
        <v>0.703</v>
      </c>
      <c r="J118" s="7" t="n"/>
      <c r="K118" s="27">
        <f>IF(OR($B118="",J118=""),"",IFERROR(INDEX(LAMINA_HORA!$C$5:$V$114,MATCH($B118,LAMINA_HORA!$A$5:$A$114,0),MATCH(J118,LAMINA_HORA!$C$3:$V$3,0)),"?"))</f>
        <v/>
      </c>
      <c r="L118" s="27">
        <f>IF(OR($B118="",J118=""),"",IFERROR(INDEX(LAMINA_HORA!$W$5:$AP$114,MATCH($B118,LAMINA_HORA!$A$5:$A$114,0),MATCH(J118,LAMINA_HORA!$W$3:$AP$3,0)),"?"))</f>
        <v/>
      </c>
      <c r="M118" s="7" t="n"/>
      <c r="N118" s="27">
        <f>IF(OR($B118="",M118=""),"",IFERROR(INDEX(LAMINA_HORA!$C$5:$V$114,MATCH($B118,LAMINA_HORA!$A$5:$A$114,0),MATCH(M118,LAMINA_HORA!$C$3:$V$3,0)),"?"))</f>
        <v/>
      </c>
      <c r="O118" s="27">
        <f>IF(OR($B118="",M118=""),"",IFERROR(INDEX(LAMINA_HORA!$W$5:$AP$114,MATCH($B118,LAMINA_HORA!$A$5:$A$114,0),MATCH(M118,LAMINA_HORA!$W$3:$AP$3,0)),"?"))</f>
        <v/>
      </c>
      <c r="P118" s="7" t="n"/>
      <c r="Q118" s="27">
        <f>IF(OR($B118="",P118=""),"",IFERROR(INDEX(LAMINA_HORA!$C$5:$V$114,MATCH($B118,LAMINA_HORA!$A$5:$A$114,0),MATCH(P118,LAMINA_HORA!$C$3:$V$3,0)),"?"))</f>
        <v/>
      </c>
      <c r="R118" s="27">
        <f>IF(OR($B118="",P118=""),"",IFERROR(INDEX(LAMINA_HORA!$W$5:$AP$114,MATCH($B118,LAMINA_HORA!$A$5:$A$114,0),MATCH(P118,LAMINA_HORA!$W$3:$AP$3,0)),"?"))</f>
        <v/>
      </c>
      <c r="S118" s="7" t="n"/>
      <c r="T118" s="27">
        <f>IF(OR($B118="",S118=""),"",IFERROR(INDEX(LAMINA_HORA!$C$5:$V$114,MATCH($B118,LAMINA_HORA!$A$5:$A$114,0),MATCH(S118,LAMINA_HORA!$C$3:$V$3,0)),"?"))</f>
        <v/>
      </c>
      <c r="U118" s="27">
        <f>IF(OR($B118="",S118=""),"",IFERROR(INDEX(LAMINA_HORA!$W$5:$AP$114,MATCH($B118,LAMINA_HORA!$A$5:$A$114,0),MATCH(S118,LAMINA_HORA!$W$3:$AP$3,0)),"?"))</f>
        <v/>
      </c>
      <c r="V118" s="7" t="n"/>
      <c r="W118" s="27">
        <f>IF(OR($B118="",V118=""),"",IFERROR(INDEX(LAMINA_HORA!$C$5:$V$114,MATCH($B118,LAMINA_HORA!$A$5:$A$114,0),MATCH(V118,LAMINA_HORA!$C$3:$V$3,0)),"?"))</f>
        <v/>
      </c>
      <c r="X118" s="27">
        <f>IF(OR($B118="",V118=""),"",IFERROR(INDEX(LAMINA_HORA!$W$5:$AP$114,MATCH($B118,LAMINA_HORA!$A$5:$A$114,0),MATCH(V118,LAMINA_HORA!$W$3:$AP$3,0)),"?"))</f>
        <v/>
      </c>
      <c r="Y118" s="7" t="n"/>
      <c r="Z118" s="27">
        <f>IF(OR($B118="",Y118=""),"",IFERROR(INDEX(LAMINA_HORA!$C$5:$V$114,MATCH($B118,LAMINA_HORA!$A$5:$A$114,0),MATCH(Y118,LAMINA_HORA!$C$3:$V$3,0)),"?"))</f>
        <v/>
      </c>
      <c r="AA118" s="27">
        <f>IF(OR($B118="",Y118=""),"",IFERROR(INDEX(LAMINA_HORA!$W$5:$AP$114,MATCH($B118,LAMINA_HORA!$A$5:$A$114,0),MATCH(Y118,LAMINA_HORA!$W$3:$AP$3,0)),"?"))</f>
        <v/>
      </c>
      <c r="AB118" s="7" t="n"/>
      <c r="AC118" s="27">
        <f>IF(OR($B118="",AB118=""),"",IFERROR(INDEX(LAMINA_HORA!$C$5:$V$114,MATCH($B118,LAMINA_HORA!$A$5:$A$114,0),MATCH(AB118,LAMINA_HORA!$C$3:$V$3,0)),"?"))</f>
        <v/>
      </c>
      <c r="AD118" s="27">
        <f>IF(OR($B118="",AB118=""),"",IFERROR(INDEX(LAMINA_HORA!$W$5:$AP$114,MATCH($B118,LAMINA_HORA!$A$5:$A$114,0),MATCH(AB118,LAMINA_HORA!$W$3:$AP$3,0)),"?"))</f>
        <v/>
      </c>
      <c r="AE118" s="14">
        <f>SUM(K118,N118,Q118,T118,W118,Z118,AC118)</f>
        <v/>
      </c>
      <c r="AF118" s="16">
        <f>IF(OR($G118="",AE118=""),"",AE118*$G118*10)</f>
        <v/>
      </c>
      <c r="AG118" s="16">
        <f>IF(OR(AF118="",$H118=""),"",AF118*$H118)</f>
        <v/>
      </c>
      <c r="AH118" s="20" t="n"/>
    </row>
    <row r="119">
      <c r="A119" s="5" t="inlineStr">
        <is>
          <t>Pivô 119</t>
        </is>
      </c>
      <c r="B119" s="7" t="inlineStr">
        <is>
          <t>P119</t>
        </is>
      </c>
      <c r="C119" s="5" t="inlineStr">
        <is>
          <t>RM6</t>
        </is>
      </c>
      <c r="D119" s="5" t="inlineStr">
        <is>
          <t>RDM</t>
        </is>
      </c>
      <c r="E119" s="6" t="inlineStr">
        <is>
          <t>PVH-2343</t>
        </is>
      </c>
      <c r="F119" s="26" t="inlineStr"/>
      <c r="G119" s="15" t="n">
        <v>150</v>
      </c>
      <c r="H119" s="17" t="n">
        <v>0.724</v>
      </c>
      <c r="J119" s="7" t="n"/>
      <c r="K119" s="27">
        <f>IF(OR($B119="",J119=""),"",IFERROR(INDEX(LAMINA_HORA!$C$5:$V$114,MATCH($B119,LAMINA_HORA!$A$5:$A$114,0),MATCH(J119,LAMINA_HORA!$C$3:$V$3,0)),"?"))</f>
        <v/>
      </c>
      <c r="L119" s="27">
        <f>IF(OR($B119="",J119=""),"",IFERROR(INDEX(LAMINA_HORA!$W$5:$AP$114,MATCH($B119,LAMINA_HORA!$A$5:$A$114,0),MATCH(J119,LAMINA_HORA!$W$3:$AP$3,0)),"?"))</f>
        <v/>
      </c>
      <c r="M119" s="7" t="n"/>
      <c r="N119" s="27">
        <f>IF(OR($B119="",M119=""),"",IFERROR(INDEX(LAMINA_HORA!$C$5:$V$114,MATCH($B119,LAMINA_HORA!$A$5:$A$114,0),MATCH(M119,LAMINA_HORA!$C$3:$V$3,0)),"?"))</f>
        <v/>
      </c>
      <c r="O119" s="27">
        <f>IF(OR($B119="",M119=""),"",IFERROR(INDEX(LAMINA_HORA!$W$5:$AP$114,MATCH($B119,LAMINA_HORA!$A$5:$A$114,0),MATCH(M119,LAMINA_HORA!$W$3:$AP$3,0)),"?"))</f>
        <v/>
      </c>
      <c r="P119" s="7" t="n"/>
      <c r="Q119" s="27">
        <f>IF(OR($B119="",P119=""),"",IFERROR(INDEX(LAMINA_HORA!$C$5:$V$114,MATCH($B119,LAMINA_HORA!$A$5:$A$114,0),MATCH(P119,LAMINA_HORA!$C$3:$V$3,0)),"?"))</f>
        <v/>
      </c>
      <c r="R119" s="27">
        <f>IF(OR($B119="",P119=""),"",IFERROR(INDEX(LAMINA_HORA!$W$5:$AP$114,MATCH($B119,LAMINA_HORA!$A$5:$A$114,0),MATCH(P119,LAMINA_HORA!$W$3:$AP$3,0)),"?"))</f>
        <v/>
      </c>
      <c r="S119" s="7" t="n"/>
      <c r="T119" s="27">
        <f>IF(OR($B119="",S119=""),"",IFERROR(INDEX(LAMINA_HORA!$C$5:$V$114,MATCH($B119,LAMINA_HORA!$A$5:$A$114,0),MATCH(S119,LAMINA_HORA!$C$3:$V$3,0)),"?"))</f>
        <v/>
      </c>
      <c r="U119" s="27">
        <f>IF(OR($B119="",S119=""),"",IFERROR(INDEX(LAMINA_HORA!$W$5:$AP$114,MATCH($B119,LAMINA_HORA!$A$5:$A$114,0),MATCH(S119,LAMINA_HORA!$W$3:$AP$3,0)),"?"))</f>
        <v/>
      </c>
      <c r="V119" s="7" t="n"/>
      <c r="W119" s="27">
        <f>IF(OR($B119="",V119=""),"",IFERROR(INDEX(LAMINA_HORA!$C$5:$V$114,MATCH($B119,LAMINA_HORA!$A$5:$A$114,0),MATCH(V119,LAMINA_HORA!$C$3:$V$3,0)),"?"))</f>
        <v/>
      </c>
      <c r="X119" s="27">
        <f>IF(OR($B119="",V119=""),"",IFERROR(INDEX(LAMINA_HORA!$W$5:$AP$114,MATCH($B119,LAMINA_HORA!$A$5:$A$114,0),MATCH(V119,LAMINA_HORA!$W$3:$AP$3,0)),"?"))</f>
        <v/>
      </c>
      <c r="Y119" s="7" t="n"/>
      <c r="Z119" s="27">
        <f>IF(OR($B119="",Y119=""),"",IFERROR(INDEX(LAMINA_HORA!$C$5:$V$114,MATCH($B119,LAMINA_HORA!$A$5:$A$114,0),MATCH(Y119,LAMINA_HORA!$C$3:$V$3,0)),"?"))</f>
        <v/>
      </c>
      <c r="AA119" s="27">
        <f>IF(OR($B119="",Y119=""),"",IFERROR(INDEX(LAMINA_HORA!$W$5:$AP$114,MATCH($B119,LAMINA_HORA!$A$5:$A$114,0),MATCH(Y119,LAMINA_HORA!$W$3:$AP$3,0)),"?"))</f>
        <v/>
      </c>
      <c r="AB119" s="7" t="n"/>
      <c r="AC119" s="27">
        <f>IF(OR($B119="",AB119=""),"",IFERROR(INDEX(LAMINA_HORA!$C$5:$V$114,MATCH($B119,LAMINA_HORA!$A$5:$A$114,0),MATCH(AB119,LAMINA_HORA!$C$3:$V$3,0)),"?"))</f>
        <v/>
      </c>
      <c r="AD119" s="27">
        <f>IF(OR($B119="",AB119=""),"",IFERROR(INDEX(LAMINA_HORA!$W$5:$AP$114,MATCH($B119,LAMINA_HORA!$A$5:$A$114,0),MATCH(AB119,LAMINA_HORA!$W$3:$AP$3,0)),"?"))</f>
        <v/>
      </c>
      <c r="AE119" s="14">
        <f>SUM(K119,N119,Q119,T119,W119,Z119,AC119)</f>
        <v/>
      </c>
      <c r="AF119" s="16">
        <f>IF(OR($G119="",AE119=""),"",AE119*$G119*10)</f>
        <v/>
      </c>
      <c r="AG119" s="16">
        <f>IF(OR(AF119="",$H119=""),"",AF119*$H119)</f>
        <v/>
      </c>
      <c r="AH119" s="20" t="n"/>
    </row>
    <row r="120">
      <c r="A120" s="5" t="inlineStr">
        <is>
          <t>Pivô 120</t>
        </is>
      </c>
      <c r="B120" s="7" t="inlineStr">
        <is>
          <t>P120</t>
        </is>
      </c>
      <c r="C120" s="5" t="inlineStr">
        <is>
          <t>RM7</t>
        </is>
      </c>
      <c r="D120" s="5" t="inlineStr">
        <is>
          <t>RDM</t>
        </is>
      </c>
      <c r="E120" s="6" t="inlineStr">
        <is>
          <t>PVH-2343</t>
        </is>
      </c>
      <c r="F120" s="26" t="inlineStr"/>
      <c r="G120" s="15" t="n">
        <v>147</v>
      </c>
      <c r="H120" s="17" t="n">
        <v>0.724</v>
      </c>
      <c r="J120" s="7" t="n"/>
      <c r="K120" s="27">
        <f>IF(OR($B120="",J120=""),"",IFERROR(INDEX(LAMINA_HORA!$C$5:$V$114,MATCH($B120,LAMINA_HORA!$A$5:$A$114,0),MATCH(J120,LAMINA_HORA!$C$3:$V$3,0)),"?"))</f>
        <v/>
      </c>
      <c r="L120" s="27">
        <f>IF(OR($B120="",J120=""),"",IFERROR(INDEX(LAMINA_HORA!$W$5:$AP$114,MATCH($B120,LAMINA_HORA!$A$5:$A$114,0),MATCH(J120,LAMINA_HORA!$W$3:$AP$3,0)),"?"))</f>
        <v/>
      </c>
      <c r="M120" s="7" t="n"/>
      <c r="N120" s="27">
        <f>IF(OR($B120="",M120=""),"",IFERROR(INDEX(LAMINA_HORA!$C$5:$V$114,MATCH($B120,LAMINA_HORA!$A$5:$A$114,0),MATCH(M120,LAMINA_HORA!$C$3:$V$3,0)),"?"))</f>
        <v/>
      </c>
      <c r="O120" s="27">
        <f>IF(OR($B120="",M120=""),"",IFERROR(INDEX(LAMINA_HORA!$W$5:$AP$114,MATCH($B120,LAMINA_HORA!$A$5:$A$114,0),MATCH(M120,LAMINA_HORA!$W$3:$AP$3,0)),"?"))</f>
        <v/>
      </c>
      <c r="P120" s="7" t="n"/>
      <c r="Q120" s="27">
        <f>IF(OR($B120="",P120=""),"",IFERROR(INDEX(LAMINA_HORA!$C$5:$V$114,MATCH($B120,LAMINA_HORA!$A$5:$A$114,0),MATCH(P120,LAMINA_HORA!$C$3:$V$3,0)),"?"))</f>
        <v/>
      </c>
      <c r="R120" s="27">
        <f>IF(OR($B120="",P120=""),"",IFERROR(INDEX(LAMINA_HORA!$W$5:$AP$114,MATCH($B120,LAMINA_HORA!$A$5:$A$114,0),MATCH(P120,LAMINA_HORA!$W$3:$AP$3,0)),"?"))</f>
        <v/>
      </c>
      <c r="S120" s="7" t="n"/>
      <c r="T120" s="27">
        <f>IF(OR($B120="",S120=""),"",IFERROR(INDEX(LAMINA_HORA!$C$5:$V$114,MATCH($B120,LAMINA_HORA!$A$5:$A$114,0),MATCH(S120,LAMINA_HORA!$C$3:$V$3,0)),"?"))</f>
        <v/>
      </c>
      <c r="U120" s="27">
        <f>IF(OR($B120="",S120=""),"",IFERROR(INDEX(LAMINA_HORA!$W$5:$AP$114,MATCH($B120,LAMINA_HORA!$A$5:$A$114,0),MATCH(S120,LAMINA_HORA!$W$3:$AP$3,0)),"?"))</f>
        <v/>
      </c>
      <c r="V120" s="7" t="n"/>
      <c r="W120" s="27">
        <f>IF(OR($B120="",V120=""),"",IFERROR(INDEX(LAMINA_HORA!$C$5:$V$114,MATCH($B120,LAMINA_HORA!$A$5:$A$114,0),MATCH(V120,LAMINA_HORA!$C$3:$V$3,0)),"?"))</f>
        <v/>
      </c>
      <c r="X120" s="27">
        <f>IF(OR($B120="",V120=""),"",IFERROR(INDEX(LAMINA_HORA!$W$5:$AP$114,MATCH($B120,LAMINA_HORA!$A$5:$A$114,0),MATCH(V120,LAMINA_HORA!$W$3:$AP$3,0)),"?"))</f>
        <v/>
      </c>
      <c r="Y120" s="7" t="n"/>
      <c r="Z120" s="27">
        <f>IF(OR($B120="",Y120=""),"",IFERROR(INDEX(LAMINA_HORA!$C$5:$V$114,MATCH($B120,LAMINA_HORA!$A$5:$A$114,0),MATCH(Y120,LAMINA_HORA!$C$3:$V$3,0)),"?"))</f>
        <v/>
      </c>
      <c r="AA120" s="27">
        <f>IF(OR($B120="",Y120=""),"",IFERROR(INDEX(LAMINA_HORA!$W$5:$AP$114,MATCH($B120,LAMINA_HORA!$A$5:$A$114,0),MATCH(Y120,LAMINA_HORA!$W$3:$AP$3,0)),"?"))</f>
        <v/>
      </c>
      <c r="AB120" s="7" t="n"/>
      <c r="AC120" s="27">
        <f>IF(OR($B120="",AB120=""),"",IFERROR(INDEX(LAMINA_HORA!$C$5:$V$114,MATCH($B120,LAMINA_HORA!$A$5:$A$114,0),MATCH(AB120,LAMINA_HORA!$C$3:$V$3,0)),"?"))</f>
        <v/>
      </c>
      <c r="AD120" s="27">
        <f>IF(OR($B120="",AB120=""),"",IFERROR(INDEX(LAMINA_HORA!$W$5:$AP$114,MATCH($B120,LAMINA_HORA!$A$5:$A$114,0),MATCH(AB120,LAMINA_HORA!$W$3:$AP$3,0)),"?"))</f>
        <v/>
      </c>
      <c r="AE120" s="14">
        <f>SUM(K120,N120,Q120,T120,W120,Z120,AC120)</f>
        <v/>
      </c>
      <c r="AF120" s="16">
        <f>IF(OR($G120="",AE120=""),"",AE120*$G120*10)</f>
        <v/>
      </c>
      <c r="AG120" s="16">
        <f>IF(OR(AF120="",$H120=""),"",AF120*$H120)</f>
        <v/>
      </c>
      <c r="AH120" s="20" t="n"/>
    </row>
    <row r="121">
      <c r="A121" s="5" t="inlineStr">
        <is>
          <t>Pivô 126</t>
        </is>
      </c>
      <c r="B121" s="7" t="inlineStr">
        <is>
          <t>P126</t>
        </is>
      </c>
      <c r="C121" s="5" t="inlineStr">
        <is>
          <t>RM7</t>
        </is>
      </c>
      <c r="D121" s="5" t="inlineStr">
        <is>
          <t>RDM</t>
        </is>
      </c>
      <c r="E121" s="6" t="inlineStr">
        <is>
          <t>PVH-2343</t>
        </is>
      </c>
      <c r="F121" s="26" t="inlineStr"/>
      <c r="G121" s="15" t="n">
        <v>140</v>
      </c>
      <c r="H121" s="17" t="n">
        <v>0.711</v>
      </c>
      <c r="J121" s="7" t="n"/>
      <c r="K121" s="27">
        <f>IF(OR($B121="",J121=""),"",IFERROR(INDEX(LAMINA_HORA!$C$5:$V$114,MATCH($B121,LAMINA_HORA!$A$5:$A$114,0),MATCH(J121,LAMINA_HORA!$C$3:$V$3,0)),"?"))</f>
        <v/>
      </c>
      <c r="L121" s="27">
        <f>IF(OR($B121="",J121=""),"",IFERROR(INDEX(LAMINA_HORA!$W$5:$AP$114,MATCH($B121,LAMINA_HORA!$A$5:$A$114,0),MATCH(J121,LAMINA_HORA!$W$3:$AP$3,0)),"?"))</f>
        <v/>
      </c>
      <c r="M121" s="7" t="n"/>
      <c r="N121" s="27">
        <f>IF(OR($B121="",M121=""),"",IFERROR(INDEX(LAMINA_HORA!$C$5:$V$114,MATCH($B121,LAMINA_HORA!$A$5:$A$114,0),MATCH(M121,LAMINA_HORA!$C$3:$V$3,0)),"?"))</f>
        <v/>
      </c>
      <c r="O121" s="27">
        <f>IF(OR($B121="",M121=""),"",IFERROR(INDEX(LAMINA_HORA!$W$5:$AP$114,MATCH($B121,LAMINA_HORA!$A$5:$A$114,0),MATCH(M121,LAMINA_HORA!$W$3:$AP$3,0)),"?"))</f>
        <v/>
      </c>
      <c r="P121" s="7" t="n"/>
      <c r="Q121" s="27">
        <f>IF(OR($B121="",P121=""),"",IFERROR(INDEX(LAMINA_HORA!$C$5:$V$114,MATCH($B121,LAMINA_HORA!$A$5:$A$114,0),MATCH(P121,LAMINA_HORA!$C$3:$V$3,0)),"?"))</f>
        <v/>
      </c>
      <c r="R121" s="27">
        <f>IF(OR($B121="",P121=""),"",IFERROR(INDEX(LAMINA_HORA!$W$5:$AP$114,MATCH($B121,LAMINA_HORA!$A$5:$A$114,0),MATCH(P121,LAMINA_HORA!$W$3:$AP$3,0)),"?"))</f>
        <v/>
      </c>
      <c r="S121" s="7" t="n"/>
      <c r="T121" s="27">
        <f>IF(OR($B121="",S121=""),"",IFERROR(INDEX(LAMINA_HORA!$C$5:$V$114,MATCH($B121,LAMINA_HORA!$A$5:$A$114,0),MATCH(S121,LAMINA_HORA!$C$3:$V$3,0)),"?"))</f>
        <v/>
      </c>
      <c r="U121" s="27">
        <f>IF(OR($B121="",S121=""),"",IFERROR(INDEX(LAMINA_HORA!$W$5:$AP$114,MATCH($B121,LAMINA_HORA!$A$5:$A$114,0),MATCH(S121,LAMINA_HORA!$W$3:$AP$3,0)),"?"))</f>
        <v/>
      </c>
      <c r="V121" s="7" t="n"/>
      <c r="W121" s="27">
        <f>IF(OR($B121="",V121=""),"",IFERROR(INDEX(LAMINA_HORA!$C$5:$V$114,MATCH($B121,LAMINA_HORA!$A$5:$A$114,0),MATCH(V121,LAMINA_HORA!$C$3:$V$3,0)),"?"))</f>
        <v/>
      </c>
      <c r="X121" s="27">
        <f>IF(OR($B121="",V121=""),"",IFERROR(INDEX(LAMINA_HORA!$W$5:$AP$114,MATCH($B121,LAMINA_HORA!$A$5:$A$114,0),MATCH(V121,LAMINA_HORA!$W$3:$AP$3,0)),"?"))</f>
        <v/>
      </c>
      <c r="Y121" s="7" t="n"/>
      <c r="Z121" s="27">
        <f>IF(OR($B121="",Y121=""),"",IFERROR(INDEX(LAMINA_HORA!$C$5:$V$114,MATCH($B121,LAMINA_HORA!$A$5:$A$114,0),MATCH(Y121,LAMINA_HORA!$C$3:$V$3,0)),"?"))</f>
        <v/>
      </c>
      <c r="AA121" s="27">
        <f>IF(OR($B121="",Y121=""),"",IFERROR(INDEX(LAMINA_HORA!$W$5:$AP$114,MATCH($B121,LAMINA_HORA!$A$5:$A$114,0),MATCH(Y121,LAMINA_HORA!$W$3:$AP$3,0)),"?"))</f>
        <v/>
      </c>
      <c r="AB121" s="7" t="n"/>
      <c r="AC121" s="27">
        <f>IF(OR($B121="",AB121=""),"",IFERROR(INDEX(LAMINA_HORA!$C$5:$V$114,MATCH($B121,LAMINA_HORA!$A$5:$A$114,0),MATCH(AB121,LAMINA_HORA!$C$3:$V$3,0)),"?"))</f>
        <v/>
      </c>
      <c r="AD121" s="27">
        <f>IF(OR($B121="",AB121=""),"",IFERROR(INDEX(LAMINA_HORA!$W$5:$AP$114,MATCH($B121,LAMINA_HORA!$A$5:$A$114,0),MATCH(AB121,LAMINA_HORA!$W$3:$AP$3,0)),"?"))</f>
        <v/>
      </c>
      <c r="AE121" s="14">
        <f>SUM(K121,N121,Q121,T121,W121,Z121,AC121)</f>
        <v/>
      </c>
      <c r="AF121" s="16">
        <f>IF(OR($G121="",AE121=""),"",AE121*$G121*10)</f>
        <v/>
      </c>
      <c r="AG121" s="16">
        <f>IF(OR(AF121="",$H121=""),"",AF121*$H121)</f>
        <v/>
      </c>
      <c r="AH121" s="20" t="n"/>
    </row>
    <row r="122">
      <c r="A122" s="5" t="inlineStr">
        <is>
          <t>Pivô 128</t>
        </is>
      </c>
      <c r="B122" s="7" t="inlineStr">
        <is>
          <t>P128</t>
        </is>
      </c>
      <c r="C122" s="5" t="inlineStr">
        <is>
          <t>RM6</t>
        </is>
      </c>
      <c r="D122" s="5" t="inlineStr">
        <is>
          <t>RDM</t>
        </is>
      </c>
      <c r="E122" s="6" t="inlineStr">
        <is>
          <t>PVH-2343</t>
        </is>
      </c>
      <c r="F122" s="26" t="inlineStr"/>
      <c r="G122" s="15" t="n">
        <v>140</v>
      </c>
      <c r="H122" s="17" t="n">
        <v>0.711</v>
      </c>
      <c r="J122" s="7" t="n"/>
      <c r="K122" s="27">
        <f>IF(OR($B122="",J122=""),"",IFERROR(INDEX(LAMINA_HORA!$C$5:$V$114,MATCH($B122,LAMINA_HORA!$A$5:$A$114,0),MATCH(J122,LAMINA_HORA!$C$3:$V$3,0)),"?"))</f>
        <v/>
      </c>
      <c r="L122" s="27">
        <f>IF(OR($B122="",J122=""),"",IFERROR(INDEX(LAMINA_HORA!$W$5:$AP$114,MATCH($B122,LAMINA_HORA!$A$5:$A$114,0),MATCH(J122,LAMINA_HORA!$W$3:$AP$3,0)),"?"))</f>
        <v/>
      </c>
      <c r="M122" s="7" t="n"/>
      <c r="N122" s="27">
        <f>IF(OR($B122="",M122=""),"",IFERROR(INDEX(LAMINA_HORA!$C$5:$V$114,MATCH($B122,LAMINA_HORA!$A$5:$A$114,0),MATCH(M122,LAMINA_HORA!$C$3:$V$3,0)),"?"))</f>
        <v/>
      </c>
      <c r="O122" s="27">
        <f>IF(OR($B122="",M122=""),"",IFERROR(INDEX(LAMINA_HORA!$W$5:$AP$114,MATCH($B122,LAMINA_HORA!$A$5:$A$114,0),MATCH(M122,LAMINA_HORA!$W$3:$AP$3,0)),"?"))</f>
        <v/>
      </c>
      <c r="P122" s="7" t="n"/>
      <c r="Q122" s="27">
        <f>IF(OR($B122="",P122=""),"",IFERROR(INDEX(LAMINA_HORA!$C$5:$V$114,MATCH($B122,LAMINA_HORA!$A$5:$A$114,0),MATCH(P122,LAMINA_HORA!$C$3:$V$3,0)),"?"))</f>
        <v/>
      </c>
      <c r="R122" s="27">
        <f>IF(OR($B122="",P122=""),"",IFERROR(INDEX(LAMINA_HORA!$W$5:$AP$114,MATCH($B122,LAMINA_HORA!$A$5:$A$114,0),MATCH(P122,LAMINA_HORA!$W$3:$AP$3,0)),"?"))</f>
        <v/>
      </c>
      <c r="S122" s="7" t="n"/>
      <c r="T122" s="27">
        <f>IF(OR($B122="",S122=""),"",IFERROR(INDEX(LAMINA_HORA!$C$5:$V$114,MATCH($B122,LAMINA_HORA!$A$5:$A$114,0),MATCH(S122,LAMINA_HORA!$C$3:$V$3,0)),"?"))</f>
        <v/>
      </c>
      <c r="U122" s="27">
        <f>IF(OR($B122="",S122=""),"",IFERROR(INDEX(LAMINA_HORA!$W$5:$AP$114,MATCH($B122,LAMINA_HORA!$A$5:$A$114,0),MATCH(S122,LAMINA_HORA!$W$3:$AP$3,0)),"?"))</f>
        <v/>
      </c>
      <c r="V122" s="7" t="n"/>
      <c r="W122" s="27">
        <f>IF(OR($B122="",V122=""),"",IFERROR(INDEX(LAMINA_HORA!$C$5:$V$114,MATCH($B122,LAMINA_HORA!$A$5:$A$114,0),MATCH(V122,LAMINA_HORA!$C$3:$V$3,0)),"?"))</f>
        <v/>
      </c>
      <c r="X122" s="27">
        <f>IF(OR($B122="",V122=""),"",IFERROR(INDEX(LAMINA_HORA!$W$5:$AP$114,MATCH($B122,LAMINA_HORA!$A$5:$A$114,0),MATCH(V122,LAMINA_HORA!$W$3:$AP$3,0)),"?"))</f>
        <v/>
      </c>
      <c r="Y122" s="7" t="n"/>
      <c r="Z122" s="27">
        <f>IF(OR($B122="",Y122=""),"",IFERROR(INDEX(LAMINA_HORA!$C$5:$V$114,MATCH($B122,LAMINA_HORA!$A$5:$A$114,0),MATCH(Y122,LAMINA_HORA!$C$3:$V$3,0)),"?"))</f>
        <v/>
      </c>
      <c r="AA122" s="27">
        <f>IF(OR($B122="",Y122=""),"",IFERROR(INDEX(LAMINA_HORA!$W$5:$AP$114,MATCH($B122,LAMINA_HORA!$A$5:$A$114,0),MATCH(Y122,LAMINA_HORA!$W$3:$AP$3,0)),"?"))</f>
        <v/>
      </c>
      <c r="AB122" s="7" t="n"/>
      <c r="AC122" s="27">
        <f>IF(OR($B122="",AB122=""),"",IFERROR(INDEX(LAMINA_HORA!$C$5:$V$114,MATCH($B122,LAMINA_HORA!$A$5:$A$114,0),MATCH(AB122,LAMINA_HORA!$C$3:$V$3,0)),"?"))</f>
        <v/>
      </c>
      <c r="AD122" s="27">
        <f>IF(OR($B122="",AB122=""),"",IFERROR(INDEX(LAMINA_HORA!$W$5:$AP$114,MATCH($B122,LAMINA_HORA!$A$5:$A$114,0),MATCH(AB122,LAMINA_HORA!$W$3:$AP$3,0)),"?"))</f>
        <v/>
      </c>
      <c r="AE122" s="14">
        <f>SUM(K122,N122,Q122,T122,W122,Z122,AC122)</f>
        <v/>
      </c>
      <c r="AF122" s="16">
        <f>IF(OR($G122="",AE122=""),"",AE122*$G122*10)</f>
        <v/>
      </c>
      <c r="AG122" s="16">
        <f>IF(OR(AF122="",$H122=""),"",AF122*$H122)</f>
        <v/>
      </c>
      <c r="AH122" s="20" t="n"/>
    </row>
    <row r="123">
      <c r="A123" s="25" t="inlineStr">
        <is>
          <t>CULTURA: CACAU  (13 pivos)</t>
        </is>
      </c>
    </row>
    <row r="124">
      <c r="A124" s="5" t="inlineStr">
        <is>
          <t>Pivô 25</t>
        </is>
      </c>
      <c r="B124" s="7" t="inlineStr">
        <is>
          <t>P25</t>
        </is>
      </c>
      <c r="C124" s="5" t="inlineStr">
        <is>
          <t>R7</t>
        </is>
      </c>
      <c r="D124" s="5" t="inlineStr">
        <is>
          <t>Modulo 1</t>
        </is>
      </c>
      <c r="E124" s="6" t="inlineStr">
        <is>
          <t>PS1319/FA13/CCN51</t>
        </is>
      </c>
      <c r="F124" s="26" t="inlineStr"/>
      <c r="G124" s="15" t="n">
        <v>100</v>
      </c>
      <c r="H124" s="17" t="n">
        <v>0.462</v>
      </c>
      <c r="J124" s="7" t="n"/>
      <c r="K124" s="27">
        <f>IF(OR($B124="",J124=""),"",IFERROR(INDEX(LAMINA_HORA!$C$5:$V$114,MATCH($B124,LAMINA_HORA!$A$5:$A$114,0),MATCH(J124,LAMINA_HORA!$C$3:$V$3,0)),"?"))</f>
        <v/>
      </c>
      <c r="L124" s="27">
        <f>IF(OR($B124="",J124=""),"",IFERROR(INDEX(LAMINA_HORA!$W$5:$AP$114,MATCH($B124,LAMINA_HORA!$A$5:$A$114,0),MATCH(J124,LAMINA_HORA!$W$3:$AP$3,0)),"?"))</f>
        <v/>
      </c>
      <c r="M124" s="7" t="n"/>
      <c r="N124" s="27">
        <f>IF(OR($B124="",M124=""),"",IFERROR(INDEX(LAMINA_HORA!$C$5:$V$114,MATCH($B124,LAMINA_HORA!$A$5:$A$114,0),MATCH(M124,LAMINA_HORA!$C$3:$V$3,0)),"?"))</f>
        <v/>
      </c>
      <c r="O124" s="27">
        <f>IF(OR($B124="",M124=""),"",IFERROR(INDEX(LAMINA_HORA!$W$5:$AP$114,MATCH($B124,LAMINA_HORA!$A$5:$A$114,0),MATCH(M124,LAMINA_HORA!$W$3:$AP$3,0)),"?"))</f>
        <v/>
      </c>
      <c r="P124" s="7" t="n"/>
      <c r="Q124" s="27">
        <f>IF(OR($B124="",P124=""),"",IFERROR(INDEX(LAMINA_HORA!$C$5:$V$114,MATCH($B124,LAMINA_HORA!$A$5:$A$114,0),MATCH(P124,LAMINA_HORA!$C$3:$V$3,0)),"?"))</f>
        <v/>
      </c>
      <c r="R124" s="27">
        <f>IF(OR($B124="",P124=""),"",IFERROR(INDEX(LAMINA_HORA!$W$5:$AP$114,MATCH($B124,LAMINA_HORA!$A$5:$A$114,0),MATCH(P124,LAMINA_HORA!$W$3:$AP$3,0)),"?"))</f>
        <v/>
      </c>
      <c r="S124" s="7" t="n"/>
      <c r="T124" s="27">
        <f>IF(OR($B124="",S124=""),"",IFERROR(INDEX(LAMINA_HORA!$C$5:$V$114,MATCH($B124,LAMINA_HORA!$A$5:$A$114,0),MATCH(S124,LAMINA_HORA!$C$3:$V$3,0)),"?"))</f>
        <v/>
      </c>
      <c r="U124" s="27">
        <f>IF(OR($B124="",S124=""),"",IFERROR(INDEX(LAMINA_HORA!$W$5:$AP$114,MATCH($B124,LAMINA_HORA!$A$5:$A$114,0),MATCH(S124,LAMINA_HORA!$W$3:$AP$3,0)),"?"))</f>
        <v/>
      </c>
      <c r="V124" s="7" t="n"/>
      <c r="W124" s="27">
        <f>IF(OR($B124="",V124=""),"",IFERROR(INDEX(LAMINA_HORA!$C$5:$V$114,MATCH($B124,LAMINA_HORA!$A$5:$A$114,0),MATCH(V124,LAMINA_HORA!$C$3:$V$3,0)),"?"))</f>
        <v/>
      </c>
      <c r="X124" s="27">
        <f>IF(OR($B124="",V124=""),"",IFERROR(INDEX(LAMINA_HORA!$W$5:$AP$114,MATCH($B124,LAMINA_HORA!$A$5:$A$114,0),MATCH(V124,LAMINA_HORA!$W$3:$AP$3,0)),"?"))</f>
        <v/>
      </c>
      <c r="Y124" s="7" t="n"/>
      <c r="Z124" s="27">
        <f>IF(OR($B124="",Y124=""),"",IFERROR(INDEX(LAMINA_HORA!$C$5:$V$114,MATCH($B124,LAMINA_HORA!$A$5:$A$114,0),MATCH(Y124,LAMINA_HORA!$C$3:$V$3,0)),"?"))</f>
        <v/>
      </c>
      <c r="AA124" s="27">
        <f>IF(OR($B124="",Y124=""),"",IFERROR(INDEX(LAMINA_HORA!$W$5:$AP$114,MATCH($B124,LAMINA_HORA!$A$5:$A$114,0),MATCH(Y124,LAMINA_HORA!$W$3:$AP$3,0)),"?"))</f>
        <v/>
      </c>
      <c r="AB124" s="7" t="n"/>
      <c r="AC124" s="27">
        <f>IF(OR($B124="",AB124=""),"",IFERROR(INDEX(LAMINA_HORA!$C$5:$V$114,MATCH($B124,LAMINA_HORA!$A$5:$A$114,0),MATCH(AB124,LAMINA_HORA!$C$3:$V$3,0)),"?"))</f>
        <v/>
      </c>
      <c r="AD124" s="27">
        <f>IF(OR($B124="",AB124=""),"",IFERROR(INDEX(LAMINA_HORA!$W$5:$AP$114,MATCH($B124,LAMINA_HORA!$A$5:$A$114,0),MATCH(AB124,LAMINA_HORA!$W$3:$AP$3,0)),"?"))</f>
        <v/>
      </c>
      <c r="AE124" s="14">
        <f>SUM(K124,N124,Q124,T124,W124,Z124,AC124)</f>
        <v/>
      </c>
      <c r="AF124" s="16">
        <f>IF(OR($G124="",AE124=""),"",AE124*$G124*10)</f>
        <v/>
      </c>
      <c r="AG124" s="16">
        <f>IF(OR(AF124="",$H124=""),"",AF124*$H124)</f>
        <v/>
      </c>
      <c r="AH124" s="20" t="n"/>
    </row>
    <row r="125">
      <c r="A125" s="5" t="inlineStr">
        <is>
          <t>Pivô 27</t>
        </is>
      </c>
      <c r="B125" s="7" t="inlineStr">
        <is>
          <t>P27</t>
        </is>
      </c>
      <c r="C125" s="5" t="inlineStr">
        <is>
          <t>R7</t>
        </is>
      </c>
      <c r="D125" s="5" t="inlineStr">
        <is>
          <t>Modulo 1</t>
        </is>
      </c>
      <c r="E125" s="6" t="inlineStr">
        <is>
          <t>PS1319/FA13/CCN51</t>
        </is>
      </c>
      <c r="F125" s="26" t="inlineStr"/>
      <c r="G125" s="15" t="n">
        <v>100</v>
      </c>
      <c r="H125" s="17" t="n">
        <v>0.463</v>
      </c>
      <c r="J125" s="7" t="n"/>
      <c r="K125" s="27">
        <f>IF(OR($B125="",J125=""),"",IFERROR(INDEX(LAMINA_HORA!$C$5:$V$114,MATCH($B125,LAMINA_HORA!$A$5:$A$114,0),MATCH(J125,LAMINA_HORA!$C$3:$V$3,0)),"?"))</f>
        <v/>
      </c>
      <c r="L125" s="27">
        <f>IF(OR($B125="",J125=""),"",IFERROR(INDEX(LAMINA_HORA!$W$5:$AP$114,MATCH($B125,LAMINA_HORA!$A$5:$A$114,0),MATCH(J125,LAMINA_HORA!$W$3:$AP$3,0)),"?"))</f>
        <v/>
      </c>
      <c r="M125" s="7" t="n"/>
      <c r="N125" s="27">
        <f>IF(OR($B125="",M125=""),"",IFERROR(INDEX(LAMINA_HORA!$C$5:$V$114,MATCH($B125,LAMINA_HORA!$A$5:$A$114,0),MATCH(M125,LAMINA_HORA!$C$3:$V$3,0)),"?"))</f>
        <v/>
      </c>
      <c r="O125" s="27">
        <f>IF(OR($B125="",M125=""),"",IFERROR(INDEX(LAMINA_HORA!$W$5:$AP$114,MATCH($B125,LAMINA_HORA!$A$5:$A$114,0),MATCH(M125,LAMINA_HORA!$W$3:$AP$3,0)),"?"))</f>
        <v/>
      </c>
      <c r="P125" s="7" t="n"/>
      <c r="Q125" s="27">
        <f>IF(OR($B125="",P125=""),"",IFERROR(INDEX(LAMINA_HORA!$C$5:$V$114,MATCH($B125,LAMINA_HORA!$A$5:$A$114,0),MATCH(P125,LAMINA_HORA!$C$3:$V$3,0)),"?"))</f>
        <v/>
      </c>
      <c r="R125" s="27">
        <f>IF(OR($B125="",P125=""),"",IFERROR(INDEX(LAMINA_HORA!$W$5:$AP$114,MATCH($B125,LAMINA_HORA!$A$5:$A$114,0),MATCH(P125,LAMINA_HORA!$W$3:$AP$3,0)),"?"))</f>
        <v/>
      </c>
      <c r="S125" s="7" t="n"/>
      <c r="T125" s="27">
        <f>IF(OR($B125="",S125=""),"",IFERROR(INDEX(LAMINA_HORA!$C$5:$V$114,MATCH($B125,LAMINA_HORA!$A$5:$A$114,0),MATCH(S125,LAMINA_HORA!$C$3:$V$3,0)),"?"))</f>
        <v/>
      </c>
      <c r="U125" s="27">
        <f>IF(OR($B125="",S125=""),"",IFERROR(INDEX(LAMINA_HORA!$W$5:$AP$114,MATCH($B125,LAMINA_HORA!$A$5:$A$114,0),MATCH(S125,LAMINA_HORA!$W$3:$AP$3,0)),"?"))</f>
        <v/>
      </c>
      <c r="V125" s="7" t="n"/>
      <c r="W125" s="27">
        <f>IF(OR($B125="",V125=""),"",IFERROR(INDEX(LAMINA_HORA!$C$5:$V$114,MATCH($B125,LAMINA_HORA!$A$5:$A$114,0),MATCH(V125,LAMINA_HORA!$C$3:$V$3,0)),"?"))</f>
        <v/>
      </c>
      <c r="X125" s="27">
        <f>IF(OR($B125="",V125=""),"",IFERROR(INDEX(LAMINA_HORA!$W$5:$AP$114,MATCH($B125,LAMINA_HORA!$A$5:$A$114,0),MATCH(V125,LAMINA_HORA!$W$3:$AP$3,0)),"?"))</f>
        <v/>
      </c>
      <c r="Y125" s="7" t="n"/>
      <c r="Z125" s="27">
        <f>IF(OR($B125="",Y125=""),"",IFERROR(INDEX(LAMINA_HORA!$C$5:$V$114,MATCH($B125,LAMINA_HORA!$A$5:$A$114,0),MATCH(Y125,LAMINA_HORA!$C$3:$V$3,0)),"?"))</f>
        <v/>
      </c>
      <c r="AA125" s="27">
        <f>IF(OR($B125="",Y125=""),"",IFERROR(INDEX(LAMINA_HORA!$W$5:$AP$114,MATCH($B125,LAMINA_HORA!$A$5:$A$114,0),MATCH(Y125,LAMINA_HORA!$W$3:$AP$3,0)),"?"))</f>
        <v/>
      </c>
      <c r="AB125" s="7" t="n"/>
      <c r="AC125" s="27">
        <f>IF(OR($B125="",AB125=""),"",IFERROR(INDEX(LAMINA_HORA!$C$5:$V$114,MATCH($B125,LAMINA_HORA!$A$5:$A$114,0),MATCH(AB125,LAMINA_HORA!$C$3:$V$3,0)),"?"))</f>
        <v/>
      </c>
      <c r="AD125" s="27">
        <f>IF(OR($B125="",AB125=""),"",IFERROR(INDEX(LAMINA_HORA!$W$5:$AP$114,MATCH($B125,LAMINA_HORA!$A$5:$A$114,0),MATCH(AB125,LAMINA_HORA!$W$3:$AP$3,0)),"?"))</f>
        <v/>
      </c>
      <c r="AE125" s="14">
        <f>SUM(K125,N125,Q125,T125,W125,Z125,AC125)</f>
        <v/>
      </c>
      <c r="AF125" s="16">
        <f>IF(OR($G125="",AE125=""),"",AE125*$G125*10)</f>
        <v/>
      </c>
      <c r="AG125" s="16">
        <f>IF(OR(AF125="",$H125=""),"",AF125*$H125)</f>
        <v/>
      </c>
      <c r="AH125" s="20" t="n"/>
    </row>
    <row r="126">
      <c r="A126" s="5" t="inlineStr">
        <is>
          <t>Pivô 28</t>
        </is>
      </c>
      <c r="B126" s="7" t="inlineStr">
        <is>
          <t>P28</t>
        </is>
      </c>
      <c r="C126" s="5" t="inlineStr">
        <is>
          <t>R7</t>
        </is>
      </c>
      <c r="D126" s="5" t="inlineStr">
        <is>
          <t>Modulo 1</t>
        </is>
      </c>
      <c r="E126" s="6" t="inlineStr">
        <is>
          <t>PS1319/FA13/CCN51</t>
        </is>
      </c>
      <c r="F126" s="26" t="inlineStr"/>
      <c r="G126" s="15" t="n">
        <v>133</v>
      </c>
      <c r="H126" s="17" t="n">
        <v>0.54</v>
      </c>
      <c r="J126" s="7" t="n"/>
      <c r="K126" s="27">
        <f>IF(OR($B126="",J126=""),"",IFERROR(INDEX(LAMINA_HORA!$C$5:$V$114,MATCH($B126,LAMINA_HORA!$A$5:$A$114,0),MATCH(J126,LAMINA_HORA!$C$3:$V$3,0)),"?"))</f>
        <v/>
      </c>
      <c r="L126" s="27">
        <f>IF(OR($B126="",J126=""),"",IFERROR(INDEX(LAMINA_HORA!$W$5:$AP$114,MATCH($B126,LAMINA_HORA!$A$5:$A$114,0),MATCH(J126,LAMINA_HORA!$W$3:$AP$3,0)),"?"))</f>
        <v/>
      </c>
      <c r="M126" s="7" t="n"/>
      <c r="N126" s="27">
        <f>IF(OR($B126="",M126=""),"",IFERROR(INDEX(LAMINA_HORA!$C$5:$V$114,MATCH($B126,LAMINA_HORA!$A$5:$A$114,0),MATCH(M126,LAMINA_HORA!$C$3:$V$3,0)),"?"))</f>
        <v/>
      </c>
      <c r="O126" s="27">
        <f>IF(OR($B126="",M126=""),"",IFERROR(INDEX(LAMINA_HORA!$W$5:$AP$114,MATCH($B126,LAMINA_HORA!$A$5:$A$114,0),MATCH(M126,LAMINA_HORA!$W$3:$AP$3,0)),"?"))</f>
        <v/>
      </c>
      <c r="P126" s="7" t="n"/>
      <c r="Q126" s="27">
        <f>IF(OR($B126="",P126=""),"",IFERROR(INDEX(LAMINA_HORA!$C$5:$V$114,MATCH($B126,LAMINA_HORA!$A$5:$A$114,0),MATCH(P126,LAMINA_HORA!$C$3:$V$3,0)),"?"))</f>
        <v/>
      </c>
      <c r="R126" s="27">
        <f>IF(OR($B126="",P126=""),"",IFERROR(INDEX(LAMINA_HORA!$W$5:$AP$114,MATCH($B126,LAMINA_HORA!$A$5:$A$114,0),MATCH(P126,LAMINA_HORA!$W$3:$AP$3,0)),"?"))</f>
        <v/>
      </c>
      <c r="S126" s="7" t="n"/>
      <c r="T126" s="27">
        <f>IF(OR($B126="",S126=""),"",IFERROR(INDEX(LAMINA_HORA!$C$5:$V$114,MATCH($B126,LAMINA_HORA!$A$5:$A$114,0),MATCH(S126,LAMINA_HORA!$C$3:$V$3,0)),"?"))</f>
        <v/>
      </c>
      <c r="U126" s="27">
        <f>IF(OR($B126="",S126=""),"",IFERROR(INDEX(LAMINA_HORA!$W$5:$AP$114,MATCH($B126,LAMINA_HORA!$A$5:$A$114,0),MATCH(S126,LAMINA_HORA!$W$3:$AP$3,0)),"?"))</f>
        <v/>
      </c>
      <c r="V126" s="7" t="n"/>
      <c r="W126" s="27">
        <f>IF(OR($B126="",V126=""),"",IFERROR(INDEX(LAMINA_HORA!$C$5:$V$114,MATCH($B126,LAMINA_HORA!$A$5:$A$114,0),MATCH(V126,LAMINA_HORA!$C$3:$V$3,0)),"?"))</f>
        <v/>
      </c>
      <c r="X126" s="27">
        <f>IF(OR($B126="",V126=""),"",IFERROR(INDEX(LAMINA_HORA!$W$5:$AP$114,MATCH($B126,LAMINA_HORA!$A$5:$A$114,0),MATCH(V126,LAMINA_HORA!$W$3:$AP$3,0)),"?"))</f>
        <v/>
      </c>
      <c r="Y126" s="7" t="n"/>
      <c r="Z126" s="27">
        <f>IF(OR($B126="",Y126=""),"",IFERROR(INDEX(LAMINA_HORA!$C$5:$V$114,MATCH($B126,LAMINA_HORA!$A$5:$A$114,0),MATCH(Y126,LAMINA_HORA!$C$3:$V$3,0)),"?"))</f>
        <v/>
      </c>
      <c r="AA126" s="27">
        <f>IF(OR($B126="",Y126=""),"",IFERROR(INDEX(LAMINA_HORA!$W$5:$AP$114,MATCH($B126,LAMINA_HORA!$A$5:$A$114,0),MATCH(Y126,LAMINA_HORA!$W$3:$AP$3,0)),"?"))</f>
        <v/>
      </c>
      <c r="AB126" s="7" t="n"/>
      <c r="AC126" s="27">
        <f>IF(OR($B126="",AB126=""),"",IFERROR(INDEX(LAMINA_HORA!$C$5:$V$114,MATCH($B126,LAMINA_HORA!$A$5:$A$114,0),MATCH(AB126,LAMINA_HORA!$C$3:$V$3,0)),"?"))</f>
        <v/>
      </c>
      <c r="AD126" s="27">
        <f>IF(OR($B126="",AB126=""),"",IFERROR(INDEX(LAMINA_HORA!$W$5:$AP$114,MATCH($B126,LAMINA_HORA!$A$5:$A$114,0),MATCH(AB126,LAMINA_HORA!$W$3:$AP$3,0)),"?"))</f>
        <v/>
      </c>
      <c r="AE126" s="14">
        <f>SUM(K126,N126,Q126,T126,W126,Z126,AC126)</f>
        <v/>
      </c>
      <c r="AF126" s="16">
        <f>IF(OR($G126="",AE126=""),"",AE126*$G126*10)</f>
        <v/>
      </c>
      <c r="AG126" s="16">
        <f>IF(OR(AF126="",$H126=""),"",AF126*$H126)</f>
        <v/>
      </c>
      <c r="AH126" s="20" t="n"/>
    </row>
    <row r="127">
      <c r="A127" s="5" t="inlineStr">
        <is>
          <t>Pivô 29</t>
        </is>
      </c>
      <c r="B127" s="7" t="inlineStr">
        <is>
          <t>P29</t>
        </is>
      </c>
      <c r="C127" s="5" t="inlineStr">
        <is>
          <t>R7</t>
        </is>
      </c>
      <c r="D127" s="5" t="inlineStr">
        <is>
          <t>Modulo 1</t>
        </is>
      </c>
      <c r="E127" s="6" t="inlineStr">
        <is>
          <t>PS1319/FA13/CCN51</t>
        </is>
      </c>
      <c r="F127" s="26" t="inlineStr"/>
      <c r="G127" s="15" t="n">
        <v>80</v>
      </c>
      <c r="H127" s="17" t="n">
        <v>0.504</v>
      </c>
      <c r="J127" s="7" t="n"/>
      <c r="K127" s="27">
        <f>IF(OR($B127="",J127=""),"",IFERROR(INDEX(LAMINA_HORA!$C$5:$V$114,MATCH($B127,LAMINA_HORA!$A$5:$A$114,0),MATCH(J127,LAMINA_HORA!$C$3:$V$3,0)),"?"))</f>
        <v/>
      </c>
      <c r="L127" s="27">
        <f>IF(OR($B127="",J127=""),"",IFERROR(INDEX(LAMINA_HORA!$W$5:$AP$114,MATCH($B127,LAMINA_HORA!$A$5:$A$114,0),MATCH(J127,LAMINA_HORA!$W$3:$AP$3,0)),"?"))</f>
        <v/>
      </c>
      <c r="M127" s="7" t="n"/>
      <c r="N127" s="27">
        <f>IF(OR($B127="",M127=""),"",IFERROR(INDEX(LAMINA_HORA!$C$5:$V$114,MATCH($B127,LAMINA_HORA!$A$5:$A$114,0),MATCH(M127,LAMINA_HORA!$C$3:$V$3,0)),"?"))</f>
        <v/>
      </c>
      <c r="O127" s="27">
        <f>IF(OR($B127="",M127=""),"",IFERROR(INDEX(LAMINA_HORA!$W$5:$AP$114,MATCH($B127,LAMINA_HORA!$A$5:$A$114,0),MATCH(M127,LAMINA_HORA!$W$3:$AP$3,0)),"?"))</f>
        <v/>
      </c>
      <c r="P127" s="7" t="n"/>
      <c r="Q127" s="27">
        <f>IF(OR($B127="",P127=""),"",IFERROR(INDEX(LAMINA_HORA!$C$5:$V$114,MATCH($B127,LAMINA_HORA!$A$5:$A$114,0),MATCH(P127,LAMINA_HORA!$C$3:$V$3,0)),"?"))</f>
        <v/>
      </c>
      <c r="R127" s="27">
        <f>IF(OR($B127="",P127=""),"",IFERROR(INDEX(LAMINA_HORA!$W$5:$AP$114,MATCH($B127,LAMINA_HORA!$A$5:$A$114,0),MATCH(P127,LAMINA_HORA!$W$3:$AP$3,0)),"?"))</f>
        <v/>
      </c>
      <c r="S127" s="7" t="n"/>
      <c r="T127" s="27">
        <f>IF(OR($B127="",S127=""),"",IFERROR(INDEX(LAMINA_HORA!$C$5:$V$114,MATCH($B127,LAMINA_HORA!$A$5:$A$114,0),MATCH(S127,LAMINA_HORA!$C$3:$V$3,0)),"?"))</f>
        <v/>
      </c>
      <c r="U127" s="27">
        <f>IF(OR($B127="",S127=""),"",IFERROR(INDEX(LAMINA_HORA!$W$5:$AP$114,MATCH($B127,LAMINA_HORA!$A$5:$A$114,0),MATCH(S127,LAMINA_HORA!$W$3:$AP$3,0)),"?"))</f>
        <v/>
      </c>
      <c r="V127" s="7" t="n"/>
      <c r="W127" s="27">
        <f>IF(OR($B127="",V127=""),"",IFERROR(INDEX(LAMINA_HORA!$C$5:$V$114,MATCH($B127,LAMINA_HORA!$A$5:$A$114,0),MATCH(V127,LAMINA_HORA!$C$3:$V$3,0)),"?"))</f>
        <v/>
      </c>
      <c r="X127" s="27">
        <f>IF(OR($B127="",V127=""),"",IFERROR(INDEX(LAMINA_HORA!$W$5:$AP$114,MATCH($B127,LAMINA_HORA!$A$5:$A$114,0),MATCH(V127,LAMINA_HORA!$W$3:$AP$3,0)),"?"))</f>
        <v/>
      </c>
      <c r="Y127" s="7" t="n"/>
      <c r="Z127" s="27">
        <f>IF(OR($B127="",Y127=""),"",IFERROR(INDEX(LAMINA_HORA!$C$5:$V$114,MATCH($B127,LAMINA_HORA!$A$5:$A$114,0),MATCH(Y127,LAMINA_HORA!$C$3:$V$3,0)),"?"))</f>
        <v/>
      </c>
      <c r="AA127" s="27">
        <f>IF(OR($B127="",Y127=""),"",IFERROR(INDEX(LAMINA_HORA!$W$5:$AP$114,MATCH($B127,LAMINA_HORA!$A$5:$A$114,0),MATCH(Y127,LAMINA_HORA!$W$3:$AP$3,0)),"?"))</f>
        <v/>
      </c>
      <c r="AB127" s="7" t="n"/>
      <c r="AC127" s="27">
        <f>IF(OR($B127="",AB127=""),"",IFERROR(INDEX(LAMINA_HORA!$C$5:$V$114,MATCH($B127,LAMINA_HORA!$A$5:$A$114,0),MATCH(AB127,LAMINA_HORA!$C$3:$V$3,0)),"?"))</f>
        <v/>
      </c>
      <c r="AD127" s="27">
        <f>IF(OR($B127="",AB127=""),"",IFERROR(INDEX(LAMINA_HORA!$W$5:$AP$114,MATCH($B127,LAMINA_HORA!$A$5:$A$114,0),MATCH(AB127,LAMINA_HORA!$W$3:$AP$3,0)),"?"))</f>
        <v/>
      </c>
      <c r="AE127" s="14">
        <f>SUM(K127,N127,Q127,T127,W127,Z127,AC127)</f>
        <v/>
      </c>
      <c r="AF127" s="16">
        <f>IF(OR($G127="",AE127=""),"",AE127*$G127*10)</f>
        <v/>
      </c>
      <c r="AG127" s="16">
        <f>IF(OR(AF127="",$H127=""),"",AF127*$H127)</f>
        <v/>
      </c>
      <c r="AH127" s="20" t="n"/>
    </row>
    <row r="128">
      <c r="A128" s="5" t="inlineStr">
        <is>
          <t>Pivô 30</t>
        </is>
      </c>
      <c r="B128" s="7" t="inlineStr">
        <is>
          <t>P30</t>
        </is>
      </c>
      <c r="C128" s="5" t="inlineStr">
        <is>
          <t>C3Z3/R7</t>
        </is>
      </c>
      <c r="D128" s="5" t="inlineStr">
        <is>
          <t>Modulo 1</t>
        </is>
      </c>
      <c r="E128" s="6" t="inlineStr">
        <is>
          <t>PS1319/FA13/CCN51</t>
        </is>
      </c>
      <c r="F128" s="26" t="inlineStr"/>
      <c r="G128" s="15" t="n">
        <v>150</v>
      </c>
      <c r="H128" s="17" t="n">
        <v>0.441</v>
      </c>
      <c r="J128" s="7" t="n"/>
      <c r="K128" s="27">
        <f>IF(OR($B128="",J128=""),"",IFERROR(INDEX(LAMINA_HORA!$C$5:$V$114,MATCH($B128,LAMINA_HORA!$A$5:$A$114,0),MATCH(J128,LAMINA_HORA!$C$3:$V$3,0)),"?"))</f>
        <v/>
      </c>
      <c r="L128" s="27">
        <f>IF(OR($B128="",J128=""),"",IFERROR(INDEX(LAMINA_HORA!$W$5:$AP$114,MATCH($B128,LAMINA_HORA!$A$5:$A$114,0),MATCH(J128,LAMINA_HORA!$W$3:$AP$3,0)),"?"))</f>
        <v/>
      </c>
      <c r="M128" s="7" t="n"/>
      <c r="N128" s="27">
        <f>IF(OR($B128="",M128=""),"",IFERROR(INDEX(LAMINA_HORA!$C$5:$V$114,MATCH($B128,LAMINA_HORA!$A$5:$A$114,0),MATCH(M128,LAMINA_HORA!$C$3:$V$3,0)),"?"))</f>
        <v/>
      </c>
      <c r="O128" s="27">
        <f>IF(OR($B128="",M128=""),"",IFERROR(INDEX(LAMINA_HORA!$W$5:$AP$114,MATCH($B128,LAMINA_HORA!$A$5:$A$114,0),MATCH(M128,LAMINA_HORA!$W$3:$AP$3,0)),"?"))</f>
        <v/>
      </c>
      <c r="P128" s="7" t="n"/>
      <c r="Q128" s="27">
        <f>IF(OR($B128="",P128=""),"",IFERROR(INDEX(LAMINA_HORA!$C$5:$V$114,MATCH($B128,LAMINA_HORA!$A$5:$A$114,0),MATCH(P128,LAMINA_HORA!$C$3:$V$3,0)),"?"))</f>
        <v/>
      </c>
      <c r="R128" s="27">
        <f>IF(OR($B128="",P128=""),"",IFERROR(INDEX(LAMINA_HORA!$W$5:$AP$114,MATCH($B128,LAMINA_HORA!$A$5:$A$114,0),MATCH(P128,LAMINA_HORA!$W$3:$AP$3,0)),"?"))</f>
        <v/>
      </c>
      <c r="S128" s="7" t="n"/>
      <c r="T128" s="27">
        <f>IF(OR($B128="",S128=""),"",IFERROR(INDEX(LAMINA_HORA!$C$5:$V$114,MATCH($B128,LAMINA_HORA!$A$5:$A$114,0),MATCH(S128,LAMINA_HORA!$C$3:$V$3,0)),"?"))</f>
        <v/>
      </c>
      <c r="U128" s="27">
        <f>IF(OR($B128="",S128=""),"",IFERROR(INDEX(LAMINA_HORA!$W$5:$AP$114,MATCH($B128,LAMINA_HORA!$A$5:$A$114,0),MATCH(S128,LAMINA_HORA!$W$3:$AP$3,0)),"?"))</f>
        <v/>
      </c>
      <c r="V128" s="7" t="n"/>
      <c r="W128" s="27">
        <f>IF(OR($B128="",V128=""),"",IFERROR(INDEX(LAMINA_HORA!$C$5:$V$114,MATCH($B128,LAMINA_HORA!$A$5:$A$114,0),MATCH(V128,LAMINA_HORA!$C$3:$V$3,0)),"?"))</f>
        <v/>
      </c>
      <c r="X128" s="27">
        <f>IF(OR($B128="",V128=""),"",IFERROR(INDEX(LAMINA_HORA!$W$5:$AP$114,MATCH($B128,LAMINA_HORA!$A$5:$A$114,0),MATCH(V128,LAMINA_HORA!$W$3:$AP$3,0)),"?"))</f>
        <v/>
      </c>
      <c r="Y128" s="7" t="n"/>
      <c r="Z128" s="27">
        <f>IF(OR($B128="",Y128=""),"",IFERROR(INDEX(LAMINA_HORA!$C$5:$V$114,MATCH($B128,LAMINA_HORA!$A$5:$A$114,0),MATCH(Y128,LAMINA_HORA!$C$3:$V$3,0)),"?"))</f>
        <v/>
      </c>
      <c r="AA128" s="27">
        <f>IF(OR($B128="",Y128=""),"",IFERROR(INDEX(LAMINA_HORA!$W$5:$AP$114,MATCH($B128,LAMINA_HORA!$A$5:$A$114,0),MATCH(Y128,LAMINA_HORA!$W$3:$AP$3,0)),"?"))</f>
        <v/>
      </c>
      <c r="AB128" s="7" t="n"/>
      <c r="AC128" s="27">
        <f>IF(OR($B128="",AB128=""),"",IFERROR(INDEX(LAMINA_HORA!$C$5:$V$114,MATCH($B128,LAMINA_HORA!$A$5:$A$114,0),MATCH(AB128,LAMINA_HORA!$C$3:$V$3,0)),"?"))</f>
        <v/>
      </c>
      <c r="AD128" s="27">
        <f>IF(OR($B128="",AB128=""),"",IFERROR(INDEX(LAMINA_HORA!$W$5:$AP$114,MATCH($B128,LAMINA_HORA!$A$5:$A$114,0),MATCH(AB128,LAMINA_HORA!$W$3:$AP$3,0)),"?"))</f>
        <v/>
      </c>
      <c r="AE128" s="14">
        <f>SUM(K128,N128,Q128,T128,W128,Z128,AC128)</f>
        <v/>
      </c>
      <c r="AF128" s="16">
        <f>IF(OR($G128="",AE128=""),"",AE128*$G128*10)</f>
        <v/>
      </c>
      <c r="AG128" s="16">
        <f>IF(OR(AF128="",$H128=""),"",AF128*$H128)</f>
        <v/>
      </c>
      <c r="AH128" s="20" t="n"/>
    </row>
    <row r="129">
      <c r="A129" s="5" t="inlineStr">
        <is>
          <t>Pivô 31</t>
        </is>
      </c>
      <c r="B129" s="7" t="inlineStr">
        <is>
          <t>P31</t>
        </is>
      </c>
      <c r="C129" s="5" t="inlineStr">
        <is>
          <t>C3Z3/R7</t>
        </is>
      </c>
      <c r="D129" s="5" t="inlineStr">
        <is>
          <t>Modulo 1</t>
        </is>
      </c>
      <c r="E129" s="6" t="inlineStr">
        <is>
          <t>PS1319/FA13/CCN51</t>
        </is>
      </c>
      <c r="F129" s="26" t="inlineStr"/>
      <c r="G129" s="15" t="n">
        <v>150</v>
      </c>
      <c r="H129" s="17" t="n">
        <v>0.449</v>
      </c>
      <c r="J129" s="7" t="n"/>
      <c r="K129" s="27">
        <f>IF(OR($B129="",J129=""),"",IFERROR(INDEX(LAMINA_HORA!$C$5:$V$114,MATCH($B129,LAMINA_HORA!$A$5:$A$114,0),MATCH(J129,LAMINA_HORA!$C$3:$V$3,0)),"?"))</f>
        <v/>
      </c>
      <c r="L129" s="27">
        <f>IF(OR($B129="",J129=""),"",IFERROR(INDEX(LAMINA_HORA!$W$5:$AP$114,MATCH($B129,LAMINA_HORA!$A$5:$A$114,0),MATCH(J129,LAMINA_HORA!$W$3:$AP$3,0)),"?"))</f>
        <v/>
      </c>
      <c r="M129" s="7" t="n"/>
      <c r="N129" s="27">
        <f>IF(OR($B129="",M129=""),"",IFERROR(INDEX(LAMINA_HORA!$C$5:$V$114,MATCH($B129,LAMINA_HORA!$A$5:$A$114,0),MATCH(M129,LAMINA_HORA!$C$3:$V$3,0)),"?"))</f>
        <v/>
      </c>
      <c r="O129" s="27">
        <f>IF(OR($B129="",M129=""),"",IFERROR(INDEX(LAMINA_HORA!$W$5:$AP$114,MATCH($B129,LAMINA_HORA!$A$5:$A$114,0),MATCH(M129,LAMINA_HORA!$W$3:$AP$3,0)),"?"))</f>
        <v/>
      </c>
      <c r="P129" s="7" t="n"/>
      <c r="Q129" s="27">
        <f>IF(OR($B129="",P129=""),"",IFERROR(INDEX(LAMINA_HORA!$C$5:$V$114,MATCH($B129,LAMINA_HORA!$A$5:$A$114,0),MATCH(P129,LAMINA_HORA!$C$3:$V$3,0)),"?"))</f>
        <v/>
      </c>
      <c r="R129" s="27">
        <f>IF(OR($B129="",P129=""),"",IFERROR(INDEX(LAMINA_HORA!$W$5:$AP$114,MATCH($B129,LAMINA_HORA!$A$5:$A$114,0),MATCH(P129,LAMINA_HORA!$W$3:$AP$3,0)),"?"))</f>
        <v/>
      </c>
      <c r="S129" s="7" t="n"/>
      <c r="T129" s="27">
        <f>IF(OR($B129="",S129=""),"",IFERROR(INDEX(LAMINA_HORA!$C$5:$V$114,MATCH($B129,LAMINA_HORA!$A$5:$A$114,0),MATCH(S129,LAMINA_HORA!$C$3:$V$3,0)),"?"))</f>
        <v/>
      </c>
      <c r="U129" s="27">
        <f>IF(OR($B129="",S129=""),"",IFERROR(INDEX(LAMINA_HORA!$W$5:$AP$114,MATCH($B129,LAMINA_HORA!$A$5:$A$114,0),MATCH(S129,LAMINA_HORA!$W$3:$AP$3,0)),"?"))</f>
        <v/>
      </c>
      <c r="V129" s="7" t="n"/>
      <c r="W129" s="27">
        <f>IF(OR($B129="",V129=""),"",IFERROR(INDEX(LAMINA_HORA!$C$5:$V$114,MATCH($B129,LAMINA_HORA!$A$5:$A$114,0),MATCH(V129,LAMINA_HORA!$C$3:$V$3,0)),"?"))</f>
        <v/>
      </c>
      <c r="X129" s="27">
        <f>IF(OR($B129="",V129=""),"",IFERROR(INDEX(LAMINA_HORA!$W$5:$AP$114,MATCH($B129,LAMINA_HORA!$A$5:$A$114,0),MATCH(V129,LAMINA_HORA!$W$3:$AP$3,0)),"?"))</f>
        <v/>
      </c>
      <c r="Y129" s="7" t="n"/>
      <c r="Z129" s="27">
        <f>IF(OR($B129="",Y129=""),"",IFERROR(INDEX(LAMINA_HORA!$C$5:$V$114,MATCH($B129,LAMINA_HORA!$A$5:$A$114,0),MATCH(Y129,LAMINA_HORA!$C$3:$V$3,0)),"?"))</f>
        <v/>
      </c>
      <c r="AA129" s="27">
        <f>IF(OR($B129="",Y129=""),"",IFERROR(INDEX(LAMINA_HORA!$W$5:$AP$114,MATCH($B129,LAMINA_HORA!$A$5:$A$114,0),MATCH(Y129,LAMINA_HORA!$W$3:$AP$3,0)),"?"))</f>
        <v/>
      </c>
      <c r="AB129" s="7" t="n"/>
      <c r="AC129" s="27">
        <f>IF(OR($B129="",AB129=""),"",IFERROR(INDEX(LAMINA_HORA!$C$5:$V$114,MATCH($B129,LAMINA_HORA!$A$5:$A$114,0),MATCH(AB129,LAMINA_HORA!$C$3:$V$3,0)),"?"))</f>
        <v/>
      </c>
      <c r="AD129" s="27">
        <f>IF(OR($B129="",AB129=""),"",IFERROR(INDEX(LAMINA_HORA!$W$5:$AP$114,MATCH($B129,LAMINA_HORA!$A$5:$A$114,0),MATCH(AB129,LAMINA_HORA!$W$3:$AP$3,0)),"?"))</f>
        <v/>
      </c>
      <c r="AE129" s="14">
        <f>SUM(K129,N129,Q129,T129,W129,Z129,AC129)</f>
        <v/>
      </c>
      <c r="AF129" s="16">
        <f>IF(OR($G129="",AE129=""),"",AE129*$G129*10)</f>
        <v/>
      </c>
      <c r="AG129" s="16">
        <f>IF(OR(AF129="",$H129=""),"",AF129*$H129)</f>
        <v/>
      </c>
      <c r="AH129" s="20" t="n"/>
    </row>
    <row r="130">
      <c r="A130" s="5" t="inlineStr">
        <is>
          <t>Pivô 32</t>
        </is>
      </c>
      <c r="B130" s="7" t="inlineStr">
        <is>
          <t>P32</t>
        </is>
      </c>
      <c r="C130" s="5" t="inlineStr">
        <is>
          <t>C3Z3/R7</t>
        </is>
      </c>
      <c r="D130" s="5" t="inlineStr">
        <is>
          <t>Modulo 1</t>
        </is>
      </c>
      <c r="E130" s="6" t="inlineStr">
        <is>
          <t>PS1319/FA13/CCN51</t>
        </is>
      </c>
      <c r="F130" s="26" t="inlineStr"/>
      <c r="G130" s="15" t="n">
        <v>133</v>
      </c>
      <c r="H130" s="17" t="n">
        <v>0.446</v>
      </c>
      <c r="J130" s="7" t="n"/>
      <c r="K130" s="27">
        <f>IF(OR($B130="",J130=""),"",IFERROR(INDEX(LAMINA_HORA!$C$5:$V$114,MATCH($B130,LAMINA_HORA!$A$5:$A$114,0),MATCH(J130,LAMINA_HORA!$C$3:$V$3,0)),"?"))</f>
        <v/>
      </c>
      <c r="L130" s="27">
        <f>IF(OR($B130="",J130=""),"",IFERROR(INDEX(LAMINA_HORA!$W$5:$AP$114,MATCH($B130,LAMINA_HORA!$A$5:$A$114,0),MATCH(J130,LAMINA_HORA!$W$3:$AP$3,0)),"?"))</f>
        <v/>
      </c>
      <c r="M130" s="7" t="n"/>
      <c r="N130" s="27">
        <f>IF(OR($B130="",M130=""),"",IFERROR(INDEX(LAMINA_HORA!$C$5:$V$114,MATCH($B130,LAMINA_HORA!$A$5:$A$114,0),MATCH(M130,LAMINA_HORA!$C$3:$V$3,0)),"?"))</f>
        <v/>
      </c>
      <c r="O130" s="27">
        <f>IF(OR($B130="",M130=""),"",IFERROR(INDEX(LAMINA_HORA!$W$5:$AP$114,MATCH($B130,LAMINA_HORA!$A$5:$A$114,0),MATCH(M130,LAMINA_HORA!$W$3:$AP$3,0)),"?"))</f>
        <v/>
      </c>
      <c r="P130" s="7" t="n"/>
      <c r="Q130" s="27">
        <f>IF(OR($B130="",P130=""),"",IFERROR(INDEX(LAMINA_HORA!$C$5:$V$114,MATCH($B130,LAMINA_HORA!$A$5:$A$114,0),MATCH(P130,LAMINA_HORA!$C$3:$V$3,0)),"?"))</f>
        <v/>
      </c>
      <c r="R130" s="27">
        <f>IF(OR($B130="",P130=""),"",IFERROR(INDEX(LAMINA_HORA!$W$5:$AP$114,MATCH($B130,LAMINA_HORA!$A$5:$A$114,0),MATCH(P130,LAMINA_HORA!$W$3:$AP$3,0)),"?"))</f>
        <v/>
      </c>
      <c r="S130" s="7" t="n"/>
      <c r="T130" s="27">
        <f>IF(OR($B130="",S130=""),"",IFERROR(INDEX(LAMINA_HORA!$C$5:$V$114,MATCH($B130,LAMINA_HORA!$A$5:$A$114,0),MATCH(S130,LAMINA_HORA!$C$3:$V$3,0)),"?"))</f>
        <v/>
      </c>
      <c r="U130" s="27">
        <f>IF(OR($B130="",S130=""),"",IFERROR(INDEX(LAMINA_HORA!$W$5:$AP$114,MATCH($B130,LAMINA_HORA!$A$5:$A$114,0),MATCH(S130,LAMINA_HORA!$W$3:$AP$3,0)),"?"))</f>
        <v/>
      </c>
      <c r="V130" s="7" t="n"/>
      <c r="W130" s="27">
        <f>IF(OR($B130="",V130=""),"",IFERROR(INDEX(LAMINA_HORA!$C$5:$V$114,MATCH($B130,LAMINA_HORA!$A$5:$A$114,0),MATCH(V130,LAMINA_HORA!$C$3:$V$3,0)),"?"))</f>
        <v/>
      </c>
      <c r="X130" s="27">
        <f>IF(OR($B130="",V130=""),"",IFERROR(INDEX(LAMINA_HORA!$W$5:$AP$114,MATCH($B130,LAMINA_HORA!$A$5:$A$114,0),MATCH(V130,LAMINA_HORA!$W$3:$AP$3,0)),"?"))</f>
        <v/>
      </c>
      <c r="Y130" s="7" t="n"/>
      <c r="Z130" s="27">
        <f>IF(OR($B130="",Y130=""),"",IFERROR(INDEX(LAMINA_HORA!$C$5:$V$114,MATCH($B130,LAMINA_HORA!$A$5:$A$114,0),MATCH(Y130,LAMINA_HORA!$C$3:$V$3,0)),"?"))</f>
        <v/>
      </c>
      <c r="AA130" s="27">
        <f>IF(OR($B130="",Y130=""),"",IFERROR(INDEX(LAMINA_HORA!$W$5:$AP$114,MATCH($B130,LAMINA_HORA!$A$5:$A$114,0),MATCH(Y130,LAMINA_HORA!$W$3:$AP$3,0)),"?"))</f>
        <v/>
      </c>
      <c r="AB130" s="7" t="n"/>
      <c r="AC130" s="27">
        <f>IF(OR($B130="",AB130=""),"",IFERROR(INDEX(LAMINA_HORA!$C$5:$V$114,MATCH($B130,LAMINA_HORA!$A$5:$A$114,0),MATCH(AB130,LAMINA_HORA!$C$3:$V$3,0)),"?"))</f>
        <v/>
      </c>
      <c r="AD130" s="27">
        <f>IF(OR($B130="",AB130=""),"",IFERROR(INDEX(LAMINA_HORA!$W$5:$AP$114,MATCH($B130,LAMINA_HORA!$A$5:$A$114,0),MATCH(AB130,LAMINA_HORA!$W$3:$AP$3,0)),"?"))</f>
        <v/>
      </c>
      <c r="AE130" s="14">
        <f>SUM(K130,N130,Q130,T130,W130,Z130,AC130)</f>
        <v/>
      </c>
      <c r="AF130" s="16">
        <f>IF(OR($G130="",AE130=""),"",AE130*$G130*10)</f>
        <v/>
      </c>
      <c r="AG130" s="16">
        <f>IF(OR(AF130="",$H130=""),"",AF130*$H130)</f>
        <v/>
      </c>
      <c r="AH130" s="20" t="n"/>
    </row>
    <row r="131">
      <c r="A131" s="5" t="inlineStr">
        <is>
          <t>Pivô 34</t>
        </is>
      </c>
      <c r="B131" s="7" t="inlineStr">
        <is>
          <t>P34</t>
        </is>
      </c>
      <c r="C131" s="5" t="inlineStr">
        <is>
          <t>C3Z3/R7</t>
        </is>
      </c>
      <c r="D131" s="5" t="inlineStr">
        <is>
          <t>Modulo 1</t>
        </is>
      </c>
      <c r="E131" s="6" t="inlineStr">
        <is>
          <t>PS1319/FA13/CCN51</t>
        </is>
      </c>
      <c r="F131" s="26" t="inlineStr"/>
      <c r="G131" s="15" t="n">
        <v>150</v>
      </c>
      <c r="H131" s="17" t="n">
        <v>0.461</v>
      </c>
      <c r="J131" s="7" t="n"/>
      <c r="K131" s="27">
        <f>IF(OR($B131="",J131=""),"",IFERROR(INDEX(LAMINA_HORA!$C$5:$V$114,MATCH($B131,LAMINA_HORA!$A$5:$A$114,0),MATCH(J131,LAMINA_HORA!$C$3:$V$3,0)),"?"))</f>
        <v/>
      </c>
      <c r="L131" s="27">
        <f>IF(OR($B131="",J131=""),"",IFERROR(INDEX(LAMINA_HORA!$W$5:$AP$114,MATCH($B131,LAMINA_HORA!$A$5:$A$114,0),MATCH(J131,LAMINA_HORA!$W$3:$AP$3,0)),"?"))</f>
        <v/>
      </c>
      <c r="M131" s="7" t="n"/>
      <c r="N131" s="27">
        <f>IF(OR($B131="",M131=""),"",IFERROR(INDEX(LAMINA_HORA!$C$5:$V$114,MATCH($B131,LAMINA_HORA!$A$5:$A$114,0),MATCH(M131,LAMINA_HORA!$C$3:$V$3,0)),"?"))</f>
        <v/>
      </c>
      <c r="O131" s="27">
        <f>IF(OR($B131="",M131=""),"",IFERROR(INDEX(LAMINA_HORA!$W$5:$AP$114,MATCH($B131,LAMINA_HORA!$A$5:$A$114,0),MATCH(M131,LAMINA_HORA!$W$3:$AP$3,0)),"?"))</f>
        <v/>
      </c>
      <c r="P131" s="7" t="n"/>
      <c r="Q131" s="27">
        <f>IF(OR($B131="",P131=""),"",IFERROR(INDEX(LAMINA_HORA!$C$5:$V$114,MATCH($B131,LAMINA_HORA!$A$5:$A$114,0),MATCH(P131,LAMINA_HORA!$C$3:$V$3,0)),"?"))</f>
        <v/>
      </c>
      <c r="R131" s="27">
        <f>IF(OR($B131="",P131=""),"",IFERROR(INDEX(LAMINA_HORA!$W$5:$AP$114,MATCH($B131,LAMINA_HORA!$A$5:$A$114,0),MATCH(P131,LAMINA_HORA!$W$3:$AP$3,0)),"?"))</f>
        <v/>
      </c>
      <c r="S131" s="7" t="n"/>
      <c r="T131" s="27">
        <f>IF(OR($B131="",S131=""),"",IFERROR(INDEX(LAMINA_HORA!$C$5:$V$114,MATCH($B131,LAMINA_HORA!$A$5:$A$114,0),MATCH(S131,LAMINA_HORA!$C$3:$V$3,0)),"?"))</f>
        <v/>
      </c>
      <c r="U131" s="27">
        <f>IF(OR($B131="",S131=""),"",IFERROR(INDEX(LAMINA_HORA!$W$5:$AP$114,MATCH($B131,LAMINA_HORA!$A$5:$A$114,0),MATCH(S131,LAMINA_HORA!$W$3:$AP$3,0)),"?"))</f>
        <v/>
      </c>
      <c r="V131" s="7" t="n"/>
      <c r="W131" s="27">
        <f>IF(OR($B131="",V131=""),"",IFERROR(INDEX(LAMINA_HORA!$C$5:$V$114,MATCH($B131,LAMINA_HORA!$A$5:$A$114,0),MATCH(V131,LAMINA_HORA!$C$3:$V$3,0)),"?"))</f>
        <v/>
      </c>
      <c r="X131" s="27">
        <f>IF(OR($B131="",V131=""),"",IFERROR(INDEX(LAMINA_HORA!$W$5:$AP$114,MATCH($B131,LAMINA_HORA!$A$5:$A$114,0),MATCH(V131,LAMINA_HORA!$W$3:$AP$3,0)),"?"))</f>
        <v/>
      </c>
      <c r="Y131" s="7" t="n"/>
      <c r="Z131" s="27">
        <f>IF(OR($B131="",Y131=""),"",IFERROR(INDEX(LAMINA_HORA!$C$5:$V$114,MATCH($B131,LAMINA_HORA!$A$5:$A$114,0),MATCH(Y131,LAMINA_HORA!$C$3:$V$3,0)),"?"))</f>
        <v/>
      </c>
      <c r="AA131" s="27">
        <f>IF(OR($B131="",Y131=""),"",IFERROR(INDEX(LAMINA_HORA!$W$5:$AP$114,MATCH($B131,LAMINA_HORA!$A$5:$A$114,0),MATCH(Y131,LAMINA_HORA!$W$3:$AP$3,0)),"?"))</f>
        <v/>
      </c>
      <c r="AB131" s="7" t="n"/>
      <c r="AC131" s="27">
        <f>IF(OR($B131="",AB131=""),"",IFERROR(INDEX(LAMINA_HORA!$C$5:$V$114,MATCH($B131,LAMINA_HORA!$A$5:$A$114,0),MATCH(AB131,LAMINA_HORA!$C$3:$V$3,0)),"?"))</f>
        <v/>
      </c>
      <c r="AD131" s="27">
        <f>IF(OR($B131="",AB131=""),"",IFERROR(INDEX(LAMINA_HORA!$W$5:$AP$114,MATCH($B131,LAMINA_HORA!$A$5:$A$114,0),MATCH(AB131,LAMINA_HORA!$W$3:$AP$3,0)),"?"))</f>
        <v/>
      </c>
      <c r="AE131" s="14">
        <f>SUM(K131,N131,Q131,T131,W131,Z131,AC131)</f>
        <v/>
      </c>
      <c r="AF131" s="16">
        <f>IF(OR($G131="",AE131=""),"",AE131*$G131*10)</f>
        <v/>
      </c>
      <c r="AG131" s="16">
        <f>IF(OR(AF131="",$H131=""),"",AF131*$H131)</f>
        <v/>
      </c>
      <c r="AH131" s="20" t="n"/>
    </row>
    <row r="132">
      <c r="A132" s="5" t="inlineStr">
        <is>
          <t>Pivô 75</t>
        </is>
      </c>
      <c r="B132" s="7" t="inlineStr">
        <is>
          <t>P75</t>
        </is>
      </c>
      <c r="C132" s="5" t="inlineStr">
        <is>
          <t>C3Z3/R7</t>
        </is>
      </c>
      <c r="D132" s="5" t="inlineStr">
        <is>
          <t>Modulo 1</t>
        </is>
      </c>
      <c r="E132" s="6" t="inlineStr">
        <is>
          <t>PS1319/FA13/CCN51</t>
        </is>
      </c>
      <c r="F132" s="26" t="inlineStr"/>
      <c r="G132" s="15" t="n">
        <v>9</v>
      </c>
      <c r="H132" s="17" t="n">
        <v>0.305</v>
      </c>
      <c r="J132" s="7" t="n"/>
      <c r="K132" s="27">
        <f>IF(OR($B132="",J132=""),"",IFERROR(INDEX(LAMINA_HORA!$C$5:$V$114,MATCH($B132,LAMINA_HORA!$A$5:$A$114,0),MATCH(J132,LAMINA_HORA!$C$3:$V$3,0)),"?"))</f>
        <v/>
      </c>
      <c r="L132" s="27">
        <f>IF(OR($B132="",J132=""),"",IFERROR(INDEX(LAMINA_HORA!$W$5:$AP$114,MATCH($B132,LAMINA_HORA!$A$5:$A$114,0),MATCH(J132,LAMINA_HORA!$W$3:$AP$3,0)),"?"))</f>
        <v/>
      </c>
      <c r="M132" s="7" t="n"/>
      <c r="N132" s="27">
        <f>IF(OR($B132="",M132=""),"",IFERROR(INDEX(LAMINA_HORA!$C$5:$V$114,MATCH($B132,LAMINA_HORA!$A$5:$A$114,0),MATCH(M132,LAMINA_HORA!$C$3:$V$3,0)),"?"))</f>
        <v/>
      </c>
      <c r="O132" s="27">
        <f>IF(OR($B132="",M132=""),"",IFERROR(INDEX(LAMINA_HORA!$W$5:$AP$114,MATCH($B132,LAMINA_HORA!$A$5:$A$114,0),MATCH(M132,LAMINA_HORA!$W$3:$AP$3,0)),"?"))</f>
        <v/>
      </c>
      <c r="P132" s="7" t="n"/>
      <c r="Q132" s="27">
        <f>IF(OR($B132="",P132=""),"",IFERROR(INDEX(LAMINA_HORA!$C$5:$V$114,MATCH($B132,LAMINA_HORA!$A$5:$A$114,0),MATCH(P132,LAMINA_HORA!$C$3:$V$3,0)),"?"))</f>
        <v/>
      </c>
      <c r="R132" s="27">
        <f>IF(OR($B132="",P132=""),"",IFERROR(INDEX(LAMINA_HORA!$W$5:$AP$114,MATCH($B132,LAMINA_HORA!$A$5:$A$114,0),MATCH(P132,LAMINA_HORA!$W$3:$AP$3,0)),"?"))</f>
        <v/>
      </c>
      <c r="S132" s="7" t="n"/>
      <c r="T132" s="27">
        <f>IF(OR($B132="",S132=""),"",IFERROR(INDEX(LAMINA_HORA!$C$5:$V$114,MATCH($B132,LAMINA_HORA!$A$5:$A$114,0),MATCH(S132,LAMINA_HORA!$C$3:$V$3,0)),"?"))</f>
        <v/>
      </c>
      <c r="U132" s="27">
        <f>IF(OR($B132="",S132=""),"",IFERROR(INDEX(LAMINA_HORA!$W$5:$AP$114,MATCH($B132,LAMINA_HORA!$A$5:$A$114,0),MATCH(S132,LAMINA_HORA!$W$3:$AP$3,0)),"?"))</f>
        <v/>
      </c>
      <c r="V132" s="7" t="n"/>
      <c r="W132" s="27">
        <f>IF(OR($B132="",V132=""),"",IFERROR(INDEX(LAMINA_HORA!$C$5:$V$114,MATCH($B132,LAMINA_HORA!$A$5:$A$114,0),MATCH(V132,LAMINA_HORA!$C$3:$V$3,0)),"?"))</f>
        <v/>
      </c>
      <c r="X132" s="27">
        <f>IF(OR($B132="",V132=""),"",IFERROR(INDEX(LAMINA_HORA!$W$5:$AP$114,MATCH($B132,LAMINA_HORA!$A$5:$A$114,0),MATCH(V132,LAMINA_HORA!$W$3:$AP$3,0)),"?"))</f>
        <v/>
      </c>
      <c r="Y132" s="7" t="n"/>
      <c r="Z132" s="27">
        <f>IF(OR($B132="",Y132=""),"",IFERROR(INDEX(LAMINA_HORA!$C$5:$V$114,MATCH($B132,LAMINA_HORA!$A$5:$A$114,0),MATCH(Y132,LAMINA_HORA!$C$3:$V$3,0)),"?"))</f>
        <v/>
      </c>
      <c r="AA132" s="27">
        <f>IF(OR($B132="",Y132=""),"",IFERROR(INDEX(LAMINA_HORA!$W$5:$AP$114,MATCH($B132,LAMINA_HORA!$A$5:$A$114,0),MATCH(Y132,LAMINA_HORA!$W$3:$AP$3,0)),"?"))</f>
        <v/>
      </c>
      <c r="AB132" s="7" t="n"/>
      <c r="AC132" s="27">
        <f>IF(OR($B132="",AB132=""),"",IFERROR(INDEX(LAMINA_HORA!$C$5:$V$114,MATCH($B132,LAMINA_HORA!$A$5:$A$114,0),MATCH(AB132,LAMINA_HORA!$C$3:$V$3,0)),"?"))</f>
        <v/>
      </c>
      <c r="AD132" s="27">
        <f>IF(OR($B132="",AB132=""),"",IFERROR(INDEX(LAMINA_HORA!$W$5:$AP$114,MATCH($B132,LAMINA_HORA!$A$5:$A$114,0),MATCH(AB132,LAMINA_HORA!$W$3:$AP$3,0)),"?"))</f>
        <v/>
      </c>
      <c r="AE132" s="14">
        <f>SUM(K132,N132,Q132,T132,W132,Z132,AC132)</f>
        <v/>
      </c>
      <c r="AF132" s="16">
        <f>IF(OR($G132="",AE132=""),"",AE132*$G132*10)</f>
        <v/>
      </c>
      <c r="AG132" s="16">
        <f>IF(OR(AF132="",$H132=""),"",AF132*$H132)</f>
        <v/>
      </c>
      <c r="AH132" s="20" t="n"/>
    </row>
    <row r="133">
      <c r="A133" s="5" t="inlineStr">
        <is>
          <t>Pivô 76</t>
        </is>
      </c>
      <c r="B133" s="7" t="inlineStr">
        <is>
          <t>P76</t>
        </is>
      </c>
      <c r="C133" s="5" t="inlineStr">
        <is>
          <t>C3Z3/R7</t>
        </is>
      </c>
      <c r="D133" s="5" t="inlineStr">
        <is>
          <t>Modulo 1</t>
        </is>
      </c>
      <c r="E133" s="6" t="inlineStr">
        <is>
          <t>PS1319/FA13/CCN51</t>
        </is>
      </c>
      <c r="F133" s="26" t="inlineStr"/>
      <c r="G133" s="15" t="n">
        <v>84</v>
      </c>
      <c r="H133" s="17" t="n">
        <v>0.305</v>
      </c>
      <c r="J133" s="7" t="n"/>
      <c r="K133" s="27">
        <f>IF(OR($B133="",J133=""),"",IFERROR(INDEX(LAMINA_HORA!$C$5:$V$114,MATCH($B133,LAMINA_HORA!$A$5:$A$114,0),MATCH(J133,LAMINA_HORA!$C$3:$V$3,0)),"?"))</f>
        <v/>
      </c>
      <c r="L133" s="27">
        <f>IF(OR($B133="",J133=""),"",IFERROR(INDEX(LAMINA_HORA!$W$5:$AP$114,MATCH($B133,LAMINA_HORA!$A$5:$A$114,0),MATCH(J133,LAMINA_HORA!$W$3:$AP$3,0)),"?"))</f>
        <v/>
      </c>
      <c r="M133" s="7" t="n"/>
      <c r="N133" s="27">
        <f>IF(OR($B133="",M133=""),"",IFERROR(INDEX(LAMINA_HORA!$C$5:$V$114,MATCH($B133,LAMINA_HORA!$A$5:$A$114,0),MATCH(M133,LAMINA_HORA!$C$3:$V$3,0)),"?"))</f>
        <v/>
      </c>
      <c r="O133" s="27">
        <f>IF(OR($B133="",M133=""),"",IFERROR(INDEX(LAMINA_HORA!$W$5:$AP$114,MATCH($B133,LAMINA_HORA!$A$5:$A$114,0),MATCH(M133,LAMINA_HORA!$W$3:$AP$3,0)),"?"))</f>
        <v/>
      </c>
      <c r="P133" s="7" t="n"/>
      <c r="Q133" s="27">
        <f>IF(OR($B133="",P133=""),"",IFERROR(INDEX(LAMINA_HORA!$C$5:$V$114,MATCH($B133,LAMINA_HORA!$A$5:$A$114,0),MATCH(P133,LAMINA_HORA!$C$3:$V$3,0)),"?"))</f>
        <v/>
      </c>
      <c r="R133" s="27">
        <f>IF(OR($B133="",P133=""),"",IFERROR(INDEX(LAMINA_HORA!$W$5:$AP$114,MATCH($B133,LAMINA_HORA!$A$5:$A$114,0),MATCH(P133,LAMINA_HORA!$W$3:$AP$3,0)),"?"))</f>
        <v/>
      </c>
      <c r="S133" s="7" t="n"/>
      <c r="T133" s="27">
        <f>IF(OR($B133="",S133=""),"",IFERROR(INDEX(LAMINA_HORA!$C$5:$V$114,MATCH($B133,LAMINA_HORA!$A$5:$A$114,0),MATCH(S133,LAMINA_HORA!$C$3:$V$3,0)),"?"))</f>
        <v/>
      </c>
      <c r="U133" s="27">
        <f>IF(OR($B133="",S133=""),"",IFERROR(INDEX(LAMINA_HORA!$W$5:$AP$114,MATCH($B133,LAMINA_HORA!$A$5:$A$114,0),MATCH(S133,LAMINA_HORA!$W$3:$AP$3,0)),"?"))</f>
        <v/>
      </c>
      <c r="V133" s="7" t="n"/>
      <c r="W133" s="27">
        <f>IF(OR($B133="",V133=""),"",IFERROR(INDEX(LAMINA_HORA!$C$5:$V$114,MATCH($B133,LAMINA_HORA!$A$5:$A$114,0),MATCH(V133,LAMINA_HORA!$C$3:$V$3,0)),"?"))</f>
        <v/>
      </c>
      <c r="X133" s="27">
        <f>IF(OR($B133="",V133=""),"",IFERROR(INDEX(LAMINA_HORA!$W$5:$AP$114,MATCH($B133,LAMINA_HORA!$A$5:$A$114,0),MATCH(V133,LAMINA_HORA!$W$3:$AP$3,0)),"?"))</f>
        <v/>
      </c>
      <c r="Y133" s="7" t="n"/>
      <c r="Z133" s="27">
        <f>IF(OR($B133="",Y133=""),"",IFERROR(INDEX(LAMINA_HORA!$C$5:$V$114,MATCH($B133,LAMINA_HORA!$A$5:$A$114,0),MATCH(Y133,LAMINA_HORA!$C$3:$V$3,0)),"?"))</f>
        <v/>
      </c>
      <c r="AA133" s="27">
        <f>IF(OR($B133="",Y133=""),"",IFERROR(INDEX(LAMINA_HORA!$W$5:$AP$114,MATCH($B133,LAMINA_HORA!$A$5:$A$114,0),MATCH(Y133,LAMINA_HORA!$W$3:$AP$3,0)),"?"))</f>
        <v/>
      </c>
      <c r="AB133" s="7" t="n"/>
      <c r="AC133" s="27">
        <f>IF(OR($B133="",AB133=""),"",IFERROR(INDEX(LAMINA_HORA!$C$5:$V$114,MATCH($B133,LAMINA_HORA!$A$5:$A$114,0),MATCH(AB133,LAMINA_HORA!$C$3:$V$3,0)),"?"))</f>
        <v/>
      </c>
      <c r="AD133" s="27">
        <f>IF(OR($B133="",AB133=""),"",IFERROR(INDEX(LAMINA_HORA!$W$5:$AP$114,MATCH($B133,LAMINA_HORA!$A$5:$A$114,0),MATCH(AB133,LAMINA_HORA!$W$3:$AP$3,0)),"?"))</f>
        <v/>
      </c>
      <c r="AE133" s="14">
        <f>SUM(K133,N133,Q133,T133,W133,Z133,AC133)</f>
        <v/>
      </c>
      <c r="AF133" s="16">
        <f>IF(OR($G133="",AE133=""),"",AE133*$G133*10)</f>
        <v/>
      </c>
      <c r="AG133" s="16">
        <f>IF(OR(AF133="",$H133=""),"",AF133*$H133)</f>
        <v/>
      </c>
      <c r="AH133" s="20" t="n"/>
    </row>
    <row r="134">
      <c r="A134" s="5" t="inlineStr">
        <is>
          <t>Pivô 01</t>
        </is>
      </c>
      <c r="B134" s="7" t="inlineStr">
        <is>
          <t>P1</t>
        </is>
      </c>
      <c r="C134" s="5" t="inlineStr">
        <is>
          <t>R0</t>
        </is>
      </c>
      <c r="D134" s="5" t="inlineStr">
        <is>
          <t>Modulo 1</t>
        </is>
      </c>
      <c r="E134" s="6" t="inlineStr">
        <is>
          <t>PS1319/FA13/CCN51</t>
        </is>
      </c>
      <c r="F134" s="26" t="inlineStr"/>
      <c r="G134" s="15" t="n">
        <v>47.5</v>
      </c>
      <c r="H134" s="17" t="n">
        <v>0.513</v>
      </c>
      <c r="J134" s="7" t="n"/>
      <c r="K134" s="27">
        <f>IF(OR($B134="",J134=""),"",IFERROR(INDEX(LAMINA_HORA!$C$5:$V$114,MATCH($B134,LAMINA_HORA!$A$5:$A$114,0),MATCH(J134,LAMINA_HORA!$C$3:$V$3,0)),"?"))</f>
        <v/>
      </c>
      <c r="L134" s="27">
        <f>IF(OR($B134="",J134=""),"",IFERROR(INDEX(LAMINA_HORA!$W$5:$AP$114,MATCH($B134,LAMINA_HORA!$A$5:$A$114,0),MATCH(J134,LAMINA_HORA!$W$3:$AP$3,0)),"?"))</f>
        <v/>
      </c>
      <c r="M134" s="7" t="n"/>
      <c r="N134" s="27">
        <f>IF(OR($B134="",M134=""),"",IFERROR(INDEX(LAMINA_HORA!$C$5:$V$114,MATCH($B134,LAMINA_HORA!$A$5:$A$114,0),MATCH(M134,LAMINA_HORA!$C$3:$V$3,0)),"?"))</f>
        <v/>
      </c>
      <c r="O134" s="27">
        <f>IF(OR($B134="",M134=""),"",IFERROR(INDEX(LAMINA_HORA!$W$5:$AP$114,MATCH($B134,LAMINA_HORA!$A$5:$A$114,0),MATCH(M134,LAMINA_HORA!$W$3:$AP$3,0)),"?"))</f>
        <v/>
      </c>
      <c r="P134" s="7" t="n"/>
      <c r="Q134" s="27">
        <f>IF(OR($B134="",P134=""),"",IFERROR(INDEX(LAMINA_HORA!$C$5:$V$114,MATCH($B134,LAMINA_HORA!$A$5:$A$114,0),MATCH(P134,LAMINA_HORA!$C$3:$V$3,0)),"?"))</f>
        <v/>
      </c>
      <c r="R134" s="27">
        <f>IF(OR($B134="",P134=""),"",IFERROR(INDEX(LAMINA_HORA!$W$5:$AP$114,MATCH($B134,LAMINA_HORA!$A$5:$A$114,0),MATCH(P134,LAMINA_HORA!$W$3:$AP$3,0)),"?"))</f>
        <v/>
      </c>
      <c r="S134" s="7" t="n"/>
      <c r="T134" s="27">
        <f>IF(OR($B134="",S134=""),"",IFERROR(INDEX(LAMINA_HORA!$C$5:$V$114,MATCH($B134,LAMINA_HORA!$A$5:$A$114,0),MATCH(S134,LAMINA_HORA!$C$3:$V$3,0)),"?"))</f>
        <v/>
      </c>
      <c r="U134" s="27">
        <f>IF(OR($B134="",S134=""),"",IFERROR(INDEX(LAMINA_HORA!$W$5:$AP$114,MATCH($B134,LAMINA_HORA!$A$5:$A$114,0),MATCH(S134,LAMINA_HORA!$W$3:$AP$3,0)),"?"))</f>
        <v/>
      </c>
      <c r="V134" s="7" t="n"/>
      <c r="W134" s="27">
        <f>IF(OR($B134="",V134=""),"",IFERROR(INDEX(LAMINA_HORA!$C$5:$V$114,MATCH($B134,LAMINA_HORA!$A$5:$A$114,0),MATCH(V134,LAMINA_HORA!$C$3:$V$3,0)),"?"))</f>
        <v/>
      </c>
      <c r="X134" s="27">
        <f>IF(OR($B134="",V134=""),"",IFERROR(INDEX(LAMINA_HORA!$W$5:$AP$114,MATCH($B134,LAMINA_HORA!$A$5:$A$114,0),MATCH(V134,LAMINA_HORA!$W$3:$AP$3,0)),"?"))</f>
        <v/>
      </c>
      <c r="Y134" s="7" t="n"/>
      <c r="Z134" s="27">
        <f>IF(OR($B134="",Y134=""),"",IFERROR(INDEX(LAMINA_HORA!$C$5:$V$114,MATCH($B134,LAMINA_HORA!$A$5:$A$114,0),MATCH(Y134,LAMINA_HORA!$C$3:$V$3,0)),"?"))</f>
        <v/>
      </c>
      <c r="AA134" s="27">
        <f>IF(OR($B134="",Y134=""),"",IFERROR(INDEX(LAMINA_HORA!$W$5:$AP$114,MATCH($B134,LAMINA_HORA!$A$5:$A$114,0),MATCH(Y134,LAMINA_HORA!$W$3:$AP$3,0)),"?"))</f>
        <v/>
      </c>
      <c r="AB134" s="7" t="n"/>
      <c r="AC134" s="27">
        <f>IF(OR($B134="",AB134=""),"",IFERROR(INDEX(LAMINA_HORA!$C$5:$V$114,MATCH($B134,LAMINA_HORA!$A$5:$A$114,0),MATCH(AB134,LAMINA_HORA!$C$3:$V$3,0)),"?"))</f>
        <v/>
      </c>
      <c r="AD134" s="27">
        <f>IF(OR($B134="",AB134=""),"",IFERROR(INDEX(LAMINA_HORA!$W$5:$AP$114,MATCH($B134,LAMINA_HORA!$A$5:$A$114,0),MATCH(AB134,LAMINA_HORA!$W$3:$AP$3,0)),"?"))</f>
        <v/>
      </c>
      <c r="AE134" s="14">
        <f>SUM(K134,N134,Q134,T134,W134,Z134,AC134)</f>
        <v/>
      </c>
      <c r="AF134" s="16">
        <f>IF(OR($G134="",AE134=""),"",AE134*$G134*10)</f>
        <v/>
      </c>
      <c r="AG134" s="16">
        <f>IF(OR(AF134="",$H134=""),"",AF134*$H134)</f>
        <v/>
      </c>
      <c r="AH134" s="20" t="n"/>
    </row>
    <row r="135">
      <c r="A135" s="5" t="inlineStr">
        <is>
          <t>Pivô 02</t>
        </is>
      </c>
      <c r="B135" s="7" t="inlineStr">
        <is>
          <t>P2</t>
        </is>
      </c>
      <c r="C135" s="5" t="inlineStr">
        <is>
          <t>R0</t>
        </is>
      </c>
      <c r="D135" s="5" t="inlineStr">
        <is>
          <t>Modulo 1</t>
        </is>
      </c>
      <c r="E135" s="6" t="inlineStr">
        <is>
          <t>PS1319/FA13/CCN51</t>
        </is>
      </c>
      <c r="F135" s="26" t="inlineStr"/>
      <c r="G135" s="15" t="n">
        <v>131.5</v>
      </c>
      <c r="H135" s="17" t="n">
        <v>0.589</v>
      </c>
      <c r="J135" s="7" t="n"/>
      <c r="K135" s="27">
        <f>IF(OR($B135="",J135=""),"",IFERROR(INDEX(LAMINA_HORA!$C$5:$V$114,MATCH($B135,LAMINA_HORA!$A$5:$A$114,0),MATCH(J135,LAMINA_HORA!$C$3:$V$3,0)),"?"))</f>
        <v/>
      </c>
      <c r="L135" s="27">
        <f>IF(OR($B135="",J135=""),"",IFERROR(INDEX(LAMINA_HORA!$W$5:$AP$114,MATCH($B135,LAMINA_HORA!$A$5:$A$114,0),MATCH(J135,LAMINA_HORA!$W$3:$AP$3,0)),"?"))</f>
        <v/>
      </c>
      <c r="M135" s="7" t="n"/>
      <c r="N135" s="27">
        <f>IF(OR($B135="",M135=""),"",IFERROR(INDEX(LAMINA_HORA!$C$5:$V$114,MATCH($B135,LAMINA_HORA!$A$5:$A$114,0),MATCH(M135,LAMINA_HORA!$C$3:$V$3,0)),"?"))</f>
        <v/>
      </c>
      <c r="O135" s="27">
        <f>IF(OR($B135="",M135=""),"",IFERROR(INDEX(LAMINA_HORA!$W$5:$AP$114,MATCH($B135,LAMINA_HORA!$A$5:$A$114,0),MATCH(M135,LAMINA_HORA!$W$3:$AP$3,0)),"?"))</f>
        <v/>
      </c>
      <c r="P135" s="7" t="n"/>
      <c r="Q135" s="27">
        <f>IF(OR($B135="",P135=""),"",IFERROR(INDEX(LAMINA_HORA!$C$5:$V$114,MATCH($B135,LAMINA_HORA!$A$5:$A$114,0),MATCH(P135,LAMINA_HORA!$C$3:$V$3,0)),"?"))</f>
        <v/>
      </c>
      <c r="R135" s="27">
        <f>IF(OR($B135="",P135=""),"",IFERROR(INDEX(LAMINA_HORA!$W$5:$AP$114,MATCH($B135,LAMINA_HORA!$A$5:$A$114,0),MATCH(P135,LAMINA_HORA!$W$3:$AP$3,0)),"?"))</f>
        <v/>
      </c>
      <c r="S135" s="7" t="n"/>
      <c r="T135" s="27">
        <f>IF(OR($B135="",S135=""),"",IFERROR(INDEX(LAMINA_HORA!$C$5:$V$114,MATCH($B135,LAMINA_HORA!$A$5:$A$114,0),MATCH(S135,LAMINA_HORA!$C$3:$V$3,0)),"?"))</f>
        <v/>
      </c>
      <c r="U135" s="27">
        <f>IF(OR($B135="",S135=""),"",IFERROR(INDEX(LAMINA_HORA!$W$5:$AP$114,MATCH($B135,LAMINA_HORA!$A$5:$A$114,0),MATCH(S135,LAMINA_HORA!$W$3:$AP$3,0)),"?"))</f>
        <v/>
      </c>
      <c r="V135" s="7" t="n"/>
      <c r="W135" s="27">
        <f>IF(OR($B135="",V135=""),"",IFERROR(INDEX(LAMINA_HORA!$C$5:$V$114,MATCH($B135,LAMINA_HORA!$A$5:$A$114,0),MATCH(V135,LAMINA_HORA!$C$3:$V$3,0)),"?"))</f>
        <v/>
      </c>
      <c r="X135" s="27">
        <f>IF(OR($B135="",V135=""),"",IFERROR(INDEX(LAMINA_HORA!$W$5:$AP$114,MATCH($B135,LAMINA_HORA!$A$5:$A$114,0),MATCH(V135,LAMINA_HORA!$W$3:$AP$3,0)),"?"))</f>
        <v/>
      </c>
      <c r="Y135" s="7" t="n"/>
      <c r="Z135" s="27">
        <f>IF(OR($B135="",Y135=""),"",IFERROR(INDEX(LAMINA_HORA!$C$5:$V$114,MATCH($B135,LAMINA_HORA!$A$5:$A$114,0),MATCH(Y135,LAMINA_HORA!$C$3:$V$3,0)),"?"))</f>
        <v/>
      </c>
      <c r="AA135" s="27">
        <f>IF(OR($B135="",Y135=""),"",IFERROR(INDEX(LAMINA_HORA!$W$5:$AP$114,MATCH($B135,LAMINA_HORA!$A$5:$A$114,0),MATCH(Y135,LAMINA_HORA!$W$3:$AP$3,0)),"?"))</f>
        <v/>
      </c>
      <c r="AB135" s="7" t="n"/>
      <c r="AC135" s="27">
        <f>IF(OR($B135="",AB135=""),"",IFERROR(INDEX(LAMINA_HORA!$C$5:$V$114,MATCH($B135,LAMINA_HORA!$A$5:$A$114,0),MATCH(AB135,LAMINA_HORA!$C$3:$V$3,0)),"?"))</f>
        <v/>
      </c>
      <c r="AD135" s="27">
        <f>IF(OR($B135="",AB135=""),"",IFERROR(INDEX(LAMINA_HORA!$W$5:$AP$114,MATCH($B135,LAMINA_HORA!$A$5:$A$114,0),MATCH(AB135,LAMINA_HORA!$W$3:$AP$3,0)),"?"))</f>
        <v/>
      </c>
      <c r="AE135" s="14">
        <f>SUM(K135,N135,Q135,T135,W135,Z135,AC135)</f>
        <v/>
      </c>
      <c r="AF135" s="16">
        <f>IF(OR($G135="",AE135=""),"",AE135*$G135*10)</f>
        <v/>
      </c>
      <c r="AG135" s="16">
        <f>IF(OR(AF135="",$H135=""),"",AF135*$H135)</f>
        <v/>
      </c>
      <c r="AH135" s="20" t="n"/>
    </row>
    <row r="136">
      <c r="A136" s="5" t="inlineStr">
        <is>
          <t>Pivô 03</t>
        </is>
      </c>
      <c r="B136" s="7" t="inlineStr">
        <is>
          <t>P3</t>
        </is>
      </c>
      <c r="C136" s="5" t="inlineStr">
        <is>
          <t>R0</t>
        </is>
      </c>
      <c r="D136" s="5" t="inlineStr">
        <is>
          <t>Modulo 1</t>
        </is>
      </c>
      <c r="E136" s="6" t="inlineStr">
        <is>
          <t>PS1319/FA13/CCN51</t>
        </is>
      </c>
      <c r="F136" s="26" t="inlineStr"/>
      <c r="G136" s="15" t="n">
        <v>82.8</v>
      </c>
      <c r="H136" s="17" t="n">
        <v>0.513</v>
      </c>
      <c r="J136" s="7" t="n"/>
      <c r="K136" s="27">
        <f>IF(OR($B136="",J136=""),"",IFERROR(INDEX(LAMINA_HORA!$C$5:$V$114,MATCH($B136,LAMINA_HORA!$A$5:$A$114,0),MATCH(J136,LAMINA_HORA!$C$3:$V$3,0)),"?"))</f>
        <v/>
      </c>
      <c r="L136" s="27">
        <f>IF(OR($B136="",J136=""),"",IFERROR(INDEX(LAMINA_HORA!$W$5:$AP$114,MATCH($B136,LAMINA_HORA!$A$5:$A$114,0),MATCH(J136,LAMINA_HORA!$W$3:$AP$3,0)),"?"))</f>
        <v/>
      </c>
      <c r="M136" s="7" t="n"/>
      <c r="N136" s="27">
        <f>IF(OR($B136="",M136=""),"",IFERROR(INDEX(LAMINA_HORA!$C$5:$V$114,MATCH($B136,LAMINA_HORA!$A$5:$A$114,0),MATCH(M136,LAMINA_HORA!$C$3:$V$3,0)),"?"))</f>
        <v/>
      </c>
      <c r="O136" s="27">
        <f>IF(OR($B136="",M136=""),"",IFERROR(INDEX(LAMINA_HORA!$W$5:$AP$114,MATCH($B136,LAMINA_HORA!$A$5:$A$114,0),MATCH(M136,LAMINA_HORA!$W$3:$AP$3,0)),"?"))</f>
        <v/>
      </c>
      <c r="P136" s="7" t="n"/>
      <c r="Q136" s="27">
        <f>IF(OR($B136="",P136=""),"",IFERROR(INDEX(LAMINA_HORA!$C$5:$V$114,MATCH($B136,LAMINA_HORA!$A$5:$A$114,0),MATCH(P136,LAMINA_HORA!$C$3:$V$3,0)),"?"))</f>
        <v/>
      </c>
      <c r="R136" s="27">
        <f>IF(OR($B136="",P136=""),"",IFERROR(INDEX(LAMINA_HORA!$W$5:$AP$114,MATCH($B136,LAMINA_HORA!$A$5:$A$114,0),MATCH(P136,LAMINA_HORA!$W$3:$AP$3,0)),"?"))</f>
        <v/>
      </c>
      <c r="S136" s="7" t="n"/>
      <c r="T136" s="27">
        <f>IF(OR($B136="",S136=""),"",IFERROR(INDEX(LAMINA_HORA!$C$5:$V$114,MATCH($B136,LAMINA_HORA!$A$5:$A$114,0),MATCH(S136,LAMINA_HORA!$C$3:$V$3,0)),"?"))</f>
        <v/>
      </c>
      <c r="U136" s="27">
        <f>IF(OR($B136="",S136=""),"",IFERROR(INDEX(LAMINA_HORA!$W$5:$AP$114,MATCH($B136,LAMINA_HORA!$A$5:$A$114,0),MATCH(S136,LAMINA_HORA!$W$3:$AP$3,0)),"?"))</f>
        <v/>
      </c>
      <c r="V136" s="7" t="n"/>
      <c r="W136" s="27">
        <f>IF(OR($B136="",V136=""),"",IFERROR(INDEX(LAMINA_HORA!$C$5:$V$114,MATCH($B136,LAMINA_HORA!$A$5:$A$114,0),MATCH(V136,LAMINA_HORA!$C$3:$V$3,0)),"?"))</f>
        <v/>
      </c>
      <c r="X136" s="27">
        <f>IF(OR($B136="",V136=""),"",IFERROR(INDEX(LAMINA_HORA!$W$5:$AP$114,MATCH($B136,LAMINA_HORA!$A$5:$A$114,0),MATCH(V136,LAMINA_HORA!$W$3:$AP$3,0)),"?"))</f>
        <v/>
      </c>
      <c r="Y136" s="7" t="n"/>
      <c r="Z136" s="27">
        <f>IF(OR($B136="",Y136=""),"",IFERROR(INDEX(LAMINA_HORA!$C$5:$V$114,MATCH($B136,LAMINA_HORA!$A$5:$A$114,0),MATCH(Y136,LAMINA_HORA!$C$3:$V$3,0)),"?"))</f>
        <v/>
      </c>
      <c r="AA136" s="27">
        <f>IF(OR($B136="",Y136=""),"",IFERROR(INDEX(LAMINA_HORA!$W$5:$AP$114,MATCH($B136,LAMINA_HORA!$A$5:$A$114,0),MATCH(Y136,LAMINA_HORA!$W$3:$AP$3,0)),"?"))</f>
        <v/>
      </c>
      <c r="AB136" s="7" t="n"/>
      <c r="AC136" s="27">
        <f>IF(OR($B136="",AB136=""),"",IFERROR(INDEX(LAMINA_HORA!$C$5:$V$114,MATCH($B136,LAMINA_HORA!$A$5:$A$114,0),MATCH(AB136,LAMINA_HORA!$C$3:$V$3,0)),"?"))</f>
        <v/>
      </c>
      <c r="AD136" s="27">
        <f>IF(OR($B136="",AB136=""),"",IFERROR(INDEX(LAMINA_HORA!$W$5:$AP$114,MATCH($B136,LAMINA_HORA!$A$5:$A$114,0),MATCH(AB136,LAMINA_HORA!$W$3:$AP$3,0)),"?"))</f>
        <v/>
      </c>
      <c r="AE136" s="14">
        <f>SUM(K136,N136,Q136,T136,W136,Z136,AC136)</f>
        <v/>
      </c>
      <c r="AF136" s="16">
        <f>IF(OR($G136="",AE136=""),"",AE136*$G136*10)</f>
        <v/>
      </c>
      <c r="AG136" s="16">
        <f>IF(OR(AF136="",$H136=""),"",AF136*$H136)</f>
        <v/>
      </c>
      <c r="AH136" s="20" t="n"/>
    </row>
    <row r="138">
      <c r="A138" s="20" t="inlineStr">
        <is>
          <t>Preencha o % (percentimetro) de cada pivo por dia; lamina, horas, volume e energia calculam. Energia = Volume x CE (captacao+pressurizacao).</t>
        </is>
      </c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22" t="n"/>
    </row>
  </sheetData>
  <mergeCells count="12">
    <mergeCell ref="A123:AH123"/>
    <mergeCell ref="Y3:AA3"/>
    <mergeCell ref="M3:O3"/>
    <mergeCell ref="AB3:AD3"/>
    <mergeCell ref="A90:AH90"/>
    <mergeCell ref="A138:AH138"/>
    <mergeCell ref="S3:U3"/>
    <mergeCell ref="A5:AH5"/>
    <mergeCell ref="V3:X3"/>
    <mergeCell ref="A117:AH117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L1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9" customWidth="1" min="4" max="4"/>
    <col width="14" customWidth="1" min="5" max="5"/>
    <col width="7" customWidth="1" min="6" max="6"/>
    <col width="10" customWidth="1" min="7" max="7"/>
    <col width="8" customWidth="1" min="8" max="8"/>
    <col width="8" customWidth="1" min="9" max="9"/>
    <col width="11" customWidth="1" min="10" max="10"/>
    <col width="10" customWidth="1" min="11" max="11"/>
    <col width="12" customWidth="1" min="12" max="12"/>
  </cols>
  <sheetData>
    <row r="1" ht="20" customHeight="1">
      <c r="A1" s="1" t="inlineStr">
        <is>
          <t>OS IRRIGACAO - pivos que vao irrigar (M1, M2, M3, RDM)</t>
        </is>
      </c>
    </row>
    <row r="2">
      <c r="A2" s="28" t="inlineStr">
        <is>
          <t>Data da OS:</t>
        </is>
      </c>
      <c r="B2" s="8">
        <f>DATA_REF</f>
        <v/>
      </c>
      <c r="D2" s="28" t="inlineStr">
        <is>
          <t>Responsavel:</t>
        </is>
      </c>
      <c r="E2" s="29" t="inlineStr">
        <is>
          <t>Mateus Cotrim</t>
        </is>
      </c>
    </row>
    <row r="4" ht="30" customHeight="1">
      <c r="A4" s="4" t="inlineStr">
        <is>
          <t>Pivo</t>
        </is>
      </c>
      <c r="B4" s="4" t="inlineStr">
        <is>
          <t>Cod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Variedade</t>
        </is>
      </c>
      <c r="F4" s="4" t="inlineStr">
        <is>
          <t>% perc</t>
        </is>
      </c>
      <c r="G4" s="4" t="inlineStr">
        <is>
          <t>Lamina(mm)</t>
        </is>
      </c>
      <c r="H4" s="4" t="inlineStr">
        <is>
          <t>Horas</t>
        </is>
      </c>
      <c r="I4" s="4" t="inlineStr">
        <is>
          <t>Area(ha)</t>
        </is>
      </c>
      <c r="J4" s="4" t="inlineStr">
        <is>
          <t>Volume(m3)</t>
        </is>
      </c>
      <c r="K4" s="4" t="inlineStr">
        <is>
          <t>CE(kWh/m3)</t>
        </is>
      </c>
      <c r="L4" s="4" t="inlineStr">
        <is>
          <t>Energia(kWh)</t>
        </is>
      </c>
    </row>
    <row r="5">
      <c r="A5" s="25" t="inlineStr">
        <is>
          <t>Modulo 1  (74 pivos)</t>
        </is>
      </c>
    </row>
    <row r="6">
      <c r="A6" s="5" t="inlineStr">
        <is>
          <t>Pivô 01</t>
        </is>
      </c>
      <c r="B6" s="7" t="inlineStr">
        <is>
          <t>P1</t>
        </is>
      </c>
      <c r="C6" s="5" t="inlineStr">
        <is>
          <t>R0</t>
        </is>
      </c>
      <c r="D6" s="5" t="inlineStr">
        <is>
          <t>ALGODÃO</t>
        </is>
      </c>
      <c r="E6" s="6" t="inlineStr">
        <is>
          <t>IMA 5901 B2RF</t>
        </is>
      </c>
      <c r="F6" s="7" t="n"/>
      <c r="G6" s="27">
        <f>IF(OR($B6="",$F6=""),"",IFERROR(INDEX(LAMINA_HORA!$C$5:$V$114,MATCH($B6,LAMINA_HORA!$A$5:$A$114,0),MATCH($F6,LAMINA_HORA!$C$3:$V$3,0)),"?"))</f>
        <v/>
      </c>
      <c r="H6" s="27">
        <f>IF(OR($B6="",$F6=""),"",IFERROR(INDEX(LAMINA_HORA!$W$5:$AP$114,MATCH($B6,LAMINA_HORA!$A$5:$A$114,0),MATCH($F6,LAMINA_HORA!$W$3:$AP$3,0)),"?"))</f>
        <v/>
      </c>
      <c r="I6" s="15" t="n">
        <v>150</v>
      </c>
      <c r="J6" s="16">
        <f>IF(OR($G6="",$G6="?",$I6=""),"",$G6*$I6*10)</f>
        <v/>
      </c>
      <c r="K6" s="17" t="n">
        <v>0.513</v>
      </c>
      <c r="L6" s="16">
        <f>IF(OR($J6="",$K6=""),"",$J6*$K6)</f>
        <v/>
      </c>
    </row>
    <row r="7">
      <c r="A7" s="5" t="inlineStr">
        <is>
          <t>Pivô 02</t>
        </is>
      </c>
      <c r="B7" s="7" t="inlineStr">
        <is>
          <t>P2</t>
        </is>
      </c>
      <c r="C7" s="5" t="inlineStr">
        <is>
          <t>R0</t>
        </is>
      </c>
      <c r="D7" s="5" t="inlineStr">
        <is>
          <t>SOJA</t>
        </is>
      </c>
      <c r="E7" s="6" t="inlineStr">
        <is>
          <t>CZ 37B07 I2X</t>
        </is>
      </c>
      <c r="F7" s="7" t="n"/>
      <c r="G7" s="27">
        <f>IF(OR($B7="",$F7=""),"",IFERROR(INDEX(LAMINA_HORA!$C$5:$V$114,MATCH($B7,LAMINA_HORA!$A$5:$A$114,0),MATCH($F7,LAMINA_HORA!$C$3:$V$3,0)),"?"))</f>
        <v/>
      </c>
      <c r="H7" s="27">
        <f>IF(OR($B7="",$F7=""),"",IFERROR(INDEX(LAMINA_HORA!$W$5:$AP$114,MATCH($B7,LAMINA_HORA!$A$5:$A$114,0),MATCH($F7,LAMINA_HORA!$W$3:$AP$3,0)),"?"))</f>
        <v/>
      </c>
      <c r="I7" s="15" t="n">
        <v>124</v>
      </c>
      <c r="J7" s="16">
        <f>IF(OR($G7="",$G7="?",$I7=""),"",$G7*$I7*10)</f>
        <v/>
      </c>
      <c r="K7" s="17" t="n">
        <v>0.589</v>
      </c>
      <c r="L7" s="16">
        <f>IF(OR($J7="",$K7=""),"",$J7*$K7)</f>
        <v/>
      </c>
    </row>
    <row r="8">
      <c r="A8" s="5" t="inlineStr">
        <is>
          <t>Pivô 03</t>
        </is>
      </c>
      <c r="B8" s="7" t="inlineStr">
        <is>
          <t>P3</t>
        </is>
      </c>
      <c r="C8" s="5" t="inlineStr">
        <is>
          <t>R0</t>
        </is>
      </c>
      <c r="D8" s="5" t="inlineStr">
        <is>
          <t>SOJA</t>
        </is>
      </c>
      <c r="E8" s="6" t="inlineStr">
        <is>
          <t>COMBATE IPRO</t>
        </is>
      </c>
      <c r="F8" s="7" t="n"/>
      <c r="G8" s="27">
        <f>IF(OR($B8="",$F8=""),"",IFERROR(INDEX(LAMINA_HORA!$C$5:$V$114,MATCH($B8,LAMINA_HORA!$A$5:$A$114,0),MATCH($F8,LAMINA_HORA!$C$3:$V$3,0)),"?"))</f>
        <v/>
      </c>
      <c r="H8" s="27">
        <f>IF(OR($B8="",$F8=""),"",IFERROR(INDEX(LAMINA_HORA!$W$5:$AP$114,MATCH($B8,LAMINA_HORA!$A$5:$A$114,0),MATCH($F8,LAMINA_HORA!$W$3:$AP$3,0)),"?"))</f>
        <v/>
      </c>
      <c r="I8" s="15" t="n">
        <v>150</v>
      </c>
      <c r="J8" s="16">
        <f>IF(OR($G8="",$G8="?",$I8=""),"",$G8*$I8*10)</f>
        <v/>
      </c>
      <c r="K8" s="17" t="n">
        <v>0.513</v>
      </c>
      <c r="L8" s="16">
        <f>IF(OR($J8="",$K8=""),"",$J8*$K8)</f>
        <v/>
      </c>
    </row>
    <row r="9">
      <c r="A9" s="5" t="inlineStr">
        <is>
          <t>Pivô 04</t>
        </is>
      </c>
      <c r="B9" s="7" t="inlineStr">
        <is>
          <t>P4</t>
        </is>
      </c>
      <c r="C9" s="5" t="inlineStr">
        <is>
          <t>R0</t>
        </is>
      </c>
      <c r="D9" s="5" t="inlineStr">
        <is>
          <t>SOJA</t>
        </is>
      </c>
      <c r="E9" s="6" t="inlineStr">
        <is>
          <t>COMBATE IPRO</t>
        </is>
      </c>
      <c r="F9" s="7" t="n"/>
      <c r="G9" s="27">
        <f>IF(OR($B9="",$F9=""),"",IFERROR(INDEX(LAMINA_HORA!$C$5:$V$114,MATCH($B9,LAMINA_HORA!$A$5:$A$114,0),MATCH($F9,LAMINA_HORA!$C$3:$V$3,0)),"?"))</f>
        <v/>
      </c>
      <c r="H9" s="27">
        <f>IF(OR($B9="",$F9=""),"",IFERROR(INDEX(LAMINA_HORA!$W$5:$AP$114,MATCH($B9,LAMINA_HORA!$A$5:$A$114,0),MATCH($F9,LAMINA_HORA!$W$3:$AP$3,0)),"?"))</f>
        <v/>
      </c>
      <c r="I9" s="15" t="n">
        <v>63</v>
      </c>
      <c r="J9" s="16">
        <f>IF(OR($G9="",$G9="?",$I9=""),"",$G9*$I9*10)</f>
        <v/>
      </c>
      <c r="K9" s="17" t="n">
        <v>0.407</v>
      </c>
      <c r="L9" s="16">
        <f>IF(OR($J9="",$K9=""),"",$J9*$K9)</f>
        <v/>
      </c>
    </row>
    <row r="10">
      <c r="A10" s="5" t="inlineStr">
        <is>
          <t>Pivô 05</t>
        </is>
      </c>
      <c r="B10" s="7" t="inlineStr">
        <is>
          <t>P5</t>
        </is>
      </c>
      <c r="C10" s="5" t="inlineStr">
        <is>
          <t>R1</t>
        </is>
      </c>
      <c r="D10" s="5" t="inlineStr">
        <is>
          <t>SOJA</t>
        </is>
      </c>
      <c r="E10" s="6" t="inlineStr">
        <is>
          <t>COMBATE IPRO</t>
        </is>
      </c>
      <c r="F10" s="7" t="n"/>
      <c r="G10" s="27">
        <f>IF(OR($B10="",$F10=""),"",IFERROR(INDEX(LAMINA_HORA!$C$5:$V$114,MATCH($B10,LAMINA_HORA!$A$5:$A$114,0),MATCH($F10,LAMINA_HORA!$C$3:$V$3,0)),"?"))</f>
        <v/>
      </c>
      <c r="H10" s="27">
        <f>IF(OR($B10="",$F10=""),"",IFERROR(INDEX(LAMINA_HORA!$W$5:$AP$114,MATCH($B10,LAMINA_HORA!$A$5:$A$114,0),MATCH($F10,LAMINA_HORA!$W$3:$AP$3,0)),"?"))</f>
        <v/>
      </c>
      <c r="I10" s="15" t="n">
        <v>150</v>
      </c>
      <c r="J10" s="16">
        <f>IF(OR($G10="",$G10="?",$I10=""),"",$G10*$I10*10)</f>
        <v/>
      </c>
      <c r="K10" s="17" t="n">
        <v>0.574</v>
      </c>
      <c r="L10" s="16">
        <f>IF(OR($J10="",$K10=""),"",$J10*$K10)</f>
        <v/>
      </c>
    </row>
    <row r="11">
      <c r="A11" s="5" t="inlineStr">
        <is>
          <t>Pivô 06</t>
        </is>
      </c>
      <c r="B11" s="7" t="inlineStr">
        <is>
          <t>P6</t>
        </is>
      </c>
      <c r="C11" s="5" t="inlineStr">
        <is>
          <t>R1</t>
        </is>
      </c>
      <c r="D11" s="5" t="inlineStr">
        <is>
          <t>SOJA</t>
        </is>
      </c>
      <c r="E11" s="6" t="inlineStr">
        <is>
          <t>COMBATE IPRO</t>
        </is>
      </c>
      <c r="F11" s="7" t="n"/>
      <c r="G11" s="27">
        <f>IF(OR($B11="",$F11=""),"",IFERROR(INDEX(LAMINA_HORA!$C$5:$V$114,MATCH($B11,LAMINA_HORA!$A$5:$A$114,0),MATCH($F11,LAMINA_HORA!$C$3:$V$3,0)),"?"))</f>
        <v/>
      </c>
      <c r="H11" s="27">
        <f>IF(OR($B11="",$F11=""),"",IFERROR(INDEX(LAMINA_HORA!$W$5:$AP$114,MATCH($B11,LAMINA_HORA!$A$5:$A$114,0),MATCH($F11,LAMINA_HORA!$W$3:$AP$3,0)),"?"))</f>
        <v/>
      </c>
      <c r="I11" s="15" t="n">
        <v>150</v>
      </c>
      <c r="J11" s="16">
        <f>IF(OR($G11="",$G11="?",$I11=""),"",$G11*$I11*10)</f>
        <v/>
      </c>
      <c r="K11" s="17" t="n">
        <v>0.595</v>
      </c>
      <c r="L11" s="16">
        <f>IF(OR($J11="",$K11=""),"",$J11*$K11)</f>
        <v/>
      </c>
    </row>
    <row r="12">
      <c r="A12" s="5" t="inlineStr">
        <is>
          <t>Pivô 07</t>
        </is>
      </c>
      <c r="B12" s="7" t="inlineStr">
        <is>
          <t>P7</t>
        </is>
      </c>
      <c r="C12" s="5" t="inlineStr">
        <is>
          <t>R2</t>
        </is>
      </c>
      <c r="D12" s="5" t="inlineStr">
        <is>
          <t>ALGODÃO</t>
        </is>
      </c>
      <c r="E12" s="6" t="inlineStr">
        <is>
          <t>IMA 5901 B2RF</t>
        </is>
      </c>
      <c r="F12" s="7" t="n"/>
      <c r="G12" s="27">
        <f>IF(OR($B12="",$F12=""),"",IFERROR(INDEX(LAMINA_HORA!$C$5:$V$114,MATCH($B12,LAMINA_HORA!$A$5:$A$114,0),MATCH($F12,LAMINA_HORA!$C$3:$V$3,0)),"?"))</f>
        <v/>
      </c>
      <c r="H12" s="27">
        <f>IF(OR($B12="",$F12=""),"",IFERROR(INDEX(LAMINA_HORA!$W$5:$AP$114,MATCH($B12,LAMINA_HORA!$A$5:$A$114,0),MATCH($F12,LAMINA_HORA!$W$3:$AP$3,0)),"?"))</f>
        <v/>
      </c>
      <c r="I12" s="15" t="n">
        <v>120</v>
      </c>
      <c r="J12" s="16">
        <f>IF(OR($G12="",$G12="?",$I12=""),"",$G12*$I12*10)</f>
        <v/>
      </c>
      <c r="K12" s="17" t="n">
        <v>0.63</v>
      </c>
      <c r="L12" s="16">
        <f>IF(OR($J12="",$K12=""),"",$J12*$K12)</f>
        <v/>
      </c>
    </row>
    <row r="13">
      <c r="A13" s="5" t="inlineStr">
        <is>
          <t>Pivô 08</t>
        </is>
      </c>
      <c r="B13" s="7" t="inlineStr">
        <is>
          <t>P8</t>
        </is>
      </c>
      <c r="C13" s="5" t="inlineStr">
        <is>
          <t>R2</t>
        </is>
      </c>
      <c r="D13" s="5" t="inlineStr">
        <is>
          <t>ALGODÃO</t>
        </is>
      </c>
      <c r="E13" s="6" t="inlineStr">
        <is>
          <t>IMA 5901 B2RF</t>
        </is>
      </c>
      <c r="F13" s="7" t="n"/>
      <c r="G13" s="27">
        <f>IF(OR($B13="",$F13=""),"",IFERROR(INDEX(LAMINA_HORA!$C$5:$V$114,MATCH($B13,LAMINA_HORA!$A$5:$A$114,0),MATCH($F13,LAMINA_HORA!$C$3:$V$3,0)),"?"))</f>
        <v/>
      </c>
      <c r="H13" s="27">
        <f>IF(OR($B13="",$F13=""),"",IFERROR(INDEX(LAMINA_HORA!$W$5:$AP$114,MATCH($B13,LAMINA_HORA!$A$5:$A$114,0),MATCH($F13,LAMINA_HORA!$W$3:$AP$3,0)),"?"))</f>
        <v/>
      </c>
      <c r="I13" s="15" t="n">
        <v>150</v>
      </c>
      <c r="J13" s="16">
        <f>IF(OR($G13="",$G13="?",$I13=""),"",$G13*$I13*10)</f>
        <v/>
      </c>
      <c r="K13" s="17" t="n">
        <v>0.5659999999999999</v>
      </c>
      <c r="L13" s="16">
        <f>IF(OR($J13="",$K13=""),"",$J13*$K13)</f>
        <v/>
      </c>
    </row>
    <row r="14">
      <c r="A14" s="5" t="inlineStr">
        <is>
          <t>Pivô 09</t>
        </is>
      </c>
      <c r="B14" s="7" t="inlineStr">
        <is>
          <t>P9</t>
        </is>
      </c>
      <c r="C14" s="5" t="inlineStr">
        <is>
          <t>R3</t>
        </is>
      </c>
      <c r="D14" s="5" t="inlineStr">
        <is>
          <t>ALGODÃO</t>
        </is>
      </c>
      <c r="E14" s="6" t="inlineStr">
        <is>
          <t>IMA 5901 B2RF</t>
        </is>
      </c>
      <c r="F14" s="7" t="n"/>
      <c r="G14" s="27">
        <f>IF(OR($B14="",$F14=""),"",IFERROR(INDEX(LAMINA_HORA!$C$5:$V$114,MATCH($B14,LAMINA_HORA!$A$5:$A$114,0),MATCH($F14,LAMINA_HORA!$C$3:$V$3,0)),"?"))</f>
        <v/>
      </c>
      <c r="H14" s="27">
        <f>IF(OR($B14="",$F14=""),"",IFERROR(INDEX(LAMINA_HORA!$W$5:$AP$114,MATCH($B14,LAMINA_HORA!$A$5:$A$114,0),MATCH($F14,LAMINA_HORA!$W$3:$AP$3,0)),"?"))</f>
        <v/>
      </c>
      <c r="I14" s="15" t="n">
        <v>120</v>
      </c>
      <c r="J14" s="16">
        <f>IF(OR($G14="",$G14="?",$I14=""),"",$G14*$I14*10)</f>
        <v/>
      </c>
      <c r="K14" s="17" t="n">
        <v>0.5649999999999999</v>
      </c>
      <c r="L14" s="16">
        <f>IF(OR($J14="",$K14=""),"",$J14*$K14)</f>
        <v/>
      </c>
    </row>
    <row r="15">
      <c r="A15" s="5" t="inlineStr">
        <is>
          <t>Pivô 10</t>
        </is>
      </c>
      <c r="B15" s="7" t="inlineStr">
        <is>
          <t>P10</t>
        </is>
      </c>
      <c r="C15" s="5" t="inlineStr">
        <is>
          <t>R3</t>
        </is>
      </c>
      <c r="D15" s="5" t="inlineStr">
        <is>
          <t>ALGODÃO</t>
        </is>
      </c>
      <c r="E15" s="6" t="inlineStr">
        <is>
          <t>IMA 5901 B2RF</t>
        </is>
      </c>
      <c r="F15" s="7" t="n"/>
      <c r="G15" s="27">
        <f>IF(OR($B15="",$F15=""),"",IFERROR(INDEX(LAMINA_HORA!$C$5:$V$114,MATCH($B15,LAMINA_HORA!$A$5:$A$114,0),MATCH($F15,LAMINA_HORA!$C$3:$V$3,0)),"?"))</f>
        <v/>
      </c>
      <c r="H15" s="27">
        <f>IF(OR($B15="",$F15=""),"",IFERROR(INDEX(LAMINA_HORA!$W$5:$AP$114,MATCH($B15,LAMINA_HORA!$A$5:$A$114,0),MATCH($F15,LAMINA_HORA!$W$3:$AP$3,0)),"?"))</f>
        <v/>
      </c>
      <c r="I15" s="15" t="n">
        <v>150</v>
      </c>
      <c r="J15" s="16">
        <f>IF(OR($G15="",$G15="?",$I15=""),"",$G15*$I15*10)</f>
        <v/>
      </c>
      <c r="K15" s="17" t="n">
        <v>0.5659999999999999</v>
      </c>
      <c r="L15" s="16">
        <f>IF(OR($J15="",$K15=""),"",$J15*$K15)</f>
        <v/>
      </c>
    </row>
    <row r="16">
      <c r="A16" s="5" t="inlineStr">
        <is>
          <t>Pivô 11</t>
        </is>
      </c>
      <c r="B16" s="7" t="inlineStr">
        <is>
          <t>P11</t>
        </is>
      </c>
      <c r="C16" s="5" t="inlineStr">
        <is>
          <t>R5</t>
        </is>
      </c>
      <c r="D16" s="5" t="inlineStr">
        <is>
          <t>ALGODÃO</t>
        </is>
      </c>
      <c r="E16" s="6" t="inlineStr">
        <is>
          <t>IMA 5901 B2RF</t>
        </is>
      </c>
      <c r="F16" s="7" t="n"/>
      <c r="G16" s="27">
        <f>IF(OR($B16="",$F16=""),"",IFERROR(INDEX(LAMINA_HORA!$C$5:$V$114,MATCH($B16,LAMINA_HORA!$A$5:$A$114,0),MATCH($F16,LAMINA_HORA!$C$3:$V$3,0)),"?"))</f>
        <v/>
      </c>
      <c r="H16" s="27">
        <f>IF(OR($B16="",$F16=""),"",IFERROR(INDEX(LAMINA_HORA!$W$5:$AP$114,MATCH($B16,LAMINA_HORA!$A$5:$A$114,0),MATCH($F16,LAMINA_HORA!$W$3:$AP$3,0)),"?"))</f>
        <v/>
      </c>
      <c r="I16" s="15" t="n">
        <v>121</v>
      </c>
      <c r="J16" s="16">
        <f>IF(OR($G16="",$G16="?",$I16=""),"",$G16*$I16*10)</f>
        <v/>
      </c>
      <c r="K16" s="17" t="n">
        <v>0.577</v>
      </c>
      <c r="L16" s="16">
        <f>IF(OR($J16="",$K16=""),"",$J16*$K16)</f>
        <v/>
      </c>
    </row>
    <row r="17">
      <c r="A17" s="5" t="inlineStr">
        <is>
          <t>Pivô 12</t>
        </is>
      </c>
      <c r="B17" s="7" t="inlineStr">
        <is>
          <t>P12</t>
        </is>
      </c>
      <c r="C17" s="5" t="inlineStr">
        <is>
          <t>R5</t>
        </is>
      </c>
      <c r="D17" s="5" t="inlineStr">
        <is>
          <t>SOJA</t>
        </is>
      </c>
      <c r="E17" s="6" t="inlineStr">
        <is>
          <t>COMBATE IPRO</t>
        </is>
      </c>
      <c r="F17" s="7" t="n"/>
      <c r="G17" s="27">
        <f>IF(OR($B17="",$F17=""),"",IFERROR(INDEX(LAMINA_HORA!$C$5:$V$114,MATCH($B17,LAMINA_HORA!$A$5:$A$114,0),MATCH($F17,LAMINA_HORA!$C$3:$V$3,0)),"?"))</f>
        <v/>
      </c>
      <c r="H17" s="27">
        <f>IF(OR($B17="",$F17=""),"",IFERROR(INDEX(LAMINA_HORA!$W$5:$AP$114,MATCH($B17,LAMINA_HORA!$A$5:$A$114,0),MATCH($F17,LAMINA_HORA!$W$3:$AP$3,0)),"?"))</f>
        <v/>
      </c>
      <c r="I17" s="15" t="n">
        <v>150</v>
      </c>
      <c r="J17" s="16">
        <f>IF(OR($G17="",$G17="?",$I17=""),"",$G17*$I17*10)</f>
        <v/>
      </c>
      <c r="K17" s="17" t="n">
        <v>0.5659999999999999</v>
      </c>
      <c r="L17" s="16">
        <f>IF(OR($J17="",$K17=""),"",$J17*$K17)</f>
        <v/>
      </c>
    </row>
    <row r="18">
      <c r="A18" s="5" t="inlineStr">
        <is>
          <t>Pivô 13</t>
        </is>
      </c>
      <c r="B18" s="7" t="inlineStr">
        <is>
          <t>P13</t>
        </is>
      </c>
      <c r="C18" s="5" t="inlineStr">
        <is>
          <t>R5</t>
        </is>
      </c>
      <c r="D18" s="5" t="inlineStr">
        <is>
          <t>SOJA</t>
        </is>
      </c>
      <c r="E18" s="6" t="inlineStr">
        <is>
          <t>COMBATE IPRO</t>
        </is>
      </c>
      <c r="F18" s="7" t="n"/>
      <c r="G18" s="27">
        <f>IF(OR($B18="",$F18=""),"",IFERROR(INDEX(LAMINA_HORA!$C$5:$V$114,MATCH($B18,LAMINA_HORA!$A$5:$A$114,0),MATCH($F18,LAMINA_HORA!$C$3:$V$3,0)),"?"))</f>
        <v/>
      </c>
      <c r="H18" s="27">
        <f>IF(OR($B18="",$F18=""),"",IFERROR(INDEX(LAMINA_HORA!$W$5:$AP$114,MATCH($B18,LAMINA_HORA!$A$5:$A$114,0),MATCH($F18,LAMINA_HORA!$W$3:$AP$3,0)),"?"))</f>
        <v/>
      </c>
      <c r="I18" s="15" t="n">
        <v>71</v>
      </c>
      <c r="J18" s="16">
        <f>IF(OR($G18="",$G18="?",$I18=""),"",$G18*$I18*10)</f>
        <v/>
      </c>
      <c r="K18" s="17" t="n">
        <v>0.634</v>
      </c>
      <c r="L18" s="16">
        <f>IF(OR($J18="",$K18=""),"",$J18*$K18)</f>
        <v/>
      </c>
    </row>
    <row r="19">
      <c r="A19" s="5" t="inlineStr">
        <is>
          <t>Pivô 14</t>
        </is>
      </c>
      <c r="B19" s="7" t="inlineStr">
        <is>
          <t>P14</t>
        </is>
      </c>
      <c r="C19" s="5" t="inlineStr">
        <is>
          <t>R6</t>
        </is>
      </c>
      <c r="D19" s="5" t="inlineStr">
        <is>
          <t>SOJA</t>
        </is>
      </c>
      <c r="E19" s="6" t="inlineStr">
        <is>
          <t>COMBATE IPRO</t>
        </is>
      </c>
      <c r="F19" s="7" t="n"/>
      <c r="G19" s="27">
        <f>IF(OR($B19="",$F19=""),"",IFERROR(INDEX(LAMINA_HORA!$C$5:$V$114,MATCH($B19,LAMINA_HORA!$A$5:$A$114,0),MATCH($F19,LAMINA_HORA!$C$3:$V$3,0)),"?"))</f>
        <v/>
      </c>
      <c r="H19" s="27">
        <f>IF(OR($B19="",$F19=""),"",IFERROR(INDEX(LAMINA_HORA!$W$5:$AP$114,MATCH($B19,LAMINA_HORA!$A$5:$A$114,0),MATCH($F19,LAMINA_HORA!$W$3:$AP$3,0)),"?"))</f>
        <v/>
      </c>
      <c r="I19" s="15" t="n">
        <v>150</v>
      </c>
      <c r="J19" s="16">
        <f>IF(OR($G19="",$G19="?",$I19=""),"",$G19*$I19*10)</f>
        <v/>
      </c>
      <c r="K19" s="17" t="n">
        <v>0.396</v>
      </c>
      <c r="L19" s="16">
        <f>IF(OR($J19="",$K19=""),"",$J19*$K19)</f>
        <v/>
      </c>
    </row>
    <row r="20">
      <c r="A20" s="5" t="inlineStr">
        <is>
          <t>Pivô 15</t>
        </is>
      </c>
      <c r="B20" s="7" t="inlineStr">
        <is>
          <t>P15</t>
        </is>
      </c>
      <c r="C20" s="5" t="inlineStr">
        <is>
          <t>R1</t>
        </is>
      </c>
      <c r="D20" s="5" t="inlineStr">
        <is>
          <t>SOJA</t>
        </is>
      </c>
      <c r="E20" s="6" t="inlineStr">
        <is>
          <t>CZ 37B07 I2X</t>
        </is>
      </c>
      <c r="F20" s="7" t="n"/>
      <c r="G20" s="27">
        <f>IF(OR($B20="",$F20=""),"",IFERROR(INDEX(LAMINA_HORA!$C$5:$V$114,MATCH($B20,LAMINA_HORA!$A$5:$A$114,0),MATCH($F20,LAMINA_HORA!$C$3:$V$3,0)),"?"))</f>
        <v/>
      </c>
      <c r="H20" s="27">
        <f>IF(OR($B20="",$F20=""),"",IFERROR(INDEX(LAMINA_HORA!$W$5:$AP$114,MATCH($B20,LAMINA_HORA!$A$5:$A$114,0),MATCH($F20,LAMINA_HORA!$W$3:$AP$3,0)),"?"))</f>
        <v/>
      </c>
      <c r="I20" s="15" t="n">
        <v>150</v>
      </c>
      <c r="J20" s="16">
        <f>IF(OR($G20="",$G20="?",$I20=""),"",$G20*$I20*10)</f>
        <v/>
      </c>
      <c r="K20" s="17" t="n">
        <v>0.513</v>
      </c>
      <c r="L20" s="16">
        <f>IF(OR($J20="",$K20=""),"",$J20*$K20)</f>
        <v/>
      </c>
    </row>
    <row r="21">
      <c r="A21" s="5" t="inlineStr">
        <is>
          <t>Pivô 16</t>
        </is>
      </c>
      <c r="B21" s="7" t="inlineStr">
        <is>
          <t>P16</t>
        </is>
      </c>
      <c r="C21" s="5" t="inlineStr">
        <is>
          <t>R1</t>
        </is>
      </c>
      <c r="D21" s="5" t="inlineStr">
        <is>
          <t>SOJA</t>
        </is>
      </c>
      <c r="E21" s="6" t="inlineStr">
        <is>
          <t>ATAQUE I2X</t>
        </is>
      </c>
      <c r="F21" s="7" t="n"/>
      <c r="G21" s="27">
        <f>IF(OR($B21="",$F21=""),"",IFERROR(INDEX(LAMINA_HORA!$C$5:$V$114,MATCH($B21,LAMINA_HORA!$A$5:$A$114,0),MATCH($F21,LAMINA_HORA!$C$3:$V$3,0)),"?"))</f>
        <v/>
      </c>
      <c r="H21" s="27">
        <f>IF(OR($B21="",$F21=""),"",IFERROR(INDEX(LAMINA_HORA!$W$5:$AP$114,MATCH($B21,LAMINA_HORA!$A$5:$A$114,0),MATCH($F21,LAMINA_HORA!$W$3:$AP$3,0)),"?"))</f>
        <v/>
      </c>
      <c r="I21" s="15" t="n">
        <v>150</v>
      </c>
      <c r="J21" s="16">
        <f>IF(OR($G21="",$G21="?",$I21=""),"",$G21*$I21*10)</f>
        <v/>
      </c>
      <c r="K21" s="17" t="n">
        <v>0.5659999999999999</v>
      </c>
      <c r="L21" s="16">
        <f>IF(OR($J21="",$K21=""),"",$J21*$K21)</f>
        <v/>
      </c>
    </row>
    <row r="22">
      <c r="A22" s="5" t="inlineStr">
        <is>
          <t>Pivô 17</t>
        </is>
      </c>
      <c r="B22" s="7" t="inlineStr">
        <is>
          <t>P17</t>
        </is>
      </c>
      <c r="C22" s="5" t="inlineStr">
        <is>
          <t>R2</t>
        </is>
      </c>
      <c r="D22" s="5" t="inlineStr">
        <is>
          <t>SOJA</t>
        </is>
      </c>
      <c r="E22" s="6" t="inlineStr">
        <is>
          <t>CZ 37B07 I2X</t>
        </is>
      </c>
      <c r="F22" s="7" t="n"/>
      <c r="G22" s="27">
        <f>IF(OR($B22="",$F22=""),"",IFERROR(INDEX(LAMINA_HORA!$C$5:$V$114,MATCH($B22,LAMINA_HORA!$A$5:$A$114,0),MATCH($F22,LAMINA_HORA!$C$3:$V$3,0)),"?"))</f>
        <v/>
      </c>
      <c r="H22" s="27">
        <f>IF(OR($B22="",$F22=""),"",IFERROR(INDEX(LAMINA_HORA!$W$5:$AP$114,MATCH($B22,LAMINA_HORA!$A$5:$A$114,0),MATCH($F22,LAMINA_HORA!$W$3:$AP$3,0)),"?"))</f>
        <v/>
      </c>
      <c r="I22" s="15" t="n">
        <v>150</v>
      </c>
      <c r="J22" s="16">
        <f>IF(OR($G22="",$G22="?",$I22=""),"",$G22*$I22*10)</f>
        <v/>
      </c>
      <c r="K22" s="17" t="n">
        <v>0.513</v>
      </c>
      <c r="L22" s="16">
        <f>IF(OR($J22="",$K22=""),"",$J22*$K22)</f>
        <v/>
      </c>
    </row>
    <row r="23">
      <c r="A23" s="5" t="inlineStr">
        <is>
          <t>Pivô 18</t>
        </is>
      </c>
      <c r="B23" s="7" t="inlineStr">
        <is>
          <t>P18</t>
        </is>
      </c>
      <c r="C23" s="5" t="inlineStr">
        <is>
          <t>R2</t>
        </is>
      </c>
      <c r="D23" s="5" t="inlineStr">
        <is>
          <t>ALGODÃO</t>
        </is>
      </c>
      <c r="E23" s="6" t="inlineStr">
        <is>
          <t>IMA 3764 B2RF</t>
        </is>
      </c>
      <c r="F23" s="7" t="n"/>
      <c r="G23" s="27">
        <f>IF(OR($B23="",$F23=""),"",IFERROR(INDEX(LAMINA_HORA!$C$5:$V$114,MATCH($B23,LAMINA_HORA!$A$5:$A$114,0),MATCH($F23,LAMINA_HORA!$C$3:$V$3,0)),"?"))</f>
        <v/>
      </c>
      <c r="H23" s="27">
        <f>IF(OR($B23="",$F23=""),"",IFERROR(INDEX(LAMINA_HORA!$W$5:$AP$114,MATCH($B23,LAMINA_HORA!$A$5:$A$114,0),MATCH($F23,LAMINA_HORA!$W$3:$AP$3,0)),"?"))</f>
        <v/>
      </c>
      <c r="I23" s="15" t="n">
        <v>150</v>
      </c>
      <c r="J23" s="16">
        <f>IF(OR($G23="",$G23="?",$I23=""),"",$G23*$I23*10)</f>
        <v/>
      </c>
      <c r="K23" s="17" t="n">
        <v>0.513</v>
      </c>
      <c r="L23" s="16">
        <f>IF(OR($J23="",$K23=""),"",$J23*$K23)</f>
        <v/>
      </c>
    </row>
    <row r="24">
      <c r="A24" s="5" t="inlineStr">
        <is>
          <t>Pivô 19</t>
        </is>
      </c>
      <c r="B24" s="7" t="inlineStr">
        <is>
          <t>P19</t>
        </is>
      </c>
      <c r="C24" s="5" t="inlineStr">
        <is>
          <t>R3</t>
        </is>
      </c>
      <c r="D24" s="5" t="inlineStr">
        <is>
          <t>SOJA</t>
        </is>
      </c>
      <c r="E24" s="6" t="inlineStr">
        <is>
          <t>NEO 761 I2X</t>
        </is>
      </c>
      <c r="F24" s="7" t="n"/>
      <c r="G24" s="27">
        <f>IF(OR($B24="",$F24=""),"",IFERROR(INDEX(LAMINA_HORA!$C$5:$V$114,MATCH($B24,LAMINA_HORA!$A$5:$A$114,0),MATCH($F24,LAMINA_HORA!$C$3:$V$3,0)),"?"))</f>
        <v/>
      </c>
      <c r="H24" s="27">
        <f>IF(OR($B24="",$F24=""),"",IFERROR(INDEX(LAMINA_HORA!$W$5:$AP$114,MATCH($B24,LAMINA_HORA!$A$5:$A$114,0),MATCH($F24,LAMINA_HORA!$W$3:$AP$3,0)),"?"))</f>
        <v/>
      </c>
      <c r="I24" s="15" t="n">
        <v>150</v>
      </c>
      <c r="J24" s="16">
        <f>IF(OR($G24="",$G24="?",$I24=""),"",$G24*$I24*10)</f>
        <v/>
      </c>
      <c r="K24" s="17" t="n">
        <v>0.513</v>
      </c>
      <c r="L24" s="16">
        <f>IF(OR($J24="",$K24=""),"",$J24*$K24)</f>
        <v/>
      </c>
    </row>
    <row r="25">
      <c r="A25" s="5" t="inlineStr">
        <is>
          <t>Pivô 20</t>
        </is>
      </c>
      <c r="B25" s="7" t="inlineStr">
        <is>
          <t>P20</t>
        </is>
      </c>
      <c r="C25" s="5" t="inlineStr">
        <is>
          <t>R3</t>
        </is>
      </c>
      <c r="D25" s="5" t="inlineStr">
        <is>
          <t>SOJA</t>
        </is>
      </c>
      <c r="E25" s="6" t="inlineStr">
        <is>
          <t>NEO 761 I2X</t>
        </is>
      </c>
      <c r="F25" s="7" t="n"/>
      <c r="G25" s="27">
        <f>IF(OR($B25="",$F25=""),"",IFERROR(INDEX(LAMINA_HORA!$C$5:$V$114,MATCH($B25,LAMINA_HORA!$A$5:$A$114,0),MATCH($F25,LAMINA_HORA!$C$3:$V$3,0)),"?"))</f>
        <v/>
      </c>
      <c r="H25" s="27">
        <f>IF(OR($B25="",$F25=""),"",IFERROR(INDEX(LAMINA_HORA!$W$5:$AP$114,MATCH($B25,LAMINA_HORA!$A$5:$A$114,0),MATCH($F25,LAMINA_HORA!$W$3:$AP$3,0)),"?"))</f>
        <v/>
      </c>
      <c r="I25" s="15" t="n">
        <v>150</v>
      </c>
      <c r="J25" s="16">
        <f>IF(OR($G25="",$G25="?",$I25=""),"",$G25*$I25*10)</f>
        <v/>
      </c>
      <c r="K25" s="17" t="n">
        <v>0.409</v>
      </c>
      <c r="L25" s="16">
        <f>IF(OR($J25="",$K25=""),"",$J25*$K25)</f>
        <v/>
      </c>
    </row>
    <row r="26">
      <c r="A26" s="5" t="inlineStr">
        <is>
          <t>Pivô 21</t>
        </is>
      </c>
      <c r="B26" s="7" t="inlineStr">
        <is>
          <t>P21</t>
        </is>
      </c>
      <c r="C26" s="5" t="inlineStr">
        <is>
          <t>R4</t>
        </is>
      </c>
      <c r="D26" s="5" t="inlineStr">
        <is>
          <t>SOJA</t>
        </is>
      </c>
      <c r="E26" s="6" t="inlineStr">
        <is>
          <t>NEO 761 I2X</t>
        </is>
      </c>
      <c r="F26" s="7" t="n"/>
      <c r="G26" s="27">
        <f>IF(OR($B26="",$F26=""),"",IFERROR(INDEX(LAMINA_HORA!$C$5:$V$114,MATCH($B26,LAMINA_HORA!$A$5:$A$114,0),MATCH($F26,LAMINA_HORA!$C$3:$V$3,0)),"?"))</f>
        <v/>
      </c>
      <c r="H26" s="27">
        <f>IF(OR($B26="",$F26=""),"",IFERROR(INDEX(LAMINA_HORA!$W$5:$AP$114,MATCH($B26,LAMINA_HORA!$A$5:$A$114,0),MATCH($F26,LAMINA_HORA!$W$3:$AP$3,0)),"?"))</f>
        <v/>
      </c>
      <c r="I26" s="15" t="n">
        <v>150</v>
      </c>
      <c r="J26" s="16">
        <f>IF(OR($G26="",$G26="?",$I26=""),"",$G26*$I26*10)</f>
        <v/>
      </c>
      <c r="K26" s="17" t="n">
        <v>0.513</v>
      </c>
      <c r="L26" s="16">
        <f>IF(OR($J26="",$K26=""),"",$J26*$K26)</f>
        <v/>
      </c>
    </row>
    <row r="27">
      <c r="A27" s="5" t="inlineStr">
        <is>
          <t>Pivô 22</t>
        </is>
      </c>
      <c r="B27" s="7" t="inlineStr">
        <is>
          <t>P22</t>
        </is>
      </c>
      <c r="C27" s="5" t="inlineStr">
        <is>
          <t>R4</t>
        </is>
      </c>
      <c r="D27" s="5" t="inlineStr">
        <is>
          <t>SOJA</t>
        </is>
      </c>
      <c r="E27" s="6" t="inlineStr">
        <is>
          <t>NEO 761 I2X</t>
        </is>
      </c>
      <c r="F27" s="7" t="n"/>
      <c r="G27" s="27">
        <f>IF(OR($B27="",$F27=""),"",IFERROR(INDEX(LAMINA_HORA!$C$5:$V$114,MATCH($B27,LAMINA_HORA!$A$5:$A$114,0),MATCH($F27,LAMINA_HORA!$C$3:$V$3,0)),"?"))</f>
        <v/>
      </c>
      <c r="H27" s="27">
        <f>IF(OR($B27="",$F27=""),"",IFERROR(INDEX(LAMINA_HORA!$W$5:$AP$114,MATCH($B27,LAMINA_HORA!$A$5:$A$114,0),MATCH($F27,LAMINA_HORA!$W$3:$AP$3,0)),"?"))</f>
        <v/>
      </c>
      <c r="I27" s="15" t="n">
        <v>150</v>
      </c>
      <c r="J27" s="16">
        <f>IF(OR($G27="",$G27="?",$I27=""),"",$G27*$I27*10)</f>
        <v/>
      </c>
      <c r="K27" s="17" t="n">
        <v>0.513</v>
      </c>
      <c r="L27" s="16">
        <f>IF(OR($J27="",$K27=""),"",$J27*$K27)</f>
        <v/>
      </c>
    </row>
    <row r="28">
      <c r="A28" s="5" t="inlineStr">
        <is>
          <t>Pivô 23</t>
        </is>
      </c>
      <c r="B28" s="7" t="inlineStr">
        <is>
          <t>P23</t>
        </is>
      </c>
      <c r="C28" s="5" t="inlineStr">
        <is>
          <t>R6</t>
        </is>
      </c>
      <c r="D28" s="5" t="inlineStr">
        <is>
          <t>ALGODÃO</t>
        </is>
      </c>
      <c r="E28" s="6" t="inlineStr">
        <is>
          <t>FM 974 GLT</t>
        </is>
      </c>
      <c r="F28" s="7" t="n"/>
      <c r="G28" s="27">
        <f>IF(OR($B28="",$F28=""),"",IFERROR(INDEX(LAMINA_HORA!$C$5:$V$114,MATCH($B28,LAMINA_HORA!$A$5:$A$114,0),MATCH($F28,LAMINA_HORA!$C$3:$V$3,0)),"?"))</f>
        <v/>
      </c>
      <c r="H28" s="27">
        <f>IF(OR($B28="",$F28=""),"",IFERROR(INDEX(LAMINA_HORA!$W$5:$AP$114,MATCH($B28,LAMINA_HORA!$A$5:$A$114,0),MATCH($F28,LAMINA_HORA!$W$3:$AP$3,0)),"?"))</f>
        <v/>
      </c>
      <c r="I28" s="15" t="n">
        <v>150</v>
      </c>
      <c r="J28" s="16">
        <f>IF(OR($G28="",$G28="?",$I28=""),"",$G28*$I28*10)</f>
        <v/>
      </c>
      <c r="K28" s="17" t="n">
        <v>0.552</v>
      </c>
      <c r="L28" s="16">
        <f>IF(OR($J28="",$K28=""),"",$J28*$K28)</f>
        <v/>
      </c>
    </row>
    <row r="29">
      <c r="A29" s="5" t="inlineStr">
        <is>
          <t>Pivô 24</t>
        </is>
      </c>
      <c r="B29" s="7" t="inlineStr">
        <is>
          <t>P24</t>
        </is>
      </c>
      <c r="C29" s="5" t="inlineStr">
        <is>
          <t>R6</t>
        </is>
      </c>
      <c r="D29" s="5" t="inlineStr">
        <is>
          <t>SOJA</t>
        </is>
      </c>
      <c r="E29" s="6" t="inlineStr">
        <is>
          <t>BMX Olimpo IPRO</t>
        </is>
      </c>
      <c r="F29" s="7" t="n"/>
      <c r="G29" s="27">
        <f>IF(OR($B29="",$F29=""),"",IFERROR(INDEX(LAMINA_HORA!$C$5:$V$114,MATCH($B29,LAMINA_HORA!$A$5:$A$114,0),MATCH($F29,LAMINA_HORA!$C$3:$V$3,0)),"?"))</f>
        <v/>
      </c>
      <c r="H29" s="27">
        <f>IF(OR($B29="",$F29=""),"",IFERROR(INDEX(LAMINA_HORA!$W$5:$AP$114,MATCH($B29,LAMINA_HORA!$A$5:$A$114,0),MATCH($F29,LAMINA_HORA!$W$3:$AP$3,0)),"?"))</f>
        <v/>
      </c>
      <c r="I29" s="15" t="n">
        <v>150</v>
      </c>
      <c r="J29" s="16">
        <f>IF(OR($G29="",$G29="?",$I29=""),"",$G29*$I29*10)</f>
        <v/>
      </c>
      <c r="K29" s="17" t="n">
        <v>0.5659999999999999</v>
      </c>
      <c r="L29" s="16">
        <f>IF(OR($J29="",$K29=""),"",$J29*$K29)</f>
        <v/>
      </c>
    </row>
    <row r="30">
      <c r="A30" s="5" t="inlineStr">
        <is>
          <t>Pivô 25</t>
        </is>
      </c>
      <c r="B30" s="7" t="inlineStr">
        <is>
          <t>P25</t>
        </is>
      </c>
      <c r="C30" s="5" t="inlineStr">
        <is>
          <t>R7</t>
        </is>
      </c>
      <c r="D30" s="5" t="inlineStr">
        <is>
          <t>CACAU</t>
        </is>
      </c>
      <c r="E30" s="6" t="inlineStr">
        <is>
          <t>PS1319/FA13/CCN51</t>
        </is>
      </c>
      <c r="F30" s="7" t="n"/>
      <c r="G30" s="27">
        <f>IF(OR($B30="",$F30=""),"",IFERROR(INDEX(LAMINA_HORA!$C$5:$V$114,MATCH($B30,LAMINA_HORA!$A$5:$A$114,0),MATCH($F30,LAMINA_HORA!$C$3:$V$3,0)),"?"))</f>
        <v/>
      </c>
      <c r="H30" s="27">
        <f>IF(OR($B30="",$F30=""),"",IFERROR(INDEX(LAMINA_HORA!$W$5:$AP$114,MATCH($B30,LAMINA_HORA!$A$5:$A$114,0),MATCH($F30,LAMINA_HORA!$W$3:$AP$3,0)),"?"))</f>
        <v/>
      </c>
      <c r="I30" s="15" t="n">
        <v>100</v>
      </c>
      <c r="J30" s="16">
        <f>IF(OR($G30="",$G30="?",$I30=""),"",$G30*$I30*10)</f>
        <v/>
      </c>
      <c r="K30" s="17" t="n">
        <v>0.462</v>
      </c>
      <c r="L30" s="16">
        <f>IF(OR($J30="",$K30=""),"",$J30*$K30)</f>
        <v/>
      </c>
    </row>
    <row r="31">
      <c r="A31" s="5" t="inlineStr">
        <is>
          <t>Pivô 26</t>
        </is>
      </c>
      <c r="B31" s="7" t="inlineStr">
        <is>
          <t>P26</t>
        </is>
      </c>
      <c r="C31" s="5" t="inlineStr">
        <is>
          <t>R7</t>
        </is>
      </c>
      <c r="D31" s="5" t="inlineStr">
        <is>
          <t>SOJA</t>
        </is>
      </c>
      <c r="E31" s="6" t="inlineStr">
        <is>
          <t>ST 76KA72</t>
        </is>
      </c>
      <c r="F31" s="7" t="n"/>
      <c r="G31" s="27">
        <f>IF(OR($B31="",$F31=""),"",IFERROR(INDEX(LAMINA_HORA!$C$5:$V$114,MATCH($B31,LAMINA_HORA!$A$5:$A$114,0),MATCH($F31,LAMINA_HORA!$C$3:$V$3,0)),"?"))</f>
        <v/>
      </c>
      <c r="H31" s="27">
        <f>IF(OR($B31="",$F31=""),"",IFERROR(INDEX(LAMINA_HORA!$W$5:$AP$114,MATCH($B31,LAMINA_HORA!$A$5:$A$114,0),MATCH($F31,LAMINA_HORA!$W$3:$AP$3,0)),"?"))</f>
        <v/>
      </c>
      <c r="I31" s="15" t="n">
        <v>150</v>
      </c>
      <c r="J31" s="16">
        <f>IF(OR($G31="",$G31="?",$I31=""),"",$G31*$I31*10)</f>
        <v/>
      </c>
      <c r="K31" s="17" t="n">
        <v>0.591</v>
      </c>
      <c r="L31" s="16">
        <f>IF(OR($J31="",$K31=""),"",$J31*$K31)</f>
        <v/>
      </c>
    </row>
    <row r="32">
      <c r="A32" s="5" t="inlineStr">
        <is>
          <t>Pivô 27</t>
        </is>
      </c>
      <c r="B32" s="7" t="inlineStr">
        <is>
          <t>P27</t>
        </is>
      </c>
      <c r="C32" s="5" t="inlineStr">
        <is>
          <t>R7</t>
        </is>
      </c>
      <c r="D32" s="5" t="inlineStr">
        <is>
          <t>CACAU</t>
        </is>
      </c>
      <c r="E32" s="6" t="inlineStr">
        <is>
          <t>PS1319/FA13/CCN51</t>
        </is>
      </c>
      <c r="F32" s="7" t="n"/>
      <c r="G32" s="27">
        <f>IF(OR($B32="",$F32=""),"",IFERROR(INDEX(LAMINA_HORA!$C$5:$V$114,MATCH($B32,LAMINA_HORA!$A$5:$A$114,0),MATCH($F32,LAMINA_HORA!$C$3:$V$3,0)),"?"))</f>
        <v/>
      </c>
      <c r="H32" s="27">
        <f>IF(OR($B32="",$F32=""),"",IFERROR(INDEX(LAMINA_HORA!$W$5:$AP$114,MATCH($B32,LAMINA_HORA!$A$5:$A$114,0),MATCH($F32,LAMINA_HORA!$W$3:$AP$3,0)),"?"))</f>
        <v/>
      </c>
      <c r="I32" s="15" t="n">
        <v>100</v>
      </c>
      <c r="J32" s="16">
        <f>IF(OR($G32="",$G32="?",$I32=""),"",$G32*$I32*10)</f>
        <v/>
      </c>
      <c r="K32" s="17" t="n">
        <v>0.463</v>
      </c>
      <c r="L32" s="16">
        <f>IF(OR($J32="",$K32=""),"",$J32*$K32)</f>
        <v/>
      </c>
    </row>
    <row r="33">
      <c r="A33" s="5" t="inlineStr">
        <is>
          <t>Pivô 28</t>
        </is>
      </c>
      <c r="B33" s="7" t="inlineStr">
        <is>
          <t>P28</t>
        </is>
      </c>
      <c r="C33" s="5" t="inlineStr">
        <is>
          <t>R7</t>
        </is>
      </c>
      <c r="D33" s="5" t="inlineStr">
        <is>
          <t>CACAU</t>
        </is>
      </c>
      <c r="E33" s="6" t="inlineStr">
        <is>
          <t>PS1319/FA13/CCN51</t>
        </is>
      </c>
      <c r="F33" s="7" t="n"/>
      <c r="G33" s="27">
        <f>IF(OR($B33="",$F33=""),"",IFERROR(INDEX(LAMINA_HORA!$C$5:$V$114,MATCH($B33,LAMINA_HORA!$A$5:$A$114,0),MATCH($F33,LAMINA_HORA!$C$3:$V$3,0)),"?"))</f>
        <v/>
      </c>
      <c r="H33" s="27">
        <f>IF(OR($B33="",$F33=""),"",IFERROR(INDEX(LAMINA_HORA!$W$5:$AP$114,MATCH($B33,LAMINA_HORA!$A$5:$A$114,0),MATCH($F33,LAMINA_HORA!$W$3:$AP$3,0)),"?"))</f>
        <v/>
      </c>
      <c r="I33" s="15" t="n">
        <v>133</v>
      </c>
      <c r="J33" s="16">
        <f>IF(OR($G33="",$G33="?",$I33=""),"",$G33*$I33*10)</f>
        <v/>
      </c>
      <c r="K33" s="17" t="n">
        <v>0.54</v>
      </c>
      <c r="L33" s="16">
        <f>IF(OR($J33="",$K33=""),"",$J33*$K33)</f>
        <v/>
      </c>
    </row>
    <row r="34">
      <c r="A34" s="5" t="inlineStr">
        <is>
          <t>Pivô 29</t>
        </is>
      </c>
      <c r="B34" s="7" t="inlineStr">
        <is>
          <t>P29</t>
        </is>
      </c>
      <c r="C34" s="5" t="inlineStr">
        <is>
          <t>R7</t>
        </is>
      </c>
      <c r="D34" s="5" t="inlineStr">
        <is>
          <t>CACAU</t>
        </is>
      </c>
      <c r="E34" s="6" t="inlineStr">
        <is>
          <t>PS1319/FA13/CCN51</t>
        </is>
      </c>
      <c r="F34" s="7" t="n"/>
      <c r="G34" s="27">
        <f>IF(OR($B34="",$F34=""),"",IFERROR(INDEX(LAMINA_HORA!$C$5:$V$114,MATCH($B34,LAMINA_HORA!$A$5:$A$114,0),MATCH($F34,LAMINA_HORA!$C$3:$V$3,0)),"?"))</f>
        <v/>
      </c>
      <c r="H34" s="27">
        <f>IF(OR($B34="",$F34=""),"",IFERROR(INDEX(LAMINA_HORA!$W$5:$AP$114,MATCH($B34,LAMINA_HORA!$A$5:$A$114,0),MATCH($F34,LAMINA_HORA!$W$3:$AP$3,0)),"?"))</f>
        <v/>
      </c>
      <c r="I34" s="15" t="n">
        <v>80</v>
      </c>
      <c r="J34" s="16">
        <f>IF(OR($G34="",$G34="?",$I34=""),"",$G34*$I34*10)</f>
        <v/>
      </c>
      <c r="K34" s="17" t="n">
        <v>0.504</v>
      </c>
      <c r="L34" s="16">
        <f>IF(OR($J34="",$K34=""),"",$J34*$K34)</f>
        <v/>
      </c>
    </row>
    <row r="35">
      <c r="A35" s="5" t="inlineStr">
        <is>
          <t>Pivô 30</t>
        </is>
      </c>
      <c r="B35" s="7" t="inlineStr">
        <is>
          <t>P30</t>
        </is>
      </c>
      <c r="C35" s="5" t="inlineStr">
        <is>
          <t>C3Z3/R7</t>
        </is>
      </c>
      <c r="D35" s="5" t="inlineStr">
        <is>
          <t>CACAU</t>
        </is>
      </c>
      <c r="E35" s="6" t="inlineStr">
        <is>
          <t>PS1319/FA13/CCN51</t>
        </is>
      </c>
      <c r="F35" s="7" t="n"/>
      <c r="G35" s="27">
        <f>IF(OR($B35="",$F35=""),"",IFERROR(INDEX(LAMINA_HORA!$C$5:$V$114,MATCH($B35,LAMINA_HORA!$A$5:$A$114,0),MATCH($F35,LAMINA_HORA!$C$3:$V$3,0)),"?"))</f>
        <v/>
      </c>
      <c r="H35" s="27">
        <f>IF(OR($B35="",$F35=""),"",IFERROR(INDEX(LAMINA_HORA!$W$5:$AP$114,MATCH($B35,LAMINA_HORA!$A$5:$A$114,0),MATCH($F35,LAMINA_HORA!$W$3:$AP$3,0)),"?"))</f>
        <v/>
      </c>
      <c r="I35" s="15" t="n">
        <v>150</v>
      </c>
      <c r="J35" s="16">
        <f>IF(OR($G35="",$G35="?",$I35=""),"",$G35*$I35*10)</f>
        <v/>
      </c>
      <c r="K35" s="17" t="n">
        <v>0.441</v>
      </c>
      <c r="L35" s="16">
        <f>IF(OR($J35="",$K35=""),"",$J35*$K35)</f>
        <v/>
      </c>
    </row>
    <row r="36">
      <c r="A36" s="5" t="inlineStr">
        <is>
          <t>Pivô 31</t>
        </is>
      </c>
      <c r="B36" s="7" t="inlineStr">
        <is>
          <t>P31</t>
        </is>
      </c>
      <c r="C36" s="5" t="inlineStr">
        <is>
          <t>C3Z3/R7</t>
        </is>
      </c>
      <c r="D36" s="5" t="inlineStr">
        <is>
          <t>CACAU</t>
        </is>
      </c>
      <c r="E36" s="6" t="inlineStr">
        <is>
          <t>PS1319/FA13/CCN51</t>
        </is>
      </c>
      <c r="F36" s="7" t="n"/>
      <c r="G36" s="27">
        <f>IF(OR($B36="",$F36=""),"",IFERROR(INDEX(LAMINA_HORA!$C$5:$V$114,MATCH($B36,LAMINA_HORA!$A$5:$A$114,0),MATCH($F36,LAMINA_HORA!$C$3:$V$3,0)),"?"))</f>
        <v/>
      </c>
      <c r="H36" s="27">
        <f>IF(OR($B36="",$F36=""),"",IFERROR(INDEX(LAMINA_HORA!$W$5:$AP$114,MATCH($B36,LAMINA_HORA!$A$5:$A$114,0),MATCH($F36,LAMINA_HORA!$W$3:$AP$3,0)),"?"))</f>
        <v/>
      </c>
      <c r="I36" s="15" t="n">
        <v>150</v>
      </c>
      <c r="J36" s="16">
        <f>IF(OR($G36="",$G36="?",$I36=""),"",$G36*$I36*10)</f>
        <v/>
      </c>
      <c r="K36" s="17" t="n">
        <v>0.449</v>
      </c>
      <c r="L36" s="16">
        <f>IF(OR($J36="",$K36=""),"",$J36*$K36)</f>
        <v/>
      </c>
    </row>
    <row r="37">
      <c r="A37" s="5" t="inlineStr">
        <is>
          <t>Pivô 32</t>
        </is>
      </c>
      <c r="B37" s="7" t="inlineStr">
        <is>
          <t>P32</t>
        </is>
      </c>
      <c r="C37" s="5" t="inlineStr">
        <is>
          <t>C3Z3/R7</t>
        </is>
      </c>
      <c r="D37" s="5" t="inlineStr">
        <is>
          <t>CACAU</t>
        </is>
      </c>
      <c r="E37" s="6" t="inlineStr">
        <is>
          <t>PS1319/FA13/CCN51</t>
        </is>
      </c>
      <c r="F37" s="7" t="n"/>
      <c r="G37" s="27">
        <f>IF(OR($B37="",$F37=""),"",IFERROR(INDEX(LAMINA_HORA!$C$5:$V$114,MATCH($B37,LAMINA_HORA!$A$5:$A$114,0),MATCH($F37,LAMINA_HORA!$C$3:$V$3,0)),"?"))</f>
        <v/>
      </c>
      <c r="H37" s="27">
        <f>IF(OR($B37="",$F37=""),"",IFERROR(INDEX(LAMINA_HORA!$W$5:$AP$114,MATCH($B37,LAMINA_HORA!$A$5:$A$114,0),MATCH($F37,LAMINA_HORA!$W$3:$AP$3,0)),"?"))</f>
        <v/>
      </c>
      <c r="I37" s="15" t="n">
        <v>133</v>
      </c>
      <c r="J37" s="16">
        <f>IF(OR($G37="",$G37="?",$I37=""),"",$G37*$I37*10)</f>
        <v/>
      </c>
      <c r="K37" s="17" t="n">
        <v>0.446</v>
      </c>
      <c r="L37" s="16">
        <f>IF(OR($J37="",$K37=""),"",$J37*$K37)</f>
        <v/>
      </c>
    </row>
    <row r="38">
      <c r="A38" s="5" t="inlineStr">
        <is>
          <t>Pivô 33</t>
        </is>
      </c>
      <c r="B38" s="7" t="inlineStr">
        <is>
          <t>P33</t>
        </is>
      </c>
      <c r="C38" s="5" t="inlineStr">
        <is>
          <t>C3Z3/R7</t>
        </is>
      </c>
      <c r="D38" s="5" t="inlineStr">
        <is>
          <t>SOJA</t>
        </is>
      </c>
      <c r="E38" s="6" t="inlineStr">
        <is>
          <t>ATAQUE I2X</t>
        </is>
      </c>
      <c r="F38" s="7" t="n"/>
      <c r="G38" s="27">
        <f>IF(OR($B38="",$F38=""),"",IFERROR(INDEX(LAMINA_HORA!$C$5:$V$114,MATCH($B38,LAMINA_HORA!$A$5:$A$114,0),MATCH($F38,LAMINA_HORA!$C$3:$V$3,0)),"?"))</f>
        <v/>
      </c>
      <c r="H38" s="27">
        <f>IF(OR($B38="",$F38=""),"",IFERROR(INDEX(LAMINA_HORA!$W$5:$AP$114,MATCH($B38,LAMINA_HORA!$A$5:$A$114,0),MATCH($F38,LAMINA_HORA!$W$3:$AP$3,0)),"?"))</f>
        <v/>
      </c>
      <c r="I38" s="15" t="n">
        <v>138</v>
      </c>
      <c r="J38" s="16">
        <f>IF(OR($G38="",$G38="?",$I38=""),"",$G38*$I38*10)</f>
        <v/>
      </c>
      <c r="K38" s="17" t="n">
        <v>0.49</v>
      </c>
      <c r="L38" s="16">
        <f>IF(OR($J38="",$K38=""),"",$J38*$K38)</f>
        <v/>
      </c>
    </row>
    <row r="39">
      <c r="A39" s="5" t="inlineStr">
        <is>
          <t>Pivô 34</t>
        </is>
      </c>
      <c r="B39" s="7" t="inlineStr">
        <is>
          <t>P34</t>
        </is>
      </c>
      <c r="C39" s="5" t="inlineStr">
        <is>
          <t>C3Z3/R7</t>
        </is>
      </c>
      <c r="D39" s="5" t="inlineStr">
        <is>
          <t>CACAU</t>
        </is>
      </c>
      <c r="E39" s="6" t="inlineStr">
        <is>
          <t>PS1319/FA13/CCN51</t>
        </is>
      </c>
      <c r="F39" s="7" t="n"/>
      <c r="G39" s="27">
        <f>IF(OR($B39="",$F39=""),"",IFERROR(INDEX(LAMINA_HORA!$C$5:$V$114,MATCH($B39,LAMINA_HORA!$A$5:$A$114,0),MATCH($F39,LAMINA_HORA!$C$3:$V$3,0)),"?"))</f>
        <v/>
      </c>
      <c r="H39" s="27">
        <f>IF(OR($B39="",$F39=""),"",IFERROR(INDEX(LAMINA_HORA!$W$5:$AP$114,MATCH($B39,LAMINA_HORA!$A$5:$A$114,0),MATCH($F39,LAMINA_HORA!$W$3:$AP$3,0)),"?"))</f>
        <v/>
      </c>
      <c r="I39" s="15" t="n">
        <v>150</v>
      </c>
      <c r="J39" s="16">
        <f>IF(OR($G39="",$G39="?",$I39=""),"",$G39*$I39*10)</f>
        <v/>
      </c>
      <c r="K39" s="17" t="n">
        <v>0.461</v>
      </c>
      <c r="L39" s="16">
        <f>IF(OR($J39="",$K39=""),"",$J39*$K39)</f>
        <v/>
      </c>
    </row>
    <row r="40">
      <c r="A40" s="5" t="inlineStr">
        <is>
          <t>Pivô 75</t>
        </is>
      </c>
      <c r="B40" s="7" t="inlineStr">
        <is>
          <t>P75</t>
        </is>
      </c>
      <c r="C40" s="5" t="inlineStr">
        <is>
          <t>C3Z3/R7</t>
        </is>
      </c>
      <c r="D40" s="5" t="inlineStr">
        <is>
          <t>CACAU</t>
        </is>
      </c>
      <c r="E40" s="6" t="inlineStr">
        <is>
          <t>PS1319/FA13/CCN51</t>
        </is>
      </c>
      <c r="F40" s="7" t="n"/>
      <c r="G40" s="27">
        <f>IF(OR($B40="",$F40=""),"",IFERROR(INDEX(LAMINA_HORA!$C$5:$V$114,MATCH($B40,LAMINA_HORA!$A$5:$A$114,0),MATCH($F40,LAMINA_HORA!$C$3:$V$3,0)),"?"))</f>
        <v/>
      </c>
      <c r="H40" s="27">
        <f>IF(OR($B40="",$F40=""),"",IFERROR(INDEX(LAMINA_HORA!$W$5:$AP$114,MATCH($B40,LAMINA_HORA!$A$5:$A$114,0),MATCH($F40,LAMINA_HORA!$W$3:$AP$3,0)),"?"))</f>
        <v/>
      </c>
      <c r="I40" s="15" t="n">
        <v>9</v>
      </c>
      <c r="J40" s="16">
        <f>IF(OR($G40="",$G40="?",$I40=""),"",$G40*$I40*10)</f>
        <v/>
      </c>
      <c r="K40" s="17" t="n">
        <v>0.305</v>
      </c>
      <c r="L40" s="16">
        <f>IF(OR($J40="",$K40=""),"",$J40*$K40)</f>
        <v/>
      </c>
    </row>
    <row r="41">
      <c r="A41" s="5" t="inlineStr">
        <is>
          <t>Pivô 76</t>
        </is>
      </c>
      <c r="B41" s="7" t="inlineStr">
        <is>
          <t>P76</t>
        </is>
      </c>
      <c r="C41" s="5" t="inlineStr">
        <is>
          <t>C3Z3/R7</t>
        </is>
      </c>
      <c r="D41" s="5" t="inlineStr">
        <is>
          <t>CACAU</t>
        </is>
      </c>
      <c r="E41" s="6" t="inlineStr">
        <is>
          <t>PS1319/FA13/CCN51</t>
        </is>
      </c>
      <c r="F41" s="7" t="n"/>
      <c r="G41" s="27">
        <f>IF(OR($B41="",$F41=""),"",IFERROR(INDEX(LAMINA_HORA!$C$5:$V$114,MATCH($B41,LAMINA_HORA!$A$5:$A$114,0),MATCH($F41,LAMINA_HORA!$C$3:$V$3,0)),"?"))</f>
        <v/>
      </c>
      <c r="H41" s="27">
        <f>IF(OR($B41="",$F41=""),"",IFERROR(INDEX(LAMINA_HORA!$W$5:$AP$114,MATCH($B41,LAMINA_HORA!$A$5:$A$114,0),MATCH($F41,LAMINA_HORA!$W$3:$AP$3,0)),"?"))</f>
        <v/>
      </c>
      <c r="I41" s="15" t="n">
        <v>84</v>
      </c>
      <c r="J41" s="16">
        <f>IF(OR($G41="",$G41="?",$I41=""),"",$G41*$I41*10)</f>
        <v/>
      </c>
      <c r="K41" s="17" t="n">
        <v>0.305</v>
      </c>
      <c r="L41" s="16">
        <f>IF(OR($J41="",$K41=""),"",$J41*$K41)</f>
        <v/>
      </c>
    </row>
    <row r="42">
      <c r="A42" s="5" t="inlineStr">
        <is>
          <t>Pivô 02</t>
        </is>
      </c>
      <c r="B42" s="7" t="inlineStr">
        <is>
          <t>P2</t>
        </is>
      </c>
      <c r="C42" s="5" t="inlineStr">
        <is>
          <t>R0</t>
        </is>
      </c>
      <c r="D42" s="5" t="inlineStr">
        <is>
          <t>MYAGUI</t>
        </is>
      </c>
      <c r="E42" s="6" t="inlineStr"/>
      <c r="F42" s="7" t="n"/>
      <c r="G42" s="27">
        <f>IF(OR($B42="",$F42=""),"",IFERROR(INDEX(LAMINA_HORA!$C$5:$V$114,MATCH($B42,LAMINA_HORA!$A$5:$A$114,0),MATCH($F42,LAMINA_HORA!$C$3:$V$3,0)),"?"))</f>
        <v/>
      </c>
      <c r="H42" s="27">
        <f>IF(OR($B42="",$F42=""),"",IFERROR(INDEX(LAMINA_HORA!$W$5:$AP$114,MATCH($B42,LAMINA_HORA!$A$5:$A$114,0),MATCH($F42,LAMINA_HORA!$W$3:$AP$3,0)),"?"))</f>
        <v/>
      </c>
      <c r="I42" s="15" t="n">
        <v>3546</v>
      </c>
      <c r="J42" s="16">
        <f>IF(OR($G42="",$G42="?",$I42=""),"",$G42*$I42*10)</f>
        <v/>
      </c>
      <c r="K42" s="17" t="n">
        <v>0.714</v>
      </c>
      <c r="L42" s="16">
        <f>IF(OR($J42="",$K42=""),"",$J42*$K42)</f>
        <v/>
      </c>
    </row>
    <row r="43">
      <c r="A43" s="5" t="inlineStr">
        <is>
          <t>Pivô 01</t>
        </is>
      </c>
      <c r="B43" s="7" t="inlineStr">
        <is>
          <t>P1</t>
        </is>
      </c>
      <c r="C43" s="5" t="inlineStr">
        <is>
          <t>R0</t>
        </is>
      </c>
      <c r="D43" s="5" t="inlineStr">
        <is>
          <t>CACAU</t>
        </is>
      </c>
      <c r="E43" s="6" t="inlineStr">
        <is>
          <t>PS1319/FA13/CCN51</t>
        </is>
      </c>
      <c r="F43" s="7" t="n"/>
      <c r="G43" s="27">
        <f>IF(OR($B43="",$F43=""),"",IFERROR(INDEX(LAMINA_HORA!$C$5:$V$114,MATCH($B43,LAMINA_HORA!$A$5:$A$114,0),MATCH($F43,LAMINA_HORA!$C$3:$V$3,0)),"?"))</f>
        <v/>
      </c>
      <c r="H43" s="27">
        <f>IF(OR($B43="",$F43=""),"",IFERROR(INDEX(LAMINA_HORA!$W$5:$AP$114,MATCH($B43,LAMINA_HORA!$A$5:$A$114,0),MATCH($F43,LAMINA_HORA!$W$3:$AP$3,0)),"?"))</f>
        <v/>
      </c>
      <c r="I43" s="15" t="n">
        <v>47.5</v>
      </c>
      <c r="J43" s="16">
        <f>IF(OR($G43="",$G43="?",$I43=""),"",$G43*$I43*10)</f>
        <v/>
      </c>
      <c r="K43" s="17" t="n">
        <v>0.513</v>
      </c>
      <c r="L43" s="16">
        <f>IF(OR($J43="",$K43=""),"",$J43*$K43)</f>
        <v/>
      </c>
    </row>
    <row r="44">
      <c r="A44" s="5" t="inlineStr">
        <is>
          <t>Pivô 02</t>
        </is>
      </c>
      <c r="B44" s="7" t="inlineStr">
        <is>
          <t>P2</t>
        </is>
      </c>
      <c r="C44" s="5" t="inlineStr">
        <is>
          <t>R0</t>
        </is>
      </c>
      <c r="D44" s="5" t="inlineStr">
        <is>
          <t>CACAU</t>
        </is>
      </c>
      <c r="E44" s="6" t="inlineStr">
        <is>
          <t>PS1319/FA13/CCN51</t>
        </is>
      </c>
      <c r="F44" s="7" t="n"/>
      <c r="G44" s="27">
        <f>IF(OR($B44="",$F44=""),"",IFERROR(INDEX(LAMINA_HORA!$C$5:$V$114,MATCH($B44,LAMINA_HORA!$A$5:$A$114,0),MATCH($F44,LAMINA_HORA!$C$3:$V$3,0)),"?"))</f>
        <v/>
      </c>
      <c r="H44" s="27">
        <f>IF(OR($B44="",$F44=""),"",IFERROR(INDEX(LAMINA_HORA!$W$5:$AP$114,MATCH($B44,LAMINA_HORA!$A$5:$A$114,0),MATCH($F44,LAMINA_HORA!$W$3:$AP$3,0)),"?"))</f>
        <v/>
      </c>
      <c r="I44" s="15" t="n">
        <v>131.5</v>
      </c>
      <c r="J44" s="16">
        <f>IF(OR($G44="",$G44="?",$I44=""),"",$G44*$I44*10)</f>
        <v/>
      </c>
      <c r="K44" s="17" t="n">
        <v>0.589</v>
      </c>
      <c r="L44" s="16">
        <f>IF(OR($J44="",$K44=""),"",$J44*$K44)</f>
        <v/>
      </c>
    </row>
    <row r="45">
      <c r="A45" s="5" t="inlineStr">
        <is>
          <t>Pivô 03</t>
        </is>
      </c>
      <c r="B45" s="7" t="inlineStr">
        <is>
          <t>P3</t>
        </is>
      </c>
      <c r="C45" s="5" t="inlineStr">
        <is>
          <t>R0</t>
        </is>
      </c>
      <c r="D45" s="5" t="inlineStr">
        <is>
          <t>CACAU</t>
        </is>
      </c>
      <c r="E45" s="6" t="inlineStr">
        <is>
          <t>PS1319/FA13/CCN51</t>
        </is>
      </c>
      <c r="F45" s="7" t="n"/>
      <c r="G45" s="27">
        <f>IF(OR($B45="",$F45=""),"",IFERROR(INDEX(LAMINA_HORA!$C$5:$V$114,MATCH($B45,LAMINA_HORA!$A$5:$A$114,0),MATCH($F45,LAMINA_HORA!$C$3:$V$3,0)),"?"))</f>
        <v/>
      </c>
      <c r="H45" s="27">
        <f>IF(OR($B45="",$F45=""),"",IFERROR(INDEX(LAMINA_HORA!$W$5:$AP$114,MATCH($B45,LAMINA_HORA!$A$5:$A$114,0),MATCH($F45,LAMINA_HORA!$W$3:$AP$3,0)),"?"))</f>
        <v/>
      </c>
      <c r="I45" s="15" t="n">
        <v>82.8</v>
      </c>
      <c r="J45" s="16">
        <f>IF(OR($G45="",$G45="?",$I45=""),"",$G45*$I45*10)</f>
        <v/>
      </c>
      <c r="K45" s="17" t="n">
        <v>0.513</v>
      </c>
      <c r="L45" s="16">
        <f>IF(OR($J45="",$K45=""),"",$J45*$K45)</f>
        <v/>
      </c>
    </row>
    <row r="46">
      <c r="A46" s="5" t="inlineStr">
        <is>
          <t>Pivô 01</t>
        </is>
      </c>
      <c r="B46" s="7" t="inlineStr">
        <is>
          <t>P1</t>
        </is>
      </c>
      <c r="C46" s="5" t="inlineStr">
        <is>
          <t>R0</t>
        </is>
      </c>
      <c r="D46" s="5" t="inlineStr">
        <is>
          <t>SOJA</t>
        </is>
      </c>
      <c r="E46" s="6" t="inlineStr">
        <is>
          <t>BMX DOMINIO IPRO</t>
        </is>
      </c>
      <c r="F46" s="7" t="n"/>
      <c r="G46" s="27">
        <f>IF(OR($B46="",$F46=""),"",IFERROR(INDEX(LAMINA_HORA!$C$5:$V$114,MATCH($B46,LAMINA_HORA!$A$5:$A$114,0),MATCH($F46,LAMINA_HORA!$C$3:$V$3,0)),"?"))</f>
        <v/>
      </c>
      <c r="H46" s="27">
        <f>IF(OR($B46="",$F46=""),"",IFERROR(INDEX(LAMINA_HORA!$W$5:$AP$114,MATCH($B46,LAMINA_HORA!$A$5:$A$114,0),MATCH($F46,LAMINA_HORA!$W$3:$AP$3,0)),"?"))</f>
        <v/>
      </c>
      <c r="I46" s="15" t="n">
        <v>70</v>
      </c>
      <c r="J46" s="16">
        <f>IF(OR($G46="",$G46="?",$I46=""),"",$G46*$I46*10)</f>
        <v/>
      </c>
      <c r="K46" s="17" t="n">
        <v>0.513</v>
      </c>
      <c r="L46" s="16">
        <f>IF(OR($J46="",$K46=""),"",$J46*$K46)</f>
        <v/>
      </c>
    </row>
    <row r="47">
      <c r="A47" s="5" t="inlineStr">
        <is>
          <t>Pivô 02</t>
        </is>
      </c>
      <c r="B47" s="7" t="inlineStr">
        <is>
          <t>P2</t>
        </is>
      </c>
      <c r="C47" s="5" t="inlineStr">
        <is>
          <t>R0</t>
        </is>
      </c>
      <c r="D47" s="5" t="inlineStr">
        <is>
          <t>SOJA</t>
        </is>
      </c>
      <c r="E47" s="6" t="inlineStr">
        <is>
          <t>BMX DOMINIO IPRO</t>
        </is>
      </c>
      <c r="F47" s="7" t="n"/>
      <c r="G47" s="27">
        <f>IF(OR($B47="",$F47=""),"",IFERROR(INDEX(LAMINA_HORA!$C$5:$V$114,MATCH($B47,LAMINA_HORA!$A$5:$A$114,0),MATCH($F47,LAMINA_HORA!$C$3:$V$3,0)),"?"))</f>
        <v/>
      </c>
      <c r="H47" s="27">
        <f>IF(OR($B47="",$F47=""),"",IFERROR(INDEX(LAMINA_HORA!$W$5:$AP$114,MATCH($B47,LAMINA_HORA!$A$5:$A$114,0),MATCH($F47,LAMINA_HORA!$W$3:$AP$3,0)),"?"))</f>
        <v/>
      </c>
      <c r="I47" s="15" t="n">
        <v>134</v>
      </c>
      <c r="J47" s="16">
        <f>IF(OR($G47="",$G47="?",$I47=""),"",$G47*$I47*10)</f>
        <v/>
      </c>
      <c r="K47" s="17" t="n">
        <v>0.589</v>
      </c>
      <c r="L47" s="16">
        <f>IF(OR($J47="",$K47=""),"",$J47*$K47)</f>
        <v/>
      </c>
    </row>
    <row r="48">
      <c r="A48" s="5" t="inlineStr">
        <is>
          <t>Pivô 03</t>
        </is>
      </c>
      <c r="B48" s="7" t="inlineStr">
        <is>
          <t>P3</t>
        </is>
      </c>
      <c r="C48" s="5" t="inlineStr">
        <is>
          <t>R0</t>
        </is>
      </c>
      <c r="D48" s="5" t="inlineStr">
        <is>
          <t>SOJA</t>
        </is>
      </c>
      <c r="E48" s="6" t="inlineStr">
        <is>
          <t>MURALHA IPRO</t>
        </is>
      </c>
      <c r="F48" s="7" t="n"/>
      <c r="G48" s="27">
        <f>IF(OR($B48="",$F48=""),"",IFERROR(INDEX(LAMINA_HORA!$C$5:$V$114,MATCH($B48,LAMINA_HORA!$A$5:$A$114,0),MATCH($F48,LAMINA_HORA!$C$3:$V$3,0)),"?"))</f>
        <v/>
      </c>
      <c r="H48" s="27">
        <f>IF(OR($B48="",$F48=""),"",IFERROR(INDEX(LAMINA_HORA!$W$5:$AP$114,MATCH($B48,LAMINA_HORA!$A$5:$A$114,0),MATCH($F48,LAMINA_HORA!$W$3:$AP$3,0)),"?"))</f>
        <v/>
      </c>
      <c r="I48" s="15" t="n">
        <v>77</v>
      </c>
      <c r="J48" s="16">
        <f>IF(OR($G48="",$G48="?",$I48=""),"",$G48*$I48*10)</f>
        <v/>
      </c>
      <c r="K48" s="17" t="n">
        <v>0.513</v>
      </c>
      <c r="L48" s="16">
        <f>IF(OR($J48="",$K48=""),"",$J48*$K48)</f>
        <v/>
      </c>
    </row>
    <row r="49">
      <c r="A49" s="5" t="inlineStr">
        <is>
          <t>Pivô 04</t>
        </is>
      </c>
      <c r="B49" s="7" t="inlineStr">
        <is>
          <t>P4</t>
        </is>
      </c>
      <c r="C49" s="5" t="inlineStr">
        <is>
          <t>R0</t>
        </is>
      </c>
      <c r="D49" s="5" t="inlineStr">
        <is>
          <t>BRACHIARIA</t>
        </is>
      </c>
      <c r="E49" s="6" t="inlineStr"/>
      <c r="F49" s="7" t="n"/>
      <c r="G49" s="27">
        <f>IF(OR($B49="",$F49=""),"",IFERROR(INDEX(LAMINA_HORA!$C$5:$V$114,MATCH($B49,LAMINA_HORA!$A$5:$A$114,0),MATCH($F49,LAMINA_HORA!$C$3:$V$3,0)),"?"))</f>
        <v/>
      </c>
      <c r="H49" s="27">
        <f>IF(OR($B49="",$F49=""),"",IFERROR(INDEX(LAMINA_HORA!$W$5:$AP$114,MATCH($B49,LAMINA_HORA!$A$5:$A$114,0),MATCH($F49,LAMINA_HORA!$W$3:$AP$3,0)),"?"))</f>
        <v/>
      </c>
      <c r="I49" s="15" t="n">
        <v>151</v>
      </c>
      <c r="J49" s="16">
        <f>IF(OR($G49="",$G49="?",$I49=""),"",$G49*$I49*10)</f>
        <v/>
      </c>
      <c r="K49" s="17" t="n">
        <v>0.407</v>
      </c>
      <c r="L49" s="16">
        <f>IF(OR($J49="",$K49=""),"",$J49*$K49)</f>
        <v/>
      </c>
    </row>
    <row r="50">
      <c r="A50" s="5" t="inlineStr">
        <is>
          <t>Pivô 04</t>
        </is>
      </c>
      <c r="B50" s="7" t="inlineStr">
        <is>
          <t>P4</t>
        </is>
      </c>
      <c r="C50" s="5" t="inlineStr">
        <is>
          <t>R0</t>
        </is>
      </c>
      <c r="D50" s="5" t="inlineStr">
        <is>
          <t>BRACHIARIA</t>
        </is>
      </c>
      <c r="E50" s="6" t="inlineStr"/>
      <c r="F50" s="7" t="n"/>
      <c r="G50" s="27">
        <f>IF(OR($B50="",$F50=""),"",IFERROR(INDEX(LAMINA_HORA!$C$5:$V$114,MATCH($B50,LAMINA_HORA!$A$5:$A$114,0),MATCH($F50,LAMINA_HORA!$C$3:$V$3,0)),"?"))</f>
        <v/>
      </c>
      <c r="H50" s="27">
        <f>IF(OR($B50="",$F50=""),"",IFERROR(INDEX(LAMINA_HORA!$W$5:$AP$114,MATCH($B50,LAMINA_HORA!$A$5:$A$114,0),MATCH($F50,LAMINA_HORA!$W$3:$AP$3,0)),"?"))</f>
        <v/>
      </c>
      <c r="I50" s="15" t="n">
        <v>89</v>
      </c>
      <c r="J50" s="16">
        <f>IF(OR($G50="",$G50="?",$I50=""),"",$G50*$I50*10)</f>
        <v/>
      </c>
      <c r="K50" s="17" t="n">
        <v>0.407</v>
      </c>
      <c r="L50" s="16">
        <f>IF(OR($J50="",$K50=""),"",$J50*$K50)</f>
        <v/>
      </c>
    </row>
    <row r="51">
      <c r="A51" s="5" t="inlineStr">
        <is>
          <t>Pivô 05</t>
        </is>
      </c>
      <c r="B51" s="7" t="inlineStr">
        <is>
          <t>P5</t>
        </is>
      </c>
      <c r="C51" s="5" t="inlineStr">
        <is>
          <t>R1</t>
        </is>
      </c>
      <c r="D51" s="5" t="inlineStr">
        <is>
          <t>BRACHIARIA</t>
        </is>
      </c>
      <c r="E51" s="6" t="inlineStr"/>
      <c r="F51" s="7" t="n"/>
      <c r="G51" s="27">
        <f>IF(OR($B51="",$F51=""),"",IFERROR(INDEX(LAMINA_HORA!$C$5:$V$114,MATCH($B51,LAMINA_HORA!$A$5:$A$114,0),MATCH($F51,LAMINA_HORA!$C$3:$V$3,0)),"?"))</f>
        <v/>
      </c>
      <c r="H51" s="27">
        <f>IF(OR($B51="",$F51=""),"",IFERROR(INDEX(LAMINA_HORA!$W$5:$AP$114,MATCH($B51,LAMINA_HORA!$A$5:$A$114,0),MATCH($F51,LAMINA_HORA!$W$3:$AP$3,0)),"?"))</f>
        <v/>
      </c>
      <c r="I51" s="15" t="n">
        <v>30</v>
      </c>
      <c r="J51" s="16">
        <f>IF(OR($G51="",$G51="?",$I51=""),"",$G51*$I51*10)</f>
        <v/>
      </c>
      <c r="K51" s="17" t="n">
        <v>0.574</v>
      </c>
      <c r="L51" s="16">
        <f>IF(OR($J51="",$K51=""),"",$J51*$K51)</f>
        <v/>
      </c>
    </row>
    <row r="52">
      <c r="A52" s="5" t="inlineStr">
        <is>
          <t>Pivô 05</t>
        </is>
      </c>
      <c r="B52" s="7" t="inlineStr">
        <is>
          <t>P5</t>
        </is>
      </c>
      <c r="C52" s="5" t="inlineStr">
        <is>
          <t>R1</t>
        </is>
      </c>
      <c r="D52" s="5" t="inlineStr">
        <is>
          <t>BRACHIARIA</t>
        </is>
      </c>
      <c r="E52" s="6" t="inlineStr"/>
      <c r="F52" s="7" t="n"/>
      <c r="G52" s="27">
        <f>IF(OR($B52="",$F52=""),"",IFERROR(INDEX(LAMINA_HORA!$C$5:$V$114,MATCH($B52,LAMINA_HORA!$A$5:$A$114,0),MATCH($F52,LAMINA_HORA!$C$3:$V$3,0)),"?"))</f>
        <v/>
      </c>
      <c r="H52" s="27">
        <f>IF(OR($B52="",$F52=""),"",IFERROR(INDEX(LAMINA_HORA!$W$5:$AP$114,MATCH($B52,LAMINA_HORA!$A$5:$A$114,0),MATCH($F52,LAMINA_HORA!$W$3:$AP$3,0)),"?"))</f>
        <v/>
      </c>
      <c r="I52" s="15" t="n">
        <v>76</v>
      </c>
      <c r="J52" s="16">
        <f>IF(OR($G52="",$G52="?",$I52=""),"",$G52*$I52*10)</f>
        <v/>
      </c>
      <c r="K52" s="17" t="n">
        <v>0.574</v>
      </c>
      <c r="L52" s="16">
        <f>IF(OR($J52="",$K52=""),"",$J52*$K52)</f>
        <v/>
      </c>
    </row>
    <row r="53">
      <c r="A53" s="5" t="inlineStr">
        <is>
          <t>Pivô 05</t>
        </is>
      </c>
      <c r="B53" s="7" t="inlineStr">
        <is>
          <t>P5</t>
        </is>
      </c>
      <c r="C53" s="5" t="inlineStr">
        <is>
          <t>R1</t>
        </is>
      </c>
      <c r="D53" s="5" t="inlineStr">
        <is>
          <t>BRACHIARIA</t>
        </is>
      </c>
      <c r="E53" s="6" t="inlineStr"/>
      <c r="F53" s="7" t="n"/>
      <c r="G53" s="27">
        <f>IF(OR($B53="",$F53=""),"",IFERROR(INDEX(LAMINA_HORA!$C$5:$V$114,MATCH($B53,LAMINA_HORA!$A$5:$A$114,0),MATCH($F53,LAMINA_HORA!$C$3:$V$3,0)),"?"))</f>
        <v/>
      </c>
      <c r="H53" s="27">
        <f>IF(OR($B53="",$F53=""),"",IFERROR(INDEX(LAMINA_HORA!$W$5:$AP$114,MATCH($B53,LAMINA_HORA!$A$5:$A$114,0),MATCH($F53,LAMINA_HORA!$W$3:$AP$3,0)),"?"))</f>
        <v/>
      </c>
      <c r="I53" s="15" t="n">
        <v>69</v>
      </c>
      <c r="J53" s="16">
        <f>IF(OR($G53="",$G53="?",$I53=""),"",$G53*$I53*10)</f>
        <v/>
      </c>
      <c r="K53" s="17" t="n">
        <v>0.574</v>
      </c>
      <c r="L53" s="16">
        <f>IF(OR($J53="",$K53=""),"",$J53*$K53)</f>
        <v/>
      </c>
    </row>
    <row r="54">
      <c r="A54" s="5" t="inlineStr">
        <is>
          <t>Pivô 06</t>
        </is>
      </c>
      <c r="B54" s="7" t="inlineStr">
        <is>
          <t>P6</t>
        </is>
      </c>
      <c r="C54" s="5" t="inlineStr">
        <is>
          <t>R1</t>
        </is>
      </c>
      <c r="D54" s="5" t="inlineStr">
        <is>
          <t>BRACHIARIA</t>
        </is>
      </c>
      <c r="E54" s="6" t="inlineStr"/>
      <c r="F54" s="7" t="n"/>
      <c r="G54" s="27">
        <f>IF(OR($B54="",$F54=""),"",IFERROR(INDEX(LAMINA_HORA!$C$5:$V$114,MATCH($B54,LAMINA_HORA!$A$5:$A$114,0),MATCH($F54,LAMINA_HORA!$C$3:$V$3,0)),"?"))</f>
        <v/>
      </c>
      <c r="H54" s="27">
        <f>IF(OR($B54="",$F54=""),"",IFERROR(INDEX(LAMINA_HORA!$W$5:$AP$114,MATCH($B54,LAMINA_HORA!$A$5:$A$114,0),MATCH($F54,LAMINA_HORA!$W$3:$AP$3,0)),"?"))</f>
        <v/>
      </c>
      <c r="I54" s="15" t="n">
        <v>70</v>
      </c>
      <c r="J54" s="16">
        <f>IF(OR($G54="",$G54="?",$I54=""),"",$G54*$I54*10)</f>
        <v/>
      </c>
      <c r="K54" s="17" t="n">
        <v>0.595</v>
      </c>
      <c r="L54" s="16">
        <f>IF(OR($J54="",$K54=""),"",$J54*$K54)</f>
        <v/>
      </c>
    </row>
    <row r="55">
      <c r="A55" s="5" t="inlineStr">
        <is>
          <t>Pivô 06</t>
        </is>
      </c>
      <c r="B55" s="7" t="inlineStr">
        <is>
          <t>P6</t>
        </is>
      </c>
      <c r="C55" s="5" t="inlineStr">
        <is>
          <t>R1</t>
        </is>
      </c>
      <c r="D55" s="5" t="inlineStr">
        <is>
          <t>BRACHIARIA</t>
        </is>
      </c>
      <c r="E55" s="6" t="inlineStr"/>
      <c r="F55" s="7" t="n"/>
      <c r="G55" s="27">
        <f>IF(OR($B55="",$F55=""),"",IFERROR(INDEX(LAMINA_HORA!$C$5:$V$114,MATCH($B55,LAMINA_HORA!$A$5:$A$114,0),MATCH($F55,LAMINA_HORA!$C$3:$V$3,0)),"?"))</f>
        <v/>
      </c>
      <c r="H55" s="27">
        <f>IF(OR($B55="",$F55=""),"",IFERROR(INDEX(LAMINA_HORA!$W$5:$AP$114,MATCH($B55,LAMINA_HORA!$A$5:$A$114,0),MATCH($F55,LAMINA_HORA!$W$3:$AP$3,0)),"?"))</f>
        <v/>
      </c>
      <c r="I55" s="15" t="n">
        <v>40</v>
      </c>
      <c r="J55" s="16">
        <f>IF(OR($G55="",$G55="?",$I55=""),"",$G55*$I55*10)</f>
        <v/>
      </c>
      <c r="K55" s="17" t="n">
        <v>0.595</v>
      </c>
      <c r="L55" s="16">
        <f>IF(OR($J55="",$K55=""),"",$J55*$K55)</f>
        <v/>
      </c>
    </row>
    <row r="56">
      <c r="A56" s="5" t="inlineStr">
        <is>
          <t>Pivô 07</t>
        </is>
      </c>
      <c r="B56" s="7" t="inlineStr">
        <is>
          <t>P7</t>
        </is>
      </c>
      <c r="C56" s="5" t="inlineStr">
        <is>
          <t>R2</t>
        </is>
      </c>
      <c r="D56" s="5" t="inlineStr">
        <is>
          <t>BRACHIARIA</t>
        </is>
      </c>
      <c r="E56" s="6" t="inlineStr"/>
      <c r="F56" s="7" t="n"/>
      <c r="G56" s="27">
        <f>IF(OR($B56="",$F56=""),"",IFERROR(INDEX(LAMINA_HORA!$C$5:$V$114,MATCH($B56,LAMINA_HORA!$A$5:$A$114,0),MATCH($F56,LAMINA_HORA!$C$3:$V$3,0)),"?"))</f>
        <v/>
      </c>
      <c r="H56" s="27">
        <f>IF(OR($B56="",$F56=""),"",IFERROR(INDEX(LAMINA_HORA!$W$5:$AP$114,MATCH($B56,LAMINA_HORA!$A$5:$A$114,0),MATCH($F56,LAMINA_HORA!$W$3:$AP$3,0)),"?"))</f>
        <v/>
      </c>
      <c r="I56" s="15" t="n">
        <v>164</v>
      </c>
      <c r="J56" s="16">
        <f>IF(OR($G56="",$G56="?",$I56=""),"",$G56*$I56*10)</f>
        <v/>
      </c>
      <c r="K56" s="17" t="n">
        <v>0.63</v>
      </c>
      <c r="L56" s="16">
        <f>IF(OR($J56="",$K56=""),"",$J56*$K56)</f>
        <v/>
      </c>
    </row>
    <row r="57">
      <c r="A57" s="5" t="inlineStr">
        <is>
          <t>Pivô 08</t>
        </is>
      </c>
      <c r="B57" s="7" t="inlineStr">
        <is>
          <t>P8</t>
        </is>
      </c>
      <c r="C57" s="5" t="inlineStr">
        <is>
          <t>R2</t>
        </is>
      </c>
      <c r="D57" s="5" t="inlineStr">
        <is>
          <t>BRACHIARIA</t>
        </is>
      </c>
      <c r="E57" s="6" t="inlineStr"/>
      <c r="F57" s="7" t="n"/>
      <c r="G57" s="27">
        <f>IF(OR($B57="",$F57=""),"",IFERROR(INDEX(LAMINA_HORA!$C$5:$V$114,MATCH($B57,LAMINA_HORA!$A$5:$A$114,0),MATCH($F57,LAMINA_HORA!$C$3:$V$3,0)),"?"))</f>
        <v/>
      </c>
      <c r="H57" s="27">
        <f>IF(OR($B57="",$F57=""),"",IFERROR(INDEX(LAMINA_HORA!$W$5:$AP$114,MATCH($B57,LAMINA_HORA!$A$5:$A$114,0),MATCH($F57,LAMINA_HORA!$W$3:$AP$3,0)),"?"))</f>
        <v/>
      </c>
      <c r="I57" s="15" t="n">
        <v>192</v>
      </c>
      <c r="J57" s="16">
        <f>IF(OR($G57="",$G57="?",$I57=""),"",$G57*$I57*10)</f>
        <v/>
      </c>
      <c r="K57" s="17" t="n">
        <v>0.5659999999999999</v>
      </c>
      <c r="L57" s="16">
        <f>IF(OR($J57="",$K57=""),"",$J57*$K57)</f>
        <v/>
      </c>
    </row>
    <row r="58">
      <c r="A58" s="5" t="inlineStr">
        <is>
          <t>Pivô 09</t>
        </is>
      </c>
      <c r="B58" s="7" t="inlineStr">
        <is>
          <t>P9</t>
        </is>
      </c>
      <c r="C58" s="5" t="inlineStr">
        <is>
          <t>R3</t>
        </is>
      </c>
      <c r="D58" s="5" t="inlineStr">
        <is>
          <t>BRACHIARIA</t>
        </is>
      </c>
      <c r="E58" s="6" t="inlineStr"/>
      <c r="F58" s="7" t="n"/>
      <c r="G58" s="27">
        <f>IF(OR($B58="",$F58=""),"",IFERROR(INDEX(LAMINA_HORA!$C$5:$V$114,MATCH($B58,LAMINA_HORA!$A$5:$A$114,0),MATCH($F58,LAMINA_HORA!$C$3:$V$3,0)),"?"))</f>
        <v/>
      </c>
      <c r="H58" s="27">
        <f>IF(OR($B58="",$F58=""),"",IFERROR(INDEX(LAMINA_HORA!$W$5:$AP$114,MATCH($B58,LAMINA_HORA!$A$5:$A$114,0),MATCH($F58,LAMINA_HORA!$W$3:$AP$3,0)),"?"))</f>
        <v/>
      </c>
      <c r="I58" s="15" t="n">
        <v>109</v>
      </c>
      <c r="J58" s="16">
        <f>IF(OR($G58="",$G58="?",$I58=""),"",$G58*$I58*10)</f>
        <v/>
      </c>
      <c r="K58" s="17" t="n">
        <v>0.5649999999999999</v>
      </c>
      <c r="L58" s="16">
        <f>IF(OR($J58="",$K58=""),"",$J58*$K58)</f>
        <v/>
      </c>
    </row>
    <row r="59">
      <c r="A59" s="5" t="inlineStr">
        <is>
          <t>Pivô 09</t>
        </is>
      </c>
      <c r="B59" s="7" t="inlineStr">
        <is>
          <t>P9</t>
        </is>
      </c>
      <c r="C59" s="5" t="inlineStr">
        <is>
          <t>R3</t>
        </is>
      </c>
      <c r="D59" s="5" t="inlineStr">
        <is>
          <t>BRACHIARIA</t>
        </is>
      </c>
      <c r="E59" s="6" t="inlineStr"/>
      <c r="F59" s="7" t="n"/>
      <c r="G59" s="27">
        <f>IF(OR($B59="",$F59=""),"",IFERROR(INDEX(LAMINA_HORA!$C$5:$V$114,MATCH($B59,LAMINA_HORA!$A$5:$A$114,0),MATCH($F59,LAMINA_HORA!$C$3:$V$3,0)),"?"))</f>
        <v/>
      </c>
      <c r="H59" s="27">
        <f>IF(OR($B59="",$F59=""),"",IFERROR(INDEX(LAMINA_HORA!$W$5:$AP$114,MATCH($B59,LAMINA_HORA!$A$5:$A$114,0),MATCH($F59,LAMINA_HORA!$W$3:$AP$3,0)),"?"))</f>
        <v/>
      </c>
      <c r="I59" s="15" t="n">
        <v>20</v>
      </c>
      <c r="J59" s="16">
        <f>IF(OR($G59="",$G59="?",$I59=""),"",$G59*$I59*10)</f>
        <v/>
      </c>
      <c r="K59" s="17" t="n">
        <v>0.5649999999999999</v>
      </c>
      <c r="L59" s="16">
        <f>IF(OR($J59="",$K59=""),"",$J59*$K59)</f>
        <v/>
      </c>
    </row>
    <row r="60">
      <c r="A60" s="5" t="inlineStr">
        <is>
          <t>Pivô 10</t>
        </is>
      </c>
      <c r="B60" s="7" t="inlineStr">
        <is>
          <t>P10</t>
        </is>
      </c>
      <c r="C60" s="5" t="inlineStr">
        <is>
          <t>R3</t>
        </is>
      </c>
      <c r="D60" s="5" t="inlineStr">
        <is>
          <t>SOJA</t>
        </is>
      </c>
      <c r="E60" s="6" t="inlineStr">
        <is>
          <t>ATAQUE I2X</t>
        </is>
      </c>
      <c r="F60" s="7" t="n"/>
      <c r="G60" s="27">
        <f>IF(OR($B60="",$F60=""),"",IFERROR(INDEX(LAMINA_HORA!$C$5:$V$114,MATCH($B60,LAMINA_HORA!$A$5:$A$114,0),MATCH($F60,LAMINA_HORA!$C$3:$V$3,0)),"?"))</f>
        <v/>
      </c>
      <c r="H60" s="27">
        <f>IF(OR($B60="",$F60=""),"",IFERROR(INDEX(LAMINA_HORA!$W$5:$AP$114,MATCH($B60,LAMINA_HORA!$A$5:$A$114,0),MATCH($F60,LAMINA_HORA!$W$3:$AP$3,0)),"?"))</f>
        <v/>
      </c>
      <c r="I60" s="15" t="n">
        <v>13</v>
      </c>
      <c r="J60" s="16">
        <f>IF(OR($G60="",$G60="?",$I60=""),"",$G60*$I60*10)</f>
        <v/>
      </c>
      <c r="K60" s="17" t="n">
        <v>0.5659999999999999</v>
      </c>
      <c r="L60" s="16">
        <f>IF(OR($J60="",$K60=""),"",$J60*$K60)</f>
        <v/>
      </c>
    </row>
    <row r="61">
      <c r="A61" s="5" t="inlineStr">
        <is>
          <t>Pivô 10</t>
        </is>
      </c>
      <c r="B61" s="7" t="inlineStr">
        <is>
          <t>P10</t>
        </is>
      </c>
      <c r="C61" s="5" t="inlineStr">
        <is>
          <t>R3</t>
        </is>
      </c>
      <c r="D61" s="5" t="inlineStr">
        <is>
          <t>SOJA</t>
        </is>
      </c>
      <c r="E61" s="6" t="inlineStr">
        <is>
          <t>ATAQUE I2X</t>
        </is>
      </c>
      <c r="F61" s="7" t="n"/>
      <c r="G61" s="27">
        <f>IF(OR($B61="",$F61=""),"",IFERROR(INDEX(LAMINA_HORA!$C$5:$V$114,MATCH($B61,LAMINA_HORA!$A$5:$A$114,0),MATCH($F61,LAMINA_HORA!$C$3:$V$3,0)),"?"))</f>
        <v/>
      </c>
      <c r="H61" s="27">
        <f>IF(OR($B61="",$F61=""),"",IFERROR(INDEX(LAMINA_HORA!$W$5:$AP$114,MATCH($B61,LAMINA_HORA!$A$5:$A$114,0),MATCH($F61,LAMINA_HORA!$W$3:$AP$3,0)),"?"))</f>
        <v/>
      </c>
      <c r="I61" s="15" t="n">
        <v>13</v>
      </c>
      <c r="J61" s="16">
        <f>IF(OR($G61="",$G61="?",$I61=""),"",$G61*$I61*10)</f>
        <v/>
      </c>
      <c r="K61" s="17" t="n">
        <v>0.5659999999999999</v>
      </c>
      <c r="L61" s="16">
        <f>IF(OR($J61="",$K61=""),"",$J61*$K61)</f>
        <v/>
      </c>
    </row>
    <row r="62">
      <c r="A62" s="5" t="inlineStr">
        <is>
          <t>Pivô 11</t>
        </is>
      </c>
      <c r="B62" s="7" t="inlineStr">
        <is>
          <t>P11</t>
        </is>
      </c>
      <c r="C62" s="5" t="inlineStr">
        <is>
          <t>R5</t>
        </is>
      </c>
      <c r="D62" s="5" t="inlineStr">
        <is>
          <t>BRACHIARIA</t>
        </is>
      </c>
      <c r="E62" s="6" t="inlineStr"/>
      <c r="F62" s="7" t="n"/>
      <c r="G62" s="27">
        <f>IF(OR($B62="",$F62=""),"",IFERROR(INDEX(LAMINA_HORA!$C$5:$V$114,MATCH($B62,LAMINA_HORA!$A$5:$A$114,0),MATCH($F62,LAMINA_HORA!$C$3:$V$3,0)),"?"))</f>
        <v/>
      </c>
      <c r="H62" s="27">
        <f>IF(OR($B62="",$F62=""),"",IFERROR(INDEX(LAMINA_HORA!$W$5:$AP$114,MATCH($B62,LAMINA_HORA!$A$5:$A$114,0),MATCH($F62,LAMINA_HORA!$W$3:$AP$3,0)),"?"))</f>
        <v/>
      </c>
      <c r="I62" s="15" t="n">
        <v>62</v>
      </c>
      <c r="J62" s="16">
        <f>IF(OR($G62="",$G62="?",$I62=""),"",$G62*$I62*10)</f>
        <v/>
      </c>
      <c r="K62" s="17" t="n">
        <v>0.577</v>
      </c>
      <c r="L62" s="16">
        <f>IF(OR($J62="",$K62=""),"",$J62*$K62)</f>
        <v/>
      </c>
    </row>
    <row r="63">
      <c r="A63" s="5" t="inlineStr">
        <is>
          <t>Pivô 11</t>
        </is>
      </c>
      <c r="B63" s="7" t="inlineStr">
        <is>
          <t>P11</t>
        </is>
      </c>
      <c r="C63" s="5" t="inlineStr">
        <is>
          <t>R5</t>
        </is>
      </c>
      <c r="D63" s="5" t="inlineStr">
        <is>
          <t>SOJA</t>
        </is>
      </c>
      <c r="E63" s="6" t="inlineStr">
        <is>
          <t>BMX DOMINIO IPRO</t>
        </is>
      </c>
      <c r="F63" s="7" t="n"/>
      <c r="G63" s="27">
        <f>IF(OR($B63="",$F63=""),"",IFERROR(INDEX(LAMINA_HORA!$C$5:$V$114,MATCH($B63,LAMINA_HORA!$A$5:$A$114,0),MATCH($F63,LAMINA_HORA!$C$3:$V$3,0)),"?"))</f>
        <v/>
      </c>
      <c r="H63" s="27">
        <f>IF(OR($B63="",$F63=""),"",IFERROR(INDEX(LAMINA_HORA!$W$5:$AP$114,MATCH($B63,LAMINA_HORA!$A$5:$A$114,0),MATCH($F63,LAMINA_HORA!$W$3:$AP$3,0)),"?"))</f>
        <v/>
      </c>
      <c r="I63" s="15" t="n">
        <v>75</v>
      </c>
      <c r="J63" s="16">
        <f>IF(OR($G63="",$G63="?",$I63=""),"",$G63*$I63*10)</f>
        <v/>
      </c>
      <c r="K63" s="17" t="n">
        <v>0.577</v>
      </c>
      <c r="L63" s="16">
        <f>IF(OR($J63="",$K63=""),"",$J63*$K63)</f>
        <v/>
      </c>
    </row>
    <row r="64">
      <c r="A64" s="5" t="inlineStr">
        <is>
          <t>Pivô 12</t>
        </is>
      </c>
      <c r="B64" s="7" t="inlineStr">
        <is>
          <t>P12</t>
        </is>
      </c>
      <c r="C64" s="5" t="inlineStr">
        <is>
          <t>R5</t>
        </is>
      </c>
      <c r="D64" s="5" t="inlineStr">
        <is>
          <t>BRACHIARIA</t>
        </is>
      </c>
      <c r="E64" s="6" t="inlineStr"/>
      <c r="F64" s="7" t="n"/>
      <c r="G64" s="27">
        <f>IF(OR($B64="",$F64=""),"",IFERROR(INDEX(LAMINA_HORA!$C$5:$V$114,MATCH($B64,LAMINA_HORA!$A$5:$A$114,0),MATCH($F64,LAMINA_HORA!$C$3:$V$3,0)),"?"))</f>
        <v/>
      </c>
      <c r="H64" s="27">
        <f>IF(OR($B64="",$F64=""),"",IFERROR(INDEX(LAMINA_HORA!$W$5:$AP$114,MATCH($B64,LAMINA_HORA!$A$5:$A$114,0),MATCH($F64,LAMINA_HORA!$W$3:$AP$3,0)),"?"))</f>
        <v/>
      </c>
      <c r="I64" s="15" t="n">
        <v>160</v>
      </c>
      <c r="J64" s="16">
        <f>IF(OR($G64="",$G64="?",$I64=""),"",$G64*$I64*10)</f>
        <v/>
      </c>
      <c r="K64" s="17" t="n">
        <v>0.5659999999999999</v>
      </c>
      <c r="L64" s="16">
        <f>IF(OR($J64="",$K64=""),"",$J64*$K64)</f>
        <v/>
      </c>
    </row>
    <row r="65">
      <c r="A65" s="5" t="inlineStr">
        <is>
          <t>Pivô 13</t>
        </is>
      </c>
      <c r="B65" s="7" t="inlineStr">
        <is>
          <t>P13</t>
        </is>
      </c>
      <c r="C65" s="5" t="inlineStr">
        <is>
          <t>R5</t>
        </is>
      </c>
      <c r="D65" s="5" t="inlineStr">
        <is>
          <t>BRACHIARIA</t>
        </is>
      </c>
      <c r="E65" s="6" t="inlineStr"/>
      <c r="F65" s="7" t="n"/>
      <c r="G65" s="27">
        <f>IF(OR($B65="",$F65=""),"",IFERROR(INDEX(LAMINA_HORA!$C$5:$V$114,MATCH($B65,LAMINA_HORA!$A$5:$A$114,0),MATCH($F65,LAMINA_HORA!$C$3:$V$3,0)),"?"))</f>
        <v/>
      </c>
      <c r="H65" s="27">
        <f>IF(OR($B65="",$F65=""),"",IFERROR(INDEX(LAMINA_HORA!$W$5:$AP$114,MATCH($B65,LAMINA_HORA!$A$5:$A$114,0),MATCH($F65,LAMINA_HORA!$W$3:$AP$3,0)),"?"))</f>
        <v/>
      </c>
      <c r="I65" s="15" t="n">
        <v>80</v>
      </c>
      <c r="J65" s="16">
        <f>IF(OR($G65="",$G65="?",$I65=""),"",$G65*$I65*10)</f>
        <v/>
      </c>
      <c r="K65" s="17" t="n">
        <v>0.634</v>
      </c>
      <c r="L65" s="16">
        <f>IF(OR($J65="",$K65=""),"",$J65*$K65)</f>
        <v/>
      </c>
    </row>
    <row r="66">
      <c r="A66" s="5" t="inlineStr">
        <is>
          <t>Pivô 21</t>
        </is>
      </c>
      <c r="B66" s="7" t="inlineStr">
        <is>
          <t>P21</t>
        </is>
      </c>
      <c r="C66" s="5" t="inlineStr">
        <is>
          <t>R4</t>
        </is>
      </c>
      <c r="D66" s="5" t="inlineStr">
        <is>
          <t>SOJA</t>
        </is>
      </c>
      <c r="E66" s="6" t="inlineStr">
        <is>
          <t>BMX DOMINIO IPRO</t>
        </is>
      </c>
      <c r="F66" s="7" t="n"/>
      <c r="G66" s="27">
        <f>IF(OR($B66="",$F66=""),"",IFERROR(INDEX(LAMINA_HORA!$C$5:$V$114,MATCH($B66,LAMINA_HORA!$A$5:$A$114,0),MATCH($F66,LAMINA_HORA!$C$3:$V$3,0)),"?"))</f>
        <v/>
      </c>
      <c r="H66" s="27">
        <f>IF(OR($B66="",$F66=""),"",IFERROR(INDEX(LAMINA_HORA!$W$5:$AP$114,MATCH($B66,LAMINA_HORA!$A$5:$A$114,0),MATCH($F66,LAMINA_HORA!$W$3:$AP$3,0)),"?"))</f>
        <v/>
      </c>
      <c r="I66" s="15" t="n">
        <v>213</v>
      </c>
      <c r="J66" s="16">
        <f>IF(OR($G66="",$G66="?",$I66=""),"",$G66*$I66*10)</f>
        <v/>
      </c>
      <c r="K66" s="17" t="n">
        <v>0.513</v>
      </c>
      <c r="L66" s="16">
        <f>IF(OR($J66="",$K66=""),"",$J66*$K66)</f>
        <v/>
      </c>
    </row>
    <row r="67">
      <c r="A67" s="5" t="inlineStr">
        <is>
          <t>Pivô 22</t>
        </is>
      </c>
      <c r="B67" s="7" t="inlineStr">
        <is>
          <t>P22</t>
        </is>
      </c>
      <c r="C67" s="5" t="inlineStr">
        <is>
          <t>R4</t>
        </is>
      </c>
      <c r="D67" s="5" t="inlineStr">
        <is>
          <t>SOJA</t>
        </is>
      </c>
      <c r="E67" s="6" t="inlineStr">
        <is>
          <t>BMX DOMINIO IPRO</t>
        </is>
      </c>
      <c r="F67" s="7" t="n"/>
      <c r="G67" s="27">
        <f>IF(OR($B67="",$F67=""),"",IFERROR(INDEX(LAMINA_HORA!$C$5:$V$114,MATCH($B67,LAMINA_HORA!$A$5:$A$114,0),MATCH($F67,LAMINA_HORA!$C$3:$V$3,0)),"?"))</f>
        <v/>
      </c>
      <c r="H67" s="27">
        <f>IF(OR($B67="",$F67=""),"",IFERROR(INDEX(LAMINA_HORA!$W$5:$AP$114,MATCH($B67,LAMINA_HORA!$A$5:$A$114,0),MATCH($F67,LAMINA_HORA!$W$3:$AP$3,0)),"?"))</f>
        <v/>
      </c>
      <c r="I67" s="15" t="n">
        <v>110</v>
      </c>
      <c r="J67" s="16">
        <f>IF(OR($G67="",$G67="?",$I67=""),"",$G67*$I67*10)</f>
        <v/>
      </c>
      <c r="K67" s="17" t="n">
        <v>0.513</v>
      </c>
      <c r="L67" s="16">
        <f>IF(OR($J67="",$K67=""),"",$J67*$K67)</f>
        <v/>
      </c>
    </row>
    <row r="68">
      <c r="A68" s="5" t="inlineStr">
        <is>
          <t>Pivô 23</t>
        </is>
      </c>
      <c r="B68" s="7" t="inlineStr">
        <is>
          <t>P23</t>
        </is>
      </c>
      <c r="C68" s="5" t="inlineStr">
        <is>
          <t>R6</t>
        </is>
      </c>
      <c r="D68" s="5" t="inlineStr">
        <is>
          <t>SOJA</t>
        </is>
      </c>
      <c r="E68" s="6" t="inlineStr">
        <is>
          <t>BMX DOMINIO IPRO</t>
        </is>
      </c>
      <c r="F68" s="7" t="n"/>
      <c r="G68" s="27">
        <f>IF(OR($B68="",$F68=""),"",IFERROR(INDEX(LAMINA_HORA!$C$5:$V$114,MATCH($B68,LAMINA_HORA!$A$5:$A$114,0),MATCH($F68,LAMINA_HORA!$C$3:$V$3,0)),"?"))</f>
        <v/>
      </c>
      <c r="H68" s="27">
        <f>IF(OR($B68="",$F68=""),"",IFERROR(INDEX(LAMINA_HORA!$W$5:$AP$114,MATCH($B68,LAMINA_HORA!$A$5:$A$114,0),MATCH($F68,LAMINA_HORA!$W$3:$AP$3,0)),"?"))</f>
        <v/>
      </c>
      <c r="I68" s="15" t="n">
        <v>40</v>
      </c>
      <c r="J68" s="16">
        <f>IF(OR($G68="",$G68="?",$I68=""),"",$G68*$I68*10)</f>
        <v/>
      </c>
      <c r="K68" s="17" t="n">
        <v>0.552</v>
      </c>
      <c r="L68" s="16">
        <f>IF(OR($J68="",$K68=""),"",$J68*$K68)</f>
        <v/>
      </c>
    </row>
    <row r="69">
      <c r="A69" s="5" t="inlineStr">
        <is>
          <t>Pivô 24</t>
        </is>
      </c>
      <c r="B69" s="7" t="inlineStr">
        <is>
          <t>P24</t>
        </is>
      </c>
      <c r="C69" s="5" t="inlineStr">
        <is>
          <t>R6</t>
        </is>
      </c>
      <c r="D69" s="5" t="inlineStr">
        <is>
          <t>SOJA</t>
        </is>
      </c>
      <c r="E69" s="6" t="inlineStr">
        <is>
          <t>BMX DOMINIO IPRO</t>
        </is>
      </c>
      <c r="F69" s="7" t="n"/>
      <c r="G69" s="27">
        <f>IF(OR($B69="",$F69=""),"",IFERROR(INDEX(LAMINA_HORA!$C$5:$V$114,MATCH($B69,LAMINA_HORA!$A$5:$A$114,0),MATCH($F69,LAMINA_HORA!$C$3:$V$3,0)),"?"))</f>
        <v/>
      </c>
      <c r="H69" s="27">
        <f>IF(OR($B69="",$F69=""),"",IFERROR(INDEX(LAMINA_HORA!$W$5:$AP$114,MATCH($B69,LAMINA_HORA!$A$5:$A$114,0),MATCH($F69,LAMINA_HORA!$W$3:$AP$3,0)),"?"))</f>
        <v/>
      </c>
      <c r="I69" s="15" t="n">
        <v>59</v>
      </c>
      <c r="J69" s="16">
        <f>IF(OR($G69="",$G69="?",$I69=""),"",$G69*$I69*10)</f>
        <v/>
      </c>
      <c r="K69" s="17" t="n">
        <v>0.5659999999999999</v>
      </c>
      <c r="L69" s="16">
        <f>IF(OR($J69="",$K69=""),"",$J69*$K69)</f>
        <v/>
      </c>
    </row>
    <row r="70">
      <c r="A70" s="5" t="inlineStr">
        <is>
          <t>Pivô 25</t>
        </is>
      </c>
      <c r="B70" s="7" t="inlineStr">
        <is>
          <t>P25</t>
        </is>
      </c>
      <c r="C70" s="5" t="inlineStr">
        <is>
          <t>R7</t>
        </is>
      </c>
      <c r="D70" s="5" t="inlineStr">
        <is>
          <t>SOJA</t>
        </is>
      </c>
      <c r="E70" s="6" t="inlineStr">
        <is>
          <t>BMX DOMINIO IPRO</t>
        </is>
      </c>
      <c r="F70" s="7" t="n"/>
      <c r="G70" s="27">
        <f>IF(OR($B70="",$F70=""),"",IFERROR(INDEX(LAMINA_HORA!$C$5:$V$114,MATCH($B70,LAMINA_HORA!$A$5:$A$114,0),MATCH($F70,LAMINA_HORA!$C$3:$V$3,0)),"?"))</f>
        <v/>
      </c>
      <c r="H70" s="27">
        <f>IF(OR($B70="",$F70=""),"",IFERROR(INDEX(LAMINA_HORA!$W$5:$AP$114,MATCH($B70,LAMINA_HORA!$A$5:$A$114,0),MATCH($F70,LAMINA_HORA!$W$3:$AP$3,0)),"?"))</f>
        <v/>
      </c>
      <c r="I70" s="15" t="n">
        <v>171</v>
      </c>
      <c r="J70" s="16">
        <f>IF(OR($G70="",$G70="?",$I70=""),"",$G70*$I70*10)</f>
        <v/>
      </c>
      <c r="K70" s="17" t="n">
        <v>0.462</v>
      </c>
      <c r="L70" s="16">
        <f>IF(OR($J70="",$K70=""),"",$J70*$K70)</f>
        <v/>
      </c>
    </row>
    <row r="71">
      <c r="A71" s="5" t="inlineStr">
        <is>
          <t>Pivô 25</t>
        </is>
      </c>
      <c r="B71" s="7" t="inlineStr">
        <is>
          <t>P25</t>
        </is>
      </c>
      <c r="C71" s="5" t="inlineStr">
        <is>
          <t>R7</t>
        </is>
      </c>
      <c r="D71" s="5" t="inlineStr">
        <is>
          <t>SOJA</t>
        </is>
      </c>
      <c r="E71" s="6" t="inlineStr">
        <is>
          <t>BMX DOMINIO IPRO</t>
        </is>
      </c>
      <c r="F71" s="7" t="n"/>
      <c r="G71" s="27">
        <f>IF(OR($B71="",$F71=""),"",IFERROR(INDEX(LAMINA_HORA!$C$5:$V$114,MATCH($B71,LAMINA_HORA!$A$5:$A$114,0),MATCH($F71,LAMINA_HORA!$C$3:$V$3,0)),"?"))</f>
        <v/>
      </c>
      <c r="H71" s="27">
        <f>IF(OR($B71="",$F71=""),"",IFERROR(INDEX(LAMINA_HORA!$W$5:$AP$114,MATCH($B71,LAMINA_HORA!$A$5:$A$114,0),MATCH($F71,LAMINA_HORA!$W$3:$AP$3,0)),"?"))</f>
        <v/>
      </c>
      <c r="I71" s="15" t="n">
        <v>171</v>
      </c>
      <c r="J71" s="16">
        <f>IF(OR($G71="",$G71="?",$I71=""),"",$G71*$I71*10)</f>
        <v/>
      </c>
      <c r="K71" s="17" t="n">
        <v>0.462</v>
      </c>
      <c r="L71" s="16">
        <f>IF(OR($J71="",$K71=""),"",$J71*$K71)</f>
        <v/>
      </c>
    </row>
    <row r="72">
      <c r="A72" s="5" t="inlineStr">
        <is>
          <t>Pivô 26</t>
        </is>
      </c>
      <c r="B72" s="7" t="inlineStr">
        <is>
          <t>P26</t>
        </is>
      </c>
      <c r="C72" s="5" t="inlineStr">
        <is>
          <t>R7</t>
        </is>
      </c>
      <c r="D72" s="5" t="inlineStr">
        <is>
          <t>MYAGUI</t>
        </is>
      </c>
      <c r="E72" s="6" t="inlineStr"/>
      <c r="F72" s="7" t="n"/>
      <c r="G72" s="27">
        <f>IF(OR($B72="",$F72=""),"",IFERROR(INDEX(LAMINA_HORA!$C$5:$V$114,MATCH($B72,LAMINA_HORA!$A$5:$A$114,0),MATCH($F72,LAMINA_HORA!$C$3:$V$3,0)),"?"))</f>
        <v/>
      </c>
      <c r="H72" s="27">
        <f>IF(OR($B72="",$F72=""),"",IFERROR(INDEX(LAMINA_HORA!$W$5:$AP$114,MATCH($B72,LAMINA_HORA!$A$5:$A$114,0),MATCH($F72,LAMINA_HORA!$W$3:$AP$3,0)),"?"))</f>
        <v/>
      </c>
      <c r="I72" s="15" t="n">
        <v>200</v>
      </c>
      <c r="J72" s="16">
        <f>IF(OR($G72="",$G72="?",$I72=""),"",$G72*$I72*10)</f>
        <v/>
      </c>
      <c r="K72" s="17" t="n">
        <v>0.591</v>
      </c>
      <c r="L72" s="16">
        <f>IF(OR($J72="",$K72=""),"",$J72*$K72)</f>
        <v/>
      </c>
    </row>
    <row r="73">
      <c r="A73" s="5" t="inlineStr">
        <is>
          <t>Pivô 27</t>
        </is>
      </c>
      <c r="B73" s="7" t="inlineStr">
        <is>
          <t>P27</t>
        </is>
      </c>
      <c r="C73" s="5" t="inlineStr">
        <is>
          <t>R7</t>
        </is>
      </c>
      <c r="D73" s="5" t="inlineStr">
        <is>
          <t>SOJA</t>
        </is>
      </c>
      <c r="E73" s="6" t="inlineStr">
        <is>
          <t>BMX DOMINIO IPRO</t>
        </is>
      </c>
      <c r="F73" s="7" t="n"/>
      <c r="G73" s="27">
        <f>IF(OR($B73="",$F73=""),"",IFERROR(INDEX(LAMINA_HORA!$C$5:$V$114,MATCH($B73,LAMINA_HORA!$A$5:$A$114,0),MATCH($F73,LAMINA_HORA!$C$3:$V$3,0)),"?"))</f>
        <v/>
      </c>
      <c r="H73" s="27">
        <f>IF(OR($B73="",$F73=""),"",IFERROR(INDEX(LAMINA_HORA!$W$5:$AP$114,MATCH($B73,LAMINA_HORA!$A$5:$A$114,0),MATCH($F73,LAMINA_HORA!$W$3:$AP$3,0)),"?"))</f>
        <v/>
      </c>
      <c r="I73" s="15" t="n">
        <v>313</v>
      </c>
      <c r="J73" s="16">
        <f>IF(OR($G73="",$G73="?",$I73=""),"",$G73*$I73*10)</f>
        <v/>
      </c>
      <c r="K73" s="17" t="n">
        <v>0.463</v>
      </c>
      <c r="L73" s="16">
        <f>IF(OR($J73="",$K73=""),"",$J73*$K73)</f>
        <v/>
      </c>
    </row>
    <row r="74">
      <c r="A74" s="5" t="inlineStr">
        <is>
          <t>Pivô 29</t>
        </is>
      </c>
      <c r="B74" s="7" t="inlineStr">
        <is>
          <t>P29</t>
        </is>
      </c>
      <c r="C74" s="5" t="inlineStr">
        <is>
          <t>R7</t>
        </is>
      </c>
      <c r="D74" s="5" t="inlineStr">
        <is>
          <t>EUCALIPTO</t>
        </is>
      </c>
      <c r="E74" s="6" t="inlineStr"/>
      <c r="F74" s="7" t="n"/>
      <c r="G74" s="27">
        <f>IF(OR($B74="",$F74=""),"",IFERROR(INDEX(LAMINA_HORA!$C$5:$V$114,MATCH($B74,LAMINA_HORA!$A$5:$A$114,0),MATCH($F74,LAMINA_HORA!$C$3:$V$3,0)),"?"))</f>
        <v/>
      </c>
      <c r="H74" s="27">
        <f>IF(OR($B74="",$F74=""),"",IFERROR(INDEX(LAMINA_HORA!$W$5:$AP$114,MATCH($B74,LAMINA_HORA!$A$5:$A$114,0),MATCH($F74,LAMINA_HORA!$W$3:$AP$3,0)),"?"))</f>
        <v/>
      </c>
      <c r="I74" s="15" t="n">
        <v>200</v>
      </c>
      <c r="J74" s="16">
        <f>IF(OR($G74="",$G74="?",$I74=""),"",$G74*$I74*10)</f>
        <v/>
      </c>
      <c r="K74" s="17" t="n">
        <v>0.504</v>
      </c>
      <c r="L74" s="16">
        <f>IF(OR($J74="",$K74=""),"",$J74*$K74)</f>
        <v/>
      </c>
    </row>
    <row r="75">
      <c r="A75" s="5" t="inlineStr">
        <is>
          <t>Pivô 01</t>
        </is>
      </c>
      <c r="B75" s="7" t="inlineStr">
        <is>
          <t>P1</t>
        </is>
      </c>
      <c r="C75" s="5" t="inlineStr">
        <is>
          <t>R0</t>
        </is>
      </c>
      <c r="D75" s="5" t="inlineStr">
        <is>
          <t>SOJA</t>
        </is>
      </c>
      <c r="E75" s="6" t="inlineStr">
        <is>
          <t>BMX DOMINIO IPRO</t>
        </is>
      </c>
      <c r="F75" s="7" t="n"/>
      <c r="G75" s="27">
        <f>IF(OR($B75="",$F75=""),"",IFERROR(INDEX(LAMINA_HORA!$C$5:$V$114,MATCH($B75,LAMINA_HORA!$A$5:$A$114,0),MATCH($F75,LAMINA_HORA!$C$3:$V$3,0)),"?"))</f>
        <v/>
      </c>
      <c r="H75" s="27">
        <f>IF(OR($B75="",$F75=""),"",IFERROR(INDEX(LAMINA_HORA!$W$5:$AP$114,MATCH($B75,LAMINA_HORA!$A$5:$A$114,0),MATCH($F75,LAMINA_HORA!$W$3:$AP$3,0)),"?"))</f>
        <v/>
      </c>
      <c r="I75" s="15" t="n">
        <v>71</v>
      </c>
      <c r="J75" s="16">
        <f>IF(OR($G75="",$G75="?",$I75=""),"",$G75*$I75*10)</f>
        <v/>
      </c>
      <c r="K75" s="17" t="n">
        <v>0.638</v>
      </c>
      <c r="L75" s="16">
        <f>IF(OR($J75="",$K75=""),"",$J75*$K75)</f>
        <v/>
      </c>
    </row>
    <row r="76">
      <c r="A76" s="5" t="inlineStr">
        <is>
          <t>Pivô 02</t>
        </is>
      </c>
      <c r="B76" s="7" t="inlineStr">
        <is>
          <t>P2</t>
        </is>
      </c>
      <c r="C76" s="5" t="inlineStr">
        <is>
          <t>R0</t>
        </is>
      </c>
      <c r="D76" s="5" t="inlineStr">
        <is>
          <t>SOJA</t>
        </is>
      </c>
      <c r="E76" s="6" t="inlineStr">
        <is>
          <t>BMX DOMINIO IPRO</t>
        </is>
      </c>
      <c r="F76" s="7" t="n"/>
      <c r="G76" s="27">
        <f>IF(OR($B76="",$F76=""),"",IFERROR(INDEX(LAMINA_HORA!$C$5:$V$114,MATCH($B76,LAMINA_HORA!$A$5:$A$114,0),MATCH($F76,LAMINA_HORA!$C$3:$V$3,0)),"?"))</f>
        <v/>
      </c>
      <c r="H76" s="27">
        <f>IF(OR($B76="",$F76=""),"",IFERROR(INDEX(LAMINA_HORA!$W$5:$AP$114,MATCH($B76,LAMINA_HORA!$A$5:$A$114,0),MATCH($F76,LAMINA_HORA!$W$3:$AP$3,0)),"?"))</f>
        <v/>
      </c>
      <c r="I76" s="15" t="n">
        <v>38</v>
      </c>
      <c r="J76" s="16">
        <f>IF(OR($G76="",$G76="?",$I76=""),"",$G76*$I76*10)</f>
        <v/>
      </c>
      <c r="K76" s="17" t="n">
        <v>0.714</v>
      </c>
      <c r="L76" s="16">
        <f>IF(OR($J76="",$K76=""),"",$J76*$K76)</f>
        <v/>
      </c>
    </row>
    <row r="77">
      <c r="A77" s="5" t="inlineStr">
        <is>
          <t>Pivô 03</t>
        </is>
      </c>
      <c r="B77" s="7" t="inlineStr">
        <is>
          <t>P3</t>
        </is>
      </c>
      <c r="C77" s="5" t="inlineStr">
        <is>
          <t>R0</t>
        </is>
      </c>
      <c r="D77" s="5" t="inlineStr">
        <is>
          <t>SOJA</t>
        </is>
      </c>
      <c r="E77" s="6" t="inlineStr">
        <is>
          <t>BMX DOMINIO IPRO</t>
        </is>
      </c>
      <c r="F77" s="7" t="n"/>
      <c r="G77" s="27">
        <f>IF(OR($B77="",$F77=""),"",IFERROR(INDEX(LAMINA_HORA!$C$5:$V$114,MATCH($B77,LAMINA_HORA!$A$5:$A$114,0),MATCH($F77,LAMINA_HORA!$C$3:$V$3,0)),"?"))</f>
        <v/>
      </c>
      <c r="H77" s="27">
        <f>IF(OR($B77="",$F77=""),"",IFERROR(INDEX(LAMINA_HORA!$W$5:$AP$114,MATCH($B77,LAMINA_HORA!$A$5:$A$114,0),MATCH($F77,LAMINA_HORA!$W$3:$AP$3,0)),"?"))</f>
        <v/>
      </c>
      <c r="I77" s="15" t="n">
        <v>162</v>
      </c>
      <c r="J77" s="16">
        <f>IF(OR($G77="",$G77="?",$I77=""),"",$G77*$I77*10)</f>
        <v/>
      </c>
      <c r="K77" s="17" t="n">
        <v>0.638</v>
      </c>
      <c r="L77" s="16">
        <f>IF(OR($J77="",$K77=""),"",$J77*$K77)</f>
        <v/>
      </c>
    </row>
    <row r="78">
      <c r="A78" s="5" t="inlineStr">
        <is>
          <t>Pivô 04</t>
        </is>
      </c>
      <c r="B78" s="7" t="inlineStr">
        <is>
          <t>P4</t>
        </is>
      </c>
      <c r="C78" s="5" t="inlineStr">
        <is>
          <t>R0</t>
        </is>
      </c>
      <c r="D78" s="5" t="inlineStr">
        <is>
          <t>SOJA</t>
        </is>
      </c>
      <c r="E78" s="6" t="inlineStr">
        <is>
          <t>BMX DOMINIO IPRO</t>
        </is>
      </c>
      <c r="F78" s="7" t="n"/>
      <c r="G78" s="27">
        <f>IF(OR($B78="",$F78=""),"",IFERROR(INDEX(LAMINA_HORA!$C$5:$V$114,MATCH($B78,LAMINA_HORA!$A$5:$A$114,0),MATCH($F78,LAMINA_HORA!$C$3:$V$3,0)),"?"))</f>
        <v/>
      </c>
      <c r="H78" s="27">
        <f>IF(OR($B78="",$F78=""),"",IFERROR(INDEX(LAMINA_HORA!$W$5:$AP$114,MATCH($B78,LAMINA_HORA!$A$5:$A$114,0),MATCH($F78,LAMINA_HORA!$W$3:$AP$3,0)),"?"))</f>
        <v/>
      </c>
      <c r="I78" s="15" t="n">
        <v>240</v>
      </c>
      <c r="J78" s="16">
        <f>IF(OR($G78="",$G78="?",$I78=""),"",$G78*$I78*10)</f>
        <v/>
      </c>
      <c r="K78" s="17" t="n">
        <v>0.532</v>
      </c>
      <c r="L78" s="16">
        <f>IF(OR($J78="",$K78=""),"",$J78*$K78)</f>
        <v/>
      </c>
    </row>
    <row r="79">
      <c r="A79" s="5" t="inlineStr">
        <is>
          <t>Pivô 05</t>
        </is>
      </c>
      <c r="B79" s="7" t="inlineStr">
        <is>
          <t>P5</t>
        </is>
      </c>
      <c r="C79" s="5" t="inlineStr">
        <is>
          <t>R1</t>
        </is>
      </c>
      <c r="D79" s="5" t="inlineStr">
        <is>
          <t>SOJA</t>
        </is>
      </c>
      <c r="E79" s="6" t="inlineStr">
        <is>
          <t>BMX DOMINIO IPRO</t>
        </is>
      </c>
      <c r="F79" s="7" t="n"/>
      <c r="G79" s="27">
        <f>IF(OR($B79="",$F79=""),"",IFERROR(INDEX(LAMINA_HORA!$C$5:$V$114,MATCH($B79,LAMINA_HORA!$A$5:$A$114,0),MATCH($F79,LAMINA_HORA!$C$3:$V$3,0)),"?"))</f>
        <v/>
      </c>
      <c r="H79" s="27">
        <f>IF(OR($B79="",$F79=""),"",IFERROR(INDEX(LAMINA_HORA!$W$5:$AP$114,MATCH($B79,LAMINA_HORA!$A$5:$A$114,0),MATCH($F79,LAMINA_HORA!$W$3:$AP$3,0)),"?"))</f>
        <v/>
      </c>
      <c r="I79" s="15" t="n">
        <v>37</v>
      </c>
      <c r="J79" s="16">
        <f>IF(OR($G79="",$G79="?",$I79=""),"",$G79*$I79*10)</f>
        <v/>
      </c>
      <c r="K79" s="17" t="n">
        <v>0.699</v>
      </c>
      <c r="L79" s="16">
        <f>IF(OR($J79="",$K79=""),"",$J79*$K79)</f>
        <v/>
      </c>
    </row>
    <row r="80">
      <c r="I80" s="30" t="inlineStr">
        <is>
          <t>TOTAL Modulo 1:</t>
        </is>
      </c>
      <c r="J80" s="31">
        <f>SUM($J$6:$J$79)</f>
        <v/>
      </c>
      <c r="L80" s="32">
        <f>SUM($L$6:$L$79)</f>
        <v/>
      </c>
    </row>
    <row r="82">
      <c r="A82" s="25" t="inlineStr">
        <is>
          <t>Modulo 2  (17 pivos)</t>
        </is>
      </c>
    </row>
    <row r="83">
      <c r="A83" s="5" t="inlineStr">
        <is>
          <t>Pivô 35</t>
        </is>
      </c>
      <c r="B83" s="7" t="inlineStr">
        <is>
          <t>P35</t>
        </is>
      </c>
      <c r="C83" s="5" t="inlineStr">
        <is>
          <t>R8</t>
        </is>
      </c>
      <c r="D83" s="5" t="inlineStr">
        <is>
          <t>SOJA</t>
        </is>
      </c>
      <c r="E83" s="6" t="inlineStr">
        <is>
          <t>COMPLETA IPRO</t>
        </is>
      </c>
      <c r="F83" s="7" t="n"/>
      <c r="G83" s="27">
        <f>IF(OR($B83="",$F83=""),"",IFERROR(INDEX(LAMINA_HORA!$C$5:$V$114,MATCH($B83,LAMINA_HORA!$A$5:$A$114,0),MATCH($F83,LAMINA_HORA!$C$3:$V$3,0)),"?"))</f>
        <v/>
      </c>
      <c r="H83" s="27">
        <f>IF(OR($B83="",$F83=""),"",IFERROR(INDEX(LAMINA_HORA!$W$5:$AP$114,MATCH($B83,LAMINA_HORA!$A$5:$A$114,0),MATCH($F83,LAMINA_HORA!$W$3:$AP$3,0)),"?"))</f>
        <v/>
      </c>
      <c r="I83" s="15" t="n">
        <v>150</v>
      </c>
      <c r="J83" s="16">
        <f>IF(OR($G83="",$G83="?",$I83=""),"",$G83*$I83*10)</f>
        <v/>
      </c>
      <c r="K83" s="17" t="n">
        <v>0.5</v>
      </c>
      <c r="L83" s="16">
        <f>IF(OR($J83="",$K83=""),"",$J83*$K83)</f>
        <v/>
      </c>
    </row>
    <row r="84">
      <c r="A84" s="5" t="inlineStr">
        <is>
          <t>Pivô 36</t>
        </is>
      </c>
      <c r="B84" s="7" t="inlineStr">
        <is>
          <t>P36</t>
        </is>
      </c>
      <c r="C84" s="5" t="inlineStr">
        <is>
          <t>R8</t>
        </is>
      </c>
      <c r="D84" s="5" t="inlineStr">
        <is>
          <t>SOJA</t>
        </is>
      </c>
      <c r="E84" s="6" t="inlineStr">
        <is>
          <t>COMPLETA IPRO</t>
        </is>
      </c>
      <c r="F84" s="7" t="n"/>
      <c r="G84" s="27">
        <f>IF(OR($B84="",$F84=""),"",IFERROR(INDEX(LAMINA_HORA!$C$5:$V$114,MATCH($B84,LAMINA_HORA!$A$5:$A$114,0),MATCH($F84,LAMINA_HORA!$C$3:$V$3,0)),"?"))</f>
        <v/>
      </c>
      <c r="H84" s="27">
        <f>IF(OR($B84="",$F84=""),"",IFERROR(INDEX(LAMINA_HORA!$W$5:$AP$114,MATCH($B84,LAMINA_HORA!$A$5:$A$114,0),MATCH($F84,LAMINA_HORA!$W$3:$AP$3,0)),"?"))</f>
        <v/>
      </c>
      <c r="I84" s="15" t="n">
        <v>150</v>
      </c>
      <c r="J84" s="16">
        <f>IF(OR($G84="",$G84="?",$I84=""),"",$G84*$I84*10)</f>
        <v/>
      </c>
      <c r="K84" s="17" t="n">
        <v>0.456</v>
      </c>
      <c r="L84" s="16">
        <f>IF(OR($J84="",$K84=""),"",$J84*$K84)</f>
        <v/>
      </c>
    </row>
    <row r="85">
      <c r="A85" s="5" t="inlineStr">
        <is>
          <t>Pivô 37</t>
        </is>
      </c>
      <c r="B85" s="7" t="inlineStr">
        <is>
          <t>P37</t>
        </is>
      </c>
      <c r="C85" s="5" t="inlineStr">
        <is>
          <t>R8</t>
        </is>
      </c>
      <c r="D85" s="5" t="inlineStr">
        <is>
          <t>SOJA</t>
        </is>
      </c>
      <c r="E85" s="6" t="inlineStr">
        <is>
          <t>COMPLETA IPRO</t>
        </is>
      </c>
      <c r="F85" s="7" t="n"/>
      <c r="G85" s="27">
        <f>IF(OR($B85="",$F85=""),"",IFERROR(INDEX(LAMINA_HORA!$C$5:$V$114,MATCH($B85,LAMINA_HORA!$A$5:$A$114,0),MATCH($F85,LAMINA_HORA!$C$3:$V$3,0)),"?"))</f>
        <v/>
      </c>
      <c r="H85" s="27">
        <f>IF(OR($B85="",$F85=""),"",IFERROR(INDEX(LAMINA_HORA!$W$5:$AP$114,MATCH($B85,LAMINA_HORA!$A$5:$A$114,0),MATCH($F85,LAMINA_HORA!$W$3:$AP$3,0)),"?"))</f>
        <v/>
      </c>
      <c r="I85" s="15" t="n">
        <v>72</v>
      </c>
      <c r="J85" s="16">
        <f>IF(OR($G85="",$G85="?",$I85=""),"",$G85*$I85*10)</f>
        <v/>
      </c>
      <c r="K85" s="17" t="n">
        <v>0.443</v>
      </c>
      <c r="L85" s="16">
        <f>IF(OR($J85="",$K85=""),"",$J85*$K85)</f>
        <v/>
      </c>
    </row>
    <row r="86">
      <c r="A86" s="5" t="inlineStr">
        <is>
          <t>Pivô 38</t>
        </is>
      </c>
      <c r="B86" s="7" t="inlineStr">
        <is>
          <t>P38</t>
        </is>
      </c>
      <c r="C86" s="5" t="inlineStr">
        <is>
          <t>R8</t>
        </is>
      </c>
      <c r="D86" s="5" t="inlineStr">
        <is>
          <t>SOJA</t>
        </is>
      </c>
      <c r="E86" s="6" t="inlineStr">
        <is>
          <t>COMPLETA IPRO</t>
        </is>
      </c>
      <c r="F86" s="7" t="n"/>
      <c r="G86" s="27">
        <f>IF(OR($B86="",$F86=""),"",IFERROR(INDEX(LAMINA_HORA!$C$5:$V$114,MATCH($B86,LAMINA_HORA!$A$5:$A$114,0),MATCH($F86,LAMINA_HORA!$C$3:$V$3,0)),"?"))</f>
        <v/>
      </c>
      <c r="H86" s="27">
        <f>IF(OR($B86="",$F86=""),"",IFERROR(INDEX(LAMINA_HORA!$W$5:$AP$114,MATCH($B86,LAMINA_HORA!$A$5:$A$114,0),MATCH($F86,LAMINA_HORA!$W$3:$AP$3,0)),"?"))</f>
        <v/>
      </c>
      <c r="I86" s="15" t="n">
        <v>141</v>
      </c>
      <c r="J86" s="16">
        <f>IF(OR($G86="",$G86="?",$I86=""),"",$G86*$I86*10)</f>
        <v/>
      </c>
      <c r="K86" s="17" t="n">
        <v>0.457</v>
      </c>
      <c r="L86" s="16">
        <f>IF(OR($J86="",$K86=""),"",$J86*$K86)</f>
        <v/>
      </c>
    </row>
    <row r="87">
      <c r="A87" s="5" t="inlineStr">
        <is>
          <t>Pivô 39</t>
        </is>
      </c>
      <c r="B87" s="7" t="inlineStr">
        <is>
          <t>P39</t>
        </is>
      </c>
      <c r="C87" s="5" t="inlineStr">
        <is>
          <t>R10</t>
        </is>
      </c>
      <c r="D87" s="5" t="inlineStr">
        <is>
          <t>ALGODÃO</t>
        </is>
      </c>
      <c r="E87" s="6" t="inlineStr">
        <is>
          <t>FM 979 STP/IMA 303 B3XF/DP 2335 B3XF/IMA 712 B3XF/GA 912 B3XF/IMA 497 B3XF</t>
        </is>
      </c>
      <c r="F87" s="7" t="n"/>
      <c r="G87" s="27">
        <f>IF(OR($B87="",$F87=""),"",IFERROR(INDEX(LAMINA_HORA!$C$5:$V$114,MATCH($B87,LAMINA_HORA!$A$5:$A$114,0),MATCH($F87,LAMINA_HORA!$C$3:$V$3,0)),"?"))</f>
        <v/>
      </c>
      <c r="H87" s="27">
        <f>IF(OR($B87="",$F87=""),"",IFERROR(INDEX(LAMINA_HORA!$W$5:$AP$114,MATCH($B87,LAMINA_HORA!$A$5:$A$114,0),MATCH($F87,LAMINA_HORA!$W$3:$AP$3,0)),"?"))</f>
        <v/>
      </c>
      <c r="I87" s="15" t="n">
        <v>100</v>
      </c>
      <c r="J87" s="16">
        <f>IF(OR($G87="",$G87="?",$I87=""),"",$G87*$I87*10)</f>
        <v/>
      </c>
      <c r="K87" s="17" t="n">
        <v>0.461</v>
      </c>
      <c r="L87" s="16">
        <f>IF(OR($J87="",$K87=""),"",$J87*$K87)</f>
        <v/>
      </c>
    </row>
    <row r="88">
      <c r="A88" s="5" t="inlineStr">
        <is>
          <t>Pivô 40</t>
        </is>
      </c>
      <c r="B88" s="7" t="inlineStr">
        <is>
          <t>P40</t>
        </is>
      </c>
      <c r="C88" s="5" t="inlineStr">
        <is>
          <t>R10</t>
        </is>
      </c>
      <c r="D88" s="5" t="inlineStr">
        <is>
          <t>SOJA</t>
        </is>
      </c>
      <c r="E88" s="6" t="inlineStr">
        <is>
          <t>BMX Olimpo IPRO</t>
        </is>
      </c>
      <c r="F88" s="7" t="n"/>
      <c r="G88" s="27">
        <f>IF(OR($B88="",$F88=""),"",IFERROR(INDEX(LAMINA_HORA!$C$5:$V$114,MATCH($B88,LAMINA_HORA!$A$5:$A$114,0),MATCH($F88,LAMINA_HORA!$C$3:$V$3,0)),"?"))</f>
        <v/>
      </c>
      <c r="H88" s="27">
        <f>IF(OR($B88="",$F88=""),"",IFERROR(INDEX(LAMINA_HORA!$W$5:$AP$114,MATCH($B88,LAMINA_HORA!$A$5:$A$114,0),MATCH($F88,LAMINA_HORA!$W$3:$AP$3,0)),"?"))</f>
        <v/>
      </c>
      <c r="I88" s="15" t="n">
        <v>150</v>
      </c>
      <c r="J88" s="16">
        <f>IF(OR($G88="",$G88="?",$I88=""),"",$G88*$I88*10)</f>
        <v/>
      </c>
      <c r="K88" s="17" t="n">
        <v>0.451</v>
      </c>
      <c r="L88" s="16">
        <f>IF(OR($J88="",$K88=""),"",$J88*$K88)</f>
        <v/>
      </c>
    </row>
    <row r="89">
      <c r="A89" s="5" t="inlineStr">
        <is>
          <t>Pivô 41</t>
        </is>
      </c>
      <c r="B89" s="7" t="inlineStr">
        <is>
          <t>P41</t>
        </is>
      </c>
      <c r="C89" s="5" t="inlineStr">
        <is>
          <t>R9</t>
        </is>
      </c>
      <c r="D89" s="5" t="inlineStr">
        <is>
          <t>SOJA</t>
        </is>
      </c>
      <c r="E89" s="6" t="inlineStr">
        <is>
          <t>NEO 761 I2X</t>
        </is>
      </c>
      <c r="F89" s="7" t="n"/>
      <c r="G89" s="27">
        <f>IF(OR($B89="",$F89=""),"",IFERROR(INDEX(LAMINA_HORA!$C$5:$V$114,MATCH($B89,LAMINA_HORA!$A$5:$A$114,0),MATCH($F89,LAMINA_HORA!$C$3:$V$3,0)),"?"))</f>
        <v/>
      </c>
      <c r="H89" s="27">
        <f>IF(OR($B89="",$F89=""),"",IFERROR(INDEX(LAMINA_HORA!$W$5:$AP$114,MATCH($B89,LAMINA_HORA!$A$5:$A$114,0),MATCH($F89,LAMINA_HORA!$W$3:$AP$3,0)),"?"))</f>
        <v/>
      </c>
      <c r="I89" s="15" t="n">
        <v>138</v>
      </c>
      <c r="J89" s="16">
        <f>IF(OR($G89="",$G89="?",$I89=""),"",$G89*$I89*10)</f>
        <v/>
      </c>
      <c r="K89" s="17" t="n">
        <v>0.452</v>
      </c>
      <c r="L89" s="16">
        <f>IF(OR($J89="",$K89=""),"",$J89*$K89)</f>
        <v/>
      </c>
    </row>
    <row r="90">
      <c r="A90" s="5" t="inlineStr">
        <is>
          <t>Pivô 42</t>
        </is>
      </c>
      <c r="B90" s="7" t="inlineStr">
        <is>
          <t>P42</t>
        </is>
      </c>
      <c r="C90" s="5" t="inlineStr">
        <is>
          <t>R9</t>
        </is>
      </c>
      <c r="D90" s="5" t="inlineStr">
        <is>
          <t>SOJA</t>
        </is>
      </c>
      <c r="E90" s="6" t="inlineStr">
        <is>
          <t>BMX Olimpo IPRO</t>
        </is>
      </c>
      <c r="F90" s="7" t="n"/>
      <c r="G90" s="27">
        <f>IF(OR($B90="",$F90=""),"",IFERROR(INDEX(LAMINA_HORA!$C$5:$V$114,MATCH($B90,LAMINA_HORA!$A$5:$A$114,0),MATCH($F90,LAMINA_HORA!$C$3:$V$3,0)),"?"))</f>
        <v/>
      </c>
      <c r="H90" s="27">
        <f>IF(OR($B90="",$F90=""),"",IFERROR(INDEX(LAMINA_HORA!$W$5:$AP$114,MATCH($B90,LAMINA_HORA!$A$5:$A$114,0),MATCH($F90,LAMINA_HORA!$W$3:$AP$3,0)),"?"))</f>
        <v/>
      </c>
      <c r="I90" s="15" t="n">
        <v>100</v>
      </c>
      <c r="J90" s="16">
        <f>IF(OR($G90="",$G90="?",$I90=""),"",$G90*$I90*10)</f>
        <v/>
      </c>
      <c r="K90" s="17" t="n">
        <v>0.461</v>
      </c>
      <c r="L90" s="16">
        <f>IF(OR($J90="",$K90=""),"",$J90*$K90)</f>
        <v/>
      </c>
    </row>
    <row r="91">
      <c r="A91" s="5" t="inlineStr">
        <is>
          <t>Pivô 43</t>
        </is>
      </c>
      <c r="B91" s="7" t="inlineStr">
        <is>
          <t>P43</t>
        </is>
      </c>
      <c r="C91" s="5" t="inlineStr">
        <is>
          <t>R9</t>
        </is>
      </c>
      <c r="D91" s="5" t="inlineStr">
        <is>
          <t>SOJA</t>
        </is>
      </c>
      <c r="E91" s="6" t="inlineStr">
        <is>
          <t>NEO 761 I2X</t>
        </is>
      </c>
      <c r="F91" s="7" t="n"/>
      <c r="G91" s="27">
        <f>IF(OR($B91="",$F91=""),"",IFERROR(INDEX(LAMINA_HORA!$C$5:$V$114,MATCH($B91,LAMINA_HORA!$A$5:$A$114,0),MATCH($F91,LAMINA_HORA!$C$3:$V$3,0)),"?"))</f>
        <v/>
      </c>
      <c r="H91" s="27">
        <f>IF(OR($B91="",$F91=""),"",IFERROR(INDEX(LAMINA_HORA!$W$5:$AP$114,MATCH($B91,LAMINA_HORA!$A$5:$A$114,0),MATCH($F91,LAMINA_HORA!$W$3:$AP$3,0)),"?"))</f>
        <v/>
      </c>
      <c r="I91" s="15" t="n">
        <v>138</v>
      </c>
      <c r="J91" s="16">
        <f>IF(OR($G91="",$G91="?",$I91=""),"",$G91*$I91*10)</f>
        <v/>
      </c>
      <c r="K91" s="17" t="n">
        <v>0.452</v>
      </c>
      <c r="L91" s="16">
        <f>IF(OR($J91="",$K91=""),"",$J91*$K91)</f>
        <v/>
      </c>
    </row>
    <row r="92">
      <c r="A92" s="5" t="inlineStr">
        <is>
          <t>Pivô 45</t>
        </is>
      </c>
      <c r="B92" s="7" t="inlineStr">
        <is>
          <t>P45</t>
        </is>
      </c>
      <c r="C92" s="5" t="inlineStr">
        <is>
          <t>R11</t>
        </is>
      </c>
      <c r="D92" s="5" t="inlineStr">
        <is>
          <t>SOJA</t>
        </is>
      </c>
      <c r="E92" s="6" t="inlineStr">
        <is>
          <t>CZ 58B10 I2X</t>
        </is>
      </c>
      <c r="F92" s="7" t="n"/>
      <c r="G92" s="27">
        <f>IF(OR($B92="",$F92=""),"",IFERROR(INDEX(LAMINA_HORA!$C$5:$V$114,MATCH($B92,LAMINA_HORA!$A$5:$A$114,0),MATCH($F92,LAMINA_HORA!$C$3:$V$3,0)),"?"))</f>
        <v/>
      </c>
      <c r="H92" s="27">
        <f>IF(OR($B92="",$F92=""),"",IFERROR(INDEX(LAMINA_HORA!$W$5:$AP$114,MATCH($B92,LAMINA_HORA!$A$5:$A$114,0),MATCH($F92,LAMINA_HORA!$W$3:$AP$3,0)),"?"))</f>
        <v/>
      </c>
      <c r="I92" s="15" t="n">
        <v>123</v>
      </c>
      <c r="J92" s="16">
        <f>IF(OR($G92="",$G92="?",$I92=""),"",$G92*$I92*10)</f>
        <v/>
      </c>
      <c r="K92" s="17" t="n">
        <v>0.505</v>
      </c>
      <c r="L92" s="16">
        <f>IF(OR($J92="",$K92=""),"",$J92*$K92)</f>
        <v/>
      </c>
    </row>
    <row r="93">
      <c r="A93" s="5" t="inlineStr">
        <is>
          <t>Pivô 46</t>
        </is>
      </c>
      <c r="B93" s="7" t="inlineStr">
        <is>
          <t>P46</t>
        </is>
      </c>
      <c r="C93" s="5" t="inlineStr">
        <is>
          <t>R11</t>
        </is>
      </c>
      <c r="D93" s="5" t="inlineStr">
        <is>
          <t>SOJA</t>
        </is>
      </c>
      <c r="E93" s="6" t="inlineStr">
        <is>
          <t>M8434 12X</t>
        </is>
      </c>
      <c r="F93" s="7" t="n"/>
      <c r="G93" s="27">
        <f>IF(OR($B93="",$F93=""),"",IFERROR(INDEX(LAMINA_HORA!$C$5:$V$114,MATCH($B93,LAMINA_HORA!$A$5:$A$114,0),MATCH($F93,LAMINA_HORA!$C$3:$V$3,0)),"?"))</f>
        <v/>
      </c>
      <c r="H93" s="27">
        <f>IF(OR($B93="",$F93=""),"",IFERROR(INDEX(LAMINA_HORA!$W$5:$AP$114,MATCH($B93,LAMINA_HORA!$A$5:$A$114,0),MATCH($F93,LAMINA_HORA!$W$3:$AP$3,0)),"?"))</f>
        <v/>
      </c>
      <c r="I93" s="15" t="n">
        <v>160</v>
      </c>
      <c r="J93" s="16">
        <f>IF(OR($G93="",$G93="?",$I93=""),"",$G93*$I93*10)</f>
        <v/>
      </c>
      <c r="K93" s="17" t="n">
        <v>0.465</v>
      </c>
      <c r="L93" s="16">
        <f>IF(OR($J93="",$K93=""),"",$J93*$K93)</f>
        <v/>
      </c>
    </row>
    <row r="94">
      <c r="A94" s="5" t="inlineStr">
        <is>
          <t>Pivô 47</t>
        </is>
      </c>
      <c r="B94" s="7" t="inlineStr">
        <is>
          <t>P47</t>
        </is>
      </c>
      <c r="C94" s="5" t="inlineStr">
        <is>
          <t>R11</t>
        </is>
      </c>
      <c r="D94" s="5" t="inlineStr">
        <is>
          <t>SOJA</t>
        </is>
      </c>
      <c r="E94" s="6" t="inlineStr">
        <is>
          <t>M8434 12X</t>
        </is>
      </c>
      <c r="F94" s="7" t="n"/>
      <c r="G94" s="27">
        <f>IF(OR($B94="",$F94=""),"",IFERROR(INDEX(LAMINA_HORA!$C$5:$V$114,MATCH($B94,LAMINA_HORA!$A$5:$A$114,0),MATCH($F94,LAMINA_HORA!$C$3:$V$3,0)),"?"))</f>
        <v/>
      </c>
      <c r="H94" s="27">
        <f>IF(OR($B94="",$F94=""),"",IFERROR(INDEX(LAMINA_HORA!$W$5:$AP$114,MATCH($B94,LAMINA_HORA!$A$5:$A$114,0),MATCH($F94,LAMINA_HORA!$W$3:$AP$3,0)),"?"))</f>
        <v/>
      </c>
      <c r="I94" s="15" t="n">
        <v>160</v>
      </c>
      <c r="J94" s="16">
        <f>IF(OR($G94="",$G94="?",$I94=""),"",$G94*$I94*10)</f>
        <v/>
      </c>
      <c r="K94" s="17" t="n">
        <v>0.537</v>
      </c>
      <c r="L94" s="16">
        <f>IF(OR($J94="",$K94=""),"",$J94*$K94)</f>
        <v/>
      </c>
    </row>
    <row r="95">
      <c r="A95" s="5" t="inlineStr">
        <is>
          <t>Pivô 48</t>
        </is>
      </c>
      <c r="B95" s="7" t="inlineStr">
        <is>
          <t>P48</t>
        </is>
      </c>
      <c r="C95" s="5" t="inlineStr">
        <is>
          <t>R11</t>
        </is>
      </c>
      <c r="D95" s="5" t="inlineStr">
        <is>
          <t>SOJA</t>
        </is>
      </c>
      <c r="E95" s="6" t="inlineStr">
        <is>
          <t>M8434 12X</t>
        </is>
      </c>
      <c r="F95" s="7" t="n"/>
      <c r="G95" s="27">
        <f>IF(OR($B95="",$F95=""),"",IFERROR(INDEX(LAMINA_HORA!$C$5:$V$114,MATCH($B95,LAMINA_HORA!$A$5:$A$114,0),MATCH($F95,LAMINA_HORA!$C$3:$V$3,0)),"?"))</f>
        <v/>
      </c>
      <c r="H95" s="27">
        <f>IF(OR($B95="",$F95=""),"",IFERROR(INDEX(LAMINA_HORA!$W$5:$AP$114,MATCH($B95,LAMINA_HORA!$A$5:$A$114,0),MATCH($F95,LAMINA_HORA!$W$3:$AP$3,0)),"?"))</f>
        <v/>
      </c>
      <c r="I95" s="15" t="n">
        <v>160</v>
      </c>
      <c r="J95" s="16">
        <f>IF(OR($G95="",$G95="?",$I95=""),"",$G95*$I95*10)</f>
        <v/>
      </c>
      <c r="K95" s="17" t="n">
        <v>0.434</v>
      </c>
      <c r="L95" s="16">
        <f>IF(OR($J95="",$K95=""),"",$J95*$K95)</f>
        <v/>
      </c>
    </row>
    <row r="96">
      <c r="A96" s="5" t="inlineStr">
        <is>
          <t>Pivô 49</t>
        </is>
      </c>
      <c r="B96" s="7" t="inlineStr">
        <is>
          <t>P49</t>
        </is>
      </c>
      <c r="C96" s="5" t="inlineStr">
        <is>
          <t>R11</t>
        </is>
      </c>
      <c r="D96" s="5" t="inlineStr">
        <is>
          <t>SOJA</t>
        </is>
      </c>
      <c r="E96" s="6" t="inlineStr">
        <is>
          <t>M8434 12X</t>
        </is>
      </c>
      <c r="F96" s="7" t="n"/>
      <c r="G96" s="27">
        <f>IF(OR($B96="",$F96=""),"",IFERROR(INDEX(LAMINA_HORA!$C$5:$V$114,MATCH($B96,LAMINA_HORA!$A$5:$A$114,0),MATCH($F96,LAMINA_HORA!$C$3:$V$3,0)),"?"))</f>
        <v/>
      </c>
      <c r="H96" s="27">
        <f>IF(OR($B96="",$F96=""),"",IFERROR(INDEX(LAMINA_HORA!$W$5:$AP$114,MATCH($B96,LAMINA_HORA!$A$5:$A$114,0),MATCH($F96,LAMINA_HORA!$W$3:$AP$3,0)),"?"))</f>
        <v/>
      </c>
      <c r="I96" s="15" t="n">
        <v>125</v>
      </c>
      <c r="J96" s="16">
        <f>IF(OR($G96="",$G96="?",$I96=""),"",$G96*$I96*10)</f>
        <v/>
      </c>
      <c r="K96" s="17" t="n">
        <v>0.475</v>
      </c>
      <c r="L96" s="16">
        <f>IF(OR($J96="",$K96=""),"",$J96*$K96)</f>
        <v/>
      </c>
    </row>
    <row r="97">
      <c r="A97" s="5" t="inlineStr">
        <is>
          <t>Pivô 52</t>
        </is>
      </c>
      <c r="B97" s="7" t="inlineStr">
        <is>
          <t>P52</t>
        </is>
      </c>
      <c r="C97" s="5" t="inlineStr">
        <is>
          <t>R12</t>
        </is>
      </c>
      <c r="D97" s="5" t="inlineStr">
        <is>
          <t>SOJA</t>
        </is>
      </c>
      <c r="E97" s="6" t="inlineStr">
        <is>
          <t>M8434 12X</t>
        </is>
      </c>
      <c r="F97" s="7" t="n"/>
      <c r="G97" s="27">
        <f>IF(OR($B97="",$F97=""),"",IFERROR(INDEX(LAMINA_HORA!$C$5:$V$114,MATCH($B97,LAMINA_HORA!$A$5:$A$114,0),MATCH($F97,LAMINA_HORA!$C$3:$V$3,0)),"?"))</f>
        <v/>
      </c>
      <c r="H97" s="27">
        <f>IF(OR($B97="",$F97=""),"",IFERROR(INDEX(LAMINA_HORA!$W$5:$AP$114,MATCH($B97,LAMINA_HORA!$A$5:$A$114,0),MATCH($F97,LAMINA_HORA!$W$3:$AP$3,0)),"?"))</f>
        <v/>
      </c>
      <c r="I97" s="15" t="n">
        <v>160</v>
      </c>
      <c r="J97" s="16">
        <f>IF(OR($G97="",$G97="?",$I97=""),"",$G97*$I97*10)</f>
        <v/>
      </c>
      <c r="K97" s="17" t="n">
        <v>0.475</v>
      </c>
      <c r="L97" s="16">
        <f>IF(OR($J97="",$K97=""),"",$J97*$K97)</f>
        <v/>
      </c>
    </row>
    <row r="98">
      <c r="A98" s="5" t="inlineStr">
        <is>
          <t>Pivô 73</t>
        </is>
      </c>
      <c r="B98" s="7" t="inlineStr">
        <is>
          <t>P73</t>
        </is>
      </c>
      <c r="C98" s="5" t="inlineStr">
        <is>
          <t>R12</t>
        </is>
      </c>
      <c r="D98" s="5" t="inlineStr">
        <is>
          <t>SOJA</t>
        </is>
      </c>
      <c r="E98" s="6" t="inlineStr">
        <is>
          <t>ATAQUE I2X</t>
        </is>
      </c>
      <c r="F98" s="7" t="n"/>
      <c r="G98" s="27">
        <f>IF(OR($B98="",$F98=""),"",IFERROR(INDEX(LAMINA_HORA!$C$5:$V$114,MATCH($B98,LAMINA_HORA!$A$5:$A$114,0),MATCH($F98,LAMINA_HORA!$C$3:$V$3,0)),"?"))</f>
        <v/>
      </c>
      <c r="H98" s="27">
        <f>IF(OR($B98="",$F98=""),"",IFERROR(INDEX(LAMINA_HORA!$W$5:$AP$114,MATCH($B98,LAMINA_HORA!$A$5:$A$114,0),MATCH($F98,LAMINA_HORA!$W$3:$AP$3,0)),"?"))</f>
        <v/>
      </c>
      <c r="I98" s="15" t="n">
        <v>160</v>
      </c>
      <c r="J98" s="16">
        <f>IF(OR($G98="",$G98="?",$I98=""),"",$G98*$I98*10)</f>
        <v/>
      </c>
      <c r="K98" s="17" t="n">
        <v>0.554</v>
      </c>
      <c r="L98" s="16">
        <f>IF(OR($J98="",$K98=""),"",$J98*$K98)</f>
        <v/>
      </c>
    </row>
    <row r="99">
      <c r="A99" s="5" t="inlineStr">
        <is>
          <t>Pivô 74</t>
        </is>
      </c>
      <c r="B99" s="7" t="inlineStr">
        <is>
          <t>P74</t>
        </is>
      </c>
      <c r="C99" s="5" t="inlineStr">
        <is>
          <t>R12</t>
        </is>
      </c>
      <c r="D99" s="5" t="inlineStr">
        <is>
          <t>ALGODÃO</t>
        </is>
      </c>
      <c r="E99" s="6" t="inlineStr">
        <is>
          <t>IMA 5901 B2RF</t>
        </is>
      </c>
      <c r="F99" s="7" t="n"/>
      <c r="G99" s="27">
        <f>IF(OR($B99="",$F99=""),"",IFERROR(INDEX(LAMINA_HORA!$C$5:$V$114,MATCH($B99,LAMINA_HORA!$A$5:$A$114,0),MATCH($F99,LAMINA_HORA!$C$3:$V$3,0)),"?"))</f>
        <v/>
      </c>
      <c r="H99" s="27">
        <f>IF(OR($B99="",$F99=""),"",IFERROR(INDEX(LAMINA_HORA!$W$5:$AP$114,MATCH($B99,LAMINA_HORA!$A$5:$A$114,0),MATCH($F99,LAMINA_HORA!$W$3:$AP$3,0)),"?"))</f>
        <v/>
      </c>
      <c r="I99" s="15" t="n">
        <v>160</v>
      </c>
      <c r="J99" s="16">
        <f>IF(OR($G99="",$G99="?",$I99=""),"",$G99*$I99*10)</f>
        <v/>
      </c>
      <c r="K99" s="17" t="n">
        <v>0.522</v>
      </c>
      <c r="L99" s="16">
        <f>IF(OR($J99="",$K99=""),"",$J99*$K99)</f>
        <v/>
      </c>
    </row>
    <row r="100">
      <c r="I100" s="30" t="inlineStr">
        <is>
          <t>TOTAL Modulo 2:</t>
        </is>
      </c>
      <c r="J100" s="31">
        <f>SUM($J$83:$J$99)</f>
        <v/>
      </c>
      <c r="L100" s="32">
        <f>SUM($L$83:$L$99)</f>
        <v/>
      </c>
    </row>
    <row r="102">
      <c r="A102" s="25" t="inlineStr">
        <is>
          <t>Modulo 3  (22 pivos)</t>
        </is>
      </c>
    </row>
    <row r="103">
      <c r="A103" s="5" t="inlineStr">
        <is>
          <t>Pivô 44</t>
        </is>
      </c>
      <c r="B103" s="7" t="inlineStr">
        <is>
          <t>P44</t>
        </is>
      </c>
      <c r="C103" s="5" t="inlineStr">
        <is>
          <t>R13</t>
        </is>
      </c>
      <c r="D103" s="5" t="inlineStr">
        <is>
          <t>SOJA</t>
        </is>
      </c>
      <c r="E103" s="6" t="inlineStr">
        <is>
          <t>NEO 761 I2X</t>
        </is>
      </c>
      <c r="F103" s="7" t="n"/>
      <c r="G103" s="27">
        <f>IF(OR($B103="",$F103=""),"",IFERROR(INDEX(LAMINA_HORA!$C$5:$V$114,MATCH($B103,LAMINA_HORA!$A$5:$A$114,0),MATCH($F103,LAMINA_HORA!$C$3:$V$3,0)),"?"))</f>
        <v/>
      </c>
      <c r="H103" s="27">
        <f>IF(OR($B103="",$F103=""),"",IFERROR(INDEX(LAMINA_HORA!$W$5:$AP$114,MATCH($B103,LAMINA_HORA!$A$5:$A$114,0),MATCH($F103,LAMINA_HORA!$W$3:$AP$3,0)),"?"))</f>
        <v/>
      </c>
      <c r="I103" s="15" t="n">
        <v>75</v>
      </c>
      <c r="J103" s="16">
        <f>IF(OR($G103="",$G103="?",$I103=""),"",$G103*$I103*10)</f>
        <v/>
      </c>
      <c r="K103" s="17" t="n">
        <v>0.735</v>
      </c>
      <c r="L103" s="16">
        <f>IF(OR($J103="",$K103=""),"",$J103*$K103)</f>
        <v/>
      </c>
    </row>
    <row r="104">
      <c r="A104" s="5" t="inlineStr">
        <is>
          <t>Pivô 50</t>
        </is>
      </c>
      <c r="B104" s="7" t="inlineStr">
        <is>
          <t>P50</t>
        </is>
      </c>
      <c r="C104" s="5" t="inlineStr">
        <is>
          <t>R14</t>
        </is>
      </c>
      <c r="D104" s="5" t="inlineStr">
        <is>
          <t>SOJA</t>
        </is>
      </c>
      <c r="E104" s="6" t="inlineStr">
        <is>
          <t>CZ 48B18 IPRO</t>
        </is>
      </c>
      <c r="F104" s="7" t="n"/>
      <c r="G104" s="27">
        <f>IF(OR($B104="",$F104=""),"",IFERROR(INDEX(LAMINA_HORA!$C$5:$V$114,MATCH($B104,LAMINA_HORA!$A$5:$A$114,0),MATCH($F104,LAMINA_HORA!$C$3:$V$3,0)),"?"))</f>
        <v/>
      </c>
      <c r="H104" s="27">
        <f>IF(OR($B104="",$F104=""),"",IFERROR(INDEX(LAMINA_HORA!$W$5:$AP$114,MATCH($B104,LAMINA_HORA!$A$5:$A$114,0),MATCH($F104,LAMINA_HORA!$W$3:$AP$3,0)),"?"))</f>
        <v/>
      </c>
      <c r="I104" s="15" t="n">
        <v>120</v>
      </c>
      <c r="J104" s="16">
        <f>IF(OR($G104="",$G104="?",$I104=""),"",$G104*$I104*10)</f>
        <v/>
      </c>
      <c r="K104" s="17" t="n">
        <v>0.828</v>
      </c>
      <c r="L104" s="16">
        <f>IF(OR($J104="",$K104=""),"",$J104*$K104)</f>
        <v/>
      </c>
    </row>
    <row r="105">
      <c r="A105" s="5" t="inlineStr">
        <is>
          <t>Pivô 51</t>
        </is>
      </c>
      <c r="B105" s="7" t="inlineStr">
        <is>
          <t>P51</t>
        </is>
      </c>
      <c r="C105" s="5" t="inlineStr">
        <is>
          <t>R14</t>
        </is>
      </c>
      <c r="D105" s="5" t="inlineStr">
        <is>
          <t>SOJA</t>
        </is>
      </c>
      <c r="E105" s="6" t="inlineStr">
        <is>
          <t>CZ 48B18 IPRO</t>
        </is>
      </c>
      <c r="F105" s="7" t="n"/>
      <c r="G105" s="27">
        <f>IF(OR($B105="",$F105=""),"",IFERROR(INDEX(LAMINA_HORA!$C$5:$V$114,MATCH($B105,LAMINA_HORA!$A$5:$A$114,0),MATCH($F105,LAMINA_HORA!$C$3:$V$3,0)),"?"))</f>
        <v/>
      </c>
      <c r="H105" s="27">
        <f>IF(OR($B105="",$F105=""),"",IFERROR(INDEX(LAMINA_HORA!$W$5:$AP$114,MATCH($B105,LAMINA_HORA!$A$5:$A$114,0),MATCH($F105,LAMINA_HORA!$W$3:$AP$3,0)),"?"))</f>
        <v/>
      </c>
      <c r="I105" s="15" t="n">
        <v>120</v>
      </c>
      <c r="J105" s="16">
        <f>IF(OR($G105="",$G105="?",$I105=""),"",$G105*$I105*10)</f>
        <v/>
      </c>
      <c r="K105" s="17" t="n">
        <v>0.836</v>
      </c>
      <c r="L105" s="16">
        <f>IF(OR($J105="",$K105=""),"",$J105*$K105)</f>
        <v/>
      </c>
    </row>
    <row r="106">
      <c r="A106" s="5" t="inlineStr">
        <is>
          <t>Pivô 53</t>
        </is>
      </c>
      <c r="B106" s="7" t="inlineStr">
        <is>
          <t>P53</t>
        </is>
      </c>
      <c r="C106" s="5" t="inlineStr">
        <is>
          <t>R13</t>
        </is>
      </c>
      <c r="D106" s="5" t="inlineStr">
        <is>
          <t>SOJA</t>
        </is>
      </c>
      <c r="E106" s="6" t="inlineStr">
        <is>
          <t>CZ 48B18 IPRO</t>
        </is>
      </c>
      <c r="F106" s="7" t="n"/>
      <c r="G106" s="27">
        <f>IF(OR($B106="",$F106=""),"",IFERROR(INDEX(LAMINA_HORA!$C$5:$V$114,MATCH($B106,LAMINA_HORA!$A$5:$A$114,0),MATCH($F106,LAMINA_HORA!$C$3:$V$3,0)),"?"))</f>
        <v/>
      </c>
      <c r="H106" s="27">
        <f>IF(OR($B106="",$F106=""),"",IFERROR(INDEX(LAMINA_HORA!$W$5:$AP$114,MATCH($B106,LAMINA_HORA!$A$5:$A$114,0),MATCH($F106,LAMINA_HORA!$W$3:$AP$3,0)),"?"))</f>
        <v/>
      </c>
      <c r="I106" s="15" t="n">
        <v>75</v>
      </c>
      <c r="J106" s="16">
        <f>IF(OR($G106="",$G106="?",$I106=""),"",$G106*$I106*10)</f>
        <v/>
      </c>
      <c r="K106" s="17" t="n">
        <v>0.735</v>
      </c>
      <c r="L106" s="16">
        <f>IF(OR($J106="",$K106=""),"",$J106*$K106)</f>
        <v/>
      </c>
    </row>
    <row r="107">
      <c r="A107" s="5" t="inlineStr">
        <is>
          <t>Pivô 54</t>
        </is>
      </c>
      <c r="B107" s="7" t="inlineStr">
        <is>
          <t>P54</t>
        </is>
      </c>
      <c r="C107" s="5" t="inlineStr">
        <is>
          <t>R13</t>
        </is>
      </c>
      <c r="D107" s="5" t="inlineStr">
        <is>
          <t>SOJA</t>
        </is>
      </c>
      <c r="E107" s="6" t="inlineStr">
        <is>
          <t>CZ 48B18 IPRO</t>
        </is>
      </c>
      <c r="F107" s="7" t="n"/>
      <c r="G107" s="27">
        <f>IF(OR($B107="",$F107=""),"",IFERROR(INDEX(LAMINA_HORA!$C$5:$V$114,MATCH($B107,LAMINA_HORA!$A$5:$A$114,0),MATCH($F107,LAMINA_HORA!$C$3:$V$3,0)),"?"))</f>
        <v/>
      </c>
      <c r="H107" s="27">
        <f>IF(OR($B107="",$F107=""),"",IFERROR(INDEX(LAMINA_HORA!$W$5:$AP$114,MATCH($B107,LAMINA_HORA!$A$5:$A$114,0),MATCH($F107,LAMINA_HORA!$W$3:$AP$3,0)),"?"))</f>
        <v/>
      </c>
      <c r="I107" s="15" t="n">
        <v>120</v>
      </c>
      <c r="J107" s="16">
        <f>IF(OR($G107="",$G107="?",$I107=""),"",$G107*$I107*10)</f>
        <v/>
      </c>
      <c r="K107" s="17" t="n">
        <v>0.827</v>
      </c>
      <c r="L107" s="16">
        <f>IF(OR($J107="",$K107=""),"",$J107*$K107)</f>
        <v/>
      </c>
    </row>
    <row r="108">
      <c r="A108" s="5" t="inlineStr">
        <is>
          <t>Pivô 55</t>
        </is>
      </c>
      <c r="B108" s="7" t="inlineStr">
        <is>
          <t>P55</t>
        </is>
      </c>
      <c r="C108" s="5" t="inlineStr">
        <is>
          <t>R13</t>
        </is>
      </c>
      <c r="D108" s="5" t="inlineStr">
        <is>
          <t>SOJA</t>
        </is>
      </c>
      <c r="E108" s="6" t="inlineStr">
        <is>
          <t>CZ 48B18 IPRO</t>
        </is>
      </c>
      <c r="F108" s="7" t="n"/>
      <c r="G108" s="27">
        <f>IF(OR($B108="",$F108=""),"",IFERROR(INDEX(LAMINA_HORA!$C$5:$V$114,MATCH($B108,LAMINA_HORA!$A$5:$A$114,0),MATCH($F108,LAMINA_HORA!$C$3:$V$3,0)),"?"))</f>
        <v/>
      </c>
      <c r="H108" s="27">
        <f>IF(OR($B108="",$F108=""),"",IFERROR(INDEX(LAMINA_HORA!$W$5:$AP$114,MATCH($B108,LAMINA_HORA!$A$5:$A$114,0),MATCH($F108,LAMINA_HORA!$W$3:$AP$3,0)),"?"))</f>
        <v/>
      </c>
      <c r="I108" s="15" t="n">
        <v>150</v>
      </c>
      <c r="J108" s="16">
        <f>IF(OR($G108="",$G108="?",$I108=""),"",$G108*$I108*10)</f>
        <v/>
      </c>
      <c r="K108" s="17" t="n">
        <v>0.9429999999999999</v>
      </c>
      <c r="L108" s="16">
        <f>IF(OR($J108="",$K108=""),"",$J108*$K108)</f>
        <v/>
      </c>
    </row>
    <row r="109">
      <c r="A109" s="5" t="inlineStr">
        <is>
          <t>Pivô 56</t>
        </is>
      </c>
      <c r="B109" s="7" t="inlineStr">
        <is>
          <t>P56</t>
        </is>
      </c>
      <c r="C109" s="5" t="inlineStr">
        <is>
          <t>R14</t>
        </is>
      </c>
      <c r="D109" s="5" t="inlineStr">
        <is>
          <t>SOJA</t>
        </is>
      </c>
      <c r="E109" s="6" t="inlineStr">
        <is>
          <t>CZ 48B18 IPRO</t>
        </is>
      </c>
      <c r="F109" s="7" t="n"/>
      <c r="G109" s="27">
        <f>IF(OR($B109="",$F109=""),"",IFERROR(INDEX(LAMINA_HORA!$C$5:$V$114,MATCH($B109,LAMINA_HORA!$A$5:$A$114,0),MATCH($F109,LAMINA_HORA!$C$3:$V$3,0)),"?"))</f>
        <v/>
      </c>
      <c r="H109" s="27">
        <f>IF(OR($B109="",$F109=""),"",IFERROR(INDEX(LAMINA_HORA!$W$5:$AP$114,MATCH($B109,LAMINA_HORA!$A$5:$A$114,0),MATCH($F109,LAMINA_HORA!$W$3:$AP$3,0)),"?"))</f>
        <v/>
      </c>
      <c r="I109" s="15" t="n">
        <v>55</v>
      </c>
      <c r="J109" s="16">
        <f>IF(OR($G109="",$G109="?",$I109=""),"",$G109*$I109*10)</f>
        <v/>
      </c>
      <c r="K109" s="17" t="n">
        <v>0.788</v>
      </c>
      <c r="L109" s="16">
        <f>IF(OR($J109="",$K109=""),"",$J109*$K109)</f>
        <v/>
      </c>
    </row>
    <row r="110">
      <c r="A110" s="5" t="inlineStr">
        <is>
          <t>Pivô 57</t>
        </is>
      </c>
      <c r="B110" s="7" t="inlineStr">
        <is>
          <t>P57</t>
        </is>
      </c>
      <c r="C110" s="5" t="inlineStr">
        <is>
          <t>R15</t>
        </is>
      </c>
      <c r="D110" s="5" t="inlineStr">
        <is>
          <t>SOJA</t>
        </is>
      </c>
      <c r="E110" s="6" t="inlineStr">
        <is>
          <t>BMX Olimpo IPRO</t>
        </is>
      </c>
      <c r="F110" s="7" t="n"/>
      <c r="G110" s="27">
        <f>IF(OR($B110="",$F110=""),"",IFERROR(INDEX(LAMINA_HORA!$C$5:$V$114,MATCH($B110,LAMINA_HORA!$A$5:$A$114,0),MATCH($F110,LAMINA_HORA!$C$3:$V$3,0)),"?"))</f>
        <v/>
      </c>
      <c r="H110" s="27">
        <f>IF(OR($B110="",$F110=""),"",IFERROR(INDEX(LAMINA_HORA!$W$5:$AP$114,MATCH($B110,LAMINA_HORA!$A$5:$A$114,0),MATCH($F110,LAMINA_HORA!$W$3:$AP$3,0)),"?"))</f>
        <v/>
      </c>
      <c r="I110" s="15" t="n">
        <v>150</v>
      </c>
      <c r="J110" s="16">
        <f>IF(OR($G110="",$G110="?",$I110=""),"",$G110*$I110*10)</f>
        <v/>
      </c>
      <c r="K110" s="17" t="n">
        <v>0.841</v>
      </c>
      <c r="L110" s="16">
        <f>IF(OR($J110="",$K110=""),"",$J110*$K110)</f>
        <v/>
      </c>
    </row>
    <row r="111">
      <c r="A111" s="5" t="inlineStr">
        <is>
          <t>Pivô 58</t>
        </is>
      </c>
      <c r="B111" s="7" t="inlineStr">
        <is>
          <t>P58</t>
        </is>
      </c>
      <c r="C111" s="5" t="inlineStr">
        <is>
          <t>R15</t>
        </is>
      </c>
      <c r="D111" s="5" t="inlineStr">
        <is>
          <t>SOJA</t>
        </is>
      </c>
      <c r="E111" s="6" t="inlineStr">
        <is>
          <t>BMX Olimpo IPRO</t>
        </is>
      </c>
      <c r="F111" s="7" t="n"/>
      <c r="G111" s="27">
        <f>IF(OR($B111="",$F111=""),"",IFERROR(INDEX(LAMINA_HORA!$C$5:$V$114,MATCH($B111,LAMINA_HORA!$A$5:$A$114,0),MATCH($F111,LAMINA_HORA!$C$3:$V$3,0)),"?"))</f>
        <v/>
      </c>
      <c r="H111" s="27">
        <f>IF(OR($B111="",$F111=""),"",IFERROR(INDEX(LAMINA_HORA!$W$5:$AP$114,MATCH($B111,LAMINA_HORA!$A$5:$A$114,0),MATCH($F111,LAMINA_HORA!$W$3:$AP$3,0)),"?"))</f>
        <v/>
      </c>
      <c r="I111" s="15" t="n">
        <v>150</v>
      </c>
      <c r="J111" s="16">
        <f>IF(OR($G111="",$G111="?",$I111=""),"",$G111*$I111*10)</f>
        <v/>
      </c>
      <c r="K111" s="17" t="n">
        <v>0.789</v>
      </c>
      <c r="L111" s="16">
        <f>IF(OR($J111="",$K111=""),"",$J111*$K111)</f>
        <v/>
      </c>
    </row>
    <row r="112">
      <c r="A112" s="5" t="inlineStr">
        <is>
          <t>Pivô 59</t>
        </is>
      </c>
      <c r="B112" s="7" t="inlineStr">
        <is>
          <t>P59</t>
        </is>
      </c>
      <c r="C112" s="5" t="inlineStr">
        <is>
          <t>R15</t>
        </is>
      </c>
      <c r="D112" s="5" t="inlineStr">
        <is>
          <t>SOJA</t>
        </is>
      </c>
      <c r="E112" s="6" t="inlineStr">
        <is>
          <t>BMX Olimpo IPRO</t>
        </is>
      </c>
      <c r="F112" s="7" t="n"/>
      <c r="G112" s="27">
        <f>IF(OR($B112="",$F112=""),"",IFERROR(INDEX(LAMINA_HORA!$C$5:$V$114,MATCH($B112,LAMINA_HORA!$A$5:$A$114,0),MATCH($F112,LAMINA_HORA!$C$3:$V$3,0)),"?"))</f>
        <v/>
      </c>
      <c r="H112" s="27">
        <f>IF(OR($B112="",$F112=""),"",IFERROR(INDEX(LAMINA_HORA!$W$5:$AP$114,MATCH($B112,LAMINA_HORA!$A$5:$A$114,0),MATCH($F112,LAMINA_HORA!$W$3:$AP$3,0)),"?"))</f>
        <v/>
      </c>
      <c r="I112" s="15" t="n">
        <v>143</v>
      </c>
      <c r="J112" s="16">
        <f>IF(OR($G112="",$G112="?",$I112=""),"",$G112*$I112*10)</f>
        <v/>
      </c>
      <c r="K112" s="17" t="n">
        <v>0.823</v>
      </c>
      <c r="L112" s="16">
        <f>IF(OR($J112="",$K112=""),"",$J112*$K112)</f>
        <v/>
      </c>
    </row>
    <row r="113">
      <c r="A113" s="5" t="inlineStr">
        <is>
          <t>Pivô 60</t>
        </is>
      </c>
      <c r="B113" s="7" t="inlineStr">
        <is>
          <t>P60</t>
        </is>
      </c>
      <c r="C113" s="5" t="inlineStr">
        <is>
          <t>R15</t>
        </is>
      </c>
      <c r="D113" s="5" t="inlineStr">
        <is>
          <t>SOJA</t>
        </is>
      </c>
      <c r="E113" s="6" t="inlineStr">
        <is>
          <t>BMX Olimpo IPRO</t>
        </is>
      </c>
      <c r="F113" s="7" t="n"/>
      <c r="G113" s="27">
        <f>IF(OR($B113="",$F113=""),"",IFERROR(INDEX(LAMINA_HORA!$C$5:$V$114,MATCH($B113,LAMINA_HORA!$A$5:$A$114,0),MATCH($F113,LAMINA_HORA!$C$3:$V$3,0)),"?"))</f>
        <v/>
      </c>
      <c r="H113" s="27">
        <f>IF(OR($B113="",$F113=""),"",IFERROR(INDEX(LAMINA_HORA!$W$5:$AP$114,MATCH($B113,LAMINA_HORA!$A$5:$A$114,0),MATCH($F113,LAMINA_HORA!$W$3:$AP$3,0)),"?"))</f>
        <v/>
      </c>
      <c r="I113" s="15" t="n">
        <v>150</v>
      </c>
      <c r="J113" s="16">
        <f>IF(OR($G113="",$G113="?",$I113=""),"",$G113*$I113*10)</f>
        <v/>
      </c>
      <c r="K113" s="17" t="n">
        <v>0.819</v>
      </c>
      <c r="L113" s="16">
        <f>IF(OR($J113="",$K113=""),"",$J113*$K113)</f>
        <v/>
      </c>
    </row>
    <row r="114">
      <c r="A114" s="5" t="inlineStr">
        <is>
          <t>Pivô 61</t>
        </is>
      </c>
      <c r="B114" s="7" t="inlineStr">
        <is>
          <t>P61</t>
        </is>
      </c>
      <c r="C114" s="5" t="inlineStr">
        <is>
          <t>R16</t>
        </is>
      </c>
      <c r="D114" s="5" t="inlineStr">
        <is>
          <t>SOJA</t>
        </is>
      </c>
      <c r="E114" s="6" t="inlineStr">
        <is>
          <t>BMX Olimpo IPRO</t>
        </is>
      </c>
      <c r="F114" s="7" t="n"/>
      <c r="G114" s="27">
        <f>IF(OR($B114="",$F114=""),"",IFERROR(INDEX(LAMINA_HORA!$C$5:$V$114,MATCH($B114,LAMINA_HORA!$A$5:$A$114,0),MATCH($F114,LAMINA_HORA!$C$3:$V$3,0)),"?"))</f>
        <v/>
      </c>
      <c r="H114" s="27">
        <f>IF(OR($B114="",$F114=""),"",IFERROR(INDEX(LAMINA_HORA!$W$5:$AP$114,MATCH($B114,LAMINA_HORA!$A$5:$A$114,0),MATCH($F114,LAMINA_HORA!$W$3:$AP$3,0)),"?"))</f>
        <v/>
      </c>
      <c r="I114" s="15" t="n">
        <v>145</v>
      </c>
      <c r="J114" s="16">
        <f>IF(OR($G114="",$G114="?",$I114=""),"",$G114*$I114*10)</f>
        <v/>
      </c>
      <c r="K114" s="17" t="n">
        <v>0.821</v>
      </c>
      <c r="L114" s="16">
        <f>IF(OR($J114="",$K114=""),"",$J114*$K114)</f>
        <v/>
      </c>
    </row>
    <row r="115">
      <c r="A115" s="5" t="inlineStr">
        <is>
          <t>Pivô 62</t>
        </is>
      </c>
      <c r="B115" s="7" t="inlineStr">
        <is>
          <t>P62</t>
        </is>
      </c>
      <c r="C115" s="5" t="inlineStr">
        <is>
          <t>R16</t>
        </is>
      </c>
      <c r="D115" s="5" t="inlineStr">
        <is>
          <t>ALGODÃO</t>
        </is>
      </c>
      <c r="E115" s="6" t="inlineStr">
        <is>
          <t>FM 911 GLTP</t>
        </is>
      </c>
      <c r="F115" s="7" t="n"/>
      <c r="G115" s="27">
        <f>IF(OR($B115="",$F115=""),"",IFERROR(INDEX(LAMINA_HORA!$C$5:$V$114,MATCH($B115,LAMINA_HORA!$A$5:$A$114,0),MATCH($F115,LAMINA_HORA!$C$3:$V$3,0)),"?"))</f>
        <v/>
      </c>
      <c r="H115" s="27">
        <f>IF(OR($B115="",$F115=""),"",IFERROR(INDEX(LAMINA_HORA!$W$5:$AP$114,MATCH($B115,LAMINA_HORA!$A$5:$A$114,0),MATCH($F115,LAMINA_HORA!$W$3:$AP$3,0)),"?"))</f>
        <v/>
      </c>
      <c r="I115" s="15" t="n">
        <v>140</v>
      </c>
      <c r="J115" s="16">
        <f>IF(OR($G115="",$G115="?",$I115=""),"",$G115*$I115*10)</f>
        <v/>
      </c>
      <c r="K115" s="17" t="n">
        <v>0.827</v>
      </c>
      <c r="L115" s="16">
        <f>IF(OR($J115="",$K115=""),"",$J115*$K115)</f>
        <v/>
      </c>
    </row>
    <row r="116">
      <c r="A116" s="5" t="inlineStr">
        <is>
          <t>Pivô 63</t>
        </is>
      </c>
      <c r="B116" s="7" t="inlineStr">
        <is>
          <t>P63</t>
        </is>
      </c>
      <c r="C116" s="5" t="inlineStr">
        <is>
          <t>R18</t>
        </is>
      </c>
      <c r="D116" s="5" t="inlineStr">
        <is>
          <t>SOJA</t>
        </is>
      </c>
      <c r="E116" s="6" t="inlineStr">
        <is>
          <t>NEO 761 I2X</t>
        </is>
      </c>
      <c r="F116" s="7" t="n"/>
      <c r="G116" s="27">
        <f>IF(OR($B116="",$F116=""),"",IFERROR(INDEX(LAMINA_HORA!$C$5:$V$114,MATCH($B116,LAMINA_HORA!$A$5:$A$114,0),MATCH($F116,LAMINA_HORA!$C$3:$V$3,0)),"?"))</f>
        <v/>
      </c>
      <c r="H116" s="27">
        <f>IF(OR($B116="",$F116=""),"",IFERROR(INDEX(LAMINA_HORA!$W$5:$AP$114,MATCH($B116,LAMINA_HORA!$A$5:$A$114,0),MATCH($F116,LAMINA_HORA!$W$3:$AP$3,0)),"?"))</f>
        <v/>
      </c>
      <c r="I116" s="15" t="n">
        <v>80</v>
      </c>
      <c r="J116" s="16">
        <f>IF(OR($G116="",$G116="?",$I116=""),"",$G116*$I116*10)</f>
        <v/>
      </c>
      <c r="K116" s="17" t="n">
        <v>0.827</v>
      </c>
      <c r="L116" s="16">
        <f>IF(OR($J116="",$K116=""),"",$J116*$K116)</f>
        <v/>
      </c>
    </row>
    <row r="117">
      <c r="A117" s="5" t="inlineStr">
        <is>
          <t>Pivô 64</t>
        </is>
      </c>
      <c r="B117" s="7" t="inlineStr">
        <is>
          <t>P64</t>
        </is>
      </c>
      <c r="C117" s="5" t="inlineStr">
        <is>
          <t>R18</t>
        </is>
      </c>
      <c r="D117" s="5" t="inlineStr">
        <is>
          <t>SOJA</t>
        </is>
      </c>
      <c r="E117" s="6" t="inlineStr">
        <is>
          <t>NEO 761 I2X</t>
        </is>
      </c>
      <c r="F117" s="7" t="n"/>
      <c r="G117" s="27">
        <f>IF(OR($B117="",$F117=""),"",IFERROR(INDEX(LAMINA_HORA!$C$5:$V$114,MATCH($B117,LAMINA_HORA!$A$5:$A$114,0),MATCH($F117,LAMINA_HORA!$C$3:$V$3,0)),"?"))</f>
        <v/>
      </c>
      <c r="H117" s="27">
        <f>IF(OR($B117="",$F117=""),"",IFERROR(INDEX(LAMINA_HORA!$W$5:$AP$114,MATCH($B117,LAMINA_HORA!$A$5:$A$114,0),MATCH($F117,LAMINA_HORA!$W$3:$AP$3,0)),"?"))</f>
        <v/>
      </c>
      <c r="I117" s="15" t="n">
        <v>80</v>
      </c>
      <c r="J117" s="16">
        <f>IF(OR($G117="",$G117="?",$I117=""),"",$G117*$I117*10)</f>
        <v/>
      </c>
      <c r="K117" s="17" t="n">
        <v>0.779</v>
      </c>
      <c r="L117" s="16">
        <f>IF(OR($J117="",$K117=""),"",$J117*$K117)</f>
        <v/>
      </c>
    </row>
    <row r="118">
      <c r="A118" s="5" t="inlineStr">
        <is>
          <t>Pivô 65</t>
        </is>
      </c>
      <c r="B118" s="7" t="inlineStr">
        <is>
          <t>P65</t>
        </is>
      </c>
      <c r="C118" s="5" t="inlineStr">
        <is>
          <t>R18</t>
        </is>
      </c>
      <c r="D118" s="5" t="inlineStr">
        <is>
          <t>SOJA</t>
        </is>
      </c>
      <c r="E118" s="6" t="inlineStr">
        <is>
          <t>NEO 761 I2X</t>
        </is>
      </c>
      <c r="F118" s="7" t="n"/>
      <c r="G118" s="27">
        <f>IF(OR($B118="",$F118=""),"",IFERROR(INDEX(LAMINA_HORA!$C$5:$V$114,MATCH($B118,LAMINA_HORA!$A$5:$A$114,0),MATCH($F118,LAMINA_HORA!$C$3:$V$3,0)),"?"))</f>
        <v/>
      </c>
      <c r="H118" s="27">
        <f>IF(OR($B118="",$F118=""),"",IFERROR(INDEX(LAMINA_HORA!$W$5:$AP$114,MATCH($B118,LAMINA_HORA!$A$5:$A$114,0),MATCH($F118,LAMINA_HORA!$W$3:$AP$3,0)),"?"))</f>
        <v/>
      </c>
      <c r="I118" s="15" t="n">
        <v>150</v>
      </c>
      <c r="J118" s="16">
        <f>IF(OR($G118="",$G118="?",$I118=""),"",$G118*$I118*10)</f>
        <v/>
      </c>
      <c r="K118" s="17" t="n">
        <v>0.848</v>
      </c>
      <c r="L118" s="16">
        <f>IF(OR($J118="",$K118=""),"",$J118*$K118)</f>
        <v/>
      </c>
    </row>
    <row r="119">
      <c r="A119" s="5" t="inlineStr">
        <is>
          <t>Pivô 66</t>
        </is>
      </c>
      <c r="B119" s="7" t="inlineStr">
        <is>
          <t>P66</t>
        </is>
      </c>
      <c r="C119" s="5" t="inlineStr">
        <is>
          <t>R15</t>
        </is>
      </c>
      <c r="D119" s="5" t="inlineStr">
        <is>
          <t>SOJA</t>
        </is>
      </c>
      <c r="E119" s="6" t="inlineStr">
        <is>
          <t>NEO 761 I2X</t>
        </is>
      </c>
      <c r="F119" s="7" t="n"/>
      <c r="G119" s="27">
        <f>IF(OR($B119="",$F119=""),"",IFERROR(INDEX(LAMINA_HORA!$C$5:$V$114,MATCH($B119,LAMINA_HORA!$A$5:$A$114,0),MATCH($F119,LAMINA_HORA!$C$3:$V$3,0)),"?"))</f>
        <v/>
      </c>
      <c r="H119" s="27">
        <f>IF(OR($B119="",$F119=""),"",IFERROR(INDEX(LAMINA_HORA!$W$5:$AP$114,MATCH($B119,LAMINA_HORA!$A$5:$A$114,0),MATCH($F119,LAMINA_HORA!$W$3:$AP$3,0)),"?"))</f>
        <v/>
      </c>
      <c r="I119" s="15" t="n">
        <v>100</v>
      </c>
      <c r="J119" s="16">
        <f>IF(OR($G119="",$G119="?",$I119=""),"",$G119*$I119*10)</f>
        <v/>
      </c>
      <c r="K119" s="17" t="n">
        <v>0.905</v>
      </c>
      <c r="L119" s="16">
        <f>IF(OR($J119="",$K119=""),"",$J119*$K119)</f>
        <v/>
      </c>
    </row>
    <row r="120">
      <c r="A120" s="5" t="inlineStr">
        <is>
          <t>Pivô 67</t>
        </is>
      </c>
      <c r="B120" s="7" t="inlineStr">
        <is>
          <t>P67</t>
        </is>
      </c>
      <c r="C120" s="5" t="inlineStr">
        <is>
          <t>R16</t>
        </is>
      </c>
      <c r="D120" s="5" t="inlineStr">
        <is>
          <t>SOJA</t>
        </is>
      </c>
      <c r="E120" s="6" t="inlineStr">
        <is>
          <t>NEO 761 I2X</t>
        </is>
      </c>
      <c r="F120" s="7" t="n"/>
      <c r="G120" s="27">
        <f>IF(OR($B120="",$F120=""),"",IFERROR(INDEX(LAMINA_HORA!$C$5:$V$114,MATCH($B120,LAMINA_HORA!$A$5:$A$114,0),MATCH($F120,LAMINA_HORA!$C$3:$V$3,0)),"?"))</f>
        <v/>
      </c>
      <c r="H120" s="27">
        <f>IF(OR($B120="",$F120=""),"",IFERROR(INDEX(LAMINA_HORA!$W$5:$AP$114,MATCH($B120,LAMINA_HORA!$A$5:$A$114,0),MATCH($F120,LAMINA_HORA!$W$3:$AP$3,0)),"?"))</f>
        <v/>
      </c>
      <c r="I120" s="15" t="n">
        <v>80</v>
      </c>
      <c r="J120" s="16">
        <f>IF(OR($G120="",$G120="?",$I120=""),"",$G120*$I120*10)</f>
        <v/>
      </c>
      <c r="K120" s="17" t="n">
        <v>0.974</v>
      </c>
      <c r="L120" s="16">
        <f>IF(OR($J120="",$K120=""),"",$J120*$K120)</f>
        <v/>
      </c>
    </row>
    <row r="121">
      <c r="A121" s="5" t="inlineStr">
        <is>
          <t>Pivô 68</t>
        </is>
      </c>
      <c r="B121" s="7" t="inlineStr">
        <is>
          <t>P68</t>
        </is>
      </c>
      <c r="C121" s="5" t="inlineStr">
        <is>
          <t>R16</t>
        </is>
      </c>
      <c r="D121" s="5" t="inlineStr">
        <is>
          <t>SOJA</t>
        </is>
      </c>
      <c r="E121" s="6" t="inlineStr">
        <is>
          <t>COMPLETA IPRO</t>
        </is>
      </c>
      <c r="F121" s="7" t="n"/>
      <c r="G121" s="27">
        <f>IF(OR($B121="",$F121=""),"",IFERROR(INDEX(LAMINA_HORA!$C$5:$V$114,MATCH($B121,LAMINA_HORA!$A$5:$A$114,0),MATCH($F121,LAMINA_HORA!$C$3:$V$3,0)),"?"))</f>
        <v/>
      </c>
      <c r="H121" s="27">
        <f>IF(OR($B121="",$F121=""),"",IFERROR(INDEX(LAMINA_HORA!$W$5:$AP$114,MATCH($B121,LAMINA_HORA!$A$5:$A$114,0),MATCH($F121,LAMINA_HORA!$W$3:$AP$3,0)),"?"))</f>
        <v/>
      </c>
      <c r="I121" s="15" t="n">
        <v>80</v>
      </c>
      <c r="J121" s="16">
        <f>IF(OR($G121="",$G121="?",$I121=""),"",$G121*$I121*10)</f>
        <v/>
      </c>
      <c r="K121" s="17" t="n">
        <v>0.974</v>
      </c>
      <c r="L121" s="16">
        <f>IF(OR($J121="",$K121=""),"",$J121*$K121)</f>
        <v/>
      </c>
    </row>
    <row r="122">
      <c r="A122" s="5" t="inlineStr">
        <is>
          <t>Pivô 69</t>
        </is>
      </c>
      <c r="B122" s="7" t="inlineStr">
        <is>
          <t>P69</t>
        </is>
      </c>
      <c r="C122" s="5" t="inlineStr">
        <is>
          <t>R17</t>
        </is>
      </c>
      <c r="D122" s="5" t="inlineStr">
        <is>
          <t>ALGODÃO</t>
        </is>
      </c>
      <c r="E122" s="6" t="inlineStr">
        <is>
          <t>IMA 3764 B2RF</t>
        </is>
      </c>
      <c r="F122" s="7" t="n"/>
      <c r="G122" s="27">
        <f>IF(OR($B122="",$F122=""),"",IFERROR(INDEX(LAMINA_HORA!$C$5:$V$114,MATCH($B122,LAMINA_HORA!$A$5:$A$114,0),MATCH($F122,LAMINA_HORA!$C$3:$V$3,0)),"?"))</f>
        <v/>
      </c>
      <c r="H122" s="27">
        <f>IF(OR($B122="",$F122=""),"",IFERROR(INDEX(LAMINA_HORA!$W$5:$AP$114,MATCH($B122,LAMINA_HORA!$A$5:$A$114,0),MATCH($F122,LAMINA_HORA!$W$3:$AP$3,0)),"?"))</f>
        <v/>
      </c>
      <c r="I122" s="15" t="n">
        <v>80</v>
      </c>
      <c r="J122" s="16">
        <f>IF(OR($G122="",$G122="?",$I122=""),"",$G122*$I122*10)</f>
        <v/>
      </c>
      <c r="K122" s="17" t="n">
        <v>0.974</v>
      </c>
      <c r="L122" s="16">
        <f>IF(OR($J122="",$K122=""),"",$J122*$K122)</f>
        <v/>
      </c>
    </row>
    <row r="123">
      <c r="A123" s="5" t="inlineStr">
        <is>
          <t>Pivô 70</t>
        </is>
      </c>
      <c r="B123" s="7" t="inlineStr">
        <is>
          <t>P70</t>
        </is>
      </c>
      <c r="C123" s="5" t="inlineStr">
        <is>
          <t>R17</t>
        </is>
      </c>
      <c r="D123" s="5" t="inlineStr">
        <is>
          <t>ALGODÃO</t>
        </is>
      </c>
      <c r="E123" s="6" t="inlineStr">
        <is>
          <t>IMA 3764 B2RF</t>
        </is>
      </c>
      <c r="F123" s="7" t="n"/>
      <c r="G123" s="27">
        <f>IF(OR($B123="",$F123=""),"",IFERROR(INDEX(LAMINA_HORA!$C$5:$V$114,MATCH($B123,LAMINA_HORA!$A$5:$A$114,0),MATCH($F123,LAMINA_HORA!$C$3:$V$3,0)),"?"))</f>
        <v/>
      </c>
      <c r="H123" s="27">
        <f>IF(OR($B123="",$F123=""),"",IFERROR(INDEX(LAMINA_HORA!$W$5:$AP$114,MATCH($B123,LAMINA_HORA!$A$5:$A$114,0),MATCH($F123,LAMINA_HORA!$W$3:$AP$3,0)),"?"))</f>
        <v/>
      </c>
      <c r="I123" s="15" t="n">
        <v>150</v>
      </c>
      <c r="J123" s="16">
        <f>IF(OR($G123="",$G123="?",$I123=""),"",$G123*$I123*10)</f>
        <v/>
      </c>
      <c r="K123" s="17" t="n">
        <v>0.8149999999999999</v>
      </c>
      <c r="L123" s="16">
        <f>IF(OR($J123="",$K123=""),"",$J123*$K123)</f>
        <v/>
      </c>
    </row>
    <row r="124">
      <c r="A124" s="5" t="inlineStr">
        <is>
          <t>Pivô 72</t>
        </is>
      </c>
      <c r="B124" s="7" t="inlineStr">
        <is>
          <t>P72</t>
        </is>
      </c>
      <c r="C124" s="5" t="inlineStr">
        <is>
          <t>R17</t>
        </is>
      </c>
      <c r="D124" s="5" t="inlineStr">
        <is>
          <t>SOJA</t>
        </is>
      </c>
      <c r="E124" s="6" t="inlineStr">
        <is>
          <t>COMBATE IPRO</t>
        </is>
      </c>
      <c r="F124" s="7" t="n"/>
      <c r="G124" s="27">
        <f>IF(OR($B124="",$F124=""),"",IFERROR(INDEX(LAMINA_HORA!$C$5:$V$114,MATCH($B124,LAMINA_HORA!$A$5:$A$114,0),MATCH($F124,LAMINA_HORA!$C$3:$V$3,0)),"?"))</f>
        <v/>
      </c>
      <c r="H124" s="27">
        <f>IF(OR($B124="",$F124=""),"",IFERROR(INDEX(LAMINA_HORA!$W$5:$AP$114,MATCH($B124,LAMINA_HORA!$A$5:$A$114,0),MATCH($F124,LAMINA_HORA!$W$3:$AP$3,0)),"?"))</f>
        <v/>
      </c>
      <c r="I124" s="15" t="n">
        <v>125</v>
      </c>
      <c r="J124" s="16">
        <f>IF(OR($G124="",$G124="?",$I124=""),"",$G124*$I124*10)</f>
        <v/>
      </c>
      <c r="K124" s="17" t="n">
        <v>0.851</v>
      </c>
      <c r="L124" s="16">
        <f>IF(OR($J124="",$K124=""),"",$J124*$K124)</f>
        <v/>
      </c>
    </row>
    <row r="125">
      <c r="I125" s="30" t="inlineStr">
        <is>
          <t>TOTAL Modulo 3:</t>
        </is>
      </c>
      <c r="J125" s="31">
        <f>SUM($J$103:$J$124)</f>
        <v/>
      </c>
      <c r="L125" s="32">
        <f>SUM($L$103:$L$124)</f>
        <v/>
      </c>
    </row>
    <row r="127">
      <c r="A127" s="25" t="inlineStr">
        <is>
          <t>RDM  (32 pivos)</t>
        </is>
      </c>
    </row>
    <row r="128">
      <c r="A128" s="5" t="inlineStr">
        <is>
          <t>Pivô 101</t>
        </is>
      </c>
      <c r="B128" s="7" t="inlineStr">
        <is>
          <t>P101</t>
        </is>
      </c>
      <c r="C128" s="5" t="inlineStr">
        <is>
          <t>RM4</t>
        </is>
      </c>
      <c r="D128" s="5" t="inlineStr">
        <is>
          <t>ALGODÃO</t>
        </is>
      </c>
      <c r="E128" s="6" t="inlineStr">
        <is>
          <t>IMA 5901 B2RF</t>
        </is>
      </c>
      <c r="F128" s="7" t="n"/>
      <c r="G128" s="27">
        <f>IF(OR($B128="",$F128=""),"",IFERROR(INDEX(LAMINA_HORA!$C$5:$V$114,MATCH($B128,LAMINA_HORA!$A$5:$A$114,0),MATCH($F128,LAMINA_HORA!$C$3:$V$3,0)),"?"))</f>
        <v/>
      </c>
      <c r="H128" s="27">
        <f>IF(OR($B128="",$F128=""),"",IFERROR(INDEX(LAMINA_HORA!$W$5:$AP$114,MATCH($B128,LAMINA_HORA!$A$5:$A$114,0),MATCH($F128,LAMINA_HORA!$W$3:$AP$3,0)),"?"))</f>
        <v/>
      </c>
      <c r="I128" s="15" t="n">
        <v>114</v>
      </c>
      <c r="J128" s="16">
        <f>IF(OR($G128="",$G128="?",$I128=""),"",$G128*$I128*10)</f>
        <v/>
      </c>
      <c r="K128" s="17" t="n">
        <v>0.632</v>
      </c>
      <c r="L128" s="16">
        <f>IF(OR($J128="",$K128=""),"",$J128*$K128)</f>
        <v/>
      </c>
    </row>
    <row r="129">
      <c r="A129" s="5" t="inlineStr">
        <is>
          <t>Pivô 102</t>
        </is>
      </c>
      <c r="B129" s="7" t="inlineStr">
        <is>
          <t>P102</t>
        </is>
      </c>
      <c r="C129" s="5" t="inlineStr">
        <is>
          <t>RM4</t>
        </is>
      </c>
      <c r="D129" s="5" t="inlineStr">
        <is>
          <t>ALGODÃO</t>
        </is>
      </c>
      <c r="E129" s="6" t="inlineStr">
        <is>
          <t>FM 974 GLT</t>
        </is>
      </c>
      <c r="F129" s="7" t="n"/>
      <c r="G129" s="27">
        <f>IF(OR($B129="",$F129=""),"",IFERROR(INDEX(LAMINA_HORA!$C$5:$V$114,MATCH($B129,LAMINA_HORA!$A$5:$A$114,0),MATCH($F129,LAMINA_HORA!$C$3:$V$3,0)),"?"))</f>
        <v/>
      </c>
      <c r="H129" s="27">
        <f>IF(OR($B129="",$F129=""),"",IFERROR(INDEX(LAMINA_HORA!$W$5:$AP$114,MATCH($B129,LAMINA_HORA!$A$5:$A$114,0),MATCH($F129,LAMINA_HORA!$W$3:$AP$3,0)),"?"))</f>
        <v/>
      </c>
      <c r="I129" s="15" t="n">
        <v>100</v>
      </c>
      <c r="J129" s="16">
        <f>IF(OR($G129="",$G129="?",$I129=""),"",$G129*$I129*10)</f>
        <v/>
      </c>
      <c r="K129" s="17" t="n">
        <v>0.621</v>
      </c>
      <c r="L129" s="16">
        <f>IF(OR($J129="",$K129=""),"",$J129*$K129)</f>
        <v/>
      </c>
    </row>
    <row r="130">
      <c r="A130" s="5" t="inlineStr">
        <is>
          <t>Pivô 103</t>
        </is>
      </c>
      <c r="B130" s="7" t="inlineStr">
        <is>
          <t>P103</t>
        </is>
      </c>
      <c r="C130" s="5" t="inlineStr">
        <is>
          <t>RM4</t>
        </is>
      </c>
      <c r="D130" s="5" t="inlineStr">
        <is>
          <t>ALGODÃO</t>
        </is>
      </c>
      <c r="E130" s="6" t="inlineStr">
        <is>
          <t>IMA 5901 B2RF</t>
        </is>
      </c>
      <c r="F130" s="7" t="n"/>
      <c r="G130" s="27">
        <f>IF(OR($B130="",$F130=""),"",IFERROR(INDEX(LAMINA_HORA!$C$5:$V$114,MATCH($B130,LAMINA_HORA!$A$5:$A$114,0),MATCH($F130,LAMINA_HORA!$C$3:$V$3,0)),"?"))</f>
        <v/>
      </c>
      <c r="H130" s="27">
        <f>IF(OR($B130="",$F130=""),"",IFERROR(INDEX(LAMINA_HORA!$W$5:$AP$114,MATCH($B130,LAMINA_HORA!$A$5:$A$114,0),MATCH($F130,LAMINA_HORA!$W$3:$AP$3,0)),"?"))</f>
        <v/>
      </c>
      <c r="I130" s="15" t="n">
        <v>100</v>
      </c>
      <c r="J130" s="16">
        <f>IF(OR($G130="",$G130="?",$I130=""),"",$G130*$I130*10)</f>
        <v/>
      </c>
      <c r="K130" s="17" t="n">
        <v>0.583</v>
      </c>
      <c r="L130" s="16">
        <f>IF(OR($J130="",$K130=""),"",$J130*$K130)</f>
        <v/>
      </c>
    </row>
    <row r="131">
      <c r="A131" s="5" t="inlineStr">
        <is>
          <t>Pivô 104</t>
        </is>
      </c>
      <c r="B131" s="7" t="inlineStr">
        <is>
          <t>P104</t>
        </is>
      </c>
      <c r="C131" s="5" t="inlineStr">
        <is>
          <t>RM4</t>
        </is>
      </c>
      <c r="D131" s="5" t="inlineStr">
        <is>
          <t>SOJA</t>
        </is>
      </c>
      <c r="E131" s="6" t="inlineStr">
        <is>
          <t>COMBATE IPRO</t>
        </is>
      </c>
      <c r="F131" s="7" t="n"/>
      <c r="G131" s="27">
        <f>IF(OR($B131="",$F131=""),"",IFERROR(INDEX(LAMINA_HORA!$C$5:$V$114,MATCH($B131,LAMINA_HORA!$A$5:$A$114,0),MATCH($F131,LAMINA_HORA!$C$3:$V$3,0)),"?"))</f>
        <v/>
      </c>
      <c r="H131" s="27">
        <f>IF(OR($B131="",$F131=""),"",IFERROR(INDEX(LAMINA_HORA!$W$5:$AP$114,MATCH($B131,LAMINA_HORA!$A$5:$A$114,0),MATCH($F131,LAMINA_HORA!$W$3:$AP$3,0)),"?"))</f>
        <v/>
      </c>
      <c r="I131" s="15" t="n">
        <v>100</v>
      </c>
      <c r="J131" s="16">
        <f>IF(OR($G131="",$G131="?",$I131=""),"",$G131*$I131*10)</f>
        <v/>
      </c>
      <c r="K131" s="17" t="n">
        <v>0.583</v>
      </c>
      <c r="L131" s="16">
        <f>IF(OR($J131="",$K131=""),"",$J131*$K131)</f>
        <v/>
      </c>
    </row>
    <row r="132">
      <c r="A132" s="5" t="inlineStr">
        <is>
          <t>Pivô 105</t>
        </is>
      </c>
      <c r="B132" s="7" t="inlineStr">
        <is>
          <t>P105</t>
        </is>
      </c>
      <c r="C132" s="5" t="inlineStr">
        <is>
          <t>RM3</t>
        </is>
      </c>
      <c r="D132" s="5" t="inlineStr">
        <is>
          <t>SOJA</t>
        </is>
      </c>
      <c r="E132" s="6" t="inlineStr">
        <is>
          <t>COMBATE IPRO</t>
        </is>
      </c>
      <c r="F132" s="7" t="n"/>
      <c r="G132" s="27">
        <f>IF(OR($B132="",$F132=""),"",IFERROR(INDEX(LAMINA_HORA!$C$5:$V$114,MATCH($B132,LAMINA_HORA!$A$5:$A$114,0),MATCH($F132,LAMINA_HORA!$C$3:$V$3,0)),"?"))</f>
        <v/>
      </c>
      <c r="H132" s="27">
        <f>IF(OR($B132="",$F132=""),"",IFERROR(INDEX(LAMINA_HORA!$W$5:$AP$114,MATCH($B132,LAMINA_HORA!$A$5:$A$114,0),MATCH($F132,LAMINA_HORA!$W$3:$AP$3,0)),"?"))</f>
        <v/>
      </c>
      <c r="I132" s="15" t="n">
        <v>100</v>
      </c>
      <c r="J132" s="16">
        <f>IF(OR($G132="",$G132="?",$I132=""),"",$G132*$I132*10)</f>
        <v/>
      </c>
      <c r="K132" s="17" t="n">
        <v>0.583</v>
      </c>
      <c r="L132" s="16">
        <f>IF(OR($J132="",$K132=""),"",$J132*$K132)</f>
        <v/>
      </c>
    </row>
    <row r="133">
      <c r="A133" s="5" t="inlineStr">
        <is>
          <t>Pivô 106</t>
        </is>
      </c>
      <c r="B133" s="7" t="inlineStr">
        <is>
          <t>P106</t>
        </is>
      </c>
      <c r="C133" s="5" t="inlineStr">
        <is>
          <t>RM2</t>
        </is>
      </c>
      <c r="D133" s="5" t="inlineStr">
        <is>
          <t>SOJA</t>
        </is>
      </c>
      <c r="E133" s="6" t="inlineStr">
        <is>
          <t>NEO 761 I2X</t>
        </is>
      </c>
      <c r="F133" s="7" t="n"/>
      <c r="G133" s="27">
        <f>IF(OR($B133="",$F133=""),"",IFERROR(INDEX(LAMINA_HORA!$C$5:$V$114,MATCH($B133,LAMINA_HORA!$A$5:$A$114,0),MATCH($F133,LAMINA_HORA!$C$3:$V$3,0)),"?"))</f>
        <v/>
      </c>
      <c r="H133" s="27">
        <f>IF(OR($B133="",$F133=""),"",IFERROR(INDEX(LAMINA_HORA!$W$5:$AP$114,MATCH($B133,LAMINA_HORA!$A$5:$A$114,0),MATCH($F133,LAMINA_HORA!$W$3:$AP$3,0)),"?"))</f>
        <v/>
      </c>
      <c r="I133" s="15" t="n">
        <v>100</v>
      </c>
      <c r="J133" s="16">
        <f>IF(OR($G133="",$G133="?",$I133=""),"",$G133*$I133*10)</f>
        <v/>
      </c>
      <c r="K133" s="17" t="n">
        <v>0.583</v>
      </c>
      <c r="L133" s="16">
        <f>IF(OR($J133="",$K133=""),"",$J133*$K133)</f>
        <v/>
      </c>
    </row>
    <row r="134">
      <c r="A134" s="5" t="inlineStr">
        <is>
          <t>Pivô 107</t>
        </is>
      </c>
      <c r="B134" s="7" t="inlineStr">
        <is>
          <t>P107</t>
        </is>
      </c>
      <c r="C134" s="5" t="inlineStr">
        <is>
          <t>RM3</t>
        </is>
      </c>
      <c r="D134" s="5" t="inlineStr">
        <is>
          <t>SOJA</t>
        </is>
      </c>
      <c r="E134" s="6" t="inlineStr">
        <is>
          <t>NEO 761 I2X</t>
        </is>
      </c>
      <c r="F134" s="7" t="n"/>
      <c r="G134" s="27">
        <f>IF(OR($B134="",$F134=""),"",IFERROR(INDEX(LAMINA_HORA!$C$5:$V$114,MATCH($B134,LAMINA_HORA!$A$5:$A$114,0),MATCH($F134,LAMINA_HORA!$C$3:$V$3,0)),"?"))</f>
        <v/>
      </c>
      <c r="H134" s="27">
        <f>IF(OR($B134="",$F134=""),"",IFERROR(INDEX(LAMINA_HORA!$W$5:$AP$114,MATCH($B134,LAMINA_HORA!$A$5:$A$114,0),MATCH($F134,LAMINA_HORA!$W$3:$AP$3,0)),"?"))</f>
        <v/>
      </c>
      <c r="I134" s="15" t="n">
        <v>100</v>
      </c>
      <c r="J134" s="16">
        <f>IF(OR($G134="",$G134="?",$I134=""),"",$G134*$I134*10)</f>
        <v/>
      </c>
      <c r="K134" s="17" t="n">
        <v>0.621</v>
      </c>
      <c r="L134" s="16">
        <f>IF(OR($J134="",$K134=""),"",$J134*$K134)</f>
        <v/>
      </c>
    </row>
    <row r="135">
      <c r="A135" s="5" t="inlineStr">
        <is>
          <t>Pivô 108</t>
        </is>
      </c>
      <c r="B135" s="7" t="inlineStr">
        <is>
          <t>P108</t>
        </is>
      </c>
      <c r="C135" s="5" t="inlineStr">
        <is>
          <t>RM2</t>
        </is>
      </c>
      <c r="D135" s="5" t="inlineStr">
        <is>
          <t>ALGODÃO</t>
        </is>
      </c>
      <c r="E135" s="6" t="inlineStr">
        <is>
          <t>IMA 5901 B2RF</t>
        </is>
      </c>
      <c r="F135" s="7" t="n"/>
      <c r="G135" s="27">
        <f>IF(OR($B135="",$F135=""),"",IFERROR(INDEX(LAMINA_HORA!$C$5:$V$114,MATCH($B135,LAMINA_HORA!$A$5:$A$114,0),MATCH($F135,LAMINA_HORA!$C$3:$V$3,0)),"?"))</f>
        <v/>
      </c>
      <c r="H135" s="27">
        <f>IF(OR($B135="",$F135=""),"",IFERROR(INDEX(LAMINA_HORA!$W$5:$AP$114,MATCH($B135,LAMINA_HORA!$A$5:$A$114,0),MATCH($F135,LAMINA_HORA!$W$3:$AP$3,0)),"?"))</f>
        <v/>
      </c>
      <c r="I135" s="15" t="n">
        <v>100</v>
      </c>
      <c r="J135" s="16">
        <f>IF(OR($G135="",$G135="?",$I135=""),"",$G135*$I135*10)</f>
        <v/>
      </c>
      <c r="K135" s="17" t="n">
        <v>0.583</v>
      </c>
      <c r="L135" s="16">
        <f>IF(OR($J135="",$K135=""),"",$J135*$K135)</f>
        <v/>
      </c>
    </row>
    <row r="136">
      <c r="A136" s="5" t="inlineStr">
        <is>
          <t>Pivô 109</t>
        </is>
      </c>
      <c r="B136" s="7" t="inlineStr">
        <is>
          <t>P109</t>
        </is>
      </c>
      <c r="C136" s="5" t="inlineStr">
        <is>
          <t>RM1</t>
        </is>
      </c>
      <c r="D136" s="5" t="inlineStr">
        <is>
          <t>SOJA</t>
        </is>
      </c>
      <c r="E136" s="6" t="inlineStr">
        <is>
          <t>NEO 690 I2X</t>
        </is>
      </c>
      <c r="F136" s="7" t="n"/>
      <c r="G136" s="27">
        <f>IF(OR($B136="",$F136=""),"",IFERROR(INDEX(LAMINA_HORA!$C$5:$V$114,MATCH($B136,LAMINA_HORA!$A$5:$A$114,0),MATCH($F136,LAMINA_HORA!$C$3:$V$3,0)),"?"))</f>
        <v/>
      </c>
      <c r="H136" s="27">
        <f>IF(OR($B136="",$F136=""),"",IFERROR(INDEX(LAMINA_HORA!$W$5:$AP$114,MATCH($B136,LAMINA_HORA!$A$5:$A$114,0),MATCH($F136,LAMINA_HORA!$W$3:$AP$3,0)),"?"))</f>
        <v/>
      </c>
      <c r="I136" s="15" t="n">
        <v>100</v>
      </c>
      <c r="J136" s="16">
        <f>IF(OR($G136="",$G136="?",$I136=""),"",$G136*$I136*10)</f>
        <v/>
      </c>
      <c r="K136" s="17" t="n">
        <v>0.621</v>
      </c>
      <c r="L136" s="16">
        <f>IF(OR($J136="",$K136=""),"",$J136*$K136)</f>
        <v/>
      </c>
    </row>
    <row r="137">
      <c r="A137" s="5" t="inlineStr">
        <is>
          <t>Pivô 110</t>
        </is>
      </c>
      <c r="B137" s="7" t="inlineStr">
        <is>
          <t>P110</t>
        </is>
      </c>
      <c r="C137" s="5" t="inlineStr">
        <is>
          <t>RM4</t>
        </is>
      </c>
      <c r="D137" s="5" t="inlineStr">
        <is>
          <t>SOJA</t>
        </is>
      </c>
      <c r="E137" s="6" t="inlineStr">
        <is>
          <t>NEO 690 I2X</t>
        </is>
      </c>
      <c r="F137" s="7" t="n"/>
      <c r="G137" s="27">
        <f>IF(OR($B137="",$F137=""),"",IFERROR(INDEX(LAMINA_HORA!$C$5:$V$114,MATCH($B137,LAMINA_HORA!$A$5:$A$114,0),MATCH($F137,LAMINA_HORA!$C$3:$V$3,0)),"?"))</f>
        <v/>
      </c>
      <c r="H137" s="27">
        <f>IF(OR($B137="",$F137=""),"",IFERROR(INDEX(LAMINA_HORA!$W$5:$AP$114,MATCH($B137,LAMINA_HORA!$A$5:$A$114,0),MATCH($F137,LAMINA_HORA!$W$3:$AP$3,0)),"?"))</f>
        <v/>
      </c>
      <c r="I137" s="15" t="n">
        <v>100</v>
      </c>
      <c r="J137" s="16">
        <f>IF(OR($G137="",$G137="?",$I137=""),"",$G137*$I137*10)</f>
        <v/>
      </c>
      <c r="K137" s="17" t="n">
        <v>0.622</v>
      </c>
      <c r="L137" s="16">
        <f>IF(OR($J137="",$K137=""),"",$J137*$K137)</f>
        <v/>
      </c>
    </row>
    <row r="138">
      <c r="A138" s="5" t="inlineStr">
        <is>
          <t>Pivô 112</t>
        </is>
      </c>
      <c r="B138" s="7" t="inlineStr">
        <is>
          <t>P112</t>
        </is>
      </c>
      <c r="C138" s="5" t="inlineStr">
        <is>
          <t>RM5</t>
        </is>
      </c>
      <c r="D138" s="5" t="inlineStr">
        <is>
          <t>SOJA</t>
        </is>
      </c>
      <c r="E138" s="6" t="inlineStr">
        <is>
          <t>NEO 761 I2X</t>
        </is>
      </c>
      <c r="F138" s="7" t="n"/>
      <c r="G138" s="27">
        <f>IF(OR($B138="",$F138=""),"",IFERROR(INDEX(LAMINA_HORA!$C$5:$V$114,MATCH($B138,LAMINA_HORA!$A$5:$A$114,0),MATCH($F138,LAMINA_HORA!$C$3:$V$3,0)),"?"))</f>
        <v/>
      </c>
      <c r="H138" s="27">
        <f>IF(OR($B138="",$F138=""),"",IFERROR(INDEX(LAMINA_HORA!$W$5:$AP$114,MATCH($B138,LAMINA_HORA!$A$5:$A$114,0),MATCH($F138,LAMINA_HORA!$W$3:$AP$3,0)),"?"))</f>
        <v/>
      </c>
      <c r="I138" s="15" t="n">
        <v>150</v>
      </c>
      <c r="J138" s="16">
        <f>IF(OR($G138="",$G138="?",$I138=""),"",$G138*$I138*10)</f>
        <v/>
      </c>
      <c r="K138" s="17" t="n">
        <v>0.698</v>
      </c>
      <c r="L138" s="16">
        <f>IF(OR($J138="",$K138=""),"",$J138*$K138)</f>
        <v/>
      </c>
    </row>
    <row r="139">
      <c r="A139" s="5" t="inlineStr">
        <is>
          <t>Pivô 113</t>
        </is>
      </c>
      <c r="B139" s="7" t="inlineStr">
        <is>
          <t>P113</t>
        </is>
      </c>
      <c r="C139" s="5" t="inlineStr">
        <is>
          <t>RM5</t>
        </is>
      </c>
      <c r="D139" s="5" t="inlineStr">
        <is>
          <t>SOJA</t>
        </is>
      </c>
      <c r="E139" s="6" t="inlineStr">
        <is>
          <t>NEO 761 I2X</t>
        </is>
      </c>
      <c r="F139" s="7" t="n"/>
      <c r="G139" s="27">
        <f>IF(OR($B139="",$F139=""),"",IFERROR(INDEX(LAMINA_HORA!$C$5:$V$114,MATCH($B139,LAMINA_HORA!$A$5:$A$114,0),MATCH($F139,LAMINA_HORA!$C$3:$V$3,0)),"?"))</f>
        <v/>
      </c>
      <c r="H139" s="27">
        <f>IF(OR($B139="",$F139=""),"",IFERROR(INDEX(LAMINA_HORA!$W$5:$AP$114,MATCH($B139,LAMINA_HORA!$A$5:$A$114,0),MATCH($F139,LAMINA_HORA!$W$3:$AP$3,0)),"?"))</f>
        <v/>
      </c>
      <c r="I139" s="15" t="n">
        <v>150</v>
      </c>
      <c r="J139" s="16">
        <f>IF(OR($G139="",$G139="?",$I139=""),"",$G139*$I139*10)</f>
        <v/>
      </c>
      <c r="K139" s="17" t="n">
        <v>0.698</v>
      </c>
      <c r="L139" s="16">
        <f>IF(OR($J139="",$K139=""),"",$J139*$K139)</f>
        <v/>
      </c>
    </row>
    <row r="140">
      <c r="A140" s="5" t="inlineStr">
        <is>
          <t>Pivô 114</t>
        </is>
      </c>
      <c r="B140" s="7" t="inlineStr">
        <is>
          <t>P114</t>
        </is>
      </c>
      <c r="C140" s="5" t="inlineStr">
        <is>
          <t>RM5</t>
        </is>
      </c>
      <c r="D140" s="5" t="inlineStr">
        <is>
          <t>ALGODÃO</t>
        </is>
      </c>
      <c r="E140" s="6" t="inlineStr">
        <is>
          <t>FM 974 GLT</t>
        </is>
      </c>
      <c r="F140" s="7" t="n"/>
      <c r="G140" s="27">
        <f>IF(OR($B140="",$F140=""),"",IFERROR(INDEX(LAMINA_HORA!$C$5:$V$114,MATCH($B140,LAMINA_HORA!$A$5:$A$114,0),MATCH($F140,LAMINA_HORA!$C$3:$V$3,0)),"?"))</f>
        <v/>
      </c>
      <c r="H140" s="27">
        <f>IF(OR($B140="",$F140=""),"",IFERROR(INDEX(LAMINA_HORA!$W$5:$AP$114,MATCH($B140,LAMINA_HORA!$A$5:$A$114,0),MATCH($F140,LAMINA_HORA!$W$3:$AP$3,0)),"?"))</f>
        <v/>
      </c>
      <c r="I140" s="15" t="n">
        <v>120</v>
      </c>
      <c r="J140" s="16">
        <f>IF(OR($G140="",$G140="?",$I140=""),"",$G140*$I140*10)</f>
        <v/>
      </c>
      <c r="K140" s="17" t="n">
        <v>0.711</v>
      </c>
      <c r="L140" s="16">
        <f>IF(OR($J140="",$K140=""),"",$J140*$K140)</f>
        <v/>
      </c>
    </row>
    <row r="141">
      <c r="A141" s="5" t="inlineStr">
        <is>
          <t>Pivô 115</t>
        </is>
      </c>
      <c r="B141" s="7" t="inlineStr">
        <is>
          <t>P115</t>
        </is>
      </c>
      <c r="C141" s="5" t="inlineStr">
        <is>
          <t>RM5</t>
        </is>
      </c>
      <c r="D141" s="5" t="inlineStr">
        <is>
          <t>ALGODÃO</t>
        </is>
      </c>
      <c r="E141" s="6" t="inlineStr">
        <is>
          <t>IMA 5901 B2RF</t>
        </is>
      </c>
      <c r="F141" s="7" t="n"/>
      <c r="G141" s="27">
        <f>IF(OR($B141="",$F141=""),"",IFERROR(INDEX(LAMINA_HORA!$C$5:$V$114,MATCH($B141,LAMINA_HORA!$A$5:$A$114,0),MATCH($F141,LAMINA_HORA!$C$3:$V$3,0)),"?"))</f>
        <v/>
      </c>
      <c r="H141" s="27">
        <f>IF(OR($B141="",$F141=""),"",IFERROR(INDEX(LAMINA_HORA!$W$5:$AP$114,MATCH($B141,LAMINA_HORA!$A$5:$A$114,0),MATCH($F141,LAMINA_HORA!$W$3:$AP$3,0)),"?"))</f>
        <v/>
      </c>
      <c r="I141" s="15" t="n">
        <v>150</v>
      </c>
      <c r="J141" s="16">
        <f>IF(OR($G141="",$G141="?",$I141=""),"",$G141*$I141*10)</f>
        <v/>
      </c>
      <c r="K141" s="17" t="n">
        <v>0.698</v>
      </c>
      <c r="L141" s="16">
        <f>IF(OR($J141="",$K141=""),"",$J141*$K141)</f>
        <v/>
      </c>
    </row>
    <row r="142">
      <c r="A142" s="5" t="inlineStr">
        <is>
          <t>Pivô 116</t>
        </is>
      </c>
      <c r="B142" s="7" t="inlineStr">
        <is>
          <t>P116</t>
        </is>
      </c>
      <c r="C142" s="5" t="inlineStr">
        <is>
          <t>RM6</t>
        </is>
      </c>
      <c r="D142" s="5" t="inlineStr">
        <is>
          <t>ALGODÃO</t>
        </is>
      </c>
      <c r="E142" s="6" t="inlineStr">
        <is>
          <t>FM 974 GLT</t>
        </is>
      </c>
      <c r="F142" s="7" t="n"/>
      <c r="G142" s="27">
        <f>IF(OR($B142="",$F142=""),"",IFERROR(INDEX(LAMINA_HORA!$C$5:$V$114,MATCH($B142,LAMINA_HORA!$A$5:$A$114,0),MATCH($F142,LAMINA_HORA!$C$3:$V$3,0)),"?"))</f>
        <v/>
      </c>
      <c r="H142" s="27">
        <f>IF(OR($B142="",$F142=""),"",IFERROR(INDEX(LAMINA_HORA!$W$5:$AP$114,MATCH($B142,LAMINA_HORA!$A$5:$A$114,0),MATCH($F142,LAMINA_HORA!$W$3:$AP$3,0)),"?"))</f>
        <v/>
      </c>
      <c r="I142" s="15" t="n">
        <v>150</v>
      </c>
      <c r="J142" s="16">
        <f>IF(OR($G142="",$G142="?",$I142=""),"",$G142*$I142*10)</f>
        <v/>
      </c>
      <c r="K142" s="17" t="n">
        <v>0.702</v>
      </c>
      <c r="L142" s="16">
        <f>IF(OR($J142="",$K142=""),"",$J142*$K142)</f>
        <v/>
      </c>
    </row>
    <row r="143">
      <c r="A143" s="5" t="inlineStr">
        <is>
          <t>Pivô 117</t>
        </is>
      </c>
      <c r="B143" s="7" t="inlineStr">
        <is>
          <t>P117</t>
        </is>
      </c>
      <c r="C143" s="5" t="inlineStr">
        <is>
          <t>RM6</t>
        </is>
      </c>
      <c r="D143" s="5" t="inlineStr">
        <is>
          <t>ALGODÃO</t>
        </is>
      </c>
      <c r="E143" s="6" t="inlineStr">
        <is>
          <t>IMA 5901 B2RF</t>
        </is>
      </c>
      <c r="F143" s="7" t="n"/>
      <c r="G143" s="27">
        <f>IF(OR($B143="",$F143=""),"",IFERROR(INDEX(LAMINA_HORA!$C$5:$V$114,MATCH($B143,LAMINA_HORA!$A$5:$A$114,0),MATCH($F143,LAMINA_HORA!$C$3:$V$3,0)),"?"))</f>
        <v/>
      </c>
      <c r="H143" s="27">
        <f>IF(OR($B143="",$F143=""),"",IFERROR(INDEX(LAMINA_HORA!$W$5:$AP$114,MATCH($B143,LAMINA_HORA!$A$5:$A$114,0),MATCH($F143,LAMINA_HORA!$W$3:$AP$3,0)),"?"))</f>
        <v/>
      </c>
      <c r="I143" s="15" t="n">
        <v>150</v>
      </c>
      <c r="J143" s="16">
        <f>IF(OR($G143="",$G143="?",$I143=""),"",$G143*$I143*10)</f>
        <v/>
      </c>
      <c r="K143" s="17" t="n">
        <v>0.698</v>
      </c>
      <c r="L143" s="16">
        <f>IF(OR($J143="",$K143=""),"",$J143*$K143)</f>
        <v/>
      </c>
    </row>
    <row r="144">
      <c r="A144" s="5" t="inlineStr">
        <is>
          <t>Pivô 118</t>
        </is>
      </c>
      <c r="B144" s="7" t="inlineStr">
        <is>
          <t>P118</t>
        </is>
      </c>
      <c r="C144" s="5" t="inlineStr">
        <is>
          <t>RM6</t>
        </is>
      </c>
      <c r="D144" s="5" t="inlineStr">
        <is>
          <t>TABACO</t>
        </is>
      </c>
      <c r="E144" s="6" t="inlineStr">
        <is>
          <t>PVH-2343</t>
        </is>
      </c>
      <c r="F144" s="7" t="n"/>
      <c r="G144" s="27">
        <f>IF(OR($B144="",$F144=""),"",IFERROR(INDEX(LAMINA_HORA!$C$5:$V$114,MATCH($B144,LAMINA_HORA!$A$5:$A$114,0),MATCH($F144,LAMINA_HORA!$C$3:$V$3,0)),"?"))</f>
        <v/>
      </c>
      <c r="H144" s="27">
        <f>IF(OR($B144="",$F144=""),"",IFERROR(INDEX(LAMINA_HORA!$W$5:$AP$114,MATCH($B144,LAMINA_HORA!$A$5:$A$114,0),MATCH($F144,LAMINA_HORA!$W$3:$AP$3,0)),"?"))</f>
        <v/>
      </c>
      <c r="I144" s="15" t="n">
        <v>147</v>
      </c>
      <c r="J144" s="16">
        <f>IF(OR($G144="",$G144="?",$I144=""),"",$G144*$I144*10)</f>
        <v/>
      </c>
      <c r="K144" s="17" t="n">
        <v>0.703</v>
      </c>
      <c r="L144" s="16">
        <f>IF(OR($J144="",$K144=""),"",$J144*$K144)</f>
        <v/>
      </c>
    </row>
    <row r="145">
      <c r="A145" s="5" t="inlineStr">
        <is>
          <t>Pivô 119</t>
        </is>
      </c>
      <c r="B145" s="7" t="inlineStr">
        <is>
          <t>P119</t>
        </is>
      </c>
      <c r="C145" s="5" t="inlineStr">
        <is>
          <t>RM6</t>
        </is>
      </c>
      <c r="D145" s="5" t="inlineStr">
        <is>
          <t>TABACO</t>
        </is>
      </c>
      <c r="E145" s="6" t="inlineStr">
        <is>
          <t>PVH-2343</t>
        </is>
      </c>
      <c r="F145" s="7" t="n"/>
      <c r="G145" s="27">
        <f>IF(OR($B145="",$F145=""),"",IFERROR(INDEX(LAMINA_HORA!$C$5:$V$114,MATCH($B145,LAMINA_HORA!$A$5:$A$114,0),MATCH($F145,LAMINA_HORA!$C$3:$V$3,0)),"?"))</f>
        <v/>
      </c>
      <c r="H145" s="27">
        <f>IF(OR($B145="",$F145=""),"",IFERROR(INDEX(LAMINA_HORA!$W$5:$AP$114,MATCH($B145,LAMINA_HORA!$A$5:$A$114,0),MATCH($F145,LAMINA_HORA!$W$3:$AP$3,0)),"?"))</f>
        <v/>
      </c>
      <c r="I145" s="15" t="n">
        <v>150</v>
      </c>
      <c r="J145" s="16">
        <f>IF(OR($G145="",$G145="?",$I145=""),"",$G145*$I145*10)</f>
        <v/>
      </c>
      <c r="K145" s="17" t="n">
        <v>0.724</v>
      </c>
      <c r="L145" s="16">
        <f>IF(OR($J145="",$K145=""),"",$J145*$K145)</f>
        <v/>
      </c>
    </row>
    <row r="146">
      <c r="A146" s="5" t="inlineStr">
        <is>
          <t>Pivô 120</t>
        </is>
      </c>
      <c r="B146" s="7" t="inlineStr">
        <is>
          <t>P120</t>
        </is>
      </c>
      <c r="C146" s="5" t="inlineStr">
        <is>
          <t>RM7</t>
        </is>
      </c>
      <c r="D146" s="5" t="inlineStr">
        <is>
          <t>TABACO</t>
        </is>
      </c>
      <c r="E146" s="6" t="inlineStr">
        <is>
          <t>PVH-2343</t>
        </is>
      </c>
      <c r="F146" s="7" t="n"/>
      <c r="G146" s="27">
        <f>IF(OR($B146="",$F146=""),"",IFERROR(INDEX(LAMINA_HORA!$C$5:$V$114,MATCH($B146,LAMINA_HORA!$A$5:$A$114,0),MATCH($F146,LAMINA_HORA!$C$3:$V$3,0)),"?"))</f>
        <v/>
      </c>
      <c r="H146" s="27">
        <f>IF(OR($B146="",$F146=""),"",IFERROR(INDEX(LAMINA_HORA!$W$5:$AP$114,MATCH($B146,LAMINA_HORA!$A$5:$A$114,0),MATCH($F146,LAMINA_HORA!$W$3:$AP$3,0)),"?"))</f>
        <v/>
      </c>
      <c r="I146" s="15" t="n">
        <v>147</v>
      </c>
      <c r="J146" s="16">
        <f>IF(OR($G146="",$G146="?",$I146=""),"",$G146*$I146*10)</f>
        <v/>
      </c>
      <c r="K146" s="17" t="n">
        <v>0.724</v>
      </c>
      <c r="L146" s="16">
        <f>IF(OR($J146="",$K146=""),"",$J146*$K146)</f>
        <v/>
      </c>
    </row>
    <row r="147">
      <c r="A147" s="5" t="inlineStr">
        <is>
          <t>Pivô 121</t>
        </is>
      </c>
      <c r="B147" s="7" t="inlineStr">
        <is>
          <t>P121</t>
        </is>
      </c>
      <c r="C147" s="5" t="inlineStr">
        <is>
          <t>RM7</t>
        </is>
      </c>
      <c r="D147" s="5" t="inlineStr">
        <is>
          <t>SOJA</t>
        </is>
      </c>
      <c r="E147" s="6" t="inlineStr">
        <is>
          <t>BMX Olimpo IPRO</t>
        </is>
      </c>
      <c r="F147" s="7" t="n"/>
      <c r="G147" s="27">
        <f>IF(OR($B147="",$F147=""),"",IFERROR(INDEX(LAMINA_HORA!$C$5:$V$114,MATCH($B147,LAMINA_HORA!$A$5:$A$114,0),MATCH($F147,LAMINA_HORA!$C$3:$V$3,0)),"?"))</f>
        <v/>
      </c>
      <c r="H147" s="27">
        <f>IF(OR($B147="",$F147=""),"",IFERROR(INDEX(LAMINA_HORA!$W$5:$AP$114,MATCH($B147,LAMINA_HORA!$A$5:$A$114,0),MATCH($F147,LAMINA_HORA!$W$3:$AP$3,0)),"?"))</f>
        <v/>
      </c>
      <c r="I147" s="15" t="n">
        <v>145</v>
      </c>
      <c r="J147" s="16">
        <f>IF(OR($G147="",$G147="?",$I147=""),"",$G147*$I147*10)</f>
        <v/>
      </c>
      <c r="K147" s="17" t="n">
        <v>0.698</v>
      </c>
      <c r="L147" s="16">
        <f>IF(OR($J147="",$K147=""),"",$J147*$K147)</f>
        <v/>
      </c>
    </row>
    <row r="148">
      <c r="A148" s="5" t="inlineStr">
        <is>
          <t>Pivô 122</t>
        </is>
      </c>
      <c r="B148" s="7" t="inlineStr">
        <is>
          <t>P122</t>
        </is>
      </c>
      <c r="C148" s="5" t="inlineStr">
        <is>
          <t>RM7</t>
        </is>
      </c>
      <c r="D148" s="5" t="inlineStr">
        <is>
          <t>SOJA</t>
        </is>
      </c>
      <c r="E148" s="6" t="inlineStr">
        <is>
          <t>NEO 761 I2X</t>
        </is>
      </c>
      <c r="F148" s="7" t="n"/>
      <c r="G148" s="27">
        <f>IF(OR($B148="",$F148=""),"",IFERROR(INDEX(LAMINA_HORA!$C$5:$V$114,MATCH($B148,LAMINA_HORA!$A$5:$A$114,0),MATCH($F148,LAMINA_HORA!$C$3:$V$3,0)),"?"))</f>
        <v/>
      </c>
      <c r="H148" s="27">
        <f>IF(OR($B148="",$F148=""),"",IFERROR(INDEX(LAMINA_HORA!$W$5:$AP$114,MATCH($B148,LAMINA_HORA!$A$5:$A$114,0),MATCH($F148,LAMINA_HORA!$W$3:$AP$3,0)),"?"))</f>
        <v/>
      </c>
      <c r="I148" s="15" t="n">
        <v>150</v>
      </c>
      <c r="J148" s="16">
        <f>IF(OR($G148="",$G148="?",$I148=""),"",$G148*$I148*10)</f>
        <v/>
      </c>
      <c r="K148" s="17" t="n">
        <v>0.724</v>
      </c>
      <c r="L148" s="16">
        <f>IF(OR($J148="",$K148=""),"",$J148*$K148)</f>
        <v/>
      </c>
    </row>
    <row r="149">
      <c r="A149" s="5" t="inlineStr">
        <is>
          <t>Pivô 123</t>
        </is>
      </c>
      <c r="B149" s="7" t="inlineStr">
        <is>
          <t>P123</t>
        </is>
      </c>
      <c r="C149" s="5" t="inlineStr">
        <is>
          <t>RM7</t>
        </is>
      </c>
      <c r="D149" s="5" t="inlineStr">
        <is>
          <t>SOJA</t>
        </is>
      </c>
      <c r="E149" s="6" t="inlineStr">
        <is>
          <t>NEO 761 I2X</t>
        </is>
      </c>
      <c r="F149" s="7" t="n"/>
      <c r="G149" s="27">
        <f>IF(OR($B149="",$F149=""),"",IFERROR(INDEX(LAMINA_HORA!$C$5:$V$114,MATCH($B149,LAMINA_HORA!$A$5:$A$114,0),MATCH($F149,LAMINA_HORA!$C$3:$V$3,0)),"?"))</f>
        <v/>
      </c>
      <c r="H149" s="27">
        <f>IF(OR($B149="",$F149=""),"",IFERROR(INDEX(LAMINA_HORA!$W$5:$AP$114,MATCH($B149,LAMINA_HORA!$A$5:$A$114,0),MATCH($F149,LAMINA_HORA!$W$3:$AP$3,0)),"?"))</f>
        <v/>
      </c>
      <c r="I149" s="15" t="n">
        <v>148</v>
      </c>
      <c r="J149" s="16">
        <f>IF(OR($G149="",$G149="?",$I149=""),"",$G149*$I149*10)</f>
        <v/>
      </c>
      <c r="K149" s="17" t="n">
        <v>0.698</v>
      </c>
      <c r="L149" s="16">
        <f>IF(OR($J149="",$K149=""),"",$J149*$K149)</f>
        <v/>
      </c>
    </row>
    <row r="150">
      <c r="A150" s="5" t="inlineStr">
        <is>
          <t>Pivô 124</t>
        </is>
      </c>
      <c r="B150" s="7" t="inlineStr">
        <is>
          <t>P124</t>
        </is>
      </c>
      <c r="C150" s="5" t="inlineStr">
        <is>
          <t>RM7</t>
        </is>
      </c>
      <c r="D150" s="5" t="inlineStr">
        <is>
          <t>SOJA</t>
        </is>
      </c>
      <c r="E150" s="6" t="inlineStr">
        <is>
          <t>BMX Olimpo IPRO</t>
        </is>
      </c>
      <c r="F150" s="7" t="n"/>
      <c r="G150" s="27">
        <f>IF(OR($B150="",$F150=""),"",IFERROR(INDEX(LAMINA_HORA!$C$5:$V$114,MATCH($B150,LAMINA_HORA!$A$5:$A$114,0),MATCH($F150,LAMINA_HORA!$C$3:$V$3,0)),"?"))</f>
        <v/>
      </c>
      <c r="H150" s="27">
        <f>IF(OR($B150="",$F150=""),"",IFERROR(INDEX(LAMINA_HORA!$W$5:$AP$114,MATCH($B150,LAMINA_HORA!$A$5:$A$114,0),MATCH($F150,LAMINA_HORA!$W$3:$AP$3,0)),"?"))</f>
        <v/>
      </c>
      <c r="I150" s="15" t="n">
        <v>150</v>
      </c>
      <c r="J150" s="16">
        <f>IF(OR($G150="",$G150="?",$I150=""),"",$G150*$I150*10)</f>
        <v/>
      </c>
      <c r="K150" s="17" t="n">
        <v>0.702</v>
      </c>
      <c r="L150" s="16">
        <f>IF(OR($J150="",$K150=""),"",$J150*$K150)</f>
        <v/>
      </c>
    </row>
    <row r="151">
      <c r="A151" s="5" t="inlineStr">
        <is>
          <t>Pivô 125</t>
        </is>
      </c>
      <c r="B151" s="7" t="inlineStr">
        <is>
          <t>P125</t>
        </is>
      </c>
      <c r="C151" s="5" t="inlineStr">
        <is>
          <t>RM7</t>
        </is>
      </c>
      <c r="D151" s="5" t="inlineStr">
        <is>
          <t>ALGODÃO</t>
        </is>
      </c>
      <c r="E151" s="6" t="inlineStr">
        <is>
          <t>FM 974 GLT</t>
        </is>
      </c>
      <c r="F151" s="7" t="n"/>
      <c r="G151" s="27">
        <f>IF(OR($B151="",$F151=""),"",IFERROR(INDEX(LAMINA_HORA!$C$5:$V$114,MATCH($B151,LAMINA_HORA!$A$5:$A$114,0),MATCH($F151,LAMINA_HORA!$C$3:$V$3,0)),"?"))</f>
        <v/>
      </c>
      <c r="H151" s="27">
        <f>IF(OR($B151="",$F151=""),"",IFERROR(INDEX(LAMINA_HORA!$W$5:$AP$114,MATCH($B151,LAMINA_HORA!$A$5:$A$114,0),MATCH($F151,LAMINA_HORA!$W$3:$AP$3,0)),"?"))</f>
        <v/>
      </c>
      <c r="I151" s="15" t="n">
        <v>100</v>
      </c>
      <c r="J151" s="16">
        <f>IF(OR($G151="",$G151="?",$I151=""),"",$G151*$I151*10)</f>
        <v/>
      </c>
      <c r="K151" s="17" t="n">
        <v>0.787</v>
      </c>
      <c r="L151" s="16">
        <f>IF(OR($J151="",$K151=""),"",$J151*$K151)</f>
        <v/>
      </c>
    </row>
    <row r="152">
      <c r="A152" s="5" t="inlineStr">
        <is>
          <t>Pivô 126</t>
        </is>
      </c>
      <c r="B152" s="7" t="inlineStr">
        <is>
          <t>P126</t>
        </is>
      </c>
      <c r="C152" s="5" t="inlineStr">
        <is>
          <t>RM7</t>
        </is>
      </c>
      <c r="D152" s="5" t="inlineStr">
        <is>
          <t>TABACO</t>
        </is>
      </c>
      <c r="E152" s="6" t="inlineStr">
        <is>
          <t>PVH-2343</t>
        </is>
      </c>
      <c r="F152" s="7" t="n"/>
      <c r="G152" s="27">
        <f>IF(OR($B152="",$F152=""),"",IFERROR(INDEX(LAMINA_HORA!$C$5:$V$114,MATCH($B152,LAMINA_HORA!$A$5:$A$114,0),MATCH($F152,LAMINA_HORA!$C$3:$V$3,0)),"?"))</f>
        <v/>
      </c>
      <c r="H152" s="27">
        <f>IF(OR($B152="",$F152=""),"",IFERROR(INDEX(LAMINA_HORA!$W$5:$AP$114,MATCH($B152,LAMINA_HORA!$A$5:$A$114,0),MATCH($F152,LAMINA_HORA!$W$3:$AP$3,0)),"?"))</f>
        <v/>
      </c>
      <c r="I152" s="15" t="n">
        <v>140</v>
      </c>
      <c r="J152" s="16">
        <f>IF(OR($G152="",$G152="?",$I152=""),"",$G152*$I152*10)</f>
        <v/>
      </c>
      <c r="K152" s="17" t="n">
        <v>0.711</v>
      </c>
      <c r="L152" s="16">
        <f>IF(OR($J152="",$K152=""),"",$J152*$K152)</f>
        <v/>
      </c>
    </row>
    <row r="153">
      <c r="A153" s="5" t="inlineStr">
        <is>
          <t>Pivô 127</t>
        </is>
      </c>
      <c r="B153" s="7" t="inlineStr">
        <is>
          <t>P127</t>
        </is>
      </c>
      <c r="C153" s="5" t="inlineStr">
        <is>
          <t>RM7</t>
        </is>
      </c>
      <c r="D153" s="5" t="inlineStr">
        <is>
          <t>SOJA</t>
        </is>
      </c>
      <c r="E153" s="6" t="inlineStr">
        <is>
          <t>NEO 761 I2X</t>
        </is>
      </c>
      <c r="F153" s="7" t="n"/>
      <c r="G153" s="27">
        <f>IF(OR($B153="",$F153=""),"",IFERROR(INDEX(LAMINA_HORA!$C$5:$V$114,MATCH($B153,LAMINA_HORA!$A$5:$A$114,0),MATCH($F153,LAMINA_HORA!$C$3:$V$3,0)),"?"))</f>
        <v/>
      </c>
      <c r="H153" s="27">
        <f>IF(OR($B153="",$F153=""),"",IFERROR(INDEX(LAMINA_HORA!$W$5:$AP$114,MATCH($B153,LAMINA_HORA!$A$5:$A$114,0),MATCH($F153,LAMINA_HORA!$W$3:$AP$3,0)),"?"))</f>
        <v/>
      </c>
      <c r="I153" s="15" t="n">
        <v>100</v>
      </c>
      <c r="J153" s="16">
        <f>IF(OR($G153="",$G153="?",$I153=""),"",$G153*$I153*10)</f>
        <v/>
      </c>
      <c r="K153" s="17" t="n">
        <v>0.821</v>
      </c>
      <c r="L153" s="16">
        <f>IF(OR($J153="",$K153=""),"",$J153*$K153)</f>
        <v/>
      </c>
    </row>
    <row r="154">
      <c r="A154" s="5" t="inlineStr">
        <is>
          <t>Pivô 128</t>
        </is>
      </c>
      <c r="B154" s="7" t="inlineStr">
        <is>
          <t>P128</t>
        </is>
      </c>
      <c r="C154" s="5" t="inlineStr">
        <is>
          <t>RM6</t>
        </is>
      </c>
      <c r="D154" s="5" t="inlineStr">
        <is>
          <t>TABACO</t>
        </is>
      </c>
      <c r="E154" s="6" t="inlineStr">
        <is>
          <t>PVH-2343</t>
        </is>
      </c>
      <c r="F154" s="7" t="n"/>
      <c r="G154" s="27">
        <f>IF(OR($B154="",$F154=""),"",IFERROR(INDEX(LAMINA_HORA!$C$5:$V$114,MATCH($B154,LAMINA_HORA!$A$5:$A$114,0),MATCH($F154,LAMINA_HORA!$C$3:$V$3,0)),"?"))</f>
        <v/>
      </c>
      <c r="H154" s="27">
        <f>IF(OR($B154="",$F154=""),"",IFERROR(INDEX(LAMINA_HORA!$W$5:$AP$114,MATCH($B154,LAMINA_HORA!$A$5:$A$114,0),MATCH($F154,LAMINA_HORA!$W$3:$AP$3,0)),"?"))</f>
        <v/>
      </c>
      <c r="I154" s="15" t="n">
        <v>140</v>
      </c>
      <c r="J154" s="16">
        <f>IF(OR($G154="",$G154="?",$I154=""),"",$G154*$I154*10)</f>
        <v/>
      </c>
      <c r="K154" s="17" t="n">
        <v>0.711</v>
      </c>
      <c r="L154" s="16">
        <f>IF(OR($J154="",$K154=""),"",$J154*$K154)</f>
        <v/>
      </c>
    </row>
    <row r="155">
      <c r="A155" s="5" t="inlineStr">
        <is>
          <t>Pivô 129</t>
        </is>
      </c>
      <c r="B155" s="7" t="inlineStr">
        <is>
          <t>P129</t>
        </is>
      </c>
      <c r="C155" s="5" t="inlineStr">
        <is>
          <t>RM6</t>
        </is>
      </c>
      <c r="D155" s="5" t="inlineStr">
        <is>
          <t>SOJA</t>
        </is>
      </c>
      <c r="E155" s="6" t="inlineStr">
        <is>
          <t>NEO 761 I2X</t>
        </is>
      </c>
      <c r="F155" s="7" t="n"/>
      <c r="G155" s="27">
        <f>IF(OR($B155="",$F155=""),"",IFERROR(INDEX(LAMINA_HORA!$C$5:$V$114,MATCH($B155,LAMINA_HORA!$A$5:$A$114,0),MATCH($F155,LAMINA_HORA!$C$3:$V$3,0)),"?"))</f>
        <v/>
      </c>
      <c r="H155" s="27">
        <f>IF(OR($B155="",$F155=""),"",IFERROR(INDEX(LAMINA_HORA!$W$5:$AP$114,MATCH($B155,LAMINA_HORA!$A$5:$A$114,0),MATCH($F155,LAMINA_HORA!$W$3:$AP$3,0)),"?"))</f>
        <v/>
      </c>
      <c r="I155" s="15" t="n">
        <v>100</v>
      </c>
      <c r="J155" s="16">
        <f>IF(OR($G155="",$G155="?",$I155=""),"",$G155*$I155*10)</f>
        <v/>
      </c>
      <c r="K155" s="17" t="n">
        <v>0.821</v>
      </c>
      <c r="L155" s="16">
        <f>IF(OR($J155="",$K155=""),"",$J155*$K155)</f>
        <v/>
      </c>
    </row>
    <row r="156">
      <c r="A156" s="5" t="inlineStr">
        <is>
          <t>Pivô 130</t>
        </is>
      </c>
      <c r="B156" s="7" t="inlineStr">
        <is>
          <t>P130</t>
        </is>
      </c>
      <c r="C156" s="5" t="inlineStr">
        <is>
          <t>RM6</t>
        </is>
      </c>
      <c r="D156" s="5" t="inlineStr">
        <is>
          <t>ALGODÃO</t>
        </is>
      </c>
      <c r="E156" s="6" t="inlineStr">
        <is>
          <t>IMA 3764 B2RF</t>
        </is>
      </c>
      <c r="F156" s="7" t="n"/>
      <c r="G156" s="27">
        <f>IF(OR($B156="",$F156=""),"",IFERROR(INDEX(LAMINA_HORA!$C$5:$V$114,MATCH($B156,LAMINA_HORA!$A$5:$A$114,0),MATCH($F156,LAMINA_HORA!$C$3:$V$3,0)),"?"))</f>
        <v/>
      </c>
      <c r="H156" s="27">
        <f>IF(OR($B156="",$F156=""),"",IFERROR(INDEX(LAMINA_HORA!$W$5:$AP$114,MATCH($B156,LAMINA_HORA!$A$5:$A$114,0),MATCH($F156,LAMINA_HORA!$W$3:$AP$3,0)),"?"))</f>
        <v/>
      </c>
      <c r="I156" s="15" t="n">
        <v>150</v>
      </c>
      <c r="J156" s="16">
        <f>IF(OR($G156="",$G156="?",$I156=""),"",$G156*$I156*10)</f>
        <v/>
      </c>
      <c r="K156" s="17" t="n">
        <v>0.724</v>
      </c>
      <c r="L156" s="16">
        <f>IF(OR($J156="",$K156=""),"",$J156*$K156)</f>
        <v/>
      </c>
    </row>
    <row r="157">
      <c r="A157" s="5" t="inlineStr">
        <is>
          <t>Pivô 131</t>
        </is>
      </c>
      <c r="B157" s="7" t="inlineStr">
        <is>
          <t>P131</t>
        </is>
      </c>
      <c r="C157" s="5" t="inlineStr">
        <is>
          <t>RM5</t>
        </is>
      </c>
      <c r="D157" s="5" t="inlineStr">
        <is>
          <t>ALGODÃO</t>
        </is>
      </c>
      <c r="E157" s="6" t="inlineStr">
        <is>
          <t>IMA 3764 B2RF</t>
        </is>
      </c>
      <c r="F157" s="7" t="n"/>
      <c r="G157" s="27">
        <f>IF(OR($B157="",$F157=""),"",IFERROR(INDEX(LAMINA_HORA!$C$5:$V$114,MATCH($B157,LAMINA_HORA!$A$5:$A$114,0),MATCH($F157,LAMINA_HORA!$C$3:$V$3,0)),"?"))</f>
        <v/>
      </c>
      <c r="H157" s="27">
        <f>IF(OR($B157="",$F157=""),"",IFERROR(INDEX(LAMINA_HORA!$W$5:$AP$114,MATCH($B157,LAMINA_HORA!$A$5:$A$114,0),MATCH($F157,LAMINA_HORA!$W$3:$AP$3,0)),"?"))</f>
        <v/>
      </c>
      <c r="I157" s="15" t="n">
        <v>100</v>
      </c>
      <c r="J157" s="16">
        <f>IF(OR($G157="",$G157="?",$I157=""),"",$G157*$I157*10)</f>
        <v/>
      </c>
      <c r="K157" s="17" t="n">
        <v>0.711</v>
      </c>
      <c r="L157" s="16">
        <f>IF(OR($J157="",$K157=""),"",$J157*$K157)</f>
        <v/>
      </c>
    </row>
    <row r="158">
      <c r="A158" s="5" t="inlineStr">
        <is>
          <t>Pivô 132</t>
        </is>
      </c>
      <c r="B158" s="7" t="inlineStr">
        <is>
          <t>P132</t>
        </is>
      </c>
      <c r="C158" s="5" t="inlineStr">
        <is>
          <t>RM5</t>
        </is>
      </c>
      <c r="D158" s="5" t="inlineStr">
        <is>
          <t>ALGODÃO</t>
        </is>
      </c>
      <c r="E158" s="6" t="inlineStr">
        <is>
          <t>IMA 3764 B2RF</t>
        </is>
      </c>
      <c r="F158" s="7" t="n"/>
      <c r="G158" s="27">
        <f>IF(OR($B158="",$F158=""),"",IFERROR(INDEX(LAMINA_HORA!$C$5:$V$114,MATCH($B158,LAMINA_HORA!$A$5:$A$114,0),MATCH($F158,LAMINA_HORA!$C$3:$V$3,0)),"?"))</f>
        <v/>
      </c>
      <c r="H158" s="27">
        <f>IF(OR($B158="",$F158=""),"",IFERROR(INDEX(LAMINA_HORA!$W$5:$AP$114,MATCH($B158,LAMINA_HORA!$A$5:$A$114,0),MATCH($F158,LAMINA_HORA!$W$3:$AP$3,0)),"?"))</f>
        <v/>
      </c>
      <c r="I158" s="15" t="n">
        <v>100</v>
      </c>
      <c r="J158" s="16">
        <f>IF(OR($G158="",$G158="?",$I158=""),"",$G158*$I158*10)</f>
        <v/>
      </c>
      <c r="K158" s="17" t="n">
        <v>0.711</v>
      </c>
      <c r="L158" s="16">
        <f>IF(OR($J158="",$K158=""),"",$J158*$K158)</f>
        <v/>
      </c>
    </row>
    <row r="159">
      <c r="A159" s="5" t="inlineStr">
        <is>
          <t>Pivô 133</t>
        </is>
      </c>
      <c r="B159" s="7" t="inlineStr">
        <is>
          <t>P133</t>
        </is>
      </c>
      <c r="C159" s="5" t="inlineStr">
        <is>
          <t>RM7</t>
        </is>
      </c>
      <c r="D159" s="5" t="inlineStr">
        <is>
          <t>ALGODÃO</t>
        </is>
      </c>
      <c r="E159" s="6" t="inlineStr">
        <is>
          <t>FM 974 GLT</t>
        </is>
      </c>
      <c r="F159" s="7" t="n"/>
      <c r="G159" s="27">
        <f>IF(OR($B159="",$F159=""),"",IFERROR(INDEX(LAMINA_HORA!$C$5:$V$114,MATCH($B159,LAMINA_HORA!$A$5:$A$114,0),MATCH($F159,LAMINA_HORA!$C$3:$V$3,0)),"?"))</f>
        <v/>
      </c>
      <c r="H159" s="27">
        <f>IF(OR($B159="",$F159=""),"",IFERROR(INDEX(LAMINA_HORA!$W$5:$AP$114,MATCH($B159,LAMINA_HORA!$A$5:$A$114,0),MATCH($F159,LAMINA_HORA!$W$3:$AP$3,0)),"?"))</f>
        <v/>
      </c>
      <c r="I159" s="15" t="n">
        <v>100</v>
      </c>
      <c r="J159" s="16">
        <f>IF(OR($G159="",$G159="?",$I159=""),"",$G159*$I159*10)</f>
        <v/>
      </c>
      <c r="K159" s="17" t="n">
        <v>0.825</v>
      </c>
      <c r="L159" s="16">
        <f>IF(OR($J159="",$K159=""),"",$J159*$K159)</f>
        <v/>
      </c>
    </row>
    <row r="160">
      <c r="I160" s="30" t="inlineStr">
        <is>
          <t>TOTAL RDM:</t>
        </is>
      </c>
      <c r="J160" s="31">
        <f>SUM($J$128:$J$159)</f>
        <v/>
      </c>
      <c r="L160" s="32">
        <f>SUM($L$128:$L$159)</f>
        <v/>
      </c>
    </row>
    <row r="162">
      <c r="A162" s="20" t="inlineStr">
        <is>
          <t>Energia por OS = soma de Volume x CE (captacao do modulo + pressurizacao do pivo). Preencha o % de cada pivo que vai irrigar.</t>
        </is>
      </c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2" t="n"/>
    </row>
  </sheetData>
  <mergeCells count="5">
    <mergeCell ref="A82:L82"/>
    <mergeCell ref="A5:L5"/>
    <mergeCell ref="A102:L102"/>
    <mergeCell ref="A127:L127"/>
    <mergeCell ref="A162:L16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F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0" customWidth="1" min="4" max="4"/>
  </cols>
  <sheetData>
    <row r="1" ht="20" customHeight="1">
      <c r="A1" s="1" t="inlineStr">
        <is>
          <t>ETO_DIARIO - clima diario (ATUALIZAR TODO DIA)</t>
        </is>
      </c>
    </row>
    <row r="2">
      <c r="A2" s="3" t="inlineStr">
        <is>
          <t>Informe a ETo (mm) e a chuva (mm) de cada dia. O manejo acumula a partir daqui.</t>
        </is>
      </c>
      <c r="F2" s="20" t="inlineStr">
        <is>
          <t>ETo preenchida ate HOJE com 5,0 mm/dia (placeholder). Troque pelos valores reais. Dias futuros ficam em branco.</t>
        </is>
      </c>
    </row>
    <row r="4" ht="30" customHeight="1">
      <c r="A4" s="4" t="inlineStr">
        <is>
          <t>Data</t>
        </is>
      </c>
      <c r="B4" s="4" t="inlineStr">
        <is>
          <t>ETo (mm)</t>
        </is>
      </c>
      <c r="C4" s="4" t="inlineStr">
        <is>
          <t>Chuva (mm)</t>
        </is>
      </c>
      <c r="D4" s="4" t="inlineStr">
        <is>
          <t>Obs</t>
        </is>
      </c>
    </row>
    <row r="5">
      <c r="A5" s="8" t="n">
        <v>46266</v>
      </c>
      <c r="B5" s="33" t="n">
        <v>5</v>
      </c>
      <c r="C5" s="33" t="n">
        <v>0</v>
      </c>
      <c r="D5" s="20" t="n"/>
    </row>
    <row r="6">
      <c r="A6" s="8" t="n">
        <v>46267</v>
      </c>
      <c r="B6" s="33" t="n">
        <v>5</v>
      </c>
      <c r="C6" s="33" t="n">
        <v>0</v>
      </c>
      <c r="D6" s="20" t="n"/>
    </row>
    <row r="7">
      <c r="A7" s="8" t="n">
        <v>46268</v>
      </c>
      <c r="B7" s="33" t="n">
        <v>5</v>
      </c>
      <c r="C7" s="33" t="n">
        <v>0</v>
      </c>
      <c r="D7" s="20" t="n"/>
    </row>
    <row r="8">
      <c r="A8" s="8" t="n">
        <v>46269</v>
      </c>
      <c r="B8" s="33" t="n">
        <v>5</v>
      </c>
      <c r="C8" s="33" t="n">
        <v>0</v>
      </c>
      <c r="D8" s="20" t="n"/>
    </row>
    <row r="9">
      <c r="A9" s="8" t="n">
        <v>46270</v>
      </c>
      <c r="B9" s="33" t="n">
        <v>5</v>
      </c>
      <c r="C9" s="33" t="n">
        <v>0</v>
      </c>
      <c r="D9" s="20" t="n"/>
    </row>
    <row r="10">
      <c r="A10" s="8" t="n">
        <v>46271</v>
      </c>
      <c r="B10" s="33" t="n">
        <v>5</v>
      </c>
      <c r="C10" s="33" t="n">
        <v>0</v>
      </c>
      <c r="D10" s="20" t="n"/>
    </row>
    <row r="11">
      <c r="A11" s="8" t="n">
        <v>46272</v>
      </c>
      <c r="B11" s="33" t="n">
        <v>5</v>
      </c>
      <c r="C11" s="33" t="n">
        <v>0</v>
      </c>
      <c r="D11" s="20" t="n"/>
    </row>
    <row r="12">
      <c r="A12" s="8" t="n">
        <v>46273</v>
      </c>
      <c r="B12" s="33" t="n">
        <v>5</v>
      </c>
      <c r="C12" s="33" t="n">
        <v>0</v>
      </c>
      <c r="D12" s="20" t="n"/>
    </row>
    <row r="13">
      <c r="A13" s="8" t="n">
        <v>46274</v>
      </c>
      <c r="B13" s="33" t="n">
        <v>5</v>
      </c>
      <c r="C13" s="33" t="n">
        <v>0</v>
      </c>
      <c r="D13" s="20" t="n"/>
    </row>
    <row r="14">
      <c r="A14" s="8" t="n">
        <v>46275</v>
      </c>
      <c r="B14" s="33" t="n">
        <v>5</v>
      </c>
      <c r="C14" s="33" t="n">
        <v>0</v>
      </c>
      <c r="D14" s="20" t="n"/>
    </row>
    <row r="15">
      <c r="A15" s="8" t="n">
        <v>46276</v>
      </c>
      <c r="B15" s="33" t="n">
        <v>5</v>
      </c>
      <c r="C15" s="33" t="n">
        <v>0</v>
      </c>
      <c r="D15" s="20" t="n"/>
    </row>
    <row r="16">
      <c r="A16" s="8" t="n">
        <v>46277</v>
      </c>
      <c r="B16" s="33" t="n">
        <v>5</v>
      </c>
      <c r="C16" s="33" t="n">
        <v>0</v>
      </c>
      <c r="D16" s="20" t="n"/>
    </row>
    <row r="17">
      <c r="A17" s="8" t="n">
        <v>46278</v>
      </c>
      <c r="B17" s="33" t="n">
        <v>5</v>
      </c>
      <c r="C17" s="33" t="n">
        <v>0</v>
      </c>
      <c r="D17" s="20" t="n"/>
    </row>
    <row r="18">
      <c r="A18" s="8" t="n">
        <v>46279</v>
      </c>
      <c r="B18" s="33" t="n">
        <v>5</v>
      </c>
      <c r="C18" s="33" t="n">
        <v>0</v>
      </c>
      <c r="D18" s="20" t="n"/>
    </row>
    <row r="19">
      <c r="A19" s="8" t="n">
        <v>46280</v>
      </c>
      <c r="B19" s="33" t="n">
        <v>5</v>
      </c>
      <c r="C19" s="33" t="n">
        <v>0</v>
      </c>
      <c r="D19" s="20" t="n"/>
    </row>
    <row r="20">
      <c r="A20" s="8" t="n">
        <v>46281</v>
      </c>
      <c r="B20" s="33" t="n">
        <v>5</v>
      </c>
      <c r="C20" s="33" t="n">
        <v>0</v>
      </c>
      <c r="D20" s="20" t="n"/>
    </row>
    <row r="21">
      <c r="A21" s="8" t="n">
        <v>46282</v>
      </c>
      <c r="B21" s="33" t="n">
        <v>5</v>
      </c>
      <c r="C21" s="33" t="n">
        <v>0</v>
      </c>
      <c r="D21" s="20" t="n"/>
    </row>
    <row r="22">
      <c r="A22" s="8" t="n">
        <v>46283</v>
      </c>
      <c r="B22" s="33" t="n">
        <v>5</v>
      </c>
      <c r="C22" s="33" t="n">
        <v>0</v>
      </c>
      <c r="D22" s="20" t="n"/>
    </row>
    <row r="23">
      <c r="A23" s="8" t="n">
        <v>46284</v>
      </c>
      <c r="B23" s="33" t="n">
        <v>5</v>
      </c>
      <c r="C23" s="33" t="n">
        <v>0</v>
      </c>
      <c r="D23" s="20" t="n"/>
    </row>
    <row r="24">
      <c r="A24" s="8" t="n">
        <v>46285</v>
      </c>
      <c r="B24" s="33" t="n">
        <v>5</v>
      </c>
      <c r="C24" s="33" t="n">
        <v>0</v>
      </c>
      <c r="D24" s="20" t="n"/>
    </row>
    <row r="25">
      <c r="A25" s="8" t="n">
        <v>46286</v>
      </c>
      <c r="B25" s="33" t="n">
        <v>5</v>
      </c>
      <c r="C25" s="33" t="n">
        <v>0</v>
      </c>
      <c r="D25" s="20" t="n"/>
    </row>
    <row r="26">
      <c r="A26" s="8" t="n">
        <v>46287</v>
      </c>
      <c r="B26" s="33" t="n">
        <v>5</v>
      </c>
      <c r="C26" s="33" t="n">
        <v>0</v>
      </c>
      <c r="D26" s="20" t="n"/>
    </row>
    <row r="27">
      <c r="A27" s="8" t="n">
        <v>46288</v>
      </c>
      <c r="B27" s="33" t="n">
        <v>5</v>
      </c>
      <c r="C27" s="33" t="n">
        <v>0</v>
      </c>
      <c r="D27" s="20" t="n"/>
    </row>
    <row r="28">
      <c r="A28" s="8" t="n">
        <v>46289</v>
      </c>
      <c r="B28" s="33" t="n">
        <v>5</v>
      </c>
      <c r="C28" s="33" t="n">
        <v>0</v>
      </c>
      <c r="D28" s="20" t="n"/>
    </row>
    <row r="29">
      <c r="A29" s="8" t="n">
        <v>46290</v>
      </c>
      <c r="B29" s="33" t="n">
        <v>5</v>
      </c>
      <c r="C29" s="33" t="n">
        <v>0</v>
      </c>
      <c r="D29" s="20" t="n"/>
    </row>
    <row r="30">
      <c r="A30" s="8" t="n">
        <v>46291</v>
      </c>
      <c r="B30" s="33" t="n">
        <v>5</v>
      </c>
      <c r="C30" s="33" t="n">
        <v>0</v>
      </c>
      <c r="D30" s="20" t="n"/>
    </row>
    <row r="31">
      <c r="A31" s="8" t="n">
        <v>46292</v>
      </c>
      <c r="B31" s="33" t="n">
        <v>5</v>
      </c>
      <c r="C31" s="33" t="n">
        <v>0</v>
      </c>
      <c r="D31" s="20" t="n"/>
    </row>
    <row r="32">
      <c r="A32" s="8" t="n">
        <v>46293</v>
      </c>
      <c r="B32" s="33" t="n">
        <v>5</v>
      </c>
      <c r="C32" s="33" t="n">
        <v>0</v>
      </c>
      <c r="D32" s="20" t="n"/>
    </row>
    <row r="33">
      <c r="A33" s="8" t="n">
        <v>46294</v>
      </c>
      <c r="B33" s="33" t="n">
        <v>5</v>
      </c>
      <c r="C33" s="33" t="n">
        <v>0</v>
      </c>
      <c r="D33" s="20" t="n"/>
    </row>
    <row r="34">
      <c r="A34" s="8" t="n">
        <v>46295</v>
      </c>
      <c r="B34" s="33" t="n">
        <v>5</v>
      </c>
      <c r="C34" s="33" t="n">
        <v>0</v>
      </c>
      <c r="D34" s="20" t="n"/>
    </row>
    <row r="35">
      <c r="A35" s="8" t="n">
        <v>46296</v>
      </c>
      <c r="B35" s="33" t="n">
        <v>5</v>
      </c>
      <c r="C35" s="33" t="n">
        <v>0</v>
      </c>
      <c r="D35" s="20" t="n"/>
    </row>
    <row r="36">
      <c r="A36" s="8" t="n">
        <v>46297</v>
      </c>
      <c r="B36" s="33" t="n">
        <v>5</v>
      </c>
      <c r="C36" s="33" t="n">
        <v>0</v>
      </c>
      <c r="D36" s="20" t="n"/>
    </row>
    <row r="37">
      <c r="A37" s="8" t="n">
        <v>46298</v>
      </c>
      <c r="B37" s="33" t="n">
        <v>5</v>
      </c>
      <c r="C37" s="33" t="n">
        <v>0</v>
      </c>
      <c r="D37" s="20" t="n"/>
    </row>
    <row r="38">
      <c r="A38" s="8" t="n">
        <v>46299</v>
      </c>
      <c r="B38" s="33" t="n">
        <v>5</v>
      </c>
      <c r="C38" s="33" t="n">
        <v>0</v>
      </c>
      <c r="D38" s="20" t="n"/>
    </row>
    <row r="39">
      <c r="A39" s="8" t="n">
        <v>46300</v>
      </c>
      <c r="B39" s="33" t="n">
        <v>5</v>
      </c>
      <c r="C39" s="33" t="n">
        <v>0</v>
      </c>
      <c r="D39" s="20" t="n"/>
    </row>
    <row r="40">
      <c r="A40" s="34" t="n">
        <v>46301</v>
      </c>
      <c r="B40" s="33" t="n"/>
      <c r="C40" s="33" t="n"/>
      <c r="D40" s="20" t="n"/>
    </row>
    <row r="41">
      <c r="A41" s="34" t="n">
        <v>46302</v>
      </c>
      <c r="B41" s="33" t="n"/>
      <c r="C41" s="33" t="n"/>
      <c r="D41" s="20" t="n"/>
    </row>
    <row r="42">
      <c r="A42" s="34" t="n">
        <v>46303</v>
      </c>
      <c r="B42" s="33" t="n"/>
      <c r="C42" s="33" t="n"/>
      <c r="D42" s="20" t="n"/>
    </row>
    <row r="43">
      <c r="A43" s="34" t="n">
        <v>46304</v>
      </c>
      <c r="B43" s="33" t="n"/>
      <c r="C43" s="33" t="n"/>
      <c r="D43" s="20" t="n"/>
    </row>
    <row r="44">
      <c r="A44" s="34" t="n">
        <v>46305</v>
      </c>
      <c r="B44" s="33" t="n"/>
      <c r="C44" s="33" t="n"/>
      <c r="D44" s="20" t="n"/>
    </row>
    <row r="45">
      <c r="A45" s="34" t="n">
        <v>46306</v>
      </c>
      <c r="B45" s="33" t="n"/>
      <c r="C45" s="33" t="n"/>
      <c r="D45" s="20" t="n"/>
    </row>
    <row r="46">
      <c r="A46" s="34" t="n">
        <v>46307</v>
      </c>
      <c r="B46" s="33" t="n"/>
      <c r="C46" s="33" t="n"/>
      <c r="D46" s="20" t="n"/>
    </row>
    <row r="47">
      <c r="A47" s="34" t="n">
        <v>46308</v>
      </c>
      <c r="B47" s="33" t="n"/>
      <c r="C47" s="33" t="n"/>
      <c r="D47" s="20" t="n"/>
    </row>
    <row r="48">
      <c r="A48" s="34" t="n">
        <v>46309</v>
      </c>
      <c r="B48" s="33" t="n"/>
      <c r="C48" s="33" t="n"/>
      <c r="D48" s="20" t="n"/>
    </row>
    <row r="49">
      <c r="A49" s="34" t="n">
        <v>46310</v>
      </c>
      <c r="B49" s="33" t="n"/>
      <c r="C49" s="33" t="n"/>
      <c r="D49" s="20" t="n"/>
    </row>
    <row r="50">
      <c r="A50" s="34" t="n">
        <v>46311</v>
      </c>
      <c r="B50" s="33" t="n"/>
      <c r="C50" s="33" t="n"/>
      <c r="D50" s="20" t="n"/>
    </row>
    <row r="51">
      <c r="A51" s="34" t="n">
        <v>46312</v>
      </c>
      <c r="B51" s="33" t="n"/>
      <c r="C51" s="33" t="n"/>
      <c r="D51" s="20" t="n"/>
    </row>
    <row r="52">
      <c r="A52" s="34" t="n">
        <v>46313</v>
      </c>
      <c r="B52" s="33" t="n"/>
      <c r="C52" s="33" t="n"/>
      <c r="D52" s="20" t="n"/>
    </row>
    <row r="53">
      <c r="A53" s="34" t="n">
        <v>46314</v>
      </c>
      <c r="B53" s="33" t="n"/>
      <c r="C53" s="33" t="n"/>
      <c r="D53" s="20" t="n"/>
    </row>
    <row r="54">
      <c r="A54" s="34" t="n">
        <v>46315</v>
      </c>
      <c r="B54" s="33" t="n"/>
      <c r="C54" s="33" t="n"/>
      <c r="D54" s="20" t="n"/>
    </row>
    <row r="55">
      <c r="A55" s="34" t="n">
        <v>46316</v>
      </c>
      <c r="B55" s="33" t="n"/>
      <c r="C55" s="33" t="n"/>
      <c r="D55" s="20" t="n"/>
    </row>
    <row r="56">
      <c r="A56" s="34" t="n">
        <v>46317</v>
      </c>
      <c r="B56" s="33" t="n"/>
      <c r="C56" s="33" t="n"/>
      <c r="D56" s="20" t="n"/>
    </row>
    <row r="57">
      <c r="A57" s="34" t="n">
        <v>46318</v>
      </c>
      <c r="B57" s="33" t="n"/>
      <c r="C57" s="33" t="n"/>
      <c r="D57" s="20" t="n"/>
    </row>
    <row r="58">
      <c r="A58" s="34" t="n">
        <v>46319</v>
      </c>
      <c r="B58" s="33" t="n"/>
      <c r="C58" s="33" t="n"/>
      <c r="D58" s="20" t="n"/>
    </row>
    <row r="59">
      <c r="A59" s="34" t="n">
        <v>46320</v>
      </c>
      <c r="B59" s="33" t="n"/>
      <c r="C59" s="33" t="n"/>
      <c r="D59" s="20" t="n"/>
    </row>
    <row r="60">
      <c r="A60" s="34" t="n">
        <v>46321</v>
      </c>
      <c r="B60" s="33" t="n"/>
      <c r="C60" s="33" t="n"/>
      <c r="D60" s="20" t="n"/>
    </row>
    <row r="61">
      <c r="A61" s="34" t="n">
        <v>46322</v>
      </c>
      <c r="B61" s="33" t="n"/>
      <c r="C61" s="33" t="n"/>
      <c r="D61" s="20" t="n"/>
    </row>
    <row r="62">
      <c r="A62" s="34" t="n">
        <v>46323</v>
      </c>
      <c r="B62" s="33" t="n"/>
      <c r="C62" s="33" t="n"/>
      <c r="D62" s="20" t="n"/>
    </row>
    <row r="63">
      <c r="A63" s="34" t="n">
        <v>46324</v>
      </c>
      <c r="B63" s="33" t="n"/>
      <c r="C63" s="33" t="n"/>
      <c r="D63" s="20" t="n"/>
    </row>
    <row r="64">
      <c r="A64" s="34" t="n">
        <v>46325</v>
      </c>
      <c r="B64" s="33" t="n"/>
      <c r="C64" s="33" t="n"/>
      <c r="D64" s="20" t="n"/>
    </row>
    <row r="65">
      <c r="A65" s="34" t="n">
        <v>46326</v>
      </c>
      <c r="B65" s="33" t="n"/>
      <c r="C65" s="33" t="n"/>
      <c r="D65" s="20" t="n"/>
    </row>
    <row r="66">
      <c r="A66" s="34" t="n">
        <v>46327</v>
      </c>
      <c r="B66" s="33" t="n"/>
      <c r="C66" s="33" t="n"/>
      <c r="D66" s="20" t="n"/>
    </row>
    <row r="67">
      <c r="A67" s="34" t="n">
        <v>46328</v>
      </c>
      <c r="B67" s="33" t="n"/>
      <c r="C67" s="33" t="n"/>
      <c r="D67" s="20" t="n"/>
    </row>
    <row r="68">
      <c r="A68" s="34" t="n">
        <v>46329</v>
      </c>
      <c r="B68" s="33" t="n"/>
      <c r="C68" s="33" t="n"/>
      <c r="D68" s="20" t="n"/>
    </row>
    <row r="69">
      <c r="A69" s="34" t="n">
        <v>46330</v>
      </c>
      <c r="B69" s="33" t="n"/>
      <c r="C69" s="33" t="n"/>
      <c r="D69" s="20" t="n"/>
    </row>
    <row r="70">
      <c r="A70" s="34" t="n">
        <v>46331</v>
      </c>
      <c r="B70" s="33" t="n"/>
      <c r="C70" s="33" t="n"/>
      <c r="D70" s="20" t="n"/>
    </row>
    <row r="71">
      <c r="A71" s="34" t="n">
        <v>46332</v>
      </c>
      <c r="B71" s="33" t="n"/>
      <c r="C71" s="33" t="n"/>
      <c r="D71" s="20" t="n"/>
    </row>
    <row r="72">
      <c r="A72" s="34" t="n">
        <v>46333</v>
      </c>
      <c r="B72" s="33" t="n"/>
      <c r="C72" s="33" t="n"/>
      <c r="D72" s="20" t="n"/>
    </row>
    <row r="73">
      <c r="A73" s="34" t="n">
        <v>46334</v>
      </c>
      <c r="B73" s="33" t="n"/>
      <c r="C73" s="33" t="n"/>
      <c r="D73" s="20" t="n"/>
    </row>
    <row r="74">
      <c r="A74" s="34" t="n">
        <v>46335</v>
      </c>
      <c r="B74" s="33" t="n"/>
      <c r="C74" s="33" t="n"/>
      <c r="D74" s="20" t="n"/>
    </row>
    <row r="75">
      <c r="A75" s="34" t="n">
        <v>46336</v>
      </c>
      <c r="B75" s="33" t="n"/>
      <c r="C75" s="33" t="n"/>
      <c r="D75" s="20" t="n"/>
    </row>
    <row r="76">
      <c r="A76" s="34" t="n">
        <v>46337</v>
      </c>
      <c r="B76" s="33" t="n"/>
      <c r="C76" s="33" t="n"/>
      <c r="D76" s="20" t="n"/>
    </row>
    <row r="77">
      <c r="A77" s="34" t="n">
        <v>46338</v>
      </c>
      <c r="B77" s="33" t="n"/>
      <c r="C77" s="33" t="n"/>
      <c r="D77" s="20" t="n"/>
    </row>
    <row r="78">
      <c r="A78" s="34" t="n">
        <v>46339</v>
      </c>
      <c r="B78" s="33" t="n"/>
      <c r="C78" s="33" t="n"/>
      <c r="D78" s="20" t="n"/>
    </row>
    <row r="79">
      <c r="A79" s="34" t="n">
        <v>46340</v>
      </c>
      <c r="B79" s="33" t="n"/>
      <c r="C79" s="33" t="n"/>
      <c r="D79" s="20" t="n"/>
    </row>
    <row r="80">
      <c r="A80" s="34" t="n">
        <v>46341</v>
      </c>
      <c r="B80" s="33" t="n"/>
      <c r="C80" s="33" t="n"/>
      <c r="D80" s="20" t="n"/>
    </row>
    <row r="81">
      <c r="A81" s="34" t="n">
        <v>46342</v>
      </c>
      <c r="B81" s="33" t="n"/>
      <c r="C81" s="33" t="n"/>
      <c r="D81" s="20" t="n"/>
    </row>
    <row r="82">
      <c r="A82" s="34" t="n">
        <v>46343</v>
      </c>
      <c r="B82" s="33" t="n"/>
      <c r="C82" s="33" t="n"/>
      <c r="D82" s="20" t="n"/>
    </row>
    <row r="83">
      <c r="A83" s="34" t="n">
        <v>46344</v>
      </c>
      <c r="B83" s="33" t="n"/>
      <c r="C83" s="33" t="n"/>
      <c r="D83" s="20" t="n"/>
    </row>
    <row r="84">
      <c r="A84" s="34" t="n">
        <v>46345</v>
      </c>
      <c r="B84" s="33" t="n"/>
      <c r="C84" s="33" t="n"/>
      <c r="D84" s="20" t="n"/>
    </row>
    <row r="85">
      <c r="A85" s="34" t="n">
        <v>46346</v>
      </c>
      <c r="B85" s="33" t="n"/>
      <c r="C85" s="33" t="n"/>
      <c r="D85" s="20" t="n"/>
    </row>
    <row r="86">
      <c r="A86" s="34" t="n">
        <v>46347</v>
      </c>
      <c r="B86" s="33" t="n"/>
      <c r="C86" s="33" t="n"/>
      <c r="D86" s="20" t="n"/>
    </row>
    <row r="87">
      <c r="A87" s="34" t="n">
        <v>46348</v>
      </c>
      <c r="B87" s="33" t="n"/>
      <c r="C87" s="33" t="n"/>
      <c r="D87" s="20" t="n"/>
    </row>
    <row r="88">
      <c r="A88" s="34" t="n">
        <v>46349</v>
      </c>
      <c r="B88" s="33" t="n"/>
      <c r="C88" s="33" t="n"/>
      <c r="D88" s="20" t="n"/>
    </row>
    <row r="89">
      <c r="A89" s="34" t="n">
        <v>46350</v>
      </c>
      <c r="B89" s="33" t="n"/>
      <c r="C89" s="33" t="n"/>
      <c r="D89" s="20" t="n"/>
    </row>
    <row r="90">
      <c r="A90" s="34" t="n">
        <v>46351</v>
      </c>
      <c r="B90" s="33" t="n"/>
      <c r="C90" s="33" t="n"/>
      <c r="D90" s="20" t="n"/>
    </row>
    <row r="91">
      <c r="A91" s="34" t="n">
        <v>46352</v>
      </c>
      <c r="B91" s="33" t="n"/>
      <c r="C91" s="33" t="n"/>
      <c r="D91" s="20" t="n"/>
    </row>
    <row r="92">
      <c r="A92" s="34" t="n">
        <v>46353</v>
      </c>
      <c r="B92" s="33" t="n"/>
      <c r="C92" s="33" t="n"/>
      <c r="D92" s="20" t="n"/>
    </row>
    <row r="93">
      <c r="A93" s="34" t="n">
        <v>46354</v>
      </c>
      <c r="B93" s="33" t="n"/>
      <c r="C93" s="33" t="n"/>
      <c r="D93" s="20" t="n"/>
    </row>
    <row r="94">
      <c r="A94" s="34" t="n">
        <v>46355</v>
      </c>
      <c r="B94" s="33" t="n"/>
      <c r="C94" s="33" t="n"/>
      <c r="D94" s="20" t="n"/>
    </row>
    <row r="95">
      <c r="A95" s="34" t="n">
        <v>46356</v>
      </c>
      <c r="B95" s="33" t="n"/>
      <c r="C95" s="33" t="n"/>
      <c r="D95" s="20" t="n"/>
    </row>
    <row r="96">
      <c r="A96" s="34" t="n">
        <v>46357</v>
      </c>
      <c r="B96" s="33" t="n"/>
      <c r="C96" s="33" t="n"/>
      <c r="D96" s="20" t="n"/>
    </row>
    <row r="97">
      <c r="A97" s="34" t="n">
        <v>46358</v>
      </c>
      <c r="B97" s="33" t="n"/>
      <c r="C97" s="33" t="n"/>
      <c r="D97" s="20" t="n"/>
    </row>
    <row r="98">
      <c r="A98" s="34" t="n">
        <v>46359</v>
      </c>
      <c r="B98" s="33" t="n"/>
      <c r="C98" s="33" t="n"/>
      <c r="D98" s="20" t="n"/>
    </row>
    <row r="99">
      <c r="A99" s="34" t="n">
        <v>46360</v>
      </c>
      <c r="B99" s="33" t="n"/>
      <c r="C99" s="33" t="n"/>
      <c r="D99" s="20" t="n"/>
    </row>
    <row r="100">
      <c r="A100" s="34" t="n">
        <v>46361</v>
      </c>
      <c r="B100" s="33" t="n"/>
      <c r="C100" s="33" t="n"/>
      <c r="D100" s="20" t="n"/>
    </row>
    <row r="101">
      <c r="A101" s="34" t="n">
        <v>46362</v>
      </c>
      <c r="B101" s="33" t="n"/>
      <c r="C101" s="33" t="n"/>
      <c r="D101" s="20" t="n"/>
    </row>
    <row r="102">
      <c r="A102" s="34" t="n">
        <v>46363</v>
      </c>
      <c r="B102" s="33" t="n"/>
      <c r="C102" s="33" t="n"/>
      <c r="D102" s="20" t="n"/>
    </row>
    <row r="103">
      <c r="A103" s="34" t="n">
        <v>46364</v>
      </c>
      <c r="B103" s="33" t="n"/>
      <c r="C103" s="33" t="n"/>
      <c r="D103" s="20" t="n"/>
    </row>
    <row r="104">
      <c r="A104" s="34" t="n">
        <v>46365</v>
      </c>
      <c r="B104" s="33" t="n"/>
      <c r="C104" s="33" t="n"/>
      <c r="D104" s="20" t="n"/>
    </row>
    <row r="105">
      <c r="A105" s="34" t="n">
        <v>46366</v>
      </c>
      <c r="B105" s="33" t="n"/>
      <c r="C105" s="33" t="n"/>
      <c r="D105" s="20" t="n"/>
    </row>
    <row r="106">
      <c r="A106" s="34" t="n">
        <v>46367</v>
      </c>
      <c r="B106" s="33" t="n"/>
      <c r="C106" s="33" t="n"/>
      <c r="D106" s="20" t="n"/>
    </row>
    <row r="107">
      <c r="A107" s="34" t="n">
        <v>46368</v>
      </c>
      <c r="B107" s="33" t="n"/>
      <c r="C107" s="33" t="n"/>
      <c r="D107" s="20" t="n"/>
    </row>
    <row r="108">
      <c r="A108" s="34" t="n">
        <v>46369</v>
      </c>
      <c r="B108" s="33" t="n"/>
      <c r="C108" s="33" t="n"/>
      <c r="D108" s="20" t="n"/>
    </row>
    <row r="109">
      <c r="A109" s="34" t="n">
        <v>46370</v>
      </c>
      <c r="B109" s="33" t="n"/>
      <c r="C109" s="33" t="n"/>
      <c r="D109" s="20" t="n"/>
    </row>
    <row r="110">
      <c r="A110" s="34" t="n">
        <v>46371</v>
      </c>
      <c r="B110" s="33" t="n"/>
      <c r="C110" s="33" t="n"/>
      <c r="D110" s="20" t="n"/>
    </row>
    <row r="111">
      <c r="A111" s="34" t="n">
        <v>46372</v>
      </c>
      <c r="B111" s="33" t="n"/>
      <c r="C111" s="33" t="n"/>
      <c r="D111" s="20" t="n"/>
    </row>
    <row r="112">
      <c r="A112" s="34" t="n">
        <v>46373</v>
      </c>
      <c r="B112" s="33" t="n"/>
      <c r="C112" s="33" t="n"/>
      <c r="D112" s="20" t="n"/>
    </row>
    <row r="113">
      <c r="A113" s="34" t="n">
        <v>46374</v>
      </c>
      <c r="B113" s="33" t="n"/>
      <c r="C113" s="33" t="n"/>
      <c r="D113" s="20" t="n"/>
    </row>
    <row r="114">
      <c r="A114" s="34" t="n">
        <v>46375</v>
      </c>
      <c r="B114" s="33" t="n"/>
      <c r="C114" s="33" t="n"/>
      <c r="D114" s="20" t="n"/>
    </row>
    <row r="115">
      <c r="A115" s="34" t="n">
        <v>46376</v>
      </c>
      <c r="B115" s="33" t="n"/>
      <c r="C115" s="33" t="n"/>
      <c r="D115" s="20" t="n"/>
    </row>
    <row r="116">
      <c r="A116" s="34" t="n">
        <v>46377</v>
      </c>
      <c r="B116" s="33" t="n"/>
      <c r="C116" s="33" t="n"/>
      <c r="D116" s="20" t="n"/>
    </row>
    <row r="117">
      <c r="A117" s="34" t="n">
        <v>46378</v>
      </c>
      <c r="B117" s="33" t="n"/>
      <c r="C117" s="33" t="n"/>
      <c r="D117" s="20" t="n"/>
    </row>
    <row r="118">
      <c r="A118" s="34" t="n">
        <v>46379</v>
      </c>
      <c r="B118" s="33" t="n"/>
      <c r="C118" s="33" t="n"/>
      <c r="D118" s="20" t="n"/>
    </row>
    <row r="119">
      <c r="A119" s="34" t="n">
        <v>46380</v>
      </c>
      <c r="B119" s="33" t="n"/>
      <c r="C119" s="33" t="n"/>
      <c r="D119" s="20" t="n"/>
    </row>
    <row r="120">
      <c r="A120" s="34" t="n">
        <v>46381</v>
      </c>
      <c r="B120" s="33" t="n"/>
      <c r="C120" s="33" t="n"/>
      <c r="D120" s="20" t="n"/>
    </row>
    <row r="121">
      <c r="A121" s="34" t="n">
        <v>46382</v>
      </c>
      <c r="B121" s="33" t="n"/>
      <c r="C121" s="33" t="n"/>
      <c r="D121" s="20" t="n"/>
    </row>
    <row r="122">
      <c r="A122" s="34" t="n">
        <v>46383</v>
      </c>
      <c r="B122" s="33" t="n"/>
      <c r="C122" s="33" t="n"/>
      <c r="D122" s="20" t="n"/>
    </row>
    <row r="123">
      <c r="A123" s="34" t="n">
        <v>46384</v>
      </c>
      <c r="B123" s="33" t="n"/>
      <c r="C123" s="33" t="n"/>
      <c r="D123" s="20" t="n"/>
    </row>
    <row r="124">
      <c r="A124" s="34" t="n">
        <v>46385</v>
      </c>
      <c r="B124" s="33" t="n"/>
      <c r="C124" s="33" t="n"/>
      <c r="D124" s="20" t="n"/>
    </row>
    <row r="125">
      <c r="A125" s="34" t="n">
        <v>46386</v>
      </c>
      <c r="B125" s="33" t="n"/>
      <c r="C125" s="33" t="n"/>
      <c r="D125" s="20" t="n"/>
    </row>
    <row r="126">
      <c r="A126" s="34" t="n">
        <v>46387</v>
      </c>
      <c r="B126" s="33" t="n"/>
      <c r="C126" s="33" t="n"/>
      <c r="D126" s="20" t="n"/>
    </row>
    <row r="127">
      <c r="A127" s="34" t="n">
        <v>46388</v>
      </c>
      <c r="B127" s="33" t="n"/>
      <c r="C127" s="33" t="n"/>
      <c r="D127" s="20" t="n"/>
    </row>
    <row r="128">
      <c r="A128" s="34" t="n">
        <v>46389</v>
      </c>
      <c r="B128" s="33" t="n"/>
      <c r="C128" s="33" t="n"/>
      <c r="D128" s="20" t="n"/>
    </row>
    <row r="129">
      <c r="A129" s="34" t="n">
        <v>46390</v>
      </c>
      <c r="B129" s="33" t="n"/>
      <c r="C129" s="33" t="n"/>
      <c r="D129" s="20" t="n"/>
    </row>
    <row r="130">
      <c r="A130" s="34" t="n">
        <v>46391</v>
      </c>
      <c r="B130" s="33" t="n"/>
      <c r="C130" s="33" t="n"/>
      <c r="D130" s="20" t="n"/>
    </row>
    <row r="131">
      <c r="A131" s="34" t="n">
        <v>46392</v>
      </c>
      <c r="B131" s="33" t="n"/>
      <c r="C131" s="33" t="n"/>
      <c r="D131" s="20" t="n"/>
    </row>
    <row r="132">
      <c r="A132" s="34" t="n">
        <v>46393</v>
      </c>
      <c r="B132" s="33" t="n"/>
      <c r="C132" s="33" t="n"/>
      <c r="D132" s="20" t="n"/>
    </row>
    <row r="133">
      <c r="A133" s="34" t="n">
        <v>46394</v>
      </c>
      <c r="B133" s="33" t="n"/>
      <c r="C133" s="33" t="n"/>
      <c r="D133" s="20" t="n"/>
    </row>
    <row r="134">
      <c r="A134" s="34" t="n">
        <v>46395</v>
      </c>
      <c r="B134" s="33" t="n"/>
      <c r="C134" s="33" t="n"/>
      <c r="D134" s="20" t="n"/>
    </row>
    <row r="135">
      <c r="A135" s="34" t="n">
        <v>46396</v>
      </c>
      <c r="B135" s="33" t="n"/>
      <c r="C135" s="33" t="n"/>
      <c r="D135" s="20" t="n"/>
    </row>
    <row r="136">
      <c r="A136" s="34" t="n">
        <v>46397</v>
      </c>
      <c r="B136" s="33" t="n"/>
      <c r="C136" s="33" t="n"/>
      <c r="D136" s="20" t="n"/>
    </row>
    <row r="137">
      <c r="A137" s="34" t="n">
        <v>46398</v>
      </c>
      <c r="B137" s="33" t="n"/>
      <c r="C137" s="33" t="n"/>
      <c r="D137" s="20" t="n"/>
    </row>
    <row r="138">
      <c r="A138" s="34" t="n">
        <v>46399</v>
      </c>
      <c r="B138" s="33" t="n"/>
      <c r="C138" s="33" t="n"/>
      <c r="D138" s="20" t="n"/>
    </row>
    <row r="139">
      <c r="A139" s="34" t="n">
        <v>46400</v>
      </c>
      <c r="B139" s="33" t="n"/>
      <c r="C139" s="33" t="n"/>
      <c r="D139" s="20" t="n"/>
    </row>
    <row r="140">
      <c r="A140" s="34" t="n">
        <v>46401</v>
      </c>
      <c r="B140" s="33" t="n"/>
      <c r="C140" s="33" t="n"/>
      <c r="D140" s="20" t="n"/>
    </row>
    <row r="141">
      <c r="A141" s="34" t="n">
        <v>46402</v>
      </c>
      <c r="B141" s="33" t="n"/>
      <c r="C141" s="33" t="n"/>
      <c r="D141" s="20" t="n"/>
    </row>
    <row r="142">
      <c r="A142" s="34" t="n">
        <v>46403</v>
      </c>
      <c r="B142" s="33" t="n"/>
      <c r="C142" s="33" t="n"/>
      <c r="D142" s="20" t="n"/>
    </row>
    <row r="143">
      <c r="A143" s="34" t="n">
        <v>46404</v>
      </c>
      <c r="B143" s="33" t="n"/>
      <c r="C143" s="33" t="n"/>
      <c r="D143" s="20" t="n"/>
    </row>
    <row r="144">
      <c r="A144" s="34" t="n">
        <v>46405</v>
      </c>
      <c r="B144" s="33" t="n"/>
      <c r="C144" s="33" t="n"/>
      <c r="D144" s="20" t="n"/>
    </row>
    <row r="145">
      <c r="A145" s="34" t="n">
        <v>46406</v>
      </c>
      <c r="B145" s="33" t="n"/>
      <c r="C145" s="33" t="n"/>
      <c r="D145" s="20" t="n"/>
    </row>
    <row r="146">
      <c r="A146" s="34" t="n">
        <v>46407</v>
      </c>
      <c r="B146" s="33" t="n"/>
      <c r="C146" s="33" t="n"/>
      <c r="D146" s="20" t="n"/>
    </row>
    <row r="147">
      <c r="A147" s="34" t="n">
        <v>46408</v>
      </c>
      <c r="B147" s="33" t="n"/>
      <c r="C147" s="33" t="n"/>
      <c r="D147" s="20" t="n"/>
    </row>
    <row r="148">
      <c r="A148" s="34" t="n">
        <v>46409</v>
      </c>
      <c r="B148" s="33" t="n"/>
      <c r="C148" s="33" t="n"/>
      <c r="D148" s="20" t="n"/>
    </row>
    <row r="149">
      <c r="A149" s="34" t="n">
        <v>46410</v>
      </c>
      <c r="B149" s="33" t="n"/>
      <c r="C149" s="33" t="n"/>
      <c r="D149" s="20" t="n"/>
    </row>
    <row r="150">
      <c r="A150" s="34" t="n">
        <v>46411</v>
      </c>
      <c r="B150" s="33" t="n"/>
      <c r="C150" s="33" t="n"/>
      <c r="D150" s="20" t="n"/>
    </row>
    <row r="151">
      <c r="A151" s="34" t="n">
        <v>46412</v>
      </c>
      <c r="B151" s="33" t="n"/>
      <c r="C151" s="33" t="n"/>
      <c r="D151" s="20" t="n"/>
    </row>
    <row r="152">
      <c r="A152" s="34" t="n">
        <v>46413</v>
      </c>
      <c r="B152" s="33" t="n"/>
      <c r="C152" s="33" t="n"/>
      <c r="D152" s="20" t="n"/>
    </row>
    <row r="153">
      <c r="A153" s="34" t="n">
        <v>46414</v>
      </c>
      <c r="B153" s="33" t="n"/>
      <c r="C153" s="33" t="n"/>
      <c r="D153" s="20" t="n"/>
    </row>
    <row r="154">
      <c r="A154" s="34" t="n">
        <v>46415</v>
      </c>
      <c r="B154" s="33" t="n"/>
      <c r="C154" s="33" t="n"/>
      <c r="D154" s="20" t="n"/>
    </row>
    <row r="155">
      <c r="A155" s="34" t="n">
        <v>46416</v>
      </c>
      <c r="B155" s="33" t="n"/>
      <c r="C155" s="33" t="n"/>
      <c r="D155" s="20" t="n"/>
    </row>
    <row r="156">
      <c r="A156" s="34" t="n">
        <v>46417</v>
      </c>
      <c r="B156" s="33" t="n"/>
      <c r="C156" s="33" t="n"/>
      <c r="D156" s="20" t="n"/>
    </row>
    <row r="157">
      <c r="A157" s="34" t="n">
        <v>46418</v>
      </c>
      <c r="B157" s="33" t="n"/>
      <c r="C157" s="33" t="n"/>
      <c r="D157" s="20" t="n"/>
    </row>
    <row r="158">
      <c r="A158" s="34" t="n">
        <v>46419</v>
      </c>
      <c r="B158" s="33" t="n"/>
      <c r="C158" s="33" t="n"/>
      <c r="D158" s="20" t="n"/>
    </row>
    <row r="159">
      <c r="A159" s="34" t="n">
        <v>46420</v>
      </c>
      <c r="B159" s="33" t="n"/>
      <c r="C159" s="33" t="n"/>
      <c r="D159" s="20" t="n"/>
    </row>
    <row r="160">
      <c r="A160" s="34" t="n">
        <v>46421</v>
      </c>
      <c r="B160" s="33" t="n"/>
      <c r="C160" s="33" t="n"/>
      <c r="D160" s="20" t="n"/>
    </row>
    <row r="161">
      <c r="A161" s="34" t="n">
        <v>46422</v>
      </c>
      <c r="B161" s="33" t="n"/>
      <c r="C161" s="33" t="n"/>
      <c r="D161" s="20" t="n"/>
    </row>
    <row r="162">
      <c r="A162" s="34" t="n">
        <v>46423</v>
      </c>
      <c r="B162" s="33" t="n"/>
      <c r="C162" s="33" t="n"/>
      <c r="D162" s="20" t="n"/>
    </row>
    <row r="163">
      <c r="A163" s="34" t="n">
        <v>46424</v>
      </c>
      <c r="B163" s="33" t="n"/>
      <c r="C163" s="33" t="n"/>
      <c r="D163" s="20" t="n"/>
    </row>
    <row r="164">
      <c r="A164" s="34" t="n">
        <v>46425</v>
      </c>
      <c r="B164" s="33" t="n"/>
      <c r="C164" s="33" t="n"/>
      <c r="D164" s="20" t="n"/>
    </row>
    <row r="165">
      <c r="A165" s="34" t="n">
        <v>46426</v>
      </c>
      <c r="B165" s="33" t="n"/>
      <c r="C165" s="33" t="n"/>
      <c r="D165" s="20" t="n"/>
    </row>
    <row r="166">
      <c r="A166" s="34" t="n">
        <v>46427</v>
      </c>
      <c r="B166" s="33" t="n"/>
      <c r="C166" s="33" t="n"/>
      <c r="D166" s="20" t="n"/>
    </row>
    <row r="167">
      <c r="A167" s="34" t="n">
        <v>46428</v>
      </c>
      <c r="B167" s="33" t="n"/>
      <c r="C167" s="33" t="n"/>
      <c r="D167" s="20" t="n"/>
    </row>
    <row r="168">
      <c r="A168" s="34" t="n">
        <v>46429</v>
      </c>
      <c r="B168" s="33" t="n"/>
      <c r="C168" s="33" t="n"/>
      <c r="D168" s="20" t="n"/>
    </row>
    <row r="169">
      <c r="A169" s="34" t="n">
        <v>46430</v>
      </c>
      <c r="B169" s="33" t="n"/>
      <c r="C169" s="33" t="n"/>
      <c r="D169" s="20" t="n"/>
    </row>
    <row r="170">
      <c r="A170" s="34" t="n">
        <v>46431</v>
      </c>
      <c r="B170" s="33" t="n"/>
      <c r="C170" s="33" t="n"/>
      <c r="D170" s="20" t="n"/>
    </row>
    <row r="171">
      <c r="A171" s="34" t="n">
        <v>46432</v>
      </c>
      <c r="B171" s="33" t="n"/>
      <c r="C171" s="33" t="n"/>
      <c r="D171" s="20" t="n"/>
    </row>
    <row r="172">
      <c r="A172" s="34" t="n">
        <v>46433</v>
      </c>
      <c r="B172" s="33" t="n"/>
      <c r="C172" s="33" t="n"/>
      <c r="D172" s="20" t="n"/>
    </row>
    <row r="173">
      <c r="A173" s="34" t="n">
        <v>46434</v>
      </c>
      <c r="B173" s="33" t="n"/>
      <c r="C173" s="33" t="n"/>
      <c r="D173" s="20" t="n"/>
    </row>
    <row r="174">
      <c r="A174" s="34" t="n">
        <v>46435</v>
      </c>
      <c r="B174" s="33" t="n"/>
      <c r="C174" s="33" t="n"/>
      <c r="D174" s="20" t="n"/>
    </row>
    <row r="175">
      <c r="A175" s="34" t="n">
        <v>46436</v>
      </c>
      <c r="B175" s="33" t="n"/>
      <c r="C175" s="33" t="n"/>
      <c r="D175" s="20" t="n"/>
    </row>
    <row r="176">
      <c r="A176" s="34" t="n">
        <v>46437</v>
      </c>
      <c r="B176" s="33" t="n"/>
      <c r="C176" s="33" t="n"/>
      <c r="D176" s="20" t="n"/>
    </row>
    <row r="177">
      <c r="A177" s="34" t="n">
        <v>46438</v>
      </c>
      <c r="B177" s="33" t="n"/>
      <c r="C177" s="33" t="n"/>
      <c r="D177" s="20" t="n"/>
    </row>
    <row r="178">
      <c r="A178" s="34" t="n">
        <v>46439</v>
      </c>
      <c r="B178" s="33" t="n"/>
      <c r="C178" s="33" t="n"/>
      <c r="D178" s="20" t="n"/>
    </row>
    <row r="179">
      <c r="A179" s="34" t="n">
        <v>46440</v>
      </c>
      <c r="B179" s="33" t="n"/>
      <c r="C179" s="33" t="n"/>
      <c r="D179" s="20" t="n"/>
    </row>
    <row r="180">
      <c r="A180" s="34" t="n">
        <v>46441</v>
      </c>
      <c r="B180" s="33" t="n"/>
      <c r="C180" s="33" t="n"/>
      <c r="D180" s="20" t="n"/>
    </row>
    <row r="181">
      <c r="A181" s="34" t="n">
        <v>46442</v>
      </c>
      <c r="B181" s="33" t="n"/>
      <c r="C181" s="33" t="n"/>
      <c r="D181" s="20" t="n"/>
    </row>
    <row r="182">
      <c r="A182" s="34" t="n">
        <v>46443</v>
      </c>
      <c r="B182" s="33" t="n"/>
      <c r="C182" s="33" t="n"/>
      <c r="D182" s="20" t="n"/>
    </row>
    <row r="183">
      <c r="A183" s="34" t="n">
        <v>46444</v>
      </c>
      <c r="B183" s="33" t="n"/>
      <c r="C183" s="33" t="n"/>
      <c r="D183" s="20" t="n"/>
    </row>
    <row r="184">
      <c r="A184" s="34" t="n">
        <v>46445</v>
      </c>
      <c r="B184" s="33" t="n"/>
      <c r="C184" s="33" t="n"/>
      <c r="D184" s="20" t="n"/>
    </row>
    <row r="185">
      <c r="A185" s="34" t="n">
        <v>46446</v>
      </c>
      <c r="B185" s="33" t="n"/>
      <c r="C185" s="33" t="n"/>
      <c r="D185" s="20" t="n"/>
    </row>
    <row r="186">
      <c r="A186" s="34" t="n">
        <v>46447</v>
      </c>
      <c r="B186" s="33" t="n"/>
      <c r="C186" s="33" t="n"/>
      <c r="D186" s="20" t="n"/>
    </row>
    <row r="187">
      <c r="A187" s="34" t="n">
        <v>46448</v>
      </c>
      <c r="B187" s="33" t="n"/>
      <c r="C187" s="33" t="n"/>
      <c r="D187" s="20" t="n"/>
    </row>
    <row r="188">
      <c r="A188" s="34" t="n">
        <v>46449</v>
      </c>
      <c r="B188" s="33" t="n"/>
      <c r="C188" s="33" t="n"/>
      <c r="D188" s="20" t="n"/>
    </row>
    <row r="189">
      <c r="A189" s="34" t="n">
        <v>46450</v>
      </c>
      <c r="B189" s="33" t="n"/>
      <c r="C189" s="33" t="n"/>
      <c r="D189" s="20" t="n"/>
    </row>
    <row r="190">
      <c r="A190" s="34" t="n">
        <v>46451</v>
      </c>
      <c r="B190" s="33" t="n"/>
      <c r="C190" s="33" t="n"/>
      <c r="D190" s="20" t="n"/>
    </row>
    <row r="191">
      <c r="A191" s="34" t="n">
        <v>46452</v>
      </c>
      <c r="B191" s="33" t="n"/>
      <c r="C191" s="33" t="n"/>
      <c r="D191" s="20" t="n"/>
    </row>
    <row r="192">
      <c r="A192" s="34" t="n">
        <v>46453</v>
      </c>
      <c r="B192" s="33" t="n"/>
      <c r="C192" s="33" t="n"/>
      <c r="D192" s="20" t="n"/>
    </row>
    <row r="193">
      <c r="A193" s="34" t="n">
        <v>46454</v>
      </c>
      <c r="B193" s="33" t="n"/>
      <c r="C193" s="33" t="n"/>
      <c r="D193" s="20" t="n"/>
    </row>
    <row r="194">
      <c r="A194" s="34" t="n">
        <v>46455</v>
      </c>
      <c r="B194" s="33" t="n"/>
      <c r="C194" s="33" t="n"/>
      <c r="D194" s="20" t="n"/>
    </row>
    <row r="195">
      <c r="A195" s="34" t="n">
        <v>46456</v>
      </c>
      <c r="B195" s="33" t="n"/>
      <c r="C195" s="33" t="n"/>
      <c r="D195" s="20" t="n"/>
    </row>
    <row r="196">
      <c r="A196" s="34" t="n">
        <v>46457</v>
      </c>
      <c r="B196" s="33" t="n"/>
      <c r="C196" s="33" t="n"/>
      <c r="D196" s="20" t="n"/>
    </row>
    <row r="197">
      <c r="A197" s="34" t="n">
        <v>46458</v>
      </c>
      <c r="B197" s="33" t="n"/>
      <c r="C197" s="33" t="n"/>
      <c r="D197" s="20" t="n"/>
    </row>
    <row r="198">
      <c r="A198" s="34" t="n">
        <v>46459</v>
      </c>
      <c r="B198" s="33" t="n"/>
      <c r="C198" s="33" t="n"/>
      <c r="D198" s="20" t="n"/>
    </row>
    <row r="199">
      <c r="A199" s="34" t="n">
        <v>46460</v>
      </c>
      <c r="B199" s="33" t="n"/>
      <c r="C199" s="33" t="n"/>
      <c r="D199" s="20" t="n"/>
    </row>
    <row r="200">
      <c r="A200" s="34" t="n">
        <v>46461</v>
      </c>
      <c r="B200" s="33" t="n"/>
      <c r="C200" s="33" t="n"/>
      <c r="D200" s="20" t="n"/>
    </row>
    <row r="201">
      <c r="A201" s="34" t="n">
        <v>46462</v>
      </c>
      <c r="B201" s="33" t="n"/>
      <c r="C201" s="33" t="n"/>
      <c r="D201" s="20" t="n"/>
    </row>
    <row r="202">
      <c r="A202" s="34" t="n">
        <v>46463</v>
      </c>
      <c r="B202" s="33" t="n"/>
      <c r="C202" s="33" t="n"/>
      <c r="D202" s="20" t="n"/>
    </row>
    <row r="203">
      <c r="A203" s="34" t="n">
        <v>46464</v>
      </c>
      <c r="B203" s="33" t="n"/>
      <c r="C203" s="33" t="n"/>
      <c r="D203" s="20" t="n"/>
    </row>
    <row r="204">
      <c r="A204" s="34" t="n">
        <v>46465</v>
      </c>
      <c r="B204" s="33" t="n"/>
      <c r="C204" s="33" t="n"/>
      <c r="D204" s="20" t="n"/>
    </row>
    <row r="205">
      <c r="A205" s="34" t="n">
        <v>46466</v>
      </c>
      <c r="B205" s="33" t="n"/>
      <c r="C205" s="33" t="n"/>
      <c r="D205" s="20" t="n"/>
    </row>
    <row r="206">
      <c r="A206" s="34" t="n">
        <v>46467</v>
      </c>
      <c r="B206" s="33" t="n"/>
      <c r="C206" s="33" t="n"/>
      <c r="D206" s="20" t="n"/>
    </row>
    <row r="207">
      <c r="A207" s="34" t="n">
        <v>46468</v>
      </c>
      <c r="B207" s="33" t="n"/>
      <c r="C207" s="33" t="n"/>
      <c r="D207" s="20" t="n"/>
    </row>
    <row r="208">
      <c r="A208" s="34" t="n">
        <v>46469</v>
      </c>
      <c r="B208" s="33" t="n"/>
      <c r="C208" s="33" t="n"/>
      <c r="D208" s="20" t="n"/>
    </row>
    <row r="209">
      <c r="A209" s="34" t="n">
        <v>46470</v>
      </c>
      <c r="B209" s="33" t="n"/>
      <c r="C209" s="33" t="n"/>
      <c r="D209" s="20" t="n"/>
    </row>
    <row r="210">
      <c r="A210" s="34" t="n">
        <v>46471</v>
      </c>
      <c r="B210" s="33" t="n"/>
      <c r="C210" s="33" t="n"/>
      <c r="D210" s="20" t="n"/>
    </row>
    <row r="211">
      <c r="A211" s="34" t="n">
        <v>46472</v>
      </c>
      <c r="B211" s="33" t="n"/>
      <c r="C211" s="33" t="n"/>
      <c r="D211" s="20" t="n"/>
    </row>
    <row r="212">
      <c r="A212" s="34" t="n">
        <v>46473</v>
      </c>
      <c r="B212" s="33" t="n"/>
      <c r="C212" s="33" t="n"/>
      <c r="D212" s="20" t="n"/>
    </row>
    <row r="213">
      <c r="A213" s="34" t="n">
        <v>46474</v>
      </c>
      <c r="B213" s="33" t="n"/>
      <c r="C213" s="33" t="n"/>
      <c r="D213" s="20" t="n"/>
    </row>
    <row r="214">
      <c r="A214" s="34" t="n">
        <v>46475</v>
      </c>
      <c r="B214" s="33" t="n"/>
      <c r="C214" s="33" t="n"/>
      <c r="D214" s="20" t="n"/>
    </row>
    <row r="215">
      <c r="A215" s="34" t="n">
        <v>46476</v>
      </c>
      <c r="B215" s="33" t="n"/>
      <c r="C215" s="33" t="n"/>
      <c r="D215" s="20" t="n"/>
    </row>
    <row r="216">
      <c r="A216" s="34" t="n">
        <v>46477</v>
      </c>
      <c r="B216" s="33" t="n"/>
      <c r="C216" s="33" t="n"/>
      <c r="D216" s="20" t="n"/>
    </row>
    <row r="217">
      <c r="A217" s="34" t="n">
        <v>46478</v>
      </c>
      <c r="B217" s="33" t="n"/>
      <c r="C217" s="33" t="n"/>
      <c r="D217" s="20" t="n"/>
    </row>
    <row r="218">
      <c r="A218" s="34" t="n">
        <v>46479</v>
      </c>
      <c r="B218" s="33" t="n"/>
      <c r="C218" s="33" t="n"/>
      <c r="D218" s="20" t="n"/>
    </row>
    <row r="219">
      <c r="A219" s="34" t="n">
        <v>46480</v>
      </c>
      <c r="B219" s="33" t="n"/>
      <c r="C219" s="33" t="n"/>
      <c r="D219" s="20" t="n"/>
    </row>
    <row r="220">
      <c r="A220" s="34" t="n">
        <v>46481</v>
      </c>
      <c r="B220" s="33" t="n"/>
      <c r="C220" s="33" t="n"/>
      <c r="D220" s="20" t="n"/>
    </row>
    <row r="221">
      <c r="A221" s="34" t="n">
        <v>46482</v>
      </c>
      <c r="B221" s="33" t="n"/>
      <c r="C221" s="33" t="n"/>
      <c r="D221" s="20" t="n"/>
    </row>
    <row r="222">
      <c r="A222" s="34" t="n">
        <v>46483</v>
      </c>
      <c r="B222" s="33" t="n"/>
      <c r="C222" s="33" t="n"/>
      <c r="D222" s="20" t="n"/>
    </row>
    <row r="223">
      <c r="A223" s="34" t="n">
        <v>46484</v>
      </c>
      <c r="B223" s="33" t="n"/>
      <c r="C223" s="33" t="n"/>
      <c r="D223" s="20" t="n"/>
    </row>
    <row r="224">
      <c r="A224" s="34" t="n">
        <v>46485</v>
      </c>
      <c r="B224" s="33" t="n"/>
      <c r="C224" s="33" t="n"/>
      <c r="D224" s="20" t="n"/>
    </row>
    <row r="225">
      <c r="A225" s="34" t="n">
        <v>46486</v>
      </c>
      <c r="B225" s="33" t="n"/>
      <c r="C225" s="33" t="n"/>
      <c r="D225" s="20" t="n"/>
    </row>
    <row r="226">
      <c r="A226" s="34" t="n">
        <v>46487</v>
      </c>
      <c r="B226" s="33" t="n"/>
      <c r="C226" s="33" t="n"/>
      <c r="D226" s="20" t="n"/>
    </row>
    <row r="227">
      <c r="A227" s="34" t="n">
        <v>46488</v>
      </c>
      <c r="B227" s="33" t="n"/>
      <c r="C227" s="33" t="n"/>
      <c r="D227" s="20" t="n"/>
    </row>
    <row r="228">
      <c r="A228" s="34" t="n">
        <v>46489</v>
      </c>
      <c r="B228" s="33" t="n"/>
      <c r="C228" s="33" t="n"/>
      <c r="D228" s="20" t="n"/>
    </row>
    <row r="229">
      <c r="A229" s="34" t="n">
        <v>46490</v>
      </c>
      <c r="B229" s="33" t="n"/>
      <c r="C229" s="33" t="n"/>
      <c r="D229" s="20" t="n"/>
    </row>
    <row r="230">
      <c r="A230" s="34" t="n">
        <v>46491</v>
      </c>
      <c r="B230" s="33" t="n"/>
      <c r="C230" s="33" t="n"/>
      <c r="D230" s="20" t="n"/>
    </row>
    <row r="231">
      <c r="A231" s="34" t="n">
        <v>46492</v>
      </c>
      <c r="B231" s="33" t="n"/>
      <c r="C231" s="33" t="n"/>
      <c r="D231" s="20" t="n"/>
    </row>
    <row r="232">
      <c r="A232" s="34" t="n">
        <v>46493</v>
      </c>
      <c r="B232" s="33" t="n"/>
      <c r="C232" s="33" t="n"/>
      <c r="D232" s="20" t="n"/>
    </row>
    <row r="233">
      <c r="A233" s="34" t="n">
        <v>46494</v>
      </c>
      <c r="B233" s="33" t="n"/>
      <c r="C233" s="33" t="n"/>
      <c r="D233" s="20" t="n"/>
    </row>
    <row r="234">
      <c r="A234" s="34" t="n">
        <v>46495</v>
      </c>
      <c r="B234" s="33" t="n"/>
      <c r="C234" s="33" t="n"/>
      <c r="D234" s="20" t="n"/>
    </row>
    <row r="235">
      <c r="A235" s="34" t="n">
        <v>46496</v>
      </c>
      <c r="B235" s="33" t="n"/>
      <c r="C235" s="33" t="n"/>
      <c r="D235" s="20" t="n"/>
    </row>
    <row r="236">
      <c r="A236" s="34" t="n">
        <v>46497</v>
      </c>
      <c r="B236" s="33" t="n"/>
      <c r="C236" s="33" t="n"/>
      <c r="D236" s="20" t="n"/>
    </row>
    <row r="237">
      <c r="A237" s="34" t="n">
        <v>46498</v>
      </c>
      <c r="B237" s="33" t="n"/>
      <c r="C237" s="33" t="n"/>
      <c r="D237" s="20" t="n"/>
    </row>
    <row r="238">
      <c r="A238" s="34" t="n">
        <v>46499</v>
      </c>
      <c r="B238" s="33" t="n"/>
      <c r="C238" s="33" t="n"/>
      <c r="D238" s="20" t="n"/>
    </row>
    <row r="239">
      <c r="A239" s="34" t="n">
        <v>46500</v>
      </c>
      <c r="B239" s="33" t="n"/>
      <c r="C239" s="33" t="n"/>
      <c r="D239" s="20" t="n"/>
    </row>
    <row r="240">
      <c r="A240" s="34" t="n">
        <v>46501</v>
      </c>
      <c r="B240" s="33" t="n"/>
      <c r="C240" s="33" t="n"/>
      <c r="D240" s="20" t="n"/>
    </row>
    <row r="241">
      <c r="A241" s="34" t="n">
        <v>46502</v>
      </c>
      <c r="B241" s="33" t="n"/>
      <c r="C241" s="33" t="n"/>
      <c r="D241" s="20" t="n"/>
    </row>
    <row r="242">
      <c r="A242" s="34" t="n">
        <v>46503</v>
      </c>
      <c r="B242" s="33" t="n"/>
      <c r="C242" s="33" t="n"/>
      <c r="D242" s="20" t="n"/>
    </row>
    <row r="243">
      <c r="A243" s="34" t="n">
        <v>46504</v>
      </c>
      <c r="B243" s="33" t="n"/>
      <c r="C243" s="33" t="n"/>
      <c r="D243" s="20" t="n"/>
    </row>
    <row r="244">
      <c r="A244" s="34" t="n">
        <v>46505</v>
      </c>
      <c r="B244" s="33" t="n"/>
      <c r="C244" s="33" t="n"/>
      <c r="D244" s="20" t="n"/>
    </row>
    <row r="245">
      <c r="A245" s="34" t="n">
        <v>46506</v>
      </c>
      <c r="B245" s="33" t="n"/>
      <c r="C245" s="33" t="n"/>
      <c r="D245" s="20" t="n"/>
    </row>
    <row r="246">
      <c r="A246" s="34" t="n">
        <v>46507</v>
      </c>
      <c r="B246" s="33" t="n"/>
      <c r="C246" s="33" t="n"/>
      <c r="D246" s="20" t="n"/>
    </row>
    <row r="247">
      <c r="A247" s="34" t="n">
        <v>46508</v>
      </c>
      <c r="B247" s="33" t="n"/>
      <c r="C247" s="33" t="n"/>
      <c r="D247" s="20" t="n"/>
    </row>
    <row r="248">
      <c r="A248" s="34" t="n">
        <v>46509</v>
      </c>
      <c r="B248" s="33" t="n"/>
      <c r="C248" s="33" t="n"/>
      <c r="D248" s="20" t="n"/>
    </row>
    <row r="249">
      <c r="A249" s="34" t="n">
        <v>46510</v>
      </c>
      <c r="B249" s="33" t="n"/>
      <c r="C249" s="33" t="n"/>
      <c r="D249" s="20" t="n"/>
    </row>
    <row r="250">
      <c r="A250" s="34" t="n">
        <v>46511</v>
      </c>
      <c r="B250" s="33" t="n"/>
      <c r="C250" s="33" t="n"/>
      <c r="D250" s="20" t="n"/>
    </row>
    <row r="251">
      <c r="A251" s="34" t="n">
        <v>46512</v>
      </c>
      <c r="B251" s="33" t="n"/>
      <c r="C251" s="33" t="n"/>
      <c r="D251" s="20" t="n"/>
    </row>
    <row r="252">
      <c r="A252" s="34" t="n">
        <v>46513</v>
      </c>
      <c r="B252" s="33" t="n"/>
      <c r="C252" s="33" t="n"/>
      <c r="D252" s="20" t="n"/>
    </row>
    <row r="253">
      <c r="A253" s="34" t="n">
        <v>46514</v>
      </c>
      <c r="B253" s="33" t="n"/>
      <c r="C253" s="33" t="n"/>
      <c r="D253" s="20" t="n"/>
    </row>
    <row r="254">
      <c r="A254" s="34" t="n">
        <v>46515</v>
      </c>
      <c r="B254" s="33" t="n"/>
      <c r="C254" s="33" t="n"/>
      <c r="D254" s="20" t="n"/>
    </row>
    <row r="255">
      <c r="A255" s="34" t="n">
        <v>46516</v>
      </c>
      <c r="B255" s="33" t="n"/>
      <c r="C255" s="33" t="n"/>
      <c r="D255" s="20" t="n"/>
    </row>
    <row r="256">
      <c r="A256" s="34" t="n">
        <v>46517</v>
      </c>
      <c r="B256" s="33" t="n"/>
      <c r="C256" s="33" t="n"/>
      <c r="D256" s="20" t="n"/>
    </row>
    <row r="257">
      <c r="A257" s="34" t="n">
        <v>46518</v>
      </c>
      <c r="B257" s="33" t="n"/>
      <c r="C257" s="33" t="n"/>
      <c r="D257" s="20" t="n"/>
    </row>
    <row r="258">
      <c r="A258" s="34" t="n">
        <v>46519</v>
      </c>
      <c r="B258" s="33" t="n"/>
      <c r="C258" s="33" t="n"/>
      <c r="D258" s="20" t="n"/>
    </row>
    <row r="259">
      <c r="A259" s="34" t="n">
        <v>46520</v>
      </c>
      <c r="B259" s="33" t="n"/>
      <c r="C259" s="33" t="n"/>
      <c r="D259" s="20" t="n"/>
    </row>
    <row r="260">
      <c r="A260" s="34" t="n">
        <v>46521</v>
      </c>
      <c r="B260" s="33" t="n"/>
      <c r="C260" s="33" t="n"/>
      <c r="D260" s="20" t="n"/>
    </row>
    <row r="261">
      <c r="A261" s="34" t="n">
        <v>46522</v>
      </c>
      <c r="B261" s="33" t="n"/>
      <c r="C261" s="33" t="n"/>
      <c r="D261" s="20" t="n"/>
    </row>
    <row r="262">
      <c r="A262" s="34" t="n">
        <v>46523</v>
      </c>
      <c r="B262" s="33" t="n"/>
      <c r="C262" s="33" t="n"/>
      <c r="D262" s="20" t="n"/>
    </row>
    <row r="263">
      <c r="A263" s="34" t="n">
        <v>46524</v>
      </c>
      <c r="B263" s="33" t="n"/>
      <c r="C263" s="33" t="n"/>
      <c r="D263" s="20" t="n"/>
    </row>
    <row r="264">
      <c r="A264" s="34" t="n">
        <v>46525</v>
      </c>
      <c r="B264" s="33" t="n"/>
      <c r="C264" s="33" t="n"/>
      <c r="D264" s="20" t="n"/>
    </row>
    <row r="265">
      <c r="A265" s="34" t="n">
        <v>46526</v>
      </c>
      <c r="B265" s="33" t="n"/>
      <c r="C265" s="33" t="n"/>
      <c r="D265" s="20" t="n"/>
    </row>
    <row r="266">
      <c r="A266" s="34" t="n">
        <v>46527</v>
      </c>
      <c r="B266" s="33" t="n"/>
      <c r="C266" s="33" t="n"/>
      <c r="D266" s="20" t="n"/>
    </row>
    <row r="267">
      <c r="A267" s="34" t="n">
        <v>46528</v>
      </c>
      <c r="B267" s="33" t="n"/>
      <c r="C267" s="33" t="n"/>
      <c r="D267" s="20" t="n"/>
    </row>
    <row r="268">
      <c r="A268" s="34" t="n">
        <v>46529</v>
      </c>
      <c r="B268" s="33" t="n"/>
      <c r="C268" s="33" t="n"/>
      <c r="D268" s="20" t="n"/>
    </row>
    <row r="269">
      <c r="A269" s="34" t="n">
        <v>46530</v>
      </c>
      <c r="B269" s="33" t="n"/>
      <c r="C269" s="33" t="n"/>
      <c r="D269" s="20" t="n"/>
    </row>
    <row r="270">
      <c r="A270" s="34" t="n">
        <v>46531</v>
      </c>
      <c r="B270" s="33" t="n"/>
      <c r="C270" s="33" t="n"/>
      <c r="D270" s="20" t="n"/>
    </row>
    <row r="271">
      <c r="A271" s="34" t="n">
        <v>46532</v>
      </c>
      <c r="B271" s="33" t="n"/>
      <c r="C271" s="33" t="n"/>
      <c r="D271" s="20" t="n"/>
    </row>
    <row r="272">
      <c r="A272" s="34" t="n">
        <v>46533</v>
      </c>
      <c r="B272" s="33" t="n"/>
      <c r="C272" s="33" t="n"/>
      <c r="D272" s="20" t="n"/>
    </row>
    <row r="273">
      <c r="A273" s="34" t="n">
        <v>46534</v>
      </c>
      <c r="B273" s="33" t="n"/>
      <c r="C273" s="33" t="n"/>
      <c r="D273" s="20" t="n"/>
    </row>
    <row r="274">
      <c r="A274" s="34" t="n">
        <v>46535</v>
      </c>
      <c r="B274" s="33" t="n"/>
      <c r="C274" s="33" t="n"/>
      <c r="D274" s="20" t="n"/>
    </row>
    <row r="275">
      <c r="A275" s="34" t="n">
        <v>46536</v>
      </c>
      <c r="B275" s="33" t="n"/>
      <c r="C275" s="33" t="n"/>
      <c r="D275" s="20" t="n"/>
    </row>
    <row r="276">
      <c r="A276" s="34" t="n">
        <v>46537</v>
      </c>
      <c r="B276" s="33" t="n"/>
      <c r="C276" s="33" t="n"/>
      <c r="D276" s="20" t="n"/>
    </row>
    <row r="277">
      <c r="A277" s="34" t="n">
        <v>46538</v>
      </c>
      <c r="B277" s="33" t="n"/>
      <c r="C277" s="33" t="n"/>
      <c r="D277" s="20" t="n"/>
    </row>
    <row r="278">
      <c r="A278" s="34" t="n">
        <v>46539</v>
      </c>
      <c r="B278" s="33" t="n"/>
      <c r="C278" s="33" t="n"/>
      <c r="D278" s="20" t="n"/>
    </row>
    <row r="279">
      <c r="A279" s="34" t="n">
        <v>46540</v>
      </c>
      <c r="B279" s="33" t="n"/>
      <c r="C279" s="33" t="n"/>
      <c r="D279" s="20" t="n"/>
    </row>
    <row r="280">
      <c r="A280" s="34" t="n">
        <v>46541</v>
      </c>
      <c r="B280" s="33" t="n"/>
      <c r="C280" s="33" t="n"/>
      <c r="D280" s="20" t="n"/>
    </row>
    <row r="281">
      <c r="A281" s="34" t="n">
        <v>46542</v>
      </c>
      <c r="B281" s="33" t="n"/>
      <c r="C281" s="33" t="n"/>
      <c r="D281" s="20" t="n"/>
    </row>
    <row r="282">
      <c r="A282" s="34" t="n">
        <v>46543</v>
      </c>
      <c r="B282" s="33" t="n"/>
      <c r="C282" s="33" t="n"/>
      <c r="D282" s="20" t="n"/>
    </row>
    <row r="283">
      <c r="A283" s="34" t="n">
        <v>46544</v>
      </c>
      <c r="B283" s="33" t="n"/>
      <c r="C283" s="33" t="n"/>
      <c r="D283" s="20" t="n"/>
    </row>
    <row r="284">
      <c r="A284" s="34" t="n">
        <v>46545</v>
      </c>
      <c r="B284" s="33" t="n"/>
      <c r="C284" s="33" t="n"/>
      <c r="D284" s="20" t="n"/>
    </row>
    <row r="285">
      <c r="A285" s="34" t="n">
        <v>46546</v>
      </c>
      <c r="B285" s="33" t="n"/>
      <c r="C285" s="33" t="n"/>
      <c r="D285" s="20" t="n"/>
    </row>
    <row r="286">
      <c r="A286" s="34" t="n">
        <v>46547</v>
      </c>
      <c r="B286" s="33" t="n"/>
      <c r="C286" s="33" t="n"/>
      <c r="D286" s="20" t="n"/>
    </row>
    <row r="287">
      <c r="A287" s="34" t="n">
        <v>46548</v>
      </c>
      <c r="B287" s="33" t="n"/>
      <c r="C287" s="33" t="n"/>
      <c r="D287" s="20" t="n"/>
    </row>
    <row r="288">
      <c r="A288" s="34" t="n">
        <v>46549</v>
      </c>
      <c r="B288" s="33" t="n"/>
      <c r="C288" s="33" t="n"/>
      <c r="D288" s="20" t="n"/>
    </row>
    <row r="289">
      <c r="A289" s="34" t="n">
        <v>46550</v>
      </c>
      <c r="B289" s="33" t="n"/>
      <c r="C289" s="33" t="n"/>
      <c r="D289" s="20" t="n"/>
    </row>
    <row r="290">
      <c r="A290" s="34" t="n">
        <v>46551</v>
      </c>
      <c r="B290" s="33" t="n"/>
      <c r="C290" s="33" t="n"/>
      <c r="D290" s="20" t="n"/>
    </row>
    <row r="291">
      <c r="A291" s="34" t="n">
        <v>46552</v>
      </c>
      <c r="B291" s="33" t="n"/>
      <c r="C291" s="33" t="n"/>
      <c r="D291" s="20" t="n"/>
    </row>
    <row r="292">
      <c r="A292" s="34" t="n">
        <v>46553</v>
      </c>
      <c r="B292" s="33" t="n"/>
      <c r="C292" s="33" t="n"/>
      <c r="D292" s="20" t="n"/>
    </row>
    <row r="293">
      <c r="A293" s="34" t="n">
        <v>46554</v>
      </c>
      <c r="B293" s="33" t="n"/>
      <c r="C293" s="33" t="n"/>
      <c r="D293" s="20" t="n"/>
    </row>
    <row r="294">
      <c r="A294" s="34" t="n">
        <v>46555</v>
      </c>
      <c r="B294" s="33" t="n"/>
      <c r="C294" s="33" t="n"/>
      <c r="D294" s="20" t="n"/>
    </row>
    <row r="295">
      <c r="A295" s="34" t="n">
        <v>46556</v>
      </c>
      <c r="B295" s="33" t="n"/>
      <c r="C295" s="33" t="n"/>
      <c r="D295" s="20" t="n"/>
    </row>
    <row r="296">
      <c r="A296" s="34" t="n">
        <v>46557</v>
      </c>
      <c r="B296" s="33" t="n"/>
      <c r="C296" s="33" t="n"/>
      <c r="D296" s="20" t="n"/>
    </row>
    <row r="297">
      <c r="A297" s="34" t="n">
        <v>46558</v>
      </c>
      <c r="B297" s="33" t="n"/>
      <c r="C297" s="33" t="n"/>
      <c r="D297" s="20" t="n"/>
    </row>
    <row r="298">
      <c r="A298" s="34" t="n">
        <v>46559</v>
      </c>
      <c r="B298" s="33" t="n"/>
      <c r="C298" s="33" t="n"/>
      <c r="D298" s="20" t="n"/>
    </row>
    <row r="299">
      <c r="A299" s="34" t="n">
        <v>46560</v>
      </c>
      <c r="B299" s="33" t="n"/>
      <c r="C299" s="33" t="n"/>
      <c r="D299" s="20" t="n"/>
    </row>
    <row r="300">
      <c r="A300" s="34" t="n">
        <v>46561</v>
      </c>
      <c r="B300" s="33" t="n"/>
      <c r="C300" s="33" t="n"/>
      <c r="D300" s="20" t="n"/>
    </row>
    <row r="301">
      <c r="A301" s="34" t="n">
        <v>46562</v>
      </c>
      <c r="B301" s="33" t="n"/>
      <c r="C301" s="33" t="n"/>
      <c r="D301" s="20" t="n"/>
    </row>
    <row r="302">
      <c r="A302" s="34" t="n">
        <v>46563</v>
      </c>
      <c r="B302" s="33" t="n"/>
      <c r="C302" s="33" t="n"/>
      <c r="D302" s="20" t="n"/>
    </row>
    <row r="303">
      <c r="A303" s="34" t="n">
        <v>46564</v>
      </c>
      <c r="B303" s="33" t="n"/>
      <c r="C303" s="33" t="n"/>
      <c r="D303" s="20" t="n"/>
    </row>
    <row r="304">
      <c r="A304" s="34" t="n">
        <v>46565</v>
      </c>
      <c r="B304" s="33" t="n"/>
      <c r="C304" s="33" t="n"/>
      <c r="D304" s="20" t="n"/>
    </row>
    <row r="305">
      <c r="A305" s="34" t="n">
        <v>46566</v>
      </c>
      <c r="B305" s="33" t="n"/>
      <c r="C305" s="33" t="n"/>
      <c r="D305" s="20" t="n"/>
    </row>
    <row r="306">
      <c r="A306" s="34" t="n">
        <v>46567</v>
      </c>
      <c r="B306" s="33" t="n"/>
      <c r="C306" s="33" t="n"/>
      <c r="D306" s="20" t="n"/>
    </row>
    <row r="307">
      <c r="A307" s="34" t="n">
        <v>46568</v>
      </c>
      <c r="B307" s="33" t="n"/>
      <c r="C307" s="33" t="n"/>
      <c r="D307" s="20" t="n"/>
    </row>
    <row r="308">
      <c r="A308" s="34" t="n">
        <v>46569</v>
      </c>
      <c r="B308" s="33" t="n"/>
      <c r="C308" s="33" t="n"/>
      <c r="D308" s="20" t="n"/>
    </row>
    <row r="309">
      <c r="A309" s="34" t="n">
        <v>46570</v>
      </c>
      <c r="B309" s="33" t="n"/>
      <c r="C309" s="33" t="n"/>
      <c r="D309" s="20" t="n"/>
    </row>
    <row r="310">
      <c r="A310" s="34" t="n">
        <v>46571</v>
      </c>
      <c r="B310" s="33" t="n"/>
      <c r="C310" s="33" t="n"/>
      <c r="D310" s="20" t="n"/>
    </row>
    <row r="311">
      <c r="A311" s="34" t="n">
        <v>46572</v>
      </c>
      <c r="B311" s="33" t="n"/>
      <c r="C311" s="33" t="n"/>
      <c r="D311" s="20" t="n"/>
    </row>
    <row r="312">
      <c r="A312" s="34" t="n">
        <v>46573</v>
      </c>
      <c r="B312" s="33" t="n"/>
      <c r="C312" s="33" t="n"/>
      <c r="D312" s="20" t="n"/>
    </row>
    <row r="313">
      <c r="A313" s="34" t="n">
        <v>46574</v>
      </c>
      <c r="B313" s="33" t="n"/>
      <c r="C313" s="33" t="n"/>
      <c r="D313" s="20" t="n"/>
    </row>
    <row r="314">
      <c r="A314" s="34" t="n">
        <v>46575</v>
      </c>
      <c r="B314" s="33" t="n"/>
      <c r="C314" s="33" t="n"/>
      <c r="D314" s="20" t="n"/>
    </row>
    <row r="315">
      <c r="A315" s="34" t="n">
        <v>46576</v>
      </c>
      <c r="B315" s="33" t="n"/>
      <c r="C315" s="33" t="n"/>
      <c r="D315" s="20" t="n"/>
    </row>
    <row r="316">
      <c r="A316" s="34" t="n">
        <v>46577</v>
      </c>
      <c r="B316" s="33" t="n"/>
      <c r="C316" s="33" t="n"/>
      <c r="D316" s="20" t="n"/>
    </row>
    <row r="317">
      <c r="A317" s="34" t="n">
        <v>46578</v>
      </c>
      <c r="B317" s="33" t="n"/>
      <c r="C317" s="33" t="n"/>
      <c r="D317" s="20" t="n"/>
    </row>
    <row r="318">
      <c r="A318" s="34" t="n">
        <v>46579</v>
      </c>
      <c r="B318" s="33" t="n"/>
      <c r="C318" s="33" t="n"/>
      <c r="D318" s="20" t="n"/>
    </row>
    <row r="319">
      <c r="A319" s="34" t="n">
        <v>46580</v>
      </c>
      <c r="B319" s="33" t="n"/>
      <c r="C319" s="33" t="n"/>
      <c r="D319" s="20" t="n"/>
    </row>
    <row r="320">
      <c r="A320" s="34" t="n">
        <v>46581</v>
      </c>
      <c r="B320" s="33" t="n"/>
      <c r="C320" s="33" t="n"/>
      <c r="D320" s="20" t="n"/>
    </row>
    <row r="321">
      <c r="A321" s="34" t="n">
        <v>46582</v>
      </c>
      <c r="B321" s="33" t="n"/>
      <c r="C321" s="33" t="n"/>
      <c r="D321" s="20" t="n"/>
    </row>
    <row r="322">
      <c r="A322" s="34" t="n">
        <v>46583</v>
      </c>
      <c r="B322" s="33" t="n"/>
      <c r="C322" s="33" t="n"/>
      <c r="D322" s="20" t="n"/>
    </row>
    <row r="323">
      <c r="A323" s="34" t="n">
        <v>46584</v>
      </c>
      <c r="B323" s="33" t="n"/>
      <c r="C323" s="33" t="n"/>
      <c r="D323" s="20" t="n"/>
    </row>
    <row r="324">
      <c r="A324" s="34" t="n">
        <v>46585</v>
      </c>
      <c r="B324" s="33" t="n"/>
      <c r="C324" s="33" t="n"/>
      <c r="D324" s="20" t="n"/>
    </row>
    <row r="325">
      <c r="A325" s="34" t="n">
        <v>46586</v>
      </c>
      <c r="B325" s="33" t="n"/>
      <c r="C325" s="33" t="n"/>
      <c r="D325" s="20" t="n"/>
    </row>
    <row r="326">
      <c r="A326" s="34" t="n">
        <v>46587</v>
      </c>
      <c r="B326" s="33" t="n"/>
      <c r="C326" s="33" t="n"/>
      <c r="D326" s="20" t="n"/>
    </row>
    <row r="327">
      <c r="A327" s="34" t="n">
        <v>46588</v>
      </c>
      <c r="B327" s="33" t="n"/>
      <c r="C327" s="33" t="n"/>
      <c r="D327" s="20" t="n"/>
    </row>
    <row r="328">
      <c r="A328" s="34" t="n">
        <v>46589</v>
      </c>
      <c r="B328" s="33" t="n"/>
      <c r="C328" s="33" t="n"/>
      <c r="D328" s="20" t="n"/>
    </row>
    <row r="329">
      <c r="A329" s="34" t="n">
        <v>46590</v>
      </c>
      <c r="B329" s="33" t="n"/>
      <c r="C329" s="33" t="n"/>
      <c r="D329" s="20" t="n"/>
    </row>
    <row r="330">
      <c r="A330" s="34" t="n">
        <v>46591</v>
      </c>
      <c r="B330" s="33" t="n"/>
      <c r="C330" s="33" t="n"/>
      <c r="D330" s="20" t="n"/>
    </row>
    <row r="331">
      <c r="A331" s="34" t="n">
        <v>46592</v>
      </c>
      <c r="B331" s="33" t="n"/>
      <c r="C331" s="33" t="n"/>
      <c r="D331" s="20" t="n"/>
    </row>
    <row r="332">
      <c r="A332" s="34" t="n">
        <v>46593</v>
      </c>
      <c r="B332" s="33" t="n"/>
      <c r="C332" s="33" t="n"/>
      <c r="D332" s="20" t="n"/>
    </row>
    <row r="333">
      <c r="A333" s="34" t="n">
        <v>46594</v>
      </c>
      <c r="B333" s="33" t="n"/>
      <c r="C333" s="33" t="n"/>
      <c r="D333" s="20" t="n"/>
    </row>
    <row r="334">
      <c r="A334" s="34" t="n">
        <v>46595</v>
      </c>
      <c r="B334" s="33" t="n"/>
      <c r="C334" s="33" t="n"/>
      <c r="D334" s="20" t="n"/>
    </row>
    <row r="335">
      <c r="A335" s="34" t="n">
        <v>46596</v>
      </c>
      <c r="B335" s="33" t="n"/>
      <c r="C335" s="33" t="n"/>
      <c r="D335" s="20" t="n"/>
    </row>
    <row r="336">
      <c r="A336" s="34" t="n">
        <v>46597</v>
      </c>
      <c r="B336" s="33" t="n"/>
      <c r="C336" s="33" t="n"/>
      <c r="D336" s="20" t="n"/>
    </row>
    <row r="337">
      <c r="A337" s="34" t="n">
        <v>46598</v>
      </c>
      <c r="B337" s="33" t="n"/>
      <c r="C337" s="33" t="n"/>
      <c r="D337" s="20" t="n"/>
    </row>
    <row r="338">
      <c r="A338" s="34" t="n">
        <v>46599</v>
      </c>
      <c r="B338" s="33" t="n"/>
      <c r="C338" s="33" t="n"/>
      <c r="D338" s="20" t="n"/>
    </row>
    <row r="339">
      <c r="A339" s="34" t="n">
        <v>46600</v>
      </c>
      <c r="B339" s="33" t="n"/>
      <c r="C339" s="33" t="n"/>
      <c r="D339" s="20" t="n"/>
    </row>
    <row r="340">
      <c r="A340" s="34" t="n">
        <v>46601</v>
      </c>
      <c r="B340" s="33" t="n"/>
      <c r="C340" s="33" t="n"/>
      <c r="D340" s="20" t="n"/>
    </row>
    <row r="341">
      <c r="A341" s="34" t="n">
        <v>46602</v>
      </c>
      <c r="B341" s="33" t="n"/>
      <c r="C341" s="33" t="n"/>
      <c r="D341" s="20" t="n"/>
    </row>
    <row r="342">
      <c r="A342" s="34" t="n">
        <v>46603</v>
      </c>
      <c r="B342" s="33" t="n"/>
      <c r="C342" s="33" t="n"/>
      <c r="D342" s="20" t="n"/>
    </row>
    <row r="343">
      <c r="A343" s="34" t="n">
        <v>46604</v>
      </c>
      <c r="B343" s="33" t="n"/>
      <c r="C343" s="33" t="n"/>
      <c r="D343" s="20" t="n"/>
    </row>
    <row r="344">
      <c r="A344" s="34" t="n">
        <v>46605</v>
      </c>
      <c r="B344" s="33" t="n"/>
      <c r="C344" s="33" t="n"/>
      <c r="D344" s="20" t="n"/>
    </row>
    <row r="345">
      <c r="A345" s="34" t="n">
        <v>46606</v>
      </c>
      <c r="B345" s="33" t="n"/>
      <c r="C345" s="33" t="n"/>
      <c r="D345" s="20" t="n"/>
    </row>
    <row r="346">
      <c r="A346" s="34" t="n">
        <v>46607</v>
      </c>
      <c r="B346" s="33" t="n"/>
      <c r="C346" s="33" t="n"/>
      <c r="D346" s="20" t="n"/>
    </row>
    <row r="347">
      <c r="A347" s="34" t="n">
        <v>46608</v>
      </c>
      <c r="B347" s="33" t="n"/>
      <c r="C347" s="33" t="n"/>
      <c r="D347" s="20" t="n"/>
    </row>
    <row r="348">
      <c r="A348" s="34" t="n">
        <v>46609</v>
      </c>
      <c r="B348" s="33" t="n"/>
      <c r="C348" s="33" t="n"/>
      <c r="D348" s="20" t="n"/>
    </row>
    <row r="349">
      <c r="A349" s="34" t="n">
        <v>46610</v>
      </c>
      <c r="B349" s="33" t="n"/>
      <c r="C349" s="33" t="n"/>
      <c r="D349" s="20" t="n"/>
    </row>
    <row r="350">
      <c r="A350" s="34" t="n">
        <v>46611</v>
      </c>
      <c r="B350" s="33" t="n"/>
      <c r="C350" s="33" t="n"/>
      <c r="D350" s="20" t="n"/>
    </row>
    <row r="351">
      <c r="A351" s="34" t="n">
        <v>46612</v>
      </c>
      <c r="B351" s="33" t="n"/>
      <c r="C351" s="33" t="n"/>
      <c r="D351" s="20" t="n"/>
    </row>
    <row r="352">
      <c r="A352" s="34" t="n">
        <v>46613</v>
      </c>
      <c r="B352" s="33" t="n"/>
      <c r="C352" s="33" t="n"/>
      <c r="D352" s="20" t="n"/>
    </row>
    <row r="353">
      <c r="A353" s="34" t="n">
        <v>46614</v>
      </c>
      <c r="B353" s="33" t="n"/>
      <c r="C353" s="33" t="n"/>
      <c r="D353" s="20" t="n"/>
    </row>
    <row r="354">
      <c r="A354" s="34" t="n">
        <v>46615</v>
      </c>
      <c r="B354" s="33" t="n"/>
      <c r="C354" s="33" t="n"/>
      <c r="D354" s="20" t="n"/>
    </row>
    <row r="355">
      <c r="A355" s="34" t="n">
        <v>46616</v>
      </c>
      <c r="B355" s="33" t="n"/>
      <c r="C355" s="33" t="n"/>
      <c r="D355" s="20" t="n"/>
    </row>
    <row r="356">
      <c r="A356" s="34" t="n">
        <v>46617</v>
      </c>
      <c r="B356" s="33" t="n"/>
      <c r="C356" s="33" t="n"/>
      <c r="D356" s="20" t="n"/>
    </row>
    <row r="357">
      <c r="A357" s="34" t="n">
        <v>46618</v>
      </c>
      <c r="B357" s="33" t="n"/>
      <c r="C357" s="33" t="n"/>
      <c r="D357" s="20" t="n"/>
    </row>
    <row r="358">
      <c r="A358" s="34" t="n">
        <v>46619</v>
      </c>
      <c r="B358" s="33" t="n"/>
      <c r="C358" s="33" t="n"/>
      <c r="D358" s="20" t="n"/>
    </row>
    <row r="359">
      <c r="A359" s="34" t="n">
        <v>46620</v>
      </c>
      <c r="B359" s="33" t="n"/>
      <c r="C359" s="33" t="n"/>
      <c r="D359" s="20" t="n"/>
    </row>
    <row r="360">
      <c r="A360" s="34" t="n">
        <v>46621</v>
      </c>
      <c r="B360" s="33" t="n"/>
      <c r="C360" s="33" t="n"/>
      <c r="D360" s="20" t="n"/>
    </row>
    <row r="361">
      <c r="A361" s="34" t="n">
        <v>46622</v>
      </c>
      <c r="B361" s="33" t="n"/>
      <c r="C361" s="33" t="n"/>
      <c r="D361" s="20" t="n"/>
    </row>
    <row r="362">
      <c r="A362" s="34" t="n">
        <v>46623</v>
      </c>
      <c r="B362" s="33" t="n"/>
      <c r="C362" s="33" t="n"/>
      <c r="D362" s="20" t="n"/>
    </row>
    <row r="363">
      <c r="A363" s="34" t="n">
        <v>46624</v>
      </c>
      <c r="B363" s="33" t="n"/>
      <c r="C363" s="33" t="n"/>
      <c r="D363" s="20" t="n"/>
    </row>
    <row r="364">
      <c r="A364" s="34" t="n">
        <v>46625</v>
      </c>
      <c r="B364" s="33" t="n"/>
      <c r="C364" s="33" t="n"/>
      <c r="D364" s="20" t="n"/>
    </row>
    <row r="365">
      <c r="A365" s="34" t="n">
        <v>46626</v>
      </c>
      <c r="B365" s="33" t="n"/>
      <c r="C365" s="33" t="n"/>
      <c r="D365" s="20" t="n"/>
    </row>
    <row r="366">
      <c r="A366" s="34" t="n">
        <v>46627</v>
      </c>
      <c r="B366" s="33" t="n"/>
      <c r="C366" s="33" t="n"/>
      <c r="D366" s="20" t="n"/>
    </row>
    <row r="367">
      <c r="A367" s="34" t="n">
        <v>46628</v>
      </c>
      <c r="B367" s="33" t="n"/>
      <c r="C367" s="33" t="n"/>
      <c r="D367" s="20" t="n"/>
    </row>
    <row r="368">
      <c r="A368" s="34" t="n">
        <v>46629</v>
      </c>
      <c r="B368" s="33" t="n"/>
      <c r="C368" s="33" t="n"/>
      <c r="D368" s="20" t="n"/>
    </row>
    <row r="369">
      <c r="A369" s="34" t="n">
        <v>46630</v>
      </c>
      <c r="B369" s="33" t="n"/>
      <c r="C369" s="33" t="n"/>
      <c r="D369" s="20" t="n"/>
    </row>
    <row r="370">
      <c r="A370" s="34" t="n">
        <v>46631</v>
      </c>
      <c r="B370" s="33" t="n"/>
      <c r="C370" s="33" t="n"/>
      <c r="D370" s="20" t="n"/>
    </row>
    <row r="371">
      <c r="A371" s="34" t="n">
        <v>46632</v>
      </c>
      <c r="B371" s="33" t="n"/>
      <c r="C371" s="33" t="n"/>
      <c r="D371" s="20" t="n"/>
    </row>
    <row r="372">
      <c r="A372" s="34" t="n">
        <v>46633</v>
      </c>
      <c r="B372" s="33" t="n"/>
      <c r="C372" s="33" t="n"/>
      <c r="D372" s="20" t="n"/>
    </row>
    <row r="373">
      <c r="A373" s="34" t="n">
        <v>46634</v>
      </c>
      <c r="B373" s="33" t="n"/>
      <c r="C373" s="33" t="n"/>
      <c r="D373" s="20" t="n"/>
    </row>
    <row r="374">
      <c r="A374" s="34" t="n">
        <v>46635</v>
      </c>
      <c r="B374" s="33" t="n"/>
      <c r="C374" s="33" t="n"/>
      <c r="D374" s="20" t="n"/>
    </row>
    <row r="375">
      <c r="A375" s="34" t="n">
        <v>46636</v>
      </c>
      <c r="B375" s="33" t="n"/>
      <c r="C375" s="33" t="n"/>
      <c r="D375" s="20" t="n"/>
    </row>
    <row r="376">
      <c r="A376" s="34" t="n">
        <v>46637</v>
      </c>
      <c r="B376" s="33" t="n"/>
      <c r="C376" s="33" t="n"/>
      <c r="D376" s="20" t="n"/>
    </row>
    <row r="377">
      <c r="A377" s="34" t="n">
        <v>46638</v>
      </c>
      <c r="B377" s="33" t="n"/>
      <c r="C377" s="33" t="n"/>
      <c r="D377" s="20" t="n"/>
    </row>
    <row r="378">
      <c r="A378" s="34" t="n">
        <v>46639</v>
      </c>
      <c r="B378" s="33" t="n"/>
      <c r="C378" s="33" t="n"/>
      <c r="D378" s="20" t="n"/>
    </row>
    <row r="379">
      <c r="A379" s="34" t="n">
        <v>46640</v>
      </c>
      <c r="B379" s="33" t="n"/>
      <c r="C379" s="33" t="n"/>
      <c r="D379" s="20" t="n"/>
    </row>
    <row r="380">
      <c r="A380" s="34" t="n">
        <v>46641</v>
      </c>
      <c r="B380" s="33" t="n"/>
      <c r="C380" s="33" t="n"/>
      <c r="D380" s="20" t="n"/>
    </row>
    <row r="381">
      <c r="A381" s="34" t="n">
        <v>46642</v>
      </c>
      <c r="B381" s="33" t="n"/>
      <c r="C381" s="33" t="n"/>
      <c r="D381" s="20" t="n"/>
    </row>
    <row r="382">
      <c r="A382" s="34" t="n">
        <v>46643</v>
      </c>
      <c r="B382" s="33" t="n"/>
      <c r="C382" s="33" t="n"/>
      <c r="D382" s="20" t="n"/>
    </row>
    <row r="383">
      <c r="A383" s="34" t="n">
        <v>46644</v>
      </c>
      <c r="B383" s="33" t="n"/>
      <c r="C383" s="33" t="n"/>
      <c r="D383" s="20" t="n"/>
    </row>
    <row r="384">
      <c r="A384" s="34" t="n">
        <v>46645</v>
      </c>
      <c r="B384" s="33" t="n"/>
      <c r="C384" s="33" t="n"/>
      <c r="D384" s="20" t="n"/>
    </row>
    <row r="385">
      <c r="A385" s="34" t="n">
        <v>46646</v>
      </c>
      <c r="B385" s="33" t="n"/>
      <c r="C385" s="33" t="n"/>
      <c r="D385" s="20" t="n"/>
    </row>
    <row r="386">
      <c r="A386" s="34" t="n">
        <v>46647</v>
      </c>
      <c r="B386" s="33" t="n"/>
      <c r="C386" s="33" t="n"/>
      <c r="D386" s="20" t="n"/>
    </row>
    <row r="387">
      <c r="A387" s="34" t="n">
        <v>46648</v>
      </c>
      <c r="B387" s="33" t="n"/>
      <c r="C387" s="33" t="n"/>
      <c r="D387" s="20" t="n"/>
    </row>
    <row r="388">
      <c r="A388" s="34" t="n">
        <v>46649</v>
      </c>
      <c r="B388" s="33" t="n"/>
      <c r="C388" s="33" t="n"/>
      <c r="D388" s="20" t="n"/>
    </row>
    <row r="389">
      <c r="A389" s="34" t="n">
        <v>46650</v>
      </c>
      <c r="B389" s="33" t="n"/>
      <c r="C389" s="33" t="n"/>
      <c r="D389" s="20" t="n"/>
    </row>
    <row r="390">
      <c r="A390" s="34" t="n">
        <v>46651</v>
      </c>
      <c r="B390" s="33" t="n"/>
      <c r="C390" s="33" t="n"/>
      <c r="D390" s="20" t="n"/>
    </row>
    <row r="391">
      <c r="A391" s="34" t="n">
        <v>46652</v>
      </c>
      <c r="B391" s="33" t="n"/>
      <c r="C391" s="33" t="n"/>
      <c r="D391" s="20" t="n"/>
    </row>
    <row r="392">
      <c r="A392" s="34" t="n">
        <v>46653</v>
      </c>
      <c r="B392" s="33" t="n"/>
      <c r="C392" s="33" t="n"/>
      <c r="D392" s="20" t="n"/>
    </row>
    <row r="393">
      <c r="A393" s="34" t="n">
        <v>46654</v>
      </c>
      <c r="B393" s="33" t="n"/>
      <c r="C393" s="33" t="n"/>
      <c r="D393" s="20" t="n"/>
    </row>
    <row r="394">
      <c r="A394" s="34" t="n">
        <v>46655</v>
      </c>
      <c r="B394" s="33" t="n"/>
      <c r="C394" s="33" t="n"/>
      <c r="D394" s="20" t="n"/>
    </row>
    <row r="395">
      <c r="A395" s="34" t="n">
        <v>46656</v>
      </c>
      <c r="B395" s="33" t="n"/>
      <c r="C395" s="33" t="n"/>
      <c r="D395" s="20" t="n"/>
    </row>
    <row r="396">
      <c r="A396" s="34" t="n">
        <v>46657</v>
      </c>
      <c r="B396" s="33" t="n"/>
      <c r="C396" s="33" t="n"/>
      <c r="D396" s="20" t="n"/>
    </row>
    <row r="397">
      <c r="A397" s="34" t="n">
        <v>46658</v>
      </c>
      <c r="B397" s="33" t="n"/>
      <c r="C397" s="33" t="n"/>
      <c r="D397" s="20" t="n"/>
    </row>
    <row r="398">
      <c r="A398" s="34" t="n">
        <v>46659</v>
      </c>
      <c r="B398" s="33" t="n"/>
      <c r="C398" s="33" t="n"/>
      <c r="D398" s="20" t="n"/>
    </row>
    <row r="399">
      <c r="A399" s="34" t="n">
        <v>46660</v>
      </c>
      <c r="B399" s="33" t="n"/>
      <c r="C399" s="33" t="n"/>
      <c r="D399" s="20" t="n"/>
    </row>
    <row r="400">
      <c r="A400" s="34" t="n">
        <v>46661</v>
      </c>
      <c r="B400" s="33" t="n"/>
      <c r="C400" s="33" t="n"/>
      <c r="D400" s="20" t="n"/>
    </row>
    <row r="401">
      <c r="A401" s="34" t="n">
        <v>46662</v>
      </c>
      <c r="B401" s="33" t="n"/>
      <c r="C401" s="33" t="n"/>
      <c r="D401" s="20" t="n"/>
    </row>
    <row r="402">
      <c r="A402" s="34" t="n">
        <v>46663</v>
      </c>
      <c r="B402" s="33" t="n"/>
      <c r="C402" s="33" t="n"/>
      <c r="D402" s="20" t="n"/>
    </row>
    <row r="403">
      <c r="A403" s="34" t="n">
        <v>46664</v>
      </c>
      <c r="B403" s="33" t="n"/>
      <c r="C403" s="33" t="n"/>
      <c r="D403" s="20" t="n"/>
    </row>
    <row r="404">
      <c r="A404" s="34" t="n">
        <v>46665</v>
      </c>
      <c r="B404" s="33" t="n"/>
      <c r="C404" s="33" t="n"/>
      <c r="D404" s="20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5496"/>
    <outlinePr summaryBelow="1" summaryRight="1"/>
    <pageSetUpPr/>
  </sheetPr>
  <dimension ref="A1:M1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9" customWidth="1" min="4" max="4"/>
    <col width="10" customWidth="1" min="5" max="5"/>
    <col width="9" customWidth="1" min="6" max="6"/>
    <col width="11" customWidth="1" min="7" max="7"/>
    <col width="9" customWidth="1" min="8" max="8"/>
    <col width="9" customWidth="1" min="9" max="9"/>
    <col width="13" customWidth="1" min="10" max="10"/>
    <col width="13" customWidth="1" min="11" max="11"/>
    <col width="12" customWidth="1" min="12" max="12"/>
    <col width="12" customWidth="1" min="13" max="13"/>
  </cols>
  <sheetData>
    <row r="1" ht="20" customHeight="1">
      <c r="A1" s="1" t="inlineStr">
        <is>
          <t>PIVOS - casa de bomba, modulo e consumo especifico (CE)</t>
        </is>
      </c>
    </row>
    <row r="2">
      <c r="A2" s="3" t="inlineStr">
        <is>
          <t>CE total = CE captacao do modulo + CE pressurizacao do pivo (kW/vazao). Referencia operacional: KM1 1,08 / KM2 0,95 / RDM 0,82.</t>
        </is>
      </c>
    </row>
    <row r="4" ht="30" customHeight="1">
      <c r="A4" s="4" t="inlineStr">
        <is>
          <t>Pivo</t>
        </is>
      </c>
      <c r="B4" s="4" t="inlineStr">
        <is>
          <t>N</t>
        </is>
      </c>
      <c r="C4" s="4" t="inlineStr">
        <is>
          <t>Faz</t>
        </is>
      </c>
      <c r="D4" s="4" t="inlineStr">
        <is>
          <t>Casa b.</t>
        </is>
      </c>
      <c r="E4" s="4" t="inlineStr">
        <is>
          <t>Modulo oper</t>
        </is>
      </c>
      <c r="F4" s="4" t="inlineStr">
        <is>
          <t>Mod cad</t>
        </is>
      </c>
      <c r="G4" s="4" t="inlineStr">
        <is>
          <t>Area(ha)</t>
        </is>
      </c>
      <c r="H4" s="4" t="inlineStr">
        <is>
          <t>Vazao(m3/h)</t>
        </is>
      </c>
      <c r="I4" s="4" t="inlineStr">
        <is>
          <t>Pot(kW)</t>
        </is>
      </c>
      <c r="J4" s="4" t="inlineStr">
        <is>
          <t>CE press</t>
        </is>
      </c>
      <c r="K4" s="4" t="inlineStr">
        <is>
          <t>CE capt mod</t>
        </is>
      </c>
      <c r="L4" s="4" t="inlineStr">
        <is>
          <t>CE total</t>
        </is>
      </c>
      <c r="M4" s="4" t="inlineStr">
        <is>
          <t>Obs</t>
        </is>
      </c>
    </row>
    <row r="5">
      <c r="A5" s="5" t="inlineStr">
        <is>
          <t>Pivô 01</t>
        </is>
      </c>
      <c r="B5" s="26" t="inlineStr">
        <is>
          <t>1</t>
        </is>
      </c>
      <c r="C5" s="5" t="inlineStr">
        <is>
          <t>Karitel</t>
        </is>
      </c>
      <c r="D5" s="5" t="inlineStr">
        <is>
          <t>R0</t>
        </is>
      </c>
      <c r="E5" s="5" t="inlineStr">
        <is>
          <t>Modulo 1</t>
        </is>
      </c>
      <c r="F5" s="5" t="inlineStr">
        <is>
          <t>Módulo 01</t>
        </is>
      </c>
      <c r="G5" s="15" t="n">
        <v>150.01</v>
      </c>
      <c r="H5" s="15" t="n">
        <v>714.33</v>
      </c>
      <c r="I5" s="35" t="n">
        <v>149.1399744</v>
      </c>
      <c r="J5" s="36">
        <f>IF(OR($I5="",$H5="",$H5=0),"",$I5/$H5)</f>
        <v/>
      </c>
      <c r="K5" s="17" t="n">
        <v>0.305</v>
      </c>
      <c r="L5" s="36">
        <f>IF($J5="","",$J5+N($K5))</f>
        <v/>
      </c>
      <c r="M5" s="20" t="inlineStr"/>
    </row>
    <row r="6">
      <c r="A6" s="5" t="inlineStr">
        <is>
          <t>Pivô 02</t>
        </is>
      </c>
      <c r="B6" s="26" t="inlineStr">
        <is>
          <t>2</t>
        </is>
      </c>
      <c r="C6" s="5" t="inlineStr">
        <is>
          <t>Karitel</t>
        </is>
      </c>
      <c r="D6" s="5" t="inlineStr">
        <is>
          <t>R0</t>
        </is>
      </c>
      <c r="E6" s="5" t="inlineStr">
        <is>
          <t>Modulo 1</t>
        </is>
      </c>
      <c r="F6" s="5" t="inlineStr">
        <is>
          <t>Módulo 01</t>
        </is>
      </c>
      <c r="G6" s="15" t="n">
        <v>123.72</v>
      </c>
      <c r="H6" s="15" t="n">
        <v>523.8</v>
      </c>
      <c r="I6" s="35" t="n">
        <v>149.1399744</v>
      </c>
      <c r="J6" s="36">
        <f>IF(OR($I6="",$H6="",$H6=0),"",$I6/$H6)</f>
        <v/>
      </c>
      <c r="K6" s="17" t="n">
        <v>0.305</v>
      </c>
      <c r="L6" s="36">
        <f>IF($J6="","",$J6+N($K6))</f>
        <v/>
      </c>
      <c r="M6" s="20" t="inlineStr"/>
    </row>
    <row r="7">
      <c r="A7" s="5" t="inlineStr">
        <is>
          <t>Pivô 03</t>
        </is>
      </c>
      <c r="B7" s="26" t="inlineStr">
        <is>
          <t>3</t>
        </is>
      </c>
      <c r="C7" s="5" t="inlineStr">
        <is>
          <t>Karitel</t>
        </is>
      </c>
      <c r="D7" s="5" t="inlineStr">
        <is>
          <t>R0</t>
        </is>
      </c>
      <c r="E7" s="5" t="inlineStr">
        <is>
          <t>Modulo 1</t>
        </is>
      </c>
      <c r="F7" s="5" t="inlineStr">
        <is>
          <t>Módulo 01</t>
        </is>
      </c>
      <c r="G7" s="15" t="n">
        <v>150.01</v>
      </c>
      <c r="H7" s="15" t="n">
        <v>714.33</v>
      </c>
      <c r="I7" s="35" t="n">
        <v>149.1399744</v>
      </c>
      <c r="J7" s="36">
        <f>IF(OR($I7="",$H7="",$H7=0),"",$I7/$H7)</f>
        <v/>
      </c>
      <c r="K7" s="17" t="n">
        <v>0.305</v>
      </c>
      <c r="L7" s="36">
        <f>IF($J7="","",$J7+N($K7))</f>
        <v/>
      </c>
      <c r="M7" s="20" t="inlineStr"/>
    </row>
    <row r="8">
      <c r="A8" s="5" t="inlineStr">
        <is>
          <t>Pivô 04</t>
        </is>
      </c>
      <c r="B8" s="26" t="inlineStr">
        <is>
          <t>4</t>
        </is>
      </c>
      <c r="C8" s="5" t="inlineStr">
        <is>
          <t>Karitel</t>
        </is>
      </c>
      <c r="D8" s="5" t="inlineStr">
        <is>
          <t>R0</t>
        </is>
      </c>
      <c r="E8" s="5" t="inlineStr">
        <is>
          <t>Modulo 1</t>
        </is>
      </c>
      <c r="F8" s="5" t="inlineStr">
        <is>
          <t>Módulo 01</t>
        </is>
      </c>
      <c r="G8" s="15" t="n">
        <v>62.76</v>
      </c>
      <c r="H8" s="15" t="n">
        <v>290</v>
      </c>
      <c r="I8" s="35" t="n">
        <v>29.82799488</v>
      </c>
      <c r="J8" s="36">
        <f>IF(OR($I8="",$H8="",$H8=0),"",$I8/$H8)</f>
        <v/>
      </c>
      <c r="K8" s="17" t="n">
        <v>0.305</v>
      </c>
      <c r="L8" s="36">
        <f>IF($J8="","",$J8+N($K8))</f>
        <v/>
      </c>
      <c r="M8" s="20" t="inlineStr"/>
    </row>
    <row r="9">
      <c r="A9" s="5" t="inlineStr">
        <is>
          <t>Pivô 05</t>
        </is>
      </c>
      <c r="B9" s="26" t="inlineStr">
        <is>
          <t>5</t>
        </is>
      </c>
      <c r="C9" s="5" t="inlineStr">
        <is>
          <t>Karitel</t>
        </is>
      </c>
      <c r="D9" s="5" t="inlineStr">
        <is>
          <t>R1</t>
        </is>
      </c>
      <c r="E9" s="5" t="inlineStr">
        <is>
          <t>Modulo 1</t>
        </is>
      </c>
      <c r="F9" s="5" t="inlineStr">
        <is>
          <t>Módulo 01</t>
        </is>
      </c>
      <c r="G9" s="15" t="n">
        <v>150.01</v>
      </c>
      <c r="H9" s="15" t="n">
        <v>692.9</v>
      </c>
      <c r="I9" s="35" t="n">
        <v>186.424968</v>
      </c>
      <c r="J9" s="36">
        <f>IF(OR($I9="",$H9="",$H9=0),"",$I9/$H9)</f>
        <v/>
      </c>
      <c r="K9" s="17" t="n">
        <v>0.305</v>
      </c>
      <c r="L9" s="36">
        <f>IF($J9="","",$J9+N($K9))</f>
        <v/>
      </c>
      <c r="M9" s="20" t="inlineStr"/>
    </row>
    <row r="10">
      <c r="A10" s="5" t="inlineStr">
        <is>
          <t>Pivô 06</t>
        </is>
      </c>
      <c r="B10" s="26" t="inlineStr">
        <is>
          <t>6</t>
        </is>
      </c>
      <c r="C10" s="5" t="inlineStr">
        <is>
          <t>Karitel</t>
        </is>
      </c>
      <c r="D10" s="5" t="inlineStr">
        <is>
          <t>R1</t>
        </is>
      </c>
      <c r="E10" s="5" t="inlineStr">
        <is>
          <t>Modulo 1</t>
        </is>
      </c>
      <c r="F10" s="5" t="inlineStr">
        <is>
          <t>Módulo 01</t>
        </is>
      </c>
      <c r="G10" s="15" t="n">
        <v>150.01</v>
      </c>
      <c r="H10" s="15" t="n">
        <v>641</v>
      </c>
      <c r="I10" s="35" t="n">
        <v>186.424968</v>
      </c>
      <c r="J10" s="36">
        <f>IF(OR($I10="",$H10="",$H10=0),"",$I10/$H10)</f>
        <v/>
      </c>
      <c r="K10" s="17" t="n">
        <v>0.305</v>
      </c>
      <c r="L10" s="36">
        <f>IF($J10="","",$J10+N($K10))</f>
        <v/>
      </c>
      <c r="M10" s="20" t="inlineStr"/>
    </row>
    <row r="11">
      <c r="A11" s="5" t="inlineStr">
        <is>
          <t>Pivô 07</t>
        </is>
      </c>
      <c r="B11" s="26" t="inlineStr">
        <is>
          <t>7</t>
        </is>
      </c>
      <c r="C11" s="5" t="inlineStr">
        <is>
          <t>Karitel</t>
        </is>
      </c>
      <c r="D11" s="5" t="inlineStr">
        <is>
          <t>R2</t>
        </is>
      </c>
      <c r="E11" s="5" t="inlineStr">
        <is>
          <t>Modulo 1</t>
        </is>
      </c>
      <c r="F11" s="5" t="inlineStr">
        <is>
          <t>Módulo 01</t>
        </is>
      </c>
      <c r="G11" s="15" t="n">
        <v>120.13</v>
      </c>
      <c r="H11" s="15" t="n">
        <v>572.05</v>
      </c>
      <c r="I11" s="35" t="n">
        <v>186.424968</v>
      </c>
      <c r="J11" s="36">
        <f>IF(OR($I11="",$H11="",$H11=0),"",$I11/$H11)</f>
        <v/>
      </c>
      <c r="K11" s="17" t="n">
        <v>0.305</v>
      </c>
      <c r="L11" s="36">
        <f>IF($J11="","",$J11+N($K11))</f>
        <v/>
      </c>
      <c r="M11" s="20" t="inlineStr"/>
    </row>
    <row r="12">
      <c r="A12" s="5" t="inlineStr">
        <is>
          <t>Pivô 08</t>
        </is>
      </c>
      <c r="B12" s="26" t="inlineStr">
        <is>
          <t>8</t>
        </is>
      </c>
      <c r="C12" s="5" t="inlineStr">
        <is>
          <t>Karitel</t>
        </is>
      </c>
      <c r="D12" s="5" t="inlineStr">
        <is>
          <t>R2</t>
        </is>
      </c>
      <c r="E12" s="5" t="inlineStr">
        <is>
          <t>Modulo 1</t>
        </is>
      </c>
      <c r="F12" s="5" t="inlineStr">
        <is>
          <t>Módulo 01</t>
        </is>
      </c>
      <c r="G12" s="15" t="n">
        <v>150.01</v>
      </c>
      <c r="H12" s="15" t="n">
        <v>714.33</v>
      </c>
      <c r="I12" s="35" t="n">
        <v>186.424968</v>
      </c>
      <c r="J12" s="36">
        <f>IF(OR($I12="",$H12="",$H12=0),"",$I12/$H12)</f>
        <v/>
      </c>
      <c r="K12" s="17" t="n">
        <v>0.305</v>
      </c>
      <c r="L12" s="36">
        <f>IF($J12="","",$J12+N($K12))</f>
        <v/>
      </c>
      <c r="M12" s="20" t="inlineStr"/>
    </row>
    <row r="13">
      <c r="A13" s="5" t="inlineStr">
        <is>
          <t>Pivô 09</t>
        </is>
      </c>
      <c r="B13" s="26" t="inlineStr">
        <is>
          <t>9</t>
        </is>
      </c>
      <c r="C13" s="5" t="inlineStr">
        <is>
          <t>Karitel</t>
        </is>
      </c>
      <c r="D13" s="5" t="inlineStr">
        <is>
          <t>R3</t>
        </is>
      </c>
      <c r="E13" s="5" t="inlineStr">
        <is>
          <t>Modulo 1</t>
        </is>
      </c>
      <c r="F13" s="5" t="inlineStr">
        <is>
          <t>Módulo 01</t>
        </is>
      </c>
      <c r="G13" s="15" t="n">
        <v>120.13</v>
      </c>
      <c r="H13" s="15" t="n">
        <v>572.5</v>
      </c>
      <c r="I13" s="35" t="n">
        <v>149.1399744</v>
      </c>
      <c r="J13" s="36">
        <f>IF(OR($I13="",$H13="",$H13=0),"",$I13/$H13)</f>
        <v/>
      </c>
      <c r="K13" s="17" t="n">
        <v>0.305</v>
      </c>
      <c r="L13" s="36">
        <f>IF($J13="","",$J13+N($K13))</f>
        <v/>
      </c>
      <c r="M13" s="20" t="inlineStr"/>
    </row>
    <row r="14">
      <c r="A14" s="5" t="inlineStr">
        <is>
          <t>Pivô 10</t>
        </is>
      </c>
      <c r="B14" s="26" t="inlineStr">
        <is>
          <t>10</t>
        </is>
      </c>
      <c r="C14" s="5" t="inlineStr">
        <is>
          <t>Karitel</t>
        </is>
      </c>
      <c r="D14" s="5" t="inlineStr">
        <is>
          <t>R3</t>
        </is>
      </c>
      <c r="E14" s="5" t="inlineStr">
        <is>
          <t>Modulo 1</t>
        </is>
      </c>
      <c r="F14" s="5" t="inlineStr">
        <is>
          <t>Módulo 01</t>
        </is>
      </c>
      <c r="G14" s="15" t="n">
        <v>150.01</v>
      </c>
      <c r="H14" s="15" t="n">
        <v>714.33</v>
      </c>
      <c r="I14" s="35" t="n">
        <v>186.424968</v>
      </c>
      <c r="J14" s="36">
        <f>IF(OR($I14="",$H14="",$H14=0),"",$I14/$H14)</f>
        <v/>
      </c>
      <c r="K14" s="17" t="n">
        <v>0.305</v>
      </c>
      <c r="L14" s="36">
        <f>IF($J14="","",$J14+N($K14))</f>
        <v/>
      </c>
      <c r="M14" s="20" t="inlineStr"/>
    </row>
    <row r="15">
      <c r="A15" s="5" t="inlineStr">
        <is>
          <t>Pivô 11</t>
        </is>
      </c>
      <c r="B15" s="26" t="inlineStr">
        <is>
          <t>11</t>
        </is>
      </c>
      <c r="C15" s="5" t="inlineStr">
        <is>
          <t>Karitel</t>
        </is>
      </c>
      <c r="D15" s="5" t="inlineStr">
        <is>
          <t>R5</t>
        </is>
      </c>
      <c r="E15" s="5" t="inlineStr">
        <is>
          <t>Modulo 1</t>
        </is>
      </c>
      <c r="F15" s="5" t="inlineStr">
        <is>
          <t>Módulo 01</t>
        </is>
      </c>
      <c r="G15" s="15" t="n">
        <v>121.12</v>
      </c>
      <c r="H15" s="15" t="n">
        <v>547.92</v>
      </c>
      <c r="I15" s="35" t="n">
        <v>149.1399744</v>
      </c>
      <c r="J15" s="36">
        <f>IF(OR($I15="",$H15="",$H15=0),"",$I15/$H15)</f>
        <v/>
      </c>
      <c r="K15" s="17" t="n">
        <v>0.305</v>
      </c>
      <c r="L15" s="36">
        <f>IF($J15="","",$J15+N($K15))</f>
        <v/>
      </c>
      <c r="M15" s="20" t="inlineStr"/>
    </row>
    <row r="16">
      <c r="A16" s="5" t="inlineStr">
        <is>
          <t>Pivô 12</t>
        </is>
      </c>
      <c r="B16" s="26" t="inlineStr">
        <is>
          <t>12</t>
        </is>
      </c>
      <c r="C16" s="5" t="inlineStr">
        <is>
          <t>Karitel</t>
        </is>
      </c>
      <c r="D16" s="5" t="inlineStr">
        <is>
          <t>R5</t>
        </is>
      </c>
      <c r="E16" s="5" t="inlineStr">
        <is>
          <t>Modulo 1</t>
        </is>
      </c>
      <c r="F16" s="5" t="inlineStr">
        <is>
          <t>Módulo 01</t>
        </is>
      </c>
      <c r="G16" s="15" t="n">
        <v>150.01</v>
      </c>
      <c r="H16" s="15" t="n">
        <v>714.33</v>
      </c>
      <c r="I16" s="35" t="n">
        <v>186.424968</v>
      </c>
      <c r="J16" s="36">
        <f>IF(OR($I16="",$H16="",$H16=0),"",$I16/$H16)</f>
        <v/>
      </c>
      <c r="K16" s="17" t="n">
        <v>0.305</v>
      </c>
      <c r="L16" s="36">
        <f>IF($J16="","",$J16+N($K16))</f>
        <v/>
      </c>
      <c r="M16" s="20" t="inlineStr"/>
    </row>
    <row r="17">
      <c r="A17" s="5" t="inlineStr">
        <is>
          <t>Pivô 13</t>
        </is>
      </c>
      <c r="B17" s="26" t="inlineStr">
        <is>
          <t>13</t>
        </is>
      </c>
      <c r="C17" s="5" t="inlineStr">
        <is>
          <t>Karitel</t>
        </is>
      </c>
      <c r="D17" s="5" t="inlineStr">
        <is>
          <t>R5</t>
        </is>
      </c>
      <c r="E17" s="5" t="inlineStr">
        <is>
          <t>Modulo 1</t>
        </is>
      </c>
      <c r="F17" s="5" t="inlineStr">
        <is>
          <t>Módulo 01</t>
        </is>
      </c>
      <c r="G17" s="15" t="n">
        <v>71.3</v>
      </c>
      <c r="H17" s="15" t="n">
        <v>339.52</v>
      </c>
      <c r="I17" s="35" t="n">
        <v>111.9</v>
      </c>
      <c r="J17" s="36">
        <f>IF(OR($I17="",$H17="",$H17=0),"",$I17/$H17)</f>
        <v/>
      </c>
      <c r="K17" s="17" t="n">
        <v>0.305</v>
      </c>
      <c r="L17" s="36">
        <f>IF($J17="","",$J17+N($K17))</f>
        <v/>
      </c>
      <c r="M17" s="20" t="inlineStr"/>
    </row>
    <row r="18">
      <c r="A18" s="5" t="inlineStr">
        <is>
          <t>Pivô 14</t>
        </is>
      </c>
      <c r="B18" s="26" t="inlineStr">
        <is>
          <t>14</t>
        </is>
      </c>
      <c r="C18" s="5" t="inlineStr">
        <is>
          <t>Karitel</t>
        </is>
      </c>
      <c r="D18" s="5" t="inlineStr">
        <is>
          <t>R6</t>
        </is>
      </c>
      <c r="E18" s="5" t="inlineStr">
        <is>
          <t>Modulo 1</t>
        </is>
      </c>
      <c r="F18" s="5" t="inlineStr">
        <is>
          <t>Módulo 01</t>
        </is>
      </c>
      <c r="G18" s="15" t="n">
        <v>150.01</v>
      </c>
      <c r="H18" s="15" t="n">
        <v>614.33</v>
      </c>
      <c r="I18" s="35" t="n">
        <v>55.9274904</v>
      </c>
      <c r="J18" s="36">
        <f>IF(OR($I18="",$H18="",$H18=0),"",$I18/$H18)</f>
        <v/>
      </c>
      <c r="K18" s="17" t="n">
        <v>0.305</v>
      </c>
      <c r="L18" s="36">
        <f>IF($J18="","",$J18+N($K18))</f>
        <v/>
      </c>
      <c r="M18" s="20" t="inlineStr"/>
    </row>
    <row r="19">
      <c r="A19" s="5" t="inlineStr">
        <is>
          <t>Pivô 15</t>
        </is>
      </c>
      <c r="B19" s="26" t="inlineStr">
        <is>
          <t>15</t>
        </is>
      </c>
      <c r="C19" s="5" t="inlineStr">
        <is>
          <t>Karitel</t>
        </is>
      </c>
      <c r="D19" s="5" t="inlineStr">
        <is>
          <t>R1</t>
        </is>
      </c>
      <c r="E19" s="5" t="inlineStr">
        <is>
          <t>Modulo 1</t>
        </is>
      </c>
      <c r="F19" s="5" t="inlineStr">
        <is>
          <t>Módulo 01</t>
        </is>
      </c>
      <c r="G19" s="15" t="n">
        <v>150.01</v>
      </c>
      <c r="H19" s="15" t="n">
        <v>714.33</v>
      </c>
      <c r="I19" s="35" t="n">
        <v>149.1399744</v>
      </c>
      <c r="J19" s="36">
        <f>IF(OR($I19="",$H19="",$H19=0),"",$I19/$H19)</f>
        <v/>
      </c>
      <c r="K19" s="17" t="n">
        <v>0.305</v>
      </c>
      <c r="L19" s="36">
        <f>IF($J19="","",$J19+N($K19))</f>
        <v/>
      </c>
      <c r="M19" s="20" t="inlineStr"/>
    </row>
    <row r="20">
      <c r="A20" s="5" t="inlineStr">
        <is>
          <t>Pivô 16</t>
        </is>
      </c>
      <c r="B20" s="26" t="inlineStr">
        <is>
          <t>16</t>
        </is>
      </c>
      <c r="C20" s="5" t="inlineStr">
        <is>
          <t>Karitel</t>
        </is>
      </c>
      <c r="D20" s="5" t="inlineStr">
        <is>
          <t>R1</t>
        </is>
      </c>
      <c r="E20" s="5" t="inlineStr">
        <is>
          <t>Modulo 1</t>
        </is>
      </c>
      <c r="F20" s="5" t="inlineStr">
        <is>
          <t>Módulo 01</t>
        </is>
      </c>
      <c r="G20" s="15" t="n">
        <v>150.01</v>
      </c>
      <c r="H20" s="15" t="n">
        <v>714.33</v>
      </c>
      <c r="I20" s="35" t="n">
        <v>186.424968</v>
      </c>
      <c r="J20" s="36">
        <f>IF(OR($I20="",$H20="",$H20=0),"",$I20/$H20)</f>
        <v/>
      </c>
      <c r="K20" s="17" t="n">
        <v>0.305</v>
      </c>
      <c r="L20" s="36">
        <f>IF($J20="","",$J20+N($K20))</f>
        <v/>
      </c>
      <c r="M20" s="20" t="inlineStr"/>
    </row>
    <row r="21">
      <c r="A21" s="5" t="inlineStr">
        <is>
          <t>Pivô 17</t>
        </is>
      </c>
      <c r="B21" s="26" t="inlineStr">
        <is>
          <t>17</t>
        </is>
      </c>
      <c r="C21" s="5" t="inlineStr">
        <is>
          <t>Karitel</t>
        </is>
      </c>
      <c r="D21" s="5" t="inlineStr">
        <is>
          <t>R2</t>
        </is>
      </c>
      <c r="E21" s="5" t="inlineStr">
        <is>
          <t>Modulo 1</t>
        </is>
      </c>
      <c r="F21" s="5" t="inlineStr">
        <is>
          <t>Módulo 01</t>
        </is>
      </c>
      <c r="G21" s="15" t="n">
        <v>150.01</v>
      </c>
      <c r="H21" s="15" t="n">
        <v>714.33</v>
      </c>
      <c r="I21" s="35" t="n">
        <v>149.1399744</v>
      </c>
      <c r="J21" s="36">
        <f>IF(OR($I21="",$H21="",$H21=0),"",$I21/$H21)</f>
        <v/>
      </c>
      <c r="K21" s="17" t="n">
        <v>0.305</v>
      </c>
      <c r="L21" s="36">
        <f>IF($J21="","",$J21+N($K21))</f>
        <v/>
      </c>
      <c r="M21" s="20" t="inlineStr"/>
    </row>
    <row r="22">
      <c r="A22" s="5" t="inlineStr">
        <is>
          <t>Pivô 18</t>
        </is>
      </c>
      <c r="B22" s="26" t="inlineStr">
        <is>
          <t>18</t>
        </is>
      </c>
      <c r="C22" s="5" t="inlineStr">
        <is>
          <t>Karitel</t>
        </is>
      </c>
      <c r="D22" s="5" t="inlineStr">
        <is>
          <t>R2</t>
        </is>
      </c>
      <c r="E22" s="5" t="inlineStr">
        <is>
          <t>Modulo 1</t>
        </is>
      </c>
      <c r="F22" s="5" t="inlineStr">
        <is>
          <t>Módulo 01</t>
        </is>
      </c>
      <c r="G22" s="15" t="n">
        <v>150.01</v>
      </c>
      <c r="H22" s="15" t="n">
        <v>714.33</v>
      </c>
      <c r="I22" s="35" t="n">
        <v>149.1399744</v>
      </c>
      <c r="J22" s="36">
        <f>IF(OR($I22="",$H22="",$H22=0),"",$I22/$H22)</f>
        <v/>
      </c>
      <c r="K22" s="17" t="n">
        <v>0.305</v>
      </c>
      <c r="L22" s="36">
        <f>IF($J22="","",$J22+N($K22))</f>
        <v/>
      </c>
      <c r="M22" s="20" t="inlineStr"/>
    </row>
    <row r="23">
      <c r="A23" s="5" t="inlineStr">
        <is>
          <t>Pivô 19</t>
        </is>
      </c>
      <c r="B23" s="26" t="inlineStr">
        <is>
          <t>19</t>
        </is>
      </c>
      <c r="C23" s="5" t="inlineStr">
        <is>
          <t>Karitel</t>
        </is>
      </c>
      <c r="D23" s="5" t="inlineStr">
        <is>
          <t>R3</t>
        </is>
      </c>
      <c r="E23" s="5" t="inlineStr">
        <is>
          <t>Modulo 1</t>
        </is>
      </c>
      <c r="F23" s="5" t="inlineStr">
        <is>
          <t>Módulo 01</t>
        </is>
      </c>
      <c r="G23" s="15" t="n">
        <v>150.01</v>
      </c>
      <c r="H23" s="15" t="n">
        <v>714.33</v>
      </c>
      <c r="I23" s="35" t="n">
        <v>149.1399744</v>
      </c>
      <c r="J23" s="36">
        <f>IF(OR($I23="",$H23="",$H23=0),"",$I23/$H23)</f>
        <v/>
      </c>
      <c r="K23" s="17" t="n">
        <v>0.305</v>
      </c>
      <c r="L23" s="36">
        <f>IF($J23="","",$J23+N($K23))</f>
        <v/>
      </c>
      <c r="M23" s="20" t="inlineStr"/>
    </row>
    <row r="24">
      <c r="A24" s="5" t="inlineStr">
        <is>
          <t>Pivô 20</t>
        </is>
      </c>
      <c r="B24" s="26" t="inlineStr">
        <is>
          <t>20</t>
        </is>
      </c>
      <c r="C24" s="5" t="inlineStr">
        <is>
          <t>Karitel</t>
        </is>
      </c>
      <c r="D24" s="5" t="inlineStr">
        <is>
          <t>R3</t>
        </is>
      </c>
      <c r="E24" s="5" t="inlineStr">
        <is>
          <t>Modulo 1</t>
        </is>
      </c>
      <c r="F24" s="5" t="inlineStr">
        <is>
          <t>Módulo 01</t>
        </is>
      </c>
      <c r="G24" s="15" t="n">
        <v>150.01</v>
      </c>
      <c r="H24" s="15" t="n">
        <v>714.33</v>
      </c>
      <c r="I24" s="35" t="n">
        <v>74.5699872</v>
      </c>
      <c r="J24" s="36">
        <f>IF(OR($I24="",$H24="",$H24=0),"",$I24/$H24)</f>
        <v/>
      </c>
      <c r="K24" s="17" t="n">
        <v>0.305</v>
      </c>
      <c r="L24" s="36">
        <f>IF($J24="","",$J24+N($K24))</f>
        <v/>
      </c>
      <c r="M24" s="20" t="inlineStr"/>
    </row>
    <row r="25">
      <c r="A25" s="5" t="inlineStr">
        <is>
          <t>Pivô 21</t>
        </is>
      </c>
      <c r="B25" s="26" t="inlineStr">
        <is>
          <t>21</t>
        </is>
      </c>
      <c r="C25" s="5" t="inlineStr">
        <is>
          <t>Karitel</t>
        </is>
      </c>
      <c r="D25" s="5" t="inlineStr">
        <is>
          <t>R4</t>
        </is>
      </c>
      <c r="E25" s="5" t="inlineStr">
        <is>
          <t>Modulo 1</t>
        </is>
      </c>
      <c r="F25" s="5" t="inlineStr">
        <is>
          <t>Módulo 01</t>
        </is>
      </c>
      <c r="G25" s="15" t="n">
        <v>150.01</v>
      </c>
      <c r="H25" s="15" t="n">
        <v>714.33</v>
      </c>
      <c r="I25" s="35" t="n">
        <v>149.1399744</v>
      </c>
      <c r="J25" s="36">
        <f>IF(OR($I25="",$H25="",$H25=0),"",$I25/$H25)</f>
        <v/>
      </c>
      <c r="K25" s="17" t="n">
        <v>0.305</v>
      </c>
      <c r="L25" s="36">
        <f>IF($J25="","",$J25+N($K25))</f>
        <v/>
      </c>
      <c r="M25" s="20" t="inlineStr"/>
    </row>
    <row r="26">
      <c r="A26" s="5" t="inlineStr">
        <is>
          <t>Pivô 22</t>
        </is>
      </c>
      <c r="B26" s="26" t="inlineStr">
        <is>
          <t>22</t>
        </is>
      </c>
      <c r="C26" s="5" t="inlineStr">
        <is>
          <t>Karitel</t>
        </is>
      </c>
      <c r="D26" s="5" t="inlineStr">
        <is>
          <t>R4</t>
        </is>
      </c>
      <c r="E26" s="5" t="inlineStr">
        <is>
          <t>Modulo 1</t>
        </is>
      </c>
      <c r="F26" s="5" t="inlineStr">
        <is>
          <t>Módulo 01</t>
        </is>
      </c>
      <c r="G26" s="15" t="n">
        <v>150.01</v>
      </c>
      <c r="H26" s="15" t="n">
        <v>714.33</v>
      </c>
      <c r="I26" s="35" t="n">
        <v>149.1399744</v>
      </c>
      <c r="J26" s="36">
        <f>IF(OR($I26="",$H26="",$H26=0),"",$I26/$H26)</f>
        <v/>
      </c>
      <c r="K26" s="17" t="n">
        <v>0.305</v>
      </c>
      <c r="L26" s="36">
        <f>IF($J26="","",$J26+N($K26))</f>
        <v/>
      </c>
      <c r="M26" s="20" t="inlineStr"/>
    </row>
    <row r="27">
      <c r="A27" s="5" t="inlineStr">
        <is>
          <t>Pivô 23</t>
        </is>
      </c>
      <c r="B27" s="26" t="inlineStr">
        <is>
          <t>23</t>
        </is>
      </c>
      <c r="C27" s="5" t="inlineStr">
        <is>
          <t>Karitel</t>
        </is>
      </c>
      <c r="D27" s="5" t="inlineStr">
        <is>
          <t>R6</t>
        </is>
      </c>
      <c r="E27" s="5" t="inlineStr">
        <is>
          <t>Modulo 1</t>
        </is>
      </c>
      <c r="F27" s="5" t="inlineStr">
        <is>
          <t>Módulo 01</t>
        </is>
      </c>
      <c r="G27" s="15" t="n">
        <v>150.01</v>
      </c>
      <c r="H27" s="15" t="n">
        <v>602.63</v>
      </c>
      <c r="I27" s="35" t="n">
        <v>149.1399744</v>
      </c>
      <c r="J27" s="36">
        <f>IF(OR($I27="",$H27="",$H27=0),"",$I27/$H27)</f>
        <v/>
      </c>
      <c r="K27" s="17" t="n">
        <v>0.305</v>
      </c>
      <c r="L27" s="36">
        <f>IF($J27="","",$J27+N($K27))</f>
        <v/>
      </c>
      <c r="M27" s="20" t="inlineStr"/>
    </row>
    <row r="28">
      <c r="A28" s="5" t="inlineStr">
        <is>
          <t>Pivô 24</t>
        </is>
      </c>
      <c r="B28" s="26" t="inlineStr">
        <is>
          <t>24</t>
        </is>
      </c>
      <c r="C28" s="5" t="inlineStr">
        <is>
          <t>Karitel</t>
        </is>
      </c>
      <c r="D28" s="5" t="inlineStr">
        <is>
          <t>R6</t>
        </is>
      </c>
      <c r="E28" s="5" t="inlineStr">
        <is>
          <t>Modulo 1</t>
        </is>
      </c>
      <c r="F28" s="5" t="inlineStr">
        <is>
          <t>Módulo 01</t>
        </is>
      </c>
      <c r="G28" s="15" t="n">
        <v>150.01</v>
      </c>
      <c r="H28" s="15" t="n">
        <v>714.33</v>
      </c>
      <c r="I28" s="35" t="n">
        <v>186.424968</v>
      </c>
      <c r="J28" s="36">
        <f>IF(OR($I28="",$H28="",$H28=0),"",$I28/$H28)</f>
        <v/>
      </c>
      <c r="K28" s="17" t="n">
        <v>0.305</v>
      </c>
      <c r="L28" s="36">
        <f>IF($J28="","",$J28+N($K28))</f>
        <v/>
      </c>
      <c r="M28" s="20" t="inlineStr"/>
    </row>
    <row r="29">
      <c r="A29" s="5" t="inlineStr">
        <is>
          <t>Pivô 25</t>
        </is>
      </c>
      <c r="B29" s="26" t="inlineStr">
        <is>
          <t>25</t>
        </is>
      </c>
      <c r="C29" s="5" t="inlineStr">
        <is>
          <t>Karitel</t>
        </is>
      </c>
      <c r="D29" s="5" t="inlineStr">
        <is>
          <t>R7</t>
        </is>
      </c>
      <c r="E29" s="5" t="inlineStr">
        <is>
          <t>Modulo 1</t>
        </is>
      </c>
      <c r="F29" s="5" t="inlineStr">
        <is>
          <t>Módulo 01</t>
        </is>
      </c>
      <c r="G29" s="15" t="n">
        <v>99.7</v>
      </c>
      <c r="H29" s="15" t="n">
        <v>474.76</v>
      </c>
      <c r="I29" s="35" t="n">
        <v>74.5699872</v>
      </c>
      <c r="J29" s="36">
        <f>IF(OR($I29="",$H29="",$H29=0),"",$I29/$H29)</f>
        <v/>
      </c>
      <c r="K29" s="17" t="n">
        <v>0.305</v>
      </c>
      <c r="L29" s="36">
        <f>IF($J29="","",$J29+N($K29))</f>
        <v/>
      </c>
      <c r="M29" s="20" t="inlineStr"/>
    </row>
    <row r="30">
      <c r="A30" s="5" t="inlineStr">
        <is>
          <t>Pivô 26</t>
        </is>
      </c>
      <c r="B30" s="26" t="inlineStr">
        <is>
          <t>26</t>
        </is>
      </c>
      <c r="C30" s="5" t="inlineStr">
        <is>
          <t>Karitel</t>
        </is>
      </c>
      <c r="D30" s="5" t="inlineStr">
        <is>
          <t>R7</t>
        </is>
      </c>
      <c r="E30" s="5" t="inlineStr">
        <is>
          <t>Modulo 1</t>
        </is>
      </c>
      <c r="F30" s="5" t="inlineStr">
        <is>
          <t>Módulo 01</t>
        </is>
      </c>
      <c r="G30" s="15" t="n">
        <v>150.01</v>
      </c>
      <c r="H30" s="15" t="n">
        <v>650.04</v>
      </c>
      <c r="I30" s="35" t="n">
        <v>186.424968</v>
      </c>
      <c r="J30" s="36">
        <f>IF(OR($I30="",$H30="",$H30=0),"",$I30/$H30)</f>
        <v/>
      </c>
      <c r="K30" s="17" t="n">
        <v>0.305</v>
      </c>
      <c r="L30" s="36">
        <f>IF($J30="","",$J30+N($K30))</f>
        <v/>
      </c>
      <c r="M30" s="20" t="inlineStr"/>
    </row>
    <row r="31">
      <c r="A31" s="5" t="inlineStr">
        <is>
          <t>Pivô 27</t>
        </is>
      </c>
      <c r="B31" s="26" t="inlineStr">
        <is>
          <t>27</t>
        </is>
      </c>
      <c r="C31" s="5" t="inlineStr">
        <is>
          <t>Karitel</t>
        </is>
      </c>
      <c r="D31" s="5" t="inlineStr">
        <is>
          <t>R7</t>
        </is>
      </c>
      <c r="E31" s="5" t="inlineStr">
        <is>
          <t>Modulo 1</t>
        </is>
      </c>
      <c r="F31" s="5" t="inlineStr">
        <is>
          <t>Módulo 01</t>
        </is>
      </c>
      <c r="G31" s="15" t="n">
        <v>99.14</v>
      </c>
      <c r="H31" s="15" t="n">
        <v>472.1</v>
      </c>
      <c r="I31" s="35" t="n">
        <v>74.5699872</v>
      </c>
      <c r="J31" s="36">
        <f>IF(OR($I31="",$H31="",$H31=0),"",$I31/$H31)</f>
        <v/>
      </c>
      <c r="K31" s="17" t="n">
        <v>0.305</v>
      </c>
      <c r="L31" s="36">
        <f>IF($J31="","",$J31+N($K31))</f>
        <v/>
      </c>
      <c r="M31" s="20" t="inlineStr"/>
    </row>
    <row r="32">
      <c r="A32" s="5" t="inlineStr">
        <is>
          <t>Pivô 28</t>
        </is>
      </c>
      <c r="B32" s="26" t="inlineStr">
        <is>
          <t>28</t>
        </is>
      </c>
      <c r="C32" s="5" t="inlineStr">
        <is>
          <t>Karitel</t>
        </is>
      </c>
      <c r="D32" s="5" t="inlineStr">
        <is>
          <t>R7</t>
        </is>
      </c>
      <c r="E32" s="5" t="inlineStr">
        <is>
          <t>Modulo 1</t>
        </is>
      </c>
      <c r="F32" s="5" t="inlineStr">
        <is>
          <t>Módulo 01</t>
        </is>
      </c>
      <c r="G32" s="15" t="n">
        <v>132.99</v>
      </c>
      <c r="H32" s="15" t="n">
        <v>633.29</v>
      </c>
      <c r="I32" s="35" t="n">
        <v>149.1399744</v>
      </c>
      <c r="J32" s="36">
        <f>IF(OR($I32="",$H32="",$H32=0),"",$I32/$H32)</f>
        <v/>
      </c>
      <c r="K32" s="17" t="n">
        <v>0.305</v>
      </c>
      <c r="L32" s="36">
        <f>IF($J32="","",$J32+N($K32))</f>
        <v/>
      </c>
      <c r="M32" s="20" t="inlineStr"/>
    </row>
    <row r="33">
      <c r="A33" s="5" t="inlineStr">
        <is>
          <t>Pivô 29</t>
        </is>
      </c>
      <c r="B33" s="26" t="inlineStr">
        <is>
          <t>29</t>
        </is>
      </c>
      <c r="C33" s="5" t="inlineStr">
        <is>
          <t>Karitel</t>
        </is>
      </c>
      <c r="D33" s="5" t="inlineStr">
        <is>
          <t>R7</t>
        </is>
      </c>
      <c r="E33" s="5" t="inlineStr">
        <is>
          <t>Modulo 1</t>
        </is>
      </c>
      <c r="F33" s="5" t="inlineStr">
        <is>
          <t>Módulo 01</t>
        </is>
      </c>
      <c r="G33" s="15" t="n">
        <v>78.55</v>
      </c>
      <c r="H33" s="15" t="n">
        <v>374.05</v>
      </c>
      <c r="I33" s="35" t="n">
        <v>74.5699872</v>
      </c>
      <c r="J33" s="36">
        <f>IF(OR($I33="",$H33="",$H33=0),"",$I33/$H33)</f>
        <v/>
      </c>
      <c r="K33" s="17" t="n">
        <v>0.305</v>
      </c>
      <c r="L33" s="36">
        <f>IF($J33="","",$J33+N($K33))</f>
        <v/>
      </c>
      <c r="M33" s="20" t="inlineStr"/>
    </row>
    <row r="34">
      <c r="A34" s="5" t="inlineStr">
        <is>
          <t>Pivô 30</t>
        </is>
      </c>
      <c r="B34" s="26" t="inlineStr">
        <is>
          <t>30</t>
        </is>
      </c>
      <c r="C34" s="5" t="inlineStr">
        <is>
          <t>Karitel</t>
        </is>
      </c>
      <c r="D34" s="5" t="inlineStr">
        <is>
          <t>C3Z3/R7</t>
        </is>
      </c>
      <c r="E34" s="5" t="inlineStr">
        <is>
          <t>Modulo 1</t>
        </is>
      </c>
      <c r="F34" s="5" t="inlineStr">
        <is>
          <t>Módulo 01</t>
        </is>
      </c>
      <c r="G34" s="15" t="n">
        <v>150.01</v>
      </c>
      <c r="H34" s="15" t="n">
        <v>664.33</v>
      </c>
      <c r="I34" s="35" t="n">
        <v>90.78150241728</v>
      </c>
      <c r="J34" s="36">
        <f>IF(OR($I34="",$H34="",$H34=0),"",$I34/$H34)</f>
        <v/>
      </c>
      <c r="K34" s="17" t="n">
        <v>0.305</v>
      </c>
      <c r="L34" s="36">
        <f>IF($J34="","",$J34+N($K34))</f>
        <v/>
      </c>
      <c r="M34" s="20" t="inlineStr"/>
    </row>
    <row r="35">
      <c r="A35" s="5" t="inlineStr">
        <is>
          <t>Pivô 31</t>
        </is>
      </c>
      <c r="B35" s="26" t="inlineStr">
        <is>
          <t>31</t>
        </is>
      </c>
      <c r="C35" s="5" t="inlineStr">
        <is>
          <t>Karitel</t>
        </is>
      </c>
      <c r="D35" s="5" t="inlineStr">
        <is>
          <t>C3Z3/R7</t>
        </is>
      </c>
      <c r="E35" s="5" t="inlineStr">
        <is>
          <t>Modulo 1</t>
        </is>
      </c>
      <c r="F35" s="5" t="inlineStr">
        <is>
          <t>Módulo 01</t>
        </is>
      </c>
      <c r="G35" s="15" t="n">
        <v>150.01</v>
      </c>
      <c r="H35" s="15" t="n">
        <v>645.04</v>
      </c>
      <c r="I35" s="35" t="n">
        <v>93.212484</v>
      </c>
      <c r="J35" s="36">
        <f>IF(OR($I35="",$H35="",$H35=0),"",$I35/$H35)</f>
        <v/>
      </c>
      <c r="K35" s="17" t="n">
        <v>0.305</v>
      </c>
      <c r="L35" s="36">
        <f>IF($J35="","",$J35+N($K35))</f>
        <v/>
      </c>
      <c r="M35" s="20" t="inlineStr"/>
    </row>
    <row r="36">
      <c r="A36" s="5" t="inlineStr">
        <is>
          <t>Pivô 32</t>
        </is>
      </c>
      <c r="B36" s="26" t="inlineStr">
        <is>
          <t>32</t>
        </is>
      </c>
      <c r="C36" s="5" t="inlineStr">
        <is>
          <t>Karitel</t>
        </is>
      </c>
      <c r="D36" s="5" t="inlineStr">
        <is>
          <t>C3Z3/R7</t>
        </is>
      </c>
      <c r="E36" s="5" t="inlineStr">
        <is>
          <t>Modulo 1</t>
        </is>
      </c>
      <c r="F36" s="5" t="inlineStr">
        <is>
          <t>Módulo 01</t>
        </is>
      </c>
      <c r="G36" s="15" t="n">
        <v>138.03</v>
      </c>
      <c r="H36" s="15" t="n">
        <v>657.29</v>
      </c>
      <c r="I36" s="35" t="n">
        <v>93.212484</v>
      </c>
      <c r="J36" s="36">
        <f>IF(OR($I36="",$H36="",$H36=0),"",$I36/$H36)</f>
        <v/>
      </c>
      <c r="K36" s="17" t="n">
        <v>0.305</v>
      </c>
      <c r="L36" s="36">
        <f>IF($J36="","",$J36+N($K36))</f>
        <v/>
      </c>
      <c r="M36" s="20" t="inlineStr"/>
    </row>
    <row r="37">
      <c r="A37" s="5" t="inlineStr">
        <is>
          <t>Pivô 33</t>
        </is>
      </c>
      <c r="B37" s="26" t="inlineStr">
        <is>
          <t>33</t>
        </is>
      </c>
      <c r="C37" s="5" t="inlineStr">
        <is>
          <t>Karitel</t>
        </is>
      </c>
      <c r="D37" s="5" t="inlineStr">
        <is>
          <t>C3Z3/R7</t>
        </is>
      </c>
      <c r="E37" s="5" t="inlineStr">
        <is>
          <t>Modulo 1</t>
        </is>
      </c>
      <c r="F37" s="5" t="inlineStr">
        <is>
          <t>Módulo 01</t>
        </is>
      </c>
      <c r="G37" s="15" t="n">
        <v>137.67</v>
      </c>
      <c r="H37" s="15" t="n">
        <v>590.01</v>
      </c>
      <c r="I37" s="35" t="n">
        <v>109.617881184</v>
      </c>
      <c r="J37" s="36">
        <f>IF(OR($I37="",$H37="",$H37=0),"",$I37/$H37)</f>
        <v/>
      </c>
      <c r="K37" s="17" t="n">
        <v>0.305</v>
      </c>
      <c r="L37" s="36">
        <f>IF($J37="","",$J37+N($K37))</f>
        <v/>
      </c>
      <c r="M37" s="20" t="inlineStr"/>
    </row>
    <row r="38">
      <c r="A38" s="5" t="inlineStr">
        <is>
          <t>Pivô 34</t>
        </is>
      </c>
      <c r="B38" s="26" t="inlineStr">
        <is>
          <t>34</t>
        </is>
      </c>
      <c r="C38" s="5" t="inlineStr">
        <is>
          <t>Karitel</t>
        </is>
      </c>
      <c r="D38" s="5" t="inlineStr">
        <is>
          <t>C3Z3/R7</t>
        </is>
      </c>
      <c r="E38" s="5" t="inlineStr">
        <is>
          <t>Modulo 1</t>
        </is>
      </c>
      <c r="F38" s="5" t="inlineStr">
        <is>
          <t>Módulo 01</t>
        </is>
      </c>
      <c r="G38" s="15" t="n">
        <v>150.01</v>
      </c>
      <c r="H38" s="15" t="n">
        <v>714.33</v>
      </c>
      <c r="I38" s="35" t="n">
        <v>111.8549808</v>
      </c>
      <c r="J38" s="36">
        <f>IF(OR($I38="",$H38="",$H38=0),"",$I38/$H38)</f>
        <v/>
      </c>
      <c r="K38" s="17" t="n">
        <v>0.305</v>
      </c>
      <c r="L38" s="36">
        <f>IF($J38="","",$J38+N($K38))</f>
        <v/>
      </c>
      <c r="M38" s="20" t="inlineStr"/>
    </row>
    <row r="39">
      <c r="A39" s="5" t="inlineStr">
        <is>
          <t>Pivô 75</t>
        </is>
      </c>
      <c r="B39" s="26" t="inlineStr">
        <is>
          <t>75</t>
        </is>
      </c>
      <c r="C39" s="5" t="inlineStr">
        <is>
          <t>Karitel</t>
        </is>
      </c>
      <c r="D39" s="5" t="inlineStr">
        <is>
          <t>C3Z3/R7</t>
        </is>
      </c>
      <c r="E39" s="5" t="inlineStr">
        <is>
          <t>Modulo 1</t>
        </is>
      </c>
      <c r="F39" s="5" t="inlineStr">
        <is>
          <t>Módulo 01</t>
        </is>
      </c>
      <c r="G39" s="15" t="n">
        <v>82</v>
      </c>
      <c r="H39" s="15" t="n"/>
      <c r="I39" s="35" t="n"/>
      <c r="J39" s="36">
        <f>IF(OR($I39="",$H39="",$H39=0),"",$I39/$H39)</f>
        <v/>
      </c>
      <c r="K39" s="17" t="n">
        <v>0.305</v>
      </c>
      <c r="L39" s="36">
        <f>IF($J39="","",$J39+N($K39))</f>
        <v/>
      </c>
      <c r="M39" s="20" t="inlineStr"/>
    </row>
    <row r="40">
      <c r="A40" s="5" t="inlineStr">
        <is>
          <t>Pivô 76</t>
        </is>
      </c>
      <c r="B40" s="26" t="inlineStr">
        <is>
          <t>76</t>
        </is>
      </c>
      <c r="C40" s="5" t="inlineStr">
        <is>
          <t>Karitel</t>
        </is>
      </c>
      <c r="D40" s="5" t="inlineStr">
        <is>
          <t>C3Z3/R7</t>
        </is>
      </c>
      <c r="E40" s="5" t="inlineStr">
        <is>
          <t>Modulo 1</t>
        </is>
      </c>
      <c r="F40" s="5" t="inlineStr">
        <is>
          <t>Módulo 01</t>
        </is>
      </c>
      <c r="G40" s="15" t="n">
        <v>75</v>
      </c>
      <c r="H40" s="15" t="n"/>
      <c r="I40" s="35" t="n"/>
      <c r="J40" s="36">
        <f>IF(OR($I40="",$H40="",$H40=0),"",$I40/$H40)</f>
        <v/>
      </c>
      <c r="K40" s="17" t="n">
        <v>0.305</v>
      </c>
      <c r="L40" s="36">
        <f>IF($J40="","",$J40+N($K40))</f>
        <v/>
      </c>
      <c r="M40" s="20" t="inlineStr"/>
    </row>
    <row r="41">
      <c r="A41" s="5" t="inlineStr">
        <is>
          <t>Pivô 35</t>
        </is>
      </c>
      <c r="B41" s="26" t="inlineStr">
        <is>
          <t>35</t>
        </is>
      </c>
      <c r="C41" s="5" t="inlineStr">
        <is>
          <t>Karitel</t>
        </is>
      </c>
      <c r="D41" s="5" t="inlineStr">
        <is>
          <t>R8</t>
        </is>
      </c>
      <c r="E41" s="5" t="inlineStr">
        <is>
          <t>Modulo 2</t>
        </is>
      </c>
      <c r="F41" s="5" t="inlineStr">
        <is>
          <t>Módulo 02</t>
        </is>
      </c>
      <c r="G41" s="15" t="n">
        <v>150.54</v>
      </c>
      <c r="H41" s="15" t="n">
        <v>641.6799999999999</v>
      </c>
      <c r="I41" s="35" t="n">
        <v>175.23946992</v>
      </c>
      <c r="J41" s="36">
        <f>IF(OR($I41="",$H41="",$H41=0),"",$I41/$H41)</f>
        <v/>
      </c>
      <c r="K41" s="17" t="n">
        <v>0.227</v>
      </c>
      <c r="L41" s="36">
        <f>IF($J41="","",$J41+N($K41))</f>
        <v/>
      </c>
      <c r="M41" s="20" t="inlineStr"/>
    </row>
    <row r="42">
      <c r="A42" s="5" t="inlineStr">
        <is>
          <t>Pivô 36</t>
        </is>
      </c>
      <c r="B42" s="26" t="inlineStr">
        <is>
          <t>36</t>
        </is>
      </c>
      <c r="C42" s="5" t="inlineStr">
        <is>
          <t>Karitel</t>
        </is>
      </c>
      <c r="D42" s="5" t="inlineStr">
        <is>
          <t>R8</t>
        </is>
      </c>
      <c r="E42" s="5" t="inlineStr">
        <is>
          <t>Modulo 2</t>
        </is>
      </c>
      <c r="F42" s="5" t="inlineStr">
        <is>
          <t>Módulo 02</t>
        </is>
      </c>
      <c r="G42" s="15" t="n">
        <v>150.54</v>
      </c>
      <c r="H42" s="15" t="n">
        <v>716.86</v>
      </c>
      <c r="I42" s="35" t="n">
        <v>164.05397184</v>
      </c>
      <c r="J42" s="36">
        <f>IF(OR($I42="",$H42="",$H42=0),"",$I42/$H42)</f>
        <v/>
      </c>
      <c r="K42" s="17" t="n">
        <v>0.227</v>
      </c>
      <c r="L42" s="36">
        <f>IF($J42="","",$J42+N($K42))</f>
        <v/>
      </c>
      <c r="M42" s="20" t="inlineStr"/>
    </row>
    <row r="43">
      <c r="A43" s="5" t="inlineStr">
        <is>
          <t>Pivô 37</t>
        </is>
      </c>
      <c r="B43" s="26" t="inlineStr">
        <is>
          <t>37</t>
        </is>
      </c>
      <c r="C43" s="5" t="inlineStr">
        <is>
          <t>Karitel</t>
        </is>
      </c>
      <c r="D43" s="5" t="inlineStr">
        <is>
          <t>R8</t>
        </is>
      </c>
      <c r="E43" s="5" t="inlineStr">
        <is>
          <t>Modulo 2</t>
        </is>
      </c>
      <c r="F43" s="5" t="inlineStr">
        <is>
          <t>Módulo 02</t>
        </is>
      </c>
      <c r="G43" s="15" t="n">
        <v>72</v>
      </c>
      <c r="H43" s="15" t="n">
        <v>517.97</v>
      </c>
      <c r="I43" s="35" t="n">
        <v>111.8549808</v>
      </c>
      <c r="J43" s="36">
        <f>IF(OR($I43="",$H43="",$H43=0),"",$I43/$H43)</f>
        <v/>
      </c>
      <c r="K43" s="17" t="n">
        <v>0.227</v>
      </c>
      <c r="L43" s="36">
        <f>IF($J43="","",$J43+N($K43))</f>
        <v/>
      </c>
      <c r="M43" s="20" t="inlineStr"/>
    </row>
    <row r="44">
      <c r="A44" s="5" t="inlineStr">
        <is>
          <t>Pivô 38</t>
        </is>
      </c>
      <c r="B44" s="26" t="inlineStr">
        <is>
          <t>38</t>
        </is>
      </c>
      <c r="C44" s="5" t="inlineStr">
        <is>
          <t>Karitel</t>
        </is>
      </c>
      <c r="D44" s="5" t="inlineStr">
        <is>
          <t>R8</t>
        </is>
      </c>
      <c r="E44" s="5" t="inlineStr">
        <is>
          <t>Modulo 2</t>
        </is>
      </c>
      <c r="F44" s="5" t="inlineStr">
        <is>
          <t>Módulo 02</t>
        </is>
      </c>
      <c r="G44" s="15" t="n">
        <v>141</v>
      </c>
      <c r="H44" s="15" t="n">
        <v>716.86</v>
      </c>
      <c r="I44" s="35" t="n">
        <v>164.799671712</v>
      </c>
      <c r="J44" s="36">
        <f>IF(OR($I44="",$H44="",$H44=0),"",$I44/$H44)</f>
        <v/>
      </c>
      <c r="K44" s="17" t="n">
        <v>0.227</v>
      </c>
      <c r="L44" s="36">
        <f>IF($J44="","",$J44+N($K44))</f>
        <v/>
      </c>
      <c r="M44" s="20" t="inlineStr"/>
    </row>
    <row r="45">
      <c r="A45" s="5" t="inlineStr">
        <is>
          <t>Pivô 39</t>
        </is>
      </c>
      <c r="B45" s="26" t="inlineStr">
        <is>
          <t>39</t>
        </is>
      </c>
      <c r="C45" s="5" t="inlineStr">
        <is>
          <t>Karitel</t>
        </is>
      </c>
      <c r="D45" s="5" t="inlineStr">
        <is>
          <t>R10</t>
        </is>
      </c>
      <c r="E45" s="5" t="inlineStr">
        <is>
          <t>Modulo 2</t>
        </is>
      </c>
      <c r="F45" s="5" t="inlineStr">
        <is>
          <t>Módulo 02</t>
        </is>
      </c>
      <c r="G45" s="15" t="n">
        <v>100.65</v>
      </c>
      <c r="H45" s="15" t="n">
        <v>479.29</v>
      </c>
      <c r="I45" s="35" t="n">
        <v>111.8549808</v>
      </c>
      <c r="J45" s="36">
        <f>IF(OR($I45="",$H45="",$H45=0),"",$I45/$H45)</f>
        <v/>
      </c>
      <c r="K45" s="17" t="n">
        <v>0.227</v>
      </c>
      <c r="L45" s="36">
        <f>IF($J45="","",$J45+N($K45))</f>
        <v/>
      </c>
      <c r="M45" s="20" t="inlineStr"/>
    </row>
    <row r="46">
      <c r="A46" s="5" t="inlineStr">
        <is>
          <t>Pivô 40</t>
        </is>
      </c>
      <c r="B46" s="26" t="inlineStr">
        <is>
          <t>40</t>
        </is>
      </c>
      <c r="C46" s="5" t="inlineStr">
        <is>
          <t>Karitel</t>
        </is>
      </c>
      <c r="D46" s="5" t="inlineStr">
        <is>
          <t>R10</t>
        </is>
      </c>
      <c r="E46" s="5" t="inlineStr">
        <is>
          <t>Modulo 2</t>
        </is>
      </c>
      <c r="F46" s="5" t="inlineStr">
        <is>
          <t>Módulo 02</t>
        </is>
      </c>
      <c r="G46" s="15" t="n">
        <v>150.54</v>
      </c>
      <c r="H46" s="15" t="n">
        <v>716.86</v>
      </c>
      <c r="I46" s="35" t="n">
        <v>160.32547248</v>
      </c>
      <c r="J46" s="36">
        <f>IF(OR($I46="",$H46="",$H46=0),"",$I46/$H46)</f>
        <v/>
      </c>
      <c r="K46" s="17" t="n">
        <v>0.227</v>
      </c>
      <c r="L46" s="36">
        <f>IF($J46="","",$J46+N($K46))</f>
        <v/>
      </c>
      <c r="M46" s="20" t="inlineStr"/>
    </row>
    <row r="47">
      <c r="A47" s="5" t="inlineStr">
        <is>
          <t>Pivô 41</t>
        </is>
      </c>
      <c r="B47" s="26" t="inlineStr">
        <is>
          <t>41</t>
        </is>
      </c>
      <c r="C47" s="5" t="inlineStr">
        <is>
          <t>Karitel</t>
        </is>
      </c>
      <c r="D47" s="5" t="inlineStr">
        <is>
          <t>R9</t>
        </is>
      </c>
      <c r="E47" s="5" t="inlineStr">
        <is>
          <t>Modulo 2</t>
        </is>
      </c>
      <c r="F47" s="5" t="inlineStr">
        <is>
          <t>Módulo 02</t>
        </is>
      </c>
      <c r="G47" s="15" t="n">
        <v>138.55</v>
      </c>
      <c r="H47" s="15" t="n">
        <v>659.74</v>
      </c>
      <c r="I47" s="35" t="n">
        <v>148.394274528</v>
      </c>
      <c r="J47" s="36">
        <f>IF(OR($I47="",$H47="",$H47=0),"",$I47/$H47)</f>
        <v/>
      </c>
      <c r="K47" s="17" t="n">
        <v>0.227</v>
      </c>
      <c r="L47" s="36">
        <f>IF($J47="","",$J47+N($K47))</f>
        <v/>
      </c>
      <c r="M47" s="20" t="inlineStr"/>
    </row>
    <row r="48">
      <c r="A48" s="5" t="inlineStr">
        <is>
          <t>Pivô 42</t>
        </is>
      </c>
      <c r="B48" s="26" t="inlineStr">
        <is>
          <t>42</t>
        </is>
      </c>
      <c r="C48" s="5" t="inlineStr">
        <is>
          <t>Karitel</t>
        </is>
      </c>
      <c r="D48" s="5" t="inlineStr">
        <is>
          <t>R9</t>
        </is>
      </c>
      <c r="E48" s="5" t="inlineStr">
        <is>
          <t>Modulo 2</t>
        </is>
      </c>
      <c r="F48" s="5" t="inlineStr">
        <is>
          <t>Módulo 02</t>
        </is>
      </c>
      <c r="G48" s="15" t="n">
        <v>100.65</v>
      </c>
      <c r="H48" s="15" t="n">
        <v>479.29</v>
      </c>
      <c r="I48" s="35" t="n">
        <v>111.8549808</v>
      </c>
      <c r="J48" s="36">
        <f>IF(OR($I48="",$H48="",$H48=0),"",$I48/$H48)</f>
        <v/>
      </c>
      <c r="K48" s="17" t="n">
        <v>0.227</v>
      </c>
      <c r="L48" s="36">
        <f>IF($J48="","",$J48+N($K48))</f>
        <v/>
      </c>
      <c r="M48" s="20" t="inlineStr"/>
    </row>
    <row r="49">
      <c r="A49" s="5" t="inlineStr">
        <is>
          <t>Pivô 43</t>
        </is>
      </c>
      <c r="B49" s="26" t="inlineStr">
        <is>
          <t>43</t>
        </is>
      </c>
      <c r="C49" s="5" t="inlineStr">
        <is>
          <t>Karitel</t>
        </is>
      </c>
      <c r="D49" s="5" t="inlineStr">
        <is>
          <t>R9</t>
        </is>
      </c>
      <c r="E49" s="5" t="inlineStr">
        <is>
          <t>Modulo 2</t>
        </is>
      </c>
      <c r="F49" s="5" t="inlineStr">
        <is>
          <t>Módulo 02</t>
        </is>
      </c>
      <c r="G49" s="15" t="n">
        <v>138.55</v>
      </c>
      <c r="H49" s="15" t="n">
        <v>659.74</v>
      </c>
      <c r="I49" s="35" t="n">
        <v>148.394274528</v>
      </c>
      <c r="J49" s="36">
        <f>IF(OR($I49="",$H49="",$H49=0),"",$I49/$H49)</f>
        <v/>
      </c>
      <c r="K49" s="17" t="n">
        <v>0.227</v>
      </c>
      <c r="L49" s="36">
        <f>IF($J49="","",$J49+N($K49))</f>
        <v/>
      </c>
      <c r="M49" s="20" t="inlineStr"/>
    </row>
    <row r="50">
      <c r="A50" s="5" t="inlineStr">
        <is>
          <t>Pivô 45</t>
        </is>
      </c>
      <c r="B50" s="26" t="inlineStr">
        <is>
          <t>45</t>
        </is>
      </c>
      <c r="C50" s="5" t="inlineStr">
        <is>
          <t>Karitel</t>
        </is>
      </c>
      <c r="D50" s="5" t="inlineStr">
        <is>
          <t>R11</t>
        </is>
      </c>
      <c r="E50" s="5" t="inlineStr">
        <is>
          <t>Modulo 2</t>
        </is>
      </c>
      <c r="F50" s="5" t="inlineStr">
        <is>
          <t>Módulo 02</t>
        </is>
      </c>
      <c r="G50" s="15" t="n">
        <v>123.47</v>
      </c>
      <c r="H50" s="15" t="n">
        <v>587.9299999999999</v>
      </c>
      <c r="I50" s="35" t="n">
        <v>163.308271968</v>
      </c>
      <c r="J50" s="36">
        <f>IF(OR($I50="",$H50="",$H50=0),"",$I50/$H50)</f>
        <v/>
      </c>
      <c r="K50" s="17" t="n">
        <v>0.227</v>
      </c>
      <c r="L50" s="36">
        <f>IF($J50="","",$J50+N($K50))</f>
        <v/>
      </c>
      <c r="M50" s="20" t="inlineStr"/>
    </row>
    <row r="51">
      <c r="A51" s="5" t="inlineStr">
        <is>
          <t>Pivô 46</t>
        </is>
      </c>
      <c r="B51" s="26" t="inlineStr">
        <is>
          <t>46</t>
        </is>
      </c>
      <c r="C51" s="5" t="inlineStr">
        <is>
          <t>Karitel</t>
        </is>
      </c>
      <c r="D51" s="5" t="inlineStr">
        <is>
          <t>R11</t>
        </is>
      </c>
      <c r="E51" s="5" t="inlineStr">
        <is>
          <t>Modulo 2</t>
        </is>
      </c>
      <c r="F51" s="5" t="inlineStr">
        <is>
          <t>Módulo 02</t>
        </is>
      </c>
      <c r="G51" s="15" t="n">
        <v>159.45</v>
      </c>
      <c r="H51" s="15" t="n">
        <v>759.3</v>
      </c>
      <c r="I51" s="35" t="n">
        <v>180.459369024</v>
      </c>
      <c r="J51" s="36">
        <f>IF(OR($I51="",$H51="",$H51=0),"",$I51/$H51)</f>
        <v/>
      </c>
      <c r="K51" s="17" t="n">
        <v>0.227</v>
      </c>
      <c r="L51" s="36">
        <f>IF($J51="","",$J51+N($K51))</f>
        <v/>
      </c>
      <c r="M51" s="20" t="inlineStr"/>
    </row>
    <row r="52">
      <c r="A52" s="5" t="inlineStr">
        <is>
          <t>Pivô 47</t>
        </is>
      </c>
      <c r="B52" s="26" t="inlineStr">
        <is>
          <t>47</t>
        </is>
      </c>
      <c r="C52" s="5" t="inlineStr">
        <is>
          <t>Karitel</t>
        </is>
      </c>
      <c r="D52" s="5" t="inlineStr">
        <is>
          <t>R11</t>
        </is>
      </c>
      <c r="E52" s="5" t="inlineStr">
        <is>
          <t>Modulo 2</t>
        </is>
      </c>
      <c r="F52" s="5" t="inlineStr">
        <is>
          <t>Módulo 02</t>
        </is>
      </c>
      <c r="G52" s="15" t="n">
        <v>159.45</v>
      </c>
      <c r="H52" s="15" t="n">
        <v>721.34</v>
      </c>
      <c r="I52" s="35" t="n">
        <v>223.7099616</v>
      </c>
      <c r="J52" s="36">
        <f>IF(OR($I52="",$H52="",$H52=0),"",$I52/$H52)</f>
        <v/>
      </c>
      <c r="K52" s="17" t="n">
        <v>0.227</v>
      </c>
      <c r="L52" s="36">
        <f>IF($J52="","",$J52+N($K52))</f>
        <v/>
      </c>
      <c r="M52" s="20" t="inlineStr"/>
    </row>
    <row r="53">
      <c r="A53" s="5" t="inlineStr">
        <is>
          <t>Pivô 48</t>
        </is>
      </c>
      <c r="B53" s="26" t="inlineStr">
        <is>
          <t>48</t>
        </is>
      </c>
      <c r="C53" s="5" t="inlineStr">
        <is>
          <t>Karitel</t>
        </is>
      </c>
      <c r="D53" s="5" t="inlineStr">
        <is>
          <t>R11</t>
        </is>
      </c>
      <c r="E53" s="5" t="inlineStr">
        <is>
          <t>Modulo 2</t>
        </is>
      </c>
      <c r="F53" s="5" t="inlineStr">
        <is>
          <t>Módulo 02</t>
        </is>
      </c>
      <c r="G53" s="15" t="n">
        <v>159.45</v>
      </c>
      <c r="H53" s="15" t="n">
        <v>759.3</v>
      </c>
      <c r="I53" s="35" t="n">
        <v>157.342672992</v>
      </c>
      <c r="J53" s="36">
        <f>IF(OR($I53="",$H53="",$H53=0),"",$I53/$H53)</f>
        <v/>
      </c>
      <c r="K53" s="17" t="n">
        <v>0.227</v>
      </c>
      <c r="L53" s="36">
        <f>IF($J53="","",$J53+N($K53))</f>
        <v/>
      </c>
      <c r="M53" s="20" t="inlineStr"/>
    </row>
    <row r="54">
      <c r="A54" s="5" t="inlineStr">
        <is>
          <t>Pivô 49</t>
        </is>
      </c>
      <c r="B54" s="26" t="inlineStr">
        <is>
          <t>49</t>
        </is>
      </c>
      <c r="C54" s="5" t="inlineStr">
        <is>
          <t>Karitel</t>
        </is>
      </c>
      <c r="D54" s="5" t="inlineStr">
        <is>
          <t>R11</t>
        </is>
      </c>
      <c r="E54" s="5" t="inlineStr">
        <is>
          <t>Modulo 2</t>
        </is>
      </c>
      <c r="F54" s="5" t="inlineStr">
        <is>
          <t>Módulo 02</t>
        </is>
      </c>
      <c r="G54" s="15" t="n">
        <v>124.31</v>
      </c>
      <c r="H54" s="15" t="n">
        <v>591.97</v>
      </c>
      <c r="I54" s="35" t="n">
        <v>146.902874784</v>
      </c>
      <c r="J54" s="36">
        <f>IF(OR($I54="",$H54="",$H54=0),"",$I54/$H54)</f>
        <v/>
      </c>
      <c r="K54" s="17" t="n">
        <v>0.227</v>
      </c>
      <c r="L54" s="36">
        <f>IF($J54="","",$J54+N($K54))</f>
        <v/>
      </c>
      <c r="M54" s="20" t="inlineStr"/>
    </row>
    <row r="55">
      <c r="A55" s="5" t="inlineStr">
        <is>
          <t>Pivô 52</t>
        </is>
      </c>
      <c r="B55" s="26" t="inlineStr">
        <is>
          <t>52</t>
        </is>
      </c>
      <c r="C55" s="5" t="inlineStr">
        <is>
          <t>Karitel</t>
        </is>
      </c>
      <c r="D55" s="5" t="inlineStr">
        <is>
          <t>R12</t>
        </is>
      </c>
      <c r="E55" s="5" t="inlineStr">
        <is>
          <t>Modulo 2</t>
        </is>
      </c>
      <c r="F55" s="5" t="inlineStr">
        <is>
          <t>Módulo 02</t>
        </is>
      </c>
      <c r="G55" s="15" t="n">
        <v>159.45</v>
      </c>
      <c r="H55" s="15" t="n">
        <v>759.3</v>
      </c>
      <c r="I55" s="35" t="n">
        <v>187.916367744</v>
      </c>
      <c r="J55" s="36">
        <f>IF(OR($I55="",$H55="",$H55=0),"",$I55/$H55)</f>
        <v/>
      </c>
      <c r="K55" s="17" t="n">
        <v>0.227</v>
      </c>
      <c r="L55" s="36">
        <f>IF($J55="","",$J55+N($K55))</f>
        <v/>
      </c>
      <c r="M55" s="20" t="inlineStr"/>
    </row>
    <row r="56">
      <c r="A56" s="5" t="inlineStr">
        <is>
          <t>Pivô 73</t>
        </is>
      </c>
      <c r="B56" s="26" t="inlineStr">
        <is>
          <t>73</t>
        </is>
      </c>
      <c r="C56" s="5" t="inlineStr">
        <is>
          <t>Karitel</t>
        </is>
      </c>
      <c r="D56" s="5" t="inlineStr">
        <is>
          <t>R12</t>
        </is>
      </c>
      <c r="E56" s="5" t="inlineStr">
        <is>
          <t>Modulo 2</t>
        </is>
      </c>
      <c r="F56" s="5" t="inlineStr">
        <is>
          <t>Módulo 02</t>
        </is>
      </c>
      <c r="G56" s="15" t="n">
        <v>159.45</v>
      </c>
      <c r="H56" s="15" t="n">
        <v>683.37</v>
      </c>
      <c r="I56" s="35" t="n">
        <v>223.7099616</v>
      </c>
      <c r="J56" s="36">
        <f>IF(OR($I56="",$H56="",$H56=0),"",$I56/$H56)</f>
        <v/>
      </c>
      <c r="K56" s="17" t="n">
        <v>0.227</v>
      </c>
      <c r="L56" s="36">
        <f>IF($J56="","",$J56+N($K56))</f>
        <v/>
      </c>
      <c r="M56" s="20" t="inlineStr"/>
    </row>
    <row r="57">
      <c r="A57" s="5" t="inlineStr">
        <is>
          <t>Pivô 74</t>
        </is>
      </c>
      <c r="B57" s="26" t="inlineStr">
        <is>
          <t>74</t>
        </is>
      </c>
      <c r="C57" s="5" t="inlineStr">
        <is>
          <t>Karitel</t>
        </is>
      </c>
      <c r="D57" s="5" t="inlineStr">
        <is>
          <t>R12</t>
        </is>
      </c>
      <c r="E57" s="5" t="inlineStr">
        <is>
          <t>Modulo 2</t>
        </is>
      </c>
      <c r="F57" s="5" t="inlineStr">
        <is>
          <t>Módulo 02</t>
        </is>
      </c>
      <c r="G57" s="15" t="n">
        <v>159.45</v>
      </c>
      <c r="H57" s="15" t="n">
        <v>759.3</v>
      </c>
      <c r="I57" s="35" t="n">
        <v>223.7099616</v>
      </c>
      <c r="J57" s="36">
        <f>IF(OR($I57="",$H57="",$H57=0),"",$I57/$H57)</f>
        <v/>
      </c>
      <c r="K57" s="17" t="n">
        <v>0.227</v>
      </c>
      <c r="L57" s="36">
        <f>IF($J57="","",$J57+N($K57))</f>
        <v/>
      </c>
      <c r="M57" s="20" t="inlineStr"/>
    </row>
    <row r="58">
      <c r="A58" s="5" t="inlineStr">
        <is>
          <t>Pivô 44</t>
        </is>
      </c>
      <c r="B58" s="26" t="inlineStr">
        <is>
          <t>44</t>
        </is>
      </c>
      <c r="C58" s="5" t="inlineStr">
        <is>
          <t>Karitel</t>
        </is>
      </c>
      <c r="D58" s="5" t="inlineStr">
        <is>
          <t>R13</t>
        </is>
      </c>
      <c r="E58" s="5" t="inlineStr">
        <is>
          <t>Modulo 3</t>
        </is>
      </c>
      <c r="F58" s="5" t="inlineStr">
        <is>
          <t>Módulo 03</t>
        </is>
      </c>
      <c r="G58" s="15" t="n">
        <v>74.68000000000001</v>
      </c>
      <c r="H58" s="15" t="n">
        <v>550.14</v>
      </c>
      <c r="I58" s="35" t="n">
        <v>55.9274904</v>
      </c>
      <c r="J58" s="36">
        <f>IF(OR($I58="",$H58="",$H58=0),"",$I58/$H58)</f>
        <v/>
      </c>
      <c r="K58" s="17" t="n">
        <v>0.633</v>
      </c>
      <c r="L58" s="36">
        <f>IF($J58="","",$J58+N($K58))</f>
        <v/>
      </c>
      <c r="M58" s="20" t="inlineStr"/>
    </row>
    <row r="59">
      <c r="A59" s="5" t="inlineStr">
        <is>
          <t>Pivô 50</t>
        </is>
      </c>
      <c r="B59" s="26" t="inlineStr">
        <is>
          <t>50</t>
        </is>
      </c>
      <c r="C59" s="5" t="inlineStr">
        <is>
          <t>Karitel</t>
        </is>
      </c>
      <c r="D59" s="5" t="inlineStr">
        <is>
          <t>R14</t>
        </is>
      </c>
      <c r="E59" s="5" t="inlineStr">
        <is>
          <t>Modulo 3</t>
        </is>
      </c>
      <c r="F59" s="5" t="inlineStr">
        <is>
          <t>Módulo 03</t>
        </is>
      </c>
      <c r="G59" s="15" t="n">
        <v>120.31</v>
      </c>
      <c r="H59" s="15" t="n">
        <v>572.9</v>
      </c>
      <c r="I59" s="35" t="n">
        <v>111.8549808</v>
      </c>
      <c r="J59" s="36">
        <f>IF(OR($I59="",$H59="",$H59=0),"",$I59/$H59)</f>
        <v/>
      </c>
      <c r="K59" s="17" t="n">
        <v>0.633</v>
      </c>
      <c r="L59" s="36">
        <f>IF($J59="","",$J59+N($K59))</f>
        <v/>
      </c>
      <c r="M59" s="20" t="inlineStr"/>
    </row>
    <row r="60">
      <c r="A60" s="5" t="inlineStr">
        <is>
          <t>Pivô 51</t>
        </is>
      </c>
      <c r="B60" s="26" t="inlineStr">
        <is>
          <t>51</t>
        </is>
      </c>
      <c r="C60" s="5" t="inlineStr">
        <is>
          <t>Karitel</t>
        </is>
      </c>
      <c r="D60" s="5" t="inlineStr">
        <is>
          <t>R14</t>
        </is>
      </c>
      <c r="E60" s="5" t="inlineStr">
        <is>
          <t>Modulo 3</t>
        </is>
      </c>
      <c r="F60" s="5" t="inlineStr">
        <is>
          <t>Módulo 03</t>
        </is>
      </c>
      <c r="G60" s="15" t="n">
        <v>119.34</v>
      </c>
      <c r="H60" s="15" t="n">
        <v>550.14</v>
      </c>
      <c r="I60" s="35" t="n">
        <v>111.8549808</v>
      </c>
      <c r="J60" s="36">
        <f>IF(OR($I60="",$H60="",$H60=0),"",$I60/$H60)</f>
        <v/>
      </c>
      <c r="K60" s="17" t="n">
        <v>0.633</v>
      </c>
      <c r="L60" s="36">
        <f>IF($J60="","",$J60+N($K60))</f>
        <v/>
      </c>
      <c r="M60" s="20" t="inlineStr"/>
    </row>
    <row r="61">
      <c r="A61" s="5" t="inlineStr">
        <is>
          <t>Pivô 53</t>
        </is>
      </c>
      <c r="B61" s="26" t="inlineStr">
        <is>
          <t>53</t>
        </is>
      </c>
      <c r="C61" s="5" t="inlineStr">
        <is>
          <t>Karitel</t>
        </is>
      </c>
      <c r="D61" s="5" t="inlineStr">
        <is>
          <t>R13</t>
        </is>
      </c>
      <c r="E61" s="5" t="inlineStr">
        <is>
          <t>Modulo 3</t>
        </is>
      </c>
      <c r="F61" s="5" t="inlineStr">
        <is>
          <t>Módulo 03</t>
        </is>
      </c>
      <c r="G61" s="15" t="n">
        <v>74.68000000000001</v>
      </c>
      <c r="H61" s="15" t="n">
        <v>550.14</v>
      </c>
      <c r="I61" s="35" t="n">
        <v>55.9274904</v>
      </c>
      <c r="J61" s="36">
        <f>IF(OR($I61="",$H61="",$H61=0),"",$I61/$H61)</f>
        <v/>
      </c>
      <c r="K61" s="17" t="n">
        <v>0.633</v>
      </c>
      <c r="L61" s="36">
        <f>IF($J61="","",$J61+N($K61))</f>
        <v/>
      </c>
      <c r="M61" s="20" t="inlineStr"/>
    </row>
    <row r="62">
      <c r="A62" s="5" t="inlineStr">
        <is>
          <t>Pivô 54</t>
        </is>
      </c>
      <c r="B62" s="26" t="inlineStr">
        <is>
          <t>54</t>
        </is>
      </c>
      <c r="C62" s="5" t="inlineStr">
        <is>
          <t>Karitel</t>
        </is>
      </c>
      <c r="D62" s="5" t="inlineStr">
        <is>
          <t>R13</t>
        </is>
      </c>
      <c r="E62" s="5" t="inlineStr">
        <is>
          <t>Modulo 3</t>
        </is>
      </c>
      <c r="F62" s="5" t="inlineStr">
        <is>
          <t>Módulo 03</t>
        </is>
      </c>
      <c r="G62" s="15" t="n">
        <v>121.22</v>
      </c>
      <c r="H62" s="15" t="n">
        <v>577.24</v>
      </c>
      <c r="I62" s="35" t="n">
        <v>111.8549808</v>
      </c>
      <c r="J62" s="36">
        <f>IF(OR($I62="",$H62="",$H62=0),"",$I62/$H62)</f>
        <v/>
      </c>
      <c r="K62" s="17" t="n">
        <v>0.633</v>
      </c>
      <c r="L62" s="36">
        <f>IF($J62="","",$J62+N($K62))</f>
        <v/>
      </c>
      <c r="M62" s="20" t="inlineStr"/>
    </row>
    <row r="63">
      <c r="A63" s="5" t="inlineStr">
        <is>
          <t>Pivô 55</t>
        </is>
      </c>
      <c r="B63" s="26" t="inlineStr">
        <is>
          <t>55</t>
        </is>
      </c>
      <c r="C63" s="5" t="inlineStr">
        <is>
          <t>Karitel</t>
        </is>
      </c>
      <c r="D63" s="5" t="inlineStr">
        <is>
          <t>R13</t>
        </is>
      </c>
      <c r="E63" s="5" t="inlineStr">
        <is>
          <t>Modulo 3</t>
        </is>
      </c>
      <c r="F63" s="5" t="inlineStr">
        <is>
          <t>Módulo 03</t>
        </is>
      </c>
      <c r="G63" s="15" t="n">
        <v>151.33</v>
      </c>
      <c r="H63" s="15" t="n">
        <v>720.62</v>
      </c>
      <c r="I63" s="35" t="n">
        <v>223.7099616</v>
      </c>
      <c r="J63" s="36">
        <f>IF(OR($I63="",$H63="",$H63=0),"",$I63/$H63)</f>
        <v/>
      </c>
      <c r="K63" s="17" t="n">
        <v>0.633</v>
      </c>
      <c r="L63" s="36">
        <f>IF($J63="","",$J63+N($K63))</f>
        <v/>
      </c>
      <c r="M63" s="20" t="inlineStr"/>
    </row>
    <row r="64">
      <c r="A64" s="5" t="inlineStr">
        <is>
          <t>Pivô 56</t>
        </is>
      </c>
      <c r="B64" s="26" t="inlineStr">
        <is>
          <t>56</t>
        </is>
      </c>
      <c r="C64" s="5" t="inlineStr">
        <is>
          <t>Karitel</t>
        </is>
      </c>
      <c r="D64" s="5" t="inlineStr">
        <is>
          <t>R14</t>
        </is>
      </c>
      <c r="E64" s="5" t="inlineStr">
        <is>
          <t>Modulo 3</t>
        </is>
      </c>
      <c r="F64" s="5" t="inlineStr">
        <is>
          <t>Módulo 03</t>
        </is>
      </c>
      <c r="G64" s="15" t="n">
        <v>151.2</v>
      </c>
      <c r="H64" s="15" t="n">
        <v>720</v>
      </c>
      <c r="I64" s="35" t="n">
        <v>111.8549808</v>
      </c>
      <c r="J64" s="36">
        <f>IF(OR($I64="",$H64="",$H64=0),"",$I64/$H64)</f>
        <v/>
      </c>
      <c r="K64" s="17" t="n">
        <v>0.633</v>
      </c>
      <c r="L64" s="36">
        <f>IF($J64="","",$J64+N($K64))</f>
        <v/>
      </c>
      <c r="M64" s="20" t="inlineStr"/>
    </row>
    <row r="65">
      <c r="A65" s="5" t="inlineStr">
        <is>
          <t>Pivô 57</t>
        </is>
      </c>
      <c r="B65" s="26" t="inlineStr">
        <is>
          <t>57</t>
        </is>
      </c>
      <c r="C65" s="5" t="inlineStr">
        <is>
          <t>Karitel</t>
        </is>
      </c>
      <c r="D65" s="5" t="inlineStr">
        <is>
          <t>R15</t>
        </is>
      </c>
      <c r="E65" s="5" t="inlineStr">
        <is>
          <t>Modulo 3</t>
        </is>
      </c>
      <c r="F65" s="5" t="inlineStr">
        <is>
          <t>Módulo 03</t>
        </is>
      </c>
      <c r="G65" s="15" t="n">
        <v>150.24</v>
      </c>
      <c r="H65" s="15" t="n">
        <v>715.4299999999999</v>
      </c>
      <c r="I65" s="35" t="n">
        <v>149.1399744</v>
      </c>
      <c r="J65" s="36">
        <f>IF(OR($I65="",$H65="",$H65=0),"",$I65/$H65)</f>
        <v/>
      </c>
      <c r="K65" s="17" t="n">
        <v>0.633</v>
      </c>
      <c r="L65" s="36">
        <f>IF($J65="","",$J65+N($K65))</f>
        <v/>
      </c>
      <c r="M65" s="20" t="inlineStr"/>
    </row>
    <row r="66">
      <c r="A66" s="5" t="inlineStr">
        <is>
          <t>Pivô 58</t>
        </is>
      </c>
      <c r="B66" s="26" t="inlineStr">
        <is>
          <t>58</t>
        </is>
      </c>
      <c r="C66" s="5" t="inlineStr">
        <is>
          <t>Karitel</t>
        </is>
      </c>
      <c r="D66" s="5" t="inlineStr">
        <is>
          <t>R15</t>
        </is>
      </c>
      <c r="E66" s="5" t="inlineStr">
        <is>
          <t>Modulo 3</t>
        </is>
      </c>
      <c r="F66" s="5" t="inlineStr">
        <is>
          <t>Módulo 03</t>
        </is>
      </c>
      <c r="G66" s="15" t="n">
        <v>150.24</v>
      </c>
      <c r="H66" s="15" t="n">
        <v>715.4299999999999</v>
      </c>
      <c r="I66" s="35" t="n">
        <v>111.8549808</v>
      </c>
      <c r="J66" s="36">
        <f>IF(OR($I66="",$H66="",$H66=0),"",$I66/$H66)</f>
        <v/>
      </c>
      <c r="K66" s="17" t="n">
        <v>0.633</v>
      </c>
      <c r="L66" s="36">
        <f>IF($J66="","",$J66+N($K66))</f>
        <v/>
      </c>
      <c r="M66" s="20" t="inlineStr"/>
    </row>
    <row r="67">
      <c r="A67" s="5" t="inlineStr">
        <is>
          <t>Pivô 59</t>
        </is>
      </c>
      <c r="B67" s="26" t="inlineStr">
        <is>
          <t>59</t>
        </is>
      </c>
      <c r="C67" s="5" t="inlineStr">
        <is>
          <t>Karitel</t>
        </is>
      </c>
      <c r="D67" s="5" t="inlineStr">
        <is>
          <t>R15</t>
        </is>
      </c>
      <c r="E67" s="5" t="inlineStr">
        <is>
          <t>Modulo 3</t>
        </is>
      </c>
      <c r="F67" s="5" t="inlineStr">
        <is>
          <t>Módulo 03</t>
        </is>
      </c>
      <c r="G67" s="15" t="n">
        <v>144.4</v>
      </c>
      <c r="H67" s="15" t="n">
        <v>687.62</v>
      </c>
      <c r="I67" s="35" t="n">
        <v>130.4974776</v>
      </c>
      <c r="J67" s="36">
        <f>IF(OR($I67="",$H67="",$H67=0),"",$I67/$H67)</f>
        <v/>
      </c>
      <c r="K67" s="17" t="n">
        <v>0.633</v>
      </c>
      <c r="L67" s="36">
        <f>IF($J67="","",$J67+N($K67))</f>
        <v/>
      </c>
      <c r="M67" s="20" t="inlineStr"/>
    </row>
    <row r="68">
      <c r="A68" s="5" t="inlineStr">
        <is>
          <t>Pivô 60</t>
        </is>
      </c>
      <c r="B68" s="26" t="inlineStr">
        <is>
          <t>60</t>
        </is>
      </c>
      <c r="C68" s="5" t="inlineStr">
        <is>
          <t>Karitel</t>
        </is>
      </c>
      <c r="D68" s="5" t="inlineStr">
        <is>
          <t>R15</t>
        </is>
      </c>
      <c r="E68" s="5" t="inlineStr">
        <is>
          <t>Modulo 3</t>
        </is>
      </c>
      <c r="F68" s="5" t="inlineStr">
        <is>
          <t>Módulo 03</t>
        </is>
      </c>
      <c r="G68" s="15" t="n">
        <v>150.24</v>
      </c>
      <c r="H68" s="15" t="n">
        <v>701.12</v>
      </c>
      <c r="I68" s="35" t="n">
        <v>130.4974776</v>
      </c>
      <c r="J68" s="36">
        <f>IF(OR($I68="",$H68="",$H68=0),"",$I68/$H68)</f>
        <v/>
      </c>
      <c r="K68" s="17" t="n">
        <v>0.633</v>
      </c>
      <c r="L68" s="36">
        <f>IF($J68="","",$J68+N($K68))</f>
        <v/>
      </c>
      <c r="M68" s="20" t="inlineStr"/>
    </row>
    <row r="69">
      <c r="A69" s="5" t="inlineStr">
        <is>
          <t>Pivô 61</t>
        </is>
      </c>
      <c r="B69" s="26" t="inlineStr">
        <is>
          <t>61</t>
        </is>
      </c>
      <c r="C69" s="5" t="inlineStr">
        <is>
          <t>Karitel</t>
        </is>
      </c>
      <c r="D69" s="5" t="inlineStr">
        <is>
          <t>R16</t>
        </is>
      </c>
      <c r="E69" s="5" t="inlineStr">
        <is>
          <t>Modulo 3</t>
        </is>
      </c>
      <c r="F69" s="5" t="inlineStr">
        <is>
          <t>Módulo 03</t>
        </is>
      </c>
      <c r="G69" s="15" t="n">
        <v>145.71</v>
      </c>
      <c r="H69" s="15" t="n">
        <v>693.86</v>
      </c>
      <c r="I69" s="35" t="n">
        <v>130.4974776</v>
      </c>
      <c r="J69" s="36">
        <f>IF(OR($I69="",$H69="",$H69=0),"",$I69/$H69)</f>
        <v/>
      </c>
      <c r="K69" s="17" t="n">
        <v>0.633</v>
      </c>
      <c r="L69" s="36">
        <f>IF($J69="","",$J69+N($K69))</f>
        <v/>
      </c>
      <c r="M69" s="20" t="inlineStr"/>
    </row>
    <row r="70">
      <c r="A70" s="5" t="inlineStr">
        <is>
          <t>Pivô 62</t>
        </is>
      </c>
      <c r="B70" s="26" t="inlineStr">
        <is>
          <t>62</t>
        </is>
      </c>
      <c r="C70" s="5" t="inlineStr">
        <is>
          <t>Karitel</t>
        </is>
      </c>
      <c r="D70" s="5" t="inlineStr">
        <is>
          <t>R16</t>
        </is>
      </c>
      <c r="E70" s="5" t="inlineStr">
        <is>
          <t>Modulo 3</t>
        </is>
      </c>
      <c r="F70" s="5" t="inlineStr">
        <is>
          <t>Módulo 03</t>
        </is>
      </c>
      <c r="G70" s="15" t="n">
        <v>140.89</v>
      </c>
      <c r="H70" s="15" t="n">
        <v>670.9</v>
      </c>
      <c r="I70" s="35" t="n">
        <v>130.4974776</v>
      </c>
      <c r="J70" s="36">
        <f>IF(OR($I70="",$H70="",$H70=0),"",$I70/$H70)</f>
        <v/>
      </c>
      <c r="K70" s="17" t="n">
        <v>0.633</v>
      </c>
      <c r="L70" s="36">
        <f>IF($J70="","",$J70+N($K70))</f>
        <v/>
      </c>
      <c r="M70" s="20" t="inlineStr"/>
    </row>
    <row r="71">
      <c r="A71" s="5" t="inlineStr">
        <is>
          <t>Pivô 63</t>
        </is>
      </c>
      <c r="B71" s="26" t="inlineStr">
        <is>
          <t>63</t>
        </is>
      </c>
      <c r="C71" s="5" t="inlineStr">
        <is>
          <t>Karitel</t>
        </is>
      </c>
      <c r="D71" s="5" t="inlineStr">
        <is>
          <t>R18</t>
        </is>
      </c>
      <c r="E71" s="5" t="inlineStr">
        <is>
          <t>Modulo 3</t>
        </is>
      </c>
      <c r="F71" s="5" t="inlineStr">
        <is>
          <t>Módulo 03</t>
        </is>
      </c>
      <c r="G71" s="15" t="n">
        <v>80.15000000000001</v>
      </c>
      <c r="H71" s="15" t="n">
        <v>383.71</v>
      </c>
      <c r="I71" s="35" t="n">
        <v>74.5699872</v>
      </c>
      <c r="J71" s="36">
        <f>IF(OR($I71="",$H71="",$H71=0),"",$I71/$H71)</f>
        <v/>
      </c>
      <c r="K71" s="17" t="n">
        <v>0.633</v>
      </c>
      <c r="L71" s="36">
        <f>IF($J71="","",$J71+N($K71))</f>
        <v/>
      </c>
      <c r="M71" s="20" t="inlineStr"/>
    </row>
    <row r="72">
      <c r="A72" s="5" t="inlineStr">
        <is>
          <t>Pivô 64</t>
        </is>
      </c>
      <c r="B72" s="26" t="inlineStr">
        <is>
          <t>64</t>
        </is>
      </c>
      <c r="C72" s="5" t="inlineStr">
        <is>
          <t>Karitel</t>
        </is>
      </c>
      <c r="D72" s="5" t="inlineStr">
        <is>
          <t>R18</t>
        </is>
      </c>
      <c r="E72" s="5" t="inlineStr">
        <is>
          <t>Modulo 3</t>
        </is>
      </c>
      <c r="F72" s="5" t="inlineStr">
        <is>
          <t>Módulo 03</t>
        </is>
      </c>
      <c r="G72" s="15" t="n">
        <v>80.15000000000001</v>
      </c>
      <c r="H72" s="15" t="n">
        <v>383.71</v>
      </c>
      <c r="I72" s="35" t="n">
        <v>55.9274904</v>
      </c>
      <c r="J72" s="36">
        <f>IF(OR($I72="",$H72="",$H72=0),"",$I72/$H72)</f>
        <v/>
      </c>
      <c r="K72" s="17" t="n">
        <v>0.633</v>
      </c>
      <c r="L72" s="36">
        <f>IF($J72="","",$J72+N($K72))</f>
        <v/>
      </c>
      <c r="M72" s="20" t="inlineStr"/>
    </row>
    <row r="73">
      <c r="A73" s="5" t="inlineStr">
        <is>
          <t>Pivô 65</t>
        </is>
      </c>
      <c r="B73" s="26" t="inlineStr">
        <is>
          <t>65</t>
        </is>
      </c>
      <c r="C73" s="5" t="inlineStr">
        <is>
          <t>Karitel</t>
        </is>
      </c>
      <c r="D73" s="5" t="inlineStr">
        <is>
          <t>R18</t>
        </is>
      </c>
      <c r="E73" s="5" t="inlineStr">
        <is>
          <t>Modulo 3</t>
        </is>
      </c>
      <c r="F73" s="5" t="inlineStr">
        <is>
          <t>Módulo 03</t>
        </is>
      </c>
      <c r="G73" s="15" t="n">
        <v>150.24</v>
      </c>
      <c r="H73" s="15" t="n">
        <v>692.3</v>
      </c>
      <c r="I73" s="35" t="n">
        <v>149.1399744</v>
      </c>
      <c r="J73" s="36">
        <f>IF(OR($I73="",$H73="",$H73=0),"",$I73/$H73)</f>
        <v/>
      </c>
      <c r="K73" s="17" t="n">
        <v>0.633</v>
      </c>
      <c r="L73" s="36">
        <f>IF($J73="","",$J73+N($K73))</f>
        <v/>
      </c>
      <c r="M73" s="20" t="inlineStr"/>
    </row>
    <row r="74">
      <c r="A74" s="5" t="inlineStr">
        <is>
          <t>Pivô 66</t>
        </is>
      </c>
      <c r="B74" s="26" t="inlineStr">
        <is>
          <t>66</t>
        </is>
      </c>
      <c r="C74" s="5" t="inlineStr">
        <is>
          <t>Karitel</t>
        </is>
      </c>
      <c r="D74" s="5" t="inlineStr">
        <is>
          <t>R15</t>
        </is>
      </c>
      <c r="E74" s="5" t="inlineStr">
        <is>
          <t>Modulo 3</t>
        </is>
      </c>
      <c r="F74" s="5" t="inlineStr">
        <is>
          <t>Módulo 03</t>
        </is>
      </c>
      <c r="G74" s="15" t="n">
        <v>100.86</v>
      </c>
      <c r="H74" s="15" t="n">
        <v>480.29</v>
      </c>
      <c r="I74" s="35" t="n">
        <v>130.4974776</v>
      </c>
      <c r="J74" s="36">
        <f>IF(OR($I74="",$H74="",$H74=0),"",$I74/$H74)</f>
        <v/>
      </c>
      <c r="K74" s="17" t="n">
        <v>0.633</v>
      </c>
      <c r="L74" s="36">
        <f>IF($J74="","",$J74+N($K74))</f>
        <v/>
      </c>
      <c r="M74" s="20" t="inlineStr"/>
    </row>
    <row r="75">
      <c r="A75" s="5" t="inlineStr">
        <is>
          <t>Pivô 67</t>
        </is>
      </c>
      <c r="B75" s="26" t="inlineStr">
        <is>
          <t>67</t>
        </is>
      </c>
      <c r="C75" s="5" t="inlineStr">
        <is>
          <t>Karitel</t>
        </is>
      </c>
      <c r="D75" s="5" t="inlineStr">
        <is>
          <t>R16</t>
        </is>
      </c>
      <c r="E75" s="5" t="inlineStr">
        <is>
          <t>Modulo 3</t>
        </is>
      </c>
      <c r="F75" s="5" t="inlineStr">
        <is>
          <t>Módulo 03</t>
        </is>
      </c>
      <c r="G75" s="15" t="n">
        <v>80.25</v>
      </c>
      <c r="H75" s="15" t="n">
        <v>382.14</v>
      </c>
      <c r="I75" s="35" t="n">
        <v>130.4974776</v>
      </c>
      <c r="J75" s="36">
        <f>IF(OR($I75="",$H75="",$H75=0),"",$I75/$H75)</f>
        <v/>
      </c>
      <c r="K75" s="17" t="n">
        <v>0.633</v>
      </c>
      <c r="L75" s="36">
        <f>IF($J75="","",$J75+N($K75))</f>
        <v/>
      </c>
      <c r="M75" s="20" t="inlineStr"/>
    </row>
    <row r="76">
      <c r="A76" s="5" t="inlineStr">
        <is>
          <t>Pivô 68</t>
        </is>
      </c>
      <c r="B76" s="26" t="inlineStr">
        <is>
          <t>68</t>
        </is>
      </c>
      <c r="C76" s="5" t="inlineStr">
        <is>
          <t>Karitel</t>
        </is>
      </c>
      <c r="D76" s="5" t="inlineStr">
        <is>
          <t>R16</t>
        </is>
      </c>
      <c r="E76" s="5" t="inlineStr">
        <is>
          <t>Modulo 3</t>
        </is>
      </c>
      <c r="F76" s="5" t="inlineStr">
        <is>
          <t>Módulo 03</t>
        </is>
      </c>
      <c r="G76" s="15" t="n">
        <v>80.25</v>
      </c>
      <c r="H76" s="15" t="n">
        <v>382.14</v>
      </c>
      <c r="I76" s="35" t="n">
        <v>130.4974776</v>
      </c>
      <c r="J76" s="36">
        <f>IF(OR($I76="",$H76="",$H76=0),"",$I76/$H76)</f>
        <v/>
      </c>
      <c r="K76" s="17" t="n">
        <v>0.633</v>
      </c>
      <c r="L76" s="36">
        <f>IF($J76="","",$J76+N($K76))</f>
        <v/>
      </c>
      <c r="M76" s="20" t="inlineStr"/>
    </row>
    <row r="77">
      <c r="A77" s="5" t="inlineStr">
        <is>
          <t>Pivô 69</t>
        </is>
      </c>
      <c r="B77" s="26" t="inlineStr">
        <is>
          <t>69</t>
        </is>
      </c>
      <c r="C77" s="5" t="inlineStr">
        <is>
          <t>Karitel</t>
        </is>
      </c>
      <c r="D77" s="5" t="inlineStr">
        <is>
          <t>R17</t>
        </is>
      </c>
      <c r="E77" s="5" t="inlineStr">
        <is>
          <t>Modulo 3</t>
        </is>
      </c>
      <c r="F77" s="5" t="inlineStr">
        <is>
          <t>Módulo 03</t>
        </is>
      </c>
      <c r="G77" s="15" t="n">
        <v>80.25</v>
      </c>
      <c r="H77" s="15" t="n">
        <v>382.14</v>
      </c>
      <c r="I77" s="35" t="n">
        <v>130.4974776</v>
      </c>
      <c r="J77" s="36">
        <f>IF(OR($I77="",$H77="",$H77=0),"",$I77/$H77)</f>
        <v/>
      </c>
      <c r="K77" s="17" t="n">
        <v>0.633</v>
      </c>
      <c r="L77" s="36">
        <f>IF($J77="","",$J77+N($K77))</f>
        <v/>
      </c>
      <c r="M77" s="20" t="inlineStr"/>
    </row>
    <row r="78">
      <c r="A78" s="5" t="inlineStr">
        <is>
          <t>Pivô 70</t>
        </is>
      </c>
      <c r="B78" s="26" t="inlineStr">
        <is>
          <t>70</t>
        </is>
      </c>
      <c r="C78" s="5" t="inlineStr">
        <is>
          <t>Karitel</t>
        </is>
      </c>
      <c r="D78" s="5" t="inlineStr">
        <is>
          <t>R17</t>
        </is>
      </c>
      <c r="E78" s="5" t="inlineStr">
        <is>
          <t>Modulo 3</t>
        </is>
      </c>
      <c r="F78" s="5" t="inlineStr">
        <is>
          <t>Módulo 03</t>
        </is>
      </c>
      <c r="G78" s="15" t="n">
        <v>150.24</v>
      </c>
      <c r="H78" s="15" t="n">
        <v>715.4299999999999</v>
      </c>
      <c r="I78" s="35" t="n">
        <v>130.4974776</v>
      </c>
      <c r="J78" s="36">
        <f>IF(OR($I78="",$H78="",$H78=0),"",$I78/$H78)</f>
        <v/>
      </c>
      <c r="K78" s="17" t="n">
        <v>0.633</v>
      </c>
      <c r="L78" s="36">
        <f>IF($J78="","",$J78+N($K78))</f>
        <v/>
      </c>
      <c r="M78" s="20" t="inlineStr"/>
    </row>
    <row r="79">
      <c r="A79" s="5" t="inlineStr">
        <is>
          <t>Pivô 71</t>
        </is>
      </c>
      <c r="B79" s="26" t="inlineStr">
        <is>
          <t>71</t>
        </is>
      </c>
      <c r="C79" s="5" t="inlineStr">
        <is>
          <t>Karitel</t>
        </is>
      </c>
      <c r="D79" s="5" t="inlineStr">
        <is>
          <t>R17</t>
        </is>
      </c>
      <c r="E79" s="5" t="inlineStr">
        <is>
          <t>Modulo 3</t>
        </is>
      </c>
      <c r="F79" s="5" t="inlineStr">
        <is>
          <t>Módulo 03</t>
        </is>
      </c>
      <c r="G79" s="15" t="n">
        <v>40.23</v>
      </c>
      <c r="H79" s="15" t="n">
        <v>191.57</v>
      </c>
      <c r="I79" s="35" t="n">
        <v>29.82799488</v>
      </c>
      <c r="J79" s="36">
        <f>IF(OR($I79="",$H79="",$H79=0),"",$I79/$H79)</f>
        <v/>
      </c>
      <c r="K79" s="17" t="n">
        <v>0.633</v>
      </c>
      <c r="L79" s="36">
        <f>IF($J79="","",$J79+N($K79))</f>
        <v/>
      </c>
      <c r="M79" s="20" t="inlineStr"/>
    </row>
    <row r="80">
      <c r="A80" s="5" t="inlineStr">
        <is>
          <t>Pivô 72</t>
        </is>
      </c>
      <c r="B80" s="26" t="inlineStr">
        <is>
          <t>72</t>
        </is>
      </c>
      <c r="C80" s="5" t="inlineStr">
        <is>
          <t>Karitel</t>
        </is>
      </c>
      <c r="D80" s="5" t="inlineStr">
        <is>
          <t>R17</t>
        </is>
      </c>
      <c r="E80" s="5" t="inlineStr">
        <is>
          <t>Modulo 3</t>
        </is>
      </c>
      <c r="F80" s="5" t="inlineStr">
        <is>
          <t>Módulo 03</t>
        </is>
      </c>
      <c r="G80" s="15" t="n">
        <v>125.51</v>
      </c>
      <c r="H80" s="15" t="n">
        <v>597.67</v>
      </c>
      <c r="I80" s="35" t="n">
        <v>130.4974776</v>
      </c>
      <c r="J80" s="36">
        <f>IF(OR($I80="",$H80="",$H80=0),"",$I80/$H80)</f>
        <v/>
      </c>
      <c r="K80" s="17" t="n">
        <v>0.633</v>
      </c>
      <c r="L80" s="36">
        <f>IF($J80="","",$J80+N($K80))</f>
        <v/>
      </c>
      <c r="M80" s="20" t="inlineStr"/>
    </row>
    <row r="81">
      <c r="A81" s="5" t="inlineStr">
        <is>
          <t>Pivô 101</t>
        </is>
      </c>
      <c r="B81" s="26" t="inlineStr">
        <is>
          <t>101</t>
        </is>
      </c>
      <c r="C81" s="5" t="inlineStr">
        <is>
          <t>RDM</t>
        </is>
      </c>
      <c r="D81" s="5" t="inlineStr">
        <is>
          <t>RM4</t>
        </is>
      </c>
      <c r="E81" s="5" t="inlineStr">
        <is>
          <t>RDM</t>
        </is>
      </c>
      <c r="F81" s="5" t="inlineStr">
        <is>
          <t>Módulo 01</t>
        </is>
      </c>
      <c r="G81" s="15" t="n">
        <v>116.2</v>
      </c>
      <c r="H81" s="15" t="n">
        <v>552.48</v>
      </c>
      <c r="I81" s="35" t="n">
        <v>111.8549808</v>
      </c>
      <c r="J81" s="36">
        <f>IF(OR($I81="",$H81="",$H81=0),"",$I81/$H81)</f>
        <v/>
      </c>
      <c r="K81" s="17" t="n">
        <v>0.43</v>
      </c>
      <c r="L81" s="36">
        <f>IF($J81="","",$J81+N($K81))</f>
        <v/>
      </c>
      <c r="M81" s="20" t="inlineStr"/>
    </row>
    <row r="82">
      <c r="A82" s="5" t="inlineStr">
        <is>
          <t>Pivô 102</t>
        </is>
      </c>
      <c r="B82" s="26" t="inlineStr">
        <is>
          <t>102</t>
        </is>
      </c>
      <c r="C82" s="5" t="inlineStr">
        <is>
          <t>RDM</t>
        </is>
      </c>
      <c r="D82" s="5" t="inlineStr">
        <is>
          <t>RM4</t>
        </is>
      </c>
      <c r="E82" s="5" t="inlineStr">
        <is>
          <t>RDM</t>
        </is>
      </c>
      <c r="F82" s="5" t="inlineStr">
        <is>
          <t>Módulo 01</t>
        </is>
      </c>
      <c r="G82" s="15" t="n">
        <v>102.19</v>
      </c>
      <c r="H82" s="15" t="n">
        <v>486.62</v>
      </c>
      <c r="I82" s="35" t="n">
        <v>93.212484</v>
      </c>
      <c r="J82" s="36">
        <f>IF(OR($I82="",$H82="",$H82=0),"",$I82/$H82)</f>
        <v/>
      </c>
      <c r="K82" s="17" t="n">
        <v>0.43</v>
      </c>
      <c r="L82" s="36">
        <f>IF($J82="","",$J82+N($K82))</f>
        <v/>
      </c>
      <c r="M82" s="20" t="inlineStr"/>
    </row>
    <row r="83">
      <c r="A83" s="5" t="inlineStr">
        <is>
          <t>Pivô 103</t>
        </is>
      </c>
      <c r="B83" s="26" t="inlineStr">
        <is>
          <t>103</t>
        </is>
      </c>
      <c r="C83" s="5" t="inlineStr">
        <is>
          <t>RDM</t>
        </is>
      </c>
      <c r="D83" s="5" t="inlineStr">
        <is>
          <t>RM4</t>
        </is>
      </c>
      <c r="E83" s="5" t="inlineStr">
        <is>
          <t>RDM</t>
        </is>
      </c>
      <c r="F83" s="5" t="inlineStr">
        <is>
          <t>Módulo 01</t>
        </is>
      </c>
      <c r="G83" s="15" t="n">
        <v>102.01</v>
      </c>
      <c r="H83" s="15" t="n">
        <v>485.76</v>
      </c>
      <c r="I83" s="35" t="n">
        <v>74.5699872</v>
      </c>
      <c r="J83" s="36">
        <f>IF(OR($I83="",$H83="",$H83=0),"",$I83/$H83)</f>
        <v/>
      </c>
      <c r="K83" s="17" t="n">
        <v>0.43</v>
      </c>
      <c r="L83" s="36">
        <f>IF($J83="","",$J83+N($K83))</f>
        <v/>
      </c>
      <c r="M83" s="20" t="inlineStr"/>
    </row>
    <row r="84">
      <c r="A84" s="5" t="inlineStr">
        <is>
          <t>Pivô 104</t>
        </is>
      </c>
      <c r="B84" s="26" t="inlineStr">
        <is>
          <t>104</t>
        </is>
      </c>
      <c r="C84" s="5" t="inlineStr">
        <is>
          <t>RDM</t>
        </is>
      </c>
      <c r="D84" s="5" t="inlineStr">
        <is>
          <t>RM4</t>
        </is>
      </c>
      <c r="E84" s="5" t="inlineStr">
        <is>
          <t>RDM</t>
        </is>
      </c>
      <c r="F84" s="5" t="inlineStr">
        <is>
          <t>Módulo 01</t>
        </is>
      </c>
      <c r="G84" s="15" t="n">
        <v>102.01</v>
      </c>
      <c r="H84" s="15" t="n">
        <v>485.76</v>
      </c>
      <c r="I84" s="35" t="n">
        <v>74.5699872</v>
      </c>
      <c r="J84" s="36">
        <f>IF(OR($I84="",$H84="",$H84=0),"",$I84/$H84)</f>
        <v/>
      </c>
      <c r="K84" s="17" t="n">
        <v>0.43</v>
      </c>
      <c r="L84" s="36">
        <f>IF($J84="","",$J84+N($K84))</f>
        <v/>
      </c>
      <c r="M84" s="20" t="inlineStr"/>
    </row>
    <row r="85">
      <c r="A85" s="5" t="inlineStr">
        <is>
          <t>Pivô 105</t>
        </is>
      </c>
      <c r="B85" s="26" t="inlineStr">
        <is>
          <t>105</t>
        </is>
      </c>
      <c r="C85" s="5" t="inlineStr">
        <is>
          <t>RDM</t>
        </is>
      </c>
      <c r="D85" s="5" t="inlineStr">
        <is>
          <t>RM3</t>
        </is>
      </c>
      <c r="E85" s="5" t="inlineStr">
        <is>
          <t>RDM</t>
        </is>
      </c>
      <c r="F85" s="5" t="inlineStr">
        <is>
          <t>Módulo 01</t>
        </is>
      </c>
      <c r="G85" s="15" t="n">
        <v>102.01</v>
      </c>
      <c r="H85" s="15" t="n">
        <v>485.76</v>
      </c>
      <c r="I85" s="35" t="n">
        <v>74.5699872</v>
      </c>
      <c r="J85" s="36">
        <f>IF(OR($I85="",$H85="",$H85=0),"",$I85/$H85)</f>
        <v/>
      </c>
      <c r="K85" s="17" t="n">
        <v>0.43</v>
      </c>
      <c r="L85" s="36">
        <f>IF($J85="","",$J85+N($K85))</f>
        <v/>
      </c>
      <c r="M85" s="20" t="inlineStr"/>
    </row>
    <row r="86">
      <c r="A86" s="5" t="inlineStr">
        <is>
          <t>Pivô 106</t>
        </is>
      </c>
      <c r="B86" s="26" t="inlineStr">
        <is>
          <t>106</t>
        </is>
      </c>
      <c r="C86" s="5" t="inlineStr">
        <is>
          <t>RDM</t>
        </is>
      </c>
      <c r="D86" s="5" t="inlineStr">
        <is>
          <t>RM2</t>
        </is>
      </c>
      <c r="E86" s="5" t="inlineStr">
        <is>
          <t>RDM</t>
        </is>
      </c>
      <c r="F86" s="5" t="inlineStr">
        <is>
          <t>Módulo 01</t>
        </is>
      </c>
      <c r="G86" s="15" t="n">
        <v>102.01</v>
      </c>
      <c r="H86" s="15" t="n">
        <v>485.76</v>
      </c>
      <c r="I86" s="35" t="n">
        <v>74.5699872</v>
      </c>
      <c r="J86" s="36">
        <f>IF(OR($I86="",$H86="",$H86=0),"",$I86/$H86)</f>
        <v/>
      </c>
      <c r="K86" s="17" t="n">
        <v>0.43</v>
      </c>
      <c r="L86" s="36">
        <f>IF($J86="","",$J86+N($K86))</f>
        <v/>
      </c>
      <c r="M86" s="20" t="inlineStr"/>
    </row>
    <row r="87">
      <c r="A87" s="5" t="inlineStr">
        <is>
          <t>Pivô 107</t>
        </is>
      </c>
      <c r="B87" s="26" t="inlineStr">
        <is>
          <t>107</t>
        </is>
      </c>
      <c r="C87" s="5" t="inlineStr">
        <is>
          <t>RDM</t>
        </is>
      </c>
      <c r="D87" s="5" t="inlineStr">
        <is>
          <t>RM3</t>
        </is>
      </c>
      <c r="E87" s="5" t="inlineStr">
        <is>
          <t>RDM</t>
        </is>
      </c>
      <c r="F87" s="5" t="inlineStr">
        <is>
          <t>Módulo 01</t>
        </is>
      </c>
      <c r="G87" s="15" t="n">
        <v>102.01</v>
      </c>
      <c r="H87" s="15" t="n">
        <v>485.76</v>
      </c>
      <c r="I87" s="35" t="n">
        <v>93.212484</v>
      </c>
      <c r="J87" s="36">
        <f>IF(OR($I87="",$H87="",$H87=0),"",$I87/$H87)</f>
        <v/>
      </c>
      <c r="K87" s="17" t="n">
        <v>0.43</v>
      </c>
      <c r="L87" s="36">
        <f>IF($J87="","",$J87+N($K87))</f>
        <v/>
      </c>
      <c r="M87" s="20" t="inlineStr"/>
    </row>
    <row r="88">
      <c r="A88" s="5" t="inlineStr">
        <is>
          <t>Pivô 108</t>
        </is>
      </c>
      <c r="B88" s="26" t="inlineStr">
        <is>
          <t>108</t>
        </is>
      </c>
      <c r="C88" s="5" t="inlineStr">
        <is>
          <t>RDM</t>
        </is>
      </c>
      <c r="D88" s="5" t="inlineStr">
        <is>
          <t>RM2</t>
        </is>
      </c>
      <c r="E88" s="5" t="inlineStr">
        <is>
          <t>RDM</t>
        </is>
      </c>
      <c r="F88" s="5" t="inlineStr">
        <is>
          <t>Módulo 01</t>
        </is>
      </c>
      <c r="G88" s="15" t="n">
        <v>102.01</v>
      </c>
      <c r="H88" s="15" t="n">
        <v>485.76</v>
      </c>
      <c r="I88" s="35" t="n">
        <v>74.5699872</v>
      </c>
      <c r="J88" s="36">
        <f>IF(OR($I88="",$H88="",$H88=0),"",$I88/$H88)</f>
        <v/>
      </c>
      <c r="K88" s="17" t="n">
        <v>0.43</v>
      </c>
      <c r="L88" s="36">
        <f>IF($J88="","",$J88+N($K88))</f>
        <v/>
      </c>
      <c r="M88" s="20" t="inlineStr"/>
    </row>
    <row r="89">
      <c r="A89" s="5" t="inlineStr">
        <is>
          <t>Pivô 109</t>
        </is>
      </c>
      <c r="B89" s="26" t="inlineStr">
        <is>
          <t>109</t>
        </is>
      </c>
      <c r="C89" s="5" t="inlineStr">
        <is>
          <t>RDM</t>
        </is>
      </c>
      <c r="D89" s="5" t="inlineStr">
        <is>
          <t>RM1</t>
        </is>
      </c>
      <c r="E89" s="5" t="inlineStr">
        <is>
          <t>RDM</t>
        </is>
      </c>
      <c r="F89" s="5" t="inlineStr">
        <is>
          <t>Módulo 01</t>
        </is>
      </c>
      <c r="G89" s="15" t="n">
        <v>102.01</v>
      </c>
      <c r="H89" s="15" t="n">
        <v>485.76</v>
      </c>
      <c r="I89" s="35" t="n">
        <v>93.212484</v>
      </c>
      <c r="J89" s="36">
        <f>IF(OR($I89="",$H89="",$H89=0),"",$I89/$H89)</f>
        <v/>
      </c>
      <c r="K89" s="17" t="n">
        <v>0.43</v>
      </c>
      <c r="L89" s="36">
        <f>IF($J89="","",$J89+N($K89))</f>
        <v/>
      </c>
      <c r="M89" s="20" t="inlineStr"/>
    </row>
    <row r="90">
      <c r="A90" s="5" t="inlineStr">
        <is>
          <t>Pivô 110</t>
        </is>
      </c>
      <c r="B90" s="26" t="inlineStr">
        <is>
          <t>110</t>
        </is>
      </c>
      <c r="C90" s="5" t="inlineStr">
        <is>
          <t>RDM</t>
        </is>
      </c>
      <c r="D90" s="5" t="inlineStr">
        <is>
          <t>RM4</t>
        </is>
      </c>
      <c r="E90" s="5" t="inlineStr">
        <is>
          <t>RDM</t>
        </is>
      </c>
      <c r="F90" s="5" t="inlineStr">
        <is>
          <t>Módulo 01</t>
        </is>
      </c>
      <c r="G90" s="15" t="n">
        <v>102.19</v>
      </c>
      <c r="H90" s="15" t="n">
        <v>485.62</v>
      </c>
      <c r="I90" s="35" t="n">
        <v>93.212484</v>
      </c>
      <c r="J90" s="36">
        <f>IF(OR($I90="",$H90="",$H90=0),"",$I90/$H90)</f>
        <v/>
      </c>
      <c r="K90" s="17" t="n">
        <v>0.43</v>
      </c>
      <c r="L90" s="36">
        <f>IF($J90="","",$J90+N($K90))</f>
        <v/>
      </c>
      <c r="M90" s="20" t="inlineStr"/>
    </row>
    <row r="91">
      <c r="A91" s="5" t="inlineStr">
        <is>
          <t>Pivô 112</t>
        </is>
      </c>
      <c r="B91" s="26" t="inlineStr">
        <is>
          <t>112</t>
        </is>
      </c>
      <c r="C91" s="5" t="inlineStr">
        <is>
          <t>RDM</t>
        </is>
      </c>
      <c r="D91" s="5" t="inlineStr">
        <is>
          <t>RM5</t>
        </is>
      </c>
      <c r="E91" s="5" t="inlineStr">
        <is>
          <t>RDM</t>
        </is>
      </c>
      <c r="F91" s="5" t="inlineStr">
        <is>
          <t>Módulo 02</t>
        </is>
      </c>
      <c r="G91" s="15" t="n">
        <v>150.34</v>
      </c>
      <c r="H91" s="15" t="n">
        <v>715.9</v>
      </c>
      <c r="I91" s="35" t="n">
        <v>130.4974776</v>
      </c>
      <c r="J91" s="36">
        <f>IF(OR($I91="",$H91="",$H91=0),"",$I91/$H91)</f>
        <v/>
      </c>
      <c r="K91" s="17" t="n">
        <v>0.516</v>
      </c>
      <c r="L91" s="36">
        <f>IF($J91="","",$J91+N($K91))</f>
        <v/>
      </c>
      <c r="M91" s="20" t="inlineStr"/>
    </row>
    <row r="92">
      <c r="A92" s="5" t="inlineStr">
        <is>
          <t>Pivô 113</t>
        </is>
      </c>
      <c r="B92" s="26" t="inlineStr">
        <is>
          <t>113</t>
        </is>
      </c>
      <c r="C92" s="5" t="inlineStr">
        <is>
          <t>RDM</t>
        </is>
      </c>
      <c r="D92" s="5" t="inlineStr">
        <is>
          <t>RM5</t>
        </is>
      </c>
      <c r="E92" s="5" t="inlineStr">
        <is>
          <t>RDM</t>
        </is>
      </c>
      <c r="F92" s="5" t="inlineStr">
        <is>
          <t>Módulo 02</t>
        </is>
      </c>
      <c r="G92" s="15" t="n">
        <v>150.14</v>
      </c>
      <c r="H92" s="15" t="n">
        <v>714.95</v>
      </c>
      <c r="I92" s="35" t="n">
        <v>130.4974776</v>
      </c>
      <c r="J92" s="36">
        <f>IF(OR($I92="",$H92="",$H92=0),"",$I92/$H92)</f>
        <v/>
      </c>
      <c r="K92" s="17" t="n">
        <v>0.516</v>
      </c>
      <c r="L92" s="36">
        <f>IF($J92="","",$J92+N($K92))</f>
        <v/>
      </c>
      <c r="M92" s="20" t="inlineStr"/>
    </row>
    <row r="93">
      <c r="A93" s="5" t="inlineStr">
        <is>
          <t>Pivô 114</t>
        </is>
      </c>
      <c r="B93" s="26" t="inlineStr">
        <is>
          <t>114</t>
        </is>
      </c>
      <c r="C93" s="5" t="inlineStr">
        <is>
          <t>RDM</t>
        </is>
      </c>
      <c r="D93" s="5" t="inlineStr">
        <is>
          <t>RM5</t>
        </is>
      </c>
      <c r="E93" s="5" t="inlineStr">
        <is>
          <t>RDM</t>
        </is>
      </c>
      <c r="F93" s="5" t="inlineStr">
        <is>
          <t>Módulo 02</t>
        </is>
      </c>
      <c r="G93" s="15" t="n">
        <v>120.13</v>
      </c>
      <c r="H93" s="15" t="n">
        <v>572.05</v>
      </c>
      <c r="I93" s="35" t="n">
        <v>111.8549808</v>
      </c>
      <c r="J93" s="36">
        <f>IF(OR($I93="",$H93="",$H93=0),"",$I93/$H93)</f>
        <v/>
      </c>
      <c r="K93" s="17" t="n">
        <v>0.516</v>
      </c>
      <c r="L93" s="36">
        <f>IF($J93="","",$J93+N($K93))</f>
        <v/>
      </c>
      <c r="M93" s="20" t="inlineStr"/>
    </row>
    <row r="94">
      <c r="A94" s="5" t="inlineStr">
        <is>
          <t>Pivô 115</t>
        </is>
      </c>
      <c r="B94" s="26" t="inlineStr">
        <is>
          <t>115</t>
        </is>
      </c>
      <c r="C94" s="5" t="inlineStr">
        <is>
          <t>RDM</t>
        </is>
      </c>
      <c r="D94" s="5" t="inlineStr">
        <is>
          <t>RM5</t>
        </is>
      </c>
      <c r="E94" s="5" t="inlineStr">
        <is>
          <t>RDM</t>
        </is>
      </c>
      <c r="F94" s="5" t="inlineStr">
        <is>
          <t>Módulo 02</t>
        </is>
      </c>
      <c r="G94" s="15" t="n">
        <v>150.34</v>
      </c>
      <c r="H94" s="15" t="n">
        <v>715.9</v>
      </c>
      <c r="I94" s="35" t="n">
        <v>130.4974776</v>
      </c>
      <c r="J94" s="36">
        <f>IF(OR($I94="",$H94="",$H94=0),"",$I94/$H94)</f>
        <v/>
      </c>
      <c r="K94" s="17" t="n">
        <v>0.516</v>
      </c>
      <c r="L94" s="36">
        <f>IF($J94="","",$J94+N($K94))</f>
        <v/>
      </c>
      <c r="M94" s="20" t="inlineStr"/>
    </row>
    <row r="95">
      <c r="A95" s="5" t="inlineStr">
        <is>
          <t>Pivô 116</t>
        </is>
      </c>
      <c r="B95" s="26" t="inlineStr">
        <is>
          <t>116</t>
        </is>
      </c>
      <c r="C95" s="5" t="inlineStr">
        <is>
          <t>RDM</t>
        </is>
      </c>
      <c r="D95" s="5" t="inlineStr">
        <is>
          <t>RM6</t>
        </is>
      </c>
      <c r="E95" s="5" t="inlineStr">
        <is>
          <t>RDM</t>
        </is>
      </c>
      <c r="F95" s="5" t="inlineStr">
        <is>
          <t>Módulo 02</t>
        </is>
      </c>
      <c r="G95" s="15" t="n">
        <v>150.34</v>
      </c>
      <c r="H95" s="15" t="n">
        <v>701.59</v>
      </c>
      <c r="I95" s="35" t="n">
        <v>130.4974776</v>
      </c>
      <c r="J95" s="36">
        <f>IF(OR($I95="",$H95="",$H95=0),"",$I95/$H95)</f>
        <v/>
      </c>
      <c r="K95" s="17" t="n">
        <v>0.516</v>
      </c>
      <c r="L95" s="36">
        <f>IF($J95="","",$J95+N($K95))</f>
        <v/>
      </c>
      <c r="M95" s="20" t="inlineStr"/>
    </row>
    <row r="96">
      <c r="A96" s="5" t="inlineStr">
        <is>
          <t>Pivô 117</t>
        </is>
      </c>
      <c r="B96" s="26" t="inlineStr">
        <is>
          <t>117</t>
        </is>
      </c>
      <c r="C96" s="5" t="inlineStr">
        <is>
          <t>RDM</t>
        </is>
      </c>
      <c r="D96" s="5" t="inlineStr">
        <is>
          <t>RM6</t>
        </is>
      </c>
      <c r="E96" s="5" t="inlineStr">
        <is>
          <t>RDM</t>
        </is>
      </c>
      <c r="F96" s="5" t="inlineStr">
        <is>
          <t>Módulo 02</t>
        </is>
      </c>
      <c r="G96" s="15" t="n">
        <v>150.34</v>
      </c>
      <c r="H96" s="15" t="n">
        <v>715.9</v>
      </c>
      <c r="I96" s="35" t="n">
        <v>130.4974776</v>
      </c>
      <c r="J96" s="36">
        <f>IF(OR($I96="",$H96="",$H96=0),"",$I96/$H96)</f>
        <v/>
      </c>
      <c r="K96" s="17" t="n">
        <v>0.516</v>
      </c>
      <c r="L96" s="36">
        <f>IF($J96="","",$J96+N($K96))</f>
        <v/>
      </c>
      <c r="M96" s="20" t="inlineStr"/>
    </row>
    <row r="97">
      <c r="A97" s="5" t="inlineStr">
        <is>
          <t>Pivô 118</t>
        </is>
      </c>
      <c r="B97" s="26" t="inlineStr">
        <is>
          <t>118</t>
        </is>
      </c>
      <c r="C97" s="5" t="inlineStr">
        <is>
          <t>RDM</t>
        </is>
      </c>
      <c r="D97" s="5" t="inlineStr">
        <is>
          <t>RM6</t>
        </is>
      </c>
      <c r="E97" s="5" t="inlineStr">
        <is>
          <t>RDM</t>
        </is>
      </c>
      <c r="F97" s="5" t="inlineStr">
        <is>
          <t>Módulo 02</t>
        </is>
      </c>
      <c r="G97" s="15" t="n">
        <v>150.14</v>
      </c>
      <c r="H97" s="15" t="n">
        <v>694.9299999999999</v>
      </c>
      <c r="I97" s="35" t="n">
        <v>130.4974776</v>
      </c>
      <c r="J97" s="36">
        <f>IF(OR($I97="",$H97="",$H97=0),"",$I97/$H97)</f>
        <v/>
      </c>
      <c r="K97" s="17" t="n">
        <v>0.516</v>
      </c>
      <c r="L97" s="36">
        <f>IF($J97="","",$J97+N($K97))</f>
        <v/>
      </c>
      <c r="M97" s="20" t="inlineStr"/>
    </row>
    <row r="98">
      <c r="A98" s="5" t="inlineStr">
        <is>
          <t>Pivô 119</t>
        </is>
      </c>
      <c r="B98" s="26" t="inlineStr">
        <is>
          <t>119</t>
        </is>
      </c>
      <c r="C98" s="5" t="inlineStr">
        <is>
          <t>RDM</t>
        </is>
      </c>
      <c r="D98" s="5" t="inlineStr">
        <is>
          <t>RM6</t>
        </is>
      </c>
      <c r="E98" s="5" t="inlineStr">
        <is>
          <t>RDM</t>
        </is>
      </c>
      <c r="F98" s="5" t="inlineStr">
        <is>
          <t>Módulo 02</t>
        </is>
      </c>
      <c r="G98" s="15" t="n">
        <v>150.34</v>
      </c>
      <c r="H98" s="15" t="n">
        <v>715.9</v>
      </c>
      <c r="I98" s="35" t="n">
        <v>149.1399744</v>
      </c>
      <c r="J98" s="36">
        <f>IF(OR($I98="",$H98="",$H98=0),"",$I98/$H98)</f>
        <v/>
      </c>
      <c r="K98" s="17" t="n">
        <v>0.516</v>
      </c>
      <c r="L98" s="36">
        <f>IF($J98="","",$J98+N($K98))</f>
        <v/>
      </c>
      <c r="M98" s="20" t="inlineStr"/>
    </row>
    <row r="99">
      <c r="A99" s="5" t="inlineStr">
        <is>
          <t>Pivô 120</t>
        </is>
      </c>
      <c r="B99" s="26" t="inlineStr">
        <is>
          <t>120</t>
        </is>
      </c>
      <c r="C99" s="5" t="inlineStr">
        <is>
          <t>RDM</t>
        </is>
      </c>
      <c r="D99" s="5" t="inlineStr">
        <is>
          <t>RM7</t>
        </is>
      </c>
      <c r="E99" s="5" t="inlineStr">
        <is>
          <t>RDM</t>
        </is>
      </c>
      <c r="F99" s="5" t="inlineStr">
        <is>
          <t>Módulo 02</t>
        </is>
      </c>
      <c r="G99" s="15" t="n">
        <v>150.34</v>
      </c>
      <c r="H99" s="15" t="n">
        <v>715.9</v>
      </c>
      <c r="I99" s="35" t="n">
        <v>149.1399744</v>
      </c>
      <c r="J99" s="36">
        <f>IF(OR($I99="",$H99="",$H99=0),"",$I99/$H99)</f>
        <v/>
      </c>
      <c r="K99" s="17" t="n">
        <v>0.516</v>
      </c>
      <c r="L99" s="36">
        <f>IF($J99="","",$J99+N($K99))</f>
        <v/>
      </c>
      <c r="M99" s="20" t="inlineStr"/>
    </row>
    <row r="100">
      <c r="A100" s="5" t="inlineStr">
        <is>
          <t>Pivô 121</t>
        </is>
      </c>
      <c r="B100" s="26" t="inlineStr">
        <is>
          <t>121</t>
        </is>
      </c>
      <c r="C100" s="5" t="inlineStr">
        <is>
          <t>RDM</t>
        </is>
      </c>
      <c r="D100" s="5" t="inlineStr">
        <is>
          <t>RM7</t>
        </is>
      </c>
      <c r="E100" s="5" t="inlineStr">
        <is>
          <t>RDM</t>
        </is>
      </c>
      <c r="F100" s="5" t="inlineStr">
        <is>
          <t>Módulo 02</t>
        </is>
      </c>
      <c r="G100" s="15" t="n">
        <v>150.34</v>
      </c>
      <c r="H100" s="15" t="n">
        <v>715.9</v>
      </c>
      <c r="I100" s="35" t="n">
        <v>130.4974776</v>
      </c>
      <c r="J100" s="36">
        <f>IF(OR($I100="",$H100="",$H100=0),"",$I100/$H100)</f>
        <v/>
      </c>
      <c r="K100" s="17" t="n">
        <v>0.516</v>
      </c>
      <c r="L100" s="36">
        <f>IF($J100="","",$J100+N($K100))</f>
        <v/>
      </c>
      <c r="M100" s="20" t="inlineStr"/>
    </row>
    <row r="101">
      <c r="A101" s="5" t="inlineStr">
        <is>
          <t>Pivô 122</t>
        </is>
      </c>
      <c r="B101" s="26" t="inlineStr">
        <is>
          <t>122</t>
        </is>
      </c>
      <c r="C101" s="5" t="inlineStr">
        <is>
          <t>RDM</t>
        </is>
      </c>
      <c r="D101" s="5" t="inlineStr">
        <is>
          <t>RM7</t>
        </is>
      </c>
      <c r="E101" s="5" t="inlineStr">
        <is>
          <t>RDM</t>
        </is>
      </c>
      <c r="F101" s="5" t="inlineStr">
        <is>
          <t>Módulo 02</t>
        </is>
      </c>
      <c r="G101" s="15" t="n">
        <v>150.14</v>
      </c>
      <c r="H101" s="15" t="n">
        <v>714.95</v>
      </c>
      <c r="I101" s="35" t="n">
        <v>149.1399744</v>
      </c>
      <c r="J101" s="36">
        <f>IF(OR($I101="",$H101="",$H101=0),"",$I101/$H101)</f>
        <v/>
      </c>
      <c r="K101" s="17" t="n">
        <v>0.516</v>
      </c>
      <c r="L101" s="36">
        <f>IF($J101="","",$J101+N($K101))</f>
        <v/>
      </c>
      <c r="M101" s="20" t="inlineStr"/>
    </row>
    <row r="102">
      <c r="A102" s="5" t="inlineStr">
        <is>
          <t>Pivô 123</t>
        </is>
      </c>
      <c r="B102" s="26" t="inlineStr">
        <is>
          <t>123</t>
        </is>
      </c>
      <c r="C102" s="5" t="inlineStr">
        <is>
          <t>RDM</t>
        </is>
      </c>
      <c r="D102" s="5" t="inlineStr">
        <is>
          <t>RM7</t>
        </is>
      </c>
      <c r="E102" s="5" t="inlineStr">
        <is>
          <t>RDM</t>
        </is>
      </c>
      <c r="F102" s="5" t="inlineStr">
        <is>
          <t>Módulo 02</t>
        </is>
      </c>
      <c r="G102" s="15" t="n">
        <v>150.34</v>
      </c>
      <c r="H102" s="15" t="n">
        <v>715.9</v>
      </c>
      <c r="I102" s="35" t="n">
        <v>130.4974776</v>
      </c>
      <c r="J102" s="36">
        <f>IF(OR($I102="",$H102="",$H102=0),"",$I102/$H102)</f>
        <v/>
      </c>
      <c r="K102" s="17" t="n">
        <v>0.516</v>
      </c>
      <c r="L102" s="36">
        <f>IF($J102="","",$J102+N($K102))</f>
        <v/>
      </c>
      <c r="M102" s="20" t="inlineStr"/>
    </row>
    <row r="103">
      <c r="A103" s="5" t="inlineStr">
        <is>
          <t>Pivô 124</t>
        </is>
      </c>
      <c r="B103" s="26" t="inlineStr">
        <is>
          <t>124</t>
        </is>
      </c>
      <c r="C103" s="5" t="inlineStr">
        <is>
          <t>RDM</t>
        </is>
      </c>
      <c r="D103" s="5" t="inlineStr">
        <is>
          <t>RM7</t>
        </is>
      </c>
      <c r="E103" s="5" t="inlineStr">
        <is>
          <t>RDM</t>
        </is>
      </c>
      <c r="F103" s="5" t="inlineStr">
        <is>
          <t>Módulo 02</t>
        </is>
      </c>
      <c r="G103" s="15" t="n">
        <v>150.14</v>
      </c>
      <c r="H103" s="15" t="n">
        <v>700.65</v>
      </c>
      <c r="I103" s="35" t="n">
        <v>130.4974776</v>
      </c>
      <c r="J103" s="36">
        <f>IF(OR($I103="",$H103="",$H103=0),"",$I103/$H103)</f>
        <v/>
      </c>
      <c r="K103" s="17" t="n">
        <v>0.516</v>
      </c>
      <c r="L103" s="36">
        <f>IF($J103="","",$J103+N($K103))</f>
        <v/>
      </c>
      <c r="M103" s="20" t="inlineStr"/>
    </row>
    <row r="104">
      <c r="A104" s="5" t="inlineStr">
        <is>
          <t>Pivô 125</t>
        </is>
      </c>
      <c r="B104" s="26" t="inlineStr">
        <is>
          <t>125</t>
        </is>
      </c>
      <c r="C104" s="5" t="inlineStr">
        <is>
          <t>RDM</t>
        </is>
      </c>
      <c r="D104" s="5" t="inlineStr">
        <is>
          <t>RM7</t>
        </is>
      </c>
      <c r="E104" s="5" t="inlineStr">
        <is>
          <t>RDM</t>
        </is>
      </c>
      <c r="F104" s="5" t="inlineStr">
        <is>
          <t>Módulo 02</t>
        </is>
      </c>
      <c r="G104" s="15" t="n">
        <v>100.79</v>
      </c>
      <c r="H104" s="15" t="n">
        <v>479.95</v>
      </c>
      <c r="I104" s="35" t="n">
        <v>130.4974776</v>
      </c>
      <c r="J104" s="36">
        <f>IF(OR($I104="",$H104="",$H104=0),"",$I104/$H104)</f>
        <v/>
      </c>
      <c r="K104" s="17" t="n">
        <v>0.516</v>
      </c>
      <c r="L104" s="36">
        <f>IF($J104="","",$J104+N($K104))</f>
        <v/>
      </c>
      <c r="M104" s="20" t="inlineStr"/>
    </row>
    <row r="105">
      <c r="A105" s="5" t="inlineStr">
        <is>
          <t>Pivô 126</t>
        </is>
      </c>
      <c r="B105" s="26" t="inlineStr">
        <is>
          <t>126</t>
        </is>
      </c>
      <c r="C105" s="5" t="inlineStr">
        <is>
          <t>RDM</t>
        </is>
      </c>
      <c r="D105" s="5" t="inlineStr">
        <is>
          <t>RM7</t>
        </is>
      </c>
      <c r="E105" s="5" t="inlineStr">
        <is>
          <t>RDM</t>
        </is>
      </c>
      <c r="F105" s="5" t="inlineStr">
        <is>
          <t>Módulo 02</t>
        </is>
      </c>
      <c r="G105" s="15" t="n">
        <v>140.57</v>
      </c>
      <c r="H105" s="15" t="n">
        <v>669.39</v>
      </c>
      <c r="I105" s="35" t="n">
        <v>130.4974776</v>
      </c>
      <c r="J105" s="36">
        <f>IF(OR($I105="",$H105="",$H105=0),"",$I105/$H105)</f>
        <v/>
      </c>
      <c r="K105" s="17" t="n">
        <v>0.516</v>
      </c>
      <c r="L105" s="36">
        <f>IF($J105="","",$J105+N($K105))</f>
        <v/>
      </c>
      <c r="M105" s="20" t="inlineStr"/>
    </row>
    <row r="106">
      <c r="A106" s="5" t="inlineStr">
        <is>
          <t>Pivô 127</t>
        </is>
      </c>
      <c r="B106" s="26" t="inlineStr">
        <is>
          <t>127</t>
        </is>
      </c>
      <c r="C106" s="5" t="inlineStr">
        <is>
          <t>RDM</t>
        </is>
      </c>
      <c r="D106" s="5" t="inlineStr">
        <is>
          <t>RM7</t>
        </is>
      </c>
      <c r="E106" s="5" t="inlineStr">
        <is>
          <t>RDM</t>
        </is>
      </c>
      <c r="F106" s="5" t="inlineStr">
        <is>
          <t>Módulo 02</t>
        </is>
      </c>
      <c r="G106" s="15" t="n">
        <v>102.43</v>
      </c>
      <c r="H106" s="15" t="n">
        <v>487.76</v>
      </c>
      <c r="I106" s="35" t="n">
        <v>149.1399744</v>
      </c>
      <c r="J106" s="36">
        <f>IF(OR($I106="",$H106="",$H106=0),"",$I106/$H106)</f>
        <v/>
      </c>
      <c r="K106" s="17" t="n">
        <v>0.516</v>
      </c>
      <c r="L106" s="36">
        <f>IF($J106="","",$J106+N($K106))</f>
        <v/>
      </c>
      <c r="M106" s="20" t="inlineStr"/>
    </row>
    <row r="107">
      <c r="A107" s="5" t="inlineStr">
        <is>
          <t>Pivô 128</t>
        </is>
      </c>
      <c r="B107" s="26" t="inlineStr">
        <is>
          <t>128</t>
        </is>
      </c>
      <c r="C107" s="5" t="inlineStr">
        <is>
          <t>RDM</t>
        </is>
      </c>
      <c r="D107" s="5" t="inlineStr">
        <is>
          <t>RM6</t>
        </is>
      </c>
      <c r="E107" s="5" t="inlineStr">
        <is>
          <t>RDM</t>
        </is>
      </c>
      <c r="F107" s="5" t="inlineStr">
        <is>
          <t>Módulo 02</t>
        </is>
      </c>
      <c r="G107" s="15" t="n">
        <v>140.57</v>
      </c>
      <c r="H107" s="15" t="n">
        <v>669.39</v>
      </c>
      <c r="I107" s="35" t="n">
        <v>130.4974776</v>
      </c>
      <c r="J107" s="36">
        <f>IF(OR($I107="",$H107="",$H107=0),"",$I107/$H107)</f>
        <v/>
      </c>
      <c r="K107" s="17" t="n">
        <v>0.516</v>
      </c>
      <c r="L107" s="36">
        <f>IF($J107="","",$J107+N($K107))</f>
        <v/>
      </c>
      <c r="M107" s="20" t="inlineStr"/>
    </row>
    <row r="108">
      <c r="A108" s="5" t="inlineStr">
        <is>
          <t>Pivô 129</t>
        </is>
      </c>
      <c r="B108" s="26" t="inlineStr">
        <is>
          <t>129</t>
        </is>
      </c>
      <c r="C108" s="5" t="inlineStr">
        <is>
          <t>RDM</t>
        </is>
      </c>
      <c r="D108" s="5" t="inlineStr">
        <is>
          <t>RM6</t>
        </is>
      </c>
      <c r="E108" s="5" t="inlineStr">
        <is>
          <t>RDM</t>
        </is>
      </c>
      <c r="F108" s="5" t="inlineStr">
        <is>
          <t>Módulo 02</t>
        </is>
      </c>
      <c r="G108" s="15" t="n">
        <v>102.43</v>
      </c>
      <c r="H108" s="15" t="n">
        <v>487.76</v>
      </c>
      <c r="I108" s="35" t="n">
        <v>149.1399744</v>
      </c>
      <c r="J108" s="36">
        <f>IF(OR($I108="",$H108="",$H108=0),"",$I108/$H108)</f>
        <v/>
      </c>
      <c r="K108" s="17" t="n">
        <v>0.516</v>
      </c>
      <c r="L108" s="36">
        <f>IF($J108="","",$J108+N($K108))</f>
        <v/>
      </c>
      <c r="M108" s="20" t="inlineStr"/>
    </row>
    <row r="109">
      <c r="A109" s="5" t="inlineStr">
        <is>
          <t>Pivô 130</t>
        </is>
      </c>
      <c r="B109" s="26" t="inlineStr">
        <is>
          <t>130</t>
        </is>
      </c>
      <c r="C109" s="5" t="inlineStr">
        <is>
          <t>RDM</t>
        </is>
      </c>
      <c r="D109" s="5" t="inlineStr">
        <is>
          <t>RM6</t>
        </is>
      </c>
      <c r="E109" s="5" t="inlineStr">
        <is>
          <t>RDM</t>
        </is>
      </c>
      <c r="F109" s="5" t="inlineStr">
        <is>
          <t>Módulo 02</t>
        </is>
      </c>
      <c r="G109" s="15" t="n">
        <v>150.14</v>
      </c>
      <c r="H109" s="15" t="n">
        <v>714.95</v>
      </c>
      <c r="I109" s="35" t="n">
        <v>149.1399744</v>
      </c>
      <c r="J109" s="36">
        <f>IF(OR($I109="",$H109="",$H109=0),"",$I109/$H109)</f>
        <v/>
      </c>
      <c r="K109" s="17" t="n">
        <v>0.516</v>
      </c>
      <c r="L109" s="36">
        <f>IF($J109="","",$J109+N($K109))</f>
        <v/>
      </c>
      <c r="M109" s="20" t="inlineStr"/>
    </row>
    <row r="110">
      <c r="A110" s="5" t="inlineStr">
        <is>
          <t>Pivô 131</t>
        </is>
      </c>
      <c r="B110" s="26" t="inlineStr">
        <is>
          <t>131</t>
        </is>
      </c>
      <c r="C110" s="5" t="inlineStr">
        <is>
          <t>RDM</t>
        </is>
      </c>
      <c r="D110" s="5" t="inlineStr">
        <is>
          <t>RM5</t>
        </is>
      </c>
      <c r="E110" s="5" t="inlineStr">
        <is>
          <t>RDM</t>
        </is>
      </c>
      <c r="F110" s="5" t="inlineStr">
        <is>
          <t>Módulo 02</t>
        </is>
      </c>
      <c r="G110" s="15" t="n">
        <v>100.1</v>
      </c>
      <c r="H110" s="15" t="n">
        <v>762.67</v>
      </c>
      <c r="I110" s="35" t="n">
        <v>149.1399744</v>
      </c>
      <c r="J110" s="36">
        <f>IF(OR($I110="",$H110="",$H110=0),"",$I110/$H110)</f>
        <v/>
      </c>
      <c r="K110" s="17" t="n">
        <v>0.516</v>
      </c>
      <c r="L110" s="36">
        <f>IF($J110="","",$J110+N($K110))</f>
        <v/>
      </c>
      <c r="M110" s="20" t="inlineStr"/>
    </row>
    <row r="111">
      <c r="A111" s="5" t="inlineStr">
        <is>
          <t>Pivô 132</t>
        </is>
      </c>
      <c r="B111" s="26" t="inlineStr">
        <is>
          <t>132</t>
        </is>
      </c>
      <c r="C111" s="5" t="inlineStr">
        <is>
          <t>RDM</t>
        </is>
      </c>
      <c r="D111" s="5" t="inlineStr">
        <is>
          <t>RM5</t>
        </is>
      </c>
      <c r="E111" s="5" t="inlineStr">
        <is>
          <t>RDM</t>
        </is>
      </c>
      <c r="F111" s="5" t="inlineStr">
        <is>
          <t>Módulo 02</t>
        </is>
      </c>
      <c r="G111" s="15" t="n">
        <v>100.1</v>
      </c>
      <c r="H111" s="15" t="n">
        <v>762.67</v>
      </c>
      <c r="I111" s="35" t="n">
        <v>149.1399744</v>
      </c>
      <c r="J111" s="36">
        <f>IF(OR($I111="",$H111="",$H111=0),"",$I111/$H111)</f>
        <v/>
      </c>
      <c r="K111" s="17" t="n">
        <v>0.516</v>
      </c>
      <c r="L111" s="36">
        <f>IF($J111="","",$J111+N($K111))</f>
        <v/>
      </c>
      <c r="M111" s="20" t="inlineStr"/>
    </row>
    <row r="112">
      <c r="A112" s="5" t="inlineStr">
        <is>
          <t>Pivô 133</t>
        </is>
      </c>
      <c r="B112" s="26" t="inlineStr">
        <is>
          <t>133</t>
        </is>
      </c>
      <c r="C112" s="5" t="inlineStr">
        <is>
          <t>RDM</t>
        </is>
      </c>
      <c r="D112" s="5" t="inlineStr">
        <is>
          <t>RM7</t>
        </is>
      </c>
      <c r="E112" s="5" t="inlineStr">
        <is>
          <t>RDM</t>
        </is>
      </c>
      <c r="F112" s="5" t="inlineStr">
        <is>
          <t>Módulo 02</t>
        </is>
      </c>
      <c r="G112" s="15" t="n">
        <v>101.12</v>
      </c>
      <c r="H112" s="15" t="n">
        <v>481.52</v>
      </c>
      <c r="I112" s="35" t="n">
        <v>149.1399744</v>
      </c>
      <c r="J112" s="36">
        <f>IF(OR($I112="",$H112="",$H112=0),"",$I112/$H112)</f>
        <v/>
      </c>
      <c r="K112" s="17" t="n">
        <v>0.516</v>
      </c>
      <c r="L112" s="36">
        <f>IF($J112="","",$J112+N($K112))</f>
        <v/>
      </c>
      <c r="M112" s="20" t="inlineStr"/>
    </row>
    <row r="114">
      <c r="A114" s="20" t="inlineStr">
        <is>
          <t>CE press = potencia/vazao (so pressurizacao). CE capt mod = bombas de captacao do modulo / vazao. CE total = soma. Valor nameplate (cv-&gt;kW) subestima o real (sem rendimento do motor); a referencia operacional e maior.</t>
        </is>
      </c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2" t="n"/>
    </row>
  </sheetData>
  <mergeCells count="1">
    <mergeCell ref="A114:M1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3" t="inlineStr">
        <is>
          <t>Consulta da PROGRAMACAO/OS.</t>
        </is>
      </c>
    </row>
    <row r="3">
      <c r="C3" s="37" t="n">
        <v>100</v>
      </c>
      <c r="D3" s="37" t="n">
        <v>95</v>
      </c>
      <c r="E3" s="37" t="n">
        <v>90</v>
      </c>
      <c r="F3" s="37" t="n">
        <v>85</v>
      </c>
      <c r="G3" s="37" t="n">
        <v>80</v>
      </c>
      <c r="H3" s="37" t="n">
        <v>75</v>
      </c>
      <c r="I3" s="37" t="n">
        <v>70</v>
      </c>
      <c r="J3" s="37" t="n">
        <v>65</v>
      </c>
      <c r="K3" s="37" t="n">
        <v>60</v>
      </c>
      <c r="L3" s="37" t="n">
        <v>55</v>
      </c>
      <c r="M3" s="37" t="n">
        <v>50</v>
      </c>
      <c r="N3" s="37" t="n">
        <v>45</v>
      </c>
      <c r="O3" s="37" t="n">
        <v>40</v>
      </c>
      <c r="P3" s="37" t="n">
        <v>35</v>
      </c>
      <c r="Q3" s="37" t="n">
        <v>30</v>
      </c>
      <c r="R3" s="37" t="n">
        <v>25</v>
      </c>
      <c r="S3" s="37" t="n">
        <v>20</v>
      </c>
      <c r="T3" s="37" t="n">
        <v>15</v>
      </c>
      <c r="U3" s="37" t="n">
        <v>10</v>
      </c>
      <c r="V3" s="37" t="n">
        <v>5</v>
      </c>
      <c r="W3" s="37" t="n">
        <v>100</v>
      </c>
      <c r="X3" s="37" t="n">
        <v>95</v>
      </c>
      <c r="Y3" s="37" t="n">
        <v>90</v>
      </c>
      <c r="Z3" s="37" t="n">
        <v>85</v>
      </c>
      <c r="AA3" s="37" t="n">
        <v>80</v>
      </c>
      <c r="AB3" s="37" t="n">
        <v>75</v>
      </c>
      <c r="AC3" s="37" t="n">
        <v>70</v>
      </c>
      <c r="AD3" s="37" t="n">
        <v>65</v>
      </c>
      <c r="AE3" s="37" t="n">
        <v>60</v>
      </c>
      <c r="AF3" s="37" t="n">
        <v>55</v>
      </c>
      <c r="AG3" s="37" t="n">
        <v>50</v>
      </c>
      <c r="AH3" s="37" t="n">
        <v>45</v>
      </c>
      <c r="AI3" s="37" t="n">
        <v>40</v>
      </c>
      <c r="AJ3" s="37" t="n">
        <v>35</v>
      </c>
      <c r="AK3" s="37" t="n">
        <v>30</v>
      </c>
      <c r="AL3" s="37" t="n">
        <v>25</v>
      </c>
      <c r="AM3" s="37" t="n">
        <v>20</v>
      </c>
      <c r="AN3" s="37" t="n">
        <v>15</v>
      </c>
      <c r="AO3" s="37" t="n">
        <v>10</v>
      </c>
      <c r="AP3" s="37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24" t="inlineStr">
        <is>
          <t>H100</t>
        </is>
      </c>
      <c r="X4" s="24" t="inlineStr">
        <is>
          <t>H95</t>
        </is>
      </c>
      <c r="Y4" s="24" t="inlineStr">
        <is>
          <t>H90</t>
        </is>
      </c>
      <c r="Z4" s="24" t="inlineStr">
        <is>
          <t>H85</t>
        </is>
      </c>
      <c r="AA4" s="24" t="inlineStr">
        <is>
          <t>H80</t>
        </is>
      </c>
      <c r="AB4" s="24" t="inlineStr">
        <is>
          <t>H75</t>
        </is>
      </c>
      <c r="AC4" s="24" t="inlineStr">
        <is>
          <t>H70</t>
        </is>
      </c>
      <c r="AD4" s="24" t="inlineStr">
        <is>
          <t>H65</t>
        </is>
      </c>
      <c r="AE4" s="24" t="inlineStr">
        <is>
          <t>H60</t>
        </is>
      </c>
      <c r="AF4" s="24" t="inlineStr">
        <is>
          <t>H55</t>
        </is>
      </c>
      <c r="AG4" s="24" t="inlineStr">
        <is>
          <t>H50</t>
        </is>
      </c>
      <c r="AH4" s="24" t="inlineStr">
        <is>
          <t>H45</t>
        </is>
      </c>
      <c r="AI4" s="24" t="inlineStr">
        <is>
          <t>H40</t>
        </is>
      </c>
      <c r="AJ4" s="24" t="inlineStr">
        <is>
          <t>H35</t>
        </is>
      </c>
      <c r="AK4" s="24" t="inlineStr">
        <is>
          <t>H30</t>
        </is>
      </c>
      <c r="AL4" s="24" t="inlineStr">
        <is>
          <t>H25</t>
        </is>
      </c>
      <c r="AM4" s="24" t="inlineStr">
        <is>
          <t>H20</t>
        </is>
      </c>
      <c r="AN4" s="24" t="inlineStr">
        <is>
          <t>H15</t>
        </is>
      </c>
      <c r="AO4" s="24" t="inlineStr">
        <is>
          <t>H10</t>
        </is>
      </c>
      <c r="AP4" s="24" t="inlineStr">
        <is>
          <t>H5</t>
        </is>
      </c>
    </row>
    <row r="5">
      <c r="A5" s="5" t="inlineStr">
        <is>
          <t>PA</t>
        </is>
      </c>
      <c r="B5" s="5" t="inlineStr">
        <is>
          <t>Karitel</t>
        </is>
      </c>
      <c r="C5" s="38" t="n">
        <v>6.06</v>
      </c>
      <c r="D5" s="38" t="n">
        <v>6.378947368421053</v>
      </c>
      <c r="E5" s="38" t="n">
        <v>6.733333333333333</v>
      </c>
      <c r="F5" s="38" t="n">
        <v>7.129411764705882</v>
      </c>
      <c r="G5" s="38" t="n">
        <v>7.574999999999999</v>
      </c>
      <c r="H5" s="38" t="n">
        <v>8.08</v>
      </c>
      <c r="I5" s="38" t="n">
        <v>8.657142857142857</v>
      </c>
      <c r="J5" s="38" t="n">
        <v>9.323076923076922</v>
      </c>
      <c r="K5" s="38" t="n">
        <v>10.1</v>
      </c>
      <c r="L5" s="38" t="n">
        <v>11.01818181818182</v>
      </c>
      <c r="M5" s="38" t="n">
        <v>12.12</v>
      </c>
      <c r="N5" s="38" t="n">
        <v>13.46666666666667</v>
      </c>
      <c r="O5" s="38" t="n">
        <v>15.15</v>
      </c>
      <c r="P5" s="38" t="n">
        <v>17.31428571428571</v>
      </c>
      <c r="Q5" s="38" t="n">
        <v>20.2</v>
      </c>
      <c r="R5" s="38" t="n">
        <v>24.24</v>
      </c>
      <c r="S5" s="38" t="n">
        <v>30.3</v>
      </c>
      <c r="T5" s="38" t="n">
        <v>40.4</v>
      </c>
      <c r="U5" s="38" t="n">
        <v>60.59999999999999</v>
      </c>
      <c r="V5" s="38" t="n">
        <v>121.2</v>
      </c>
      <c r="W5" s="38" t="n">
        <v>13.54</v>
      </c>
      <c r="X5" s="38" t="n">
        <v>14.25263157894737</v>
      </c>
      <c r="Y5" s="38" t="n">
        <v>15.04444444444444</v>
      </c>
      <c r="Z5" s="38" t="n">
        <v>15.92941176470588</v>
      </c>
      <c r="AA5" s="38" t="n">
        <v>16.925</v>
      </c>
      <c r="AB5" s="38" t="n">
        <v>18.05333333333333</v>
      </c>
      <c r="AC5" s="38" t="n">
        <v>19.34285714285714</v>
      </c>
      <c r="AD5" s="38" t="n">
        <v>20.83076923076923</v>
      </c>
      <c r="AE5" s="38" t="n">
        <v>22.56666666666667</v>
      </c>
      <c r="AF5" s="38" t="n">
        <v>24.61818181818181</v>
      </c>
      <c r="AG5" s="38" t="n">
        <v>27.08</v>
      </c>
      <c r="AH5" s="38" t="n">
        <v>30.08888888888889</v>
      </c>
      <c r="AI5" s="38" t="n">
        <v>33.84999999999999</v>
      </c>
      <c r="AJ5" s="38" t="n">
        <v>38.68571428571428</v>
      </c>
      <c r="AK5" s="38" t="n">
        <v>45.13333333333333</v>
      </c>
      <c r="AL5" s="38" t="n">
        <v>54.16</v>
      </c>
      <c r="AM5" s="38" t="n">
        <v>67.69999999999999</v>
      </c>
      <c r="AN5" s="38" t="n">
        <v>90.26666666666667</v>
      </c>
      <c r="AO5" s="38" t="n">
        <v>135.4</v>
      </c>
      <c r="AP5" s="38" t="n">
        <v>270.8</v>
      </c>
    </row>
    <row r="6">
      <c r="A6" s="5" t="inlineStr">
        <is>
          <t>PB</t>
        </is>
      </c>
      <c r="B6" s="5" t="inlineStr">
        <is>
          <t>Karitel</t>
        </is>
      </c>
      <c r="C6" s="38" t="n">
        <v>6.06</v>
      </c>
      <c r="D6" s="38" t="n">
        <v>6.378947368421053</v>
      </c>
      <c r="E6" s="38" t="n">
        <v>6.733333333333333</v>
      </c>
      <c r="F6" s="38" t="n">
        <v>7.129411764705882</v>
      </c>
      <c r="G6" s="38" t="n">
        <v>7.574999999999999</v>
      </c>
      <c r="H6" s="38" t="n">
        <v>8.08</v>
      </c>
      <c r="I6" s="38" t="n">
        <v>8.657142857142857</v>
      </c>
      <c r="J6" s="38" t="n">
        <v>9.323076923076922</v>
      </c>
      <c r="K6" s="38" t="n">
        <v>10.1</v>
      </c>
      <c r="L6" s="38" t="n">
        <v>11.01818181818182</v>
      </c>
      <c r="M6" s="38" t="n">
        <v>12.12</v>
      </c>
      <c r="N6" s="38" t="n">
        <v>13.46666666666667</v>
      </c>
      <c r="O6" s="38" t="n">
        <v>15.15</v>
      </c>
      <c r="P6" s="38" t="n">
        <v>17.31428571428571</v>
      </c>
      <c r="Q6" s="38" t="n">
        <v>20.2</v>
      </c>
      <c r="R6" s="38" t="n">
        <v>24.24</v>
      </c>
      <c r="S6" s="38" t="n">
        <v>30.3</v>
      </c>
      <c r="T6" s="38" t="n">
        <v>40.4</v>
      </c>
      <c r="U6" s="38" t="n">
        <v>60.59999999999999</v>
      </c>
      <c r="V6" s="38" t="n">
        <v>121.2</v>
      </c>
      <c r="W6" s="38" t="n">
        <v>13.54</v>
      </c>
      <c r="X6" s="38" t="n">
        <v>14.25263157894737</v>
      </c>
      <c r="Y6" s="38" t="n">
        <v>15.04444444444444</v>
      </c>
      <c r="Z6" s="38" t="n">
        <v>15.92941176470588</v>
      </c>
      <c r="AA6" s="38" t="n">
        <v>16.925</v>
      </c>
      <c r="AB6" s="38" t="n">
        <v>18.05333333333333</v>
      </c>
      <c r="AC6" s="38" t="n">
        <v>19.34285714285714</v>
      </c>
      <c r="AD6" s="38" t="n">
        <v>20.83076923076923</v>
      </c>
      <c r="AE6" s="38" t="n">
        <v>22.56666666666667</v>
      </c>
      <c r="AF6" s="38" t="n">
        <v>24.61818181818181</v>
      </c>
      <c r="AG6" s="38" t="n">
        <v>27.08</v>
      </c>
      <c r="AH6" s="38" t="n">
        <v>30.08888888888889</v>
      </c>
      <c r="AI6" s="38" t="n">
        <v>33.84999999999999</v>
      </c>
      <c r="AJ6" s="38" t="n">
        <v>38.68571428571428</v>
      </c>
      <c r="AK6" s="38" t="n">
        <v>45.13333333333333</v>
      </c>
      <c r="AL6" s="38" t="n">
        <v>54.16</v>
      </c>
      <c r="AM6" s="38" t="n">
        <v>67.69999999999999</v>
      </c>
      <c r="AN6" s="38" t="n">
        <v>90.26666666666667</v>
      </c>
      <c r="AO6" s="38" t="n">
        <v>135.4</v>
      </c>
      <c r="AP6" s="38" t="n">
        <v>270.8</v>
      </c>
    </row>
    <row r="7">
      <c r="A7" s="5" t="inlineStr">
        <is>
          <t>P1</t>
        </is>
      </c>
      <c r="B7" s="5" t="inlineStr">
        <is>
          <t>Karitel</t>
        </is>
      </c>
      <c r="C7" s="38" t="n">
        <v>5.61</v>
      </c>
      <c r="D7" s="38" t="n">
        <v>5.905263157894738</v>
      </c>
      <c r="E7" s="38" t="n">
        <v>6.233333333333333</v>
      </c>
      <c r="F7" s="38" t="n">
        <v>6.600000000000001</v>
      </c>
      <c r="G7" s="38" t="n">
        <v>7.0125</v>
      </c>
      <c r="H7" s="38" t="n">
        <v>7.48</v>
      </c>
      <c r="I7" s="38" t="n">
        <v>8.014285714285716</v>
      </c>
      <c r="J7" s="38" t="n">
        <v>8.63076923076923</v>
      </c>
      <c r="K7" s="38" t="n">
        <v>9.350000000000001</v>
      </c>
      <c r="L7" s="38" t="n">
        <v>10.2</v>
      </c>
      <c r="M7" s="38" t="n">
        <v>11.22</v>
      </c>
      <c r="N7" s="38" t="n">
        <v>12.46666666666667</v>
      </c>
      <c r="O7" s="38" t="n">
        <v>14.025</v>
      </c>
      <c r="P7" s="38" t="n">
        <v>16.02857142857143</v>
      </c>
      <c r="Q7" s="38" t="n">
        <v>18.7</v>
      </c>
      <c r="R7" s="38" t="n">
        <v>22.44</v>
      </c>
      <c r="S7" s="38" t="n">
        <v>28.05</v>
      </c>
      <c r="T7" s="38" t="n">
        <v>37.40000000000001</v>
      </c>
      <c r="U7" s="38" t="n">
        <v>56.1</v>
      </c>
      <c r="V7" s="38" t="n">
        <v>112.2</v>
      </c>
      <c r="W7" s="38" t="n">
        <v>15.11</v>
      </c>
      <c r="X7" s="38" t="n">
        <v>15.90526315789474</v>
      </c>
      <c r="Y7" s="38" t="n">
        <v>16.78888888888889</v>
      </c>
      <c r="Z7" s="38" t="n">
        <v>17.77647058823529</v>
      </c>
      <c r="AA7" s="38" t="n">
        <v>18.8875</v>
      </c>
      <c r="AB7" s="38" t="n">
        <v>20.14666666666666</v>
      </c>
      <c r="AC7" s="38" t="n">
        <v>21.58571428571429</v>
      </c>
      <c r="AD7" s="38" t="n">
        <v>23.24615384615385</v>
      </c>
      <c r="AE7" s="38" t="n">
        <v>25.18333333333333</v>
      </c>
      <c r="AF7" s="38" t="n">
        <v>27.47272727272727</v>
      </c>
      <c r="AG7" s="38" t="n">
        <v>30.22</v>
      </c>
      <c r="AH7" s="38" t="n">
        <v>33.57777777777778</v>
      </c>
      <c r="AI7" s="38" t="n">
        <v>37.775</v>
      </c>
      <c r="AJ7" s="38" t="n">
        <v>43.17142857142857</v>
      </c>
      <c r="AK7" s="38" t="n">
        <v>50.36666666666667</v>
      </c>
      <c r="AL7" s="38" t="n">
        <v>60.44</v>
      </c>
      <c r="AM7" s="38" t="n">
        <v>75.55</v>
      </c>
      <c r="AN7" s="38" t="n">
        <v>100.7333333333333</v>
      </c>
      <c r="AO7" s="38" t="n">
        <v>151.1</v>
      </c>
      <c r="AP7" s="38" t="n">
        <v>302.2</v>
      </c>
    </row>
    <row r="8">
      <c r="A8" s="5" t="inlineStr">
        <is>
          <t>P2</t>
        </is>
      </c>
      <c r="B8" s="5" t="inlineStr">
        <is>
          <t>Karitel</t>
        </is>
      </c>
      <c r="C8" s="38" t="n">
        <v>5.15</v>
      </c>
      <c r="D8" s="38" t="n">
        <v>5.421052631578948</v>
      </c>
      <c r="E8" s="38" t="n">
        <v>5.722222222222222</v>
      </c>
      <c r="F8" s="38" t="n">
        <v>6.058823529411765</v>
      </c>
      <c r="G8" s="38" t="n">
        <v>6.4375</v>
      </c>
      <c r="H8" s="38" t="n">
        <v>6.866666666666667</v>
      </c>
      <c r="I8" s="38" t="n">
        <v>7.357142857142859</v>
      </c>
      <c r="J8" s="38" t="n">
        <v>7.923076923076923</v>
      </c>
      <c r="K8" s="38" t="n">
        <v>8.583333333333334</v>
      </c>
      <c r="L8" s="38" t="n">
        <v>9.363636363636363</v>
      </c>
      <c r="M8" s="38" t="n">
        <v>10.3</v>
      </c>
      <c r="N8" s="38" t="n">
        <v>11.44444444444444</v>
      </c>
      <c r="O8" s="38" t="n">
        <v>12.875</v>
      </c>
      <c r="P8" s="38" t="n">
        <v>14.71428571428572</v>
      </c>
      <c r="Q8" s="38" t="n">
        <v>17.16666666666667</v>
      </c>
      <c r="R8" s="38" t="n">
        <v>20.6</v>
      </c>
      <c r="S8" s="38" t="n">
        <v>25.75</v>
      </c>
      <c r="T8" s="38" t="n">
        <v>34.33333333333334</v>
      </c>
      <c r="U8" s="38" t="n">
        <v>51.5</v>
      </c>
      <c r="V8" s="38" t="n">
        <v>103</v>
      </c>
      <c r="W8" s="38" t="n">
        <v>13.56</v>
      </c>
      <c r="X8" s="38" t="n">
        <v>14.27368421052632</v>
      </c>
      <c r="Y8" s="38" t="n">
        <v>15.06666666666667</v>
      </c>
      <c r="Z8" s="38" t="n">
        <v>15.95294117647059</v>
      </c>
      <c r="AA8" s="38" t="n">
        <v>16.95</v>
      </c>
      <c r="AB8" s="38" t="n">
        <v>18.08</v>
      </c>
      <c r="AC8" s="38" t="n">
        <v>19.37142857142857</v>
      </c>
      <c r="AD8" s="38" t="n">
        <v>20.86153846153846</v>
      </c>
      <c r="AE8" s="38" t="n">
        <v>22.6</v>
      </c>
      <c r="AF8" s="38" t="n">
        <v>24.65454545454545</v>
      </c>
      <c r="AG8" s="38" t="n">
        <v>27.12</v>
      </c>
      <c r="AH8" s="38" t="n">
        <v>30.13333333333333</v>
      </c>
      <c r="AI8" s="38" t="n">
        <v>33.9</v>
      </c>
      <c r="AJ8" s="38" t="n">
        <v>38.74285714285715</v>
      </c>
      <c r="AK8" s="38" t="n">
        <v>45.2</v>
      </c>
      <c r="AL8" s="38" t="n">
        <v>54.24</v>
      </c>
      <c r="AM8" s="38" t="n">
        <v>67.8</v>
      </c>
      <c r="AN8" s="38" t="n">
        <v>90.40000000000001</v>
      </c>
      <c r="AO8" s="38" t="n">
        <v>135.6</v>
      </c>
      <c r="AP8" s="38" t="n">
        <v>271.2</v>
      </c>
    </row>
    <row r="9">
      <c r="A9" s="5" t="inlineStr">
        <is>
          <t>P3</t>
        </is>
      </c>
      <c r="B9" s="5" t="inlineStr">
        <is>
          <t>Karitel</t>
        </is>
      </c>
      <c r="C9" s="38" t="n">
        <v>6.105</v>
      </c>
      <c r="D9" s="38" t="n">
        <v>6.426315789473685</v>
      </c>
      <c r="E9" s="38" t="n">
        <v>6.783333333333333</v>
      </c>
      <c r="F9" s="38" t="n">
        <v>7.182352941176472</v>
      </c>
      <c r="G9" s="38" t="n">
        <v>7.631250000000001</v>
      </c>
      <c r="H9" s="38" t="n">
        <v>8.140000000000001</v>
      </c>
      <c r="I9" s="38" t="n">
        <v>8.721428571428573</v>
      </c>
      <c r="J9" s="38" t="n">
        <v>9.392307692307693</v>
      </c>
      <c r="K9" s="38" t="n">
        <v>10.175</v>
      </c>
      <c r="L9" s="38" t="n">
        <v>11.1</v>
      </c>
      <c r="M9" s="38" t="n">
        <v>12.21</v>
      </c>
      <c r="N9" s="38" t="n">
        <v>13.56666666666667</v>
      </c>
      <c r="O9" s="38" t="n">
        <v>15.2625</v>
      </c>
      <c r="P9" s="38" t="n">
        <v>17.44285714285715</v>
      </c>
      <c r="Q9" s="38" t="n">
        <v>20.35</v>
      </c>
      <c r="R9" s="38" t="n">
        <v>24.42</v>
      </c>
      <c r="S9" s="38" t="n">
        <v>30.525</v>
      </c>
      <c r="T9" s="38" t="n">
        <v>40.7</v>
      </c>
      <c r="U9" s="38" t="n">
        <v>61.05</v>
      </c>
      <c r="V9" s="38" t="n">
        <v>122.1</v>
      </c>
      <c r="W9" s="38" t="n">
        <v>15.11</v>
      </c>
      <c r="X9" s="38" t="n">
        <v>15.90526315789474</v>
      </c>
      <c r="Y9" s="38" t="n">
        <v>16.78888888888889</v>
      </c>
      <c r="Z9" s="38" t="n">
        <v>17.77647058823529</v>
      </c>
      <c r="AA9" s="38" t="n">
        <v>18.8875</v>
      </c>
      <c r="AB9" s="38" t="n">
        <v>20.14666666666666</v>
      </c>
      <c r="AC9" s="38" t="n">
        <v>21.58571428571429</v>
      </c>
      <c r="AD9" s="38" t="n">
        <v>23.24615384615385</v>
      </c>
      <c r="AE9" s="38" t="n">
        <v>25.18333333333333</v>
      </c>
      <c r="AF9" s="38" t="n">
        <v>27.47272727272727</v>
      </c>
      <c r="AG9" s="38" t="n">
        <v>30.22</v>
      </c>
      <c r="AH9" s="38" t="n">
        <v>33.57777777777778</v>
      </c>
      <c r="AI9" s="38" t="n">
        <v>37.775</v>
      </c>
      <c r="AJ9" s="38" t="n">
        <v>43.17142857142857</v>
      </c>
      <c r="AK9" s="38" t="n">
        <v>50.36666666666667</v>
      </c>
      <c r="AL9" s="38" t="n">
        <v>60.44</v>
      </c>
      <c r="AM9" s="38" t="n">
        <v>75.55</v>
      </c>
      <c r="AN9" s="38" t="n">
        <v>100.7333333333333</v>
      </c>
      <c r="AO9" s="38" t="n">
        <v>151.1</v>
      </c>
      <c r="AP9" s="38" t="n">
        <v>302.2</v>
      </c>
    </row>
    <row r="10">
      <c r="A10" s="5" t="inlineStr">
        <is>
          <t>P4</t>
        </is>
      </c>
      <c r="B10" s="5" t="inlineStr">
        <is>
          <t>Karitel</t>
        </is>
      </c>
      <c r="C10" s="38" t="n">
        <v>3.78</v>
      </c>
      <c r="D10" s="38" t="n">
        <v>3.978947368421053</v>
      </c>
      <c r="E10" s="38" t="n">
        <v>4.199999999999999</v>
      </c>
      <c r="F10" s="38" t="n">
        <v>4.447058823529412</v>
      </c>
      <c r="G10" s="38" t="n">
        <v>4.725</v>
      </c>
      <c r="H10" s="38" t="n">
        <v>5.04</v>
      </c>
      <c r="I10" s="38" t="n">
        <v>5.4</v>
      </c>
      <c r="J10" s="38" t="n">
        <v>5.815384615384615</v>
      </c>
      <c r="K10" s="38" t="n">
        <v>6.3</v>
      </c>
      <c r="L10" s="38" t="n">
        <v>6.872727272727272</v>
      </c>
      <c r="M10" s="38" t="n">
        <v>7.56</v>
      </c>
      <c r="N10" s="38" t="n">
        <v>8.399999999999999</v>
      </c>
      <c r="O10" s="38" t="n">
        <v>9.449999999999999</v>
      </c>
      <c r="P10" s="38" t="n">
        <v>10.8</v>
      </c>
      <c r="Q10" s="38" t="n">
        <v>12.6</v>
      </c>
      <c r="R10" s="38" t="n">
        <v>15.12</v>
      </c>
      <c r="S10" s="38" t="n">
        <v>18.9</v>
      </c>
      <c r="T10" s="38" t="n">
        <v>25.2</v>
      </c>
      <c r="U10" s="38" t="n">
        <v>37.8</v>
      </c>
      <c r="V10" s="38" t="n">
        <v>75.59999999999999</v>
      </c>
      <c r="W10" s="38" t="n">
        <v>9.859999999999999</v>
      </c>
      <c r="X10" s="38" t="n">
        <v>10.37894736842105</v>
      </c>
      <c r="Y10" s="38" t="n">
        <v>10.95555555555555</v>
      </c>
      <c r="Z10" s="38" t="n">
        <v>11.6</v>
      </c>
      <c r="AA10" s="38" t="n">
        <v>12.325</v>
      </c>
      <c r="AB10" s="38" t="n">
        <v>13.14666666666667</v>
      </c>
      <c r="AC10" s="38" t="n">
        <v>14.08571428571429</v>
      </c>
      <c r="AD10" s="38" t="n">
        <v>15.16923076923077</v>
      </c>
      <c r="AE10" s="38" t="n">
        <v>16.43333333333333</v>
      </c>
      <c r="AF10" s="38" t="n">
        <v>17.92727272727273</v>
      </c>
      <c r="AG10" s="38" t="n">
        <v>19.72</v>
      </c>
      <c r="AH10" s="38" t="n">
        <v>21.91111111111111</v>
      </c>
      <c r="AI10" s="38" t="n">
        <v>24.65</v>
      </c>
      <c r="AJ10" s="38" t="n">
        <v>28.17142857142857</v>
      </c>
      <c r="AK10" s="38" t="n">
        <v>32.86666666666667</v>
      </c>
      <c r="AL10" s="38" t="n">
        <v>39.44</v>
      </c>
      <c r="AM10" s="38" t="n">
        <v>49.3</v>
      </c>
      <c r="AN10" s="38" t="n">
        <v>65.73333333333333</v>
      </c>
      <c r="AO10" s="38" t="n">
        <v>98.59999999999999</v>
      </c>
      <c r="AP10" s="38" t="n">
        <v>197.2</v>
      </c>
    </row>
    <row r="11">
      <c r="A11" s="5" t="inlineStr">
        <is>
          <t>P5</t>
        </is>
      </c>
      <c r="B11" s="5" t="inlineStr">
        <is>
          <t>Karitel</t>
        </is>
      </c>
      <c r="C11" s="38" t="n">
        <v>5.82</v>
      </c>
      <c r="D11" s="38" t="n">
        <v>6.126315789473685</v>
      </c>
      <c r="E11" s="38" t="n">
        <v>6.466666666666667</v>
      </c>
      <c r="F11" s="38" t="n">
        <v>6.847058823529412</v>
      </c>
      <c r="G11" s="38" t="n">
        <v>7.275</v>
      </c>
      <c r="H11" s="38" t="n">
        <v>7.760000000000001</v>
      </c>
      <c r="I11" s="38" t="n">
        <v>8.314285714285715</v>
      </c>
      <c r="J11" s="38" t="n">
        <v>8.953846153846154</v>
      </c>
      <c r="K11" s="38" t="n">
        <v>9.700000000000001</v>
      </c>
      <c r="L11" s="38" t="n">
        <v>10.58181818181818</v>
      </c>
      <c r="M11" s="38" t="n">
        <v>11.64</v>
      </c>
      <c r="N11" s="38" t="n">
        <v>12.93333333333333</v>
      </c>
      <c r="O11" s="38" t="n">
        <v>14.55</v>
      </c>
      <c r="P11" s="38" t="n">
        <v>16.62857142857143</v>
      </c>
      <c r="Q11" s="38" t="n">
        <v>19.4</v>
      </c>
      <c r="R11" s="38" t="n">
        <v>23.28</v>
      </c>
      <c r="S11" s="38" t="n">
        <v>29.1</v>
      </c>
      <c r="T11" s="38" t="n">
        <v>38.8</v>
      </c>
      <c r="U11" s="38" t="n">
        <v>58.2</v>
      </c>
      <c r="V11" s="38" t="n">
        <v>116.4</v>
      </c>
      <c r="W11" s="38" t="n">
        <v>15.11</v>
      </c>
      <c r="X11" s="38" t="n">
        <v>15.90526315789474</v>
      </c>
      <c r="Y11" s="38" t="n">
        <v>16.78888888888889</v>
      </c>
      <c r="Z11" s="38" t="n">
        <v>17.77647058823529</v>
      </c>
      <c r="AA11" s="38" t="n">
        <v>18.8875</v>
      </c>
      <c r="AB11" s="38" t="n">
        <v>20.14666666666666</v>
      </c>
      <c r="AC11" s="38" t="n">
        <v>21.58571428571429</v>
      </c>
      <c r="AD11" s="38" t="n">
        <v>23.24615384615385</v>
      </c>
      <c r="AE11" s="38" t="n">
        <v>25.18333333333333</v>
      </c>
      <c r="AF11" s="38" t="n">
        <v>27.47272727272727</v>
      </c>
      <c r="AG11" s="38" t="n">
        <v>30.22</v>
      </c>
      <c r="AH11" s="38" t="n">
        <v>33.57777777777778</v>
      </c>
      <c r="AI11" s="38" t="n">
        <v>37.775</v>
      </c>
      <c r="AJ11" s="38" t="n">
        <v>43.17142857142857</v>
      </c>
      <c r="AK11" s="38" t="n">
        <v>50.36666666666667</v>
      </c>
      <c r="AL11" s="38" t="n">
        <v>60.44</v>
      </c>
      <c r="AM11" s="38" t="n">
        <v>75.55</v>
      </c>
      <c r="AN11" s="38" t="n">
        <v>100.7333333333333</v>
      </c>
      <c r="AO11" s="38" t="n">
        <v>151.1</v>
      </c>
      <c r="AP11" s="38" t="n">
        <v>302.2</v>
      </c>
    </row>
    <row r="12">
      <c r="A12" s="5" t="inlineStr">
        <is>
          <t>P6</t>
        </is>
      </c>
      <c r="B12" s="5" t="inlineStr">
        <is>
          <t>Karitel</t>
        </is>
      </c>
      <c r="C12" s="38" t="n">
        <v>6.12</v>
      </c>
      <c r="D12" s="38" t="n">
        <v>6.442105263157895</v>
      </c>
      <c r="E12" s="38" t="n">
        <v>6.8</v>
      </c>
      <c r="F12" s="38" t="n">
        <v>7.2</v>
      </c>
      <c r="G12" s="38" t="n">
        <v>7.649999999999999</v>
      </c>
      <c r="H12" s="38" t="n">
        <v>8.16</v>
      </c>
      <c r="I12" s="38" t="n">
        <v>8.742857142857144</v>
      </c>
      <c r="J12" s="38" t="n">
        <v>9.415384615384616</v>
      </c>
      <c r="K12" s="38" t="n">
        <v>10.2</v>
      </c>
      <c r="L12" s="38" t="n">
        <v>11.12727272727273</v>
      </c>
      <c r="M12" s="38" t="n">
        <v>12.24</v>
      </c>
      <c r="N12" s="38" t="n">
        <v>13.6</v>
      </c>
      <c r="O12" s="38" t="n">
        <v>15.3</v>
      </c>
      <c r="P12" s="38" t="n">
        <v>17.48571428571429</v>
      </c>
      <c r="Q12" s="38" t="n">
        <v>20.4</v>
      </c>
      <c r="R12" s="38" t="n">
        <v>24.48</v>
      </c>
      <c r="S12" s="38" t="n">
        <v>30.6</v>
      </c>
      <c r="T12" s="38" t="n">
        <v>40.8</v>
      </c>
      <c r="U12" s="38" t="n">
        <v>61.2</v>
      </c>
      <c r="V12" s="38" t="n">
        <v>122.4</v>
      </c>
      <c r="W12" s="38" t="n">
        <v>15.11</v>
      </c>
      <c r="X12" s="38" t="n">
        <v>15.90526315789474</v>
      </c>
      <c r="Y12" s="38" t="n">
        <v>16.78888888888889</v>
      </c>
      <c r="Z12" s="38" t="n">
        <v>17.77647058823529</v>
      </c>
      <c r="AA12" s="38" t="n">
        <v>18.8875</v>
      </c>
      <c r="AB12" s="38" t="n">
        <v>20.14666666666666</v>
      </c>
      <c r="AC12" s="38" t="n">
        <v>21.58571428571429</v>
      </c>
      <c r="AD12" s="38" t="n">
        <v>23.24615384615385</v>
      </c>
      <c r="AE12" s="38" t="n">
        <v>25.18333333333333</v>
      </c>
      <c r="AF12" s="38" t="n">
        <v>27.47272727272727</v>
      </c>
      <c r="AG12" s="38" t="n">
        <v>30.22</v>
      </c>
      <c r="AH12" s="38" t="n">
        <v>33.57777777777778</v>
      </c>
      <c r="AI12" s="38" t="n">
        <v>37.775</v>
      </c>
      <c r="AJ12" s="38" t="n">
        <v>43.17142857142857</v>
      </c>
      <c r="AK12" s="38" t="n">
        <v>50.36666666666667</v>
      </c>
      <c r="AL12" s="38" t="n">
        <v>60.44</v>
      </c>
      <c r="AM12" s="38" t="n">
        <v>75.55</v>
      </c>
      <c r="AN12" s="38" t="n">
        <v>100.7333333333333</v>
      </c>
      <c r="AO12" s="38" t="n">
        <v>151.1</v>
      </c>
      <c r="AP12" s="38" t="n">
        <v>302.2</v>
      </c>
    </row>
    <row r="13">
      <c r="A13" s="5" t="inlineStr">
        <is>
          <t>P7</t>
        </is>
      </c>
      <c r="B13" s="5" t="inlineStr">
        <is>
          <t>Karitel</t>
        </is>
      </c>
      <c r="C13" s="38" t="n">
        <v>5.76</v>
      </c>
      <c r="D13" s="38" t="n">
        <v>6.063157894736842</v>
      </c>
      <c r="E13" s="38" t="n">
        <v>6.399999999999999</v>
      </c>
      <c r="F13" s="38" t="n">
        <v>6.776470588235294</v>
      </c>
      <c r="G13" s="38" t="n">
        <v>7.199999999999999</v>
      </c>
      <c r="H13" s="38" t="n">
        <v>7.68</v>
      </c>
      <c r="I13" s="38" t="n">
        <v>8.22857142857143</v>
      </c>
      <c r="J13" s="38" t="n">
        <v>8.86153846153846</v>
      </c>
      <c r="K13" s="38" t="n">
        <v>9.6</v>
      </c>
      <c r="L13" s="38" t="n">
        <v>10.47272727272727</v>
      </c>
      <c r="M13" s="38" t="n">
        <v>11.52</v>
      </c>
      <c r="N13" s="38" t="n">
        <v>12.8</v>
      </c>
      <c r="O13" s="38" t="n">
        <v>14.4</v>
      </c>
      <c r="P13" s="38" t="n">
        <v>16.45714285714286</v>
      </c>
      <c r="Q13" s="38" t="n">
        <v>19.2</v>
      </c>
      <c r="R13" s="38" t="n">
        <v>23.04</v>
      </c>
      <c r="S13" s="38" t="n">
        <v>28.8</v>
      </c>
      <c r="T13" s="38" t="n">
        <v>38.4</v>
      </c>
      <c r="U13" s="38" t="n">
        <v>57.59999999999999</v>
      </c>
      <c r="V13" s="38" t="n">
        <v>115.2</v>
      </c>
      <c r="W13" s="38" t="n">
        <v>13.26</v>
      </c>
      <c r="X13" s="38" t="n">
        <v>13.95789473684211</v>
      </c>
      <c r="Y13" s="38" t="n">
        <v>14.73333333333333</v>
      </c>
      <c r="Z13" s="38" t="n">
        <v>15.6</v>
      </c>
      <c r="AA13" s="38" t="n">
        <v>16.575</v>
      </c>
      <c r="AB13" s="38" t="n">
        <v>17.68</v>
      </c>
      <c r="AC13" s="38" t="n">
        <v>18.94285714285714</v>
      </c>
      <c r="AD13" s="38" t="n">
        <v>20.4</v>
      </c>
      <c r="AE13" s="38" t="n">
        <v>22.1</v>
      </c>
      <c r="AF13" s="38" t="n">
        <v>24.10909090909091</v>
      </c>
      <c r="AG13" s="38" t="n">
        <v>26.52</v>
      </c>
      <c r="AH13" s="38" t="n">
        <v>29.46666666666667</v>
      </c>
      <c r="AI13" s="38" t="n">
        <v>33.15</v>
      </c>
      <c r="AJ13" s="38" t="n">
        <v>37.88571428571429</v>
      </c>
      <c r="AK13" s="38" t="n">
        <v>44.2</v>
      </c>
      <c r="AL13" s="38" t="n">
        <v>53.04</v>
      </c>
      <c r="AM13" s="38" t="n">
        <v>66.3</v>
      </c>
      <c r="AN13" s="38" t="n">
        <v>88.40000000000001</v>
      </c>
      <c r="AO13" s="38" t="n">
        <v>132.6</v>
      </c>
      <c r="AP13" s="38" t="n">
        <v>265.2</v>
      </c>
    </row>
    <row r="14">
      <c r="A14" s="5" t="inlineStr">
        <is>
          <t>P8</t>
        </is>
      </c>
      <c r="B14" s="5" t="inlineStr">
        <is>
          <t>Karitel</t>
        </is>
      </c>
      <c r="C14" s="38" t="n">
        <v>6.58</v>
      </c>
      <c r="D14" s="38" t="n">
        <v>6.926315789473684</v>
      </c>
      <c r="E14" s="38" t="n">
        <v>7.311111111111111</v>
      </c>
      <c r="F14" s="38" t="n">
        <v>7.741176470588235</v>
      </c>
      <c r="G14" s="38" t="n">
        <v>8.225</v>
      </c>
      <c r="H14" s="38" t="n">
        <v>8.773333333333333</v>
      </c>
      <c r="I14" s="38" t="n">
        <v>9.4</v>
      </c>
      <c r="J14" s="38" t="n">
        <v>10.12307692307692</v>
      </c>
      <c r="K14" s="38" t="n">
        <v>10.96666666666667</v>
      </c>
      <c r="L14" s="38" t="n">
        <v>11.96363636363636</v>
      </c>
      <c r="M14" s="38" t="n">
        <v>13.16</v>
      </c>
      <c r="N14" s="38" t="n">
        <v>14.62222222222222</v>
      </c>
      <c r="O14" s="38" t="n">
        <v>16.45</v>
      </c>
      <c r="P14" s="38" t="n">
        <v>18.8</v>
      </c>
      <c r="Q14" s="38" t="n">
        <v>21.93333333333333</v>
      </c>
      <c r="R14" s="38" t="n">
        <v>26.32</v>
      </c>
      <c r="S14" s="38" t="n">
        <v>32.9</v>
      </c>
      <c r="T14" s="38" t="n">
        <v>43.86666666666667</v>
      </c>
      <c r="U14" s="38" t="n">
        <v>65.8</v>
      </c>
      <c r="V14" s="38" t="n">
        <v>131.6</v>
      </c>
      <c r="W14" s="38" t="n">
        <v>15.11</v>
      </c>
      <c r="X14" s="38" t="n">
        <v>15.90526315789474</v>
      </c>
      <c r="Y14" s="38" t="n">
        <v>16.78888888888889</v>
      </c>
      <c r="Z14" s="38" t="n">
        <v>17.77647058823529</v>
      </c>
      <c r="AA14" s="38" t="n">
        <v>18.8875</v>
      </c>
      <c r="AB14" s="38" t="n">
        <v>20.14666666666666</v>
      </c>
      <c r="AC14" s="38" t="n">
        <v>21.58571428571429</v>
      </c>
      <c r="AD14" s="38" t="n">
        <v>23.24615384615385</v>
      </c>
      <c r="AE14" s="38" t="n">
        <v>25.18333333333333</v>
      </c>
      <c r="AF14" s="38" t="n">
        <v>27.47272727272727</v>
      </c>
      <c r="AG14" s="38" t="n">
        <v>30.22</v>
      </c>
      <c r="AH14" s="38" t="n">
        <v>33.57777777777778</v>
      </c>
      <c r="AI14" s="38" t="n">
        <v>37.775</v>
      </c>
      <c r="AJ14" s="38" t="n">
        <v>43.17142857142857</v>
      </c>
      <c r="AK14" s="38" t="n">
        <v>50.36666666666667</v>
      </c>
      <c r="AL14" s="38" t="n">
        <v>60.44</v>
      </c>
      <c r="AM14" s="38" t="n">
        <v>75.55</v>
      </c>
      <c r="AN14" s="38" t="n">
        <v>100.7333333333333</v>
      </c>
      <c r="AO14" s="38" t="n">
        <v>151.1</v>
      </c>
      <c r="AP14" s="38" t="n">
        <v>302.2</v>
      </c>
    </row>
    <row r="15">
      <c r="A15" s="5" t="inlineStr">
        <is>
          <t>P9</t>
        </is>
      </c>
      <c r="B15" s="5" t="inlineStr">
        <is>
          <t>Karitel</t>
        </is>
      </c>
      <c r="C15" s="38" t="n">
        <v>5.82</v>
      </c>
      <c r="D15" s="38" t="n">
        <v>6.126315789473685</v>
      </c>
      <c r="E15" s="38" t="n">
        <v>6.466666666666667</v>
      </c>
      <c r="F15" s="38" t="n">
        <v>6.847058823529412</v>
      </c>
      <c r="G15" s="38" t="n">
        <v>7.275</v>
      </c>
      <c r="H15" s="38" t="n">
        <v>7.760000000000001</v>
      </c>
      <c r="I15" s="38" t="n">
        <v>8.314285714285715</v>
      </c>
      <c r="J15" s="38" t="n">
        <v>8.953846153846154</v>
      </c>
      <c r="K15" s="38" t="n">
        <v>9.700000000000001</v>
      </c>
      <c r="L15" s="38" t="n">
        <v>10.58181818181818</v>
      </c>
      <c r="M15" s="38" t="n">
        <v>11.64</v>
      </c>
      <c r="N15" s="38" t="n">
        <v>12.93333333333333</v>
      </c>
      <c r="O15" s="38" t="n">
        <v>14.55</v>
      </c>
      <c r="P15" s="38" t="n">
        <v>16.62857142857143</v>
      </c>
      <c r="Q15" s="38" t="n">
        <v>19.4</v>
      </c>
      <c r="R15" s="38" t="n">
        <v>23.28</v>
      </c>
      <c r="S15" s="38" t="n">
        <v>29.1</v>
      </c>
      <c r="T15" s="38" t="n">
        <v>38.8</v>
      </c>
      <c r="U15" s="38" t="n">
        <v>58.2</v>
      </c>
      <c r="V15" s="38" t="n">
        <v>116.4</v>
      </c>
      <c r="W15" s="38" t="n">
        <v>13.26</v>
      </c>
      <c r="X15" s="38" t="n">
        <v>13.95789473684211</v>
      </c>
      <c r="Y15" s="38" t="n">
        <v>14.73333333333333</v>
      </c>
      <c r="Z15" s="38" t="n">
        <v>15.6</v>
      </c>
      <c r="AA15" s="38" t="n">
        <v>16.575</v>
      </c>
      <c r="AB15" s="38" t="n">
        <v>17.68</v>
      </c>
      <c r="AC15" s="38" t="n">
        <v>18.94285714285714</v>
      </c>
      <c r="AD15" s="38" t="n">
        <v>20.4</v>
      </c>
      <c r="AE15" s="38" t="n">
        <v>22.1</v>
      </c>
      <c r="AF15" s="38" t="n">
        <v>24.10909090909091</v>
      </c>
      <c r="AG15" s="38" t="n">
        <v>26.52</v>
      </c>
      <c r="AH15" s="38" t="n">
        <v>29.46666666666667</v>
      </c>
      <c r="AI15" s="38" t="n">
        <v>33.15</v>
      </c>
      <c r="AJ15" s="38" t="n">
        <v>37.88571428571429</v>
      </c>
      <c r="AK15" s="38" t="n">
        <v>44.2</v>
      </c>
      <c r="AL15" s="38" t="n">
        <v>53.04</v>
      </c>
      <c r="AM15" s="38" t="n">
        <v>66.3</v>
      </c>
      <c r="AN15" s="38" t="n">
        <v>88.40000000000001</v>
      </c>
      <c r="AO15" s="38" t="n">
        <v>132.6</v>
      </c>
      <c r="AP15" s="38" t="n">
        <v>265.2</v>
      </c>
    </row>
    <row r="16">
      <c r="A16" s="5" t="inlineStr">
        <is>
          <t>P10</t>
        </is>
      </c>
      <c r="B16" s="5" t="inlineStr">
        <is>
          <t>Karitel</t>
        </is>
      </c>
      <c r="C16" s="38" t="n">
        <v>5.83</v>
      </c>
      <c r="D16" s="38" t="n">
        <v>6.136842105263158</v>
      </c>
      <c r="E16" s="38" t="n">
        <v>6.477777777777778</v>
      </c>
      <c r="F16" s="38" t="n">
        <v>6.858823529411765</v>
      </c>
      <c r="G16" s="38" t="n">
        <v>7.2875</v>
      </c>
      <c r="H16" s="38" t="n">
        <v>7.773333333333333</v>
      </c>
      <c r="I16" s="38" t="n">
        <v>8.328571428571429</v>
      </c>
      <c r="J16" s="38" t="n">
        <v>8.969230769230769</v>
      </c>
      <c r="K16" s="38" t="n">
        <v>9.716666666666667</v>
      </c>
      <c r="L16" s="38" t="n">
        <v>10.6</v>
      </c>
      <c r="M16" s="38" t="n">
        <v>11.66</v>
      </c>
      <c r="N16" s="38" t="n">
        <v>12.95555555555556</v>
      </c>
      <c r="O16" s="38" t="n">
        <v>14.575</v>
      </c>
      <c r="P16" s="38" t="n">
        <v>16.65714285714286</v>
      </c>
      <c r="Q16" s="38" t="n">
        <v>19.43333333333333</v>
      </c>
      <c r="R16" s="38" t="n">
        <v>23.32</v>
      </c>
      <c r="S16" s="38" t="n">
        <v>29.15</v>
      </c>
      <c r="T16" s="38" t="n">
        <v>38.86666666666667</v>
      </c>
      <c r="U16" s="38" t="n">
        <v>58.3</v>
      </c>
      <c r="V16" s="38" t="n">
        <v>116.6</v>
      </c>
      <c r="W16" s="38" t="n">
        <v>15.11</v>
      </c>
      <c r="X16" s="38" t="n">
        <v>15.90526315789474</v>
      </c>
      <c r="Y16" s="38" t="n">
        <v>16.78888888888889</v>
      </c>
      <c r="Z16" s="38" t="n">
        <v>17.77647058823529</v>
      </c>
      <c r="AA16" s="38" t="n">
        <v>18.8875</v>
      </c>
      <c r="AB16" s="38" t="n">
        <v>20.14666666666666</v>
      </c>
      <c r="AC16" s="38" t="n">
        <v>21.58571428571429</v>
      </c>
      <c r="AD16" s="38" t="n">
        <v>23.24615384615385</v>
      </c>
      <c r="AE16" s="38" t="n">
        <v>25.18333333333333</v>
      </c>
      <c r="AF16" s="38" t="n">
        <v>27.47272727272727</v>
      </c>
      <c r="AG16" s="38" t="n">
        <v>30.22</v>
      </c>
      <c r="AH16" s="38" t="n">
        <v>33.57777777777778</v>
      </c>
      <c r="AI16" s="38" t="n">
        <v>37.775</v>
      </c>
      <c r="AJ16" s="38" t="n">
        <v>43.17142857142857</v>
      </c>
      <c r="AK16" s="38" t="n">
        <v>50.36666666666667</v>
      </c>
      <c r="AL16" s="38" t="n">
        <v>60.44</v>
      </c>
      <c r="AM16" s="38" t="n">
        <v>75.55</v>
      </c>
      <c r="AN16" s="38" t="n">
        <v>100.7333333333333</v>
      </c>
      <c r="AO16" s="38" t="n">
        <v>151.1</v>
      </c>
      <c r="AP16" s="38" t="n">
        <v>302.2</v>
      </c>
    </row>
    <row r="17">
      <c r="A17" s="5" t="inlineStr">
        <is>
          <t>P11</t>
        </is>
      </c>
      <c r="B17" s="5" t="inlineStr">
        <is>
          <t>Karitel</t>
        </is>
      </c>
      <c r="C17" s="38" t="n">
        <v>5.82</v>
      </c>
      <c r="D17" s="38" t="n">
        <v>6.126315789473685</v>
      </c>
      <c r="E17" s="38" t="n">
        <v>6.466666666666667</v>
      </c>
      <c r="F17" s="38" t="n">
        <v>6.847058823529412</v>
      </c>
      <c r="G17" s="38" t="n">
        <v>7.275</v>
      </c>
      <c r="H17" s="38" t="n">
        <v>7.760000000000001</v>
      </c>
      <c r="I17" s="38" t="n">
        <v>8.314285714285715</v>
      </c>
      <c r="J17" s="38" t="n">
        <v>8.953846153846154</v>
      </c>
      <c r="K17" s="38" t="n">
        <v>9.700000000000001</v>
      </c>
      <c r="L17" s="38" t="n">
        <v>10.58181818181818</v>
      </c>
      <c r="M17" s="38" t="n">
        <v>11.64</v>
      </c>
      <c r="N17" s="38" t="n">
        <v>12.93333333333333</v>
      </c>
      <c r="O17" s="38" t="n">
        <v>14.55</v>
      </c>
      <c r="P17" s="38" t="n">
        <v>16.62857142857143</v>
      </c>
      <c r="Q17" s="38" t="n">
        <v>19.4</v>
      </c>
      <c r="R17" s="38" t="n">
        <v>23.28</v>
      </c>
      <c r="S17" s="38" t="n">
        <v>29.1</v>
      </c>
      <c r="T17" s="38" t="n">
        <v>38.8</v>
      </c>
      <c r="U17" s="38" t="n">
        <v>58.2</v>
      </c>
      <c r="V17" s="38" t="n">
        <v>116.4</v>
      </c>
      <c r="W17" s="38" t="n">
        <v>13.57</v>
      </c>
      <c r="X17" s="38" t="n">
        <v>14.28421052631579</v>
      </c>
      <c r="Y17" s="38" t="n">
        <v>15.07777777777778</v>
      </c>
      <c r="Z17" s="38" t="n">
        <v>15.96470588235294</v>
      </c>
      <c r="AA17" s="38" t="n">
        <v>16.9625</v>
      </c>
      <c r="AB17" s="38" t="n">
        <v>18.09333333333333</v>
      </c>
      <c r="AC17" s="38" t="n">
        <v>19.38571428571429</v>
      </c>
      <c r="AD17" s="38" t="n">
        <v>20.87692307692308</v>
      </c>
      <c r="AE17" s="38" t="n">
        <v>22.61666666666667</v>
      </c>
      <c r="AF17" s="38" t="n">
        <v>24.67272727272727</v>
      </c>
      <c r="AG17" s="38" t="n">
        <v>27.14</v>
      </c>
      <c r="AH17" s="38" t="n">
        <v>30.15555555555556</v>
      </c>
      <c r="AI17" s="38" t="n">
        <v>33.925</v>
      </c>
      <c r="AJ17" s="38" t="n">
        <v>38.77142857142857</v>
      </c>
      <c r="AK17" s="38" t="n">
        <v>45.23333333333333</v>
      </c>
      <c r="AL17" s="38" t="n">
        <v>54.28</v>
      </c>
      <c r="AM17" s="38" t="n">
        <v>67.84999999999999</v>
      </c>
      <c r="AN17" s="38" t="n">
        <v>90.46666666666667</v>
      </c>
      <c r="AO17" s="38" t="n">
        <v>135.7</v>
      </c>
      <c r="AP17" s="38" t="n">
        <v>271.4</v>
      </c>
    </row>
    <row r="18">
      <c r="A18" s="5" t="inlineStr">
        <is>
          <t>P12</t>
        </is>
      </c>
      <c r="B18" s="5" t="inlineStr">
        <is>
          <t>Karitel</t>
        </is>
      </c>
      <c r="C18" s="38" t="n">
        <v>6.54</v>
      </c>
      <c r="D18" s="38" t="n">
        <v>6.88421052631579</v>
      </c>
      <c r="E18" s="38" t="n">
        <v>7.266666666666667</v>
      </c>
      <c r="F18" s="38" t="n">
        <v>7.694117647058824</v>
      </c>
      <c r="G18" s="38" t="n">
        <v>8.174999999999999</v>
      </c>
      <c r="H18" s="38" t="n">
        <v>8.720000000000001</v>
      </c>
      <c r="I18" s="38" t="n">
        <v>9.342857142857143</v>
      </c>
      <c r="J18" s="38" t="n">
        <v>10.06153846153846</v>
      </c>
      <c r="K18" s="38" t="n">
        <v>10.9</v>
      </c>
      <c r="L18" s="38" t="n">
        <v>11.89090909090909</v>
      </c>
      <c r="M18" s="38" t="n">
        <v>13.08</v>
      </c>
      <c r="N18" s="38" t="n">
        <v>14.53333333333333</v>
      </c>
      <c r="O18" s="38" t="n">
        <v>16.35</v>
      </c>
      <c r="P18" s="38" t="n">
        <v>18.68571428571429</v>
      </c>
      <c r="Q18" s="38" t="n">
        <v>21.8</v>
      </c>
      <c r="R18" s="38" t="n">
        <v>26.16</v>
      </c>
      <c r="S18" s="38" t="n">
        <v>32.7</v>
      </c>
      <c r="T18" s="38" t="n">
        <v>43.6</v>
      </c>
      <c r="U18" s="38" t="n">
        <v>65.39999999999999</v>
      </c>
      <c r="V18" s="38" t="n">
        <v>130.8</v>
      </c>
      <c r="W18" s="38" t="n">
        <v>15.11</v>
      </c>
      <c r="X18" s="38" t="n">
        <v>15.90526315789474</v>
      </c>
      <c r="Y18" s="38" t="n">
        <v>16.78888888888889</v>
      </c>
      <c r="Z18" s="38" t="n">
        <v>17.77647058823529</v>
      </c>
      <c r="AA18" s="38" t="n">
        <v>18.8875</v>
      </c>
      <c r="AB18" s="38" t="n">
        <v>20.14666666666666</v>
      </c>
      <c r="AC18" s="38" t="n">
        <v>21.58571428571429</v>
      </c>
      <c r="AD18" s="38" t="n">
        <v>23.24615384615385</v>
      </c>
      <c r="AE18" s="38" t="n">
        <v>25.18333333333333</v>
      </c>
      <c r="AF18" s="38" t="n">
        <v>27.47272727272727</v>
      </c>
      <c r="AG18" s="38" t="n">
        <v>30.22</v>
      </c>
      <c r="AH18" s="38" t="n">
        <v>33.57777777777778</v>
      </c>
      <c r="AI18" s="38" t="n">
        <v>37.775</v>
      </c>
      <c r="AJ18" s="38" t="n">
        <v>43.17142857142857</v>
      </c>
      <c r="AK18" s="38" t="n">
        <v>50.36666666666667</v>
      </c>
      <c r="AL18" s="38" t="n">
        <v>60.44</v>
      </c>
      <c r="AM18" s="38" t="n">
        <v>75.55</v>
      </c>
      <c r="AN18" s="38" t="n">
        <v>100.7333333333333</v>
      </c>
      <c r="AO18" s="38" t="n">
        <v>151.1</v>
      </c>
      <c r="AP18" s="38" t="n">
        <v>302.2</v>
      </c>
    </row>
    <row r="19">
      <c r="A19" s="5" t="inlineStr">
        <is>
          <t>P13</t>
        </is>
      </c>
      <c r="B19" s="5" t="inlineStr">
        <is>
          <t>Karitel</t>
        </is>
      </c>
      <c r="C19" s="38" t="n">
        <v>4.62</v>
      </c>
      <c r="D19" s="38" t="n">
        <v>4.863157894736842</v>
      </c>
      <c r="E19" s="38" t="n">
        <v>5.133333333333334</v>
      </c>
      <c r="F19" s="38" t="n">
        <v>5.435294117647059</v>
      </c>
      <c r="G19" s="38" t="n">
        <v>5.774999999999999</v>
      </c>
      <c r="H19" s="38" t="n">
        <v>6.16</v>
      </c>
      <c r="I19" s="38" t="n">
        <v>6.600000000000001</v>
      </c>
      <c r="J19" s="38" t="n">
        <v>7.107692307692307</v>
      </c>
      <c r="K19" s="38" t="n">
        <v>7.7</v>
      </c>
      <c r="L19" s="38" t="n">
        <v>8.4</v>
      </c>
      <c r="M19" s="38" t="n">
        <v>9.24</v>
      </c>
      <c r="N19" s="38" t="n">
        <v>10.26666666666667</v>
      </c>
      <c r="O19" s="38" t="n">
        <v>11.55</v>
      </c>
      <c r="P19" s="38" t="n">
        <v>13.2</v>
      </c>
      <c r="Q19" s="38" t="n">
        <v>15.4</v>
      </c>
      <c r="R19" s="38" t="n">
        <v>18.48</v>
      </c>
      <c r="S19" s="38" t="n">
        <v>23.1</v>
      </c>
      <c r="T19" s="38" t="n">
        <v>30.8</v>
      </c>
      <c r="U19" s="38" t="n">
        <v>46.2</v>
      </c>
      <c r="V19" s="38" t="n">
        <v>92.39999999999999</v>
      </c>
      <c r="W19" s="38" t="n">
        <v>10.02</v>
      </c>
      <c r="X19" s="38" t="n">
        <v>10.54736842105263</v>
      </c>
      <c r="Y19" s="38" t="n">
        <v>11.13333333333333</v>
      </c>
      <c r="Z19" s="38" t="n">
        <v>11.78823529411765</v>
      </c>
      <c r="AA19" s="38" t="n">
        <v>12.525</v>
      </c>
      <c r="AB19" s="38" t="n">
        <v>13.36</v>
      </c>
      <c r="AC19" s="38" t="n">
        <v>14.31428571428571</v>
      </c>
      <c r="AD19" s="38" t="n">
        <v>15.41538461538461</v>
      </c>
      <c r="AE19" s="38" t="n">
        <v>16.7</v>
      </c>
      <c r="AF19" s="38" t="n">
        <v>18.21818181818182</v>
      </c>
      <c r="AG19" s="38" t="n">
        <v>20.04</v>
      </c>
      <c r="AH19" s="38" t="n">
        <v>22.26666666666667</v>
      </c>
      <c r="AI19" s="38" t="n">
        <v>25.05</v>
      </c>
      <c r="AJ19" s="38" t="n">
        <v>28.62857142857143</v>
      </c>
      <c r="AK19" s="38" t="n">
        <v>33.4</v>
      </c>
      <c r="AL19" s="38" t="n">
        <v>40.08</v>
      </c>
      <c r="AM19" s="38" t="n">
        <v>50.09999999999999</v>
      </c>
      <c r="AN19" s="38" t="n">
        <v>66.8</v>
      </c>
      <c r="AO19" s="38" t="n">
        <v>100.2</v>
      </c>
      <c r="AP19" s="38" t="n">
        <v>200.4</v>
      </c>
    </row>
    <row r="20">
      <c r="A20" s="5" t="inlineStr">
        <is>
          <t>P14</t>
        </is>
      </c>
      <c r="B20" s="5" t="inlineStr">
        <is>
          <t>Karitel</t>
        </is>
      </c>
      <c r="C20" s="38" t="n">
        <v>6.3</v>
      </c>
      <c r="D20" s="38" t="n">
        <v>6.631578947368421</v>
      </c>
      <c r="E20" s="38" t="n">
        <v>7</v>
      </c>
      <c r="F20" s="38" t="n">
        <v>7.411764705882353</v>
      </c>
      <c r="G20" s="38" t="n">
        <v>7.874999999999999</v>
      </c>
      <c r="H20" s="38" t="n">
        <v>8.4</v>
      </c>
      <c r="I20" s="38" t="n">
        <v>9</v>
      </c>
      <c r="J20" s="38" t="n">
        <v>9.692307692307692</v>
      </c>
      <c r="K20" s="38" t="n">
        <v>10.5</v>
      </c>
      <c r="L20" s="38" t="n">
        <v>11.45454545454545</v>
      </c>
      <c r="M20" s="38" t="n">
        <v>12.6</v>
      </c>
      <c r="N20" s="38" t="n">
        <v>14</v>
      </c>
      <c r="O20" s="38" t="n">
        <v>15.75</v>
      </c>
      <c r="P20" s="38" t="n">
        <v>18</v>
      </c>
      <c r="Q20" s="38" t="n">
        <v>21</v>
      </c>
      <c r="R20" s="38" t="n">
        <v>25.2</v>
      </c>
      <c r="S20" s="38" t="n">
        <v>31.5</v>
      </c>
      <c r="T20" s="38" t="n">
        <v>42</v>
      </c>
      <c r="U20" s="38" t="n">
        <v>62.99999999999999</v>
      </c>
      <c r="V20" s="38" t="n">
        <v>126</v>
      </c>
      <c r="W20" s="38" t="n">
        <v>15.11</v>
      </c>
      <c r="X20" s="38" t="n">
        <v>15.90526315789474</v>
      </c>
      <c r="Y20" s="38" t="n">
        <v>16.78888888888889</v>
      </c>
      <c r="Z20" s="38" t="n">
        <v>17.77647058823529</v>
      </c>
      <c r="AA20" s="38" t="n">
        <v>18.8875</v>
      </c>
      <c r="AB20" s="38" t="n">
        <v>20.14666666666666</v>
      </c>
      <c r="AC20" s="38" t="n">
        <v>21.58571428571429</v>
      </c>
      <c r="AD20" s="38" t="n">
        <v>23.24615384615385</v>
      </c>
      <c r="AE20" s="38" t="n">
        <v>25.18333333333333</v>
      </c>
      <c r="AF20" s="38" t="n">
        <v>27.47272727272727</v>
      </c>
      <c r="AG20" s="38" t="n">
        <v>30.22</v>
      </c>
      <c r="AH20" s="38" t="n">
        <v>33.57777777777778</v>
      </c>
      <c r="AI20" s="38" t="n">
        <v>37.775</v>
      </c>
      <c r="AJ20" s="38" t="n">
        <v>43.17142857142857</v>
      </c>
      <c r="AK20" s="38" t="n">
        <v>50.36666666666667</v>
      </c>
      <c r="AL20" s="38" t="n">
        <v>60.44</v>
      </c>
      <c r="AM20" s="38" t="n">
        <v>75.55</v>
      </c>
      <c r="AN20" s="38" t="n">
        <v>100.7333333333333</v>
      </c>
      <c r="AO20" s="38" t="n">
        <v>151.1</v>
      </c>
      <c r="AP20" s="38" t="n">
        <v>302.2</v>
      </c>
    </row>
    <row r="21">
      <c r="A21" s="5" t="inlineStr">
        <is>
          <t>P15</t>
        </is>
      </c>
      <c r="B21" s="5" t="inlineStr">
        <is>
          <t>Karitel</t>
        </is>
      </c>
      <c r="C21" s="38" t="n">
        <v>7.205</v>
      </c>
      <c r="D21" s="38" t="n">
        <v>7.58421052631579</v>
      </c>
      <c r="E21" s="38" t="n">
        <v>8.005555555555555</v>
      </c>
      <c r="F21" s="38" t="n">
        <v>8.476470588235294</v>
      </c>
      <c r="G21" s="38" t="n">
        <v>9.00625</v>
      </c>
      <c r="H21" s="38" t="n">
        <v>9.606666666666667</v>
      </c>
      <c r="I21" s="38" t="n">
        <v>10.29285714285714</v>
      </c>
      <c r="J21" s="38" t="n">
        <v>11.08461538461538</v>
      </c>
      <c r="K21" s="38" t="n">
        <v>12.00833333333333</v>
      </c>
      <c r="L21" s="38" t="n">
        <v>13.1</v>
      </c>
      <c r="M21" s="38" t="n">
        <v>14.41</v>
      </c>
      <c r="N21" s="38" t="n">
        <v>16.01111111111111</v>
      </c>
      <c r="O21" s="38" t="n">
        <v>18.0125</v>
      </c>
      <c r="P21" s="38" t="n">
        <v>20.58571428571429</v>
      </c>
      <c r="Q21" s="38" t="n">
        <v>24.01666666666667</v>
      </c>
      <c r="R21" s="38" t="n">
        <v>28.82</v>
      </c>
      <c r="S21" s="38" t="n">
        <v>36.025</v>
      </c>
      <c r="T21" s="38" t="n">
        <v>48.03333333333334</v>
      </c>
      <c r="U21" s="38" t="n">
        <v>72.05</v>
      </c>
      <c r="V21" s="38" t="n">
        <v>144.1</v>
      </c>
      <c r="W21" s="38" t="n">
        <v>15.11</v>
      </c>
      <c r="X21" s="38" t="n">
        <v>15.90526315789474</v>
      </c>
      <c r="Y21" s="38" t="n">
        <v>16.78888888888889</v>
      </c>
      <c r="Z21" s="38" t="n">
        <v>17.77647058823529</v>
      </c>
      <c r="AA21" s="38" t="n">
        <v>18.8875</v>
      </c>
      <c r="AB21" s="38" t="n">
        <v>20.14666666666666</v>
      </c>
      <c r="AC21" s="38" t="n">
        <v>21.58571428571429</v>
      </c>
      <c r="AD21" s="38" t="n">
        <v>23.24615384615385</v>
      </c>
      <c r="AE21" s="38" t="n">
        <v>25.18333333333333</v>
      </c>
      <c r="AF21" s="38" t="n">
        <v>27.47272727272727</v>
      </c>
      <c r="AG21" s="38" t="n">
        <v>30.22</v>
      </c>
      <c r="AH21" s="38" t="n">
        <v>33.57777777777778</v>
      </c>
      <c r="AI21" s="38" t="n">
        <v>37.775</v>
      </c>
      <c r="AJ21" s="38" t="n">
        <v>43.17142857142857</v>
      </c>
      <c r="AK21" s="38" t="n">
        <v>50.36666666666667</v>
      </c>
      <c r="AL21" s="38" t="n">
        <v>60.44</v>
      </c>
      <c r="AM21" s="38" t="n">
        <v>75.55</v>
      </c>
      <c r="AN21" s="38" t="n">
        <v>100.7333333333333</v>
      </c>
      <c r="AO21" s="38" t="n">
        <v>151.1</v>
      </c>
      <c r="AP21" s="38" t="n">
        <v>302.2</v>
      </c>
    </row>
    <row r="22">
      <c r="A22" s="5" t="inlineStr">
        <is>
          <t>P16</t>
        </is>
      </c>
      <c r="B22" s="5" t="inlineStr">
        <is>
          <t>Karitel</t>
        </is>
      </c>
      <c r="C22" s="38" t="n">
        <v>7.19</v>
      </c>
      <c r="D22" s="38" t="n">
        <v>7.56842105263158</v>
      </c>
      <c r="E22" s="38" t="n">
        <v>7.988888888888889</v>
      </c>
      <c r="F22" s="38" t="n">
        <v>8.458823529411765</v>
      </c>
      <c r="G22" s="38" t="n">
        <v>8.987500000000001</v>
      </c>
      <c r="H22" s="38" t="n">
        <v>9.586666666666668</v>
      </c>
      <c r="I22" s="38" t="n">
        <v>10.27142857142857</v>
      </c>
      <c r="J22" s="38" t="n">
        <v>11.06153846153846</v>
      </c>
      <c r="K22" s="38" t="n">
        <v>11.98333333333333</v>
      </c>
      <c r="L22" s="38" t="n">
        <v>13.07272727272727</v>
      </c>
      <c r="M22" s="38" t="n">
        <v>14.38</v>
      </c>
      <c r="N22" s="38" t="n">
        <v>15.97777777777778</v>
      </c>
      <c r="O22" s="38" t="n">
        <v>17.975</v>
      </c>
      <c r="P22" s="38" t="n">
        <v>20.54285714285714</v>
      </c>
      <c r="Q22" s="38" t="n">
        <v>23.96666666666667</v>
      </c>
      <c r="R22" s="38" t="n">
        <v>28.76</v>
      </c>
      <c r="S22" s="38" t="n">
        <v>35.95</v>
      </c>
      <c r="T22" s="38" t="n">
        <v>47.93333333333334</v>
      </c>
      <c r="U22" s="38" t="n">
        <v>71.90000000000001</v>
      </c>
      <c r="V22" s="38" t="n">
        <v>143.8</v>
      </c>
      <c r="W22" s="38" t="n">
        <v>15.11</v>
      </c>
      <c r="X22" s="38" t="n">
        <v>15.90526315789474</v>
      </c>
      <c r="Y22" s="38" t="n">
        <v>16.78888888888889</v>
      </c>
      <c r="Z22" s="38" t="n">
        <v>17.77647058823529</v>
      </c>
      <c r="AA22" s="38" t="n">
        <v>18.8875</v>
      </c>
      <c r="AB22" s="38" t="n">
        <v>20.14666666666666</v>
      </c>
      <c r="AC22" s="38" t="n">
        <v>21.58571428571429</v>
      </c>
      <c r="AD22" s="38" t="n">
        <v>23.24615384615385</v>
      </c>
      <c r="AE22" s="38" t="n">
        <v>25.18333333333333</v>
      </c>
      <c r="AF22" s="38" t="n">
        <v>27.47272727272727</v>
      </c>
      <c r="AG22" s="38" t="n">
        <v>30.22</v>
      </c>
      <c r="AH22" s="38" t="n">
        <v>33.57777777777778</v>
      </c>
      <c r="AI22" s="38" t="n">
        <v>37.775</v>
      </c>
      <c r="AJ22" s="38" t="n">
        <v>43.17142857142857</v>
      </c>
      <c r="AK22" s="38" t="n">
        <v>50.36666666666667</v>
      </c>
      <c r="AL22" s="38" t="n">
        <v>60.44</v>
      </c>
      <c r="AM22" s="38" t="n">
        <v>75.55</v>
      </c>
      <c r="AN22" s="38" t="n">
        <v>100.7333333333333</v>
      </c>
      <c r="AO22" s="38" t="n">
        <v>151.1</v>
      </c>
      <c r="AP22" s="38" t="n">
        <v>302.2</v>
      </c>
    </row>
    <row r="23">
      <c r="A23" s="5" t="inlineStr">
        <is>
          <t>P17</t>
        </is>
      </c>
      <c r="B23" s="5" t="inlineStr">
        <is>
          <t>Karitel</t>
        </is>
      </c>
      <c r="C23" s="38" t="n">
        <v>5.94</v>
      </c>
      <c r="D23" s="38" t="n">
        <v>6.252631578947369</v>
      </c>
      <c r="E23" s="38" t="n">
        <v>6.600000000000001</v>
      </c>
      <c r="F23" s="38" t="n">
        <v>6.988235294117648</v>
      </c>
      <c r="G23" s="38" t="n">
        <v>7.425</v>
      </c>
      <c r="H23" s="38" t="n">
        <v>7.920000000000001</v>
      </c>
      <c r="I23" s="38" t="n">
        <v>8.485714285714288</v>
      </c>
      <c r="J23" s="38" t="n">
        <v>9.138461538461538</v>
      </c>
      <c r="K23" s="38" t="n">
        <v>9.9</v>
      </c>
      <c r="L23" s="38" t="n">
        <v>10.8</v>
      </c>
      <c r="M23" s="38" t="n">
        <v>11.88</v>
      </c>
      <c r="N23" s="38" t="n">
        <v>13.2</v>
      </c>
      <c r="O23" s="38" t="n">
        <v>14.85</v>
      </c>
      <c r="P23" s="38" t="n">
        <v>16.97142857142858</v>
      </c>
      <c r="Q23" s="38" t="n">
        <v>19.8</v>
      </c>
      <c r="R23" s="38" t="n">
        <v>23.76</v>
      </c>
      <c r="S23" s="38" t="n">
        <v>29.7</v>
      </c>
      <c r="T23" s="38" t="n">
        <v>39.6</v>
      </c>
      <c r="U23" s="38" t="n">
        <v>59.4</v>
      </c>
      <c r="V23" s="38" t="n">
        <v>118.8</v>
      </c>
      <c r="W23" s="38" t="n">
        <v>15.11</v>
      </c>
      <c r="X23" s="38" t="n">
        <v>15.90526315789474</v>
      </c>
      <c r="Y23" s="38" t="n">
        <v>16.78888888888889</v>
      </c>
      <c r="Z23" s="38" t="n">
        <v>17.77647058823529</v>
      </c>
      <c r="AA23" s="38" t="n">
        <v>18.8875</v>
      </c>
      <c r="AB23" s="38" t="n">
        <v>20.14666666666666</v>
      </c>
      <c r="AC23" s="38" t="n">
        <v>21.58571428571429</v>
      </c>
      <c r="AD23" s="38" t="n">
        <v>23.24615384615385</v>
      </c>
      <c r="AE23" s="38" t="n">
        <v>25.18333333333333</v>
      </c>
      <c r="AF23" s="38" t="n">
        <v>27.47272727272727</v>
      </c>
      <c r="AG23" s="38" t="n">
        <v>30.22</v>
      </c>
      <c r="AH23" s="38" t="n">
        <v>33.57777777777778</v>
      </c>
      <c r="AI23" s="38" t="n">
        <v>37.775</v>
      </c>
      <c r="AJ23" s="38" t="n">
        <v>43.17142857142857</v>
      </c>
      <c r="AK23" s="38" t="n">
        <v>50.36666666666667</v>
      </c>
      <c r="AL23" s="38" t="n">
        <v>60.44</v>
      </c>
      <c r="AM23" s="38" t="n">
        <v>75.55</v>
      </c>
      <c r="AN23" s="38" t="n">
        <v>100.7333333333333</v>
      </c>
      <c r="AO23" s="38" t="n">
        <v>151.1</v>
      </c>
      <c r="AP23" s="38" t="n">
        <v>302.2</v>
      </c>
    </row>
    <row r="24">
      <c r="A24" s="5" t="inlineStr">
        <is>
          <t>P18</t>
        </is>
      </c>
      <c r="B24" s="5" t="inlineStr">
        <is>
          <t>Karitel</t>
        </is>
      </c>
      <c r="C24" s="38" t="n">
        <v>6.58</v>
      </c>
      <c r="D24" s="38" t="n">
        <v>6.926315789473684</v>
      </c>
      <c r="E24" s="38" t="n">
        <v>7.311111111111111</v>
      </c>
      <c r="F24" s="38" t="n">
        <v>7.741176470588235</v>
      </c>
      <c r="G24" s="38" t="n">
        <v>8.225</v>
      </c>
      <c r="H24" s="38" t="n">
        <v>8.773333333333333</v>
      </c>
      <c r="I24" s="38" t="n">
        <v>9.4</v>
      </c>
      <c r="J24" s="38" t="n">
        <v>10.12307692307692</v>
      </c>
      <c r="K24" s="38" t="n">
        <v>10.96666666666667</v>
      </c>
      <c r="L24" s="38" t="n">
        <v>11.96363636363636</v>
      </c>
      <c r="M24" s="38" t="n">
        <v>13.16</v>
      </c>
      <c r="N24" s="38" t="n">
        <v>14.62222222222222</v>
      </c>
      <c r="O24" s="38" t="n">
        <v>16.45</v>
      </c>
      <c r="P24" s="38" t="n">
        <v>18.8</v>
      </c>
      <c r="Q24" s="38" t="n">
        <v>21.93333333333333</v>
      </c>
      <c r="R24" s="38" t="n">
        <v>26.32</v>
      </c>
      <c r="S24" s="38" t="n">
        <v>32.9</v>
      </c>
      <c r="T24" s="38" t="n">
        <v>43.86666666666667</v>
      </c>
      <c r="U24" s="38" t="n">
        <v>65.8</v>
      </c>
      <c r="V24" s="38" t="n">
        <v>131.6</v>
      </c>
      <c r="W24" s="38" t="n">
        <v>15.11</v>
      </c>
      <c r="X24" s="38" t="n">
        <v>15.90526315789474</v>
      </c>
      <c r="Y24" s="38" t="n">
        <v>16.78888888888889</v>
      </c>
      <c r="Z24" s="38" t="n">
        <v>17.77647058823529</v>
      </c>
      <c r="AA24" s="38" t="n">
        <v>18.8875</v>
      </c>
      <c r="AB24" s="38" t="n">
        <v>20.14666666666666</v>
      </c>
      <c r="AC24" s="38" t="n">
        <v>21.58571428571429</v>
      </c>
      <c r="AD24" s="38" t="n">
        <v>23.24615384615385</v>
      </c>
      <c r="AE24" s="38" t="n">
        <v>25.18333333333333</v>
      </c>
      <c r="AF24" s="38" t="n">
        <v>27.47272727272727</v>
      </c>
      <c r="AG24" s="38" t="n">
        <v>30.22</v>
      </c>
      <c r="AH24" s="38" t="n">
        <v>33.57777777777778</v>
      </c>
      <c r="AI24" s="38" t="n">
        <v>37.775</v>
      </c>
      <c r="AJ24" s="38" t="n">
        <v>43.17142857142857</v>
      </c>
      <c r="AK24" s="38" t="n">
        <v>50.36666666666667</v>
      </c>
      <c r="AL24" s="38" t="n">
        <v>60.44</v>
      </c>
      <c r="AM24" s="38" t="n">
        <v>75.55</v>
      </c>
      <c r="AN24" s="38" t="n">
        <v>100.7333333333333</v>
      </c>
      <c r="AO24" s="38" t="n">
        <v>151.1</v>
      </c>
      <c r="AP24" s="38" t="n">
        <v>302.2</v>
      </c>
    </row>
    <row r="25">
      <c r="A25" s="5" t="inlineStr">
        <is>
          <t>P19</t>
        </is>
      </c>
      <c r="B25" s="5" t="inlineStr">
        <is>
          <t>Karitel</t>
        </is>
      </c>
      <c r="C25" s="38" t="n">
        <v>6.3</v>
      </c>
      <c r="D25" s="38" t="n">
        <v>6.631578947368421</v>
      </c>
      <c r="E25" s="38" t="n">
        <v>7</v>
      </c>
      <c r="F25" s="38" t="n">
        <v>7.411764705882353</v>
      </c>
      <c r="G25" s="38" t="n">
        <v>7.874999999999999</v>
      </c>
      <c r="H25" s="38" t="n">
        <v>8.4</v>
      </c>
      <c r="I25" s="38" t="n">
        <v>9</v>
      </c>
      <c r="J25" s="38" t="n">
        <v>9.692307692307692</v>
      </c>
      <c r="K25" s="38" t="n">
        <v>10.5</v>
      </c>
      <c r="L25" s="38" t="n">
        <v>11.45454545454545</v>
      </c>
      <c r="M25" s="38" t="n">
        <v>12.6</v>
      </c>
      <c r="N25" s="38" t="n">
        <v>14</v>
      </c>
      <c r="O25" s="38" t="n">
        <v>15.75</v>
      </c>
      <c r="P25" s="38" t="n">
        <v>18</v>
      </c>
      <c r="Q25" s="38" t="n">
        <v>21</v>
      </c>
      <c r="R25" s="38" t="n">
        <v>25.2</v>
      </c>
      <c r="S25" s="38" t="n">
        <v>31.5</v>
      </c>
      <c r="T25" s="38" t="n">
        <v>42</v>
      </c>
      <c r="U25" s="38" t="n">
        <v>62.99999999999999</v>
      </c>
      <c r="V25" s="38" t="n">
        <v>126</v>
      </c>
      <c r="W25" s="38" t="n">
        <v>15.11</v>
      </c>
      <c r="X25" s="38" t="n">
        <v>15.90526315789474</v>
      </c>
      <c r="Y25" s="38" t="n">
        <v>16.78888888888889</v>
      </c>
      <c r="Z25" s="38" t="n">
        <v>17.77647058823529</v>
      </c>
      <c r="AA25" s="38" t="n">
        <v>18.8875</v>
      </c>
      <c r="AB25" s="38" t="n">
        <v>20.14666666666666</v>
      </c>
      <c r="AC25" s="38" t="n">
        <v>21.58571428571429</v>
      </c>
      <c r="AD25" s="38" t="n">
        <v>23.24615384615385</v>
      </c>
      <c r="AE25" s="38" t="n">
        <v>25.18333333333333</v>
      </c>
      <c r="AF25" s="38" t="n">
        <v>27.47272727272727</v>
      </c>
      <c r="AG25" s="38" t="n">
        <v>30.22</v>
      </c>
      <c r="AH25" s="38" t="n">
        <v>33.57777777777778</v>
      </c>
      <c r="AI25" s="38" t="n">
        <v>37.775</v>
      </c>
      <c r="AJ25" s="38" t="n">
        <v>43.17142857142857</v>
      </c>
      <c r="AK25" s="38" t="n">
        <v>50.36666666666667</v>
      </c>
      <c r="AL25" s="38" t="n">
        <v>60.44</v>
      </c>
      <c r="AM25" s="38" t="n">
        <v>75.55</v>
      </c>
      <c r="AN25" s="38" t="n">
        <v>100.7333333333333</v>
      </c>
      <c r="AO25" s="38" t="n">
        <v>151.1</v>
      </c>
      <c r="AP25" s="38" t="n">
        <v>302.2</v>
      </c>
    </row>
    <row r="26">
      <c r="A26" s="5" t="inlineStr">
        <is>
          <t>P20</t>
        </is>
      </c>
      <c r="B26" s="5" t="inlineStr">
        <is>
          <t>Karitel</t>
        </is>
      </c>
      <c r="C26" s="38" t="n">
        <v>7.21</v>
      </c>
      <c r="D26" s="38" t="n">
        <v>7.589473684210526</v>
      </c>
      <c r="E26" s="38" t="n">
        <v>8.011111111111111</v>
      </c>
      <c r="F26" s="38" t="n">
        <v>8.482352941176471</v>
      </c>
      <c r="G26" s="38" t="n">
        <v>9.012499999999999</v>
      </c>
      <c r="H26" s="38" t="n">
        <v>9.613333333333333</v>
      </c>
      <c r="I26" s="38" t="n">
        <v>10.3</v>
      </c>
      <c r="J26" s="38" t="n">
        <v>11.09230769230769</v>
      </c>
      <c r="K26" s="38" t="n">
        <v>12.01666666666667</v>
      </c>
      <c r="L26" s="38" t="n">
        <v>13.10909090909091</v>
      </c>
      <c r="M26" s="38" t="n">
        <v>14.42</v>
      </c>
      <c r="N26" s="38" t="n">
        <v>16.02222222222222</v>
      </c>
      <c r="O26" s="38" t="n">
        <v>18.025</v>
      </c>
      <c r="P26" s="38" t="n">
        <v>20.6</v>
      </c>
      <c r="Q26" s="38" t="n">
        <v>24.03333333333333</v>
      </c>
      <c r="R26" s="38" t="n">
        <v>28.84</v>
      </c>
      <c r="S26" s="38" t="n">
        <v>36.05</v>
      </c>
      <c r="T26" s="38" t="n">
        <v>48.06666666666667</v>
      </c>
      <c r="U26" s="38" t="n">
        <v>72.09999999999999</v>
      </c>
      <c r="V26" s="38" t="n">
        <v>144.2</v>
      </c>
      <c r="W26" s="38" t="n">
        <v>15.11</v>
      </c>
      <c r="X26" s="38" t="n">
        <v>15.90526315789474</v>
      </c>
      <c r="Y26" s="38" t="n">
        <v>16.78888888888889</v>
      </c>
      <c r="Z26" s="38" t="n">
        <v>17.77647058823529</v>
      </c>
      <c r="AA26" s="38" t="n">
        <v>18.8875</v>
      </c>
      <c r="AB26" s="38" t="n">
        <v>20.14666666666666</v>
      </c>
      <c r="AC26" s="38" t="n">
        <v>21.58571428571429</v>
      </c>
      <c r="AD26" s="38" t="n">
        <v>23.24615384615385</v>
      </c>
      <c r="AE26" s="38" t="n">
        <v>25.18333333333333</v>
      </c>
      <c r="AF26" s="38" t="n">
        <v>27.47272727272727</v>
      </c>
      <c r="AG26" s="38" t="n">
        <v>30.22</v>
      </c>
      <c r="AH26" s="38" t="n">
        <v>33.57777777777778</v>
      </c>
      <c r="AI26" s="38" t="n">
        <v>37.775</v>
      </c>
      <c r="AJ26" s="38" t="n">
        <v>43.17142857142857</v>
      </c>
      <c r="AK26" s="38" t="n">
        <v>50.36666666666667</v>
      </c>
      <c r="AL26" s="38" t="n">
        <v>60.44</v>
      </c>
      <c r="AM26" s="38" t="n">
        <v>75.55</v>
      </c>
      <c r="AN26" s="38" t="n">
        <v>100.7333333333333</v>
      </c>
      <c r="AO26" s="38" t="n">
        <v>151.1</v>
      </c>
      <c r="AP26" s="38" t="n">
        <v>302.2</v>
      </c>
    </row>
    <row r="27">
      <c r="A27" s="5" t="inlineStr">
        <is>
          <t>P21</t>
        </is>
      </c>
      <c r="B27" s="5" t="inlineStr">
        <is>
          <t>Karitel</t>
        </is>
      </c>
      <c r="C27" s="38" t="n">
        <v>6.93</v>
      </c>
      <c r="D27" s="38" t="n">
        <v>7.294736842105263</v>
      </c>
      <c r="E27" s="38" t="n">
        <v>7.699999999999999</v>
      </c>
      <c r="F27" s="38" t="n">
        <v>8.152941176470588</v>
      </c>
      <c r="G27" s="38" t="n">
        <v>8.6625</v>
      </c>
      <c r="H27" s="38" t="n">
        <v>9.24</v>
      </c>
      <c r="I27" s="38" t="n">
        <v>9.9</v>
      </c>
      <c r="J27" s="38" t="n">
        <v>10.66153846153846</v>
      </c>
      <c r="K27" s="38" t="n">
        <v>11.55</v>
      </c>
      <c r="L27" s="38" t="n">
        <v>12.6</v>
      </c>
      <c r="M27" s="38" t="n">
        <v>13.86</v>
      </c>
      <c r="N27" s="38" t="n">
        <v>15.4</v>
      </c>
      <c r="O27" s="38" t="n">
        <v>17.325</v>
      </c>
      <c r="P27" s="38" t="n">
        <v>19.8</v>
      </c>
      <c r="Q27" s="38" t="n">
        <v>23.1</v>
      </c>
      <c r="R27" s="38" t="n">
        <v>27.72</v>
      </c>
      <c r="S27" s="38" t="n">
        <v>34.65</v>
      </c>
      <c r="T27" s="38" t="n">
        <v>46.2</v>
      </c>
      <c r="U27" s="38" t="n">
        <v>69.3</v>
      </c>
      <c r="V27" s="38" t="n">
        <v>138.6</v>
      </c>
      <c r="W27" s="38" t="n">
        <v>15.11</v>
      </c>
      <c r="X27" s="38" t="n">
        <v>15.90526315789474</v>
      </c>
      <c r="Y27" s="38" t="n">
        <v>16.78888888888889</v>
      </c>
      <c r="Z27" s="38" t="n">
        <v>17.77647058823529</v>
      </c>
      <c r="AA27" s="38" t="n">
        <v>18.8875</v>
      </c>
      <c r="AB27" s="38" t="n">
        <v>20.14666666666666</v>
      </c>
      <c r="AC27" s="38" t="n">
        <v>21.58571428571429</v>
      </c>
      <c r="AD27" s="38" t="n">
        <v>23.24615384615385</v>
      </c>
      <c r="AE27" s="38" t="n">
        <v>25.18333333333333</v>
      </c>
      <c r="AF27" s="38" t="n">
        <v>27.47272727272727</v>
      </c>
      <c r="AG27" s="38" t="n">
        <v>30.22</v>
      </c>
      <c r="AH27" s="38" t="n">
        <v>33.57777777777778</v>
      </c>
      <c r="AI27" s="38" t="n">
        <v>37.775</v>
      </c>
      <c r="AJ27" s="38" t="n">
        <v>43.17142857142857</v>
      </c>
      <c r="AK27" s="38" t="n">
        <v>50.36666666666667</v>
      </c>
      <c r="AL27" s="38" t="n">
        <v>60.44</v>
      </c>
      <c r="AM27" s="38" t="n">
        <v>75.55</v>
      </c>
      <c r="AN27" s="38" t="n">
        <v>100.7333333333333</v>
      </c>
      <c r="AO27" s="38" t="n">
        <v>151.1</v>
      </c>
      <c r="AP27" s="38" t="n">
        <v>302.2</v>
      </c>
    </row>
    <row r="28">
      <c r="A28" s="5" t="inlineStr">
        <is>
          <t>P22</t>
        </is>
      </c>
      <c r="B28" s="5" t="inlineStr">
        <is>
          <t>Karitel</t>
        </is>
      </c>
      <c r="C28" s="38" t="n">
        <v>4.62</v>
      </c>
      <c r="D28" s="38" t="n">
        <v>4.863157894736842</v>
      </c>
      <c r="E28" s="38" t="n">
        <v>5.133333333333334</v>
      </c>
      <c r="F28" s="38" t="n">
        <v>5.435294117647059</v>
      </c>
      <c r="G28" s="38" t="n">
        <v>5.774999999999999</v>
      </c>
      <c r="H28" s="38" t="n">
        <v>6.16</v>
      </c>
      <c r="I28" s="38" t="n">
        <v>6.600000000000001</v>
      </c>
      <c r="J28" s="38" t="n">
        <v>7.107692307692307</v>
      </c>
      <c r="K28" s="38" t="n">
        <v>7.7</v>
      </c>
      <c r="L28" s="38" t="n">
        <v>8.4</v>
      </c>
      <c r="M28" s="38" t="n">
        <v>9.24</v>
      </c>
      <c r="N28" s="38" t="n">
        <v>10.26666666666667</v>
      </c>
      <c r="O28" s="38" t="n">
        <v>11.55</v>
      </c>
      <c r="P28" s="38" t="n">
        <v>13.2</v>
      </c>
      <c r="Q28" s="38" t="n">
        <v>15.4</v>
      </c>
      <c r="R28" s="38" t="n">
        <v>18.48</v>
      </c>
      <c r="S28" s="38" t="n">
        <v>23.1</v>
      </c>
      <c r="T28" s="38" t="n">
        <v>30.8</v>
      </c>
      <c r="U28" s="38" t="n">
        <v>46.2</v>
      </c>
      <c r="V28" s="38" t="n">
        <v>92.39999999999999</v>
      </c>
      <c r="W28" s="38" t="n">
        <v>15.11</v>
      </c>
      <c r="X28" s="38" t="n">
        <v>15.90526315789474</v>
      </c>
      <c r="Y28" s="38" t="n">
        <v>16.78888888888889</v>
      </c>
      <c r="Z28" s="38" t="n">
        <v>17.77647058823529</v>
      </c>
      <c r="AA28" s="38" t="n">
        <v>18.8875</v>
      </c>
      <c r="AB28" s="38" t="n">
        <v>20.14666666666666</v>
      </c>
      <c r="AC28" s="38" t="n">
        <v>21.58571428571429</v>
      </c>
      <c r="AD28" s="38" t="n">
        <v>23.24615384615385</v>
      </c>
      <c r="AE28" s="38" t="n">
        <v>25.18333333333333</v>
      </c>
      <c r="AF28" s="38" t="n">
        <v>27.47272727272727</v>
      </c>
      <c r="AG28" s="38" t="n">
        <v>30.22</v>
      </c>
      <c r="AH28" s="38" t="n">
        <v>33.57777777777778</v>
      </c>
      <c r="AI28" s="38" t="n">
        <v>37.775</v>
      </c>
      <c r="AJ28" s="38" t="n">
        <v>43.17142857142857</v>
      </c>
      <c r="AK28" s="38" t="n">
        <v>50.36666666666667</v>
      </c>
      <c r="AL28" s="38" t="n">
        <v>60.44</v>
      </c>
      <c r="AM28" s="38" t="n">
        <v>75.55</v>
      </c>
      <c r="AN28" s="38" t="n">
        <v>100.7333333333333</v>
      </c>
      <c r="AO28" s="38" t="n">
        <v>151.1</v>
      </c>
      <c r="AP28" s="38" t="n">
        <v>302.2</v>
      </c>
    </row>
    <row r="29">
      <c r="A29" s="5" t="inlineStr">
        <is>
          <t>P23</t>
        </is>
      </c>
      <c r="B29" s="5" t="inlineStr">
        <is>
          <t>Karitel</t>
        </is>
      </c>
      <c r="C29" s="38" t="n">
        <v>5.7</v>
      </c>
      <c r="D29" s="38" t="n">
        <v>6.000000000000001</v>
      </c>
      <c r="E29" s="38" t="n">
        <v>6.333333333333333</v>
      </c>
      <c r="F29" s="38" t="n">
        <v>6.705882352941177</v>
      </c>
      <c r="G29" s="38" t="n">
        <v>7.125</v>
      </c>
      <c r="H29" s="38" t="n">
        <v>7.600000000000001</v>
      </c>
      <c r="I29" s="38" t="n">
        <v>8.142857142857144</v>
      </c>
      <c r="J29" s="38" t="n">
        <v>8.76923076923077</v>
      </c>
      <c r="K29" s="38" t="n">
        <v>9.5</v>
      </c>
      <c r="L29" s="38" t="n">
        <v>10.36363636363636</v>
      </c>
      <c r="M29" s="38" t="n">
        <v>11.4</v>
      </c>
      <c r="N29" s="38" t="n">
        <v>12.66666666666667</v>
      </c>
      <c r="O29" s="38" t="n">
        <v>14.25</v>
      </c>
      <c r="P29" s="38" t="n">
        <v>16.28571428571429</v>
      </c>
      <c r="Q29" s="38" t="n">
        <v>19</v>
      </c>
      <c r="R29" s="38" t="n">
        <v>22.8</v>
      </c>
      <c r="S29" s="38" t="n">
        <v>28.5</v>
      </c>
      <c r="T29" s="38" t="n">
        <v>38</v>
      </c>
      <c r="U29" s="38" t="n">
        <v>57</v>
      </c>
      <c r="V29" s="38" t="n">
        <v>114</v>
      </c>
      <c r="W29" s="38" t="n">
        <v>15.11</v>
      </c>
      <c r="X29" s="38" t="n">
        <v>15.90526315789474</v>
      </c>
      <c r="Y29" s="38" t="n">
        <v>16.78888888888889</v>
      </c>
      <c r="Z29" s="38" t="n">
        <v>17.77647058823529</v>
      </c>
      <c r="AA29" s="38" t="n">
        <v>18.8875</v>
      </c>
      <c r="AB29" s="38" t="n">
        <v>20.14666666666666</v>
      </c>
      <c r="AC29" s="38" t="n">
        <v>21.58571428571429</v>
      </c>
      <c r="AD29" s="38" t="n">
        <v>23.24615384615385</v>
      </c>
      <c r="AE29" s="38" t="n">
        <v>25.18333333333333</v>
      </c>
      <c r="AF29" s="38" t="n">
        <v>27.47272727272727</v>
      </c>
      <c r="AG29" s="38" t="n">
        <v>30.22</v>
      </c>
      <c r="AH29" s="38" t="n">
        <v>33.57777777777778</v>
      </c>
      <c r="AI29" s="38" t="n">
        <v>37.775</v>
      </c>
      <c r="AJ29" s="38" t="n">
        <v>43.17142857142857</v>
      </c>
      <c r="AK29" s="38" t="n">
        <v>50.36666666666667</v>
      </c>
      <c r="AL29" s="38" t="n">
        <v>60.44</v>
      </c>
      <c r="AM29" s="38" t="n">
        <v>75.55</v>
      </c>
      <c r="AN29" s="38" t="n">
        <v>100.7333333333333</v>
      </c>
      <c r="AO29" s="38" t="n">
        <v>151.1</v>
      </c>
      <c r="AP29" s="38" t="n">
        <v>302.2</v>
      </c>
    </row>
    <row r="30">
      <c r="A30" s="5" t="inlineStr">
        <is>
          <t>P24</t>
        </is>
      </c>
      <c r="B30" s="5" t="inlineStr">
        <is>
          <t>Karitel</t>
        </is>
      </c>
      <c r="C30" s="38" t="n">
        <v>6.79</v>
      </c>
      <c r="D30" s="38" t="n">
        <v>7.147368421052632</v>
      </c>
      <c r="E30" s="38" t="n">
        <v>7.544444444444444</v>
      </c>
      <c r="F30" s="38" t="n">
        <v>7.988235294117647</v>
      </c>
      <c r="G30" s="38" t="n">
        <v>8.487499999999999</v>
      </c>
      <c r="H30" s="38" t="n">
        <v>9.053333333333333</v>
      </c>
      <c r="I30" s="38" t="n">
        <v>9.700000000000001</v>
      </c>
      <c r="J30" s="38" t="n">
        <v>10.44615384615385</v>
      </c>
      <c r="K30" s="38" t="n">
        <v>11.31666666666667</v>
      </c>
      <c r="L30" s="38" t="n">
        <v>12.34545454545454</v>
      </c>
      <c r="M30" s="38" t="n">
        <v>13.58</v>
      </c>
      <c r="N30" s="38" t="n">
        <v>15.08888888888889</v>
      </c>
      <c r="O30" s="38" t="n">
        <v>16.975</v>
      </c>
      <c r="P30" s="38" t="n">
        <v>19.4</v>
      </c>
      <c r="Q30" s="38" t="n">
        <v>22.63333333333333</v>
      </c>
      <c r="R30" s="38" t="n">
        <v>27.16</v>
      </c>
      <c r="S30" s="38" t="n">
        <v>33.95</v>
      </c>
      <c r="T30" s="38" t="n">
        <v>45.26666666666667</v>
      </c>
      <c r="U30" s="38" t="n">
        <v>67.89999999999999</v>
      </c>
      <c r="V30" s="38" t="n">
        <v>135.8</v>
      </c>
      <c r="W30" s="38" t="n">
        <v>15.11</v>
      </c>
      <c r="X30" s="38" t="n">
        <v>15.90526315789474</v>
      </c>
      <c r="Y30" s="38" t="n">
        <v>16.78888888888889</v>
      </c>
      <c r="Z30" s="38" t="n">
        <v>17.77647058823529</v>
      </c>
      <c r="AA30" s="38" t="n">
        <v>18.8875</v>
      </c>
      <c r="AB30" s="38" t="n">
        <v>20.14666666666666</v>
      </c>
      <c r="AC30" s="38" t="n">
        <v>21.58571428571429</v>
      </c>
      <c r="AD30" s="38" t="n">
        <v>23.24615384615385</v>
      </c>
      <c r="AE30" s="38" t="n">
        <v>25.18333333333333</v>
      </c>
      <c r="AF30" s="38" t="n">
        <v>27.47272727272727</v>
      </c>
      <c r="AG30" s="38" t="n">
        <v>30.22</v>
      </c>
      <c r="AH30" s="38" t="n">
        <v>33.57777777777778</v>
      </c>
      <c r="AI30" s="38" t="n">
        <v>37.775</v>
      </c>
      <c r="AJ30" s="38" t="n">
        <v>43.17142857142857</v>
      </c>
      <c r="AK30" s="38" t="n">
        <v>50.36666666666667</v>
      </c>
      <c r="AL30" s="38" t="n">
        <v>60.44</v>
      </c>
      <c r="AM30" s="38" t="n">
        <v>75.55</v>
      </c>
      <c r="AN30" s="38" t="n">
        <v>100.7333333333333</v>
      </c>
      <c r="AO30" s="38" t="n">
        <v>151.1</v>
      </c>
      <c r="AP30" s="38" t="n">
        <v>302.2</v>
      </c>
    </row>
    <row r="31">
      <c r="A31" s="5" t="inlineStr">
        <is>
          <t>P25</t>
        </is>
      </c>
      <c r="B31" s="5" t="inlineStr">
        <is>
          <t>Karitel</t>
        </is>
      </c>
      <c r="C31" s="38" t="n">
        <v>5.8</v>
      </c>
      <c r="D31" s="38" t="n">
        <v>6.105263157894737</v>
      </c>
      <c r="E31" s="38" t="n">
        <v>6.444444444444444</v>
      </c>
      <c r="F31" s="38" t="n">
        <v>6.823529411764706</v>
      </c>
      <c r="G31" s="38" t="n">
        <v>7.249999999999999</v>
      </c>
      <c r="H31" s="38" t="n">
        <v>7.733333333333333</v>
      </c>
      <c r="I31" s="38" t="n">
        <v>8.285714285714286</v>
      </c>
      <c r="J31" s="38" t="n">
        <v>8.923076923076923</v>
      </c>
      <c r="K31" s="38" t="n">
        <v>9.666666666666666</v>
      </c>
      <c r="L31" s="38" t="n">
        <v>10.54545454545454</v>
      </c>
      <c r="M31" s="38" t="n">
        <v>11.6</v>
      </c>
      <c r="N31" s="38" t="n">
        <v>12.88888888888889</v>
      </c>
      <c r="O31" s="38" t="n">
        <v>14.5</v>
      </c>
      <c r="P31" s="38" t="n">
        <v>16.57142857142857</v>
      </c>
      <c r="Q31" s="38" t="n">
        <v>19.33333333333333</v>
      </c>
      <c r="R31" s="38" t="n">
        <v>23.2</v>
      </c>
      <c r="S31" s="38" t="n">
        <v>29</v>
      </c>
      <c r="T31" s="38" t="n">
        <v>38.66666666666666</v>
      </c>
      <c r="U31" s="38" t="n">
        <v>57.99999999999999</v>
      </c>
      <c r="V31" s="38" t="n">
        <v>116</v>
      </c>
      <c r="W31" s="38" t="n">
        <v>12.17</v>
      </c>
      <c r="X31" s="38" t="n">
        <v>12.81052631578947</v>
      </c>
      <c r="Y31" s="38" t="n">
        <v>13.52222222222222</v>
      </c>
      <c r="Z31" s="38" t="n">
        <v>14.31764705882353</v>
      </c>
      <c r="AA31" s="38" t="n">
        <v>15.2125</v>
      </c>
      <c r="AB31" s="38" t="n">
        <v>16.22666666666667</v>
      </c>
      <c r="AC31" s="38" t="n">
        <v>17.38571428571429</v>
      </c>
      <c r="AD31" s="38" t="n">
        <v>18.72307692307692</v>
      </c>
      <c r="AE31" s="38" t="n">
        <v>20.28333333333333</v>
      </c>
      <c r="AF31" s="38" t="n">
        <v>22.12727272727273</v>
      </c>
      <c r="AG31" s="38" t="n">
        <v>24.34</v>
      </c>
      <c r="AH31" s="38" t="n">
        <v>27.04444444444444</v>
      </c>
      <c r="AI31" s="38" t="n">
        <v>30.425</v>
      </c>
      <c r="AJ31" s="38" t="n">
        <v>34.77142857142857</v>
      </c>
      <c r="AK31" s="38" t="n">
        <v>40.56666666666667</v>
      </c>
      <c r="AL31" s="38" t="n">
        <v>48.68</v>
      </c>
      <c r="AM31" s="38" t="n">
        <v>60.84999999999999</v>
      </c>
      <c r="AN31" s="38" t="n">
        <v>81.13333333333334</v>
      </c>
      <c r="AO31" s="38" t="n">
        <v>121.7</v>
      </c>
      <c r="AP31" s="38" t="n">
        <v>243.4</v>
      </c>
    </row>
    <row r="32">
      <c r="A32" s="5" t="inlineStr">
        <is>
          <t>P26</t>
        </is>
      </c>
      <c r="B32" s="5" t="inlineStr">
        <is>
          <t>Karitel</t>
        </is>
      </c>
      <c r="C32" s="38" t="n">
        <v>5.46</v>
      </c>
      <c r="D32" s="38" t="n">
        <v>5.747368421052632</v>
      </c>
      <c r="E32" s="38" t="n">
        <v>6.066666666666666</v>
      </c>
      <c r="F32" s="38" t="n">
        <v>6.423529411764706</v>
      </c>
      <c r="G32" s="38" t="n">
        <v>6.824999999999999</v>
      </c>
      <c r="H32" s="38" t="n">
        <v>7.28</v>
      </c>
      <c r="I32" s="38" t="n">
        <v>7.800000000000001</v>
      </c>
      <c r="J32" s="38" t="n">
        <v>8.4</v>
      </c>
      <c r="K32" s="38" t="n">
        <v>9.1</v>
      </c>
      <c r="L32" s="38" t="n">
        <v>9.927272727272726</v>
      </c>
      <c r="M32" s="38" t="n">
        <v>10.92</v>
      </c>
      <c r="N32" s="38" t="n">
        <v>12.13333333333333</v>
      </c>
      <c r="O32" s="38" t="n">
        <v>13.65</v>
      </c>
      <c r="P32" s="38" t="n">
        <v>15.6</v>
      </c>
      <c r="Q32" s="38" t="n">
        <v>18.2</v>
      </c>
      <c r="R32" s="38" t="n">
        <v>21.84</v>
      </c>
      <c r="S32" s="38" t="n">
        <v>27.3</v>
      </c>
      <c r="T32" s="38" t="n">
        <v>36.4</v>
      </c>
      <c r="U32" s="38" t="n">
        <v>54.59999999999999</v>
      </c>
      <c r="V32" s="38" t="n">
        <v>109.2</v>
      </c>
      <c r="W32" s="38" t="n">
        <v>15.11</v>
      </c>
      <c r="X32" s="38" t="n">
        <v>15.90526315789474</v>
      </c>
      <c r="Y32" s="38" t="n">
        <v>16.78888888888889</v>
      </c>
      <c r="Z32" s="38" t="n">
        <v>17.77647058823529</v>
      </c>
      <c r="AA32" s="38" t="n">
        <v>18.8875</v>
      </c>
      <c r="AB32" s="38" t="n">
        <v>20.14666666666666</v>
      </c>
      <c r="AC32" s="38" t="n">
        <v>21.58571428571429</v>
      </c>
      <c r="AD32" s="38" t="n">
        <v>23.24615384615385</v>
      </c>
      <c r="AE32" s="38" t="n">
        <v>25.18333333333333</v>
      </c>
      <c r="AF32" s="38" t="n">
        <v>27.47272727272727</v>
      </c>
      <c r="AG32" s="38" t="n">
        <v>30.22</v>
      </c>
      <c r="AH32" s="38" t="n">
        <v>33.57777777777778</v>
      </c>
      <c r="AI32" s="38" t="n">
        <v>37.775</v>
      </c>
      <c r="AJ32" s="38" t="n">
        <v>43.17142857142857</v>
      </c>
      <c r="AK32" s="38" t="n">
        <v>50.36666666666667</v>
      </c>
      <c r="AL32" s="38" t="n">
        <v>60.44</v>
      </c>
      <c r="AM32" s="38" t="n">
        <v>75.55</v>
      </c>
      <c r="AN32" s="38" t="n">
        <v>100.7333333333333</v>
      </c>
      <c r="AO32" s="38" t="n">
        <v>151.1</v>
      </c>
      <c r="AP32" s="38" t="n">
        <v>302.2</v>
      </c>
    </row>
    <row r="33">
      <c r="A33" s="5" t="inlineStr">
        <is>
          <t>P27</t>
        </is>
      </c>
      <c r="B33" s="5" t="inlineStr">
        <is>
          <t>Karitel</t>
        </is>
      </c>
      <c r="C33" s="38" t="n">
        <v>4.4</v>
      </c>
      <c r="D33" s="38" t="n">
        <v>4.631578947368421</v>
      </c>
      <c r="E33" s="38" t="n">
        <v>4.888888888888889</v>
      </c>
      <c r="F33" s="38" t="n">
        <v>5.176470588235294</v>
      </c>
      <c r="G33" s="38" t="n">
        <v>5.5</v>
      </c>
      <c r="H33" s="38" t="n">
        <v>5.866666666666667</v>
      </c>
      <c r="I33" s="38" t="n">
        <v>6.285714285714286</v>
      </c>
      <c r="J33" s="38" t="n">
        <v>6.769230769230769</v>
      </c>
      <c r="K33" s="38" t="n">
        <v>7.333333333333334</v>
      </c>
      <c r="L33" s="38" t="n">
        <v>8</v>
      </c>
      <c r="M33" s="38" t="n">
        <v>8.800000000000001</v>
      </c>
      <c r="N33" s="38" t="n">
        <v>9.777777777777779</v>
      </c>
      <c r="O33" s="38" t="n">
        <v>11</v>
      </c>
      <c r="P33" s="38" t="n">
        <v>12.57142857142857</v>
      </c>
      <c r="Q33" s="38" t="n">
        <v>14.66666666666667</v>
      </c>
      <c r="R33" s="38" t="n">
        <v>17.6</v>
      </c>
      <c r="S33" s="38" t="n">
        <v>22</v>
      </c>
      <c r="T33" s="38" t="n">
        <v>29.33333333333334</v>
      </c>
      <c r="U33" s="38" t="n">
        <v>44</v>
      </c>
      <c r="V33" s="38" t="n">
        <v>88</v>
      </c>
      <c r="W33" s="38" t="n">
        <v>12.17</v>
      </c>
      <c r="X33" s="38" t="n">
        <v>12.81052631578947</v>
      </c>
      <c r="Y33" s="38" t="n">
        <v>13.52222222222222</v>
      </c>
      <c r="Z33" s="38" t="n">
        <v>14.31764705882353</v>
      </c>
      <c r="AA33" s="38" t="n">
        <v>15.2125</v>
      </c>
      <c r="AB33" s="38" t="n">
        <v>16.22666666666667</v>
      </c>
      <c r="AC33" s="38" t="n">
        <v>17.38571428571429</v>
      </c>
      <c r="AD33" s="38" t="n">
        <v>18.72307692307692</v>
      </c>
      <c r="AE33" s="38" t="n">
        <v>20.28333333333333</v>
      </c>
      <c r="AF33" s="38" t="n">
        <v>22.12727272727273</v>
      </c>
      <c r="AG33" s="38" t="n">
        <v>24.34</v>
      </c>
      <c r="AH33" s="38" t="n">
        <v>27.04444444444444</v>
      </c>
      <c r="AI33" s="38" t="n">
        <v>30.425</v>
      </c>
      <c r="AJ33" s="38" t="n">
        <v>34.77142857142857</v>
      </c>
      <c r="AK33" s="38" t="n">
        <v>40.56666666666667</v>
      </c>
      <c r="AL33" s="38" t="n">
        <v>48.68</v>
      </c>
      <c r="AM33" s="38" t="n">
        <v>60.84999999999999</v>
      </c>
      <c r="AN33" s="38" t="n">
        <v>81.13333333333334</v>
      </c>
      <c r="AO33" s="38" t="n">
        <v>121.7</v>
      </c>
      <c r="AP33" s="38" t="n">
        <v>243.4</v>
      </c>
    </row>
    <row r="34">
      <c r="A34" s="5" t="inlineStr">
        <is>
          <t>P28</t>
        </is>
      </c>
      <c r="B34" s="5" t="inlineStr">
        <is>
          <t>Karitel</t>
        </is>
      </c>
      <c r="C34" s="38" t="n">
        <v>6.435</v>
      </c>
      <c r="D34" s="38" t="n">
        <v>6.773684210526316</v>
      </c>
      <c r="E34" s="38" t="n">
        <v>7.149999999999999</v>
      </c>
      <c r="F34" s="38" t="n">
        <v>7.570588235294117</v>
      </c>
      <c r="G34" s="38" t="n">
        <v>8.043749999999999</v>
      </c>
      <c r="H34" s="38" t="n">
        <v>8.58</v>
      </c>
      <c r="I34" s="38" t="n">
        <v>9.192857142857143</v>
      </c>
      <c r="J34" s="38" t="n">
        <v>9.899999999999999</v>
      </c>
      <c r="K34" s="38" t="n">
        <v>10.725</v>
      </c>
      <c r="L34" s="38" t="n">
        <v>11.7</v>
      </c>
      <c r="M34" s="38" t="n">
        <v>12.87</v>
      </c>
      <c r="N34" s="38" t="n">
        <v>14.3</v>
      </c>
      <c r="O34" s="38" t="n">
        <v>16.0875</v>
      </c>
      <c r="P34" s="38" t="n">
        <v>18.38571428571429</v>
      </c>
      <c r="Q34" s="38" t="n">
        <v>21.45</v>
      </c>
      <c r="R34" s="38" t="n">
        <v>25.74</v>
      </c>
      <c r="S34" s="38" t="n">
        <v>32.175</v>
      </c>
      <c r="T34" s="38" t="n">
        <v>42.9</v>
      </c>
      <c r="U34" s="38" t="n">
        <v>64.34999999999999</v>
      </c>
      <c r="V34" s="38" t="n">
        <v>128.7</v>
      </c>
      <c r="W34" s="38" t="n">
        <v>14.13</v>
      </c>
      <c r="X34" s="38" t="n">
        <v>14.87368421052632</v>
      </c>
      <c r="Y34" s="38" t="n">
        <v>15.7</v>
      </c>
      <c r="Z34" s="38" t="n">
        <v>16.62352941176471</v>
      </c>
      <c r="AA34" s="38" t="n">
        <v>17.6625</v>
      </c>
      <c r="AB34" s="38" t="n">
        <v>18.84</v>
      </c>
      <c r="AC34" s="38" t="n">
        <v>20.18571428571429</v>
      </c>
      <c r="AD34" s="38" t="n">
        <v>21.73846153846154</v>
      </c>
      <c r="AE34" s="38" t="n">
        <v>23.55</v>
      </c>
      <c r="AF34" s="38" t="n">
        <v>25.69090909090909</v>
      </c>
      <c r="AG34" s="38" t="n">
        <v>28.26</v>
      </c>
      <c r="AH34" s="38" t="n">
        <v>31.4</v>
      </c>
      <c r="AI34" s="38" t="n">
        <v>35.325</v>
      </c>
      <c r="AJ34" s="38" t="n">
        <v>40.37142857142857</v>
      </c>
      <c r="AK34" s="38" t="n">
        <v>47.1</v>
      </c>
      <c r="AL34" s="38" t="n">
        <v>56.52</v>
      </c>
      <c r="AM34" s="38" t="n">
        <v>70.65000000000001</v>
      </c>
      <c r="AN34" s="38" t="n">
        <v>94.2</v>
      </c>
      <c r="AO34" s="38" t="n">
        <v>141.3</v>
      </c>
      <c r="AP34" s="38" t="n">
        <v>282.6</v>
      </c>
    </row>
    <row r="35">
      <c r="A35" s="5" t="inlineStr">
        <is>
          <t>P29</t>
        </is>
      </c>
      <c r="B35" s="5" t="inlineStr">
        <is>
          <t>Karitel</t>
        </is>
      </c>
      <c r="C35" s="38" t="n">
        <v>5.14</v>
      </c>
      <c r="D35" s="38" t="n">
        <v>5.410526315789474</v>
      </c>
      <c r="E35" s="38" t="n">
        <v>5.71111111111111</v>
      </c>
      <c r="F35" s="38" t="n">
        <v>6.047058823529412</v>
      </c>
      <c r="G35" s="38" t="n">
        <v>6.424999999999999</v>
      </c>
      <c r="H35" s="38" t="n">
        <v>6.853333333333333</v>
      </c>
      <c r="I35" s="38" t="n">
        <v>7.342857142857143</v>
      </c>
      <c r="J35" s="38" t="n">
        <v>7.907692307692307</v>
      </c>
      <c r="K35" s="38" t="n">
        <v>8.566666666666666</v>
      </c>
      <c r="L35" s="38" t="n">
        <v>9.345454545454544</v>
      </c>
      <c r="M35" s="38" t="n">
        <v>10.28</v>
      </c>
      <c r="N35" s="38" t="n">
        <v>11.42222222222222</v>
      </c>
      <c r="O35" s="38" t="n">
        <v>12.85</v>
      </c>
      <c r="P35" s="38" t="n">
        <v>14.68571428571429</v>
      </c>
      <c r="Q35" s="38" t="n">
        <v>17.13333333333333</v>
      </c>
      <c r="R35" s="38" t="n">
        <v>20.56</v>
      </c>
      <c r="S35" s="38" t="n">
        <v>25.7</v>
      </c>
      <c r="T35" s="38" t="n">
        <v>34.26666666666667</v>
      </c>
      <c r="U35" s="38" t="n">
        <v>51.39999999999999</v>
      </c>
      <c r="V35" s="38" t="n">
        <v>102.8</v>
      </c>
      <c r="W35" s="38" t="n">
        <v>10.79</v>
      </c>
      <c r="X35" s="38" t="n">
        <v>11.35789473684211</v>
      </c>
      <c r="Y35" s="38" t="n">
        <v>11.98888888888889</v>
      </c>
      <c r="Z35" s="38" t="n">
        <v>12.69411764705882</v>
      </c>
      <c r="AA35" s="38" t="n">
        <v>13.4875</v>
      </c>
      <c r="AB35" s="38" t="n">
        <v>14.38666666666666</v>
      </c>
      <c r="AC35" s="38" t="n">
        <v>15.41428571428571</v>
      </c>
      <c r="AD35" s="38" t="n">
        <v>16.6</v>
      </c>
      <c r="AE35" s="38" t="n">
        <v>17.98333333333333</v>
      </c>
      <c r="AF35" s="38" t="n">
        <v>19.61818181818181</v>
      </c>
      <c r="AG35" s="38" t="n">
        <v>21.58</v>
      </c>
      <c r="AH35" s="38" t="n">
        <v>23.97777777777777</v>
      </c>
      <c r="AI35" s="38" t="n">
        <v>26.975</v>
      </c>
      <c r="AJ35" s="38" t="n">
        <v>30.82857142857143</v>
      </c>
      <c r="AK35" s="38" t="n">
        <v>35.96666666666667</v>
      </c>
      <c r="AL35" s="38" t="n">
        <v>43.16</v>
      </c>
      <c r="AM35" s="38" t="n">
        <v>53.95</v>
      </c>
      <c r="AN35" s="38" t="n">
        <v>71.93333333333334</v>
      </c>
      <c r="AO35" s="38" t="n">
        <v>107.9</v>
      </c>
      <c r="AP35" s="38" t="n">
        <v>215.8</v>
      </c>
    </row>
    <row r="36">
      <c r="A36" s="5" t="inlineStr">
        <is>
          <t>P30</t>
        </is>
      </c>
      <c r="B36" s="5" t="inlineStr">
        <is>
          <t>Karitel</t>
        </is>
      </c>
      <c r="C36" s="38" t="n">
        <v>6.36</v>
      </c>
      <c r="D36" s="38" t="n">
        <v>6.694736842105264</v>
      </c>
      <c r="E36" s="38" t="n">
        <v>7.066666666666666</v>
      </c>
      <c r="F36" s="38" t="n">
        <v>7.482352941176472</v>
      </c>
      <c r="G36" s="38" t="n">
        <v>7.95</v>
      </c>
      <c r="H36" s="38" t="n">
        <v>8.48</v>
      </c>
      <c r="I36" s="38" t="n">
        <v>9.085714285714287</v>
      </c>
      <c r="J36" s="38" t="n">
        <v>9.784615384615385</v>
      </c>
      <c r="K36" s="38" t="n">
        <v>10.6</v>
      </c>
      <c r="L36" s="38" t="n">
        <v>11.56363636363636</v>
      </c>
      <c r="M36" s="38" t="n">
        <v>12.72</v>
      </c>
      <c r="N36" s="38" t="n">
        <v>14.13333333333333</v>
      </c>
      <c r="O36" s="38" t="n">
        <v>15.9</v>
      </c>
      <c r="P36" s="38" t="n">
        <v>18.17142857142857</v>
      </c>
      <c r="Q36" s="38" t="n">
        <v>21.2</v>
      </c>
      <c r="R36" s="38" t="n">
        <v>25.44</v>
      </c>
      <c r="S36" s="38" t="n">
        <v>31.8</v>
      </c>
      <c r="T36" s="38" t="n">
        <v>42.40000000000001</v>
      </c>
      <c r="U36" s="38" t="n">
        <v>63.6</v>
      </c>
      <c r="V36" s="38" t="n">
        <v>127.2</v>
      </c>
      <c r="W36" s="38" t="n">
        <v>15.11</v>
      </c>
      <c r="X36" s="38" t="n">
        <v>15.90526315789474</v>
      </c>
      <c r="Y36" s="38" t="n">
        <v>16.78888888888889</v>
      </c>
      <c r="Z36" s="38" t="n">
        <v>17.77647058823529</v>
      </c>
      <c r="AA36" s="38" t="n">
        <v>18.8875</v>
      </c>
      <c r="AB36" s="38" t="n">
        <v>20.14666666666666</v>
      </c>
      <c r="AC36" s="38" t="n">
        <v>21.58571428571429</v>
      </c>
      <c r="AD36" s="38" t="n">
        <v>23.24615384615385</v>
      </c>
      <c r="AE36" s="38" t="n">
        <v>25.18333333333333</v>
      </c>
      <c r="AF36" s="38" t="n">
        <v>27.47272727272727</v>
      </c>
      <c r="AG36" s="38" t="n">
        <v>30.22</v>
      </c>
      <c r="AH36" s="38" t="n">
        <v>33.57777777777778</v>
      </c>
      <c r="AI36" s="38" t="n">
        <v>37.775</v>
      </c>
      <c r="AJ36" s="38" t="n">
        <v>43.17142857142857</v>
      </c>
      <c r="AK36" s="38" t="n">
        <v>50.36666666666667</v>
      </c>
      <c r="AL36" s="38" t="n">
        <v>60.44</v>
      </c>
      <c r="AM36" s="38" t="n">
        <v>75.55</v>
      </c>
      <c r="AN36" s="38" t="n">
        <v>100.7333333333333</v>
      </c>
      <c r="AO36" s="38" t="n">
        <v>151.1</v>
      </c>
      <c r="AP36" s="38" t="n">
        <v>302.2</v>
      </c>
    </row>
    <row r="37">
      <c r="A37" s="5" t="inlineStr">
        <is>
          <t>P31</t>
        </is>
      </c>
      <c r="B37" s="5" t="inlineStr">
        <is>
          <t>Karitel</t>
        </is>
      </c>
      <c r="C37" s="38" t="n">
        <v>6.42</v>
      </c>
      <c r="D37" s="38" t="n">
        <v>6.757894736842106</v>
      </c>
      <c r="E37" s="38" t="n">
        <v>7.133333333333333</v>
      </c>
      <c r="F37" s="38" t="n">
        <v>7.552941176470588</v>
      </c>
      <c r="G37" s="38" t="n">
        <v>8.024999999999999</v>
      </c>
      <c r="H37" s="38" t="n">
        <v>8.56</v>
      </c>
      <c r="I37" s="38" t="n">
        <v>9.171428571428573</v>
      </c>
      <c r="J37" s="38" t="n">
        <v>9.876923076923077</v>
      </c>
      <c r="K37" s="38" t="n">
        <v>10.7</v>
      </c>
      <c r="L37" s="38" t="n">
        <v>11.67272727272727</v>
      </c>
      <c r="M37" s="38" t="n">
        <v>12.84</v>
      </c>
      <c r="N37" s="38" t="n">
        <v>14.26666666666667</v>
      </c>
      <c r="O37" s="38" t="n">
        <v>16.05</v>
      </c>
      <c r="P37" s="38" t="n">
        <v>18.34285714285715</v>
      </c>
      <c r="Q37" s="38" t="n">
        <v>21.4</v>
      </c>
      <c r="R37" s="38" t="n">
        <v>25.68</v>
      </c>
      <c r="S37" s="38" t="n">
        <v>32.09999999999999</v>
      </c>
      <c r="T37" s="38" t="n">
        <v>42.8</v>
      </c>
      <c r="U37" s="38" t="n">
        <v>64.19999999999999</v>
      </c>
      <c r="V37" s="38" t="n">
        <v>128.4</v>
      </c>
      <c r="W37" s="38" t="n">
        <v>15.11</v>
      </c>
      <c r="X37" s="38" t="n">
        <v>15.90526315789474</v>
      </c>
      <c r="Y37" s="38" t="n">
        <v>16.78888888888889</v>
      </c>
      <c r="Z37" s="38" t="n">
        <v>17.77647058823529</v>
      </c>
      <c r="AA37" s="38" t="n">
        <v>18.8875</v>
      </c>
      <c r="AB37" s="38" t="n">
        <v>20.14666666666666</v>
      </c>
      <c r="AC37" s="38" t="n">
        <v>21.58571428571429</v>
      </c>
      <c r="AD37" s="38" t="n">
        <v>23.24615384615385</v>
      </c>
      <c r="AE37" s="38" t="n">
        <v>25.18333333333333</v>
      </c>
      <c r="AF37" s="38" t="n">
        <v>27.47272727272727</v>
      </c>
      <c r="AG37" s="38" t="n">
        <v>30.22</v>
      </c>
      <c r="AH37" s="38" t="n">
        <v>33.57777777777778</v>
      </c>
      <c r="AI37" s="38" t="n">
        <v>37.775</v>
      </c>
      <c r="AJ37" s="38" t="n">
        <v>43.17142857142857</v>
      </c>
      <c r="AK37" s="38" t="n">
        <v>50.36666666666667</v>
      </c>
      <c r="AL37" s="38" t="n">
        <v>60.44</v>
      </c>
      <c r="AM37" s="38" t="n">
        <v>75.55</v>
      </c>
      <c r="AN37" s="38" t="n">
        <v>100.7333333333333</v>
      </c>
      <c r="AO37" s="38" t="n">
        <v>151.1</v>
      </c>
      <c r="AP37" s="38" t="n">
        <v>302.2</v>
      </c>
    </row>
    <row r="38">
      <c r="A38" s="5" t="inlineStr">
        <is>
          <t>P32</t>
        </is>
      </c>
      <c r="B38" s="5" t="inlineStr">
        <is>
          <t>Karitel</t>
        </is>
      </c>
      <c r="C38" s="38" t="n">
        <v>6.695</v>
      </c>
      <c r="D38" s="38" t="n">
        <v>7.047368421052632</v>
      </c>
      <c r="E38" s="38" t="n">
        <v>7.438888888888889</v>
      </c>
      <c r="F38" s="38" t="n">
        <v>7.876470588235295</v>
      </c>
      <c r="G38" s="38" t="n">
        <v>8.36875</v>
      </c>
      <c r="H38" s="38" t="n">
        <v>8.926666666666668</v>
      </c>
      <c r="I38" s="38" t="n">
        <v>9.564285714285715</v>
      </c>
      <c r="J38" s="38" t="n">
        <v>10.3</v>
      </c>
      <c r="K38" s="38" t="n">
        <v>11.15833333333333</v>
      </c>
      <c r="L38" s="38" t="n">
        <v>12.17272727272727</v>
      </c>
      <c r="M38" s="38" t="n">
        <v>13.39</v>
      </c>
      <c r="N38" s="38" t="n">
        <v>14.87777777777778</v>
      </c>
      <c r="O38" s="38" t="n">
        <v>16.7375</v>
      </c>
      <c r="P38" s="38" t="n">
        <v>19.12857142857143</v>
      </c>
      <c r="Q38" s="38" t="n">
        <v>22.31666666666667</v>
      </c>
      <c r="R38" s="38" t="n">
        <v>26.78</v>
      </c>
      <c r="S38" s="38" t="n">
        <v>33.475</v>
      </c>
      <c r="T38" s="38" t="n">
        <v>44.63333333333334</v>
      </c>
      <c r="U38" s="38" t="n">
        <v>66.95</v>
      </c>
      <c r="V38" s="38" t="n">
        <v>133.9</v>
      </c>
      <c r="W38" s="38" t="n">
        <v>14.5</v>
      </c>
      <c r="X38" s="38" t="n">
        <v>15.26315789473684</v>
      </c>
      <c r="Y38" s="38" t="n">
        <v>16.11111111111111</v>
      </c>
      <c r="Z38" s="38" t="n">
        <v>17.05882352941176</v>
      </c>
      <c r="AA38" s="38" t="n">
        <v>18.125</v>
      </c>
      <c r="AB38" s="38" t="n">
        <v>19.33333333333333</v>
      </c>
      <c r="AC38" s="38" t="n">
        <v>20.71428571428572</v>
      </c>
      <c r="AD38" s="38" t="n">
        <v>22.30769230769231</v>
      </c>
      <c r="AE38" s="38" t="n">
        <v>24.16666666666667</v>
      </c>
      <c r="AF38" s="38" t="n">
        <v>26.36363636363636</v>
      </c>
      <c r="AG38" s="38" t="n">
        <v>29</v>
      </c>
      <c r="AH38" s="38" t="n">
        <v>32.22222222222221</v>
      </c>
      <c r="AI38" s="38" t="n">
        <v>36.25</v>
      </c>
      <c r="AJ38" s="38" t="n">
        <v>41.42857142857142</v>
      </c>
      <c r="AK38" s="38" t="n">
        <v>48.33333333333334</v>
      </c>
      <c r="AL38" s="38" t="n">
        <v>57.99999999999999</v>
      </c>
      <c r="AM38" s="38" t="n">
        <v>72.5</v>
      </c>
      <c r="AN38" s="38" t="n">
        <v>96.66666666666664</v>
      </c>
      <c r="AO38" s="38" t="n">
        <v>145</v>
      </c>
      <c r="AP38" s="38" t="n">
        <v>289.9999999999999</v>
      </c>
    </row>
    <row r="39">
      <c r="A39" s="5" t="inlineStr">
        <is>
          <t>P33</t>
        </is>
      </c>
      <c r="B39" s="5" t="inlineStr">
        <is>
          <t>Karitel</t>
        </is>
      </c>
      <c r="C39" s="38" t="n">
        <v>6</v>
      </c>
      <c r="D39" s="38" t="n">
        <v>6.315789473684211</v>
      </c>
      <c r="E39" s="38" t="n">
        <v>6.666666666666666</v>
      </c>
      <c r="F39" s="38" t="n">
        <v>7.058823529411764</v>
      </c>
      <c r="G39" s="38" t="n">
        <v>7.5</v>
      </c>
      <c r="H39" s="38" t="n">
        <v>8</v>
      </c>
      <c r="I39" s="38" t="n">
        <v>8.571428571428571</v>
      </c>
      <c r="J39" s="38" t="n">
        <v>9.23076923076923</v>
      </c>
      <c r="K39" s="38" t="n">
        <v>10</v>
      </c>
      <c r="L39" s="38" t="n">
        <v>10.90909090909091</v>
      </c>
      <c r="M39" s="38" t="n">
        <v>12</v>
      </c>
      <c r="N39" s="38" t="n">
        <v>13.33333333333333</v>
      </c>
      <c r="O39" s="38" t="n">
        <v>15</v>
      </c>
      <c r="P39" s="38" t="n">
        <v>17.14285714285714</v>
      </c>
      <c r="Q39" s="38" t="n">
        <v>20</v>
      </c>
      <c r="R39" s="38" t="n">
        <v>24</v>
      </c>
      <c r="S39" s="38" t="n">
        <v>30</v>
      </c>
      <c r="T39" s="38" t="n">
        <v>40</v>
      </c>
      <c r="U39" s="38" t="n">
        <v>60</v>
      </c>
      <c r="V39" s="38" t="n">
        <v>120</v>
      </c>
      <c r="W39" s="38" t="n">
        <v>14.18</v>
      </c>
      <c r="X39" s="38" t="n">
        <v>14.92631578947369</v>
      </c>
      <c r="Y39" s="38" t="n">
        <v>15.75555555555555</v>
      </c>
      <c r="Z39" s="38" t="n">
        <v>16.68235294117647</v>
      </c>
      <c r="AA39" s="38" t="n">
        <v>17.725</v>
      </c>
      <c r="AB39" s="38" t="n">
        <v>18.90666666666667</v>
      </c>
      <c r="AC39" s="38" t="n">
        <v>20.25714285714286</v>
      </c>
      <c r="AD39" s="38" t="n">
        <v>21.81538461538461</v>
      </c>
      <c r="AE39" s="38" t="n">
        <v>23.63333333333333</v>
      </c>
      <c r="AF39" s="38" t="n">
        <v>25.78181818181818</v>
      </c>
      <c r="AG39" s="38" t="n">
        <v>28.36</v>
      </c>
      <c r="AH39" s="38" t="n">
        <v>31.51111111111111</v>
      </c>
      <c r="AI39" s="38" t="n">
        <v>35.45</v>
      </c>
      <c r="AJ39" s="38" t="n">
        <v>40.51428571428572</v>
      </c>
      <c r="AK39" s="38" t="n">
        <v>47.26666666666667</v>
      </c>
      <c r="AL39" s="38" t="n">
        <v>56.72000000000001</v>
      </c>
      <c r="AM39" s="38" t="n">
        <v>70.89999999999999</v>
      </c>
      <c r="AN39" s="38" t="n">
        <v>94.53333333333335</v>
      </c>
      <c r="AO39" s="38" t="n">
        <v>141.8</v>
      </c>
      <c r="AP39" s="38" t="n">
        <v>283.6</v>
      </c>
    </row>
    <row r="40">
      <c r="A40" s="5" t="inlineStr">
        <is>
          <t>P34</t>
        </is>
      </c>
      <c r="B40" s="5" t="inlineStr">
        <is>
          <t>Karitel</t>
        </is>
      </c>
      <c r="C40" s="38" t="n">
        <v>6.72</v>
      </c>
      <c r="D40" s="38" t="n">
        <v>7.073684210526316</v>
      </c>
      <c r="E40" s="38" t="n">
        <v>7.466666666666666</v>
      </c>
      <c r="F40" s="38" t="n">
        <v>7.905882352941177</v>
      </c>
      <c r="G40" s="38" t="n">
        <v>8.399999999999999</v>
      </c>
      <c r="H40" s="38" t="n">
        <v>8.959999999999999</v>
      </c>
      <c r="I40" s="38" t="n">
        <v>9.6</v>
      </c>
      <c r="J40" s="38" t="n">
        <v>10.33846153846154</v>
      </c>
      <c r="K40" s="38" t="n">
        <v>11.2</v>
      </c>
      <c r="L40" s="38" t="n">
        <v>12.21818181818182</v>
      </c>
      <c r="M40" s="38" t="n">
        <v>13.44</v>
      </c>
      <c r="N40" s="38" t="n">
        <v>14.93333333333333</v>
      </c>
      <c r="O40" s="38" t="n">
        <v>16.8</v>
      </c>
      <c r="P40" s="38" t="n">
        <v>19.2</v>
      </c>
      <c r="Q40" s="38" t="n">
        <v>22.4</v>
      </c>
      <c r="R40" s="38" t="n">
        <v>26.88</v>
      </c>
      <c r="S40" s="38" t="n">
        <v>33.59999999999999</v>
      </c>
      <c r="T40" s="38" t="n">
        <v>44.8</v>
      </c>
      <c r="U40" s="38" t="n">
        <v>67.19999999999999</v>
      </c>
      <c r="V40" s="38" t="n">
        <v>134.4</v>
      </c>
      <c r="W40" s="38" t="n">
        <v>15.11</v>
      </c>
      <c r="X40" s="38" t="n">
        <v>15.90526315789474</v>
      </c>
      <c r="Y40" s="38" t="n">
        <v>16.78888888888889</v>
      </c>
      <c r="Z40" s="38" t="n">
        <v>17.77647058823529</v>
      </c>
      <c r="AA40" s="38" t="n">
        <v>18.8875</v>
      </c>
      <c r="AB40" s="38" t="n">
        <v>20.14666666666666</v>
      </c>
      <c r="AC40" s="38" t="n">
        <v>21.58571428571429</v>
      </c>
      <c r="AD40" s="38" t="n">
        <v>23.24615384615385</v>
      </c>
      <c r="AE40" s="38" t="n">
        <v>25.18333333333333</v>
      </c>
      <c r="AF40" s="38" t="n">
        <v>27.47272727272727</v>
      </c>
      <c r="AG40" s="38" t="n">
        <v>30.22</v>
      </c>
      <c r="AH40" s="38" t="n">
        <v>33.57777777777778</v>
      </c>
      <c r="AI40" s="38" t="n">
        <v>37.775</v>
      </c>
      <c r="AJ40" s="38" t="n">
        <v>43.17142857142857</v>
      </c>
      <c r="AK40" s="38" t="n">
        <v>50.36666666666667</v>
      </c>
      <c r="AL40" s="38" t="n">
        <v>60.44</v>
      </c>
      <c r="AM40" s="38" t="n">
        <v>75.55</v>
      </c>
      <c r="AN40" s="38" t="n">
        <v>100.7333333333333</v>
      </c>
      <c r="AO40" s="38" t="n">
        <v>151.1</v>
      </c>
      <c r="AP40" s="38" t="n">
        <v>302.2</v>
      </c>
    </row>
    <row r="41">
      <c r="A41" s="5" t="inlineStr">
        <is>
          <t>P35</t>
        </is>
      </c>
      <c r="B41" s="5" t="inlineStr">
        <is>
          <t>Karitel</t>
        </is>
      </c>
      <c r="C41" s="38" t="n">
        <v>7.08</v>
      </c>
      <c r="D41" s="38" t="n">
        <v>7.452631578947368</v>
      </c>
      <c r="E41" s="38" t="n">
        <v>7.866666666666666</v>
      </c>
      <c r="F41" s="38" t="n">
        <v>8.329411764705883</v>
      </c>
      <c r="G41" s="38" t="n">
        <v>8.85</v>
      </c>
      <c r="H41" s="38" t="n">
        <v>9.44</v>
      </c>
      <c r="I41" s="38" t="n">
        <v>10.11428571428572</v>
      </c>
      <c r="J41" s="38" t="n">
        <v>10.89230769230769</v>
      </c>
      <c r="K41" s="38" t="n">
        <v>11.8</v>
      </c>
      <c r="L41" s="38" t="n">
        <v>12.87272727272727</v>
      </c>
      <c r="M41" s="38" t="n">
        <v>14.16</v>
      </c>
      <c r="N41" s="38" t="n">
        <v>15.73333333333333</v>
      </c>
      <c r="O41" s="38" t="n">
        <v>17.7</v>
      </c>
      <c r="P41" s="38" t="n">
        <v>20.22857142857143</v>
      </c>
      <c r="Q41" s="38" t="n">
        <v>23.6</v>
      </c>
      <c r="R41" s="38" t="n">
        <v>28.32</v>
      </c>
      <c r="S41" s="38" t="n">
        <v>35.4</v>
      </c>
      <c r="T41" s="38" t="n">
        <v>47.2</v>
      </c>
      <c r="U41" s="38" t="n">
        <v>70.8</v>
      </c>
      <c r="V41" s="38" t="n">
        <v>141.6</v>
      </c>
      <c r="W41" s="38" t="n">
        <v>15.58</v>
      </c>
      <c r="X41" s="38" t="n">
        <v>16.4</v>
      </c>
      <c r="Y41" s="38" t="n">
        <v>17.31111111111111</v>
      </c>
      <c r="Z41" s="38" t="n">
        <v>18.32941176470588</v>
      </c>
      <c r="AA41" s="38" t="n">
        <v>19.475</v>
      </c>
      <c r="AB41" s="38" t="n">
        <v>20.77333333333333</v>
      </c>
      <c r="AC41" s="38" t="n">
        <v>22.25714285714286</v>
      </c>
      <c r="AD41" s="38" t="n">
        <v>23.96923076923077</v>
      </c>
      <c r="AE41" s="38" t="n">
        <v>25.96666666666667</v>
      </c>
      <c r="AF41" s="38" t="n">
        <v>28.32727272727272</v>
      </c>
      <c r="AG41" s="38" t="n">
        <v>31.16</v>
      </c>
      <c r="AH41" s="38" t="n">
        <v>34.62222222222222</v>
      </c>
      <c r="AI41" s="38" t="n">
        <v>38.95</v>
      </c>
      <c r="AJ41" s="38" t="n">
        <v>44.51428571428572</v>
      </c>
      <c r="AK41" s="38" t="n">
        <v>51.93333333333334</v>
      </c>
      <c r="AL41" s="38" t="n">
        <v>62.32</v>
      </c>
      <c r="AM41" s="38" t="n">
        <v>77.89999999999999</v>
      </c>
      <c r="AN41" s="38" t="n">
        <v>103.8666666666667</v>
      </c>
      <c r="AO41" s="38" t="n">
        <v>155.8</v>
      </c>
      <c r="AP41" s="38" t="n">
        <v>311.6</v>
      </c>
    </row>
    <row r="42">
      <c r="A42" s="5" t="inlineStr">
        <is>
          <t>P36</t>
        </is>
      </c>
      <c r="B42" s="5" t="inlineStr">
        <is>
          <t>Karitel</t>
        </is>
      </c>
      <c r="C42" s="38" t="n">
        <v>7.14</v>
      </c>
      <c r="D42" s="38" t="n">
        <v>7.515789473684211</v>
      </c>
      <c r="E42" s="38" t="n">
        <v>7.933333333333333</v>
      </c>
      <c r="F42" s="38" t="n">
        <v>8.4</v>
      </c>
      <c r="G42" s="38" t="n">
        <v>8.924999999999999</v>
      </c>
      <c r="H42" s="38" t="n">
        <v>9.52</v>
      </c>
      <c r="I42" s="38" t="n">
        <v>10.2</v>
      </c>
      <c r="J42" s="38" t="n">
        <v>10.98461538461538</v>
      </c>
      <c r="K42" s="38" t="n">
        <v>11.9</v>
      </c>
      <c r="L42" s="38" t="n">
        <v>12.98181818181818</v>
      </c>
      <c r="M42" s="38" t="n">
        <v>14.28</v>
      </c>
      <c r="N42" s="38" t="n">
        <v>15.86666666666667</v>
      </c>
      <c r="O42" s="38" t="n">
        <v>17.85</v>
      </c>
      <c r="P42" s="38" t="n">
        <v>20.4</v>
      </c>
      <c r="Q42" s="38" t="n">
        <v>23.8</v>
      </c>
      <c r="R42" s="38" t="n">
        <v>28.56</v>
      </c>
      <c r="S42" s="38" t="n">
        <v>35.7</v>
      </c>
      <c r="T42" s="38" t="n">
        <v>47.6</v>
      </c>
      <c r="U42" s="38" t="n">
        <v>71.39999999999999</v>
      </c>
      <c r="V42" s="38" t="n">
        <v>142.8</v>
      </c>
      <c r="W42" s="38" t="n">
        <v>15.58</v>
      </c>
      <c r="X42" s="38" t="n">
        <v>16.4</v>
      </c>
      <c r="Y42" s="38" t="n">
        <v>17.31111111111111</v>
      </c>
      <c r="Z42" s="38" t="n">
        <v>18.32941176470588</v>
      </c>
      <c r="AA42" s="38" t="n">
        <v>19.475</v>
      </c>
      <c r="AB42" s="38" t="n">
        <v>20.77333333333333</v>
      </c>
      <c r="AC42" s="38" t="n">
        <v>22.25714285714286</v>
      </c>
      <c r="AD42" s="38" t="n">
        <v>23.96923076923077</v>
      </c>
      <c r="AE42" s="38" t="n">
        <v>25.96666666666667</v>
      </c>
      <c r="AF42" s="38" t="n">
        <v>28.32727272727272</v>
      </c>
      <c r="AG42" s="38" t="n">
        <v>31.16</v>
      </c>
      <c r="AH42" s="38" t="n">
        <v>34.62222222222222</v>
      </c>
      <c r="AI42" s="38" t="n">
        <v>38.95</v>
      </c>
      <c r="AJ42" s="38" t="n">
        <v>44.51428571428572</v>
      </c>
      <c r="AK42" s="38" t="n">
        <v>51.93333333333334</v>
      </c>
      <c r="AL42" s="38" t="n">
        <v>62.32</v>
      </c>
      <c r="AM42" s="38" t="n">
        <v>77.89999999999999</v>
      </c>
      <c r="AN42" s="38" t="n">
        <v>103.8666666666667</v>
      </c>
      <c r="AO42" s="38" t="n">
        <v>155.8</v>
      </c>
      <c r="AP42" s="38" t="n">
        <v>311.6</v>
      </c>
    </row>
    <row r="43">
      <c r="A43" s="5" t="inlineStr">
        <is>
          <t>P37</t>
        </is>
      </c>
      <c r="B43" s="5" t="inlineStr">
        <is>
          <t>Karitel</t>
        </is>
      </c>
      <c r="C43" s="38" t="n">
        <v>8.640000000000001</v>
      </c>
      <c r="D43" s="38" t="n">
        <v>9.094736842105265</v>
      </c>
      <c r="E43" s="38" t="n">
        <v>9.6</v>
      </c>
      <c r="F43" s="38" t="n">
        <v>10.16470588235294</v>
      </c>
      <c r="G43" s="38" t="n">
        <v>10.8</v>
      </c>
      <c r="H43" s="38" t="n">
        <v>12.12631578947369</v>
      </c>
      <c r="I43" s="38" t="n">
        <v>12.34285714285715</v>
      </c>
      <c r="J43" s="38" t="n">
        <v>13.29230769230769</v>
      </c>
      <c r="K43" s="38" t="n">
        <v>14.4</v>
      </c>
      <c r="L43" s="38" t="n">
        <v>15.70909090909091</v>
      </c>
      <c r="M43" s="38" t="n">
        <v>17.28</v>
      </c>
      <c r="N43" s="38" t="n">
        <v>19.2</v>
      </c>
      <c r="O43" s="38" t="n">
        <v>21.6</v>
      </c>
      <c r="P43" s="38" t="n">
        <v>24.68571428571429</v>
      </c>
      <c r="Q43" s="38" t="n">
        <v>28.8</v>
      </c>
      <c r="R43" s="38" t="n">
        <v>34.56</v>
      </c>
      <c r="S43" s="38" t="n">
        <v>43.2</v>
      </c>
      <c r="T43" s="38" t="n">
        <v>57.60000000000001</v>
      </c>
      <c r="U43" s="38" t="n">
        <v>86.40000000000001</v>
      </c>
      <c r="V43" s="38" t="n">
        <v>172.8</v>
      </c>
      <c r="W43" s="38" t="n">
        <v>10.61</v>
      </c>
      <c r="X43" s="38" t="n">
        <v>11.16842105263158</v>
      </c>
      <c r="Y43" s="38" t="n">
        <v>11.78888888888889</v>
      </c>
      <c r="Z43" s="38" t="n">
        <v>12.48235294117647</v>
      </c>
      <c r="AA43" s="38" t="n">
        <v>13.2625</v>
      </c>
      <c r="AB43" s="38" t="n">
        <v>14.14666666666667</v>
      </c>
      <c r="AC43" s="38" t="n">
        <v>15.15714285714286</v>
      </c>
      <c r="AD43" s="38" t="n">
        <v>16.32307692307692</v>
      </c>
      <c r="AE43" s="38" t="n">
        <v>17.68333333333333</v>
      </c>
      <c r="AF43" s="38" t="n">
        <v>19.29090909090909</v>
      </c>
      <c r="AG43" s="38" t="n">
        <v>21.22</v>
      </c>
      <c r="AH43" s="38" t="n">
        <v>23.57777777777778</v>
      </c>
      <c r="AI43" s="38" t="n">
        <v>26.525</v>
      </c>
      <c r="AJ43" s="38" t="n">
        <v>30.31428571428571</v>
      </c>
      <c r="AK43" s="38" t="n">
        <v>35.36666666666667</v>
      </c>
      <c r="AL43" s="38" t="n">
        <v>42.44</v>
      </c>
      <c r="AM43" s="38" t="n">
        <v>53.05</v>
      </c>
      <c r="AN43" s="38" t="n">
        <v>70.73333333333333</v>
      </c>
      <c r="AO43" s="38" t="n">
        <v>106.1</v>
      </c>
      <c r="AP43" s="38" t="n">
        <v>212.2</v>
      </c>
    </row>
    <row r="44">
      <c r="A44" s="5" t="inlineStr">
        <is>
          <t>P38</t>
        </is>
      </c>
      <c r="B44" s="5" t="inlineStr">
        <is>
          <t>Karitel</t>
        </is>
      </c>
      <c r="C44" s="38" t="n">
        <v>7.91</v>
      </c>
      <c r="D44" s="38" t="n">
        <v>8.326315789473684</v>
      </c>
      <c r="E44" s="38" t="n">
        <v>8.78888888888889</v>
      </c>
      <c r="F44" s="38" t="n">
        <v>9.305882352941177</v>
      </c>
      <c r="G44" s="38" t="n">
        <v>9.887499999999999</v>
      </c>
      <c r="H44" s="38" t="n">
        <v>10.54666666666667</v>
      </c>
      <c r="I44" s="38" t="n">
        <v>11.3</v>
      </c>
      <c r="J44" s="38" t="n">
        <v>12.16923076923077</v>
      </c>
      <c r="K44" s="38" t="n">
        <v>13.18333333333333</v>
      </c>
      <c r="L44" s="38" t="n">
        <v>14.38181818181818</v>
      </c>
      <c r="M44" s="38" t="n">
        <v>15.82</v>
      </c>
      <c r="N44" s="38" t="n">
        <v>17.57777777777778</v>
      </c>
      <c r="O44" s="38" t="n">
        <v>19.775</v>
      </c>
      <c r="P44" s="38" t="n">
        <v>22.6</v>
      </c>
      <c r="Q44" s="38" t="n">
        <v>26.36666666666667</v>
      </c>
      <c r="R44" s="38" t="n">
        <v>31.64</v>
      </c>
      <c r="S44" s="38" t="n">
        <v>39.55</v>
      </c>
      <c r="T44" s="38" t="n">
        <v>52.73333333333333</v>
      </c>
      <c r="U44" s="38" t="n">
        <v>79.09999999999999</v>
      </c>
      <c r="V44" s="38" t="n">
        <v>158.2</v>
      </c>
      <c r="W44" s="38" t="n">
        <v>14.5</v>
      </c>
      <c r="X44" s="38" t="n">
        <v>15.26315789473684</v>
      </c>
      <c r="Y44" s="38" t="n">
        <v>16.11111111111111</v>
      </c>
      <c r="Z44" s="38" t="n">
        <v>17.05882352941176</v>
      </c>
      <c r="AA44" s="38" t="n">
        <v>18.125</v>
      </c>
      <c r="AB44" s="38" t="n">
        <v>19.33333333333333</v>
      </c>
      <c r="AC44" s="38" t="n">
        <v>20.71428571428572</v>
      </c>
      <c r="AD44" s="38" t="n">
        <v>22.30769230769231</v>
      </c>
      <c r="AE44" s="38" t="n">
        <v>24.16666666666667</v>
      </c>
      <c r="AF44" s="38" t="n">
        <v>26.36363636363636</v>
      </c>
      <c r="AG44" s="38" t="n">
        <v>29</v>
      </c>
      <c r="AH44" s="38" t="n">
        <v>32.22222222222221</v>
      </c>
      <c r="AI44" s="38" t="n">
        <v>36.25</v>
      </c>
      <c r="AJ44" s="38" t="n">
        <v>41.42857142857142</v>
      </c>
      <c r="AK44" s="38" t="n">
        <v>48.33333333333334</v>
      </c>
      <c r="AL44" s="38" t="n">
        <v>57.99999999999999</v>
      </c>
      <c r="AM44" s="38" t="n">
        <v>72.5</v>
      </c>
      <c r="AN44" s="38" t="n">
        <v>96.66666666666664</v>
      </c>
      <c r="AO44" s="38" t="n">
        <v>145</v>
      </c>
      <c r="AP44" s="38" t="n">
        <v>289.9999999999999</v>
      </c>
    </row>
    <row r="45">
      <c r="A45" s="5" t="inlineStr">
        <is>
          <t>P39</t>
        </is>
      </c>
      <c r="B45" s="5" t="inlineStr">
        <is>
          <t>Karitel</t>
        </is>
      </c>
      <c r="C45" s="38" t="n">
        <v>5.76</v>
      </c>
      <c r="D45" s="38" t="n">
        <v>6.063157894736842</v>
      </c>
      <c r="E45" s="38" t="n">
        <v>6.399999999999999</v>
      </c>
      <c r="F45" s="38" t="n">
        <v>6.776470588235294</v>
      </c>
      <c r="G45" s="38" t="n">
        <v>7.199999999999999</v>
      </c>
      <c r="H45" s="38" t="n">
        <v>7.68</v>
      </c>
      <c r="I45" s="38" t="n">
        <v>8.22857142857143</v>
      </c>
      <c r="J45" s="38" t="n">
        <v>8.86153846153846</v>
      </c>
      <c r="K45" s="38" t="n">
        <v>9.6</v>
      </c>
      <c r="L45" s="38" t="n">
        <v>10.47272727272727</v>
      </c>
      <c r="M45" s="38" t="n">
        <v>11.52</v>
      </c>
      <c r="N45" s="38" t="n">
        <v>12.8</v>
      </c>
      <c r="O45" s="38" t="n">
        <v>14.4</v>
      </c>
      <c r="P45" s="38" t="n">
        <v>16.45714285714286</v>
      </c>
      <c r="Q45" s="38" t="n">
        <v>19.2</v>
      </c>
      <c r="R45" s="38" t="n">
        <v>23.04</v>
      </c>
      <c r="S45" s="38" t="n">
        <v>28.8</v>
      </c>
      <c r="T45" s="38" t="n">
        <v>38.4</v>
      </c>
      <c r="U45" s="38" t="n">
        <v>57.59999999999999</v>
      </c>
      <c r="V45" s="38" t="n">
        <v>115.2</v>
      </c>
      <c r="W45" s="38" t="n">
        <v>12.62</v>
      </c>
      <c r="X45" s="38" t="n">
        <v>13.28421052631579</v>
      </c>
      <c r="Y45" s="38" t="n">
        <v>14.02222222222222</v>
      </c>
      <c r="Z45" s="38" t="n">
        <v>14.84705882352941</v>
      </c>
      <c r="AA45" s="38" t="n">
        <v>15.775</v>
      </c>
      <c r="AB45" s="38" t="n">
        <v>16.82666666666666</v>
      </c>
      <c r="AC45" s="38" t="n">
        <v>18.02857142857143</v>
      </c>
      <c r="AD45" s="38" t="n">
        <v>19.41538461538461</v>
      </c>
      <c r="AE45" s="38" t="n">
        <v>21.03333333333333</v>
      </c>
      <c r="AF45" s="38" t="n">
        <v>22.94545454545454</v>
      </c>
      <c r="AG45" s="38" t="n">
        <v>25.24</v>
      </c>
      <c r="AH45" s="38" t="n">
        <v>28.04444444444444</v>
      </c>
      <c r="AI45" s="38" t="n">
        <v>31.55</v>
      </c>
      <c r="AJ45" s="38" t="n">
        <v>36.05714285714286</v>
      </c>
      <c r="AK45" s="38" t="n">
        <v>42.06666666666666</v>
      </c>
      <c r="AL45" s="38" t="n">
        <v>50.48</v>
      </c>
      <c r="AM45" s="38" t="n">
        <v>63.09999999999999</v>
      </c>
      <c r="AN45" s="38" t="n">
        <v>84.13333333333333</v>
      </c>
      <c r="AO45" s="38" t="n">
        <v>126.2</v>
      </c>
      <c r="AP45" s="38" t="n">
        <v>252.4</v>
      </c>
    </row>
    <row r="46">
      <c r="A46" s="5" t="inlineStr">
        <is>
          <t>P40</t>
        </is>
      </c>
      <c r="B46" s="5" t="inlineStr">
        <is>
          <t>Karitel</t>
        </is>
      </c>
      <c r="C46" s="38" t="n">
        <v>7</v>
      </c>
      <c r="D46" s="38" t="n">
        <v>7.36842105263158</v>
      </c>
      <c r="E46" s="38" t="n">
        <v>7.777777777777778</v>
      </c>
      <c r="F46" s="38" t="n">
        <v>8.23529411764706</v>
      </c>
      <c r="G46" s="38" t="n">
        <v>8.75</v>
      </c>
      <c r="H46" s="38" t="n">
        <v>9.333333333333334</v>
      </c>
      <c r="I46" s="38" t="n">
        <v>10</v>
      </c>
      <c r="J46" s="38" t="n">
        <v>10.76923076923077</v>
      </c>
      <c r="K46" s="38" t="n">
        <v>11.66666666666667</v>
      </c>
      <c r="L46" s="38" t="n">
        <v>12.72727272727273</v>
      </c>
      <c r="M46" s="38" t="n">
        <v>14</v>
      </c>
      <c r="N46" s="38" t="n">
        <v>15.55555555555556</v>
      </c>
      <c r="O46" s="38" t="n">
        <v>17.5</v>
      </c>
      <c r="P46" s="38" t="n">
        <v>20</v>
      </c>
      <c r="Q46" s="38" t="n">
        <v>23.33333333333334</v>
      </c>
      <c r="R46" s="38" t="n">
        <v>28</v>
      </c>
      <c r="S46" s="38" t="n">
        <v>35</v>
      </c>
      <c r="T46" s="38" t="n">
        <v>46.66666666666667</v>
      </c>
      <c r="U46" s="38" t="n">
        <v>70</v>
      </c>
      <c r="V46" s="38" t="n">
        <v>140</v>
      </c>
      <c r="W46" s="38" t="n">
        <v>15.58</v>
      </c>
      <c r="X46" s="38" t="n">
        <v>16.4</v>
      </c>
      <c r="Y46" s="38" t="n">
        <v>17.31111111111111</v>
      </c>
      <c r="Z46" s="38" t="n">
        <v>18.32941176470588</v>
      </c>
      <c r="AA46" s="38" t="n">
        <v>19.475</v>
      </c>
      <c r="AB46" s="38" t="n">
        <v>20.77333333333333</v>
      </c>
      <c r="AC46" s="38" t="n">
        <v>22.25714285714286</v>
      </c>
      <c r="AD46" s="38" t="n">
        <v>23.96923076923077</v>
      </c>
      <c r="AE46" s="38" t="n">
        <v>25.96666666666667</v>
      </c>
      <c r="AF46" s="38" t="n">
        <v>28.32727272727272</v>
      </c>
      <c r="AG46" s="38" t="n">
        <v>31.16</v>
      </c>
      <c r="AH46" s="38" t="n">
        <v>34.62222222222222</v>
      </c>
      <c r="AI46" s="38" t="n">
        <v>38.95</v>
      </c>
      <c r="AJ46" s="38" t="n">
        <v>44.51428571428572</v>
      </c>
      <c r="AK46" s="38" t="n">
        <v>51.93333333333334</v>
      </c>
      <c r="AL46" s="38" t="n">
        <v>62.32</v>
      </c>
      <c r="AM46" s="38" t="n">
        <v>77.89999999999999</v>
      </c>
      <c r="AN46" s="38" t="n">
        <v>103.8666666666667</v>
      </c>
      <c r="AO46" s="38" t="n">
        <v>155.8</v>
      </c>
      <c r="AP46" s="38" t="n">
        <v>311.6</v>
      </c>
    </row>
    <row r="47">
      <c r="A47" s="5" t="inlineStr">
        <is>
          <t>P41</t>
        </is>
      </c>
      <c r="B47" s="5" t="inlineStr">
        <is>
          <t>Karitel</t>
        </is>
      </c>
      <c r="C47" s="38" t="n">
        <v>6.51</v>
      </c>
      <c r="D47" s="38" t="n">
        <v>6.852631578947369</v>
      </c>
      <c r="E47" s="38" t="n">
        <v>7.233333333333333</v>
      </c>
      <c r="F47" s="38" t="n">
        <v>7.658823529411765</v>
      </c>
      <c r="G47" s="38" t="n">
        <v>8.137499999999999</v>
      </c>
      <c r="H47" s="38" t="n">
        <v>8.68</v>
      </c>
      <c r="I47" s="38" t="n">
        <v>9.300000000000001</v>
      </c>
      <c r="J47" s="38" t="n">
        <v>10.01538461538462</v>
      </c>
      <c r="K47" s="38" t="n">
        <v>10.85</v>
      </c>
      <c r="L47" s="38" t="n">
        <v>11.83636363636363</v>
      </c>
      <c r="M47" s="38" t="n">
        <v>13.02</v>
      </c>
      <c r="N47" s="38" t="n">
        <v>14.46666666666667</v>
      </c>
      <c r="O47" s="38" t="n">
        <v>16.275</v>
      </c>
      <c r="P47" s="38" t="n">
        <v>18.6</v>
      </c>
      <c r="Q47" s="38" t="n">
        <v>21.7</v>
      </c>
      <c r="R47" s="38" t="n">
        <v>26.04</v>
      </c>
      <c r="S47" s="38" t="n">
        <v>32.55</v>
      </c>
      <c r="T47" s="38" t="n">
        <v>43.4</v>
      </c>
      <c r="U47" s="38" t="n">
        <v>65.09999999999999</v>
      </c>
      <c r="V47" s="38" t="n">
        <v>130.2</v>
      </c>
      <c r="W47" s="38" t="n">
        <v>14.92</v>
      </c>
      <c r="X47" s="38" t="n">
        <v>15.70526315789474</v>
      </c>
      <c r="Y47" s="38" t="n">
        <v>16.57777777777778</v>
      </c>
      <c r="Z47" s="38" t="n">
        <v>17.55294117647059</v>
      </c>
      <c r="AA47" s="38" t="n">
        <v>18.65</v>
      </c>
      <c r="AB47" s="38" t="n">
        <v>19.89333333333333</v>
      </c>
      <c r="AC47" s="38" t="n">
        <v>21.31428571428572</v>
      </c>
      <c r="AD47" s="38" t="n">
        <v>22.95384615384615</v>
      </c>
      <c r="AE47" s="38" t="n">
        <v>24.86666666666667</v>
      </c>
      <c r="AF47" s="38" t="n">
        <v>27.12727272727273</v>
      </c>
      <c r="AG47" s="38" t="n">
        <v>29.84</v>
      </c>
      <c r="AH47" s="38" t="n">
        <v>33.15555555555555</v>
      </c>
      <c r="AI47" s="38" t="n">
        <v>37.3</v>
      </c>
      <c r="AJ47" s="38" t="n">
        <v>42.62857142857143</v>
      </c>
      <c r="AK47" s="38" t="n">
        <v>49.73333333333333</v>
      </c>
      <c r="AL47" s="38" t="n">
        <v>59.67999999999999</v>
      </c>
      <c r="AM47" s="38" t="n">
        <v>74.59999999999999</v>
      </c>
      <c r="AN47" s="38" t="n">
        <v>99.46666666666665</v>
      </c>
      <c r="AO47" s="38" t="n">
        <v>149.2</v>
      </c>
      <c r="AP47" s="38" t="n">
        <v>298.3999999999999</v>
      </c>
    </row>
    <row r="48">
      <c r="A48" s="5" t="inlineStr">
        <is>
          <t>P42</t>
        </is>
      </c>
      <c r="B48" s="5" t="inlineStr">
        <is>
          <t>Karitel</t>
        </is>
      </c>
      <c r="C48" s="38" t="n">
        <v>6</v>
      </c>
      <c r="D48" s="38" t="n">
        <v>6.315789473684211</v>
      </c>
      <c r="E48" s="38" t="n">
        <v>6.666666666666666</v>
      </c>
      <c r="F48" s="38" t="n">
        <v>7.058823529411764</v>
      </c>
      <c r="G48" s="38" t="n">
        <v>7.5</v>
      </c>
      <c r="H48" s="38" t="n">
        <v>8</v>
      </c>
      <c r="I48" s="38" t="n">
        <v>8.571428571428571</v>
      </c>
      <c r="J48" s="38" t="n">
        <v>9.23076923076923</v>
      </c>
      <c r="K48" s="38" t="n">
        <v>10</v>
      </c>
      <c r="L48" s="38" t="n">
        <v>10.90909090909091</v>
      </c>
      <c r="M48" s="38" t="n">
        <v>12</v>
      </c>
      <c r="N48" s="38" t="n">
        <v>13.33333333333333</v>
      </c>
      <c r="O48" s="38" t="n">
        <v>15</v>
      </c>
      <c r="P48" s="38" t="n">
        <v>17.14285714285714</v>
      </c>
      <c r="Q48" s="38" t="n">
        <v>20</v>
      </c>
      <c r="R48" s="38" t="n">
        <v>24</v>
      </c>
      <c r="S48" s="38" t="n">
        <v>30</v>
      </c>
      <c r="T48" s="38" t="n">
        <v>40</v>
      </c>
      <c r="U48" s="38" t="n">
        <v>60</v>
      </c>
      <c r="V48" s="38" t="n">
        <v>120</v>
      </c>
      <c r="W48" s="38" t="n">
        <v>12.62</v>
      </c>
      <c r="X48" s="38" t="n">
        <v>13.28421052631579</v>
      </c>
      <c r="Y48" s="38" t="n">
        <v>14.02222222222222</v>
      </c>
      <c r="Z48" s="38" t="n">
        <v>14.84705882352941</v>
      </c>
      <c r="AA48" s="38" t="n">
        <v>15.775</v>
      </c>
      <c r="AB48" s="38" t="n">
        <v>16.82666666666666</v>
      </c>
      <c r="AC48" s="38" t="n">
        <v>18.02857142857143</v>
      </c>
      <c r="AD48" s="38" t="n">
        <v>19.41538461538461</v>
      </c>
      <c r="AE48" s="38" t="n">
        <v>21.03333333333333</v>
      </c>
      <c r="AF48" s="38" t="n">
        <v>22.94545454545454</v>
      </c>
      <c r="AG48" s="38" t="n">
        <v>25.24</v>
      </c>
      <c r="AH48" s="38" t="n">
        <v>28.04444444444444</v>
      </c>
      <c r="AI48" s="38" t="n">
        <v>31.55</v>
      </c>
      <c r="AJ48" s="38" t="n">
        <v>36.05714285714286</v>
      </c>
      <c r="AK48" s="38" t="n">
        <v>42.06666666666666</v>
      </c>
      <c r="AL48" s="38" t="n">
        <v>50.48</v>
      </c>
      <c r="AM48" s="38" t="n">
        <v>63.09999999999999</v>
      </c>
      <c r="AN48" s="38" t="n">
        <v>84.13333333333333</v>
      </c>
      <c r="AO48" s="38" t="n">
        <v>126.2</v>
      </c>
      <c r="AP48" s="38" t="n">
        <v>252.4</v>
      </c>
    </row>
    <row r="49">
      <c r="A49" s="5" t="inlineStr">
        <is>
          <t>P43</t>
        </is>
      </c>
      <c r="B49" s="5" t="inlineStr">
        <is>
          <t>Karitel</t>
        </is>
      </c>
      <c r="C49" s="38" t="n">
        <v>6.58</v>
      </c>
      <c r="D49" s="38" t="n">
        <v>6.926315789473684</v>
      </c>
      <c r="E49" s="38" t="n">
        <v>7.311111111111111</v>
      </c>
      <c r="F49" s="38" t="n">
        <v>7.741176470588235</v>
      </c>
      <c r="G49" s="38" t="n">
        <v>8.225</v>
      </c>
      <c r="H49" s="38" t="n">
        <v>8.773333333333333</v>
      </c>
      <c r="I49" s="38" t="n">
        <v>9.4</v>
      </c>
      <c r="J49" s="38" t="n">
        <v>10.12307692307692</v>
      </c>
      <c r="K49" s="38" t="n">
        <v>10.96666666666667</v>
      </c>
      <c r="L49" s="38" t="n">
        <v>11.96363636363636</v>
      </c>
      <c r="M49" s="38" t="n">
        <v>13.16</v>
      </c>
      <c r="N49" s="38" t="n">
        <v>14.62222222222222</v>
      </c>
      <c r="O49" s="38" t="n">
        <v>16.45</v>
      </c>
      <c r="P49" s="38" t="n">
        <v>18.8</v>
      </c>
      <c r="Q49" s="38" t="n">
        <v>21.93333333333333</v>
      </c>
      <c r="R49" s="38" t="n">
        <v>26.32</v>
      </c>
      <c r="S49" s="38" t="n">
        <v>32.9</v>
      </c>
      <c r="T49" s="38" t="n">
        <v>43.86666666666667</v>
      </c>
      <c r="U49" s="38" t="n">
        <v>65.8</v>
      </c>
      <c r="V49" s="38" t="n">
        <v>131.6</v>
      </c>
      <c r="W49" s="38" t="n">
        <v>14.92</v>
      </c>
      <c r="X49" s="38" t="n">
        <v>15.70526315789474</v>
      </c>
      <c r="Y49" s="38" t="n">
        <v>16.57777777777778</v>
      </c>
      <c r="Z49" s="38" t="n">
        <v>17.55294117647059</v>
      </c>
      <c r="AA49" s="38" t="n">
        <v>18.65</v>
      </c>
      <c r="AB49" s="38" t="n">
        <v>19.89333333333333</v>
      </c>
      <c r="AC49" s="38" t="n">
        <v>21.31428571428572</v>
      </c>
      <c r="AD49" s="38" t="n">
        <v>22.95384615384615</v>
      </c>
      <c r="AE49" s="38" t="n">
        <v>24.86666666666667</v>
      </c>
      <c r="AF49" s="38" t="n">
        <v>27.12727272727273</v>
      </c>
      <c r="AG49" s="38" t="n">
        <v>29.84</v>
      </c>
      <c r="AH49" s="38" t="n">
        <v>33.15555555555555</v>
      </c>
      <c r="AI49" s="38" t="n">
        <v>37.3</v>
      </c>
      <c r="AJ49" s="38" t="n">
        <v>42.62857142857143</v>
      </c>
      <c r="AK49" s="38" t="n">
        <v>49.73333333333333</v>
      </c>
      <c r="AL49" s="38" t="n">
        <v>59.67999999999999</v>
      </c>
      <c r="AM49" s="38" t="n">
        <v>74.59999999999999</v>
      </c>
      <c r="AN49" s="38" t="n">
        <v>99.46666666666665</v>
      </c>
      <c r="AO49" s="38" t="n">
        <v>149.2</v>
      </c>
      <c r="AP49" s="38" t="n">
        <v>298.3999999999999</v>
      </c>
    </row>
    <row r="50">
      <c r="A50" s="5" t="inlineStr">
        <is>
          <t>P44</t>
        </is>
      </c>
      <c r="B50" s="5" t="inlineStr">
        <is>
          <t>Karitel</t>
        </is>
      </c>
      <c r="C50" s="38" t="n">
        <v>5.8</v>
      </c>
      <c r="D50" s="38" t="n">
        <v>6.105263157894737</v>
      </c>
      <c r="E50" s="38" t="n">
        <v>6.444444444444444</v>
      </c>
      <c r="F50" s="38" t="n">
        <v>6.823529411764706</v>
      </c>
      <c r="G50" s="38" t="n">
        <v>7.249999999999999</v>
      </c>
      <c r="H50" s="38" t="n">
        <v>7.733333333333333</v>
      </c>
      <c r="I50" s="38" t="n">
        <v>8.285714285714286</v>
      </c>
      <c r="J50" s="38" t="n">
        <v>8.923076923076923</v>
      </c>
      <c r="K50" s="38" t="n">
        <v>9.666666666666666</v>
      </c>
      <c r="L50" s="38" t="n">
        <v>10.54545454545454</v>
      </c>
      <c r="M50" s="38" t="n">
        <v>11.6</v>
      </c>
      <c r="N50" s="38" t="n">
        <v>12.88888888888889</v>
      </c>
      <c r="O50" s="38" t="n">
        <v>14.5</v>
      </c>
      <c r="P50" s="38" t="n">
        <v>16.57142857142857</v>
      </c>
      <c r="Q50" s="38" t="n">
        <v>19.33333333333333</v>
      </c>
      <c r="R50" s="38" t="n">
        <v>23.2</v>
      </c>
      <c r="S50" s="38" t="n">
        <v>29</v>
      </c>
      <c r="T50" s="38" t="n">
        <v>38.66666666666666</v>
      </c>
      <c r="U50" s="38" t="n">
        <v>57.99999999999999</v>
      </c>
      <c r="V50" s="38" t="n">
        <v>116</v>
      </c>
      <c r="W50" s="38" t="n">
        <v>11.06</v>
      </c>
      <c r="X50" s="38" t="n">
        <v>11.6421052631579</v>
      </c>
      <c r="Y50" s="38" t="n">
        <v>12.28888888888889</v>
      </c>
      <c r="Z50" s="38" t="n">
        <v>13.01176470588235</v>
      </c>
      <c r="AA50" s="38" t="n">
        <v>13.825</v>
      </c>
      <c r="AB50" s="38" t="n">
        <v>14.74666666666667</v>
      </c>
      <c r="AC50" s="38" t="n">
        <v>15.8</v>
      </c>
      <c r="AD50" s="38" t="n">
        <v>17.01538461538462</v>
      </c>
      <c r="AE50" s="38" t="n">
        <v>18.43333333333333</v>
      </c>
      <c r="AF50" s="38" t="n">
        <v>20.10909090909091</v>
      </c>
      <c r="AG50" s="38" t="n">
        <v>22.12</v>
      </c>
      <c r="AH50" s="38" t="n">
        <v>24.57777777777778</v>
      </c>
      <c r="AI50" s="38" t="n">
        <v>27.65</v>
      </c>
      <c r="AJ50" s="38" t="n">
        <v>31.6</v>
      </c>
      <c r="AK50" s="38" t="n">
        <v>36.86666666666667</v>
      </c>
      <c r="AL50" s="38" t="n">
        <v>44.24</v>
      </c>
      <c r="AM50" s="38" t="n">
        <v>55.3</v>
      </c>
      <c r="AN50" s="38" t="n">
        <v>73.73333333333333</v>
      </c>
      <c r="AO50" s="38" t="n">
        <v>110.6</v>
      </c>
      <c r="AP50" s="38" t="n">
        <v>221.2</v>
      </c>
    </row>
    <row r="51">
      <c r="A51" s="5" t="inlineStr">
        <is>
          <t>P45</t>
        </is>
      </c>
      <c r="B51" s="5" t="inlineStr">
        <is>
          <t>Karitel</t>
        </is>
      </c>
      <c r="C51" s="38" t="n">
        <v>6.49</v>
      </c>
      <c r="D51" s="38" t="n">
        <v>6.831578947368421</v>
      </c>
      <c r="E51" s="38" t="n">
        <v>7.211111111111111</v>
      </c>
      <c r="F51" s="38" t="n">
        <v>7.635294117647059</v>
      </c>
      <c r="G51" s="38" t="n">
        <v>8.112499999999999</v>
      </c>
      <c r="H51" s="38" t="n">
        <v>8.653333333333334</v>
      </c>
      <c r="I51" s="38" t="n">
        <v>9.271428571428572</v>
      </c>
      <c r="J51" s="38" t="n">
        <v>9.984615384615385</v>
      </c>
      <c r="K51" s="38" t="n">
        <v>10.81666666666667</v>
      </c>
      <c r="L51" s="38" t="n">
        <v>11.8</v>
      </c>
      <c r="M51" s="38" t="n">
        <v>12.98</v>
      </c>
      <c r="N51" s="38" t="n">
        <v>14.42222222222222</v>
      </c>
      <c r="O51" s="38" t="n">
        <v>16.225</v>
      </c>
      <c r="P51" s="38" t="n">
        <v>18.54285714285714</v>
      </c>
      <c r="Q51" s="38" t="n">
        <v>21.63333333333334</v>
      </c>
      <c r="R51" s="38" t="n">
        <v>25.96</v>
      </c>
      <c r="S51" s="38" t="n">
        <v>32.45</v>
      </c>
      <c r="T51" s="38" t="n">
        <v>43.26666666666667</v>
      </c>
      <c r="U51" s="38" t="n">
        <v>64.89999999999999</v>
      </c>
      <c r="V51" s="38" t="n">
        <v>129.8</v>
      </c>
      <c r="W51" s="38" t="n">
        <v>14.05</v>
      </c>
      <c r="X51" s="38" t="n">
        <v>14.78947368421053</v>
      </c>
      <c r="Y51" s="38" t="n">
        <v>15.61111111111111</v>
      </c>
      <c r="Z51" s="38" t="n">
        <v>16.52941176470588</v>
      </c>
      <c r="AA51" s="38" t="n">
        <v>17.5625</v>
      </c>
      <c r="AB51" s="38" t="n">
        <v>18.73333333333333</v>
      </c>
      <c r="AC51" s="38" t="n">
        <v>20.07142857142857</v>
      </c>
      <c r="AD51" s="38" t="n">
        <v>21.61538461538462</v>
      </c>
      <c r="AE51" s="38" t="n">
        <v>23.41666666666667</v>
      </c>
      <c r="AF51" s="38" t="n">
        <v>25.54545454545454</v>
      </c>
      <c r="AG51" s="38" t="n">
        <v>28.1</v>
      </c>
      <c r="AH51" s="38" t="n">
        <v>31.22222222222222</v>
      </c>
      <c r="AI51" s="38" t="n">
        <v>35.125</v>
      </c>
      <c r="AJ51" s="38" t="n">
        <v>40.14285714285715</v>
      </c>
      <c r="AK51" s="38" t="n">
        <v>46.83333333333334</v>
      </c>
      <c r="AL51" s="38" t="n">
        <v>56.2</v>
      </c>
      <c r="AM51" s="38" t="n">
        <v>70.25</v>
      </c>
      <c r="AN51" s="38" t="n">
        <v>93.66666666666667</v>
      </c>
      <c r="AO51" s="38" t="n">
        <v>140.5</v>
      </c>
      <c r="AP51" s="38" t="n">
        <v>281</v>
      </c>
    </row>
    <row r="52">
      <c r="A52" s="5" t="inlineStr">
        <is>
          <t>P46</t>
        </is>
      </c>
      <c r="B52" s="5" t="inlineStr">
        <is>
          <t>Karitel</t>
        </is>
      </c>
      <c r="C52" s="38" t="n">
        <v>6.37</v>
      </c>
      <c r="D52" s="38" t="n">
        <v>6.705263157894738</v>
      </c>
      <c r="E52" s="38" t="n">
        <v>7.077777777777778</v>
      </c>
      <c r="F52" s="38" t="n">
        <v>7.494117647058824</v>
      </c>
      <c r="G52" s="38" t="n">
        <v>7.962499999999999</v>
      </c>
      <c r="H52" s="38" t="n">
        <v>8.493333333333334</v>
      </c>
      <c r="I52" s="38" t="n">
        <v>9.100000000000001</v>
      </c>
      <c r="J52" s="38" t="n">
        <v>9.800000000000001</v>
      </c>
      <c r="K52" s="38" t="n">
        <v>10.61666666666667</v>
      </c>
      <c r="L52" s="38" t="n">
        <v>11.58181818181818</v>
      </c>
      <c r="M52" s="38" t="n">
        <v>12.74</v>
      </c>
      <c r="N52" s="38" t="n">
        <v>14.15555555555556</v>
      </c>
      <c r="O52" s="38" t="n">
        <v>15.925</v>
      </c>
      <c r="P52" s="38" t="n">
        <v>18.2</v>
      </c>
      <c r="Q52" s="38" t="n">
        <v>21.23333333333333</v>
      </c>
      <c r="R52" s="38" t="n">
        <v>25.48</v>
      </c>
      <c r="S52" s="38" t="n">
        <v>31.85</v>
      </c>
      <c r="T52" s="38" t="n">
        <v>42.46666666666667</v>
      </c>
      <c r="U52" s="38" t="n">
        <v>63.7</v>
      </c>
      <c r="V52" s="38" t="n">
        <v>127.4</v>
      </c>
      <c r="W52" s="38" t="n">
        <v>16.05</v>
      </c>
      <c r="X52" s="38" t="n">
        <v>16.89473684210526</v>
      </c>
      <c r="Y52" s="38" t="n">
        <v>17.83333333333333</v>
      </c>
      <c r="Z52" s="38" t="n">
        <v>18.88235294117647</v>
      </c>
      <c r="AA52" s="38" t="n">
        <v>20.0625</v>
      </c>
      <c r="AB52" s="38" t="n">
        <v>21.4</v>
      </c>
      <c r="AC52" s="38" t="n">
        <v>22.92857142857143</v>
      </c>
      <c r="AD52" s="38" t="n">
        <v>24.69230769230769</v>
      </c>
      <c r="AE52" s="38" t="n">
        <v>26.75</v>
      </c>
      <c r="AF52" s="38" t="n">
        <v>29.18181818181818</v>
      </c>
      <c r="AG52" s="38" t="n">
        <v>32.1</v>
      </c>
      <c r="AH52" s="38" t="n">
        <v>35.66666666666666</v>
      </c>
      <c r="AI52" s="38" t="n">
        <v>40.125</v>
      </c>
      <c r="AJ52" s="38" t="n">
        <v>45.85714285714286</v>
      </c>
      <c r="AK52" s="38" t="n">
        <v>53.50000000000001</v>
      </c>
      <c r="AL52" s="38" t="n">
        <v>64.2</v>
      </c>
      <c r="AM52" s="38" t="n">
        <v>80.25</v>
      </c>
      <c r="AN52" s="38" t="n">
        <v>107</v>
      </c>
      <c r="AO52" s="38" t="n">
        <v>160.5</v>
      </c>
      <c r="AP52" s="38" t="n">
        <v>321</v>
      </c>
    </row>
    <row r="53">
      <c r="A53" s="5" t="inlineStr">
        <is>
          <t>P47</t>
        </is>
      </c>
      <c r="B53" s="5" t="inlineStr">
        <is>
          <t>Karitel</t>
        </is>
      </c>
      <c r="C53" s="38" t="n">
        <v>7.07</v>
      </c>
      <c r="D53" s="38" t="n">
        <v>7.442105263157895</v>
      </c>
      <c r="E53" s="38" t="n">
        <v>7.855555555555556</v>
      </c>
      <c r="F53" s="38" t="n">
        <v>8.31764705882353</v>
      </c>
      <c r="G53" s="38" t="n">
        <v>8.8375</v>
      </c>
      <c r="H53" s="38" t="n">
        <v>9.426666666666668</v>
      </c>
      <c r="I53" s="38" t="n">
        <v>10.1</v>
      </c>
      <c r="J53" s="38" t="n">
        <v>10.87692307692308</v>
      </c>
      <c r="K53" s="38" t="n">
        <v>11.78333333333333</v>
      </c>
      <c r="L53" s="38" t="n">
        <v>12.85454545454545</v>
      </c>
      <c r="M53" s="38" t="n">
        <v>14.14</v>
      </c>
      <c r="N53" s="38" t="n">
        <v>15.71111111111111</v>
      </c>
      <c r="O53" s="38" t="n">
        <v>17.675</v>
      </c>
      <c r="P53" s="38" t="n">
        <v>20.2</v>
      </c>
      <c r="Q53" s="38" t="n">
        <v>23.56666666666667</v>
      </c>
      <c r="R53" s="38" t="n">
        <v>28.28</v>
      </c>
      <c r="S53" s="38" t="n">
        <v>35.35</v>
      </c>
      <c r="T53" s="38" t="n">
        <v>47.13333333333334</v>
      </c>
      <c r="U53" s="38" t="n">
        <v>70.7</v>
      </c>
      <c r="V53" s="38" t="n">
        <v>141.4</v>
      </c>
      <c r="W53" s="38" t="n">
        <v>16.05</v>
      </c>
      <c r="X53" s="38" t="n">
        <v>16.89473684210526</v>
      </c>
      <c r="Y53" s="38" t="n">
        <v>17.83333333333333</v>
      </c>
      <c r="Z53" s="38" t="n">
        <v>18.88235294117647</v>
      </c>
      <c r="AA53" s="38" t="n">
        <v>20.0625</v>
      </c>
      <c r="AB53" s="38" t="n">
        <v>21.4</v>
      </c>
      <c r="AC53" s="38" t="n">
        <v>22.92857142857143</v>
      </c>
      <c r="AD53" s="38" t="n">
        <v>24.69230769230769</v>
      </c>
      <c r="AE53" s="38" t="n">
        <v>26.75</v>
      </c>
      <c r="AF53" s="38" t="n">
        <v>29.18181818181818</v>
      </c>
      <c r="AG53" s="38" t="n">
        <v>32.1</v>
      </c>
      <c r="AH53" s="38" t="n">
        <v>35.66666666666666</v>
      </c>
      <c r="AI53" s="38" t="n">
        <v>40.125</v>
      </c>
      <c r="AJ53" s="38" t="n">
        <v>45.85714285714286</v>
      </c>
      <c r="AK53" s="38" t="n">
        <v>53.50000000000001</v>
      </c>
      <c r="AL53" s="38" t="n">
        <v>64.2</v>
      </c>
      <c r="AM53" s="38" t="n">
        <v>80.25</v>
      </c>
      <c r="AN53" s="38" t="n">
        <v>107</v>
      </c>
      <c r="AO53" s="38" t="n">
        <v>160.5</v>
      </c>
      <c r="AP53" s="38" t="n">
        <v>321</v>
      </c>
    </row>
    <row r="54">
      <c r="A54" s="5" t="inlineStr">
        <is>
          <t>P48</t>
        </is>
      </c>
      <c r="B54" s="5" t="inlineStr">
        <is>
          <t>Karitel</t>
        </is>
      </c>
      <c r="C54" s="38" t="n">
        <v>6.8</v>
      </c>
      <c r="D54" s="38" t="n">
        <v>7.157894736842105</v>
      </c>
      <c r="E54" s="38" t="n">
        <v>7.555555555555555</v>
      </c>
      <c r="F54" s="38" t="n">
        <v>8</v>
      </c>
      <c r="G54" s="38" t="n">
        <v>8.5</v>
      </c>
      <c r="H54" s="38" t="n">
        <v>9.066666666666666</v>
      </c>
      <c r="I54" s="38" t="n">
        <v>9.714285714285715</v>
      </c>
      <c r="J54" s="38" t="n">
        <v>10.46153846153846</v>
      </c>
      <c r="K54" s="38" t="n">
        <v>11.33333333333333</v>
      </c>
      <c r="L54" s="38" t="n">
        <v>12.36363636363636</v>
      </c>
      <c r="M54" s="38" t="n">
        <v>13.6</v>
      </c>
      <c r="N54" s="38" t="n">
        <v>15.11111111111111</v>
      </c>
      <c r="O54" s="38" t="n">
        <v>17</v>
      </c>
      <c r="P54" s="38" t="n">
        <v>19.42857142857143</v>
      </c>
      <c r="Q54" s="38" t="n">
        <v>22.66666666666667</v>
      </c>
      <c r="R54" s="38" t="n">
        <v>27.2</v>
      </c>
      <c r="S54" s="38" t="n">
        <v>34</v>
      </c>
      <c r="T54" s="38" t="n">
        <v>45.33333333333334</v>
      </c>
      <c r="U54" s="38" t="n">
        <v>68</v>
      </c>
      <c r="V54" s="38" t="n">
        <v>136</v>
      </c>
      <c r="W54" s="38" t="n">
        <v>16.05</v>
      </c>
      <c r="X54" s="38" t="n">
        <v>16.89473684210526</v>
      </c>
      <c r="Y54" s="38" t="n">
        <v>17.83333333333333</v>
      </c>
      <c r="Z54" s="38" t="n">
        <v>18.88235294117647</v>
      </c>
      <c r="AA54" s="38" t="n">
        <v>20.0625</v>
      </c>
      <c r="AB54" s="38" t="n">
        <v>21.4</v>
      </c>
      <c r="AC54" s="38" t="n">
        <v>22.92857142857143</v>
      </c>
      <c r="AD54" s="38" t="n">
        <v>24.69230769230769</v>
      </c>
      <c r="AE54" s="38" t="n">
        <v>26.75</v>
      </c>
      <c r="AF54" s="38" t="n">
        <v>29.18181818181818</v>
      </c>
      <c r="AG54" s="38" t="n">
        <v>32.1</v>
      </c>
      <c r="AH54" s="38" t="n">
        <v>35.66666666666666</v>
      </c>
      <c r="AI54" s="38" t="n">
        <v>40.125</v>
      </c>
      <c r="AJ54" s="38" t="n">
        <v>45.85714285714286</v>
      </c>
      <c r="AK54" s="38" t="n">
        <v>53.50000000000001</v>
      </c>
      <c r="AL54" s="38" t="n">
        <v>64.2</v>
      </c>
      <c r="AM54" s="38" t="n">
        <v>80.25</v>
      </c>
      <c r="AN54" s="38" t="n">
        <v>107</v>
      </c>
      <c r="AO54" s="38" t="n">
        <v>160.5</v>
      </c>
      <c r="AP54" s="38" t="n">
        <v>321</v>
      </c>
    </row>
    <row r="55">
      <c r="A55" s="5" t="inlineStr">
        <is>
          <t>P49</t>
        </is>
      </c>
      <c r="B55" s="5" t="inlineStr">
        <is>
          <t>Karitel</t>
        </is>
      </c>
      <c r="C55" s="38" t="n">
        <v>6.72</v>
      </c>
      <c r="D55" s="38" t="n">
        <v>7.073684210526316</v>
      </c>
      <c r="E55" s="38" t="n">
        <v>7.466666666666666</v>
      </c>
      <c r="F55" s="38" t="n">
        <v>7.905882352941177</v>
      </c>
      <c r="G55" s="38" t="n">
        <v>8.399999999999999</v>
      </c>
      <c r="H55" s="38" t="n">
        <v>8.959999999999999</v>
      </c>
      <c r="I55" s="38" t="n">
        <v>9.6</v>
      </c>
      <c r="J55" s="38" t="n">
        <v>10.33846153846154</v>
      </c>
      <c r="K55" s="38" t="n">
        <v>11.2</v>
      </c>
      <c r="L55" s="38" t="n">
        <v>12.21818181818182</v>
      </c>
      <c r="M55" s="38" t="n">
        <v>13.44</v>
      </c>
      <c r="N55" s="38" t="n">
        <v>14.93333333333333</v>
      </c>
      <c r="O55" s="38" t="n">
        <v>16.8</v>
      </c>
      <c r="P55" s="38" t="n">
        <v>19.2</v>
      </c>
      <c r="Q55" s="38" t="n">
        <v>22.4</v>
      </c>
      <c r="R55" s="38" t="n">
        <v>26.88</v>
      </c>
      <c r="S55" s="38" t="n">
        <v>33.59999999999999</v>
      </c>
      <c r="T55" s="38" t="n">
        <v>44.8</v>
      </c>
      <c r="U55" s="38" t="n">
        <v>67.19999999999999</v>
      </c>
      <c r="V55" s="38" t="n">
        <v>134.4</v>
      </c>
      <c r="W55" s="38" t="n">
        <v>14.1</v>
      </c>
      <c r="X55" s="38" t="n">
        <v>14.8421052631579</v>
      </c>
      <c r="Y55" s="38" t="n">
        <v>15.66666666666667</v>
      </c>
      <c r="Z55" s="38" t="n">
        <v>16.58823529411765</v>
      </c>
      <c r="AA55" s="38" t="n">
        <v>17.625</v>
      </c>
      <c r="AB55" s="38" t="n">
        <v>18.8</v>
      </c>
      <c r="AC55" s="38" t="n">
        <v>20.14285714285714</v>
      </c>
      <c r="AD55" s="38" t="n">
        <v>21.69230769230769</v>
      </c>
      <c r="AE55" s="38" t="n">
        <v>23.5</v>
      </c>
      <c r="AF55" s="38" t="n">
        <v>25.63636363636363</v>
      </c>
      <c r="AG55" s="38" t="n">
        <v>28.2</v>
      </c>
      <c r="AH55" s="38" t="n">
        <v>31.33333333333333</v>
      </c>
      <c r="AI55" s="38" t="n">
        <v>35.25</v>
      </c>
      <c r="AJ55" s="38" t="n">
        <v>40.28571428571428</v>
      </c>
      <c r="AK55" s="38" t="n">
        <v>47</v>
      </c>
      <c r="AL55" s="38" t="n">
        <v>56.39999999999999</v>
      </c>
      <c r="AM55" s="38" t="n">
        <v>70.5</v>
      </c>
      <c r="AN55" s="38" t="n">
        <v>93.99999999999999</v>
      </c>
      <c r="AO55" s="38" t="n">
        <v>141</v>
      </c>
      <c r="AP55" s="38" t="n">
        <v>281.9999999999999</v>
      </c>
    </row>
    <row r="56">
      <c r="A56" s="5" t="inlineStr">
        <is>
          <t>P50</t>
        </is>
      </c>
      <c r="B56" s="5" t="inlineStr">
        <is>
          <t>Karitel</t>
        </is>
      </c>
      <c r="C56" s="38" t="n">
        <v>6.18</v>
      </c>
      <c r="D56" s="38" t="n">
        <v>6.505263157894737</v>
      </c>
      <c r="E56" s="38" t="n">
        <v>6.866666666666666</v>
      </c>
      <c r="F56" s="38" t="n">
        <v>7.270588235294118</v>
      </c>
      <c r="G56" s="38" t="n">
        <v>7.725</v>
      </c>
      <c r="H56" s="38" t="n">
        <v>8.24</v>
      </c>
      <c r="I56" s="38" t="n">
        <v>8.828571428571429</v>
      </c>
      <c r="J56" s="38" t="n">
        <v>9.507692307692308</v>
      </c>
      <c r="K56" s="38" t="n">
        <v>10.3</v>
      </c>
      <c r="L56" s="38" t="n">
        <v>11.23636363636363</v>
      </c>
      <c r="M56" s="38" t="n">
        <v>12.36</v>
      </c>
      <c r="N56" s="38" t="n">
        <v>13.73333333333333</v>
      </c>
      <c r="O56" s="38" t="n">
        <v>15.45</v>
      </c>
      <c r="P56" s="38" t="n">
        <v>17.65714285714286</v>
      </c>
      <c r="Q56" s="38" t="n">
        <v>20.6</v>
      </c>
      <c r="R56" s="38" t="n">
        <v>24.72</v>
      </c>
      <c r="S56" s="38" t="n">
        <v>30.9</v>
      </c>
      <c r="T56" s="38" t="n">
        <v>41.2</v>
      </c>
      <c r="U56" s="38" t="n">
        <v>61.8</v>
      </c>
      <c r="V56" s="38" t="n">
        <v>123.6</v>
      </c>
      <c r="W56" s="38" t="n">
        <v>13.26</v>
      </c>
      <c r="X56" s="38" t="n">
        <v>13.95789473684211</v>
      </c>
      <c r="Y56" s="38" t="n">
        <v>14.73333333333333</v>
      </c>
      <c r="Z56" s="38" t="n">
        <v>15.6</v>
      </c>
      <c r="AA56" s="38" t="n">
        <v>16.575</v>
      </c>
      <c r="AB56" s="38" t="n">
        <v>17.68</v>
      </c>
      <c r="AC56" s="38" t="n">
        <v>18.94285714285714</v>
      </c>
      <c r="AD56" s="38" t="n">
        <v>20.4</v>
      </c>
      <c r="AE56" s="38" t="n">
        <v>22.1</v>
      </c>
      <c r="AF56" s="38" t="n">
        <v>24.10909090909091</v>
      </c>
      <c r="AG56" s="38" t="n">
        <v>26.52</v>
      </c>
      <c r="AH56" s="38" t="n">
        <v>29.46666666666667</v>
      </c>
      <c r="AI56" s="38" t="n">
        <v>33.15</v>
      </c>
      <c r="AJ56" s="38" t="n">
        <v>37.88571428571429</v>
      </c>
      <c r="AK56" s="38" t="n">
        <v>44.2</v>
      </c>
      <c r="AL56" s="38" t="n">
        <v>53.04</v>
      </c>
      <c r="AM56" s="38" t="n">
        <v>66.3</v>
      </c>
      <c r="AN56" s="38" t="n">
        <v>88.40000000000001</v>
      </c>
      <c r="AO56" s="38" t="n">
        <v>132.6</v>
      </c>
      <c r="AP56" s="38" t="n">
        <v>265.2</v>
      </c>
    </row>
    <row r="57">
      <c r="A57" s="5" t="inlineStr">
        <is>
          <t>P51</t>
        </is>
      </c>
      <c r="B57" s="5" t="inlineStr">
        <is>
          <t>Karitel</t>
        </is>
      </c>
      <c r="C57" s="38" t="n">
        <v>5.995</v>
      </c>
      <c r="D57" s="38" t="n">
        <v>6.310526315789474</v>
      </c>
      <c r="E57" s="38" t="n">
        <v>6.661111111111111</v>
      </c>
      <c r="F57" s="38" t="n">
        <v>7.052941176470589</v>
      </c>
      <c r="G57" s="38" t="n">
        <v>7.493749999999999</v>
      </c>
      <c r="H57" s="38" t="n">
        <v>7.993333333333333</v>
      </c>
      <c r="I57" s="38" t="n">
        <v>8.564285714285715</v>
      </c>
      <c r="J57" s="38" t="n">
        <v>9.223076923076922</v>
      </c>
      <c r="K57" s="38" t="n">
        <v>9.991666666666667</v>
      </c>
      <c r="L57" s="38" t="n">
        <v>10.9</v>
      </c>
      <c r="M57" s="38" t="n">
        <v>11.99</v>
      </c>
      <c r="N57" s="38" t="n">
        <v>13.32222222222222</v>
      </c>
      <c r="O57" s="38" t="n">
        <v>14.9875</v>
      </c>
      <c r="P57" s="38" t="n">
        <v>17.12857142857143</v>
      </c>
      <c r="Q57" s="38" t="n">
        <v>19.98333333333333</v>
      </c>
      <c r="R57" s="38" t="n">
        <v>23.98</v>
      </c>
      <c r="S57" s="38" t="n">
        <v>29.975</v>
      </c>
      <c r="T57" s="38" t="n">
        <v>39.96666666666667</v>
      </c>
      <c r="U57" s="38" t="n">
        <v>59.95</v>
      </c>
      <c r="V57" s="38" t="n">
        <v>119.9</v>
      </c>
      <c r="W57" s="38" t="n">
        <v>13.26</v>
      </c>
      <c r="X57" s="38" t="n">
        <v>13.95789473684211</v>
      </c>
      <c r="Y57" s="38" t="n">
        <v>14.73333333333333</v>
      </c>
      <c r="Z57" s="38" t="n">
        <v>15.6</v>
      </c>
      <c r="AA57" s="38" t="n">
        <v>16.575</v>
      </c>
      <c r="AB57" s="38" t="n">
        <v>17.68</v>
      </c>
      <c r="AC57" s="38" t="n">
        <v>18.94285714285714</v>
      </c>
      <c r="AD57" s="38" t="n">
        <v>20.4</v>
      </c>
      <c r="AE57" s="38" t="n">
        <v>22.1</v>
      </c>
      <c r="AF57" s="38" t="n">
        <v>24.10909090909091</v>
      </c>
      <c r="AG57" s="38" t="n">
        <v>26.52</v>
      </c>
      <c r="AH57" s="38" t="n">
        <v>29.46666666666667</v>
      </c>
      <c r="AI57" s="38" t="n">
        <v>33.15</v>
      </c>
      <c r="AJ57" s="38" t="n">
        <v>37.88571428571429</v>
      </c>
      <c r="AK57" s="38" t="n">
        <v>44.2</v>
      </c>
      <c r="AL57" s="38" t="n">
        <v>53.04</v>
      </c>
      <c r="AM57" s="38" t="n">
        <v>66.3</v>
      </c>
      <c r="AN57" s="38" t="n">
        <v>88.40000000000001</v>
      </c>
      <c r="AO57" s="38" t="n">
        <v>132.6</v>
      </c>
      <c r="AP57" s="38" t="n">
        <v>265.2</v>
      </c>
    </row>
    <row r="58">
      <c r="A58" s="5" t="inlineStr">
        <is>
          <t>P52</t>
        </is>
      </c>
      <c r="B58" s="5" t="inlineStr">
        <is>
          <t>Karitel</t>
        </is>
      </c>
      <c r="C58" s="38" t="n">
        <v>6.435</v>
      </c>
      <c r="D58" s="38" t="n">
        <v>6.773684210526316</v>
      </c>
      <c r="E58" s="38" t="n">
        <v>7.149999999999999</v>
      </c>
      <c r="F58" s="38" t="n">
        <v>7.570588235294117</v>
      </c>
      <c r="G58" s="38" t="n">
        <v>8.043749999999999</v>
      </c>
      <c r="H58" s="38" t="n">
        <v>8.58</v>
      </c>
      <c r="I58" s="38" t="n">
        <v>9.192857142857143</v>
      </c>
      <c r="J58" s="38" t="n">
        <v>9.899999999999999</v>
      </c>
      <c r="K58" s="38" t="n">
        <v>10.725</v>
      </c>
      <c r="L58" s="38" t="n">
        <v>11.7</v>
      </c>
      <c r="M58" s="38" t="n">
        <v>12.87</v>
      </c>
      <c r="N58" s="38" t="n">
        <v>14.3</v>
      </c>
      <c r="O58" s="38" t="n">
        <v>16.0875</v>
      </c>
      <c r="P58" s="38" t="n">
        <v>18.38571428571429</v>
      </c>
      <c r="Q58" s="38" t="n">
        <v>21.45</v>
      </c>
      <c r="R58" s="38" t="n">
        <v>25.74</v>
      </c>
      <c r="S58" s="38" t="n">
        <v>32.175</v>
      </c>
      <c r="T58" s="38" t="n">
        <v>42.9</v>
      </c>
      <c r="U58" s="38" t="n">
        <v>64.34999999999999</v>
      </c>
      <c r="V58" s="38" t="n">
        <v>128.7</v>
      </c>
      <c r="W58" s="38" t="n">
        <v>16.05</v>
      </c>
      <c r="X58" s="38" t="n">
        <v>16.89473684210526</v>
      </c>
      <c r="Y58" s="38" t="n">
        <v>17.83333333333333</v>
      </c>
      <c r="Z58" s="38" t="n">
        <v>18.88235294117647</v>
      </c>
      <c r="AA58" s="38" t="n">
        <v>20.0625</v>
      </c>
      <c r="AB58" s="38" t="n">
        <v>21.4</v>
      </c>
      <c r="AC58" s="38" t="n">
        <v>22.92857142857143</v>
      </c>
      <c r="AD58" s="38" t="n">
        <v>24.69230769230769</v>
      </c>
      <c r="AE58" s="38" t="n">
        <v>26.75</v>
      </c>
      <c r="AF58" s="38" t="n">
        <v>29.18181818181818</v>
      </c>
      <c r="AG58" s="38" t="n">
        <v>32.1</v>
      </c>
      <c r="AH58" s="38" t="n">
        <v>35.66666666666666</v>
      </c>
      <c r="AI58" s="38" t="n">
        <v>40.125</v>
      </c>
      <c r="AJ58" s="38" t="n">
        <v>45.85714285714286</v>
      </c>
      <c r="AK58" s="38" t="n">
        <v>53.50000000000001</v>
      </c>
      <c r="AL58" s="38" t="n">
        <v>64.2</v>
      </c>
      <c r="AM58" s="38" t="n">
        <v>80.25</v>
      </c>
      <c r="AN58" s="38" t="n">
        <v>107</v>
      </c>
      <c r="AO58" s="38" t="n">
        <v>160.5</v>
      </c>
      <c r="AP58" s="38" t="n">
        <v>321</v>
      </c>
    </row>
    <row r="59">
      <c r="A59" s="5" t="inlineStr">
        <is>
          <t>P53</t>
        </is>
      </c>
      <c r="B59" s="5" t="inlineStr">
        <is>
          <t>Karitel</t>
        </is>
      </c>
      <c r="C59" s="38" t="n">
        <v>5.04</v>
      </c>
      <c r="D59" s="38" t="n">
        <v>5.305263157894737</v>
      </c>
      <c r="E59" s="38" t="n">
        <v>5.6</v>
      </c>
      <c r="F59" s="38" t="n">
        <v>5.929411764705883</v>
      </c>
      <c r="G59" s="38" t="n">
        <v>6.3</v>
      </c>
      <c r="H59" s="38" t="n">
        <v>6.72</v>
      </c>
      <c r="I59" s="38" t="n">
        <v>7.2</v>
      </c>
      <c r="J59" s="38" t="n">
        <v>7.753846153846154</v>
      </c>
      <c r="K59" s="38" t="n">
        <v>8.4</v>
      </c>
      <c r="L59" s="38" t="n">
        <v>9.163636363636362</v>
      </c>
      <c r="M59" s="38" t="n">
        <v>10.08</v>
      </c>
      <c r="N59" s="38" t="n">
        <v>11.2</v>
      </c>
      <c r="O59" s="38" t="n">
        <v>12.6</v>
      </c>
      <c r="P59" s="38" t="n">
        <v>14.4</v>
      </c>
      <c r="Q59" s="38" t="n">
        <v>16.8</v>
      </c>
      <c r="R59" s="38" t="n">
        <v>20.16</v>
      </c>
      <c r="S59" s="38" t="n">
        <v>25.2</v>
      </c>
      <c r="T59" s="38" t="n">
        <v>33.6</v>
      </c>
      <c r="U59" s="38" t="n">
        <v>50.4</v>
      </c>
      <c r="V59" s="38" t="n">
        <v>100.8</v>
      </c>
      <c r="W59" s="38" t="n">
        <v>10.94</v>
      </c>
      <c r="X59" s="38" t="n">
        <v>11.51578947368421</v>
      </c>
      <c r="Y59" s="38" t="n">
        <v>12.15555555555556</v>
      </c>
      <c r="Z59" s="38" t="n">
        <v>12.87058823529412</v>
      </c>
      <c r="AA59" s="38" t="n">
        <v>13.675</v>
      </c>
      <c r="AB59" s="38" t="n">
        <v>14.58666666666667</v>
      </c>
      <c r="AC59" s="38" t="n">
        <v>15.62857142857143</v>
      </c>
      <c r="AD59" s="38" t="n">
        <v>16.83076923076923</v>
      </c>
      <c r="AE59" s="38" t="n">
        <v>18.23333333333333</v>
      </c>
      <c r="AF59" s="38" t="n">
        <v>19.89090909090909</v>
      </c>
      <c r="AG59" s="38" t="n">
        <v>21.88</v>
      </c>
      <c r="AH59" s="38" t="n">
        <v>24.31111111111111</v>
      </c>
      <c r="AI59" s="38" t="n">
        <v>27.35</v>
      </c>
      <c r="AJ59" s="38" t="n">
        <v>31.25714285714286</v>
      </c>
      <c r="AK59" s="38" t="n">
        <v>36.46666666666667</v>
      </c>
      <c r="AL59" s="38" t="n">
        <v>43.76</v>
      </c>
      <c r="AM59" s="38" t="n">
        <v>54.7</v>
      </c>
      <c r="AN59" s="38" t="n">
        <v>72.93333333333334</v>
      </c>
      <c r="AO59" s="38" t="n">
        <v>109.4</v>
      </c>
      <c r="AP59" s="38" t="n">
        <v>218.8</v>
      </c>
    </row>
    <row r="60">
      <c r="A60" s="5" t="inlineStr">
        <is>
          <t>P54</t>
        </is>
      </c>
      <c r="B60" s="5" t="inlineStr">
        <is>
          <t>Karitel</t>
        </is>
      </c>
      <c r="C60" s="38" t="n">
        <v>5.9</v>
      </c>
      <c r="D60" s="38" t="n">
        <v>6.210526315789474</v>
      </c>
      <c r="E60" s="38" t="n">
        <v>6.555555555555555</v>
      </c>
      <c r="F60" s="38" t="n">
        <v>6.941176470588236</v>
      </c>
      <c r="G60" s="38" t="n">
        <v>7.375</v>
      </c>
      <c r="H60" s="38" t="n">
        <v>7.866666666666667</v>
      </c>
      <c r="I60" s="38" t="n">
        <v>8.428571428571429</v>
      </c>
      <c r="J60" s="38" t="n">
        <v>9.076923076923077</v>
      </c>
      <c r="K60" s="38" t="n">
        <v>9.833333333333334</v>
      </c>
      <c r="L60" s="38" t="n">
        <v>10.72727272727273</v>
      </c>
      <c r="M60" s="38" t="n">
        <v>11.8</v>
      </c>
      <c r="N60" s="38" t="n">
        <v>13.11111111111111</v>
      </c>
      <c r="O60" s="38" t="n">
        <v>14.75</v>
      </c>
      <c r="P60" s="38" t="n">
        <v>16.85714285714286</v>
      </c>
      <c r="Q60" s="38" t="n">
        <v>19.66666666666667</v>
      </c>
      <c r="R60" s="38" t="n">
        <v>23.6</v>
      </c>
      <c r="S60" s="38" t="n">
        <v>29.5</v>
      </c>
      <c r="T60" s="38" t="n">
        <v>39.33333333333334</v>
      </c>
      <c r="U60" s="38" t="n">
        <v>59</v>
      </c>
      <c r="V60" s="38" t="n">
        <v>118</v>
      </c>
      <c r="W60" s="38" t="n">
        <v>13.57</v>
      </c>
      <c r="X60" s="38" t="n">
        <v>14.28421052631579</v>
      </c>
      <c r="Y60" s="38" t="n">
        <v>15.07777777777778</v>
      </c>
      <c r="Z60" s="38" t="n">
        <v>15.96470588235294</v>
      </c>
      <c r="AA60" s="38" t="n">
        <v>16.9625</v>
      </c>
      <c r="AB60" s="38" t="n">
        <v>18.09333333333333</v>
      </c>
      <c r="AC60" s="38" t="n">
        <v>19.38571428571429</v>
      </c>
      <c r="AD60" s="38" t="n">
        <v>20.87692307692308</v>
      </c>
      <c r="AE60" s="38" t="n">
        <v>22.61666666666667</v>
      </c>
      <c r="AF60" s="38" t="n">
        <v>24.67272727272727</v>
      </c>
      <c r="AG60" s="38" t="n">
        <v>27.14</v>
      </c>
      <c r="AH60" s="38" t="n">
        <v>30.15555555555556</v>
      </c>
      <c r="AI60" s="38" t="n">
        <v>33.925</v>
      </c>
      <c r="AJ60" s="38" t="n">
        <v>38.77142857142857</v>
      </c>
      <c r="AK60" s="38" t="n">
        <v>45.23333333333333</v>
      </c>
      <c r="AL60" s="38" t="n">
        <v>54.28</v>
      </c>
      <c r="AM60" s="38" t="n">
        <v>67.84999999999999</v>
      </c>
      <c r="AN60" s="38" t="n">
        <v>90.46666666666667</v>
      </c>
      <c r="AO60" s="38" t="n">
        <v>135.7</v>
      </c>
      <c r="AP60" s="38" t="n">
        <v>271.4</v>
      </c>
    </row>
    <row r="61">
      <c r="A61" s="5" t="inlineStr">
        <is>
          <t>P55</t>
        </is>
      </c>
      <c r="B61" s="5" t="inlineStr">
        <is>
          <t>Karitel</t>
        </is>
      </c>
      <c r="C61" s="38" t="n">
        <v>6.42</v>
      </c>
      <c r="D61" s="38" t="n">
        <v>6.757894736842106</v>
      </c>
      <c r="E61" s="38" t="n">
        <v>7.133333333333333</v>
      </c>
      <c r="F61" s="38" t="n">
        <v>7.552941176470588</v>
      </c>
      <c r="G61" s="38" t="n">
        <v>8.024999999999999</v>
      </c>
      <c r="H61" s="38" t="n">
        <v>8.56</v>
      </c>
      <c r="I61" s="38" t="n">
        <v>9.171428571428573</v>
      </c>
      <c r="J61" s="38" t="n">
        <v>9.876923076923077</v>
      </c>
      <c r="K61" s="38" t="n">
        <v>10.7</v>
      </c>
      <c r="L61" s="38" t="n">
        <v>11.67272727272727</v>
      </c>
      <c r="M61" s="38" t="n">
        <v>12.84</v>
      </c>
      <c r="N61" s="38" t="n">
        <v>14.26666666666667</v>
      </c>
      <c r="O61" s="38" t="n">
        <v>16.05</v>
      </c>
      <c r="P61" s="38" t="n">
        <v>18.34285714285715</v>
      </c>
      <c r="Q61" s="38" t="n">
        <v>21.4</v>
      </c>
      <c r="R61" s="38" t="n">
        <v>25.68</v>
      </c>
      <c r="S61" s="38" t="n">
        <v>32.09999999999999</v>
      </c>
      <c r="T61" s="38" t="n">
        <v>42.8</v>
      </c>
      <c r="U61" s="38" t="n">
        <v>64.19999999999999</v>
      </c>
      <c r="V61" s="38" t="n">
        <v>128.4</v>
      </c>
      <c r="W61" s="38" t="n">
        <v>15.11</v>
      </c>
      <c r="X61" s="38" t="n">
        <v>15.90526315789474</v>
      </c>
      <c r="Y61" s="38" t="n">
        <v>16.78888888888889</v>
      </c>
      <c r="Z61" s="38" t="n">
        <v>17.77647058823529</v>
      </c>
      <c r="AA61" s="38" t="n">
        <v>18.8875</v>
      </c>
      <c r="AB61" s="38" t="n">
        <v>20.14666666666666</v>
      </c>
      <c r="AC61" s="38" t="n">
        <v>21.58571428571429</v>
      </c>
      <c r="AD61" s="38" t="n">
        <v>23.24615384615385</v>
      </c>
      <c r="AE61" s="38" t="n">
        <v>25.18333333333333</v>
      </c>
      <c r="AF61" s="38" t="n">
        <v>27.47272727272727</v>
      </c>
      <c r="AG61" s="38" t="n">
        <v>30.22</v>
      </c>
      <c r="AH61" s="38" t="n">
        <v>33.57777777777778</v>
      </c>
      <c r="AI61" s="38" t="n">
        <v>37.775</v>
      </c>
      <c r="AJ61" s="38" t="n">
        <v>43.17142857142857</v>
      </c>
      <c r="AK61" s="38" t="n">
        <v>50.36666666666667</v>
      </c>
      <c r="AL61" s="38" t="n">
        <v>60.44</v>
      </c>
      <c r="AM61" s="38" t="n">
        <v>75.55</v>
      </c>
      <c r="AN61" s="38" t="n">
        <v>100.7333333333333</v>
      </c>
      <c r="AO61" s="38" t="n">
        <v>151.1</v>
      </c>
      <c r="AP61" s="38" t="n">
        <v>302.2</v>
      </c>
    </row>
    <row r="62">
      <c r="A62" s="5" t="inlineStr">
        <is>
          <t>P56</t>
        </is>
      </c>
      <c r="B62" s="5" t="inlineStr">
        <is>
          <t>Karitel</t>
        </is>
      </c>
      <c r="C62" s="38" t="n">
        <v>5.775</v>
      </c>
      <c r="D62" s="38" t="n">
        <v>6.078947368421053</v>
      </c>
      <c r="E62" s="38" t="n">
        <v>6.416666666666667</v>
      </c>
      <c r="F62" s="38" t="n">
        <v>6.794117647058824</v>
      </c>
      <c r="G62" s="38" t="n">
        <v>7.21875</v>
      </c>
      <c r="H62" s="38" t="n">
        <v>7.7</v>
      </c>
      <c r="I62" s="38" t="n">
        <v>8.250000000000002</v>
      </c>
      <c r="J62" s="38" t="n">
        <v>8.884615384615385</v>
      </c>
      <c r="K62" s="38" t="n">
        <v>9.625000000000002</v>
      </c>
      <c r="L62" s="38" t="n">
        <v>10.5</v>
      </c>
      <c r="M62" s="38" t="n">
        <v>11.55</v>
      </c>
      <c r="N62" s="38" t="n">
        <v>12.83333333333333</v>
      </c>
      <c r="O62" s="38" t="n">
        <v>14.4375</v>
      </c>
      <c r="P62" s="38" t="n">
        <v>16.5</v>
      </c>
      <c r="Q62" s="38" t="n">
        <v>19.25</v>
      </c>
      <c r="R62" s="38" t="n">
        <v>23.1</v>
      </c>
      <c r="S62" s="38" t="n">
        <v>28.875</v>
      </c>
      <c r="T62" s="38" t="n">
        <v>38.50000000000001</v>
      </c>
      <c r="U62" s="38" t="n">
        <v>57.75</v>
      </c>
      <c r="V62" s="38" t="n">
        <v>115.5</v>
      </c>
      <c r="W62" s="38" t="n">
        <v>15.57</v>
      </c>
      <c r="X62" s="38" t="n">
        <v>16.38947368421053</v>
      </c>
      <c r="Y62" s="38" t="n">
        <v>17.3</v>
      </c>
      <c r="Z62" s="38" t="n">
        <v>18.31764705882353</v>
      </c>
      <c r="AA62" s="38" t="n">
        <v>19.4625</v>
      </c>
      <c r="AB62" s="38" t="n">
        <v>20.76</v>
      </c>
      <c r="AC62" s="38" t="n">
        <v>22.24285714285714</v>
      </c>
      <c r="AD62" s="38" t="n">
        <v>23.95384615384615</v>
      </c>
      <c r="AE62" s="38" t="n">
        <v>25.95</v>
      </c>
      <c r="AF62" s="38" t="n">
        <v>28.30909090909091</v>
      </c>
      <c r="AG62" s="38" t="n">
        <v>31.14</v>
      </c>
      <c r="AH62" s="38" t="n">
        <v>34.6</v>
      </c>
      <c r="AI62" s="38" t="n">
        <v>38.925</v>
      </c>
      <c r="AJ62" s="38" t="n">
        <v>44.48571428571429</v>
      </c>
      <c r="AK62" s="38" t="n">
        <v>51.90000000000001</v>
      </c>
      <c r="AL62" s="38" t="n">
        <v>62.28</v>
      </c>
      <c r="AM62" s="38" t="n">
        <v>77.84999999999999</v>
      </c>
      <c r="AN62" s="38" t="n">
        <v>103.8</v>
      </c>
      <c r="AO62" s="38" t="n">
        <v>155.7</v>
      </c>
      <c r="AP62" s="38" t="n">
        <v>311.4</v>
      </c>
    </row>
    <row r="63">
      <c r="A63" s="5" t="inlineStr">
        <is>
          <t>P57</t>
        </is>
      </c>
      <c r="B63" s="5" t="inlineStr">
        <is>
          <t>Karitel</t>
        </is>
      </c>
      <c r="C63" s="38" t="n">
        <v>6.65</v>
      </c>
      <c r="D63" s="38" t="n">
        <v>7.000000000000001</v>
      </c>
      <c r="E63" s="38" t="n">
        <v>7.388888888888889</v>
      </c>
      <c r="F63" s="38" t="n">
        <v>7.823529411764707</v>
      </c>
      <c r="G63" s="38" t="n">
        <v>8.3125</v>
      </c>
      <c r="H63" s="38" t="n">
        <v>8.866666666666667</v>
      </c>
      <c r="I63" s="38" t="n">
        <v>9.500000000000002</v>
      </c>
      <c r="J63" s="38" t="n">
        <v>10.23076923076923</v>
      </c>
      <c r="K63" s="38" t="n">
        <v>11.08333333333333</v>
      </c>
      <c r="L63" s="38" t="n">
        <v>12.09090909090909</v>
      </c>
      <c r="M63" s="38" t="n">
        <v>13.3</v>
      </c>
      <c r="N63" s="38" t="n">
        <v>14.77777777777778</v>
      </c>
      <c r="O63" s="38" t="n">
        <v>16.625</v>
      </c>
      <c r="P63" s="38" t="n">
        <v>19</v>
      </c>
      <c r="Q63" s="38" t="n">
        <v>22.16666666666667</v>
      </c>
      <c r="R63" s="38" t="n">
        <v>26.6</v>
      </c>
      <c r="S63" s="38" t="n">
        <v>33.25</v>
      </c>
      <c r="T63" s="38" t="n">
        <v>44.33333333333334</v>
      </c>
      <c r="U63" s="38" t="n">
        <v>66.5</v>
      </c>
      <c r="V63" s="38" t="n">
        <v>133</v>
      </c>
      <c r="W63" s="38" t="n">
        <v>15.11</v>
      </c>
      <c r="X63" s="38" t="n">
        <v>15.90526315789474</v>
      </c>
      <c r="Y63" s="38" t="n">
        <v>16.78888888888889</v>
      </c>
      <c r="Z63" s="38" t="n">
        <v>17.77647058823529</v>
      </c>
      <c r="AA63" s="38" t="n">
        <v>18.8875</v>
      </c>
      <c r="AB63" s="38" t="n">
        <v>20.14666666666666</v>
      </c>
      <c r="AC63" s="38" t="n">
        <v>21.58571428571429</v>
      </c>
      <c r="AD63" s="38" t="n">
        <v>23.24615384615385</v>
      </c>
      <c r="AE63" s="38" t="n">
        <v>25.18333333333333</v>
      </c>
      <c r="AF63" s="38" t="n">
        <v>27.47272727272727</v>
      </c>
      <c r="AG63" s="38" t="n">
        <v>30.22</v>
      </c>
      <c r="AH63" s="38" t="n">
        <v>33.57777777777778</v>
      </c>
      <c r="AI63" s="38" t="n">
        <v>37.775</v>
      </c>
      <c r="AJ63" s="38" t="n">
        <v>43.17142857142857</v>
      </c>
      <c r="AK63" s="38" t="n">
        <v>50.36666666666667</v>
      </c>
      <c r="AL63" s="38" t="n">
        <v>60.44</v>
      </c>
      <c r="AM63" s="38" t="n">
        <v>75.55</v>
      </c>
      <c r="AN63" s="38" t="n">
        <v>100.7333333333333</v>
      </c>
      <c r="AO63" s="38" t="n">
        <v>151.1</v>
      </c>
      <c r="AP63" s="38" t="n">
        <v>302.2</v>
      </c>
    </row>
    <row r="64">
      <c r="A64" s="5" t="inlineStr">
        <is>
          <t>P58</t>
        </is>
      </c>
      <c r="B64" s="5" t="inlineStr">
        <is>
          <t>Karitel</t>
        </is>
      </c>
      <c r="C64" s="38" t="n">
        <v>6.65</v>
      </c>
      <c r="D64" s="38" t="n">
        <v>7.000000000000001</v>
      </c>
      <c r="E64" s="38" t="n">
        <v>7.388888888888889</v>
      </c>
      <c r="F64" s="38" t="n">
        <v>7.823529411764707</v>
      </c>
      <c r="G64" s="38" t="n">
        <v>8.3125</v>
      </c>
      <c r="H64" s="38" t="n">
        <v>8.866666666666667</v>
      </c>
      <c r="I64" s="38" t="n">
        <v>9.500000000000002</v>
      </c>
      <c r="J64" s="38" t="n">
        <v>10.23076923076923</v>
      </c>
      <c r="K64" s="38" t="n">
        <v>11.08333333333333</v>
      </c>
      <c r="L64" s="38" t="n">
        <v>12.09090909090909</v>
      </c>
      <c r="M64" s="38" t="n">
        <v>13.3</v>
      </c>
      <c r="N64" s="38" t="n">
        <v>14.77777777777778</v>
      </c>
      <c r="O64" s="38" t="n">
        <v>16.625</v>
      </c>
      <c r="P64" s="38" t="n">
        <v>19</v>
      </c>
      <c r="Q64" s="38" t="n">
        <v>22.16666666666667</v>
      </c>
      <c r="R64" s="38" t="n">
        <v>26.6</v>
      </c>
      <c r="S64" s="38" t="n">
        <v>33.25</v>
      </c>
      <c r="T64" s="38" t="n">
        <v>44.33333333333334</v>
      </c>
      <c r="U64" s="38" t="n">
        <v>66.5</v>
      </c>
      <c r="V64" s="38" t="n">
        <v>133</v>
      </c>
      <c r="W64" s="38" t="n">
        <v>15.11</v>
      </c>
      <c r="X64" s="38" t="n">
        <v>15.90526315789474</v>
      </c>
      <c r="Y64" s="38" t="n">
        <v>16.78888888888889</v>
      </c>
      <c r="Z64" s="38" t="n">
        <v>17.77647058823529</v>
      </c>
      <c r="AA64" s="38" t="n">
        <v>18.8875</v>
      </c>
      <c r="AB64" s="38" t="n">
        <v>20.14666666666666</v>
      </c>
      <c r="AC64" s="38" t="n">
        <v>21.58571428571429</v>
      </c>
      <c r="AD64" s="38" t="n">
        <v>23.24615384615385</v>
      </c>
      <c r="AE64" s="38" t="n">
        <v>25.18333333333333</v>
      </c>
      <c r="AF64" s="38" t="n">
        <v>27.47272727272727</v>
      </c>
      <c r="AG64" s="38" t="n">
        <v>30.22</v>
      </c>
      <c r="AH64" s="38" t="n">
        <v>33.57777777777778</v>
      </c>
      <c r="AI64" s="38" t="n">
        <v>37.775</v>
      </c>
      <c r="AJ64" s="38" t="n">
        <v>43.17142857142857</v>
      </c>
      <c r="AK64" s="38" t="n">
        <v>50.36666666666667</v>
      </c>
      <c r="AL64" s="38" t="n">
        <v>60.44</v>
      </c>
      <c r="AM64" s="38" t="n">
        <v>75.55</v>
      </c>
      <c r="AN64" s="38" t="n">
        <v>100.7333333333333</v>
      </c>
      <c r="AO64" s="38" t="n">
        <v>151.1</v>
      </c>
      <c r="AP64" s="38" t="n">
        <v>302.2</v>
      </c>
    </row>
    <row r="65">
      <c r="A65" s="5" t="inlineStr">
        <is>
          <t>P59</t>
        </is>
      </c>
      <c r="B65" s="5" t="inlineStr">
        <is>
          <t>Karitel</t>
        </is>
      </c>
      <c r="C65" s="38" t="n">
        <v>6.16</v>
      </c>
      <c r="D65" s="38" t="n">
        <v>6.48421052631579</v>
      </c>
      <c r="E65" s="38" t="n">
        <v>6.844444444444444</v>
      </c>
      <c r="F65" s="38" t="n">
        <v>7.247058823529412</v>
      </c>
      <c r="G65" s="38" t="n">
        <v>7.7</v>
      </c>
      <c r="H65" s="38" t="n">
        <v>8.213333333333333</v>
      </c>
      <c r="I65" s="38" t="n">
        <v>8.800000000000001</v>
      </c>
      <c r="J65" s="38" t="n">
        <v>9.476923076923077</v>
      </c>
      <c r="K65" s="38" t="n">
        <v>10.26666666666667</v>
      </c>
      <c r="L65" s="38" t="n">
        <v>11.2</v>
      </c>
      <c r="M65" s="38" t="n">
        <v>12.32</v>
      </c>
      <c r="N65" s="38" t="n">
        <v>13.68888888888889</v>
      </c>
      <c r="O65" s="38" t="n">
        <v>15.4</v>
      </c>
      <c r="P65" s="38" t="n">
        <v>17.6</v>
      </c>
      <c r="Q65" s="38" t="n">
        <v>20.53333333333333</v>
      </c>
      <c r="R65" s="38" t="n">
        <v>24.64</v>
      </c>
      <c r="S65" s="38" t="n">
        <v>30.8</v>
      </c>
      <c r="T65" s="38" t="n">
        <v>41.06666666666667</v>
      </c>
      <c r="U65" s="38" t="n">
        <v>61.6</v>
      </c>
      <c r="V65" s="38" t="n">
        <v>123.2</v>
      </c>
      <c r="W65" s="38" t="n">
        <v>14.8</v>
      </c>
      <c r="X65" s="38" t="n">
        <v>15.57894736842105</v>
      </c>
      <c r="Y65" s="38" t="n">
        <v>16.44444444444445</v>
      </c>
      <c r="Z65" s="38" t="n">
        <v>17.41176470588236</v>
      </c>
      <c r="AA65" s="38" t="n">
        <v>18.5</v>
      </c>
      <c r="AB65" s="38" t="n">
        <v>19.73333333333333</v>
      </c>
      <c r="AC65" s="38" t="n">
        <v>21.14285714285715</v>
      </c>
      <c r="AD65" s="38" t="n">
        <v>22.76923076923077</v>
      </c>
      <c r="AE65" s="38" t="n">
        <v>24.66666666666667</v>
      </c>
      <c r="AF65" s="38" t="n">
        <v>26.90909090909091</v>
      </c>
      <c r="AG65" s="38" t="n">
        <v>29.6</v>
      </c>
      <c r="AH65" s="38" t="n">
        <v>32.88888888888889</v>
      </c>
      <c r="AI65" s="38" t="n">
        <v>37</v>
      </c>
      <c r="AJ65" s="38" t="n">
        <v>42.28571428571428</v>
      </c>
      <c r="AK65" s="38" t="n">
        <v>49.33333333333334</v>
      </c>
      <c r="AL65" s="38" t="n">
        <v>59.2</v>
      </c>
      <c r="AM65" s="38" t="n">
        <v>74</v>
      </c>
      <c r="AN65" s="38" t="n">
        <v>98.66666666666666</v>
      </c>
      <c r="AO65" s="38" t="n">
        <v>148</v>
      </c>
      <c r="AP65" s="38" t="n">
        <v>295.9999999999999</v>
      </c>
    </row>
    <row r="66">
      <c r="A66" s="5" t="inlineStr">
        <is>
          <t>P60</t>
        </is>
      </c>
      <c r="B66" s="5" t="inlineStr">
        <is>
          <t>Karitel</t>
        </is>
      </c>
      <c r="C66" s="38" t="n">
        <v>6.37</v>
      </c>
      <c r="D66" s="38" t="n">
        <v>6.705263157894738</v>
      </c>
      <c r="E66" s="38" t="n">
        <v>7.077777777777778</v>
      </c>
      <c r="F66" s="38" t="n">
        <v>7.494117647058824</v>
      </c>
      <c r="G66" s="38" t="n">
        <v>7.962499999999999</v>
      </c>
      <c r="H66" s="38" t="n">
        <v>8.493333333333334</v>
      </c>
      <c r="I66" s="38" t="n">
        <v>9.100000000000001</v>
      </c>
      <c r="J66" s="38" t="n">
        <v>9.800000000000001</v>
      </c>
      <c r="K66" s="38" t="n">
        <v>10.61666666666667</v>
      </c>
      <c r="L66" s="38" t="n">
        <v>11.58181818181818</v>
      </c>
      <c r="M66" s="38" t="n">
        <v>12.74</v>
      </c>
      <c r="N66" s="38" t="n">
        <v>14.15555555555556</v>
      </c>
      <c r="O66" s="38" t="n">
        <v>15.925</v>
      </c>
      <c r="P66" s="38" t="n">
        <v>18.2</v>
      </c>
      <c r="Q66" s="38" t="n">
        <v>21.23333333333333</v>
      </c>
      <c r="R66" s="38" t="n">
        <v>25.48</v>
      </c>
      <c r="S66" s="38" t="n">
        <v>31.85</v>
      </c>
      <c r="T66" s="38" t="n">
        <v>42.46666666666667</v>
      </c>
      <c r="U66" s="38" t="n">
        <v>63.7</v>
      </c>
      <c r="V66" s="38" t="n">
        <v>127.4</v>
      </c>
      <c r="W66" s="38" t="n">
        <v>15.11</v>
      </c>
      <c r="X66" s="38" t="n">
        <v>15.90526315789474</v>
      </c>
      <c r="Y66" s="38" t="n">
        <v>16.78888888888889</v>
      </c>
      <c r="Z66" s="38" t="n">
        <v>17.77647058823529</v>
      </c>
      <c r="AA66" s="38" t="n">
        <v>18.8875</v>
      </c>
      <c r="AB66" s="38" t="n">
        <v>20.14666666666666</v>
      </c>
      <c r="AC66" s="38" t="n">
        <v>21.58571428571429</v>
      </c>
      <c r="AD66" s="38" t="n">
        <v>23.24615384615385</v>
      </c>
      <c r="AE66" s="38" t="n">
        <v>25.18333333333333</v>
      </c>
      <c r="AF66" s="38" t="n">
        <v>27.47272727272727</v>
      </c>
      <c r="AG66" s="38" t="n">
        <v>30.22</v>
      </c>
      <c r="AH66" s="38" t="n">
        <v>33.57777777777778</v>
      </c>
      <c r="AI66" s="38" t="n">
        <v>37.775</v>
      </c>
      <c r="AJ66" s="38" t="n">
        <v>43.17142857142857</v>
      </c>
      <c r="AK66" s="38" t="n">
        <v>50.36666666666667</v>
      </c>
      <c r="AL66" s="38" t="n">
        <v>60.44</v>
      </c>
      <c r="AM66" s="38" t="n">
        <v>75.55</v>
      </c>
      <c r="AN66" s="38" t="n">
        <v>100.7333333333333</v>
      </c>
      <c r="AO66" s="38" t="n">
        <v>151.1</v>
      </c>
      <c r="AP66" s="38" t="n">
        <v>302.2</v>
      </c>
    </row>
    <row r="67">
      <c r="A67" s="5" t="inlineStr">
        <is>
          <t>P61</t>
        </is>
      </c>
      <c r="B67" s="5" t="inlineStr">
        <is>
          <t>Karitel</t>
        </is>
      </c>
      <c r="C67" s="38" t="n">
        <v>6.23</v>
      </c>
      <c r="D67" s="38" t="n">
        <v>6.557894736842106</v>
      </c>
      <c r="E67" s="38" t="n">
        <v>6.922222222222222</v>
      </c>
      <c r="F67" s="38" t="n">
        <v>7.329411764705883</v>
      </c>
      <c r="G67" s="38" t="n">
        <v>7.787500000000001</v>
      </c>
      <c r="H67" s="38" t="n">
        <v>8.306666666666667</v>
      </c>
      <c r="I67" s="38" t="n">
        <v>8.9</v>
      </c>
      <c r="J67" s="38" t="n">
        <v>9.584615384615384</v>
      </c>
      <c r="K67" s="38" t="n">
        <v>10.38333333333333</v>
      </c>
      <c r="L67" s="38" t="n">
        <v>11.32727272727273</v>
      </c>
      <c r="M67" s="38" t="n">
        <v>12.46</v>
      </c>
      <c r="N67" s="38" t="n">
        <v>13.84444444444444</v>
      </c>
      <c r="O67" s="38" t="n">
        <v>15.575</v>
      </c>
      <c r="P67" s="38" t="n">
        <v>17.8</v>
      </c>
      <c r="Q67" s="38" t="n">
        <v>20.76666666666667</v>
      </c>
      <c r="R67" s="38" t="n">
        <v>24.92</v>
      </c>
      <c r="S67" s="38" t="n">
        <v>31.15</v>
      </c>
      <c r="T67" s="38" t="n">
        <v>41.53333333333334</v>
      </c>
      <c r="U67" s="38" t="n">
        <v>62.3</v>
      </c>
      <c r="V67" s="38" t="n">
        <v>124.6</v>
      </c>
      <c r="W67" s="38" t="n">
        <v>14.8</v>
      </c>
      <c r="X67" s="38" t="n">
        <v>15.57894736842105</v>
      </c>
      <c r="Y67" s="38" t="n">
        <v>16.44444444444445</v>
      </c>
      <c r="Z67" s="38" t="n">
        <v>17.41176470588236</v>
      </c>
      <c r="AA67" s="38" t="n">
        <v>18.5</v>
      </c>
      <c r="AB67" s="38" t="n">
        <v>19.73333333333333</v>
      </c>
      <c r="AC67" s="38" t="n">
        <v>21.14285714285715</v>
      </c>
      <c r="AD67" s="38" t="n">
        <v>22.76923076923077</v>
      </c>
      <c r="AE67" s="38" t="n">
        <v>24.66666666666667</v>
      </c>
      <c r="AF67" s="38" t="n">
        <v>26.90909090909091</v>
      </c>
      <c r="AG67" s="38" t="n">
        <v>29.6</v>
      </c>
      <c r="AH67" s="38" t="n">
        <v>32.88888888888889</v>
      </c>
      <c r="AI67" s="38" t="n">
        <v>37</v>
      </c>
      <c r="AJ67" s="38" t="n">
        <v>42.28571428571428</v>
      </c>
      <c r="AK67" s="38" t="n">
        <v>49.33333333333334</v>
      </c>
      <c r="AL67" s="38" t="n">
        <v>59.2</v>
      </c>
      <c r="AM67" s="38" t="n">
        <v>74</v>
      </c>
      <c r="AN67" s="38" t="n">
        <v>98.66666666666666</v>
      </c>
      <c r="AO67" s="38" t="n">
        <v>148</v>
      </c>
      <c r="AP67" s="38" t="n">
        <v>295.9999999999999</v>
      </c>
    </row>
    <row r="68">
      <c r="A68" s="5" t="inlineStr">
        <is>
          <t>P62</t>
        </is>
      </c>
      <c r="B68" s="5" t="inlineStr">
        <is>
          <t>Karitel</t>
        </is>
      </c>
      <c r="C68" s="38" t="n">
        <v>6.435</v>
      </c>
      <c r="D68" s="38" t="n">
        <v>6.773684210526316</v>
      </c>
      <c r="E68" s="38" t="n">
        <v>7.149999999999999</v>
      </c>
      <c r="F68" s="38" t="n">
        <v>7.570588235294117</v>
      </c>
      <c r="G68" s="38" t="n">
        <v>8.043749999999999</v>
      </c>
      <c r="H68" s="38" t="n">
        <v>8.58</v>
      </c>
      <c r="I68" s="38" t="n">
        <v>9.192857142857143</v>
      </c>
      <c r="J68" s="38" t="n">
        <v>9.899999999999999</v>
      </c>
      <c r="K68" s="38" t="n">
        <v>10.725</v>
      </c>
      <c r="L68" s="38" t="n">
        <v>11.7</v>
      </c>
      <c r="M68" s="38" t="n">
        <v>12.87</v>
      </c>
      <c r="N68" s="38" t="n">
        <v>14.3</v>
      </c>
      <c r="O68" s="38" t="n">
        <v>16.0875</v>
      </c>
      <c r="P68" s="38" t="n">
        <v>18.38571428571429</v>
      </c>
      <c r="Q68" s="38" t="n">
        <v>21.45</v>
      </c>
      <c r="R68" s="38" t="n">
        <v>25.74</v>
      </c>
      <c r="S68" s="38" t="n">
        <v>32.175</v>
      </c>
      <c r="T68" s="38" t="n">
        <v>42.9</v>
      </c>
      <c r="U68" s="38" t="n">
        <v>64.34999999999999</v>
      </c>
      <c r="V68" s="38" t="n">
        <v>128.7</v>
      </c>
      <c r="W68" s="38" t="n">
        <v>14.65</v>
      </c>
      <c r="X68" s="38" t="n">
        <v>15.42105263157895</v>
      </c>
      <c r="Y68" s="38" t="n">
        <v>16.27777777777778</v>
      </c>
      <c r="Z68" s="38" t="n">
        <v>17.23529411764706</v>
      </c>
      <c r="AA68" s="38" t="n">
        <v>18.3125</v>
      </c>
      <c r="AB68" s="38" t="n">
        <v>19.53333333333333</v>
      </c>
      <c r="AC68" s="38" t="n">
        <v>20.92857142857143</v>
      </c>
      <c r="AD68" s="38" t="n">
        <v>22.53846153846154</v>
      </c>
      <c r="AE68" s="38" t="n">
        <v>24.41666666666667</v>
      </c>
      <c r="AF68" s="38" t="n">
        <v>26.63636363636363</v>
      </c>
      <c r="AG68" s="38" t="n">
        <v>29.3</v>
      </c>
      <c r="AH68" s="38" t="n">
        <v>32.55555555555555</v>
      </c>
      <c r="AI68" s="38" t="n">
        <v>36.625</v>
      </c>
      <c r="AJ68" s="38" t="n">
        <v>41.85714285714285</v>
      </c>
      <c r="AK68" s="38" t="n">
        <v>48.83333333333334</v>
      </c>
      <c r="AL68" s="38" t="n">
        <v>58.59999999999999</v>
      </c>
      <c r="AM68" s="38" t="n">
        <v>73.25</v>
      </c>
      <c r="AN68" s="38" t="n">
        <v>97.66666666666666</v>
      </c>
      <c r="AO68" s="38" t="n">
        <v>146.5</v>
      </c>
      <c r="AP68" s="38" t="n">
        <v>292.9999999999999</v>
      </c>
    </row>
    <row r="69">
      <c r="A69" s="5" t="inlineStr">
        <is>
          <t>P63</t>
        </is>
      </c>
      <c r="B69" s="5" t="inlineStr">
        <is>
          <t>Karitel</t>
        </is>
      </c>
      <c r="C69" s="38" t="n">
        <v>3.535</v>
      </c>
      <c r="D69" s="38" t="n">
        <v>3.721052631578948</v>
      </c>
      <c r="E69" s="38" t="n">
        <v>3.927777777777778</v>
      </c>
      <c r="F69" s="38" t="n">
        <v>4.158823529411765</v>
      </c>
      <c r="G69" s="38" t="n">
        <v>4.41875</v>
      </c>
      <c r="H69" s="38" t="n">
        <v>4.713333333333334</v>
      </c>
      <c r="I69" s="38" t="n">
        <v>5.050000000000001</v>
      </c>
      <c r="J69" s="38" t="n">
        <v>5.438461538461539</v>
      </c>
      <c r="K69" s="38" t="n">
        <v>5.891666666666667</v>
      </c>
      <c r="L69" s="38" t="n">
        <v>6.427272727272727</v>
      </c>
      <c r="M69" s="38" t="n">
        <v>7.07</v>
      </c>
      <c r="N69" s="38" t="n">
        <v>7.855555555555556</v>
      </c>
      <c r="O69" s="38" t="n">
        <v>8.8375</v>
      </c>
      <c r="P69" s="38" t="n">
        <v>10.1</v>
      </c>
      <c r="Q69" s="38" t="n">
        <v>11.78333333333333</v>
      </c>
      <c r="R69" s="38" t="n">
        <v>14.14</v>
      </c>
      <c r="S69" s="38" t="n">
        <v>17.675</v>
      </c>
      <c r="T69" s="38" t="n">
        <v>23.56666666666667</v>
      </c>
      <c r="U69" s="38" t="n">
        <v>35.35</v>
      </c>
      <c r="V69" s="38" t="n">
        <v>70.7</v>
      </c>
      <c r="W69" s="38" t="n">
        <v>7.33</v>
      </c>
      <c r="X69" s="38" t="n">
        <v>7.715789473684211</v>
      </c>
      <c r="Y69" s="38" t="n">
        <v>8.144444444444444</v>
      </c>
      <c r="Z69" s="38" t="n">
        <v>8.623529411764705</v>
      </c>
      <c r="AA69" s="38" t="n">
        <v>9.1625</v>
      </c>
      <c r="AB69" s="38" t="n">
        <v>9.773333333333333</v>
      </c>
      <c r="AC69" s="38" t="n">
        <v>10.47142857142857</v>
      </c>
      <c r="AD69" s="38" t="n">
        <v>11.27692307692308</v>
      </c>
      <c r="AE69" s="38" t="n">
        <v>12.21666666666667</v>
      </c>
      <c r="AF69" s="38" t="n">
        <v>13.32727272727273</v>
      </c>
      <c r="AG69" s="38" t="n">
        <v>14.66</v>
      </c>
      <c r="AH69" s="38" t="n">
        <v>16.28888888888889</v>
      </c>
      <c r="AI69" s="38" t="n">
        <v>18.325</v>
      </c>
      <c r="AJ69" s="38" t="n">
        <v>20.94285714285714</v>
      </c>
      <c r="AK69" s="38" t="n">
        <v>24.43333333333333</v>
      </c>
      <c r="AL69" s="38" t="n">
        <v>29.32</v>
      </c>
      <c r="AM69" s="38" t="n">
        <v>36.65</v>
      </c>
      <c r="AN69" s="38" t="n">
        <v>48.86666666666666</v>
      </c>
      <c r="AO69" s="38" t="n">
        <v>73.3</v>
      </c>
      <c r="AP69" s="38" t="n">
        <v>146.6</v>
      </c>
    </row>
    <row r="70">
      <c r="A70" s="5" t="inlineStr">
        <is>
          <t>P64</t>
        </is>
      </c>
      <c r="B70" s="5" t="inlineStr">
        <is>
          <t>Karitel</t>
        </is>
      </c>
      <c r="C70" s="38" t="n">
        <v>5.25</v>
      </c>
      <c r="D70" s="38" t="n">
        <v>5.526315789473684</v>
      </c>
      <c r="E70" s="38" t="n">
        <v>5.833333333333333</v>
      </c>
      <c r="F70" s="38" t="n">
        <v>6.176470588235294</v>
      </c>
      <c r="G70" s="38" t="n">
        <v>6.5625</v>
      </c>
      <c r="H70" s="38" t="n">
        <v>7</v>
      </c>
      <c r="I70" s="38" t="n">
        <v>7.500000000000001</v>
      </c>
      <c r="J70" s="38" t="n">
        <v>8.076923076923077</v>
      </c>
      <c r="K70" s="38" t="n">
        <v>8.75</v>
      </c>
      <c r="L70" s="38" t="n">
        <v>9.545454545454545</v>
      </c>
      <c r="M70" s="38" t="n">
        <v>10.5</v>
      </c>
      <c r="N70" s="38" t="n">
        <v>11.66666666666667</v>
      </c>
      <c r="O70" s="38" t="n">
        <v>13.125</v>
      </c>
      <c r="P70" s="38" t="n">
        <v>15</v>
      </c>
      <c r="Q70" s="38" t="n">
        <v>17.5</v>
      </c>
      <c r="R70" s="38" t="n">
        <v>21</v>
      </c>
      <c r="S70" s="38" t="n">
        <v>26.25</v>
      </c>
      <c r="T70" s="38" t="n">
        <v>35</v>
      </c>
      <c r="U70" s="38" t="n">
        <v>52.5</v>
      </c>
      <c r="V70" s="38" t="n">
        <v>105</v>
      </c>
      <c r="W70" s="38" t="n">
        <v>11.22</v>
      </c>
      <c r="X70" s="38" t="n">
        <v>11.81052631578948</v>
      </c>
      <c r="Y70" s="38" t="n">
        <v>12.46666666666667</v>
      </c>
      <c r="Z70" s="38" t="n">
        <v>13.2</v>
      </c>
      <c r="AA70" s="38" t="n">
        <v>14.025</v>
      </c>
      <c r="AB70" s="38" t="n">
        <v>14.96</v>
      </c>
      <c r="AC70" s="38" t="n">
        <v>16.02857142857143</v>
      </c>
      <c r="AD70" s="38" t="n">
        <v>17.26153846153846</v>
      </c>
      <c r="AE70" s="38" t="n">
        <v>18.7</v>
      </c>
      <c r="AF70" s="38" t="n">
        <v>20.4</v>
      </c>
      <c r="AG70" s="38" t="n">
        <v>22.44</v>
      </c>
      <c r="AH70" s="38" t="n">
        <v>24.93333333333333</v>
      </c>
      <c r="AI70" s="38" t="n">
        <v>28.05</v>
      </c>
      <c r="AJ70" s="38" t="n">
        <v>32.05714285714286</v>
      </c>
      <c r="AK70" s="38" t="n">
        <v>37.40000000000001</v>
      </c>
      <c r="AL70" s="38" t="n">
        <v>44.88000000000001</v>
      </c>
      <c r="AM70" s="38" t="n">
        <v>56.1</v>
      </c>
      <c r="AN70" s="38" t="n">
        <v>74.80000000000003</v>
      </c>
      <c r="AO70" s="38" t="n">
        <v>112.2</v>
      </c>
      <c r="AP70" s="38" t="n">
        <v>224.4000000000001</v>
      </c>
    </row>
    <row r="71">
      <c r="A71" s="5" t="inlineStr">
        <is>
          <t>P65</t>
        </is>
      </c>
      <c r="B71" s="5" t="inlineStr">
        <is>
          <t>Karitel</t>
        </is>
      </c>
      <c r="C71" s="38" t="n">
        <v>7.14</v>
      </c>
      <c r="D71" s="38" t="n">
        <v>7.515789473684211</v>
      </c>
      <c r="E71" s="38" t="n">
        <v>7.933333333333333</v>
      </c>
      <c r="F71" s="38" t="n">
        <v>8.4</v>
      </c>
      <c r="G71" s="38" t="n">
        <v>8.924999999999999</v>
      </c>
      <c r="H71" s="38" t="n">
        <v>9.52</v>
      </c>
      <c r="I71" s="38" t="n">
        <v>10.2</v>
      </c>
      <c r="J71" s="38" t="n">
        <v>10.98461538461538</v>
      </c>
      <c r="K71" s="38" t="n">
        <v>11.9</v>
      </c>
      <c r="L71" s="38" t="n">
        <v>12.98181818181818</v>
      </c>
      <c r="M71" s="38" t="n">
        <v>14.28</v>
      </c>
      <c r="N71" s="38" t="n">
        <v>15.86666666666667</v>
      </c>
      <c r="O71" s="38" t="n">
        <v>17.85</v>
      </c>
      <c r="P71" s="38" t="n">
        <v>20.4</v>
      </c>
      <c r="Q71" s="38" t="n">
        <v>23.8</v>
      </c>
      <c r="R71" s="38" t="n">
        <v>28.56</v>
      </c>
      <c r="S71" s="38" t="n">
        <v>35.7</v>
      </c>
      <c r="T71" s="38" t="n">
        <v>47.6</v>
      </c>
      <c r="U71" s="38" t="n">
        <v>71.39999999999999</v>
      </c>
      <c r="V71" s="38" t="n">
        <v>142.8</v>
      </c>
      <c r="W71" s="38" t="n">
        <v>15.47</v>
      </c>
      <c r="X71" s="38" t="n">
        <v>16.28421052631579</v>
      </c>
      <c r="Y71" s="38" t="n">
        <v>17.18888888888889</v>
      </c>
      <c r="Z71" s="38" t="n">
        <v>18.2</v>
      </c>
      <c r="AA71" s="38" t="n">
        <v>19.3375</v>
      </c>
      <c r="AB71" s="38" t="n">
        <v>20.62666666666667</v>
      </c>
      <c r="AC71" s="38" t="n">
        <v>22.1</v>
      </c>
      <c r="AD71" s="38" t="n">
        <v>23.8</v>
      </c>
      <c r="AE71" s="38" t="n">
        <v>25.78333333333333</v>
      </c>
      <c r="AF71" s="38" t="n">
        <v>28.12727272727273</v>
      </c>
      <c r="AG71" s="38" t="n">
        <v>30.94</v>
      </c>
      <c r="AH71" s="38" t="n">
        <v>34.37777777777778</v>
      </c>
      <c r="AI71" s="38" t="n">
        <v>38.675</v>
      </c>
      <c r="AJ71" s="38" t="n">
        <v>44.2</v>
      </c>
      <c r="AK71" s="38" t="n">
        <v>51.56666666666667</v>
      </c>
      <c r="AL71" s="38" t="n">
        <v>61.88</v>
      </c>
      <c r="AM71" s="38" t="n">
        <v>77.34999999999999</v>
      </c>
      <c r="AN71" s="38" t="n">
        <v>103.1333333333333</v>
      </c>
      <c r="AO71" s="38" t="n">
        <v>154.7</v>
      </c>
      <c r="AP71" s="38" t="n">
        <v>309.4</v>
      </c>
    </row>
    <row r="72">
      <c r="A72" s="5" t="inlineStr">
        <is>
          <t>P66</t>
        </is>
      </c>
      <c r="B72" s="5" t="inlineStr">
        <is>
          <t>Karitel</t>
        </is>
      </c>
      <c r="C72" s="38" t="n">
        <v>5.665</v>
      </c>
      <c r="D72" s="38" t="n">
        <v>5.963157894736843</v>
      </c>
      <c r="E72" s="38" t="n">
        <v>6.294444444444444</v>
      </c>
      <c r="F72" s="38" t="n">
        <v>6.664705882352941</v>
      </c>
      <c r="G72" s="38" t="n">
        <v>7.08125</v>
      </c>
      <c r="H72" s="38" t="n">
        <v>7.553333333333334</v>
      </c>
      <c r="I72" s="38" t="n">
        <v>8.092857142857143</v>
      </c>
      <c r="J72" s="38" t="n">
        <v>8.715384615384615</v>
      </c>
      <c r="K72" s="38" t="n">
        <v>9.441666666666666</v>
      </c>
      <c r="L72" s="38" t="n">
        <v>10.3</v>
      </c>
      <c r="M72" s="38" t="n">
        <v>11.33</v>
      </c>
      <c r="N72" s="38" t="n">
        <v>12.58888888888889</v>
      </c>
      <c r="O72" s="38" t="n">
        <v>14.1625</v>
      </c>
      <c r="P72" s="38" t="n">
        <v>16.18571428571429</v>
      </c>
      <c r="Q72" s="38" t="n">
        <v>18.88333333333333</v>
      </c>
      <c r="R72" s="38" t="n">
        <v>22.66</v>
      </c>
      <c r="S72" s="38" t="n">
        <v>28.325</v>
      </c>
      <c r="T72" s="38" t="n">
        <v>37.76666666666667</v>
      </c>
      <c r="U72" s="38" t="n">
        <v>56.65</v>
      </c>
      <c r="V72" s="38" t="n">
        <v>113.3</v>
      </c>
      <c r="W72" s="38" t="n">
        <v>12.33</v>
      </c>
      <c r="X72" s="38" t="n">
        <v>12.97894736842105</v>
      </c>
      <c r="Y72" s="38" t="n">
        <v>13.7</v>
      </c>
      <c r="Z72" s="38" t="n">
        <v>14.50588235294118</v>
      </c>
      <c r="AA72" s="38" t="n">
        <v>15.4125</v>
      </c>
      <c r="AB72" s="38" t="n">
        <v>16.44</v>
      </c>
      <c r="AC72" s="38" t="n">
        <v>17.61428571428571</v>
      </c>
      <c r="AD72" s="38" t="n">
        <v>18.96923076923077</v>
      </c>
      <c r="AE72" s="38" t="n">
        <v>20.55</v>
      </c>
      <c r="AF72" s="38" t="n">
        <v>22.41818181818182</v>
      </c>
      <c r="AG72" s="38" t="n">
        <v>24.66</v>
      </c>
      <c r="AH72" s="38" t="n">
        <v>27.4</v>
      </c>
      <c r="AI72" s="38" t="n">
        <v>30.825</v>
      </c>
      <c r="AJ72" s="38" t="n">
        <v>35.22857142857143</v>
      </c>
      <c r="AK72" s="38" t="n">
        <v>41.1</v>
      </c>
      <c r="AL72" s="38" t="n">
        <v>49.31999999999999</v>
      </c>
      <c r="AM72" s="38" t="n">
        <v>61.65</v>
      </c>
      <c r="AN72" s="38" t="n">
        <v>82.19999999999999</v>
      </c>
      <c r="AO72" s="38" t="n">
        <v>123.3</v>
      </c>
      <c r="AP72" s="38" t="n">
        <v>246.6</v>
      </c>
    </row>
    <row r="73">
      <c r="A73" s="5" t="inlineStr">
        <is>
          <t>P67</t>
        </is>
      </c>
      <c r="B73" s="5" t="inlineStr">
        <is>
          <t>Karitel</t>
        </is>
      </c>
      <c r="C73" s="38" t="n">
        <v>4.85</v>
      </c>
      <c r="D73" s="38" t="n">
        <v>5.105263157894736</v>
      </c>
      <c r="E73" s="38" t="n">
        <v>5.388888888888888</v>
      </c>
      <c r="F73" s="38" t="n">
        <v>5.705882352941177</v>
      </c>
      <c r="G73" s="38" t="n">
        <v>6.062499999999999</v>
      </c>
      <c r="H73" s="38" t="n">
        <v>6.466666666666666</v>
      </c>
      <c r="I73" s="38" t="n">
        <v>6.928571428571429</v>
      </c>
      <c r="J73" s="38" t="n">
        <v>7.461538461538461</v>
      </c>
      <c r="K73" s="38" t="n">
        <v>8.083333333333334</v>
      </c>
      <c r="L73" s="38" t="n">
        <v>8.818181818181817</v>
      </c>
      <c r="M73" s="38" t="n">
        <v>9.699999999999999</v>
      </c>
      <c r="N73" s="38" t="n">
        <v>10.77777777777778</v>
      </c>
      <c r="O73" s="38" t="n">
        <v>12.125</v>
      </c>
      <c r="P73" s="38" t="n">
        <v>13.85714285714286</v>
      </c>
      <c r="Q73" s="38" t="n">
        <v>16.16666666666667</v>
      </c>
      <c r="R73" s="38" t="n">
        <v>19.4</v>
      </c>
      <c r="S73" s="38" t="n">
        <v>24.25</v>
      </c>
      <c r="T73" s="38" t="n">
        <v>32.33333333333334</v>
      </c>
      <c r="U73" s="38" t="n">
        <v>48.49999999999999</v>
      </c>
      <c r="V73" s="38" t="n">
        <v>96.99999999999999</v>
      </c>
      <c r="W73" s="38" t="n">
        <v>10.94</v>
      </c>
      <c r="X73" s="38" t="n">
        <v>11.51578947368421</v>
      </c>
      <c r="Y73" s="38" t="n">
        <v>12.15555555555556</v>
      </c>
      <c r="Z73" s="38" t="n">
        <v>12.87058823529412</v>
      </c>
      <c r="AA73" s="38" t="n">
        <v>13.675</v>
      </c>
      <c r="AB73" s="38" t="n">
        <v>14.58666666666667</v>
      </c>
      <c r="AC73" s="38" t="n">
        <v>15.62857142857143</v>
      </c>
      <c r="AD73" s="38" t="n">
        <v>16.83076923076923</v>
      </c>
      <c r="AE73" s="38" t="n">
        <v>18.23333333333333</v>
      </c>
      <c r="AF73" s="38" t="n">
        <v>19.89090909090909</v>
      </c>
      <c r="AG73" s="38" t="n">
        <v>21.88</v>
      </c>
      <c r="AH73" s="38" t="n">
        <v>24.31111111111111</v>
      </c>
      <c r="AI73" s="38" t="n">
        <v>27.35</v>
      </c>
      <c r="AJ73" s="38" t="n">
        <v>31.25714285714286</v>
      </c>
      <c r="AK73" s="38" t="n">
        <v>36.46666666666667</v>
      </c>
      <c r="AL73" s="38" t="n">
        <v>43.76</v>
      </c>
      <c r="AM73" s="38" t="n">
        <v>54.7</v>
      </c>
      <c r="AN73" s="38" t="n">
        <v>72.93333333333334</v>
      </c>
      <c r="AO73" s="38" t="n">
        <v>109.4</v>
      </c>
      <c r="AP73" s="38" t="n">
        <v>218.8</v>
      </c>
    </row>
    <row r="74">
      <c r="A74" s="5" t="inlineStr">
        <is>
          <t>P68</t>
        </is>
      </c>
      <c r="B74" s="5" t="inlineStr">
        <is>
          <t>Karitel</t>
        </is>
      </c>
      <c r="C74" s="38" t="n">
        <v>5</v>
      </c>
      <c r="D74" s="38" t="n">
        <v>5.263157894736842</v>
      </c>
      <c r="E74" s="38" t="n">
        <v>5.555555555555555</v>
      </c>
      <c r="F74" s="38" t="n">
        <v>5.882352941176471</v>
      </c>
      <c r="G74" s="38" t="n">
        <v>6.25</v>
      </c>
      <c r="H74" s="38" t="n">
        <v>6.666666666666667</v>
      </c>
      <c r="I74" s="38" t="n">
        <v>7.142857142857143</v>
      </c>
      <c r="J74" s="38" t="n">
        <v>7.692307692307692</v>
      </c>
      <c r="K74" s="38" t="n">
        <v>8.333333333333334</v>
      </c>
      <c r="L74" s="38" t="n">
        <v>9.09090909090909</v>
      </c>
      <c r="M74" s="38" t="n">
        <v>10</v>
      </c>
      <c r="N74" s="38" t="n">
        <v>11.11111111111111</v>
      </c>
      <c r="O74" s="38" t="n">
        <v>12.5</v>
      </c>
      <c r="P74" s="38" t="n">
        <v>14.28571428571429</v>
      </c>
      <c r="Q74" s="38" t="n">
        <v>16.66666666666667</v>
      </c>
      <c r="R74" s="38" t="n">
        <v>20</v>
      </c>
      <c r="S74" s="38" t="n">
        <v>25</v>
      </c>
      <c r="T74" s="38" t="n">
        <v>33.33333333333334</v>
      </c>
      <c r="U74" s="38" t="n">
        <v>50</v>
      </c>
      <c r="V74" s="38" t="n">
        <v>100</v>
      </c>
      <c r="W74" s="38" t="n">
        <v>10.94</v>
      </c>
      <c r="X74" s="38" t="n">
        <v>11.51578947368421</v>
      </c>
      <c r="Y74" s="38" t="n">
        <v>12.15555555555556</v>
      </c>
      <c r="Z74" s="38" t="n">
        <v>12.87058823529412</v>
      </c>
      <c r="AA74" s="38" t="n">
        <v>13.675</v>
      </c>
      <c r="AB74" s="38" t="n">
        <v>14.58666666666667</v>
      </c>
      <c r="AC74" s="38" t="n">
        <v>15.62857142857143</v>
      </c>
      <c r="AD74" s="38" t="n">
        <v>16.83076923076923</v>
      </c>
      <c r="AE74" s="38" t="n">
        <v>18.23333333333333</v>
      </c>
      <c r="AF74" s="38" t="n">
        <v>19.89090909090909</v>
      </c>
      <c r="AG74" s="38" t="n">
        <v>21.88</v>
      </c>
      <c r="AH74" s="38" t="n">
        <v>24.31111111111111</v>
      </c>
      <c r="AI74" s="38" t="n">
        <v>27.35</v>
      </c>
      <c r="AJ74" s="38" t="n">
        <v>31.25714285714286</v>
      </c>
      <c r="AK74" s="38" t="n">
        <v>36.46666666666667</v>
      </c>
      <c r="AL74" s="38" t="n">
        <v>43.76</v>
      </c>
      <c r="AM74" s="38" t="n">
        <v>54.7</v>
      </c>
      <c r="AN74" s="38" t="n">
        <v>72.93333333333334</v>
      </c>
      <c r="AO74" s="38" t="n">
        <v>109.4</v>
      </c>
      <c r="AP74" s="38" t="n">
        <v>218.8</v>
      </c>
    </row>
    <row r="75">
      <c r="A75" s="5" t="inlineStr">
        <is>
          <t>P69</t>
        </is>
      </c>
      <c r="B75" s="5" t="inlineStr">
        <is>
          <t>Karitel</t>
        </is>
      </c>
      <c r="C75" s="38" t="n">
        <v>4.45</v>
      </c>
      <c r="D75" s="38" t="n">
        <v>4.68421052631579</v>
      </c>
      <c r="E75" s="38" t="n">
        <v>4.944444444444445</v>
      </c>
      <c r="F75" s="38" t="n">
        <v>5.235294117647059</v>
      </c>
      <c r="G75" s="38" t="n">
        <v>5.5625</v>
      </c>
      <c r="H75" s="38" t="n">
        <v>5.933333333333334</v>
      </c>
      <c r="I75" s="38" t="n">
        <v>6.357142857142858</v>
      </c>
      <c r="J75" s="38" t="n">
        <v>6.846153846153846</v>
      </c>
      <c r="K75" s="38" t="n">
        <v>7.416666666666667</v>
      </c>
      <c r="L75" s="38" t="n">
        <v>8.09090909090909</v>
      </c>
      <c r="M75" s="38" t="n">
        <v>8.9</v>
      </c>
      <c r="N75" s="38" t="n">
        <v>9.888888888888889</v>
      </c>
      <c r="O75" s="38" t="n">
        <v>11.125</v>
      </c>
      <c r="P75" s="38" t="n">
        <v>12.71428571428572</v>
      </c>
      <c r="Q75" s="38" t="n">
        <v>14.83333333333333</v>
      </c>
      <c r="R75" s="38" t="n">
        <v>17.8</v>
      </c>
      <c r="S75" s="38" t="n">
        <v>22.25</v>
      </c>
      <c r="T75" s="38" t="n">
        <v>29.66666666666667</v>
      </c>
      <c r="U75" s="38" t="n">
        <v>44.5</v>
      </c>
      <c r="V75" s="38" t="n">
        <v>89</v>
      </c>
      <c r="W75" s="38" t="n">
        <v>10.94</v>
      </c>
      <c r="X75" s="38" t="n">
        <v>11.51578947368421</v>
      </c>
      <c r="Y75" s="38" t="n">
        <v>12.15555555555556</v>
      </c>
      <c r="Z75" s="38" t="n">
        <v>12.87058823529412</v>
      </c>
      <c r="AA75" s="38" t="n">
        <v>13.675</v>
      </c>
      <c r="AB75" s="38" t="n">
        <v>14.58666666666667</v>
      </c>
      <c r="AC75" s="38" t="n">
        <v>15.62857142857143</v>
      </c>
      <c r="AD75" s="38" t="n">
        <v>16.83076923076923</v>
      </c>
      <c r="AE75" s="38" t="n">
        <v>18.23333333333333</v>
      </c>
      <c r="AF75" s="38" t="n">
        <v>19.89090909090909</v>
      </c>
      <c r="AG75" s="38" t="n">
        <v>21.88</v>
      </c>
      <c r="AH75" s="38" t="n">
        <v>24.31111111111111</v>
      </c>
      <c r="AI75" s="38" t="n">
        <v>27.35</v>
      </c>
      <c r="AJ75" s="38" t="n">
        <v>31.25714285714286</v>
      </c>
      <c r="AK75" s="38" t="n">
        <v>36.46666666666667</v>
      </c>
      <c r="AL75" s="38" t="n">
        <v>43.76</v>
      </c>
      <c r="AM75" s="38" t="n">
        <v>54.7</v>
      </c>
      <c r="AN75" s="38" t="n">
        <v>72.93333333333334</v>
      </c>
      <c r="AO75" s="38" t="n">
        <v>109.4</v>
      </c>
      <c r="AP75" s="38" t="n">
        <v>218.8</v>
      </c>
    </row>
    <row r="76">
      <c r="A76" s="5" t="inlineStr">
        <is>
          <t>P70</t>
        </is>
      </c>
      <c r="B76" s="5" t="inlineStr">
        <is>
          <t>Karitel</t>
        </is>
      </c>
      <c r="C76" s="38" t="n">
        <v>6.93</v>
      </c>
      <c r="D76" s="38" t="n">
        <v>7.294736842105263</v>
      </c>
      <c r="E76" s="38" t="n">
        <v>7.699999999999999</v>
      </c>
      <c r="F76" s="38" t="n">
        <v>8.152941176470588</v>
      </c>
      <c r="G76" s="38" t="n">
        <v>8.6625</v>
      </c>
      <c r="H76" s="38" t="n">
        <v>9.24</v>
      </c>
      <c r="I76" s="38" t="n">
        <v>9.9</v>
      </c>
      <c r="J76" s="38" t="n">
        <v>10.66153846153846</v>
      </c>
      <c r="K76" s="38" t="n">
        <v>11.55</v>
      </c>
      <c r="L76" s="38" t="n">
        <v>12.6</v>
      </c>
      <c r="M76" s="38" t="n">
        <v>13.86</v>
      </c>
      <c r="N76" s="38" t="n">
        <v>15.4</v>
      </c>
      <c r="O76" s="38" t="n">
        <v>17.325</v>
      </c>
      <c r="P76" s="38" t="n">
        <v>19.8</v>
      </c>
      <c r="Q76" s="38" t="n">
        <v>23.1</v>
      </c>
      <c r="R76" s="38" t="n">
        <v>27.72</v>
      </c>
      <c r="S76" s="38" t="n">
        <v>34.65</v>
      </c>
      <c r="T76" s="38" t="n">
        <v>46.2</v>
      </c>
      <c r="U76" s="38" t="n">
        <v>69.3</v>
      </c>
      <c r="V76" s="38" t="n">
        <v>138.6</v>
      </c>
      <c r="W76" s="38" t="n">
        <v>15.11</v>
      </c>
      <c r="X76" s="38" t="n">
        <v>15.90526315789474</v>
      </c>
      <c r="Y76" s="38" t="n">
        <v>16.78888888888889</v>
      </c>
      <c r="Z76" s="38" t="n">
        <v>17.77647058823529</v>
      </c>
      <c r="AA76" s="38" t="n">
        <v>18.8875</v>
      </c>
      <c r="AB76" s="38" t="n">
        <v>20.14666666666666</v>
      </c>
      <c r="AC76" s="38" t="n">
        <v>21.58571428571429</v>
      </c>
      <c r="AD76" s="38" t="n">
        <v>23.24615384615385</v>
      </c>
      <c r="AE76" s="38" t="n">
        <v>25.18333333333333</v>
      </c>
      <c r="AF76" s="38" t="n">
        <v>27.47272727272727</v>
      </c>
      <c r="AG76" s="38" t="n">
        <v>30.22</v>
      </c>
      <c r="AH76" s="38" t="n">
        <v>33.57777777777778</v>
      </c>
      <c r="AI76" s="38" t="n">
        <v>37.775</v>
      </c>
      <c r="AJ76" s="38" t="n">
        <v>43.17142857142857</v>
      </c>
      <c r="AK76" s="38" t="n">
        <v>50.36666666666667</v>
      </c>
      <c r="AL76" s="38" t="n">
        <v>60.44</v>
      </c>
      <c r="AM76" s="38" t="n">
        <v>75.55</v>
      </c>
      <c r="AN76" s="38" t="n">
        <v>100.7333333333333</v>
      </c>
      <c r="AO76" s="38" t="n">
        <v>151.1</v>
      </c>
      <c r="AP76" s="38" t="n">
        <v>302.2</v>
      </c>
    </row>
    <row r="77">
      <c r="A77" s="5" t="inlineStr">
        <is>
          <t>P71</t>
        </is>
      </c>
      <c r="B77" s="5" t="inlineStr">
        <is>
          <t>Karitel</t>
        </is>
      </c>
      <c r="C77" s="38" t="n">
        <v>4.85</v>
      </c>
      <c r="D77" s="38" t="n">
        <v>5.105263157894736</v>
      </c>
      <c r="E77" s="38" t="n">
        <v>5.388888888888888</v>
      </c>
      <c r="F77" s="38" t="n">
        <v>5.705882352941177</v>
      </c>
      <c r="G77" s="38" t="n">
        <v>6.062499999999999</v>
      </c>
      <c r="H77" s="38" t="n">
        <v>6.466666666666666</v>
      </c>
      <c r="I77" s="38" t="n">
        <v>6.928571428571429</v>
      </c>
      <c r="J77" s="38" t="n">
        <v>7.461538461538461</v>
      </c>
      <c r="K77" s="38" t="n">
        <v>8.083333333333334</v>
      </c>
      <c r="L77" s="38" t="n">
        <v>8.818181818181817</v>
      </c>
      <c r="M77" s="38" t="n">
        <v>9.699999999999999</v>
      </c>
      <c r="N77" s="38" t="n">
        <v>10.77777777777778</v>
      </c>
      <c r="O77" s="38" t="n">
        <v>12.125</v>
      </c>
      <c r="P77" s="38" t="n">
        <v>13.85714285714286</v>
      </c>
      <c r="Q77" s="38" t="n">
        <v>16.16666666666667</v>
      </c>
      <c r="R77" s="38" t="n">
        <v>19.4</v>
      </c>
      <c r="S77" s="38" t="n">
        <v>24.25</v>
      </c>
      <c r="T77" s="38" t="n">
        <v>32.33333333333334</v>
      </c>
      <c r="U77" s="38" t="n">
        <v>48.49999999999999</v>
      </c>
      <c r="V77" s="38" t="n">
        <v>96.99999999999999</v>
      </c>
      <c r="W77" s="38" t="n">
        <v>7.39</v>
      </c>
      <c r="X77" s="38" t="n">
        <v>7.778947368421052</v>
      </c>
      <c r="Y77" s="38" t="n">
        <v>8.21111111111111</v>
      </c>
      <c r="Z77" s="38" t="n">
        <v>8.694117647058823</v>
      </c>
      <c r="AA77" s="38" t="n">
        <v>9.237499999999999</v>
      </c>
      <c r="AB77" s="38" t="n">
        <v>9.853333333333333</v>
      </c>
      <c r="AC77" s="38" t="n">
        <v>10.55714285714286</v>
      </c>
      <c r="AD77" s="38" t="n">
        <v>11.36923076923077</v>
      </c>
      <c r="AE77" s="38" t="n">
        <v>12.31666666666667</v>
      </c>
      <c r="AF77" s="38" t="n">
        <v>13.43636363636363</v>
      </c>
      <c r="AG77" s="38" t="n">
        <v>14.78</v>
      </c>
      <c r="AH77" s="38" t="n">
        <v>16.42222222222222</v>
      </c>
      <c r="AI77" s="38" t="n">
        <v>18.475</v>
      </c>
      <c r="AJ77" s="38" t="n">
        <v>21.11428571428571</v>
      </c>
      <c r="AK77" s="38" t="n">
        <v>24.63333333333333</v>
      </c>
      <c r="AL77" s="38" t="n">
        <v>29.56</v>
      </c>
      <c r="AM77" s="38" t="n">
        <v>36.95</v>
      </c>
      <c r="AN77" s="38" t="n">
        <v>49.26666666666667</v>
      </c>
      <c r="AO77" s="38" t="n">
        <v>73.89999999999999</v>
      </c>
      <c r="AP77" s="38" t="n">
        <v>147.8</v>
      </c>
    </row>
    <row r="78">
      <c r="A78" s="5" t="inlineStr">
        <is>
          <t>P72</t>
        </is>
      </c>
      <c r="B78" s="5" t="inlineStr">
        <is>
          <t>Karitel</t>
        </is>
      </c>
      <c r="C78" s="38" t="n">
        <v>6.12</v>
      </c>
      <c r="D78" s="38" t="n">
        <v>6.442105263157895</v>
      </c>
      <c r="E78" s="38" t="n">
        <v>6.8</v>
      </c>
      <c r="F78" s="38" t="n">
        <v>7.2</v>
      </c>
      <c r="G78" s="38" t="n">
        <v>7.649999999999999</v>
      </c>
      <c r="H78" s="38" t="n">
        <v>8.16</v>
      </c>
      <c r="I78" s="38" t="n">
        <v>8.742857142857144</v>
      </c>
      <c r="J78" s="38" t="n">
        <v>9.415384615384616</v>
      </c>
      <c r="K78" s="38" t="n">
        <v>10.2</v>
      </c>
      <c r="L78" s="38" t="n">
        <v>11.12727272727273</v>
      </c>
      <c r="M78" s="38" t="n">
        <v>12.24</v>
      </c>
      <c r="N78" s="38" t="n">
        <v>13.6</v>
      </c>
      <c r="O78" s="38" t="n">
        <v>15.3</v>
      </c>
      <c r="P78" s="38" t="n">
        <v>17.48571428571429</v>
      </c>
      <c r="Q78" s="38" t="n">
        <v>20.4</v>
      </c>
      <c r="R78" s="38" t="n">
        <v>24.48</v>
      </c>
      <c r="S78" s="38" t="n">
        <v>30.6</v>
      </c>
      <c r="T78" s="38" t="n">
        <v>40.8</v>
      </c>
      <c r="U78" s="38" t="n">
        <v>61.2</v>
      </c>
      <c r="V78" s="38" t="n">
        <v>122.4</v>
      </c>
      <c r="W78" s="38" t="n">
        <v>13.88</v>
      </c>
      <c r="X78" s="38" t="n">
        <v>14.61052631578947</v>
      </c>
      <c r="Y78" s="38" t="n">
        <v>15.42222222222222</v>
      </c>
      <c r="Z78" s="38" t="n">
        <v>16.32941176470588</v>
      </c>
      <c r="AA78" s="38" t="n">
        <v>17.35</v>
      </c>
      <c r="AB78" s="38" t="n">
        <v>18.50666666666667</v>
      </c>
      <c r="AC78" s="38" t="n">
        <v>19.82857142857143</v>
      </c>
      <c r="AD78" s="38" t="n">
        <v>21.35384615384615</v>
      </c>
      <c r="AE78" s="38" t="n">
        <v>23.13333333333334</v>
      </c>
      <c r="AF78" s="38" t="n">
        <v>25.23636363636363</v>
      </c>
      <c r="AG78" s="38" t="n">
        <v>27.76</v>
      </c>
      <c r="AH78" s="38" t="n">
        <v>30.84444444444444</v>
      </c>
      <c r="AI78" s="38" t="n">
        <v>34.7</v>
      </c>
      <c r="AJ78" s="38" t="n">
        <v>39.65714285714286</v>
      </c>
      <c r="AK78" s="38" t="n">
        <v>46.26666666666667</v>
      </c>
      <c r="AL78" s="38" t="n">
        <v>55.52</v>
      </c>
      <c r="AM78" s="38" t="n">
        <v>69.40000000000001</v>
      </c>
      <c r="AN78" s="38" t="n">
        <v>92.53333333333333</v>
      </c>
      <c r="AO78" s="38" t="n">
        <v>138.8</v>
      </c>
      <c r="AP78" s="38" t="n">
        <v>277.6</v>
      </c>
    </row>
    <row r="79">
      <c r="A79" s="5" t="inlineStr">
        <is>
          <t>P73</t>
        </is>
      </c>
      <c r="B79" s="5" t="inlineStr">
        <is>
          <t>Karitel</t>
        </is>
      </c>
      <c r="C79" s="38" t="n">
        <v>6.76</v>
      </c>
      <c r="D79" s="38" t="n">
        <v>7.11578947368421</v>
      </c>
      <c r="E79" s="38" t="n">
        <v>7.511111111111111</v>
      </c>
      <c r="F79" s="38" t="n">
        <v>7.952941176470588</v>
      </c>
      <c r="G79" s="38" t="n">
        <v>8.449999999999999</v>
      </c>
      <c r="H79" s="38" t="n">
        <v>9.013333333333334</v>
      </c>
      <c r="I79" s="38" t="n">
        <v>9.657142857142857</v>
      </c>
      <c r="J79" s="38" t="n">
        <v>10.4</v>
      </c>
      <c r="K79" s="38" t="n">
        <v>11.26666666666667</v>
      </c>
      <c r="L79" s="38" t="n">
        <v>12.29090909090909</v>
      </c>
      <c r="M79" s="38" t="n">
        <v>13.52</v>
      </c>
      <c r="N79" s="38" t="n">
        <v>15.02222222222222</v>
      </c>
      <c r="O79" s="38" t="n">
        <v>16.9</v>
      </c>
      <c r="P79" s="38" t="n">
        <v>19.31428571428571</v>
      </c>
      <c r="Q79" s="38" t="n">
        <v>22.53333333333333</v>
      </c>
      <c r="R79" s="38" t="n">
        <v>27.04</v>
      </c>
      <c r="S79" s="38" t="n">
        <v>33.8</v>
      </c>
      <c r="T79" s="38" t="n">
        <v>45.06666666666667</v>
      </c>
      <c r="U79" s="38" t="n">
        <v>67.59999999999999</v>
      </c>
      <c r="V79" s="38" t="n">
        <v>135.2</v>
      </c>
      <c r="W79" s="38" t="n">
        <v>16.05</v>
      </c>
      <c r="X79" s="38" t="n">
        <v>16.89473684210526</v>
      </c>
      <c r="Y79" s="38" t="n">
        <v>17.83333333333333</v>
      </c>
      <c r="Z79" s="38" t="n">
        <v>18.88235294117647</v>
      </c>
      <c r="AA79" s="38" t="n">
        <v>20.0625</v>
      </c>
      <c r="AB79" s="38" t="n">
        <v>21.4</v>
      </c>
      <c r="AC79" s="38" t="n">
        <v>22.92857142857143</v>
      </c>
      <c r="AD79" s="38" t="n">
        <v>24.69230769230769</v>
      </c>
      <c r="AE79" s="38" t="n">
        <v>26.75</v>
      </c>
      <c r="AF79" s="38" t="n">
        <v>29.18181818181818</v>
      </c>
      <c r="AG79" s="38" t="n">
        <v>32.1</v>
      </c>
      <c r="AH79" s="38" t="n">
        <v>35.66666666666666</v>
      </c>
      <c r="AI79" s="38" t="n">
        <v>40.125</v>
      </c>
      <c r="AJ79" s="38" t="n">
        <v>45.85714285714286</v>
      </c>
      <c r="AK79" s="38" t="n">
        <v>53.50000000000001</v>
      </c>
      <c r="AL79" s="38" t="n">
        <v>64.2</v>
      </c>
      <c r="AM79" s="38" t="n">
        <v>80.25</v>
      </c>
      <c r="AN79" s="38" t="n">
        <v>107</v>
      </c>
      <c r="AO79" s="38" t="n">
        <v>160.5</v>
      </c>
      <c r="AP79" s="38" t="n">
        <v>321</v>
      </c>
    </row>
    <row r="80">
      <c r="A80" s="5" t="inlineStr">
        <is>
          <t>P74</t>
        </is>
      </c>
      <c r="B80" s="5" t="inlineStr">
        <is>
          <t>Karitel</t>
        </is>
      </c>
      <c r="C80" s="38" t="n">
        <v>6.76</v>
      </c>
      <c r="D80" s="38" t="n">
        <v>7.11578947368421</v>
      </c>
      <c r="E80" s="38" t="n">
        <v>7.511111111111111</v>
      </c>
      <c r="F80" s="38" t="n">
        <v>7.952941176470588</v>
      </c>
      <c r="G80" s="38" t="n">
        <v>8.449999999999999</v>
      </c>
      <c r="H80" s="38" t="n">
        <v>9.013333333333334</v>
      </c>
      <c r="I80" s="38" t="n">
        <v>9.657142857142857</v>
      </c>
      <c r="J80" s="38" t="n">
        <v>10.4</v>
      </c>
      <c r="K80" s="38" t="n">
        <v>11.26666666666667</v>
      </c>
      <c r="L80" s="38" t="n">
        <v>12.29090909090909</v>
      </c>
      <c r="M80" s="38" t="n">
        <v>13.52</v>
      </c>
      <c r="N80" s="38" t="n">
        <v>15.02222222222222</v>
      </c>
      <c r="O80" s="38" t="n">
        <v>16.9</v>
      </c>
      <c r="P80" s="38" t="n">
        <v>19.31428571428571</v>
      </c>
      <c r="Q80" s="38" t="n">
        <v>22.53333333333333</v>
      </c>
      <c r="R80" s="38" t="n">
        <v>27.04</v>
      </c>
      <c r="S80" s="38" t="n">
        <v>33.8</v>
      </c>
      <c r="T80" s="38" t="n">
        <v>45.06666666666667</v>
      </c>
      <c r="U80" s="38" t="n">
        <v>67.59999999999999</v>
      </c>
      <c r="V80" s="38" t="n">
        <v>135.2</v>
      </c>
      <c r="W80" s="38" t="n">
        <v>16.05</v>
      </c>
      <c r="X80" s="38" t="n">
        <v>16.89473684210526</v>
      </c>
      <c r="Y80" s="38" t="n">
        <v>17.83333333333333</v>
      </c>
      <c r="Z80" s="38" t="n">
        <v>18.88235294117647</v>
      </c>
      <c r="AA80" s="38" t="n">
        <v>20.0625</v>
      </c>
      <c r="AB80" s="38" t="n">
        <v>21.4</v>
      </c>
      <c r="AC80" s="38" t="n">
        <v>22.92857142857143</v>
      </c>
      <c r="AD80" s="38" t="n">
        <v>24.69230769230769</v>
      </c>
      <c r="AE80" s="38" t="n">
        <v>26.75</v>
      </c>
      <c r="AF80" s="38" t="n">
        <v>29.18181818181818</v>
      </c>
      <c r="AG80" s="38" t="n">
        <v>32.1</v>
      </c>
      <c r="AH80" s="38" t="n">
        <v>35.66666666666666</v>
      </c>
      <c r="AI80" s="38" t="n">
        <v>40.125</v>
      </c>
      <c r="AJ80" s="38" t="n">
        <v>45.85714285714286</v>
      </c>
      <c r="AK80" s="38" t="n">
        <v>53.50000000000001</v>
      </c>
      <c r="AL80" s="38" t="n">
        <v>64.2</v>
      </c>
      <c r="AM80" s="38" t="n">
        <v>80.25</v>
      </c>
      <c r="AN80" s="38" t="n">
        <v>107</v>
      </c>
      <c r="AO80" s="38" t="n">
        <v>160.5</v>
      </c>
      <c r="AP80" s="38" t="n">
        <v>321</v>
      </c>
    </row>
    <row r="81">
      <c r="A81" s="5" t="inlineStr">
        <is>
          <t>P75</t>
        </is>
      </c>
      <c r="B81" s="5" t="inlineStr">
        <is>
          <t>Karitel</t>
        </is>
      </c>
      <c r="C81" s="38" t="n">
        <v>5.75</v>
      </c>
      <c r="D81" s="38" t="n">
        <v>6.052631578947369</v>
      </c>
      <c r="E81" s="38" t="n">
        <v>6.388888888888888</v>
      </c>
      <c r="F81" s="38" t="n">
        <v>6.764705882352941</v>
      </c>
      <c r="G81" s="38" t="n">
        <v>7.1875</v>
      </c>
      <c r="H81" s="38" t="n">
        <v>7.666666666666667</v>
      </c>
      <c r="I81" s="38" t="n">
        <v>8.214285714285715</v>
      </c>
      <c r="J81" s="38" t="n">
        <v>8.846153846153847</v>
      </c>
      <c r="K81" s="38" t="n">
        <v>9.583333333333334</v>
      </c>
      <c r="L81" s="38" t="n">
        <v>10.45454545454545</v>
      </c>
      <c r="M81" s="38" t="n">
        <v>11.5</v>
      </c>
      <c r="N81" s="38" t="n">
        <v>12.77777777777778</v>
      </c>
      <c r="O81" s="38" t="n">
        <v>14.375</v>
      </c>
      <c r="P81" s="38" t="n">
        <v>16.42857142857143</v>
      </c>
      <c r="Q81" s="38" t="n">
        <v>19.16666666666667</v>
      </c>
      <c r="R81" s="38" t="n">
        <v>23</v>
      </c>
      <c r="S81" s="38" t="n">
        <v>28.75</v>
      </c>
      <c r="T81" s="38" t="n">
        <v>38.33333333333334</v>
      </c>
      <c r="U81" s="38" t="n">
        <v>57.5</v>
      </c>
      <c r="V81" s="38" t="n">
        <v>115</v>
      </c>
      <c r="W81" s="38" t="n">
        <v>11.2</v>
      </c>
      <c r="X81" s="38" t="n">
        <v>11.78947368421053</v>
      </c>
      <c r="Y81" s="38" t="n">
        <v>12.44444444444444</v>
      </c>
      <c r="Z81" s="38" t="n">
        <v>13.17647058823529</v>
      </c>
      <c r="AA81" s="38" t="n">
        <v>14</v>
      </c>
      <c r="AB81" s="38" t="n">
        <v>14.93333333333333</v>
      </c>
      <c r="AC81" s="38" t="n">
        <v>16</v>
      </c>
      <c r="AD81" s="38" t="n">
        <v>17.23076923076923</v>
      </c>
      <c r="AE81" s="38" t="n">
        <v>18.66666666666667</v>
      </c>
      <c r="AF81" s="38" t="n">
        <v>20.36363636363636</v>
      </c>
      <c r="AG81" s="38" t="n">
        <v>22.4</v>
      </c>
      <c r="AH81" s="38" t="n">
        <v>24.88888888888889</v>
      </c>
      <c r="AI81" s="38" t="n">
        <v>28</v>
      </c>
      <c r="AJ81" s="38" t="n">
        <v>32</v>
      </c>
      <c r="AK81" s="38" t="n">
        <v>37.33333333333334</v>
      </c>
      <c r="AL81" s="38" t="n">
        <v>44.8</v>
      </c>
      <c r="AM81" s="38" t="n">
        <v>55.99999999999999</v>
      </c>
      <c r="AN81" s="38" t="n">
        <v>74.66666666666667</v>
      </c>
      <c r="AO81" s="38" t="n">
        <v>112</v>
      </c>
      <c r="AP81" s="38" t="n">
        <v>224</v>
      </c>
    </row>
    <row r="82">
      <c r="A82" s="5" t="inlineStr">
        <is>
          <t>P76</t>
        </is>
      </c>
      <c r="B82" s="5" t="inlineStr">
        <is>
          <t>Karitel</t>
        </is>
      </c>
      <c r="C82" s="38" t="n">
        <v>3.8</v>
      </c>
      <c r="D82" s="38" t="n">
        <v>4</v>
      </c>
      <c r="E82" s="38" t="n">
        <v>4.222222222222222</v>
      </c>
      <c r="F82" s="38" t="n">
        <v>4.470588235294118</v>
      </c>
      <c r="G82" s="38" t="n">
        <v>4.749999999999999</v>
      </c>
      <c r="H82" s="38" t="n">
        <v>5.066666666666666</v>
      </c>
      <c r="I82" s="38" t="n">
        <v>5.428571428571429</v>
      </c>
      <c r="J82" s="38" t="n">
        <v>5.846153846153846</v>
      </c>
      <c r="K82" s="38" t="n">
        <v>6.333333333333333</v>
      </c>
      <c r="L82" s="38" t="n">
        <v>6.909090909090908</v>
      </c>
      <c r="M82" s="38" t="n">
        <v>7.6</v>
      </c>
      <c r="N82" s="38" t="n">
        <v>8.444444444444445</v>
      </c>
      <c r="O82" s="38" t="n">
        <v>9.499999999999998</v>
      </c>
      <c r="P82" s="38" t="n">
        <v>10.85714285714286</v>
      </c>
      <c r="Q82" s="38" t="n">
        <v>12.66666666666667</v>
      </c>
      <c r="R82" s="38" t="n">
        <v>15.2</v>
      </c>
      <c r="S82" s="38" t="n">
        <v>19</v>
      </c>
      <c r="T82" s="38" t="n">
        <v>25.33333333333333</v>
      </c>
      <c r="U82" s="38" t="n">
        <v>37.99999999999999</v>
      </c>
      <c r="V82" s="38" t="n">
        <v>75.99999999999999</v>
      </c>
      <c r="W82" s="38" t="n">
        <v>7.9</v>
      </c>
      <c r="X82" s="38" t="n">
        <v>8.315789473684211</v>
      </c>
      <c r="Y82" s="38" t="n">
        <v>8.777777777777779</v>
      </c>
      <c r="Z82" s="38" t="n">
        <v>9.294117647058824</v>
      </c>
      <c r="AA82" s="38" t="n">
        <v>9.875</v>
      </c>
      <c r="AB82" s="38" t="n">
        <v>10.53333333333333</v>
      </c>
      <c r="AC82" s="38" t="n">
        <v>11.28571428571429</v>
      </c>
      <c r="AD82" s="38" t="n">
        <v>12.15384615384615</v>
      </c>
      <c r="AE82" s="38" t="n">
        <v>13.16666666666667</v>
      </c>
      <c r="AF82" s="38" t="n">
        <v>14.36363636363636</v>
      </c>
      <c r="AG82" s="38" t="n">
        <v>15.8</v>
      </c>
      <c r="AH82" s="38" t="n">
        <v>17.55555555555556</v>
      </c>
      <c r="AI82" s="38" t="n">
        <v>19.75</v>
      </c>
      <c r="AJ82" s="38" t="n">
        <v>22.57142857142858</v>
      </c>
      <c r="AK82" s="38" t="n">
        <v>26.33333333333334</v>
      </c>
      <c r="AL82" s="38" t="n">
        <v>31.6</v>
      </c>
      <c r="AM82" s="38" t="n">
        <v>39.5</v>
      </c>
      <c r="AN82" s="38" t="n">
        <v>52.66666666666668</v>
      </c>
      <c r="AO82" s="38" t="n">
        <v>79</v>
      </c>
      <c r="AP82" s="38" t="n">
        <v>158</v>
      </c>
    </row>
    <row r="83">
      <c r="A83" s="5" t="inlineStr">
        <is>
          <t>P101</t>
        </is>
      </c>
      <c r="B83" s="5" t="inlineStr">
        <is>
          <t>RDM</t>
        </is>
      </c>
      <c r="C83" s="38" t="n">
        <v>5.28</v>
      </c>
      <c r="D83" s="38" t="n">
        <v>5.557894736842106</v>
      </c>
      <c r="E83" s="38" t="n">
        <v>5.866666666666667</v>
      </c>
      <c r="F83" s="38" t="n">
        <v>6.211764705882353</v>
      </c>
      <c r="G83" s="38" t="n">
        <v>6.6</v>
      </c>
      <c r="H83" s="38" t="n">
        <v>7.04</v>
      </c>
      <c r="I83" s="38" t="n">
        <v>7.542857142857144</v>
      </c>
      <c r="J83" s="38" t="n">
        <v>8.123076923076923</v>
      </c>
      <c r="K83" s="38" t="n">
        <v>8.800000000000001</v>
      </c>
      <c r="L83" s="38" t="n">
        <v>9.6</v>
      </c>
      <c r="M83" s="38" t="n">
        <v>10.56</v>
      </c>
      <c r="N83" s="38" t="n">
        <v>11.73333333333333</v>
      </c>
      <c r="O83" s="38" t="n">
        <v>13.2</v>
      </c>
      <c r="P83" s="38" t="n">
        <v>15.08571428571429</v>
      </c>
      <c r="Q83" s="38" t="n">
        <v>17.6</v>
      </c>
      <c r="R83" s="38" t="n">
        <v>21.12</v>
      </c>
      <c r="S83" s="38" t="n">
        <v>26.4</v>
      </c>
      <c r="T83" s="38" t="n">
        <v>35.2</v>
      </c>
      <c r="U83" s="38" t="n">
        <v>52.8</v>
      </c>
      <c r="V83" s="38" t="n">
        <v>105.6</v>
      </c>
      <c r="W83" s="38" t="n">
        <v>13.26</v>
      </c>
      <c r="X83" s="38" t="n">
        <v>13.95789473684211</v>
      </c>
      <c r="Y83" s="38" t="n">
        <v>14.73333333333333</v>
      </c>
      <c r="Z83" s="38" t="n">
        <v>15.6</v>
      </c>
      <c r="AA83" s="38" t="n">
        <v>16.575</v>
      </c>
      <c r="AB83" s="38" t="n">
        <v>17.68</v>
      </c>
      <c r="AC83" s="38" t="n">
        <v>18.94285714285714</v>
      </c>
      <c r="AD83" s="38" t="n">
        <v>20.4</v>
      </c>
      <c r="AE83" s="38" t="n">
        <v>22.1</v>
      </c>
      <c r="AF83" s="38" t="n">
        <v>24.10909090909091</v>
      </c>
      <c r="AG83" s="38" t="n">
        <v>26.52</v>
      </c>
      <c r="AH83" s="38" t="n">
        <v>29.46666666666667</v>
      </c>
      <c r="AI83" s="38" t="n">
        <v>33.15</v>
      </c>
      <c r="AJ83" s="38" t="n">
        <v>37.88571428571429</v>
      </c>
      <c r="AK83" s="38" t="n">
        <v>44.2</v>
      </c>
      <c r="AL83" s="38" t="n">
        <v>53.04</v>
      </c>
      <c r="AM83" s="38" t="n">
        <v>66.3</v>
      </c>
      <c r="AN83" s="38" t="n">
        <v>88.40000000000001</v>
      </c>
      <c r="AO83" s="38" t="n">
        <v>132.6</v>
      </c>
      <c r="AP83" s="38" t="n">
        <v>265.2</v>
      </c>
    </row>
    <row r="84">
      <c r="A84" s="5" t="inlineStr">
        <is>
          <t>P102</t>
        </is>
      </c>
      <c r="B84" s="5" t="inlineStr">
        <is>
          <t>RDM</t>
        </is>
      </c>
      <c r="C84" s="38" t="n">
        <v>5.445</v>
      </c>
      <c r="D84" s="38" t="n">
        <v>5.731578947368422</v>
      </c>
      <c r="E84" s="38" t="n">
        <v>6.05</v>
      </c>
      <c r="F84" s="38" t="n">
        <v>6.405882352941177</v>
      </c>
      <c r="G84" s="38" t="n">
        <v>6.80625</v>
      </c>
      <c r="H84" s="38" t="n">
        <v>7.260000000000001</v>
      </c>
      <c r="I84" s="38" t="n">
        <v>7.778571428571429</v>
      </c>
      <c r="J84" s="38" t="n">
        <v>8.376923076923077</v>
      </c>
      <c r="K84" s="38" t="n">
        <v>9.075000000000001</v>
      </c>
      <c r="L84" s="38" t="n">
        <v>9.9</v>
      </c>
      <c r="M84" s="38" t="n">
        <v>10.89</v>
      </c>
      <c r="N84" s="38" t="n">
        <v>12.1</v>
      </c>
      <c r="O84" s="38" t="n">
        <v>13.6125</v>
      </c>
      <c r="P84" s="38" t="n">
        <v>15.55714285714286</v>
      </c>
      <c r="Q84" s="38" t="n">
        <v>18.15</v>
      </c>
      <c r="R84" s="38" t="n">
        <v>21.78</v>
      </c>
      <c r="S84" s="38" t="n">
        <v>27.225</v>
      </c>
      <c r="T84" s="38" t="n">
        <v>36.3</v>
      </c>
      <c r="U84" s="38" t="n">
        <v>54.45</v>
      </c>
      <c r="V84" s="38" t="n">
        <v>108.9</v>
      </c>
      <c r="W84" s="38" t="n">
        <v>12.18</v>
      </c>
      <c r="X84" s="38" t="n">
        <v>12.82105263157895</v>
      </c>
      <c r="Y84" s="38" t="n">
        <v>13.53333333333333</v>
      </c>
      <c r="Z84" s="38" t="n">
        <v>14.32941176470588</v>
      </c>
      <c r="AA84" s="38" t="n">
        <v>15.225</v>
      </c>
      <c r="AB84" s="38" t="n">
        <v>16.24</v>
      </c>
      <c r="AC84" s="38" t="n">
        <v>17.4</v>
      </c>
      <c r="AD84" s="38" t="n">
        <v>18.73846153846154</v>
      </c>
      <c r="AE84" s="38" t="n">
        <v>20.3</v>
      </c>
      <c r="AF84" s="38" t="n">
        <v>22.14545454545454</v>
      </c>
      <c r="AG84" s="38" t="n">
        <v>24.36</v>
      </c>
      <c r="AH84" s="38" t="n">
        <v>27.06666666666667</v>
      </c>
      <c r="AI84" s="38" t="n">
        <v>30.45</v>
      </c>
      <c r="AJ84" s="38" t="n">
        <v>34.8</v>
      </c>
      <c r="AK84" s="38" t="n">
        <v>40.6</v>
      </c>
      <c r="AL84" s="38" t="n">
        <v>48.72</v>
      </c>
      <c r="AM84" s="38" t="n">
        <v>60.9</v>
      </c>
      <c r="AN84" s="38" t="n">
        <v>81.2</v>
      </c>
      <c r="AO84" s="38" t="n">
        <v>121.8</v>
      </c>
      <c r="AP84" s="38" t="n">
        <v>243.6</v>
      </c>
    </row>
    <row r="85">
      <c r="A85" s="5" t="inlineStr">
        <is>
          <t>P103</t>
        </is>
      </c>
      <c r="B85" s="5" t="inlineStr">
        <is>
          <t>RDM</t>
        </is>
      </c>
      <c r="C85" s="38" t="n">
        <v>5.06</v>
      </c>
      <c r="D85" s="38" t="n">
        <v>5.326315789473684</v>
      </c>
      <c r="E85" s="38" t="n">
        <v>5.622222222222222</v>
      </c>
      <c r="F85" s="38" t="n">
        <v>5.952941176470588</v>
      </c>
      <c r="G85" s="38" t="n">
        <v>6.324999999999999</v>
      </c>
      <c r="H85" s="38" t="n">
        <v>6.746666666666666</v>
      </c>
      <c r="I85" s="38" t="n">
        <v>7.228571428571429</v>
      </c>
      <c r="J85" s="38" t="n">
        <v>7.784615384615384</v>
      </c>
      <c r="K85" s="38" t="n">
        <v>8.433333333333334</v>
      </c>
      <c r="L85" s="38" t="n">
        <v>9.199999999999999</v>
      </c>
      <c r="M85" s="38" t="n">
        <v>10.12</v>
      </c>
      <c r="N85" s="38" t="n">
        <v>11.24444444444444</v>
      </c>
      <c r="O85" s="38" t="n">
        <v>12.65</v>
      </c>
      <c r="P85" s="38" t="n">
        <v>14.45714285714286</v>
      </c>
      <c r="Q85" s="38" t="n">
        <v>16.86666666666667</v>
      </c>
      <c r="R85" s="38" t="n">
        <v>20.24</v>
      </c>
      <c r="S85" s="38" t="n">
        <v>25.3</v>
      </c>
      <c r="T85" s="38" t="n">
        <v>33.73333333333333</v>
      </c>
      <c r="U85" s="38" t="n">
        <v>50.59999999999999</v>
      </c>
      <c r="V85" s="38" t="n">
        <v>101.2</v>
      </c>
      <c r="W85" s="38" t="n">
        <v>12.18</v>
      </c>
      <c r="X85" s="38" t="n">
        <v>12.82105263157895</v>
      </c>
      <c r="Y85" s="38" t="n">
        <v>13.53333333333333</v>
      </c>
      <c r="Z85" s="38" t="n">
        <v>14.32941176470588</v>
      </c>
      <c r="AA85" s="38" t="n">
        <v>15.225</v>
      </c>
      <c r="AB85" s="38" t="n">
        <v>16.24</v>
      </c>
      <c r="AC85" s="38" t="n">
        <v>17.4</v>
      </c>
      <c r="AD85" s="38" t="n">
        <v>18.73846153846154</v>
      </c>
      <c r="AE85" s="38" t="n">
        <v>20.3</v>
      </c>
      <c r="AF85" s="38" t="n">
        <v>22.14545454545454</v>
      </c>
      <c r="AG85" s="38" t="n">
        <v>24.36</v>
      </c>
      <c r="AH85" s="38" t="n">
        <v>27.06666666666667</v>
      </c>
      <c r="AI85" s="38" t="n">
        <v>30.45</v>
      </c>
      <c r="AJ85" s="38" t="n">
        <v>34.8</v>
      </c>
      <c r="AK85" s="38" t="n">
        <v>40.6</v>
      </c>
      <c r="AL85" s="38" t="n">
        <v>48.72</v>
      </c>
      <c r="AM85" s="38" t="n">
        <v>60.9</v>
      </c>
      <c r="AN85" s="38" t="n">
        <v>81.2</v>
      </c>
      <c r="AO85" s="38" t="n">
        <v>121.8</v>
      </c>
      <c r="AP85" s="38" t="n">
        <v>243.6</v>
      </c>
    </row>
    <row r="86">
      <c r="A86" s="5" t="inlineStr">
        <is>
          <t>P104</t>
        </is>
      </c>
      <c r="B86" s="5" t="inlineStr">
        <is>
          <t>RDM</t>
        </is>
      </c>
      <c r="C86" s="38" t="n">
        <v>5.005</v>
      </c>
      <c r="D86" s="38" t="n">
        <v>5.268421052631579</v>
      </c>
      <c r="E86" s="38" t="n">
        <v>5.561111111111111</v>
      </c>
      <c r="F86" s="38" t="n">
        <v>5.888235294117647</v>
      </c>
      <c r="G86" s="38" t="n">
        <v>6.25625</v>
      </c>
      <c r="H86" s="38" t="n">
        <v>6.673333333333333</v>
      </c>
      <c r="I86" s="38" t="n">
        <v>7.15</v>
      </c>
      <c r="J86" s="38" t="n">
        <v>7.699999999999999</v>
      </c>
      <c r="K86" s="38" t="n">
        <v>8.341666666666667</v>
      </c>
      <c r="L86" s="38" t="n">
        <v>9.1</v>
      </c>
      <c r="M86" s="38" t="n">
        <v>10.01</v>
      </c>
      <c r="N86" s="38" t="n">
        <v>11.12222222222222</v>
      </c>
      <c r="O86" s="38" t="n">
        <v>12.5125</v>
      </c>
      <c r="P86" s="38" t="n">
        <v>14.3</v>
      </c>
      <c r="Q86" s="38" t="n">
        <v>16.68333333333333</v>
      </c>
      <c r="R86" s="38" t="n">
        <v>20.02</v>
      </c>
      <c r="S86" s="38" t="n">
        <v>25.025</v>
      </c>
      <c r="T86" s="38" t="n">
        <v>33.36666666666667</v>
      </c>
      <c r="U86" s="38" t="n">
        <v>50.05</v>
      </c>
      <c r="V86" s="38" t="n">
        <v>100.1</v>
      </c>
      <c r="W86" s="38" t="n">
        <v>12.18</v>
      </c>
      <c r="X86" s="38" t="n">
        <v>12.82105263157895</v>
      </c>
      <c r="Y86" s="38" t="n">
        <v>13.53333333333333</v>
      </c>
      <c r="Z86" s="38" t="n">
        <v>14.3294117647059</v>
      </c>
      <c r="AA86" s="38" t="n">
        <v>15.225</v>
      </c>
      <c r="AB86" s="38" t="n">
        <v>16.24</v>
      </c>
      <c r="AC86" s="38" t="n">
        <v>17.4</v>
      </c>
      <c r="AD86" s="38" t="n">
        <v>18.73846153846154</v>
      </c>
      <c r="AE86" s="38" t="n">
        <v>20.3</v>
      </c>
      <c r="AF86" s="38" t="n">
        <v>22.14545454545454</v>
      </c>
      <c r="AG86" s="38" t="n">
        <v>24.36</v>
      </c>
      <c r="AH86" s="38" t="n">
        <v>27.06666666666667</v>
      </c>
      <c r="AI86" s="38" t="n">
        <v>30.45</v>
      </c>
      <c r="AJ86" s="38" t="n">
        <v>34.8</v>
      </c>
      <c r="AK86" s="38" t="n">
        <v>40.6</v>
      </c>
      <c r="AL86" s="38" t="n">
        <v>48.72</v>
      </c>
      <c r="AM86" s="38" t="n">
        <v>60.9</v>
      </c>
      <c r="AN86" s="38" t="n">
        <v>81.2</v>
      </c>
      <c r="AO86" s="38" t="n">
        <v>121.8</v>
      </c>
      <c r="AP86" s="38" t="n">
        <v>243.6</v>
      </c>
    </row>
    <row r="87">
      <c r="A87" s="5" t="inlineStr">
        <is>
          <t>P105</t>
        </is>
      </c>
      <c r="B87" s="5" t="inlineStr">
        <is>
          <t>RDM</t>
        </is>
      </c>
      <c r="C87" s="38" t="n">
        <v>5.225</v>
      </c>
      <c r="D87" s="38" t="n">
        <v>5.5</v>
      </c>
      <c r="E87" s="38" t="n">
        <v>5.805555555555555</v>
      </c>
      <c r="F87" s="38" t="n">
        <v>6.147058823529411</v>
      </c>
      <c r="G87" s="38" t="n">
        <v>6.531249999999999</v>
      </c>
      <c r="H87" s="38" t="n">
        <v>6.966666666666666</v>
      </c>
      <c r="I87" s="38" t="n">
        <v>7.464285714285714</v>
      </c>
      <c r="J87" s="38" t="n">
        <v>8.038461538461538</v>
      </c>
      <c r="K87" s="38" t="n">
        <v>8.708333333333334</v>
      </c>
      <c r="L87" s="38" t="n">
        <v>9.499999999999998</v>
      </c>
      <c r="M87" s="38" t="n">
        <v>10.45</v>
      </c>
      <c r="N87" s="38" t="n">
        <v>11.61111111111111</v>
      </c>
      <c r="O87" s="38" t="n">
        <v>13.0625</v>
      </c>
      <c r="P87" s="38" t="n">
        <v>14.92857142857143</v>
      </c>
      <c r="Q87" s="38" t="n">
        <v>17.41666666666667</v>
      </c>
      <c r="R87" s="38" t="n">
        <v>20.9</v>
      </c>
      <c r="S87" s="38" t="n">
        <v>26.125</v>
      </c>
      <c r="T87" s="38" t="n">
        <v>34.83333333333334</v>
      </c>
      <c r="U87" s="38" t="n">
        <v>52.24999999999999</v>
      </c>
      <c r="V87" s="38" t="n">
        <v>104.5</v>
      </c>
      <c r="W87" s="38" t="n">
        <v>12.18</v>
      </c>
      <c r="X87" s="38" t="n">
        <v>12.82105263157895</v>
      </c>
      <c r="Y87" s="38" t="n">
        <v>13.53333333333333</v>
      </c>
      <c r="Z87" s="38" t="n">
        <v>14.32941176470588</v>
      </c>
      <c r="AA87" s="38" t="n">
        <v>15.225</v>
      </c>
      <c r="AB87" s="38" t="n">
        <v>16.24</v>
      </c>
      <c r="AC87" s="38" t="n">
        <v>17.4</v>
      </c>
      <c r="AD87" s="38" t="n">
        <v>18.73846153846154</v>
      </c>
      <c r="AE87" s="38" t="n">
        <v>20.3</v>
      </c>
      <c r="AF87" s="38" t="n">
        <v>22.14545454545454</v>
      </c>
      <c r="AG87" s="38" t="n">
        <v>24.36</v>
      </c>
      <c r="AH87" s="38" t="n">
        <v>27.06666666666667</v>
      </c>
      <c r="AI87" s="38" t="n">
        <v>30.45</v>
      </c>
      <c r="AJ87" s="38" t="n">
        <v>34.8</v>
      </c>
      <c r="AK87" s="38" t="n">
        <v>40.6</v>
      </c>
      <c r="AL87" s="38" t="n">
        <v>48.72</v>
      </c>
      <c r="AM87" s="38" t="n">
        <v>60.9</v>
      </c>
      <c r="AN87" s="38" t="n">
        <v>81.2</v>
      </c>
      <c r="AO87" s="38" t="n">
        <v>121.8</v>
      </c>
      <c r="AP87" s="38" t="n">
        <v>243.6</v>
      </c>
    </row>
    <row r="88">
      <c r="A88" s="5" t="inlineStr">
        <is>
          <t>P106</t>
        </is>
      </c>
      <c r="B88" s="5" t="inlineStr">
        <is>
          <t>RDM</t>
        </is>
      </c>
      <c r="C88" s="38" t="n">
        <v>5.34</v>
      </c>
      <c r="D88" s="38" t="n">
        <v>5.621052631578947</v>
      </c>
      <c r="E88" s="38" t="n">
        <v>5.933333333333333</v>
      </c>
      <c r="F88" s="38" t="n">
        <v>6.28235294117647</v>
      </c>
      <c r="G88" s="38" t="n">
        <v>6.675</v>
      </c>
      <c r="H88" s="38" t="n">
        <v>7.12</v>
      </c>
      <c r="I88" s="38" t="n">
        <v>7.628571428571429</v>
      </c>
      <c r="J88" s="38" t="n">
        <v>8.215384615384615</v>
      </c>
      <c r="K88" s="38" t="n">
        <v>8.9</v>
      </c>
      <c r="L88" s="38" t="n">
        <v>9.709090909090907</v>
      </c>
      <c r="M88" s="38" t="n">
        <v>10.68</v>
      </c>
      <c r="N88" s="38" t="n">
        <v>11.86666666666667</v>
      </c>
      <c r="O88" s="38" t="n">
        <v>13.35</v>
      </c>
      <c r="P88" s="38" t="n">
        <v>15.25714285714286</v>
      </c>
      <c r="Q88" s="38" t="n">
        <v>17.8</v>
      </c>
      <c r="R88" s="38" t="n">
        <v>21.36</v>
      </c>
      <c r="S88" s="38" t="n">
        <v>26.7</v>
      </c>
      <c r="T88" s="38" t="n">
        <v>35.6</v>
      </c>
      <c r="U88" s="38" t="n">
        <v>53.4</v>
      </c>
      <c r="V88" s="38" t="n">
        <v>106.8</v>
      </c>
      <c r="W88" s="38" t="n">
        <v>12.18</v>
      </c>
      <c r="X88" s="38" t="n">
        <v>12.82105263157895</v>
      </c>
      <c r="Y88" s="38" t="n">
        <v>13.53333333333333</v>
      </c>
      <c r="Z88" s="38" t="n">
        <v>14.32941176470588</v>
      </c>
      <c r="AA88" s="38" t="n">
        <v>15.225</v>
      </c>
      <c r="AB88" s="38" t="n">
        <v>16.24</v>
      </c>
      <c r="AC88" s="38" t="n">
        <v>17.4</v>
      </c>
      <c r="AD88" s="38" t="n">
        <v>18.73846153846154</v>
      </c>
      <c r="AE88" s="38" t="n">
        <v>20.3</v>
      </c>
      <c r="AF88" s="38" t="n">
        <v>22.14545454545454</v>
      </c>
      <c r="AG88" s="38" t="n">
        <v>24.36</v>
      </c>
      <c r="AH88" s="38" t="n">
        <v>27.06666666666667</v>
      </c>
      <c r="AI88" s="38" t="n">
        <v>30.45</v>
      </c>
      <c r="AJ88" s="38" t="n">
        <v>34.8</v>
      </c>
      <c r="AK88" s="38" t="n">
        <v>40.6</v>
      </c>
      <c r="AL88" s="38" t="n">
        <v>48.72</v>
      </c>
      <c r="AM88" s="38" t="n">
        <v>60.9</v>
      </c>
      <c r="AN88" s="38" t="n">
        <v>81.2</v>
      </c>
      <c r="AO88" s="38" t="n">
        <v>121.8</v>
      </c>
      <c r="AP88" s="38" t="n">
        <v>243.6</v>
      </c>
    </row>
    <row r="89">
      <c r="A89" s="5" t="inlineStr">
        <is>
          <t>P107</t>
        </is>
      </c>
      <c r="B89" s="5" t="inlineStr">
        <is>
          <t>RDM</t>
        </is>
      </c>
      <c r="C89" s="38" t="n">
        <v>5.225</v>
      </c>
      <c r="D89" s="38" t="n">
        <v>5.5</v>
      </c>
      <c r="E89" s="38" t="n">
        <v>5.805555555555555</v>
      </c>
      <c r="F89" s="38" t="n">
        <v>6.147058823529411</v>
      </c>
      <c r="G89" s="38" t="n">
        <v>6.531249999999999</v>
      </c>
      <c r="H89" s="38" t="n">
        <v>6.966666666666666</v>
      </c>
      <c r="I89" s="38" t="n">
        <v>7.464285714285714</v>
      </c>
      <c r="J89" s="38" t="n">
        <v>8.038461538461538</v>
      </c>
      <c r="K89" s="38" t="n">
        <v>8.708333333333334</v>
      </c>
      <c r="L89" s="38" t="n">
        <v>9.499999999999998</v>
      </c>
      <c r="M89" s="38" t="n">
        <v>10.45</v>
      </c>
      <c r="N89" s="38" t="n">
        <v>11.61111111111111</v>
      </c>
      <c r="O89" s="38" t="n">
        <v>13.0625</v>
      </c>
      <c r="P89" s="38" t="n">
        <v>14.92857142857143</v>
      </c>
      <c r="Q89" s="38" t="n">
        <v>17.41666666666667</v>
      </c>
      <c r="R89" s="38" t="n">
        <v>20.9</v>
      </c>
      <c r="S89" s="38" t="n">
        <v>26.125</v>
      </c>
      <c r="T89" s="38" t="n">
        <v>34.83333333333334</v>
      </c>
      <c r="U89" s="38" t="n">
        <v>52.24999999999999</v>
      </c>
      <c r="V89" s="38" t="n">
        <v>104.5</v>
      </c>
      <c r="W89" s="38" t="n">
        <v>12.18</v>
      </c>
      <c r="X89" s="38" t="n">
        <v>12.82105263157895</v>
      </c>
      <c r="Y89" s="38" t="n">
        <v>13.53333333333333</v>
      </c>
      <c r="Z89" s="38" t="n">
        <v>14.32941176470588</v>
      </c>
      <c r="AA89" s="38" t="n">
        <v>15.225</v>
      </c>
      <c r="AB89" s="38" t="n">
        <v>16.24</v>
      </c>
      <c r="AC89" s="38" t="n">
        <v>17.4</v>
      </c>
      <c r="AD89" s="38" t="n">
        <v>18.73846153846154</v>
      </c>
      <c r="AE89" s="38" t="n">
        <v>20.3</v>
      </c>
      <c r="AF89" s="38" t="n">
        <v>22.14545454545454</v>
      </c>
      <c r="AG89" s="38" t="n">
        <v>24.36</v>
      </c>
      <c r="AH89" s="38" t="n">
        <v>27.06666666666667</v>
      </c>
      <c r="AI89" s="38" t="n">
        <v>30.45</v>
      </c>
      <c r="AJ89" s="38" t="n">
        <v>34.8</v>
      </c>
      <c r="AK89" s="38" t="n">
        <v>40.6</v>
      </c>
      <c r="AL89" s="38" t="n">
        <v>48.72</v>
      </c>
      <c r="AM89" s="38" t="n">
        <v>60.9</v>
      </c>
      <c r="AN89" s="38" t="n">
        <v>81.2</v>
      </c>
      <c r="AO89" s="38" t="n">
        <v>121.8</v>
      </c>
      <c r="AP89" s="38" t="n">
        <v>243.6</v>
      </c>
    </row>
    <row r="90">
      <c r="A90" s="5" t="inlineStr">
        <is>
          <t>P108</t>
        </is>
      </c>
      <c r="B90" s="5" t="inlineStr">
        <is>
          <t>RDM</t>
        </is>
      </c>
      <c r="C90" s="38" t="n">
        <v>5.5</v>
      </c>
      <c r="D90" s="38" t="n">
        <v>5.789473684210527</v>
      </c>
      <c r="E90" s="38" t="n">
        <v>6.111111111111111</v>
      </c>
      <c r="F90" s="38" t="n">
        <v>6.470588235294118</v>
      </c>
      <c r="G90" s="38" t="n">
        <v>6.875</v>
      </c>
      <c r="H90" s="38" t="n">
        <v>7.333333333333333</v>
      </c>
      <c r="I90" s="38" t="n">
        <v>7.857142857142858</v>
      </c>
      <c r="J90" s="38" t="n">
        <v>8.461538461538462</v>
      </c>
      <c r="K90" s="38" t="n">
        <v>9.166666666666668</v>
      </c>
      <c r="L90" s="38" t="n">
        <v>10</v>
      </c>
      <c r="M90" s="38" t="n">
        <v>11</v>
      </c>
      <c r="N90" s="38" t="n">
        <v>12.22222222222222</v>
      </c>
      <c r="O90" s="38" t="n">
        <v>13.75</v>
      </c>
      <c r="P90" s="38" t="n">
        <v>15.71428571428572</v>
      </c>
      <c r="Q90" s="38" t="n">
        <v>18.33333333333334</v>
      </c>
      <c r="R90" s="38" t="n">
        <v>22</v>
      </c>
      <c r="S90" s="38" t="n">
        <v>27.5</v>
      </c>
      <c r="T90" s="38" t="n">
        <v>36.66666666666667</v>
      </c>
      <c r="U90" s="38" t="n">
        <v>55</v>
      </c>
      <c r="V90" s="38" t="n">
        <v>110</v>
      </c>
      <c r="W90" s="38" t="n">
        <v>12.18</v>
      </c>
      <c r="X90" s="38" t="n">
        <v>12.82105263157895</v>
      </c>
      <c r="Y90" s="38" t="n">
        <v>13.53333333333333</v>
      </c>
      <c r="Z90" s="38" t="n">
        <v>14.32941176470588</v>
      </c>
      <c r="AA90" s="38" t="n">
        <v>15.225</v>
      </c>
      <c r="AB90" s="38" t="n">
        <v>16.24</v>
      </c>
      <c r="AC90" s="38" t="n">
        <v>17.4</v>
      </c>
      <c r="AD90" s="38" t="n">
        <v>18.73846153846154</v>
      </c>
      <c r="AE90" s="38" t="n">
        <v>20.3</v>
      </c>
      <c r="AF90" s="38" t="n">
        <v>22.14545454545454</v>
      </c>
      <c r="AG90" s="38" t="n">
        <v>24.36</v>
      </c>
      <c r="AH90" s="38" t="n">
        <v>27.06666666666667</v>
      </c>
      <c r="AI90" s="38" t="n">
        <v>30.45</v>
      </c>
      <c r="AJ90" s="38" t="n">
        <v>34.8</v>
      </c>
      <c r="AK90" s="38" t="n">
        <v>40.6</v>
      </c>
      <c r="AL90" s="38" t="n">
        <v>48.72</v>
      </c>
      <c r="AM90" s="38" t="n">
        <v>60.9</v>
      </c>
      <c r="AN90" s="38" t="n">
        <v>81.2</v>
      </c>
      <c r="AO90" s="38" t="n">
        <v>121.8</v>
      </c>
      <c r="AP90" s="38" t="n">
        <v>243.6</v>
      </c>
    </row>
    <row r="91">
      <c r="A91" s="5" t="inlineStr">
        <is>
          <t>P109</t>
        </is>
      </c>
      <c r="B91" s="5" t="inlineStr">
        <is>
          <t>RDM</t>
        </is>
      </c>
      <c r="C91" s="38" t="n">
        <v>5.83</v>
      </c>
      <c r="D91" s="38" t="n">
        <v>6.136842105263158</v>
      </c>
      <c r="E91" s="38" t="n">
        <v>6.477777777777778</v>
      </c>
      <c r="F91" s="38" t="n">
        <v>6.858823529411765</v>
      </c>
      <c r="G91" s="38" t="n">
        <v>7.2875</v>
      </c>
      <c r="H91" s="38" t="n">
        <v>7.773333333333333</v>
      </c>
      <c r="I91" s="38" t="n">
        <v>8.328571428571429</v>
      </c>
      <c r="J91" s="38" t="n">
        <v>8.969230769230769</v>
      </c>
      <c r="K91" s="38" t="n">
        <v>9.716666666666667</v>
      </c>
      <c r="L91" s="38" t="n">
        <v>10.6</v>
      </c>
      <c r="M91" s="38" t="n">
        <v>11.66</v>
      </c>
      <c r="N91" s="38" t="n">
        <v>12.95555555555556</v>
      </c>
      <c r="O91" s="38" t="n">
        <v>14.575</v>
      </c>
      <c r="P91" s="38" t="n">
        <v>16.65714285714286</v>
      </c>
      <c r="Q91" s="38" t="n">
        <v>19.43333333333333</v>
      </c>
      <c r="R91" s="38" t="n">
        <v>23.32</v>
      </c>
      <c r="S91" s="38" t="n">
        <v>29.15</v>
      </c>
      <c r="T91" s="38" t="n">
        <v>38.86666666666667</v>
      </c>
      <c r="U91" s="38" t="n">
        <v>58.3</v>
      </c>
      <c r="V91" s="38" t="n">
        <v>116.6</v>
      </c>
      <c r="W91" s="38" t="n">
        <v>12.18</v>
      </c>
      <c r="X91" s="38" t="n">
        <v>12.82105263157895</v>
      </c>
      <c r="Y91" s="38" t="n">
        <v>13.5333333333333</v>
      </c>
      <c r="Z91" s="38" t="n">
        <v>14.32941176470588</v>
      </c>
      <c r="AA91" s="38" t="n">
        <v>15.225</v>
      </c>
      <c r="AB91" s="38" t="n">
        <v>16.24</v>
      </c>
      <c r="AC91" s="38" t="n">
        <v>17.4</v>
      </c>
      <c r="AD91" s="38" t="n">
        <v>18.73846153846154</v>
      </c>
      <c r="AE91" s="38" t="n">
        <v>20.3</v>
      </c>
      <c r="AF91" s="38" t="n">
        <v>22.14545454545454</v>
      </c>
      <c r="AG91" s="38" t="n">
        <v>24.36</v>
      </c>
      <c r="AH91" s="38" t="n">
        <v>27.06666666666667</v>
      </c>
      <c r="AI91" s="38" t="n">
        <v>30.45</v>
      </c>
      <c r="AJ91" s="38" t="n">
        <v>34.8</v>
      </c>
      <c r="AK91" s="38" t="n">
        <v>40.6</v>
      </c>
      <c r="AL91" s="38" t="n">
        <v>48.72</v>
      </c>
      <c r="AM91" s="38" t="n">
        <v>60.9</v>
      </c>
      <c r="AN91" s="38" t="n">
        <v>81.2</v>
      </c>
      <c r="AO91" s="38" t="n">
        <v>121.8</v>
      </c>
      <c r="AP91" s="38" t="n">
        <v>243.6</v>
      </c>
    </row>
    <row r="92">
      <c r="A92" s="5" t="inlineStr">
        <is>
          <t>P110</t>
        </is>
      </c>
      <c r="B92" s="5" t="inlineStr">
        <is>
          <t>RDM</t>
        </is>
      </c>
      <c r="C92" s="38" t="n">
        <v>5.4</v>
      </c>
      <c r="D92" s="38" t="n">
        <v>5.68421052631579</v>
      </c>
      <c r="E92" s="38" t="n">
        <v>6</v>
      </c>
      <c r="F92" s="38" t="n">
        <v>6.352941176470589</v>
      </c>
      <c r="G92" s="38" t="n">
        <v>6.75</v>
      </c>
      <c r="H92" s="38" t="n">
        <v>7.2</v>
      </c>
      <c r="I92" s="38" t="n">
        <v>7.714285714285715</v>
      </c>
      <c r="J92" s="38" t="n">
        <v>8.307692307692308</v>
      </c>
      <c r="K92" s="38" t="n">
        <v>9.000000000000002</v>
      </c>
      <c r="L92" s="38" t="n">
        <v>9.818181818181818</v>
      </c>
      <c r="M92" s="38" t="n">
        <v>10.8</v>
      </c>
      <c r="N92" s="38" t="n">
        <v>12</v>
      </c>
      <c r="O92" s="38" t="n">
        <v>13.5</v>
      </c>
      <c r="P92" s="38" t="n">
        <v>15.42857142857143</v>
      </c>
      <c r="Q92" s="38" t="n">
        <v>18</v>
      </c>
      <c r="R92" s="38" t="n">
        <v>21.6</v>
      </c>
      <c r="S92" s="38" t="n">
        <v>27</v>
      </c>
      <c r="T92" s="38" t="n">
        <v>36.00000000000001</v>
      </c>
      <c r="U92" s="38" t="n">
        <v>54</v>
      </c>
      <c r="V92" s="38" t="n">
        <v>108</v>
      </c>
      <c r="W92" s="38" t="n">
        <v>12.18</v>
      </c>
      <c r="X92" s="38" t="n">
        <v>12.82105263157895</v>
      </c>
      <c r="Y92" s="38" t="n">
        <v>13.53333333333333</v>
      </c>
      <c r="Z92" s="38" t="n">
        <v>14.32941176470588</v>
      </c>
      <c r="AA92" s="38" t="n">
        <v>15.225</v>
      </c>
      <c r="AB92" s="38" t="n">
        <v>16.24</v>
      </c>
      <c r="AC92" s="38" t="n">
        <v>17.4</v>
      </c>
      <c r="AD92" s="38" t="n">
        <v>18.73846153846154</v>
      </c>
      <c r="AE92" s="38" t="n">
        <v>20.3</v>
      </c>
      <c r="AF92" s="38" t="n">
        <v>22.14545454545454</v>
      </c>
      <c r="AG92" s="38" t="n">
        <v>24.36</v>
      </c>
      <c r="AH92" s="38" t="n">
        <v>27.0666666666667</v>
      </c>
      <c r="AI92" s="38" t="n">
        <v>30.45</v>
      </c>
      <c r="AJ92" s="38" t="n">
        <v>34.8</v>
      </c>
      <c r="AK92" s="38" t="n">
        <v>40.6</v>
      </c>
      <c r="AL92" s="38" t="n">
        <v>48.72</v>
      </c>
      <c r="AM92" s="38" t="n">
        <v>60.9</v>
      </c>
      <c r="AN92" s="38" t="n">
        <v>81.2</v>
      </c>
      <c r="AO92" s="38" t="n">
        <v>121.8</v>
      </c>
      <c r="AP92" s="38" t="n">
        <v>243.6</v>
      </c>
    </row>
    <row r="93">
      <c r="A93" s="5" t="inlineStr">
        <is>
          <t>P112</t>
        </is>
      </c>
      <c r="B93" s="5" t="inlineStr">
        <is>
          <t>RDM</t>
        </is>
      </c>
      <c r="C93" s="38" t="n">
        <v>6.16</v>
      </c>
      <c r="D93" s="38" t="n">
        <v>6.48421052631579</v>
      </c>
      <c r="E93" s="38" t="n">
        <v>6.844444444444444</v>
      </c>
      <c r="F93" s="38" t="n">
        <v>7.247058823529412</v>
      </c>
      <c r="G93" s="38" t="n">
        <v>7.7</v>
      </c>
      <c r="H93" s="38" t="n">
        <v>8.213333333333333</v>
      </c>
      <c r="I93" s="38" t="n">
        <v>8.800000000000001</v>
      </c>
      <c r="J93" s="38" t="n">
        <v>9.476923076923077</v>
      </c>
      <c r="K93" s="38" t="n">
        <v>10.26666666666667</v>
      </c>
      <c r="L93" s="38" t="n">
        <v>11.2</v>
      </c>
      <c r="M93" s="38" t="n">
        <v>12.32</v>
      </c>
      <c r="N93" s="38" t="n">
        <v>13.68888888888889</v>
      </c>
      <c r="O93" s="38" t="n">
        <v>15.4</v>
      </c>
      <c r="P93" s="38" t="n">
        <v>17.6</v>
      </c>
      <c r="Q93" s="38" t="n">
        <v>20.53333333333333</v>
      </c>
      <c r="R93" s="38" t="n">
        <v>24.64</v>
      </c>
      <c r="S93" s="38" t="n">
        <v>30.8</v>
      </c>
      <c r="T93" s="38" t="n">
        <v>41.06666666666667</v>
      </c>
      <c r="U93" s="38" t="n">
        <v>61.6</v>
      </c>
      <c r="V93" s="38" t="n">
        <v>123.2</v>
      </c>
      <c r="W93" s="38" t="n">
        <v>15.26</v>
      </c>
      <c r="X93" s="38" t="n">
        <v>16.06315789473684</v>
      </c>
      <c r="Y93" s="38" t="n">
        <v>16.95555555555556</v>
      </c>
      <c r="Z93" s="38" t="n">
        <v>17.95294117647059</v>
      </c>
      <c r="AA93" s="38" t="n">
        <v>19.075</v>
      </c>
      <c r="AB93" s="38" t="n">
        <v>20.34666666666667</v>
      </c>
      <c r="AC93" s="38" t="n">
        <v>21.8</v>
      </c>
      <c r="AD93" s="38" t="n">
        <v>23.47692307692308</v>
      </c>
      <c r="AE93" s="38" t="n">
        <v>25.43333333333333</v>
      </c>
      <c r="AF93" s="38" t="n">
        <v>27.74545454545454</v>
      </c>
      <c r="AG93" s="38" t="n">
        <v>30.52</v>
      </c>
      <c r="AH93" s="38" t="n">
        <v>33.91111111111111</v>
      </c>
      <c r="AI93" s="38" t="n">
        <v>38.15</v>
      </c>
      <c r="AJ93" s="38" t="n">
        <v>43.6</v>
      </c>
      <c r="AK93" s="38" t="n">
        <v>50.86666666666667</v>
      </c>
      <c r="AL93" s="38" t="n">
        <v>61.04</v>
      </c>
      <c r="AM93" s="38" t="n">
        <v>76.3</v>
      </c>
      <c r="AN93" s="38" t="n">
        <v>101.7333333333333</v>
      </c>
      <c r="AO93" s="38" t="n">
        <v>152.6</v>
      </c>
      <c r="AP93" s="38" t="n">
        <v>305.2</v>
      </c>
    </row>
    <row r="94">
      <c r="A94" s="5" t="inlineStr">
        <is>
          <t>P113</t>
        </is>
      </c>
      <c r="B94" s="5" t="inlineStr">
        <is>
          <t>RDM</t>
        </is>
      </c>
      <c r="C94" s="38" t="n">
        <v>6.23</v>
      </c>
      <c r="D94" s="38" t="n">
        <v>6.557894736842106</v>
      </c>
      <c r="E94" s="38" t="n">
        <v>6.922222222222222</v>
      </c>
      <c r="F94" s="38" t="n">
        <v>7.329411764705883</v>
      </c>
      <c r="G94" s="38" t="n">
        <v>7.787500000000001</v>
      </c>
      <c r="H94" s="38" t="n">
        <v>8.306666666666667</v>
      </c>
      <c r="I94" s="38" t="n">
        <v>8.9</v>
      </c>
      <c r="J94" s="38" t="n">
        <v>9.584615384615384</v>
      </c>
      <c r="K94" s="38" t="n">
        <v>10.38333333333333</v>
      </c>
      <c r="L94" s="38" t="n">
        <v>11.32727272727273</v>
      </c>
      <c r="M94" s="38" t="n">
        <v>12.46</v>
      </c>
      <c r="N94" s="38" t="n">
        <v>13.84444444444444</v>
      </c>
      <c r="O94" s="38" t="n">
        <v>15.575</v>
      </c>
      <c r="P94" s="38" t="n">
        <v>17.8</v>
      </c>
      <c r="Q94" s="38" t="n">
        <v>20.76666666666667</v>
      </c>
      <c r="R94" s="38" t="n">
        <v>24.92</v>
      </c>
      <c r="S94" s="38" t="n">
        <v>31.15</v>
      </c>
      <c r="T94" s="38" t="n">
        <v>41.53333333333334</v>
      </c>
      <c r="U94" s="38" t="n">
        <v>62.3</v>
      </c>
      <c r="V94" s="38" t="n">
        <v>124.6</v>
      </c>
      <c r="W94" s="38" t="n">
        <v>15.25</v>
      </c>
      <c r="X94" s="38" t="n">
        <v>16.05263157894737</v>
      </c>
      <c r="Y94" s="38" t="n">
        <v>16.94444444444444</v>
      </c>
      <c r="Z94" s="38" t="n">
        <v>17.94117647058824</v>
      </c>
      <c r="AA94" s="38" t="n">
        <v>19.0625</v>
      </c>
      <c r="AB94" s="38" t="n">
        <v>20.33333333333333</v>
      </c>
      <c r="AC94" s="38" t="n">
        <v>21.78571428571429</v>
      </c>
      <c r="AD94" s="38" t="n">
        <v>23.46153846153846</v>
      </c>
      <c r="AE94" s="38" t="n">
        <v>25.41666666666667</v>
      </c>
      <c r="AF94" s="38" t="n">
        <v>27.72727272727273</v>
      </c>
      <c r="AG94" s="38" t="n">
        <v>30.5</v>
      </c>
      <c r="AH94" s="38" t="n">
        <v>33.88888888888889</v>
      </c>
      <c r="AI94" s="38" t="n">
        <v>38.125</v>
      </c>
      <c r="AJ94" s="38" t="n">
        <v>43.57142857142858</v>
      </c>
      <c r="AK94" s="38" t="n">
        <v>50.83333333333334</v>
      </c>
      <c r="AL94" s="38" t="n">
        <v>61</v>
      </c>
      <c r="AM94" s="38" t="n">
        <v>76.25</v>
      </c>
      <c r="AN94" s="38" t="n">
        <v>101.6666666666667</v>
      </c>
      <c r="AO94" s="38" t="n">
        <v>152.5</v>
      </c>
      <c r="AP94" s="38" t="n">
        <v>305</v>
      </c>
    </row>
    <row r="95">
      <c r="A95" s="5" t="inlineStr">
        <is>
          <t>P114</t>
        </is>
      </c>
      <c r="B95" s="5" t="inlineStr">
        <is>
          <t>RDM</t>
        </is>
      </c>
      <c r="C95" s="38" t="n">
        <v>5.76</v>
      </c>
      <c r="D95" s="38" t="n">
        <v>6.063157894736842</v>
      </c>
      <c r="E95" s="38" t="n">
        <v>6.399999999999999</v>
      </c>
      <c r="F95" s="38" t="n">
        <v>6.776470588235294</v>
      </c>
      <c r="G95" s="38" t="n">
        <v>7.199999999999999</v>
      </c>
      <c r="H95" s="38" t="n">
        <v>7.68</v>
      </c>
      <c r="I95" s="38" t="n">
        <v>8.22857142857143</v>
      </c>
      <c r="J95" s="38" t="n">
        <v>8.86153846153846</v>
      </c>
      <c r="K95" s="38" t="n">
        <v>9.6</v>
      </c>
      <c r="L95" s="38" t="n">
        <v>10.47272727272727</v>
      </c>
      <c r="M95" s="38" t="n">
        <v>11.52</v>
      </c>
      <c r="N95" s="38" t="n">
        <v>12.8</v>
      </c>
      <c r="O95" s="38" t="n">
        <v>14.4</v>
      </c>
      <c r="P95" s="38" t="n">
        <v>16.45714285714286</v>
      </c>
      <c r="Q95" s="38" t="n">
        <v>19.2</v>
      </c>
      <c r="R95" s="38" t="n">
        <v>23.04</v>
      </c>
      <c r="S95" s="38" t="n">
        <v>28.8</v>
      </c>
      <c r="T95" s="38" t="n">
        <v>38.4</v>
      </c>
      <c r="U95" s="38" t="n">
        <v>57.59999999999999</v>
      </c>
      <c r="V95" s="38" t="n">
        <v>115.2</v>
      </c>
      <c r="W95" s="38" t="n">
        <v>13.26</v>
      </c>
      <c r="X95" s="38" t="n">
        <v>13.95789473684211</v>
      </c>
      <c r="Y95" s="38" t="n">
        <v>14.73333333333333</v>
      </c>
      <c r="Z95" s="38" t="n">
        <v>15.6</v>
      </c>
      <c r="AA95" s="38" t="n">
        <v>16.575</v>
      </c>
      <c r="AB95" s="38" t="n">
        <v>17.68</v>
      </c>
      <c r="AC95" s="38" t="n">
        <v>18.94285714285714</v>
      </c>
      <c r="AD95" s="38" t="n">
        <v>20.4</v>
      </c>
      <c r="AE95" s="38" t="n">
        <v>22.1</v>
      </c>
      <c r="AF95" s="38" t="n">
        <v>24.10909090909091</v>
      </c>
      <c r="AG95" s="38" t="n">
        <v>26.52</v>
      </c>
      <c r="AH95" s="38" t="n">
        <v>29.46666666666667</v>
      </c>
      <c r="AI95" s="38" t="n">
        <v>33.15</v>
      </c>
      <c r="AJ95" s="38" t="n">
        <v>37.88571428571429</v>
      </c>
      <c r="AK95" s="38" t="n">
        <v>44.2</v>
      </c>
      <c r="AL95" s="38" t="n">
        <v>53.04</v>
      </c>
      <c r="AM95" s="38" t="n">
        <v>66.3</v>
      </c>
      <c r="AN95" s="38" t="n">
        <v>88.40000000000001</v>
      </c>
      <c r="AO95" s="38" t="n">
        <v>132.6</v>
      </c>
      <c r="AP95" s="38" t="n">
        <v>265.2</v>
      </c>
    </row>
    <row r="96">
      <c r="A96" s="5" t="inlineStr">
        <is>
          <t>P115</t>
        </is>
      </c>
      <c r="B96" s="5" t="inlineStr">
        <is>
          <t>RDM</t>
        </is>
      </c>
      <c r="C96" s="38" t="n">
        <v>6.65</v>
      </c>
      <c r="D96" s="38" t="n">
        <v>7.000000000000001</v>
      </c>
      <c r="E96" s="38" t="n">
        <v>7.388888888888889</v>
      </c>
      <c r="F96" s="38" t="n">
        <v>7.823529411764707</v>
      </c>
      <c r="G96" s="38" t="n">
        <v>8.3125</v>
      </c>
      <c r="H96" s="38" t="n">
        <v>8.866666666666667</v>
      </c>
      <c r="I96" s="38" t="n">
        <v>9.500000000000002</v>
      </c>
      <c r="J96" s="38" t="n">
        <v>10.23076923076923</v>
      </c>
      <c r="K96" s="38" t="n">
        <v>11.08333333333333</v>
      </c>
      <c r="L96" s="38" t="n">
        <v>12.09090909090909</v>
      </c>
      <c r="M96" s="38" t="n">
        <v>13.3</v>
      </c>
      <c r="N96" s="38" t="n">
        <v>14.77777777777778</v>
      </c>
      <c r="O96" s="38" t="n">
        <v>16.625</v>
      </c>
      <c r="P96" s="38" t="n">
        <v>19</v>
      </c>
      <c r="Q96" s="38" t="n">
        <v>22.16666666666667</v>
      </c>
      <c r="R96" s="38" t="n">
        <v>26.6</v>
      </c>
      <c r="S96" s="38" t="n">
        <v>33.25</v>
      </c>
      <c r="T96" s="38" t="n">
        <v>44.33333333333334</v>
      </c>
      <c r="U96" s="38" t="n">
        <v>66.5</v>
      </c>
      <c r="V96" s="38" t="n">
        <v>133</v>
      </c>
      <c r="W96" s="38" t="n">
        <v>15.26</v>
      </c>
      <c r="X96" s="38" t="n">
        <v>16.06315789473684</v>
      </c>
      <c r="Y96" s="38" t="n">
        <v>16.95555555555556</v>
      </c>
      <c r="Z96" s="38" t="n">
        <v>17.95294117647059</v>
      </c>
      <c r="AA96" s="38" t="n">
        <v>19.075</v>
      </c>
      <c r="AB96" s="38" t="n">
        <v>20.34666666666667</v>
      </c>
      <c r="AC96" s="38" t="n">
        <v>21.8</v>
      </c>
      <c r="AD96" s="38" t="n">
        <v>23.47692307692308</v>
      </c>
      <c r="AE96" s="38" t="n">
        <v>25.43333333333333</v>
      </c>
      <c r="AF96" s="38" t="n">
        <v>27.74545454545454</v>
      </c>
      <c r="AG96" s="38" t="n">
        <v>30.52</v>
      </c>
      <c r="AH96" s="38" t="n">
        <v>33.91111111111111</v>
      </c>
      <c r="AI96" s="38" t="n">
        <v>38.15</v>
      </c>
      <c r="AJ96" s="38" t="n">
        <v>43.6</v>
      </c>
      <c r="AK96" s="38" t="n">
        <v>50.86666666666667</v>
      </c>
      <c r="AL96" s="38" t="n">
        <v>61.04</v>
      </c>
      <c r="AM96" s="38" t="n">
        <v>76.3</v>
      </c>
      <c r="AN96" s="38" t="n">
        <v>101.7333333333333</v>
      </c>
      <c r="AO96" s="38" t="n">
        <v>152.6</v>
      </c>
      <c r="AP96" s="38" t="n">
        <v>305.2</v>
      </c>
    </row>
    <row r="97">
      <c r="A97" s="5" t="inlineStr">
        <is>
          <t>P116</t>
        </is>
      </c>
      <c r="B97" s="5" t="inlineStr">
        <is>
          <t>RDM</t>
        </is>
      </c>
      <c r="C97" s="38" t="n">
        <v>6.93</v>
      </c>
      <c r="D97" s="38" t="n">
        <v>7.294736842105263</v>
      </c>
      <c r="E97" s="38" t="n">
        <v>7.699999999999999</v>
      </c>
      <c r="F97" s="38" t="n">
        <v>8.152941176470588</v>
      </c>
      <c r="G97" s="38" t="n">
        <v>8.6625</v>
      </c>
      <c r="H97" s="38" t="n">
        <v>9.24</v>
      </c>
      <c r="I97" s="38" t="n">
        <v>9.9</v>
      </c>
      <c r="J97" s="38" t="n">
        <v>10.66153846153846</v>
      </c>
      <c r="K97" s="38" t="n">
        <v>11.55</v>
      </c>
      <c r="L97" s="38" t="n">
        <v>12.6</v>
      </c>
      <c r="M97" s="38" t="n">
        <v>13.86</v>
      </c>
      <c r="N97" s="38" t="n">
        <v>15.4</v>
      </c>
      <c r="O97" s="38" t="n">
        <v>17.325</v>
      </c>
      <c r="P97" s="38" t="n">
        <v>19.8</v>
      </c>
      <c r="Q97" s="38" t="n">
        <v>23.1</v>
      </c>
      <c r="R97" s="38" t="n">
        <v>27.72</v>
      </c>
      <c r="S97" s="38" t="n">
        <v>34.65</v>
      </c>
      <c r="T97" s="38" t="n">
        <v>46.2</v>
      </c>
      <c r="U97" s="38" t="n">
        <v>69.3</v>
      </c>
      <c r="V97" s="38" t="n">
        <v>138.6</v>
      </c>
      <c r="W97" s="38" t="n">
        <v>15.26</v>
      </c>
      <c r="X97" s="38" t="n">
        <v>16.06315789473684</v>
      </c>
      <c r="Y97" s="38" t="n">
        <v>16.95555555555556</v>
      </c>
      <c r="Z97" s="38" t="n">
        <v>17.95294117647059</v>
      </c>
      <c r="AA97" s="38" t="n">
        <v>19.075</v>
      </c>
      <c r="AB97" s="38" t="n">
        <v>20.34666666666667</v>
      </c>
      <c r="AC97" s="38" t="n">
        <v>21.8</v>
      </c>
      <c r="AD97" s="38" t="n">
        <v>23.47692307692308</v>
      </c>
      <c r="AE97" s="38" t="n">
        <v>25.43333333333333</v>
      </c>
      <c r="AF97" s="38" t="n">
        <v>27.74545454545454</v>
      </c>
      <c r="AG97" s="38" t="n">
        <v>30.52</v>
      </c>
      <c r="AH97" s="38" t="n">
        <v>33.91111111111111</v>
      </c>
      <c r="AI97" s="38" t="n">
        <v>38.15</v>
      </c>
      <c r="AJ97" s="38" t="n">
        <v>43.6</v>
      </c>
      <c r="AK97" s="38" t="n">
        <v>50.86666666666667</v>
      </c>
      <c r="AL97" s="38" t="n">
        <v>61.04</v>
      </c>
      <c r="AM97" s="38" t="n">
        <v>76.3</v>
      </c>
      <c r="AN97" s="38" t="n">
        <v>101.7333333333333</v>
      </c>
      <c r="AO97" s="38" t="n">
        <v>152.6</v>
      </c>
      <c r="AP97" s="38" t="n">
        <v>305.2</v>
      </c>
    </row>
    <row r="98">
      <c r="A98" s="5" t="inlineStr">
        <is>
          <t>P117</t>
        </is>
      </c>
      <c r="B98" s="5" t="inlineStr">
        <is>
          <t>RDM</t>
        </is>
      </c>
      <c r="C98" s="38" t="n">
        <v>6.44</v>
      </c>
      <c r="D98" s="38" t="n">
        <v>6.778947368421053</v>
      </c>
      <c r="E98" s="38" t="n">
        <v>7.155555555555556</v>
      </c>
      <c r="F98" s="38" t="n">
        <v>7.576470588235295</v>
      </c>
      <c r="G98" s="38" t="n">
        <v>8.050000000000001</v>
      </c>
      <c r="H98" s="38" t="n">
        <v>8.586666666666668</v>
      </c>
      <c r="I98" s="38" t="n">
        <v>9.200000000000001</v>
      </c>
      <c r="J98" s="38" t="n">
        <v>9.907692307692308</v>
      </c>
      <c r="K98" s="38" t="n">
        <v>10.73333333333333</v>
      </c>
      <c r="L98" s="38" t="n">
        <v>11.70909090909091</v>
      </c>
      <c r="M98" s="38" t="n">
        <v>12.88</v>
      </c>
      <c r="N98" s="38" t="n">
        <v>14.31111111111111</v>
      </c>
      <c r="O98" s="38" t="n">
        <v>16.1</v>
      </c>
      <c r="P98" s="38" t="n">
        <v>18.4</v>
      </c>
      <c r="Q98" s="38" t="n">
        <v>21.46666666666667</v>
      </c>
      <c r="R98" s="38" t="n">
        <v>25.76</v>
      </c>
      <c r="S98" s="38" t="n">
        <v>32.2</v>
      </c>
      <c r="T98" s="38" t="n">
        <v>42.93333333333334</v>
      </c>
      <c r="U98" s="38" t="n">
        <v>64.40000000000001</v>
      </c>
      <c r="V98" s="38" t="n">
        <v>128.8</v>
      </c>
      <c r="W98" s="38" t="n">
        <v>15.26</v>
      </c>
      <c r="X98" s="38" t="n">
        <v>16.06315789473684</v>
      </c>
      <c r="Y98" s="38" t="n">
        <v>16.95555555555556</v>
      </c>
      <c r="Z98" s="38" t="n">
        <v>17.95294117647059</v>
      </c>
      <c r="AA98" s="38" t="n">
        <v>19.075</v>
      </c>
      <c r="AB98" s="38" t="n">
        <v>20.34666666666667</v>
      </c>
      <c r="AC98" s="38" t="n">
        <v>21.8</v>
      </c>
      <c r="AD98" s="38" t="n">
        <v>23.47692307692308</v>
      </c>
      <c r="AE98" s="38" t="n">
        <v>25.43333333333333</v>
      </c>
      <c r="AF98" s="38" t="n">
        <v>27.74545454545454</v>
      </c>
      <c r="AG98" s="38" t="n">
        <v>30.52</v>
      </c>
      <c r="AH98" s="38" t="n">
        <v>33.91111111111111</v>
      </c>
      <c r="AI98" s="38" t="n">
        <v>38.15</v>
      </c>
      <c r="AJ98" s="38" t="n">
        <v>43.6</v>
      </c>
      <c r="AK98" s="38" t="n">
        <v>50.86666666666667</v>
      </c>
      <c r="AL98" s="38" t="n">
        <v>61.04</v>
      </c>
      <c r="AM98" s="38" t="n">
        <v>76.3</v>
      </c>
      <c r="AN98" s="38" t="n">
        <v>101.7333333333333</v>
      </c>
      <c r="AO98" s="38" t="n">
        <v>152.6</v>
      </c>
      <c r="AP98" s="38" t="n">
        <v>305.2</v>
      </c>
    </row>
    <row r="99">
      <c r="A99" s="5" t="inlineStr">
        <is>
          <t>P118</t>
        </is>
      </c>
      <c r="B99" s="5" t="inlineStr">
        <is>
          <t>RDM</t>
        </is>
      </c>
      <c r="C99" s="38" t="n">
        <v>6.93</v>
      </c>
      <c r="D99" s="38" t="n">
        <v>7.294736842105263</v>
      </c>
      <c r="E99" s="38" t="n">
        <v>7.699999999999999</v>
      </c>
      <c r="F99" s="38" t="n">
        <v>8.152941176470588</v>
      </c>
      <c r="G99" s="38" t="n">
        <v>8.6625</v>
      </c>
      <c r="H99" s="38" t="n">
        <v>9.24</v>
      </c>
      <c r="I99" s="38" t="n">
        <v>9.9</v>
      </c>
      <c r="J99" s="38" t="n">
        <v>10.66153846153846</v>
      </c>
      <c r="K99" s="38" t="n">
        <v>11.55</v>
      </c>
      <c r="L99" s="38" t="n">
        <v>12.6</v>
      </c>
      <c r="M99" s="38" t="n">
        <v>13.86</v>
      </c>
      <c r="N99" s="38" t="n">
        <v>15.4</v>
      </c>
      <c r="O99" s="38" t="n">
        <v>17.325</v>
      </c>
      <c r="P99" s="38" t="n">
        <v>19.8</v>
      </c>
      <c r="Q99" s="38" t="n">
        <v>23.1</v>
      </c>
      <c r="R99" s="38" t="n">
        <v>27.72</v>
      </c>
      <c r="S99" s="38" t="n">
        <v>34.65</v>
      </c>
      <c r="T99" s="38" t="n">
        <v>46.2</v>
      </c>
      <c r="U99" s="38" t="n">
        <v>69.3</v>
      </c>
      <c r="V99" s="38" t="n">
        <v>138.6</v>
      </c>
      <c r="W99" s="38" t="n">
        <v>15.25</v>
      </c>
      <c r="X99" s="38" t="n">
        <v>16.05263157894737</v>
      </c>
      <c r="Y99" s="38" t="n">
        <v>16.94444444444444</v>
      </c>
      <c r="Z99" s="38" t="n">
        <v>17.94117647058824</v>
      </c>
      <c r="AA99" s="38" t="n">
        <v>19.0625</v>
      </c>
      <c r="AB99" s="38" t="n">
        <v>20.33333333333333</v>
      </c>
      <c r="AC99" s="38" t="n">
        <v>21.78571428571429</v>
      </c>
      <c r="AD99" s="38" t="n">
        <v>23.46153846153846</v>
      </c>
      <c r="AE99" s="38" t="n">
        <v>25.41666666666667</v>
      </c>
      <c r="AF99" s="38" t="n">
        <v>27.72727272727273</v>
      </c>
      <c r="AG99" s="38" t="n">
        <v>30.5</v>
      </c>
      <c r="AH99" s="38" t="n">
        <v>33.88888888888889</v>
      </c>
      <c r="AI99" s="38" t="n">
        <v>38.125</v>
      </c>
      <c r="AJ99" s="38" t="n">
        <v>43.57142857142858</v>
      </c>
      <c r="AK99" s="38" t="n">
        <v>50.83333333333334</v>
      </c>
      <c r="AL99" s="38" t="n">
        <v>61</v>
      </c>
      <c r="AM99" s="38" t="n">
        <v>76.25</v>
      </c>
      <c r="AN99" s="38" t="n">
        <v>101.6666666666667</v>
      </c>
      <c r="AO99" s="38" t="n">
        <v>152.5</v>
      </c>
      <c r="AP99" s="38" t="n">
        <v>305</v>
      </c>
    </row>
    <row r="100">
      <c r="A100" s="5" t="inlineStr">
        <is>
          <t>P119</t>
        </is>
      </c>
      <c r="B100" s="5" t="inlineStr">
        <is>
          <t>RDM</t>
        </is>
      </c>
      <c r="C100" s="38" t="n">
        <v>6.79</v>
      </c>
      <c r="D100" s="38" t="n">
        <v>7.147368421052632</v>
      </c>
      <c r="E100" s="38" t="n">
        <v>7.544444444444444</v>
      </c>
      <c r="F100" s="38" t="n">
        <v>7.988235294117647</v>
      </c>
      <c r="G100" s="38" t="n">
        <v>8.487499999999999</v>
      </c>
      <c r="H100" s="38" t="n">
        <v>9.053333333333333</v>
      </c>
      <c r="I100" s="38" t="n">
        <v>9.700000000000001</v>
      </c>
      <c r="J100" s="38" t="n">
        <v>10.44615384615385</v>
      </c>
      <c r="K100" s="38" t="n">
        <v>11.31666666666667</v>
      </c>
      <c r="L100" s="38" t="n">
        <v>12.34545454545454</v>
      </c>
      <c r="M100" s="38" t="n">
        <v>13.58</v>
      </c>
      <c r="N100" s="38" t="n">
        <v>15.08888888888889</v>
      </c>
      <c r="O100" s="38" t="n">
        <v>16.975</v>
      </c>
      <c r="P100" s="38" t="n">
        <v>19.4</v>
      </c>
      <c r="Q100" s="38" t="n">
        <v>22.63333333333333</v>
      </c>
      <c r="R100" s="38" t="n">
        <v>27.16</v>
      </c>
      <c r="S100" s="38" t="n">
        <v>33.95</v>
      </c>
      <c r="T100" s="38" t="n">
        <v>45.26666666666667</v>
      </c>
      <c r="U100" s="38" t="n">
        <v>67.89999999999999</v>
      </c>
      <c r="V100" s="38" t="n">
        <v>135.8</v>
      </c>
      <c r="W100" s="38" t="n">
        <v>15.26</v>
      </c>
      <c r="X100" s="38" t="n">
        <v>16.06315789473684</v>
      </c>
      <c r="Y100" s="38" t="n">
        <v>16.95555555555556</v>
      </c>
      <c r="Z100" s="38" t="n">
        <v>17.95294117647059</v>
      </c>
      <c r="AA100" s="38" t="n">
        <v>19.075</v>
      </c>
      <c r="AB100" s="38" t="n">
        <v>20.34666666666667</v>
      </c>
      <c r="AC100" s="38" t="n">
        <v>21.8</v>
      </c>
      <c r="AD100" s="38" t="n">
        <v>23.47692307692308</v>
      </c>
      <c r="AE100" s="38" t="n">
        <v>25.43333333333333</v>
      </c>
      <c r="AF100" s="38" t="n">
        <v>27.74545454545454</v>
      </c>
      <c r="AG100" s="38" t="n">
        <v>30.52</v>
      </c>
      <c r="AH100" s="38" t="n">
        <v>33.91111111111111</v>
      </c>
      <c r="AI100" s="38" t="n">
        <v>38.15</v>
      </c>
      <c r="AJ100" s="38" t="n">
        <v>43.6</v>
      </c>
      <c r="AK100" s="38" t="n">
        <v>50.86666666666667</v>
      </c>
      <c r="AL100" s="38" t="n">
        <v>61.04</v>
      </c>
      <c r="AM100" s="38" t="n">
        <v>76.3</v>
      </c>
      <c r="AN100" s="38" t="n">
        <v>101.7333333333333</v>
      </c>
      <c r="AO100" s="38" t="n">
        <v>152.6</v>
      </c>
      <c r="AP100" s="38" t="n">
        <v>305.2</v>
      </c>
    </row>
    <row r="101">
      <c r="A101" s="5" t="inlineStr">
        <is>
          <t>P120</t>
        </is>
      </c>
      <c r="B101" s="5" t="inlineStr">
        <is>
          <t>RDM</t>
        </is>
      </c>
      <c r="C101" s="38" t="n">
        <v>6.79</v>
      </c>
      <c r="D101" s="38" t="n">
        <v>7.147368421052632</v>
      </c>
      <c r="E101" s="38" t="n">
        <v>7.544444444444444</v>
      </c>
      <c r="F101" s="38" t="n">
        <v>7.988235294117647</v>
      </c>
      <c r="G101" s="38" t="n">
        <v>8.487499999999999</v>
      </c>
      <c r="H101" s="38" t="n">
        <v>9.053333333333333</v>
      </c>
      <c r="I101" s="38" t="n">
        <v>9.700000000000001</v>
      </c>
      <c r="J101" s="38" t="n">
        <v>10.44615384615385</v>
      </c>
      <c r="K101" s="38" t="n">
        <v>11.31666666666667</v>
      </c>
      <c r="L101" s="38" t="n">
        <v>12.34545454545454</v>
      </c>
      <c r="M101" s="38" t="n">
        <v>13.58</v>
      </c>
      <c r="N101" s="38" t="n">
        <v>15.08888888888889</v>
      </c>
      <c r="O101" s="38" t="n">
        <v>16.975</v>
      </c>
      <c r="P101" s="38" t="n">
        <v>19.4</v>
      </c>
      <c r="Q101" s="38" t="n">
        <v>22.63333333333333</v>
      </c>
      <c r="R101" s="38" t="n">
        <v>27.16</v>
      </c>
      <c r="S101" s="38" t="n">
        <v>33.95</v>
      </c>
      <c r="T101" s="38" t="n">
        <v>45.26666666666667</v>
      </c>
      <c r="U101" s="38" t="n">
        <v>67.89999999999999</v>
      </c>
      <c r="V101" s="38" t="n">
        <v>135.8</v>
      </c>
      <c r="W101" s="38" t="n">
        <v>15.26</v>
      </c>
      <c r="X101" s="38" t="n">
        <v>16.06315789473684</v>
      </c>
      <c r="Y101" s="38" t="n">
        <v>16.95555555555556</v>
      </c>
      <c r="Z101" s="38" t="n">
        <v>17.95294117647059</v>
      </c>
      <c r="AA101" s="38" t="n">
        <v>19.075</v>
      </c>
      <c r="AB101" s="38" t="n">
        <v>20.34666666666667</v>
      </c>
      <c r="AC101" s="38" t="n">
        <v>21.8</v>
      </c>
      <c r="AD101" s="38" t="n">
        <v>23.47692307692308</v>
      </c>
      <c r="AE101" s="38" t="n">
        <v>25.43333333333333</v>
      </c>
      <c r="AF101" s="38" t="n">
        <v>27.74545454545454</v>
      </c>
      <c r="AG101" s="38" t="n">
        <v>30.52</v>
      </c>
      <c r="AH101" s="38" t="n">
        <v>33.91111111111111</v>
      </c>
      <c r="AI101" s="38" t="n">
        <v>38.15</v>
      </c>
      <c r="AJ101" s="38" t="n">
        <v>43.6</v>
      </c>
      <c r="AK101" s="38" t="n">
        <v>50.86666666666667</v>
      </c>
      <c r="AL101" s="38" t="n">
        <v>61.04</v>
      </c>
      <c r="AM101" s="38" t="n">
        <v>76.3</v>
      </c>
      <c r="AN101" s="38" t="n">
        <v>101.7333333333333</v>
      </c>
      <c r="AO101" s="38" t="n">
        <v>152.6</v>
      </c>
      <c r="AP101" s="38" t="n">
        <v>305.2</v>
      </c>
    </row>
    <row r="102">
      <c r="A102" s="5" t="inlineStr">
        <is>
          <t>P121</t>
        </is>
      </c>
      <c r="B102" s="5" t="inlineStr">
        <is>
          <t>RDM</t>
        </is>
      </c>
      <c r="C102" s="38" t="n">
        <v>6.65</v>
      </c>
      <c r="D102" s="38" t="n">
        <v>7.000000000000001</v>
      </c>
      <c r="E102" s="38" t="n">
        <v>7.388888888888889</v>
      </c>
      <c r="F102" s="38" t="n">
        <v>7.823529411764707</v>
      </c>
      <c r="G102" s="38" t="n">
        <v>8.3125</v>
      </c>
      <c r="H102" s="38" t="n">
        <v>8.866666666666667</v>
      </c>
      <c r="I102" s="38" t="n">
        <v>9.500000000000002</v>
      </c>
      <c r="J102" s="38" t="n">
        <v>10.23076923076923</v>
      </c>
      <c r="K102" s="38" t="n">
        <v>11.08333333333333</v>
      </c>
      <c r="L102" s="38" t="n">
        <v>12.09090909090909</v>
      </c>
      <c r="M102" s="38" t="n">
        <v>13.3</v>
      </c>
      <c r="N102" s="38" t="n">
        <v>14.77777777777778</v>
      </c>
      <c r="O102" s="38" t="n">
        <v>16.625</v>
      </c>
      <c r="P102" s="38" t="n">
        <v>19</v>
      </c>
      <c r="Q102" s="38" t="n">
        <v>22.16666666666667</v>
      </c>
      <c r="R102" s="38" t="n">
        <v>26.6</v>
      </c>
      <c r="S102" s="38" t="n">
        <v>33.25</v>
      </c>
      <c r="T102" s="38" t="n">
        <v>44.33333333333334</v>
      </c>
      <c r="U102" s="38" t="n">
        <v>66.5</v>
      </c>
      <c r="V102" s="38" t="n">
        <v>133</v>
      </c>
      <c r="W102" s="38" t="n">
        <v>15.26</v>
      </c>
      <c r="X102" s="38" t="n">
        <v>16.06315789473684</v>
      </c>
      <c r="Y102" s="38" t="n">
        <v>16.95555555555556</v>
      </c>
      <c r="Z102" s="38" t="n">
        <v>17.95294117647059</v>
      </c>
      <c r="AA102" s="38" t="n">
        <v>19.075</v>
      </c>
      <c r="AB102" s="38" t="n">
        <v>20.34666666666667</v>
      </c>
      <c r="AC102" s="38" t="n">
        <v>21.8</v>
      </c>
      <c r="AD102" s="38" t="n">
        <v>23.47692307692308</v>
      </c>
      <c r="AE102" s="38" t="n">
        <v>25.43333333333333</v>
      </c>
      <c r="AF102" s="38" t="n">
        <v>27.74545454545454</v>
      </c>
      <c r="AG102" s="38" t="n">
        <v>30.52</v>
      </c>
      <c r="AH102" s="38" t="n">
        <v>33.91111111111111</v>
      </c>
      <c r="AI102" s="38" t="n">
        <v>38.15</v>
      </c>
      <c r="AJ102" s="38" t="n">
        <v>43.6</v>
      </c>
      <c r="AK102" s="38" t="n">
        <v>50.86666666666667</v>
      </c>
      <c r="AL102" s="38" t="n">
        <v>61.04</v>
      </c>
      <c r="AM102" s="38" t="n">
        <v>76.3</v>
      </c>
      <c r="AN102" s="38" t="n">
        <v>101.7333333333333</v>
      </c>
      <c r="AO102" s="38" t="n">
        <v>152.6</v>
      </c>
      <c r="AP102" s="38" t="n">
        <v>305.2</v>
      </c>
    </row>
    <row r="103">
      <c r="A103" s="5" t="inlineStr">
        <is>
          <t>P122</t>
        </is>
      </c>
      <c r="B103" s="5" t="inlineStr">
        <is>
          <t>RDM</t>
        </is>
      </c>
      <c r="C103" s="38" t="n">
        <v>6.37</v>
      </c>
      <c r="D103" s="38" t="n">
        <v>6.705263157894738</v>
      </c>
      <c r="E103" s="38" t="n">
        <v>7.077777777777778</v>
      </c>
      <c r="F103" s="38" t="n">
        <v>7.494117647058824</v>
      </c>
      <c r="G103" s="38" t="n">
        <v>7.962499999999999</v>
      </c>
      <c r="H103" s="38" t="n">
        <v>8.493333333333334</v>
      </c>
      <c r="I103" s="38" t="n">
        <v>9.100000000000001</v>
      </c>
      <c r="J103" s="38" t="n">
        <v>9.800000000000001</v>
      </c>
      <c r="K103" s="38" t="n">
        <v>10.61666666666667</v>
      </c>
      <c r="L103" s="38" t="n">
        <v>11.58181818181818</v>
      </c>
      <c r="M103" s="38" t="n">
        <v>12.74</v>
      </c>
      <c r="N103" s="38" t="n">
        <v>14.15555555555556</v>
      </c>
      <c r="O103" s="38" t="n">
        <v>15.925</v>
      </c>
      <c r="P103" s="38" t="n">
        <v>18.2</v>
      </c>
      <c r="Q103" s="38" t="n">
        <v>21.23333333333333</v>
      </c>
      <c r="R103" s="38" t="n">
        <v>25.48</v>
      </c>
      <c r="S103" s="38" t="n">
        <v>31.85</v>
      </c>
      <c r="T103" s="38" t="n">
        <v>42.46666666666667</v>
      </c>
      <c r="U103" s="38" t="n">
        <v>63.7</v>
      </c>
      <c r="V103" s="38" t="n">
        <v>127.4</v>
      </c>
      <c r="W103" s="38" t="n">
        <v>15.25</v>
      </c>
      <c r="X103" s="38" t="n">
        <v>16.05263157894737</v>
      </c>
      <c r="Y103" s="38" t="n">
        <v>16.94444444444444</v>
      </c>
      <c r="Z103" s="38" t="n">
        <v>17.94117647058824</v>
      </c>
      <c r="AA103" s="38" t="n">
        <v>19.0625</v>
      </c>
      <c r="AB103" s="38" t="n">
        <v>20.33333333333333</v>
      </c>
      <c r="AC103" s="38" t="n">
        <v>21.78571428571429</v>
      </c>
      <c r="AD103" s="38" t="n">
        <v>23.46153846153846</v>
      </c>
      <c r="AE103" s="38" t="n">
        <v>25.41666666666667</v>
      </c>
      <c r="AF103" s="38" t="n">
        <v>27.72727272727273</v>
      </c>
      <c r="AG103" s="38" t="n">
        <v>30.5</v>
      </c>
      <c r="AH103" s="38" t="n">
        <v>33.88888888888889</v>
      </c>
      <c r="AI103" s="38" t="n">
        <v>38.125</v>
      </c>
      <c r="AJ103" s="38" t="n">
        <v>43.57142857142858</v>
      </c>
      <c r="AK103" s="38" t="n">
        <v>50.83333333333334</v>
      </c>
      <c r="AL103" s="38" t="n">
        <v>61</v>
      </c>
      <c r="AM103" s="38" t="n">
        <v>76.25</v>
      </c>
      <c r="AN103" s="38" t="n">
        <v>101.6666666666667</v>
      </c>
      <c r="AO103" s="38" t="n">
        <v>152.5</v>
      </c>
      <c r="AP103" s="38" t="n">
        <v>305</v>
      </c>
    </row>
    <row r="104">
      <c r="A104" s="5" t="inlineStr">
        <is>
          <t>P123</t>
        </is>
      </c>
      <c r="B104" s="5" t="inlineStr">
        <is>
          <t>RDM</t>
        </is>
      </c>
      <c r="C104" s="38" t="n">
        <v>6.65</v>
      </c>
      <c r="D104" s="38" t="n">
        <v>7.000000000000001</v>
      </c>
      <c r="E104" s="38" t="n">
        <v>7.388888888888889</v>
      </c>
      <c r="F104" s="38" t="n">
        <v>7.823529411764707</v>
      </c>
      <c r="G104" s="38" t="n">
        <v>8.3125</v>
      </c>
      <c r="H104" s="38" t="n">
        <v>8.866666666666667</v>
      </c>
      <c r="I104" s="38" t="n">
        <v>9.500000000000002</v>
      </c>
      <c r="J104" s="38" t="n">
        <v>10.23076923076923</v>
      </c>
      <c r="K104" s="38" t="n">
        <v>11.08333333333333</v>
      </c>
      <c r="L104" s="38" t="n">
        <v>12.09090909090909</v>
      </c>
      <c r="M104" s="38" t="n">
        <v>13.3</v>
      </c>
      <c r="N104" s="38" t="n">
        <v>14.77777777777778</v>
      </c>
      <c r="O104" s="38" t="n">
        <v>16.625</v>
      </c>
      <c r="P104" s="38" t="n">
        <v>19</v>
      </c>
      <c r="Q104" s="38" t="n">
        <v>22.16666666666667</v>
      </c>
      <c r="R104" s="38" t="n">
        <v>26.6</v>
      </c>
      <c r="S104" s="38" t="n">
        <v>33.25</v>
      </c>
      <c r="T104" s="38" t="n">
        <v>44.33333333333334</v>
      </c>
      <c r="U104" s="38" t="n">
        <v>66.5</v>
      </c>
      <c r="V104" s="38" t="n">
        <v>133</v>
      </c>
      <c r="W104" s="38" t="n">
        <v>15.26</v>
      </c>
      <c r="X104" s="38" t="n">
        <v>16.06315789473684</v>
      </c>
      <c r="Y104" s="38" t="n">
        <v>16.95555555555556</v>
      </c>
      <c r="Z104" s="38" t="n">
        <v>17.95294117647059</v>
      </c>
      <c r="AA104" s="38" t="n">
        <v>19.075</v>
      </c>
      <c r="AB104" s="38" t="n">
        <v>20.34666666666667</v>
      </c>
      <c r="AC104" s="38" t="n">
        <v>21.8</v>
      </c>
      <c r="AD104" s="38" t="n">
        <v>23.47692307692308</v>
      </c>
      <c r="AE104" s="38" t="n">
        <v>25.43333333333333</v>
      </c>
      <c r="AF104" s="38" t="n">
        <v>27.74545454545454</v>
      </c>
      <c r="AG104" s="38" t="n">
        <v>30.52</v>
      </c>
      <c r="AH104" s="38" t="n">
        <v>33.91111111111111</v>
      </c>
      <c r="AI104" s="38" t="n">
        <v>38.15</v>
      </c>
      <c r="AJ104" s="38" t="n">
        <v>43.6</v>
      </c>
      <c r="AK104" s="38" t="n">
        <v>50.86666666666667</v>
      </c>
      <c r="AL104" s="38" t="n">
        <v>61.04</v>
      </c>
      <c r="AM104" s="38" t="n">
        <v>76.3</v>
      </c>
      <c r="AN104" s="38" t="n">
        <v>101.7333333333333</v>
      </c>
      <c r="AO104" s="38" t="n">
        <v>152.6</v>
      </c>
      <c r="AP104" s="38" t="n">
        <v>305.2</v>
      </c>
    </row>
    <row r="105">
      <c r="A105" s="5" t="inlineStr">
        <is>
          <t>P124</t>
        </is>
      </c>
      <c r="B105" s="5" t="inlineStr">
        <is>
          <t>RDM</t>
        </is>
      </c>
      <c r="C105" s="38" t="n">
        <v>6.3</v>
      </c>
      <c r="D105" s="38" t="n">
        <v>6.631578947368421</v>
      </c>
      <c r="E105" s="38" t="n">
        <v>7</v>
      </c>
      <c r="F105" s="38" t="n">
        <v>7.411764705882353</v>
      </c>
      <c r="G105" s="38" t="n">
        <v>7.874999999999999</v>
      </c>
      <c r="H105" s="38" t="n">
        <v>8.4</v>
      </c>
      <c r="I105" s="38" t="n">
        <v>9</v>
      </c>
      <c r="J105" s="38" t="n">
        <v>9.692307692307692</v>
      </c>
      <c r="K105" s="38" t="n">
        <v>10.5</v>
      </c>
      <c r="L105" s="38" t="n">
        <v>11.45454545454545</v>
      </c>
      <c r="M105" s="38" t="n">
        <v>12.6</v>
      </c>
      <c r="N105" s="38" t="n">
        <v>14</v>
      </c>
      <c r="O105" s="38" t="n">
        <v>15.75</v>
      </c>
      <c r="P105" s="38" t="n">
        <v>18</v>
      </c>
      <c r="Q105" s="38" t="n">
        <v>21</v>
      </c>
      <c r="R105" s="38" t="n">
        <v>25.2</v>
      </c>
      <c r="S105" s="38" t="n">
        <v>31.5</v>
      </c>
      <c r="T105" s="38" t="n">
        <v>42</v>
      </c>
      <c r="U105" s="38" t="n">
        <v>62.99999999999999</v>
      </c>
      <c r="V105" s="38" t="n">
        <v>126</v>
      </c>
      <c r="W105" s="38" t="n">
        <v>15.25</v>
      </c>
      <c r="X105" s="38" t="n">
        <v>16.05263157894737</v>
      </c>
      <c r="Y105" s="38" t="n">
        <v>16.94444444444444</v>
      </c>
      <c r="Z105" s="38" t="n">
        <v>17.94117647058824</v>
      </c>
      <c r="AA105" s="38" t="n">
        <v>19.0625</v>
      </c>
      <c r="AB105" s="38" t="n">
        <v>20.33333333333333</v>
      </c>
      <c r="AC105" s="38" t="n">
        <v>21.78571428571429</v>
      </c>
      <c r="AD105" s="38" t="n">
        <v>23.46153846153846</v>
      </c>
      <c r="AE105" s="38" t="n">
        <v>25.41666666666667</v>
      </c>
      <c r="AF105" s="38" t="n">
        <v>27.72727272727273</v>
      </c>
      <c r="AG105" s="38" t="n">
        <v>30.5</v>
      </c>
      <c r="AH105" s="38" t="n">
        <v>33.88888888888889</v>
      </c>
      <c r="AI105" s="38" t="n">
        <v>38.125</v>
      </c>
      <c r="AJ105" s="38" t="n">
        <v>43.57142857142858</v>
      </c>
      <c r="AK105" s="38" t="n">
        <v>50.83333333333334</v>
      </c>
      <c r="AL105" s="38" t="n">
        <v>61</v>
      </c>
      <c r="AM105" s="38" t="n">
        <v>76.25</v>
      </c>
      <c r="AN105" s="38" t="n">
        <v>101.6666666666667</v>
      </c>
      <c r="AO105" s="38" t="n">
        <v>152.5</v>
      </c>
      <c r="AP105" s="38" t="n">
        <v>305</v>
      </c>
    </row>
    <row r="106">
      <c r="A106" s="5" t="inlineStr">
        <is>
          <t>P125</t>
        </is>
      </c>
      <c r="B106" s="5" t="inlineStr">
        <is>
          <t>RDM</t>
        </is>
      </c>
      <c r="C106" s="38" t="n">
        <v>5.39</v>
      </c>
      <c r="D106" s="38" t="n">
        <v>5.673684210526316</v>
      </c>
      <c r="E106" s="38" t="n">
        <v>5.988888888888888</v>
      </c>
      <c r="F106" s="38" t="n">
        <v>6.341176470588235</v>
      </c>
      <c r="G106" s="38" t="n">
        <v>6.737499999999999</v>
      </c>
      <c r="H106" s="38" t="n">
        <v>7.186666666666667</v>
      </c>
      <c r="I106" s="38" t="n">
        <v>7.7</v>
      </c>
      <c r="J106" s="38" t="n">
        <v>8.292307692307691</v>
      </c>
      <c r="K106" s="38" t="n">
        <v>8.983333333333333</v>
      </c>
      <c r="L106" s="38" t="n">
        <v>9.799999999999999</v>
      </c>
      <c r="M106" s="38" t="n">
        <v>10.78</v>
      </c>
      <c r="N106" s="38" t="n">
        <v>11.97777777777778</v>
      </c>
      <c r="O106" s="38" t="n">
        <v>13.475</v>
      </c>
      <c r="P106" s="38" t="n">
        <v>15.4</v>
      </c>
      <c r="Q106" s="38" t="n">
        <v>17.96666666666667</v>
      </c>
      <c r="R106" s="38" t="n">
        <v>21.56</v>
      </c>
      <c r="S106" s="38" t="n">
        <v>26.95</v>
      </c>
      <c r="T106" s="38" t="n">
        <v>35.93333333333333</v>
      </c>
      <c r="U106" s="38" t="n">
        <v>53.89999999999999</v>
      </c>
      <c r="V106" s="38" t="n">
        <v>107.8</v>
      </c>
      <c r="W106" s="38" t="n">
        <v>12.33</v>
      </c>
      <c r="X106" s="38" t="n">
        <v>12.97894736842105</v>
      </c>
      <c r="Y106" s="38" t="n">
        <v>13.7</v>
      </c>
      <c r="Z106" s="38" t="n">
        <v>14.50588235294118</v>
      </c>
      <c r="AA106" s="38" t="n">
        <v>15.4125</v>
      </c>
      <c r="AB106" s="38" t="n">
        <v>16.44</v>
      </c>
      <c r="AC106" s="38" t="n">
        <v>17.61428571428571</v>
      </c>
      <c r="AD106" s="38" t="n">
        <v>18.96923076923077</v>
      </c>
      <c r="AE106" s="38" t="n">
        <v>20.55</v>
      </c>
      <c r="AF106" s="38" t="n">
        <v>22.41818181818182</v>
      </c>
      <c r="AG106" s="38" t="n">
        <v>24.66</v>
      </c>
      <c r="AH106" s="38" t="n">
        <v>27.4</v>
      </c>
      <c r="AI106" s="38" t="n">
        <v>30.825</v>
      </c>
      <c r="AJ106" s="38" t="n">
        <v>35.22857142857143</v>
      </c>
      <c r="AK106" s="38" t="n">
        <v>41.1</v>
      </c>
      <c r="AL106" s="38" t="n">
        <v>49.32</v>
      </c>
      <c r="AM106" s="38" t="n">
        <v>61.65</v>
      </c>
      <c r="AN106" s="38" t="n">
        <v>82.2</v>
      </c>
      <c r="AO106" s="38" t="n">
        <v>123.3</v>
      </c>
      <c r="AP106" s="38" t="n">
        <v>246.6</v>
      </c>
    </row>
    <row r="107">
      <c r="A107" s="5" t="inlineStr">
        <is>
          <t>P126</t>
        </is>
      </c>
      <c r="B107" s="5" t="inlineStr">
        <is>
          <t>RDM</t>
        </is>
      </c>
      <c r="C107" s="38" t="n">
        <v>6.11</v>
      </c>
      <c r="D107" s="38" t="n">
        <v>6.431578947368422</v>
      </c>
      <c r="E107" s="38" t="n">
        <v>6.788888888888889</v>
      </c>
      <c r="F107" s="38" t="n">
        <v>7.188235294117647</v>
      </c>
      <c r="G107" s="38" t="n">
        <v>7.6375</v>
      </c>
      <c r="H107" s="38" t="n">
        <v>8.146666666666667</v>
      </c>
      <c r="I107" s="38" t="n">
        <v>8.72857142857143</v>
      </c>
      <c r="J107" s="38" t="n">
        <v>9.4</v>
      </c>
      <c r="K107" s="38" t="n">
        <v>10.18333333333333</v>
      </c>
      <c r="L107" s="38" t="n">
        <v>11.10909090909091</v>
      </c>
      <c r="M107" s="38" t="n">
        <v>12.22</v>
      </c>
      <c r="N107" s="38" t="n">
        <v>13.57777777777778</v>
      </c>
      <c r="O107" s="38" t="n">
        <v>15.275</v>
      </c>
      <c r="P107" s="38" t="n">
        <v>17.45714285714286</v>
      </c>
      <c r="Q107" s="38" t="n">
        <v>20.36666666666667</v>
      </c>
      <c r="R107" s="38" t="n">
        <v>24.44</v>
      </c>
      <c r="S107" s="38" t="n">
        <v>30.55</v>
      </c>
      <c r="T107" s="38" t="n">
        <v>40.73333333333333</v>
      </c>
      <c r="U107" s="38" t="n">
        <v>61.1</v>
      </c>
      <c r="V107" s="38" t="n">
        <v>122.2</v>
      </c>
      <c r="W107" s="38" t="n">
        <v>14.64</v>
      </c>
      <c r="X107" s="38" t="n">
        <v>15.41052631578948</v>
      </c>
      <c r="Y107" s="38" t="n">
        <v>16.26666666666667</v>
      </c>
      <c r="Z107" s="38" t="n">
        <v>17.22352941176471</v>
      </c>
      <c r="AA107" s="38" t="n">
        <v>18.3</v>
      </c>
      <c r="AB107" s="38" t="n">
        <v>19.52</v>
      </c>
      <c r="AC107" s="38" t="n">
        <v>20.91428571428572</v>
      </c>
      <c r="AD107" s="38" t="n">
        <v>22.52307692307692</v>
      </c>
      <c r="AE107" s="38" t="n">
        <v>24.4</v>
      </c>
      <c r="AF107" s="38" t="n">
        <v>26.61818181818182</v>
      </c>
      <c r="AG107" s="38" t="n">
        <v>29.28</v>
      </c>
      <c r="AH107" s="38" t="n">
        <v>32.53333333333333</v>
      </c>
      <c r="AI107" s="38" t="n">
        <v>36.6</v>
      </c>
      <c r="AJ107" s="38" t="n">
        <v>41.82857142857144</v>
      </c>
      <c r="AK107" s="38" t="n">
        <v>48.8</v>
      </c>
      <c r="AL107" s="38" t="n">
        <v>58.56</v>
      </c>
      <c r="AM107" s="38" t="n">
        <v>73.2</v>
      </c>
      <c r="AN107" s="38" t="n">
        <v>97.60000000000001</v>
      </c>
      <c r="AO107" s="38" t="n">
        <v>146.4</v>
      </c>
      <c r="AP107" s="38" t="n">
        <v>292.8</v>
      </c>
    </row>
    <row r="108">
      <c r="A108" s="5" t="inlineStr">
        <is>
          <t>P127</t>
        </is>
      </c>
      <c r="B108" s="5" t="inlineStr">
        <is>
          <t>RDM</t>
        </is>
      </c>
      <c r="C108" s="38" t="n">
        <v>5.3</v>
      </c>
      <c r="D108" s="38" t="n">
        <v>5.578947368421053</v>
      </c>
      <c r="E108" s="38" t="n">
        <v>5.888888888888888</v>
      </c>
      <c r="F108" s="38" t="n">
        <v>6.235294117647059</v>
      </c>
      <c r="G108" s="38" t="n">
        <v>6.624999999999999</v>
      </c>
      <c r="H108" s="38" t="n">
        <v>7.066666666666666</v>
      </c>
      <c r="I108" s="38" t="n">
        <v>7.571428571428572</v>
      </c>
      <c r="J108" s="38" t="n">
        <v>8.153846153846153</v>
      </c>
      <c r="K108" s="38" t="n">
        <v>8.833333333333334</v>
      </c>
      <c r="L108" s="38" t="n">
        <v>9.636363636363635</v>
      </c>
      <c r="M108" s="38" t="n">
        <v>10.6</v>
      </c>
      <c r="N108" s="38" t="n">
        <v>11.77777777777778</v>
      </c>
      <c r="O108" s="38" t="n">
        <v>13.25</v>
      </c>
      <c r="P108" s="38" t="n">
        <v>15.14285714285714</v>
      </c>
      <c r="Q108" s="38" t="n">
        <v>17.66666666666667</v>
      </c>
      <c r="R108" s="38" t="n">
        <v>21.2</v>
      </c>
      <c r="S108" s="38" t="n">
        <v>26.5</v>
      </c>
      <c r="T108" s="38" t="n">
        <v>35.33333333333334</v>
      </c>
      <c r="U108" s="38" t="n">
        <v>52.99999999999999</v>
      </c>
      <c r="V108" s="38" t="n">
        <v>106</v>
      </c>
      <c r="W108" s="38" t="n">
        <v>12.33</v>
      </c>
      <c r="X108" s="38" t="n">
        <v>12.97894736842105</v>
      </c>
      <c r="Y108" s="38" t="n">
        <v>13.7</v>
      </c>
      <c r="Z108" s="38" t="n">
        <v>14.50588235294118</v>
      </c>
      <c r="AA108" s="38" t="n">
        <v>15.4125</v>
      </c>
      <c r="AB108" s="38" t="n">
        <v>16.44</v>
      </c>
      <c r="AC108" s="38" t="n">
        <v>17.61428571428571</v>
      </c>
      <c r="AD108" s="38" t="n">
        <v>18.96923076923077</v>
      </c>
      <c r="AE108" s="38" t="n">
        <v>20.55</v>
      </c>
      <c r="AF108" s="38" t="n">
        <v>22.41818181818182</v>
      </c>
      <c r="AG108" s="38" t="n">
        <v>24.66</v>
      </c>
      <c r="AH108" s="38" t="n">
        <v>27.4</v>
      </c>
      <c r="AI108" s="38" t="n">
        <v>30.825</v>
      </c>
      <c r="AJ108" s="38" t="n">
        <v>35.22857142857143</v>
      </c>
      <c r="AK108" s="38" t="n">
        <v>41.1</v>
      </c>
      <c r="AL108" s="38" t="n">
        <v>49.32</v>
      </c>
      <c r="AM108" s="38" t="n">
        <v>61.65</v>
      </c>
      <c r="AN108" s="38" t="n">
        <v>82.2</v>
      </c>
      <c r="AO108" s="38" t="n">
        <v>123.3</v>
      </c>
      <c r="AP108" s="38" t="n">
        <v>246.6</v>
      </c>
    </row>
    <row r="109">
      <c r="A109" s="5" t="inlineStr">
        <is>
          <t>P128</t>
        </is>
      </c>
      <c r="B109" s="5" t="inlineStr">
        <is>
          <t>RDM</t>
        </is>
      </c>
      <c r="C109" s="38" t="n">
        <v>5.72</v>
      </c>
      <c r="D109" s="38" t="n">
        <v>6.021052631578947</v>
      </c>
      <c r="E109" s="38" t="n">
        <v>6.355555555555555</v>
      </c>
      <c r="F109" s="38" t="n">
        <v>6.729411764705882</v>
      </c>
      <c r="G109" s="38" t="n">
        <v>7.149999999999999</v>
      </c>
      <c r="H109" s="38" t="n">
        <v>7.626666666666666</v>
      </c>
      <c r="I109" s="38" t="n">
        <v>8.171428571428571</v>
      </c>
      <c r="J109" s="38" t="n">
        <v>8.799999999999999</v>
      </c>
      <c r="K109" s="38" t="n">
        <v>9.533333333333333</v>
      </c>
      <c r="L109" s="38" t="n">
        <v>10.4</v>
      </c>
      <c r="M109" s="38" t="n">
        <v>11.44</v>
      </c>
      <c r="N109" s="38" t="n">
        <v>12.71111111111111</v>
      </c>
      <c r="O109" s="38" t="n">
        <v>14.3</v>
      </c>
      <c r="P109" s="38" t="n">
        <v>16.34285714285714</v>
      </c>
      <c r="Q109" s="38" t="n">
        <v>19.06666666666667</v>
      </c>
      <c r="R109" s="38" t="n">
        <v>22.88</v>
      </c>
      <c r="S109" s="38" t="n">
        <v>28.6</v>
      </c>
      <c r="T109" s="38" t="n">
        <v>38.13333333333333</v>
      </c>
      <c r="U109" s="38" t="n">
        <v>57.2</v>
      </c>
      <c r="V109" s="38" t="n">
        <v>114.4</v>
      </c>
      <c r="W109" s="38" t="n">
        <v>14.64</v>
      </c>
      <c r="X109" s="38" t="n">
        <v>15.41052631578948</v>
      </c>
      <c r="Y109" s="38" t="n">
        <v>16.26666666666667</v>
      </c>
      <c r="Z109" s="38" t="n">
        <v>17.22352941176471</v>
      </c>
      <c r="AA109" s="38" t="n">
        <v>18.3</v>
      </c>
      <c r="AB109" s="38" t="n">
        <v>19.52</v>
      </c>
      <c r="AC109" s="38" t="n">
        <v>20.91428571428572</v>
      </c>
      <c r="AD109" s="38" t="n">
        <v>22.52307692307692</v>
      </c>
      <c r="AE109" s="38" t="n">
        <v>24.4</v>
      </c>
      <c r="AF109" s="38" t="n">
        <v>26.61818181818182</v>
      </c>
      <c r="AG109" s="38" t="n">
        <v>29.28</v>
      </c>
      <c r="AH109" s="38" t="n">
        <v>32.53333333333333</v>
      </c>
      <c r="AI109" s="38" t="n">
        <v>36.6</v>
      </c>
      <c r="AJ109" s="38" t="n">
        <v>41.82857142857144</v>
      </c>
      <c r="AK109" s="38" t="n">
        <v>48.8</v>
      </c>
      <c r="AL109" s="38" t="n">
        <v>58.56</v>
      </c>
      <c r="AM109" s="38" t="n">
        <v>73.2</v>
      </c>
      <c r="AN109" s="38" t="n">
        <v>97.60000000000001</v>
      </c>
      <c r="AO109" s="38" t="n">
        <v>146.4</v>
      </c>
      <c r="AP109" s="38" t="n">
        <v>292.8</v>
      </c>
    </row>
    <row r="110">
      <c r="A110" s="5" t="inlineStr">
        <is>
          <t>P129</t>
        </is>
      </c>
      <c r="B110" s="5" t="inlineStr">
        <is>
          <t>RDM</t>
        </is>
      </c>
      <c r="C110" s="38" t="n">
        <v>5.55</v>
      </c>
      <c r="D110" s="38" t="n">
        <v>5.842105263157895</v>
      </c>
      <c r="E110" s="38" t="n">
        <v>6.166666666666666</v>
      </c>
      <c r="F110" s="38" t="n">
        <v>6.529411764705882</v>
      </c>
      <c r="G110" s="38" t="n">
        <v>6.937499999999999</v>
      </c>
      <c r="H110" s="38" t="n">
        <v>7.399999999999999</v>
      </c>
      <c r="I110" s="38" t="n">
        <v>7.928571428571429</v>
      </c>
      <c r="J110" s="38" t="n">
        <v>8.538461538461538</v>
      </c>
      <c r="K110" s="38" t="n">
        <v>9.25</v>
      </c>
      <c r="L110" s="38" t="n">
        <v>10.09090909090909</v>
      </c>
      <c r="M110" s="38" t="n">
        <v>11.1</v>
      </c>
      <c r="N110" s="38" t="n">
        <v>12.33333333333333</v>
      </c>
      <c r="O110" s="38" t="n">
        <v>13.875</v>
      </c>
      <c r="P110" s="38" t="n">
        <v>15.85714285714286</v>
      </c>
      <c r="Q110" s="38" t="n">
        <v>18.5</v>
      </c>
      <c r="R110" s="38" t="n">
        <v>22.2</v>
      </c>
      <c r="S110" s="38" t="n">
        <v>27.75</v>
      </c>
      <c r="T110" s="38" t="n">
        <v>37</v>
      </c>
      <c r="U110" s="38" t="n">
        <v>55.49999999999999</v>
      </c>
      <c r="V110" s="38" t="n">
        <v>111</v>
      </c>
      <c r="W110" s="38" t="n">
        <v>12.33</v>
      </c>
      <c r="X110" s="38" t="n">
        <v>12.97894736842105</v>
      </c>
      <c r="Y110" s="38" t="n">
        <v>13.7</v>
      </c>
      <c r="Z110" s="38" t="n">
        <v>14.50588235294118</v>
      </c>
      <c r="AA110" s="38" t="n">
        <v>15.4125</v>
      </c>
      <c r="AB110" s="38" t="n">
        <v>16.44</v>
      </c>
      <c r="AC110" s="38" t="n">
        <v>17.61428571428571</v>
      </c>
      <c r="AD110" s="38" t="n">
        <v>18.96923076923077</v>
      </c>
      <c r="AE110" s="38" t="n">
        <v>20.55</v>
      </c>
      <c r="AF110" s="38" t="n">
        <v>22.41818181818182</v>
      </c>
      <c r="AG110" s="38" t="n">
        <v>24.66</v>
      </c>
      <c r="AH110" s="38" t="n">
        <v>27.4</v>
      </c>
      <c r="AI110" s="38" t="n">
        <v>30.825</v>
      </c>
      <c r="AJ110" s="38" t="n">
        <v>35.22857142857143</v>
      </c>
      <c r="AK110" s="38" t="n">
        <v>41.1</v>
      </c>
      <c r="AL110" s="38" t="n">
        <v>49.32</v>
      </c>
      <c r="AM110" s="38" t="n">
        <v>61.65</v>
      </c>
      <c r="AN110" s="38" t="n">
        <v>82.2</v>
      </c>
      <c r="AO110" s="38" t="n">
        <v>123.3</v>
      </c>
      <c r="AP110" s="38" t="n">
        <v>246.6</v>
      </c>
    </row>
    <row r="111">
      <c r="A111" s="5" t="inlineStr">
        <is>
          <t>P130</t>
        </is>
      </c>
      <c r="B111" s="5" t="inlineStr">
        <is>
          <t>RDM</t>
        </is>
      </c>
      <c r="C111" s="38" t="n">
        <v>6.44</v>
      </c>
      <c r="D111" s="38" t="n">
        <v>6.778947368421053</v>
      </c>
      <c r="E111" s="38" t="n">
        <v>7.155555555555556</v>
      </c>
      <c r="F111" s="38" t="n">
        <v>7.576470588235295</v>
      </c>
      <c r="G111" s="38" t="n">
        <v>8.050000000000001</v>
      </c>
      <c r="H111" s="38" t="n">
        <v>8.586666666666668</v>
      </c>
      <c r="I111" s="38" t="n">
        <v>9.200000000000001</v>
      </c>
      <c r="J111" s="38" t="n">
        <v>9.907692307692308</v>
      </c>
      <c r="K111" s="38" t="n">
        <v>10.73333333333333</v>
      </c>
      <c r="L111" s="38" t="n">
        <v>11.70909090909091</v>
      </c>
      <c r="M111" s="38" t="n">
        <v>12.88</v>
      </c>
      <c r="N111" s="38" t="n">
        <v>14.31111111111111</v>
      </c>
      <c r="O111" s="38" t="n">
        <v>16.1</v>
      </c>
      <c r="P111" s="38" t="n">
        <v>18.4</v>
      </c>
      <c r="Q111" s="38" t="n">
        <v>21.46666666666667</v>
      </c>
      <c r="R111" s="38" t="n">
        <v>25.76</v>
      </c>
      <c r="S111" s="38" t="n">
        <v>32.2</v>
      </c>
      <c r="T111" s="38" t="n">
        <v>42.93333333333334</v>
      </c>
      <c r="U111" s="38" t="n">
        <v>64.40000000000001</v>
      </c>
      <c r="V111" s="38" t="n">
        <v>128.8</v>
      </c>
      <c r="W111" s="38" t="n">
        <v>15.25</v>
      </c>
      <c r="X111" s="38" t="n">
        <v>16.05263157894737</v>
      </c>
      <c r="Y111" s="38" t="n">
        <v>16.94444444444444</v>
      </c>
      <c r="Z111" s="38" t="n">
        <v>17.94117647058824</v>
      </c>
      <c r="AA111" s="38" t="n">
        <v>19.0625</v>
      </c>
      <c r="AB111" s="38" t="n">
        <v>20.33333333333333</v>
      </c>
      <c r="AC111" s="38" t="n">
        <v>21.78571428571429</v>
      </c>
      <c r="AD111" s="38" t="n">
        <v>23.46153846153846</v>
      </c>
      <c r="AE111" s="38" t="n">
        <v>25.41666666666667</v>
      </c>
      <c r="AF111" s="38" t="n">
        <v>27.72727272727273</v>
      </c>
      <c r="AG111" s="38" t="n">
        <v>30.5</v>
      </c>
      <c r="AH111" s="38" t="n">
        <v>33.88888888888889</v>
      </c>
      <c r="AI111" s="38" t="n">
        <v>38.125</v>
      </c>
      <c r="AJ111" s="38" t="n">
        <v>43.57142857142858</v>
      </c>
      <c r="AK111" s="38" t="n">
        <v>50.83333333333334</v>
      </c>
      <c r="AL111" s="38" t="n">
        <v>61</v>
      </c>
      <c r="AM111" s="38" t="n">
        <v>76.25</v>
      </c>
      <c r="AN111" s="38" t="n">
        <v>101.6666666666667</v>
      </c>
      <c r="AO111" s="38" t="n">
        <v>152.5</v>
      </c>
      <c r="AP111" s="38" t="n">
        <v>305</v>
      </c>
    </row>
    <row r="112">
      <c r="A112" s="5" t="inlineStr">
        <is>
          <t>P131</t>
        </is>
      </c>
      <c r="B112" s="5" t="inlineStr">
        <is>
          <t>RDM</t>
        </is>
      </c>
      <c r="C112" s="38" t="n">
        <v>8.16</v>
      </c>
      <c r="D112" s="38" t="n">
        <v>8.589473684210526</v>
      </c>
      <c r="E112" s="38" t="n">
        <v>9.066666666666666</v>
      </c>
      <c r="F112" s="38" t="n">
        <v>9.6</v>
      </c>
      <c r="G112" s="38" t="n">
        <v>10.2</v>
      </c>
      <c r="H112" s="38" t="n">
        <v>10.88</v>
      </c>
      <c r="I112" s="38" t="n">
        <v>11.65714285714286</v>
      </c>
      <c r="J112" s="38" t="n">
        <v>12.55384615384615</v>
      </c>
      <c r="K112" s="38" t="n">
        <v>13.6</v>
      </c>
      <c r="L112" s="38" t="n">
        <v>14.83636363636364</v>
      </c>
      <c r="M112" s="38" t="n">
        <v>16.32</v>
      </c>
      <c r="N112" s="38" t="n">
        <v>18.13333333333333</v>
      </c>
      <c r="O112" s="38" t="n">
        <v>20.4</v>
      </c>
      <c r="P112" s="38" t="n">
        <v>23.31428571428572</v>
      </c>
      <c r="Q112" s="38" t="n">
        <v>27.2</v>
      </c>
      <c r="R112" s="38" t="n">
        <v>32.64</v>
      </c>
      <c r="S112" s="38" t="n">
        <v>40.8</v>
      </c>
      <c r="T112" s="38" t="n">
        <v>54.40000000000001</v>
      </c>
      <c r="U112" s="38" t="n">
        <v>81.59999999999999</v>
      </c>
      <c r="V112" s="38" t="n">
        <v>163.2</v>
      </c>
      <c r="W112" s="38" t="n">
        <v>10.52</v>
      </c>
      <c r="X112" s="38" t="n">
        <v>11.07368421052632</v>
      </c>
      <c r="Y112" s="38" t="n">
        <v>11.68888888888889</v>
      </c>
      <c r="Z112" s="38" t="n">
        <v>12.37647058823529</v>
      </c>
      <c r="AA112" s="38" t="n">
        <v>13.15</v>
      </c>
      <c r="AB112" s="38" t="n">
        <v>14.02666666666667</v>
      </c>
      <c r="AC112" s="38" t="n">
        <v>15.02857142857143</v>
      </c>
      <c r="AD112" s="38" t="n">
        <v>16.18461538461538</v>
      </c>
      <c r="AE112" s="38" t="n">
        <v>17.53333333333333</v>
      </c>
      <c r="AF112" s="38" t="n">
        <v>19.12727272727273</v>
      </c>
      <c r="AG112" s="38" t="n">
        <v>21.04</v>
      </c>
      <c r="AH112" s="38" t="n">
        <v>23.37777777777778</v>
      </c>
      <c r="AI112" s="38" t="n">
        <v>26.3</v>
      </c>
      <c r="AJ112" s="38" t="n">
        <v>30.05714285714286</v>
      </c>
      <c r="AK112" s="38" t="n">
        <v>35.06666666666667</v>
      </c>
      <c r="AL112" s="38" t="n">
        <v>42.08</v>
      </c>
      <c r="AM112" s="38" t="n">
        <v>52.59999999999999</v>
      </c>
      <c r="AN112" s="38" t="n">
        <v>70.13333333333334</v>
      </c>
      <c r="AO112" s="38" t="n">
        <v>105.2</v>
      </c>
      <c r="AP112" s="38" t="n">
        <v>210.4</v>
      </c>
    </row>
    <row r="113">
      <c r="A113" s="5" t="inlineStr">
        <is>
          <t>P132</t>
        </is>
      </c>
      <c r="B113" s="5" t="inlineStr">
        <is>
          <t>RDM</t>
        </is>
      </c>
      <c r="C113" s="38" t="n">
        <v>7.68</v>
      </c>
      <c r="D113" s="38" t="n">
        <v>8.08421052631579</v>
      </c>
      <c r="E113" s="38" t="n">
        <v>8.533333333333333</v>
      </c>
      <c r="F113" s="38" t="n">
        <v>9.035294117647059</v>
      </c>
      <c r="G113" s="38" t="n">
        <v>9.6</v>
      </c>
      <c r="H113" s="38" t="n">
        <v>10.24</v>
      </c>
      <c r="I113" s="38" t="n">
        <v>10.97142857142857</v>
      </c>
      <c r="J113" s="38" t="n">
        <v>11.81538461538461</v>
      </c>
      <c r="K113" s="38" t="n">
        <v>12.8</v>
      </c>
      <c r="L113" s="38" t="n">
        <v>13.96363636363636</v>
      </c>
      <c r="M113" s="38" t="n">
        <v>15.36</v>
      </c>
      <c r="N113" s="38" t="n">
        <v>17.06666666666667</v>
      </c>
      <c r="O113" s="38" t="n">
        <v>19.2</v>
      </c>
      <c r="P113" s="38" t="n">
        <v>21.94285714285714</v>
      </c>
      <c r="Q113" s="38" t="n">
        <v>25.6</v>
      </c>
      <c r="R113" s="38" t="n">
        <v>30.72</v>
      </c>
      <c r="S113" s="38" t="n">
        <v>38.4</v>
      </c>
      <c r="T113" s="38" t="n">
        <v>51.2</v>
      </c>
      <c r="U113" s="38" t="n">
        <v>76.8</v>
      </c>
      <c r="V113" s="38" t="n">
        <v>153.6</v>
      </c>
      <c r="W113" s="38" t="n">
        <v>10.52</v>
      </c>
      <c r="X113" s="38" t="n">
        <v>11.07368421052632</v>
      </c>
      <c r="Y113" s="38" t="n">
        <v>11.68888888888889</v>
      </c>
      <c r="Z113" s="38" t="n">
        <v>12.37647058823529</v>
      </c>
      <c r="AA113" s="38" t="n">
        <v>13.15</v>
      </c>
      <c r="AB113" s="38" t="n">
        <v>14.02666666666667</v>
      </c>
      <c r="AC113" s="38" t="n">
        <v>15.02857142857143</v>
      </c>
      <c r="AD113" s="38" t="n">
        <v>16.18461538461538</v>
      </c>
      <c r="AE113" s="38" t="n">
        <v>17.53333333333333</v>
      </c>
      <c r="AF113" s="38" t="n">
        <v>19.12727272727273</v>
      </c>
      <c r="AG113" s="38" t="n">
        <v>21.04</v>
      </c>
      <c r="AH113" s="38" t="n">
        <v>23.37777777777778</v>
      </c>
      <c r="AI113" s="38" t="n">
        <v>26.3</v>
      </c>
      <c r="AJ113" s="38" t="n">
        <v>30.05714285714286</v>
      </c>
      <c r="AK113" s="38" t="n">
        <v>35.06666666666667</v>
      </c>
      <c r="AL113" s="38" t="n">
        <v>42.08</v>
      </c>
      <c r="AM113" s="38" t="n">
        <v>52.59999999999999</v>
      </c>
      <c r="AN113" s="38" t="n">
        <v>70.13333333333334</v>
      </c>
      <c r="AO113" s="38" t="n">
        <v>105.2</v>
      </c>
      <c r="AP113" s="38" t="n">
        <v>210.4</v>
      </c>
    </row>
    <row r="114">
      <c r="A114" s="5" t="inlineStr">
        <is>
          <t>P133</t>
        </is>
      </c>
      <c r="B114" s="5" t="inlineStr">
        <is>
          <t>RDM</t>
        </is>
      </c>
      <c r="C114" s="38" t="n">
        <v>5.445</v>
      </c>
      <c r="D114" s="38" t="n">
        <v>5.731578947368422</v>
      </c>
      <c r="E114" s="38" t="n">
        <v>6.05</v>
      </c>
      <c r="F114" s="38" t="n">
        <v>6.405882352941177</v>
      </c>
      <c r="G114" s="38" t="n">
        <v>6.80625</v>
      </c>
      <c r="H114" s="38" t="n">
        <v>7.260000000000001</v>
      </c>
      <c r="I114" s="38" t="n">
        <v>7.778571428571429</v>
      </c>
      <c r="J114" s="38" t="n">
        <v>8.376923076923077</v>
      </c>
      <c r="K114" s="38" t="n">
        <v>9.075000000000001</v>
      </c>
      <c r="L114" s="38" t="n">
        <v>9.9</v>
      </c>
      <c r="M114" s="38" t="n">
        <v>10.89</v>
      </c>
      <c r="N114" s="38" t="n">
        <v>12.1</v>
      </c>
      <c r="O114" s="38" t="n">
        <v>13.6125</v>
      </c>
      <c r="P114" s="38" t="n">
        <v>15.55714285714286</v>
      </c>
      <c r="Q114" s="38" t="n">
        <v>18.15</v>
      </c>
      <c r="R114" s="38" t="n">
        <v>21.78</v>
      </c>
      <c r="S114" s="38" t="n">
        <v>27.225</v>
      </c>
      <c r="T114" s="38" t="n">
        <v>36.3</v>
      </c>
      <c r="U114" s="38" t="n">
        <v>54.45</v>
      </c>
      <c r="V114" s="38" t="n">
        <v>108.9</v>
      </c>
      <c r="W114" s="38" t="n">
        <v>12.17</v>
      </c>
      <c r="X114" s="38" t="n">
        <v>12.81052631578947</v>
      </c>
      <c r="Y114" s="38" t="n">
        <v>13.52222222222222</v>
      </c>
      <c r="Z114" s="38" t="n">
        <v>14.31764705882353</v>
      </c>
      <c r="AA114" s="38" t="n">
        <v>15.2125</v>
      </c>
      <c r="AB114" s="38" t="n">
        <v>16.22666666666667</v>
      </c>
      <c r="AC114" s="38" t="n">
        <v>17.38571428571429</v>
      </c>
      <c r="AD114" s="38" t="n">
        <v>18.72307692307692</v>
      </c>
      <c r="AE114" s="38" t="n">
        <v>20.28333333333333</v>
      </c>
      <c r="AF114" s="38" t="n">
        <v>22.12727272727273</v>
      </c>
      <c r="AG114" s="38" t="n">
        <v>24.34</v>
      </c>
      <c r="AH114" s="38" t="n">
        <v>27.04444444444444</v>
      </c>
      <c r="AI114" s="38" t="n">
        <v>30.425</v>
      </c>
      <c r="AJ114" s="38" t="n">
        <v>34.77142857142857</v>
      </c>
      <c r="AK114" s="38" t="n">
        <v>40.56666666666667</v>
      </c>
      <c r="AL114" s="38" t="n">
        <v>48.68</v>
      </c>
      <c r="AM114" s="38" t="n">
        <v>60.84999999999999</v>
      </c>
      <c r="AN114" s="38" t="n">
        <v>81.13333333333334</v>
      </c>
      <c r="AO114" s="38" t="n">
        <v>121.7</v>
      </c>
      <c r="AP114" s="38" t="n">
        <v>243.4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6" customWidth="1" min="3" max="3"/>
    <col width="6" customWidth="1" min="4" max="4"/>
    <col width="6" customWidth="1" min="5" max="5"/>
    <col width="6" customWidth="1" min="6" max="6"/>
    <col width="7" customWidth="1" min="7" max="7"/>
    <col width="7" customWidth="1" min="8" max="8"/>
    <col width="7" customWidth="1" min="9" max="9"/>
    <col width="7" customWidth="1" min="10" max="10"/>
    <col width="18" customWidth="1" min="11" max="11"/>
  </cols>
  <sheetData>
    <row r="1" ht="20" customHeight="1">
      <c r="A1" s="1" t="inlineStr">
        <is>
          <t>KC_CURVAS - Kc FAO-56 (interpolacao LINEAR por fase)</t>
        </is>
      </c>
    </row>
    <row r="2">
      <c r="A2" s="3" t="inlineStr">
        <is>
          <t>Editavel. Kc varia com DAE.</t>
        </is>
      </c>
    </row>
    <row r="4" ht="30" customHeight="1">
      <c r="A4" s="4" t="inlineStr">
        <is>
          <t>Cultura</t>
        </is>
      </c>
      <c r="B4" s="4" t="inlineStr">
        <is>
          <t>Classe</t>
        </is>
      </c>
      <c r="C4" s="4" t="inlineStr">
        <is>
          <t>L_ini</t>
        </is>
      </c>
      <c r="D4" s="4" t="inlineStr">
        <is>
          <t>L_dev</t>
        </is>
      </c>
      <c r="E4" s="4" t="inlineStr">
        <is>
          <t>L_mid</t>
        </is>
      </c>
      <c r="F4" s="4" t="inlineStr">
        <is>
          <t>L_late</t>
        </is>
      </c>
      <c r="G4" s="4" t="inlineStr">
        <is>
          <t>Kc_ini</t>
        </is>
      </c>
      <c r="H4" s="4" t="inlineStr">
        <is>
          <t>Kc_mid</t>
        </is>
      </c>
      <c r="I4" s="4" t="inlineStr">
        <is>
          <t>Kc_end</t>
        </is>
      </c>
      <c r="J4" s="4" t="inlineStr">
        <is>
          <t>Total</t>
        </is>
      </c>
      <c r="K4" s="4" t="inlineStr">
        <is>
          <t>Chave</t>
        </is>
      </c>
    </row>
    <row r="5">
      <c r="A5" s="39" t="inlineStr">
        <is>
          <t>ALGODÃO</t>
        </is>
      </c>
      <c r="B5" s="40" t="inlineStr">
        <is>
          <t>PRECOCE</t>
        </is>
      </c>
      <c r="C5" s="41" t="n">
        <v>25</v>
      </c>
      <c r="D5" s="41" t="n">
        <v>40</v>
      </c>
      <c r="E5" s="41" t="n">
        <v>55</v>
      </c>
      <c r="F5" s="41" t="n">
        <v>40</v>
      </c>
      <c r="G5" s="42" t="n">
        <v>0.35</v>
      </c>
      <c r="H5" s="42" t="n">
        <v>1.2</v>
      </c>
      <c r="I5" s="42" t="n">
        <v>0.55</v>
      </c>
      <c r="J5" s="41" t="n">
        <v>160</v>
      </c>
      <c r="K5" s="26">
        <f>A5&amp;"|"&amp;B5</f>
        <v/>
      </c>
    </row>
    <row r="6">
      <c r="A6" s="39" t="inlineStr">
        <is>
          <t>ALGODÃO</t>
        </is>
      </c>
      <c r="B6" s="40" t="inlineStr">
        <is>
          <t>MÉDIO</t>
        </is>
      </c>
      <c r="C6" s="41" t="n">
        <v>30</v>
      </c>
      <c r="D6" s="41" t="n">
        <v>45</v>
      </c>
      <c r="E6" s="41" t="n">
        <v>55</v>
      </c>
      <c r="F6" s="41" t="n">
        <v>40</v>
      </c>
      <c r="G6" s="42" t="n">
        <v>0.35</v>
      </c>
      <c r="H6" s="42" t="n">
        <v>1.2</v>
      </c>
      <c r="I6" s="42" t="n">
        <v>0.55</v>
      </c>
      <c r="J6" s="41" t="n">
        <v>170</v>
      </c>
      <c r="K6" s="26">
        <f>A6&amp;"|"&amp;B6</f>
        <v/>
      </c>
    </row>
    <row r="7">
      <c r="A7" s="39" t="inlineStr">
        <is>
          <t>ALGODÃO</t>
        </is>
      </c>
      <c r="B7" s="40" t="inlineStr">
        <is>
          <t>TARDIO</t>
        </is>
      </c>
      <c r="C7" s="41" t="n">
        <v>30</v>
      </c>
      <c r="D7" s="41" t="n">
        <v>50</v>
      </c>
      <c r="E7" s="41" t="n">
        <v>65</v>
      </c>
      <c r="F7" s="41" t="n">
        <v>40</v>
      </c>
      <c r="G7" s="42" t="n">
        <v>0.35</v>
      </c>
      <c r="H7" s="42" t="n">
        <v>1.2</v>
      </c>
      <c r="I7" s="42" t="n">
        <v>0.6</v>
      </c>
      <c r="J7" s="41" t="n">
        <v>185</v>
      </c>
      <c r="K7" s="26">
        <f>A7&amp;"|"&amp;B7</f>
        <v/>
      </c>
    </row>
    <row r="8">
      <c r="A8" s="39" t="inlineStr">
        <is>
          <t>SOJA</t>
        </is>
      </c>
      <c r="B8" s="40" t="inlineStr">
        <is>
          <t>PRECOCE</t>
        </is>
      </c>
      <c r="C8" s="41" t="n">
        <v>15</v>
      </c>
      <c r="D8" s="41" t="n">
        <v>25</v>
      </c>
      <c r="E8" s="41" t="n">
        <v>50</v>
      </c>
      <c r="F8" s="41" t="n">
        <v>25</v>
      </c>
      <c r="G8" s="42" t="n">
        <v>0.4</v>
      </c>
      <c r="H8" s="42" t="n">
        <v>1.15</v>
      </c>
      <c r="I8" s="42" t="n">
        <v>0.5</v>
      </c>
      <c r="J8" s="41" t="n">
        <v>115</v>
      </c>
      <c r="K8" s="26">
        <f>A8&amp;"|"&amp;B8</f>
        <v/>
      </c>
    </row>
    <row r="9">
      <c r="A9" s="39" t="inlineStr">
        <is>
          <t>SOJA</t>
        </is>
      </c>
      <c r="B9" s="40" t="inlineStr">
        <is>
          <t>MÉDIA</t>
        </is>
      </c>
      <c r="C9" s="41" t="n">
        <v>20</v>
      </c>
      <c r="D9" s="41" t="n">
        <v>30</v>
      </c>
      <c r="E9" s="41" t="n">
        <v>55</v>
      </c>
      <c r="F9" s="41" t="n">
        <v>23</v>
      </c>
      <c r="G9" s="42" t="n">
        <v>0.4</v>
      </c>
      <c r="H9" s="42" t="n">
        <v>1.15</v>
      </c>
      <c r="I9" s="42" t="n">
        <v>0.5</v>
      </c>
      <c r="J9" s="41" t="n">
        <v>128</v>
      </c>
      <c r="K9" s="26">
        <f>A9&amp;"|"&amp;B9</f>
        <v/>
      </c>
    </row>
    <row r="10">
      <c r="A10" s="39" t="inlineStr">
        <is>
          <t>SOJA</t>
        </is>
      </c>
      <c r="B10" s="40" t="inlineStr">
        <is>
          <t>TARDIA</t>
        </is>
      </c>
      <c r="C10" s="41" t="n">
        <v>20</v>
      </c>
      <c r="D10" s="41" t="n">
        <v>35</v>
      </c>
      <c r="E10" s="41" t="n">
        <v>60</v>
      </c>
      <c r="F10" s="41" t="n">
        <v>28</v>
      </c>
      <c r="G10" s="42" t="n">
        <v>0.4</v>
      </c>
      <c r="H10" s="42" t="n">
        <v>1.15</v>
      </c>
      <c r="I10" s="42" t="n">
        <v>0.5</v>
      </c>
      <c r="J10" s="41" t="n">
        <v>143</v>
      </c>
      <c r="K10" s="26">
        <f>A10&amp;"|"&amp;B10</f>
        <v/>
      </c>
    </row>
    <row r="11">
      <c r="A11" s="39" t="inlineStr">
        <is>
          <t>SOJA SEQUEIRO</t>
        </is>
      </c>
      <c r="B11" s="40" t="inlineStr">
        <is>
          <t>PRECOCE</t>
        </is>
      </c>
      <c r="C11" s="41" t="n">
        <v>15</v>
      </c>
      <c r="D11" s="41" t="n">
        <v>25</v>
      </c>
      <c r="E11" s="41" t="n">
        <v>50</v>
      </c>
      <c r="F11" s="41" t="n">
        <v>25</v>
      </c>
      <c r="G11" s="42" t="n">
        <v>0.4</v>
      </c>
      <c r="H11" s="42" t="n">
        <v>1.15</v>
      </c>
      <c r="I11" s="42" t="n">
        <v>0.5</v>
      </c>
      <c r="J11" s="41" t="n">
        <v>115</v>
      </c>
      <c r="K11" s="26">
        <f>A11&amp;"|"&amp;B11</f>
        <v/>
      </c>
    </row>
    <row r="12">
      <c r="A12" s="39" t="inlineStr">
        <is>
          <t>SOJA SEQUEIRO</t>
        </is>
      </c>
      <c r="B12" s="40" t="inlineStr">
        <is>
          <t>MÉDIA</t>
        </is>
      </c>
      <c r="C12" s="41" t="n">
        <v>20</v>
      </c>
      <c r="D12" s="41" t="n">
        <v>30</v>
      </c>
      <c r="E12" s="41" t="n">
        <v>55</v>
      </c>
      <c r="F12" s="41" t="n">
        <v>23</v>
      </c>
      <c r="G12" s="42" t="n">
        <v>0.4</v>
      </c>
      <c r="H12" s="42" t="n">
        <v>1.15</v>
      </c>
      <c r="I12" s="42" t="n">
        <v>0.5</v>
      </c>
      <c r="J12" s="41" t="n">
        <v>128</v>
      </c>
      <c r="K12" s="26">
        <f>A12&amp;"|"&amp;B12</f>
        <v/>
      </c>
    </row>
    <row r="13">
      <c r="A13" s="39" t="inlineStr">
        <is>
          <t>SOJA SEQUEIRO</t>
        </is>
      </c>
      <c r="B13" s="40" t="inlineStr">
        <is>
          <t>TARDIA</t>
        </is>
      </c>
      <c r="C13" s="41" t="n">
        <v>20</v>
      </c>
      <c r="D13" s="41" t="n">
        <v>35</v>
      </c>
      <c r="E13" s="41" t="n">
        <v>60</v>
      </c>
      <c r="F13" s="41" t="n">
        <v>28</v>
      </c>
      <c r="G13" s="42" t="n">
        <v>0.4</v>
      </c>
      <c r="H13" s="42" t="n">
        <v>1.15</v>
      </c>
      <c r="I13" s="42" t="n">
        <v>0.5</v>
      </c>
      <c r="J13" s="41" t="n">
        <v>143</v>
      </c>
      <c r="K13" s="26">
        <f>A13&amp;"|"&amp;B13</f>
        <v/>
      </c>
    </row>
    <row r="14">
      <c r="A14" s="39" t="inlineStr">
        <is>
          <t>TABACO</t>
        </is>
      </c>
      <c r="B14" s="40" t="inlineStr"/>
      <c r="C14" s="41" t="n">
        <v>10</v>
      </c>
      <c r="D14" s="41" t="n">
        <v>25</v>
      </c>
      <c r="E14" s="41" t="n">
        <v>30</v>
      </c>
      <c r="F14" s="41" t="n">
        <v>25</v>
      </c>
      <c r="G14" s="42" t="n">
        <v>0.35</v>
      </c>
      <c r="H14" s="42" t="n">
        <v>1.15</v>
      </c>
      <c r="I14" s="42" t="n">
        <v>0.8</v>
      </c>
      <c r="J14" s="41" t="n">
        <v>90</v>
      </c>
      <c r="K14" s="26">
        <f>A14&amp;"|"&amp;B14</f>
        <v/>
      </c>
    </row>
    <row r="15">
      <c r="A15" s="39" t="inlineStr">
        <is>
          <t>MILHO GRÃO</t>
        </is>
      </c>
      <c r="B15" s="40" t="inlineStr"/>
      <c r="C15" s="41" t="n">
        <v>25</v>
      </c>
      <c r="D15" s="41" t="n">
        <v>40</v>
      </c>
      <c r="E15" s="41" t="n">
        <v>45</v>
      </c>
      <c r="F15" s="41" t="n">
        <v>20</v>
      </c>
      <c r="G15" s="42" t="n">
        <v>0.3</v>
      </c>
      <c r="H15" s="42" t="n">
        <v>1.2</v>
      </c>
      <c r="I15" s="42" t="n">
        <v>0.6</v>
      </c>
      <c r="J15" s="41" t="n">
        <v>130</v>
      </c>
      <c r="K15" s="26">
        <f>A15&amp;"|"&amp;B15</f>
        <v/>
      </c>
    </row>
    <row r="17">
      <c r="A17" s="20" t="inlineStr">
        <is>
          <t>CACAU sem curva -&gt; Kc PENDENTE. Milho usa curva MILHO GRAO.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9" customWidth="1" min="3" max="3"/>
    <col width="40" customWidth="1" min="4" max="4"/>
  </cols>
  <sheetData>
    <row r="1" ht="20" customHeight="1">
      <c r="A1" s="1" t="inlineStr">
        <is>
          <t>RESUMO 26/27</t>
        </is>
      </c>
    </row>
    <row r="4" ht="30" customHeight="1">
      <c r="A4" s="4" t="inlineStr">
        <is>
          <t>Indicador</t>
        </is>
      </c>
      <c r="B4" s="4" t="inlineStr">
        <is>
          <t>Valor</t>
        </is>
      </c>
      <c r="C4" s="4" t="inlineStr">
        <is>
          <t>Unid</t>
        </is>
      </c>
      <c r="D4" s="4" t="inlineStr">
        <is>
          <t>Obs</t>
        </is>
      </c>
    </row>
    <row r="5">
      <c r="A5" s="43" t="inlineStr">
        <is>
          <t>Parcelas 26/27 (MANEJO)</t>
        </is>
      </c>
      <c r="B5" s="15">
        <f>COUNTA(MANEJO!$A$5:$A$300)</f>
        <v/>
      </c>
      <c r="C5" s="44" t="inlineStr">
        <is>
          <t>un</t>
        </is>
      </c>
      <c r="D5" s="20" t="inlineStr"/>
    </row>
    <row r="6">
      <c r="A6" s="43" t="inlineStr">
        <is>
          <t>A irrigar agora</t>
        </is>
      </c>
      <c r="B6" s="15">
        <f>COUNTIF(MANEJO!$Y$5:$Y$300,"Irrigar")</f>
        <v/>
      </c>
      <c r="C6" s="44" t="inlineStr">
        <is>
          <t>un</t>
        </is>
      </c>
      <c r="D6" s="20" t="inlineStr">
        <is>
          <t>Decisao=Irrigar</t>
        </is>
      </c>
    </row>
    <row r="7">
      <c r="A7" s="43" t="inlineStr">
        <is>
          <t>Aguardando plantio (proximo)</t>
        </is>
      </c>
      <c r="B7" s="15">
        <f>COUNTIF(MANEJO!$H$5:$H$300,"proximo")</f>
        <v/>
      </c>
      <c r="C7" s="44" t="inlineStr">
        <is>
          <t>un</t>
        </is>
      </c>
      <c r="D7" s="20" t="inlineStr">
        <is>
          <t>Cultura ainda nao plantada</t>
        </is>
      </c>
    </row>
    <row r="8">
      <c r="A8" s="43" t="inlineStr">
        <is>
          <t>Definir classe/Kc</t>
        </is>
      </c>
      <c r="B8" s="15">
        <f>COUNTIF(MANEJO!$Y$5:$Y$300,"Definir classe/Kc")</f>
        <v/>
      </c>
      <c r="C8" s="44" t="inlineStr">
        <is>
          <t>un</t>
        </is>
      </c>
      <c r="D8" s="20" t="inlineStr"/>
    </row>
    <row r="9">
      <c r="A9" s="43" t="inlineStr">
        <is>
          <t>Area total 26/27 (ha)</t>
        </is>
      </c>
      <c r="B9" s="15">
        <f>SUM(MANEJO!$W$5:$W$300)</f>
        <v/>
      </c>
      <c r="C9" s="44" t="inlineStr">
        <is>
          <t>ha</t>
        </is>
      </c>
      <c r="D9" s="20" t="inlineStr"/>
    </row>
    <row r="10">
      <c r="A10" s="43" t="inlineStr">
        <is>
          <t>Volume necessario (m3)</t>
        </is>
      </c>
      <c r="B10" s="15">
        <f>SUM(MANEJO!$Z$5:$Z$300)</f>
        <v/>
      </c>
      <c r="C10" s="44" t="inlineStr">
        <is>
          <t>m3</t>
        </is>
      </c>
      <c r="D10" s="20" t="inlineStr">
        <is>
          <t>Semana atual</t>
        </is>
      </c>
    </row>
    <row r="11">
      <c r="A11" s="43" t="inlineStr">
        <is>
          <t>Energia estimada (kWh)</t>
        </is>
      </c>
      <c r="B11" s="15">
        <f>SUM(MANEJO!$AB$5:$AB$300)</f>
        <v/>
      </c>
      <c r="C11" s="44" t="inlineStr">
        <is>
          <t>kWh</t>
        </is>
      </c>
      <c r="D11" s="20" t="inlineStr">
        <is>
          <t>Volume x CE total</t>
        </is>
      </c>
    </row>
    <row r="12">
      <c r="A12" s="43" t="inlineStr">
        <is>
          <t>Energia OS atual (kWh)</t>
        </is>
      </c>
      <c r="B12" s="15">
        <f>SUM('OS IRRIGACAO'!$L$5:$L$300)</f>
        <v/>
      </c>
      <c r="C12" s="44" t="inlineStr">
        <is>
          <t>kWh</t>
        </is>
      </c>
      <c r="D12" s="20" t="inlineStr">
        <is>
          <t>Ver OS IRRIGACAO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0B050"/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0" customWidth="1" min="4" max="4"/>
    <col width="9" customWidth="1" min="5" max="5"/>
    <col width="28" customWidth="1" min="6" max="6"/>
  </cols>
  <sheetData>
    <row r="1" ht="20" customHeight="1">
      <c r="A1" s="1" t="inlineStr">
        <is>
          <t>VALIDACAO</t>
        </is>
      </c>
    </row>
    <row r="2">
      <c r="A2" s="3" t="inlineStr">
        <is>
          <t>Formulas vivas.</t>
        </is>
      </c>
    </row>
    <row r="4" ht="30" customHeight="1">
      <c r="A4" s="4" t="inlineStr">
        <is>
          <t>Verificacao</t>
        </is>
      </c>
      <c r="B4" s="4" t="inlineStr">
        <is>
          <t>Calc</t>
        </is>
      </c>
      <c r="C4" s="4" t="inlineStr">
        <is>
          <t>Esper</t>
        </is>
      </c>
      <c r="D4" s="4" t="inlineStr">
        <is>
          <t>Dif</t>
        </is>
      </c>
      <c r="E4" s="4" t="inlineStr">
        <is>
          <t>St</t>
        </is>
      </c>
      <c r="F4" s="4" t="inlineStr">
        <is>
          <t>Nota</t>
        </is>
      </c>
    </row>
    <row r="5">
      <c r="A5" s="43" t="inlineStr">
        <is>
          <t>Lam bruta 30/0,90</t>
        </is>
      </c>
      <c r="B5" s="36">
        <f>30/EF_APLIC</f>
        <v/>
      </c>
      <c r="C5" s="45" t="n">
        <v>33.333333</v>
      </c>
      <c r="D5" s="46">
        <f>$B5-$C5</f>
        <v/>
      </c>
      <c r="E5" s="18">
        <f>IF(ABS($B5-$C5)&lt;0.01,"OK","VER")</f>
        <v/>
      </c>
      <c r="F5" s="20" t="inlineStr"/>
    </row>
    <row r="6">
      <c r="A6" s="43" t="inlineStr">
        <is>
          <t>30 bruto-&gt;liq</t>
        </is>
      </c>
      <c r="B6" s="36">
        <f>30*EF_APLIC</f>
        <v/>
      </c>
      <c r="C6" s="45" t="n">
        <v>27</v>
      </c>
      <c r="D6" s="46">
        <f>$B6-$C6</f>
        <v/>
      </c>
      <c r="E6" s="18">
        <f>IF(ABS($B6-$C6)&lt;0.01,"OK","VER")</f>
        <v/>
      </c>
      <c r="F6" s="20" t="inlineStr"/>
    </row>
    <row r="7">
      <c r="A7" s="43" t="inlineStr">
        <is>
          <t>CE press ex 149,14/714,33</t>
        </is>
      </c>
      <c r="B7" s="36">
        <f>149.1399744/714.33</f>
        <v/>
      </c>
      <c r="C7" s="45" t="n">
        <v>0.2088</v>
      </c>
      <c r="D7" s="46">
        <f>$B7-$C7</f>
        <v/>
      </c>
      <c r="E7" s="18">
        <f>IF(ABS($B7-$C7)&lt;0.01,"OK","VER")</f>
        <v/>
      </c>
      <c r="F7" s="20" t="inlineStr"/>
    </row>
    <row r="8">
      <c r="A8" s="43" t="inlineStr">
        <is>
          <t>CE total ex: capt 0,305 + press 0,209</t>
        </is>
      </c>
      <c r="B8" s="36">
        <f>0.305+0.2088</f>
        <v/>
      </c>
      <c r="C8" s="45" t="n">
        <v>0.5138</v>
      </c>
      <c r="D8" s="46">
        <f>$B8-$C8</f>
        <v/>
      </c>
      <c r="E8" s="18">
        <f>IF(ABS($B8-$C8)&lt;0.01,"OK","VER")</f>
        <v/>
      </c>
      <c r="F8" s="20" t="inlineStr">
        <is>
          <t>captacao+pressurizacao</t>
        </is>
      </c>
    </row>
    <row r="9">
      <c r="A9" s="43" t="inlineStr">
        <is>
          <t>Energia: vol 10000 x CE 0,514</t>
        </is>
      </c>
      <c r="B9" s="16">
        <f>10000*0.5138</f>
        <v/>
      </c>
      <c r="C9" s="47" t="n">
        <v>5138</v>
      </c>
      <c r="D9" s="46">
        <f>$B9-$C9</f>
        <v/>
      </c>
      <c r="E9" s="18">
        <f>IF(ABS($B9-$C9)&lt;0.01,"OK","VER")</f>
        <v/>
      </c>
      <c r="F9" s="20" t="inlineStr"/>
    </row>
    <row r="11">
      <c r="A11" s="48" t="inlineStr">
        <is>
          <t>RESULTADO</t>
        </is>
      </c>
      <c r="B11" s="49">
        <f>IF(COUNTIF($E$5:$E$9,"VER")=0,"TODAS OK","VER")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55" customWidth="1" min="4" max="4"/>
  </cols>
  <sheetData>
    <row r="1" ht="20" customHeight="1">
      <c r="A1" s="1" t="inlineStr">
        <is>
          <t>PARAMETROS - ajustes globais</t>
        </is>
      </c>
    </row>
    <row r="2">
      <c r="A2" s="3" t="inlineStr">
        <is>
          <t>Manejo via CLIMA com ETo DIARIA. Somente safra 26/27.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43" t="inlineStr">
        <is>
          <t>Eficiencia de aplicacao</t>
        </is>
      </c>
      <c r="B5" s="50" t="n">
        <v>0.9</v>
      </c>
      <c r="C5" s="44" t="inlineStr">
        <is>
          <t>fracao</t>
        </is>
      </c>
      <c r="D5" s="20" t="inlineStr">
        <is>
          <t>Centralizado.</t>
        </is>
      </c>
    </row>
    <row r="6">
      <c r="A6" s="43" t="inlineStr">
        <is>
          <t>Fator hidraulico (capacidade)</t>
        </is>
      </c>
      <c r="B6" s="50" t="n">
        <v>0.9</v>
      </c>
      <c r="C6" s="44" t="inlineStr">
        <is>
          <t>fracao</t>
        </is>
      </c>
      <c r="D6" s="20" t="inlineStr">
        <is>
          <t>1x sobre a vazao.</t>
        </is>
      </c>
    </row>
    <row r="7">
      <c r="A7" s="43" t="inlineStr">
        <is>
          <t>Lamina alvo / turno (mm liq)</t>
        </is>
      </c>
      <c r="B7" s="51" t="n">
        <v>10</v>
      </c>
      <c r="C7" s="44" t="inlineStr">
        <is>
          <t>mm</t>
        </is>
      </c>
      <c r="D7" s="20" t="inlineStr">
        <is>
          <t>Dispara irrigacao quando a necessidade liq. atinge este valor.</t>
        </is>
      </c>
    </row>
    <row r="8">
      <c r="A8" s="43" t="inlineStr">
        <is>
          <t>Gatilho de acompanhamento</t>
        </is>
      </c>
      <c r="B8" s="50" t="n">
        <v>0.8</v>
      </c>
      <c r="C8" s="44" t="inlineStr">
        <is>
          <t>fracao</t>
        </is>
      </c>
      <c r="D8" s="20" t="inlineStr">
        <is>
          <t>Fracao do alvo p/ reavaliar.</t>
        </is>
      </c>
    </row>
    <row r="9">
      <c r="A9" s="43" t="inlineStr">
        <is>
          <t>Data de referencia (HOJE)</t>
        </is>
      </c>
      <c r="B9" s="52" t="n">
        <v>46300</v>
      </c>
      <c r="C9" s="44" t="inlineStr">
        <is>
          <t>data</t>
        </is>
      </c>
      <c r="D9" s="20" t="inlineStr">
        <is>
          <t>Base de DAP/DAE e do acumulo de ETo.</t>
        </is>
      </c>
    </row>
    <row r="10">
      <c r="A10" s="43" t="inlineStr">
        <is>
          <t>cv -&gt; kW</t>
        </is>
      </c>
      <c r="B10" s="50" t="n">
        <v>0.7457</v>
      </c>
      <c r="C10" s="44" t="inlineStr">
        <is>
          <t>kW/cv</t>
        </is>
      </c>
      <c r="D10" s="20" t="inlineStr">
        <is>
          <t>Conversao mecanica (sem rendimento).</t>
        </is>
      </c>
    </row>
    <row r="11">
      <c r="A11" s="43" t="inlineStr">
        <is>
          <t>Emergencia apos plantio</t>
        </is>
      </c>
      <c r="B11" s="51" t="n">
        <v>5</v>
      </c>
      <c r="C11" s="44" t="inlineStr">
        <is>
          <t>dias</t>
        </is>
      </c>
      <c r="D11" s="20" t="inlineStr">
        <is>
          <t>DAE = DAP - este valor.</t>
        </is>
      </c>
    </row>
    <row r="12">
      <c r="A12" s="53" t="inlineStr">
        <is>
          <t>CE de CAPTACAO por modulo (kWh/m3) = pot. bombas / vazao (nameplate).</t>
        </is>
      </c>
      <c r="B12" s="21" t="n"/>
      <c r="C12" s="21" t="n"/>
      <c r="D12" s="22" t="n"/>
    </row>
    <row r="13" ht="30" customHeight="1">
      <c r="A13" s="4" t="inlineStr">
        <is>
          <t>Fazenda | Modulo</t>
        </is>
      </c>
      <c r="B13" s="4" t="inlineStr">
        <is>
          <t>CE capt (kWh/m3)</t>
        </is>
      </c>
      <c r="C13" s="4" t="inlineStr"/>
      <c r="D13" s="4" t="inlineStr">
        <is>
          <t>Observacao</t>
        </is>
      </c>
    </row>
    <row r="14">
      <c r="A14" s="43" t="inlineStr">
        <is>
          <t>Karitel | Módulo 01</t>
        </is>
      </c>
      <c r="B14" s="54" t="n">
        <v>0.305</v>
      </c>
      <c r="D14" s="20" t="inlineStr">
        <is>
          <t>Nameplate (cv-&gt;kW). Operacional real tende a ser maior (rendimento).</t>
        </is>
      </c>
    </row>
    <row r="15">
      <c r="A15" s="43" t="inlineStr">
        <is>
          <t>Karitel | Módulo 02</t>
        </is>
      </c>
      <c r="B15" s="54" t="n">
        <v>0.227</v>
      </c>
      <c r="D15" s="20" t="inlineStr">
        <is>
          <t>Nameplate (cv-&gt;kW). Operacional real tende a ser maior (rendimento).</t>
        </is>
      </c>
    </row>
    <row r="16">
      <c r="A16" s="43" t="inlineStr">
        <is>
          <t>Karitel | Módulo 03</t>
        </is>
      </c>
      <c r="B16" s="54" t="n">
        <v>0.633</v>
      </c>
      <c r="D16" s="20" t="inlineStr">
        <is>
          <t>Nameplate (cv-&gt;kW). Operacional real tende a ser maior (rendimento).</t>
        </is>
      </c>
    </row>
    <row r="17">
      <c r="A17" s="43" t="inlineStr">
        <is>
          <t>Rdm | Módulo 01</t>
        </is>
      </c>
      <c r="B17" s="54" t="n">
        <v>0.43</v>
      </c>
      <c r="D17" s="20" t="inlineStr">
        <is>
          <t>Nameplate (cv-&gt;kW). Operacional real tende a ser maior (rendimento).</t>
        </is>
      </c>
    </row>
    <row r="18">
      <c r="A18" s="43" t="inlineStr">
        <is>
          <t>Rdm | Módulo 02</t>
        </is>
      </c>
      <c r="B18" s="54" t="n">
        <v>0.516</v>
      </c>
      <c r="D18" s="20" t="inlineStr">
        <is>
          <t>Nameplate (cv-&gt;kW). Operacional real tende a ser maior (rendimento).</t>
        </is>
      </c>
    </row>
    <row r="19">
      <c r="A19" s="20" t="inlineStr">
        <is>
          <t>Referencia operacional (medida): KM1=1,08 KM2=0,95 RDM=0,82 kWh/m3 (cadeia completa).</t>
        </is>
      </c>
      <c r="B19" s="21" t="n"/>
      <c r="C19" s="21" t="n"/>
      <c r="D19" s="22" t="n"/>
    </row>
  </sheetData>
  <mergeCells count="2">
    <mergeCell ref="A12:D12"/>
    <mergeCell ref="A19:D1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46" customWidth="1" min="3" max="3"/>
  </cols>
  <sheetData>
    <row r="1" ht="20" customHeight="1">
      <c r="A1" s="1" t="inlineStr">
        <is>
          <t>FONTES</t>
        </is>
      </c>
    </row>
    <row r="2">
      <c r="A2" s="3" t="inlineStr">
        <is>
          <t>Safra 26/27. 'Energia (kwh)' dos arquivos = potencia kW.</t>
        </is>
      </c>
    </row>
    <row r="4" ht="30" customHeight="1">
      <c r="A4" s="4" t="inlineStr">
        <is>
          <t>#</t>
        </is>
      </c>
      <c r="B4" s="4" t="inlineStr">
        <is>
          <t>Arquivo</t>
        </is>
      </c>
      <c r="C4" s="4" t="inlineStr">
        <is>
          <t>Uso</t>
        </is>
      </c>
    </row>
    <row r="5">
      <c r="A5" s="18" t="n">
        <v>1</v>
      </c>
      <c r="B5" s="55" t="inlineStr">
        <is>
          <t>ROTACAO BIENAL 26-28.xlsx</t>
        </is>
      </c>
      <c r="C5" s="20" t="inlineStr">
        <is>
          <t>Cultura 26/27 por talhao -&gt; MANEJO/culturas</t>
        </is>
      </c>
    </row>
    <row r="6">
      <c r="A6" s="18" t="n">
        <v>2</v>
      </c>
      <c r="B6" s="55" t="inlineStr">
        <is>
          <t>Soja 26-27 sequencia vs.3.xlsx</t>
        </is>
      </c>
      <c r="C6" s="20" t="inlineStr">
        <is>
          <t>Plantio soja 26/27</t>
        </is>
      </c>
    </row>
    <row r="7">
      <c r="A7" s="18" t="n">
        <v>3</v>
      </c>
      <c r="B7" s="55" t="inlineStr">
        <is>
          <t>informacoes pivos e reservatorios.xlsx</t>
        </is>
      </c>
      <c r="C7" s="20" t="inlineStr">
        <is>
          <t>Pivos, casa de bomba, vazao, potencia, captacao</t>
        </is>
      </c>
    </row>
    <row r="8">
      <c r="A8" s="18" t="n">
        <v>4</v>
      </c>
      <c r="B8" s="55" t="inlineStr">
        <is>
          <t>LAMINA E HORA PIVOS.xlsx</t>
        </is>
      </c>
      <c r="C8" s="20" t="inlineStr">
        <is>
          <t>Lamina/horas por percentimetro</t>
        </is>
      </c>
    </row>
    <row r="9">
      <c r="A9" s="18" t="n">
        <v>5</v>
      </c>
      <c r="B9" s="55" t="inlineStr">
        <is>
          <t>MANEJO_ALGODAO.xlsx</t>
        </is>
      </c>
      <c r="C9" s="20" t="inlineStr">
        <is>
          <t>Curvas Kc FAO-56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48" customWidth="1" min="3" max="3"/>
  </cols>
  <sheetData>
    <row r="1" ht="20" customHeight="1">
      <c r="A1" s="1" t="inlineStr">
        <is>
          <t>PENDENCIAS</t>
        </is>
      </c>
    </row>
    <row r="2">
      <c r="A2" s="3" t="inlineStr">
        <is>
          <t>Verde = resolvido.</t>
        </is>
      </c>
    </row>
    <row r="4" ht="30" customHeight="1">
      <c r="A4" s="4" t="inlineStr">
        <is>
          <t>#</t>
        </is>
      </c>
      <c r="B4" s="4" t="inlineStr">
        <is>
          <t>Item</t>
        </is>
      </c>
      <c r="C4" s="4" t="inlineStr">
        <is>
          <t>Situacao</t>
        </is>
      </c>
    </row>
    <row r="5">
      <c r="A5" s="18" t="n">
        <v>1</v>
      </c>
      <c r="B5" s="56" t="inlineStr">
        <is>
          <t>RESOLVIDO: somente safra 26/27</t>
        </is>
      </c>
      <c r="C5" s="57" t="inlineStr">
        <is>
          <t>OK - rotacao + soja 26/27</t>
        </is>
      </c>
    </row>
    <row r="6">
      <c r="A6" s="18" t="n">
        <v>2</v>
      </c>
      <c r="B6" s="56" t="inlineStr">
        <is>
          <t>RESOLVIDO: CE inclui bombeamento do modulo</t>
        </is>
      </c>
      <c r="C6" s="57" t="inlineStr">
        <is>
          <t>OK - CE = captacao do modulo + pressurizacao</t>
        </is>
      </c>
    </row>
    <row r="7">
      <c r="A7" s="18" t="n">
        <v>3</v>
      </c>
      <c r="B7" s="56" t="inlineStr">
        <is>
          <t>RESOLVIDO: ETo diaria</t>
        </is>
      </c>
      <c r="C7" s="57" t="inlineStr">
        <is>
          <t>OK - aba ETO_DIARIO (atualizar todo dia)</t>
        </is>
      </c>
    </row>
    <row r="8">
      <c r="A8" s="18" t="n">
        <v>4</v>
      </c>
      <c r="B8" s="56" t="inlineStr">
        <is>
          <t>RESOLVIDO: programacao por cultura</t>
        </is>
      </c>
      <c r="C8" s="57" t="inlineStr">
        <is>
          <t>OK - aba PROGRAMACAO</t>
        </is>
      </c>
    </row>
    <row r="9">
      <c r="A9" s="18" t="n">
        <v>5</v>
      </c>
      <c r="B9" s="56" t="inlineStr">
        <is>
          <t>RESOLVIDO: OS por modulo numa pagina</t>
        </is>
      </c>
      <c r="C9" s="57" t="inlineStr">
        <is>
          <t>OK - aba OS IRRIGACAO (M1/M2/M3/RDM)</t>
        </is>
      </c>
    </row>
    <row r="10">
      <c r="A10" s="18" t="n">
        <v>6</v>
      </c>
      <c r="B10" s="56" t="inlineStr">
        <is>
          <t>RESOLVIDO: casa de bomba + modulo por pivo</t>
        </is>
      </c>
      <c r="C10" s="57" t="inlineStr">
        <is>
          <t>OK - PIVOS (regra: M1 1-34+75,76; M2 R8-R12; M3 R13-R18; RDM 101-133)</t>
        </is>
      </c>
    </row>
    <row r="11">
      <c r="A11" s="18" t="n">
        <v>7</v>
      </c>
      <c r="B11" s="58" t="inlineStr">
        <is>
          <t>CE nameplate x operacional</t>
        </is>
      </c>
      <c r="C11" s="20" t="inlineStr">
        <is>
          <t>calculado por placa (cv-&gt;kW); real e maior. Medir p/ calibrar</t>
        </is>
      </c>
    </row>
    <row r="12">
      <c r="A12" s="18" t="n">
        <v>8</v>
      </c>
      <c r="B12" s="58" t="inlineStr">
        <is>
          <t>Curva Kc do CACAU</t>
        </is>
      </c>
      <c r="C12" s="20" t="inlineStr">
        <is>
          <t>cadastrar em KC_CURVAS (hoje PENDENTE)</t>
        </is>
      </c>
    </row>
    <row r="13">
      <c r="A13" s="18" t="n">
        <v>9</v>
      </c>
      <c r="B13" s="58" t="inlineStr">
        <is>
          <t>Talhao x Pivo</t>
        </is>
      </c>
      <c r="C13" s="20" t="inlineStr">
        <is>
          <t>assumido talhao=numero do pivo p/ casa/modulo - conferir</t>
        </is>
      </c>
    </row>
    <row r="14">
      <c r="A14" s="18" t="n">
        <v>10</v>
      </c>
      <c r="B14" s="58" t="inlineStr">
        <is>
          <t>Tarifas de energia (R$/kWh)</t>
        </is>
      </c>
      <c r="C14" s="20" t="inlineStr">
        <is>
          <t>pendente p/ custo em R$</t>
        </is>
      </c>
    </row>
    <row r="15">
      <c r="A15" s="18" t="n">
        <v>11</v>
      </c>
      <c r="B15" s="58" t="inlineStr">
        <is>
          <t>Culturas sem Kc (brachiaria/eucalipto/myagui)</t>
        </is>
      </c>
      <c r="C15" s="20" t="inlineStr">
        <is>
          <t>nao irrigadas no manejo - fora das abas de cultura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2026-10-05T17:00:43Z</dcterms:created>
  <dcterms:modified xsi:type="dcterms:W3CDTF">2026-10-05T17:00:43Z</dcterms:modified>
</cp:coreProperties>
</file>