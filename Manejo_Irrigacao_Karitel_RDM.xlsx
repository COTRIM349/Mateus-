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MANEJO" sheetId="2" state="visible" r:id="rId2"/>
    <sheet name="SOJA" sheetId="3" state="visible" r:id="rId3"/>
    <sheet name="ALGODAO" sheetId="4" state="visible" r:id="rId4"/>
    <sheet name="TABACO" sheetId="5" state="visible" r:id="rId5"/>
    <sheet name="CACAU" sheetId="6" state="visible" r:id="rId6"/>
    <sheet name="MILHO" sheetId="7" state="visible" r:id="rId7"/>
    <sheet name="OS IRRIGACAO" sheetId="8" state="visible" r:id="rId8"/>
    <sheet name="PIVOS" sheetId="9" state="visible" r:id="rId9"/>
    <sheet name="LAMINA_HORA" sheetId="10" state="visible" r:id="rId10"/>
    <sheet name="DISPONIBILIDADE HIDRICA" sheetId="11" state="visible" r:id="rId11"/>
    <sheet name="RESERVATORIOS" sheetId="12" state="visible" r:id="rId12"/>
    <sheet name="VARIEDADES" sheetId="13" state="visible" r:id="rId13"/>
    <sheet name="KC_CURVAS" sheetId="14" state="visible" r:id="rId14"/>
    <sheet name="RESUMO" sheetId="15" state="visible" r:id="rId15"/>
    <sheet name="VALIDACAO" sheetId="16" state="visible" r:id="rId16"/>
    <sheet name="PARAMETROS" sheetId="17" state="visible" r:id="rId17"/>
    <sheet name="FONTES" sheetId="18" state="visible" r:id="rId18"/>
    <sheet name="PENDENCIAS" sheetId="19" state="visible" r:id="rId19"/>
  </sheets>
  <definedNames>
    <definedName name="EF_APLIC">'PARAMETROS'!$B$5</definedName>
    <definedName name="FATOR_HID">'PARAMETROS'!$B$6</definedName>
    <definedName name="META_SEM">'PARAMETROS'!$B$7</definedName>
    <definedName name="FRAC_ACOMP">'PARAMETROS'!$B$8</definedName>
    <definedName name="DATA_REF">'PARAMETROS'!$B$9</definedName>
    <definedName name="ETO_SEM">'PARAMETROS'!$B$10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"/>
    <numFmt numFmtId="167" formatCode="#,##0.0"/>
    <numFmt numFmtId="168" formatCode="0.000"/>
    <numFmt numFmtId="169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b val="1"/>
      <color rgb="001F3864"/>
    </font>
    <font>
      <name val="Arial"/>
      <color rgb="00A6A6A6"/>
      <sz val="8"/>
    </font>
    <font>
      <name val="Arial"/>
      <color rgb="00008000"/>
      <sz val="10"/>
    </font>
    <font>
      <name val="Arial"/>
      <color rgb="00000000"/>
      <sz val="9"/>
    </font>
    <font>
      <name val="Arial"/>
      <b val="1"/>
    </font>
    <font>
      <name val="Arial"/>
      <b val="1"/>
      <color rgb="00C00000"/>
    </font>
    <font>
      <name val="Arial"/>
      <b val="1"/>
      <color rgb="00006100"/>
    </font>
    <font>
      <name val="Arial"/>
      <color rgb="00006100"/>
      <sz val="9"/>
    </font>
    <font>
      <name val="Arial"/>
      <i val="1"/>
      <color rgb="00006100"/>
      <sz val="9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6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167" fontId="9" fillId="5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right" vertical="center"/>
    </xf>
    <xf numFmtId="167" fontId="11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167" fontId="12" fillId="5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3" fontId="9" fillId="5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68" fontId="4" fillId="3" borderId="1" applyAlignment="1" pivotButton="0" quotePrefix="0" xfId="0">
      <alignment horizontal="right" vertical="center"/>
    </xf>
    <xf numFmtId="0" fontId="8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10" fillId="5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166" fontId="4" fillId="5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right" vertical="center"/>
    </xf>
    <xf numFmtId="169" fontId="4" fillId="3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v3 (clima + energia)</t>
        </is>
      </c>
    </row>
    <row r="2">
      <c r="A2" s="2" t="inlineStr">
        <is>
          <t>Manejo via clima (ETo/Kc). CE por pivo. Energia por OS.</t>
        </is>
      </c>
    </row>
    <row r="4" ht="40" customHeight="1">
      <c r="B4" s="3" t="inlineStr">
        <is>
          <t>COMO FUNCIONA:  Manejo 100% via clima: ETc = Kc x ETo semanal; Nec liquida = ETc - chuva efetiva; Nec bruta = Nec liq / 0,90. Sem CAD/solo.</t>
        </is>
      </c>
    </row>
    <row r="5" ht="40" customHeight="1">
      <c r="B5" s="3" t="inlineStr">
        <is>
          <t>Kc AUTOMATICO:  Cada parcela calcula o Kc pela curva FAO-56 (aba KC_CURVAS) conforme o DAE. Basta informar plantio e classe.</t>
        </is>
      </c>
    </row>
    <row r="6" ht="40" customHeight="1">
      <c r="B6" s="3" t="inlineStr">
        <is>
          <t>ETo SEMANAL:  Informe a ETo da semana em PARAMETROS (B10) - vale para todas as abas - ou sobrescreva por linha na coluna 'ETo sem'.</t>
        </is>
      </c>
    </row>
    <row r="7" ht="40" customHeight="1">
      <c r="B7" s="3" t="inlineStr">
        <is>
          <t>ENERGIA:  CE por pivo em PIVOS: pressurizacao (kW/vazao) e cadeia (por setor KM1/KM2/RDM). Energia da OS = Volume x CE do setor (aba OS IRRIGACAO).</t>
        </is>
      </c>
    </row>
    <row r="8" ht="40" customHeight="1">
      <c r="B8" s="3" t="inlineStr">
        <is>
          <t>CORES:  Amarelo+azul=entrada; verde=importado; cinza=calculado; cinza-claro=auxiliar do Kc; salmao=pendencia.</t>
        </is>
      </c>
    </row>
    <row r="9" ht="40" customHeight="1">
      <c r="B9" s="3" t="inlineStr">
        <is>
          <t>PENDENCIAS:  Atualizar datas de plantio (algodao/tabaco/cacau sao do snapshot 25/26); curva de cacau; tarifas de energia. Ver aba PENDENCIAS.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AD18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7" customWidth="1" min="4" max="4"/>
    <col width="9" customWidth="1" min="5" max="5"/>
    <col width="15" customWidth="1" min="6" max="6"/>
    <col width="9" customWidth="1" min="7" max="7"/>
    <col width="11" customWidth="1" min="8" max="8"/>
    <col width="6" customWidth="1" min="9" max="9"/>
    <col width="6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1" customWidth="1" min="23" max="23"/>
    <col width="8" customWidth="1" min="24" max="24"/>
    <col width="11" customWidth="1" min="25" max="25"/>
    <col width="10" customWidth="1" min="26" max="26"/>
    <col width="11" customWidth="1" min="27" max="27"/>
    <col width="12" customWidth="1" min="28" max="28"/>
    <col width="11" customWidth="1" min="29" max="29"/>
    <col width="20" customWidth="1" min="30" max="30"/>
  </cols>
  <sheetData>
    <row r="1" ht="20" customHeight="1">
      <c r="A1" s="1" t="inlineStr">
        <is>
          <t>MANEJO - decisao de irrigacao por pivo (via CLIMA)</t>
        </is>
      </c>
    </row>
    <row r="2">
      <c r="A2" s="3" t="inlineStr">
        <is>
          <t>Tela principal. ETc = Kc x ETo semanal. Sem CAD/solo. Soja = plantio 26/27; demais = mapa atual de cultura.</t>
        </is>
      </c>
    </row>
    <row r="4" ht="30" customHeight="1">
      <c r="A4" s="4" t="inlineStr">
        <is>
          <t>Pivo</t>
        </is>
      </c>
      <c r="B4" s="4" t="inlineStr">
        <is>
          <t>Faz</t>
        </is>
      </c>
      <c r="C4" s="4" t="inlineStr">
        <is>
          <t>Modulo</t>
        </is>
      </c>
      <c r="D4" s="4" t="inlineStr">
        <is>
          <t>Setor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Plantio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Lini</t>
        </is>
      </c>
      <c r="L4" s="4" t="inlineStr">
        <is>
          <t>Ldev</t>
        </is>
      </c>
      <c r="M4" s="4" t="inlineStr">
        <is>
          <t>Lmid</t>
        </is>
      </c>
      <c r="N4" s="4" t="inlineStr">
        <is>
          <t>Llate</t>
        </is>
      </c>
      <c r="O4" s="4" t="inlineStr">
        <is>
          <t>Kcini</t>
        </is>
      </c>
      <c r="P4" s="4" t="inlineStr">
        <is>
          <t>Kcmid</t>
        </is>
      </c>
      <c r="Q4" s="4" t="inlineStr">
        <is>
          <t>Kcend</t>
        </is>
      </c>
      <c r="R4" s="4" t="inlineStr">
        <is>
          <t>Kc (auto)</t>
        </is>
      </c>
      <c r="S4" s="4" t="inlineStr">
        <is>
          <t>ETo sem (mm)</t>
        </is>
      </c>
      <c r="T4" s="4" t="inlineStr">
        <is>
          <t>ETc sem (mm)</t>
        </is>
      </c>
      <c r="U4" s="4" t="inlineStr">
        <is>
          <t>Chuva ef (mm)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Area (ha)</t>
        </is>
      </c>
      <c r="Y4" s="4" t="inlineStr">
        <is>
          <t>Volume (m3)</t>
        </is>
      </c>
      <c r="Z4" s="4" t="inlineStr">
        <is>
          <t>CE (kWh/m3)</t>
        </is>
      </c>
      <c r="AA4" s="4" t="inlineStr">
        <is>
          <t>Energia (kWh)</t>
        </is>
      </c>
      <c r="AB4" s="4" t="inlineStr">
        <is>
          <t>Decisao</t>
        </is>
      </c>
      <c r="AC4" s="4" t="inlineStr">
        <is>
          <t>Prioridade</t>
        </is>
      </c>
      <c r="AD4" s="4" t="inlineStr">
        <is>
          <t>Obs</t>
        </is>
      </c>
    </row>
    <row r="5">
      <c r="A5" s="5" t="inlineStr">
        <is>
          <t>30</t>
        </is>
      </c>
      <c r="B5" s="5" t="inlineStr">
        <is>
          <t>Karitel</t>
        </is>
      </c>
      <c r="C5" s="5" t="inlineStr">
        <is>
          <t>Módulo 01</t>
        </is>
      </c>
      <c r="D5" s="5" t="inlineStr">
        <is>
          <t>KM1</t>
        </is>
      </c>
      <c r="E5" s="5" t="inlineStr">
        <is>
          <t>ALGODÃO</t>
        </is>
      </c>
      <c r="F5" s="6" t="inlineStr">
        <is>
          <t>FM 985 GLTP</t>
        </is>
      </c>
      <c r="G5" s="7" t="inlineStr">
        <is>
          <t>MÉDIO</t>
        </is>
      </c>
      <c r="H5" s="8" t="n">
        <v>46048</v>
      </c>
      <c r="I5" s="9">
        <f>IF($H5="","",DATA_REF-$H5)</f>
        <v/>
      </c>
      <c r="J5" s="9">
        <f>IF($I5="","",MAX(0,$I5-'PARAMETROS'!$B$12))</f>
        <v/>
      </c>
      <c r="K5" s="10">
        <f>IFERROR(INDEX(KC_CURVAS!$C$5:$C$15,MATCH($E5&amp;"|"&amp;$G5,KC_CURVAS!$K$5:$K$15,0)),IFERROR(INDEX(KC_CURVAS!$C$5:$C$15,MATCH($E5&amp;"|",KC_CURVAS!$K$5:$K$15,0)),""))</f>
        <v/>
      </c>
      <c r="L5" s="10">
        <f>IFERROR(INDEX(KC_CURVAS!$D$5:$D$15,MATCH($E5&amp;"|"&amp;$G5,KC_CURVAS!$K$5:$K$15,0)),IFERROR(INDEX(KC_CURVAS!$D$5:$D$15,MATCH($E5&amp;"|",KC_CURVAS!$K$5:$K$15,0)),""))</f>
        <v/>
      </c>
      <c r="M5" s="10">
        <f>IFERROR(INDEX(KC_CURVAS!$E$5:$E$15,MATCH($E5&amp;"|"&amp;$G5,KC_CURVAS!$K$5:$K$15,0)),IFERROR(INDEX(KC_CURVAS!$E$5:$E$15,MATCH($E5&amp;"|",KC_CURVAS!$K$5:$K$15,0)),""))</f>
        <v/>
      </c>
      <c r="N5" s="10">
        <f>IFERROR(INDEX(KC_CURVAS!$F$5:$F$15,MATCH($E5&amp;"|"&amp;$G5,KC_CURVAS!$K$5:$K$15,0)),IFERROR(INDEX(KC_CURVAS!$F$5:$F$15,MATCH($E5&amp;"|",KC_CURVAS!$K$5:$K$15,0)),""))</f>
        <v/>
      </c>
      <c r="O5" s="11">
        <f>IFERROR(INDEX(KC_CURVAS!$G$5:$G$15,MATCH($E5&amp;"|"&amp;$G5,KC_CURVAS!$K$5:$K$15,0)),IFERROR(INDEX(KC_CURVAS!$G$5:$G$15,MATCH($E5&amp;"|",KC_CURVAS!$K$5:$K$15,0)),""))</f>
        <v/>
      </c>
      <c r="P5" s="11">
        <f>IFERROR(INDEX(KC_CURVAS!$H$5:$H$15,MATCH($E5&amp;"|"&amp;$G5,KC_CURVAS!$K$5:$K$15,0)),IFERROR(INDEX(KC_CURVAS!$H$5:$H$15,MATCH($E5&amp;"|",KC_CURVAS!$K$5:$K$15,0)),""))</f>
        <v/>
      </c>
      <c r="Q5" s="11">
        <f>IFERROR(INDEX(KC_CURVAS!$I$5:$I$15,MATCH($E5&amp;"|"&amp;$G5,KC_CURVAS!$K$5:$K$15,0)),IFERROR(INDEX(KC_CURVAS!$I$5:$I$15,MATCH($E5&amp;"|",KC_CURVAS!$K$5:$K$15,0)),""))</f>
        <v/>
      </c>
      <c r="R5" s="12">
        <f>IF(OR($J5="",$K5=""),"PENDENTE",IF($J5&lt;=$K5,$O5,IF($J5&lt;=$K5+$L5,$O5+($P5-$O5)*($J5-$K5)/$L5,IF($J5&lt;=$K5+$L5+$M5,$P5,IF($J5&lt;=$K5+$L5+$M5+$N5,$P5+($Q5-$P5)*($J5-($K5+$L5+$M5))/$N5,$Q5)))))</f>
        <v/>
      </c>
      <c r="S5" s="13">
        <f>ETO_SEM</f>
        <v/>
      </c>
      <c r="T5" s="14">
        <f>IF(OR($R5="",$R5="PENDENTE"),"",$R5*$S5)</f>
        <v/>
      </c>
      <c r="U5" s="13" t="n">
        <v>0</v>
      </c>
      <c r="V5" s="14">
        <f>IF($T5="","",MAX(0,$T5-N($U5)))</f>
        <v/>
      </c>
      <c r="W5" s="14">
        <f>IF($V5="","",$V5/EF_APLIC)</f>
        <v/>
      </c>
      <c r="X5" s="15" t="n">
        <v>150.01</v>
      </c>
      <c r="Y5" s="16">
        <f>IF(OR($W5="",$X5=""),"",$W5*$X5*10)</f>
        <v/>
      </c>
      <c r="Z5" s="17">
        <f>IFERROR(INDEX('PARAMETROS'!$B$16:$B$19,MATCH($D5,'PARAMETROS'!$A$16:$A$19,0)),"")</f>
        <v/>
      </c>
      <c r="AA5" s="16">
        <f>IF(OR($Y5="",$Z5=""),"",$Y5*$Z5)</f>
        <v/>
      </c>
      <c r="AB5" s="18">
        <f>IF($R5="PENDENTE","Definir classe/Kc",IF($W5="","-",IF($W5&gt;0,"Irrigar","Nao irrigar")))</f>
        <v/>
      </c>
      <c r="AC5" s="18">
        <f>IF(OR($W5="",$W5=0),"-",IF($W5&gt;=META_SEM,"Alta",IF($W5&gt;=META_SEM*FRAC_ACOMP,"Media","Baixa")))</f>
        <v/>
      </c>
      <c r="AD5" s="19" t="inlineStr"/>
    </row>
    <row r="6">
      <c r="A6" s="5" t="inlineStr">
        <is>
          <t>31</t>
        </is>
      </c>
      <c r="B6" s="5" t="inlineStr">
        <is>
          <t>Karitel</t>
        </is>
      </c>
      <c r="C6" s="5" t="inlineStr">
        <is>
          <t>Módulo 01</t>
        </is>
      </c>
      <c r="D6" s="5" t="inlineStr">
        <is>
          <t>KM1</t>
        </is>
      </c>
      <c r="E6" s="5" t="inlineStr">
        <is>
          <t>ALGODÃO</t>
        </is>
      </c>
      <c r="F6" s="6" t="inlineStr">
        <is>
          <t>IMA 5901 B2RF</t>
        </is>
      </c>
      <c r="G6" s="7" t="inlineStr">
        <is>
          <t>MÉDIO</t>
        </is>
      </c>
      <c r="H6" s="8" t="n">
        <v>46046</v>
      </c>
      <c r="I6" s="9">
        <f>IF($H6="","",DATA_REF-$H6)</f>
        <v/>
      </c>
      <c r="J6" s="9">
        <f>IF($I6="","",MAX(0,$I6-'PARAMETROS'!$B$12))</f>
        <v/>
      </c>
      <c r="K6" s="10">
        <f>IFERROR(INDEX(KC_CURVAS!$C$5:$C$15,MATCH($E6&amp;"|"&amp;$G6,KC_CURVAS!$K$5:$K$15,0)),IFERROR(INDEX(KC_CURVAS!$C$5:$C$15,MATCH($E6&amp;"|",KC_CURVAS!$K$5:$K$15,0)),""))</f>
        <v/>
      </c>
      <c r="L6" s="10">
        <f>IFERROR(INDEX(KC_CURVAS!$D$5:$D$15,MATCH($E6&amp;"|"&amp;$G6,KC_CURVAS!$K$5:$K$15,0)),IFERROR(INDEX(KC_CURVAS!$D$5:$D$15,MATCH($E6&amp;"|",KC_CURVAS!$K$5:$K$15,0)),""))</f>
        <v/>
      </c>
      <c r="M6" s="10">
        <f>IFERROR(INDEX(KC_CURVAS!$E$5:$E$15,MATCH($E6&amp;"|"&amp;$G6,KC_CURVAS!$K$5:$K$15,0)),IFERROR(INDEX(KC_CURVAS!$E$5:$E$15,MATCH($E6&amp;"|",KC_CURVAS!$K$5:$K$15,0)),""))</f>
        <v/>
      </c>
      <c r="N6" s="10">
        <f>IFERROR(INDEX(KC_CURVAS!$F$5:$F$15,MATCH($E6&amp;"|"&amp;$G6,KC_CURVAS!$K$5:$K$15,0)),IFERROR(INDEX(KC_CURVAS!$F$5:$F$15,MATCH($E6&amp;"|",KC_CURVAS!$K$5:$K$15,0)),""))</f>
        <v/>
      </c>
      <c r="O6" s="11">
        <f>IFERROR(INDEX(KC_CURVAS!$G$5:$G$15,MATCH($E6&amp;"|"&amp;$G6,KC_CURVAS!$K$5:$K$15,0)),IFERROR(INDEX(KC_CURVAS!$G$5:$G$15,MATCH($E6&amp;"|",KC_CURVAS!$K$5:$K$15,0)),""))</f>
        <v/>
      </c>
      <c r="P6" s="11">
        <f>IFERROR(INDEX(KC_CURVAS!$H$5:$H$15,MATCH($E6&amp;"|"&amp;$G6,KC_CURVAS!$K$5:$K$15,0)),IFERROR(INDEX(KC_CURVAS!$H$5:$H$15,MATCH($E6&amp;"|",KC_CURVAS!$K$5:$K$15,0)),""))</f>
        <v/>
      </c>
      <c r="Q6" s="11">
        <f>IFERROR(INDEX(KC_CURVAS!$I$5:$I$15,MATCH($E6&amp;"|"&amp;$G6,KC_CURVAS!$K$5:$K$15,0)),IFERROR(INDEX(KC_CURVAS!$I$5:$I$15,MATCH($E6&amp;"|",KC_CURVAS!$K$5:$K$15,0)),""))</f>
        <v/>
      </c>
      <c r="R6" s="12">
        <f>IF(OR($J6="",$K6=""),"PENDENTE",IF($J6&lt;=$K6,$O6,IF($J6&lt;=$K6+$L6,$O6+($P6-$O6)*($J6-$K6)/$L6,IF($J6&lt;=$K6+$L6+$M6,$P6,IF($J6&lt;=$K6+$L6+$M6+$N6,$P6+($Q6-$P6)*($J6-($K6+$L6+$M6))/$N6,$Q6)))))</f>
        <v/>
      </c>
      <c r="S6" s="13">
        <f>ETO_SEM</f>
        <v/>
      </c>
      <c r="T6" s="14">
        <f>IF(OR($R6="",$R6="PENDENTE"),"",$R6*$S6)</f>
        <v/>
      </c>
      <c r="U6" s="13" t="n">
        <v>0</v>
      </c>
      <c r="V6" s="14">
        <f>IF($T6="","",MAX(0,$T6-N($U6)))</f>
        <v/>
      </c>
      <c r="W6" s="14">
        <f>IF($V6="","",$V6/EF_APLIC)</f>
        <v/>
      </c>
      <c r="X6" s="15" t="n">
        <v>150.01</v>
      </c>
      <c r="Y6" s="16">
        <f>IF(OR($W6="",$X6=""),"",$W6*$X6*10)</f>
        <v/>
      </c>
      <c r="Z6" s="17">
        <f>IFERROR(INDEX('PARAMETROS'!$B$16:$B$19,MATCH($D6,'PARAMETROS'!$A$16:$A$19,0)),"")</f>
        <v/>
      </c>
      <c r="AA6" s="16">
        <f>IF(OR($Y6="",$Z6=""),"",$Y6*$Z6)</f>
        <v/>
      </c>
      <c r="AB6" s="18">
        <f>IF($R6="PENDENTE","Definir classe/Kc",IF($W6="","-",IF($W6&gt;0,"Irrigar","Nao irrigar")))</f>
        <v/>
      </c>
      <c r="AC6" s="18">
        <f>IF(OR($W6="",$W6=0),"-",IF($W6&gt;=META_SEM,"Alta",IF($W6&gt;=META_SEM*FRAC_ACOMP,"Media","Baixa")))</f>
        <v/>
      </c>
      <c r="AD6" s="19" t="inlineStr"/>
    </row>
    <row r="7">
      <c r="A7" s="5" t="inlineStr">
        <is>
          <t>32</t>
        </is>
      </c>
      <c r="B7" s="5" t="inlineStr">
        <is>
          <t>Karitel</t>
        </is>
      </c>
      <c r="C7" s="5" t="inlineStr">
        <is>
          <t>Módulo 01</t>
        </is>
      </c>
      <c r="D7" s="5" t="inlineStr">
        <is>
          <t>KM1</t>
        </is>
      </c>
      <c r="E7" s="5" t="inlineStr">
        <is>
          <t>CACAU</t>
        </is>
      </c>
      <c r="F7" s="6" t="inlineStr"/>
      <c r="G7" s="7" t="inlineStr"/>
      <c r="H7" s="20" t="n"/>
      <c r="I7" s="9">
        <f>IF($H7="","",DATA_REF-$H7)</f>
        <v/>
      </c>
      <c r="J7" s="9">
        <f>IF($I7="","",MAX(0,$I7-'PARAMETROS'!$B$12))</f>
        <v/>
      </c>
      <c r="K7" s="10">
        <f>IFERROR(INDEX(KC_CURVAS!$C$5:$C$15,MATCH($E7&amp;"|"&amp;$G7,KC_CURVAS!$K$5:$K$15,0)),IFERROR(INDEX(KC_CURVAS!$C$5:$C$15,MATCH($E7&amp;"|",KC_CURVAS!$K$5:$K$15,0)),""))</f>
        <v/>
      </c>
      <c r="L7" s="10">
        <f>IFERROR(INDEX(KC_CURVAS!$D$5:$D$15,MATCH($E7&amp;"|"&amp;$G7,KC_CURVAS!$K$5:$K$15,0)),IFERROR(INDEX(KC_CURVAS!$D$5:$D$15,MATCH($E7&amp;"|",KC_CURVAS!$K$5:$K$15,0)),""))</f>
        <v/>
      </c>
      <c r="M7" s="10">
        <f>IFERROR(INDEX(KC_CURVAS!$E$5:$E$15,MATCH($E7&amp;"|"&amp;$G7,KC_CURVAS!$K$5:$K$15,0)),IFERROR(INDEX(KC_CURVAS!$E$5:$E$15,MATCH($E7&amp;"|",KC_CURVAS!$K$5:$K$15,0)),""))</f>
        <v/>
      </c>
      <c r="N7" s="10">
        <f>IFERROR(INDEX(KC_CURVAS!$F$5:$F$15,MATCH($E7&amp;"|"&amp;$G7,KC_CURVAS!$K$5:$K$15,0)),IFERROR(INDEX(KC_CURVAS!$F$5:$F$15,MATCH($E7&amp;"|",KC_CURVAS!$K$5:$K$15,0)),""))</f>
        <v/>
      </c>
      <c r="O7" s="11">
        <f>IFERROR(INDEX(KC_CURVAS!$G$5:$G$15,MATCH($E7&amp;"|"&amp;$G7,KC_CURVAS!$K$5:$K$15,0)),IFERROR(INDEX(KC_CURVAS!$G$5:$G$15,MATCH($E7&amp;"|",KC_CURVAS!$K$5:$K$15,0)),""))</f>
        <v/>
      </c>
      <c r="P7" s="11">
        <f>IFERROR(INDEX(KC_CURVAS!$H$5:$H$15,MATCH($E7&amp;"|"&amp;$G7,KC_CURVAS!$K$5:$K$15,0)),IFERROR(INDEX(KC_CURVAS!$H$5:$H$15,MATCH($E7&amp;"|",KC_CURVAS!$K$5:$K$15,0)),""))</f>
        <v/>
      </c>
      <c r="Q7" s="11">
        <f>IFERROR(INDEX(KC_CURVAS!$I$5:$I$15,MATCH($E7&amp;"|"&amp;$G7,KC_CURVAS!$K$5:$K$15,0)),IFERROR(INDEX(KC_CURVAS!$I$5:$I$15,MATCH($E7&amp;"|",KC_CURVAS!$K$5:$K$15,0)),""))</f>
        <v/>
      </c>
      <c r="R7" s="12">
        <f>IF(OR($J7="",$K7=""),"PENDENTE",IF($J7&lt;=$K7,$O7,IF($J7&lt;=$K7+$L7,$O7+($P7-$O7)*($J7-$K7)/$L7,IF($J7&lt;=$K7+$L7+$M7,$P7,IF($J7&lt;=$K7+$L7+$M7+$N7,$P7+($Q7-$P7)*($J7-($K7+$L7+$M7))/$N7,$Q7)))))</f>
        <v/>
      </c>
      <c r="S7" s="13">
        <f>ETO_SEM</f>
        <v/>
      </c>
      <c r="T7" s="14">
        <f>IF(OR($R7="",$R7="PENDENTE"),"",$R7*$S7)</f>
        <v/>
      </c>
      <c r="U7" s="13" t="n">
        <v>0</v>
      </c>
      <c r="V7" s="14">
        <f>IF($T7="","",MAX(0,$T7-N($U7)))</f>
        <v/>
      </c>
      <c r="W7" s="14">
        <f>IF($V7="","",$V7/EF_APLIC)</f>
        <v/>
      </c>
      <c r="X7" s="15" t="n">
        <v>138.03</v>
      </c>
      <c r="Y7" s="16">
        <f>IF(OR($W7="",$X7=""),"",$W7*$X7*10)</f>
        <v/>
      </c>
      <c r="Z7" s="17">
        <f>IFERROR(INDEX('PARAMETROS'!$B$16:$B$19,MATCH($D7,'PARAMETROS'!$A$16:$A$19,0)),"")</f>
        <v/>
      </c>
      <c r="AA7" s="16">
        <f>IF(OR($Y7="",$Z7=""),"",$Y7*$Z7)</f>
        <v/>
      </c>
      <c r="AB7" s="18">
        <f>IF($R7="PENDENTE","Definir classe/Kc",IF($W7="","-",IF($W7&gt;0,"Irrigar","Nao irrigar")))</f>
        <v/>
      </c>
      <c r="AC7" s="18">
        <f>IF(OR($W7="",$W7=0),"-",IF($W7&gt;=META_SEM,"Alta",IF($W7&gt;=META_SEM*FRAC_ACOMP,"Media","Baixa")))</f>
        <v/>
      </c>
      <c r="AD7" s="19" t="inlineStr"/>
    </row>
    <row r="8">
      <c r="A8" s="5" t="inlineStr">
        <is>
          <t>33</t>
        </is>
      </c>
      <c r="B8" s="5" t="inlineStr">
        <is>
          <t>Karitel</t>
        </is>
      </c>
      <c r="C8" s="5" t="inlineStr">
        <is>
          <t>Módulo 01</t>
        </is>
      </c>
      <c r="D8" s="5" t="inlineStr">
        <is>
          <t>KM1</t>
        </is>
      </c>
      <c r="E8" s="5" t="inlineStr">
        <is>
          <t>ALGODÃO</t>
        </is>
      </c>
      <c r="F8" s="6" t="inlineStr">
        <is>
          <t>FM 985 GLTP</t>
        </is>
      </c>
      <c r="G8" s="7" t="inlineStr">
        <is>
          <t>MÉDIO</t>
        </is>
      </c>
      <c r="H8" s="8" t="n">
        <v>46010</v>
      </c>
      <c r="I8" s="9">
        <f>IF($H8="","",DATA_REF-$H8)</f>
        <v/>
      </c>
      <c r="J8" s="9">
        <f>IF($I8="","",MAX(0,$I8-'PARAMETROS'!$B$12))</f>
        <v/>
      </c>
      <c r="K8" s="10">
        <f>IFERROR(INDEX(KC_CURVAS!$C$5:$C$15,MATCH($E8&amp;"|"&amp;$G8,KC_CURVAS!$K$5:$K$15,0)),IFERROR(INDEX(KC_CURVAS!$C$5:$C$15,MATCH($E8&amp;"|",KC_CURVAS!$K$5:$K$15,0)),""))</f>
        <v/>
      </c>
      <c r="L8" s="10">
        <f>IFERROR(INDEX(KC_CURVAS!$D$5:$D$15,MATCH($E8&amp;"|"&amp;$G8,KC_CURVAS!$K$5:$K$15,0)),IFERROR(INDEX(KC_CURVAS!$D$5:$D$15,MATCH($E8&amp;"|",KC_CURVAS!$K$5:$K$15,0)),""))</f>
        <v/>
      </c>
      <c r="M8" s="10">
        <f>IFERROR(INDEX(KC_CURVAS!$E$5:$E$15,MATCH($E8&amp;"|"&amp;$G8,KC_CURVAS!$K$5:$K$15,0)),IFERROR(INDEX(KC_CURVAS!$E$5:$E$15,MATCH($E8&amp;"|",KC_CURVAS!$K$5:$K$15,0)),""))</f>
        <v/>
      </c>
      <c r="N8" s="10">
        <f>IFERROR(INDEX(KC_CURVAS!$F$5:$F$15,MATCH($E8&amp;"|"&amp;$G8,KC_CURVAS!$K$5:$K$15,0)),IFERROR(INDEX(KC_CURVAS!$F$5:$F$15,MATCH($E8&amp;"|",KC_CURVAS!$K$5:$K$15,0)),""))</f>
        <v/>
      </c>
      <c r="O8" s="11">
        <f>IFERROR(INDEX(KC_CURVAS!$G$5:$G$15,MATCH($E8&amp;"|"&amp;$G8,KC_CURVAS!$K$5:$K$15,0)),IFERROR(INDEX(KC_CURVAS!$G$5:$G$15,MATCH($E8&amp;"|",KC_CURVAS!$K$5:$K$15,0)),""))</f>
        <v/>
      </c>
      <c r="P8" s="11">
        <f>IFERROR(INDEX(KC_CURVAS!$H$5:$H$15,MATCH($E8&amp;"|"&amp;$G8,KC_CURVAS!$K$5:$K$15,0)),IFERROR(INDEX(KC_CURVAS!$H$5:$H$15,MATCH($E8&amp;"|",KC_CURVAS!$K$5:$K$15,0)),""))</f>
        <v/>
      </c>
      <c r="Q8" s="11">
        <f>IFERROR(INDEX(KC_CURVAS!$I$5:$I$15,MATCH($E8&amp;"|"&amp;$G8,KC_CURVAS!$K$5:$K$15,0)),IFERROR(INDEX(KC_CURVAS!$I$5:$I$15,MATCH($E8&amp;"|",KC_CURVAS!$K$5:$K$15,0)),""))</f>
        <v/>
      </c>
      <c r="R8" s="12">
        <f>IF(OR($J8="",$K8=""),"PENDENTE",IF($J8&lt;=$K8,$O8,IF($J8&lt;=$K8+$L8,$O8+($P8-$O8)*($J8-$K8)/$L8,IF($J8&lt;=$K8+$L8+$M8,$P8,IF($J8&lt;=$K8+$L8+$M8+$N8,$P8+($Q8-$P8)*($J8-($K8+$L8+$M8))/$N8,$Q8)))))</f>
        <v/>
      </c>
      <c r="S8" s="13">
        <f>ETO_SEM</f>
        <v/>
      </c>
      <c r="T8" s="14">
        <f>IF(OR($R8="",$R8="PENDENTE"),"",$R8*$S8)</f>
        <v/>
      </c>
      <c r="U8" s="13" t="n">
        <v>0</v>
      </c>
      <c r="V8" s="14">
        <f>IF($T8="","",MAX(0,$T8-N($U8)))</f>
        <v/>
      </c>
      <c r="W8" s="14">
        <f>IF($V8="","",$V8/EF_APLIC)</f>
        <v/>
      </c>
      <c r="X8" s="15" t="n">
        <v>137.67</v>
      </c>
      <c r="Y8" s="16">
        <f>IF(OR($W8="",$X8=""),"",$W8*$X8*10)</f>
        <v/>
      </c>
      <c r="Z8" s="17">
        <f>IFERROR(INDEX('PARAMETROS'!$B$16:$B$19,MATCH($D8,'PARAMETROS'!$A$16:$A$19,0)),"")</f>
        <v/>
      </c>
      <c r="AA8" s="16">
        <f>IF(OR($Y8="",$Z8=""),"",$Y8*$Z8)</f>
        <v/>
      </c>
      <c r="AB8" s="18">
        <f>IF($R8="PENDENTE","Definir classe/Kc",IF($W8="","-",IF($W8&gt;0,"Irrigar","Nao irrigar")))</f>
        <v/>
      </c>
      <c r="AC8" s="18">
        <f>IF(OR($W8="",$W8=0),"-",IF($W8&gt;=META_SEM,"Alta",IF($W8&gt;=META_SEM*FRAC_ACOMP,"Media","Baixa")))</f>
        <v/>
      </c>
      <c r="AD8" s="19" t="inlineStr"/>
    </row>
    <row r="9">
      <c r="A9" s="5" t="inlineStr">
        <is>
          <t>34</t>
        </is>
      </c>
      <c r="B9" s="5" t="inlineStr">
        <is>
          <t>Karitel</t>
        </is>
      </c>
      <c r="C9" s="5" t="inlineStr">
        <is>
          <t>Módulo 01</t>
        </is>
      </c>
      <c r="D9" s="5" t="inlineStr">
        <is>
          <t>KM1</t>
        </is>
      </c>
      <c r="E9" s="5" t="inlineStr">
        <is>
          <t>ALGODÃO</t>
        </is>
      </c>
      <c r="F9" s="6" t="inlineStr">
        <is>
          <t>FM 974 GLT</t>
        </is>
      </c>
      <c r="G9" s="7" t="inlineStr">
        <is>
          <t>MÉDIO</t>
        </is>
      </c>
      <c r="H9" s="8" t="n">
        <v>46012</v>
      </c>
      <c r="I9" s="9">
        <f>IF($H9="","",DATA_REF-$H9)</f>
        <v/>
      </c>
      <c r="J9" s="9">
        <f>IF($I9="","",MAX(0,$I9-'PARAMETROS'!$B$12))</f>
        <v/>
      </c>
      <c r="K9" s="10">
        <f>IFERROR(INDEX(KC_CURVAS!$C$5:$C$15,MATCH($E9&amp;"|"&amp;$G9,KC_CURVAS!$K$5:$K$15,0)),IFERROR(INDEX(KC_CURVAS!$C$5:$C$15,MATCH($E9&amp;"|",KC_CURVAS!$K$5:$K$15,0)),""))</f>
        <v/>
      </c>
      <c r="L9" s="10">
        <f>IFERROR(INDEX(KC_CURVAS!$D$5:$D$15,MATCH($E9&amp;"|"&amp;$G9,KC_CURVAS!$K$5:$K$15,0)),IFERROR(INDEX(KC_CURVAS!$D$5:$D$15,MATCH($E9&amp;"|",KC_CURVAS!$K$5:$K$15,0)),""))</f>
        <v/>
      </c>
      <c r="M9" s="10">
        <f>IFERROR(INDEX(KC_CURVAS!$E$5:$E$15,MATCH($E9&amp;"|"&amp;$G9,KC_CURVAS!$K$5:$K$15,0)),IFERROR(INDEX(KC_CURVAS!$E$5:$E$15,MATCH($E9&amp;"|",KC_CURVAS!$K$5:$K$15,0)),""))</f>
        <v/>
      </c>
      <c r="N9" s="10">
        <f>IFERROR(INDEX(KC_CURVAS!$F$5:$F$15,MATCH($E9&amp;"|"&amp;$G9,KC_CURVAS!$K$5:$K$15,0)),IFERROR(INDEX(KC_CURVAS!$F$5:$F$15,MATCH($E9&amp;"|",KC_CURVAS!$K$5:$K$15,0)),""))</f>
        <v/>
      </c>
      <c r="O9" s="11">
        <f>IFERROR(INDEX(KC_CURVAS!$G$5:$G$15,MATCH($E9&amp;"|"&amp;$G9,KC_CURVAS!$K$5:$K$15,0)),IFERROR(INDEX(KC_CURVAS!$G$5:$G$15,MATCH($E9&amp;"|",KC_CURVAS!$K$5:$K$15,0)),""))</f>
        <v/>
      </c>
      <c r="P9" s="11">
        <f>IFERROR(INDEX(KC_CURVAS!$H$5:$H$15,MATCH($E9&amp;"|"&amp;$G9,KC_CURVAS!$K$5:$K$15,0)),IFERROR(INDEX(KC_CURVAS!$H$5:$H$15,MATCH($E9&amp;"|",KC_CURVAS!$K$5:$K$15,0)),""))</f>
        <v/>
      </c>
      <c r="Q9" s="11">
        <f>IFERROR(INDEX(KC_CURVAS!$I$5:$I$15,MATCH($E9&amp;"|"&amp;$G9,KC_CURVAS!$K$5:$K$15,0)),IFERROR(INDEX(KC_CURVAS!$I$5:$I$15,MATCH($E9&amp;"|",KC_CURVAS!$K$5:$K$15,0)),""))</f>
        <v/>
      </c>
      <c r="R9" s="12">
        <f>IF(OR($J9="",$K9=""),"PENDENTE",IF($J9&lt;=$K9,$O9,IF($J9&lt;=$K9+$L9,$O9+($P9-$O9)*($J9-$K9)/$L9,IF($J9&lt;=$K9+$L9+$M9,$P9,IF($J9&lt;=$K9+$L9+$M9+$N9,$P9+($Q9-$P9)*($J9-($K9+$L9+$M9))/$N9,$Q9)))))</f>
        <v/>
      </c>
      <c r="S9" s="13">
        <f>ETO_SEM</f>
        <v/>
      </c>
      <c r="T9" s="14">
        <f>IF(OR($R9="",$R9="PENDENTE"),"",$R9*$S9)</f>
        <v/>
      </c>
      <c r="U9" s="13" t="n">
        <v>0</v>
      </c>
      <c r="V9" s="14">
        <f>IF($T9="","",MAX(0,$T9-N($U9)))</f>
        <v/>
      </c>
      <c r="W9" s="14">
        <f>IF($V9="","",$V9/EF_APLIC)</f>
        <v/>
      </c>
      <c r="X9" s="15" t="n">
        <v>150.01</v>
      </c>
      <c r="Y9" s="16">
        <f>IF(OR($W9="",$X9=""),"",$W9*$X9*10)</f>
        <v/>
      </c>
      <c r="Z9" s="17">
        <f>IFERROR(INDEX('PARAMETROS'!$B$16:$B$19,MATCH($D9,'PARAMETROS'!$A$16:$A$19,0)),"")</f>
        <v/>
      </c>
      <c r="AA9" s="16">
        <f>IF(OR($Y9="",$Z9=""),"",$Y9*$Z9)</f>
        <v/>
      </c>
      <c r="AB9" s="18">
        <f>IF($R9="PENDENTE","Definir classe/Kc",IF($W9="","-",IF($W9&gt;0,"Irrigar","Nao irrigar")))</f>
        <v/>
      </c>
      <c r="AC9" s="18">
        <f>IF(OR($W9="",$W9=0),"-",IF($W9&gt;=META_SEM,"Alta",IF($W9&gt;=META_SEM*FRAC_ACOMP,"Media","Baixa")))</f>
        <v/>
      </c>
      <c r="AD9" s="19" t="inlineStr"/>
    </row>
    <row r="10">
      <c r="A10" s="5" t="inlineStr">
        <is>
          <t>1</t>
        </is>
      </c>
      <c r="B10" s="5" t="inlineStr">
        <is>
          <t>Karitel</t>
        </is>
      </c>
      <c r="C10" s="5" t="inlineStr">
        <is>
          <t>Módulo 01</t>
        </is>
      </c>
      <c r="D10" s="5" t="inlineStr">
        <is>
          <t>KM1</t>
        </is>
      </c>
      <c r="E10" s="5" t="inlineStr">
        <is>
          <t>ALGODÃO</t>
        </is>
      </c>
      <c r="F10" s="6" t="inlineStr">
        <is>
          <t>FM 990 STP</t>
        </is>
      </c>
      <c r="G10" s="7" t="inlineStr">
        <is>
          <t>PRECOCE</t>
        </is>
      </c>
      <c r="H10" s="8" t="n">
        <v>45994</v>
      </c>
      <c r="I10" s="9">
        <f>IF($H10="","",DATA_REF-$H10)</f>
        <v/>
      </c>
      <c r="J10" s="9">
        <f>IF($I10="","",MAX(0,$I10-'PARAMETROS'!$B$12))</f>
        <v/>
      </c>
      <c r="K10" s="10">
        <f>IFERROR(INDEX(KC_CURVAS!$C$5:$C$15,MATCH($E10&amp;"|"&amp;$G10,KC_CURVAS!$K$5:$K$15,0)),IFERROR(INDEX(KC_CURVAS!$C$5:$C$15,MATCH($E10&amp;"|",KC_CURVAS!$K$5:$K$15,0)),""))</f>
        <v/>
      </c>
      <c r="L10" s="10">
        <f>IFERROR(INDEX(KC_CURVAS!$D$5:$D$15,MATCH($E10&amp;"|"&amp;$G10,KC_CURVAS!$K$5:$K$15,0)),IFERROR(INDEX(KC_CURVAS!$D$5:$D$15,MATCH($E10&amp;"|",KC_CURVAS!$K$5:$K$15,0)),""))</f>
        <v/>
      </c>
      <c r="M10" s="10">
        <f>IFERROR(INDEX(KC_CURVAS!$E$5:$E$15,MATCH($E10&amp;"|"&amp;$G10,KC_CURVAS!$K$5:$K$15,0)),IFERROR(INDEX(KC_CURVAS!$E$5:$E$15,MATCH($E10&amp;"|",KC_CURVAS!$K$5:$K$15,0)),""))</f>
        <v/>
      </c>
      <c r="N10" s="10">
        <f>IFERROR(INDEX(KC_CURVAS!$F$5:$F$15,MATCH($E10&amp;"|"&amp;$G10,KC_CURVAS!$K$5:$K$15,0)),IFERROR(INDEX(KC_CURVAS!$F$5:$F$15,MATCH($E10&amp;"|",KC_CURVAS!$K$5:$K$15,0)),""))</f>
        <v/>
      </c>
      <c r="O10" s="11">
        <f>IFERROR(INDEX(KC_CURVAS!$G$5:$G$15,MATCH($E10&amp;"|"&amp;$G10,KC_CURVAS!$K$5:$K$15,0)),IFERROR(INDEX(KC_CURVAS!$G$5:$G$15,MATCH($E10&amp;"|",KC_CURVAS!$K$5:$K$15,0)),""))</f>
        <v/>
      </c>
      <c r="P10" s="11">
        <f>IFERROR(INDEX(KC_CURVAS!$H$5:$H$15,MATCH($E10&amp;"|"&amp;$G10,KC_CURVAS!$K$5:$K$15,0)),IFERROR(INDEX(KC_CURVAS!$H$5:$H$15,MATCH($E10&amp;"|",KC_CURVAS!$K$5:$K$15,0)),""))</f>
        <v/>
      </c>
      <c r="Q10" s="11">
        <f>IFERROR(INDEX(KC_CURVAS!$I$5:$I$15,MATCH($E10&amp;"|"&amp;$G10,KC_CURVAS!$K$5:$K$15,0)),IFERROR(INDEX(KC_CURVAS!$I$5:$I$15,MATCH($E10&amp;"|",KC_CURVAS!$K$5:$K$15,0)),""))</f>
        <v/>
      </c>
      <c r="R10" s="12">
        <f>IF(OR($J10="",$K10=""),"PENDENTE",IF($J10&lt;=$K10,$O10,IF($J10&lt;=$K10+$L10,$O10+($P10-$O10)*($J10-$K10)/$L10,IF($J10&lt;=$K10+$L10+$M10,$P10,IF($J10&lt;=$K10+$L10+$M10+$N10,$P10+($Q10-$P10)*($J10-($K10+$L10+$M10))/$N10,$Q10)))))</f>
        <v/>
      </c>
      <c r="S10" s="13">
        <f>ETO_SEM</f>
        <v/>
      </c>
      <c r="T10" s="14">
        <f>IF(OR($R10="",$R10="PENDENTE"),"",$R10*$S10)</f>
        <v/>
      </c>
      <c r="U10" s="13" t="n">
        <v>0</v>
      </c>
      <c r="V10" s="14">
        <f>IF($T10="","",MAX(0,$T10-N($U10)))</f>
        <v/>
      </c>
      <c r="W10" s="14">
        <f>IF($V10="","",$V10/EF_APLIC)</f>
        <v/>
      </c>
      <c r="X10" s="15" t="n">
        <v>150.01</v>
      </c>
      <c r="Y10" s="16">
        <f>IF(OR($W10="",$X10=""),"",$W10*$X10*10)</f>
        <v/>
      </c>
      <c r="Z10" s="17">
        <f>IFERROR(INDEX('PARAMETROS'!$B$16:$B$19,MATCH($D10,'PARAMETROS'!$A$16:$A$19,0)),"")</f>
        <v/>
      </c>
      <c r="AA10" s="16">
        <f>IF(OR($Y10="",$Z10=""),"",$Y10*$Z10)</f>
        <v/>
      </c>
      <c r="AB10" s="18">
        <f>IF($R10="PENDENTE","Definir classe/Kc",IF($W10="","-",IF($W10&gt;0,"Irrigar","Nao irrigar")))</f>
        <v/>
      </c>
      <c r="AC10" s="18">
        <f>IF(OR($W10="",$W10=0),"-",IF($W10&gt;=META_SEM,"Alta",IF($W10&gt;=META_SEM*FRAC_ACOMP,"Media","Baixa")))</f>
        <v/>
      </c>
      <c r="AD10" s="19" t="inlineStr"/>
    </row>
    <row r="11">
      <c r="A11" s="5" t="inlineStr">
        <is>
          <t>2</t>
        </is>
      </c>
      <c r="B11" s="5" t="inlineStr">
        <is>
          <t>Karitel</t>
        </is>
      </c>
      <c r="C11" s="5" t="inlineStr">
        <is>
          <t>Módulo 01</t>
        </is>
      </c>
      <c r="D11" s="5" t="inlineStr">
        <is>
          <t>KM1</t>
        </is>
      </c>
      <c r="E11" s="5" t="inlineStr">
        <is>
          <t>ALGODÃO</t>
        </is>
      </c>
      <c r="F11" s="6" t="inlineStr">
        <is>
          <t>FM 933 STP</t>
        </is>
      </c>
      <c r="G11" s="7" t="inlineStr">
        <is>
          <t>PRECOCE</t>
        </is>
      </c>
      <c r="H11" s="8" t="n">
        <v>46069</v>
      </c>
      <c r="I11" s="9">
        <f>IF($H11="","",DATA_REF-$H11)</f>
        <v/>
      </c>
      <c r="J11" s="9">
        <f>IF($I11="","",MAX(0,$I11-'PARAMETROS'!$B$12))</f>
        <v/>
      </c>
      <c r="K11" s="10">
        <f>IFERROR(INDEX(KC_CURVAS!$C$5:$C$15,MATCH($E11&amp;"|"&amp;$G11,KC_CURVAS!$K$5:$K$15,0)),IFERROR(INDEX(KC_CURVAS!$C$5:$C$15,MATCH($E11&amp;"|",KC_CURVAS!$K$5:$K$15,0)),""))</f>
        <v/>
      </c>
      <c r="L11" s="10">
        <f>IFERROR(INDEX(KC_CURVAS!$D$5:$D$15,MATCH($E11&amp;"|"&amp;$G11,KC_CURVAS!$K$5:$K$15,0)),IFERROR(INDEX(KC_CURVAS!$D$5:$D$15,MATCH($E11&amp;"|",KC_CURVAS!$K$5:$K$15,0)),""))</f>
        <v/>
      </c>
      <c r="M11" s="10">
        <f>IFERROR(INDEX(KC_CURVAS!$E$5:$E$15,MATCH($E11&amp;"|"&amp;$G11,KC_CURVAS!$K$5:$K$15,0)),IFERROR(INDEX(KC_CURVAS!$E$5:$E$15,MATCH($E11&amp;"|",KC_CURVAS!$K$5:$K$15,0)),""))</f>
        <v/>
      </c>
      <c r="N11" s="10">
        <f>IFERROR(INDEX(KC_CURVAS!$F$5:$F$15,MATCH($E11&amp;"|"&amp;$G11,KC_CURVAS!$K$5:$K$15,0)),IFERROR(INDEX(KC_CURVAS!$F$5:$F$15,MATCH($E11&amp;"|",KC_CURVAS!$K$5:$K$15,0)),""))</f>
        <v/>
      </c>
      <c r="O11" s="11">
        <f>IFERROR(INDEX(KC_CURVAS!$G$5:$G$15,MATCH($E11&amp;"|"&amp;$G11,KC_CURVAS!$K$5:$K$15,0)),IFERROR(INDEX(KC_CURVAS!$G$5:$G$15,MATCH($E11&amp;"|",KC_CURVAS!$K$5:$K$15,0)),""))</f>
        <v/>
      </c>
      <c r="P11" s="11">
        <f>IFERROR(INDEX(KC_CURVAS!$H$5:$H$15,MATCH($E11&amp;"|"&amp;$G11,KC_CURVAS!$K$5:$K$15,0)),IFERROR(INDEX(KC_CURVAS!$H$5:$H$15,MATCH($E11&amp;"|",KC_CURVAS!$K$5:$K$15,0)),""))</f>
        <v/>
      </c>
      <c r="Q11" s="11">
        <f>IFERROR(INDEX(KC_CURVAS!$I$5:$I$15,MATCH($E11&amp;"|"&amp;$G11,KC_CURVAS!$K$5:$K$15,0)),IFERROR(INDEX(KC_CURVAS!$I$5:$I$15,MATCH($E11&amp;"|",KC_CURVAS!$K$5:$K$15,0)),""))</f>
        <v/>
      </c>
      <c r="R11" s="12">
        <f>IF(OR($J11="",$K11=""),"PENDENTE",IF($J11&lt;=$K11,$O11,IF($J11&lt;=$K11+$L11,$O11+($P11-$O11)*($J11-$K11)/$L11,IF($J11&lt;=$K11+$L11+$M11,$P11,IF($J11&lt;=$K11+$L11+$M11+$N11,$P11+($Q11-$P11)*($J11-($K11+$L11+$M11))/$N11,$Q11)))))</f>
        <v/>
      </c>
      <c r="S11" s="13">
        <f>ETO_SEM</f>
        <v/>
      </c>
      <c r="T11" s="14">
        <f>IF(OR($R11="",$R11="PENDENTE"),"",$R11*$S11)</f>
        <v/>
      </c>
      <c r="U11" s="13" t="n">
        <v>0</v>
      </c>
      <c r="V11" s="14">
        <f>IF($T11="","",MAX(0,$T11-N($U11)))</f>
        <v/>
      </c>
      <c r="W11" s="14">
        <f>IF($V11="","",$V11/EF_APLIC)</f>
        <v/>
      </c>
      <c r="X11" s="15" t="n">
        <v>123.72</v>
      </c>
      <c r="Y11" s="16">
        <f>IF(OR($W11="",$X11=""),"",$W11*$X11*10)</f>
        <v/>
      </c>
      <c r="Z11" s="17">
        <f>IFERROR(INDEX('PARAMETROS'!$B$16:$B$19,MATCH($D11,'PARAMETROS'!$A$16:$A$19,0)),"")</f>
        <v/>
      </c>
      <c r="AA11" s="16">
        <f>IF(OR($Y11="",$Z11=""),"",$Y11*$Z11)</f>
        <v/>
      </c>
      <c r="AB11" s="18">
        <f>IF($R11="PENDENTE","Definir classe/Kc",IF($W11="","-",IF($W11&gt;0,"Irrigar","Nao irrigar")))</f>
        <v/>
      </c>
      <c r="AC11" s="18">
        <f>IF(OR($W11="",$W11=0),"-",IF($W11&gt;=META_SEM,"Alta",IF($W11&gt;=META_SEM*FRAC_ACOMP,"Media","Baixa")))</f>
        <v/>
      </c>
      <c r="AD11" s="19" t="inlineStr"/>
    </row>
    <row r="12">
      <c r="A12" s="5" t="inlineStr">
        <is>
          <t>3</t>
        </is>
      </c>
      <c r="B12" s="5" t="inlineStr">
        <is>
          <t>Karitel</t>
        </is>
      </c>
      <c r="C12" s="5" t="inlineStr">
        <is>
          <t>Módulo 01</t>
        </is>
      </c>
      <c r="D12" s="5" t="inlineStr">
        <is>
          <t>KM1</t>
        </is>
      </c>
      <c r="E12" s="5" t="inlineStr">
        <is>
          <t>TABACO</t>
        </is>
      </c>
      <c r="F12" s="6" t="inlineStr"/>
      <c r="G12" s="7" t="inlineStr"/>
      <c r="H12" s="8" t="n">
        <v>45924</v>
      </c>
      <c r="I12" s="9">
        <f>IF($H12="","",DATA_REF-$H12)</f>
        <v/>
      </c>
      <c r="J12" s="9">
        <f>IF($I12="","",MAX(0,$I12-'PARAMETROS'!$B$12))</f>
        <v/>
      </c>
      <c r="K12" s="10">
        <f>IFERROR(INDEX(KC_CURVAS!$C$5:$C$15,MATCH($E12&amp;"|"&amp;$G12,KC_CURVAS!$K$5:$K$15,0)),IFERROR(INDEX(KC_CURVAS!$C$5:$C$15,MATCH($E12&amp;"|",KC_CURVAS!$K$5:$K$15,0)),""))</f>
        <v/>
      </c>
      <c r="L12" s="10">
        <f>IFERROR(INDEX(KC_CURVAS!$D$5:$D$15,MATCH($E12&amp;"|"&amp;$G12,KC_CURVAS!$K$5:$K$15,0)),IFERROR(INDEX(KC_CURVAS!$D$5:$D$15,MATCH($E12&amp;"|",KC_CURVAS!$K$5:$K$15,0)),""))</f>
        <v/>
      </c>
      <c r="M12" s="10">
        <f>IFERROR(INDEX(KC_CURVAS!$E$5:$E$15,MATCH($E12&amp;"|"&amp;$G12,KC_CURVAS!$K$5:$K$15,0)),IFERROR(INDEX(KC_CURVAS!$E$5:$E$15,MATCH($E12&amp;"|",KC_CURVAS!$K$5:$K$15,0)),""))</f>
        <v/>
      </c>
      <c r="N12" s="10">
        <f>IFERROR(INDEX(KC_CURVAS!$F$5:$F$15,MATCH($E12&amp;"|"&amp;$G12,KC_CURVAS!$K$5:$K$15,0)),IFERROR(INDEX(KC_CURVAS!$F$5:$F$15,MATCH($E12&amp;"|",KC_CURVAS!$K$5:$K$15,0)),""))</f>
        <v/>
      </c>
      <c r="O12" s="11">
        <f>IFERROR(INDEX(KC_CURVAS!$G$5:$G$15,MATCH($E12&amp;"|"&amp;$G12,KC_CURVAS!$K$5:$K$15,0)),IFERROR(INDEX(KC_CURVAS!$G$5:$G$15,MATCH($E12&amp;"|",KC_CURVAS!$K$5:$K$15,0)),""))</f>
        <v/>
      </c>
      <c r="P12" s="11">
        <f>IFERROR(INDEX(KC_CURVAS!$H$5:$H$15,MATCH($E12&amp;"|"&amp;$G12,KC_CURVAS!$K$5:$K$15,0)),IFERROR(INDEX(KC_CURVAS!$H$5:$H$15,MATCH($E12&amp;"|",KC_CURVAS!$K$5:$K$15,0)),""))</f>
        <v/>
      </c>
      <c r="Q12" s="11">
        <f>IFERROR(INDEX(KC_CURVAS!$I$5:$I$15,MATCH($E12&amp;"|"&amp;$G12,KC_CURVAS!$K$5:$K$15,0)),IFERROR(INDEX(KC_CURVAS!$I$5:$I$15,MATCH($E12&amp;"|",KC_CURVAS!$K$5:$K$15,0)),""))</f>
        <v/>
      </c>
      <c r="R12" s="12">
        <f>IF(OR($J12="",$K12=""),"PENDENTE",IF($J12&lt;=$K12,$O12,IF($J12&lt;=$K12+$L12,$O12+($P12-$O12)*($J12-$K12)/$L12,IF($J12&lt;=$K12+$L12+$M12,$P12,IF($J12&lt;=$K12+$L12+$M12+$N12,$P12+($Q12-$P12)*($J12-($K12+$L12+$M12))/$N12,$Q12)))))</f>
        <v/>
      </c>
      <c r="S12" s="13">
        <f>ETO_SEM</f>
        <v/>
      </c>
      <c r="T12" s="14">
        <f>IF(OR($R12="",$R12="PENDENTE"),"",$R12*$S12)</f>
        <v/>
      </c>
      <c r="U12" s="13" t="n">
        <v>0</v>
      </c>
      <c r="V12" s="14">
        <f>IF($T12="","",MAX(0,$T12-N($U12)))</f>
        <v/>
      </c>
      <c r="W12" s="14">
        <f>IF($V12="","",$V12/EF_APLIC)</f>
        <v/>
      </c>
      <c r="X12" s="15" t="n">
        <v>150.01</v>
      </c>
      <c r="Y12" s="16">
        <f>IF(OR($W12="",$X12=""),"",$W12*$X12*10)</f>
        <v/>
      </c>
      <c r="Z12" s="17">
        <f>IFERROR(INDEX('PARAMETROS'!$B$16:$B$19,MATCH($D12,'PARAMETROS'!$A$16:$A$19,0)),"")</f>
        <v/>
      </c>
      <c r="AA12" s="16">
        <f>IF(OR($Y12="",$Z12=""),"",$Y12*$Z12)</f>
        <v/>
      </c>
      <c r="AB12" s="18">
        <f>IF($R12="PENDENTE","Definir classe/Kc",IF($W12="","-",IF($W12&gt;0,"Irrigar","Nao irrigar")))</f>
        <v/>
      </c>
      <c r="AC12" s="18">
        <f>IF(OR($W12="",$W12=0),"-",IF($W12&gt;=META_SEM,"Alta",IF($W12&gt;=META_SEM*FRAC_ACOMP,"Media","Baixa")))</f>
        <v/>
      </c>
      <c r="AD12" s="19" t="inlineStr"/>
    </row>
    <row r="13">
      <c r="A13" s="5" t="inlineStr">
        <is>
          <t>4</t>
        </is>
      </c>
      <c r="B13" s="5" t="inlineStr">
        <is>
          <t>Karitel</t>
        </is>
      </c>
      <c r="C13" s="5" t="inlineStr">
        <is>
          <t>Módulo 01</t>
        </is>
      </c>
      <c r="D13" s="5" t="inlineStr">
        <is>
          <t>KM1</t>
        </is>
      </c>
      <c r="E13" s="5" t="inlineStr">
        <is>
          <t>TABACO</t>
        </is>
      </c>
      <c r="F13" s="6" t="inlineStr"/>
      <c r="G13" s="7" t="inlineStr"/>
      <c r="H13" s="8" t="n">
        <v>45918</v>
      </c>
      <c r="I13" s="9">
        <f>IF($H13="","",DATA_REF-$H13)</f>
        <v/>
      </c>
      <c r="J13" s="9">
        <f>IF($I13="","",MAX(0,$I13-'PARAMETROS'!$B$12))</f>
        <v/>
      </c>
      <c r="K13" s="10">
        <f>IFERROR(INDEX(KC_CURVAS!$C$5:$C$15,MATCH($E13&amp;"|"&amp;$G13,KC_CURVAS!$K$5:$K$15,0)),IFERROR(INDEX(KC_CURVAS!$C$5:$C$15,MATCH($E13&amp;"|",KC_CURVAS!$K$5:$K$15,0)),""))</f>
        <v/>
      </c>
      <c r="L13" s="10">
        <f>IFERROR(INDEX(KC_CURVAS!$D$5:$D$15,MATCH($E13&amp;"|"&amp;$G13,KC_CURVAS!$K$5:$K$15,0)),IFERROR(INDEX(KC_CURVAS!$D$5:$D$15,MATCH($E13&amp;"|",KC_CURVAS!$K$5:$K$15,0)),""))</f>
        <v/>
      </c>
      <c r="M13" s="10">
        <f>IFERROR(INDEX(KC_CURVAS!$E$5:$E$15,MATCH($E13&amp;"|"&amp;$G13,KC_CURVAS!$K$5:$K$15,0)),IFERROR(INDEX(KC_CURVAS!$E$5:$E$15,MATCH($E13&amp;"|",KC_CURVAS!$K$5:$K$15,0)),""))</f>
        <v/>
      </c>
      <c r="N13" s="10">
        <f>IFERROR(INDEX(KC_CURVAS!$F$5:$F$15,MATCH($E13&amp;"|"&amp;$G13,KC_CURVAS!$K$5:$K$15,0)),IFERROR(INDEX(KC_CURVAS!$F$5:$F$15,MATCH($E13&amp;"|",KC_CURVAS!$K$5:$K$15,0)),""))</f>
        <v/>
      </c>
      <c r="O13" s="11">
        <f>IFERROR(INDEX(KC_CURVAS!$G$5:$G$15,MATCH($E13&amp;"|"&amp;$G13,KC_CURVAS!$K$5:$K$15,0)),IFERROR(INDEX(KC_CURVAS!$G$5:$G$15,MATCH($E13&amp;"|",KC_CURVAS!$K$5:$K$15,0)),""))</f>
        <v/>
      </c>
      <c r="P13" s="11">
        <f>IFERROR(INDEX(KC_CURVAS!$H$5:$H$15,MATCH($E13&amp;"|"&amp;$G13,KC_CURVAS!$K$5:$K$15,0)),IFERROR(INDEX(KC_CURVAS!$H$5:$H$15,MATCH($E13&amp;"|",KC_CURVAS!$K$5:$K$15,0)),""))</f>
        <v/>
      </c>
      <c r="Q13" s="11">
        <f>IFERROR(INDEX(KC_CURVAS!$I$5:$I$15,MATCH($E13&amp;"|"&amp;$G13,KC_CURVAS!$K$5:$K$15,0)),IFERROR(INDEX(KC_CURVAS!$I$5:$I$15,MATCH($E13&amp;"|",KC_CURVAS!$K$5:$K$15,0)),""))</f>
        <v/>
      </c>
      <c r="R13" s="12">
        <f>IF(OR($J13="",$K13=""),"PENDENTE",IF($J13&lt;=$K13,$O13,IF($J13&lt;=$K13+$L13,$O13+($P13-$O13)*($J13-$K13)/$L13,IF($J13&lt;=$K13+$L13+$M13,$P13,IF($J13&lt;=$K13+$L13+$M13+$N13,$P13+($Q13-$P13)*($J13-($K13+$L13+$M13))/$N13,$Q13)))))</f>
        <v/>
      </c>
      <c r="S13" s="13">
        <f>ETO_SEM</f>
        <v/>
      </c>
      <c r="T13" s="14">
        <f>IF(OR($R13="",$R13="PENDENTE"),"",$R13*$S13)</f>
        <v/>
      </c>
      <c r="U13" s="13" t="n">
        <v>0</v>
      </c>
      <c r="V13" s="14">
        <f>IF($T13="","",MAX(0,$T13-N($U13)))</f>
        <v/>
      </c>
      <c r="W13" s="14">
        <f>IF($V13="","",$V13/EF_APLIC)</f>
        <v/>
      </c>
      <c r="X13" s="15" t="n">
        <v>62.76</v>
      </c>
      <c r="Y13" s="16">
        <f>IF(OR($W13="",$X13=""),"",$W13*$X13*10)</f>
        <v/>
      </c>
      <c r="Z13" s="17">
        <f>IFERROR(INDEX('PARAMETROS'!$B$16:$B$19,MATCH($D13,'PARAMETROS'!$A$16:$A$19,0)),"")</f>
        <v/>
      </c>
      <c r="AA13" s="16">
        <f>IF(OR($Y13="",$Z13=""),"",$Y13*$Z13)</f>
        <v/>
      </c>
      <c r="AB13" s="18">
        <f>IF($R13="PENDENTE","Definir classe/Kc",IF($W13="","-",IF($W13&gt;0,"Irrigar","Nao irrigar")))</f>
        <v/>
      </c>
      <c r="AC13" s="18">
        <f>IF(OR($W13="",$W13=0),"-",IF($W13&gt;=META_SEM,"Alta",IF($W13&gt;=META_SEM*FRAC_ACOMP,"Media","Baixa")))</f>
        <v/>
      </c>
      <c r="AD13" s="19" t="inlineStr"/>
    </row>
    <row r="14">
      <c r="A14" s="5" t="inlineStr">
        <is>
          <t>6</t>
        </is>
      </c>
      <c r="B14" s="5" t="inlineStr">
        <is>
          <t>Karitel</t>
        </is>
      </c>
      <c r="C14" s="5" t="inlineStr">
        <is>
          <t>Módulo 01</t>
        </is>
      </c>
      <c r="D14" s="5" t="inlineStr">
        <is>
          <t>KM1</t>
        </is>
      </c>
      <c r="E14" s="5" t="inlineStr">
        <is>
          <t>ALGODÃO</t>
        </is>
      </c>
      <c r="F14" s="6" t="inlineStr">
        <is>
          <t>DP 2111 B3RF</t>
        </is>
      </c>
      <c r="G14" s="7" t="inlineStr">
        <is>
          <t>MÉDIO</t>
        </is>
      </c>
      <c r="H14" s="8" t="n">
        <v>46070</v>
      </c>
      <c r="I14" s="9">
        <f>IF($H14="","",DATA_REF-$H14)</f>
        <v/>
      </c>
      <c r="J14" s="9">
        <f>IF($I14="","",MAX(0,$I14-'PARAMETROS'!$B$12))</f>
        <v/>
      </c>
      <c r="K14" s="10">
        <f>IFERROR(INDEX(KC_CURVAS!$C$5:$C$15,MATCH($E14&amp;"|"&amp;$G14,KC_CURVAS!$K$5:$K$15,0)),IFERROR(INDEX(KC_CURVAS!$C$5:$C$15,MATCH($E14&amp;"|",KC_CURVAS!$K$5:$K$15,0)),""))</f>
        <v/>
      </c>
      <c r="L14" s="10">
        <f>IFERROR(INDEX(KC_CURVAS!$D$5:$D$15,MATCH($E14&amp;"|"&amp;$G14,KC_CURVAS!$K$5:$K$15,0)),IFERROR(INDEX(KC_CURVAS!$D$5:$D$15,MATCH($E14&amp;"|",KC_CURVAS!$K$5:$K$15,0)),""))</f>
        <v/>
      </c>
      <c r="M14" s="10">
        <f>IFERROR(INDEX(KC_CURVAS!$E$5:$E$15,MATCH($E14&amp;"|"&amp;$G14,KC_CURVAS!$K$5:$K$15,0)),IFERROR(INDEX(KC_CURVAS!$E$5:$E$15,MATCH($E14&amp;"|",KC_CURVAS!$K$5:$K$15,0)),""))</f>
        <v/>
      </c>
      <c r="N14" s="10">
        <f>IFERROR(INDEX(KC_CURVAS!$F$5:$F$15,MATCH($E14&amp;"|"&amp;$G14,KC_CURVAS!$K$5:$K$15,0)),IFERROR(INDEX(KC_CURVAS!$F$5:$F$15,MATCH($E14&amp;"|",KC_CURVAS!$K$5:$K$15,0)),""))</f>
        <v/>
      </c>
      <c r="O14" s="11">
        <f>IFERROR(INDEX(KC_CURVAS!$G$5:$G$15,MATCH($E14&amp;"|"&amp;$G14,KC_CURVAS!$K$5:$K$15,0)),IFERROR(INDEX(KC_CURVAS!$G$5:$G$15,MATCH($E14&amp;"|",KC_CURVAS!$K$5:$K$15,0)),""))</f>
        <v/>
      </c>
      <c r="P14" s="11">
        <f>IFERROR(INDEX(KC_CURVAS!$H$5:$H$15,MATCH($E14&amp;"|"&amp;$G14,KC_CURVAS!$K$5:$K$15,0)),IFERROR(INDEX(KC_CURVAS!$H$5:$H$15,MATCH($E14&amp;"|",KC_CURVAS!$K$5:$K$15,0)),""))</f>
        <v/>
      </c>
      <c r="Q14" s="11">
        <f>IFERROR(INDEX(KC_CURVAS!$I$5:$I$15,MATCH($E14&amp;"|"&amp;$G14,KC_CURVAS!$K$5:$K$15,0)),IFERROR(INDEX(KC_CURVAS!$I$5:$I$15,MATCH($E14&amp;"|",KC_CURVAS!$K$5:$K$15,0)),""))</f>
        <v/>
      </c>
      <c r="R14" s="12">
        <f>IF(OR($J14="",$K14=""),"PENDENTE",IF($J14&lt;=$K14,$O14,IF($J14&lt;=$K14+$L14,$O14+($P14-$O14)*($J14-$K14)/$L14,IF($J14&lt;=$K14+$L14+$M14,$P14,IF($J14&lt;=$K14+$L14+$M14+$N14,$P14+($Q14-$P14)*($J14-($K14+$L14+$M14))/$N14,$Q14)))))</f>
        <v/>
      </c>
      <c r="S14" s="13">
        <f>ETO_SEM</f>
        <v/>
      </c>
      <c r="T14" s="14">
        <f>IF(OR($R14="",$R14="PENDENTE"),"",$R14*$S14)</f>
        <v/>
      </c>
      <c r="U14" s="13" t="n">
        <v>0</v>
      </c>
      <c r="V14" s="14">
        <f>IF($T14="","",MAX(0,$T14-N($U14)))</f>
        <v/>
      </c>
      <c r="W14" s="14">
        <f>IF($V14="","",$V14/EF_APLIC)</f>
        <v/>
      </c>
      <c r="X14" s="15" t="n">
        <v>150.01</v>
      </c>
      <c r="Y14" s="16">
        <f>IF(OR($W14="",$X14=""),"",$W14*$X14*10)</f>
        <v/>
      </c>
      <c r="Z14" s="17">
        <f>IFERROR(INDEX('PARAMETROS'!$B$16:$B$19,MATCH($D14,'PARAMETROS'!$A$16:$A$19,0)),"")</f>
        <v/>
      </c>
      <c r="AA14" s="16">
        <f>IF(OR($Y14="",$Z14=""),"",$Y14*$Z14)</f>
        <v/>
      </c>
      <c r="AB14" s="18">
        <f>IF($R14="PENDENTE","Definir classe/Kc",IF($W14="","-",IF($W14&gt;0,"Irrigar","Nao irrigar")))</f>
        <v/>
      </c>
      <c r="AC14" s="18">
        <f>IF(OR($W14="",$W14=0),"-",IF($W14&gt;=META_SEM,"Alta",IF($W14&gt;=META_SEM*FRAC_ACOMP,"Media","Baixa")))</f>
        <v/>
      </c>
      <c r="AD14" s="19" t="inlineStr"/>
    </row>
    <row r="15">
      <c r="A15" s="5" t="inlineStr">
        <is>
          <t>15</t>
        </is>
      </c>
      <c r="B15" s="5" t="inlineStr">
        <is>
          <t>Karitel</t>
        </is>
      </c>
      <c r="C15" s="5" t="inlineStr">
        <is>
          <t>Módulo 01</t>
        </is>
      </c>
      <c r="D15" s="5" t="inlineStr">
        <is>
          <t>KM1</t>
        </is>
      </c>
      <c r="E15" s="5" t="inlineStr">
        <is>
          <t>ALGODÃO</t>
        </is>
      </c>
      <c r="F15" s="6" t="inlineStr">
        <is>
          <t>DP 1949 B3RF</t>
        </is>
      </c>
      <c r="G15" s="7" t="inlineStr">
        <is>
          <t>PRECOCE</t>
        </is>
      </c>
      <c r="H15" s="8" t="n">
        <v>46059</v>
      </c>
      <c r="I15" s="9">
        <f>IF($H15="","",DATA_REF-$H15)</f>
        <v/>
      </c>
      <c r="J15" s="9">
        <f>IF($I15="","",MAX(0,$I15-'PARAMETROS'!$B$12))</f>
        <v/>
      </c>
      <c r="K15" s="10">
        <f>IFERROR(INDEX(KC_CURVAS!$C$5:$C$15,MATCH($E15&amp;"|"&amp;$G15,KC_CURVAS!$K$5:$K$15,0)),IFERROR(INDEX(KC_CURVAS!$C$5:$C$15,MATCH($E15&amp;"|",KC_CURVAS!$K$5:$K$15,0)),""))</f>
        <v/>
      </c>
      <c r="L15" s="10">
        <f>IFERROR(INDEX(KC_CURVAS!$D$5:$D$15,MATCH($E15&amp;"|"&amp;$G15,KC_CURVAS!$K$5:$K$15,0)),IFERROR(INDEX(KC_CURVAS!$D$5:$D$15,MATCH($E15&amp;"|",KC_CURVAS!$K$5:$K$15,0)),""))</f>
        <v/>
      </c>
      <c r="M15" s="10">
        <f>IFERROR(INDEX(KC_CURVAS!$E$5:$E$15,MATCH($E15&amp;"|"&amp;$G15,KC_CURVAS!$K$5:$K$15,0)),IFERROR(INDEX(KC_CURVAS!$E$5:$E$15,MATCH($E15&amp;"|",KC_CURVAS!$K$5:$K$15,0)),""))</f>
        <v/>
      </c>
      <c r="N15" s="10">
        <f>IFERROR(INDEX(KC_CURVAS!$F$5:$F$15,MATCH($E15&amp;"|"&amp;$G15,KC_CURVAS!$K$5:$K$15,0)),IFERROR(INDEX(KC_CURVAS!$F$5:$F$15,MATCH($E15&amp;"|",KC_CURVAS!$K$5:$K$15,0)),""))</f>
        <v/>
      </c>
      <c r="O15" s="11">
        <f>IFERROR(INDEX(KC_CURVAS!$G$5:$G$15,MATCH($E15&amp;"|"&amp;$G15,KC_CURVAS!$K$5:$K$15,0)),IFERROR(INDEX(KC_CURVAS!$G$5:$G$15,MATCH($E15&amp;"|",KC_CURVAS!$K$5:$K$15,0)),""))</f>
        <v/>
      </c>
      <c r="P15" s="11">
        <f>IFERROR(INDEX(KC_CURVAS!$H$5:$H$15,MATCH($E15&amp;"|"&amp;$G15,KC_CURVAS!$K$5:$K$15,0)),IFERROR(INDEX(KC_CURVAS!$H$5:$H$15,MATCH($E15&amp;"|",KC_CURVAS!$K$5:$K$15,0)),""))</f>
        <v/>
      </c>
      <c r="Q15" s="11">
        <f>IFERROR(INDEX(KC_CURVAS!$I$5:$I$15,MATCH($E15&amp;"|"&amp;$G15,KC_CURVAS!$K$5:$K$15,0)),IFERROR(INDEX(KC_CURVAS!$I$5:$I$15,MATCH($E15&amp;"|",KC_CURVAS!$K$5:$K$15,0)),""))</f>
        <v/>
      </c>
      <c r="R15" s="12">
        <f>IF(OR($J15="",$K15=""),"PENDENTE",IF($J15&lt;=$K15,$O15,IF($J15&lt;=$K15+$L15,$O15+($P15-$O15)*($J15-$K15)/$L15,IF($J15&lt;=$K15+$L15+$M15,$P15,IF($J15&lt;=$K15+$L15+$M15+$N15,$P15+($Q15-$P15)*($J15-($K15+$L15+$M15))/$N15,$Q15)))))</f>
        <v/>
      </c>
      <c r="S15" s="13">
        <f>ETO_SEM</f>
        <v/>
      </c>
      <c r="T15" s="14">
        <f>IF(OR($R15="",$R15="PENDENTE"),"",$R15*$S15)</f>
        <v/>
      </c>
      <c r="U15" s="13" t="n">
        <v>0</v>
      </c>
      <c r="V15" s="14">
        <f>IF($T15="","",MAX(0,$T15-N($U15)))</f>
        <v/>
      </c>
      <c r="W15" s="14">
        <f>IF($V15="","",$V15/EF_APLIC)</f>
        <v/>
      </c>
      <c r="X15" s="15" t="n">
        <v>150.01</v>
      </c>
      <c r="Y15" s="16">
        <f>IF(OR($W15="",$X15=""),"",$W15*$X15*10)</f>
        <v/>
      </c>
      <c r="Z15" s="17">
        <f>IFERROR(INDEX('PARAMETROS'!$B$16:$B$19,MATCH($D15,'PARAMETROS'!$A$16:$A$19,0)),"")</f>
        <v/>
      </c>
      <c r="AA15" s="16">
        <f>IF(OR($Y15="",$Z15=""),"",$Y15*$Z15)</f>
        <v/>
      </c>
      <c r="AB15" s="18">
        <f>IF($R15="PENDENTE","Definir classe/Kc",IF($W15="","-",IF($W15&gt;0,"Irrigar","Nao irrigar")))</f>
        <v/>
      </c>
      <c r="AC15" s="18">
        <f>IF(OR($W15="",$W15=0),"-",IF($W15&gt;=META_SEM,"Alta",IF($W15&gt;=META_SEM*FRAC_ACOMP,"Media","Baixa")))</f>
        <v/>
      </c>
      <c r="AD15" s="19" t="inlineStr"/>
    </row>
    <row r="16">
      <c r="A16" s="5" t="inlineStr">
        <is>
          <t>16</t>
        </is>
      </c>
      <c r="B16" s="5" t="inlineStr">
        <is>
          <t>Karitel</t>
        </is>
      </c>
      <c r="C16" s="5" t="inlineStr">
        <is>
          <t>Módulo 01</t>
        </is>
      </c>
      <c r="D16" s="5" t="inlineStr">
        <is>
          <t>KM1</t>
        </is>
      </c>
      <c r="E16" s="5" t="inlineStr">
        <is>
          <t>ALGODÃO</t>
        </is>
      </c>
      <c r="F16" s="6" t="inlineStr">
        <is>
          <t>FM 974 GLT</t>
        </is>
      </c>
      <c r="G16" s="7" t="inlineStr">
        <is>
          <t>MÉDIO</t>
        </is>
      </c>
      <c r="H16" s="8" t="n">
        <v>46059</v>
      </c>
      <c r="I16" s="9">
        <f>IF($H16="","",DATA_REF-$H16)</f>
        <v/>
      </c>
      <c r="J16" s="9">
        <f>IF($I16="","",MAX(0,$I16-'PARAMETROS'!$B$12))</f>
        <v/>
      </c>
      <c r="K16" s="10">
        <f>IFERROR(INDEX(KC_CURVAS!$C$5:$C$15,MATCH($E16&amp;"|"&amp;$G16,KC_CURVAS!$K$5:$K$15,0)),IFERROR(INDEX(KC_CURVAS!$C$5:$C$15,MATCH($E16&amp;"|",KC_CURVAS!$K$5:$K$15,0)),""))</f>
        <v/>
      </c>
      <c r="L16" s="10">
        <f>IFERROR(INDEX(KC_CURVAS!$D$5:$D$15,MATCH($E16&amp;"|"&amp;$G16,KC_CURVAS!$K$5:$K$15,0)),IFERROR(INDEX(KC_CURVAS!$D$5:$D$15,MATCH($E16&amp;"|",KC_CURVAS!$K$5:$K$15,0)),""))</f>
        <v/>
      </c>
      <c r="M16" s="10">
        <f>IFERROR(INDEX(KC_CURVAS!$E$5:$E$15,MATCH($E16&amp;"|"&amp;$G16,KC_CURVAS!$K$5:$K$15,0)),IFERROR(INDEX(KC_CURVAS!$E$5:$E$15,MATCH($E16&amp;"|",KC_CURVAS!$K$5:$K$15,0)),""))</f>
        <v/>
      </c>
      <c r="N16" s="10">
        <f>IFERROR(INDEX(KC_CURVAS!$F$5:$F$15,MATCH($E16&amp;"|"&amp;$G16,KC_CURVAS!$K$5:$K$15,0)),IFERROR(INDEX(KC_CURVAS!$F$5:$F$15,MATCH($E16&amp;"|",KC_CURVAS!$K$5:$K$15,0)),""))</f>
        <v/>
      </c>
      <c r="O16" s="11">
        <f>IFERROR(INDEX(KC_CURVAS!$G$5:$G$15,MATCH($E16&amp;"|"&amp;$G16,KC_CURVAS!$K$5:$K$15,0)),IFERROR(INDEX(KC_CURVAS!$G$5:$G$15,MATCH($E16&amp;"|",KC_CURVAS!$K$5:$K$15,0)),""))</f>
        <v/>
      </c>
      <c r="P16" s="11">
        <f>IFERROR(INDEX(KC_CURVAS!$H$5:$H$15,MATCH($E16&amp;"|"&amp;$G16,KC_CURVAS!$K$5:$K$15,0)),IFERROR(INDEX(KC_CURVAS!$H$5:$H$15,MATCH($E16&amp;"|",KC_CURVAS!$K$5:$K$15,0)),""))</f>
        <v/>
      </c>
      <c r="Q16" s="11">
        <f>IFERROR(INDEX(KC_CURVAS!$I$5:$I$15,MATCH($E16&amp;"|"&amp;$G16,KC_CURVAS!$K$5:$K$15,0)),IFERROR(INDEX(KC_CURVAS!$I$5:$I$15,MATCH($E16&amp;"|",KC_CURVAS!$K$5:$K$15,0)),""))</f>
        <v/>
      </c>
      <c r="R16" s="12">
        <f>IF(OR($J16="",$K16=""),"PENDENTE",IF($J16&lt;=$K16,$O16,IF($J16&lt;=$K16+$L16,$O16+($P16-$O16)*($J16-$K16)/$L16,IF($J16&lt;=$K16+$L16+$M16,$P16,IF($J16&lt;=$K16+$L16+$M16+$N16,$P16+($Q16-$P16)*($J16-($K16+$L16+$M16))/$N16,$Q16)))))</f>
        <v/>
      </c>
      <c r="S16" s="13">
        <f>ETO_SEM</f>
        <v/>
      </c>
      <c r="T16" s="14">
        <f>IF(OR($R16="",$R16="PENDENTE"),"",$R16*$S16)</f>
        <v/>
      </c>
      <c r="U16" s="13" t="n">
        <v>0</v>
      </c>
      <c r="V16" s="14">
        <f>IF($T16="","",MAX(0,$T16-N($U16)))</f>
        <v/>
      </c>
      <c r="W16" s="14">
        <f>IF($V16="","",$V16/EF_APLIC)</f>
        <v/>
      </c>
      <c r="X16" s="15" t="n">
        <v>150.01</v>
      </c>
      <c r="Y16" s="16">
        <f>IF(OR($W16="",$X16=""),"",$W16*$X16*10)</f>
        <v/>
      </c>
      <c r="Z16" s="17">
        <f>IFERROR(INDEX('PARAMETROS'!$B$16:$B$19,MATCH($D16,'PARAMETROS'!$A$16:$A$19,0)),"")</f>
        <v/>
      </c>
      <c r="AA16" s="16">
        <f>IF(OR($Y16="",$Z16=""),"",$Y16*$Z16)</f>
        <v/>
      </c>
      <c r="AB16" s="18">
        <f>IF($R16="PENDENTE","Definir classe/Kc",IF($W16="","-",IF($W16&gt;0,"Irrigar","Nao irrigar")))</f>
        <v/>
      </c>
      <c r="AC16" s="18">
        <f>IF(OR($W16="",$W16=0),"-",IF($W16&gt;=META_SEM,"Alta",IF($W16&gt;=META_SEM*FRAC_ACOMP,"Media","Baixa")))</f>
        <v/>
      </c>
      <c r="AD16" s="19" t="inlineStr"/>
    </row>
    <row r="17">
      <c r="A17" s="5" t="inlineStr">
        <is>
          <t>7</t>
        </is>
      </c>
      <c r="B17" s="5" t="inlineStr">
        <is>
          <t>Karitel</t>
        </is>
      </c>
      <c r="C17" s="5" t="inlineStr">
        <is>
          <t>Módulo 01</t>
        </is>
      </c>
      <c r="D17" s="5" t="inlineStr">
        <is>
          <t>KM1</t>
        </is>
      </c>
      <c r="E17" s="5" t="inlineStr">
        <is>
          <t>TABACO</t>
        </is>
      </c>
      <c r="F17" s="6" t="inlineStr"/>
      <c r="G17" s="7" t="inlineStr">
        <is>
          <t>TARDIA</t>
        </is>
      </c>
      <c r="H17" s="8" t="n">
        <v>45946</v>
      </c>
      <c r="I17" s="9">
        <f>IF($H17="","",DATA_REF-$H17)</f>
        <v/>
      </c>
      <c r="J17" s="9">
        <f>IF($I17="","",MAX(0,$I17-'PARAMETROS'!$B$12))</f>
        <v/>
      </c>
      <c r="K17" s="10">
        <f>IFERROR(INDEX(KC_CURVAS!$C$5:$C$15,MATCH($E17&amp;"|"&amp;$G17,KC_CURVAS!$K$5:$K$15,0)),IFERROR(INDEX(KC_CURVAS!$C$5:$C$15,MATCH($E17&amp;"|",KC_CURVAS!$K$5:$K$15,0)),""))</f>
        <v/>
      </c>
      <c r="L17" s="10">
        <f>IFERROR(INDEX(KC_CURVAS!$D$5:$D$15,MATCH($E17&amp;"|"&amp;$G17,KC_CURVAS!$K$5:$K$15,0)),IFERROR(INDEX(KC_CURVAS!$D$5:$D$15,MATCH($E17&amp;"|",KC_CURVAS!$K$5:$K$15,0)),""))</f>
        <v/>
      </c>
      <c r="M17" s="10">
        <f>IFERROR(INDEX(KC_CURVAS!$E$5:$E$15,MATCH($E17&amp;"|"&amp;$G17,KC_CURVAS!$K$5:$K$15,0)),IFERROR(INDEX(KC_CURVAS!$E$5:$E$15,MATCH($E17&amp;"|",KC_CURVAS!$K$5:$K$15,0)),""))</f>
        <v/>
      </c>
      <c r="N17" s="10">
        <f>IFERROR(INDEX(KC_CURVAS!$F$5:$F$15,MATCH($E17&amp;"|"&amp;$G17,KC_CURVAS!$K$5:$K$15,0)),IFERROR(INDEX(KC_CURVAS!$F$5:$F$15,MATCH($E17&amp;"|",KC_CURVAS!$K$5:$K$15,0)),""))</f>
        <v/>
      </c>
      <c r="O17" s="11">
        <f>IFERROR(INDEX(KC_CURVAS!$G$5:$G$15,MATCH($E17&amp;"|"&amp;$G17,KC_CURVAS!$K$5:$K$15,0)),IFERROR(INDEX(KC_CURVAS!$G$5:$G$15,MATCH($E17&amp;"|",KC_CURVAS!$K$5:$K$15,0)),""))</f>
        <v/>
      </c>
      <c r="P17" s="11">
        <f>IFERROR(INDEX(KC_CURVAS!$H$5:$H$15,MATCH($E17&amp;"|"&amp;$G17,KC_CURVAS!$K$5:$K$15,0)),IFERROR(INDEX(KC_CURVAS!$H$5:$H$15,MATCH($E17&amp;"|",KC_CURVAS!$K$5:$K$15,0)),""))</f>
        <v/>
      </c>
      <c r="Q17" s="11">
        <f>IFERROR(INDEX(KC_CURVAS!$I$5:$I$15,MATCH($E17&amp;"|"&amp;$G17,KC_CURVAS!$K$5:$K$15,0)),IFERROR(INDEX(KC_CURVAS!$I$5:$I$15,MATCH($E17&amp;"|",KC_CURVAS!$K$5:$K$15,0)),""))</f>
        <v/>
      </c>
      <c r="R17" s="12">
        <f>IF(OR($J17="",$K17=""),"PENDENTE",IF($J17&lt;=$K17,$O17,IF($J17&lt;=$K17+$L17,$O17+($P17-$O17)*($J17-$K17)/$L17,IF($J17&lt;=$K17+$L17+$M17,$P17,IF($J17&lt;=$K17+$L17+$M17+$N17,$P17+($Q17-$P17)*($J17-($K17+$L17+$M17))/$N17,$Q17)))))</f>
        <v/>
      </c>
      <c r="S17" s="13">
        <f>ETO_SEM</f>
        <v/>
      </c>
      <c r="T17" s="14">
        <f>IF(OR($R17="",$R17="PENDENTE"),"",$R17*$S17)</f>
        <v/>
      </c>
      <c r="U17" s="13" t="n">
        <v>0</v>
      </c>
      <c r="V17" s="14">
        <f>IF($T17="","",MAX(0,$T17-N($U17)))</f>
        <v/>
      </c>
      <c r="W17" s="14">
        <f>IF($V17="","",$V17/EF_APLIC)</f>
        <v/>
      </c>
      <c r="X17" s="15" t="n">
        <v>120.13</v>
      </c>
      <c r="Y17" s="16">
        <f>IF(OR($W17="",$X17=""),"",$W17*$X17*10)</f>
        <v/>
      </c>
      <c r="Z17" s="17">
        <f>IFERROR(INDEX('PARAMETROS'!$B$16:$B$19,MATCH($D17,'PARAMETROS'!$A$16:$A$19,0)),"")</f>
        <v/>
      </c>
      <c r="AA17" s="16">
        <f>IF(OR($Y17="",$Z17=""),"",$Y17*$Z17)</f>
        <v/>
      </c>
      <c r="AB17" s="18">
        <f>IF($R17="PENDENTE","Definir classe/Kc",IF($W17="","-",IF($W17&gt;0,"Irrigar","Nao irrigar")))</f>
        <v/>
      </c>
      <c r="AC17" s="18">
        <f>IF(OR($W17="",$W17=0),"-",IF($W17&gt;=META_SEM,"Alta",IF($W17&gt;=META_SEM*FRAC_ACOMP,"Media","Baixa")))</f>
        <v/>
      </c>
      <c r="AD17" s="19" t="inlineStr"/>
    </row>
    <row r="18">
      <c r="A18" s="5" t="inlineStr">
        <is>
          <t>8</t>
        </is>
      </c>
      <c r="B18" s="5" t="inlineStr">
        <is>
          <t>Karitel</t>
        </is>
      </c>
      <c r="C18" s="5" t="inlineStr">
        <is>
          <t>Módulo 01</t>
        </is>
      </c>
      <c r="D18" s="5" t="inlineStr">
        <is>
          <t>KM1</t>
        </is>
      </c>
      <c r="E18" s="5" t="inlineStr">
        <is>
          <t>TABACO</t>
        </is>
      </c>
      <c r="F18" s="6" t="inlineStr"/>
      <c r="G18" s="7" t="inlineStr">
        <is>
          <t>TARDIA</t>
        </is>
      </c>
      <c r="H18" s="8" t="n">
        <v>45945</v>
      </c>
      <c r="I18" s="9">
        <f>IF($H18="","",DATA_REF-$H18)</f>
        <v/>
      </c>
      <c r="J18" s="9">
        <f>IF($I18="","",MAX(0,$I18-'PARAMETROS'!$B$12))</f>
        <v/>
      </c>
      <c r="K18" s="10">
        <f>IFERROR(INDEX(KC_CURVAS!$C$5:$C$15,MATCH($E18&amp;"|"&amp;$G18,KC_CURVAS!$K$5:$K$15,0)),IFERROR(INDEX(KC_CURVAS!$C$5:$C$15,MATCH($E18&amp;"|",KC_CURVAS!$K$5:$K$15,0)),""))</f>
        <v/>
      </c>
      <c r="L18" s="10">
        <f>IFERROR(INDEX(KC_CURVAS!$D$5:$D$15,MATCH($E18&amp;"|"&amp;$G18,KC_CURVAS!$K$5:$K$15,0)),IFERROR(INDEX(KC_CURVAS!$D$5:$D$15,MATCH($E18&amp;"|",KC_CURVAS!$K$5:$K$15,0)),""))</f>
        <v/>
      </c>
      <c r="M18" s="10">
        <f>IFERROR(INDEX(KC_CURVAS!$E$5:$E$15,MATCH($E18&amp;"|"&amp;$G18,KC_CURVAS!$K$5:$K$15,0)),IFERROR(INDEX(KC_CURVAS!$E$5:$E$15,MATCH($E18&amp;"|",KC_CURVAS!$K$5:$K$15,0)),""))</f>
        <v/>
      </c>
      <c r="N18" s="10">
        <f>IFERROR(INDEX(KC_CURVAS!$F$5:$F$15,MATCH($E18&amp;"|"&amp;$G18,KC_CURVAS!$K$5:$K$15,0)),IFERROR(INDEX(KC_CURVAS!$F$5:$F$15,MATCH($E18&amp;"|",KC_CURVAS!$K$5:$K$15,0)),""))</f>
        <v/>
      </c>
      <c r="O18" s="11">
        <f>IFERROR(INDEX(KC_CURVAS!$G$5:$G$15,MATCH($E18&amp;"|"&amp;$G18,KC_CURVAS!$K$5:$K$15,0)),IFERROR(INDEX(KC_CURVAS!$G$5:$G$15,MATCH($E18&amp;"|",KC_CURVAS!$K$5:$K$15,0)),""))</f>
        <v/>
      </c>
      <c r="P18" s="11">
        <f>IFERROR(INDEX(KC_CURVAS!$H$5:$H$15,MATCH($E18&amp;"|"&amp;$G18,KC_CURVAS!$K$5:$K$15,0)),IFERROR(INDEX(KC_CURVAS!$H$5:$H$15,MATCH($E18&amp;"|",KC_CURVAS!$K$5:$K$15,0)),""))</f>
        <v/>
      </c>
      <c r="Q18" s="11">
        <f>IFERROR(INDEX(KC_CURVAS!$I$5:$I$15,MATCH($E18&amp;"|"&amp;$G18,KC_CURVAS!$K$5:$K$15,0)),IFERROR(INDEX(KC_CURVAS!$I$5:$I$15,MATCH($E18&amp;"|",KC_CURVAS!$K$5:$K$15,0)),""))</f>
        <v/>
      </c>
      <c r="R18" s="12">
        <f>IF(OR($J18="",$K18=""),"PENDENTE",IF($J18&lt;=$K18,$O18,IF($J18&lt;=$K18+$L18,$O18+($P18-$O18)*($J18-$K18)/$L18,IF($J18&lt;=$K18+$L18+$M18,$P18,IF($J18&lt;=$K18+$L18+$M18+$N18,$P18+($Q18-$P18)*($J18-($K18+$L18+$M18))/$N18,$Q18)))))</f>
        <v/>
      </c>
      <c r="S18" s="13">
        <f>ETO_SEM</f>
        <v/>
      </c>
      <c r="T18" s="14">
        <f>IF(OR($R18="",$R18="PENDENTE"),"",$R18*$S18)</f>
        <v/>
      </c>
      <c r="U18" s="13" t="n">
        <v>0</v>
      </c>
      <c r="V18" s="14">
        <f>IF($T18="","",MAX(0,$T18-N($U18)))</f>
        <v/>
      </c>
      <c r="W18" s="14">
        <f>IF($V18="","",$V18/EF_APLIC)</f>
        <v/>
      </c>
      <c r="X18" s="15" t="n">
        <v>150.01</v>
      </c>
      <c r="Y18" s="16">
        <f>IF(OR($W18="",$X18=""),"",$W18*$X18*10)</f>
        <v/>
      </c>
      <c r="Z18" s="17">
        <f>IFERROR(INDEX('PARAMETROS'!$B$16:$B$19,MATCH($D18,'PARAMETROS'!$A$16:$A$19,0)),"")</f>
        <v/>
      </c>
      <c r="AA18" s="16">
        <f>IF(OR($Y18="",$Z18=""),"",$Y18*$Z18)</f>
        <v/>
      </c>
      <c r="AB18" s="18">
        <f>IF($R18="PENDENTE","Definir classe/Kc",IF($W18="","-",IF($W18&gt;0,"Irrigar","Nao irrigar")))</f>
        <v/>
      </c>
      <c r="AC18" s="18">
        <f>IF(OR($W18="",$W18=0),"-",IF($W18&gt;=META_SEM,"Alta",IF($W18&gt;=META_SEM*FRAC_ACOMP,"Media","Baixa")))</f>
        <v/>
      </c>
      <c r="AD18" s="19" t="inlineStr"/>
    </row>
    <row r="19">
      <c r="A19" s="5" t="inlineStr">
        <is>
          <t>17</t>
        </is>
      </c>
      <c r="B19" s="5" t="inlineStr">
        <is>
          <t>Karitel</t>
        </is>
      </c>
      <c r="C19" s="5" t="inlineStr">
        <is>
          <t>Módulo 01</t>
        </is>
      </c>
      <c r="D19" s="5" t="inlineStr">
        <is>
          <t>KM1</t>
        </is>
      </c>
      <c r="E19" s="5" t="inlineStr">
        <is>
          <t>ALGODÃO</t>
        </is>
      </c>
      <c r="F19" s="6" t="inlineStr">
        <is>
          <t>DP 1949 B3RF</t>
        </is>
      </c>
      <c r="G19" s="7" t="inlineStr">
        <is>
          <t>PRECOCE</t>
        </is>
      </c>
      <c r="H19" s="8" t="n">
        <v>46059</v>
      </c>
      <c r="I19" s="9">
        <f>IF($H19="","",DATA_REF-$H19)</f>
        <v/>
      </c>
      <c r="J19" s="9">
        <f>IF($I19="","",MAX(0,$I19-'PARAMETROS'!$B$12))</f>
        <v/>
      </c>
      <c r="K19" s="10">
        <f>IFERROR(INDEX(KC_CURVAS!$C$5:$C$15,MATCH($E19&amp;"|"&amp;$G19,KC_CURVAS!$K$5:$K$15,0)),IFERROR(INDEX(KC_CURVAS!$C$5:$C$15,MATCH($E19&amp;"|",KC_CURVAS!$K$5:$K$15,0)),""))</f>
        <v/>
      </c>
      <c r="L19" s="10">
        <f>IFERROR(INDEX(KC_CURVAS!$D$5:$D$15,MATCH($E19&amp;"|"&amp;$G19,KC_CURVAS!$K$5:$K$15,0)),IFERROR(INDEX(KC_CURVAS!$D$5:$D$15,MATCH($E19&amp;"|",KC_CURVAS!$K$5:$K$15,0)),""))</f>
        <v/>
      </c>
      <c r="M19" s="10">
        <f>IFERROR(INDEX(KC_CURVAS!$E$5:$E$15,MATCH($E19&amp;"|"&amp;$G19,KC_CURVAS!$K$5:$K$15,0)),IFERROR(INDEX(KC_CURVAS!$E$5:$E$15,MATCH($E19&amp;"|",KC_CURVAS!$K$5:$K$15,0)),""))</f>
        <v/>
      </c>
      <c r="N19" s="10">
        <f>IFERROR(INDEX(KC_CURVAS!$F$5:$F$15,MATCH($E19&amp;"|"&amp;$G19,KC_CURVAS!$K$5:$K$15,0)),IFERROR(INDEX(KC_CURVAS!$F$5:$F$15,MATCH($E19&amp;"|",KC_CURVAS!$K$5:$K$15,0)),""))</f>
        <v/>
      </c>
      <c r="O19" s="11">
        <f>IFERROR(INDEX(KC_CURVAS!$G$5:$G$15,MATCH($E19&amp;"|"&amp;$G19,KC_CURVAS!$K$5:$K$15,0)),IFERROR(INDEX(KC_CURVAS!$G$5:$G$15,MATCH($E19&amp;"|",KC_CURVAS!$K$5:$K$15,0)),""))</f>
        <v/>
      </c>
      <c r="P19" s="11">
        <f>IFERROR(INDEX(KC_CURVAS!$H$5:$H$15,MATCH($E19&amp;"|"&amp;$G19,KC_CURVAS!$K$5:$K$15,0)),IFERROR(INDEX(KC_CURVAS!$H$5:$H$15,MATCH($E19&amp;"|",KC_CURVAS!$K$5:$K$15,0)),""))</f>
        <v/>
      </c>
      <c r="Q19" s="11">
        <f>IFERROR(INDEX(KC_CURVAS!$I$5:$I$15,MATCH($E19&amp;"|"&amp;$G19,KC_CURVAS!$K$5:$K$15,0)),IFERROR(INDEX(KC_CURVAS!$I$5:$I$15,MATCH($E19&amp;"|",KC_CURVAS!$K$5:$K$15,0)),""))</f>
        <v/>
      </c>
      <c r="R19" s="12">
        <f>IF(OR($J19="",$K19=""),"PENDENTE",IF($J19&lt;=$K19,$O19,IF($J19&lt;=$K19+$L19,$O19+($P19-$O19)*($J19-$K19)/$L19,IF($J19&lt;=$K19+$L19+$M19,$P19,IF($J19&lt;=$K19+$L19+$M19+$N19,$P19+($Q19-$P19)*($J19-($K19+$L19+$M19))/$N19,$Q19)))))</f>
        <v/>
      </c>
      <c r="S19" s="13">
        <f>ETO_SEM</f>
        <v/>
      </c>
      <c r="T19" s="14">
        <f>IF(OR($R19="",$R19="PENDENTE"),"",$R19*$S19)</f>
        <v/>
      </c>
      <c r="U19" s="13" t="n">
        <v>0</v>
      </c>
      <c r="V19" s="14">
        <f>IF($T19="","",MAX(0,$T19-N($U19)))</f>
        <v/>
      </c>
      <c r="W19" s="14">
        <f>IF($V19="","",$V19/EF_APLIC)</f>
        <v/>
      </c>
      <c r="X19" s="15" t="n">
        <v>150.01</v>
      </c>
      <c r="Y19" s="16">
        <f>IF(OR($W19="",$X19=""),"",$W19*$X19*10)</f>
        <v/>
      </c>
      <c r="Z19" s="17">
        <f>IFERROR(INDEX('PARAMETROS'!$B$16:$B$19,MATCH($D19,'PARAMETROS'!$A$16:$A$19,0)),"")</f>
        <v/>
      </c>
      <c r="AA19" s="16">
        <f>IF(OR($Y19="",$Z19=""),"",$Y19*$Z19)</f>
        <v/>
      </c>
      <c r="AB19" s="18">
        <f>IF($R19="PENDENTE","Definir classe/Kc",IF($W19="","-",IF($W19&gt;0,"Irrigar","Nao irrigar")))</f>
        <v/>
      </c>
      <c r="AC19" s="18">
        <f>IF(OR($W19="",$W19=0),"-",IF($W19&gt;=META_SEM,"Alta",IF($W19&gt;=META_SEM*FRAC_ACOMP,"Media","Baixa")))</f>
        <v/>
      </c>
      <c r="AD19" s="19" t="inlineStr"/>
    </row>
    <row r="20">
      <c r="A20" s="5" t="inlineStr">
        <is>
          <t>19</t>
        </is>
      </c>
      <c r="B20" s="5" t="inlineStr">
        <is>
          <t>Karitel</t>
        </is>
      </c>
      <c r="C20" s="5" t="inlineStr">
        <is>
          <t>Módulo 01</t>
        </is>
      </c>
      <c r="D20" s="5" t="inlineStr">
        <is>
          <t>KM1</t>
        </is>
      </c>
      <c r="E20" s="5" t="inlineStr">
        <is>
          <t>ALGODÃO</t>
        </is>
      </c>
      <c r="F20" s="6" t="inlineStr">
        <is>
          <t>DP 1949 B3RF</t>
        </is>
      </c>
      <c r="G20" s="7" t="inlineStr">
        <is>
          <t>PRECOCE</t>
        </is>
      </c>
      <c r="H20" s="8" t="n">
        <v>46059</v>
      </c>
      <c r="I20" s="9">
        <f>IF($H20="","",DATA_REF-$H20)</f>
        <v/>
      </c>
      <c r="J20" s="9">
        <f>IF($I20="","",MAX(0,$I20-'PARAMETROS'!$B$12))</f>
        <v/>
      </c>
      <c r="K20" s="10">
        <f>IFERROR(INDEX(KC_CURVAS!$C$5:$C$15,MATCH($E20&amp;"|"&amp;$G20,KC_CURVAS!$K$5:$K$15,0)),IFERROR(INDEX(KC_CURVAS!$C$5:$C$15,MATCH($E20&amp;"|",KC_CURVAS!$K$5:$K$15,0)),""))</f>
        <v/>
      </c>
      <c r="L20" s="10">
        <f>IFERROR(INDEX(KC_CURVAS!$D$5:$D$15,MATCH($E20&amp;"|"&amp;$G20,KC_CURVAS!$K$5:$K$15,0)),IFERROR(INDEX(KC_CURVAS!$D$5:$D$15,MATCH($E20&amp;"|",KC_CURVAS!$K$5:$K$15,0)),""))</f>
        <v/>
      </c>
      <c r="M20" s="10">
        <f>IFERROR(INDEX(KC_CURVAS!$E$5:$E$15,MATCH($E20&amp;"|"&amp;$G20,KC_CURVAS!$K$5:$K$15,0)),IFERROR(INDEX(KC_CURVAS!$E$5:$E$15,MATCH($E20&amp;"|",KC_CURVAS!$K$5:$K$15,0)),""))</f>
        <v/>
      </c>
      <c r="N20" s="10">
        <f>IFERROR(INDEX(KC_CURVAS!$F$5:$F$15,MATCH($E20&amp;"|"&amp;$G20,KC_CURVAS!$K$5:$K$15,0)),IFERROR(INDEX(KC_CURVAS!$F$5:$F$15,MATCH($E20&amp;"|",KC_CURVAS!$K$5:$K$15,0)),""))</f>
        <v/>
      </c>
      <c r="O20" s="11">
        <f>IFERROR(INDEX(KC_CURVAS!$G$5:$G$15,MATCH($E20&amp;"|"&amp;$G20,KC_CURVAS!$K$5:$K$15,0)),IFERROR(INDEX(KC_CURVAS!$G$5:$G$15,MATCH($E20&amp;"|",KC_CURVAS!$K$5:$K$15,0)),""))</f>
        <v/>
      </c>
      <c r="P20" s="11">
        <f>IFERROR(INDEX(KC_CURVAS!$H$5:$H$15,MATCH($E20&amp;"|"&amp;$G20,KC_CURVAS!$K$5:$K$15,0)),IFERROR(INDEX(KC_CURVAS!$H$5:$H$15,MATCH($E20&amp;"|",KC_CURVAS!$K$5:$K$15,0)),""))</f>
        <v/>
      </c>
      <c r="Q20" s="11">
        <f>IFERROR(INDEX(KC_CURVAS!$I$5:$I$15,MATCH($E20&amp;"|"&amp;$G20,KC_CURVAS!$K$5:$K$15,0)),IFERROR(INDEX(KC_CURVAS!$I$5:$I$15,MATCH($E20&amp;"|",KC_CURVAS!$K$5:$K$15,0)),""))</f>
        <v/>
      </c>
      <c r="R20" s="12">
        <f>IF(OR($J20="",$K20=""),"PENDENTE",IF($J20&lt;=$K20,$O20,IF($J20&lt;=$K20+$L20,$O20+($P20-$O20)*($J20-$K20)/$L20,IF($J20&lt;=$K20+$L20+$M20,$P20,IF($J20&lt;=$K20+$L20+$M20+$N20,$P20+($Q20-$P20)*($J20-($K20+$L20+$M20))/$N20,$Q20)))))</f>
        <v/>
      </c>
      <c r="S20" s="13">
        <f>ETO_SEM</f>
        <v/>
      </c>
      <c r="T20" s="14">
        <f>IF(OR($R20="",$R20="PENDENTE"),"",$R20*$S20)</f>
        <v/>
      </c>
      <c r="U20" s="13" t="n">
        <v>0</v>
      </c>
      <c r="V20" s="14">
        <f>IF($T20="","",MAX(0,$T20-N($U20)))</f>
        <v/>
      </c>
      <c r="W20" s="14">
        <f>IF($V20="","",$V20/EF_APLIC)</f>
        <v/>
      </c>
      <c r="X20" s="15" t="n">
        <v>150.01</v>
      </c>
      <c r="Y20" s="16">
        <f>IF(OR($W20="",$X20=""),"",$W20*$X20*10)</f>
        <v/>
      </c>
      <c r="Z20" s="17">
        <f>IFERROR(INDEX('PARAMETROS'!$B$16:$B$19,MATCH($D20,'PARAMETROS'!$A$16:$A$19,0)),"")</f>
        <v/>
      </c>
      <c r="AA20" s="16">
        <f>IF(OR($Y20="",$Z20=""),"",$Y20*$Z20)</f>
        <v/>
      </c>
      <c r="AB20" s="18">
        <f>IF($R20="PENDENTE","Definir classe/Kc",IF($W20="","-",IF($W20&gt;0,"Irrigar","Nao irrigar")))</f>
        <v/>
      </c>
      <c r="AC20" s="18">
        <f>IF(OR($W20="",$W20=0),"-",IF($W20&gt;=META_SEM,"Alta",IF($W20&gt;=META_SEM*FRAC_ACOMP,"Media","Baixa")))</f>
        <v/>
      </c>
      <c r="AD20" s="19" t="inlineStr"/>
    </row>
    <row r="21">
      <c r="A21" s="5" t="inlineStr">
        <is>
          <t>20</t>
        </is>
      </c>
      <c r="B21" s="5" t="inlineStr">
        <is>
          <t>Karitel</t>
        </is>
      </c>
      <c r="C21" s="5" t="inlineStr">
        <is>
          <t>Módulo 01</t>
        </is>
      </c>
      <c r="D21" s="5" t="inlineStr">
        <is>
          <t>KM1</t>
        </is>
      </c>
      <c r="E21" s="5" t="inlineStr">
        <is>
          <t>ALGODÃO</t>
        </is>
      </c>
      <c r="F21" s="6" t="inlineStr">
        <is>
          <t>FM 974 GLT</t>
        </is>
      </c>
      <c r="G21" s="7" t="inlineStr">
        <is>
          <t>MÉDIO</t>
        </is>
      </c>
      <c r="H21" s="8" t="n">
        <v>46037</v>
      </c>
      <c r="I21" s="9">
        <f>IF($H21="","",DATA_REF-$H21)</f>
        <v/>
      </c>
      <c r="J21" s="9">
        <f>IF($I21="","",MAX(0,$I21-'PARAMETROS'!$B$12))</f>
        <v/>
      </c>
      <c r="K21" s="10">
        <f>IFERROR(INDEX(KC_CURVAS!$C$5:$C$15,MATCH($E21&amp;"|"&amp;$G21,KC_CURVAS!$K$5:$K$15,0)),IFERROR(INDEX(KC_CURVAS!$C$5:$C$15,MATCH($E21&amp;"|",KC_CURVAS!$K$5:$K$15,0)),""))</f>
        <v/>
      </c>
      <c r="L21" s="10">
        <f>IFERROR(INDEX(KC_CURVAS!$D$5:$D$15,MATCH($E21&amp;"|"&amp;$G21,KC_CURVAS!$K$5:$K$15,0)),IFERROR(INDEX(KC_CURVAS!$D$5:$D$15,MATCH($E21&amp;"|",KC_CURVAS!$K$5:$K$15,0)),""))</f>
        <v/>
      </c>
      <c r="M21" s="10">
        <f>IFERROR(INDEX(KC_CURVAS!$E$5:$E$15,MATCH($E21&amp;"|"&amp;$G21,KC_CURVAS!$K$5:$K$15,0)),IFERROR(INDEX(KC_CURVAS!$E$5:$E$15,MATCH($E21&amp;"|",KC_CURVAS!$K$5:$K$15,0)),""))</f>
        <v/>
      </c>
      <c r="N21" s="10">
        <f>IFERROR(INDEX(KC_CURVAS!$F$5:$F$15,MATCH($E21&amp;"|"&amp;$G21,KC_CURVAS!$K$5:$K$15,0)),IFERROR(INDEX(KC_CURVAS!$F$5:$F$15,MATCH($E21&amp;"|",KC_CURVAS!$K$5:$K$15,0)),""))</f>
        <v/>
      </c>
      <c r="O21" s="11">
        <f>IFERROR(INDEX(KC_CURVAS!$G$5:$G$15,MATCH($E21&amp;"|"&amp;$G21,KC_CURVAS!$K$5:$K$15,0)),IFERROR(INDEX(KC_CURVAS!$G$5:$G$15,MATCH($E21&amp;"|",KC_CURVAS!$K$5:$K$15,0)),""))</f>
        <v/>
      </c>
      <c r="P21" s="11">
        <f>IFERROR(INDEX(KC_CURVAS!$H$5:$H$15,MATCH($E21&amp;"|"&amp;$G21,KC_CURVAS!$K$5:$K$15,0)),IFERROR(INDEX(KC_CURVAS!$H$5:$H$15,MATCH($E21&amp;"|",KC_CURVAS!$K$5:$K$15,0)),""))</f>
        <v/>
      </c>
      <c r="Q21" s="11">
        <f>IFERROR(INDEX(KC_CURVAS!$I$5:$I$15,MATCH($E21&amp;"|"&amp;$G21,KC_CURVAS!$K$5:$K$15,0)),IFERROR(INDEX(KC_CURVAS!$I$5:$I$15,MATCH($E21&amp;"|",KC_CURVAS!$K$5:$K$15,0)),""))</f>
        <v/>
      </c>
      <c r="R21" s="12">
        <f>IF(OR($J21="",$K21=""),"PENDENTE",IF($J21&lt;=$K21,$O21,IF($J21&lt;=$K21+$L21,$O21+($P21-$O21)*($J21-$K21)/$L21,IF($J21&lt;=$K21+$L21+$M21,$P21,IF($J21&lt;=$K21+$L21+$M21+$N21,$P21+($Q21-$P21)*($J21-($K21+$L21+$M21))/$N21,$Q21)))))</f>
        <v/>
      </c>
      <c r="S21" s="13">
        <f>ETO_SEM</f>
        <v/>
      </c>
      <c r="T21" s="14">
        <f>IF(OR($R21="",$R21="PENDENTE"),"",$R21*$S21)</f>
        <v/>
      </c>
      <c r="U21" s="13" t="n">
        <v>0</v>
      </c>
      <c r="V21" s="14">
        <f>IF($T21="","",MAX(0,$T21-N($U21)))</f>
        <v/>
      </c>
      <c r="W21" s="14">
        <f>IF($V21="","",$V21/EF_APLIC)</f>
        <v/>
      </c>
      <c r="X21" s="15" t="n">
        <v>150.01</v>
      </c>
      <c r="Y21" s="16">
        <f>IF(OR($W21="",$X21=""),"",$W21*$X21*10)</f>
        <v/>
      </c>
      <c r="Z21" s="17">
        <f>IFERROR(INDEX('PARAMETROS'!$B$16:$B$19,MATCH($D21,'PARAMETROS'!$A$16:$A$19,0)),"")</f>
        <v/>
      </c>
      <c r="AA21" s="16">
        <f>IF(OR($Y21="",$Z21=""),"",$Y21*$Z21)</f>
        <v/>
      </c>
      <c r="AB21" s="18">
        <f>IF($R21="PENDENTE","Definir classe/Kc",IF($W21="","-",IF($W21&gt;0,"Irrigar","Nao irrigar")))</f>
        <v/>
      </c>
      <c r="AC21" s="18">
        <f>IF(OR($W21="",$W21=0),"-",IF($W21&gt;=META_SEM,"Alta",IF($W21&gt;=META_SEM*FRAC_ACOMP,"Media","Baixa")))</f>
        <v/>
      </c>
      <c r="AD21" s="19" t="inlineStr"/>
    </row>
    <row r="22">
      <c r="A22" s="5" t="inlineStr">
        <is>
          <t>21</t>
        </is>
      </c>
      <c r="B22" s="5" t="inlineStr">
        <is>
          <t>Karitel</t>
        </is>
      </c>
      <c r="C22" s="5" t="inlineStr">
        <is>
          <t>Módulo 01</t>
        </is>
      </c>
      <c r="D22" s="5" t="inlineStr">
        <is>
          <t>KM1</t>
        </is>
      </c>
      <c r="E22" s="5" t="inlineStr">
        <is>
          <t>ALGODÃO</t>
        </is>
      </c>
      <c r="F22" s="6" t="inlineStr">
        <is>
          <t>DP 1949 B3RF</t>
        </is>
      </c>
      <c r="G22" s="7" t="inlineStr">
        <is>
          <t>PRECOCE</t>
        </is>
      </c>
      <c r="H22" s="8" t="n">
        <v>46050</v>
      </c>
      <c r="I22" s="9">
        <f>IF($H22="","",DATA_REF-$H22)</f>
        <v/>
      </c>
      <c r="J22" s="9">
        <f>IF($I22="","",MAX(0,$I22-'PARAMETROS'!$B$12))</f>
        <v/>
      </c>
      <c r="K22" s="10">
        <f>IFERROR(INDEX(KC_CURVAS!$C$5:$C$15,MATCH($E22&amp;"|"&amp;$G22,KC_CURVAS!$K$5:$K$15,0)),IFERROR(INDEX(KC_CURVAS!$C$5:$C$15,MATCH($E22&amp;"|",KC_CURVAS!$K$5:$K$15,0)),""))</f>
        <v/>
      </c>
      <c r="L22" s="10">
        <f>IFERROR(INDEX(KC_CURVAS!$D$5:$D$15,MATCH($E22&amp;"|"&amp;$G22,KC_CURVAS!$K$5:$K$15,0)),IFERROR(INDEX(KC_CURVAS!$D$5:$D$15,MATCH($E22&amp;"|",KC_CURVAS!$K$5:$K$15,0)),""))</f>
        <v/>
      </c>
      <c r="M22" s="10">
        <f>IFERROR(INDEX(KC_CURVAS!$E$5:$E$15,MATCH($E22&amp;"|"&amp;$G22,KC_CURVAS!$K$5:$K$15,0)),IFERROR(INDEX(KC_CURVAS!$E$5:$E$15,MATCH($E22&amp;"|",KC_CURVAS!$K$5:$K$15,0)),""))</f>
        <v/>
      </c>
      <c r="N22" s="10">
        <f>IFERROR(INDEX(KC_CURVAS!$F$5:$F$15,MATCH($E22&amp;"|"&amp;$G22,KC_CURVAS!$K$5:$K$15,0)),IFERROR(INDEX(KC_CURVAS!$F$5:$F$15,MATCH($E22&amp;"|",KC_CURVAS!$K$5:$K$15,0)),""))</f>
        <v/>
      </c>
      <c r="O22" s="11">
        <f>IFERROR(INDEX(KC_CURVAS!$G$5:$G$15,MATCH($E22&amp;"|"&amp;$G22,KC_CURVAS!$K$5:$K$15,0)),IFERROR(INDEX(KC_CURVAS!$G$5:$G$15,MATCH($E22&amp;"|",KC_CURVAS!$K$5:$K$15,0)),""))</f>
        <v/>
      </c>
      <c r="P22" s="11">
        <f>IFERROR(INDEX(KC_CURVAS!$H$5:$H$15,MATCH($E22&amp;"|"&amp;$G22,KC_CURVAS!$K$5:$K$15,0)),IFERROR(INDEX(KC_CURVAS!$H$5:$H$15,MATCH($E22&amp;"|",KC_CURVAS!$K$5:$K$15,0)),""))</f>
        <v/>
      </c>
      <c r="Q22" s="11">
        <f>IFERROR(INDEX(KC_CURVAS!$I$5:$I$15,MATCH($E22&amp;"|"&amp;$G22,KC_CURVAS!$K$5:$K$15,0)),IFERROR(INDEX(KC_CURVAS!$I$5:$I$15,MATCH($E22&amp;"|",KC_CURVAS!$K$5:$K$15,0)),""))</f>
        <v/>
      </c>
      <c r="R22" s="12">
        <f>IF(OR($J22="",$K22=""),"PENDENTE",IF($J22&lt;=$K22,$O22,IF($J22&lt;=$K22+$L22,$O22+($P22-$O22)*($J22-$K22)/$L22,IF($J22&lt;=$K22+$L22+$M22,$P22,IF($J22&lt;=$K22+$L22+$M22+$N22,$P22+($Q22-$P22)*($J22-($K22+$L22+$M22))/$N22,$Q22)))))</f>
        <v/>
      </c>
      <c r="S22" s="13">
        <f>ETO_SEM</f>
        <v/>
      </c>
      <c r="T22" s="14">
        <f>IF(OR($R22="",$R22="PENDENTE"),"",$R22*$S22)</f>
        <v/>
      </c>
      <c r="U22" s="13" t="n">
        <v>0</v>
      </c>
      <c r="V22" s="14">
        <f>IF($T22="","",MAX(0,$T22-N($U22)))</f>
        <v/>
      </c>
      <c r="W22" s="14">
        <f>IF($V22="","",$V22/EF_APLIC)</f>
        <v/>
      </c>
      <c r="X22" s="15" t="n">
        <v>150.01</v>
      </c>
      <c r="Y22" s="16">
        <f>IF(OR($W22="",$X22=""),"",$W22*$X22*10)</f>
        <v/>
      </c>
      <c r="Z22" s="17">
        <f>IFERROR(INDEX('PARAMETROS'!$B$16:$B$19,MATCH($D22,'PARAMETROS'!$A$16:$A$19,0)),"")</f>
        <v/>
      </c>
      <c r="AA22" s="16">
        <f>IF(OR($Y22="",$Z22=""),"",$Y22*$Z22)</f>
        <v/>
      </c>
      <c r="AB22" s="18">
        <f>IF($R22="PENDENTE","Definir classe/Kc",IF($W22="","-",IF($W22&gt;0,"Irrigar","Nao irrigar")))</f>
        <v/>
      </c>
      <c r="AC22" s="18">
        <f>IF(OR($W22="",$W22=0),"-",IF($W22&gt;=META_SEM,"Alta",IF($W22&gt;=META_SEM*FRAC_ACOMP,"Media","Baixa")))</f>
        <v/>
      </c>
      <c r="AD22" s="19" t="inlineStr"/>
    </row>
    <row r="23">
      <c r="A23" s="5" t="inlineStr">
        <is>
          <t>22</t>
        </is>
      </c>
      <c r="B23" s="5" t="inlineStr">
        <is>
          <t>Karitel</t>
        </is>
      </c>
      <c r="C23" s="5" t="inlineStr">
        <is>
          <t>Módulo 01</t>
        </is>
      </c>
      <c r="D23" s="5" t="inlineStr">
        <is>
          <t>KM1</t>
        </is>
      </c>
      <c r="E23" s="5" t="inlineStr">
        <is>
          <t>ALGODÃO</t>
        </is>
      </c>
      <c r="F23" s="6" t="inlineStr">
        <is>
          <t>FM 974 GLT</t>
        </is>
      </c>
      <c r="G23" s="7" t="inlineStr">
        <is>
          <t>MÉDIO</t>
        </is>
      </c>
      <c r="H23" s="8" t="n">
        <v>46047</v>
      </c>
      <c r="I23" s="9">
        <f>IF($H23="","",DATA_REF-$H23)</f>
        <v/>
      </c>
      <c r="J23" s="9">
        <f>IF($I23="","",MAX(0,$I23-'PARAMETROS'!$B$12))</f>
        <v/>
      </c>
      <c r="K23" s="10">
        <f>IFERROR(INDEX(KC_CURVAS!$C$5:$C$15,MATCH($E23&amp;"|"&amp;$G23,KC_CURVAS!$K$5:$K$15,0)),IFERROR(INDEX(KC_CURVAS!$C$5:$C$15,MATCH($E23&amp;"|",KC_CURVAS!$K$5:$K$15,0)),""))</f>
        <v/>
      </c>
      <c r="L23" s="10">
        <f>IFERROR(INDEX(KC_CURVAS!$D$5:$D$15,MATCH($E23&amp;"|"&amp;$G23,KC_CURVAS!$K$5:$K$15,0)),IFERROR(INDEX(KC_CURVAS!$D$5:$D$15,MATCH($E23&amp;"|",KC_CURVAS!$K$5:$K$15,0)),""))</f>
        <v/>
      </c>
      <c r="M23" s="10">
        <f>IFERROR(INDEX(KC_CURVAS!$E$5:$E$15,MATCH($E23&amp;"|"&amp;$G23,KC_CURVAS!$K$5:$K$15,0)),IFERROR(INDEX(KC_CURVAS!$E$5:$E$15,MATCH($E23&amp;"|",KC_CURVAS!$K$5:$K$15,0)),""))</f>
        <v/>
      </c>
      <c r="N23" s="10">
        <f>IFERROR(INDEX(KC_CURVAS!$F$5:$F$15,MATCH($E23&amp;"|"&amp;$G23,KC_CURVAS!$K$5:$K$15,0)),IFERROR(INDEX(KC_CURVAS!$F$5:$F$15,MATCH($E23&amp;"|",KC_CURVAS!$K$5:$K$15,0)),""))</f>
        <v/>
      </c>
      <c r="O23" s="11">
        <f>IFERROR(INDEX(KC_CURVAS!$G$5:$G$15,MATCH($E23&amp;"|"&amp;$G23,KC_CURVAS!$K$5:$K$15,0)),IFERROR(INDEX(KC_CURVAS!$G$5:$G$15,MATCH($E23&amp;"|",KC_CURVAS!$K$5:$K$15,0)),""))</f>
        <v/>
      </c>
      <c r="P23" s="11">
        <f>IFERROR(INDEX(KC_CURVAS!$H$5:$H$15,MATCH($E23&amp;"|"&amp;$G23,KC_CURVAS!$K$5:$K$15,0)),IFERROR(INDEX(KC_CURVAS!$H$5:$H$15,MATCH($E23&amp;"|",KC_CURVAS!$K$5:$K$15,0)),""))</f>
        <v/>
      </c>
      <c r="Q23" s="11">
        <f>IFERROR(INDEX(KC_CURVAS!$I$5:$I$15,MATCH($E23&amp;"|"&amp;$G23,KC_CURVAS!$K$5:$K$15,0)),IFERROR(INDEX(KC_CURVAS!$I$5:$I$15,MATCH($E23&amp;"|",KC_CURVAS!$K$5:$K$15,0)),""))</f>
        <v/>
      </c>
      <c r="R23" s="12">
        <f>IF(OR($J23="",$K23=""),"PENDENTE",IF($J23&lt;=$K23,$O23,IF($J23&lt;=$K23+$L23,$O23+($P23-$O23)*($J23-$K23)/$L23,IF($J23&lt;=$K23+$L23+$M23,$P23,IF($J23&lt;=$K23+$L23+$M23+$N23,$P23+($Q23-$P23)*($J23-($K23+$L23+$M23))/$N23,$Q23)))))</f>
        <v/>
      </c>
      <c r="S23" s="13">
        <f>ETO_SEM</f>
        <v/>
      </c>
      <c r="T23" s="14">
        <f>IF(OR($R23="",$R23="PENDENTE"),"",$R23*$S23)</f>
        <v/>
      </c>
      <c r="U23" s="13" t="n">
        <v>0</v>
      </c>
      <c r="V23" s="14">
        <f>IF($T23="","",MAX(0,$T23-N($U23)))</f>
        <v/>
      </c>
      <c r="W23" s="14">
        <f>IF($V23="","",$V23/EF_APLIC)</f>
        <v/>
      </c>
      <c r="X23" s="15" t="n">
        <v>150.01</v>
      </c>
      <c r="Y23" s="16">
        <f>IF(OR($W23="",$X23=""),"",$W23*$X23*10)</f>
        <v/>
      </c>
      <c r="Z23" s="17">
        <f>IFERROR(INDEX('PARAMETROS'!$B$16:$B$19,MATCH($D23,'PARAMETROS'!$A$16:$A$19,0)),"")</f>
        <v/>
      </c>
      <c r="AA23" s="16">
        <f>IF(OR($Y23="",$Z23=""),"",$Y23*$Z23)</f>
        <v/>
      </c>
      <c r="AB23" s="18">
        <f>IF($R23="PENDENTE","Definir classe/Kc",IF($W23="","-",IF($W23&gt;0,"Irrigar","Nao irrigar")))</f>
        <v/>
      </c>
      <c r="AC23" s="18">
        <f>IF(OR($W23="",$W23=0),"-",IF($W23&gt;=META_SEM,"Alta",IF($W23&gt;=META_SEM*FRAC_ACOMP,"Media","Baixa")))</f>
        <v/>
      </c>
      <c r="AD23" s="19" t="inlineStr"/>
    </row>
    <row r="24">
      <c r="A24" s="5" t="inlineStr">
        <is>
          <t>11</t>
        </is>
      </c>
      <c r="B24" s="5" t="inlineStr">
        <is>
          <t>Karitel</t>
        </is>
      </c>
      <c r="C24" s="5" t="inlineStr">
        <is>
          <t>Módulo 01</t>
        </is>
      </c>
      <c r="D24" s="5" t="inlineStr">
        <is>
          <t>KM1</t>
        </is>
      </c>
      <c r="E24" s="5" t="inlineStr">
        <is>
          <t>TABACO</t>
        </is>
      </c>
      <c r="F24" s="6" t="inlineStr"/>
      <c r="G24" s="7" t="inlineStr">
        <is>
          <t>TARDIA</t>
        </is>
      </c>
      <c r="H24" s="8" t="n">
        <v>45953</v>
      </c>
      <c r="I24" s="9">
        <f>IF($H24="","",DATA_REF-$H24)</f>
        <v/>
      </c>
      <c r="J24" s="9">
        <f>IF($I24="","",MAX(0,$I24-'PARAMETROS'!$B$12))</f>
        <v/>
      </c>
      <c r="K24" s="10">
        <f>IFERROR(INDEX(KC_CURVAS!$C$5:$C$15,MATCH($E24&amp;"|"&amp;$G24,KC_CURVAS!$K$5:$K$15,0)),IFERROR(INDEX(KC_CURVAS!$C$5:$C$15,MATCH($E24&amp;"|",KC_CURVAS!$K$5:$K$15,0)),""))</f>
        <v/>
      </c>
      <c r="L24" s="10">
        <f>IFERROR(INDEX(KC_CURVAS!$D$5:$D$15,MATCH($E24&amp;"|"&amp;$G24,KC_CURVAS!$K$5:$K$15,0)),IFERROR(INDEX(KC_CURVAS!$D$5:$D$15,MATCH($E24&amp;"|",KC_CURVAS!$K$5:$K$15,0)),""))</f>
        <v/>
      </c>
      <c r="M24" s="10">
        <f>IFERROR(INDEX(KC_CURVAS!$E$5:$E$15,MATCH($E24&amp;"|"&amp;$G24,KC_CURVAS!$K$5:$K$15,0)),IFERROR(INDEX(KC_CURVAS!$E$5:$E$15,MATCH($E24&amp;"|",KC_CURVAS!$K$5:$K$15,0)),""))</f>
        <v/>
      </c>
      <c r="N24" s="10">
        <f>IFERROR(INDEX(KC_CURVAS!$F$5:$F$15,MATCH($E24&amp;"|"&amp;$G24,KC_CURVAS!$K$5:$K$15,0)),IFERROR(INDEX(KC_CURVAS!$F$5:$F$15,MATCH($E24&amp;"|",KC_CURVAS!$K$5:$K$15,0)),""))</f>
        <v/>
      </c>
      <c r="O24" s="11">
        <f>IFERROR(INDEX(KC_CURVAS!$G$5:$G$15,MATCH($E24&amp;"|"&amp;$G24,KC_CURVAS!$K$5:$K$15,0)),IFERROR(INDEX(KC_CURVAS!$G$5:$G$15,MATCH($E24&amp;"|",KC_CURVAS!$K$5:$K$15,0)),""))</f>
        <v/>
      </c>
      <c r="P24" s="11">
        <f>IFERROR(INDEX(KC_CURVAS!$H$5:$H$15,MATCH($E24&amp;"|"&amp;$G24,KC_CURVAS!$K$5:$K$15,0)),IFERROR(INDEX(KC_CURVAS!$H$5:$H$15,MATCH($E24&amp;"|",KC_CURVAS!$K$5:$K$15,0)),""))</f>
        <v/>
      </c>
      <c r="Q24" s="11">
        <f>IFERROR(INDEX(KC_CURVAS!$I$5:$I$15,MATCH($E24&amp;"|"&amp;$G24,KC_CURVAS!$K$5:$K$15,0)),IFERROR(INDEX(KC_CURVAS!$I$5:$I$15,MATCH($E24&amp;"|",KC_CURVAS!$K$5:$K$15,0)),""))</f>
        <v/>
      </c>
      <c r="R24" s="12">
        <f>IF(OR($J24="",$K24=""),"PENDENTE",IF($J24&lt;=$K24,$O24,IF($J24&lt;=$K24+$L24,$O24+($P24-$O24)*($J24-$K24)/$L24,IF($J24&lt;=$K24+$L24+$M24,$P24,IF($J24&lt;=$K24+$L24+$M24+$N24,$P24+($Q24-$P24)*($J24-($K24+$L24+$M24))/$N24,$Q24)))))</f>
        <v/>
      </c>
      <c r="S24" s="13">
        <f>ETO_SEM</f>
        <v/>
      </c>
      <c r="T24" s="14">
        <f>IF(OR($R24="",$R24="PENDENTE"),"",$R24*$S24)</f>
        <v/>
      </c>
      <c r="U24" s="13" t="n">
        <v>0</v>
      </c>
      <c r="V24" s="14">
        <f>IF($T24="","",MAX(0,$T24-N($U24)))</f>
        <v/>
      </c>
      <c r="W24" s="14">
        <f>IF($V24="","",$V24/EF_APLIC)</f>
        <v/>
      </c>
      <c r="X24" s="15" t="n">
        <v>121.12</v>
      </c>
      <c r="Y24" s="16">
        <f>IF(OR($W24="",$X24=""),"",$W24*$X24*10)</f>
        <v/>
      </c>
      <c r="Z24" s="17">
        <f>IFERROR(INDEX('PARAMETROS'!$B$16:$B$19,MATCH($D24,'PARAMETROS'!$A$16:$A$19,0)),"")</f>
        <v/>
      </c>
      <c r="AA24" s="16">
        <f>IF(OR($Y24="",$Z24=""),"",$Y24*$Z24)</f>
        <v/>
      </c>
      <c r="AB24" s="18">
        <f>IF($R24="PENDENTE","Definir classe/Kc",IF($W24="","-",IF($W24&gt;0,"Irrigar","Nao irrigar")))</f>
        <v/>
      </c>
      <c r="AC24" s="18">
        <f>IF(OR($W24="",$W24=0),"-",IF($W24&gt;=META_SEM,"Alta",IF($W24&gt;=META_SEM*FRAC_ACOMP,"Media","Baixa")))</f>
        <v/>
      </c>
      <c r="AD24" s="19" t="inlineStr"/>
    </row>
    <row r="25">
      <c r="A25" s="5" t="inlineStr">
        <is>
          <t>24</t>
        </is>
      </c>
      <c r="B25" s="5" t="inlineStr">
        <is>
          <t>Karitel</t>
        </is>
      </c>
      <c r="C25" s="5" t="inlineStr">
        <is>
          <t>Módulo 01</t>
        </is>
      </c>
      <c r="D25" s="5" t="inlineStr">
        <is>
          <t>KM1</t>
        </is>
      </c>
      <c r="E25" s="5" t="inlineStr">
        <is>
          <t>ALGODÃO</t>
        </is>
      </c>
      <c r="F25" s="6" t="inlineStr">
        <is>
          <t>FM 974 GLT</t>
        </is>
      </c>
      <c r="G25" s="7" t="inlineStr">
        <is>
          <t>MÉDIO</t>
        </is>
      </c>
      <c r="H25" s="8" t="n">
        <v>46043</v>
      </c>
      <c r="I25" s="9">
        <f>IF($H25="","",DATA_REF-$H25)</f>
        <v/>
      </c>
      <c r="J25" s="9">
        <f>IF($I25="","",MAX(0,$I25-'PARAMETROS'!$B$12))</f>
        <v/>
      </c>
      <c r="K25" s="10">
        <f>IFERROR(INDEX(KC_CURVAS!$C$5:$C$15,MATCH($E25&amp;"|"&amp;$G25,KC_CURVAS!$K$5:$K$15,0)),IFERROR(INDEX(KC_CURVAS!$C$5:$C$15,MATCH($E25&amp;"|",KC_CURVAS!$K$5:$K$15,0)),""))</f>
        <v/>
      </c>
      <c r="L25" s="10">
        <f>IFERROR(INDEX(KC_CURVAS!$D$5:$D$15,MATCH($E25&amp;"|"&amp;$G25,KC_CURVAS!$K$5:$K$15,0)),IFERROR(INDEX(KC_CURVAS!$D$5:$D$15,MATCH($E25&amp;"|",KC_CURVAS!$K$5:$K$15,0)),""))</f>
        <v/>
      </c>
      <c r="M25" s="10">
        <f>IFERROR(INDEX(KC_CURVAS!$E$5:$E$15,MATCH($E25&amp;"|"&amp;$G25,KC_CURVAS!$K$5:$K$15,0)),IFERROR(INDEX(KC_CURVAS!$E$5:$E$15,MATCH($E25&amp;"|",KC_CURVAS!$K$5:$K$15,0)),""))</f>
        <v/>
      </c>
      <c r="N25" s="10">
        <f>IFERROR(INDEX(KC_CURVAS!$F$5:$F$15,MATCH($E25&amp;"|"&amp;$G25,KC_CURVAS!$K$5:$K$15,0)),IFERROR(INDEX(KC_CURVAS!$F$5:$F$15,MATCH($E25&amp;"|",KC_CURVAS!$K$5:$K$15,0)),""))</f>
        <v/>
      </c>
      <c r="O25" s="11">
        <f>IFERROR(INDEX(KC_CURVAS!$G$5:$G$15,MATCH($E25&amp;"|"&amp;$G25,KC_CURVAS!$K$5:$K$15,0)),IFERROR(INDEX(KC_CURVAS!$G$5:$G$15,MATCH($E25&amp;"|",KC_CURVAS!$K$5:$K$15,0)),""))</f>
        <v/>
      </c>
      <c r="P25" s="11">
        <f>IFERROR(INDEX(KC_CURVAS!$H$5:$H$15,MATCH($E25&amp;"|"&amp;$G25,KC_CURVAS!$K$5:$K$15,0)),IFERROR(INDEX(KC_CURVAS!$H$5:$H$15,MATCH($E25&amp;"|",KC_CURVAS!$K$5:$K$15,0)),""))</f>
        <v/>
      </c>
      <c r="Q25" s="11">
        <f>IFERROR(INDEX(KC_CURVAS!$I$5:$I$15,MATCH($E25&amp;"|"&amp;$G25,KC_CURVAS!$K$5:$K$15,0)),IFERROR(INDEX(KC_CURVAS!$I$5:$I$15,MATCH($E25&amp;"|",KC_CURVAS!$K$5:$K$15,0)),""))</f>
        <v/>
      </c>
      <c r="R25" s="12">
        <f>IF(OR($J25="",$K25=""),"PENDENTE",IF($J25&lt;=$K25,$O25,IF($J25&lt;=$K25+$L25,$O25+($P25-$O25)*($J25-$K25)/$L25,IF($J25&lt;=$K25+$L25+$M25,$P25,IF($J25&lt;=$K25+$L25+$M25+$N25,$P25+($Q25-$P25)*($J25-($K25+$L25+$M25))/$N25,$Q25)))))</f>
        <v/>
      </c>
      <c r="S25" s="13">
        <f>ETO_SEM</f>
        <v/>
      </c>
      <c r="T25" s="14">
        <f>IF(OR($R25="",$R25="PENDENTE"),"",$R25*$S25)</f>
        <v/>
      </c>
      <c r="U25" s="13" t="n">
        <v>0</v>
      </c>
      <c r="V25" s="14">
        <f>IF($T25="","",MAX(0,$T25-N($U25)))</f>
        <v/>
      </c>
      <c r="W25" s="14">
        <f>IF($V25="","",$V25/EF_APLIC)</f>
        <v/>
      </c>
      <c r="X25" s="15" t="n">
        <v>150.01</v>
      </c>
      <c r="Y25" s="16">
        <f>IF(OR($W25="",$X25=""),"",$W25*$X25*10)</f>
        <v/>
      </c>
      <c r="Z25" s="17">
        <f>IFERROR(INDEX('PARAMETROS'!$B$16:$B$19,MATCH($D25,'PARAMETROS'!$A$16:$A$19,0)),"")</f>
        <v/>
      </c>
      <c r="AA25" s="16">
        <f>IF(OR($Y25="",$Z25=""),"",$Y25*$Z25)</f>
        <v/>
      </c>
      <c r="AB25" s="18">
        <f>IF($R25="PENDENTE","Definir classe/Kc",IF($W25="","-",IF($W25&gt;0,"Irrigar","Nao irrigar")))</f>
        <v/>
      </c>
      <c r="AC25" s="18">
        <f>IF(OR($W25="",$W25=0),"-",IF($W25&gt;=META_SEM,"Alta",IF($W25&gt;=META_SEM*FRAC_ACOMP,"Media","Baixa")))</f>
        <v/>
      </c>
      <c r="AD25" s="19" t="inlineStr"/>
    </row>
    <row r="26">
      <c r="A26" s="5" t="inlineStr">
        <is>
          <t>25</t>
        </is>
      </c>
      <c r="B26" s="5" t="inlineStr">
        <is>
          <t>Karitel</t>
        </is>
      </c>
      <c r="C26" s="5" t="inlineStr">
        <is>
          <t>Módulo 01</t>
        </is>
      </c>
      <c r="D26" s="5" t="inlineStr">
        <is>
          <t>KM1</t>
        </is>
      </c>
      <c r="E26" s="5" t="inlineStr">
        <is>
          <t>CACAU</t>
        </is>
      </c>
      <c r="F26" s="6" t="inlineStr"/>
      <c r="G26" s="7" t="inlineStr"/>
      <c r="H26" s="20" t="n"/>
      <c r="I26" s="9">
        <f>IF($H26="","",DATA_REF-$H26)</f>
        <v/>
      </c>
      <c r="J26" s="9">
        <f>IF($I26="","",MAX(0,$I26-'PARAMETROS'!$B$12))</f>
        <v/>
      </c>
      <c r="K26" s="10">
        <f>IFERROR(INDEX(KC_CURVAS!$C$5:$C$15,MATCH($E26&amp;"|"&amp;$G26,KC_CURVAS!$K$5:$K$15,0)),IFERROR(INDEX(KC_CURVAS!$C$5:$C$15,MATCH($E26&amp;"|",KC_CURVAS!$K$5:$K$15,0)),""))</f>
        <v/>
      </c>
      <c r="L26" s="10">
        <f>IFERROR(INDEX(KC_CURVAS!$D$5:$D$15,MATCH($E26&amp;"|"&amp;$G26,KC_CURVAS!$K$5:$K$15,0)),IFERROR(INDEX(KC_CURVAS!$D$5:$D$15,MATCH($E26&amp;"|",KC_CURVAS!$K$5:$K$15,0)),""))</f>
        <v/>
      </c>
      <c r="M26" s="10">
        <f>IFERROR(INDEX(KC_CURVAS!$E$5:$E$15,MATCH($E26&amp;"|"&amp;$G26,KC_CURVAS!$K$5:$K$15,0)),IFERROR(INDEX(KC_CURVAS!$E$5:$E$15,MATCH($E26&amp;"|",KC_CURVAS!$K$5:$K$15,0)),""))</f>
        <v/>
      </c>
      <c r="N26" s="10">
        <f>IFERROR(INDEX(KC_CURVAS!$F$5:$F$15,MATCH($E26&amp;"|"&amp;$G26,KC_CURVAS!$K$5:$K$15,0)),IFERROR(INDEX(KC_CURVAS!$F$5:$F$15,MATCH($E26&amp;"|",KC_CURVAS!$K$5:$K$15,0)),""))</f>
        <v/>
      </c>
      <c r="O26" s="11">
        <f>IFERROR(INDEX(KC_CURVAS!$G$5:$G$15,MATCH($E26&amp;"|"&amp;$G26,KC_CURVAS!$K$5:$K$15,0)),IFERROR(INDEX(KC_CURVAS!$G$5:$G$15,MATCH($E26&amp;"|",KC_CURVAS!$K$5:$K$15,0)),""))</f>
        <v/>
      </c>
      <c r="P26" s="11">
        <f>IFERROR(INDEX(KC_CURVAS!$H$5:$H$15,MATCH($E26&amp;"|"&amp;$G26,KC_CURVAS!$K$5:$K$15,0)),IFERROR(INDEX(KC_CURVAS!$H$5:$H$15,MATCH($E26&amp;"|",KC_CURVAS!$K$5:$K$15,0)),""))</f>
        <v/>
      </c>
      <c r="Q26" s="11">
        <f>IFERROR(INDEX(KC_CURVAS!$I$5:$I$15,MATCH($E26&amp;"|"&amp;$G26,KC_CURVAS!$K$5:$K$15,0)),IFERROR(INDEX(KC_CURVAS!$I$5:$I$15,MATCH($E26&amp;"|",KC_CURVAS!$K$5:$K$15,0)),""))</f>
        <v/>
      </c>
      <c r="R26" s="12">
        <f>IF(OR($J26="",$K26=""),"PENDENTE",IF($J26&lt;=$K26,$O26,IF($J26&lt;=$K26+$L26,$O26+($P26-$O26)*($J26-$K26)/$L26,IF($J26&lt;=$K26+$L26+$M26,$P26,IF($J26&lt;=$K26+$L26+$M26+$N26,$P26+($Q26-$P26)*($J26-($K26+$L26+$M26))/$N26,$Q26)))))</f>
        <v/>
      </c>
      <c r="S26" s="13">
        <f>ETO_SEM</f>
        <v/>
      </c>
      <c r="T26" s="14">
        <f>IF(OR($R26="",$R26="PENDENTE"),"",$R26*$S26)</f>
        <v/>
      </c>
      <c r="U26" s="13" t="n">
        <v>0</v>
      </c>
      <c r="V26" s="14">
        <f>IF($T26="","",MAX(0,$T26-N($U26)))</f>
        <v/>
      </c>
      <c r="W26" s="14">
        <f>IF($V26="","",$V26/EF_APLIC)</f>
        <v/>
      </c>
      <c r="X26" s="15" t="n">
        <v>99.7</v>
      </c>
      <c r="Y26" s="16">
        <f>IF(OR($W26="",$X26=""),"",$W26*$X26*10)</f>
        <v/>
      </c>
      <c r="Z26" s="17">
        <f>IFERROR(INDEX('PARAMETROS'!$B$16:$B$19,MATCH($D26,'PARAMETROS'!$A$16:$A$19,0)),"")</f>
        <v/>
      </c>
      <c r="AA26" s="16">
        <f>IF(OR($Y26="",$Z26=""),"",$Y26*$Z26)</f>
        <v/>
      </c>
      <c r="AB26" s="18">
        <f>IF($R26="PENDENTE","Definir classe/Kc",IF($W26="","-",IF($W26&gt;0,"Irrigar","Nao irrigar")))</f>
        <v/>
      </c>
      <c r="AC26" s="18">
        <f>IF(OR($W26="",$W26=0),"-",IF($W26&gt;=META_SEM,"Alta",IF($W26&gt;=META_SEM*FRAC_ACOMP,"Media","Baixa")))</f>
        <v/>
      </c>
      <c r="AD26" s="19" t="inlineStr"/>
    </row>
    <row r="27">
      <c r="A27" s="5" t="inlineStr">
        <is>
          <t>25</t>
        </is>
      </c>
      <c r="B27" s="5" t="inlineStr">
        <is>
          <t>Karitel</t>
        </is>
      </c>
      <c r="C27" s="5" t="inlineStr">
        <is>
          <t>Módulo 01</t>
        </is>
      </c>
      <c r="D27" s="5" t="inlineStr">
        <is>
          <t>KM1</t>
        </is>
      </c>
      <c r="E27" s="5" t="inlineStr">
        <is>
          <t>CACAU</t>
        </is>
      </c>
      <c r="F27" s="6" t="inlineStr"/>
      <c r="G27" s="7" t="inlineStr"/>
      <c r="H27" s="20" t="n"/>
      <c r="I27" s="9">
        <f>IF($H27="","",DATA_REF-$H27)</f>
        <v/>
      </c>
      <c r="J27" s="9">
        <f>IF($I27="","",MAX(0,$I27-'PARAMETROS'!$B$12))</f>
        <v/>
      </c>
      <c r="K27" s="10">
        <f>IFERROR(INDEX(KC_CURVAS!$C$5:$C$15,MATCH($E27&amp;"|"&amp;$G27,KC_CURVAS!$K$5:$K$15,0)),IFERROR(INDEX(KC_CURVAS!$C$5:$C$15,MATCH($E27&amp;"|",KC_CURVAS!$K$5:$K$15,0)),""))</f>
        <v/>
      </c>
      <c r="L27" s="10">
        <f>IFERROR(INDEX(KC_CURVAS!$D$5:$D$15,MATCH($E27&amp;"|"&amp;$G27,KC_CURVAS!$K$5:$K$15,0)),IFERROR(INDEX(KC_CURVAS!$D$5:$D$15,MATCH($E27&amp;"|",KC_CURVAS!$K$5:$K$15,0)),""))</f>
        <v/>
      </c>
      <c r="M27" s="10">
        <f>IFERROR(INDEX(KC_CURVAS!$E$5:$E$15,MATCH($E27&amp;"|"&amp;$G27,KC_CURVAS!$K$5:$K$15,0)),IFERROR(INDEX(KC_CURVAS!$E$5:$E$15,MATCH($E27&amp;"|",KC_CURVAS!$K$5:$K$15,0)),""))</f>
        <v/>
      </c>
      <c r="N27" s="10">
        <f>IFERROR(INDEX(KC_CURVAS!$F$5:$F$15,MATCH($E27&amp;"|"&amp;$G27,KC_CURVAS!$K$5:$K$15,0)),IFERROR(INDEX(KC_CURVAS!$F$5:$F$15,MATCH($E27&amp;"|",KC_CURVAS!$K$5:$K$15,0)),""))</f>
        <v/>
      </c>
      <c r="O27" s="11">
        <f>IFERROR(INDEX(KC_CURVAS!$G$5:$G$15,MATCH($E27&amp;"|"&amp;$G27,KC_CURVAS!$K$5:$K$15,0)),IFERROR(INDEX(KC_CURVAS!$G$5:$G$15,MATCH($E27&amp;"|",KC_CURVAS!$K$5:$K$15,0)),""))</f>
        <v/>
      </c>
      <c r="P27" s="11">
        <f>IFERROR(INDEX(KC_CURVAS!$H$5:$H$15,MATCH($E27&amp;"|"&amp;$G27,KC_CURVAS!$K$5:$K$15,0)),IFERROR(INDEX(KC_CURVAS!$H$5:$H$15,MATCH($E27&amp;"|",KC_CURVAS!$K$5:$K$15,0)),""))</f>
        <v/>
      </c>
      <c r="Q27" s="11">
        <f>IFERROR(INDEX(KC_CURVAS!$I$5:$I$15,MATCH($E27&amp;"|"&amp;$G27,KC_CURVAS!$K$5:$K$15,0)),IFERROR(INDEX(KC_CURVAS!$I$5:$I$15,MATCH($E27&amp;"|",KC_CURVAS!$K$5:$K$15,0)),""))</f>
        <v/>
      </c>
      <c r="R27" s="12">
        <f>IF(OR($J27="",$K27=""),"PENDENTE",IF($J27&lt;=$K27,$O27,IF($J27&lt;=$K27+$L27,$O27+($P27-$O27)*($J27-$K27)/$L27,IF($J27&lt;=$K27+$L27+$M27,$P27,IF($J27&lt;=$K27+$L27+$M27+$N27,$P27+($Q27-$P27)*($J27-($K27+$L27+$M27))/$N27,$Q27)))))</f>
        <v/>
      </c>
      <c r="S27" s="13">
        <f>ETO_SEM</f>
        <v/>
      </c>
      <c r="T27" s="14">
        <f>IF(OR($R27="",$R27="PENDENTE"),"",$R27*$S27)</f>
        <v/>
      </c>
      <c r="U27" s="13" t="n">
        <v>0</v>
      </c>
      <c r="V27" s="14">
        <f>IF($T27="","",MAX(0,$T27-N($U27)))</f>
        <v/>
      </c>
      <c r="W27" s="14">
        <f>IF($V27="","",$V27/EF_APLIC)</f>
        <v/>
      </c>
      <c r="X27" s="15" t="n">
        <v>99.7</v>
      </c>
      <c r="Y27" s="16">
        <f>IF(OR($W27="",$X27=""),"",$W27*$X27*10)</f>
        <v/>
      </c>
      <c r="Z27" s="17">
        <f>IFERROR(INDEX('PARAMETROS'!$B$16:$B$19,MATCH($D27,'PARAMETROS'!$A$16:$A$19,0)),"")</f>
        <v/>
      </c>
      <c r="AA27" s="16">
        <f>IF(OR($Y27="",$Z27=""),"",$Y27*$Z27)</f>
        <v/>
      </c>
      <c r="AB27" s="18">
        <f>IF($R27="PENDENTE","Definir classe/Kc",IF($W27="","-",IF($W27&gt;0,"Irrigar","Nao irrigar")))</f>
        <v/>
      </c>
      <c r="AC27" s="18">
        <f>IF(OR($W27="",$W27=0),"-",IF($W27&gt;=META_SEM,"Alta",IF($W27&gt;=META_SEM*FRAC_ACOMP,"Media","Baixa")))</f>
        <v/>
      </c>
      <c r="AD27" s="19" t="inlineStr"/>
    </row>
    <row r="28">
      <c r="A28" s="5" t="inlineStr">
        <is>
          <t>25</t>
        </is>
      </c>
      <c r="B28" s="5" t="inlineStr">
        <is>
          <t>Karitel</t>
        </is>
      </c>
      <c r="C28" s="5" t="inlineStr">
        <is>
          <t>Módulo 01</t>
        </is>
      </c>
      <c r="D28" s="5" t="inlineStr">
        <is>
          <t>KM1</t>
        </is>
      </c>
      <c r="E28" s="5" t="inlineStr">
        <is>
          <t>CACAU</t>
        </is>
      </c>
      <c r="F28" s="6" t="inlineStr"/>
      <c r="G28" s="7" t="inlineStr"/>
      <c r="H28" s="20" t="n"/>
      <c r="I28" s="9">
        <f>IF($H28="","",DATA_REF-$H28)</f>
        <v/>
      </c>
      <c r="J28" s="9">
        <f>IF($I28="","",MAX(0,$I28-'PARAMETROS'!$B$12))</f>
        <v/>
      </c>
      <c r="K28" s="10">
        <f>IFERROR(INDEX(KC_CURVAS!$C$5:$C$15,MATCH($E28&amp;"|"&amp;$G28,KC_CURVAS!$K$5:$K$15,0)),IFERROR(INDEX(KC_CURVAS!$C$5:$C$15,MATCH($E28&amp;"|",KC_CURVAS!$K$5:$K$15,0)),""))</f>
        <v/>
      </c>
      <c r="L28" s="10">
        <f>IFERROR(INDEX(KC_CURVAS!$D$5:$D$15,MATCH($E28&amp;"|"&amp;$G28,KC_CURVAS!$K$5:$K$15,0)),IFERROR(INDEX(KC_CURVAS!$D$5:$D$15,MATCH($E28&amp;"|",KC_CURVAS!$K$5:$K$15,0)),""))</f>
        <v/>
      </c>
      <c r="M28" s="10">
        <f>IFERROR(INDEX(KC_CURVAS!$E$5:$E$15,MATCH($E28&amp;"|"&amp;$G28,KC_CURVAS!$K$5:$K$15,0)),IFERROR(INDEX(KC_CURVAS!$E$5:$E$15,MATCH($E28&amp;"|",KC_CURVAS!$K$5:$K$15,0)),""))</f>
        <v/>
      </c>
      <c r="N28" s="10">
        <f>IFERROR(INDEX(KC_CURVAS!$F$5:$F$15,MATCH($E28&amp;"|"&amp;$G28,KC_CURVAS!$K$5:$K$15,0)),IFERROR(INDEX(KC_CURVAS!$F$5:$F$15,MATCH($E28&amp;"|",KC_CURVAS!$K$5:$K$15,0)),""))</f>
        <v/>
      </c>
      <c r="O28" s="11">
        <f>IFERROR(INDEX(KC_CURVAS!$G$5:$G$15,MATCH($E28&amp;"|"&amp;$G28,KC_CURVAS!$K$5:$K$15,0)),IFERROR(INDEX(KC_CURVAS!$G$5:$G$15,MATCH($E28&amp;"|",KC_CURVAS!$K$5:$K$15,0)),""))</f>
        <v/>
      </c>
      <c r="P28" s="11">
        <f>IFERROR(INDEX(KC_CURVAS!$H$5:$H$15,MATCH($E28&amp;"|"&amp;$G28,KC_CURVAS!$K$5:$K$15,0)),IFERROR(INDEX(KC_CURVAS!$H$5:$H$15,MATCH($E28&amp;"|",KC_CURVAS!$K$5:$K$15,0)),""))</f>
        <v/>
      </c>
      <c r="Q28" s="11">
        <f>IFERROR(INDEX(KC_CURVAS!$I$5:$I$15,MATCH($E28&amp;"|"&amp;$G28,KC_CURVAS!$K$5:$K$15,0)),IFERROR(INDEX(KC_CURVAS!$I$5:$I$15,MATCH($E28&amp;"|",KC_CURVAS!$K$5:$K$15,0)),""))</f>
        <v/>
      </c>
      <c r="R28" s="12">
        <f>IF(OR($J28="",$K28=""),"PENDENTE",IF($J28&lt;=$K28,$O28,IF($J28&lt;=$K28+$L28,$O28+($P28-$O28)*($J28-$K28)/$L28,IF($J28&lt;=$K28+$L28+$M28,$P28,IF($J28&lt;=$K28+$L28+$M28+$N28,$P28+($Q28-$P28)*($J28-($K28+$L28+$M28))/$N28,$Q28)))))</f>
        <v/>
      </c>
      <c r="S28" s="13">
        <f>ETO_SEM</f>
        <v/>
      </c>
      <c r="T28" s="14">
        <f>IF(OR($R28="",$R28="PENDENTE"),"",$R28*$S28)</f>
        <v/>
      </c>
      <c r="U28" s="13" t="n">
        <v>0</v>
      </c>
      <c r="V28" s="14">
        <f>IF($T28="","",MAX(0,$T28-N($U28)))</f>
        <v/>
      </c>
      <c r="W28" s="14">
        <f>IF($V28="","",$V28/EF_APLIC)</f>
        <v/>
      </c>
      <c r="X28" s="15" t="n">
        <v>99.7</v>
      </c>
      <c r="Y28" s="16">
        <f>IF(OR($W28="",$X28=""),"",$W28*$X28*10)</f>
        <v/>
      </c>
      <c r="Z28" s="17">
        <f>IFERROR(INDEX('PARAMETROS'!$B$16:$B$19,MATCH($D28,'PARAMETROS'!$A$16:$A$19,0)),"")</f>
        <v/>
      </c>
      <c r="AA28" s="16">
        <f>IF(OR($Y28="",$Z28=""),"",$Y28*$Z28)</f>
        <v/>
      </c>
      <c r="AB28" s="18">
        <f>IF($R28="PENDENTE","Definir classe/Kc",IF($W28="","-",IF($W28&gt;0,"Irrigar","Nao irrigar")))</f>
        <v/>
      </c>
      <c r="AC28" s="18">
        <f>IF(OR($W28="",$W28=0),"-",IF($W28&gt;=META_SEM,"Alta",IF($W28&gt;=META_SEM*FRAC_ACOMP,"Media","Baixa")))</f>
        <v/>
      </c>
      <c r="AD28" s="19" t="inlineStr"/>
    </row>
    <row r="29">
      <c r="A29" s="5" t="inlineStr">
        <is>
          <t>25</t>
        </is>
      </c>
      <c r="B29" s="5" t="inlineStr">
        <is>
          <t>Karitel</t>
        </is>
      </c>
      <c r="C29" s="5" t="inlineStr">
        <is>
          <t>Módulo 01</t>
        </is>
      </c>
      <c r="D29" s="5" t="inlineStr">
        <is>
          <t>KM1</t>
        </is>
      </c>
      <c r="E29" s="5" t="inlineStr">
        <is>
          <t>CACAU</t>
        </is>
      </c>
      <c r="F29" s="6" t="inlineStr"/>
      <c r="G29" s="7" t="inlineStr"/>
      <c r="H29" s="20" t="n"/>
      <c r="I29" s="9">
        <f>IF($H29="","",DATA_REF-$H29)</f>
        <v/>
      </c>
      <c r="J29" s="9">
        <f>IF($I29="","",MAX(0,$I29-'PARAMETROS'!$B$12))</f>
        <v/>
      </c>
      <c r="K29" s="10">
        <f>IFERROR(INDEX(KC_CURVAS!$C$5:$C$15,MATCH($E29&amp;"|"&amp;$G29,KC_CURVAS!$K$5:$K$15,0)),IFERROR(INDEX(KC_CURVAS!$C$5:$C$15,MATCH($E29&amp;"|",KC_CURVAS!$K$5:$K$15,0)),""))</f>
        <v/>
      </c>
      <c r="L29" s="10">
        <f>IFERROR(INDEX(KC_CURVAS!$D$5:$D$15,MATCH($E29&amp;"|"&amp;$G29,KC_CURVAS!$K$5:$K$15,0)),IFERROR(INDEX(KC_CURVAS!$D$5:$D$15,MATCH($E29&amp;"|",KC_CURVAS!$K$5:$K$15,0)),""))</f>
        <v/>
      </c>
      <c r="M29" s="10">
        <f>IFERROR(INDEX(KC_CURVAS!$E$5:$E$15,MATCH($E29&amp;"|"&amp;$G29,KC_CURVAS!$K$5:$K$15,0)),IFERROR(INDEX(KC_CURVAS!$E$5:$E$15,MATCH($E29&amp;"|",KC_CURVAS!$K$5:$K$15,0)),""))</f>
        <v/>
      </c>
      <c r="N29" s="10">
        <f>IFERROR(INDEX(KC_CURVAS!$F$5:$F$15,MATCH($E29&amp;"|"&amp;$G29,KC_CURVAS!$K$5:$K$15,0)),IFERROR(INDEX(KC_CURVAS!$F$5:$F$15,MATCH($E29&amp;"|",KC_CURVAS!$K$5:$K$15,0)),""))</f>
        <v/>
      </c>
      <c r="O29" s="11">
        <f>IFERROR(INDEX(KC_CURVAS!$G$5:$G$15,MATCH($E29&amp;"|"&amp;$G29,KC_CURVAS!$K$5:$K$15,0)),IFERROR(INDEX(KC_CURVAS!$G$5:$G$15,MATCH($E29&amp;"|",KC_CURVAS!$K$5:$K$15,0)),""))</f>
        <v/>
      </c>
      <c r="P29" s="11">
        <f>IFERROR(INDEX(KC_CURVAS!$H$5:$H$15,MATCH($E29&amp;"|"&amp;$G29,KC_CURVAS!$K$5:$K$15,0)),IFERROR(INDEX(KC_CURVAS!$H$5:$H$15,MATCH($E29&amp;"|",KC_CURVAS!$K$5:$K$15,0)),""))</f>
        <v/>
      </c>
      <c r="Q29" s="11">
        <f>IFERROR(INDEX(KC_CURVAS!$I$5:$I$15,MATCH($E29&amp;"|"&amp;$G29,KC_CURVAS!$K$5:$K$15,0)),IFERROR(INDEX(KC_CURVAS!$I$5:$I$15,MATCH($E29&amp;"|",KC_CURVAS!$K$5:$K$15,0)),""))</f>
        <v/>
      </c>
      <c r="R29" s="12">
        <f>IF(OR($J29="",$K29=""),"PENDENTE",IF($J29&lt;=$K29,$O29,IF($J29&lt;=$K29+$L29,$O29+($P29-$O29)*($J29-$K29)/$L29,IF($J29&lt;=$K29+$L29+$M29,$P29,IF($J29&lt;=$K29+$L29+$M29+$N29,$P29+($Q29-$P29)*($J29-($K29+$L29+$M29))/$N29,$Q29)))))</f>
        <v/>
      </c>
      <c r="S29" s="13">
        <f>ETO_SEM</f>
        <v/>
      </c>
      <c r="T29" s="14">
        <f>IF(OR($R29="",$R29="PENDENTE"),"",$R29*$S29)</f>
        <v/>
      </c>
      <c r="U29" s="13" t="n">
        <v>0</v>
      </c>
      <c r="V29" s="14">
        <f>IF($T29="","",MAX(0,$T29-N($U29)))</f>
        <v/>
      </c>
      <c r="W29" s="14">
        <f>IF($V29="","",$V29/EF_APLIC)</f>
        <v/>
      </c>
      <c r="X29" s="15" t="n">
        <v>99.7</v>
      </c>
      <c r="Y29" s="16">
        <f>IF(OR($W29="",$X29=""),"",$W29*$X29*10)</f>
        <v/>
      </c>
      <c r="Z29" s="17">
        <f>IFERROR(INDEX('PARAMETROS'!$B$16:$B$19,MATCH($D29,'PARAMETROS'!$A$16:$A$19,0)),"")</f>
        <v/>
      </c>
      <c r="AA29" s="16">
        <f>IF(OR($Y29="",$Z29=""),"",$Y29*$Z29)</f>
        <v/>
      </c>
      <c r="AB29" s="18">
        <f>IF($R29="PENDENTE","Definir classe/Kc",IF($W29="","-",IF($W29&gt;0,"Irrigar","Nao irrigar")))</f>
        <v/>
      </c>
      <c r="AC29" s="18">
        <f>IF(OR($W29="",$W29=0),"-",IF($W29&gt;=META_SEM,"Alta",IF($W29&gt;=META_SEM*FRAC_ACOMP,"Media","Baixa")))</f>
        <v/>
      </c>
      <c r="AD29" s="19" t="inlineStr"/>
    </row>
    <row r="30">
      <c r="A30" s="5" t="inlineStr">
        <is>
          <t>26</t>
        </is>
      </c>
      <c r="B30" s="5" t="inlineStr">
        <is>
          <t>Karitel</t>
        </is>
      </c>
      <c r="C30" s="5" t="inlineStr">
        <is>
          <t>Módulo 01</t>
        </is>
      </c>
      <c r="D30" s="5" t="inlineStr">
        <is>
          <t>KM1</t>
        </is>
      </c>
      <c r="E30" s="5" t="inlineStr">
        <is>
          <t>ALGODÃO</t>
        </is>
      </c>
      <c r="F30" s="6" t="inlineStr">
        <is>
          <t>FM 911 GLTP</t>
        </is>
      </c>
      <c r="G30" s="7" t="inlineStr">
        <is>
          <t>TARDIO</t>
        </is>
      </c>
      <c r="H30" s="8" t="n">
        <v>46041</v>
      </c>
      <c r="I30" s="9">
        <f>IF($H30="","",DATA_REF-$H30)</f>
        <v/>
      </c>
      <c r="J30" s="9">
        <f>IF($I30="","",MAX(0,$I30-'PARAMETROS'!$B$12))</f>
        <v/>
      </c>
      <c r="K30" s="10">
        <f>IFERROR(INDEX(KC_CURVAS!$C$5:$C$15,MATCH($E30&amp;"|"&amp;$G30,KC_CURVAS!$K$5:$K$15,0)),IFERROR(INDEX(KC_CURVAS!$C$5:$C$15,MATCH($E30&amp;"|",KC_CURVAS!$K$5:$K$15,0)),""))</f>
        <v/>
      </c>
      <c r="L30" s="10">
        <f>IFERROR(INDEX(KC_CURVAS!$D$5:$D$15,MATCH($E30&amp;"|"&amp;$G30,KC_CURVAS!$K$5:$K$15,0)),IFERROR(INDEX(KC_CURVAS!$D$5:$D$15,MATCH($E30&amp;"|",KC_CURVAS!$K$5:$K$15,0)),""))</f>
        <v/>
      </c>
      <c r="M30" s="10">
        <f>IFERROR(INDEX(KC_CURVAS!$E$5:$E$15,MATCH($E30&amp;"|"&amp;$G30,KC_CURVAS!$K$5:$K$15,0)),IFERROR(INDEX(KC_CURVAS!$E$5:$E$15,MATCH($E30&amp;"|",KC_CURVAS!$K$5:$K$15,0)),""))</f>
        <v/>
      </c>
      <c r="N30" s="10">
        <f>IFERROR(INDEX(KC_CURVAS!$F$5:$F$15,MATCH($E30&amp;"|"&amp;$G30,KC_CURVAS!$K$5:$K$15,0)),IFERROR(INDEX(KC_CURVAS!$F$5:$F$15,MATCH($E30&amp;"|",KC_CURVAS!$K$5:$K$15,0)),""))</f>
        <v/>
      </c>
      <c r="O30" s="11">
        <f>IFERROR(INDEX(KC_CURVAS!$G$5:$G$15,MATCH($E30&amp;"|"&amp;$G30,KC_CURVAS!$K$5:$K$15,0)),IFERROR(INDEX(KC_CURVAS!$G$5:$G$15,MATCH($E30&amp;"|",KC_CURVAS!$K$5:$K$15,0)),""))</f>
        <v/>
      </c>
      <c r="P30" s="11">
        <f>IFERROR(INDEX(KC_CURVAS!$H$5:$H$15,MATCH($E30&amp;"|"&amp;$G30,KC_CURVAS!$K$5:$K$15,0)),IFERROR(INDEX(KC_CURVAS!$H$5:$H$15,MATCH($E30&amp;"|",KC_CURVAS!$K$5:$K$15,0)),""))</f>
        <v/>
      </c>
      <c r="Q30" s="11">
        <f>IFERROR(INDEX(KC_CURVAS!$I$5:$I$15,MATCH($E30&amp;"|"&amp;$G30,KC_CURVAS!$K$5:$K$15,0)),IFERROR(INDEX(KC_CURVAS!$I$5:$I$15,MATCH($E30&amp;"|",KC_CURVAS!$K$5:$K$15,0)),""))</f>
        <v/>
      </c>
      <c r="R30" s="12">
        <f>IF(OR($J30="",$K30=""),"PENDENTE",IF($J30&lt;=$K30,$O30,IF($J30&lt;=$K30+$L30,$O30+($P30-$O30)*($J30-$K30)/$L30,IF($J30&lt;=$K30+$L30+$M30,$P30,IF($J30&lt;=$K30+$L30+$M30+$N30,$P30+($Q30-$P30)*($J30-($K30+$L30+$M30))/$N30,$Q30)))))</f>
        <v/>
      </c>
      <c r="S30" s="13">
        <f>ETO_SEM</f>
        <v/>
      </c>
      <c r="T30" s="14">
        <f>IF(OR($R30="",$R30="PENDENTE"),"",$R30*$S30)</f>
        <v/>
      </c>
      <c r="U30" s="13" t="n">
        <v>0</v>
      </c>
      <c r="V30" s="14">
        <f>IF($T30="","",MAX(0,$T30-N($U30)))</f>
        <v/>
      </c>
      <c r="W30" s="14">
        <f>IF($V30="","",$V30/EF_APLIC)</f>
        <v/>
      </c>
      <c r="X30" s="15" t="n">
        <v>150.01</v>
      </c>
      <c r="Y30" s="16">
        <f>IF(OR($W30="",$X30=""),"",$W30*$X30*10)</f>
        <v/>
      </c>
      <c r="Z30" s="17">
        <f>IFERROR(INDEX('PARAMETROS'!$B$16:$B$19,MATCH($D30,'PARAMETROS'!$A$16:$A$19,0)),"")</f>
        <v/>
      </c>
      <c r="AA30" s="16">
        <f>IF(OR($Y30="",$Z30=""),"",$Y30*$Z30)</f>
        <v/>
      </c>
      <c r="AB30" s="18">
        <f>IF($R30="PENDENTE","Definir classe/Kc",IF($W30="","-",IF($W30&gt;0,"Irrigar","Nao irrigar")))</f>
        <v/>
      </c>
      <c r="AC30" s="18">
        <f>IF(OR($W30="",$W30=0),"-",IF($W30&gt;=META_SEM,"Alta",IF($W30&gt;=META_SEM*FRAC_ACOMP,"Media","Baixa")))</f>
        <v/>
      </c>
      <c r="AD30" s="19" t="inlineStr"/>
    </row>
    <row r="31">
      <c r="A31" s="5" t="inlineStr">
        <is>
          <t>27</t>
        </is>
      </c>
      <c r="B31" s="5" t="inlineStr">
        <is>
          <t>Karitel</t>
        </is>
      </c>
      <c r="C31" s="5" t="inlineStr">
        <is>
          <t>Módulo 01</t>
        </is>
      </c>
      <c r="D31" s="5" t="inlineStr">
        <is>
          <t>KM1</t>
        </is>
      </c>
      <c r="E31" s="5" t="inlineStr">
        <is>
          <t>CACAU</t>
        </is>
      </c>
      <c r="F31" s="6" t="inlineStr"/>
      <c r="G31" s="7" t="inlineStr"/>
      <c r="H31" s="20" t="n"/>
      <c r="I31" s="9">
        <f>IF($H31="","",DATA_REF-$H31)</f>
        <v/>
      </c>
      <c r="J31" s="9">
        <f>IF($I31="","",MAX(0,$I31-'PARAMETROS'!$B$12))</f>
        <v/>
      </c>
      <c r="K31" s="10">
        <f>IFERROR(INDEX(KC_CURVAS!$C$5:$C$15,MATCH($E31&amp;"|"&amp;$G31,KC_CURVAS!$K$5:$K$15,0)),IFERROR(INDEX(KC_CURVAS!$C$5:$C$15,MATCH($E31&amp;"|",KC_CURVAS!$K$5:$K$15,0)),""))</f>
        <v/>
      </c>
      <c r="L31" s="10">
        <f>IFERROR(INDEX(KC_CURVAS!$D$5:$D$15,MATCH($E31&amp;"|"&amp;$G31,KC_CURVAS!$K$5:$K$15,0)),IFERROR(INDEX(KC_CURVAS!$D$5:$D$15,MATCH($E31&amp;"|",KC_CURVAS!$K$5:$K$15,0)),""))</f>
        <v/>
      </c>
      <c r="M31" s="10">
        <f>IFERROR(INDEX(KC_CURVAS!$E$5:$E$15,MATCH($E31&amp;"|"&amp;$G31,KC_CURVAS!$K$5:$K$15,0)),IFERROR(INDEX(KC_CURVAS!$E$5:$E$15,MATCH($E31&amp;"|",KC_CURVAS!$K$5:$K$15,0)),""))</f>
        <v/>
      </c>
      <c r="N31" s="10">
        <f>IFERROR(INDEX(KC_CURVAS!$F$5:$F$15,MATCH($E31&amp;"|"&amp;$G31,KC_CURVAS!$K$5:$K$15,0)),IFERROR(INDEX(KC_CURVAS!$F$5:$F$15,MATCH($E31&amp;"|",KC_CURVAS!$K$5:$K$15,0)),""))</f>
        <v/>
      </c>
      <c r="O31" s="11">
        <f>IFERROR(INDEX(KC_CURVAS!$G$5:$G$15,MATCH($E31&amp;"|"&amp;$G31,KC_CURVAS!$K$5:$K$15,0)),IFERROR(INDEX(KC_CURVAS!$G$5:$G$15,MATCH($E31&amp;"|",KC_CURVAS!$K$5:$K$15,0)),""))</f>
        <v/>
      </c>
      <c r="P31" s="11">
        <f>IFERROR(INDEX(KC_CURVAS!$H$5:$H$15,MATCH($E31&amp;"|"&amp;$G31,KC_CURVAS!$K$5:$K$15,0)),IFERROR(INDEX(KC_CURVAS!$H$5:$H$15,MATCH($E31&amp;"|",KC_CURVAS!$K$5:$K$15,0)),""))</f>
        <v/>
      </c>
      <c r="Q31" s="11">
        <f>IFERROR(INDEX(KC_CURVAS!$I$5:$I$15,MATCH($E31&amp;"|"&amp;$G31,KC_CURVAS!$K$5:$K$15,0)),IFERROR(INDEX(KC_CURVAS!$I$5:$I$15,MATCH($E31&amp;"|",KC_CURVAS!$K$5:$K$15,0)),""))</f>
        <v/>
      </c>
      <c r="R31" s="12">
        <f>IF(OR($J31="",$K31=""),"PENDENTE",IF($J31&lt;=$K31,$O31,IF($J31&lt;=$K31+$L31,$O31+($P31-$O31)*($J31-$K31)/$L31,IF($J31&lt;=$K31+$L31+$M31,$P31,IF($J31&lt;=$K31+$L31+$M31+$N31,$P31+($Q31-$P31)*($J31-($K31+$L31+$M31))/$N31,$Q31)))))</f>
        <v/>
      </c>
      <c r="S31" s="13">
        <f>ETO_SEM</f>
        <v/>
      </c>
      <c r="T31" s="14">
        <f>IF(OR($R31="",$R31="PENDENTE"),"",$R31*$S31)</f>
        <v/>
      </c>
      <c r="U31" s="13" t="n">
        <v>0</v>
      </c>
      <c r="V31" s="14">
        <f>IF($T31="","",MAX(0,$T31-N($U31)))</f>
        <v/>
      </c>
      <c r="W31" s="14">
        <f>IF($V31="","",$V31/EF_APLIC)</f>
        <v/>
      </c>
      <c r="X31" s="15" t="n">
        <v>99.14</v>
      </c>
      <c r="Y31" s="16">
        <f>IF(OR($W31="",$X31=""),"",$W31*$X31*10)</f>
        <v/>
      </c>
      <c r="Z31" s="17">
        <f>IFERROR(INDEX('PARAMETROS'!$B$16:$B$19,MATCH($D31,'PARAMETROS'!$A$16:$A$19,0)),"")</f>
        <v/>
      </c>
      <c r="AA31" s="16">
        <f>IF(OR($Y31="",$Z31=""),"",$Y31*$Z31)</f>
        <v/>
      </c>
      <c r="AB31" s="18">
        <f>IF($R31="PENDENTE","Definir classe/Kc",IF($W31="","-",IF($W31&gt;0,"Irrigar","Nao irrigar")))</f>
        <v/>
      </c>
      <c r="AC31" s="18">
        <f>IF(OR($W31="",$W31=0),"-",IF($W31&gt;=META_SEM,"Alta",IF($W31&gt;=META_SEM*FRAC_ACOMP,"Media","Baixa")))</f>
        <v/>
      </c>
      <c r="AD31" s="19" t="inlineStr"/>
    </row>
    <row r="32">
      <c r="A32" s="5" t="inlineStr">
        <is>
          <t>27</t>
        </is>
      </c>
      <c r="B32" s="5" t="inlineStr">
        <is>
          <t>Karitel</t>
        </is>
      </c>
      <c r="C32" s="5" t="inlineStr">
        <is>
          <t>Módulo 01</t>
        </is>
      </c>
      <c r="D32" s="5" t="inlineStr">
        <is>
          <t>KM1</t>
        </is>
      </c>
      <c r="E32" s="5" t="inlineStr">
        <is>
          <t>CACAU</t>
        </is>
      </c>
      <c r="F32" s="6" t="inlineStr"/>
      <c r="G32" s="7" t="inlineStr"/>
      <c r="H32" s="20" t="n"/>
      <c r="I32" s="9">
        <f>IF($H32="","",DATA_REF-$H32)</f>
        <v/>
      </c>
      <c r="J32" s="9">
        <f>IF($I32="","",MAX(0,$I32-'PARAMETROS'!$B$12))</f>
        <v/>
      </c>
      <c r="K32" s="10">
        <f>IFERROR(INDEX(KC_CURVAS!$C$5:$C$15,MATCH($E32&amp;"|"&amp;$G32,KC_CURVAS!$K$5:$K$15,0)),IFERROR(INDEX(KC_CURVAS!$C$5:$C$15,MATCH($E32&amp;"|",KC_CURVAS!$K$5:$K$15,0)),""))</f>
        <v/>
      </c>
      <c r="L32" s="10">
        <f>IFERROR(INDEX(KC_CURVAS!$D$5:$D$15,MATCH($E32&amp;"|"&amp;$G32,KC_CURVAS!$K$5:$K$15,0)),IFERROR(INDEX(KC_CURVAS!$D$5:$D$15,MATCH($E32&amp;"|",KC_CURVAS!$K$5:$K$15,0)),""))</f>
        <v/>
      </c>
      <c r="M32" s="10">
        <f>IFERROR(INDEX(KC_CURVAS!$E$5:$E$15,MATCH($E32&amp;"|"&amp;$G32,KC_CURVAS!$K$5:$K$15,0)),IFERROR(INDEX(KC_CURVAS!$E$5:$E$15,MATCH($E32&amp;"|",KC_CURVAS!$K$5:$K$15,0)),""))</f>
        <v/>
      </c>
      <c r="N32" s="10">
        <f>IFERROR(INDEX(KC_CURVAS!$F$5:$F$15,MATCH($E32&amp;"|"&amp;$G32,KC_CURVAS!$K$5:$K$15,0)),IFERROR(INDEX(KC_CURVAS!$F$5:$F$15,MATCH($E32&amp;"|",KC_CURVAS!$K$5:$K$15,0)),""))</f>
        <v/>
      </c>
      <c r="O32" s="11">
        <f>IFERROR(INDEX(KC_CURVAS!$G$5:$G$15,MATCH($E32&amp;"|"&amp;$G32,KC_CURVAS!$K$5:$K$15,0)),IFERROR(INDEX(KC_CURVAS!$G$5:$G$15,MATCH($E32&amp;"|",KC_CURVAS!$K$5:$K$15,0)),""))</f>
        <v/>
      </c>
      <c r="P32" s="11">
        <f>IFERROR(INDEX(KC_CURVAS!$H$5:$H$15,MATCH($E32&amp;"|"&amp;$G32,KC_CURVAS!$K$5:$K$15,0)),IFERROR(INDEX(KC_CURVAS!$H$5:$H$15,MATCH($E32&amp;"|",KC_CURVAS!$K$5:$K$15,0)),""))</f>
        <v/>
      </c>
      <c r="Q32" s="11">
        <f>IFERROR(INDEX(KC_CURVAS!$I$5:$I$15,MATCH($E32&amp;"|"&amp;$G32,KC_CURVAS!$K$5:$K$15,0)),IFERROR(INDEX(KC_CURVAS!$I$5:$I$15,MATCH($E32&amp;"|",KC_CURVAS!$K$5:$K$15,0)),""))</f>
        <v/>
      </c>
      <c r="R32" s="12">
        <f>IF(OR($J32="",$K32=""),"PENDENTE",IF($J32&lt;=$K32,$O32,IF($J32&lt;=$K32+$L32,$O32+($P32-$O32)*($J32-$K32)/$L32,IF($J32&lt;=$K32+$L32+$M32,$P32,IF($J32&lt;=$K32+$L32+$M32+$N32,$P32+($Q32-$P32)*($J32-($K32+$L32+$M32))/$N32,$Q32)))))</f>
        <v/>
      </c>
      <c r="S32" s="13">
        <f>ETO_SEM</f>
        <v/>
      </c>
      <c r="T32" s="14">
        <f>IF(OR($R32="",$R32="PENDENTE"),"",$R32*$S32)</f>
        <v/>
      </c>
      <c r="U32" s="13" t="n">
        <v>0</v>
      </c>
      <c r="V32" s="14">
        <f>IF($T32="","",MAX(0,$T32-N($U32)))</f>
        <v/>
      </c>
      <c r="W32" s="14">
        <f>IF($V32="","",$V32/EF_APLIC)</f>
        <v/>
      </c>
      <c r="X32" s="15" t="n">
        <v>99.14</v>
      </c>
      <c r="Y32" s="16">
        <f>IF(OR($W32="",$X32=""),"",$W32*$X32*10)</f>
        <v/>
      </c>
      <c r="Z32" s="17">
        <f>IFERROR(INDEX('PARAMETROS'!$B$16:$B$19,MATCH($D32,'PARAMETROS'!$A$16:$A$19,0)),"")</f>
        <v/>
      </c>
      <c r="AA32" s="16">
        <f>IF(OR($Y32="",$Z32=""),"",$Y32*$Z32)</f>
        <v/>
      </c>
      <c r="AB32" s="18">
        <f>IF($R32="PENDENTE","Definir classe/Kc",IF($W32="","-",IF($W32&gt;0,"Irrigar","Nao irrigar")))</f>
        <v/>
      </c>
      <c r="AC32" s="18">
        <f>IF(OR($W32="",$W32=0),"-",IF($W32&gt;=META_SEM,"Alta",IF($W32&gt;=META_SEM*FRAC_ACOMP,"Media","Baixa")))</f>
        <v/>
      </c>
      <c r="AD32" s="19" t="inlineStr"/>
    </row>
    <row r="33">
      <c r="A33" s="5" t="inlineStr">
        <is>
          <t>27</t>
        </is>
      </c>
      <c r="B33" s="5" t="inlineStr">
        <is>
          <t>Karitel</t>
        </is>
      </c>
      <c r="C33" s="5" t="inlineStr">
        <is>
          <t>Módulo 01</t>
        </is>
      </c>
      <c r="D33" s="5" t="inlineStr">
        <is>
          <t>KM1</t>
        </is>
      </c>
      <c r="E33" s="5" t="inlineStr">
        <is>
          <t>CACAU</t>
        </is>
      </c>
      <c r="F33" s="6" t="inlineStr"/>
      <c r="G33" s="7" t="inlineStr"/>
      <c r="H33" s="20" t="n"/>
      <c r="I33" s="9">
        <f>IF($H33="","",DATA_REF-$H33)</f>
        <v/>
      </c>
      <c r="J33" s="9">
        <f>IF($I33="","",MAX(0,$I33-'PARAMETROS'!$B$12))</f>
        <v/>
      </c>
      <c r="K33" s="10">
        <f>IFERROR(INDEX(KC_CURVAS!$C$5:$C$15,MATCH($E33&amp;"|"&amp;$G33,KC_CURVAS!$K$5:$K$15,0)),IFERROR(INDEX(KC_CURVAS!$C$5:$C$15,MATCH($E33&amp;"|",KC_CURVAS!$K$5:$K$15,0)),""))</f>
        <v/>
      </c>
      <c r="L33" s="10">
        <f>IFERROR(INDEX(KC_CURVAS!$D$5:$D$15,MATCH($E33&amp;"|"&amp;$G33,KC_CURVAS!$K$5:$K$15,0)),IFERROR(INDEX(KC_CURVAS!$D$5:$D$15,MATCH($E33&amp;"|",KC_CURVAS!$K$5:$K$15,0)),""))</f>
        <v/>
      </c>
      <c r="M33" s="10">
        <f>IFERROR(INDEX(KC_CURVAS!$E$5:$E$15,MATCH($E33&amp;"|"&amp;$G33,KC_CURVAS!$K$5:$K$15,0)),IFERROR(INDEX(KC_CURVAS!$E$5:$E$15,MATCH($E33&amp;"|",KC_CURVAS!$K$5:$K$15,0)),""))</f>
        <v/>
      </c>
      <c r="N33" s="10">
        <f>IFERROR(INDEX(KC_CURVAS!$F$5:$F$15,MATCH($E33&amp;"|"&amp;$G33,KC_CURVAS!$K$5:$K$15,0)),IFERROR(INDEX(KC_CURVAS!$F$5:$F$15,MATCH($E33&amp;"|",KC_CURVAS!$K$5:$K$15,0)),""))</f>
        <v/>
      </c>
      <c r="O33" s="11">
        <f>IFERROR(INDEX(KC_CURVAS!$G$5:$G$15,MATCH($E33&amp;"|"&amp;$G33,KC_CURVAS!$K$5:$K$15,0)),IFERROR(INDEX(KC_CURVAS!$G$5:$G$15,MATCH($E33&amp;"|",KC_CURVAS!$K$5:$K$15,0)),""))</f>
        <v/>
      </c>
      <c r="P33" s="11">
        <f>IFERROR(INDEX(KC_CURVAS!$H$5:$H$15,MATCH($E33&amp;"|"&amp;$G33,KC_CURVAS!$K$5:$K$15,0)),IFERROR(INDEX(KC_CURVAS!$H$5:$H$15,MATCH($E33&amp;"|",KC_CURVAS!$K$5:$K$15,0)),""))</f>
        <v/>
      </c>
      <c r="Q33" s="11">
        <f>IFERROR(INDEX(KC_CURVAS!$I$5:$I$15,MATCH($E33&amp;"|"&amp;$G33,KC_CURVAS!$K$5:$K$15,0)),IFERROR(INDEX(KC_CURVAS!$I$5:$I$15,MATCH($E33&amp;"|",KC_CURVAS!$K$5:$K$15,0)),""))</f>
        <v/>
      </c>
      <c r="R33" s="12">
        <f>IF(OR($J33="",$K33=""),"PENDENTE",IF($J33&lt;=$K33,$O33,IF($J33&lt;=$K33+$L33,$O33+($P33-$O33)*($J33-$K33)/$L33,IF($J33&lt;=$K33+$L33+$M33,$P33,IF($J33&lt;=$K33+$L33+$M33+$N33,$P33+($Q33-$P33)*($J33-($K33+$L33+$M33))/$N33,$Q33)))))</f>
        <v/>
      </c>
      <c r="S33" s="13">
        <f>ETO_SEM</f>
        <v/>
      </c>
      <c r="T33" s="14">
        <f>IF(OR($R33="",$R33="PENDENTE"),"",$R33*$S33)</f>
        <v/>
      </c>
      <c r="U33" s="13" t="n">
        <v>0</v>
      </c>
      <c r="V33" s="14">
        <f>IF($T33="","",MAX(0,$T33-N($U33)))</f>
        <v/>
      </c>
      <c r="W33" s="14">
        <f>IF($V33="","",$V33/EF_APLIC)</f>
        <v/>
      </c>
      <c r="X33" s="15" t="n">
        <v>99.14</v>
      </c>
      <c r="Y33" s="16">
        <f>IF(OR($W33="",$X33=""),"",$W33*$X33*10)</f>
        <v/>
      </c>
      <c r="Z33" s="17">
        <f>IFERROR(INDEX('PARAMETROS'!$B$16:$B$19,MATCH($D33,'PARAMETROS'!$A$16:$A$19,0)),"")</f>
        <v/>
      </c>
      <c r="AA33" s="16">
        <f>IF(OR($Y33="",$Z33=""),"",$Y33*$Z33)</f>
        <v/>
      </c>
      <c r="AB33" s="18">
        <f>IF($R33="PENDENTE","Definir classe/Kc",IF($W33="","-",IF($W33&gt;0,"Irrigar","Nao irrigar")))</f>
        <v/>
      </c>
      <c r="AC33" s="18">
        <f>IF(OR($W33="",$W33=0),"-",IF($W33&gt;=META_SEM,"Alta",IF($W33&gt;=META_SEM*FRAC_ACOMP,"Media","Baixa")))</f>
        <v/>
      </c>
      <c r="AD33" s="19" t="inlineStr"/>
    </row>
    <row r="34">
      <c r="A34" s="5" t="inlineStr">
        <is>
          <t>27</t>
        </is>
      </c>
      <c r="B34" s="5" t="inlineStr">
        <is>
          <t>Karitel</t>
        </is>
      </c>
      <c r="C34" s="5" t="inlineStr">
        <is>
          <t>Módulo 01</t>
        </is>
      </c>
      <c r="D34" s="5" t="inlineStr">
        <is>
          <t>KM1</t>
        </is>
      </c>
      <c r="E34" s="5" t="inlineStr">
        <is>
          <t>CACAU</t>
        </is>
      </c>
      <c r="F34" s="6" t="inlineStr"/>
      <c r="G34" s="7" t="inlineStr"/>
      <c r="H34" s="20" t="n"/>
      <c r="I34" s="9">
        <f>IF($H34="","",DATA_REF-$H34)</f>
        <v/>
      </c>
      <c r="J34" s="9">
        <f>IF($I34="","",MAX(0,$I34-'PARAMETROS'!$B$12))</f>
        <v/>
      </c>
      <c r="K34" s="10">
        <f>IFERROR(INDEX(KC_CURVAS!$C$5:$C$15,MATCH($E34&amp;"|"&amp;$G34,KC_CURVAS!$K$5:$K$15,0)),IFERROR(INDEX(KC_CURVAS!$C$5:$C$15,MATCH($E34&amp;"|",KC_CURVAS!$K$5:$K$15,0)),""))</f>
        <v/>
      </c>
      <c r="L34" s="10">
        <f>IFERROR(INDEX(KC_CURVAS!$D$5:$D$15,MATCH($E34&amp;"|"&amp;$G34,KC_CURVAS!$K$5:$K$15,0)),IFERROR(INDEX(KC_CURVAS!$D$5:$D$15,MATCH($E34&amp;"|",KC_CURVAS!$K$5:$K$15,0)),""))</f>
        <v/>
      </c>
      <c r="M34" s="10">
        <f>IFERROR(INDEX(KC_CURVAS!$E$5:$E$15,MATCH($E34&amp;"|"&amp;$G34,KC_CURVAS!$K$5:$K$15,0)),IFERROR(INDEX(KC_CURVAS!$E$5:$E$15,MATCH($E34&amp;"|",KC_CURVAS!$K$5:$K$15,0)),""))</f>
        <v/>
      </c>
      <c r="N34" s="10">
        <f>IFERROR(INDEX(KC_CURVAS!$F$5:$F$15,MATCH($E34&amp;"|"&amp;$G34,KC_CURVAS!$K$5:$K$15,0)),IFERROR(INDEX(KC_CURVAS!$F$5:$F$15,MATCH($E34&amp;"|",KC_CURVAS!$K$5:$K$15,0)),""))</f>
        <v/>
      </c>
      <c r="O34" s="11">
        <f>IFERROR(INDEX(KC_CURVAS!$G$5:$G$15,MATCH($E34&amp;"|"&amp;$G34,KC_CURVAS!$K$5:$K$15,0)),IFERROR(INDEX(KC_CURVAS!$G$5:$G$15,MATCH($E34&amp;"|",KC_CURVAS!$K$5:$K$15,0)),""))</f>
        <v/>
      </c>
      <c r="P34" s="11">
        <f>IFERROR(INDEX(KC_CURVAS!$H$5:$H$15,MATCH($E34&amp;"|"&amp;$G34,KC_CURVAS!$K$5:$K$15,0)),IFERROR(INDEX(KC_CURVAS!$H$5:$H$15,MATCH($E34&amp;"|",KC_CURVAS!$K$5:$K$15,0)),""))</f>
        <v/>
      </c>
      <c r="Q34" s="11">
        <f>IFERROR(INDEX(KC_CURVAS!$I$5:$I$15,MATCH($E34&amp;"|"&amp;$G34,KC_CURVAS!$K$5:$K$15,0)),IFERROR(INDEX(KC_CURVAS!$I$5:$I$15,MATCH($E34&amp;"|",KC_CURVAS!$K$5:$K$15,0)),""))</f>
        <v/>
      </c>
      <c r="R34" s="12">
        <f>IF(OR($J34="",$K34=""),"PENDENTE",IF($J34&lt;=$K34,$O34,IF($J34&lt;=$K34+$L34,$O34+($P34-$O34)*($J34-$K34)/$L34,IF($J34&lt;=$K34+$L34+$M34,$P34,IF($J34&lt;=$K34+$L34+$M34+$N34,$P34+($Q34-$P34)*($J34-($K34+$L34+$M34))/$N34,$Q34)))))</f>
        <v/>
      </c>
      <c r="S34" s="13">
        <f>ETO_SEM</f>
        <v/>
      </c>
      <c r="T34" s="14">
        <f>IF(OR($R34="",$R34="PENDENTE"),"",$R34*$S34)</f>
        <v/>
      </c>
      <c r="U34" s="13" t="n">
        <v>0</v>
      </c>
      <c r="V34" s="14">
        <f>IF($T34="","",MAX(0,$T34-N($U34)))</f>
        <v/>
      </c>
      <c r="W34" s="14">
        <f>IF($V34="","",$V34/EF_APLIC)</f>
        <v/>
      </c>
      <c r="X34" s="15" t="n">
        <v>99.14</v>
      </c>
      <c r="Y34" s="16">
        <f>IF(OR($W34="",$X34=""),"",$W34*$X34*10)</f>
        <v/>
      </c>
      <c r="Z34" s="17">
        <f>IFERROR(INDEX('PARAMETROS'!$B$16:$B$19,MATCH($D34,'PARAMETROS'!$A$16:$A$19,0)),"")</f>
        <v/>
      </c>
      <c r="AA34" s="16">
        <f>IF(OR($Y34="",$Z34=""),"",$Y34*$Z34)</f>
        <v/>
      </c>
      <c r="AB34" s="18">
        <f>IF($R34="PENDENTE","Definir classe/Kc",IF($W34="","-",IF($W34&gt;0,"Irrigar","Nao irrigar")))</f>
        <v/>
      </c>
      <c r="AC34" s="18">
        <f>IF(OR($W34="",$W34=0),"-",IF($W34&gt;=META_SEM,"Alta",IF($W34&gt;=META_SEM*FRAC_ACOMP,"Media","Baixa")))</f>
        <v/>
      </c>
      <c r="AD34" s="19" t="inlineStr"/>
    </row>
    <row r="35">
      <c r="A35" s="5" t="inlineStr">
        <is>
          <t>29</t>
        </is>
      </c>
      <c r="B35" s="5" t="inlineStr">
        <is>
          <t>Karitel</t>
        </is>
      </c>
      <c r="C35" s="5" t="inlineStr">
        <is>
          <t>Módulo 01</t>
        </is>
      </c>
      <c r="D35" s="5" t="inlineStr">
        <is>
          <t>KM1</t>
        </is>
      </c>
      <c r="E35" s="5" t="inlineStr">
        <is>
          <t>CACAU</t>
        </is>
      </c>
      <c r="F35" s="6" t="inlineStr"/>
      <c r="G35" s="7" t="inlineStr"/>
      <c r="H35" s="20" t="n"/>
      <c r="I35" s="9">
        <f>IF($H35="","",DATA_REF-$H35)</f>
        <v/>
      </c>
      <c r="J35" s="9">
        <f>IF($I35="","",MAX(0,$I35-'PARAMETROS'!$B$12))</f>
        <v/>
      </c>
      <c r="K35" s="10">
        <f>IFERROR(INDEX(KC_CURVAS!$C$5:$C$15,MATCH($E35&amp;"|"&amp;$G35,KC_CURVAS!$K$5:$K$15,0)),IFERROR(INDEX(KC_CURVAS!$C$5:$C$15,MATCH($E35&amp;"|",KC_CURVAS!$K$5:$K$15,0)),""))</f>
        <v/>
      </c>
      <c r="L35" s="10">
        <f>IFERROR(INDEX(KC_CURVAS!$D$5:$D$15,MATCH($E35&amp;"|"&amp;$G35,KC_CURVAS!$K$5:$K$15,0)),IFERROR(INDEX(KC_CURVAS!$D$5:$D$15,MATCH($E35&amp;"|",KC_CURVAS!$K$5:$K$15,0)),""))</f>
        <v/>
      </c>
      <c r="M35" s="10">
        <f>IFERROR(INDEX(KC_CURVAS!$E$5:$E$15,MATCH($E35&amp;"|"&amp;$G35,KC_CURVAS!$K$5:$K$15,0)),IFERROR(INDEX(KC_CURVAS!$E$5:$E$15,MATCH($E35&amp;"|",KC_CURVAS!$K$5:$K$15,0)),""))</f>
        <v/>
      </c>
      <c r="N35" s="10">
        <f>IFERROR(INDEX(KC_CURVAS!$F$5:$F$15,MATCH($E35&amp;"|"&amp;$G35,KC_CURVAS!$K$5:$K$15,0)),IFERROR(INDEX(KC_CURVAS!$F$5:$F$15,MATCH($E35&amp;"|",KC_CURVAS!$K$5:$K$15,0)),""))</f>
        <v/>
      </c>
      <c r="O35" s="11">
        <f>IFERROR(INDEX(KC_CURVAS!$G$5:$G$15,MATCH($E35&amp;"|"&amp;$G35,KC_CURVAS!$K$5:$K$15,0)),IFERROR(INDEX(KC_CURVAS!$G$5:$G$15,MATCH($E35&amp;"|",KC_CURVAS!$K$5:$K$15,0)),""))</f>
        <v/>
      </c>
      <c r="P35" s="11">
        <f>IFERROR(INDEX(KC_CURVAS!$H$5:$H$15,MATCH($E35&amp;"|"&amp;$G35,KC_CURVAS!$K$5:$K$15,0)),IFERROR(INDEX(KC_CURVAS!$H$5:$H$15,MATCH($E35&amp;"|",KC_CURVAS!$K$5:$K$15,0)),""))</f>
        <v/>
      </c>
      <c r="Q35" s="11">
        <f>IFERROR(INDEX(KC_CURVAS!$I$5:$I$15,MATCH($E35&amp;"|"&amp;$G35,KC_CURVAS!$K$5:$K$15,0)),IFERROR(INDEX(KC_CURVAS!$I$5:$I$15,MATCH($E35&amp;"|",KC_CURVAS!$K$5:$K$15,0)),""))</f>
        <v/>
      </c>
      <c r="R35" s="12">
        <f>IF(OR($J35="",$K35=""),"PENDENTE",IF($J35&lt;=$K35,$O35,IF($J35&lt;=$K35+$L35,$O35+($P35-$O35)*($J35-$K35)/$L35,IF($J35&lt;=$K35+$L35+$M35,$P35,IF($J35&lt;=$K35+$L35+$M35+$N35,$P35+($Q35-$P35)*($J35-($K35+$L35+$M35))/$N35,$Q35)))))</f>
        <v/>
      </c>
      <c r="S35" s="13">
        <f>ETO_SEM</f>
        <v/>
      </c>
      <c r="T35" s="14">
        <f>IF(OR($R35="",$R35="PENDENTE"),"",$R35*$S35)</f>
        <v/>
      </c>
      <c r="U35" s="13" t="n">
        <v>0</v>
      </c>
      <c r="V35" s="14">
        <f>IF($T35="","",MAX(0,$T35-N($U35)))</f>
        <v/>
      </c>
      <c r="W35" s="14">
        <f>IF($V35="","",$V35/EF_APLIC)</f>
        <v/>
      </c>
      <c r="X35" s="15" t="n">
        <v>78.55</v>
      </c>
      <c r="Y35" s="16">
        <f>IF(OR($W35="",$X35=""),"",$W35*$X35*10)</f>
        <v/>
      </c>
      <c r="Z35" s="17">
        <f>IFERROR(INDEX('PARAMETROS'!$B$16:$B$19,MATCH($D35,'PARAMETROS'!$A$16:$A$19,0)),"")</f>
        <v/>
      </c>
      <c r="AA35" s="16">
        <f>IF(OR($Y35="",$Z35=""),"",$Y35*$Z35)</f>
        <v/>
      </c>
      <c r="AB35" s="18">
        <f>IF($R35="PENDENTE","Definir classe/Kc",IF($W35="","-",IF($W35&gt;0,"Irrigar","Nao irrigar")))</f>
        <v/>
      </c>
      <c r="AC35" s="18">
        <f>IF(OR($W35="",$W35=0),"-",IF($W35&gt;=META_SEM,"Alta",IF($W35&gt;=META_SEM*FRAC_ACOMP,"Media","Baixa")))</f>
        <v/>
      </c>
      <c r="AD35" s="19" t="inlineStr"/>
    </row>
    <row r="36">
      <c r="A36" s="5" t="inlineStr">
        <is>
          <t>29</t>
        </is>
      </c>
      <c r="B36" s="5" t="inlineStr">
        <is>
          <t>Karitel</t>
        </is>
      </c>
      <c r="C36" s="5" t="inlineStr">
        <is>
          <t>Módulo 01</t>
        </is>
      </c>
      <c r="D36" s="5" t="inlineStr">
        <is>
          <t>KM1</t>
        </is>
      </c>
      <c r="E36" s="5" t="inlineStr">
        <is>
          <t>CACAU</t>
        </is>
      </c>
      <c r="F36" s="6" t="inlineStr"/>
      <c r="G36" s="7" t="inlineStr"/>
      <c r="H36" s="20" t="n"/>
      <c r="I36" s="9">
        <f>IF($H36="","",DATA_REF-$H36)</f>
        <v/>
      </c>
      <c r="J36" s="9">
        <f>IF($I36="","",MAX(0,$I36-'PARAMETROS'!$B$12))</f>
        <v/>
      </c>
      <c r="K36" s="10">
        <f>IFERROR(INDEX(KC_CURVAS!$C$5:$C$15,MATCH($E36&amp;"|"&amp;$G36,KC_CURVAS!$K$5:$K$15,0)),IFERROR(INDEX(KC_CURVAS!$C$5:$C$15,MATCH($E36&amp;"|",KC_CURVAS!$K$5:$K$15,0)),""))</f>
        <v/>
      </c>
      <c r="L36" s="10">
        <f>IFERROR(INDEX(KC_CURVAS!$D$5:$D$15,MATCH($E36&amp;"|"&amp;$G36,KC_CURVAS!$K$5:$K$15,0)),IFERROR(INDEX(KC_CURVAS!$D$5:$D$15,MATCH($E36&amp;"|",KC_CURVAS!$K$5:$K$15,0)),""))</f>
        <v/>
      </c>
      <c r="M36" s="10">
        <f>IFERROR(INDEX(KC_CURVAS!$E$5:$E$15,MATCH($E36&amp;"|"&amp;$G36,KC_CURVAS!$K$5:$K$15,0)),IFERROR(INDEX(KC_CURVAS!$E$5:$E$15,MATCH($E36&amp;"|",KC_CURVAS!$K$5:$K$15,0)),""))</f>
        <v/>
      </c>
      <c r="N36" s="10">
        <f>IFERROR(INDEX(KC_CURVAS!$F$5:$F$15,MATCH($E36&amp;"|"&amp;$G36,KC_CURVAS!$K$5:$K$15,0)),IFERROR(INDEX(KC_CURVAS!$F$5:$F$15,MATCH($E36&amp;"|",KC_CURVAS!$K$5:$K$15,0)),""))</f>
        <v/>
      </c>
      <c r="O36" s="11">
        <f>IFERROR(INDEX(KC_CURVAS!$G$5:$G$15,MATCH($E36&amp;"|"&amp;$G36,KC_CURVAS!$K$5:$K$15,0)),IFERROR(INDEX(KC_CURVAS!$G$5:$G$15,MATCH($E36&amp;"|",KC_CURVAS!$K$5:$K$15,0)),""))</f>
        <v/>
      </c>
      <c r="P36" s="11">
        <f>IFERROR(INDEX(KC_CURVAS!$H$5:$H$15,MATCH($E36&amp;"|"&amp;$G36,KC_CURVAS!$K$5:$K$15,0)),IFERROR(INDEX(KC_CURVAS!$H$5:$H$15,MATCH($E36&amp;"|",KC_CURVAS!$K$5:$K$15,0)),""))</f>
        <v/>
      </c>
      <c r="Q36" s="11">
        <f>IFERROR(INDEX(KC_CURVAS!$I$5:$I$15,MATCH($E36&amp;"|"&amp;$G36,KC_CURVAS!$K$5:$K$15,0)),IFERROR(INDEX(KC_CURVAS!$I$5:$I$15,MATCH($E36&amp;"|",KC_CURVAS!$K$5:$K$15,0)),""))</f>
        <v/>
      </c>
      <c r="R36" s="12">
        <f>IF(OR($J36="",$K36=""),"PENDENTE",IF($J36&lt;=$K36,$O36,IF($J36&lt;=$K36+$L36,$O36+($P36-$O36)*($J36-$K36)/$L36,IF($J36&lt;=$K36+$L36+$M36,$P36,IF($J36&lt;=$K36+$L36+$M36+$N36,$P36+($Q36-$P36)*($J36-($K36+$L36+$M36))/$N36,$Q36)))))</f>
        <v/>
      </c>
      <c r="S36" s="13">
        <f>ETO_SEM</f>
        <v/>
      </c>
      <c r="T36" s="14">
        <f>IF(OR($R36="",$R36="PENDENTE"),"",$R36*$S36)</f>
        <v/>
      </c>
      <c r="U36" s="13" t="n">
        <v>0</v>
      </c>
      <c r="V36" s="14">
        <f>IF($T36="","",MAX(0,$T36-N($U36)))</f>
        <v/>
      </c>
      <c r="W36" s="14">
        <f>IF($V36="","",$V36/EF_APLIC)</f>
        <v/>
      </c>
      <c r="X36" s="15" t="n">
        <v>78.55</v>
      </c>
      <c r="Y36" s="16">
        <f>IF(OR($W36="",$X36=""),"",$W36*$X36*10)</f>
        <v/>
      </c>
      <c r="Z36" s="17">
        <f>IFERROR(INDEX('PARAMETROS'!$B$16:$B$19,MATCH($D36,'PARAMETROS'!$A$16:$A$19,0)),"")</f>
        <v/>
      </c>
      <c r="AA36" s="16">
        <f>IF(OR($Y36="",$Z36=""),"",$Y36*$Z36)</f>
        <v/>
      </c>
      <c r="AB36" s="18">
        <f>IF($R36="PENDENTE","Definir classe/Kc",IF($W36="","-",IF($W36&gt;0,"Irrigar","Nao irrigar")))</f>
        <v/>
      </c>
      <c r="AC36" s="18">
        <f>IF(OR($W36="",$W36=0),"-",IF($W36&gt;=META_SEM,"Alta",IF($W36&gt;=META_SEM*FRAC_ACOMP,"Media","Baixa")))</f>
        <v/>
      </c>
      <c r="AD36" s="19" t="inlineStr"/>
    </row>
    <row r="37">
      <c r="A37" s="5" t="inlineStr">
        <is>
          <t>29</t>
        </is>
      </c>
      <c r="B37" s="5" t="inlineStr">
        <is>
          <t>Karitel</t>
        </is>
      </c>
      <c r="C37" s="5" t="inlineStr">
        <is>
          <t>Módulo 01</t>
        </is>
      </c>
      <c r="D37" s="5" t="inlineStr">
        <is>
          <t>KM1</t>
        </is>
      </c>
      <c r="E37" s="5" t="inlineStr">
        <is>
          <t>CACAU</t>
        </is>
      </c>
      <c r="F37" s="6" t="inlineStr"/>
      <c r="G37" s="7" t="inlineStr"/>
      <c r="H37" s="20" t="n"/>
      <c r="I37" s="9">
        <f>IF($H37="","",DATA_REF-$H37)</f>
        <v/>
      </c>
      <c r="J37" s="9">
        <f>IF($I37="","",MAX(0,$I37-'PARAMETROS'!$B$12))</f>
        <v/>
      </c>
      <c r="K37" s="10">
        <f>IFERROR(INDEX(KC_CURVAS!$C$5:$C$15,MATCH($E37&amp;"|"&amp;$G37,KC_CURVAS!$K$5:$K$15,0)),IFERROR(INDEX(KC_CURVAS!$C$5:$C$15,MATCH($E37&amp;"|",KC_CURVAS!$K$5:$K$15,0)),""))</f>
        <v/>
      </c>
      <c r="L37" s="10">
        <f>IFERROR(INDEX(KC_CURVAS!$D$5:$D$15,MATCH($E37&amp;"|"&amp;$G37,KC_CURVAS!$K$5:$K$15,0)),IFERROR(INDEX(KC_CURVAS!$D$5:$D$15,MATCH($E37&amp;"|",KC_CURVAS!$K$5:$K$15,0)),""))</f>
        <v/>
      </c>
      <c r="M37" s="10">
        <f>IFERROR(INDEX(KC_CURVAS!$E$5:$E$15,MATCH($E37&amp;"|"&amp;$G37,KC_CURVAS!$K$5:$K$15,0)),IFERROR(INDEX(KC_CURVAS!$E$5:$E$15,MATCH($E37&amp;"|",KC_CURVAS!$K$5:$K$15,0)),""))</f>
        <v/>
      </c>
      <c r="N37" s="10">
        <f>IFERROR(INDEX(KC_CURVAS!$F$5:$F$15,MATCH($E37&amp;"|"&amp;$G37,KC_CURVAS!$K$5:$K$15,0)),IFERROR(INDEX(KC_CURVAS!$F$5:$F$15,MATCH($E37&amp;"|",KC_CURVAS!$K$5:$K$15,0)),""))</f>
        <v/>
      </c>
      <c r="O37" s="11">
        <f>IFERROR(INDEX(KC_CURVAS!$G$5:$G$15,MATCH($E37&amp;"|"&amp;$G37,KC_CURVAS!$K$5:$K$15,0)),IFERROR(INDEX(KC_CURVAS!$G$5:$G$15,MATCH($E37&amp;"|",KC_CURVAS!$K$5:$K$15,0)),""))</f>
        <v/>
      </c>
      <c r="P37" s="11">
        <f>IFERROR(INDEX(KC_CURVAS!$H$5:$H$15,MATCH($E37&amp;"|"&amp;$G37,KC_CURVAS!$K$5:$K$15,0)),IFERROR(INDEX(KC_CURVAS!$H$5:$H$15,MATCH($E37&amp;"|",KC_CURVAS!$K$5:$K$15,0)),""))</f>
        <v/>
      </c>
      <c r="Q37" s="11">
        <f>IFERROR(INDEX(KC_CURVAS!$I$5:$I$15,MATCH($E37&amp;"|"&amp;$G37,KC_CURVAS!$K$5:$K$15,0)),IFERROR(INDEX(KC_CURVAS!$I$5:$I$15,MATCH($E37&amp;"|",KC_CURVAS!$K$5:$K$15,0)),""))</f>
        <v/>
      </c>
      <c r="R37" s="12">
        <f>IF(OR($J37="",$K37=""),"PENDENTE",IF($J37&lt;=$K37,$O37,IF($J37&lt;=$K37+$L37,$O37+($P37-$O37)*($J37-$K37)/$L37,IF($J37&lt;=$K37+$L37+$M37,$P37,IF($J37&lt;=$K37+$L37+$M37+$N37,$P37+($Q37-$P37)*($J37-($K37+$L37+$M37))/$N37,$Q37)))))</f>
        <v/>
      </c>
      <c r="S37" s="13">
        <f>ETO_SEM</f>
        <v/>
      </c>
      <c r="T37" s="14">
        <f>IF(OR($R37="",$R37="PENDENTE"),"",$R37*$S37)</f>
        <v/>
      </c>
      <c r="U37" s="13" t="n">
        <v>0</v>
      </c>
      <c r="V37" s="14">
        <f>IF($T37="","",MAX(0,$T37-N($U37)))</f>
        <v/>
      </c>
      <c r="W37" s="14">
        <f>IF($V37="","",$V37/EF_APLIC)</f>
        <v/>
      </c>
      <c r="X37" s="15" t="n">
        <v>78.55</v>
      </c>
      <c r="Y37" s="16">
        <f>IF(OR($W37="",$X37=""),"",$W37*$X37*10)</f>
        <v/>
      </c>
      <c r="Z37" s="17">
        <f>IFERROR(INDEX('PARAMETROS'!$B$16:$B$19,MATCH($D37,'PARAMETROS'!$A$16:$A$19,0)),"")</f>
        <v/>
      </c>
      <c r="AA37" s="16">
        <f>IF(OR($Y37="",$Z37=""),"",$Y37*$Z37)</f>
        <v/>
      </c>
      <c r="AB37" s="18">
        <f>IF($R37="PENDENTE","Definir classe/Kc",IF($W37="","-",IF($W37&gt;0,"Irrigar","Nao irrigar")))</f>
        <v/>
      </c>
      <c r="AC37" s="18">
        <f>IF(OR($W37="",$W37=0),"-",IF($W37&gt;=META_SEM,"Alta",IF($W37&gt;=META_SEM*FRAC_ACOMP,"Media","Baixa")))</f>
        <v/>
      </c>
      <c r="AD37" s="19" t="inlineStr"/>
    </row>
    <row r="38">
      <c r="A38" s="5" t="inlineStr">
        <is>
          <t>29</t>
        </is>
      </c>
      <c r="B38" s="5" t="inlineStr">
        <is>
          <t>Karitel</t>
        </is>
      </c>
      <c r="C38" s="5" t="inlineStr">
        <is>
          <t>Módulo 01</t>
        </is>
      </c>
      <c r="D38" s="5" t="inlineStr">
        <is>
          <t>KM1</t>
        </is>
      </c>
      <c r="E38" s="5" t="inlineStr">
        <is>
          <t>CACAU</t>
        </is>
      </c>
      <c r="F38" s="6" t="inlineStr"/>
      <c r="G38" s="7" t="inlineStr"/>
      <c r="H38" s="20" t="n"/>
      <c r="I38" s="9">
        <f>IF($H38="","",DATA_REF-$H38)</f>
        <v/>
      </c>
      <c r="J38" s="9">
        <f>IF($I38="","",MAX(0,$I38-'PARAMETROS'!$B$12))</f>
        <v/>
      </c>
      <c r="K38" s="10">
        <f>IFERROR(INDEX(KC_CURVAS!$C$5:$C$15,MATCH($E38&amp;"|"&amp;$G38,KC_CURVAS!$K$5:$K$15,0)),IFERROR(INDEX(KC_CURVAS!$C$5:$C$15,MATCH($E38&amp;"|",KC_CURVAS!$K$5:$K$15,0)),""))</f>
        <v/>
      </c>
      <c r="L38" s="10">
        <f>IFERROR(INDEX(KC_CURVAS!$D$5:$D$15,MATCH($E38&amp;"|"&amp;$G38,KC_CURVAS!$K$5:$K$15,0)),IFERROR(INDEX(KC_CURVAS!$D$5:$D$15,MATCH($E38&amp;"|",KC_CURVAS!$K$5:$K$15,0)),""))</f>
        <v/>
      </c>
      <c r="M38" s="10">
        <f>IFERROR(INDEX(KC_CURVAS!$E$5:$E$15,MATCH($E38&amp;"|"&amp;$G38,KC_CURVAS!$K$5:$K$15,0)),IFERROR(INDEX(KC_CURVAS!$E$5:$E$15,MATCH($E38&amp;"|",KC_CURVAS!$K$5:$K$15,0)),""))</f>
        <v/>
      </c>
      <c r="N38" s="10">
        <f>IFERROR(INDEX(KC_CURVAS!$F$5:$F$15,MATCH($E38&amp;"|"&amp;$G38,KC_CURVAS!$K$5:$K$15,0)),IFERROR(INDEX(KC_CURVAS!$F$5:$F$15,MATCH($E38&amp;"|",KC_CURVAS!$K$5:$K$15,0)),""))</f>
        <v/>
      </c>
      <c r="O38" s="11">
        <f>IFERROR(INDEX(KC_CURVAS!$G$5:$G$15,MATCH($E38&amp;"|"&amp;$G38,KC_CURVAS!$K$5:$K$15,0)),IFERROR(INDEX(KC_CURVAS!$G$5:$G$15,MATCH($E38&amp;"|",KC_CURVAS!$K$5:$K$15,0)),""))</f>
        <v/>
      </c>
      <c r="P38" s="11">
        <f>IFERROR(INDEX(KC_CURVAS!$H$5:$H$15,MATCH($E38&amp;"|"&amp;$G38,KC_CURVAS!$K$5:$K$15,0)),IFERROR(INDEX(KC_CURVAS!$H$5:$H$15,MATCH($E38&amp;"|",KC_CURVAS!$K$5:$K$15,0)),""))</f>
        <v/>
      </c>
      <c r="Q38" s="11">
        <f>IFERROR(INDEX(KC_CURVAS!$I$5:$I$15,MATCH($E38&amp;"|"&amp;$G38,KC_CURVAS!$K$5:$K$15,0)),IFERROR(INDEX(KC_CURVAS!$I$5:$I$15,MATCH($E38&amp;"|",KC_CURVAS!$K$5:$K$15,0)),""))</f>
        <v/>
      </c>
      <c r="R38" s="12">
        <f>IF(OR($J38="",$K38=""),"PENDENTE",IF($J38&lt;=$K38,$O38,IF($J38&lt;=$K38+$L38,$O38+($P38-$O38)*($J38-$K38)/$L38,IF($J38&lt;=$K38+$L38+$M38,$P38,IF($J38&lt;=$K38+$L38+$M38+$N38,$P38+($Q38-$P38)*($J38-($K38+$L38+$M38))/$N38,$Q38)))))</f>
        <v/>
      </c>
      <c r="S38" s="13">
        <f>ETO_SEM</f>
        <v/>
      </c>
      <c r="T38" s="14">
        <f>IF(OR($R38="",$R38="PENDENTE"),"",$R38*$S38)</f>
        <v/>
      </c>
      <c r="U38" s="13" t="n">
        <v>0</v>
      </c>
      <c r="V38" s="14">
        <f>IF($T38="","",MAX(0,$T38-N($U38)))</f>
        <v/>
      </c>
      <c r="W38" s="14">
        <f>IF($V38="","",$V38/EF_APLIC)</f>
        <v/>
      </c>
      <c r="X38" s="15" t="n">
        <v>78.55</v>
      </c>
      <c r="Y38" s="16">
        <f>IF(OR($W38="",$X38=""),"",$W38*$X38*10)</f>
        <v/>
      </c>
      <c r="Z38" s="17">
        <f>IFERROR(INDEX('PARAMETROS'!$B$16:$B$19,MATCH($D38,'PARAMETROS'!$A$16:$A$19,0)),"")</f>
        <v/>
      </c>
      <c r="AA38" s="16">
        <f>IF(OR($Y38="",$Z38=""),"",$Y38*$Z38)</f>
        <v/>
      </c>
      <c r="AB38" s="18">
        <f>IF($R38="PENDENTE","Definir classe/Kc",IF($W38="","-",IF($W38&gt;0,"Irrigar","Nao irrigar")))</f>
        <v/>
      </c>
      <c r="AC38" s="18">
        <f>IF(OR($W38="",$W38=0),"-",IF($W38&gt;=META_SEM,"Alta",IF($W38&gt;=META_SEM*FRAC_ACOMP,"Media","Baixa")))</f>
        <v/>
      </c>
      <c r="AD38" s="19" t="inlineStr"/>
    </row>
    <row r="39">
      <c r="A39" s="5" t="inlineStr">
        <is>
          <t>39</t>
        </is>
      </c>
      <c r="B39" s="5" t="inlineStr">
        <is>
          <t>Karitel</t>
        </is>
      </c>
      <c r="C39" s="5" t="inlineStr">
        <is>
          <t>Módulo 02</t>
        </is>
      </c>
      <c r="D39" s="5" t="inlineStr">
        <is>
          <t>KM1</t>
        </is>
      </c>
      <c r="E39" s="5" t="inlineStr">
        <is>
          <t>ALGODÃO</t>
        </is>
      </c>
      <c r="F39" s="6" t="inlineStr">
        <is>
          <t>FM 911 GLTP</t>
        </is>
      </c>
      <c r="G39" s="7" t="inlineStr">
        <is>
          <t>TARDIO</t>
        </is>
      </c>
      <c r="H39" s="8" t="n">
        <v>46060</v>
      </c>
      <c r="I39" s="9">
        <f>IF($H39="","",DATA_REF-$H39)</f>
        <v/>
      </c>
      <c r="J39" s="9">
        <f>IF($I39="","",MAX(0,$I39-'PARAMETROS'!$B$12))</f>
        <v/>
      </c>
      <c r="K39" s="10">
        <f>IFERROR(INDEX(KC_CURVAS!$C$5:$C$15,MATCH($E39&amp;"|"&amp;$G39,KC_CURVAS!$K$5:$K$15,0)),IFERROR(INDEX(KC_CURVAS!$C$5:$C$15,MATCH($E39&amp;"|",KC_CURVAS!$K$5:$K$15,0)),""))</f>
        <v/>
      </c>
      <c r="L39" s="10">
        <f>IFERROR(INDEX(KC_CURVAS!$D$5:$D$15,MATCH($E39&amp;"|"&amp;$G39,KC_CURVAS!$K$5:$K$15,0)),IFERROR(INDEX(KC_CURVAS!$D$5:$D$15,MATCH($E39&amp;"|",KC_CURVAS!$K$5:$K$15,0)),""))</f>
        <v/>
      </c>
      <c r="M39" s="10">
        <f>IFERROR(INDEX(KC_CURVAS!$E$5:$E$15,MATCH($E39&amp;"|"&amp;$G39,KC_CURVAS!$K$5:$K$15,0)),IFERROR(INDEX(KC_CURVAS!$E$5:$E$15,MATCH($E39&amp;"|",KC_CURVAS!$K$5:$K$15,0)),""))</f>
        <v/>
      </c>
      <c r="N39" s="10">
        <f>IFERROR(INDEX(KC_CURVAS!$F$5:$F$15,MATCH($E39&amp;"|"&amp;$G39,KC_CURVAS!$K$5:$K$15,0)),IFERROR(INDEX(KC_CURVAS!$F$5:$F$15,MATCH($E39&amp;"|",KC_CURVAS!$K$5:$K$15,0)),""))</f>
        <v/>
      </c>
      <c r="O39" s="11">
        <f>IFERROR(INDEX(KC_CURVAS!$G$5:$G$15,MATCH($E39&amp;"|"&amp;$G39,KC_CURVAS!$K$5:$K$15,0)),IFERROR(INDEX(KC_CURVAS!$G$5:$G$15,MATCH($E39&amp;"|",KC_CURVAS!$K$5:$K$15,0)),""))</f>
        <v/>
      </c>
      <c r="P39" s="11">
        <f>IFERROR(INDEX(KC_CURVAS!$H$5:$H$15,MATCH($E39&amp;"|"&amp;$G39,KC_CURVAS!$K$5:$K$15,0)),IFERROR(INDEX(KC_CURVAS!$H$5:$H$15,MATCH($E39&amp;"|",KC_CURVAS!$K$5:$K$15,0)),""))</f>
        <v/>
      </c>
      <c r="Q39" s="11">
        <f>IFERROR(INDEX(KC_CURVAS!$I$5:$I$15,MATCH($E39&amp;"|"&amp;$G39,KC_CURVAS!$K$5:$K$15,0)),IFERROR(INDEX(KC_CURVAS!$I$5:$I$15,MATCH($E39&amp;"|",KC_CURVAS!$K$5:$K$15,0)),""))</f>
        <v/>
      </c>
      <c r="R39" s="12">
        <f>IF(OR($J39="",$K39=""),"PENDENTE",IF($J39&lt;=$K39,$O39,IF($J39&lt;=$K39+$L39,$O39+($P39-$O39)*($J39-$K39)/$L39,IF($J39&lt;=$K39+$L39+$M39,$P39,IF($J39&lt;=$K39+$L39+$M39+$N39,$P39+($Q39-$P39)*($J39-($K39+$L39+$M39))/$N39,$Q39)))))</f>
        <v/>
      </c>
      <c r="S39" s="13">
        <f>ETO_SEM</f>
        <v/>
      </c>
      <c r="T39" s="14">
        <f>IF(OR($R39="",$R39="PENDENTE"),"",$R39*$S39)</f>
        <v/>
      </c>
      <c r="U39" s="13" t="n">
        <v>0</v>
      </c>
      <c r="V39" s="14">
        <f>IF($T39="","",MAX(0,$T39-N($U39)))</f>
        <v/>
      </c>
      <c r="W39" s="14">
        <f>IF($V39="","",$V39/EF_APLIC)</f>
        <v/>
      </c>
      <c r="X39" s="15" t="n">
        <v>100.65</v>
      </c>
      <c r="Y39" s="16">
        <f>IF(OR($W39="",$X39=""),"",$W39*$X39*10)</f>
        <v/>
      </c>
      <c r="Z39" s="17">
        <f>IFERROR(INDEX('PARAMETROS'!$B$16:$B$19,MATCH($D39,'PARAMETROS'!$A$16:$A$19,0)),"")</f>
        <v/>
      </c>
      <c r="AA39" s="16">
        <f>IF(OR($Y39="",$Z39=""),"",$Y39*$Z39)</f>
        <v/>
      </c>
      <c r="AB39" s="18">
        <f>IF($R39="PENDENTE","Definir classe/Kc",IF($W39="","-",IF($W39&gt;0,"Irrigar","Nao irrigar")))</f>
        <v/>
      </c>
      <c r="AC39" s="18">
        <f>IF(OR($W39="",$W39=0),"-",IF($W39&gt;=META_SEM,"Alta",IF($W39&gt;=META_SEM*FRAC_ACOMP,"Media","Baixa")))</f>
        <v/>
      </c>
      <c r="AD39" s="19" t="inlineStr"/>
    </row>
    <row r="40">
      <c r="A40" s="5" t="inlineStr">
        <is>
          <t>48</t>
        </is>
      </c>
      <c r="B40" s="5" t="inlineStr">
        <is>
          <t>Karitel</t>
        </is>
      </c>
      <c r="C40" s="5" t="inlineStr">
        <is>
          <t>Módulo 02</t>
        </is>
      </c>
      <c r="D40" s="5" t="inlineStr">
        <is>
          <t>KM1</t>
        </is>
      </c>
      <c r="E40" s="5" t="inlineStr">
        <is>
          <t>ALGODÃO</t>
        </is>
      </c>
      <c r="F40" s="6" t="inlineStr">
        <is>
          <t>FM 985 GLTP</t>
        </is>
      </c>
      <c r="G40" s="7" t="inlineStr">
        <is>
          <t>MÉDIO</t>
        </is>
      </c>
      <c r="H40" s="8" t="n">
        <v>46040</v>
      </c>
      <c r="I40" s="9">
        <f>IF($H40="","",DATA_REF-$H40)</f>
        <v/>
      </c>
      <c r="J40" s="9">
        <f>IF($I40="","",MAX(0,$I40-'PARAMETROS'!$B$12))</f>
        <v/>
      </c>
      <c r="K40" s="10">
        <f>IFERROR(INDEX(KC_CURVAS!$C$5:$C$15,MATCH($E40&amp;"|"&amp;$G40,KC_CURVAS!$K$5:$K$15,0)),IFERROR(INDEX(KC_CURVAS!$C$5:$C$15,MATCH($E40&amp;"|",KC_CURVAS!$K$5:$K$15,0)),""))</f>
        <v/>
      </c>
      <c r="L40" s="10">
        <f>IFERROR(INDEX(KC_CURVAS!$D$5:$D$15,MATCH($E40&amp;"|"&amp;$G40,KC_CURVAS!$K$5:$K$15,0)),IFERROR(INDEX(KC_CURVAS!$D$5:$D$15,MATCH($E40&amp;"|",KC_CURVAS!$K$5:$K$15,0)),""))</f>
        <v/>
      </c>
      <c r="M40" s="10">
        <f>IFERROR(INDEX(KC_CURVAS!$E$5:$E$15,MATCH($E40&amp;"|"&amp;$G40,KC_CURVAS!$K$5:$K$15,0)),IFERROR(INDEX(KC_CURVAS!$E$5:$E$15,MATCH($E40&amp;"|",KC_CURVAS!$K$5:$K$15,0)),""))</f>
        <v/>
      </c>
      <c r="N40" s="10">
        <f>IFERROR(INDEX(KC_CURVAS!$F$5:$F$15,MATCH($E40&amp;"|"&amp;$G40,KC_CURVAS!$K$5:$K$15,0)),IFERROR(INDEX(KC_CURVAS!$F$5:$F$15,MATCH($E40&amp;"|",KC_CURVAS!$K$5:$K$15,0)),""))</f>
        <v/>
      </c>
      <c r="O40" s="11">
        <f>IFERROR(INDEX(KC_CURVAS!$G$5:$G$15,MATCH($E40&amp;"|"&amp;$G40,KC_CURVAS!$K$5:$K$15,0)),IFERROR(INDEX(KC_CURVAS!$G$5:$G$15,MATCH($E40&amp;"|",KC_CURVAS!$K$5:$K$15,0)),""))</f>
        <v/>
      </c>
      <c r="P40" s="11">
        <f>IFERROR(INDEX(KC_CURVAS!$H$5:$H$15,MATCH($E40&amp;"|"&amp;$G40,KC_CURVAS!$K$5:$K$15,0)),IFERROR(INDEX(KC_CURVAS!$H$5:$H$15,MATCH($E40&amp;"|",KC_CURVAS!$K$5:$K$15,0)),""))</f>
        <v/>
      </c>
      <c r="Q40" s="11">
        <f>IFERROR(INDEX(KC_CURVAS!$I$5:$I$15,MATCH($E40&amp;"|"&amp;$G40,KC_CURVAS!$K$5:$K$15,0)),IFERROR(INDEX(KC_CURVAS!$I$5:$I$15,MATCH($E40&amp;"|",KC_CURVAS!$K$5:$K$15,0)),""))</f>
        <v/>
      </c>
      <c r="R40" s="12">
        <f>IF(OR($J40="",$K40=""),"PENDENTE",IF($J40&lt;=$K40,$O40,IF($J40&lt;=$K40+$L40,$O40+($P40-$O40)*($J40-$K40)/$L40,IF($J40&lt;=$K40+$L40+$M40,$P40,IF($J40&lt;=$K40+$L40+$M40+$N40,$P40+($Q40-$P40)*($J40-($K40+$L40+$M40))/$N40,$Q40)))))</f>
        <v/>
      </c>
      <c r="S40" s="13">
        <f>ETO_SEM</f>
        <v/>
      </c>
      <c r="T40" s="14">
        <f>IF(OR($R40="",$R40="PENDENTE"),"",$R40*$S40)</f>
        <v/>
      </c>
      <c r="U40" s="13" t="n">
        <v>0</v>
      </c>
      <c r="V40" s="14">
        <f>IF($T40="","",MAX(0,$T40-N($U40)))</f>
        <v/>
      </c>
      <c r="W40" s="14">
        <f>IF($V40="","",$V40/EF_APLIC)</f>
        <v/>
      </c>
      <c r="X40" s="15" t="n">
        <v>159.45</v>
      </c>
      <c r="Y40" s="16">
        <f>IF(OR($W40="",$X40=""),"",$W40*$X40*10)</f>
        <v/>
      </c>
      <c r="Z40" s="17">
        <f>IFERROR(INDEX('PARAMETROS'!$B$16:$B$19,MATCH($D40,'PARAMETROS'!$A$16:$A$19,0)),"")</f>
        <v/>
      </c>
      <c r="AA40" s="16">
        <f>IF(OR($Y40="",$Z40=""),"",$Y40*$Z40)</f>
        <v/>
      </c>
      <c r="AB40" s="18">
        <f>IF($R40="PENDENTE","Definir classe/Kc",IF($W40="","-",IF($W40&gt;0,"Irrigar","Nao irrigar")))</f>
        <v/>
      </c>
      <c r="AC40" s="18">
        <f>IF(OR($W40="",$W40=0),"-",IF($W40&gt;=META_SEM,"Alta",IF($W40&gt;=META_SEM*FRAC_ACOMP,"Media","Baixa")))</f>
        <v/>
      </c>
      <c r="AD40" s="19" t="inlineStr"/>
    </row>
    <row r="41">
      <c r="A41" s="5" t="inlineStr">
        <is>
          <t>49</t>
        </is>
      </c>
      <c r="B41" s="5" t="inlineStr">
        <is>
          <t>Karitel</t>
        </is>
      </c>
      <c r="C41" s="5" t="inlineStr">
        <is>
          <t>Módulo 02</t>
        </is>
      </c>
      <c r="D41" s="5" t="inlineStr">
        <is>
          <t>KM1</t>
        </is>
      </c>
      <c r="E41" s="5" t="inlineStr">
        <is>
          <t>ALGODÃO</t>
        </is>
      </c>
      <c r="F41" s="6" t="inlineStr">
        <is>
          <t>FM 985 GLTP</t>
        </is>
      </c>
      <c r="G41" s="7" t="inlineStr">
        <is>
          <t>MÉDIO</t>
        </is>
      </c>
      <c r="H41" s="8" t="n">
        <v>46040</v>
      </c>
      <c r="I41" s="9">
        <f>IF($H41="","",DATA_REF-$H41)</f>
        <v/>
      </c>
      <c r="J41" s="9">
        <f>IF($I41="","",MAX(0,$I41-'PARAMETROS'!$B$12))</f>
        <v/>
      </c>
      <c r="K41" s="10">
        <f>IFERROR(INDEX(KC_CURVAS!$C$5:$C$15,MATCH($E41&amp;"|"&amp;$G41,KC_CURVAS!$K$5:$K$15,0)),IFERROR(INDEX(KC_CURVAS!$C$5:$C$15,MATCH($E41&amp;"|",KC_CURVAS!$K$5:$K$15,0)),""))</f>
        <v/>
      </c>
      <c r="L41" s="10">
        <f>IFERROR(INDEX(KC_CURVAS!$D$5:$D$15,MATCH($E41&amp;"|"&amp;$G41,KC_CURVAS!$K$5:$K$15,0)),IFERROR(INDEX(KC_CURVAS!$D$5:$D$15,MATCH($E41&amp;"|",KC_CURVAS!$K$5:$K$15,0)),""))</f>
        <v/>
      </c>
      <c r="M41" s="10">
        <f>IFERROR(INDEX(KC_CURVAS!$E$5:$E$15,MATCH($E41&amp;"|"&amp;$G41,KC_CURVAS!$K$5:$K$15,0)),IFERROR(INDEX(KC_CURVAS!$E$5:$E$15,MATCH($E41&amp;"|",KC_CURVAS!$K$5:$K$15,0)),""))</f>
        <v/>
      </c>
      <c r="N41" s="10">
        <f>IFERROR(INDEX(KC_CURVAS!$F$5:$F$15,MATCH($E41&amp;"|"&amp;$G41,KC_CURVAS!$K$5:$K$15,0)),IFERROR(INDEX(KC_CURVAS!$F$5:$F$15,MATCH($E41&amp;"|",KC_CURVAS!$K$5:$K$15,0)),""))</f>
        <v/>
      </c>
      <c r="O41" s="11">
        <f>IFERROR(INDEX(KC_CURVAS!$G$5:$G$15,MATCH($E41&amp;"|"&amp;$G41,KC_CURVAS!$K$5:$K$15,0)),IFERROR(INDEX(KC_CURVAS!$G$5:$G$15,MATCH($E41&amp;"|",KC_CURVAS!$K$5:$K$15,0)),""))</f>
        <v/>
      </c>
      <c r="P41" s="11">
        <f>IFERROR(INDEX(KC_CURVAS!$H$5:$H$15,MATCH($E41&amp;"|"&amp;$G41,KC_CURVAS!$K$5:$K$15,0)),IFERROR(INDEX(KC_CURVAS!$H$5:$H$15,MATCH($E41&amp;"|",KC_CURVAS!$K$5:$K$15,0)),""))</f>
        <v/>
      </c>
      <c r="Q41" s="11">
        <f>IFERROR(INDEX(KC_CURVAS!$I$5:$I$15,MATCH($E41&amp;"|"&amp;$G41,KC_CURVAS!$K$5:$K$15,0)),IFERROR(INDEX(KC_CURVAS!$I$5:$I$15,MATCH($E41&amp;"|",KC_CURVAS!$K$5:$K$15,0)),""))</f>
        <v/>
      </c>
      <c r="R41" s="12">
        <f>IF(OR($J41="",$K41=""),"PENDENTE",IF($J41&lt;=$K41,$O41,IF($J41&lt;=$K41+$L41,$O41+($P41-$O41)*($J41-$K41)/$L41,IF($J41&lt;=$K41+$L41+$M41,$P41,IF($J41&lt;=$K41+$L41+$M41+$N41,$P41+($Q41-$P41)*($J41-($K41+$L41+$M41))/$N41,$Q41)))))</f>
        <v/>
      </c>
      <c r="S41" s="13">
        <f>ETO_SEM</f>
        <v/>
      </c>
      <c r="T41" s="14">
        <f>IF(OR($R41="",$R41="PENDENTE"),"",$R41*$S41)</f>
        <v/>
      </c>
      <c r="U41" s="13" t="n">
        <v>0</v>
      </c>
      <c r="V41" s="14">
        <f>IF($T41="","",MAX(0,$T41-N($U41)))</f>
        <v/>
      </c>
      <c r="W41" s="14">
        <f>IF($V41="","",$V41/EF_APLIC)</f>
        <v/>
      </c>
      <c r="X41" s="15" t="n">
        <v>124.31</v>
      </c>
      <c r="Y41" s="16">
        <f>IF(OR($W41="",$X41=""),"",$W41*$X41*10)</f>
        <v/>
      </c>
      <c r="Z41" s="17">
        <f>IFERROR(INDEX('PARAMETROS'!$B$16:$B$19,MATCH($D41,'PARAMETROS'!$A$16:$A$19,0)),"")</f>
        <v/>
      </c>
      <c r="AA41" s="16">
        <f>IF(OR($Y41="",$Z41=""),"",$Y41*$Z41)</f>
        <v/>
      </c>
      <c r="AB41" s="18">
        <f>IF($R41="PENDENTE","Definir classe/Kc",IF($W41="","-",IF($W41&gt;0,"Irrigar","Nao irrigar")))</f>
        <v/>
      </c>
      <c r="AC41" s="18">
        <f>IF(OR($W41="",$W41=0),"-",IF($W41&gt;=META_SEM,"Alta",IF($W41&gt;=META_SEM*FRAC_ACOMP,"Media","Baixa")))</f>
        <v/>
      </c>
      <c r="AD41" s="19" t="inlineStr"/>
    </row>
    <row r="42">
      <c r="A42" s="5" t="inlineStr">
        <is>
          <t>73</t>
        </is>
      </c>
      <c r="B42" s="5" t="inlineStr">
        <is>
          <t>Karitel</t>
        </is>
      </c>
      <c r="C42" s="5" t="inlineStr">
        <is>
          <t>Módulo 02</t>
        </is>
      </c>
      <c r="D42" s="5" t="inlineStr">
        <is>
          <t>KM2</t>
        </is>
      </c>
      <c r="E42" s="5" t="inlineStr">
        <is>
          <t>ALGODÃO</t>
        </is>
      </c>
      <c r="F42" s="6" t="inlineStr">
        <is>
          <t>FM 985 GLTP</t>
        </is>
      </c>
      <c r="G42" s="7" t="inlineStr">
        <is>
          <t>MÉDIO</t>
        </is>
      </c>
      <c r="H42" s="8" t="n">
        <v>46023</v>
      </c>
      <c r="I42" s="9">
        <f>IF($H42="","",DATA_REF-$H42)</f>
        <v/>
      </c>
      <c r="J42" s="9">
        <f>IF($I42="","",MAX(0,$I42-'PARAMETROS'!$B$12))</f>
        <v/>
      </c>
      <c r="K42" s="10">
        <f>IFERROR(INDEX(KC_CURVAS!$C$5:$C$15,MATCH($E42&amp;"|"&amp;$G42,KC_CURVAS!$K$5:$K$15,0)),IFERROR(INDEX(KC_CURVAS!$C$5:$C$15,MATCH($E42&amp;"|",KC_CURVAS!$K$5:$K$15,0)),""))</f>
        <v/>
      </c>
      <c r="L42" s="10">
        <f>IFERROR(INDEX(KC_CURVAS!$D$5:$D$15,MATCH($E42&amp;"|"&amp;$G42,KC_CURVAS!$K$5:$K$15,0)),IFERROR(INDEX(KC_CURVAS!$D$5:$D$15,MATCH($E42&amp;"|",KC_CURVAS!$K$5:$K$15,0)),""))</f>
        <v/>
      </c>
      <c r="M42" s="10">
        <f>IFERROR(INDEX(KC_CURVAS!$E$5:$E$15,MATCH($E42&amp;"|"&amp;$G42,KC_CURVAS!$K$5:$K$15,0)),IFERROR(INDEX(KC_CURVAS!$E$5:$E$15,MATCH($E42&amp;"|",KC_CURVAS!$K$5:$K$15,0)),""))</f>
        <v/>
      </c>
      <c r="N42" s="10">
        <f>IFERROR(INDEX(KC_CURVAS!$F$5:$F$15,MATCH($E42&amp;"|"&amp;$G42,KC_CURVAS!$K$5:$K$15,0)),IFERROR(INDEX(KC_CURVAS!$F$5:$F$15,MATCH($E42&amp;"|",KC_CURVAS!$K$5:$K$15,0)),""))</f>
        <v/>
      </c>
      <c r="O42" s="11">
        <f>IFERROR(INDEX(KC_CURVAS!$G$5:$G$15,MATCH($E42&amp;"|"&amp;$G42,KC_CURVAS!$K$5:$K$15,0)),IFERROR(INDEX(KC_CURVAS!$G$5:$G$15,MATCH($E42&amp;"|",KC_CURVAS!$K$5:$K$15,0)),""))</f>
        <v/>
      </c>
      <c r="P42" s="11">
        <f>IFERROR(INDEX(KC_CURVAS!$H$5:$H$15,MATCH($E42&amp;"|"&amp;$G42,KC_CURVAS!$K$5:$K$15,0)),IFERROR(INDEX(KC_CURVAS!$H$5:$H$15,MATCH($E42&amp;"|",KC_CURVAS!$K$5:$K$15,0)),""))</f>
        <v/>
      </c>
      <c r="Q42" s="11">
        <f>IFERROR(INDEX(KC_CURVAS!$I$5:$I$15,MATCH($E42&amp;"|"&amp;$G42,KC_CURVAS!$K$5:$K$15,0)),IFERROR(INDEX(KC_CURVAS!$I$5:$I$15,MATCH($E42&amp;"|",KC_CURVAS!$K$5:$K$15,0)),""))</f>
        <v/>
      </c>
      <c r="R42" s="12">
        <f>IF(OR($J42="",$K42=""),"PENDENTE",IF($J42&lt;=$K42,$O42,IF($J42&lt;=$K42+$L42,$O42+($P42-$O42)*($J42-$K42)/$L42,IF($J42&lt;=$K42+$L42+$M42,$P42,IF($J42&lt;=$K42+$L42+$M42+$N42,$P42+($Q42-$P42)*($J42-($K42+$L42+$M42))/$N42,$Q42)))))</f>
        <v/>
      </c>
      <c r="S42" s="13">
        <f>ETO_SEM</f>
        <v/>
      </c>
      <c r="T42" s="14">
        <f>IF(OR($R42="",$R42="PENDENTE"),"",$R42*$S42)</f>
        <v/>
      </c>
      <c r="U42" s="13" t="n">
        <v>0</v>
      </c>
      <c r="V42" s="14">
        <f>IF($T42="","",MAX(0,$T42-N($U42)))</f>
        <v/>
      </c>
      <c r="W42" s="14">
        <f>IF($V42="","",$V42/EF_APLIC)</f>
        <v/>
      </c>
      <c r="X42" s="15" t="n">
        <v>159.45</v>
      </c>
      <c r="Y42" s="16">
        <f>IF(OR($W42="",$X42=""),"",$W42*$X42*10)</f>
        <v/>
      </c>
      <c r="Z42" s="17">
        <f>IFERROR(INDEX('PARAMETROS'!$B$16:$B$19,MATCH($D42,'PARAMETROS'!$A$16:$A$19,0)),"")</f>
        <v/>
      </c>
      <c r="AA42" s="16">
        <f>IF(OR($Y42="",$Z42=""),"",$Y42*$Z42)</f>
        <v/>
      </c>
      <c r="AB42" s="18">
        <f>IF($R42="PENDENTE","Definir classe/Kc",IF($W42="","-",IF($W42&gt;0,"Irrigar","Nao irrigar")))</f>
        <v/>
      </c>
      <c r="AC42" s="18">
        <f>IF(OR($W42="",$W42=0),"-",IF($W42&gt;=META_SEM,"Alta",IF($W42&gt;=META_SEM*FRAC_ACOMP,"Media","Baixa")))</f>
        <v/>
      </c>
      <c r="AD42" s="19" t="inlineStr"/>
    </row>
    <row r="43">
      <c r="A43" s="5" t="inlineStr">
        <is>
          <t>35</t>
        </is>
      </c>
      <c r="B43" s="5" t="inlineStr">
        <is>
          <t>Karitel</t>
        </is>
      </c>
      <c r="C43" s="5" t="inlineStr">
        <is>
          <t>Módulo 02</t>
        </is>
      </c>
      <c r="D43" s="5" t="inlineStr">
        <is>
          <t>KM1</t>
        </is>
      </c>
      <c r="E43" s="5" t="inlineStr">
        <is>
          <t>ALGODÃO</t>
        </is>
      </c>
      <c r="F43" s="6" t="inlineStr">
        <is>
          <t>DP 1949 B3RF</t>
        </is>
      </c>
      <c r="G43" s="7" t="inlineStr">
        <is>
          <t>PRECOCE</t>
        </is>
      </c>
      <c r="H43" s="8" t="n">
        <v>46065</v>
      </c>
      <c r="I43" s="9">
        <f>IF($H43="","",DATA_REF-$H43)</f>
        <v/>
      </c>
      <c r="J43" s="9">
        <f>IF($I43="","",MAX(0,$I43-'PARAMETROS'!$B$12))</f>
        <v/>
      </c>
      <c r="K43" s="10">
        <f>IFERROR(INDEX(KC_CURVAS!$C$5:$C$15,MATCH($E43&amp;"|"&amp;$G43,KC_CURVAS!$K$5:$K$15,0)),IFERROR(INDEX(KC_CURVAS!$C$5:$C$15,MATCH($E43&amp;"|",KC_CURVAS!$K$5:$K$15,0)),""))</f>
        <v/>
      </c>
      <c r="L43" s="10">
        <f>IFERROR(INDEX(KC_CURVAS!$D$5:$D$15,MATCH($E43&amp;"|"&amp;$G43,KC_CURVAS!$K$5:$K$15,0)),IFERROR(INDEX(KC_CURVAS!$D$5:$D$15,MATCH($E43&amp;"|",KC_CURVAS!$K$5:$K$15,0)),""))</f>
        <v/>
      </c>
      <c r="M43" s="10">
        <f>IFERROR(INDEX(KC_CURVAS!$E$5:$E$15,MATCH($E43&amp;"|"&amp;$G43,KC_CURVAS!$K$5:$K$15,0)),IFERROR(INDEX(KC_CURVAS!$E$5:$E$15,MATCH($E43&amp;"|",KC_CURVAS!$K$5:$K$15,0)),""))</f>
        <v/>
      </c>
      <c r="N43" s="10">
        <f>IFERROR(INDEX(KC_CURVAS!$F$5:$F$15,MATCH($E43&amp;"|"&amp;$G43,KC_CURVAS!$K$5:$K$15,0)),IFERROR(INDEX(KC_CURVAS!$F$5:$F$15,MATCH($E43&amp;"|",KC_CURVAS!$K$5:$K$15,0)),""))</f>
        <v/>
      </c>
      <c r="O43" s="11">
        <f>IFERROR(INDEX(KC_CURVAS!$G$5:$G$15,MATCH($E43&amp;"|"&amp;$G43,KC_CURVAS!$K$5:$K$15,0)),IFERROR(INDEX(KC_CURVAS!$G$5:$G$15,MATCH($E43&amp;"|",KC_CURVAS!$K$5:$K$15,0)),""))</f>
        <v/>
      </c>
      <c r="P43" s="11">
        <f>IFERROR(INDEX(KC_CURVAS!$H$5:$H$15,MATCH($E43&amp;"|"&amp;$G43,KC_CURVAS!$K$5:$K$15,0)),IFERROR(INDEX(KC_CURVAS!$H$5:$H$15,MATCH($E43&amp;"|",KC_CURVAS!$K$5:$K$15,0)),""))</f>
        <v/>
      </c>
      <c r="Q43" s="11">
        <f>IFERROR(INDEX(KC_CURVAS!$I$5:$I$15,MATCH($E43&amp;"|"&amp;$G43,KC_CURVAS!$K$5:$K$15,0)),IFERROR(INDEX(KC_CURVAS!$I$5:$I$15,MATCH($E43&amp;"|",KC_CURVAS!$K$5:$K$15,0)),""))</f>
        <v/>
      </c>
      <c r="R43" s="12">
        <f>IF(OR($J43="",$K43=""),"PENDENTE",IF($J43&lt;=$K43,$O43,IF($J43&lt;=$K43+$L43,$O43+($P43-$O43)*($J43-$K43)/$L43,IF($J43&lt;=$K43+$L43+$M43,$P43,IF($J43&lt;=$K43+$L43+$M43+$N43,$P43+($Q43-$P43)*($J43-($K43+$L43+$M43))/$N43,$Q43)))))</f>
        <v/>
      </c>
      <c r="S43" s="13">
        <f>ETO_SEM</f>
        <v/>
      </c>
      <c r="T43" s="14">
        <f>IF(OR($R43="",$R43="PENDENTE"),"",$R43*$S43)</f>
        <v/>
      </c>
      <c r="U43" s="13" t="n">
        <v>0</v>
      </c>
      <c r="V43" s="14">
        <f>IF($T43="","",MAX(0,$T43-N($U43)))</f>
        <v/>
      </c>
      <c r="W43" s="14">
        <f>IF($V43="","",$V43/EF_APLIC)</f>
        <v/>
      </c>
      <c r="X43" s="15" t="n">
        <v>150.54</v>
      </c>
      <c r="Y43" s="16">
        <f>IF(OR($W43="",$X43=""),"",$W43*$X43*10)</f>
        <v/>
      </c>
      <c r="Z43" s="17">
        <f>IFERROR(INDEX('PARAMETROS'!$B$16:$B$19,MATCH($D43,'PARAMETROS'!$A$16:$A$19,0)),"")</f>
        <v/>
      </c>
      <c r="AA43" s="16">
        <f>IF(OR($Y43="",$Z43=""),"",$Y43*$Z43)</f>
        <v/>
      </c>
      <c r="AB43" s="18">
        <f>IF($R43="PENDENTE","Definir classe/Kc",IF($W43="","-",IF($W43&gt;0,"Irrigar","Nao irrigar")))</f>
        <v/>
      </c>
      <c r="AC43" s="18">
        <f>IF(OR($W43="",$W43=0),"-",IF($W43&gt;=META_SEM,"Alta",IF($W43&gt;=META_SEM*FRAC_ACOMP,"Media","Baixa")))</f>
        <v/>
      </c>
      <c r="AD43" s="19" t="inlineStr"/>
    </row>
    <row r="44">
      <c r="A44" s="5" t="inlineStr">
        <is>
          <t>37</t>
        </is>
      </c>
      <c r="B44" s="5" t="inlineStr">
        <is>
          <t>Karitel</t>
        </is>
      </c>
      <c r="C44" s="5" t="inlineStr">
        <is>
          <t>Módulo 02</t>
        </is>
      </c>
      <c r="D44" s="5" t="inlineStr">
        <is>
          <t>KM1</t>
        </is>
      </c>
      <c r="E44" s="5" t="inlineStr">
        <is>
          <t>TABACO</t>
        </is>
      </c>
      <c r="F44" s="6" t="inlineStr"/>
      <c r="G44" s="7" t="inlineStr"/>
      <c r="H44" s="8" t="n">
        <v>45953</v>
      </c>
      <c r="I44" s="9">
        <f>IF($H44="","",DATA_REF-$H44)</f>
        <v/>
      </c>
      <c r="J44" s="9">
        <f>IF($I44="","",MAX(0,$I44-'PARAMETROS'!$B$12))</f>
        <v/>
      </c>
      <c r="K44" s="10">
        <f>IFERROR(INDEX(KC_CURVAS!$C$5:$C$15,MATCH($E44&amp;"|"&amp;$G44,KC_CURVAS!$K$5:$K$15,0)),IFERROR(INDEX(KC_CURVAS!$C$5:$C$15,MATCH($E44&amp;"|",KC_CURVAS!$K$5:$K$15,0)),""))</f>
        <v/>
      </c>
      <c r="L44" s="10">
        <f>IFERROR(INDEX(KC_CURVAS!$D$5:$D$15,MATCH($E44&amp;"|"&amp;$G44,KC_CURVAS!$K$5:$K$15,0)),IFERROR(INDEX(KC_CURVAS!$D$5:$D$15,MATCH($E44&amp;"|",KC_CURVAS!$K$5:$K$15,0)),""))</f>
        <v/>
      </c>
      <c r="M44" s="10">
        <f>IFERROR(INDEX(KC_CURVAS!$E$5:$E$15,MATCH($E44&amp;"|"&amp;$G44,KC_CURVAS!$K$5:$K$15,0)),IFERROR(INDEX(KC_CURVAS!$E$5:$E$15,MATCH($E44&amp;"|",KC_CURVAS!$K$5:$K$15,0)),""))</f>
        <v/>
      </c>
      <c r="N44" s="10">
        <f>IFERROR(INDEX(KC_CURVAS!$F$5:$F$15,MATCH($E44&amp;"|"&amp;$G44,KC_CURVAS!$K$5:$K$15,0)),IFERROR(INDEX(KC_CURVAS!$F$5:$F$15,MATCH($E44&amp;"|",KC_CURVAS!$K$5:$K$15,0)),""))</f>
        <v/>
      </c>
      <c r="O44" s="11">
        <f>IFERROR(INDEX(KC_CURVAS!$G$5:$G$15,MATCH($E44&amp;"|"&amp;$G44,KC_CURVAS!$K$5:$K$15,0)),IFERROR(INDEX(KC_CURVAS!$G$5:$G$15,MATCH($E44&amp;"|",KC_CURVAS!$K$5:$K$15,0)),""))</f>
        <v/>
      </c>
      <c r="P44" s="11">
        <f>IFERROR(INDEX(KC_CURVAS!$H$5:$H$15,MATCH($E44&amp;"|"&amp;$G44,KC_CURVAS!$K$5:$K$15,0)),IFERROR(INDEX(KC_CURVAS!$H$5:$H$15,MATCH($E44&amp;"|",KC_CURVAS!$K$5:$K$15,0)),""))</f>
        <v/>
      </c>
      <c r="Q44" s="11">
        <f>IFERROR(INDEX(KC_CURVAS!$I$5:$I$15,MATCH($E44&amp;"|"&amp;$G44,KC_CURVAS!$K$5:$K$15,0)),IFERROR(INDEX(KC_CURVAS!$I$5:$I$15,MATCH($E44&amp;"|",KC_CURVAS!$K$5:$K$15,0)),""))</f>
        <v/>
      </c>
      <c r="R44" s="12">
        <f>IF(OR($J44="",$K44=""),"PENDENTE",IF($J44&lt;=$K44,$O44,IF($J44&lt;=$K44+$L44,$O44+($P44-$O44)*($J44-$K44)/$L44,IF($J44&lt;=$K44+$L44+$M44,$P44,IF($J44&lt;=$K44+$L44+$M44+$N44,$P44+($Q44-$P44)*($J44-($K44+$L44+$M44))/$N44,$Q44)))))</f>
        <v/>
      </c>
      <c r="S44" s="13">
        <f>ETO_SEM</f>
        <v/>
      </c>
      <c r="T44" s="14">
        <f>IF(OR($R44="",$R44="PENDENTE"),"",$R44*$S44)</f>
        <v/>
      </c>
      <c r="U44" s="13" t="n">
        <v>0</v>
      </c>
      <c r="V44" s="14">
        <f>IF($T44="","",MAX(0,$T44-N($U44)))</f>
        <v/>
      </c>
      <c r="W44" s="14">
        <f>IF($V44="","",$V44/EF_APLIC)</f>
        <v/>
      </c>
      <c r="X44" s="15" t="n">
        <v>72</v>
      </c>
      <c r="Y44" s="16">
        <f>IF(OR($W44="",$X44=""),"",$W44*$X44*10)</f>
        <v/>
      </c>
      <c r="Z44" s="17">
        <f>IFERROR(INDEX('PARAMETROS'!$B$16:$B$19,MATCH($D44,'PARAMETROS'!$A$16:$A$19,0)),"")</f>
        <v/>
      </c>
      <c r="AA44" s="16">
        <f>IF(OR($Y44="",$Z44=""),"",$Y44*$Z44)</f>
        <v/>
      </c>
      <c r="AB44" s="18">
        <f>IF($R44="PENDENTE","Definir classe/Kc",IF($W44="","-",IF($W44&gt;0,"Irrigar","Nao irrigar")))</f>
        <v/>
      </c>
      <c r="AC44" s="18">
        <f>IF(OR($W44="",$W44=0),"-",IF($W44&gt;=META_SEM,"Alta",IF($W44&gt;=META_SEM*FRAC_ACOMP,"Media","Baixa")))</f>
        <v/>
      </c>
      <c r="AD44" s="19" t="inlineStr"/>
    </row>
    <row r="45">
      <c r="A45" s="5" t="inlineStr">
        <is>
          <t>41</t>
        </is>
      </c>
      <c r="B45" s="5" t="inlineStr">
        <is>
          <t>Karitel</t>
        </is>
      </c>
      <c r="C45" s="5" t="inlineStr">
        <is>
          <t>Módulo 02</t>
        </is>
      </c>
      <c r="D45" s="5" t="inlineStr">
        <is>
          <t>KM2</t>
        </is>
      </c>
      <c r="E45" s="5" t="inlineStr">
        <is>
          <t>ALGODÃO</t>
        </is>
      </c>
      <c r="F45" s="6" t="inlineStr">
        <is>
          <t>FM 911 GLTP</t>
        </is>
      </c>
      <c r="G45" s="7" t="inlineStr">
        <is>
          <t>TARDIO</t>
        </is>
      </c>
      <c r="H45" s="8" t="n">
        <v>46067</v>
      </c>
      <c r="I45" s="9">
        <f>IF($H45="","",DATA_REF-$H45)</f>
        <v/>
      </c>
      <c r="J45" s="9">
        <f>IF($I45="","",MAX(0,$I45-'PARAMETROS'!$B$12))</f>
        <v/>
      </c>
      <c r="K45" s="10">
        <f>IFERROR(INDEX(KC_CURVAS!$C$5:$C$15,MATCH($E45&amp;"|"&amp;$G45,KC_CURVAS!$K$5:$K$15,0)),IFERROR(INDEX(KC_CURVAS!$C$5:$C$15,MATCH($E45&amp;"|",KC_CURVAS!$K$5:$K$15,0)),""))</f>
        <v/>
      </c>
      <c r="L45" s="10">
        <f>IFERROR(INDEX(KC_CURVAS!$D$5:$D$15,MATCH($E45&amp;"|"&amp;$G45,KC_CURVAS!$K$5:$K$15,0)),IFERROR(INDEX(KC_CURVAS!$D$5:$D$15,MATCH($E45&amp;"|",KC_CURVAS!$K$5:$K$15,0)),""))</f>
        <v/>
      </c>
      <c r="M45" s="10">
        <f>IFERROR(INDEX(KC_CURVAS!$E$5:$E$15,MATCH($E45&amp;"|"&amp;$G45,KC_CURVAS!$K$5:$K$15,0)),IFERROR(INDEX(KC_CURVAS!$E$5:$E$15,MATCH($E45&amp;"|",KC_CURVAS!$K$5:$K$15,0)),""))</f>
        <v/>
      </c>
      <c r="N45" s="10">
        <f>IFERROR(INDEX(KC_CURVAS!$F$5:$F$15,MATCH($E45&amp;"|"&amp;$G45,KC_CURVAS!$K$5:$K$15,0)),IFERROR(INDEX(KC_CURVAS!$F$5:$F$15,MATCH($E45&amp;"|",KC_CURVAS!$K$5:$K$15,0)),""))</f>
        <v/>
      </c>
      <c r="O45" s="11">
        <f>IFERROR(INDEX(KC_CURVAS!$G$5:$G$15,MATCH($E45&amp;"|"&amp;$G45,KC_CURVAS!$K$5:$K$15,0)),IFERROR(INDEX(KC_CURVAS!$G$5:$G$15,MATCH($E45&amp;"|",KC_CURVAS!$K$5:$K$15,0)),""))</f>
        <v/>
      </c>
      <c r="P45" s="11">
        <f>IFERROR(INDEX(KC_CURVAS!$H$5:$H$15,MATCH($E45&amp;"|"&amp;$G45,KC_CURVAS!$K$5:$K$15,0)),IFERROR(INDEX(KC_CURVAS!$H$5:$H$15,MATCH($E45&amp;"|",KC_CURVAS!$K$5:$K$15,0)),""))</f>
        <v/>
      </c>
      <c r="Q45" s="11">
        <f>IFERROR(INDEX(KC_CURVAS!$I$5:$I$15,MATCH($E45&amp;"|"&amp;$G45,KC_CURVAS!$K$5:$K$15,0)),IFERROR(INDEX(KC_CURVAS!$I$5:$I$15,MATCH($E45&amp;"|",KC_CURVAS!$K$5:$K$15,0)),""))</f>
        <v/>
      </c>
      <c r="R45" s="12">
        <f>IF(OR($J45="",$K45=""),"PENDENTE",IF($J45&lt;=$K45,$O45,IF($J45&lt;=$K45+$L45,$O45+($P45-$O45)*($J45-$K45)/$L45,IF($J45&lt;=$K45+$L45+$M45,$P45,IF($J45&lt;=$K45+$L45+$M45+$N45,$P45+($Q45-$P45)*($J45-($K45+$L45+$M45))/$N45,$Q45)))))</f>
        <v/>
      </c>
      <c r="S45" s="13">
        <f>ETO_SEM</f>
        <v/>
      </c>
      <c r="T45" s="14">
        <f>IF(OR($R45="",$R45="PENDENTE"),"",$R45*$S45)</f>
        <v/>
      </c>
      <c r="U45" s="13" t="n">
        <v>0</v>
      </c>
      <c r="V45" s="14">
        <f>IF($T45="","",MAX(0,$T45-N($U45)))</f>
        <v/>
      </c>
      <c r="W45" s="14">
        <f>IF($V45="","",$V45/EF_APLIC)</f>
        <v/>
      </c>
      <c r="X45" s="15" t="n">
        <v>138.55</v>
      </c>
      <c r="Y45" s="16">
        <f>IF(OR($W45="",$X45=""),"",$W45*$X45*10)</f>
        <v/>
      </c>
      <c r="Z45" s="17">
        <f>IFERROR(INDEX('PARAMETROS'!$B$16:$B$19,MATCH($D45,'PARAMETROS'!$A$16:$A$19,0)),"")</f>
        <v/>
      </c>
      <c r="AA45" s="16">
        <f>IF(OR($Y45="",$Z45=""),"",$Y45*$Z45)</f>
        <v/>
      </c>
      <c r="AB45" s="18">
        <f>IF($R45="PENDENTE","Definir classe/Kc",IF($W45="","-",IF($W45&gt;0,"Irrigar","Nao irrigar")))</f>
        <v/>
      </c>
      <c r="AC45" s="18">
        <f>IF(OR($W45="",$W45=0),"-",IF($W45&gt;=META_SEM,"Alta",IF($W45&gt;=META_SEM*FRAC_ACOMP,"Media","Baixa")))</f>
        <v/>
      </c>
      <c r="AD45" s="19" t="inlineStr"/>
    </row>
    <row r="46">
      <c r="A46" s="5" t="inlineStr">
        <is>
          <t>42</t>
        </is>
      </c>
      <c r="B46" s="5" t="inlineStr">
        <is>
          <t>Karitel</t>
        </is>
      </c>
      <c r="C46" s="5" t="inlineStr">
        <is>
          <t>Módulo 02</t>
        </is>
      </c>
      <c r="D46" s="5" t="inlineStr">
        <is>
          <t>KM2</t>
        </is>
      </c>
      <c r="E46" s="5" t="inlineStr">
        <is>
          <t>ALGODÃO</t>
        </is>
      </c>
      <c r="F46" s="6" t="inlineStr">
        <is>
          <t>DP 2111 B3RF</t>
        </is>
      </c>
      <c r="G46" s="7" t="inlineStr">
        <is>
          <t>MÉDIO</t>
        </is>
      </c>
      <c r="H46" s="8" t="n">
        <v>46059</v>
      </c>
      <c r="I46" s="9">
        <f>IF($H46="","",DATA_REF-$H46)</f>
        <v/>
      </c>
      <c r="J46" s="9">
        <f>IF($I46="","",MAX(0,$I46-'PARAMETROS'!$B$12))</f>
        <v/>
      </c>
      <c r="K46" s="10">
        <f>IFERROR(INDEX(KC_CURVAS!$C$5:$C$15,MATCH($E46&amp;"|"&amp;$G46,KC_CURVAS!$K$5:$K$15,0)),IFERROR(INDEX(KC_CURVAS!$C$5:$C$15,MATCH($E46&amp;"|",KC_CURVAS!$K$5:$K$15,0)),""))</f>
        <v/>
      </c>
      <c r="L46" s="10">
        <f>IFERROR(INDEX(KC_CURVAS!$D$5:$D$15,MATCH($E46&amp;"|"&amp;$G46,KC_CURVAS!$K$5:$K$15,0)),IFERROR(INDEX(KC_CURVAS!$D$5:$D$15,MATCH($E46&amp;"|",KC_CURVAS!$K$5:$K$15,0)),""))</f>
        <v/>
      </c>
      <c r="M46" s="10">
        <f>IFERROR(INDEX(KC_CURVAS!$E$5:$E$15,MATCH($E46&amp;"|"&amp;$G46,KC_CURVAS!$K$5:$K$15,0)),IFERROR(INDEX(KC_CURVAS!$E$5:$E$15,MATCH($E46&amp;"|",KC_CURVAS!$K$5:$K$15,0)),""))</f>
        <v/>
      </c>
      <c r="N46" s="10">
        <f>IFERROR(INDEX(KC_CURVAS!$F$5:$F$15,MATCH($E46&amp;"|"&amp;$G46,KC_CURVAS!$K$5:$K$15,0)),IFERROR(INDEX(KC_CURVAS!$F$5:$F$15,MATCH($E46&amp;"|",KC_CURVAS!$K$5:$K$15,0)),""))</f>
        <v/>
      </c>
      <c r="O46" s="11">
        <f>IFERROR(INDEX(KC_CURVAS!$G$5:$G$15,MATCH($E46&amp;"|"&amp;$G46,KC_CURVAS!$K$5:$K$15,0)),IFERROR(INDEX(KC_CURVAS!$G$5:$G$15,MATCH($E46&amp;"|",KC_CURVAS!$K$5:$K$15,0)),""))</f>
        <v/>
      </c>
      <c r="P46" s="11">
        <f>IFERROR(INDEX(KC_CURVAS!$H$5:$H$15,MATCH($E46&amp;"|"&amp;$G46,KC_CURVAS!$K$5:$K$15,0)),IFERROR(INDEX(KC_CURVAS!$H$5:$H$15,MATCH($E46&amp;"|",KC_CURVAS!$K$5:$K$15,0)),""))</f>
        <v/>
      </c>
      <c r="Q46" s="11">
        <f>IFERROR(INDEX(KC_CURVAS!$I$5:$I$15,MATCH($E46&amp;"|"&amp;$G46,KC_CURVAS!$K$5:$K$15,0)),IFERROR(INDEX(KC_CURVAS!$I$5:$I$15,MATCH($E46&amp;"|",KC_CURVAS!$K$5:$K$15,0)),""))</f>
        <v/>
      </c>
      <c r="R46" s="12">
        <f>IF(OR($J46="",$K46=""),"PENDENTE",IF($J46&lt;=$K46,$O46,IF($J46&lt;=$K46+$L46,$O46+($P46-$O46)*($J46-$K46)/$L46,IF($J46&lt;=$K46+$L46+$M46,$P46,IF($J46&lt;=$K46+$L46+$M46+$N46,$P46+($Q46-$P46)*($J46-($K46+$L46+$M46))/$N46,$Q46)))))</f>
        <v/>
      </c>
      <c r="S46" s="13">
        <f>ETO_SEM</f>
        <v/>
      </c>
      <c r="T46" s="14">
        <f>IF(OR($R46="",$R46="PENDENTE"),"",$R46*$S46)</f>
        <v/>
      </c>
      <c r="U46" s="13" t="n">
        <v>0</v>
      </c>
      <c r="V46" s="14">
        <f>IF($T46="","",MAX(0,$T46-N($U46)))</f>
        <v/>
      </c>
      <c r="W46" s="14">
        <f>IF($V46="","",$V46/EF_APLIC)</f>
        <v/>
      </c>
      <c r="X46" s="15" t="n">
        <v>100.65</v>
      </c>
      <c r="Y46" s="16">
        <f>IF(OR($W46="",$X46=""),"",$W46*$X46*10)</f>
        <v/>
      </c>
      <c r="Z46" s="17">
        <f>IFERROR(INDEX('PARAMETROS'!$B$16:$B$19,MATCH($D46,'PARAMETROS'!$A$16:$A$19,0)),"")</f>
        <v/>
      </c>
      <c r="AA46" s="16">
        <f>IF(OR($Y46="",$Z46=""),"",$Y46*$Z46)</f>
        <v/>
      </c>
      <c r="AB46" s="18">
        <f>IF($R46="PENDENTE","Definir classe/Kc",IF($W46="","-",IF($W46&gt;0,"Irrigar","Nao irrigar")))</f>
        <v/>
      </c>
      <c r="AC46" s="18">
        <f>IF(OR($W46="",$W46=0),"-",IF($W46&gt;=META_SEM,"Alta",IF($W46&gt;=META_SEM*FRAC_ACOMP,"Media","Baixa")))</f>
        <v/>
      </c>
      <c r="AD46" s="19" t="inlineStr"/>
    </row>
    <row r="47">
      <c r="A47" s="5" t="inlineStr">
        <is>
          <t>43</t>
        </is>
      </c>
      <c r="B47" s="5" t="inlineStr">
        <is>
          <t>Karitel</t>
        </is>
      </c>
      <c r="C47" s="5" t="inlineStr">
        <is>
          <t>Módulo 02</t>
        </is>
      </c>
      <c r="D47" s="5" t="inlineStr">
        <is>
          <t>KM2</t>
        </is>
      </c>
      <c r="E47" s="5" t="inlineStr">
        <is>
          <t>ALGODÃO</t>
        </is>
      </c>
      <c r="F47" s="6" t="inlineStr">
        <is>
          <t>FM 985 GLTP</t>
        </is>
      </c>
      <c r="G47" s="7" t="inlineStr">
        <is>
          <t>MÉDIO</t>
        </is>
      </c>
      <c r="H47" s="8" t="n">
        <v>46066</v>
      </c>
      <c r="I47" s="9">
        <f>IF($H47="","",DATA_REF-$H47)</f>
        <v/>
      </c>
      <c r="J47" s="9">
        <f>IF($I47="","",MAX(0,$I47-'PARAMETROS'!$B$12))</f>
        <v/>
      </c>
      <c r="K47" s="10">
        <f>IFERROR(INDEX(KC_CURVAS!$C$5:$C$15,MATCH($E47&amp;"|"&amp;$G47,KC_CURVAS!$K$5:$K$15,0)),IFERROR(INDEX(KC_CURVAS!$C$5:$C$15,MATCH($E47&amp;"|",KC_CURVAS!$K$5:$K$15,0)),""))</f>
        <v/>
      </c>
      <c r="L47" s="10">
        <f>IFERROR(INDEX(KC_CURVAS!$D$5:$D$15,MATCH($E47&amp;"|"&amp;$G47,KC_CURVAS!$K$5:$K$15,0)),IFERROR(INDEX(KC_CURVAS!$D$5:$D$15,MATCH($E47&amp;"|",KC_CURVAS!$K$5:$K$15,0)),""))</f>
        <v/>
      </c>
      <c r="M47" s="10">
        <f>IFERROR(INDEX(KC_CURVAS!$E$5:$E$15,MATCH($E47&amp;"|"&amp;$G47,KC_CURVAS!$K$5:$K$15,0)),IFERROR(INDEX(KC_CURVAS!$E$5:$E$15,MATCH($E47&amp;"|",KC_CURVAS!$K$5:$K$15,0)),""))</f>
        <v/>
      </c>
      <c r="N47" s="10">
        <f>IFERROR(INDEX(KC_CURVAS!$F$5:$F$15,MATCH($E47&amp;"|"&amp;$G47,KC_CURVAS!$K$5:$K$15,0)),IFERROR(INDEX(KC_CURVAS!$F$5:$F$15,MATCH($E47&amp;"|",KC_CURVAS!$K$5:$K$15,0)),""))</f>
        <v/>
      </c>
      <c r="O47" s="11">
        <f>IFERROR(INDEX(KC_CURVAS!$G$5:$G$15,MATCH($E47&amp;"|"&amp;$G47,KC_CURVAS!$K$5:$K$15,0)),IFERROR(INDEX(KC_CURVAS!$G$5:$G$15,MATCH($E47&amp;"|",KC_CURVAS!$K$5:$K$15,0)),""))</f>
        <v/>
      </c>
      <c r="P47" s="11">
        <f>IFERROR(INDEX(KC_CURVAS!$H$5:$H$15,MATCH($E47&amp;"|"&amp;$G47,KC_CURVAS!$K$5:$K$15,0)),IFERROR(INDEX(KC_CURVAS!$H$5:$H$15,MATCH($E47&amp;"|",KC_CURVAS!$K$5:$K$15,0)),""))</f>
        <v/>
      </c>
      <c r="Q47" s="11">
        <f>IFERROR(INDEX(KC_CURVAS!$I$5:$I$15,MATCH($E47&amp;"|"&amp;$G47,KC_CURVAS!$K$5:$K$15,0)),IFERROR(INDEX(KC_CURVAS!$I$5:$I$15,MATCH($E47&amp;"|",KC_CURVAS!$K$5:$K$15,0)),""))</f>
        <v/>
      </c>
      <c r="R47" s="12">
        <f>IF(OR($J47="",$K47=""),"PENDENTE",IF($J47&lt;=$K47,$O47,IF($J47&lt;=$K47+$L47,$O47+($P47-$O47)*($J47-$K47)/$L47,IF($J47&lt;=$K47+$L47+$M47,$P47,IF($J47&lt;=$K47+$L47+$M47+$N47,$P47+($Q47-$P47)*($J47-($K47+$L47+$M47))/$N47,$Q47)))))</f>
        <v/>
      </c>
      <c r="S47" s="13">
        <f>ETO_SEM</f>
        <v/>
      </c>
      <c r="T47" s="14">
        <f>IF(OR($R47="",$R47="PENDENTE"),"",$R47*$S47)</f>
        <v/>
      </c>
      <c r="U47" s="13" t="n">
        <v>0</v>
      </c>
      <c r="V47" s="14">
        <f>IF($T47="","",MAX(0,$T47-N($U47)))</f>
        <v/>
      </c>
      <c r="W47" s="14">
        <f>IF($V47="","",$V47/EF_APLIC)</f>
        <v/>
      </c>
      <c r="X47" s="15" t="n">
        <v>138.55</v>
      </c>
      <c r="Y47" s="16">
        <f>IF(OR($W47="",$X47=""),"",$W47*$X47*10)</f>
        <v/>
      </c>
      <c r="Z47" s="17">
        <f>IFERROR(INDEX('PARAMETROS'!$B$16:$B$19,MATCH($D47,'PARAMETROS'!$A$16:$A$19,0)),"")</f>
        <v/>
      </c>
      <c r="AA47" s="16">
        <f>IF(OR($Y47="",$Z47=""),"",$Y47*$Z47)</f>
        <v/>
      </c>
      <c r="AB47" s="18">
        <f>IF($R47="PENDENTE","Definir classe/Kc",IF($W47="","-",IF($W47&gt;0,"Irrigar","Nao irrigar")))</f>
        <v/>
      </c>
      <c r="AC47" s="18">
        <f>IF(OR($W47="",$W47=0),"-",IF($W47&gt;=META_SEM,"Alta",IF($W47&gt;=META_SEM*FRAC_ACOMP,"Media","Baixa")))</f>
        <v/>
      </c>
      <c r="AD47" s="19" t="inlineStr"/>
    </row>
    <row r="48">
      <c r="A48" s="5" t="inlineStr">
        <is>
          <t>53</t>
        </is>
      </c>
      <c r="B48" s="5" t="inlineStr">
        <is>
          <t>Karitel</t>
        </is>
      </c>
      <c r="C48" s="5" t="inlineStr">
        <is>
          <t>Módulo 03</t>
        </is>
      </c>
      <c r="D48" s="5" t="inlineStr">
        <is>
          <t>KM2</t>
        </is>
      </c>
      <c r="E48" s="5" t="inlineStr">
        <is>
          <t>ALGODÃO</t>
        </is>
      </c>
      <c r="F48" s="6" t="inlineStr">
        <is>
          <t>FM 985 GLTP</t>
        </is>
      </c>
      <c r="G48" s="7" t="inlineStr">
        <is>
          <t>MÉDIO</t>
        </is>
      </c>
      <c r="H48" s="8" t="n">
        <v>46070</v>
      </c>
      <c r="I48" s="9">
        <f>IF($H48="","",DATA_REF-$H48)</f>
        <v/>
      </c>
      <c r="J48" s="9">
        <f>IF($I48="","",MAX(0,$I48-'PARAMETROS'!$B$12))</f>
        <v/>
      </c>
      <c r="K48" s="10">
        <f>IFERROR(INDEX(KC_CURVAS!$C$5:$C$15,MATCH($E48&amp;"|"&amp;$G48,KC_CURVAS!$K$5:$K$15,0)),IFERROR(INDEX(KC_CURVAS!$C$5:$C$15,MATCH($E48&amp;"|",KC_CURVAS!$K$5:$K$15,0)),""))</f>
        <v/>
      </c>
      <c r="L48" s="10">
        <f>IFERROR(INDEX(KC_CURVAS!$D$5:$D$15,MATCH($E48&amp;"|"&amp;$G48,KC_CURVAS!$K$5:$K$15,0)),IFERROR(INDEX(KC_CURVAS!$D$5:$D$15,MATCH($E48&amp;"|",KC_CURVAS!$K$5:$K$15,0)),""))</f>
        <v/>
      </c>
      <c r="M48" s="10">
        <f>IFERROR(INDEX(KC_CURVAS!$E$5:$E$15,MATCH($E48&amp;"|"&amp;$G48,KC_CURVAS!$K$5:$K$15,0)),IFERROR(INDEX(KC_CURVAS!$E$5:$E$15,MATCH($E48&amp;"|",KC_CURVAS!$K$5:$K$15,0)),""))</f>
        <v/>
      </c>
      <c r="N48" s="10">
        <f>IFERROR(INDEX(KC_CURVAS!$F$5:$F$15,MATCH($E48&amp;"|"&amp;$G48,KC_CURVAS!$K$5:$K$15,0)),IFERROR(INDEX(KC_CURVAS!$F$5:$F$15,MATCH($E48&amp;"|",KC_CURVAS!$K$5:$K$15,0)),""))</f>
        <v/>
      </c>
      <c r="O48" s="11">
        <f>IFERROR(INDEX(KC_CURVAS!$G$5:$G$15,MATCH($E48&amp;"|"&amp;$G48,KC_CURVAS!$K$5:$K$15,0)),IFERROR(INDEX(KC_CURVAS!$G$5:$G$15,MATCH($E48&amp;"|",KC_CURVAS!$K$5:$K$15,0)),""))</f>
        <v/>
      </c>
      <c r="P48" s="11">
        <f>IFERROR(INDEX(KC_CURVAS!$H$5:$H$15,MATCH($E48&amp;"|"&amp;$G48,KC_CURVAS!$K$5:$K$15,0)),IFERROR(INDEX(KC_CURVAS!$H$5:$H$15,MATCH($E48&amp;"|",KC_CURVAS!$K$5:$K$15,0)),""))</f>
        <v/>
      </c>
      <c r="Q48" s="11">
        <f>IFERROR(INDEX(KC_CURVAS!$I$5:$I$15,MATCH($E48&amp;"|"&amp;$G48,KC_CURVAS!$K$5:$K$15,0)),IFERROR(INDEX(KC_CURVAS!$I$5:$I$15,MATCH($E48&amp;"|",KC_CURVAS!$K$5:$K$15,0)),""))</f>
        <v/>
      </c>
      <c r="R48" s="12">
        <f>IF(OR($J48="",$K48=""),"PENDENTE",IF($J48&lt;=$K48,$O48,IF($J48&lt;=$K48+$L48,$O48+($P48-$O48)*($J48-$K48)/$L48,IF($J48&lt;=$K48+$L48+$M48,$P48,IF($J48&lt;=$K48+$L48+$M48+$N48,$P48+($Q48-$P48)*($J48-($K48+$L48+$M48))/$N48,$Q48)))))</f>
        <v/>
      </c>
      <c r="S48" s="13">
        <f>ETO_SEM</f>
        <v/>
      </c>
      <c r="T48" s="14">
        <f>IF(OR($R48="",$R48="PENDENTE"),"",$R48*$S48)</f>
        <v/>
      </c>
      <c r="U48" s="13" t="n">
        <v>0</v>
      </c>
      <c r="V48" s="14">
        <f>IF($T48="","",MAX(0,$T48-N($U48)))</f>
        <v/>
      </c>
      <c r="W48" s="14">
        <f>IF($V48="","",$V48/EF_APLIC)</f>
        <v/>
      </c>
      <c r="X48" s="15" t="n">
        <v>74.68000000000001</v>
      </c>
      <c r="Y48" s="16">
        <f>IF(OR($W48="",$X48=""),"",$W48*$X48*10)</f>
        <v/>
      </c>
      <c r="Z48" s="17">
        <f>IFERROR(INDEX('PARAMETROS'!$B$16:$B$19,MATCH($D48,'PARAMETROS'!$A$16:$A$19,0)),"")</f>
        <v/>
      </c>
      <c r="AA48" s="16">
        <f>IF(OR($Y48="",$Z48=""),"",$Y48*$Z48)</f>
        <v/>
      </c>
      <c r="AB48" s="18">
        <f>IF($R48="PENDENTE","Definir classe/Kc",IF($W48="","-",IF($W48&gt;0,"Irrigar","Nao irrigar")))</f>
        <v/>
      </c>
      <c r="AC48" s="18">
        <f>IF(OR($W48="",$W48=0),"-",IF($W48&gt;=META_SEM,"Alta",IF($W48&gt;=META_SEM*FRAC_ACOMP,"Media","Baixa")))</f>
        <v/>
      </c>
      <c r="AD48" s="19" t="inlineStr"/>
    </row>
    <row r="49">
      <c r="A49" s="5" t="inlineStr">
        <is>
          <t>54</t>
        </is>
      </c>
      <c r="B49" s="5" t="inlineStr">
        <is>
          <t>Karitel</t>
        </is>
      </c>
      <c r="C49" s="5" t="inlineStr">
        <is>
          <t>Módulo 03</t>
        </is>
      </c>
      <c r="D49" s="5" t="inlineStr">
        <is>
          <t>KM2</t>
        </is>
      </c>
      <c r="E49" s="5" t="inlineStr">
        <is>
          <t>ALGODÃO</t>
        </is>
      </c>
      <c r="F49" s="6" t="inlineStr">
        <is>
          <t>FM 985 GLTP</t>
        </is>
      </c>
      <c r="G49" s="7" t="inlineStr">
        <is>
          <t>MÉDIO</t>
        </is>
      </c>
      <c r="H49" s="8" t="n">
        <v>46071</v>
      </c>
      <c r="I49" s="9">
        <f>IF($H49="","",DATA_REF-$H49)</f>
        <v/>
      </c>
      <c r="J49" s="9">
        <f>IF($I49="","",MAX(0,$I49-'PARAMETROS'!$B$12))</f>
        <v/>
      </c>
      <c r="K49" s="10">
        <f>IFERROR(INDEX(KC_CURVAS!$C$5:$C$15,MATCH($E49&amp;"|"&amp;$G49,KC_CURVAS!$K$5:$K$15,0)),IFERROR(INDEX(KC_CURVAS!$C$5:$C$15,MATCH($E49&amp;"|",KC_CURVAS!$K$5:$K$15,0)),""))</f>
        <v/>
      </c>
      <c r="L49" s="10">
        <f>IFERROR(INDEX(KC_CURVAS!$D$5:$D$15,MATCH($E49&amp;"|"&amp;$G49,KC_CURVAS!$K$5:$K$15,0)),IFERROR(INDEX(KC_CURVAS!$D$5:$D$15,MATCH($E49&amp;"|",KC_CURVAS!$K$5:$K$15,0)),""))</f>
        <v/>
      </c>
      <c r="M49" s="10">
        <f>IFERROR(INDEX(KC_CURVAS!$E$5:$E$15,MATCH($E49&amp;"|"&amp;$G49,KC_CURVAS!$K$5:$K$15,0)),IFERROR(INDEX(KC_CURVAS!$E$5:$E$15,MATCH($E49&amp;"|",KC_CURVAS!$K$5:$K$15,0)),""))</f>
        <v/>
      </c>
      <c r="N49" s="10">
        <f>IFERROR(INDEX(KC_CURVAS!$F$5:$F$15,MATCH($E49&amp;"|"&amp;$G49,KC_CURVAS!$K$5:$K$15,0)),IFERROR(INDEX(KC_CURVAS!$F$5:$F$15,MATCH($E49&amp;"|",KC_CURVAS!$K$5:$K$15,0)),""))</f>
        <v/>
      </c>
      <c r="O49" s="11">
        <f>IFERROR(INDEX(KC_CURVAS!$G$5:$G$15,MATCH($E49&amp;"|"&amp;$G49,KC_CURVAS!$K$5:$K$15,0)),IFERROR(INDEX(KC_CURVAS!$G$5:$G$15,MATCH($E49&amp;"|",KC_CURVAS!$K$5:$K$15,0)),""))</f>
        <v/>
      </c>
      <c r="P49" s="11">
        <f>IFERROR(INDEX(KC_CURVAS!$H$5:$H$15,MATCH($E49&amp;"|"&amp;$G49,KC_CURVAS!$K$5:$K$15,0)),IFERROR(INDEX(KC_CURVAS!$H$5:$H$15,MATCH($E49&amp;"|",KC_CURVAS!$K$5:$K$15,0)),""))</f>
        <v/>
      </c>
      <c r="Q49" s="11">
        <f>IFERROR(INDEX(KC_CURVAS!$I$5:$I$15,MATCH($E49&amp;"|"&amp;$G49,KC_CURVAS!$K$5:$K$15,0)),IFERROR(INDEX(KC_CURVAS!$I$5:$I$15,MATCH($E49&amp;"|",KC_CURVAS!$K$5:$K$15,0)),""))</f>
        <v/>
      </c>
      <c r="R49" s="12">
        <f>IF(OR($J49="",$K49=""),"PENDENTE",IF($J49&lt;=$K49,$O49,IF($J49&lt;=$K49+$L49,$O49+($P49-$O49)*($J49-$K49)/$L49,IF($J49&lt;=$K49+$L49+$M49,$P49,IF($J49&lt;=$K49+$L49+$M49+$N49,$P49+($Q49-$P49)*($J49-($K49+$L49+$M49))/$N49,$Q49)))))</f>
        <v/>
      </c>
      <c r="S49" s="13">
        <f>ETO_SEM</f>
        <v/>
      </c>
      <c r="T49" s="14">
        <f>IF(OR($R49="",$R49="PENDENTE"),"",$R49*$S49)</f>
        <v/>
      </c>
      <c r="U49" s="13" t="n">
        <v>0</v>
      </c>
      <c r="V49" s="14">
        <f>IF($T49="","",MAX(0,$T49-N($U49)))</f>
        <v/>
      </c>
      <c r="W49" s="14">
        <f>IF($V49="","",$V49/EF_APLIC)</f>
        <v/>
      </c>
      <c r="X49" s="15" t="n">
        <v>121.22</v>
      </c>
      <c r="Y49" s="16">
        <f>IF(OR($W49="",$X49=""),"",$W49*$X49*10)</f>
        <v/>
      </c>
      <c r="Z49" s="17">
        <f>IFERROR(INDEX('PARAMETROS'!$B$16:$B$19,MATCH($D49,'PARAMETROS'!$A$16:$A$19,0)),"")</f>
        <v/>
      </c>
      <c r="AA49" s="16">
        <f>IF(OR($Y49="",$Z49=""),"",$Y49*$Z49)</f>
        <v/>
      </c>
      <c r="AB49" s="18">
        <f>IF($R49="PENDENTE","Definir classe/Kc",IF($W49="","-",IF($W49&gt;0,"Irrigar","Nao irrigar")))</f>
        <v/>
      </c>
      <c r="AC49" s="18">
        <f>IF(OR($W49="",$W49=0),"-",IF($W49&gt;=META_SEM,"Alta",IF($W49&gt;=META_SEM*FRAC_ACOMP,"Media","Baixa")))</f>
        <v/>
      </c>
      <c r="AD49" s="19" t="inlineStr"/>
    </row>
    <row r="50">
      <c r="A50" s="5" t="inlineStr">
        <is>
          <t>55</t>
        </is>
      </c>
      <c r="B50" s="5" t="inlineStr">
        <is>
          <t>Karitel</t>
        </is>
      </c>
      <c r="C50" s="5" t="inlineStr">
        <is>
          <t>Módulo 03</t>
        </is>
      </c>
      <c r="D50" s="5" t="inlineStr">
        <is>
          <t>KM2</t>
        </is>
      </c>
      <c r="E50" s="5" t="inlineStr">
        <is>
          <t>ALGODÃO</t>
        </is>
      </c>
      <c r="F50" s="6" t="inlineStr">
        <is>
          <t>DP 1949 B3RF</t>
        </is>
      </c>
      <c r="G50" s="7" t="inlineStr">
        <is>
          <t>PRECOCE</t>
        </is>
      </c>
      <c r="H50" s="8" t="n">
        <v>45953</v>
      </c>
      <c r="I50" s="9">
        <f>IF($H50="","",DATA_REF-$H50)</f>
        <v/>
      </c>
      <c r="J50" s="9">
        <f>IF($I50="","",MAX(0,$I50-'PARAMETROS'!$B$12))</f>
        <v/>
      </c>
      <c r="K50" s="10">
        <f>IFERROR(INDEX(KC_CURVAS!$C$5:$C$15,MATCH($E50&amp;"|"&amp;$G50,KC_CURVAS!$K$5:$K$15,0)),IFERROR(INDEX(KC_CURVAS!$C$5:$C$15,MATCH($E50&amp;"|",KC_CURVAS!$K$5:$K$15,0)),""))</f>
        <v/>
      </c>
      <c r="L50" s="10">
        <f>IFERROR(INDEX(KC_CURVAS!$D$5:$D$15,MATCH($E50&amp;"|"&amp;$G50,KC_CURVAS!$K$5:$K$15,0)),IFERROR(INDEX(KC_CURVAS!$D$5:$D$15,MATCH($E50&amp;"|",KC_CURVAS!$K$5:$K$15,0)),""))</f>
        <v/>
      </c>
      <c r="M50" s="10">
        <f>IFERROR(INDEX(KC_CURVAS!$E$5:$E$15,MATCH($E50&amp;"|"&amp;$G50,KC_CURVAS!$K$5:$K$15,0)),IFERROR(INDEX(KC_CURVAS!$E$5:$E$15,MATCH($E50&amp;"|",KC_CURVAS!$K$5:$K$15,0)),""))</f>
        <v/>
      </c>
      <c r="N50" s="10">
        <f>IFERROR(INDEX(KC_CURVAS!$F$5:$F$15,MATCH($E50&amp;"|"&amp;$G50,KC_CURVAS!$K$5:$K$15,0)),IFERROR(INDEX(KC_CURVAS!$F$5:$F$15,MATCH($E50&amp;"|",KC_CURVAS!$K$5:$K$15,0)),""))</f>
        <v/>
      </c>
      <c r="O50" s="11">
        <f>IFERROR(INDEX(KC_CURVAS!$G$5:$G$15,MATCH($E50&amp;"|"&amp;$G50,KC_CURVAS!$K$5:$K$15,0)),IFERROR(INDEX(KC_CURVAS!$G$5:$G$15,MATCH($E50&amp;"|",KC_CURVAS!$K$5:$K$15,0)),""))</f>
        <v/>
      </c>
      <c r="P50" s="11">
        <f>IFERROR(INDEX(KC_CURVAS!$H$5:$H$15,MATCH($E50&amp;"|"&amp;$G50,KC_CURVAS!$K$5:$K$15,0)),IFERROR(INDEX(KC_CURVAS!$H$5:$H$15,MATCH($E50&amp;"|",KC_CURVAS!$K$5:$K$15,0)),""))</f>
        <v/>
      </c>
      <c r="Q50" s="11">
        <f>IFERROR(INDEX(KC_CURVAS!$I$5:$I$15,MATCH($E50&amp;"|"&amp;$G50,KC_CURVAS!$K$5:$K$15,0)),IFERROR(INDEX(KC_CURVAS!$I$5:$I$15,MATCH($E50&amp;"|",KC_CURVAS!$K$5:$K$15,0)),""))</f>
        <v/>
      </c>
      <c r="R50" s="12">
        <f>IF(OR($J50="",$K50=""),"PENDENTE",IF($J50&lt;=$K50,$O50,IF($J50&lt;=$K50+$L50,$O50+($P50-$O50)*($J50-$K50)/$L50,IF($J50&lt;=$K50+$L50+$M50,$P50,IF($J50&lt;=$K50+$L50+$M50+$N50,$P50+($Q50-$P50)*($J50-($K50+$L50+$M50))/$N50,$Q50)))))</f>
        <v/>
      </c>
      <c r="S50" s="13">
        <f>ETO_SEM</f>
        <v/>
      </c>
      <c r="T50" s="14">
        <f>IF(OR($R50="",$R50="PENDENTE"),"",$R50*$S50)</f>
        <v/>
      </c>
      <c r="U50" s="13" t="n">
        <v>0</v>
      </c>
      <c r="V50" s="14">
        <f>IF($T50="","",MAX(0,$T50-N($U50)))</f>
        <v/>
      </c>
      <c r="W50" s="14">
        <f>IF($V50="","",$V50/EF_APLIC)</f>
        <v/>
      </c>
      <c r="X50" s="15" t="n">
        <v>151.33</v>
      </c>
      <c r="Y50" s="16">
        <f>IF(OR($W50="",$X50=""),"",$W50*$X50*10)</f>
        <v/>
      </c>
      <c r="Z50" s="17">
        <f>IFERROR(INDEX('PARAMETROS'!$B$16:$B$19,MATCH($D50,'PARAMETROS'!$A$16:$A$19,0)),"")</f>
        <v/>
      </c>
      <c r="AA50" s="16">
        <f>IF(OR($Y50="",$Z50=""),"",$Y50*$Z50)</f>
        <v/>
      </c>
      <c r="AB50" s="18">
        <f>IF($R50="PENDENTE","Definir classe/Kc",IF($W50="","-",IF($W50&gt;0,"Irrigar","Nao irrigar")))</f>
        <v/>
      </c>
      <c r="AC50" s="18">
        <f>IF(OR($W50="",$W50=0),"-",IF($W50&gt;=META_SEM,"Alta",IF($W50&gt;=META_SEM*FRAC_ACOMP,"Media","Baixa")))</f>
        <v/>
      </c>
      <c r="AD50" s="19" t="inlineStr"/>
    </row>
    <row r="51">
      <c r="A51" s="5" t="inlineStr">
        <is>
          <t>51</t>
        </is>
      </c>
      <c r="B51" s="5" t="inlineStr">
        <is>
          <t>Karitel</t>
        </is>
      </c>
      <c r="C51" s="5" t="inlineStr">
        <is>
          <t>Módulo 03</t>
        </is>
      </c>
      <c r="D51" s="5" t="inlineStr">
        <is>
          <t>KM2</t>
        </is>
      </c>
      <c r="E51" s="5" t="inlineStr">
        <is>
          <t>ALGODÃO</t>
        </is>
      </c>
      <c r="F51" s="6" t="inlineStr">
        <is>
          <t>DP 2104 B3XF</t>
        </is>
      </c>
      <c r="G51" s="7" t="inlineStr">
        <is>
          <t>MÉDIO</t>
        </is>
      </c>
      <c r="H51" s="8" t="n">
        <v>46087</v>
      </c>
      <c r="I51" s="9">
        <f>IF($H51="","",DATA_REF-$H51)</f>
        <v/>
      </c>
      <c r="J51" s="9">
        <f>IF($I51="","",MAX(0,$I51-'PARAMETROS'!$B$12))</f>
        <v/>
      </c>
      <c r="K51" s="10">
        <f>IFERROR(INDEX(KC_CURVAS!$C$5:$C$15,MATCH($E51&amp;"|"&amp;$G51,KC_CURVAS!$K$5:$K$15,0)),IFERROR(INDEX(KC_CURVAS!$C$5:$C$15,MATCH($E51&amp;"|",KC_CURVAS!$K$5:$K$15,0)),""))</f>
        <v/>
      </c>
      <c r="L51" s="10">
        <f>IFERROR(INDEX(KC_CURVAS!$D$5:$D$15,MATCH($E51&amp;"|"&amp;$G51,KC_CURVAS!$K$5:$K$15,0)),IFERROR(INDEX(KC_CURVAS!$D$5:$D$15,MATCH($E51&amp;"|",KC_CURVAS!$K$5:$K$15,0)),""))</f>
        <v/>
      </c>
      <c r="M51" s="10">
        <f>IFERROR(INDEX(KC_CURVAS!$E$5:$E$15,MATCH($E51&amp;"|"&amp;$G51,KC_CURVAS!$K$5:$K$15,0)),IFERROR(INDEX(KC_CURVAS!$E$5:$E$15,MATCH($E51&amp;"|",KC_CURVAS!$K$5:$K$15,0)),""))</f>
        <v/>
      </c>
      <c r="N51" s="10">
        <f>IFERROR(INDEX(KC_CURVAS!$F$5:$F$15,MATCH($E51&amp;"|"&amp;$G51,KC_CURVAS!$K$5:$K$15,0)),IFERROR(INDEX(KC_CURVAS!$F$5:$F$15,MATCH($E51&amp;"|",KC_CURVAS!$K$5:$K$15,0)),""))</f>
        <v/>
      </c>
      <c r="O51" s="11">
        <f>IFERROR(INDEX(KC_CURVAS!$G$5:$G$15,MATCH($E51&amp;"|"&amp;$G51,KC_CURVAS!$K$5:$K$15,0)),IFERROR(INDEX(KC_CURVAS!$G$5:$G$15,MATCH($E51&amp;"|",KC_CURVAS!$K$5:$K$15,0)),""))</f>
        <v/>
      </c>
      <c r="P51" s="11">
        <f>IFERROR(INDEX(KC_CURVAS!$H$5:$H$15,MATCH($E51&amp;"|"&amp;$G51,KC_CURVAS!$K$5:$K$15,0)),IFERROR(INDEX(KC_CURVAS!$H$5:$H$15,MATCH($E51&amp;"|",KC_CURVAS!$K$5:$K$15,0)),""))</f>
        <v/>
      </c>
      <c r="Q51" s="11">
        <f>IFERROR(INDEX(KC_CURVAS!$I$5:$I$15,MATCH($E51&amp;"|"&amp;$G51,KC_CURVAS!$K$5:$K$15,0)),IFERROR(INDEX(KC_CURVAS!$I$5:$I$15,MATCH($E51&amp;"|",KC_CURVAS!$K$5:$K$15,0)),""))</f>
        <v/>
      </c>
      <c r="R51" s="12">
        <f>IF(OR($J51="",$K51=""),"PENDENTE",IF($J51&lt;=$K51,$O51,IF($J51&lt;=$K51+$L51,$O51+($P51-$O51)*($J51-$K51)/$L51,IF($J51&lt;=$K51+$L51+$M51,$P51,IF($J51&lt;=$K51+$L51+$M51+$N51,$P51+($Q51-$P51)*($J51-($K51+$L51+$M51))/$N51,$Q51)))))</f>
        <v/>
      </c>
      <c r="S51" s="13">
        <f>ETO_SEM</f>
        <v/>
      </c>
      <c r="T51" s="14">
        <f>IF(OR($R51="",$R51="PENDENTE"),"",$R51*$S51)</f>
        <v/>
      </c>
      <c r="U51" s="13" t="n">
        <v>0</v>
      </c>
      <c r="V51" s="14">
        <f>IF($T51="","",MAX(0,$T51-N($U51)))</f>
        <v/>
      </c>
      <c r="W51" s="14">
        <f>IF($V51="","",$V51/EF_APLIC)</f>
        <v/>
      </c>
      <c r="X51" s="15" t="n">
        <v>119.34</v>
      </c>
      <c r="Y51" s="16">
        <f>IF(OR($W51="",$X51=""),"",$W51*$X51*10)</f>
        <v/>
      </c>
      <c r="Z51" s="17">
        <f>IFERROR(INDEX('PARAMETROS'!$B$16:$B$19,MATCH($D51,'PARAMETROS'!$A$16:$A$19,0)),"")</f>
        <v/>
      </c>
      <c r="AA51" s="16">
        <f>IF(OR($Y51="",$Z51=""),"",$Y51*$Z51)</f>
        <v/>
      </c>
      <c r="AB51" s="18">
        <f>IF($R51="PENDENTE","Definir classe/Kc",IF($W51="","-",IF($W51&gt;0,"Irrigar","Nao irrigar")))</f>
        <v/>
      </c>
      <c r="AC51" s="18">
        <f>IF(OR($W51="",$W51=0),"-",IF($W51&gt;=META_SEM,"Alta",IF($W51&gt;=META_SEM*FRAC_ACOMP,"Media","Baixa")))</f>
        <v/>
      </c>
      <c r="AD51" s="19" t="inlineStr"/>
    </row>
    <row r="52">
      <c r="A52" s="5" t="inlineStr">
        <is>
          <t>56</t>
        </is>
      </c>
      <c r="B52" s="5" t="inlineStr">
        <is>
          <t>Karitel</t>
        </is>
      </c>
      <c r="C52" s="5" t="inlineStr">
        <is>
          <t>Módulo 03</t>
        </is>
      </c>
      <c r="D52" s="5" t="inlineStr">
        <is>
          <t>KM2</t>
        </is>
      </c>
      <c r="E52" s="5" t="inlineStr">
        <is>
          <t>ALGODÃO</t>
        </is>
      </c>
      <c r="F52" s="6" t="inlineStr">
        <is>
          <t>FM 911 GLTP</t>
        </is>
      </c>
      <c r="G52" s="7" t="inlineStr">
        <is>
          <t>TARDIO</t>
        </is>
      </c>
      <c r="H52" s="8" t="n">
        <v>46038</v>
      </c>
      <c r="I52" s="9">
        <f>IF($H52="","",DATA_REF-$H52)</f>
        <v/>
      </c>
      <c r="J52" s="9">
        <f>IF($I52="","",MAX(0,$I52-'PARAMETROS'!$B$12))</f>
        <v/>
      </c>
      <c r="K52" s="10">
        <f>IFERROR(INDEX(KC_CURVAS!$C$5:$C$15,MATCH($E52&amp;"|"&amp;$G52,KC_CURVAS!$K$5:$K$15,0)),IFERROR(INDEX(KC_CURVAS!$C$5:$C$15,MATCH($E52&amp;"|",KC_CURVAS!$K$5:$K$15,0)),""))</f>
        <v/>
      </c>
      <c r="L52" s="10">
        <f>IFERROR(INDEX(KC_CURVAS!$D$5:$D$15,MATCH($E52&amp;"|"&amp;$G52,KC_CURVAS!$K$5:$K$15,0)),IFERROR(INDEX(KC_CURVAS!$D$5:$D$15,MATCH($E52&amp;"|",KC_CURVAS!$K$5:$K$15,0)),""))</f>
        <v/>
      </c>
      <c r="M52" s="10">
        <f>IFERROR(INDEX(KC_CURVAS!$E$5:$E$15,MATCH($E52&amp;"|"&amp;$G52,KC_CURVAS!$K$5:$K$15,0)),IFERROR(INDEX(KC_CURVAS!$E$5:$E$15,MATCH($E52&amp;"|",KC_CURVAS!$K$5:$K$15,0)),""))</f>
        <v/>
      </c>
      <c r="N52" s="10">
        <f>IFERROR(INDEX(KC_CURVAS!$F$5:$F$15,MATCH($E52&amp;"|"&amp;$G52,KC_CURVAS!$K$5:$K$15,0)),IFERROR(INDEX(KC_CURVAS!$F$5:$F$15,MATCH($E52&amp;"|",KC_CURVAS!$K$5:$K$15,0)),""))</f>
        <v/>
      </c>
      <c r="O52" s="11">
        <f>IFERROR(INDEX(KC_CURVAS!$G$5:$G$15,MATCH($E52&amp;"|"&amp;$G52,KC_CURVAS!$K$5:$K$15,0)),IFERROR(INDEX(KC_CURVAS!$G$5:$G$15,MATCH($E52&amp;"|",KC_CURVAS!$K$5:$K$15,0)),""))</f>
        <v/>
      </c>
      <c r="P52" s="11">
        <f>IFERROR(INDEX(KC_CURVAS!$H$5:$H$15,MATCH($E52&amp;"|"&amp;$G52,KC_CURVAS!$K$5:$K$15,0)),IFERROR(INDEX(KC_CURVAS!$H$5:$H$15,MATCH($E52&amp;"|",KC_CURVAS!$K$5:$K$15,0)),""))</f>
        <v/>
      </c>
      <c r="Q52" s="11">
        <f>IFERROR(INDEX(KC_CURVAS!$I$5:$I$15,MATCH($E52&amp;"|"&amp;$G52,KC_CURVAS!$K$5:$K$15,0)),IFERROR(INDEX(KC_CURVAS!$I$5:$I$15,MATCH($E52&amp;"|",KC_CURVAS!$K$5:$K$15,0)),""))</f>
        <v/>
      </c>
      <c r="R52" s="12">
        <f>IF(OR($J52="",$K52=""),"PENDENTE",IF($J52&lt;=$K52,$O52,IF($J52&lt;=$K52+$L52,$O52+($P52-$O52)*($J52-$K52)/$L52,IF($J52&lt;=$K52+$L52+$M52,$P52,IF($J52&lt;=$K52+$L52+$M52+$N52,$P52+($Q52-$P52)*($J52-($K52+$L52+$M52))/$N52,$Q52)))))</f>
        <v/>
      </c>
      <c r="S52" s="13">
        <f>ETO_SEM</f>
        <v/>
      </c>
      <c r="T52" s="14">
        <f>IF(OR($R52="",$R52="PENDENTE"),"",$R52*$S52)</f>
        <v/>
      </c>
      <c r="U52" s="13" t="n">
        <v>0</v>
      </c>
      <c r="V52" s="14">
        <f>IF($T52="","",MAX(0,$T52-N($U52)))</f>
        <v/>
      </c>
      <c r="W52" s="14">
        <f>IF($V52="","",$V52/EF_APLIC)</f>
        <v/>
      </c>
      <c r="X52" s="15" t="n">
        <v>151.2</v>
      </c>
      <c r="Y52" s="16">
        <f>IF(OR($W52="",$X52=""),"",$W52*$X52*10)</f>
        <v/>
      </c>
      <c r="Z52" s="17">
        <f>IFERROR(INDEX('PARAMETROS'!$B$16:$B$19,MATCH($D52,'PARAMETROS'!$A$16:$A$19,0)),"")</f>
        <v/>
      </c>
      <c r="AA52" s="16">
        <f>IF(OR($Y52="",$Z52=""),"",$Y52*$Z52)</f>
        <v/>
      </c>
      <c r="AB52" s="18">
        <f>IF($R52="PENDENTE","Definir classe/Kc",IF($W52="","-",IF($W52&gt;0,"Irrigar","Nao irrigar")))</f>
        <v/>
      </c>
      <c r="AC52" s="18">
        <f>IF(OR($W52="",$W52=0),"-",IF($W52&gt;=META_SEM,"Alta",IF($W52&gt;=META_SEM*FRAC_ACOMP,"Media","Baixa")))</f>
        <v/>
      </c>
      <c r="AD52" s="19" t="inlineStr"/>
    </row>
    <row r="53">
      <c r="A53" s="5" t="inlineStr">
        <is>
          <t>57</t>
        </is>
      </c>
      <c r="B53" s="5" t="inlineStr">
        <is>
          <t>Karitel</t>
        </is>
      </c>
      <c r="C53" s="5" t="inlineStr">
        <is>
          <t>Módulo 03</t>
        </is>
      </c>
      <c r="D53" s="5" t="inlineStr">
        <is>
          <t>KM2</t>
        </is>
      </c>
      <c r="E53" s="5" t="inlineStr">
        <is>
          <t>ALGODÃO</t>
        </is>
      </c>
      <c r="F53" s="6" t="inlineStr">
        <is>
          <t>FM 911 GLTP</t>
        </is>
      </c>
      <c r="G53" s="7" t="inlineStr">
        <is>
          <t>TARDIO</t>
        </is>
      </c>
      <c r="H53" s="8" t="n">
        <v>46002</v>
      </c>
      <c r="I53" s="9">
        <f>IF($H53="","",DATA_REF-$H53)</f>
        <v/>
      </c>
      <c r="J53" s="9">
        <f>IF($I53="","",MAX(0,$I53-'PARAMETROS'!$B$12))</f>
        <v/>
      </c>
      <c r="K53" s="10">
        <f>IFERROR(INDEX(KC_CURVAS!$C$5:$C$15,MATCH($E53&amp;"|"&amp;$G53,KC_CURVAS!$K$5:$K$15,0)),IFERROR(INDEX(KC_CURVAS!$C$5:$C$15,MATCH($E53&amp;"|",KC_CURVAS!$K$5:$K$15,0)),""))</f>
        <v/>
      </c>
      <c r="L53" s="10">
        <f>IFERROR(INDEX(KC_CURVAS!$D$5:$D$15,MATCH($E53&amp;"|"&amp;$G53,KC_CURVAS!$K$5:$K$15,0)),IFERROR(INDEX(KC_CURVAS!$D$5:$D$15,MATCH($E53&amp;"|",KC_CURVAS!$K$5:$K$15,0)),""))</f>
        <v/>
      </c>
      <c r="M53" s="10">
        <f>IFERROR(INDEX(KC_CURVAS!$E$5:$E$15,MATCH($E53&amp;"|"&amp;$G53,KC_CURVAS!$K$5:$K$15,0)),IFERROR(INDEX(KC_CURVAS!$E$5:$E$15,MATCH($E53&amp;"|",KC_CURVAS!$K$5:$K$15,0)),""))</f>
        <v/>
      </c>
      <c r="N53" s="10">
        <f>IFERROR(INDEX(KC_CURVAS!$F$5:$F$15,MATCH($E53&amp;"|"&amp;$G53,KC_CURVAS!$K$5:$K$15,0)),IFERROR(INDEX(KC_CURVAS!$F$5:$F$15,MATCH($E53&amp;"|",KC_CURVAS!$K$5:$K$15,0)),""))</f>
        <v/>
      </c>
      <c r="O53" s="11">
        <f>IFERROR(INDEX(KC_CURVAS!$G$5:$G$15,MATCH($E53&amp;"|"&amp;$G53,KC_CURVAS!$K$5:$K$15,0)),IFERROR(INDEX(KC_CURVAS!$G$5:$G$15,MATCH($E53&amp;"|",KC_CURVAS!$K$5:$K$15,0)),""))</f>
        <v/>
      </c>
      <c r="P53" s="11">
        <f>IFERROR(INDEX(KC_CURVAS!$H$5:$H$15,MATCH($E53&amp;"|"&amp;$G53,KC_CURVAS!$K$5:$K$15,0)),IFERROR(INDEX(KC_CURVAS!$H$5:$H$15,MATCH($E53&amp;"|",KC_CURVAS!$K$5:$K$15,0)),""))</f>
        <v/>
      </c>
      <c r="Q53" s="11">
        <f>IFERROR(INDEX(KC_CURVAS!$I$5:$I$15,MATCH($E53&amp;"|"&amp;$G53,KC_CURVAS!$K$5:$K$15,0)),IFERROR(INDEX(KC_CURVAS!$I$5:$I$15,MATCH($E53&amp;"|",KC_CURVAS!$K$5:$K$15,0)),""))</f>
        <v/>
      </c>
      <c r="R53" s="12">
        <f>IF(OR($J53="",$K53=""),"PENDENTE",IF($J53&lt;=$K53,$O53,IF($J53&lt;=$K53+$L53,$O53+($P53-$O53)*($J53-$K53)/$L53,IF($J53&lt;=$K53+$L53+$M53,$P53,IF($J53&lt;=$K53+$L53+$M53+$N53,$P53+($Q53-$P53)*($J53-($K53+$L53+$M53))/$N53,$Q53)))))</f>
        <v/>
      </c>
      <c r="S53" s="13">
        <f>ETO_SEM</f>
        <v/>
      </c>
      <c r="T53" s="14">
        <f>IF(OR($R53="",$R53="PENDENTE"),"",$R53*$S53)</f>
        <v/>
      </c>
      <c r="U53" s="13" t="n">
        <v>0</v>
      </c>
      <c r="V53" s="14">
        <f>IF($T53="","",MAX(0,$T53-N($U53)))</f>
        <v/>
      </c>
      <c r="W53" s="14">
        <f>IF($V53="","",$V53/EF_APLIC)</f>
        <v/>
      </c>
      <c r="X53" s="15" t="n">
        <v>150</v>
      </c>
      <c r="Y53" s="16">
        <f>IF(OR($W53="",$X53=""),"",$W53*$X53*10)</f>
        <v/>
      </c>
      <c r="Z53" s="17">
        <f>IFERROR(INDEX('PARAMETROS'!$B$16:$B$19,MATCH($D53,'PARAMETROS'!$A$16:$A$19,0)),"")</f>
        <v/>
      </c>
      <c r="AA53" s="16">
        <f>IF(OR($Y53="",$Z53=""),"",$Y53*$Z53)</f>
        <v/>
      </c>
      <c r="AB53" s="18">
        <f>IF($R53="PENDENTE","Definir classe/Kc",IF($W53="","-",IF($W53&gt;0,"Irrigar","Nao irrigar")))</f>
        <v/>
      </c>
      <c r="AC53" s="18">
        <f>IF(OR($W53="",$W53=0),"-",IF($W53&gt;=META_SEM,"Alta",IF($W53&gt;=META_SEM*FRAC_ACOMP,"Media","Baixa")))</f>
        <v/>
      </c>
      <c r="AD53" s="19" t="inlineStr"/>
    </row>
    <row r="54">
      <c r="A54" s="5" t="inlineStr">
        <is>
          <t>58</t>
        </is>
      </c>
      <c r="B54" s="5" t="inlineStr">
        <is>
          <t>Karitel</t>
        </is>
      </c>
      <c r="C54" s="5" t="inlineStr">
        <is>
          <t>Módulo 03</t>
        </is>
      </c>
      <c r="D54" s="5" t="inlineStr">
        <is>
          <t>KM2</t>
        </is>
      </c>
      <c r="E54" s="5" t="inlineStr">
        <is>
          <t>ALGODÃO</t>
        </is>
      </c>
      <c r="F54" s="6" t="inlineStr">
        <is>
          <t>DP 2111 B3RF</t>
        </is>
      </c>
      <c r="G54" s="7" t="inlineStr">
        <is>
          <t>MÉDIO</t>
        </is>
      </c>
      <c r="H54" s="8" t="n">
        <v>45873</v>
      </c>
      <c r="I54" s="9">
        <f>IF($H54="","",DATA_REF-$H54)</f>
        <v/>
      </c>
      <c r="J54" s="9">
        <f>IF($I54="","",MAX(0,$I54-'PARAMETROS'!$B$12))</f>
        <v/>
      </c>
      <c r="K54" s="10">
        <f>IFERROR(INDEX(KC_CURVAS!$C$5:$C$15,MATCH($E54&amp;"|"&amp;$G54,KC_CURVAS!$K$5:$K$15,0)),IFERROR(INDEX(KC_CURVAS!$C$5:$C$15,MATCH($E54&amp;"|",KC_CURVAS!$K$5:$K$15,0)),""))</f>
        <v/>
      </c>
      <c r="L54" s="10">
        <f>IFERROR(INDEX(KC_CURVAS!$D$5:$D$15,MATCH($E54&amp;"|"&amp;$G54,KC_CURVAS!$K$5:$K$15,0)),IFERROR(INDEX(KC_CURVAS!$D$5:$D$15,MATCH($E54&amp;"|",KC_CURVAS!$K$5:$K$15,0)),""))</f>
        <v/>
      </c>
      <c r="M54" s="10">
        <f>IFERROR(INDEX(KC_CURVAS!$E$5:$E$15,MATCH($E54&amp;"|"&amp;$G54,KC_CURVAS!$K$5:$K$15,0)),IFERROR(INDEX(KC_CURVAS!$E$5:$E$15,MATCH($E54&amp;"|",KC_CURVAS!$K$5:$K$15,0)),""))</f>
        <v/>
      </c>
      <c r="N54" s="10">
        <f>IFERROR(INDEX(KC_CURVAS!$F$5:$F$15,MATCH($E54&amp;"|"&amp;$G54,KC_CURVAS!$K$5:$K$15,0)),IFERROR(INDEX(KC_CURVAS!$F$5:$F$15,MATCH($E54&amp;"|",KC_CURVAS!$K$5:$K$15,0)),""))</f>
        <v/>
      </c>
      <c r="O54" s="11">
        <f>IFERROR(INDEX(KC_CURVAS!$G$5:$G$15,MATCH($E54&amp;"|"&amp;$G54,KC_CURVAS!$K$5:$K$15,0)),IFERROR(INDEX(KC_CURVAS!$G$5:$G$15,MATCH($E54&amp;"|",KC_CURVAS!$K$5:$K$15,0)),""))</f>
        <v/>
      </c>
      <c r="P54" s="11">
        <f>IFERROR(INDEX(KC_CURVAS!$H$5:$H$15,MATCH($E54&amp;"|"&amp;$G54,KC_CURVAS!$K$5:$K$15,0)),IFERROR(INDEX(KC_CURVAS!$H$5:$H$15,MATCH($E54&amp;"|",KC_CURVAS!$K$5:$K$15,0)),""))</f>
        <v/>
      </c>
      <c r="Q54" s="11">
        <f>IFERROR(INDEX(KC_CURVAS!$I$5:$I$15,MATCH($E54&amp;"|"&amp;$G54,KC_CURVAS!$K$5:$K$15,0)),IFERROR(INDEX(KC_CURVAS!$I$5:$I$15,MATCH($E54&amp;"|",KC_CURVAS!$K$5:$K$15,0)),""))</f>
        <v/>
      </c>
      <c r="R54" s="12">
        <f>IF(OR($J54="",$K54=""),"PENDENTE",IF($J54&lt;=$K54,$O54,IF($J54&lt;=$K54+$L54,$O54+($P54-$O54)*($J54-$K54)/$L54,IF($J54&lt;=$K54+$L54+$M54,$P54,IF($J54&lt;=$K54+$L54+$M54+$N54,$P54+($Q54-$P54)*($J54-($K54+$L54+$M54))/$N54,$Q54)))))</f>
        <v/>
      </c>
      <c r="S54" s="13">
        <f>ETO_SEM</f>
        <v/>
      </c>
      <c r="T54" s="14">
        <f>IF(OR($R54="",$R54="PENDENTE"),"",$R54*$S54)</f>
        <v/>
      </c>
      <c r="U54" s="13" t="n">
        <v>0</v>
      </c>
      <c r="V54" s="14">
        <f>IF($T54="","",MAX(0,$T54-N($U54)))</f>
        <v/>
      </c>
      <c r="W54" s="14">
        <f>IF($V54="","",$V54/EF_APLIC)</f>
        <v/>
      </c>
      <c r="X54" s="15" t="n">
        <v>150</v>
      </c>
      <c r="Y54" s="16">
        <f>IF(OR($W54="",$X54=""),"",$W54*$X54*10)</f>
        <v/>
      </c>
      <c r="Z54" s="17">
        <f>IFERROR(INDEX('PARAMETROS'!$B$16:$B$19,MATCH($D54,'PARAMETROS'!$A$16:$A$19,0)),"")</f>
        <v/>
      </c>
      <c r="AA54" s="16">
        <f>IF(OR($Y54="",$Z54=""),"",$Y54*$Z54)</f>
        <v/>
      </c>
      <c r="AB54" s="18">
        <f>IF($R54="PENDENTE","Definir classe/Kc",IF($W54="","-",IF($W54&gt;0,"Irrigar","Nao irrigar")))</f>
        <v/>
      </c>
      <c r="AC54" s="18">
        <f>IF(OR($W54="",$W54=0),"-",IF($W54&gt;=META_SEM,"Alta",IF($W54&gt;=META_SEM*FRAC_ACOMP,"Media","Baixa")))</f>
        <v/>
      </c>
      <c r="AD54" s="19" t="inlineStr"/>
    </row>
    <row r="55">
      <c r="A55" s="5" t="inlineStr">
        <is>
          <t>59</t>
        </is>
      </c>
      <c r="B55" s="5" t="inlineStr">
        <is>
          <t>Karitel</t>
        </is>
      </c>
      <c r="C55" s="5" t="inlineStr">
        <is>
          <t>Módulo 03</t>
        </is>
      </c>
      <c r="D55" s="5" t="inlineStr">
        <is>
          <t>KM2</t>
        </is>
      </c>
      <c r="E55" s="5" t="inlineStr">
        <is>
          <t>ALGODÃO</t>
        </is>
      </c>
      <c r="F55" s="6" t="inlineStr">
        <is>
          <t>FM 911 GLTP</t>
        </is>
      </c>
      <c r="G55" s="7" t="inlineStr">
        <is>
          <t>TARDIO</t>
        </is>
      </c>
      <c r="H55" s="8" t="n">
        <v>46008</v>
      </c>
      <c r="I55" s="9">
        <f>IF($H55="","",DATA_REF-$H55)</f>
        <v/>
      </c>
      <c r="J55" s="9">
        <f>IF($I55="","",MAX(0,$I55-'PARAMETROS'!$B$12))</f>
        <v/>
      </c>
      <c r="K55" s="10">
        <f>IFERROR(INDEX(KC_CURVAS!$C$5:$C$15,MATCH($E55&amp;"|"&amp;$G55,KC_CURVAS!$K$5:$K$15,0)),IFERROR(INDEX(KC_CURVAS!$C$5:$C$15,MATCH($E55&amp;"|",KC_CURVAS!$K$5:$K$15,0)),""))</f>
        <v/>
      </c>
      <c r="L55" s="10">
        <f>IFERROR(INDEX(KC_CURVAS!$D$5:$D$15,MATCH($E55&amp;"|"&amp;$G55,KC_CURVAS!$K$5:$K$15,0)),IFERROR(INDEX(KC_CURVAS!$D$5:$D$15,MATCH($E55&amp;"|",KC_CURVAS!$K$5:$K$15,0)),""))</f>
        <v/>
      </c>
      <c r="M55" s="10">
        <f>IFERROR(INDEX(KC_CURVAS!$E$5:$E$15,MATCH($E55&amp;"|"&amp;$G55,KC_CURVAS!$K$5:$K$15,0)),IFERROR(INDEX(KC_CURVAS!$E$5:$E$15,MATCH($E55&amp;"|",KC_CURVAS!$K$5:$K$15,0)),""))</f>
        <v/>
      </c>
      <c r="N55" s="10">
        <f>IFERROR(INDEX(KC_CURVAS!$F$5:$F$15,MATCH($E55&amp;"|"&amp;$G55,KC_CURVAS!$K$5:$K$15,0)),IFERROR(INDEX(KC_CURVAS!$F$5:$F$15,MATCH($E55&amp;"|",KC_CURVAS!$K$5:$K$15,0)),""))</f>
        <v/>
      </c>
      <c r="O55" s="11">
        <f>IFERROR(INDEX(KC_CURVAS!$G$5:$G$15,MATCH($E55&amp;"|"&amp;$G55,KC_CURVAS!$K$5:$K$15,0)),IFERROR(INDEX(KC_CURVAS!$G$5:$G$15,MATCH($E55&amp;"|",KC_CURVAS!$K$5:$K$15,0)),""))</f>
        <v/>
      </c>
      <c r="P55" s="11">
        <f>IFERROR(INDEX(KC_CURVAS!$H$5:$H$15,MATCH($E55&amp;"|"&amp;$G55,KC_CURVAS!$K$5:$K$15,0)),IFERROR(INDEX(KC_CURVAS!$H$5:$H$15,MATCH($E55&amp;"|",KC_CURVAS!$K$5:$K$15,0)),""))</f>
        <v/>
      </c>
      <c r="Q55" s="11">
        <f>IFERROR(INDEX(KC_CURVAS!$I$5:$I$15,MATCH($E55&amp;"|"&amp;$G55,KC_CURVAS!$K$5:$K$15,0)),IFERROR(INDEX(KC_CURVAS!$I$5:$I$15,MATCH($E55&amp;"|",KC_CURVAS!$K$5:$K$15,0)),""))</f>
        <v/>
      </c>
      <c r="R55" s="12">
        <f>IF(OR($J55="",$K55=""),"PENDENTE",IF($J55&lt;=$K55,$O55,IF($J55&lt;=$K55+$L55,$O55+($P55-$O55)*($J55-$K55)/$L55,IF($J55&lt;=$K55+$L55+$M55,$P55,IF($J55&lt;=$K55+$L55+$M55+$N55,$P55+($Q55-$P55)*($J55-($K55+$L55+$M55))/$N55,$Q55)))))</f>
        <v/>
      </c>
      <c r="S55" s="13">
        <f>ETO_SEM</f>
        <v/>
      </c>
      <c r="T55" s="14">
        <f>IF(OR($R55="",$R55="PENDENTE"),"",$R55*$S55)</f>
        <v/>
      </c>
      <c r="U55" s="13" t="n">
        <v>0</v>
      </c>
      <c r="V55" s="14">
        <f>IF($T55="","",MAX(0,$T55-N($U55)))</f>
        <v/>
      </c>
      <c r="W55" s="14">
        <f>IF($V55="","",$V55/EF_APLIC)</f>
        <v/>
      </c>
      <c r="X55" s="15" t="n">
        <v>143</v>
      </c>
      <c r="Y55" s="16">
        <f>IF(OR($W55="",$X55=""),"",$W55*$X55*10)</f>
        <v/>
      </c>
      <c r="Z55" s="17">
        <f>IFERROR(INDEX('PARAMETROS'!$B$16:$B$19,MATCH($D55,'PARAMETROS'!$A$16:$A$19,0)),"")</f>
        <v/>
      </c>
      <c r="AA55" s="16">
        <f>IF(OR($Y55="",$Z55=""),"",$Y55*$Z55)</f>
        <v/>
      </c>
      <c r="AB55" s="18">
        <f>IF($R55="PENDENTE","Definir classe/Kc",IF($W55="","-",IF($W55&gt;0,"Irrigar","Nao irrigar")))</f>
        <v/>
      </c>
      <c r="AC55" s="18">
        <f>IF(OR($W55="",$W55=0),"-",IF($W55&gt;=META_SEM,"Alta",IF($W55&gt;=META_SEM*FRAC_ACOMP,"Media","Baixa")))</f>
        <v/>
      </c>
      <c r="AD55" s="19" t="inlineStr"/>
    </row>
    <row r="56">
      <c r="A56" s="5" t="inlineStr">
        <is>
          <t>60</t>
        </is>
      </c>
      <c r="B56" s="5" t="inlineStr">
        <is>
          <t>Karitel</t>
        </is>
      </c>
      <c r="C56" s="5" t="inlineStr">
        <is>
          <t>Módulo 03</t>
        </is>
      </c>
      <c r="D56" s="5" t="inlineStr">
        <is>
          <t>KM2</t>
        </is>
      </c>
      <c r="E56" s="5" t="inlineStr">
        <is>
          <t>ALGODÃO</t>
        </is>
      </c>
      <c r="F56" s="6" t="inlineStr">
        <is>
          <t>DP 1949 B3RF</t>
        </is>
      </c>
      <c r="G56" s="7" t="inlineStr">
        <is>
          <t>PRECOCE</t>
        </is>
      </c>
      <c r="H56" s="8" t="n">
        <v>46001</v>
      </c>
      <c r="I56" s="9">
        <f>IF($H56="","",DATA_REF-$H56)</f>
        <v/>
      </c>
      <c r="J56" s="9">
        <f>IF($I56="","",MAX(0,$I56-'PARAMETROS'!$B$12))</f>
        <v/>
      </c>
      <c r="K56" s="10">
        <f>IFERROR(INDEX(KC_CURVAS!$C$5:$C$15,MATCH($E56&amp;"|"&amp;$G56,KC_CURVAS!$K$5:$K$15,0)),IFERROR(INDEX(KC_CURVAS!$C$5:$C$15,MATCH($E56&amp;"|",KC_CURVAS!$K$5:$K$15,0)),""))</f>
        <v/>
      </c>
      <c r="L56" s="10">
        <f>IFERROR(INDEX(KC_CURVAS!$D$5:$D$15,MATCH($E56&amp;"|"&amp;$G56,KC_CURVAS!$K$5:$K$15,0)),IFERROR(INDEX(KC_CURVAS!$D$5:$D$15,MATCH($E56&amp;"|",KC_CURVAS!$K$5:$K$15,0)),""))</f>
        <v/>
      </c>
      <c r="M56" s="10">
        <f>IFERROR(INDEX(KC_CURVAS!$E$5:$E$15,MATCH($E56&amp;"|"&amp;$G56,KC_CURVAS!$K$5:$K$15,0)),IFERROR(INDEX(KC_CURVAS!$E$5:$E$15,MATCH($E56&amp;"|",KC_CURVAS!$K$5:$K$15,0)),""))</f>
        <v/>
      </c>
      <c r="N56" s="10">
        <f>IFERROR(INDEX(KC_CURVAS!$F$5:$F$15,MATCH($E56&amp;"|"&amp;$G56,KC_CURVAS!$K$5:$K$15,0)),IFERROR(INDEX(KC_CURVAS!$F$5:$F$15,MATCH($E56&amp;"|",KC_CURVAS!$K$5:$K$15,0)),""))</f>
        <v/>
      </c>
      <c r="O56" s="11">
        <f>IFERROR(INDEX(KC_CURVAS!$G$5:$G$15,MATCH($E56&amp;"|"&amp;$G56,KC_CURVAS!$K$5:$K$15,0)),IFERROR(INDEX(KC_CURVAS!$G$5:$G$15,MATCH($E56&amp;"|",KC_CURVAS!$K$5:$K$15,0)),""))</f>
        <v/>
      </c>
      <c r="P56" s="11">
        <f>IFERROR(INDEX(KC_CURVAS!$H$5:$H$15,MATCH($E56&amp;"|"&amp;$G56,KC_CURVAS!$K$5:$K$15,0)),IFERROR(INDEX(KC_CURVAS!$H$5:$H$15,MATCH($E56&amp;"|",KC_CURVAS!$K$5:$K$15,0)),""))</f>
        <v/>
      </c>
      <c r="Q56" s="11">
        <f>IFERROR(INDEX(KC_CURVAS!$I$5:$I$15,MATCH($E56&amp;"|"&amp;$G56,KC_CURVAS!$K$5:$K$15,0)),IFERROR(INDEX(KC_CURVAS!$I$5:$I$15,MATCH($E56&amp;"|",KC_CURVAS!$K$5:$K$15,0)),""))</f>
        <v/>
      </c>
      <c r="R56" s="12">
        <f>IF(OR($J56="",$K56=""),"PENDENTE",IF($J56&lt;=$K56,$O56,IF($J56&lt;=$K56+$L56,$O56+($P56-$O56)*($J56-$K56)/$L56,IF($J56&lt;=$K56+$L56+$M56,$P56,IF($J56&lt;=$K56+$L56+$M56+$N56,$P56+($Q56-$P56)*($J56-($K56+$L56+$M56))/$N56,$Q56)))))</f>
        <v/>
      </c>
      <c r="S56" s="13">
        <f>ETO_SEM</f>
        <v/>
      </c>
      <c r="T56" s="14">
        <f>IF(OR($R56="",$R56="PENDENTE"),"",$R56*$S56)</f>
        <v/>
      </c>
      <c r="U56" s="13" t="n">
        <v>0</v>
      </c>
      <c r="V56" s="14">
        <f>IF($T56="","",MAX(0,$T56-N($U56)))</f>
        <v/>
      </c>
      <c r="W56" s="14">
        <f>IF($V56="","",$V56/EF_APLIC)</f>
        <v/>
      </c>
      <c r="X56" s="15" t="n">
        <v>150</v>
      </c>
      <c r="Y56" s="16">
        <f>IF(OR($W56="",$X56=""),"",$W56*$X56*10)</f>
        <v/>
      </c>
      <c r="Z56" s="17">
        <f>IFERROR(INDEX('PARAMETROS'!$B$16:$B$19,MATCH($D56,'PARAMETROS'!$A$16:$A$19,0)),"")</f>
        <v/>
      </c>
      <c r="AA56" s="16">
        <f>IF(OR($Y56="",$Z56=""),"",$Y56*$Z56)</f>
        <v/>
      </c>
      <c r="AB56" s="18">
        <f>IF($R56="PENDENTE","Definir classe/Kc",IF($W56="","-",IF($W56&gt;0,"Irrigar","Nao irrigar")))</f>
        <v/>
      </c>
      <c r="AC56" s="18">
        <f>IF(OR($W56="",$W56=0),"-",IF($W56&gt;=META_SEM,"Alta",IF($W56&gt;=META_SEM*FRAC_ACOMP,"Media","Baixa")))</f>
        <v/>
      </c>
      <c r="AD56" s="19" t="inlineStr"/>
    </row>
    <row r="57">
      <c r="A57" s="5" t="inlineStr">
        <is>
          <t>66</t>
        </is>
      </c>
      <c r="B57" s="5" t="inlineStr">
        <is>
          <t>Karitel</t>
        </is>
      </c>
      <c r="C57" s="5" t="inlineStr">
        <is>
          <t>Módulo 03</t>
        </is>
      </c>
      <c r="D57" s="5" t="inlineStr">
        <is>
          <t>KM2</t>
        </is>
      </c>
      <c r="E57" s="5" t="inlineStr">
        <is>
          <t>ALGODÃO</t>
        </is>
      </c>
      <c r="F57" s="6" t="inlineStr">
        <is>
          <t>DP 1949 B3RF</t>
        </is>
      </c>
      <c r="G57" s="7" t="inlineStr">
        <is>
          <t>PRECOCE</t>
        </is>
      </c>
      <c r="H57" s="8" t="n">
        <v>46000</v>
      </c>
      <c r="I57" s="9">
        <f>IF($H57="","",DATA_REF-$H57)</f>
        <v/>
      </c>
      <c r="J57" s="9">
        <f>IF($I57="","",MAX(0,$I57-'PARAMETROS'!$B$12))</f>
        <v/>
      </c>
      <c r="K57" s="10">
        <f>IFERROR(INDEX(KC_CURVAS!$C$5:$C$15,MATCH($E57&amp;"|"&amp;$G57,KC_CURVAS!$K$5:$K$15,0)),IFERROR(INDEX(KC_CURVAS!$C$5:$C$15,MATCH($E57&amp;"|",KC_CURVAS!$K$5:$K$15,0)),""))</f>
        <v/>
      </c>
      <c r="L57" s="10">
        <f>IFERROR(INDEX(KC_CURVAS!$D$5:$D$15,MATCH($E57&amp;"|"&amp;$G57,KC_CURVAS!$K$5:$K$15,0)),IFERROR(INDEX(KC_CURVAS!$D$5:$D$15,MATCH($E57&amp;"|",KC_CURVAS!$K$5:$K$15,0)),""))</f>
        <v/>
      </c>
      <c r="M57" s="10">
        <f>IFERROR(INDEX(KC_CURVAS!$E$5:$E$15,MATCH($E57&amp;"|"&amp;$G57,KC_CURVAS!$K$5:$K$15,0)),IFERROR(INDEX(KC_CURVAS!$E$5:$E$15,MATCH($E57&amp;"|",KC_CURVAS!$K$5:$K$15,0)),""))</f>
        <v/>
      </c>
      <c r="N57" s="10">
        <f>IFERROR(INDEX(KC_CURVAS!$F$5:$F$15,MATCH($E57&amp;"|"&amp;$G57,KC_CURVAS!$K$5:$K$15,0)),IFERROR(INDEX(KC_CURVAS!$F$5:$F$15,MATCH($E57&amp;"|",KC_CURVAS!$K$5:$K$15,0)),""))</f>
        <v/>
      </c>
      <c r="O57" s="11">
        <f>IFERROR(INDEX(KC_CURVAS!$G$5:$G$15,MATCH($E57&amp;"|"&amp;$G57,KC_CURVAS!$K$5:$K$15,0)),IFERROR(INDEX(KC_CURVAS!$G$5:$G$15,MATCH($E57&amp;"|",KC_CURVAS!$K$5:$K$15,0)),""))</f>
        <v/>
      </c>
      <c r="P57" s="11">
        <f>IFERROR(INDEX(KC_CURVAS!$H$5:$H$15,MATCH($E57&amp;"|"&amp;$G57,KC_CURVAS!$K$5:$K$15,0)),IFERROR(INDEX(KC_CURVAS!$H$5:$H$15,MATCH($E57&amp;"|",KC_CURVAS!$K$5:$K$15,0)),""))</f>
        <v/>
      </c>
      <c r="Q57" s="11">
        <f>IFERROR(INDEX(KC_CURVAS!$I$5:$I$15,MATCH($E57&amp;"|"&amp;$G57,KC_CURVAS!$K$5:$K$15,0)),IFERROR(INDEX(KC_CURVAS!$I$5:$I$15,MATCH($E57&amp;"|",KC_CURVAS!$K$5:$K$15,0)),""))</f>
        <v/>
      </c>
      <c r="R57" s="12">
        <f>IF(OR($J57="",$K57=""),"PENDENTE",IF($J57&lt;=$K57,$O57,IF($J57&lt;=$K57+$L57,$O57+($P57-$O57)*($J57-$K57)/$L57,IF($J57&lt;=$K57+$L57+$M57,$P57,IF($J57&lt;=$K57+$L57+$M57+$N57,$P57+($Q57-$P57)*($J57-($K57+$L57+$M57))/$N57,$Q57)))))</f>
        <v/>
      </c>
      <c r="S57" s="13">
        <f>ETO_SEM</f>
        <v/>
      </c>
      <c r="T57" s="14">
        <f>IF(OR($R57="",$R57="PENDENTE"),"",$R57*$S57)</f>
        <v/>
      </c>
      <c r="U57" s="13" t="n">
        <v>0</v>
      </c>
      <c r="V57" s="14">
        <f>IF($T57="","",MAX(0,$T57-N($U57)))</f>
        <v/>
      </c>
      <c r="W57" s="14">
        <f>IF($V57="","",$V57/EF_APLIC)</f>
        <v/>
      </c>
      <c r="X57" s="15" t="n">
        <v>100</v>
      </c>
      <c r="Y57" s="16">
        <f>IF(OR($W57="",$X57=""),"",$W57*$X57*10)</f>
        <v/>
      </c>
      <c r="Z57" s="17">
        <f>IFERROR(INDEX('PARAMETROS'!$B$16:$B$19,MATCH($D57,'PARAMETROS'!$A$16:$A$19,0)),"")</f>
        <v/>
      </c>
      <c r="AA57" s="16">
        <f>IF(OR($Y57="",$Z57=""),"",$Y57*$Z57)</f>
        <v/>
      </c>
      <c r="AB57" s="18">
        <f>IF($R57="PENDENTE","Definir classe/Kc",IF($W57="","-",IF($W57&gt;0,"Irrigar","Nao irrigar")))</f>
        <v/>
      </c>
      <c r="AC57" s="18">
        <f>IF(OR($W57="",$W57=0),"-",IF($W57&gt;=META_SEM,"Alta",IF($W57&gt;=META_SEM*FRAC_ACOMP,"Media","Baixa")))</f>
        <v/>
      </c>
      <c r="AD57" s="19" t="inlineStr"/>
    </row>
    <row r="58">
      <c r="A58" s="5" t="inlineStr">
        <is>
          <t>61</t>
        </is>
      </c>
      <c r="B58" s="5" t="inlineStr">
        <is>
          <t>Karitel</t>
        </is>
      </c>
      <c r="C58" s="5" t="inlineStr">
        <is>
          <t>Módulo 03</t>
        </is>
      </c>
      <c r="D58" s="5" t="inlineStr">
        <is>
          <t>KM2</t>
        </is>
      </c>
      <c r="E58" s="5" t="inlineStr">
        <is>
          <t>ALGODÃO</t>
        </is>
      </c>
      <c r="F58" s="6" t="inlineStr">
        <is>
          <t>FM 911 GLTP</t>
        </is>
      </c>
      <c r="G58" s="7" t="inlineStr">
        <is>
          <t>TARDIO</t>
        </is>
      </c>
      <c r="H58" s="8" t="n">
        <v>46020</v>
      </c>
      <c r="I58" s="9">
        <f>IF($H58="","",DATA_REF-$H58)</f>
        <v/>
      </c>
      <c r="J58" s="9">
        <f>IF($I58="","",MAX(0,$I58-'PARAMETROS'!$B$12))</f>
        <v/>
      </c>
      <c r="K58" s="10">
        <f>IFERROR(INDEX(KC_CURVAS!$C$5:$C$15,MATCH($E58&amp;"|"&amp;$G58,KC_CURVAS!$K$5:$K$15,0)),IFERROR(INDEX(KC_CURVAS!$C$5:$C$15,MATCH($E58&amp;"|",KC_CURVAS!$K$5:$K$15,0)),""))</f>
        <v/>
      </c>
      <c r="L58" s="10">
        <f>IFERROR(INDEX(KC_CURVAS!$D$5:$D$15,MATCH($E58&amp;"|"&amp;$G58,KC_CURVAS!$K$5:$K$15,0)),IFERROR(INDEX(KC_CURVAS!$D$5:$D$15,MATCH($E58&amp;"|",KC_CURVAS!$K$5:$K$15,0)),""))</f>
        <v/>
      </c>
      <c r="M58" s="10">
        <f>IFERROR(INDEX(KC_CURVAS!$E$5:$E$15,MATCH($E58&amp;"|"&amp;$G58,KC_CURVAS!$K$5:$K$15,0)),IFERROR(INDEX(KC_CURVAS!$E$5:$E$15,MATCH($E58&amp;"|",KC_CURVAS!$K$5:$K$15,0)),""))</f>
        <v/>
      </c>
      <c r="N58" s="10">
        <f>IFERROR(INDEX(KC_CURVAS!$F$5:$F$15,MATCH($E58&amp;"|"&amp;$G58,KC_CURVAS!$K$5:$K$15,0)),IFERROR(INDEX(KC_CURVAS!$F$5:$F$15,MATCH($E58&amp;"|",KC_CURVAS!$K$5:$K$15,0)),""))</f>
        <v/>
      </c>
      <c r="O58" s="11">
        <f>IFERROR(INDEX(KC_CURVAS!$G$5:$G$15,MATCH($E58&amp;"|"&amp;$G58,KC_CURVAS!$K$5:$K$15,0)),IFERROR(INDEX(KC_CURVAS!$G$5:$G$15,MATCH($E58&amp;"|",KC_CURVAS!$K$5:$K$15,0)),""))</f>
        <v/>
      </c>
      <c r="P58" s="11">
        <f>IFERROR(INDEX(KC_CURVAS!$H$5:$H$15,MATCH($E58&amp;"|"&amp;$G58,KC_CURVAS!$K$5:$K$15,0)),IFERROR(INDEX(KC_CURVAS!$H$5:$H$15,MATCH($E58&amp;"|",KC_CURVAS!$K$5:$K$15,0)),""))</f>
        <v/>
      </c>
      <c r="Q58" s="11">
        <f>IFERROR(INDEX(KC_CURVAS!$I$5:$I$15,MATCH($E58&amp;"|"&amp;$G58,KC_CURVAS!$K$5:$K$15,0)),IFERROR(INDEX(KC_CURVAS!$I$5:$I$15,MATCH($E58&amp;"|",KC_CURVAS!$K$5:$K$15,0)),""))</f>
        <v/>
      </c>
      <c r="R58" s="12">
        <f>IF(OR($J58="",$K58=""),"PENDENTE",IF($J58&lt;=$K58,$O58,IF($J58&lt;=$K58+$L58,$O58+($P58-$O58)*($J58-$K58)/$L58,IF($J58&lt;=$K58+$L58+$M58,$P58,IF($J58&lt;=$K58+$L58+$M58+$N58,$P58+($Q58-$P58)*($J58-($K58+$L58+$M58))/$N58,$Q58)))))</f>
        <v/>
      </c>
      <c r="S58" s="13">
        <f>ETO_SEM</f>
        <v/>
      </c>
      <c r="T58" s="14">
        <f>IF(OR($R58="",$R58="PENDENTE"),"",$R58*$S58)</f>
        <v/>
      </c>
      <c r="U58" s="13" t="n">
        <v>0</v>
      </c>
      <c r="V58" s="14">
        <f>IF($T58="","",MAX(0,$T58-N($U58)))</f>
        <v/>
      </c>
      <c r="W58" s="14">
        <f>IF($V58="","",$V58/EF_APLIC)</f>
        <v/>
      </c>
      <c r="X58" s="15" t="n">
        <v>145</v>
      </c>
      <c r="Y58" s="16">
        <f>IF(OR($W58="",$X58=""),"",$W58*$X58*10)</f>
        <v/>
      </c>
      <c r="Z58" s="17">
        <f>IFERROR(INDEX('PARAMETROS'!$B$16:$B$19,MATCH($D58,'PARAMETROS'!$A$16:$A$19,0)),"")</f>
        <v/>
      </c>
      <c r="AA58" s="16">
        <f>IF(OR($Y58="",$Z58=""),"",$Y58*$Z58)</f>
        <v/>
      </c>
      <c r="AB58" s="18">
        <f>IF($R58="PENDENTE","Definir classe/Kc",IF($W58="","-",IF($W58&gt;0,"Irrigar","Nao irrigar")))</f>
        <v/>
      </c>
      <c r="AC58" s="18">
        <f>IF(OR($W58="",$W58=0),"-",IF($W58&gt;=META_SEM,"Alta",IF($W58&gt;=META_SEM*FRAC_ACOMP,"Media","Baixa")))</f>
        <v/>
      </c>
      <c r="AD58" s="19" t="inlineStr"/>
    </row>
    <row r="59">
      <c r="A59" s="5" t="inlineStr">
        <is>
          <t>62</t>
        </is>
      </c>
      <c r="B59" s="5" t="inlineStr">
        <is>
          <t>Karitel</t>
        </is>
      </c>
      <c r="C59" s="5" t="inlineStr">
        <is>
          <t>Módulo 03</t>
        </is>
      </c>
      <c r="D59" s="5" t="inlineStr">
        <is>
          <t>KM2</t>
        </is>
      </c>
      <c r="E59" s="5" t="inlineStr">
        <is>
          <t>ALGODÃO</t>
        </is>
      </c>
      <c r="F59" s="6" t="inlineStr">
        <is>
          <t>FM 974 GLT</t>
        </is>
      </c>
      <c r="G59" s="7" t="inlineStr">
        <is>
          <t>MÉDIO</t>
        </is>
      </c>
      <c r="H59" s="8" t="n">
        <v>46033</v>
      </c>
      <c r="I59" s="9">
        <f>IF($H59="","",DATA_REF-$H59)</f>
        <v/>
      </c>
      <c r="J59" s="9">
        <f>IF($I59="","",MAX(0,$I59-'PARAMETROS'!$B$12))</f>
        <v/>
      </c>
      <c r="K59" s="10">
        <f>IFERROR(INDEX(KC_CURVAS!$C$5:$C$15,MATCH($E59&amp;"|"&amp;$G59,KC_CURVAS!$K$5:$K$15,0)),IFERROR(INDEX(KC_CURVAS!$C$5:$C$15,MATCH($E59&amp;"|",KC_CURVAS!$K$5:$K$15,0)),""))</f>
        <v/>
      </c>
      <c r="L59" s="10">
        <f>IFERROR(INDEX(KC_CURVAS!$D$5:$D$15,MATCH($E59&amp;"|"&amp;$G59,KC_CURVAS!$K$5:$K$15,0)),IFERROR(INDEX(KC_CURVAS!$D$5:$D$15,MATCH($E59&amp;"|",KC_CURVAS!$K$5:$K$15,0)),""))</f>
        <v/>
      </c>
      <c r="M59" s="10">
        <f>IFERROR(INDEX(KC_CURVAS!$E$5:$E$15,MATCH($E59&amp;"|"&amp;$G59,KC_CURVAS!$K$5:$K$15,0)),IFERROR(INDEX(KC_CURVAS!$E$5:$E$15,MATCH($E59&amp;"|",KC_CURVAS!$K$5:$K$15,0)),""))</f>
        <v/>
      </c>
      <c r="N59" s="10">
        <f>IFERROR(INDEX(KC_CURVAS!$F$5:$F$15,MATCH($E59&amp;"|"&amp;$G59,KC_CURVAS!$K$5:$K$15,0)),IFERROR(INDEX(KC_CURVAS!$F$5:$F$15,MATCH($E59&amp;"|",KC_CURVAS!$K$5:$K$15,0)),""))</f>
        <v/>
      </c>
      <c r="O59" s="11">
        <f>IFERROR(INDEX(KC_CURVAS!$G$5:$G$15,MATCH($E59&amp;"|"&amp;$G59,KC_CURVAS!$K$5:$K$15,0)),IFERROR(INDEX(KC_CURVAS!$G$5:$G$15,MATCH($E59&amp;"|",KC_CURVAS!$K$5:$K$15,0)),""))</f>
        <v/>
      </c>
      <c r="P59" s="11">
        <f>IFERROR(INDEX(KC_CURVAS!$H$5:$H$15,MATCH($E59&amp;"|"&amp;$G59,KC_CURVAS!$K$5:$K$15,0)),IFERROR(INDEX(KC_CURVAS!$H$5:$H$15,MATCH($E59&amp;"|",KC_CURVAS!$K$5:$K$15,0)),""))</f>
        <v/>
      </c>
      <c r="Q59" s="11">
        <f>IFERROR(INDEX(KC_CURVAS!$I$5:$I$15,MATCH($E59&amp;"|"&amp;$G59,KC_CURVAS!$K$5:$K$15,0)),IFERROR(INDEX(KC_CURVAS!$I$5:$I$15,MATCH($E59&amp;"|",KC_CURVAS!$K$5:$K$15,0)),""))</f>
        <v/>
      </c>
      <c r="R59" s="12">
        <f>IF(OR($J59="",$K59=""),"PENDENTE",IF($J59&lt;=$K59,$O59,IF($J59&lt;=$K59+$L59,$O59+($P59-$O59)*($J59-$K59)/$L59,IF($J59&lt;=$K59+$L59+$M59,$P59,IF($J59&lt;=$K59+$L59+$M59+$N59,$P59+($Q59-$P59)*($J59-($K59+$L59+$M59))/$N59,$Q59)))))</f>
        <v/>
      </c>
      <c r="S59" s="13">
        <f>ETO_SEM</f>
        <v/>
      </c>
      <c r="T59" s="14">
        <f>IF(OR($R59="",$R59="PENDENTE"),"",$R59*$S59)</f>
        <v/>
      </c>
      <c r="U59" s="13" t="n">
        <v>0</v>
      </c>
      <c r="V59" s="14">
        <f>IF($T59="","",MAX(0,$T59-N($U59)))</f>
        <v/>
      </c>
      <c r="W59" s="14">
        <f>IF($V59="","",$V59/EF_APLIC)</f>
        <v/>
      </c>
      <c r="X59" s="15" t="n">
        <v>140</v>
      </c>
      <c r="Y59" s="16">
        <f>IF(OR($W59="",$X59=""),"",$W59*$X59*10)</f>
        <v/>
      </c>
      <c r="Z59" s="17">
        <f>IFERROR(INDEX('PARAMETROS'!$B$16:$B$19,MATCH($D59,'PARAMETROS'!$A$16:$A$19,0)),"")</f>
        <v/>
      </c>
      <c r="AA59" s="16">
        <f>IF(OR($Y59="",$Z59=""),"",$Y59*$Z59)</f>
        <v/>
      </c>
      <c r="AB59" s="18">
        <f>IF($R59="PENDENTE","Definir classe/Kc",IF($W59="","-",IF($W59&gt;0,"Irrigar","Nao irrigar")))</f>
        <v/>
      </c>
      <c r="AC59" s="18">
        <f>IF(OR($W59="",$W59=0),"-",IF($W59&gt;=META_SEM,"Alta",IF($W59&gt;=META_SEM*FRAC_ACOMP,"Media","Baixa")))</f>
        <v/>
      </c>
      <c r="AD59" s="19" t="inlineStr"/>
    </row>
    <row r="60">
      <c r="A60" s="5" t="inlineStr">
        <is>
          <t>67</t>
        </is>
      </c>
      <c r="B60" s="5" t="inlineStr">
        <is>
          <t>Karitel</t>
        </is>
      </c>
      <c r="C60" s="5" t="inlineStr">
        <is>
          <t>Módulo 03</t>
        </is>
      </c>
      <c r="D60" s="5" t="inlineStr">
        <is>
          <t>KM2</t>
        </is>
      </c>
      <c r="E60" s="5" t="inlineStr">
        <is>
          <t>ALGODÃO</t>
        </is>
      </c>
      <c r="F60" s="6" t="inlineStr">
        <is>
          <t>FM 979 STP</t>
        </is>
      </c>
      <c r="G60" s="7" t="inlineStr">
        <is>
          <t>PRECOCE</t>
        </is>
      </c>
      <c r="H60" s="8" t="n">
        <v>46003</v>
      </c>
      <c r="I60" s="9">
        <f>IF($H60="","",DATA_REF-$H60)</f>
        <v/>
      </c>
      <c r="J60" s="9">
        <f>IF($I60="","",MAX(0,$I60-'PARAMETROS'!$B$12))</f>
        <v/>
      </c>
      <c r="K60" s="10">
        <f>IFERROR(INDEX(KC_CURVAS!$C$5:$C$15,MATCH($E60&amp;"|"&amp;$G60,KC_CURVAS!$K$5:$K$15,0)),IFERROR(INDEX(KC_CURVAS!$C$5:$C$15,MATCH($E60&amp;"|",KC_CURVAS!$K$5:$K$15,0)),""))</f>
        <v/>
      </c>
      <c r="L60" s="10">
        <f>IFERROR(INDEX(KC_CURVAS!$D$5:$D$15,MATCH($E60&amp;"|"&amp;$G60,KC_CURVAS!$K$5:$K$15,0)),IFERROR(INDEX(KC_CURVAS!$D$5:$D$15,MATCH($E60&amp;"|",KC_CURVAS!$K$5:$K$15,0)),""))</f>
        <v/>
      </c>
      <c r="M60" s="10">
        <f>IFERROR(INDEX(KC_CURVAS!$E$5:$E$15,MATCH($E60&amp;"|"&amp;$G60,KC_CURVAS!$K$5:$K$15,0)),IFERROR(INDEX(KC_CURVAS!$E$5:$E$15,MATCH($E60&amp;"|",KC_CURVAS!$K$5:$K$15,0)),""))</f>
        <v/>
      </c>
      <c r="N60" s="10">
        <f>IFERROR(INDEX(KC_CURVAS!$F$5:$F$15,MATCH($E60&amp;"|"&amp;$G60,KC_CURVAS!$K$5:$K$15,0)),IFERROR(INDEX(KC_CURVAS!$F$5:$F$15,MATCH($E60&amp;"|",KC_CURVAS!$K$5:$K$15,0)),""))</f>
        <v/>
      </c>
      <c r="O60" s="11">
        <f>IFERROR(INDEX(KC_CURVAS!$G$5:$G$15,MATCH($E60&amp;"|"&amp;$G60,KC_CURVAS!$K$5:$K$15,0)),IFERROR(INDEX(KC_CURVAS!$G$5:$G$15,MATCH($E60&amp;"|",KC_CURVAS!$K$5:$K$15,0)),""))</f>
        <v/>
      </c>
      <c r="P60" s="11">
        <f>IFERROR(INDEX(KC_CURVAS!$H$5:$H$15,MATCH($E60&amp;"|"&amp;$G60,KC_CURVAS!$K$5:$K$15,0)),IFERROR(INDEX(KC_CURVAS!$H$5:$H$15,MATCH($E60&amp;"|",KC_CURVAS!$K$5:$K$15,0)),""))</f>
        <v/>
      </c>
      <c r="Q60" s="11">
        <f>IFERROR(INDEX(KC_CURVAS!$I$5:$I$15,MATCH($E60&amp;"|"&amp;$G60,KC_CURVAS!$K$5:$K$15,0)),IFERROR(INDEX(KC_CURVAS!$I$5:$I$15,MATCH($E60&amp;"|",KC_CURVAS!$K$5:$K$15,0)),""))</f>
        <v/>
      </c>
      <c r="R60" s="12">
        <f>IF(OR($J60="",$K60=""),"PENDENTE",IF($J60&lt;=$K60,$O60,IF($J60&lt;=$K60+$L60,$O60+($P60-$O60)*($J60-$K60)/$L60,IF($J60&lt;=$K60+$L60+$M60,$P60,IF($J60&lt;=$K60+$L60+$M60+$N60,$P60+($Q60-$P60)*($J60-($K60+$L60+$M60))/$N60,$Q60)))))</f>
        <v/>
      </c>
      <c r="S60" s="13">
        <f>ETO_SEM</f>
        <v/>
      </c>
      <c r="T60" s="14">
        <f>IF(OR($R60="",$R60="PENDENTE"),"",$R60*$S60)</f>
        <v/>
      </c>
      <c r="U60" s="13" t="n">
        <v>0</v>
      </c>
      <c r="V60" s="14">
        <f>IF($T60="","",MAX(0,$T60-N($U60)))</f>
        <v/>
      </c>
      <c r="W60" s="14">
        <f>IF($V60="","",$V60/EF_APLIC)</f>
        <v/>
      </c>
      <c r="X60" s="15" t="n">
        <v>80</v>
      </c>
      <c r="Y60" s="16">
        <f>IF(OR($W60="",$X60=""),"",$W60*$X60*10)</f>
        <v/>
      </c>
      <c r="Z60" s="17">
        <f>IFERROR(INDEX('PARAMETROS'!$B$16:$B$19,MATCH($D60,'PARAMETROS'!$A$16:$A$19,0)),"")</f>
        <v/>
      </c>
      <c r="AA60" s="16">
        <f>IF(OR($Y60="",$Z60=""),"",$Y60*$Z60)</f>
        <v/>
      </c>
      <c r="AB60" s="18">
        <f>IF($R60="PENDENTE","Definir classe/Kc",IF($W60="","-",IF($W60&gt;0,"Irrigar","Nao irrigar")))</f>
        <v/>
      </c>
      <c r="AC60" s="18">
        <f>IF(OR($W60="",$W60=0),"-",IF($W60&gt;=META_SEM,"Alta",IF($W60&gt;=META_SEM*FRAC_ACOMP,"Media","Baixa")))</f>
        <v/>
      </c>
      <c r="AD60" s="19" t="inlineStr"/>
    </row>
    <row r="61">
      <c r="A61" s="5" t="inlineStr">
        <is>
          <t>68</t>
        </is>
      </c>
      <c r="B61" s="5" t="inlineStr">
        <is>
          <t>Karitel</t>
        </is>
      </c>
      <c r="C61" s="5" t="inlineStr">
        <is>
          <t>Módulo 03</t>
        </is>
      </c>
      <c r="D61" s="5" t="inlineStr">
        <is>
          <t>KM2</t>
        </is>
      </c>
      <c r="E61" s="5" t="inlineStr">
        <is>
          <t>ALGODÃO</t>
        </is>
      </c>
      <c r="F61" s="6" t="inlineStr">
        <is>
          <t>FM 911 GLTP</t>
        </is>
      </c>
      <c r="G61" s="7" t="inlineStr">
        <is>
          <t>TARDIO</t>
        </is>
      </c>
      <c r="H61" s="8" t="n">
        <v>46052</v>
      </c>
      <c r="I61" s="9">
        <f>IF($H61="","",DATA_REF-$H61)</f>
        <v/>
      </c>
      <c r="J61" s="9">
        <f>IF($I61="","",MAX(0,$I61-'PARAMETROS'!$B$12))</f>
        <v/>
      </c>
      <c r="K61" s="10">
        <f>IFERROR(INDEX(KC_CURVAS!$C$5:$C$15,MATCH($E61&amp;"|"&amp;$G61,KC_CURVAS!$K$5:$K$15,0)),IFERROR(INDEX(KC_CURVAS!$C$5:$C$15,MATCH($E61&amp;"|",KC_CURVAS!$K$5:$K$15,0)),""))</f>
        <v/>
      </c>
      <c r="L61" s="10">
        <f>IFERROR(INDEX(KC_CURVAS!$D$5:$D$15,MATCH($E61&amp;"|"&amp;$G61,KC_CURVAS!$K$5:$K$15,0)),IFERROR(INDEX(KC_CURVAS!$D$5:$D$15,MATCH($E61&amp;"|",KC_CURVAS!$K$5:$K$15,0)),""))</f>
        <v/>
      </c>
      <c r="M61" s="10">
        <f>IFERROR(INDEX(KC_CURVAS!$E$5:$E$15,MATCH($E61&amp;"|"&amp;$G61,KC_CURVAS!$K$5:$K$15,0)),IFERROR(INDEX(KC_CURVAS!$E$5:$E$15,MATCH($E61&amp;"|",KC_CURVAS!$K$5:$K$15,0)),""))</f>
        <v/>
      </c>
      <c r="N61" s="10">
        <f>IFERROR(INDEX(KC_CURVAS!$F$5:$F$15,MATCH($E61&amp;"|"&amp;$G61,KC_CURVAS!$K$5:$K$15,0)),IFERROR(INDEX(KC_CURVAS!$F$5:$F$15,MATCH($E61&amp;"|",KC_CURVAS!$K$5:$K$15,0)),""))</f>
        <v/>
      </c>
      <c r="O61" s="11">
        <f>IFERROR(INDEX(KC_CURVAS!$G$5:$G$15,MATCH($E61&amp;"|"&amp;$G61,KC_CURVAS!$K$5:$K$15,0)),IFERROR(INDEX(KC_CURVAS!$G$5:$G$15,MATCH($E61&amp;"|",KC_CURVAS!$K$5:$K$15,0)),""))</f>
        <v/>
      </c>
      <c r="P61" s="11">
        <f>IFERROR(INDEX(KC_CURVAS!$H$5:$H$15,MATCH($E61&amp;"|"&amp;$G61,KC_CURVAS!$K$5:$K$15,0)),IFERROR(INDEX(KC_CURVAS!$H$5:$H$15,MATCH($E61&amp;"|",KC_CURVAS!$K$5:$K$15,0)),""))</f>
        <v/>
      </c>
      <c r="Q61" s="11">
        <f>IFERROR(INDEX(KC_CURVAS!$I$5:$I$15,MATCH($E61&amp;"|"&amp;$G61,KC_CURVAS!$K$5:$K$15,0)),IFERROR(INDEX(KC_CURVAS!$I$5:$I$15,MATCH($E61&amp;"|",KC_CURVAS!$K$5:$K$15,0)),""))</f>
        <v/>
      </c>
      <c r="R61" s="12">
        <f>IF(OR($J61="",$K61=""),"PENDENTE",IF($J61&lt;=$K61,$O61,IF($J61&lt;=$K61+$L61,$O61+($P61-$O61)*($J61-$K61)/$L61,IF($J61&lt;=$K61+$L61+$M61,$P61,IF($J61&lt;=$K61+$L61+$M61+$N61,$P61+($Q61-$P61)*($J61-($K61+$L61+$M61))/$N61,$Q61)))))</f>
        <v/>
      </c>
      <c r="S61" s="13">
        <f>ETO_SEM</f>
        <v/>
      </c>
      <c r="T61" s="14">
        <f>IF(OR($R61="",$R61="PENDENTE"),"",$R61*$S61)</f>
        <v/>
      </c>
      <c r="U61" s="13" t="n">
        <v>0</v>
      </c>
      <c r="V61" s="14">
        <f>IF($T61="","",MAX(0,$T61-N($U61)))</f>
        <v/>
      </c>
      <c r="W61" s="14">
        <f>IF($V61="","",$V61/EF_APLIC)</f>
        <v/>
      </c>
      <c r="X61" s="15" t="n">
        <v>80</v>
      </c>
      <c r="Y61" s="16">
        <f>IF(OR($W61="",$X61=""),"",$W61*$X61*10)</f>
        <v/>
      </c>
      <c r="Z61" s="17">
        <f>IFERROR(INDEX('PARAMETROS'!$B$16:$B$19,MATCH($D61,'PARAMETROS'!$A$16:$A$19,0)),"")</f>
        <v/>
      </c>
      <c r="AA61" s="16">
        <f>IF(OR($Y61="",$Z61=""),"",$Y61*$Z61)</f>
        <v/>
      </c>
      <c r="AB61" s="18">
        <f>IF($R61="PENDENTE","Definir classe/Kc",IF($W61="","-",IF($W61&gt;0,"Irrigar","Nao irrigar")))</f>
        <v/>
      </c>
      <c r="AC61" s="18">
        <f>IF(OR($W61="",$W61=0),"-",IF($W61&gt;=META_SEM,"Alta",IF($W61&gt;=META_SEM*FRAC_ACOMP,"Media","Baixa")))</f>
        <v/>
      </c>
      <c r="AD61" s="19" t="inlineStr"/>
    </row>
    <row r="62">
      <c r="A62" s="5" t="inlineStr">
        <is>
          <t>69</t>
        </is>
      </c>
      <c r="B62" s="5" t="inlineStr">
        <is>
          <t>Karitel</t>
        </is>
      </c>
      <c r="C62" s="5" t="inlineStr">
        <is>
          <t>Módulo 03</t>
        </is>
      </c>
      <c r="D62" s="5" t="inlineStr">
        <is>
          <t>KM2</t>
        </is>
      </c>
      <c r="E62" s="5" t="inlineStr">
        <is>
          <t>ALGODÃO</t>
        </is>
      </c>
      <c r="F62" s="6" t="inlineStr">
        <is>
          <t>DP 1949 B3RF</t>
        </is>
      </c>
      <c r="G62" s="7" t="inlineStr">
        <is>
          <t>PRECOCE</t>
        </is>
      </c>
      <c r="H62" s="8" t="n">
        <v>46067</v>
      </c>
      <c r="I62" s="9">
        <f>IF($H62="","",DATA_REF-$H62)</f>
        <v/>
      </c>
      <c r="J62" s="9">
        <f>IF($I62="","",MAX(0,$I62-'PARAMETROS'!$B$12))</f>
        <v/>
      </c>
      <c r="K62" s="10">
        <f>IFERROR(INDEX(KC_CURVAS!$C$5:$C$15,MATCH($E62&amp;"|"&amp;$G62,KC_CURVAS!$K$5:$K$15,0)),IFERROR(INDEX(KC_CURVAS!$C$5:$C$15,MATCH($E62&amp;"|",KC_CURVAS!$K$5:$K$15,0)),""))</f>
        <v/>
      </c>
      <c r="L62" s="10">
        <f>IFERROR(INDEX(KC_CURVAS!$D$5:$D$15,MATCH($E62&amp;"|"&amp;$G62,KC_CURVAS!$K$5:$K$15,0)),IFERROR(INDEX(KC_CURVAS!$D$5:$D$15,MATCH($E62&amp;"|",KC_CURVAS!$K$5:$K$15,0)),""))</f>
        <v/>
      </c>
      <c r="M62" s="10">
        <f>IFERROR(INDEX(KC_CURVAS!$E$5:$E$15,MATCH($E62&amp;"|"&amp;$G62,KC_CURVAS!$K$5:$K$15,0)),IFERROR(INDEX(KC_CURVAS!$E$5:$E$15,MATCH($E62&amp;"|",KC_CURVAS!$K$5:$K$15,0)),""))</f>
        <v/>
      </c>
      <c r="N62" s="10">
        <f>IFERROR(INDEX(KC_CURVAS!$F$5:$F$15,MATCH($E62&amp;"|"&amp;$G62,KC_CURVAS!$K$5:$K$15,0)),IFERROR(INDEX(KC_CURVAS!$F$5:$F$15,MATCH($E62&amp;"|",KC_CURVAS!$K$5:$K$15,0)),""))</f>
        <v/>
      </c>
      <c r="O62" s="11">
        <f>IFERROR(INDEX(KC_CURVAS!$G$5:$G$15,MATCH($E62&amp;"|"&amp;$G62,KC_CURVAS!$K$5:$K$15,0)),IFERROR(INDEX(KC_CURVAS!$G$5:$G$15,MATCH($E62&amp;"|",KC_CURVAS!$K$5:$K$15,0)),""))</f>
        <v/>
      </c>
      <c r="P62" s="11">
        <f>IFERROR(INDEX(KC_CURVAS!$H$5:$H$15,MATCH($E62&amp;"|"&amp;$G62,KC_CURVAS!$K$5:$K$15,0)),IFERROR(INDEX(KC_CURVAS!$H$5:$H$15,MATCH($E62&amp;"|",KC_CURVAS!$K$5:$K$15,0)),""))</f>
        <v/>
      </c>
      <c r="Q62" s="11">
        <f>IFERROR(INDEX(KC_CURVAS!$I$5:$I$15,MATCH($E62&amp;"|"&amp;$G62,KC_CURVAS!$K$5:$K$15,0)),IFERROR(INDEX(KC_CURVAS!$I$5:$I$15,MATCH($E62&amp;"|",KC_CURVAS!$K$5:$K$15,0)),""))</f>
        <v/>
      </c>
      <c r="R62" s="12">
        <f>IF(OR($J62="",$K62=""),"PENDENTE",IF($J62&lt;=$K62,$O62,IF($J62&lt;=$K62+$L62,$O62+($P62-$O62)*($J62-$K62)/$L62,IF($J62&lt;=$K62+$L62+$M62,$P62,IF($J62&lt;=$K62+$L62+$M62+$N62,$P62+($Q62-$P62)*($J62-($K62+$L62+$M62))/$N62,$Q62)))))</f>
        <v/>
      </c>
      <c r="S62" s="13">
        <f>ETO_SEM</f>
        <v/>
      </c>
      <c r="T62" s="14">
        <f>IF(OR($R62="",$R62="PENDENTE"),"",$R62*$S62)</f>
        <v/>
      </c>
      <c r="U62" s="13" t="n">
        <v>0</v>
      </c>
      <c r="V62" s="14">
        <f>IF($T62="","",MAX(0,$T62-N($U62)))</f>
        <v/>
      </c>
      <c r="W62" s="14">
        <f>IF($V62="","",$V62/EF_APLIC)</f>
        <v/>
      </c>
      <c r="X62" s="15" t="n">
        <v>80</v>
      </c>
      <c r="Y62" s="16">
        <f>IF(OR($W62="",$X62=""),"",$W62*$X62*10)</f>
        <v/>
      </c>
      <c r="Z62" s="17">
        <f>IFERROR(INDEX('PARAMETROS'!$B$16:$B$19,MATCH($D62,'PARAMETROS'!$A$16:$A$19,0)),"")</f>
        <v/>
      </c>
      <c r="AA62" s="16">
        <f>IF(OR($Y62="",$Z62=""),"",$Y62*$Z62)</f>
        <v/>
      </c>
      <c r="AB62" s="18">
        <f>IF($R62="PENDENTE","Definir classe/Kc",IF($W62="","-",IF($W62&gt;0,"Irrigar","Nao irrigar")))</f>
        <v/>
      </c>
      <c r="AC62" s="18">
        <f>IF(OR($W62="",$W62=0),"-",IF($W62&gt;=META_SEM,"Alta",IF($W62&gt;=META_SEM*FRAC_ACOMP,"Media","Baixa")))</f>
        <v/>
      </c>
      <c r="AD62" s="19" t="inlineStr"/>
    </row>
    <row r="63">
      <c r="A63" s="5" t="inlineStr">
        <is>
          <t>70</t>
        </is>
      </c>
      <c r="B63" s="5" t="inlineStr">
        <is>
          <t>Karitel</t>
        </is>
      </c>
      <c r="C63" s="5" t="inlineStr">
        <is>
          <t>Módulo 03</t>
        </is>
      </c>
      <c r="D63" s="5" t="inlineStr">
        <is>
          <t>KM2</t>
        </is>
      </c>
      <c r="E63" s="5" t="inlineStr">
        <is>
          <t>ALGODÃO</t>
        </is>
      </c>
      <c r="F63" s="6" t="inlineStr">
        <is>
          <t>FM 911 GLTP</t>
        </is>
      </c>
      <c r="G63" s="7" t="inlineStr">
        <is>
          <t>TARDIO</t>
        </is>
      </c>
      <c r="H63" s="8" t="n">
        <v>46017</v>
      </c>
      <c r="I63" s="9">
        <f>IF($H63="","",DATA_REF-$H63)</f>
        <v/>
      </c>
      <c r="J63" s="9">
        <f>IF($I63="","",MAX(0,$I63-'PARAMETROS'!$B$12))</f>
        <v/>
      </c>
      <c r="K63" s="10">
        <f>IFERROR(INDEX(KC_CURVAS!$C$5:$C$15,MATCH($E63&amp;"|"&amp;$G63,KC_CURVAS!$K$5:$K$15,0)),IFERROR(INDEX(KC_CURVAS!$C$5:$C$15,MATCH($E63&amp;"|",KC_CURVAS!$K$5:$K$15,0)),""))</f>
        <v/>
      </c>
      <c r="L63" s="10">
        <f>IFERROR(INDEX(KC_CURVAS!$D$5:$D$15,MATCH($E63&amp;"|"&amp;$G63,KC_CURVAS!$K$5:$K$15,0)),IFERROR(INDEX(KC_CURVAS!$D$5:$D$15,MATCH($E63&amp;"|",KC_CURVAS!$K$5:$K$15,0)),""))</f>
        <v/>
      </c>
      <c r="M63" s="10">
        <f>IFERROR(INDEX(KC_CURVAS!$E$5:$E$15,MATCH($E63&amp;"|"&amp;$G63,KC_CURVAS!$K$5:$K$15,0)),IFERROR(INDEX(KC_CURVAS!$E$5:$E$15,MATCH($E63&amp;"|",KC_CURVAS!$K$5:$K$15,0)),""))</f>
        <v/>
      </c>
      <c r="N63" s="10">
        <f>IFERROR(INDEX(KC_CURVAS!$F$5:$F$15,MATCH($E63&amp;"|"&amp;$G63,KC_CURVAS!$K$5:$K$15,0)),IFERROR(INDEX(KC_CURVAS!$F$5:$F$15,MATCH($E63&amp;"|",KC_CURVAS!$K$5:$K$15,0)),""))</f>
        <v/>
      </c>
      <c r="O63" s="11">
        <f>IFERROR(INDEX(KC_CURVAS!$G$5:$G$15,MATCH($E63&amp;"|"&amp;$G63,KC_CURVAS!$K$5:$K$15,0)),IFERROR(INDEX(KC_CURVAS!$G$5:$G$15,MATCH($E63&amp;"|",KC_CURVAS!$K$5:$K$15,0)),""))</f>
        <v/>
      </c>
      <c r="P63" s="11">
        <f>IFERROR(INDEX(KC_CURVAS!$H$5:$H$15,MATCH($E63&amp;"|"&amp;$G63,KC_CURVAS!$K$5:$K$15,0)),IFERROR(INDEX(KC_CURVAS!$H$5:$H$15,MATCH($E63&amp;"|",KC_CURVAS!$K$5:$K$15,0)),""))</f>
        <v/>
      </c>
      <c r="Q63" s="11">
        <f>IFERROR(INDEX(KC_CURVAS!$I$5:$I$15,MATCH($E63&amp;"|"&amp;$G63,KC_CURVAS!$K$5:$K$15,0)),IFERROR(INDEX(KC_CURVAS!$I$5:$I$15,MATCH($E63&amp;"|",KC_CURVAS!$K$5:$K$15,0)),""))</f>
        <v/>
      </c>
      <c r="R63" s="12">
        <f>IF(OR($J63="",$K63=""),"PENDENTE",IF($J63&lt;=$K63,$O63,IF($J63&lt;=$K63+$L63,$O63+($P63-$O63)*($J63-$K63)/$L63,IF($J63&lt;=$K63+$L63+$M63,$P63,IF($J63&lt;=$K63+$L63+$M63+$N63,$P63+($Q63-$P63)*($J63-($K63+$L63+$M63))/$N63,$Q63)))))</f>
        <v/>
      </c>
      <c r="S63" s="13">
        <f>ETO_SEM</f>
        <v/>
      </c>
      <c r="T63" s="14">
        <f>IF(OR($R63="",$R63="PENDENTE"),"",$R63*$S63)</f>
        <v/>
      </c>
      <c r="U63" s="13" t="n">
        <v>0</v>
      </c>
      <c r="V63" s="14">
        <f>IF($T63="","",MAX(0,$T63-N($U63)))</f>
        <v/>
      </c>
      <c r="W63" s="14">
        <f>IF($V63="","",$V63/EF_APLIC)</f>
        <v/>
      </c>
      <c r="X63" s="15" t="n">
        <v>150</v>
      </c>
      <c r="Y63" s="16">
        <f>IF(OR($W63="",$X63=""),"",$W63*$X63*10)</f>
        <v/>
      </c>
      <c r="Z63" s="17">
        <f>IFERROR(INDEX('PARAMETROS'!$B$16:$B$19,MATCH($D63,'PARAMETROS'!$A$16:$A$19,0)),"")</f>
        <v/>
      </c>
      <c r="AA63" s="16">
        <f>IF(OR($Y63="",$Z63=""),"",$Y63*$Z63)</f>
        <v/>
      </c>
      <c r="AB63" s="18">
        <f>IF($R63="PENDENTE","Definir classe/Kc",IF($W63="","-",IF($W63&gt;0,"Irrigar","Nao irrigar")))</f>
        <v/>
      </c>
      <c r="AC63" s="18">
        <f>IF(OR($W63="",$W63=0),"-",IF($W63&gt;=META_SEM,"Alta",IF($W63&gt;=META_SEM*FRAC_ACOMP,"Media","Baixa")))</f>
        <v/>
      </c>
      <c r="AD63" s="19" t="inlineStr"/>
    </row>
    <row r="64">
      <c r="A64" s="5" t="inlineStr">
        <is>
          <t>72</t>
        </is>
      </c>
      <c r="B64" s="5" t="inlineStr">
        <is>
          <t>Karitel</t>
        </is>
      </c>
      <c r="C64" s="5" t="inlineStr">
        <is>
          <t>Módulo 03</t>
        </is>
      </c>
      <c r="D64" s="5" t="inlineStr">
        <is>
          <t>KM2</t>
        </is>
      </c>
      <c r="E64" s="5" t="inlineStr">
        <is>
          <t>ALGODÃO</t>
        </is>
      </c>
      <c r="F64" s="6" t="inlineStr">
        <is>
          <t>DP 2111 B3RF</t>
        </is>
      </c>
      <c r="G64" s="7" t="inlineStr">
        <is>
          <t>MÉDIO</t>
        </is>
      </c>
      <c r="H64" s="8" t="n">
        <v>45965</v>
      </c>
      <c r="I64" s="9">
        <f>IF($H64="","",DATA_REF-$H64)</f>
        <v/>
      </c>
      <c r="J64" s="9">
        <f>IF($I64="","",MAX(0,$I64-'PARAMETROS'!$B$12))</f>
        <v/>
      </c>
      <c r="K64" s="10">
        <f>IFERROR(INDEX(KC_CURVAS!$C$5:$C$15,MATCH($E64&amp;"|"&amp;$G64,KC_CURVAS!$K$5:$K$15,0)),IFERROR(INDEX(KC_CURVAS!$C$5:$C$15,MATCH($E64&amp;"|",KC_CURVAS!$K$5:$K$15,0)),""))</f>
        <v/>
      </c>
      <c r="L64" s="10">
        <f>IFERROR(INDEX(KC_CURVAS!$D$5:$D$15,MATCH($E64&amp;"|"&amp;$G64,KC_CURVAS!$K$5:$K$15,0)),IFERROR(INDEX(KC_CURVAS!$D$5:$D$15,MATCH($E64&amp;"|",KC_CURVAS!$K$5:$K$15,0)),""))</f>
        <v/>
      </c>
      <c r="M64" s="10">
        <f>IFERROR(INDEX(KC_CURVAS!$E$5:$E$15,MATCH($E64&amp;"|"&amp;$G64,KC_CURVAS!$K$5:$K$15,0)),IFERROR(INDEX(KC_CURVAS!$E$5:$E$15,MATCH($E64&amp;"|",KC_CURVAS!$K$5:$K$15,0)),""))</f>
        <v/>
      </c>
      <c r="N64" s="10">
        <f>IFERROR(INDEX(KC_CURVAS!$F$5:$F$15,MATCH($E64&amp;"|"&amp;$G64,KC_CURVAS!$K$5:$K$15,0)),IFERROR(INDEX(KC_CURVAS!$F$5:$F$15,MATCH($E64&amp;"|",KC_CURVAS!$K$5:$K$15,0)),""))</f>
        <v/>
      </c>
      <c r="O64" s="11">
        <f>IFERROR(INDEX(KC_CURVAS!$G$5:$G$15,MATCH($E64&amp;"|"&amp;$G64,KC_CURVAS!$K$5:$K$15,0)),IFERROR(INDEX(KC_CURVAS!$G$5:$G$15,MATCH($E64&amp;"|",KC_CURVAS!$K$5:$K$15,0)),""))</f>
        <v/>
      </c>
      <c r="P64" s="11">
        <f>IFERROR(INDEX(KC_CURVAS!$H$5:$H$15,MATCH($E64&amp;"|"&amp;$G64,KC_CURVAS!$K$5:$K$15,0)),IFERROR(INDEX(KC_CURVAS!$H$5:$H$15,MATCH($E64&amp;"|",KC_CURVAS!$K$5:$K$15,0)),""))</f>
        <v/>
      </c>
      <c r="Q64" s="11">
        <f>IFERROR(INDEX(KC_CURVAS!$I$5:$I$15,MATCH($E64&amp;"|"&amp;$G64,KC_CURVAS!$K$5:$K$15,0)),IFERROR(INDEX(KC_CURVAS!$I$5:$I$15,MATCH($E64&amp;"|",KC_CURVAS!$K$5:$K$15,0)),""))</f>
        <v/>
      </c>
      <c r="R64" s="12">
        <f>IF(OR($J64="",$K64=""),"PENDENTE",IF($J64&lt;=$K64,$O64,IF($J64&lt;=$K64+$L64,$O64+($P64-$O64)*($J64-$K64)/$L64,IF($J64&lt;=$K64+$L64+$M64,$P64,IF($J64&lt;=$K64+$L64+$M64+$N64,$P64+($Q64-$P64)*($J64-($K64+$L64+$M64))/$N64,$Q64)))))</f>
        <v/>
      </c>
      <c r="S64" s="13">
        <f>ETO_SEM</f>
        <v/>
      </c>
      <c r="T64" s="14">
        <f>IF(OR($R64="",$R64="PENDENTE"),"",$R64*$S64)</f>
        <v/>
      </c>
      <c r="U64" s="13" t="n">
        <v>0</v>
      </c>
      <c r="V64" s="14">
        <f>IF($T64="","",MAX(0,$T64-N($U64)))</f>
        <v/>
      </c>
      <c r="W64" s="14">
        <f>IF($V64="","",$V64/EF_APLIC)</f>
        <v/>
      </c>
      <c r="X64" s="15" t="n">
        <v>125</v>
      </c>
      <c r="Y64" s="16">
        <f>IF(OR($W64="",$X64=""),"",$W64*$X64*10)</f>
        <v/>
      </c>
      <c r="Z64" s="17">
        <f>IFERROR(INDEX('PARAMETROS'!$B$16:$B$19,MATCH($D64,'PARAMETROS'!$A$16:$A$19,0)),"")</f>
        <v/>
      </c>
      <c r="AA64" s="16">
        <f>IF(OR($Y64="",$Z64=""),"",$Y64*$Z64)</f>
        <v/>
      </c>
      <c r="AB64" s="18">
        <f>IF($R64="PENDENTE","Definir classe/Kc",IF($W64="","-",IF($W64&gt;0,"Irrigar","Nao irrigar")))</f>
        <v/>
      </c>
      <c r="AC64" s="18">
        <f>IF(OR($W64="",$W64=0),"-",IF($W64&gt;=META_SEM,"Alta",IF($W64&gt;=META_SEM*FRAC_ACOMP,"Media","Baixa")))</f>
        <v/>
      </c>
      <c r="AD64" s="19" t="inlineStr"/>
    </row>
    <row r="65">
      <c r="A65" s="5" t="inlineStr">
        <is>
          <t>63</t>
        </is>
      </c>
      <c r="B65" s="5" t="inlineStr">
        <is>
          <t>Karitel</t>
        </is>
      </c>
      <c r="C65" s="5" t="inlineStr">
        <is>
          <t>Módulo 03</t>
        </is>
      </c>
      <c r="D65" s="5" t="inlineStr">
        <is>
          <t>KM2</t>
        </is>
      </c>
      <c r="E65" s="5" t="inlineStr">
        <is>
          <t>ALGODÃO</t>
        </is>
      </c>
      <c r="F65" s="6" t="inlineStr">
        <is>
          <t>FM 985 GLTP</t>
        </is>
      </c>
      <c r="G65" s="7" t="inlineStr">
        <is>
          <t>MÉDIO</t>
        </is>
      </c>
      <c r="H65" s="8" t="n">
        <v>46051</v>
      </c>
      <c r="I65" s="9">
        <f>IF($H65="","",DATA_REF-$H65)</f>
        <v/>
      </c>
      <c r="J65" s="9">
        <f>IF($I65="","",MAX(0,$I65-'PARAMETROS'!$B$12))</f>
        <v/>
      </c>
      <c r="K65" s="10">
        <f>IFERROR(INDEX(KC_CURVAS!$C$5:$C$15,MATCH($E65&amp;"|"&amp;$G65,KC_CURVAS!$K$5:$K$15,0)),IFERROR(INDEX(KC_CURVAS!$C$5:$C$15,MATCH($E65&amp;"|",KC_CURVAS!$K$5:$K$15,0)),""))</f>
        <v/>
      </c>
      <c r="L65" s="10">
        <f>IFERROR(INDEX(KC_CURVAS!$D$5:$D$15,MATCH($E65&amp;"|"&amp;$G65,KC_CURVAS!$K$5:$K$15,0)),IFERROR(INDEX(KC_CURVAS!$D$5:$D$15,MATCH($E65&amp;"|",KC_CURVAS!$K$5:$K$15,0)),""))</f>
        <v/>
      </c>
      <c r="M65" s="10">
        <f>IFERROR(INDEX(KC_CURVAS!$E$5:$E$15,MATCH($E65&amp;"|"&amp;$G65,KC_CURVAS!$K$5:$K$15,0)),IFERROR(INDEX(KC_CURVAS!$E$5:$E$15,MATCH($E65&amp;"|",KC_CURVAS!$K$5:$K$15,0)),""))</f>
        <v/>
      </c>
      <c r="N65" s="10">
        <f>IFERROR(INDEX(KC_CURVAS!$F$5:$F$15,MATCH($E65&amp;"|"&amp;$G65,KC_CURVAS!$K$5:$K$15,0)),IFERROR(INDEX(KC_CURVAS!$F$5:$F$15,MATCH($E65&amp;"|",KC_CURVAS!$K$5:$K$15,0)),""))</f>
        <v/>
      </c>
      <c r="O65" s="11">
        <f>IFERROR(INDEX(KC_CURVAS!$G$5:$G$15,MATCH($E65&amp;"|"&amp;$G65,KC_CURVAS!$K$5:$K$15,0)),IFERROR(INDEX(KC_CURVAS!$G$5:$G$15,MATCH($E65&amp;"|",KC_CURVAS!$K$5:$K$15,0)),""))</f>
        <v/>
      </c>
      <c r="P65" s="11">
        <f>IFERROR(INDEX(KC_CURVAS!$H$5:$H$15,MATCH($E65&amp;"|"&amp;$G65,KC_CURVAS!$K$5:$K$15,0)),IFERROR(INDEX(KC_CURVAS!$H$5:$H$15,MATCH($E65&amp;"|",KC_CURVAS!$K$5:$K$15,0)),""))</f>
        <v/>
      </c>
      <c r="Q65" s="11">
        <f>IFERROR(INDEX(KC_CURVAS!$I$5:$I$15,MATCH($E65&amp;"|"&amp;$G65,KC_CURVAS!$K$5:$K$15,0)),IFERROR(INDEX(KC_CURVAS!$I$5:$I$15,MATCH($E65&amp;"|",KC_CURVAS!$K$5:$K$15,0)),""))</f>
        <v/>
      </c>
      <c r="R65" s="12">
        <f>IF(OR($J65="",$K65=""),"PENDENTE",IF($J65&lt;=$K65,$O65,IF($J65&lt;=$K65+$L65,$O65+($P65-$O65)*($J65-$K65)/$L65,IF($J65&lt;=$K65+$L65+$M65,$P65,IF($J65&lt;=$K65+$L65+$M65+$N65,$P65+($Q65-$P65)*($J65-($K65+$L65+$M65))/$N65,$Q65)))))</f>
        <v/>
      </c>
      <c r="S65" s="13">
        <f>ETO_SEM</f>
        <v/>
      </c>
      <c r="T65" s="14">
        <f>IF(OR($R65="",$R65="PENDENTE"),"",$R65*$S65)</f>
        <v/>
      </c>
      <c r="U65" s="13" t="n">
        <v>0</v>
      </c>
      <c r="V65" s="14">
        <f>IF($T65="","",MAX(0,$T65-N($U65)))</f>
        <v/>
      </c>
      <c r="W65" s="14">
        <f>IF($V65="","",$V65/EF_APLIC)</f>
        <v/>
      </c>
      <c r="X65" s="15" t="n">
        <v>80.15000000000001</v>
      </c>
      <c r="Y65" s="16">
        <f>IF(OR($W65="",$X65=""),"",$W65*$X65*10)</f>
        <v/>
      </c>
      <c r="Z65" s="17">
        <f>IFERROR(INDEX('PARAMETROS'!$B$16:$B$19,MATCH($D65,'PARAMETROS'!$A$16:$A$19,0)),"")</f>
        <v/>
      </c>
      <c r="AA65" s="16">
        <f>IF(OR($Y65="",$Z65=""),"",$Y65*$Z65)</f>
        <v/>
      </c>
      <c r="AB65" s="18">
        <f>IF($R65="PENDENTE","Definir classe/Kc",IF($W65="","-",IF($W65&gt;0,"Irrigar","Nao irrigar")))</f>
        <v/>
      </c>
      <c r="AC65" s="18">
        <f>IF(OR($W65="",$W65=0),"-",IF($W65&gt;=META_SEM,"Alta",IF($W65&gt;=META_SEM*FRAC_ACOMP,"Media","Baixa")))</f>
        <v/>
      </c>
      <c r="AD65" s="19" t="inlineStr"/>
    </row>
    <row r="66">
      <c r="A66" s="5" t="inlineStr">
        <is>
          <t>64</t>
        </is>
      </c>
      <c r="B66" s="5" t="inlineStr">
        <is>
          <t>Karitel</t>
        </is>
      </c>
      <c r="C66" s="5" t="inlineStr">
        <is>
          <t>Módulo 03</t>
        </is>
      </c>
      <c r="D66" s="5" t="inlineStr">
        <is>
          <t>KM2</t>
        </is>
      </c>
      <c r="E66" s="5" t="inlineStr">
        <is>
          <t>ALGODÃO</t>
        </is>
      </c>
      <c r="F66" s="6" t="inlineStr">
        <is>
          <t>FM 985 GLTP</t>
        </is>
      </c>
      <c r="G66" s="7" t="inlineStr">
        <is>
          <t>MÉDIO</t>
        </is>
      </c>
      <c r="H66" s="8" t="n">
        <v>46063</v>
      </c>
      <c r="I66" s="9">
        <f>IF($H66="","",DATA_REF-$H66)</f>
        <v/>
      </c>
      <c r="J66" s="9">
        <f>IF($I66="","",MAX(0,$I66-'PARAMETROS'!$B$12))</f>
        <v/>
      </c>
      <c r="K66" s="10">
        <f>IFERROR(INDEX(KC_CURVAS!$C$5:$C$15,MATCH($E66&amp;"|"&amp;$G66,KC_CURVAS!$K$5:$K$15,0)),IFERROR(INDEX(KC_CURVAS!$C$5:$C$15,MATCH($E66&amp;"|",KC_CURVAS!$K$5:$K$15,0)),""))</f>
        <v/>
      </c>
      <c r="L66" s="10">
        <f>IFERROR(INDEX(KC_CURVAS!$D$5:$D$15,MATCH($E66&amp;"|"&amp;$G66,KC_CURVAS!$K$5:$K$15,0)),IFERROR(INDEX(KC_CURVAS!$D$5:$D$15,MATCH($E66&amp;"|",KC_CURVAS!$K$5:$K$15,0)),""))</f>
        <v/>
      </c>
      <c r="M66" s="10">
        <f>IFERROR(INDEX(KC_CURVAS!$E$5:$E$15,MATCH($E66&amp;"|"&amp;$G66,KC_CURVAS!$K$5:$K$15,0)),IFERROR(INDEX(KC_CURVAS!$E$5:$E$15,MATCH($E66&amp;"|",KC_CURVAS!$K$5:$K$15,0)),""))</f>
        <v/>
      </c>
      <c r="N66" s="10">
        <f>IFERROR(INDEX(KC_CURVAS!$F$5:$F$15,MATCH($E66&amp;"|"&amp;$G66,KC_CURVAS!$K$5:$K$15,0)),IFERROR(INDEX(KC_CURVAS!$F$5:$F$15,MATCH($E66&amp;"|",KC_CURVAS!$K$5:$K$15,0)),""))</f>
        <v/>
      </c>
      <c r="O66" s="11">
        <f>IFERROR(INDEX(KC_CURVAS!$G$5:$G$15,MATCH($E66&amp;"|"&amp;$G66,KC_CURVAS!$K$5:$K$15,0)),IFERROR(INDEX(KC_CURVAS!$G$5:$G$15,MATCH($E66&amp;"|",KC_CURVAS!$K$5:$K$15,0)),""))</f>
        <v/>
      </c>
      <c r="P66" s="11">
        <f>IFERROR(INDEX(KC_CURVAS!$H$5:$H$15,MATCH($E66&amp;"|"&amp;$G66,KC_CURVAS!$K$5:$K$15,0)),IFERROR(INDEX(KC_CURVAS!$H$5:$H$15,MATCH($E66&amp;"|",KC_CURVAS!$K$5:$K$15,0)),""))</f>
        <v/>
      </c>
      <c r="Q66" s="11">
        <f>IFERROR(INDEX(KC_CURVAS!$I$5:$I$15,MATCH($E66&amp;"|"&amp;$G66,KC_CURVAS!$K$5:$K$15,0)),IFERROR(INDEX(KC_CURVAS!$I$5:$I$15,MATCH($E66&amp;"|",KC_CURVAS!$K$5:$K$15,0)),""))</f>
        <v/>
      </c>
      <c r="R66" s="12">
        <f>IF(OR($J66="",$K66=""),"PENDENTE",IF($J66&lt;=$K66,$O66,IF($J66&lt;=$K66+$L66,$O66+($P66-$O66)*($J66-$K66)/$L66,IF($J66&lt;=$K66+$L66+$M66,$P66,IF($J66&lt;=$K66+$L66+$M66+$N66,$P66+($Q66-$P66)*($J66-($K66+$L66+$M66))/$N66,$Q66)))))</f>
        <v/>
      </c>
      <c r="S66" s="13">
        <f>ETO_SEM</f>
        <v/>
      </c>
      <c r="T66" s="14">
        <f>IF(OR($R66="",$R66="PENDENTE"),"",$R66*$S66)</f>
        <v/>
      </c>
      <c r="U66" s="13" t="n">
        <v>0</v>
      </c>
      <c r="V66" s="14">
        <f>IF($T66="","",MAX(0,$T66-N($U66)))</f>
        <v/>
      </c>
      <c r="W66" s="14">
        <f>IF($V66="","",$V66/EF_APLIC)</f>
        <v/>
      </c>
      <c r="X66" s="15" t="n">
        <v>80.15000000000001</v>
      </c>
      <c r="Y66" s="16">
        <f>IF(OR($W66="",$X66=""),"",$W66*$X66*10)</f>
        <v/>
      </c>
      <c r="Z66" s="17">
        <f>IFERROR(INDEX('PARAMETROS'!$B$16:$B$19,MATCH($D66,'PARAMETROS'!$A$16:$A$19,0)),"")</f>
        <v/>
      </c>
      <c r="AA66" s="16">
        <f>IF(OR($Y66="",$Z66=""),"",$Y66*$Z66)</f>
        <v/>
      </c>
      <c r="AB66" s="18">
        <f>IF($R66="PENDENTE","Definir classe/Kc",IF($W66="","-",IF($W66&gt;0,"Irrigar","Nao irrigar")))</f>
        <v/>
      </c>
      <c r="AC66" s="18">
        <f>IF(OR($W66="",$W66=0),"-",IF($W66&gt;=META_SEM,"Alta",IF($W66&gt;=META_SEM*FRAC_ACOMP,"Media","Baixa")))</f>
        <v/>
      </c>
      <c r="AD66" s="19" t="inlineStr"/>
    </row>
    <row r="67">
      <c r="A67" s="5" t="inlineStr">
        <is>
          <t>65</t>
        </is>
      </c>
      <c r="B67" s="5" t="inlineStr">
        <is>
          <t>Karitel</t>
        </is>
      </c>
      <c r="C67" s="5" t="inlineStr">
        <is>
          <t>Módulo 03</t>
        </is>
      </c>
      <c r="D67" s="5" t="inlineStr">
        <is>
          <t>KM2</t>
        </is>
      </c>
      <c r="E67" s="5" t="inlineStr">
        <is>
          <t>ALGODÃO</t>
        </is>
      </c>
      <c r="F67" s="6" t="inlineStr">
        <is>
          <t>FM 985 GLTP</t>
        </is>
      </c>
      <c r="G67" s="7" t="inlineStr">
        <is>
          <t>MÉDIO</t>
        </is>
      </c>
      <c r="H67" s="8" t="n">
        <v>46051</v>
      </c>
      <c r="I67" s="9">
        <f>IF($H67="","",DATA_REF-$H67)</f>
        <v/>
      </c>
      <c r="J67" s="9">
        <f>IF($I67="","",MAX(0,$I67-'PARAMETROS'!$B$12))</f>
        <v/>
      </c>
      <c r="K67" s="10">
        <f>IFERROR(INDEX(KC_CURVAS!$C$5:$C$15,MATCH($E67&amp;"|"&amp;$G67,KC_CURVAS!$K$5:$K$15,0)),IFERROR(INDEX(KC_CURVAS!$C$5:$C$15,MATCH($E67&amp;"|",KC_CURVAS!$K$5:$K$15,0)),""))</f>
        <v/>
      </c>
      <c r="L67" s="10">
        <f>IFERROR(INDEX(KC_CURVAS!$D$5:$D$15,MATCH($E67&amp;"|"&amp;$G67,KC_CURVAS!$K$5:$K$15,0)),IFERROR(INDEX(KC_CURVAS!$D$5:$D$15,MATCH($E67&amp;"|",KC_CURVAS!$K$5:$K$15,0)),""))</f>
        <v/>
      </c>
      <c r="M67" s="10">
        <f>IFERROR(INDEX(KC_CURVAS!$E$5:$E$15,MATCH($E67&amp;"|"&amp;$G67,KC_CURVAS!$K$5:$K$15,0)),IFERROR(INDEX(KC_CURVAS!$E$5:$E$15,MATCH($E67&amp;"|",KC_CURVAS!$K$5:$K$15,0)),""))</f>
        <v/>
      </c>
      <c r="N67" s="10">
        <f>IFERROR(INDEX(KC_CURVAS!$F$5:$F$15,MATCH($E67&amp;"|"&amp;$G67,KC_CURVAS!$K$5:$K$15,0)),IFERROR(INDEX(KC_CURVAS!$F$5:$F$15,MATCH($E67&amp;"|",KC_CURVAS!$K$5:$K$15,0)),""))</f>
        <v/>
      </c>
      <c r="O67" s="11">
        <f>IFERROR(INDEX(KC_CURVAS!$G$5:$G$15,MATCH($E67&amp;"|"&amp;$G67,KC_CURVAS!$K$5:$K$15,0)),IFERROR(INDEX(KC_CURVAS!$G$5:$G$15,MATCH($E67&amp;"|",KC_CURVAS!$K$5:$K$15,0)),""))</f>
        <v/>
      </c>
      <c r="P67" s="11">
        <f>IFERROR(INDEX(KC_CURVAS!$H$5:$H$15,MATCH($E67&amp;"|"&amp;$G67,KC_CURVAS!$K$5:$K$15,0)),IFERROR(INDEX(KC_CURVAS!$H$5:$H$15,MATCH($E67&amp;"|",KC_CURVAS!$K$5:$K$15,0)),""))</f>
        <v/>
      </c>
      <c r="Q67" s="11">
        <f>IFERROR(INDEX(KC_CURVAS!$I$5:$I$15,MATCH($E67&amp;"|"&amp;$G67,KC_CURVAS!$K$5:$K$15,0)),IFERROR(INDEX(KC_CURVAS!$I$5:$I$15,MATCH($E67&amp;"|",KC_CURVAS!$K$5:$K$15,0)),""))</f>
        <v/>
      </c>
      <c r="R67" s="12">
        <f>IF(OR($J67="",$K67=""),"PENDENTE",IF($J67&lt;=$K67,$O67,IF($J67&lt;=$K67+$L67,$O67+($P67-$O67)*($J67-$K67)/$L67,IF($J67&lt;=$K67+$L67+$M67,$P67,IF($J67&lt;=$K67+$L67+$M67+$N67,$P67+($Q67-$P67)*($J67-($K67+$L67+$M67))/$N67,$Q67)))))</f>
        <v/>
      </c>
      <c r="S67" s="13">
        <f>ETO_SEM</f>
        <v/>
      </c>
      <c r="T67" s="14">
        <f>IF(OR($R67="",$R67="PENDENTE"),"",$R67*$S67)</f>
        <v/>
      </c>
      <c r="U67" s="13" t="n">
        <v>0</v>
      </c>
      <c r="V67" s="14">
        <f>IF($T67="","",MAX(0,$T67-N($U67)))</f>
        <v/>
      </c>
      <c r="W67" s="14">
        <f>IF($V67="","",$V67/EF_APLIC)</f>
        <v/>
      </c>
      <c r="X67" s="15" t="n">
        <v>150</v>
      </c>
      <c r="Y67" s="16">
        <f>IF(OR($W67="",$X67=""),"",$W67*$X67*10)</f>
        <v/>
      </c>
      <c r="Z67" s="17">
        <f>IFERROR(INDEX('PARAMETROS'!$B$16:$B$19,MATCH($D67,'PARAMETROS'!$A$16:$A$19,0)),"")</f>
        <v/>
      </c>
      <c r="AA67" s="16">
        <f>IF(OR($Y67="",$Z67=""),"",$Y67*$Z67)</f>
        <v/>
      </c>
      <c r="AB67" s="18">
        <f>IF($R67="PENDENTE","Definir classe/Kc",IF($W67="","-",IF($W67&gt;0,"Irrigar","Nao irrigar")))</f>
        <v/>
      </c>
      <c r="AC67" s="18">
        <f>IF(OR($W67="",$W67=0),"-",IF($W67&gt;=META_SEM,"Alta",IF($W67&gt;=META_SEM*FRAC_ACOMP,"Media","Baixa")))</f>
        <v/>
      </c>
      <c r="AD67" s="19" t="inlineStr"/>
    </row>
    <row r="68">
      <c r="A68" s="5" t="inlineStr">
        <is>
          <t>109</t>
        </is>
      </c>
      <c r="B68" s="5" t="inlineStr">
        <is>
          <t>RDM</t>
        </is>
      </c>
      <c r="C68" s="5" t="inlineStr">
        <is>
          <t>Módulo 01</t>
        </is>
      </c>
      <c r="D68" s="5" t="inlineStr">
        <is>
          <t>RDM2</t>
        </is>
      </c>
      <c r="E68" s="5" t="inlineStr">
        <is>
          <t>ALGODÃO</t>
        </is>
      </c>
      <c r="F68" s="6" t="inlineStr">
        <is>
          <t>FM 985 GLTP</t>
        </is>
      </c>
      <c r="G68" s="7" t="inlineStr">
        <is>
          <t>MÉDIO</t>
        </is>
      </c>
      <c r="H68" s="8" t="n">
        <v>46021</v>
      </c>
      <c r="I68" s="9">
        <f>IF($H68="","",DATA_REF-$H68)</f>
        <v/>
      </c>
      <c r="J68" s="9">
        <f>IF($I68="","",MAX(0,$I68-'PARAMETROS'!$B$12))</f>
        <v/>
      </c>
      <c r="K68" s="10">
        <f>IFERROR(INDEX(KC_CURVAS!$C$5:$C$15,MATCH($E68&amp;"|"&amp;$G68,KC_CURVAS!$K$5:$K$15,0)),IFERROR(INDEX(KC_CURVAS!$C$5:$C$15,MATCH($E68&amp;"|",KC_CURVAS!$K$5:$K$15,0)),""))</f>
        <v/>
      </c>
      <c r="L68" s="10">
        <f>IFERROR(INDEX(KC_CURVAS!$D$5:$D$15,MATCH($E68&amp;"|"&amp;$G68,KC_CURVAS!$K$5:$K$15,0)),IFERROR(INDEX(KC_CURVAS!$D$5:$D$15,MATCH($E68&amp;"|",KC_CURVAS!$K$5:$K$15,0)),""))</f>
        <v/>
      </c>
      <c r="M68" s="10">
        <f>IFERROR(INDEX(KC_CURVAS!$E$5:$E$15,MATCH($E68&amp;"|"&amp;$G68,KC_CURVAS!$K$5:$K$15,0)),IFERROR(INDEX(KC_CURVAS!$E$5:$E$15,MATCH($E68&amp;"|",KC_CURVAS!$K$5:$K$15,0)),""))</f>
        <v/>
      </c>
      <c r="N68" s="10">
        <f>IFERROR(INDEX(KC_CURVAS!$F$5:$F$15,MATCH($E68&amp;"|"&amp;$G68,KC_CURVAS!$K$5:$K$15,0)),IFERROR(INDEX(KC_CURVAS!$F$5:$F$15,MATCH($E68&amp;"|",KC_CURVAS!$K$5:$K$15,0)),""))</f>
        <v/>
      </c>
      <c r="O68" s="11">
        <f>IFERROR(INDEX(KC_CURVAS!$G$5:$G$15,MATCH($E68&amp;"|"&amp;$G68,KC_CURVAS!$K$5:$K$15,0)),IFERROR(INDEX(KC_CURVAS!$G$5:$G$15,MATCH($E68&amp;"|",KC_CURVAS!$K$5:$K$15,0)),""))</f>
        <v/>
      </c>
      <c r="P68" s="11">
        <f>IFERROR(INDEX(KC_CURVAS!$H$5:$H$15,MATCH($E68&amp;"|"&amp;$G68,KC_CURVAS!$K$5:$K$15,0)),IFERROR(INDEX(KC_CURVAS!$H$5:$H$15,MATCH($E68&amp;"|",KC_CURVAS!$K$5:$K$15,0)),""))</f>
        <v/>
      </c>
      <c r="Q68" s="11">
        <f>IFERROR(INDEX(KC_CURVAS!$I$5:$I$15,MATCH($E68&amp;"|"&amp;$G68,KC_CURVAS!$K$5:$K$15,0)),IFERROR(INDEX(KC_CURVAS!$I$5:$I$15,MATCH($E68&amp;"|",KC_CURVAS!$K$5:$K$15,0)),""))</f>
        <v/>
      </c>
      <c r="R68" s="12">
        <f>IF(OR($J68="",$K68=""),"PENDENTE",IF($J68&lt;=$K68,$O68,IF($J68&lt;=$K68+$L68,$O68+($P68-$O68)*($J68-$K68)/$L68,IF($J68&lt;=$K68+$L68+$M68,$P68,IF($J68&lt;=$K68+$L68+$M68+$N68,$P68+($Q68-$P68)*($J68-($K68+$L68+$M68))/$N68,$Q68)))))</f>
        <v/>
      </c>
      <c r="S68" s="13">
        <f>ETO_SEM</f>
        <v/>
      </c>
      <c r="T68" s="14">
        <f>IF(OR($R68="",$R68="PENDENTE"),"",$R68*$S68)</f>
        <v/>
      </c>
      <c r="U68" s="13" t="n">
        <v>0</v>
      </c>
      <c r="V68" s="14">
        <f>IF($T68="","",MAX(0,$T68-N($U68)))</f>
        <v/>
      </c>
      <c r="W68" s="14">
        <f>IF($V68="","",$V68/EF_APLIC)</f>
        <v/>
      </c>
      <c r="X68" s="15" t="n">
        <v>102.01</v>
      </c>
      <c r="Y68" s="16">
        <f>IF(OR($W68="",$X68=""),"",$W68*$X68*10)</f>
        <v/>
      </c>
      <c r="Z68" s="17">
        <f>IFERROR(INDEX('PARAMETROS'!$B$16:$B$19,MATCH($D68,'PARAMETROS'!$A$16:$A$19,0)),"")</f>
        <v/>
      </c>
      <c r="AA68" s="16">
        <f>IF(OR($Y68="",$Z68=""),"",$Y68*$Z68)</f>
        <v/>
      </c>
      <c r="AB68" s="18">
        <f>IF($R68="PENDENTE","Definir classe/Kc",IF($W68="","-",IF($W68&gt;0,"Irrigar","Nao irrigar")))</f>
        <v/>
      </c>
      <c r="AC68" s="18">
        <f>IF(OR($W68="",$W68=0),"-",IF($W68&gt;=META_SEM,"Alta",IF($W68&gt;=META_SEM*FRAC_ACOMP,"Media","Baixa")))</f>
        <v/>
      </c>
      <c r="AD68" s="19" t="inlineStr"/>
    </row>
    <row r="69">
      <c r="A69" s="5" t="inlineStr">
        <is>
          <t>106</t>
        </is>
      </c>
      <c r="B69" s="5" t="inlineStr">
        <is>
          <t>RDM</t>
        </is>
      </c>
      <c r="C69" s="5" t="inlineStr">
        <is>
          <t>Módulo 01</t>
        </is>
      </c>
      <c r="D69" s="5" t="inlineStr">
        <is>
          <t>RDM2</t>
        </is>
      </c>
      <c r="E69" s="5" t="inlineStr">
        <is>
          <t>ALGODÃO</t>
        </is>
      </c>
      <c r="F69" s="6" t="inlineStr">
        <is>
          <t>DP 2252 B3XF</t>
        </is>
      </c>
      <c r="G69" s="7" t="inlineStr">
        <is>
          <t>PRECOCE</t>
        </is>
      </c>
      <c r="H69" s="8" t="n">
        <v>46073</v>
      </c>
      <c r="I69" s="9">
        <f>IF($H69="","",DATA_REF-$H69)</f>
        <v/>
      </c>
      <c r="J69" s="9">
        <f>IF($I69="","",MAX(0,$I69-'PARAMETROS'!$B$12))</f>
        <v/>
      </c>
      <c r="K69" s="10">
        <f>IFERROR(INDEX(KC_CURVAS!$C$5:$C$15,MATCH($E69&amp;"|"&amp;$G69,KC_CURVAS!$K$5:$K$15,0)),IFERROR(INDEX(KC_CURVAS!$C$5:$C$15,MATCH($E69&amp;"|",KC_CURVAS!$K$5:$K$15,0)),""))</f>
        <v/>
      </c>
      <c r="L69" s="10">
        <f>IFERROR(INDEX(KC_CURVAS!$D$5:$D$15,MATCH($E69&amp;"|"&amp;$G69,KC_CURVAS!$K$5:$K$15,0)),IFERROR(INDEX(KC_CURVAS!$D$5:$D$15,MATCH($E69&amp;"|",KC_CURVAS!$K$5:$K$15,0)),""))</f>
        <v/>
      </c>
      <c r="M69" s="10">
        <f>IFERROR(INDEX(KC_CURVAS!$E$5:$E$15,MATCH($E69&amp;"|"&amp;$G69,KC_CURVAS!$K$5:$K$15,0)),IFERROR(INDEX(KC_CURVAS!$E$5:$E$15,MATCH($E69&amp;"|",KC_CURVAS!$K$5:$K$15,0)),""))</f>
        <v/>
      </c>
      <c r="N69" s="10">
        <f>IFERROR(INDEX(KC_CURVAS!$F$5:$F$15,MATCH($E69&amp;"|"&amp;$G69,KC_CURVAS!$K$5:$K$15,0)),IFERROR(INDEX(KC_CURVAS!$F$5:$F$15,MATCH($E69&amp;"|",KC_CURVAS!$K$5:$K$15,0)),""))</f>
        <v/>
      </c>
      <c r="O69" s="11">
        <f>IFERROR(INDEX(KC_CURVAS!$G$5:$G$15,MATCH($E69&amp;"|"&amp;$G69,KC_CURVAS!$K$5:$K$15,0)),IFERROR(INDEX(KC_CURVAS!$G$5:$G$15,MATCH($E69&amp;"|",KC_CURVAS!$K$5:$K$15,0)),""))</f>
        <v/>
      </c>
      <c r="P69" s="11">
        <f>IFERROR(INDEX(KC_CURVAS!$H$5:$H$15,MATCH($E69&amp;"|"&amp;$G69,KC_CURVAS!$K$5:$K$15,0)),IFERROR(INDEX(KC_CURVAS!$H$5:$H$15,MATCH($E69&amp;"|",KC_CURVAS!$K$5:$K$15,0)),""))</f>
        <v/>
      </c>
      <c r="Q69" s="11">
        <f>IFERROR(INDEX(KC_CURVAS!$I$5:$I$15,MATCH($E69&amp;"|"&amp;$G69,KC_CURVAS!$K$5:$K$15,0)),IFERROR(INDEX(KC_CURVAS!$I$5:$I$15,MATCH($E69&amp;"|",KC_CURVAS!$K$5:$K$15,0)),""))</f>
        <v/>
      </c>
      <c r="R69" s="12">
        <f>IF(OR($J69="",$K69=""),"PENDENTE",IF($J69&lt;=$K69,$O69,IF($J69&lt;=$K69+$L69,$O69+($P69-$O69)*($J69-$K69)/$L69,IF($J69&lt;=$K69+$L69+$M69,$P69,IF($J69&lt;=$K69+$L69+$M69+$N69,$P69+($Q69-$P69)*($J69-($K69+$L69+$M69))/$N69,$Q69)))))</f>
        <v/>
      </c>
      <c r="S69" s="13">
        <f>ETO_SEM</f>
        <v/>
      </c>
      <c r="T69" s="14">
        <f>IF(OR($R69="",$R69="PENDENTE"),"",$R69*$S69)</f>
        <v/>
      </c>
      <c r="U69" s="13" t="n">
        <v>0</v>
      </c>
      <c r="V69" s="14">
        <f>IF($T69="","",MAX(0,$T69-N($U69)))</f>
        <v/>
      </c>
      <c r="W69" s="14">
        <f>IF($V69="","",$V69/EF_APLIC)</f>
        <v/>
      </c>
      <c r="X69" s="15" t="n">
        <v>102.01</v>
      </c>
      <c r="Y69" s="16">
        <f>IF(OR($W69="",$X69=""),"",$W69*$X69*10)</f>
        <v/>
      </c>
      <c r="Z69" s="17">
        <f>IFERROR(INDEX('PARAMETROS'!$B$16:$B$19,MATCH($D69,'PARAMETROS'!$A$16:$A$19,0)),"")</f>
        <v/>
      </c>
      <c r="AA69" s="16">
        <f>IF(OR($Y69="",$Z69=""),"",$Y69*$Z69)</f>
        <v/>
      </c>
      <c r="AB69" s="18">
        <f>IF($R69="PENDENTE","Definir classe/Kc",IF($W69="","-",IF($W69&gt;0,"Irrigar","Nao irrigar")))</f>
        <v/>
      </c>
      <c r="AC69" s="18">
        <f>IF(OR($W69="",$W69=0),"-",IF($W69&gt;=META_SEM,"Alta",IF($W69&gt;=META_SEM*FRAC_ACOMP,"Media","Baixa")))</f>
        <v/>
      </c>
      <c r="AD69" s="19" t="inlineStr"/>
    </row>
    <row r="70">
      <c r="A70" s="5" t="inlineStr">
        <is>
          <t>108</t>
        </is>
      </c>
      <c r="B70" s="5" t="inlineStr">
        <is>
          <t>RDM</t>
        </is>
      </c>
      <c r="C70" s="5" t="inlineStr">
        <is>
          <t>Módulo 01</t>
        </is>
      </c>
      <c r="D70" s="5" t="inlineStr">
        <is>
          <t>RDM2</t>
        </is>
      </c>
      <c r="E70" s="5" t="inlineStr">
        <is>
          <t>ALGODÃO</t>
        </is>
      </c>
      <c r="F70" s="6" t="inlineStr">
        <is>
          <t>FM 985 GLTP</t>
        </is>
      </c>
      <c r="G70" s="7" t="inlineStr">
        <is>
          <t>MÉDIO</t>
        </is>
      </c>
      <c r="H70" s="8" t="n">
        <v>46014</v>
      </c>
      <c r="I70" s="9">
        <f>IF($H70="","",DATA_REF-$H70)</f>
        <v/>
      </c>
      <c r="J70" s="9">
        <f>IF($I70="","",MAX(0,$I70-'PARAMETROS'!$B$12))</f>
        <v/>
      </c>
      <c r="K70" s="10">
        <f>IFERROR(INDEX(KC_CURVAS!$C$5:$C$15,MATCH($E70&amp;"|"&amp;$G70,KC_CURVAS!$K$5:$K$15,0)),IFERROR(INDEX(KC_CURVAS!$C$5:$C$15,MATCH($E70&amp;"|",KC_CURVAS!$K$5:$K$15,0)),""))</f>
        <v/>
      </c>
      <c r="L70" s="10">
        <f>IFERROR(INDEX(KC_CURVAS!$D$5:$D$15,MATCH($E70&amp;"|"&amp;$G70,KC_CURVAS!$K$5:$K$15,0)),IFERROR(INDEX(KC_CURVAS!$D$5:$D$15,MATCH($E70&amp;"|",KC_CURVAS!$K$5:$K$15,0)),""))</f>
        <v/>
      </c>
      <c r="M70" s="10">
        <f>IFERROR(INDEX(KC_CURVAS!$E$5:$E$15,MATCH($E70&amp;"|"&amp;$G70,KC_CURVAS!$K$5:$K$15,0)),IFERROR(INDEX(KC_CURVAS!$E$5:$E$15,MATCH($E70&amp;"|",KC_CURVAS!$K$5:$K$15,0)),""))</f>
        <v/>
      </c>
      <c r="N70" s="10">
        <f>IFERROR(INDEX(KC_CURVAS!$F$5:$F$15,MATCH($E70&amp;"|"&amp;$G70,KC_CURVAS!$K$5:$K$15,0)),IFERROR(INDEX(KC_CURVAS!$F$5:$F$15,MATCH($E70&amp;"|",KC_CURVAS!$K$5:$K$15,0)),""))</f>
        <v/>
      </c>
      <c r="O70" s="11">
        <f>IFERROR(INDEX(KC_CURVAS!$G$5:$G$15,MATCH($E70&amp;"|"&amp;$G70,KC_CURVAS!$K$5:$K$15,0)),IFERROR(INDEX(KC_CURVAS!$G$5:$G$15,MATCH($E70&amp;"|",KC_CURVAS!$K$5:$K$15,0)),""))</f>
        <v/>
      </c>
      <c r="P70" s="11">
        <f>IFERROR(INDEX(KC_CURVAS!$H$5:$H$15,MATCH($E70&amp;"|"&amp;$G70,KC_CURVAS!$K$5:$K$15,0)),IFERROR(INDEX(KC_CURVAS!$H$5:$H$15,MATCH($E70&amp;"|",KC_CURVAS!$K$5:$K$15,0)),""))</f>
        <v/>
      </c>
      <c r="Q70" s="11">
        <f>IFERROR(INDEX(KC_CURVAS!$I$5:$I$15,MATCH($E70&amp;"|"&amp;$G70,KC_CURVAS!$K$5:$K$15,0)),IFERROR(INDEX(KC_CURVAS!$I$5:$I$15,MATCH($E70&amp;"|",KC_CURVAS!$K$5:$K$15,0)),""))</f>
        <v/>
      </c>
      <c r="R70" s="12">
        <f>IF(OR($J70="",$K70=""),"PENDENTE",IF($J70&lt;=$K70,$O70,IF($J70&lt;=$K70+$L70,$O70+($P70-$O70)*($J70-$K70)/$L70,IF($J70&lt;=$K70+$L70+$M70,$P70,IF($J70&lt;=$K70+$L70+$M70+$N70,$P70+($Q70-$P70)*($J70-($K70+$L70+$M70))/$N70,$Q70)))))</f>
        <v/>
      </c>
      <c r="S70" s="13">
        <f>ETO_SEM</f>
        <v/>
      </c>
      <c r="T70" s="14">
        <f>IF(OR($R70="",$R70="PENDENTE"),"",$R70*$S70)</f>
        <v/>
      </c>
      <c r="U70" s="13" t="n">
        <v>0</v>
      </c>
      <c r="V70" s="14">
        <f>IF($T70="","",MAX(0,$T70-N($U70)))</f>
        <v/>
      </c>
      <c r="W70" s="14">
        <f>IF($V70="","",$V70/EF_APLIC)</f>
        <v/>
      </c>
      <c r="X70" s="15" t="n">
        <v>102.01</v>
      </c>
      <c r="Y70" s="16">
        <f>IF(OR($W70="",$X70=""),"",$W70*$X70*10)</f>
        <v/>
      </c>
      <c r="Z70" s="17">
        <f>IFERROR(INDEX('PARAMETROS'!$B$16:$B$19,MATCH($D70,'PARAMETROS'!$A$16:$A$19,0)),"")</f>
        <v/>
      </c>
      <c r="AA70" s="16">
        <f>IF(OR($Y70="",$Z70=""),"",$Y70*$Z70)</f>
        <v/>
      </c>
      <c r="AB70" s="18">
        <f>IF($R70="PENDENTE","Definir classe/Kc",IF($W70="","-",IF($W70&gt;0,"Irrigar","Nao irrigar")))</f>
        <v/>
      </c>
      <c r="AC70" s="18">
        <f>IF(OR($W70="",$W70=0),"-",IF($W70&gt;=META_SEM,"Alta",IF($W70&gt;=META_SEM*FRAC_ACOMP,"Media","Baixa")))</f>
        <v/>
      </c>
      <c r="AD70" s="19" t="inlineStr"/>
    </row>
    <row r="71">
      <c r="A71" s="5" t="inlineStr">
        <is>
          <t>105</t>
        </is>
      </c>
      <c r="B71" s="5" t="inlineStr">
        <is>
          <t>RDM</t>
        </is>
      </c>
      <c r="C71" s="5" t="inlineStr">
        <is>
          <t>Módulo 01</t>
        </is>
      </c>
      <c r="D71" s="5" t="inlineStr">
        <is>
          <t>RDM2</t>
        </is>
      </c>
      <c r="E71" s="5" t="inlineStr">
        <is>
          <t>ALGODÃO</t>
        </is>
      </c>
      <c r="F71" s="6" t="inlineStr">
        <is>
          <t>FM 974 GLT</t>
        </is>
      </c>
      <c r="G71" s="7" t="inlineStr">
        <is>
          <t>MÉDIO</t>
        </is>
      </c>
      <c r="H71" s="8" t="n">
        <v>46012</v>
      </c>
      <c r="I71" s="9">
        <f>IF($H71="","",DATA_REF-$H71)</f>
        <v/>
      </c>
      <c r="J71" s="9">
        <f>IF($I71="","",MAX(0,$I71-'PARAMETROS'!$B$12))</f>
        <v/>
      </c>
      <c r="K71" s="10">
        <f>IFERROR(INDEX(KC_CURVAS!$C$5:$C$15,MATCH($E71&amp;"|"&amp;$G71,KC_CURVAS!$K$5:$K$15,0)),IFERROR(INDEX(KC_CURVAS!$C$5:$C$15,MATCH($E71&amp;"|",KC_CURVAS!$K$5:$K$15,0)),""))</f>
        <v/>
      </c>
      <c r="L71" s="10">
        <f>IFERROR(INDEX(KC_CURVAS!$D$5:$D$15,MATCH($E71&amp;"|"&amp;$G71,KC_CURVAS!$K$5:$K$15,0)),IFERROR(INDEX(KC_CURVAS!$D$5:$D$15,MATCH($E71&amp;"|",KC_CURVAS!$K$5:$K$15,0)),""))</f>
        <v/>
      </c>
      <c r="M71" s="10">
        <f>IFERROR(INDEX(KC_CURVAS!$E$5:$E$15,MATCH($E71&amp;"|"&amp;$G71,KC_CURVAS!$K$5:$K$15,0)),IFERROR(INDEX(KC_CURVAS!$E$5:$E$15,MATCH($E71&amp;"|",KC_CURVAS!$K$5:$K$15,0)),""))</f>
        <v/>
      </c>
      <c r="N71" s="10">
        <f>IFERROR(INDEX(KC_CURVAS!$F$5:$F$15,MATCH($E71&amp;"|"&amp;$G71,KC_CURVAS!$K$5:$K$15,0)),IFERROR(INDEX(KC_CURVAS!$F$5:$F$15,MATCH($E71&amp;"|",KC_CURVAS!$K$5:$K$15,0)),""))</f>
        <v/>
      </c>
      <c r="O71" s="11">
        <f>IFERROR(INDEX(KC_CURVAS!$G$5:$G$15,MATCH($E71&amp;"|"&amp;$G71,KC_CURVAS!$K$5:$K$15,0)),IFERROR(INDEX(KC_CURVAS!$G$5:$G$15,MATCH($E71&amp;"|",KC_CURVAS!$K$5:$K$15,0)),""))</f>
        <v/>
      </c>
      <c r="P71" s="11">
        <f>IFERROR(INDEX(KC_CURVAS!$H$5:$H$15,MATCH($E71&amp;"|"&amp;$G71,KC_CURVAS!$K$5:$K$15,0)),IFERROR(INDEX(KC_CURVAS!$H$5:$H$15,MATCH($E71&amp;"|",KC_CURVAS!$K$5:$K$15,0)),""))</f>
        <v/>
      </c>
      <c r="Q71" s="11">
        <f>IFERROR(INDEX(KC_CURVAS!$I$5:$I$15,MATCH($E71&amp;"|"&amp;$G71,KC_CURVAS!$K$5:$K$15,0)),IFERROR(INDEX(KC_CURVAS!$I$5:$I$15,MATCH($E71&amp;"|",KC_CURVAS!$K$5:$K$15,0)),""))</f>
        <v/>
      </c>
      <c r="R71" s="12">
        <f>IF(OR($J71="",$K71=""),"PENDENTE",IF($J71&lt;=$K71,$O71,IF($J71&lt;=$K71+$L71,$O71+($P71-$O71)*($J71-$K71)/$L71,IF($J71&lt;=$K71+$L71+$M71,$P71,IF($J71&lt;=$K71+$L71+$M71+$N71,$P71+($Q71-$P71)*($J71-($K71+$L71+$M71))/$N71,$Q71)))))</f>
        <v/>
      </c>
      <c r="S71" s="13">
        <f>ETO_SEM</f>
        <v/>
      </c>
      <c r="T71" s="14">
        <f>IF(OR($R71="",$R71="PENDENTE"),"",$R71*$S71)</f>
        <v/>
      </c>
      <c r="U71" s="13" t="n">
        <v>0</v>
      </c>
      <c r="V71" s="14">
        <f>IF($T71="","",MAX(0,$T71-N($U71)))</f>
        <v/>
      </c>
      <c r="W71" s="14">
        <f>IF($V71="","",$V71/EF_APLIC)</f>
        <v/>
      </c>
      <c r="X71" s="15" t="n">
        <v>102.01</v>
      </c>
      <c r="Y71" s="16">
        <f>IF(OR($W71="",$X71=""),"",$W71*$X71*10)</f>
        <v/>
      </c>
      <c r="Z71" s="17">
        <f>IFERROR(INDEX('PARAMETROS'!$B$16:$B$19,MATCH($D71,'PARAMETROS'!$A$16:$A$19,0)),"")</f>
        <v/>
      </c>
      <c r="AA71" s="16">
        <f>IF(OR($Y71="",$Z71=""),"",$Y71*$Z71)</f>
        <v/>
      </c>
      <c r="AB71" s="18">
        <f>IF($R71="PENDENTE","Definir classe/Kc",IF($W71="","-",IF($W71&gt;0,"Irrigar","Nao irrigar")))</f>
        <v/>
      </c>
      <c r="AC71" s="18">
        <f>IF(OR($W71="",$W71=0),"-",IF($W71&gt;=META_SEM,"Alta",IF($W71&gt;=META_SEM*FRAC_ACOMP,"Media","Baixa")))</f>
        <v/>
      </c>
      <c r="AD71" s="19" t="inlineStr"/>
    </row>
    <row r="72">
      <c r="A72" s="5" t="inlineStr">
        <is>
          <t>107</t>
        </is>
      </c>
      <c r="B72" s="5" t="inlineStr">
        <is>
          <t>RDM</t>
        </is>
      </c>
      <c r="C72" s="5" t="inlineStr">
        <is>
          <t>Módulo 01</t>
        </is>
      </c>
      <c r="D72" s="5" t="inlineStr">
        <is>
          <t>RDM2</t>
        </is>
      </c>
      <c r="E72" s="5" t="inlineStr">
        <is>
          <t>ALGODÃO</t>
        </is>
      </c>
      <c r="F72" s="6" t="inlineStr">
        <is>
          <t>FM 974 GLT</t>
        </is>
      </c>
      <c r="G72" s="7" t="inlineStr">
        <is>
          <t>MÉDIO</t>
        </is>
      </c>
      <c r="H72" s="8" t="n">
        <v>46013</v>
      </c>
      <c r="I72" s="9">
        <f>IF($H72="","",DATA_REF-$H72)</f>
        <v/>
      </c>
      <c r="J72" s="9">
        <f>IF($I72="","",MAX(0,$I72-'PARAMETROS'!$B$12))</f>
        <v/>
      </c>
      <c r="K72" s="10">
        <f>IFERROR(INDEX(KC_CURVAS!$C$5:$C$15,MATCH($E72&amp;"|"&amp;$G72,KC_CURVAS!$K$5:$K$15,0)),IFERROR(INDEX(KC_CURVAS!$C$5:$C$15,MATCH($E72&amp;"|",KC_CURVAS!$K$5:$K$15,0)),""))</f>
        <v/>
      </c>
      <c r="L72" s="10">
        <f>IFERROR(INDEX(KC_CURVAS!$D$5:$D$15,MATCH($E72&amp;"|"&amp;$G72,KC_CURVAS!$K$5:$K$15,0)),IFERROR(INDEX(KC_CURVAS!$D$5:$D$15,MATCH($E72&amp;"|",KC_CURVAS!$K$5:$K$15,0)),""))</f>
        <v/>
      </c>
      <c r="M72" s="10">
        <f>IFERROR(INDEX(KC_CURVAS!$E$5:$E$15,MATCH($E72&amp;"|"&amp;$G72,KC_CURVAS!$K$5:$K$15,0)),IFERROR(INDEX(KC_CURVAS!$E$5:$E$15,MATCH($E72&amp;"|",KC_CURVAS!$K$5:$K$15,0)),""))</f>
        <v/>
      </c>
      <c r="N72" s="10">
        <f>IFERROR(INDEX(KC_CURVAS!$F$5:$F$15,MATCH($E72&amp;"|"&amp;$G72,KC_CURVAS!$K$5:$K$15,0)),IFERROR(INDEX(KC_CURVAS!$F$5:$F$15,MATCH($E72&amp;"|",KC_CURVAS!$K$5:$K$15,0)),""))</f>
        <v/>
      </c>
      <c r="O72" s="11">
        <f>IFERROR(INDEX(KC_CURVAS!$G$5:$G$15,MATCH($E72&amp;"|"&amp;$G72,KC_CURVAS!$K$5:$K$15,0)),IFERROR(INDEX(KC_CURVAS!$G$5:$G$15,MATCH($E72&amp;"|",KC_CURVAS!$K$5:$K$15,0)),""))</f>
        <v/>
      </c>
      <c r="P72" s="11">
        <f>IFERROR(INDEX(KC_CURVAS!$H$5:$H$15,MATCH($E72&amp;"|"&amp;$G72,KC_CURVAS!$K$5:$K$15,0)),IFERROR(INDEX(KC_CURVAS!$H$5:$H$15,MATCH($E72&amp;"|",KC_CURVAS!$K$5:$K$15,0)),""))</f>
        <v/>
      </c>
      <c r="Q72" s="11">
        <f>IFERROR(INDEX(KC_CURVAS!$I$5:$I$15,MATCH($E72&amp;"|"&amp;$G72,KC_CURVAS!$K$5:$K$15,0)),IFERROR(INDEX(KC_CURVAS!$I$5:$I$15,MATCH($E72&amp;"|",KC_CURVAS!$K$5:$K$15,0)),""))</f>
        <v/>
      </c>
      <c r="R72" s="12">
        <f>IF(OR($J72="",$K72=""),"PENDENTE",IF($J72&lt;=$K72,$O72,IF($J72&lt;=$K72+$L72,$O72+($P72-$O72)*($J72-$K72)/$L72,IF($J72&lt;=$K72+$L72+$M72,$P72,IF($J72&lt;=$K72+$L72+$M72+$N72,$P72+($Q72-$P72)*($J72-($K72+$L72+$M72))/$N72,$Q72)))))</f>
        <v/>
      </c>
      <c r="S72" s="13">
        <f>ETO_SEM</f>
        <v/>
      </c>
      <c r="T72" s="14">
        <f>IF(OR($R72="",$R72="PENDENTE"),"",$R72*$S72)</f>
        <v/>
      </c>
      <c r="U72" s="13" t="n">
        <v>0</v>
      </c>
      <c r="V72" s="14">
        <f>IF($T72="","",MAX(0,$T72-N($U72)))</f>
        <v/>
      </c>
      <c r="W72" s="14">
        <f>IF($V72="","",$V72/EF_APLIC)</f>
        <v/>
      </c>
      <c r="X72" s="15" t="n">
        <v>102.01</v>
      </c>
      <c r="Y72" s="16">
        <f>IF(OR($W72="",$X72=""),"",$W72*$X72*10)</f>
        <v/>
      </c>
      <c r="Z72" s="17">
        <f>IFERROR(INDEX('PARAMETROS'!$B$16:$B$19,MATCH($D72,'PARAMETROS'!$A$16:$A$19,0)),"")</f>
        <v/>
      </c>
      <c r="AA72" s="16">
        <f>IF(OR($Y72="",$Z72=""),"",$Y72*$Z72)</f>
        <v/>
      </c>
      <c r="AB72" s="18">
        <f>IF($R72="PENDENTE","Definir classe/Kc",IF($W72="","-",IF($W72&gt;0,"Irrigar","Nao irrigar")))</f>
        <v/>
      </c>
      <c r="AC72" s="18">
        <f>IF(OR($W72="",$W72=0),"-",IF($W72&gt;=META_SEM,"Alta",IF($W72&gt;=META_SEM*FRAC_ACOMP,"Media","Baixa")))</f>
        <v/>
      </c>
      <c r="AD72" s="19" t="inlineStr"/>
    </row>
    <row r="73">
      <c r="A73" s="5" t="inlineStr">
        <is>
          <t>102</t>
        </is>
      </c>
      <c r="B73" s="5" t="inlineStr">
        <is>
          <t>RDM</t>
        </is>
      </c>
      <c r="C73" s="5" t="inlineStr">
        <is>
          <t>Módulo 01</t>
        </is>
      </c>
      <c r="D73" s="5" t="inlineStr">
        <is>
          <t>RDM1</t>
        </is>
      </c>
      <c r="E73" s="5" t="inlineStr">
        <is>
          <t>ALGODÃO</t>
        </is>
      </c>
      <c r="F73" s="6" t="inlineStr">
        <is>
          <t>FM 974 GLT</t>
        </is>
      </c>
      <c r="G73" s="7" t="inlineStr">
        <is>
          <t>MÉDIO</t>
        </is>
      </c>
      <c r="H73" s="8" t="n">
        <v>46012</v>
      </c>
      <c r="I73" s="9">
        <f>IF($H73="","",DATA_REF-$H73)</f>
        <v/>
      </c>
      <c r="J73" s="9">
        <f>IF($I73="","",MAX(0,$I73-'PARAMETROS'!$B$12))</f>
        <v/>
      </c>
      <c r="K73" s="10">
        <f>IFERROR(INDEX(KC_CURVAS!$C$5:$C$15,MATCH($E73&amp;"|"&amp;$G73,KC_CURVAS!$K$5:$K$15,0)),IFERROR(INDEX(KC_CURVAS!$C$5:$C$15,MATCH($E73&amp;"|",KC_CURVAS!$K$5:$K$15,0)),""))</f>
        <v/>
      </c>
      <c r="L73" s="10">
        <f>IFERROR(INDEX(KC_CURVAS!$D$5:$D$15,MATCH($E73&amp;"|"&amp;$G73,KC_CURVAS!$K$5:$K$15,0)),IFERROR(INDEX(KC_CURVAS!$D$5:$D$15,MATCH($E73&amp;"|",KC_CURVAS!$K$5:$K$15,0)),""))</f>
        <v/>
      </c>
      <c r="M73" s="10">
        <f>IFERROR(INDEX(KC_CURVAS!$E$5:$E$15,MATCH($E73&amp;"|"&amp;$G73,KC_CURVAS!$K$5:$K$15,0)),IFERROR(INDEX(KC_CURVAS!$E$5:$E$15,MATCH($E73&amp;"|",KC_CURVAS!$K$5:$K$15,0)),""))</f>
        <v/>
      </c>
      <c r="N73" s="10">
        <f>IFERROR(INDEX(KC_CURVAS!$F$5:$F$15,MATCH($E73&amp;"|"&amp;$G73,KC_CURVAS!$K$5:$K$15,0)),IFERROR(INDEX(KC_CURVAS!$F$5:$F$15,MATCH($E73&amp;"|",KC_CURVAS!$K$5:$K$15,0)),""))</f>
        <v/>
      </c>
      <c r="O73" s="11">
        <f>IFERROR(INDEX(KC_CURVAS!$G$5:$G$15,MATCH($E73&amp;"|"&amp;$G73,KC_CURVAS!$K$5:$K$15,0)),IFERROR(INDEX(KC_CURVAS!$G$5:$G$15,MATCH($E73&amp;"|",KC_CURVAS!$K$5:$K$15,0)),""))</f>
        <v/>
      </c>
      <c r="P73" s="11">
        <f>IFERROR(INDEX(KC_CURVAS!$H$5:$H$15,MATCH($E73&amp;"|"&amp;$G73,KC_CURVAS!$K$5:$K$15,0)),IFERROR(INDEX(KC_CURVAS!$H$5:$H$15,MATCH($E73&amp;"|",KC_CURVAS!$K$5:$K$15,0)),""))</f>
        <v/>
      </c>
      <c r="Q73" s="11">
        <f>IFERROR(INDEX(KC_CURVAS!$I$5:$I$15,MATCH($E73&amp;"|"&amp;$G73,KC_CURVAS!$K$5:$K$15,0)),IFERROR(INDEX(KC_CURVAS!$I$5:$I$15,MATCH($E73&amp;"|",KC_CURVAS!$K$5:$K$15,0)),""))</f>
        <v/>
      </c>
      <c r="R73" s="12">
        <f>IF(OR($J73="",$K73=""),"PENDENTE",IF($J73&lt;=$K73,$O73,IF($J73&lt;=$K73+$L73,$O73+($P73-$O73)*($J73-$K73)/$L73,IF($J73&lt;=$K73+$L73+$M73,$P73,IF($J73&lt;=$K73+$L73+$M73+$N73,$P73+($Q73-$P73)*($J73-($K73+$L73+$M73))/$N73,$Q73)))))</f>
        <v/>
      </c>
      <c r="S73" s="13">
        <f>ETO_SEM</f>
        <v/>
      </c>
      <c r="T73" s="14">
        <f>IF(OR($R73="",$R73="PENDENTE"),"",$R73*$S73)</f>
        <v/>
      </c>
      <c r="U73" s="13" t="n">
        <v>0</v>
      </c>
      <c r="V73" s="14">
        <f>IF($T73="","",MAX(0,$T73-N($U73)))</f>
        <v/>
      </c>
      <c r="W73" s="14">
        <f>IF($V73="","",$V73/EF_APLIC)</f>
        <v/>
      </c>
      <c r="X73" s="15" t="n">
        <v>102.19</v>
      </c>
      <c r="Y73" s="16">
        <f>IF(OR($W73="",$X73=""),"",$W73*$X73*10)</f>
        <v/>
      </c>
      <c r="Z73" s="17">
        <f>IFERROR(INDEX('PARAMETROS'!$B$16:$B$19,MATCH($D73,'PARAMETROS'!$A$16:$A$19,0)),"")</f>
        <v/>
      </c>
      <c r="AA73" s="16">
        <f>IF(OR($Y73="",$Z73=""),"",$Y73*$Z73)</f>
        <v/>
      </c>
      <c r="AB73" s="18">
        <f>IF($R73="PENDENTE","Definir classe/Kc",IF($W73="","-",IF($W73&gt;0,"Irrigar","Nao irrigar")))</f>
        <v/>
      </c>
      <c r="AC73" s="18">
        <f>IF(OR($W73="",$W73=0),"-",IF($W73&gt;=META_SEM,"Alta",IF($W73&gt;=META_SEM*FRAC_ACOMP,"Media","Baixa")))</f>
        <v/>
      </c>
      <c r="AD73" s="19" t="inlineStr"/>
    </row>
    <row r="74">
      <c r="A74" s="5" t="inlineStr">
        <is>
          <t>103</t>
        </is>
      </c>
      <c r="B74" s="5" t="inlineStr">
        <is>
          <t>RDM</t>
        </is>
      </c>
      <c r="C74" s="5" t="inlineStr">
        <is>
          <t>Módulo 01</t>
        </is>
      </c>
      <c r="D74" s="5" t="inlineStr">
        <is>
          <t>RDM1</t>
        </is>
      </c>
      <c r="E74" s="5" t="inlineStr">
        <is>
          <t>ALGODÃO</t>
        </is>
      </c>
      <c r="F74" s="6" t="inlineStr">
        <is>
          <t>FM 974 GLT</t>
        </is>
      </c>
      <c r="G74" s="7" t="inlineStr">
        <is>
          <t>MÉDIO</t>
        </is>
      </c>
      <c r="H74" s="8" t="n">
        <v>46049</v>
      </c>
      <c r="I74" s="9">
        <f>IF($H74="","",DATA_REF-$H74)</f>
        <v/>
      </c>
      <c r="J74" s="9">
        <f>IF($I74="","",MAX(0,$I74-'PARAMETROS'!$B$12))</f>
        <v/>
      </c>
      <c r="K74" s="10">
        <f>IFERROR(INDEX(KC_CURVAS!$C$5:$C$15,MATCH($E74&amp;"|"&amp;$G74,KC_CURVAS!$K$5:$K$15,0)),IFERROR(INDEX(KC_CURVAS!$C$5:$C$15,MATCH($E74&amp;"|",KC_CURVAS!$K$5:$K$15,0)),""))</f>
        <v/>
      </c>
      <c r="L74" s="10">
        <f>IFERROR(INDEX(KC_CURVAS!$D$5:$D$15,MATCH($E74&amp;"|"&amp;$G74,KC_CURVAS!$K$5:$K$15,0)),IFERROR(INDEX(KC_CURVAS!$D$5:$D$15,MATCH($E74&amp;"|",KC_CURVAS!$K$5:$K$15,0)),""))</f>
        <v/>
      </c>
      <c r="M74" s="10">
        <f>IFERROR(INDEX(KC_CURVAS!$E$5:$E$15,MATCH($E74&amp;"|"&amp;$G74,KC_CURVAS!$K$5:$K$15,0)),IFERROR(INDEX(KC_CURVAS!$E$5:$E$15,MATCH($E74&amp;"|",KC_CURVAS!$K$5:$K$15,0)),""))</f>
        <v/>
      </c>
      <c r="N74" s="10">
        <f>IFERROR(INDEX(KC_CURVAS!$F$5:$F$15,MATCH($E74&amp;"|"&amp;$G74,KC_CURVAS!$K$5:$K$15,0)),IFERROR(INDEX(KC_CURVAS!$F$5:$F$15,MATCH($E74&amp;"|",KC_CURVAS!$K$5:$K$15,0)),""))</f>
        <v/>
      </c>
      <c r="O74" s="11">
        <f>IFERROR(INDEX(KC_CURVAS!$G$5:$G$15,MATCH($E74&amp;"|"&amp;$G74,KC_CURVAS!$K$5:$K$15,0)),IFERROR(INDEX(KC_CURVAS!$G$5:$G$15,MATCH($E74&amp;"|",KC_CURVAS!$K$5:$K$15,0)),""))</f>
        <v/>
      </c>
      <c r="P74" s="11">
        <f>IFERROR(INDEX(KC_CURVAS!$H$5:$H$15,MATCH($E74&amp;"|"&amp;$G74,KC_CURVAS!$K$5:$K$15,0)),IFERROR(INDEX(KC_CURVAS!$H$5:$H$15,MATCH($E74&amp;"|",KC_CURVAS!$K$5:$K$15,0)),""))</f>
        <v/>
      </c>
      <c r="Q74" s="11">
        <f>IFERROR(INDEX(KC_CURVAS!$I$5:$I$15,MATCH($E74&amp;"|"&amp;$G74,KC_CURVAS!$K$5:$K$15,0)),IFERROR(INDEX(KC_CURVAS!$I$5:$I$15,MATCH($E74&amp;"|",KC_CURVAS!$K$5:$K$15,0)),""))</f>
        <v/>
      </c>
      <c r="R74" s="12">
        <f>IF(OR($J74="",$K74=""),"PENDENTE",IF($J74&lt;=$K74,$O74,IF($J74&lt;=$K74+$L74,$O74+($P74-$O74)*($J74-$K74)/$L74,IF($J74&lt;=$K74+$L74+$M74,$P74,IF($J74&lt;=$K74+$L74+$M74+$N74,$P74+($Q74-$P74)*($J74-($K74+$L74+$M74))/$N74,$Q74)))))</f>
        <v/>
      </c>
      <c r="S74" s="13">
        <f>ETO_SEM</f>
        <v/>
      </c>
      <c r="T74" s="14">
        <f>IF(OR($R74="",$R74="PENDENTE"),"",$R74*$S74)</f>
        <v/>
      </c>
      <c r="U74" s="13" t="n">
        <v>0</v>
      </c>
      <c r="V74" s="14">
        <f>IF($T74="","",MAX(0,$T74-N($U74)))</f>
        <v/>
      </c>
      <c r="W74" s="14">
        <f>IF($V74="","",$V74/EF_APLIC)</f>
        <v/>
      </c>
      <c r="X74" s="15" t="n">
        <v>102.01</v>
      </c>
      <c r="Y74" s="16">
        <f>IF(OR($W74="",$X74=""),"",$W74*$X74*10)</f>
        <v/>
      </c>
      <c r="Z74" s="17">
        <f>IFERROR(INDEX('PARAMETROS'!$B$16:$B$19,MATCH($D74,'PARAMETROS'!$A$16:$A$19,0)),"")</f>
        <v/>
      </c>
      <c r="AA74" s="16">
        <f>IF(OR($Y74="",$Z74=""),"",$Y74*$Z74)</f>
        <v/>
      </c>
      <c r="AB74" s="18">
        <f>IF($R74="PENDENTE","Definir classe/Kc",IF($W74="","-",IF($W74&gt;0,"Irrigar","Nao irrigar")))</f>
        <v/>
      </c>
      <c r="AC74" s="18">
        <f>IF(OR($W74="",$W74=0),"-",IF($W74&gt;=META_SEM,"Alta",IF($W74&gt;=META_SEM*FRAC_ACOMP,"Media","Baixa")))</f>
        <v/>
      </c>
      <c r="AD74" s="19" t="inlineStr"/>
    </row>
    <row r="75">
      <c r="A75" s="5" t="inlineStr">
        <is>
          <t>104</t>
        </is>
      </c>
      <c r="B75" s="5" t="inlineStr">
        <is>
          <t>RDM</t>
        </is>
      </c>
      <c r="C75" s="5" t="inlineStr">
        <is>
          <t>Módulo 01</t>
        </is>
      </c>
      <c r="D75" s="5" t="inlineStr">
        <is>
          <t>RDM1</t>
        </is>
      </c>
      <c r="E75" s="5" t="inlineStr">
        <is>
          <t>ALGODÃO</t>
        </is>
      </c>
      <c r="F75" s="6" t="inlineStr">
        <is>
          <t>FM 985 GLTP</t>
        </is>
      </c>
      <c r="G75" s="7" t="inlineStr">
        <is>
          <t>MÉDIO</t>
        </is>
      </c>
      <c r="H75" s="8" t="n">
        <v>46015</v>
      </c>
      <c r="I75" s="9">
        <f>IF($H75="","",DATA_REF-$H75)</f>
        <v/>
      </c>
      <c r="J75" s="9">
        <f>IF($I75="","",MAX(0,$I75-'PARAMETROS'!$B$12))</f>
        <v/>
      </c>
      <c r="K75" s="10">
        <f>IFERROR(INDEX(KC_CURVAS!$C$5:$C$15,MATCH($E75&amp;"|"&amp;$G75,KC_CURVAS!$K$5:$K$15,0)),IFERROR(INDEX(KC_CURVAS!$C$5:$C$15,MATCH($E75&amp;"|",KC_CURVAS!$K$5:$K$15,0)),""))</f>
        <v/>
      </c>
      <c r="L75" s="10">
        <f>IFERROR(INDEX(KC_CURVAS!$D$5:$D$15,MATCH($E75&amp;"|"&amp;$G75,KC_CURVAS!$K$5:$K$15,0)),IFERROR(INDEX(KC_CURVAS!$D$5:$D$15,MATCH($E75&amp;"|",KC_CURVAS!$K$5:$K$15,0)),""))</f>
        <v/>
      </c>
      <c r="M75" s="10">
        <f>IFERROR(INDEX(KC_CURVAS!$E$5:$E$15,MATCH($E75&amp;"|"&amp;$G75,KC_CURVAS!$K$5:$K$15,0)),IFERROR(INDEX(KC_CURVAS!$E$5:$E$15,MATCH($E75&amp;"|",KC_CURVAS!$K$5:$K$15,0)),""))</f>
        <v/>
      </c>
      <c r="N75" s="10">
        <f>IFERROR(INDEX(KC_CURVAS!$F$5:$F$15,MATCH($E75&amp;"|"&amp;$G75,KC_CURVAS!$K$5:$K$15,0)),IFERROR(INDEX(KC_CURVAS!$F$5:$F$15,MATCH($E75&amp;"|",KC_CURVAS!$K$5:$K$15,0)),""))</f>
        <v/>
      </c>
      <c r="O75" s="11">
        <f>IFERROR(INDEX(KC_CURVAS!$G$5:$G$15,MATCH($E75&amp;"|"&amp;$G75,KC_CURVAS!$K$5:$K$15,0)),IFERROR(INDEX(KC_CURVAS!$G$5:$G$15,MATCH($E75&amp;"|",KC_CURVAS!$K$5:$K$15,0)),""))</f>
        <v/>
      </c>
      <c r="P75" s="11">
        <f>IFERROR(INDEX(KC_CURVAS!$H$5:$H$15,MATCH($E75&amp;"|"&amp;$G75,KC_CURVAS!$K$5:$K$15,0)),IFERROR(INDEX(KC_CURVAS!$H$5:$H$15,MATCH($E75&amp;"|",KC_CURVAS!$K$5:$K$15,0)),""))</f>
        <v/>
      </c>
      <c r="Q75" s="11">
        <f>IFERROR(INDEX(KC_CURVAS!$I$5:$I$15,MATCH($E75&amp;"|"&amp;$G75,KC_CURVAS!$K$5:$K$15,0)),IFERROR(INDEX(KC_CURVAS!$I$5:$I$15,MATCH($E75&amp;"|",KC_CURVAS!$K$5:$K$15,0)),""))</f>
        <v/>
      </c>
      <c r="R75" s="12">
        <f>IF(OR($J75="",$K75=""),"PENDENTE",IF($J75&lt;=$K75,$O75,IF($J75&lt;=$K75+$L75,$O75+($P75-$O75)*($J75-$K75)/$L75,IF($J75&lt;=$K75+$L75+$M75,$P75,IF($J75&lt;=$K75+$L75+$M75+$N75,$P75+($Q75-$P75)*($J75-($K75+$L75+$M75))/$N75,$Q75)))))</f>
        <v/>
      </c>
      <c r="S75" s="13">
        <f>ETO_SEM</f>
        <v/>
      </c>
      <c r="T75" s="14">
        <f>IF(OR($R75="",$R75="PENDENTE"),"",$R75*$S75)</f>
        <v/>
      </c>
      <c r="U75" s="13" t="n">
        <v>0</v>
      </c>
      <c r="V75" s="14">
        <f>IF($T75="","",MAX(0,$T75-N($U75)))</f>
        <v/>
      </c>
      <c r="W75" s="14">
        <f>IF($V75="","",$V75/EF_APLIC)</f>
        <v/>
      </c>
      <c r="X75" s="15" t="n">
        <v>102.01</v>
      </c>
      <c r="Y75" s="16">
        <f>IF(OR($W75="",$X75=""),"",$W75*$X75*10)</f>
        <v/>
      </c>
      <c r="Z75" s="17">
        <f>IFERROR(INDEX('PARAMETROS'!$B$16:$B$19,MATCH($D75,'PARAMETROS'!$A$16:$A$19,0)),"")</f>
        <v/>
      </c>
      <c r="AA75" s="16">
        <f>IF(OR($Y75="",$Z75=""),"",$Y75*$Z75)</f>
        <v/>
      </c>
      <c r="AB75" s="18">
        <f>IF($R75="PENDENTE","Definir classe/Kc",IF($W75="","-",IF($W75&gt;0,"Irrigar","Nao irrigar")))</f>
        <v/>
      </c>
      <c r="AC75" s="18">
        <f>IF(OR($W75="",$W75=0),"-",IF($W75&gt;=META_SEM,"Alta",IF($W75&gt;=META_SEM*FRAC_ACOMP,"Media","Baixa")))</f>
        <v/>
      </c>
      <c r="AD75" s="19" t="inlineStr"/>
    </row>
    <row r="76">
      <c r="A76" s="5" t="inlineStr">
        <is>
          <t>110</t>
        </is>
      </c>
      <c r="B76" s="5" t="inlineStr">
        <is>
          <t>RDM</t>
        </is>
      </c>
      <c r="C76" s="5" t="inlineStr">
        <is>
          <t>Módulo 01</t>
        </is>
      </c>
      <c r="D76" s="5" t="inlineStr">
        <is>
          <t>RDM1</t>
        </is>
      </c>
      <c r="E76" s="5" t="inlineStr">
        <is>
          <t>ALGODÃO</t>
        </is>
      </c>
      <c r="F76" s="6" t="inlineStr">
        <is>
          <t>FM 985 GLTP</t>
        </is>
      </c>
      <c r="G76" s="7" t="inlineStr">
        <is>
          <t>MÉDIO</t>
        </is>
      </c>
      <c r="H76" s="8" t="n">
        <v>46018</v>
      </c>
      <c r="I76" s="9">
        <f>IF($H76="","",DATA_REF-$H76)</f>
        <v/>
      </c>
      <c r="J76" s="9">
        <f>IF($I76="","",MAX(0,$I76-'PARAMETROS'!$B$12))</f>
        <v/>
      </c>
      <c r="K76" s="10">
        <f>IFERROR(INDEX(KC_CURVAS!$C$5:$C$15,MATCH($E76&amp;"|"&amp;$G76,KC_CURVAS!$K$5:$K$15,0)),IFERROR(INDEX(KC_CURVAS!$C$5:$C$15,MATCH($E76&amp;"|",KC_CURVAS!$K$5:$K$15,0)),""))</f>
        <v/>
      </c>
      <c r="L76" s="10">
        <f>IFERROR(INDEX(KC_CURVAS!$D$5:$D$15,MATCH($E76&amp;"|"&amp;$G76,KC_CURVAS!$K$5:$K$15,0)),IFERROR(INDEX(KC_CURVAS!$D$5:$D$15,MATCH($E76&amp;"|",KC_CURVAS!$K$5:$K$15,0)),""))</f>
        <v/>
      </c>
      <c r="M76" s="10">
        <f>IFERROR(INDEX(KC_CURVAS!$E$5:$E$15,MATCH($E76&amp;"|"&amp;$G76,KC_CURVAS!$K$5:$K$15,0)),IFERROR(INDEX(KC_CURVAS!$E$5:$E$15,MATCH($E76&amp;"|",KC_CURVAS!$K$5:$K$15,0)),""))</f>
        <v/>
      </c>
      <c r="N76" s="10">
        <f>IFERROR(INDEX(KC_CURVAS!$F$5:$F$15,MATCH($E76&amp;"|"&amp;$G76,KC_CURVAS!$K$5:$K$15,0)),IFERROR(INDEX(KC_CURVAS!$F$5:$F$15,MATCH($E76&amp;"|",KC_CURVAS!$K$5:$K$15,0)),""))</f>
        <v/>
      </c>
      <c r="O76" s="11">
        <f>IFERROR(INDEX(KC_CURVAS!$G$5:$G$15,MATCH($E76&amp;"|"&amp;$G76,KC_CURVAS!$K$5:$K$15,0)),IFERROR(INDEX(KC_CURVAS!$G$5:$G$15,MATCH($E76&amp;"|",KC_CURVAS!$K$5:$K$15,0)),""))</f>
        <v/>
      </c>
      <c r="P76" s="11">
        <f>IFERROR(INDEX(KC_CURVAS!$H$5:$H$15,MATCH($E76&amp;"|"&amp;$G76,KC_CURVAS!$K$5:$K$15,0)),IFERROR(INDEX(KC_CURVAS!$H$5:$H$15,MATCH($E76&amp;"|",KC_CURVAS!$K$5:$K$15,0)),""))</f>
        <v/>
      </c>
      <c r="Q76" s="11">
        <f>IFERROR(INDEX(KC_CURVAS!$I$5:$I$15,MATCH($E76&amp;"|"&amp;$G76,KC_CURVAS!$K$5:$K$15,0)),IFERROR(INDEX(KC_CURVAS!$I$5:$I$15,MATCH($E76&amp;"|",KC_CURVAS!$K$5:$K$15,0)),""))</f>
        <v/>
      </c>
      <c r="R76" s="12">
        <f>IF(OR($J76="",$K76=""),"PENDENTE",IF($J76&lt;=$K76,$O76,IF($J76&lt;=$K76+$L76,$O76+($P76-$O76)*($J76-$K76)/$L76,IF($J76&lt;=$K76+$L76+$M76,$P76,IF($J76&lt;=$K76+$L76+$M76+$N76,$P76+($Q76-$P76)*($J76-($K76+$L76+$M76))/$N76,$Q76)))))</f>
        <v/>
      </c>
      <c r="S76" s="13">
        <f>ETO_SEM</f>
        <v/>
      </c>
      <c r="T76" s="14">
        <f>IF(OR($R76="",$R76="PENDENTE"),"",$R76*$S76)</f>
        <v/>
      </c>
      <c r="U76" s="13" t="n">
        <v>0</v>
      </c>
      <c r="V76" s="14">
        <f>IF($T76="","",MAX(0,$T76-N($U76)))</f>
        <v/>
      </c>
      <c r="W76" s="14">
        <f>IF($V76="","",$V76/EF_APLIC)</f>
        <v/>
      </c>
      <c r="X76" s="15" t="n">
        <v>102.19</v>
      </c>
      <c r="Y76" s="16">
        <f>IF(OR($W76="",$X76=""),"",$W76*$X76*10)</f>
        <v/>
      </c>
      <c r="Z76" s="17">
        <f>IFERROR(INDEX('PARAMETROS'!$B$16:$B$19,MATCH($D76,'PARAMETROS'!$A$16:$A$19,0)),"")</f>
        <v/>
      </c>
      <c r="AA76" s="16">
        <f>IF(OR($Y76="",$Z76=""),"",$Y76*$Z76)</f>
        <v/>
      </c>
      <c r="AB76" s="18">
        <f>IF($R76="PENDENTE","Definir classe/Kc",IF($W76="","-",IF($W76&gt;0,"Irrigar","Nao irrigar")))</f>
        <v/>
      </c>
      <c r="AC76" s="18">
        <f>IF(OR($W76="",$W76=0),"-",IF($W76&gt;=META_SEM,"Alta",IF($W76&gt;=META_SEM*FRAC_ACOMP,"Media","Baixa")))</f>
        <v/>
      </c>
      <c r="AD76" s="19" t="inlineStr"/>
    </row>
    <row r="77">
      <c r="A77" s="5" t="inlineStr">
        <is>
          <t>112</t>
        </is>
      </c>
      <c r="B77" s="5" t="inlineStr">
        <is>
          <t>RDM</t>
        </is>
      </c>
      <c r="C77" s="5" t="inlineStr">
        <is>
          <t>Módulo 02</t>
        </is>
      </c>
      <c r="D77" s="5" t="inlineStr">
        <is>
          <t>RDM2</t>
        </is>
      </c>
      <c r="E77" s="5" t="inlineStr">
        <is>
          <t>ALGODÃO</t>
        </is>
      </c>
      <c r="F77" s="6" t="inlineStr">
        <is>
          <t>FM 911 GLTP</t>
        </is>
      </c>
      <c r="G77" s="7" t="inlineStr">
        <is>
          <t>TARDIO</t>
        </is>
      </c>
      <c r="H77" s="8" t="n">
        <v>46056</v>
      </c>
      <c r="I77" s="9">
        <f>IF($H77="","",DATA_REF-$H77)</f>
        <v/>
      </c>
      <c r="J77" s="9">
        <f>IF($I77="","",MAX(0,$I77-'PARAMETROS'!$B$12))</f>
        <v/>
      </c>
      <c r="K77" s="10">
        <f>IFERROR(INDEX(KC_CURVAS!$C$5:$C$15,MATCH($E77&amp;"|"&amp;$G77,KC_CURVAS!$K$5:$K$15,0)),IFERROR(INDEX(KC_CURVAS!$C$5:$C$15,MATCH($E77&amp;"|",KC_CURVAS!$K$5:$K$15,0)),""))</f>
        <v/>
      </c>
      <c r="L77" s="10">
        <f>IFERROR(INDEX(KC_CURVAS!$D$5:$D$15,MATCH($E77&amp;"|"&amp;$G77,KC_CURVAS!$K$5:$K$15,0)),IFERROR(INDEX(KC_CURVAS!$D$5:$D$15,MATCH($E77&amp;"|",KC_CURVAS!$K$5:$K$15,0)),""))</f>
        <v/>
      </c>
      <c r="M77" s="10">
        <f>IFERROR(INDEX(KC_CURVAS!$E$5:$E$15,MATCH($E77&amp;"|"&amp;$G77,KC_CURVAS!$K$5:$K$15,0)),IFERROR(INDEX(KC_CURVAS!$E$5:$E$15,MATCH($E77&amp;"|",KC_CURVAS!$K$5:$K$15,0)),""))</f>
        <v/>
      </c>
      <c r="N77" s="10">
        <f>IFERROR(INDEX(KC_CURVAS!$F$5:$F$15,MATCH($E77&amp;"|"&amp;$G77,KC_CURVAS!$K$5:$K$15,0)),IFERROR(INDEX(KC_CURVAS!$F$5:$F$15,MATCH($E77&amp;"|",KC_CURVAS!$K$5:$K$15,0)),""))</f>
        <v/>
      </c>
      <c r="O77" s="11">
        <f>IFERROR(INDEX(KC_CURVAS!$G$5:$G$15,MATCH($E77&amp;"|"&amp;$G77,KC_CURVAS!$K$5:$K$15,0)),IFERROR(INDEX(KC_CURVAS!$G$5:$G$15,MATCH($E77&amp;"|",KC_CURVAS!$K$5:$K$15,0)),""))</f>
        <v/>
      </c>
      <c r="P77" s="11">
        <f>IFERROR(INDEX(KC_CURVAS!$H$5:$H$15,MATCH($E77&amp;"|"&amp;$G77,KC_CURVAS!$K$5:$K$15,0)),IFERROR(INDEX(KC_CURVAS!$H$5:$H$15,MATCH($E77&amp;"|",KC_CURVAS!$K$5:$K$15,0)),""))</f>
        <v/>
      </c>
      <c r="Q77" s="11">
        <f>IFERROR(INDEX(KC_CURVAS!$I$5:$I$15,MATCH($E77&amp;"|"&amp;$G77,KC_CURVAS!$K$5:$K$15,0)),IFERROR(INDEX(KC_CURVAS!$I$5:$I$15,MATCH($E77&amp;"|",KC_CURVAS!$K$5:$K$15,0)),""))</f>
        <v/>
      </c>
      <c r="R77" s="12">
        <f>IF(OR($J77="",$K77=""),"PENDENTE",IF($J77&lt;=$K77,$O77,IF($J77&lt;=$K77+$L77,$O77+($P77-$O77)*($J77-$K77)/$L77,IF($J77&lt;=$K77+$L77+$M77,$P77,IF($J77&lt;=$K77+$L77+$M77+$N77,$P77+($Q77-$P77)*($J77-($K77+$L77+$M77))/$N77,$Q77)))))</f>
        <v/>
      </c>
      <c r="S77" s="13">
        <f>ETO_SEM</f>
        <v/>
      </c>
      <c r="T77" s="14">
        <f>IF(OR($R77="",$R77="PENDENTE"),"",$R77*$S77)</f>
        <v/>
      </c>
      <c r="U77" s="13" t="n">
        <v>0</v>
      </c>
      <c r="V77" s="14">
        <f>IF($T77="","",MAX(0,$T77-N($U77)))</f>
        <v/>
      </c>
      <c r="W77" s="14">
        <f>IF($V77="","",$V77/EF_APLIC)</f>
        <v/>
      </c>
      <c r="X77" s="15" t="n">
        <v>150.34</v>
      </c>
      <c r="Y77" s="16">
        <f>IF(OR($W77="",$X77=""),"",$W77*$X77*10)</f>
        <v/>
      </c>
      <c r="Z77" s="17">
        <f>IFERROR(INDEX('PARAMETROS'!$B$16:$B$19,MATCH($D77,'PARAMETROS'!$A$16:$A$19,0)),"")</f>
        <v/>
      </c>
      <c r="AA77" s="16">
        <f>IF(OR($Y77="",$Z77=""),"",$Y77*$Z77)</f>
        <v/>
      </c>
      <c r="AB77" s="18">
        <f>IF($R77="PENDENTE","Definir classe/Kc",IF($W77="","-",IF($W77&gt;0,"Irrigar","Nao irrigar")))</f>
        <v/>
      </c>
      <c r="AC77" s="18">
        <f>IF(OR($W77="",$W77=0),"-",IF($W77&gt;=META_SEM,"Alta",IF($W77&gt;=META_SEM*FRAC_ACOMP,"Media","Baixa")))</f>
        <v/>
      </c>
      <c r="AD77" s="19" t="inlineStr"/>
    </row>
    <row r="78">
      <c r="A78" s="5" t="inlineStr">
        <is>
          <t>113</t>
        </is>
      </c>
      <c r="B78" s="5" t="inlineStr">
        <is>
          <t>RDM</t>
        </is>
      </c>
      <c r="C78" s="5" t="inlineStr">
        <is>
          <t>Módulo 02</t>
        </is>
      </c>
      <c r="D78" s="5" t="inlineStr">
        <is>
          <t>RDM2</t>
        </is>
      </c>
      <c r="E78" s="5" t="inlineStr">
        <is>
          <t>ALGODÃO</t>
        </is>
      </c>
      <c r="F78" s="6" t="inlineStr">
        <is>
          <t>DP 1949 B3RF</t>
        </is>
      </c>
      <c r="G78" s="7" t="inlineStr">
        <is>
          <t>PRECOCE</t>
        </is>
      </c>
      <c r="H78" s="8" t="n">
        <v>46070</v>
      </c>
      <c r="I78" s="9">
        <f>IF($H78="","",DATA_REF-$H78)</f>
        <v/>
      </c>
      <c r="J78" s="9">
        <f>IF($I78="","",MAX(0,$I78-'PARAMETROS'!$B$12))</f>
        <v/>
      </c>
      <c r="K78" s="10">
        <f>IFERROR(INDEX(KC_CURVAS!$C$5:$C$15,MATCH($E78&amp;"|"&amp;$G78,KC_CURVAS!$K$5:$K$15,0)),IFERROR(INDEX(KC_CURVAS!$C$5:$C$15,MATCH($E78&amp;"|",KC_CURVAS!$K$5:$K$15,0)),""))</f>
        <v/>
      </c>
      <c r="L78" s="10">
        <f>IFERROR(INDEX(KC_CURVAS!$D$5:$D$15,MATCH($E78&amp;"|"&amp;$G78,KC_CURVAS!$K$5:$K$15,0)),IFERROR(INDEX(KC_CURVAS!$D$5:$D$15,MATCH($E78&amp;"|",KC_CURVAS!$K$5:$K$15,0)),""))</f>
        <v/>
      </c>
      <c r="M78" s="10">
        <f>IFERROR(INDEX(KC_CURVAS!$E$5:$E$15,MATCH($E78&amp;"|"&amp;$G78,KC_CURVAS!$K$5:$K$15,0)),IFERROR(INDEX(KC_CURVAS!$E$5:$E$15,MATCH($E78&amp;"|",KC_CURVAS!$K$5:$K$15,0)),""))</f>
        <v/>
      </c>
      <c r="N78" s="10">
        <f>IFERROR(INDEX(KC_CURVAS!$F$5:$F$15,MATCH($E78&amp;"|"&amp;$G78,KC_CURVAS!$K$5:$K$15,0)),IFERROR(INDEX(KC_CURVAS!$F$5:$F$15,MATCH($E78&amp;"|",KC_CURVAS!$K$5:$K$15,0)),""))</f>
        <v/>
      </c>
      <c r="O78" s="11">
        <f>IFERROR(INDEX(KC_CURVAS!$G$5:$G$15,MATCH($E78&amp;"|"&amp;$G78,KC_CURVAS!$K$5:$K$15,0)),IFERROR(INDEX(KC_CURVAS!$G$5:$G$15,MATCH($E78&amp;"|",KC_CURVAS!$K$5:$K$15,0)),""))</f>
        <v/>
      </c>
      <c r="P78" s="11">
        <f>IFERROR(INDEX(KC_CURVAS!$H$5:$H$15,MATCH($E78&amp;"|"&amp;$G78,KC_CURVAS!$K$5:$K$15,0)),IFERROR(INDEX(KC_CURVAS!$H$5:$H$15,MATCH($E78&amp;"|",KC_CURVAS!$K$5:$K$15,0)),""))</f>
        <v/>
      </c>
      <c r="Q78" s="11">
        <f>IFERROR(INDEX(KC_CURVAS!$I$5:$I$15,MATCH($E78&amp;"|"&amp;$G78,KC_CURVAS!$K$5:$K$15,0)),IFERROR(INDEX(KC_CURVAS!$I$5:$I$15,MATCH($E78&amp;"|",KC_CURVAS!$K$5:$K$15,0)),""))</f>
        <v/>
      </c>
      <c r="R78" s="12">
        <f>IF(OR($J78="",$K78=""),"PENDENTE",IF($J78&lt;=$K78,$O78,IF($J78&lt;=$K78+$L78,$O78+($P78-$O78)*($J78-$K78)/$L78,IF($J78&lt;=$K78+$L78+$M78,$P78,IF($J78&lt;=$K78+$L78+$M78+$N78,$P78+($Q78-$P78)*($J78-($K78+$L78+$M78))/$N78,$Q78)))))</f>
        <v/>
      </c>
      <c r="S78" s="13">
        <f>ETO_SEM</f>
        <v/>
      </c>
      <c r="T78" s="14">
        <f>IF(OR($R78="",$R78="PENDENTE"),"",$R78*$S78)</f>
        <v/>
      </c>
      <c r="U78" s="13" t="n">
        <v>0</v>
      </c>
      <c r="V78" s="14">
        <f>IF($T78="","",MAX(0,$T78-N($U78)))</f>
        <v/>
      </c>
      <c r="W78" s="14">
        <f>IF($V78="","",$V78/EF_APLIC)</f>
        <v/>
      </c>
      <c r="X78" s="15" t="n">
        <v>150.14</v>
      </c>
      <c r="Y78" s="16">
        <f>IF(OR($W78="",$X78=""),"",$W78*$X78*10)</f>
        <v/>
      </c>
      <c r="Z78" s="17">
        <f>IFERROR(INDEX('PARAMETROS'!$B$16:$B$19,MATCH($D78,'PARAMETROS'!$A$16:$A$19,0)),"")</f>
        <v/>
      </c>
      <c r="AA78" s="16">
        <f>IF(OR($Y78="",$Z78=""),"",$Y78*$Z78)</f>
        <v/>
      </c>
      <c r="AB78" s="18">
        <f>IF($R78="PENDENTE","Definir classe/Kc",IF($W78="","-",IF($W78&gt;0,"Irrigar","Nao irrigar")))</f>
        <v/>
      </c>
      <c r="AC78" s="18">
        <f>IF(OR($W78="",$W78=0),"-",IF($W78&gt;=META_SEM,"Alta",IF($W78&gt;=META_SEM*FRAC_ACOMP,"Media","Baixa")))</f>
        <v/>
      </c>
      <c r="AD78" s="19" t="inlineStr"/>
    </row>
    <row r="79">
      <c r="A79" s="5" t="inlineStr">
        <is>
          <t>114</t>
        </is>
      </c>
      <c r="B79" s="5" t="inlineStr">
        <is>
          <t>RDM</t>
        </is>
      </c>
      <c r="C79" s="5" t="inlineStr">
        <is>
          <t>Módulo 02</t>
        </is>
      </c>
      <c r="D79" s="5" t="inlineStr">
        <is>
          <t>RDM2</t>
        </is>
      </c>
      <c r="E79" s="5" t="inlineStr">
        <is>
          <t>ALGODÃO</t>
        </is>
      </c>
      <c r="F79" s="6" t="inlineStr">
        <is>
          <t>FM 911 GLTP</t>
        </is>
      </c>
      <c r="G79" s="7" t="inlineStr">
        <is>
          <t>TARDIO</t>
        </is>
      </c>
      <c r="H79" s="8" t="n">
        <v>46051</v>
      </c>
      <c r="I79" s="9">
        <f>IF($H79="","",DATA_REF-$H79)</f>
        <v/>
      </c>
      <c r="J79" s="9">
        <f>IF($I79="","",MAX(0,$I79-'PARAMETROS'!$B$12))</f>
        <v/>
      </c>
      <c r="K79" s="10">
        <f>IFERROR(INDEX(KC_CURVAS!$C$5:$C$15,MATCH($E79&amp;"|"&amp;$G79,KC_CURVAS!$K$5:$K$15,0)),IFERROR(INDEX(KC_CURVAS!$C$5:$C$15,MATCH($E79&amp;"|",KC_CURVAS!$K$5:$K$15,0)),""))</f>
        <v/>
      </c>
      <c r="L79" s="10">
        <f>IFERROR(INDEX(KC_CURVAS!$D$5:$D$15,MATCH($E79&amp;"|"&amp;$G79,KC_CURVAS!$K$5:$K$15,0)),IFERROR(INDEX(KC_CURVAS!$D$5:$D$15,MATCH($E79&amp;"|",KC_CURVAS!$K$5:$K$15,0)),""))</f>
        <v/>
      </c>
      <c r="M79" s="10">
        <f>IFERROR(INDEX(KC_CURVAS!$E$5:$E$15,MATCH($E79&amp;"|"&amp;$G79,KC_CURVAS!$K$5:$K$15,0)),IFERROR(INDEX(KC_CURVAS!$E$5:$E$15,MATCH($E79&amp;"|",KC_CURVAS!$K$5:$K$15,0)),""))</f>
        <v/>
      </c>
      <c r="N79" s="10">
        <f>IFERROR(INDEX(KC_CURVAS!$F$5:$F$15,MATCH($E79&amp;"|"&amp;$G79,KC_CURVAS!$K$5:$K$15,0)),IFERROR(INDEX(KC_CURVAS!$F$5:$F$15,MATCH($E79&amp;"|",KC_CURVAS!$K$5:$K$15,0)),""))</f>
        <v/>
      </c>
      <c r="O79" s="11">
        <f>IFERROR(INDEX(KC_CURVAS!$G$5:$G$15,MATCH($E79&amp;"|"&amp;$G79,KC_CURVAS!$K$5:$K$15,0)),IFERROR(INDEX(KC_CURVAS!$G$5:$G$15,MATCH($E79&amp;"|",KC_CURVAS!$K$5:$K$15,0)),""))</f>
        <v/>
      </c>
      <c r="P79" s="11">
        <f>IFERROR(INDEX(KC_CURVAS!$H$5:$H$15,MATCH($E79&amp;"|"&amp;$G79,KC_CURVAS!$K$5:$K$15,0)),IFERROR(INDEX(KC_CURVAS!$H$5:$H$15,MATCH($E79&amp;"|",KC_CURVAS!$K$5:$K$15,0)),""))</f>
        <v/>
      </c>
      <c r="Q79" s="11">
        <f>IFERROR(INDEX(KC_CURVAS!$I$5:$I$15,MATCH($E79&amp;"|"&amp;$G79,KC_CURVAS!$K$5:$K$15,0)),IFERROR(INDEX(KC_CURVAS!$I$5:$I$15,MATCH($E79&amp;"|",KC_CURVAS!$K$5:$K$15,0)),""))</f>
        <v/>
      </c>
      <c r="R79" s="12">
        <f>IF(OR($J79="",$K79=""),"PENDENTE",IF($J79&lt;=$K79,$O79,IF($J79&lt;=$K79+$L79,$O79+($P79-$O79)*($J79-$K79)/$L79,IF($J79&lt;=$K79+$L79+$M79,$P79,IF($J79&lt;=$K79+$L79+$M79+$N79,$P79+($Q79-$P79)*($J79-($K79+$L79+$M79))/$N79,$Q79)))))</f>
        <v/>
      </c>
      <c r="S79" s="13">
        <f>ETO_SEM</f>
        <v/>
      </c>
      <c r="T79" s="14">
        <f>IF(OR($R79="",$R79="PENDENTE"),"",$R79*$S79)</f>
        <v/>
      </c>
      <c r="U79" s="13" t="n">
        <v>0</v>
      </c>
      <c r="V79" s="14">
        <f>IF($T79="","",MAX(0,$T79-N($U79)))</f>
        <v/>
      </c>
      <c r="W79" s="14">
        <f>IF($V79="","",$V79/EF_APLIC)</f>
        <v/>
      </c>
      <c r="X79" s="15" t="n">
        <v>120.13</v>
      </c>
      <c r="Y79" s="16">
        <f>IF(OR($W79="",$X79=""),"",$W79*$X79*10)</f>
        <v/>
      </c>
      <c r="Z79" s="17">
        <f>IFERROR(INDEX('PARAMETROS'!$B$16:$B$19,MATCH($D79,'PARAMETROS'!$A$16:$A$19,0)),"")</f>
        <v/>
      </c>
      <c r="AA79" s="16">
        <f>IF(OR($Y79="",$Z79=""),"",$Y79*$Z79)</f>
        <v/>
      </c>
      <c r="AB79" s="18">
        <f>IF($R79="PENDENTE","Definir classe/Kc",IF($W79="","-",IF($W79&gt;0,"Irrigar","Nao irrigar")))</f>
        <v/>
      </c>
      <c r="AC79" s="18">
        <f>IF(OR($W79="",$W79=0),"-",IF($W79&gt;=META_SEM,"Alta",IF($W79&gt;=META_SEM*FRAC_ACOMP,"Media","Baixa")))</f>
        <v/>
      </c>
      <c r="AD79" s="19" t="inlineStr"/>
    </row>
    <row r="80">
      <c r="A80" s="5" t="inlineStr">
        <is>
          <t>115</t>
        </is>
      </c>
      <c r="B80" s="5" t="inlineStr">
        <is>
          <t>RDM</t>
        </is>
      </c>
      <c r="C80" s="5" t="inlineStr">
        <is>
          <t>Módulo 02</t>
        </is>
      </c>
      <c r="D80" s="5" t="inlineStr">
        <is>
          <t>RDM2</t>
        </is>
      </c>
      <c r="E80" s="5" t="inlineStr">
        <is>
          <t>ALGODÃO</t>
        </is>
      </c>
      <c r="F80" s="6" t="inlineStr">
        <is>
          <t>DP 1949 B3RF</t>
        </is>
      </c>
      <c r="G80" s="7" t="inlineStr">
        <is>
          <t>PRECOCE</t>
        </is>
      </c>
      <c r="H80" s="8" t="n">
        <v>46029</v>
      </c>
      <c r="I80" s="9">
        <f>IF($H80="","",DATA_REF-$H80)</f>
        <v/>
      </c>
      <c r="J80" s="9">
        <f>IF($I80="","",MAX(0,$I80-'PARAMETROS'!$B$12))</f>
        <v/>
      </c>
      <c r="K80" s="10">
        <f>IFERROR(INDEX(KC_CURVAS!$C$5:$C$15,MATCH($E80&amp;"|"&amp;$G80,KC_CURVAS!$K$5:$K$15,0)),IFERROR(INDEX(KC_CURVAS!$C$5:$C$15,MATCH($E80&amp;"|",KC_CURVAS!$K$5:$K$15,0)),""))</f>
        <v/>
      </c>
      <c r="L80" s="10">
        <f>IFERROR(INDEX(KC_CURVAS!$D$5:$D$15,MATCH($E80&amp;"|"&amp;$G80,KC_CURVAS!$K$5:$K$15,0)),IFERROR(INDEX(KC_CURVAS!$D$5:$D$15,MATCH($E80&amp;"|",KC_CURVAS!$K$5:$K$15,0)),""))</f>
        <v/>
      </c>
      <c r="M80" s="10">
        <f>IFERROR(INDEX(KC_CURVAS!$E$5:$E$15,MATCH($E80&amp;"|"&amp;$G80,KC_CURVAS!$K$5:$K$15,0)),IFERROR(INDEX(KC_CURVAS!$E$5:$E$15,MATCH($E80&amp;"|",KC_CURVAS!$K$5:$K$15,0)),""))</f>
        <v/>
      </c>
      <c r="N80" s="10">
        <f>IFERROR(INDEX(KC_CURVAS!$F$5:$F$15,MATCH($E80&amp;"|"&amp;$G80,KC_CURVAS!$K$5:$K$15,0)),IFERROR(INDEX(KC_CURVAS!$F$5:$F$15,MATCH($E80&amp;"|",KC_CURVAS!$K$5:$K$15,0)),""))</f>
        <v/>
      </c>
      <c r="O80" s="11">
        <f>IFERROR(INDEX(KC_CURVAS!$G$5:$G$15,MATCH($E80&amp;"|"&amp;$G80,KC_CURVAS!$K$5:$K$15,0)),IFERROR(INDEX(KC_CURVAS!$G$5:$G$15,MATCH($E80&amp;"|",KC_CURVAS!$K$5:$K$15,0)),""))</f>
        <v/>
      </c>
      <c r="P80" s="11">
        <f>IFERROR(INDEX(KC_CURVAS!$H$5:$H$15,MATCH($E80&amp;"|"&amp;$G80,KC_CURVAS!$K$5:$K$15,0)),IFERROR(INDEX(KC_CURVAS!$H$5:$H$15,MATCH($E80&amp;"|",KC_CURVAS!$K$5:$K$15,0)),""))</f>
        <v/>
      </c>
      <c r="Q80" s="11">
        <f>IFERROR(INDEX(KC_CURVAS!$I$5:$I$15,MATCH($E80&amp;"|"&amp;$G80,KC_CURVAS!$K$5:$K$15,0)),IFERROR(INDEX(KC_CURVAS!$I$5:$I$15,MATCH($E80&amp;"|",KC_CURVAS!$K$5:$K$15,0)),""))</f>
        <v/>
      </c>
      <c r="R80" s="12">
        <f>IF(OR($J80="",$K80=""),"PENDENTE",IF($J80&lt;=$K80,$O80,IF($J80&lt;=$K80+$L80,$O80+($P80-$O80)*($J80-$K80)/$L80,IF($J80&lt;=$K80+$L80+$M80,$P80,IF($J80&lt;=$K80+$L80+$M80+$N80,$P80+($Q80-$P80)*($J80-($K80+$L80+$M80))/$N80,$Q80)))))</f>
        <v/>
      </c>
      <c r="S80" s="13">
        <f>ETO_SEM</f>
        <v/>
      </c>
      <c r="T80" s="14">
        <f>IF(OR($R80="",$R80="PENDENTE"),"",$R80*$S80)</f>
        <v/>
      </c>
      <c r="U80" s="13" t="n">
        <v>0</v>
      </c>
      <c r="V80" s="14">
        <f>IF($T80="","",MAX(0,$T80-N($U80)))</f>
        <v/>
      </c>
      <c r="W80" s="14">
        <f>IF($V80="","",$V80/EF_APLIC)</f>
        <v/>
      </c>
      <c r="X80" s="15" t="n">
        <v>150.34</v>
      </c>
      <c r="Y80" s="16">
        <f>IF(OR($W80="",$X80=""),"",$W80*$X80*10)</f>
        <v/>
      </c>
      <c r="Z80" s="17">
        <f>IFERROR(INDEX('PARAMETROS'!$B$16:$B$19,MATCH($D80,'PARAMETROS'!$A$16:$A$19,0)),"")</f>
        <v/>
      </c>
      <c r="AA80" s="16">
        <f>IF(OR($Y80="",$Z80=""),"",$Y80*$Z80)</f>
        <v/>
      </c>
      <c r="AB80" s="18">
        <f>IF($R80="PENDENTE","Definir classe/Kc",IF($W80="","-",IF($W80&gt;0,"Irrigar","Nao irrigar")))</f>
        <v/>
      </c>
      <c r="AC80" s="18">
        <f>IF(OR($W80="",$W80=0),"-",IF($W80&gt;=META_SEM,"Alta",IF($W80&gt;=META_SEM*FRAC_ACOMP,"Media","Baixa")))</f>
        <v/>
      </c>
      <c r="AD80" s="19" t="inlineStr"/>
    </row>
    <row r="81">
      <c r="A81" s="5" t="inlineStr">
        <is>
          <t>131</t>
        </is>
      </c>
      <c r="B81" s="5" t="inlineStr">
        <is>
          <t>RDM</t>
        </is>
      </c>
      <c r="C81" s="5" t="inlineStr">
        <is>
          <t>Módulo 02</t>
        </is>
      </c>
      <c r="D81" s="5" t="inlineStr">
        <is>
          <t>RDM2</t>
        </is>
      </c>
      <c r="E81" s="5" t="inlineStr">
        <is>
          <t>ALGODÃO</t>
        </is>
      </c>
      <c r="F81" s="6" t="inlineStr">
        <is>
          <t>FM 985 GLTP</t>
        </is>
      </c>
      <c r="G81" s="7" t="inlineStr">
        <is>
          <t>MÉDIO</t>
        </is>
      </c>
      <c r="H81" s="8" t="n">
        <v>46016</v>
      </c>
      <c r="I81" s="9">
        <f>IF($H81="","",DATA_REF-$H81)</f>
        <v/>
      </c>
      <c r="J81" s="9">
        <f>IF($I81="","",MAX(0,$I81-'PARAMETROS'!$B$12))</f>
        <v/>
      </c>
      <c r="K81" s="10">
        <f>IFERROR(INDEX(KC_CURVAS!$C$5:$C$15,MATCH($E81&amp;"|"&amp;$G81,KC_CURVAS!$K$5:$K$15,0)),IFERROR(INDEX(KC_CURVAS!$C$5:$C$15,MATCH($E81&amp;"|",KC_CURVAS!$K$5:$K$15,0)),""))</f>
        <v/>
      </c>
      <c r="L81" s="10">
        <f>IFERROR(INDEX(KC_CURVAS!$D$5:$D$15,MATCH($E81&amp;"|"&amp;$G81,KC_CURVAS!$K$5:$K$15,0)),IFERROR(INDEX(KC_CURVAS!$D$5:$D$15,MATCH($E81&amp;"|",KC_CURVAS!$K$5:$K$15,0)),""))</f>
        <v/>
      </c>
      <c r="M81" s="10">
        <f>IFERROR(INDEX(KC_CURVAS!$E$5:$E$15,MATCH($E81&amp;"|"&amp;$G81,KC_CURVAS!$K$5:$K$15,0)),IFERROR(INDEX(KC_CURVAS!$E$5:$E$15,MATCH($E81&amp;"|",KC_CURVAS!$K$5:$K$15,0)),""))</f>
        <v/>
      </c>
      <c r="N81" s="10">
        <f>IFERROR(INDEX(KC_CURVAS!$F$5:$F$15,MATCH($E81&amp;"|"&amp;$G81,KC_CURVAS!$K$5:$K$15,0)),IFERROR(INDEX(KC_CURVAS!$F$5:$F$15,MATCH($E81&amp;"|",KC_CURVAS!$K$5:$K$15,0)),""))</f>
        <v/>
      </c>
      <c r="O81" s="11">
        <f>IFERROR(INDEX(KC_CURVAS!$G$5:$G$15,MATCH($E81&amp;"|"&amp;$G81,KC_CURVAS!$K$5:$K$15,0)),IFERROR(INDEX(KC_CURVAS!$G$5:$G$15,MATCH($E81&amp;"|",KC_CURVAS!$K$5:$K$15,0)),""))</f>
        <v/>
      </c>
      <c r="P81" s="11">
        <f>IFERROR(INDEX(KC_CURVAS!$H$5:$H$15,MATCH($E81&amp;"|"&amp;$G81,KC_CURVAS!$K$5:$K$15,0)),IFERROR(INDEX(KC_CURVAS!$H$5:$H$15,MATCH($E81&amp;"|",KC_CURVAS!$K$5:$K$15,0)),""))</f>
        <v/>
      </c>
      <c r="Q81" s="11">
        <f>IFERROR(INDEX(KC_CURVAS!$I$5:$I$15,MATCH($E81&amp;"|"&amp;$G81,KC_CURVAS!$K$5:$K$15,0)),IFERROR(INDEX(KC_CURVAS!$I$5:$I$15,MATCH($E81&amp;"|",KC_CURVAS!$K$5:$K$15,0)),""))</f>
        <v/>
      </c>
      <c r="R81" s="12">
        <f>IF(OR($J81="",$K81=""),"PENDENTE",IF($J81&lt;=$K81,$O81,IF($J81&lt;=$K81+$L81,$O81+($P81-$O81)*($J81-$K81)/$L81,IF($J81&lt;=$K81+$L81+$M81,$P81,IF($J81&lt;=$K81+$L81+$M81+$N81,$P81+($Q81-$P81)*($J81-($K81+$L81+$M81))/$N81,$Q81)))))</f>
        <v/>
      </c>
      <c r="S81" s="13">
        <f>ETO_SEM</f>
        <v/>
      </c>
      <c r="T81" s="14">
        <f>IF(OR($R81="",$R81="PENDENTE"),"",$R81*$S81)</f>
        <v/>
      </c>
      <c r="U81" s="13" t="n">
        <v>0</v>
      </c>
      <c r="V81" s="14">
        <f>IF($T81="","",MAX(0,$T81-N($U81)))</f>
        <v/>
      </c>
      <c r="W81" s="14">
        <f>IF($V81="","",$V81/EF_APLIC)</f>
        <v/>
      </c>
      <c r="X81" s="15" t="n">
        <v>101.12</v>
      </c>
      <c r="Y81" s="16">
        <f>IF(OR($W81="",$X81=""),"",$W81*$X81*10)</f>
        <v/>
      </c>
      <c r="Z81" s="17">
        <f>IFERROR(INDEX('PARAMETROS'!$B$16:$B$19,MATCH($D81,'PARAMETROS'!$A$16:$A$19,0)),"")</f>
        <v/>
      </c>
      <c r="AA81" s="16">
        <f>IF(OR($Y81="",$Z81=""),"",$Y81*$Z81)</f>
        <v/>
      </c>
      <c r="AB81" s="18">
        <f>IF($R81="PENDENTE","Definir classe/Kc",IF($W81="","-",IF($W81&gt;0,"Irrigar","Nao irrigar")))</f>
        <v/>
      </c>
      <c r="AC81" s="18">
        <f>IF(OR($W81="",$W81=0),"-",IF($W81&gt;=META_SEM,"Alta",IF($W81&gt;=META_SEM*FRAC_ACOMP,"Media","Baixa")))</f>
        <v/>
      </c>
      <c r="AD81" s="19" t="inlineStr"/>
    </row>
    <row r="82">
      <c r="A82" s="5" t="inlineStr">
        <is>
          <t>132</t>
        </is>
      </c>
      <c r="B82" s="5" t="inlineStr">
        <is>
          <t>RDM</t>
        </is>
      </c>
      <c r="C82" s="5" t="inlineStr">
        <is>
          <t>Módulo 02</t>
        </is>
      </c>
      <c r="D82" s="5" t="inlineStr">
        <is>
          <t>RDM2</t>
        </is>
      </c>
      <c r="E82" s="5" t="inlineStr">
        <is>
          <t>ALGODÃO</t>
        </is>
      </c>
      <c r="F82" s="6" t="inlineStr">
        <is>
          <t>FM 985 GLTP</t>
        </is>
      </c>
      <c r="G82" s="7" t="inlineStr">
        <is>
          <t>MÉDIO</t>
        </is>
      </c>
      <c r="H82" s="8" t="n">
        <v>46018</v>
      </c>
      <c r="I82" s="9">
        <f>IF($H82="","",DATA_REF-$H82)</f>
        <v/>
      </c>
      <c r="J82" s="9">
        <f>IF($I82="","",MAX(0,$I82-'PARAMETROS'!$B$12))</f>
        <v/>
      </c>
      <c r="K82" s="10">
        <f>IFERROR(INDEX(KC_CURVAS!$C$5:$C$15,MATCH($E82&amp;"|"&amp;$G82,KC_CURVAS!$K$5:$K$15,0)),IFERROR(INDEX(KC_CURVAS!$C$5:$C$15,MATCH($E82&amp;"|",KC_CURVAS!$K$5:$K$15,0)),""))</f>
        <v/>
      </c>
      <c r="L82" s="10">
        <f>IFERROR(INDEX(KC_CURVAS!$D$5:$D$15,MATCH($E82&amp;"|"&amp;$G82,KC_CURVAS!$K$5:$K$15,0)),IFERROR(INDEX(KC_CURVAS!$D$5:$D$15,MATCH($E82&amp;"|",KC_CURVAS!$K$5:$K$15,0)),""))</f>
        <v/>
      </c>
      <c r="M82" s="10">
        <f>IFERROR(INDEX(KC_CURVAS!$E$5:$E$15,MATCH($E82&amp;"|"&amp;$G82,KC_CURVAS!$K$5:$K$15,0)),IFERROR(INDEX(KC_CURVAS!$E$5:$E$15,MATCH($E82&amp;"|",KC_CURVAS!$K$5:$K$15,0)),""))</f>
        <v/>
      </c>
      <c r="N82" s="10">
        <f>IFERROR(INDEX(KC_CURVAS!$F$5:$F$15,MATCH($E82&amp;"|"&amp;$G82,KC_CURVAS!$K$5:$K$15,0)),IFERROR(INDEX(KC_CURVAS!$F$5:$F$15,MATCH($E82&amp;"|",KC_CURVAS!$K$5:$K$15,0)),""))</f>
        <v/>
      </c>
      <c r="O82" s="11">
        <f>IFERROR(INDEX(KC_CURVAS!$G$5:$G$15,MATCH($E82&amp;"|"&amp;$G82,KC_CURVAS!$K$5:$K$15,0)),IFERROR(INDEX(KC_CURVAS!$G$5:$G$15,MATCH($E82&amp;"|",KC_CURVAS!$K$5:$K$15,0)),""))</f>
        <v/>
      </c>
      <c r="P82" s="11">
        <f>IFERROR(INDEX(KC_CURVAS!$H$5:$H$15,MATCH($E82&amp;"|"&amp;$G82,KC_CURVAS!$K$5:$K$15,0)),IFERROR(INDEX(KC_CURVAS!$H$5:$H$15,MATCH($E82&amp;"|",KC_CURVAS!$K$5:$K$15,0)),""))</f>
        <v/>
      </c>
      <c r="Q82" s="11">
        <f>IFERROR(INDEX(KC_CURVAS!$I$5:$I$15,MATCH($E82&amp;"|"&amp;$G82,KC_CURVAS!$K$5:$K$15,0)),IFERROR(INDEX(KC_CURVAS!$I$5:$I$15,MATCH($E82&amp;"|",KC_CURVAS!$K$5:$K$15,0)),""))</f>
        <v/>
      </c>
      <c r="R82" s="12">
        <f>IF(OR($J82="",$K82=""),"PENDENTE",IF($J82&lt;=$K82,$O82,IF($J82&lt;=$K82+$L82,$O82+($P82-$O82)*($J82-$K82)/$L82,IF($J82&lt;=$K82+$L82+$M82,$P82,IF($J82&lt;=$K82+$L82+$M82+$N82,$P82+($Q82-$P82)*($J82-($K82+$L82+$M82))/$N82,$Q82)))))</f>
        <v/>
      </c>
      <c r="S82" s="13">
        <f>ETO_SEM</f>
        <v/>
      </c>
      <c r="T82" s="14">
        <f>IF(OR($R82="",$R82="PENDENTE"),"",$R82*$S82)</f>
        <v/>
      </c>
      <c r="U82" s="13" t="n">
        <v>0</v>
      </c>
      <c r="V82" s="14">
        <f>IF($T82="","",MAX(0,$T82-N($U82)))</f>
        <v/>
      </c>
      <c r="W82" s="14">
        <f>IF($V82="","",$V82/EF_APLIC)</f>
        <v/>
      </c>
      <c r="X82" s="15" t="n">
        <v>101.12</v>
      </c>
      <c r="Y82" s="16">
        <f>IF(OR($W82="",$X82=""),"",$W82*$X82*10)</f>
        <v/>
      </c>
      <c r="Z82" s="17">
        <f>IFERROR(INDEX('PARAMETROS'!$B$16:$B$19,MATCH($D82,'PARAMETROS'!$A$16:$A$19,0)),"")</f>
        <v/>
      </c>
      <c r="AA82" s="16">
        <f>IF(OR($Y82="",$Z82=""),"",$Y82*$Z82)</f>
        <v/>
      </c>
      <c r="AB82" s="18">
        <f>IF($R82="PENDENTE","Definir classe/Kc",IF($W82="","-",IF($W82&gt;0,"Irrigar","Nao irrigar")))</f>
        <v/>
      </c>
      <c r="AC82" s="18">
        <f>IF(OR($W82="",$W82=0),"-",IF($W82&gt;=META_SEM,"Alta",IF($W82&gt;=META_SEM*FRAC_ACOMP,"Media","Baixa")))</f>
        <v/>
      </c>
      <c r="AD82" s="19" t="inlineStr"/>
    </row>
    <row r="83">
      <c r="A83" s="5" t="inlineStr">
        <is>
          <t>116</t>
        </is>
      </c>
      <c r="B83" s="5" t="inlineStr">
        <is>
          <t>RDM</t>
        </is>
      </c>
      <c r="C83" s="5" t="inlineStr">
        <is>
          <t>Módulo 02</t>
        </is>
      </c>
      <c r="D83" s="5" t="inlineStr">
        <is>
          <t>RDM2</t>
        </is>
      </c>
      <c r="E83" s="5" t="inlineStr">
        <is>
          <t>ALGODÃO</t>
        </is>
      </c>
      <c r="F83" s="6" t="inlineStr">
        <is>
          <t>DP 2111 B3RF</t>
        </is>
      </c>
      <c r="G83" s="7" t="inlineStr">
        <is>
          <t>MÉDIO</t>
        </is>
      </c>
      <c r="H83" s="8" t="n">
        <v>45955</v>
      </c>
      <c r="I83" s="9">
        <f>IF($H83="","",DATA_REF-$H83)</f>
        <v/>
      </c>
      <c r="J83" s="9">
        <f>IF($I83="","",MAX(0,$I83-'PARAMETROS'!$B$12))</f>
        <v/>
      </c>
      <c r="K83" s="10">
        <f>IFERROR(INDEX(KC_CURVAS!$C$5:$C$15,MATCH($E83&amp;"|"&amp;$G83,KC_CURVAS!$K$5:$K$15,0)),IFERROR(INDEX(KC_CURVAS!$C$5:$C$15,MATCH($E83&amp;"|",KC_CURVAS!$K$5:$K$15,0)),""))</f>
        <v/>
      </c>
      <c r="L83" s="10">
        <f>IFERROR(INDEX(KC_CURVAS!$D$5:$D$15,MATCH($E83&amp;"|"&amp;$G83,KC_CURVAS!$K$5:$K$15,0)),IFERROR(INDEX(KC_CURVAS!$D$5:$D$15,MATCH($E83&amp;"|",KC_CURVAS!$K$5:$K$15,0)),""))</f>
        <v/>
      </c>
      <c r="M83" s="10">
        <f>IFERROR(INDEX(KC_CURVAS!$E$5:$E$15,MATCH($E83&amp;"|"&amp;$G83,KC_CURVAS!$K$5:$K$15,0)),IFERROR(INDEX(KC_CURVAS!$E$5:$E$15,MATCH($E83&amp;"|",KC_CURVAS!$K$5:$K$15,0)),""))</f>
        <v/>
      </c>
      <c r="N83" s="10">
        <f>IFERROR(INDEX(KC_CURVAS!$F$5:$F$15,MATCH($E83&amp;"|"&amp;$G83,KC_CURVAS!$K$5:$K$15,0)),IFERROR(INDEX(KC_CURVAS!$F$5:$F$15,MATCH($E83&amp;"|",KC_CURVAS!$K$5:$K$15,0)),""))</f>
        <v/>
      </c>
      <c r="O83" s="11">
        <f>IFERROR(INDEX(KC_CURVAS!$G$5:$G$15,MATCH($E83&amp;"|"&amp;$G83,KC_CURVAS!$K$5:$K$15,0)),IFERROR(INDEX(KC_CURVAS!$G$5:$G$15,MATCH($E83&amp;"|",KC_CURVAS!$K$5:$K$15,0)),""))</f>
        <v/>
      </c>
      <c r="P83" s="11">
        <f>IFERROR(INDEX(KC_CURVAS!$H$5:$H$15,MATCH($E83&amp;"|"&amp;$G83,KC_CURVAS!$K$5:$K$15,0)),IFERROR(INDEX(KC_CURVAS!$H$5:$H$15,MATCH($E83&amp;"|",KC_CURVAS!$K$5:$K$15,0)),""))</f>
        <v/>
      </c>
      <c r="Q83" s="11">
        <f>IFERROR(INDEX(KC_CURVAS!$I$5:$I$15,MATCH($E83&amp;"|"&amp;$G83,KC_CURVAS!$K$5:$K$15,0)),IFERROR(INDEX(KC_CURVAS!$I$5:$I$15,MATCH($E83&amp;"|",KC_CURVAS!$K$5:$K$15,0)),""))</f>
        <v/>
      </c>
      <c r="R83" s="12">
        <f>IF(OR($J83="",$K83=""),"PENDENTE",IF($J83&lt;=$K83,$O83,IF($J83&lt;=$K83+$L83,$O83+($P83-$O83)*($J83-$K83)/$L83,IF($J83&lt;=$K83+$L83+$M83,$P83,IF($J83&lt;=$K83+$L83+$M83+$N83,$P83+($Q83-$P83)*($J83-($K83+$L83+$M83))/$N83,$Q83)))))</f>
        <v/>
      </c>
      <c r="S83" s="13">
        <f>ETO_SEM</f>
        <v/>
      </c>
      <c r="T83" s="14">
        <f>IF(OR($R83="",$R83="PENDENTE"),"",$R83*$S83)</f>
        <v/>
      </c>
      <c r="U83" s="13" t="n">
        <v>0</v>
      </c>
      <c r="V83" s="14">
        <f>IF($T83="","",MAX(0,$T83-N($U83)))</f>
        <v/>
      </c>
      <c r="W83" s="14">
        <f>IF($V83="","",$V83/EF_APLIC)</f>
        <v/>
      </c>
      <c r="X83" s="15" t="n">
        <v>150.34</v>
      </c>
      <c r="Y83" s="16">
        <f>IF(OR($W83="",$X83=""),"",$W83*$X83*10)</f>
        <v/>
      </c>
      <c r="Z83" s="17">
        <f>IFERROR(INDEX('PARAMETROS'!$B$16:$B$19,MATCH($D83,'PARAMETROS'!$A$16:$A$19,0)),"")</f>
        <v/>
      </c>
      <c r="AA83" s="16">
        <f>IF(OR($Y83="",$Z83=""),"",$Y83*$Z83)</f>
        <v/>
      </c>
      <c r="AB83" s="18">
        <f>IF($R83="PENDENTE","Definir classe/Kc",IF($W83="","-",IF($W83&gt;0,"Irrigar","Nao irrigar")))</f>
        <v/>
      </c>
      <c r="AC83" s="18">
        <f>IF(OR($W83="",$W83=0),"-",IF($W83&gt;=META_SEM,"Alta",IF($W83&gt;=META_SEM*FRAC_ACOMP,"Media","Baixa")))</f>
        <v/>
      </c>
      <c r="AD83" s="19" t="inlineStr"/>
    </row>
    <row r="84">
      <c r="A84" s="5" t="inlineStr">
        <is>
          <t>117</t>
        </is>
      </c>
      <c r="B84" s="5" t="inlineStr">
        <is>
          <t>RDM</t>
        </is>
      </c>
      <c r="C84" s="5" t="inlineStr">
        <is>
          <t>Módulo 02</t>
        </is>
      </c>
      <c r="D84" s="5" t="inlineStr">
        <is>
          <t>RDM2</t>
        </is>
      </c>
      <c r="E84" s="5" t="inlineStr">
        <is>
          <t>ALGODÃO</t>
        </is>
      </c>
      <c r="F84" s="6" t="inlineStr">
        <is>
          <t>FM 974 GLT</t>
        </is>
      </c>
      <c r="G84" s="7" t="inlineStr">
        <is>
          <t>MÉDIO</t>
        </is>
      </c>
      <c r="H84" s="8" t="n">
        <v>46091</v>
      </c>
      <c r="I84" s="9">
        <f>IF($H84="","",DATA_REF-$H84)</f>
        <v/>
      </c>
      <c r="J84" s="9">
        <f>IF($I84="","",MAX(0,$I84-'PARAMETROS'!$B$12))</f>
        <v/>
      </c>
      <c r="K84" s="10">
        <f>IFERROR(INDEX(KC_CURVAS!$C$5:$C$15,MATCH($E84&amp;"|"&amp;$G84,KC_CURVAS!$K$5:$K$15,0)),IFERROR(INDEX(KC_CURVAS!$C$5:$C$15,MATCH($E84&amp;"|",KC_CURVAS!$K$5:$K$15,0)),""))</f>
        <v/>
      </c>
      <c r="L84" s="10">
        <f>IFERROR(INDEX(KC_CURVAS!$D$5:$D$15,MATCH($E84&amp;"|"&amp;$G84,KC_CURVAS!$K$5:$K$15,0)),IFERROR(INDEX(KC_CURVAS!$D$5:$D$15,MATCH($E84&amp;"|",KC_CURVAS!$K$5:$K$15,0)),""))</f>
        <v/>
      </c>
      <c r="M84" s="10">
        <f>IFERROR(INDEX(KC_CURVAS!$E$5:$E$15,MATCH($E84&amp;"|"&amp;$G84,KC_CURVAS!$K$5:$K$15,0)),IFERROR(INDEX(KC_CURVAS!$E$5:$E$15,MATCH($E84&amp;"|",KC_CURVAS!$K$5:$K$15,0)),""))</f>
        <v/>
      </c>
      <c r="N84" s="10">
        <f>IFERROR(INDEX(KC_CURVAS!$F$5:$F$15,MATCH($E84&amp;"|"&amp;$G84,KC_CURVAS!$K$5:$K$15,0)),IFERROR(INDEX(KC_CURVAS!$F$5:$F$15,MATCH($E84&amp;"|",KC_CURVAS!$K$5:$K$15,0)),""))</f>
        <v/>
      </c>
      <c r="O84" s="11">
        <f>IFERROR(INDEX(KC_CURVAS!$G$5:$G$15,MATCH($E84&amp;"|"&amp;$G84,KC_CURVAS!$K$5:$K$15,0)),IFERROR(INDEX(KC_CURVAS!$G$5:$G$15,MATCH($E84&amp;"|",KC_CURVAS!$K$5:$K$15,0)),""))</f>
        <v/>
      </c>
      <c r="P84" s="11">
        <f>IFERROR(INDEX(KC_CURVAS!$H$5:$H$15,MATCH($E84&amp;"|"&amp;$G84,KC_CURVAS!$K$5:$K$15,0)),IFERROR(INDEX(KC_CURVAS!$H$5:$H$15,MATCH($E84&amp;"|",KC_CURVAS!$K$5:$K$15,0)),""))</f>
        <v/>
      </c>
      <c r="Q84" s="11">
        <f>IFERROR(INDEX(KC_CURVAS!$I$5:$I$15,MATCH($E84&amp;"|"&amp;$G84,KC_CURVAS!$K$5:$K$15,0)),IFERROR(INDEX(KC_CURVAS!$I$5:$I$15,MATCH($E84&amp;"|",KC_CURVAS!$K$5:$K$15,0)),""))</f>
        <v/>
      </c>
      <c r="R84" s="12">
        <f>IF(OR($J84="",$K84=""),"PENDENTE",IF($J84&lt;=$K84,$O84,IF($J84&lt;=$K84+$L84,$O84+($P84-$O84)*($J84-$K84)/$L84,IF($J84&lt;=$K84+$L84+$M84,$P84,IF($J84&lt;=$K84+$L84+$M84+$N84,$P84+($Q84-$P84)*($J84-($K84+$L84+$M84))/$N84,$Q84)))))</f>
        <v/>
      </c>
      <c r="S84" s="13">
        <f>ETO_SEM</f>
        <v/>
      </c>
      <c r="T84" s="14">
        <f>IF(OR($R84="",$R84="PENDENTE"),"",$R84*$S84)</f>
        <v/>
      </c>
      <c r="U84" s="13" t="n">
        <v>0</v>
      </c>
      <c r="V84" s="14">
        <f>IF($T84="","",MAX(0,$T84-N($U84)))</f>
        <v/>
      </c>
      <c r="W84" s="14">
        <f>IF($V84="","",$V84/EF_APLIC)</f>
        <v/>
      </c>
      <c r="X84" s="15" t="n">
        <v>150.34</v>
      </c>
      <c r="Y84" s="16">
        <f>IF(OR($W84="",$X84=""),"",$W84*$X84*10)</f>
        <v/>
      </c>
      <c r="Z84" s="17">
        <f>IFERROR(INDEX('PARAMETROS'!$B$16:$B$19,MATCH($D84,'PARAMETROS'!$A$16:$A$19,0)),"")</f>
        <v/>
      </c>
      <c r="AA84" s="16">
        <f>IF(OR($Y84="",$Z84=""),"",$Y84*$Z84)</f>
        <v/>
      </c>
      <c r="AB84" s="18">
        <f>IF($R84="PENDENTE","Definir classe/Kc",IF($W84="","-",IF($W84&gt;0,"Irrigar","Nao irrigar")))</f>
        <v/>
      </c>
      <c r="AC84" s="18">
        <f>IF(OR($W84="",$W84=0),"-",IF($W84&gt;=META_SEM,"Alta",IF($W84&gt;=META_SEM*FRAC_ACOMP,"Media","Baixa")))</f>
        <v/>
      </c>
      <c r="AD84" s="19" t="inlineStr"/>
    </row>
    <row r="85">
      <c r="A85" s="5" t="inlineStr">
        <is>
          <t>118</t>
        </is>
      </c>
      <c r="B85" s="5" t="inlineStr">
        <is>
          <t>RDM</t>
        </is>
      </c>
      <c r="C85" s="5" t="inlineStr">
        <is>
          <t>Módulo 02</t>
        </is>
      </c>
      <c r="D85" s="5" t="inlineStr">
        <is>
          <t>RDM2</t>
        </is>
      </c>
      <c r="E85" s="5" t="inlineStr">
        <is>
          <t>TABACO</t>
        </is>
      </c>
      <c r="F85" s="6" t="inlineStr"/>
      <c r="G85" s="7" t="inlineStr"/>
      <c r="H85" s="8" t="n">
        <v>45814</v>
      </c>
      <c r="I85" s="9">
        <f>IF($H85="","",DATA_REF-$H85)</f>
        <v/>
      </c>
      <c r="J85" s="9">
        <f>IF($I85="","",MAX(0,$I85-'PARAMETROS'!$B$12))</f>
        <v/>
      </c>
      <c r="K85" s="10">
        <f>IFERROR(INDEX(KC_CURVAS!$C$5:$C$15,MATCH($E85&amp;"|"&amp;$G85,KC_CURVAS!$K$5:$K$15,0)),IFERROR(INDEX(KC_CURVAS!$C$5:$C$15,MATCH($E85&amp;"|",KC_CURVAS!$K$5:$K$15,0)),""))</f>
        <v/>
      </c>
      <c r="L85" s="10">
        <f>IFERROR(INDEX(KC_CURVAS!$D$5:$D$15,MATCH($E85&amp;"|"&amp;$G85,KC_CURVAS!$K$5:$K$15,0)),IFERROR(INDEX(KC_CURVAS!$D$5:$D$15,MATCH($E85&amp;"|",KC_CURVAS!$K$5:$K$15,0)),""))</f>
        <v/>
      </c>
      <c r="M85" s="10">
        <f>IFERROR(INDEX(KC_CURVAS!$E$5:$E$15,MATCH($E85&amp;"|"&amp;$G85,KC_CURVAS!$K$5:$K$15,0)),IFERROR(INDEX(KC_CURVAS!$E$5:$E$15,MATCH($E85&amp;"|",KC_CURVAS!$K$5:$K$15,0)),""))</f>
        <v/>
      </c>
      <c r="N85" s="10">
        <f>IFERROR(INDEX(KC_CURVAS!$F$5:$F$15,MATCH($E85&amp;"|"&amp;$G85,KC_CURVAS!$K$5:$K$15,0)),IFERROR(INDEX(KC_CURVAS!$F$5:$F$15,MATCH($E85&amp;"|",KC_CURVAS!$K$5:$K$15,0)),""))</f>
        <v/>
      </c>
      <c r="O85" s="11">
        <f>IFERROR(INDEX(KC_CURVAS!$G$5:$G$15,MATCH($E85&amp;"|"&amp;$G85,KC_CURVAS!$K$5:$K$15,0)),IFERROR(INDEX(KC_CURVAS!$G$5:$G$15,MATCH($E85&amp;"|",KC_CURVAS!$K$5:$K$15,0)),""))</f>
        <v/>
      </c>
      <c r="P85" s="11">
        <f>IFERROR(INDEX(KC_CURVAS!$H$5:$H$15,MATCH($E85&amp;"|"&amp;$G85,KC_CURVAS!$K$5:$K$15,0)),IFERROR(INDEX(KC_CURVAS!$H$5:$H$15,MATCH($E85&amp;"|",KC_CURVAS!$K$5:$K$15,0)),""))</f>
        <v/>
      </c>
      <c r="Q85" s="11">
        <f>IFERROR(INDEX(KC_CURVAS!$I$5:$I$15,MATCH($E85&amp;"|"&amp;$G85,KC_CURVAS!$K$5:$K$15,0)),IFERROR(INDEX(KC_CURVAS!$I$5:$I$15,MATCH($E85&amp;"|",KC_CURVAS!$K$5:$K$15,0)),""))</f>
        <v/>
      </c>
      <c r="R85" s="12">
        <f>IF(OR($J85="",$K85=""),"PENDENTE",IF($J85&lt;=$K85,$O85,IF($J85&lt;=$K85+$L85,$O85+($P85-$O85)*($J85-$K85)/$L85,IF($J85&lt;=$K85+$L85+$M85,$P85,IF($J85&lt;=$K85+$L85+$M85+$N85,$P85+($Q85-$P85)*($J85-($K85+$L85+$M85))/$N85,$Q85)))))</f>
        <v/>
      </c>
      <c r="S85" s="13">
        <f>ETO_SEM</f>
        <v/>
      </c>
      <c r="T85" s="14">
        <f>IF(OR($R85="",$R85="PENDENTE"),"",$R85*$S85)</f>
        <v/>
      </c>
      <c r="U85" s="13" t="n">
        <v>0</v>
      </c>
      <c r="V85" s="14">
        <f>IF($T85="","",MAX(0,$T85-N($U85)))</f>
        <v/>
      </c>
      <c r="W85" s="14">
        <f>IF($V85="","",$V85/EF_APLIC)</f>
        <v/>
      </c>
      <c r="X85" s="15" t="n">
        <v>150.14</v>
      </c>
      <c r="Y85" s="16">
        <f>IF(OR($W85="",$X85=""),"",$W85*$X85*10)</f>
        <v/>
      </c>
      <c r="Z85" s="17">
        <f>IFERROR(INDEX('PARAMETROS'!$B$16:$B$19,MATCH($D85,'PARAMETROS'!$A$16:$A$19,0)),"")</f>
        <v/>
      </c>
      <c r="AA85" s="16">
        <f>IF(OR($Y85="",$Z85=""),"",$Y85*$Z85)</f>
        <v/>
      </c>
      <c r="AB85" s="18">
        <f>IF($R85="PENDENTE","Definir classe/Kc",IF($W85="","-",IF($W85&gt;0,"Irrigar","Nao irrigar")))</f>
        <v/>
      </c>
      <c r="AC85" s="18">
        <f>IF(OR($W85="",$W85=0),"-",IF($W85&gt;=META_SEM,"Alta",IF($W85&gt;=META_SEM*FRAC_ACOMP,"Media","Baixa")))</f>
        <v/>
      </c>
      <c r="AD85" s="19" t="inlineStr"/>
    </row>
    <row r="86">
      <c r="A86" s="5" t="inlineStr">
        <is>
          <t>119</t>
        </is>
      </c>
      <c r="B86" s="5" t="inlineStr">
        <is>
          <t>RDM</t>
        </is>
      </c>
      <c r="C86" s="5" t="inlineStr">
        <is>
          <t>Módulo 02</t>
        </is>
      </c>
      <c r="D86" s="5" t="inlineStr">
        <is>
          <t>RDM2</t>
        </is>
      </c>
      <c r="E86" s="5" t="inlineStr">
        <is>
          <t>TABACO</t>
        </is>
      </c>
      <c r="F86" s="6" t="inlineStr"/>
      <c r="G86" s="7" t="inlineStr"/>
      <c r="H86" s="8" t="n">
        <v>46031</v>
      </c>
      <c r="I86" s="9">
        <f>IF($H86="","",DATA_REF-$H86)</f>
        <v/>
      </c>
      <c r="J86" s="9">
        <f>IF($I86="","",MAX(0,$I86-'PARAMETROS'!$B$12))</f>
        <v/>
      </c>
      <c r="K86" s="10">
        <f>IFERROR(INDEX(KC_CURVAS!$C$5:$C$15,MATCH($E86&amp;"|"&amp;$G86,KC_CURVAS!$K$5:$K$15,0)),IFERROR(INDEX(KC_CURVAS!$C$5:$C$15,MATCH($E86&amp;"|",KC_CURVAS!$K$5:$K$15,0)),""))</f>
        <v/>
      </c>
      <c r="L86" s="10">
        <f>IFERROR(INDEX(KC_CURVAS!$D$5:$D$15,MATCH($E86&amp;"|"&amp;$G86,KC_CURVAS!$K$5:$K$15,0)),IFERROR(INDEX(KC_CURVAS!$D$5:$D$15,MATCH($E86&amp;"|",KC_CURVAS!$K$5:$K$15,0)),""))</f>
        <v/>
      </c>
      <c r="M86" s="10">
        <f>IFERROR(INDEX(KC_CURVAS!$E$5:$E$15,MATCH($E86&amp;"|"&amp;$G86,KC_CURVAS!$K$5:$K$15,0)),IFERROR(INDEX(KC_CURVAS!$E$5:$E$15,MATCH($E86&amp;"|",KC_CURVAS!$K$5:$K$15,0)),""))</f>
        <v/>
      </c>
      <c r="N86" s="10">
        <f>IFERROR(INDEX(KC_CURVAS!$F$5:$F$15,MATCH($E86&amp;"|"&amp;$G86,KC_CURVAS!$K$5:$K$15,0)),IFERROR(INDEX(KC_CURVAS!$F$5:$F$15,MATCH($E86&amp;"|",KC_CURVAS!$K$5:$K$15,0)),""))</f>
        <v/>
      </c>
      <c r="O86" s="11">
        <f>IFERROR(INDEX(KC_CURVAS!$G$5:$G$15,MATCH($E86&amp;"|"&amp;$G86,KC_CURVAS!$K$5:$K$15,0)),IFERROR(INDEX(KC_CURVAS!$G$5:$G$15,MATCH($E86&amp;"|",KC_CURVAS!$K$5:$K$15,0)),""))</f>
        <v/>
      </c>
      <c r="P86" s="11">
        <f>IFERROR(INDEX(KC_CURVAS!$H$5:$H$15,MATCH($E86&amp;"|"&amp;$G86,KC_CURVAS!$K$5:$K$15,0)),IFERROR(INDEX(KC_CURVAS!$H$5:$H$15,MATCH($E86&amp;"|",KC_CURVAS!$K$5:$K$15,0)),""))</f>
        <v/>
      </c>
      <c r="Q86" s="11">
        <f>IFERROR(INDEX(KC_CURVAS!$I$5:$I$15,MATCH($E86&amp;"|"&amp;$G86,KC_CURVAS!$K$5:$K$15,0)),IFERROR(INDEX(KC_CURVAS!$I$5:$I$15,MATCH($E86&amp;"|",KC_CURVAS!$K$5:$K$15,0)),""))</f>
        <v/>
      </c>
      <c r="R86" s="12">
        <f>IF(OR($J86="",$K86=""),"PENDENTE",IF($J86&lt;=$K86,$O86,IF($J86&lt;=$K86+$L86,$O86+($P86-$O86)*($J86-$K86)/$L86,IF($J86&lt;=$K86+$L86+$M86,$P86,IF($J86&lt;=$K86+$L86+$M86+$N86,$P86+($Q86-$P86)*($J86-($K86+$L86+$M86))/$N86,$Q86)))))</f>
        <v/>
      </c>
      <c r="S86" s="13">
        <f>ETO_SEM</f>
        <v/>
      </c>
      <c r="T86" s="14">
        <f>IF(OR($R86="",$R86="PENDENTE"),"",$R86*$S86)</f>
        <v/>
      </c>
      <c r="U86" s="13" t="n">
        <v>0</v>
      </c>
      <c r="V86" s="14">
        <f>IF($T86="","",MAX(0,$T86-N($U86)))</f>
        <v/>
      </c>
      <c r="W86" s="14">
        <f>IF($V86="","",$V86/EF_APLIC)</f>
        <v/>
      </c>
      <c r="X86" s="15" t="n">
        <v>150.34</v>
      </c>
      <c r="Y86" s="16">
        <f>IF(OR($W86="",$X86=""),"",$W86*$X86*10)</f>
        <v/>
      </c>
      <c r="Z86" s="17">
        <f>IFERROR(INDEX('PARAMETROS'!$B$16:$B$19,MATCH($D86,'PARAMETROS'!$A$16:$A$19,0)),"")</f>
        <v/>
      </c>
      <c r="AA86" s="16">
        <f>IF(OR($Y86="",$Z86=""),"",$Y86*$Z86)</f>
        <v/>
      </c>
      <c r="AB86" s="18">
        <f>IF($R86="PENDENTE","Definir classe/Kc",IF($W86="","-",IF($W86&gt;0,"Irrigar","Nao irrigar")))</f>
        <v/>
      </c>
      <c r="AC86" s="18">
        <f>IF(OR($W86="",$W86=0),"-",IF($W86&gt;=META_SEM,"Alta",IF($W86&gt;=META_SEM*FRAC_ACOMP,"Media","Baixa")))</f>
        <v/>
      </c>
      <c r="AD86" s="19" t="inlineStr"/>
    </row>
    <row r="87">
      <c r="A87" s="5" t="inlineStr">
        <is>
          <t>128</t>
        </is>
      </c>
      <c r="B87" s="5" t="inlineStr">
        <is>
          <t>RDM</t>
        </is>
      </c>
      <c r="C87" s="5" t="inlineStr">
        <is>
          <t>Módulo 02</t>
        </is>
      </c>
      <c r="D87" s="5" t="inlineStr">
        <is>
          <t>RDM2</t>
        </is>
      </c>
      <c r="E87" s="5" t="inlineStr">
        <is>
          <t>TABACO</t>
        </is>
      </c>
      <c r="F87" s="6" t="inlineStr"/>
      <c r="G87" s="7" t="inlineStr"/>
      <c r="H87" s="20" t="n"/>
      <c r="I87" s="9">
        <f>IF($H87="","",DATA_REF-$H87)</f>
        <v/>
      </c>
      <c r="J87" s="9">
        <f>IF($I87="","",MAX(0,$I87-'PARAMETROS'!$B$12))</f>
        <v/>
      </c>
      <c r="K87" s="10">
        <f>IFERROR(INDEX(KC_CURVAS!$C$5:$C$15,MATCH($E87&amp;"|"&amp;$G87,KC_CURVAS!$K$5:$K$15,0)),IFERROR(INDEX(KC_CURVAS!$C$5:$C$15,MATCH($E87&amp;"|",KC_CURVAS!$K$5:$K$15,0)),""))</f>
        <v/>
      </c>
      <c r="L87" s="10">
        <f>IFERROR(INDEX(KC_CURVAS!$D$5:$D$15,MATCH($E87&amp;"|"&amp;$G87,KC_CURVAS!$K$5:$K$15,0)),IFERROR(INDEX(KC_CURVAS!$D$5:$D$15,MATCH($E87&amp;"|",KC_CURVAS!$K$5:$K$15,0)),""))</f>
        <v/>
      </c>
      <c r="M87" s="10">
        <f>IFERROR(INDEX(KC_CURVAS!$E$5:$E$15,MATCH($E87&amp;"|"&amp;$G87,KC_CURVAS!$K$5:$K$15,0)),IFERROR(INDEX(KC_CURVAS!$E$5:$E$15,MATCH($E87&amp;"|",KC_CURVAS!$K$5:$K$15,0)),""))</f>
        <v/>
      </c>
      <c r="N87" s="10">
        <f>IFERROR(INDEX(KC_CURVAS!$F$5:$F$15,MATCH($E87&amp;"|"&amp;$G87,KC_CURVAS!$K$5:$K$15,0)),IFERROR(INDEX(KC_CURVAS!$F$5:$F$15,MATCH($E87&amp;"|",KC_CURVAS!$K$5:$K$15,0)),""))</f>
        <v/>
      </c>
      <c r="O87" s="11">
        <f>IFERROR(INDEX(KC_CURVAS!$G$5:$G$15,MATCH($E87&amp;"|"&amp;$G87,KC_CURVAS!$K$5:$K$15,0)),IFERROR(INDEX(KC_CURVAS!$G$5:$G$15,MATCH($E87&amp;"|",KC_CURVAS!$K$5:$K$15,0)),""))</f>
        <v/>
      </c>
      <c r="P87" s="11">
        <f>IFERROR(INDEX(KC_CURVAS!$H$5:$H$15,MATCH($E87&amp;"|"&amp;$G87,KC_CURVAS!$K$5:$K$15,0)),IFERROR(INDEX(KC_CURVAS!$H$5:$H$15,MATCH($E87&amp;"|",KC_CURVAS!$K$5:$K$15,0)),""))</f>
        <v/>
      </c>
      <c r="Q87" s="11">
        <f>IFERROR(INDEX(KC_CURVAS!$I$5:$I$15,MATCH($E87&amp;"|"&amp;$G87,KC_CURVAS!$K$5:$K$15,0)),IFERROR(INDEX(KC_CURVAS!$I$5:$I$15,MATCH($E87&amp;"|",KC_CURVAS!$K$5:$K$15,0)),""))</f>
        <v/>
      </c>
      <c r="R87" s="12">
        <f>IF(OR($J87="",$K87=""),"PENDENTE",IF($J87&lt;=$K87,$O87,IF($J87&lt;=$K87+$L87,$O87+($P87-$O87)*($J87-$K87)/$L87,IF($J87&lt;=$K87+$L87+$M87,$P87,IF($J87&lt;=$K87+$L87+$M87+$N87,$P87+($Q87-$P87)*($J87-($K87+$L87+$M87))/$N87,$Q87)))))</f>
        <v/>
      </c>
      <c r="S87" s="13">
        <f>ETO_SEM</f>
        <v/>
      </c>
      <c r="T87" s="14">
        <f>IF(OR($R87="",$R87="PENDENTE"),"",$R87*$S87)</f>
        <v/>
      </c>
      <c r="U87" s="13" t="n">
        <v>0</v>
      </c>
      <c r="V87" s="14">
        <f>IF($T87="","",MAX(0,$T87-N($U87)))</f>
        <v/>
      </c>
      <c r="W87" s="14">
        <f>IF($V87="","",$V87/EF_APLIC)</f>
        <v/>
      </c>
      <c r="X87" s="15" t="n">
        <v>140.57</v>
      </c>
      <c r="Y87" s="16">
        <f>IF(OR($W87="",$X87=""),"",$W87*$X87*10)</f>
        <v/>
      </c>
      <c r="Z87" s="17">
        <f>IFERROR(INDEX('PARAMETROS'!$B$16:$B$19,MATCH($D87,'PARAMETROS'!$A$16:$A$19,0)),"")</f>
        <v/>
      </c>
      <c r="AA87" s="16">
        <f>IF(OR($Y87="",$Z87=""),"",$Y87*$Z87)</f>
        <v/>
      </c>
      <c r="AB87" s="18">
        <f>IF($R87="PENDENTE","Definir classe/Kc",IF($W87="","-",IF($W87&gt;0,"Irrigar","Nao irrigar")))</f>
        <v/>
      </c>
      <c r="AC87" s="18">
        <f>IF(OR($W87="",$W87=0),"-",IF($W87&gt;=META_SEM,"Alta",IF($W87&gt;=META_SEM*FRAC_ACOMP,"Media","Baixa")))</f>
        <v/>
      </c>
      <c r="AD87" s="19" t="inlineStr"/>
    </row>
    <row r="88">
      <c r="A88" s="5" t="inlineStr">
        <is>
          <t>120</t>
        </is>
      </c>
      <c r="B88" s="5" t="inlineStr">
        <is>
          <t>RDM</t>
        </is>
      </c>
      <c r="C88" s="5" t="inlineStr">
        <is>
          <t>Módulo 02</t>
        </is>
      </c>
      <c r="D88" s="5" t="inlineStr">
        <is>
          <t>RDM2</t>
        </is>
      </c>
      <c r="E88" s="5" t="inlineStr">
        <is>
          <t>TABACO</t>
        </is>
      </c>
      <c r="F88" s="6" t="inlineStr"/>
      <c r="G88" s="7" t="inlineStr"/>
      <c r="H88" s="8" t="n">
        <v>45900</v>
      </c>
      <c r="I88" s="9">
        <f>IF($H88="","",DATA_REF-$H88)</f>
        <v/>
      </c>
      <c r="J88" s="9">
        <f>IF($I88="","",MAX(0,$I88-'PARAMETROS'!$B$12))</f>
        <v/>
      </c>
      <c r="K88" s="10">
        <f>IFERROR(INDEX(KC_CURVAS!$C$5:$C$15,MATCH($E88&amp;"|"&amp;$G88,KC_CURVAS!$K$5:$K$15,0)),IFERROR(INDEX(KC_CURVAS!$C$5:$C$15,MATCH($E88&amp;"|",KC_CURVAS!$K$5:$K$15,0)),""))</f>
        <v/>
      </c>
      <c r="L88" s="10">
        <f>IFERROR(INDEX(KC_CURVAS!$D$5:$D$15,MATCH($E88&amp;"|"&amp;$G88,KC_CURVAS!$K$5:$K$15,0)),IFERROR(INDEX(KC_CURVAS!$D$5:$D$15,MATCH($E88&amp;"|",KC_CURVAS!$K$5:$K$15,0)),""))</f>
        <v/>
      </c>
      <c r="M88" s="10">
        <f>IFERROR(INDEX(KC_CURVAS!$E$5:$E$15,MATCH($E88&amp;"|"&amp;$G88,KC_CURVAS!$K$5:$K$15,0)),IFERROR(INDEX(KC_CURVAS!$E$5:$E$15,MATCH($E88&amp;"|",KC_CURVAS!$K$5:$K$15,0)),""))</f>
        <v/>
      </c>
      <c r="N88" s="10">
        <f>IFERROR(INDEX(KC_CURVAS!$F$5:$F$15,MATCH($E88&amp;"|"&amp;$G88,KC_CURVAS!$K$5:$K$15,0)),IFERROR(INDEX(KC_CURVAS!$F$5:$F$15,MATCH($E88&amp;"|",KC_CURVAS!$K$5:$K$15,0)),""))</f>
        <v/>
      </c>
      <c r="O88" s="11">
        <f>IFERROR(INDEX(KC_CURVAS!$G$5:$G$15,MATCH($E88&amp;"|"&amp;$G88,KC_CURVAS!$K$5:$K$15,0)),IFERROR(INDEX(KC_CURVAS!$G$5:$G$15,MATCH($E88&amp;"|",KC_CURVAS!$K$5:$K$15,0)),""))</f>
        <v/>
      </c>
      <c r="P88" s="11">
        <f>IFERROR(INDEX(KC_CURVAS!$H$5:$H$15,MATCH($E88&amp;"|"&amp;$G88,KC_CURVAS!$K$5:$K$15,0)),IFERROR(INDEX(KC_CURVAS!$H$5:$H$15,MATCH($E88&amp;"|",KC_CURVAS!$K$5:$K$15,0)),""))</f>
        <v/>
      </c>
      <c r="Q88" s="11">
        <f>IFERROR(INDEX(KC_CURVAS!$I$5:$I$15,MATCH($E88&amp;"|"&amp;$G88,KC_CURVAS!$K$5:$K$15,0)),IFERROR(INDEX(KC_CURVAS!$I$5:$I$15,MATCH($E88&amp;"|",KC_CURVAS!$K$5:$K$15,0)),""))</f>
        <v/>
      </c>
      <c r="R88" s="12">
        <f>IF(OR($J88="",$K88=""),"PENDENTE",IF($J88&lt;=$K88,$O88,IF($J88&lt;=$K88+$L88,$O88+($P88-$O88)*($J88-$K88)/$L88,IF($J88&lt;=$K88+$L88+$M88,$P88,IF($J88&lt;=$K88+$L88+$M88+$N88,$P88+($Q88-$P88)*($J88-($K88+$L88+$M88))/$N88,$Q88)))))</f>
        <v/>
      </c>
      <c r="S88" s="13">
        <f>ETO_SEM</f>
        <v/>
      </c>
      <c r="T88" s="14">
        <f>IF(OR($R88="",$R88="PENDENTE"),"",$R88*$S88)</f>
        <v/>
      </c>
      <c r="U88" s="13" t="n">
        <v>0</v>
      </c>
      <c r="V88" s="14">
        <f>IF($T88="","",MAX(0,$T88-N($U88)))</f>
        <v/>
      </c>
      <c r="W88" s="14">
        <f>IF($V88="","",$V88/EF_APLIC)</f>
        <v/>
      </c>
      <c r="X88" s="15" t="n">
        <v>150.34</v>
      </c>
      <c r="Y88" s="16">
        <f>IF(OR($W88="",$X88=""),"",$W88*$X88*10)</f>
        <v/>
      </c>
      <c r="Z88" s="17">
        <f>IFERROR(INDEX('PARAMETROS'!$B$16:$B$19,MATCH($D88,'PARAMETROS'!$A$16:$A$19,0)),"")</f>
        <v/>
      </c>
      <c r="AA88" s="16">
        <f>IF(OR($Y88="",$Z88=""),"",$Y88*$Z88)</f>
        <v/>
      </c>
      <c r="AB88" s="18">
        <f>IF($R88="PENDENTE","Definir classe/Kc",IF($W88="","-",IF($W88&gt;0,"Irrigar","Nao irrigar")))</f>
        <v/>
      </c>
      <c r="AC88" s="18">
        <f>IF(OR($W88="",$W88=0),"-",IF($W88&gt;=META_SEM,"Alta",IF($W88&gt;=META_SEM*FRAC_ACOMP,"Media","Baixa")))</f>
        <v/>
      </c>
      <c r="AD88" s="19" t="inlineStr"/>
    </row>
    <row r="89">
      <c r="A89" s="5" t="inlineStr">
        <is>
          <t>121</t>
        </is>
      </c>
      <c r="B89" s="5" t="inlineStr">
        <is>
          <t>RDM</t>
        </is>
      </c>
      <c r="C89" s="5" t="inlineStr">
        <is>
          <t>Módulo 02</t>
        </is>
      </c>
      <c r="D89" s="5" t="inlineStr">
        <is>
          <t>RDM2</t>
        </is>
      </c>
      <c r="E89" s="5" t="inlineStr">
        <is>
          <t>TABACO</t>
        </is>
      </c>
      <c r="F89" s="6" t="inlineStr"/>
      <c r="G89" s="7" t="inlineStr"/>
      <c r="H89" s="8" t="n">
        <v>45913</v>
      </c>
      <c r="I89" s="9">
        <f>IF($H89="","",DATA_REF-$H89)</f>
        <v/>
      </c>
      <c r="J89" s="9">
        <f>IF($I89="","",MAX(0,$I89-'PARAMETROS'!$B$12))</f>
        <v/>
      </c>
      <c r="K89" s="10">
        <f>IFERROR(INDEX(KC_CURVAS!$C$5:$C$15,MATCH($E89&amp;"|"&amp;$G89,KC_CURVAS!$K$5:$K$15,0)),IFERROR(INDEX(KC_CURVAS!$C$5:$C$15,MATCH($E89&amp;"|",KC_CURVAS!$K$5:$K$15,0)),""))</f>
        <v/>
      </c>
      <c r="L89" s="10">
        <f>IFERROR(INDEX(KC_CURVAS!$D$5:$D$15,MATCH($E89&amp;"|"&amp;$G89,KC_CURVAS!$K$5:$K$15,0)),IFERROR(INDEX(KC_CURVAS!$D$5:$D$15,MATCH($E89&amp;"|",KC_CURVAS!$K$5:$K$15,0)),""))</f>
        <v/>
      </c>
      <c r="M89" s="10">
        <f>IFERROR(INDEX(KC_CURVAS!$E$5:$E$15,MATCH($E89&amp;"|"&amp;$G89,KC_CURVAS!$K$5:$K$15,0)),IFERROR(INDEX(KC_CURVAS!$E$5:$E$15,MATCH($E89&amp;"|",KC_CURVAS!$K$5:$K$15,0)),""))</f>
        <v/>
      </c>
      <c r="N89" s="10">
        <f>IFERROR(INDEX(KC_CURVAS!$F$5:$F$15,MATCH($E89&amp;"|"&amp;$G89,KC_CURVAS!$K$5:$K$15,0)),IFERROR(INDEX(KC_CURVAS!$F$5:$F$15,MATCH($E89&amp;"|",KC_CURVAS!$K$5:$K$15,0)),""))</f>
        <v/>
      </c>
      <c r="O89" s="11">
        <f>IFERROR(INDEX(KC_CURVAS!$G$5:$G$15,MATCH($E89&amp;"|"&amp;$G89,KC_CURVAS!$K$5:$K$15,0)),IFERROR(INDEX(KC_CURVAS!$G$5:$G$15,MATCH($E89&amp;"|",KC_CURVAS!$K$5:$K$15,0)),""))</f>
        <v/>
      </c>
      <c r="P89" s="11">
        <f>IFERROR(INDEX(KC_CURVAS!$H$5:$H$15,MATCH($E89&amp;"|"&amp;$G89,KC_CURVAS!$K$5:$K$15,0)),IFERROR(INDEX(KC_CURVAS!$H$5:$H$15,MATCH($E89&amp;"|",KC_CURVAS!$K$5:$K$15,0)),""))</f>
        <v/>
      </c>
      <c r="Q89" s="11">
        <f>IFERROR(INDEX(KC_CURVAS!$I$5:$I$15,MATCH($E89&amp;"|"&amp;$G89,KC_CURVAS!$K$5:$K$15,0)),IFERROR(INDEX(KC_CURVAS!$I$5:$I$15,MATCH($E89&amp;"|",KC_CURVAS!$K$5:$K$15,0)),""))</f>
        <v/>
      </c>
      <c r="R89" s="12">
        <f>IF(OR($J89="",$K89=""),"PENDENTE",IF($J89&lt;=$K89,$O89,IF($J89&lt;=$K89+$L89,$O89+($P89-$O89)*($J89-$K89)/$L89,IF($J89&lt;=$K89+$L89+$M89,$P89,IF($J89&lt;=$K89+$L89+$M89+$N89,$P89+($Q89-$P89)*($J89-($K89+$L89+$M89))/$N89,$Q89)))))</f>
        <v/>
      </c>
      <c r="S89" s="13">
        <f>ETO_SEM</f>
        <v/>
      </c>
      <c r="T89" s="14">
        <f>IF(OR($R89="",$R89="PENDENTE"),"",$R89*$S89)</f>
        <v/>
      </c>
      <c r="U89" s="13" t="n">
        <v>0</v>
      </c>
      <c r="V89" s="14">
        <f>IF($T89="","",MAX(0,$T89-N($U89)))</f>
        <v/>
      </c>
      <c r="W89" s="14">
        <f>IF($V89="","",$V89/EF_APLIC)</f>
        <v/>
      </c>
      <c r="X89" s="15" t="n">
        <v>150.34</v>
      </c>
      <c r="Y89" s="16">
        <f>IF(OR($W89="",$X89=""),"",$W89*$X89*10)</f>
        <v/>
      </c>
      <c r="Z89" s="17">
        <f>IFERROR(INDEX('PARAMETROS'!$B$16:$B$19,MATCH($D89,'PARAMETROS'!$A$16:$A$19,0)),"")</f>
        <v/>
      </c>
      <c r="AA89" s="16">
        <f>IF(OR($Y89="",$Z89=""),"",$Y89*$Z89)</f>
        <v/>
      </c>
      <c r="AB89" s="18">
        <f>IF($R89="PENDENTE","Definir classe/Kc",IF($W89="","-",IF($W89&gt;0,"Irrigar","Nao irrigar")))</f>
        <v/>
      </c>
      <c r="AC89" s="18">
        <f>IF(OR($W89="",$W89=0),"-",IF($W89&gt;=META_SEM,"Alta",IF($W89&gt;=META_SEM*FRAC_ACOMP,"Media","Baixa")))</f>
        <v/>
      </c>
      <c r="AD89" s="19" t="inlineStr"/>
    </row>
    <row r="90">
      <c r="A90" s="5" t="inlineStr">
        <is>
          <t>122</t>
        </is>
      </c>
      <c r="B90" s="5" t="inlineStr">
        <is>
          <t>RDM</t>
        </is>
      </c>
      <c r="C90" s="5" t="inlineStr">
        <is>
          <t>Módulo 02</t>
        </is>
      </c>
      <c r="D90" s="5" t="inlineStr">
        <is>
          <t>RDM2</t>
        </is>
      </c>
      <c r="E90" s="5" t="inlineStr">
        <is>
          <t>ALGODÃO</t>
        </is>
      </c>
      <c r="F90" s="6" t="inlineStr">
        <is>
          <t>DP 1949 B3RF</t>
        </is>
      </c>
      <c r="G90" s="7" t="inlineStr">
        <is>
          <t>PRECOCE</t>
        </is>
      </c>
      <c r="H90" s="8" t="n">
        <v>46088</v>
      </c>
      <c r="I90" s="9">
        <f>IF($H90="","",DATA_REF-$H90)</f>
        <v/>
      </c>
      <c r="J90" s="9">
        <f>IF($I90="","",MAX(0,$I90-'PARAMETROS'!$B$12))</f>
        <v/>
      </c>
      <c r="K90" s="10">
        <f>IFERROR(INDEX(KC_CURVAS!$C$5:$C$15,MATCH($E90&amp;"|"&amp;$G90,KC_CURVAS!$K$5:$K$15,0)),IFERROR(INDEX(KC_CURVAS!$C$5:$C$15,MATCH($E90&amp;"|",KC_CURVAS!$K$5:$K$15,0)),""))</f>
        <v/>
      </c>
      <c r="L90" s="10">
        <f>IFERROR(INDEX(KC_CURVAS!$D$5:$D$15,MATCH($E90&amp;"|"&amp;$G90,KC_CURVAS!$K$5:$K$15,0)),IFERROR(INDEX(KC_CURVAS!$D$5:$D$15,MATCH($E90&amp;"|",KC_CURVAS!$K$5:$K$15,0)),""))</f>
        <v/>
      </c>
      <c r="M90" s="10">
        <f>IFERROR(INDEX(KC_CURVAS!$E$5:$E$15,MATCH($E90&amp;"|"&amp;$G90,KC_CURVAS!$K$5:$K$15,0)),IFERROR(INDEX(KC_CURVAS!$E$5:$E$15,MATCH($E90&amp;"|",KC_CURVAS!$K$5:$K$15,0)),""))</f>
        <v/>
      </c>
      <c r="N90" s="10">
        <f>IFERROR(INDEX(KC_CURVAS!$F$5:$F$15,MATCH($E90&amp;"|"&amp;$G90,KC_CURVAS!$K$5:$K$15,0)),IFERROR(INDEX(KC_CURVAS!$F$5:$F$15,MATCH($E90&amp;"|",KC_CURVAS!$K$5:$K$15,0)),""))</f>
        <v/>
      </c>
      <c r="O90" s="11">
        <f>IFERROR(INDEX(KC_CURVAS!$G$5:$G$15,MATCH($E90&amp;"|"&amp;$G90,KC_CURVAS!$K$5:$K$15,0)),IFERROR(INDEX(KC_CURVAS!$G$5:$G$15,MATCH($E90&amp;"|",KC_CURVAS!$K$5:$K$15,0)),""))</f>
        <v/>
      </c>
      <c r="P90" s="11">
        <f>IFERROR(INDEX(KC_CURVAS!$H$5:$H$15,MATCH($E90&amp;"|"&amp;$G90,KC_CURVAS!$K$5:$K$15,0)),IFERROR(INDEX(KC_CURVAS!$H$5:$H$15,MATCH($E90&amp;"|",KC_CURVAS!$K$5:$K$15,0)),""))</f>
        <v/>
      </c>
      <c r="Q90" s="11">
        <f>IFERROR(INDEX(KC_CURVAS!$I$5:$I$15,MATCH($E90&amp;"|"&amp;$G90,KC_CURVAS!$K$5:$K$15,0)),IFERROR(INDEX(KC_CURVAS!$I$5:$I$15,MATCH($E90&amp;"|",KC_CURVAS!$K$5:$K$15,0)),""))</f>
        <v/>
      </c>
      <c r="R90" s="12">
        <f>IF(OR($J90="",$K90=""),"PENDENTE",IF($J90&lt;=$K90,$O90,IF($J90&lt;=$K90+$L90,$O90+($P90-$O90)*($J90-$K90)/$L90,IF($J90&lt;=$K90+$L90+$M90,$P90,IF($J90&lt;=$K90+$L90+$M90+$N90,$P90+($Q90-$P90)*($J90-($K90+$L90+$M90))/$N90,$Q90)))))</f>
        <v/>
      </c>
      <c r="S90" s="13">
        <f>ETO_SEM</f>
        <v/>
      </c>
      <c r="T90" s="14">
        <f>IF(OR($R90="",$R90="PENDENTE"),"",$R90*$S90)</f>
        <v/>
      </c>
      <c r="U90" s="13" t="n">
        <v>0</v>
      </c>
      <c r="V90" s="14">
        <f>IF($T90="","",MAX(0,$T90-N($U90)))</f>
        <v/>
      </c>
      <c r="W90" s="14">
        <f>IF($V90="","",$V90/EF_APLIC)</f>
        <v/>
      </c>
      <c r="X90" s="15" t="n">
        <v>150.14</v>
      </c>
      <c r="Y90" s="16">
        <f>IF(OR($W90="",$X90=""),"",$W90*$X90*10)</f>
        <v/>
      </c>
      <c r="Z90" s="17">
        <f>IFERROR(INDEX('PARAMETROS'!$B$16:$B$19,MATCH($D90,'PARAMETROS'!$A$16:$A$19,0)),"")</f>
        <v/>
      </c>
      <c r="AA90" s="16">
        <f>IF(OR($Y90="",$Z90=""),"",$Y90*$Z90)</f>
        <v/>
      </c>
      <c r="AB90" s="18">
        <f>IF($R90="PENDENTE","Definir classe/Kc",IF($W90="","-",IF($W90&gt;0,"Irrigar","Nao irrigar")))</f>
        <v/>
      </c>
      <c r="AC90" s="18">
        <f>IF(OR($W90="",$W90=0),"-",IF($W90&gt;=META_SEM,"Alta",IF($W90&gt;=META_SEM*FRAC_ACOMP,"Media","Baixa")))</f>
        <v/>
      </c>
      <c r="AD90" s="19" t="inlineStr"/>
    </row>
    <row r="91">
      <c r="A91" s="5" t="inlineStr">
        <is>
          <t>123</t>
        </is>
      </c>
      <c r="B91" s="5" t="inlineStr">
        <is>
          <t>RDM</t>
        </is>
      </c>
      <c r="C91" s="5" t="inlineStr">
        <is>
          <t>Módulo 02</t>
        </is>
      </c>
      <c r="D91" s="5" t="inlineStr">
        <is>
          <t>RDM2</t>
        </is>
      </c>
      <c r="E91" s="5" t="inlineStr">
        <is>
          <t>ALGODÃO</t>
        </is>
      </c>
      <c r="F91" s="6" t="inlineStr">
        <is>
          <t>DP 1949 B3RF</t>
        </is>
      </c>
      <c r="G91" s="7" t="inlineStr">
        <is>
          <t>PRECOCE</t>
        </is>
      </c>
      <c r="H91" s="8" t="n">
        <v>46086</v>
      </c>
      <c r="I91" s="9">
        <f>IF($H91="","",DATA_REF-$H91)</f>
        <v/>
      </c>
      <c r="J91" s="9">
        <f>IF($I91="","",MAX(0,$I91-'PARAMETROS'!$B$12))</f>
        <v/>
      </c>
      <c r="K91" s="10">
        <f>IFERROR(INDEX(KC_CURVAS!$C$5:$C$15,MATCH($E91&amp;"|"&amp;$G91,KC_CURVAS!$K$5:$K$15,0)),IFERROR(INDEX(KC_CURVAS!$C$5:$C$15,MATCH($E91&amp;"|",KC_CURVAS!$K$5:$K$15,0)),""))</f>
        <v/>
      </c>
      <c r="L91" s="10">
        <f>IFERROR(INDEX(KC_CURVAS!$D$5:$D$15,MATCH($E91&amp;"|"&amp;$G91,KC_CURVAS!$K$5:$K$15,0)),IFERROR(INDEX(KC_CURVAS!$D$5:$D$15,MATCH($E91&amp;"|",KC_CURVAS!$K$5:$K$15,0)),""))</f>
        <v/>
      </c>
      <c r="M91" s="10">
        <f>IFERROR(INDEX(KC_CURVAS!$E$5:$E$15,MATCH($E91&amp;"|"&amp;$G91,KC_CURVAS!$K$5:$K$15,0)),IFERROR(INDEX(KC_CURVAS!$E$5:$E$15,MATCH($E91&amp;"|",KC_CURVAS!$K$5:$K$15,0)),""))</f>
        <v/>
      </c>
      <c r="N91" s="10">
        <f>IFERROR(INDEX(KC_CURVAS!$F$5:$F$15,MATCH($E91&amp;"|"&amp;$G91,KC_CURVAS!$K$5:$K$15,0)),IFERROR(INDEX(KC_CURVAS!$F$5:$F$15,MATCH($E91&amp;"|",KC_CURVAS!$K$5:$K$15,0)),""))</f>
        <v/>
      </c>
      <c r="O91" s="11">
        <f>IFERROR(INDEX(KC_CURVAS!$G$5:$G$15,MATCH($E91&amp;"|"&amp;$G91,KC_CURVAS!$K$5:$K$15,0)),IFERROR(INDEX(KC_CURVAS!$G$5:$G$15,MATCH($E91&amp;"|",KC_CURVAS!$K$5:$K$15,0)),""))</f>
        <v/>
      </c>
      <c r="P91" s="11">
        <f>IFERROR(INDEX(KC_CURVAS!$H$5:$H$15,MATCH($E91&amp;"|"&amp;$G91,KC_CURVAS!$K$5:$K$15,0)),IFERROR(INDEX(KC_CURVAS!$H$5:$H$15,MATCH($E91&amp;"|",KC_CURVAS!$K$5:$K$15,0)),""))</f>
        <v/>
      </c>
      <c r="Q91" s="11">
        <f>IFERROR(INDEX(KC_CURVAS!$I$5:$I$15,MATCH($E91&amp;"|"&amp;$G91,KC_CURVAS!$K$5:$K$15,0)),IFERROR(INDEX(KC_CURVAS!$I$5:$I$15,MATCH($E91&amp;"|",KC_CURVAS!$K$5:$K$15,0)),""))</f>
        <v/>
      </c>
      <c r="R91" s="12">
        <f>IF(OR($J91="",$K91=""),"PENDENTE",IF($J91&lt;=$K91,$O91,IF($J91&lt;=$K91+$L91,$O91+($P91-$O91)*($J91-$K91)/$L91,IF($J91&lt;=$K91+$L91+$M91,$P91,IF($J91&lt;=$K91+$L91+$M91+$N91,$P91+($Q91-$P91)*($J91-($K91+$L91+$M91))/$N91,$Q91)))))</f>
        <v/>
      </c>
      <c r="S91" s="13">
        <f>ETO_SEM</f>
        <v/>
      </c>
      <c r="T91" s="14">
        <f>IF(OR($R91="",$R91="PENDENTE"),"",$R91*$S91)</f>
        <v/>
      </c>
      <c r="U91" s="13" t="n">
        <v>0</v>
      </c>
      <c r="V91" s="14">
        <f>IF($T91="","",MAX(0,$T91-N($U91)))</f>
        <v/>
      </c>
      <c r="W91" s="14">
        <f>IF($V91="","",$V91/EF_APLIC)</f>
        <v/>
      </c>
      <c r="X91" s="15" t="n">
        <v>150.34</v>
      </c>
      <c r="Y91" s="16">
        <f>IF(OR($W91="",$X91=""),"",$W91*$X91*10)</f>
        <v/>
      </c>
      <c r="Z91" s="17">
        <f>IFERROR(INDEX('PARAMETROS'!$B$16:$B$19,MATCH($D91,'PARAMETROS'!$A$16:$A$19,0)),"")</f>
        <v/>
      </c>
      <c r="AA91" s="16">
        <f>IF(OR($Y91="",$Z91=""),"",$Y91*$Z91)</f>
        <v/>
      </c>
      <c r="AB91" s="18">
        <f>IF($R91="PENDENTE","Definir classe/Kc",IF($W91="","-",IF($W91&gt;0,"Irrigar","Nao irrigar")))</f>
        <v/>
      </c>
      <c r="AC91" s="18">
        <f>IF(OR($W91="",$W91=0),"-",IF($W91&gt;=META_SEM,"Alta",IF($W91&gt;=META_SEM*FRAC_ACOMP,"Media","Baixa")))</f>
        <v/>
      </c>
      <c r="AD91" s="19" t="inlineStr"/>
    </row>
    <row r="92">
      <c r="A92" s="5" t="inlineStr">
        <is>
          <t>124</t>
        </is>
      </c>
      <c r="B92" s="5" t="inlineStr">
        <is>
          <t>RDM</t>
        </is>
      </c>
      <c r="C92" s="5" t="inlineStr">
        <is>
          <t>Módulo 02</t>
        </is>
      </c>
      <c r="D92" s="5" t="inlineStr">
        <is>
          <t>RDM2</t>
        </is>
      </c>
      <c r="E92" s="5" t="inlineStr">
        <is>
          <t>TABACO</t>
        </is>
      </c>
      <c r="F92" s="6" t="inlineStr"/>
      <c r="G92" s="7" t="inlineStr"/>
      <c r="H92" s="8" t="n">
        <v>46037</v>
      </c>
      <c r="I92" s="9">
        <f>IF($H92="","",DATA_REF-$H92)</f>
        <v/>
      </c>
      <c r="J92" s="9">
        <f>IF($I92="","",MAX(0,$I92-'PARAMETROS'!$B$12))</f>
        <v/>
      </c>
      <c r="K92" s="10">
        <f>IFERROR(INDEX(KC_CURVAS!$C$5:$C$15,MATCH($E92&amp;"|"&amp;$G92,KC_CURVAS!$K$5:$K$15,0)),IFERROR(INDEX(KC_CURVAS!$C$5:$C$15,MATCH($E92&amp;"|",KC_CURVAS!$K$5:$K$15,0)),""))</f>
        <v/>
      </c>
      <c r="L92" s="10">
        <f>IFERROR(INDEX(KC_CURVAS!$D$5:$D$15,MATCH($E92&amp;"|"&amp;$G92,KC_CURVAS!$K$5:$K$15,0)),IFERROR(INDEX(KC_CURVAS!$D$5:$D$15,MATCH($E92&amp;"|",KC_CURVAS!$K$5:$K$15,0)),""))</f>
        <v/>
      </c>
      <c r="M92" s="10">
        <f>IFERROR(INDEX(KC_CURVAS!$E$5:$E$15,MATCH($E92&amp;"|"&amp;$G92,KC_CURVAS!$K$5:$K$15,0)),IFERROR(INDEX(KC_CURVAS!$E$5:$E$15,MATCH($E92&amp;"|",KC_CURVAS!$K$5:$K$15,0)),""))</f>
        <v/>
      </c>
      <c r="N92" s="10">
        <f>IFERROR(INDEX(KC_CURVAS!$F$5:$F$15,MATCH($E92&amp;"|"&amp;$G92,KC_CURVAS!$K$5:$K$15,0)),IFERROR(INDEX(KC_CURVAS!$F$5:$F$15,MATCH($E92&amp;"|",KC_CURVAS!$K$5:$K$15,0)),""))</f>
        <v/>
      </c>
      <c r="O92" s="11">
        <f>IFERROR(INDEX(KC_CURVAS!$G$5:$G$15,MATCH($E92&amp;"|"&amp;$G92,KC_CURVAS!$K$5:$K$15,0)),IFERROR(INDEX(KC_CURVAS!$G$5:$G$15,MATCH($E92&amp;"|",KC_CURVAS!$K$5:$K$15,0)),""))</f>
        <v/>
      </c>
      <c r="P92" s="11">
        <f>IFERROR(INDEX(KC_CURVAS!$H$5:$H$15,MATCH($E92&amp;"|"&amp;$G92,KC_CURVAS!$K$5:$K$15,0)),IFERROR(INDEX(KC_CURVAS!$H$5:$H$15,MATCH($E92&amp;"|",KC_CURVAS!$K$5:$K$15,0)),""))</f>
        <v/>
      </c>
      <c r="Q92" s="11">
        <f>IFERROR(INDEX(KC_CURVAS!$I$5:$I$15,MATCH($E92&amp;"|"&amp;$G92,KC_CURVAS!$K$5:$K$15,0)),IFERROR(INDEX(KC_CURVAS!$I$5:$I$15,MATCH($E92&amp;"|",KC_CURVAS!$K$5:$K$15,0)),""))</f>
        <v/>
      </c>
      <c r="R92" s="12">
        <f>IF(OR($J92="",$K92=""),"PENDENTE",IF($J92&lt;=$K92,$O92,IF($J92&lt;=$K92+$L92,$O92+($P92-$O92)*($J92-$K92)/$L92,IF($J92&lt;=$K92+$L92+$M92,$P92,IF($J92&lt;=$K92+$L92+$M92+$N92,$P92+($Q92-$P92)*($J92-($K92+$L92+$M92))/$N92,$Q92)))))</f>
        <v/>
      </c>
      <c r="S92" s="13">
        <f>ETO_SEM</f>
        <v/>
      </c>
      <c r="T92" s="14">
        <f>IF(OR($R92="",$R92="PENDENTE"),"",$R92*$S92)</f>
        <v/>
      </c>
      <c r="U92" s="13" t="n">
        <v>0</v>
      </c>
      <c r="V92" s="14">
        <f>IF($T92="","",MAX(0,$T92-N($U92)))</f>
        <v/>
      </c>
      <c r="W92" s="14">
        <f>IF($V92="","",$V92/EF_APLIC)</f>
        <v/>
      </c>
      <c r="X92" s="15" t="n">
        <v>150.14</v>
      </c>
      <c r="Y92" s="16">
        <f>IF(OR($W92="",$X92=""),"",$W92*$X92*10)</f>
        <v/>
      </c>
      <c r="Z92" s="17">
        <f>IFERROR(INDEX('PARAMETROS'!$B$16:$B$19,MATCH($D92,'PARAMETROS'!$A$16:$A$19,0)),"")</f>
        <v/>
      </c>
      <c r="AA92" s="16">
        <f>IF(OR($Y92="",$Z92=""),"",$Y92*$Z92)</f>
        <v/>
      </c>
      <c r="AB92" s="18">
        <f>IF($R92="PENDENTE","Definir classe/Kc",IF($W92="","-",IF($W92&gt;0,"Irrigar","Nao irrigar")))</f>
        <v/>
      </c>
      <c r="AC92" s="18">
        <f>IF(OR($W92="",$W92=0),"-",IF($W92&gt;=META_SEM,"Alta",IF($W92&gt;=META_SEM*FRAC_ACOMP,"Media","Baixa")))</f>
        <v/>
      </c>
      <c r="AD92" s="19" t="inlineStr"/>
    </row>
    <row r="93">
      <c r="A93" s="5" t="inlineStr">
        <is>
          <t>126</t>
        </is>
      </c>
      <c r="B93" s="5" t="inlineStr">
        <is>
          <t>RDM</t>
        </is>
      </c>
      <c r="C93" s="5" t="inlineStr">
        <is>
          <t>Módulo 02</t>
        </is>
      </c>
      <c r="D93" s="5" t="inlineStr">
        <is>
          <t>RDM2</t>
        </is>
      </c>
      <c r="E93" s="5" t="inlineStr">
        <is>
          <t>TABACO</t>
        </is>
      </c>
      <c r="F93" s="6" t="inlineStr"/>
      <c r="G93" s="7" t="inlineStr"/>
      <c r="H93" s="8" t="n">
        <v>46003</v>
      </c>
      <c r="I93" s="9">
        <f>IF($H93="","",DATA_REF-$H93)</f>
        <v/>
      </c>
      <c r="J93" s="9">
        <f>IF($I93="","",MAX(0,$I93-'PARAMETROS'!$B$12))</f>
        <v/>
      </c>
      <c r="K93" s="10">
        <f>IFERROR(INDEX(KC_CURVAS!$C$5:$C$15,MATCH($E93&amp;"|"&amp;$G93,KC_CURVAS!$K$5:$K$15,0)),IFERROR(INDEX(KC_CURVAS!$C$5:$C$15,MATCH($E93&amp;"|",KC_CURVAS!$K$5:$K$15,0)),""))</f>
        <v/>
      </c>
      <c r="L93" s="10">
        <f>IFERROR(INDEX(KC_CURVAS!$D$5:$D$15,MATCH($E93&amp;"|"&amp;$G93,KC_CURVAS!$K$5:$K$15,0)),IFERROR(INDEX(KC_CURVAS!$D$5:$D$15,MATCH($E93&amp;"|",KC_CURVAS!$K$5:$K$15,0)),""))</f>
        <v/>
      </c>
      <c r="M93" s="10">
        <f>IFERROR(INDEX(KC_CURVAS!$E$5:$E$15,MATCH($E93&amp;"|"&amp;$G93,KC_CURVAS!$K$5:$K$15,0)),IFERROR(INDEX(KC_CURVAS!$E$5:$E$15,MATCH($E93&amp;"|",KC_CURVAS!$K$5:$K$15,0)),""))</f>
        <v/>
      </c>
      <c r="N93" s="10">
        <f>IFERROR(INDEX(KC_CURVAS!$F$5:$F$15,MATCH($E93&amp;"|"&amp;$G93,KC_CURVAS!$K$5:$K$15,0)),IFERROR(INDEX(KC_CURVAS!$F$5:$F$15,MATCH($E93&amp;"|",KC_CURVAS!$K$5:$K$15,0)),""))</f>
        <v/>
      </c>
      <c r="O93" s="11">
        <f>IFERROR(INDEX(KC_CURVAS!$G$5:$G$15,MATCH($E93&amp;"|"&amp;$G93,KC_CURVAS!$K$5:$K$15,0)),IFERROR(INDEX(KC_CURVAS!$G$5:$G$15,MATCH($E93&amp;"|",KC_CURVAS!$K$5:$K$15,0)),""))</f>
        <v/>
      </c>
      <c r="P93" s="11">
        <f>IFERROR(INDEX(KC_CURVAS!$H$5:$H$15,MATCH($E93&amp;"|"&amp;$G93,KC_CURVAS!$K$5:$K$15,0)),IFERROR(INDEX(KC_CURVAS!$H$5:$H$15,MATCH($E93&amp;"|",KC_CURVAS!$K$5:$K$15,0)),""))</f>
        <v/>
      </c>
      <c r="Q93" s="11">
        <f>IFERROR(INDEX(KC_CURVAS!$I$5:$I$15,MATCH($E93&amp;"|"&amp;$G93,KC_CURVAS!$K$5:$K$15,0)),IFERROR(INDEX(KC_CURVAS!$I$5:$I$15,MATCH($E93&amp;"|",KC_CURVAS!$K$5:$K$15,0)),""))</f>
        <v/>
      </c>
      <c r="R93" s="12">
        <f>IF(OR($J93="",$K93=""),"PENDENTE",IF($J93&lt;=$K93,$O93,IF($J93&lt;=$K93+$L93,$O93+($P93-$O93)*($J93-$K93)/$L93,IF($J93&lt;=$K93+$L93+$M93,$P93,IF($J93&lt;=$K93+$L93+$M93+$N93,$P93+($Q93-$P93)*($J93-($K93+$L93+$M93))/$N93,$Q93)))))</f>
        <v/>
      </c>
      <c r="S93" s="13">
        <f>ETO_SEM</f>
        <v/>
      </c>
      <c r="T93" s="14">
        <f>IF(OR($R93="",$R93="PENDENTE"),"",$R93*$S93)</f>
        <v/>
      </c>
      <c r="U93" s="13" t="n">
        <v>0</v>
      </c>
      <c r="V93" s="14">
        <f>IF($T93="","",MAX(0,$T93-N($U93)))</f>
        <v/>
      </c>
      <c r="W93" s="14">
        <f>IF($V93="","",$V93/EF_APLIC)</f>
        <v/>
      </c>
      <c r="X93" s="15" t="n">
        <v>140.57</v>
      </c>
      <c r="Y93" s="16">
        <f>IF(OR($W93="",$X93=""),"",$W93*$X93*10)</f>
        <v/>
      </c>
      <c r="Z93" s="17">
        <f>IFERROR(INDEX('PARAMETROS'!$B$16:$B$19,MATCH($D93,'PARAMETROS'!$A$16:$A$19,0)),"")</f>
        <v/>
      </c>
      <c r="AA93" s="16">
        <f>IF(OR($Y93="",$Z93=""),"",$Y93*$Z93)</f>
        <v/>
      </c>
      <c r="AB93" s="18">
        <f>IF($R93="PENDENTE","Definir classe/Kc",IF($W93="","-",IF($W93&gt;0,"Irrigar","Nao irrigar")))</f>
        <v/>
      </c>
      <c r="AC93" s="18">
        <f>IF(OR($W93="",$W93=0),"-",IF($W93&gt;=META_SEM,"Alta",IF($W93&gt;=META_SEM*FRAC_ACOMP,"Media","Baixa")))</f>
        <v/>
      </c>
      <c r="AD93" s="19" t="inlineStr"/>
    </row>
    <row r="94">
      <c r="A94" s="5" t="inlineStr">
        <is>
          <t>T66</t>
        </is>
      </c>
      <c r="B94" s="5" t="inlineStr">
        <is>
          <t>KARITEL</t>
        </is>
      </c>
      <c r="C94" s="5" t="inlineStr"/>
      <c r="D94" s="5" t="inlineStr">
        <is>
          <t>KM2</t>
        </is>
      </c>
      <c r="E94" s="5" t="inlineStr">
        <is>
          <t>SOJA</t>
        </is>
      </c>
      <c r="F94" s="6" t="inlineStr">
        <is>
          <t>NEO 761 I2X</t>
        </is>
      </c>
      <c r="G94" s="7" t="inlineStr">
        <is>
          <t>PRECOCE</t>
        </is>
      </c>
      <c r="H94" s="8" t="n">
        <v>46286</v>
      </c>
      <c r="I94" s="9">
        <f>IF($H94="","",DATA_REF-$H94)</f>
        <v/>
      </c>
      <c r="J94" s="9">
        <f>IF($I94="","",MAX(0,$I94-'PARAMETROS'!$B$12))</f>
        <v/>
      </c>
      <c r="K94" s="10">
        <f>IFERROR(INDEX(KC_CURVAS!$C$5:$C$15,MATCH($E94&amp;"|"&amp;$G94,KC_CURVAS!$K$5:$K$15,0)),IFERROR(INDEX(KC_CURVAS!$C$5:$C$15,MATCH($E94&amp;"|",KC_CURVAS!$K$5:$K$15,0)),""))</f>
        <v/>
      </c>
      <c r="L94" s="10">
        <f>IFERROR(INDEX(KC_CURVAS!$D$5:$D$15,MATCH($E94&amp;"|"&amp;$G94,KC_CURVAS!$K$5:$K$15,0)),IFERROR(INDEX(KC_CURVAS!$D$5:$D$15,MATCH($E94&amp;"|",KC_CURVAS!$K$5:$K$15,0)),""))</f>
        <v/>
      </c>
      <c r="M94" s="10">
        <f>IFERROR(INDEX(KC_CURVAS!$E$5:$E$15,MATCH($E94&amp;"|"&amp;$G94,KC_CURVAS!$K$5:$K$15,0)),IFERROR(INDEX(KC_CURVAS!$E$5:$E$15,MATCH($E94&amp;"|",KC_CURVAS!$K$5:$K$15,0)),""))</f>
        <v/>
      </c>
      <c r="N94" s="10">
        <f>IFERROR(INDEX(KC_CURVAS!$F$5:$F$15,MATCH($E94&amp;"|"&amp;$G94,KC_CURVAS!$K$5:$K$15,0)),IFERROR(INDEX(KC_CURVAS!$F$5:$F$15,MATCH($E94&amp;"|",KC_CURVAS!$K$5:$K$15,0)),""))</f>
        <v/>
      </c>
      <c r="O94" s="11">
        <f>IFERROR(INDEX(KC_CURVAS!$G$5:$G$15,MATCH($E94&amp;"|"&amp;$G94,KC_CURVAS!$K$5:$K$15,0)),IFERROR(INDEX(KC_CURVAS!$G$5:$G$15,MATCH($E94&amp;"|",KC_CURVAS!$K$5:$K$15,0)),""))</f>
        <v/>
      </c>
      <c r="P94" s="11">
        <f>IFERROR(INDEX(KC_CURVAS!$H$5:$H$15,MATCH($E94&amp;"|"&amp;$G94,KC_CURVAS!$K$5:$K$15,0)),IFERROR(INDEX(KC_CURVAS!$H$5:$H$15,MATCH($E94&amp;"|",KC_CURVAS!$K$5:$K$15,0)),""))</f>
        <v/>
      </c>
      <c r="Q94" s="11">
        <f>IFERROR(INDEX(KC_CURVAS!$I$5:$I$15,MATCH($E94&amp;"|"&amp;$G94,KC_CURVAS!$K$5:$K$15,0)),IFERROR(INDEX(KC_CURVAS!$I$5:$I$15,MATCH($E94&amp;"|",KC_CURVAS!$K$5:$K$15,0)),""))</f>
        <v/>
      </c>
      <c r="R94" s="12">
        <f>IF(OR($J94="",$K94=""),"PENDENTE",IF($J94&lt;=$K94,$O94,IF($J94&lt;=$K94+$L94,$O94+($P94-$O94)*($J94-$K94)/$L94,IF($J94&lt;=$K94+$L94+$M94,$P94,IF($J94&lt;=$K94+$L94+$M94+$N94,$P94+($Q94-$P94)*($J94-($K94+$L94+$M94))/$N94,$Q94)))))</f>
        <v/>
      </c>
      <c r="S94" s="13">
        <f>ETO_SEM</f>
        <v/>
      </c>
      <c r="T94" s="14">
        <f>IF(OR($R94="",$R94="PENDENTE"),"",$R94*$S94)</f>
        <v/>
      </c>
      <c r="U94" s="13" t="n">
        <v>0</v>
      </c>
      <c r="V94" s="14">
        <f>IF($T94="","",MAX(0,$T94-N($U94)))</f>
        <v/>
      </c>
      <c r="W94" s="14">
        <f>IF($V94="","",$V94/EF_APLIC)</f>
        <v/>
      </c>
      <c r="X94" s="15" t="n">
        <v>100</v>
      </c>
      <c r="Y94" s="16">
        <f>IF(OR($W94="",$X94=""),"",$W94*$X94*10)</f>
        <v/>
      </c>
      <c r="Z94" s="17">
        <f>IFERROR(INDEX('PARAMETROS'!$B$16:$B$19,MATCH($D94,'PARAMETROS'!$A$16:$A$19,0)),"")</f>
        <v/>
      </c>
      <c r="AA94" s="16">
        <f>IF(OR($Y94="",$Z94=""),"",$Y94*$Z94)</f>
        <v/>
      </c>
      <c r="AB94" s="18">
        <f>IF($R94="PENDENTE","Definir classe/Kc",IF($W94="","-",IF($W94&gt;0,"Irrigar","Nao irrigar")))</f>
        <v/>
      </c>
      <c r="AC94" s="18">
        <f>IF(OR($W94="",$W94=0),"-",IF($W94&gt;=META_SEM,"Alta",IF($W94&gt;=META_SEM*FRAC_ACOMP,"Media","Baixa")))</f>
        <v/>
      </c>
      <c r="AD94" s="19" t="inlineStr"/>
    </row>
    <row r="95">
      <c r="A95" s="5" t="inlineStr">
        <is>
          <t>T67</t>
        </is>
      </c>
      <c r="B95" s="5" t="inlineStr">
        <is>
          <t>KARITEL</t>
        </is>
      </c>
      <c r="C95" s="5" t="inlineStr"/>
      <c r="D95" s="5" t="inlineStr">
        <is>
          <t>KM2</t>
        </is>
      </c>
      <c r="E95" s="5" t="inlineStr">
        <is>
          <t>SOJA</t>
        </is>
      </c>
      <c r="F95" s="6" t="inlineStr">
        <is>
          <t>NEO 761 I2X</t>
        </is>
      </c>
      <c r="G95" s="7" t="inlineStr">
        <is>
          <t>PRECOCE</t>
        </is>
      </c>
      <c r="H95" s="8" t="n">
        <v>46286</v>
      </c>
      <c r="I95" s="9">
        <f>IF($H95="","",DATA_REF-$H95)</f>
        <v/>
      </c>
      <c r="J95" s="9">
        <f>IF($I95="","",MAX(0,$I95-'PARAMETROS'!$B$12))</f>
        <v/>
      </c>
      <c r="K95" s="10">
        <f>IFERROR(INDEX(KC_CURVAS!$C$5:$C$15,MATCH($E95&amp;"|"&amp;$G95,KC_CURVAS!$K$5:$K$15,0)),IFERROR(INDEX(KC_CURVAS!$C$5:$C$15,MATCH($E95&amp;"|",KC_CURVAS!$K$5:$K$15,0)),""))</f>
        <v/>
      </c>
      <c r="L95" s="10">
        <f>IFERROR(INDEX(KC_CURVAS!$D$5:$D$15,MATCH($E95&amp;"|"&amp;$G95,KC_CURVAS!$K$5:$K$15,0)),IFERROR(INDEX(KC_CURVAS!$D$5:$D$15,MATCH($E95&amp;"|",KC_CURVAS!$K$5:$K$15,0)),""))</f>
        <v/>
      </c>
      <c r="M95" s="10">
        <f>IFERROR(INDEX(KC_CURVAS!$E$5:$E$15,MATCH($E95&amp;"|"&amp;$G95,KC_CURVAS!$K$5:$K$15,0)),IFERROR(INDEX(KC_CURVAS!$E$5:$E$15,MATCH($E95&amp;"|",KC_CURVAS!$K$5:$K$15,0)),""))</f>
        <v/>
      </c>
      <c r="N95" s="10">
        <f>IFERROR(INDEX(KC_CURVAS!$F$5:$F$15,MATCH($E95&amp;"|"&amp;$G95,KC_CURVAS!$K$5:$K$15,0)),IFERROR(INDEX(KC_CURVAS!$F$5:$F$15,MATCH($E95&amp;"|",KC_CURVAS!$K$5:$K$15,0)),""))</f>
        <v/>
      </c>
      <c r="O95" s="11">
        <f>IFERROR(INDEX(KC_CURVAS!$G$5:$G$15,MATCH($E95&amp;"|"&amp;$G95,KC_CURVAS!$K$5:$K$15,0)),IFERROR(INDEX(KC_CURVAS!$G$5:$G$15,MATCH($E95&amp;"|",KC_CURVAS!$K$5:$K$15,0)),""))</f>
        <v/>
      </c>
      <c r="P95" s="11">
        <f>IFERROR(INDEX(KC_CURVAS!$H$5:$H$15,MATCH($E95&amp;"|"&amp;$G95,KC_CURVAS!$K$5:$K$15,0)),IFERROR(INDEX(KC_CURVAS!$H$5:$H$15,MATCH($E95&amp;"|",KC_CURVAS!$K$5:$K$15,0)),""))</f>
        <v/>
      </c>
      <c r="Q95" s="11">
        <f>IFERROR(INDEX(KC_CURVAS!$I$5:$I$15,MATCH($E95&amp;"|"&amp;$G95,KC_CURVAS!$K$5:$K$15,0)),IFERROR(INDEX(KC_CURVAS!$I$5:$I$15,MATCH($E95&amp;"|",KC_CURVAS!$K$5:$K$15,0)),""))</f>
        <v/>
      </c>
      <c r="R95" s="12">
        <f>IF(OR($J95="",$K95=""),"PENDENTE",IF($J95&lt;=$K95,$O95,IF($J95&lt;=$K95+$L95,$O95+($P95-$O95)*($J95-$K95)/$L95,IF($J95&lt;=$K95+$L95+$M95,$P95,IF($J95&lt;=$K95+$L95+$M95+$N95,$P95+($Q95-$P95)*($J95-($K95+$L95+$M95))/$N95,$Q95)))))</f>
        <v/>
      </c>
      <c r="S95" s="13">
        <f>ETO_SEM</f>
        <v/>
      </c>
      <c r="T95" s="14">
        <f>IF(OR($R95="",$R95="PENDENTE"),"",$R95*$S95)</f>
        <v/>
      </c>
      <c r="U95" s="13" t="n">
        <v>0</v>
      </c>
      <c r="V95" s="14">
        <f>IF($T95="","",MAX(0,$T95-N($U95)))</f>
        <v/>
      </c>
      <c r="W95" s="14">
        <f>IF($V95="","",$V95/EF_APLIC)</f>
        <v/>
      </c>
      <c r="X95" s="15" t="n">
        <v>80</v>
      </c>
      <c r="Y95" s="16">
        <f>IF(OR($W95="",$X95=""),"",$W95*$X95*10)</f>
        <v/>
      </c>
      <c r="Z95" s="17">
        <f>IFERROR(INDEX('PARAMETROS'!$B$16:$B$19,MATCH($D95,'PARAMETROS'!$A$16:$A$19,0)),"")</f>
        <v/>
      </c>
      <c r="AA95" s="16">
        <f>IF(OR($Y95="",$Z95=""),"",$Y95*$Z95)</f>
        <v/>
      </c>
      <c r="AB95" s="18">
        <f>IF($R95="PENDENTE","Definir classe/Kc",IF($W95="","-",IF($W95&gt;0,"Irrigar","Nao irrigar")))</f>
        <v/>
      </c>
      <c r="AC95" s="18">
        <f>IF(OR($W95="",$W95=0),"-",IF($W95&gt;=META_SEM,"Alta",IF($W95&gt;=META_SEM*FRAC_ACOMP,"Media","Baixa")))</f>
        <v/>
      </c>
      <c r="AD95" s="19" t="inlineStr"/>
    </row>
    <row r="96">
      <c r="A96" s="5" t="inlineStr">
        <is>
          <t>T6</t>
        </is>
      </c>
      <c r="B96" s="5" t="inlineStr">
        <is>
          <t>KARITEL</t>
        </is>
      </c>
      <c r="C96" s="5" t="inlineStr"/>
      <c r="D96" s="5" t="inlineStr">
        <is>
          <t>KM1</t>
        </is>
      </c>
      <c r="E96" s="5" t="inlineStr">
        <is>
          <t>SOJA</t>
        </is>
      </c>
      <c r="F96" s="6" t="inlineStr">
        <is>
          <t>COMBATE IPRO</t>
        </is>
      </c>
      <c r="G96" s="7" t="inlineStr">
        <is>
          <t>PRECOCE</t>
        </is>
      </c>
      <c r="H96" s="8" t="n">
        <v>46289</v>
      </c>
      <c r="I96" s="9">
        <f>IF($H96="","",DATA_REF-$H96)</f>
        <v/>
      </c>
      <c r="J96" s="9">
        <f>IF($I96="","",MAX(0,$I96-'PARAMETROS'!$B$12))</f>
        <v/>
      </c>
      <c r="K96" s="10">
        <f>IFERROR(INDEX(KC_CURVAS!$C$5:$C$15,MATCH($E96&amp;"|"&amp;$G96,KC_CURVAS!$K$5:$K$15,0)),IFERROR(INDEX(KC_CURVAS!$C$5:$C$15,MATCH($E96&amp;"|",KC_CURVAS!$K$5:$K$15,0)),""))</f>
        <v/>
      </c>
      <c r="L96" s="10">
        <f>IFERROR(INDEX(KC_CURVAS!$D$5:$D$15,MATCH($E96&amp;"|"&amp;$G96,KC_CURVAS!$K$5:$K$15,0)),IFERROR(INDEX(KC_CURVAS!$D$5:$D$15,MATCH($E96&amp;"|",KC_CURVAS!$K$5:$K$15,0)),""))</f>
        <v/>
      </c>
      <c r="M96" s="10">
        <f>IFERROR(INDEX(KC_CURVAS!$E$5:$E$15,MATCH($E96&amp;"|"&amp;$G96,KC_CURVAS!$K$5:$K$15,0)),IFERROR(INDEX(KC_CURVAS!$E$5:$E$15,MATCH($E96&amp;"|",KC_CURVAS!$K$5:$K$15,0)),""))</f>
        <v/>
      </c>
      <c r="N96" s="10">
        <f>IFERROR(INDEX(KC_CURVAS!$F$5:$F$15,MATCH($E96&amp;"|"&amp;$G96,KC_CURVAS!$K$5:$K$15,0)),IFERROR(INDEX(KC_CURVAS!$F$5:$F$15,MATCH($E96&amp;"|",KC_CURVAS!$K$5:$K$15,0)),""))</f>
        <v/>
      </c>
      <c r="O96" s="11">
        <f>IFERROR(INDEX(KC_CURVAS!$G$5:$G$15,MATCH($E96&amp;"|"&amp;$G96,KC_CURVAS!$K$5:$K$15,0)),IFERROR(INDEX(KC_CURVAS!$G$5:$G$15,MATCH($E96&amp;"|",KC_CURVAS!$K$5:$K$15,0)),""))</f>
        <v/>
      </c>
      <c r="P96" s="11">
        <f>IFERROR(INDEX(KC_CURVAS!$H$5:$H$15,MATCH($E96&amp;"|"&amp;$G96,KC_CURVAS!$K$5:$K$15,0)),IFERROR(INDEX(KC_CURVAS!$H$5:$H$15,MATCH($E96&amp;"|",KC_CURVAS!$K$5:$K$15,0)),""))</f>
        <v/>
      </c>
      <c r="Q96" s="11">
        <f>IFERROR(INDEX(KC_CURVAS!$I$5:$I$15,MATCH($E96&amp;"|"&amp;$G96,KC_CURVAS!$K$5:$K$15,0)),IFERROR(INDEX(KC_CURVAS!$I$5:$I$15,MATCH($E96&amp;"|",KC_CURVAS!$K$5:$K$15,0)),""))</f>
        <v/>
      </c>
      <c r="R96" s="12">
        <f>IF(OR($J96="",$K96=""),"PENDENTE",IF($J96&lt;=$K96,$O96,IF($J96&lt;=$K96+$L96,$O96+($P96-$O96)*($J96-$K96)/$L96,IF($J96&lt;=$K96+$L96+$M96,$P96,IF($J96&lt;=$K96+$L96+$M96+$N96,$P96+($Q96-$P96)*($J96-($K96+$L96+$M96))/$N96,$Q96)))))</f>
        <v/>
      </c>
      <c r="S96" s="13">
        <f>ETO_SEM</f>
        <v/>
      </c>
      <c r="T96" s="14">
        <f>IF(OR($R96="",$R96="PENDENTE"),"",$R96*$S96)</f>
        <v/>
      </c>
      <c r="U96" s="13" t="n">
        <v>0</v>
      </c>
      <c r="V96" s="14">
        <f>IF($T96="","",MAX(0,$T96-N($U96)))</f>
        <v/>
      </c>
      <c r="W96" s="14">
        <f>IF($V96="","",$V96/EF_APLIC)</f>
        <v/>
      </c>
      <c r="X96" s="15" t="n">
        <v>150</v>
      </c>
      <c r="Y96" s="16">
        <f>IF(OR($W96="",$X96=""),"",$W96*$X96*10)</f>
        <v/>
      </c>
      <c r="Z96" s="17">
        <f>IFERROR(INDEX('PARAMETROS'!$B$16:$B$19,MATCH($D96,'PARAMETROS'!$A$16:$A$19,0)),"")</f>
        <v/>
      </c>
      <c r="AA96" s="16">
        <f>IF(OR($Y96="",$Z96=""),"",$Y96*$Z96)</f>
        <v/>
      </c>
      <c r="AB96" s="18">
        <f>IF($R96="PENDENTE","Definir classe/Kc",IF($W96="","-",IF($W96&gt;0,"Irrigar","Nao irrigar")))</f>
        <v/>
      </c>
      <c r="AC96" s="18">
        <f>IF(OR($W96="",$W96=0),"-",IF($W96&gt;=META_SEM,"Alta",IF($W96&gt;=META_SEM*FRAC_ACOMP,"Media","Baixa")))</f>
        <v/>
      </c>
      <c r="AD96" s="19" t="inlineStr"/>
    </row>
    <row r="97">
      <c r="A97" s="5" t="inlineStr">
        <is>
          <t>T5</t>
        </is>
      </c>
      <c r="B97" s="5" t="inlineStr">
        <is>
          <t>KARITEL</t>
        </is>
      </c>
      <c r="C97" s="5" t="inlineStr"/>
      <c r="D97" s="5" t="inlineStr">
        <is>
          <t>KM1</t>
        </is>
      </c>
      <c r="E97" s="5" t="inlineStr">
        <is>
          <t>SOJA</t>
        </is>
      </c>
      <c r="F97" s="6" t="inlineStr">
        <is>
          <t>COMBATE IPRO</t>
        </is>
      </c>
      <c r="G97" s="7" t="inlineStr">
        <is>
          <t>PRECOCE</t>
        </is>
      </c>
      <c r="H97" s="8" t="n">
        <v>46289</v>
      </c>
      <c r="I97" s="9">
        <f>IF($H97="","",DATA_REF-$H97)</f>
        <v/>
      </c>
      <c r="J97" s="9">
        <f>IF($I97="","",MAX(0,$I97-'PARAMETROS'!$B$12))</f>
        <v/>
      </c>
      <c r="K97" s="10">
        <f>IFERROR(INDEX(KC_CURVAS!$C$5:$C$15,MATCH($E97&amp;"|"&amp;$G97,KC_CURVAS!$K$5:$K$15,0)),IFERROR(INDEX(KC_CURVAS!$C$5:$C$15,MATCH($E97&amp;"|",KC_CURVAS!$K$5:$K$15,0)),""))</f>
        <v/>
      </c>
      <c r="L97" s="10">
        <f>IFERROR(INDEX(KC_CURVAS!$D$5:$D$15,MATCH($E97&amp;"|"&amp;$G97,KC_CURVAS!$K$5:$K$15,0)),IFERROR(INDEX(KC_CURVAS!$D$5:$D$15,MATCH($E97&amp;"|",KC_CURVAS!$K$5:$K$15,0)),""))</f>
        <v/>
      </c>
      <c r="M97" s="10">
        <f>IFERROR(INDEX(KC_CURVAS!$E$5:$E$15,MATCH($E97&amp;"|"&amp;$G97,KC_CURVAS!$K$5:$K$15,0)),IFERROR(INDEX(KC_CURVAS!$E$5:$E$15,MATCH($E97&amp;"|",KC_CURVAS!$K$5:$K$15,0)),""))</f>
        <v/>
      </c>
      <c r="N97" s="10">
        <f>IFERROR(INDEX(KC_CURVAS!$F$5:$F$15,MATCH($E97&amp;"|"&amp;$G97,KC_CURVAS!$K$5:$K$15,0)),IFERROR(INDEX(KC_CURVAS!$F$5:$F$15,MATCH($E97&amp;"|",KC_CURVAS!$K$5:$K$15,0)),""))</f>
        <v/>
      </c>
      <c r="O97" s="11">
        <f>IFERROR(INDEX(KC_CURVAS!$G$5:$G$15,MATCH($E97&amp;"|"&amp;$G97,KC_CURVAS!$K$5:$K$15,0)),IFERROR(INDEX(KC_CURVAS!$G$5:$G$15,MATCH($E97&amp;"|",KC_CURVAS!$K$5:$K$15,0)),""))</f>
        <v/>
      </c>
      <c r="P97" s="11">
        <f>IFERROR(INDEX(KC_CURVAS!$H$5:$H$15,MATCH($E97&amp;"|"&amp;$G97,KC_CURVAS!$K$5:$K$15,0)),IFERROR(INDEX(KC_CURVAS!$H$5:$H$15,MATCH($E97&amp;"|",KC_CURVAS!$K$5:$K$15,0)),""))</f>
        <v/>
      </c>
      <c r="Q97" s="11">
        <f>IFERROR(INDEX(KC_CURVAS!$I$5:$I$15,MATCH($E97&amp;"|"&amp;$G97,KC_CURVAS!$K$5:$K$15,0)),IFERROR(INDEX(KC_CURVAS!$I$5:$I$15,MATCH($E97&amp;"|",KC_CURVAS!$K$5:$K$15,0)),""))</f>
        <v/>
      </c>
      <c r="R97" s="12">
        <f>IF(OR($J97="",$K97=""),"PENDENTE",IF($J97&lt;=$K97,$O97,IF($J97&lt;=$K97+$L97,$O97+($P97-$O97)*($J97-$K97)/$L97,IF($J97&lt;=$K97+$L97+$M97,$P97,IF($J97&lt;=$K97+$L97+$M97+$N97,$P97+($Q97-$P97)*($J97-($K97+$L97+$M97))/$N97,$Q97)))))</f>
        <v/>
      </c>
      <c r="S97" s="13">
        <f>ETO_SEM</f>
        <v/>
      </c>
      <c r="T97" s="14">
        <f>IF(OR($R97="",$R97="PENDENTE"),"",$R97*$S97)</f>
        <v/>
      </c>
      <c r="U97" s="13" t="n">
        <v>0</v>
      </c>
      <c r="V97" s="14">
        <f>IF($T97="","",MAX(0,$T97-N($U97)))</f>
        <v/>
      </c>
      <c r="W97" s="14">
        <f>IF($V97="","",$V97/EF_APLIC)</f>
        <v/>
      </c>
      <c r="X97" s="15" t="n">
        <v>150</v>
      </c>
      <c r="Y97" s="16">
        <f>IF(OR($W97="",$X97=""),"",$W97*$X97*10)</f>
        <v/>
      </c>
      <c r="Z97" s="17">
        <f>IFERROR(INDEX('PARAMETROS'!$B$16:$B$19,MATCH($D97,'PARAMETROS'!$A$16:$A$19,0)),"")</f>
        <v/>
      </c>
      <c r="AA97" s="16">
        <f>IF(OR($Y97="",$Z97=""),"",$Y97*$Z97)</f>
        <v/>
      </c>
      <c r="AB97" s="18">
        <f>IF($R97="PENDENTE","Definir classe/Kc",IF($W97="","-",IF($W97&gt;0,"Irrigar","Nao irrigar")))</f>
        <v/>
      </c>
      <c r="AC97" s="18">
        <f>IF(OR($W97="",$W97=0),"-",IF($W97&gt;=META_SEM,"Alta",IF($W97&gt;=META_SEM*FRAC_ACOMP,"Media","Baixa")))</f>
        <v/>
      </c>
      <c r="AD97" s="19" t="inlineStr"/>
    </row>
    <row r="98">
      <c r="A98" s="5" t="inlineStr">
        <is>
          <t>T2</t>
        </is>
      </c>
      <c r="B98" s="5" t="inlineStr">
        <is>
          <t>KARITEL</t>
        </is>
      </c>
      <c r="C98" s="5" t="inlineStr"/>
      <c r="D98" s="5" t="inlineStr">
        <is>
          <t>KM1</t>
        </is>
      </c>
      <c r="E98" s="5" t="inlineStr">
        <is>
          <t>SOJA</t>
        </is>
      </c>
      <c r="F98" s="6" t="inlineStr">
        <is>
          <t>CZ 37B07 I2X</t>
        </is>
      </c>
      <c r="G98" s="7" t="inlineStr">
        <is>
          <t>PRECOCE</t>
        </is>
      </c>
      <c r="H98" s="8" t="n">
        <v>46287</v>
      </c>
      <c r="I98" s="9">
        <f>IF($H98="","",DATA_REF-$H98)</f>
        <v/>
      </c>
      <c r="J98" s="9">
        <f>IF($I98="","",MAX(0,$I98-'PARAMETROS'!$B$12))</f>
        <v/>
      </c>
      <c r="K98" s="10">
        <f>IFERROR(INDEX(KC_CURVAS!$C$5:$C$15,MATCH($E98&amp;"|"&amp;$G98,KC_CURVAS!$K$5:$K$15,0)),IFERROR(INDEX(KC_CURVAS!$C$5:$C$15,MATCH($E98&amp;"|",KC_CURVAS!$K$5:$K$15,0)),""))</f>
        <v/>
      </c>
      <c r="L98" s="10">
        <f>IFERROR(INDEX(KC_CURVAS!$D$5:$D$15,MATCH($E98&amp;"|"&amp;$G98,KC_CURVAS!$K$5:$K$15,0)),IFERROR(INDEX(KC_CURVAS!$D$5:$D$15,MATCH($E98&amp;"|",KC_CURVAS!$K$5:$K$15,0)),""))</f>
        <v/>
      </c>
      <c r="M98" s="10">
        <f>IFERROR(INDEX(KC_CURVAS!$E$5:$E$15,MATCH($E98&amp;"|"&amp;$G98,KC_CURVAS!$K$5:$K$15,0)),IFERROR(INDEX(KC_CURVAS!$E$5:$E$15,MATCH($E98&amp;"|",KC_CURVAS!$K$5:$K$15,0)),""))</f>
        <v/>
      </c>
      <c r="N98" s="10">
        <f>IFERROR(INDEX(KC_CURVAS!$F$5:$F$15,MATCH($E98&amp;"|"&amp;$G98,KC_CURVAS!$K$5:$K$15,0)),IFERROR(INDEX(KC_CURVAS!$F$5:$F$15,MATCH($E98&amp;"|",KC_CURVAS!$K$5:$K$15,0)),""))</f>
        <v/>
      </c>
      <c r="O98" s="11">
        <f>IFERROR(INDEX(KC_CURVAS!$G$5:$G$15,MATCH($E98&amp;"|"&amp;$G98,KC_CURVAS!$K$5:$K$15,0)),IFERROR(INDEX(KC_CURVAS!$G$5:$G$15,MATCH($E98&amp;"|",KC_CURVAS!$K$5:$K$15,0)),""))</f>
        <v/>
      </c>
      <c r="P98" s="11">
        <f>IFERROR(INDEX(KC_CURVAS!$H$5:$H$15,MATCH($E98&amp;"|"&amp;$G98,KC_CURVAS!$K$5:$K$15,0)),IFERROR(INDEX(KC_CURVAS!$H$5:$H$15,MATCH($E98&amp;"|",KC_CURVAS!$K$5:$K$15,0)),""))</f>
        <v/>
      </c>
      <c r="Q98" s="11">
        <f>IFERROR(INDEX(KC_CURVAS!$I$5:$I$15,MATCH($E98&amp;"|"&amp;$G98,KC_CURVAS!$K$5:$K$15,0)),IFERROR(INDEX(KC_CURVAS!$I$5:$I$15,MATCH($E98&amp;"|",KC_CURVAS!$K$5:$K$15,0)),""))</f>
        <v/>
      </c>
      <c r="R98" s="12">
        <f>IF(OR($J98="",$K98=""),"PENDENTE",IF($J98&lt;=$K98,$O98,IF($J98&lt;=$K98+$L98,$O98+($P98-$O98)*($J98-$K98)/$L98,IF($J98&lt;=$K98+$L98+$M98,$P98,IF($J98&lt;=$K98+$L98+$M98+$N98,$P98+($Q98-$P98)*($J98-($K98+$L98+$M98))/$N98,$Q98)))))</f>
        <v/>
      </c>
      <c r="S98" s="13">
        <f>ETO_SEM</f>
        <v/>
      </c>
      <c r="T98" s="14">
        <f>IF(OR($R98="",$R98="PENDENTE"),"",$R98*$S98)</f>
        <v/>
      </c>
      <c r="U98" s="13" t="n">
        <v>0</v>
      </c>
      <c r="V98" s="14">
        <f>IF($T98="","",MAX(0,$T98-N($U98)))</f>
        <v/>
      </c>
      <c r="W98" s="14">
        <f>IF($V98="","",$V98/EF_APLIC)</f>
        <v/>
      </c>
      <c r="X98" s="15" t="n">
        <v>124</v>
      </c>
      <c r="Y98" s="16">
        <f>IF(OR($W98="",$X98=""),"",$W98*$X98*10)</f>
        <v/>
      </c>
      <c r="Z98" s="17">
        <f>IFERROR(INDEX('PARAMETROS'!$B$16:$B$19,MATCH($D98,'PARAMETROS'!$A$16:$A$19,0)),"")</f>
        <v/>
      </c>
      <c r="AA98" s="16">
        <f>IF(OR($Y98="",$Z98=""),"",$Y98*$Z98)</f>
        <v/>
      </c>
      <c r="AB98" s="18">
        <f>IF($R98="PENDENTE","Definir classe/Kc",IF($W98="","-",IF($W98&gt;0,"Irrigar","Nao irrigar")))</f>
        <v/>
      </c>
      <c r="AC98" s="18">
        <f>IF(OR($W98="",$W98=0),"-",IF($W98&gt;=META_SEM,"Alta",IF($W98&gt;=META_SEM*FRAC_ACOMP,"Media","Baixa")))</f>
        <v/>
      </c>
      <c r="AD98" s="19" t="inlineStr"/>
    </row>
    <row r="99">
      <c r="A99" s="5" t="inlineStr">
        <is>
          <t>T4</t>
        </is>
      </c>
      <c r="B99" s="5" t="inlineStr">
        <is>
          <t>KARITEL</t>
        </is>
      </c>
      <c r="C99" s="5" t="inlineStr"/>
      <c r="D99" s="5" t="inlineStr">
        <is>
          <t>KM1</t>
        </is>
      </c>
      <c r="E99" s="5" t="inlineStr">
        <is>
          <t>SOJA</t>
        </is>
      </c>
      <c r="F99" s="6" t="inlineStr">
        <is>
          <t>COMBATE IPRO</t>
        </is>
      </c>
      <c r="G99" s="7" t="inlineStr">
        <is>
          <t>PRECOCE</t>
        </is>
      </c>
      <c r="H99" s="8" t="n">
        <v>46288</v>
      </c>
      <c r="I99" s="9">
        <f>IF($H99="","",DATA_REF-$H99)</f>
        <v/>
      </c>
      <c r="J99" s="9">
        <f>IF($I99="","",MAX(0,$I99-'PARAMETROS'!$B$12))</f>
        <v/>
      </c>
      <c r="K99" s="10">
        <f>IFERROR(INDEX(KC_CURVAS!$C$5:$C$15,MATCH($E99&amp;"|"&amp;$G99,KC_CURVAS!$K$5:$K$15,0)),IFERROR(INDEX(KC_CURVAS!$C$5:$C$15,MATCH($E99&amp;"|",KC_CURVAS!$K$5:$K$15,0)),""))</f>
        <v/>
      </c>
      <c r="L99" s="10">
        <f>IFERROR(INDEX(KC_CURVAS!$D$5:$D$15,MATCH($E99&amp;"|"&amp;$G99,KC_CURVAS!$K$5:$K$15,0)),IFERROR(INDEX(KC_CURVAS!$D$5:$D$15,MATCH($E99&amp;"|",KC_CURVAS!$K$5:$K$15,0)),""))</f>
        <v/>
      </c>
      <c r="M99" s="10">
        <f>IFERROR(INDEX(KC_CURVAS!$E$5:$E$15,MATCH($E99&amp;"|"&amp;$G99,KC_CURVAS!$K$5:$K$15,0)),IFERROR(INDEX(KC_CURVAS!$E$5:$E$15,MATCH($E99&amp;"|",KC_CURVAS!$K$5:$K$15,0)),""))</f>
        <v/>
      </c>
      <c r="N99" s="10">
        <f>IFERROR(INDEX(KC_CURVAS!$F$5:$F$15,MATCH($E99&amp;"|"&amp;$G99,KC_CURVAS!$K$5:$K$15,0)),IFERROR(INDEX(KC_CURVAS!$F$5:$F$15,MATCH($E99&amp;"|",KC_CURVAS!$K$5:$K$15,0)),""))</f>
        <v/>
      </c>
      <c r="O99" s="11">
        <f>IFERROR(INDEX(KC_CURVAS!$G$5:$G$15,MATCH($E99&amp;"|"&amp;$G99,KC_CURVAS!$K$5:$K$15,0)),IFERROR(INDEX(KC_CURVAS!$G$5:$G$15,MATCH($E99&amp;"|",KC_CURVAS!$K$5:$K$15,0)),""))</f>
        <v/>
      </c>
      <c r="P99" s="11">
        <f>IFERROR(INDEX(KC_CURVAS!$H$5:$H$15,MATCH($E99&amp;"|"&amp;$G99,KC_CURVAS!$K$5:$K$15,0)),IFERROR(INDEX(KC_CURVAS!$H$5:$H$15,MATCH($E99&amp;"|",KC_CURVAS!$K$5:$K$15,0)),""))</f>
        <v/>
      </c>
      <c r="Q99" s="11">
        <f>IFERROR(INDEX(KC_CURVAS!$I$5:$I$15,MATCH($E99&amp;"|"&amp;$G99,KC_CURVAS!$K$5:$K$15,0)),IFERROR(INDEX(KC_CURVAS!$I$5:$I$15,MATCH($E99&amp;"|",KC_CURVAS!$K$5:$K$15,0)),""))</f>
        <v/>
      </c>
      <c r="R99" s="12">
        <f>IF(OR($J99="",$K99=""),"PENDENTE",IF($J99&lt;=$K99,$O99,IF($J99&lt;=$K99+$L99,$O99+($P99-$O99)*($J99-$K99)/$L99,IF($J99&lt;=$K99+$L99+$M99,$P99,IF($J99&lt;=$K99+$L99+$M99+$N99,$P99+($Q99-$P99)*($J99-($K99+$L99+$M99))/$N99,$Q99)))))</f>
        <v/>
      </c>
      <c r="S99" s="13">
        <f>ETO_SEM</f>
        <v/>
      </c>
      <c r="T99" s="14">
        <f>IF(OR($R99="",$R99="PENDENTE"),"",$R99*$S99)</f>
        <v/>
      </c>
      <c r="U99" s="13" t="n">
        <v>0</v>
      </c>
      <c r="V99" s="14">
        <f>IF($T99="","",MAX(0,$T99-N($U99)))</f>
        <v/>
      </c>
      <c r="W99" s="14">
        <f>IF($V99="","",$V99/EF_APLIC)</f>
        <v/>
      </c>
      <c r="X99" s="15" t="n">
        <v>63</v>
      </c>
      <c r="Y99" s="16">
        <f>IF(OR($W99="",$X99=""),"",$W99*$X99*10)</f>
        <v/>
      </c>
      <c r="Z99" s="17">
        <f>IFERROR(INDEX('PARAMETROS'!$B$16:$B$19,MATCH($D99,'PARAMETROS'!$A$16:$A$19,0)),"")</f>
        <v/>
      </c>
      <c r="AA99" s="16">
        <f>IF(OR($Y99="",$Z99=""),"",$Y99*$Z99)</f>
        <v/>
      </c>
      <c r="AB99" s="18">
        <f>IF($R99="PENDENTE","Definir classe/Kc",IF($W99="","-",IF($W99&gt;0,"Irrigar","Nao irrigar")))</f>
        <v/>
      </c>
      <c r="AC99" s="18">
        <f>IF(OR($W99="",$W99=0),"-",IF($W99&gt;=META_SEM,"Alta",IF($W99&gt;=META_SEM*FRAC_ACOMP,"Media","Baixa")))</f>
        <v/>
      </c>
      <c r="AD99" s="19" t="inlineStr"/>
    </row>
    <row r="100">
      <c r="A100" s="5" t="inlineStr">
        <is>
          <t>T68</t>
        </is>
      </c>
      <c r="B100" s="5" t="inlineStr">
        <is>
          <t>KARITEL</t>
        </is>
      </c>
      <c r="C100" s="5" t="inlineStr"/>
      <c r="D100" s="5" t="inlineStr">
        <is>
          <t>KM2</t>
        </is>
      </c>
      <c r="E100" s="5" t="inlineStr">
        <is>
          <t>SOJA</t>
        </is>
      </c>
      <c r="F100" s="6" t="inlineStr">
        <is>
          <t>COMPLETA IPRO</t>
        </is>
      </c>
      <c r="G100" s="7" t="inlineStr">
        <is>
          <t>MÉDIA</t>
        </is>
      </c>
      <c r="H100" s="8" t="n">
        <v>46290</v>
      </c>
      <c r="I100" s="9">
        <f>IF($H100="","",DATA_REF-$H100)</f>
        <v/>
      </c>
      <c r="J100" s="9">
        <f>IF($I100="","",MAX(0,$I100-'PARAMETROS'!$B$12))</f>
        <v/>
      </c>
      <c r="K100" s="10">
        <f>IFERROR(INDEX(KC_CURVAS!$C$5:$C$15,MATCH($E100&amp;"|"&amp;$G100,KC_CURVAS!$K$5:$K$15,0)),IFERROR(INDEX(KC_CURVAS!$C$5:$C$15,MATCH($E100&amp;"|",KC_CURVAS!$K$5:$K$15,0)),""))</f>
        <v/>
      </c>
      <c r="L100" s="10">
        <f>IFERROR(INDEX(KC_CURVAS!$D$5:$D$15,MATCH($E100&amp;"|"&amp;$G100,KC_CURVAS!$K$5:$K$15,0)),IFERROR(INDEX(KC_CURVAS!$D$5:$D$15,MATCH($E100&amp;"|",KC_CURVAS!$K$5:$K$15,0)),""))</f>
        <v/>
      </c>
      <c r="M100" s="10">
        <f>IFERROR(INDEX(KC_CURVAS!$E$5:$E$15,MATCH($E100&amp;"|"&amp;$G100,KC_CURVAS!$K$5:$K$15,0)),IFERROR(INDEX(KC_CURVAS!$E$5:$E$15,MATCH($E100&amp;"|",KC_CURVAS!$K$5:$K$15,0)),""))</f>
        <v/>
      </c>
      <c r="N100" s="10">
        <f>IFERROR(INDEX(KC_CURVAS!$F$5:$F$15,MATCH($E100&amp;"|"&amp;$G100,KC_CURVAS!$K$5:$K$15,0)),IFERROR(INDEX(KC_CURVAS!$F$5:$F$15,MATCH($E100&amp;"|",KC_CURVAS!$K$5:$K$15,0)),""))</f>
        <v/>
      </c>
      <c r="O100" s="11">
        <f>IFERROR(INDEX(KC_CURVAS!$G$5:$G$15,MATCH($E100&amp;"|"&amp;$G100,KC_CURVAS!$K$5:$K$15,0)),IFERROR(INDEX(KC_CURVAS!$G$5:$G$15,MATCH($E100&amp;"|",KC_CURVAS!$K$5:$K$15,0)),""))</f>
        <v/>
      </c>
      <c r="P100" s="11">
        <f>IFERROR(INDEX(KC_CURVAS!$H$5:$H$15,MATCH($E100&amp;"|"&amp;$G100,KC_CURVAS!$K$5:$K$15,0)),IFERROR(INDEX(KC_CURVAS!$H$5:$H$15,MATCH($E100&amp;"|",KC_CURVAS!$K$5:$K$15,0)),""))</f>
        <v/>
      </c>
      <c r="Q100" s="11">
        <f>IFERROR(INDEX(KC_CURVAS!$I$5:$I$15,MATCH($E100&amp;"|"&amp;$G100,KC_CURVAS!$K$5:$K$15,0)),IFERROR(INDEX(KC_CURVAS!$I$5:$I$15,MATCH($E100&amp;"|",KC_CURVAS!$K$5:$K$15,0)),""))</f>
        <v/>
      </c>
      <c r="R100" s="12">
        <f>IF(OR($J100="",$K100=""),"PENDENTE",IF($J100&lt;=$K100,$O100,IF($J100&lt;=$K100+$L100,$O100+($P100-$O100)*($J100-$K100)/$L100,IF($J100&lt;=$K100+$L100+$M100,$P100,IF($J100&lt;=$K100+$L100+$M100+$N100,$P100+($Q100-$P100)*($J100-($K100+$L100+$M100))/$N100,$Q100)))))</f>
        <v/>
      </c>
      <c r="S100" s="13">
        <f>ETO_SEM</f>
        <v/>
      </c>
      <c r="T100" s="14">
        <f>IF(OR($R100="",$R100="PENDENTE"),"",$R100*$S100)</f>
        <v/>
      </c>
      <c r="U100" s="13" t="n">
        <v>0</v>
      </c>
      <c r="V100" s="14">
        <f>IF($T100="","",MAX(0,$T100-N($U100)))</f>
        <v/>
      </c>
      <c r="W100" s="14">
        <f>IF($V100="","",$V100/EF_APLIC)</f>
        <v/>
      </c>
      <c r="X100" s="15" t="n">
        <v>80</v>
      </c>
      <c r="Y100" s="16">
        <f>IF(OR($W100="",$X100=""),"",$W100*$X100*10)</f>
        <v/>
      </c>
      <c r="Z100" s="17">
        <f>IFERROR(INDEX('PARAMETROS'!$B$16:$B$19,MATCH($D100,'PARAMETROS'!$A$16:$A$19,0)),"")</f>
        <v/>
      </c>
      <c r="AA100" s="16">
        <f>IF(OR($Y100="",$Z100=""),"",$Y100*$Z100)</f>
        <v/>
      </c>
      <c r="AB100" s="18">
        <f>IF($R100="PENDENTE","Definir classe/Kc",IF($W100="","-",IF($W100&gt;0,"Irrigar","Nao irrigar")))</f>
        <v/>
      </c>
      <c r="AC100" s="18">
        <f>IF(OR($W100="",$W100=0),"-",IF($W100&gt;=META_SEM,"Alta",IF($W100&gt;=META_SEM*FRAC_ACOMP,"Media","Baixa")))</f>
        <v/>
      </c>
      <c r="AD100" s="19" t="inlineStr"/>
    </row>
    <row r="101">
      <c r="A101" s="5" t="inlineStr">
        <is>
          <t>T63</t>
        </is>
      </c>
      <c r="B101" s="5" t="inlineStr">
        <is>
          <t>KARITEL</t>
        </is>
      </c>
      <c r="C101" s="5" t="inlineStr"/>
      <c r="D101" s="5" t="inlineStr">
        <is>
          <t>KM2</t>
        </is>
      </c>
      <c r="E101" s="5" t="inlineStr">
        <is>
          <t>SOJA</t>
        </is>
      </c>
      <c r="F101" s="6" t="inlineStr">
        <is>
          <t>NEO 761 I2X</t>
        </is>
      </c>
      <c r="G101" s="7" t="inlineStr">
        <is>
          <t>PRECOCE</t>
        </is>
      </c>
      <c r="H101" s="8" t="n">
        <v>46294</v>
      </c>
      <c r="I101" s="9">
        <f>IF($H101="","",DATA_REF-$H101)</f>
        <v/>
      </c>
      <c r="J101" s="9">
        <f>IF($I101="","",MAX(0,$I101-'PARAMETROS'!$B$12))</f>
        <v/>
      </c>
      <c r="K101" s="10">
        <f>IFERROR(INDEX(KC_CURVAS!$C$5:$C$15,MATCH($E101&amp;"|"&amp;$G101,KC_CURVAS!$K$5:$K$15,0)),IFERROR(INDEX(KC_CURVAS!$C$5:$C$15,MATCH($E101&amp;"|",KC_CURVAS!$K$5:$K$15,0)),""))</f>
        <v/>
      </c>
      <c r="L101" s="10">
        <f>IFERROR(INDEX(KC_CURVAS!$D$5:$D$15,MATCH($E101&amp;"|"&amp;$G101,KC_CURVAS!$K$5:$K$15,0)),IFERROR(INDEX(KC_CURVAS!$D$5:$D$15,MATCH($E101&amp;"|",KC_CURVAS!$K$5:$K$15,0)),""))</f>
        <v/>
      </c>
      <c r="M101" s="10">
        <f>IFERROR(INDEX(KC_CURVAS!$E$5:$E$15,MATCH($E101&amp;"|"&amp;$G101,KC_CURVAS!$K$5:$K$15,0)),IFERROR(INDEX(KC_CURVAS!$E$5:$E$15,MATCH($E101&amp;"|",KC_CURVAS!$K$5:$K$15,0)),""))</f>
        <v/>
      </c>
      <c r="N101" s="10">
        <f>IFERROR(INDEX(KC_CURVAS!$F$5:$F$15,MATCH($E101&amp;"|"&amp;$G101,KC_CURVAS!$K$5:$K$15,0)),IFERROR(INDEX(KC_CURVAS!$F$5:$F$15,MATCH($E101&amp;"|",KC_CURVAS!$K$5:$K$15,0)),""))</f>
        <v/>
      </c>
      <c r="O101" s="11">
        <f>IFERROR(INDEX(KC_CURVAS!$G$5:$G$15,MATCH($E101&amp;"|"&amp;$G101,KC_CURVAS!$K$5:$K$15,0)),IFERROR(INDEX(KC_CURVAS!$G$5:$G$15,MATCH($E101&amp;"|",KC_CURVAS!$K$5:$K$15,0)),""))</f>
        <v/>
      </c>
      <c r="P101" s="11">
        <f>IFERROR(INDEX(KC_CURVAS!$H$5:$H$15,MATCH($E101&amp;"|"&amp;$G101,KC_CURVAS!$K$5:$K$15,0)),IFERROR(INDEX(KC_CURVAS!$H$5:$H$15,MATCH($E101&amp;"|",KC_CURVAS!$K$5:$K$15,0)),""))</f>
        <v/>
      </c>
      <c r="Q101" s="11">
        <f>IFERROR(INDEX(KC_CURVAS!$I$5:$I$15,MATCH($E101&amp;"|"&amp;$G101,KC_CURVAS!$K$5:$K$15,0)),IFERROR(INDEX(KC_CURVAS!$I$5:$I$15,MATCH($E101&amp;"|",KC_CURVAS!$K$5:$K$15,0)),""))</f>
        <v/>
      </c>
      <c r="R101" s="12">
        <f>IF(OR($J101="",$K101=""),"PENDENTE",IF($J101&lt;=$K101,$O101,IF($J101&lt;=$K101+$L101,$O101+($P101-$O101)*($J101-$K101)/$L101,IF($J101&lt;=$K101+$L101+$M101,$P101,IF($J101&lt;=$K101+$L101+$M101+$N101,$P101+($Q101-$P101)*($J101-($K101+$L101+$M101))/$N101,$Q101)))))</f>
        <v/>
      </c>
      <c r="S101" s="13">
        <f>ETO_SEM</f>
        <v/>
      </c>
      <c r="T101" s="14">
        <f>IF(OR($R101="",$R101="PENDENTE"),"",$R101*$S101)</f>
        <v/>
      </c>
      <c r="U101" s="13" t="n">
        <v>0</v>
      </c>
      <c r="V101" s="14">
        <f>IF($T101="","",MAX(0,$T101-N($U101)))</f>
        <v/>
      </c>
      <c r="W101" s="14">
        <f>IF($V101="","",$V101/EF_APLIC)</f>
        <v/>
      </c>
      <c r="X101" s="15" t="n">
        <v>80</v>
      </c>
      <c r="Y101" s="16">
        <f>IF(OR($W101="",$X101=""),"",$W101*$X101*10)</f>
        <v/>
      </c>
      <c r="Z101" s="17">
        <f>IFERROR(INDEX('PARAMETROS'!$B$16:$B$19,MATCH($D101,'PARAMETROS'!$A$16:$A$19,0)),"")</f>
        <v/>
      </c>
      <c r="AA101" s="16">
        <f>IF(OR($Y101="",$Z101=""),"",$Y101*$Z101)</f>
        <v/>
      </c>
      <c r="AB101" s="18">
        <f>IF($R101="PENDENTE","Definir classe/Kc",IF($W101="","-",IF($W101&gt;0,"Irrigar","Nao irrigar")))</f>
        <v/>
      </c>
      <c r="AC101" s="18">
        <f>IF(OR($W101="",$W101=0),"-",IF($W101&gt;=META_SEM,"Alta",IF($W101&gt;=META_SEM*FRAC_ACOMP,"Media","Baixa")))</f>
        <v/>
      </c>
      <c r="AD101" s="19" t="inlineStr"/>
    </row>
    <row r="102">
      <c r="A102" s="5" t="inlineStr">
        <is>
          <t>T64</t>
        </is>
      </c>
      <c r="B102" s="5" t="inlineStr">
        <is>
          <t>KARITEL</t>
        </is>
      </c>
      <c r="C102" s="5" t="inlineStr"/>
      <c r="D102" s="5" t="inlineStr">
        <is>
          <t>KM2</t>
        </is>
      </c>
      <c r="E102" s="5" t="inlineStr">
        <is>
          <t>SOJA</t>
        </is>
      </c>
      <c r="F102" s="6" t="inlineStr">
        <is>
          <t>NEO 761 I2X</t>
        </is>
      </c>
      <c r="G102" s="7" t="inlineStr">
        <is>
          <t>PRECOCE</t>
        </is>
      </c>
      <c r="H102" s="8" t="n">
        <v>46295</v>
      </c>
      <c r="I102" s="9">
        <f>IF($H102="","",DATA_REF-$H102)</f>
        <v/>
      </c>
      <c r="J102" s="9">
        <f>IF($I102="","",MAX(0,$I102-'PARAMETROS'!$B$12))</f>
        <v/>
      </c>
      <c r="K102" s="10">
        <f>IFERROR(INDEX(KC_CURVAS!$C$5:$C$15,MATCH($E102&amp;"|"&amp;$G102,KC_CURVAS!$K$5:$K$15,0)),IFERROR(INDEX(KC_CURVAS!$C$5:$C$15,MATCH($E102&amp;"|",KC_CURVAS!$K$5:$K$15,0)),""))</f>
        <v/>
      </c>
      <c r="L102" s="10">
        <f>IFERROR(INDEX(KC_CURVAS!$D$5:$D$15,MATCH($E102&amp;"|"&amp;$G102,KC_CURVAS!$K$5:$K$15,0)),IFERROR(INDEX(KC_CURVAS!$D$5:$D$15,MATCH($E102&amp;"|",KC_CURVAS!$K$5:$K$15,0)),""))</f>
        <v/>
      </c>
      <c r="M102" s="10">
        <f>IFERROR(INDEX(KC_CURVAS!$E$5:$E$15,MATCH($E102&amp;"|"&amp;$G102,KC_CURVAS!$K$5:$K$15,0)),IFERROR(INDEX(KC_CURVAS!$E$5:$E$15,MATCH($E102&amp;"|",KC_CURVAS!$K$5:$K$15,0)),""))</f>
        <v/>
      </c>
      <c r="N102" s="10">
        <f>IFERROR(INDEX(KC_CURVAS!$F$5:$F$15,MATCH($E102&amp;"|"&amp;$G102,KC_CURVAS!$K$5:$K$15,0)),IFERROR(INDEX(KC_CURVAS!$F$5:$F$15,MATCH($E102&amp;"|",KC_CURVAS!$K$5:$K$15,0)),""))</f>
        <v/>
      </c>
      <c r="O102" s="11">
        <f>IFERROR(INDEX(KC_CURVAS!$G$5:$G$15,MATCH($E102&amp;"|"&amp;$G102,KC_CURVAS!$K$5:$K$15,0)),IFERROR(INDEX(KC_CURVAS!$G$5:$G$15,MATCH($E102&amp;"|",KC_CURVAS!$K$5:$K$15,0)),""))</f>
        <v/>
      </c>
      <c r="P102" s="11">
        <f>IFERROR(INDEX(KC_CURVAS!$H$5:$H$15,MATCH($E102&amp;"|"&amp;$G102,KC_CURVAS!$K$5:$K$15,0)),IFERROR(INDEX(KC_CURVAS!$H$5:$H$15,MATCH($E102&amp;"|",KC_CURVAS!$K$5:$K$15,0)),""))</f>
        <v/>
      </c>
      <c r="Q102" s="11">
        <f>IFERROR(INDEX(KC_CURVAS!$I$5:$I$15,MATCH($E102&amp;"|"&amp;$G102,KC_CURVAS!$K$5:$K$15,0)),IFERROR(INDEX(KC_CURVAS!$I$5:$I$15,MATCH($E102&amp;"|",KC_CURVAS!$K$5:$K$15,0)),""))</f>
        <v/>
      </c>
      <c r="R102" s="12">
        <f>IF(OR($J102="",$K102=""),"PENDENTE",IF($J102&lt;=$K102,$O102,IF($J102&lt;=$K102+$L102,$O102+($P102-$O102)*($J102-$K102)/$L102,IF($J102&lt;=$K102+$L102+$M102,$P102,IF($J102&lt;=$K102+$L102+$M102+$N102,$P102+($Q102-$P102)*($J102-($K102+$L102+$M102))/$N102,$Q102)))))</f>
        <v/>
      </c>
      <c r="S102" s="13">
        <f>ETO_SEM</f>
        <v/>
      </c>
      <c r="T102" s="14">
        <f>IF(OR($R102="",$R102="PENDENTE"),"",$R102*$S102)</f>
        <v/>
      </c>
      <c r="U102" s="13" t="n">
        <v>0</v>
      </c>
      <c r="V102" s="14">
        <f>IF($T102="","",MAX(0,$T102-N($U102)))</f>
        <v/>
      </c>
      <c r="W102" s="14">
        <f>IF($V102="","",$V102/EF_APLIC)</f>
        <v/>
      </c>
      <c r="X102" s="15" t="n">
        <v>80</v>
      </c>
      <c r="Y102" s="16">
        <f>IF(OR($W102="",$X102=""),"",$W102*$X102*10)</f>
        <v/>
      </c>
      <c r="Z102" s="17">
        <f>IFERROR(INDEX('PARAMETROS'!$B$16:$B$19,MATCH($D102,'PARAMETROS'!$A$16:$A$19,0)),"")</f>
        <v/>
      </c>
      <c r="AA102" s="16">
        <f>IF(OR($Y102="",$Z102=""),"",$Y102*$Z102)</f>
        <v/>
      </c>
      <c r="AB102" s="18">
        <f>IF($R102="PENDENTE","Definir classe/Kc",IF($W102="","-",IF($W102&gt;0,"Irrigar","Nao irrigar")))</f>
        <v/>
      </c>
      <c r="AC102" s="18">
        <f>IF(OR($W102="",$W102=0),"-",IF($W102&gt;=META_SEM,"Alta",IF($W102&gt;=META_SEM*FRAC_ACOMP,"Media","Baixa")))</f>
        <v/>
      </c>
      <c r="AD102" s="19" t="inlineStr"/>
    </row>
    <row r="103">
      <c r="A103" s="5" t="inlineStr">
        <is>
          <t>T65</t>
        </is>
      </c>
      <c r="B103" s="5" t="inlineStr">
        <is>
          <t>KARITEL</t>
        </is>
      </c>
      <c r="C103" s="5" t="inlineStr"/>
      <c r="D103" s="5" t="inlineStr">
        <is>
          <t>KM2</t>
        </is>
      </c>
      <c r="E103" s="5" t="inlineStr">
        <is>
          <t>SOJA</t>
        </is>
      </c>
      <c r="F103" s="6" t="inlineStr">
        <is>
          <t>NEO 761 I2X</t>
        </is>
      </c>
      <c r="G103" s="7" t="inlineStr">
        <is>
          <t>PRECOCE</t>
        </is>
      </c>
      <c r="H103" s="8" t="n">
        <v>46295</v>
      </c>
      <c r="I103" s="9">
        <f>IF($H103="","",DATA_REF-$H103)</f>
        <v/>
      </c>
      <c r="J103" s="9">
        <f>IF($I103="","",MAX(0,$I103-'PARAMETROS'!$B$12))</f>
        <v/>
      </c>
      <c r="K103" s="10">
        <f>IFERROR(INDEX(KC_CURVAS!$C$5:$C$15,MATCH($E103&amp;"|"&amp;$G103,KC_CURVAS!$K$5:$K$15,0)),IFERROR(INDEX(KC_CURVAS!$C$5:$C$15,MATCH($E103&amp;"|",KC_CURVAS!$K$5:$K$15,0)),""))</f>
        <v/>
      </c>
      <c r="L103" s="10">
        <f>IFERROR(INDEX(KC_CURVAS!$D$5:$D$15,MATCH($E103&amp;"|"&amp;$G103,KC_CURVAS!$K$5:$K$15,0)),IFERROR(INDEX(KC_CURVAS!$D$5:$D$15,MATCH($E103&amp;"|",KC_CURVAS!$K$5:$K$15,0)),""))</f>
        <v/>
      </c>
      <c r="M103" s="10">
        <f>IFERROR(INDEX(KC_CURVAS!$E$5:$E$15,MATCH($E103&amp;"|"&amp;$G103,KC_CURVAS!$K$5:$K$15,0)),IFERROR(INDEX(KC_CURVAS!$E$5:$E$15,MATCH($E103&amp;"|",KC_CURVAS!$K$5:$K$15,0)),""))</f>
        <v/>
      </c>
      <c r="N103" s="10">
        <f>IFERROR(INDEX(KC_CURVAS!$F$5:$F$15,MATCH($E103&amp;"|"&amp;$G103,KC_CURVAS!$K$5:$K$15,0)),IFERROR(INDEX(KC_CURVAS!$F$5:$F$15,MATCH($E103&amp;"|",KC_CURVAS!$K$5:$K$15,0)),""))</f>
        <v/>
      </c>
      <c r="O103" s="11">
        <f>IFERROR(INDEX(KC_CURVAS!$G$5:$G$15,MATCH($E103&amp;"|"&amp;$G103,KC_CURVAS!$K$5:$K$15,0)),IFERROR(INDEX(KC_CURVAS!$G$5:$G$15,MATCH($E103&amp;"|",KC_CURVAS!$K$5:$K$15,0)),""))</f>
        <v/>
      </c>
      <c r="P103" s="11">
        <f>IFERROR(INDEX(KC_CURVAS!$H$5:$H$15,MATCH($E103&amp;"|"&amp;$G103,KC_CURVAS!$K$5:$K$15,0)),IFERROR(INDEX(KC_CURVAS!$H$5:$H$15,MATCH($E103&amp;"|",KC_CURVAS!$K$5:$K$15,0)),""))</f>
        <v/>
      </c>
      <c r="Q103" s="11">
        <f>IFERROR(INDEX(KC_CURVAS!$I$5:$I$15,MATCH($E103&amp;"|"&amp;$G103,KC_CURVAS!$K$5:$K$15,0)),IFERROR(INDEX(KC_CURVAS!$I$5:$I$15,MATCH($E103&amp;"|",KC_CURVAS!$K$5:$K$15,0)),""))</f>
        <v/>
      </c>
      <c r="R103" s="12">
        <f>IF(OR($J103="",$K103=""),"PENDENTE",IF($J103&lt;=$K103,$O103,IF($J103&lt;=$K103+$L103,$O103+($P103-$O103)*($J103-$K103)/$L103,IF($J103&lt;=$K103+$L103+$M103,$P103,IF($J103&lt;=$K103+$L103+$M103+$N103,$P103+($Q103-$P103)*($J103-($K103+$L103+$M103))/$N103,$Q103)))))</f>
        <v/>
      </c>
      <c r="S103" s="13">
        <f>ETO_SEM</f>
        <v/>
      </c>
      <c r="T103" s="14">
        <f>IF(OR($R103="",$R103="PENDENTE"),"",$R103*$S103)</f>
        <v/>
      </c>
      <c r="U103" s="13" t="n">
        <v>0</v>
      </c>
      <c r="V103" s="14">
        <f>IF($T103="","",MAX(0,$T103-N($U103)))</f>
        <v/>
      </c>
      <c r="W103" s="14">
        <f>IF($V103="","",$V103/EF_APLIC)</f>
        <v/>
      </c>
      <c r="X103" s="15" t="n">
        <v>150</v>
      </c>
      <c r="Y103" s="16">
        <f>IF(OR($W103="",$X103=""),"",$W103*$X103*10)</f>
        <v/>
      </c>
      <c r="Z103" s="17">
        <f>IFERROR(INDEX('PARAMETROS'!$B$16:$B$19,MATCH($D103,'PARAMETROS'!$A$16:$A$19,0)),"")</f>
        <v/>
      </c>
      <c r="AA103" s="16">
        <f>IF(OR($Y103="",$Z103=""),"",$Y103*$Z103)</f>
        <v/>
      </c>
      <c r="AB103" s="18">
        <f>IF($R103="PENDENTE","Definir classe/Kc",IF($W103="","-",IF($W103&gt;0,"Irrigar","Nao irrigar")))</f>
        <v/>
      </c>
      <c r="AC103" s="18">
        <f>IF(OR($W103="",$W103=0),"-",IF($W103&gt;=META_SEM,"Alta",IF($W103&gt;=META_SEM*FRAC_ACOMP,"Media","Baixa")))</f>
        <v/>
      </c>
      <c r="AD103" s="19" t="inlineStr"/>
    </row>
    <row r="104">
      <c r="A104" s="5" t="inlineStr">
        <is>
          <t>T104</t>
        </is>
      </c>
      <c r="B104" s="5" t="inlineStr">
        <is>
          <t>RDM</t>
        </is>
      </c>
      <c r="C104" s="5" t="inlineStr"/>
      <c r="D104" s="5" t="inlineStr">
        <is>
          <t>RDM1</t>
        </is>
      </c>
      <c r="E104" s="5" t="inlineStr">
        <is>
          <t>SOJA</t>
        </is>
      </c>
      <c r="F104" s="6" t="inlineStr">
        <is>
          <t>COMBATE IPRO</t>
        </is>
      </c>
      <c r="G104" s="7" t="inlineStr">
        <is>
          <t>PRECOCE</t>
        </is>
      </c>
      <c r="H104" s="8" t="n">
        <v>46291</v>
      </c>
      <c r="I104" s="9">
        <f>IF($H104="","",DATA_REF-$H104)</f>
        <v/>
      </c>
      <c r="J104" s="9">
        <f>IF($I104="","",MAX(0,$I104-'PARAMETROS'!$B$12))</f>
        <v/>
      </c>
      <c r="K104" s="10">
        <f>IFERROR(INDEX(KC_CURVAS!$C$5:$C$15,MATCH($E104&amp;"|"&amp;$G104,KC_CURVAS!$K$5:$K$15,0)),IFERROR(INDEX(KC_CURVAS!$C$5:$C$15,MATCH($E104&amp;"|",KC_CURVAS!$K$5:$K$15,0)),""))</f>
        <v/>
      </c>
      <c r="L104" s="10">
        <f>IFERROR(INDEX(KC_CURVAS!$D$5:$D$15,MATCH($E104&amp;"|"&amp;$G104,KC_CURVAS!$K$5:$K$15,0)),IFERROR(INDEX(KC_CURVAS!$D$5:$D$15,MATCH($E104&amp;"|",KC_CURVAS!$K$5:$K$15,0)),""))</f>
        <v/>
      </c>
      <c r="M104" s="10">
        <f>IFERROR(INDEX(KC_CURVAS!$E$5:$E$15,MATCH($E104&amp;"|"&amp;$G104,KC_CURVAS!$K$5:$K$15,0)),IFERROR(INDEX(KC_CURVAS!$E$5:$E$15,MATCH($E104&amp;"|",KC_CURVAS!$K$5:$K$15,0)),""))</f>
        <v/>
      </c>
      <c r="N104" s="10">
        <f>IFERROR(INDEX(KC_CURVAS!$F$5:$F$15,MATCH($E104&amp;"|"&amp;$G104,KC_CURVAS!$K$5:$K$15,0)),IFERROR(INDEX(KC_CURVAS!$F$5:$F$15,MATCH($E104&amp;"|",KC_CURVAS!$K$5:$K$15,0)),""))</f>
        <v/>
      </c>
      <c r="O104" s="11">
        <f>IFERROR(INDEX(KC_CURVAS!$G$5:$G$15,MATCH($E104&amp;"|"&amp;$G104,KC_CURVAS!$K$5:$K$15,0)),IFERROR(INDEX(KC_CURVAS!$G$5:$G$15,MATCH($E104&amp;"|",KC_CURVAS!$K$5:$K$15,0)),""))</f>
        <v/>
      </c>
      <c r="P104" s="11">
        <f>IFERROR(INDEX(KC_CURVAS!$H$5:$H$15,MATCH($E104&amp;"|"&amp;$G104,KC_CURVAS!$K$5:$K$15,0)),IFERROR(INDEX(KC_CURVAS!$H$5:$H$15,MATCH($E104&amp;"|",KC_CURVAS!$K$5:$K$15,0)),""))</f>
        <v/>
      </c>
      <c r="Q104" s="11">
        <f>IFERROR(INDEX(KC_CURVAS!$I$5:$I$15,MATCH($E104&amp;"|"&amp;$G104,KC_CURVAS!$K$5:$K$15,0)),IFERROR(INDEX(KC_CURVAS!$I$5:$I$15,MATCH($E104&amp;"|",KC_CURVAS!$K$5:$K$15,0)),""))</f>
        <v/>
      </c>
      <c r="R104" s="12">
        <f>IF(OR($J104="",$K104=""),"PENDENTE",IF($J104&lt;=$K104,$O104,IF($J104&lt;=$K104+$L104,$O104+($P104-$O104)*($J104-$K104)/$L104,IF($J104&lt;=$K104+$L104+$M104,$P104,IF($J104&lt;=$K104+$L104+$M104+$N104,$P104+($Q104-$P104)*($J104-($K104+$L104+$M104))/$N104,$Q104)))))</f>
        <v/>
      </c>
      <c r="S104" s="13">
        <f>ETO_SEM</f>
        <v/>
      </c>
      <c r="T104" s="14">
        <f>IF(OR($R104="",$R104="PENDENTE"),"",$R104*$S104)</f>
        <v/>
      </c>
      <c r="U104" s="13" t="n">
        <v>0</v>
      </c>
      <c r="V104" s="14">
        <f>IF($T104="","",MAX(0,$T104-N($U104)))</f>
        <v/>
      </c>
      <c r="W104" s="14">
        <f>IF($V104="","",$V104/EF_APLIC)</f>
        <v/>
      </c>
      <c r="X104" s="15" t="n">
        <v>100</v>
      </c>
      <c r="Y104" s="16">
        <f>IF(OR($W104="",$X104=""),"",$W104*$X104*10)</f>
        <v/>
      </c>
      <c r="Z104" s="17">
        <f>IFERROR(INDEX('PARAMETROS'!$B$16:$B$19,MATCH($D104,'PARAMETROS'!$A$16:$A$19,0)),"")</f>
        <v/>
      </c>
      <c r="AA104" s="16">
        <f>IF(OR($Y104="",$Z104=""),"",$Y104*$Z104)</f>
        <v/>
      </c>
      <c r="AB104" s="18">
        <f>IF($R104="PENDENTE","Definir classe/Kc",IF($W104="","-",IF($W104&gt;0,"Irrigar","Nao irrigar")))</f>
        <v/>
      </c>
      <c r="AC104" s="18">
        <f>IF(OR($W104="",$W104=0),"-",IF($W104&gt;=META_SEM,"Alta",IF($W104&gt;=META_SEM*FRAC_ACOMP,"Media","Baixa")))</f>
        <v/>
      </c>
      <c r="AD104" s="19" t="inlineStr"/>
    </row>
    <row r="105">
      <c r="A105" s="5" t="inlineStr">
        <is>
          <t>T110</t>
        </is>
      </c>
      <c r="B105" s="5" t="inlineStr">
        <is>
          <t>RDM</t>
        </is>
      </c>
      <c r="C105" s="5" t="inlineStr"/>
      <c r="D105" s="5" t="inlineStr">
        <is>
          <t>RDM1</t>
        </is>
      </c>
      <c r="E105" s="5" t="inlineStr">
        <is>
          <t>SOJA</t>
        </is>
      </c>
      <c r="F105" s="6" t="inlineStr">
        <is>
          <t>NEO 690 I2X</t>
        </is>
      </c>
      <c r="G105" s="7" t="inlineStr">
        <is>
          <t>PRECOCE</t>
        </is>
      </c>
      <c r="H105" s="8" t="n">
        <v>46290</v>
      </c>
      <c r="I105" s="9">
        <f>IF($H105="","",DATA_REF-$H105)</f>
        <v/>
      </c>
      <c r="J105" s="9">
        <f>IF($I105="","",MAX(0,$I105-'PARAMETROS'!$B$12))</f>
        <v/>
      </c>
      <c r="K105" s="10">
        <f>IFERROR(INDEX(KC_CURVAS!$C$5:$C$15,MATCH($E105&amp;"|"&amp;$G105,KC_CURVAS!$K$5:$K$15,0)),IFERROR(INDEX(KC_CURVAS!$C$5:$C$15,MATCH($E105&amp;"|",KC_CURVAS!$K$5:$K$15,0)),""))</f>
        <v/>
      </c>
      <c r="L105" s="10">
        <f>IFERROR(INDEX(KC_CURVAS!$D$5:$D$15,MATCH($E105&amp;"|"&amp;$G105,KC_CURVAS!$K$5:$K$15,0)),IFERROR(INDEX(KC_CURVAS!$D$5:$D$15,MATCH($E105&amp;"|",KC_CURVAS!$K$5:$K$15,0)),""))</f>
        <v/>
      </c>
      <c r="M105" s="10">
        <f>IFERROR(INDEX(KC_CURVAS!$E$5:$E$15,MATCH($E105&amp;"|"&amp;$G105,KC_CURVAS!$K$5:$K$15,0)),IFERROR(INDEX(KC_CURVAS!$E$5:$E$15,MATCH($E105&amp;"|",KC_CURVAS!$K$5:$K$15,0)),""))</f>
        <v/>
      </c>
      <c r="N105" s="10">
        <f>IFERROR(INDEX(KC_CURVAS!$F$5:$F$15,MATCH($E105&amp;"|"&amp;$G105,KC_CURVAS!$K$5:$K$15,0)),IFERROR(INDEX(KC_CURVAS!$F$5:$F$15,MATCH($E105&amp;"|",KC_CURVAS!$K$5:$K$15,0)),""))</f>
        <v/>
      </c>
      <c r="O105" s="11">
        <f>IFERROR(INDEX(KC_CURVAS!$G$5:$G$15,MATCH($E105&amp;"|"&amp;$G105,KC_CURVAS!$K$5:$K$15,0)),IFERROR(INDEX(KC_CURVAS!$G$5:$G$15,MATCH($E105&amp;"|",KC_CURVAS!$K$5:$K$15,0)),""))</f>
        <v/>
      </c>
      <c r="P105" s="11">
        <f>IFERROR(INDEX(KC_CURVAS!$H$5:$H$15,MATCH($E105&amp;"|"&amp;$G105,KC_CURVAS!$K$5:$K$15,0)),IFERROR(INDEX(KC_CURVAS!$H$5:$H$15,MATCH($E105&amp;"|",KC_CURVAS!$K$5:$K$15,0)),""))</f>
        <v/>
      </c>
      <c r="Q105" s="11">
        <f>IFERROR(INDEX(KC_CURVAS!$I$5:$I$15,MATCH($E105&amp;"|"&amp;$G105,KC_CURVAS!$K$5:$K$15,0)),IFERROR(INDEX(KC_CURVAS!$I$5:$I$15,MATCH($E105&amp;"|",KC_CURVAS!$K$5:$K$15,0)),""))</f>
        <v/>
      </c>
      <c r="R105" s="12">
        <f>IF(OR($J105="",$K105=""),"PENDENTE",IF($J105&lt;=$K105,$O105,IF($J105&lt;=$K105+$L105,$O105+($P105-$O105)*($J105-$K105)/$L105,IF($J105&lt;=$K105+$L105+$M105,$P105,IF($J105&lt;=$K105+$L105+$M105+$N105,$P105+($Q105-$P105)*($J105-($K105+$L105+$M105))/$N105,$Q105)))))</f>
        <v/>
      </c>
      <c r="S105" s="13">
        <f>ETO_SEM</f>
        <v/>
      </c>
      <c r="T105" s="14">
        <f>IF(OR($R105="",$R105="PENDENTE"),"",$R105*$S105)</f>
        <v/>
      </c>
      <c r="U105" s="13" t="n">
        <v>0</v>
      </c>
      <c r="V105" s="14">
        <f>IF($T105="","",MAX(0,$T105-N($U105)))</f>
        <v/>
      </c>
      <c r="W105" s="14">
        <f>IF($V105="","",$V105/EF_APLIC)</f>
        <v/>
      </c>
      <c r="X105" s="15" t="n">
        <v>100</v>
      </c>
      <c r="Y105" s="16">
        <f>IF(OR($W105="",$X105=""),"",$W105*$X105*10)</f>
        <v/>
      </c>
      <c r="Z105" s="17">
        <f>IFERROR(INDEX('PARAMETROS'!$B$16:$B$19,MATCH($D105,'PARAMETROS'!$A$16:$A$19,0)),"")</f>
        <v/>
      </c>
      <c r="AA105" s="16">
        <f>IF(OR($Y105="",$Z105=""),"",$Y105*$Z105)</f>
        <v/>
      </c>
      <c r="AB105" s="18">
        <f>IF($R105="PENDENTE","Definir classe/Kc",IF($W105="","-",IF($W105&gt;0,"Irrigar","Nao irrigar")))</f>
        <v/>
      </c>
      <c r="AC105" s="18">
        <f>IF(OR($W105="",$W105=0),"-",IF($W105&gt;=META_SEM,"Alta",IF($W105&gt;=META_SEM*FRAC_ACOMP,"Media","Baixa")))</f>
        <v/>
      </c>
      <c r="AD105" s="19" t="inlineStr"/>
    </row>
    <row r="106">
      <c r="A106" s="5" t="inlineStr">
        <is>
          <t>T106</t>
        </is>
      </c>
      <c r="B106" s="5" t="inlineStr">
        <is>
          <t>RDM</t>
        </is>
      </c>
      <c r="C106" s="5" t="inlineStr"/>
      <c r="D106" s="5" t="inlineStr">
        <is>
          <t>RDM2</t>
        </is>
      </c>
      <c r="E106" s="5" t="inlineStr">
        <is>
          <t>SOJA</t>
        </is>
      </c>
      <c r="F106" s="6" t="inlineStr">
        <is>
          <t>NEO 761 I2X</t>
        </is>
      </c>
      <c r="G106" s="7" t="inlineStr">
        <is>
          <t>PRECOCE</t>
        </is>
      </c>
      <c r="H106" s="8" t="n">
        <v>46291</v>
      </c>
      <c r="I106" s="9">
        <f>IF($H106="","",DATA_REF-$H106)</f>
        <v/>
      </c>
      <c r="J106" s="9">
        <f>IF($I106="","",MAX(0,$I106-'PARAMETROS'!$B$12))</f>
        <v/>
      </c>
      <c r="K106" s="10">
        <f>IFERROR(INDEX(KC_CURVAS!$C$5:$C$15,MATCH($E106&amp;"|"&amp;$G106,KC_CURVAS!$K$5:$K$15,0)),IFERROR(INDEX(KC_CURVAS!$C$5:$C$15,MATCH($E106&amp;"|",KC_CURVAS!$K$5:$K$15,0)),""))</f>
        <v/>
      </c>
      <c r="L106" s="10">
        <f>IFERROR(INDEX(KC_CURVAS!$D$5:$D$15,MATCH($E106&amp;"|"&amp;$G106,KC_CURVAS!$K$5:$K$15,0)),IFERROR(INDEX(KC_CURVAS!$D$5:$D$15,MATCH($E106&amp;"|",KC_CURVAS!$K$5:$K$15,0)),""))</f>
        <v/>
      </c>
      <c r="M106" s="10">
        <f>IFERROR(INDEX(KC_CURVAS!$E$5:$E$15,MATCH($E106&amp;"|"&amp;$G106,KC_CURVAS!$K$5:$K$15,0)),IFERROR(INDEX(KC_CURVAS!$E$5:$E$15,MATCH($E106&amp;"|",KC_CURVAS!$K$5:$K$15,0)),""))</f>
        <v/>
      </c>
      <c r="N106" s="10">
        <f>IFERROR(INDEX(KC_CURVAS!$F$5:$F$15,MATCH($E106&amp;"|"&amp;$G106,KC_CURVAS!$K$5:$K$15,0)),IFERROR(INDEX(KC_CURVAS!$F$5:$F$15,MATCH($E106&amp;"|",KC_CURVAS!$K$5:$K$15,0)),""))</f>
        <v/>
      </c>
      <c r="O106" s="11">
        <f>IFERROR(INDEX(KC_CURVAS!$G$5:$G$15,MATCH($E106&amp;"|"&amp;$G106,KC_CURVAS!$K$5:$K$15,0)),IFERROR(INDEX(KC_CURVAS!$G$5:$G$15,MATCH($E106&amp;"|",KC_CURVAS!$K$5:$K$15,0)),""))</f>
        <v/>
      </c>
      <c r="P106" s="11">
        <f>IFERROR(INDEX(KC_CURVAS!$H$5:$H$15,MATCH($E106&amp;"|"&amp;$G106,KC_CURVAS!$K$5:$K$15,0)),IFERROR(INDEX(KC_CURVAS!$H$5:$H$15,MATCH($E106&amp;"|",KC_CURVAS!$K$5:$K$15,0)),""))</f>
        <v/>
      </c>
      <c r="Q106" s="11">
        <f>IFERROR(INDEX(KC_CURVAS!$I$5:$I$15,MATCH($E106&amp;"|"&amp;$G106,KC_CURVAS!$K$5:$K$15,0)),IFERROR(INDEX(KC_CURVAS!$I$5:$I$15,MATCH($E106&amp;"|",KC_CURVAS!$K$5:$K$15,0)),""))</f>
        <v/>
      </c>
      <c r="R106" s="12">
        <f>IF(OR($J106="",$K106=""),"PENDENTE",IF($J106&lt;=$K106,$O106,IF($J106&lt;=$K106+$L106,$O106+($P106-$O106)*($J106-$K106)/$L106,IF($J106&lt;=$K106+$L106+$M106,$P106,IF($J106&lt;=$K106+$L106+$M106+$N106,$P106+($Q106-$P106)*($J106-($K106+$L106+$M106))/$N106,$Q106)))))</f>
        <v/>
      </c>
      <c r="S106" s="13">
        <f>ETO_SEM</f>
        <v/>
      </c>
      <c r="T106" s="14">
        <f>IF(OR($R106="",$R106="PENDENTE"),"",$R106*$S106)</f>
        <v/>
      </c>
      <c r="U106" s="13" t="n">
        <v>0</v>
      </c>
      <c r="V106" s="14">
        <f>IF($T106="","",MAX(0,$T106-N($U106)))</f>
        <v/>
      </c>
      <c r="W106" s="14">
        <f>IF($V106="","",$V106/EF_APLIC)</f>
        <v/>
      </c>
      <c r="X106" s="15" t="n">
        <v>100</v>
      </c>
      <c r="Y106" s="16">
        <f>IF(OR($W106="",$X106=""),"",$W106*$X106*10)</f>
        <v/>
      </c>
      <c r="Z106" s="17">
        <f>IFERROR(INDEX('PARAMETROS'!$B$16:$B$19,MATCH($D106,'PARAMETROS'!$A$16:$A$19,0)),"")</f>
        <v/>
      </c>
      <c r="AA106" s="16">
        <f>IF(OR($Y106="",$Z106=""),"",$Y106*$Z106)</f>
        <v/>
      </c>
      <c r="AB106" s="18">
        <f>IF($R106="PENDENTE","Definir classe/Kc",IF($W106="","-",IF($W106&gt;0,"Irrigar","Nao irrigar")))</f>
        <v/>
      </c>
      <c r="AC106" s="18">
        <f>IF(OR($W106="",$W106=0),"-",IF($W106&gt;=META_SEM,"Alta",IF($W106&gt;=META_SEM*FRAC_ACOMP,"Media","Baixa")))</f>
        <v/>
      </c>
      <c r="AD106" s="19" t="inlineStr"/>
    </row>
    <row r="107">
      <c r="A107" s="5" t="inlineStr">
        <is>
          <t>T105</t>
        </is>
      </c>
      <c r="B107" s="5" t="inlineStr">
        <is>
          <t>RDM</t>
        </is>
      </c>
      <c r="C107" s="5" t="inlineStr"/>
      <c r="D107" s="5" t="inlineStr">
        <is>
          <t>RDM2</t>
        </is>
      </c>
      <c r="E107" s="5" t="inlineStr">
        <is>
          <t>SOJA</t>
        </is>
      </c>
      <c r="F107" s="6" t="inlineStr">
        <is>
          <t>COMBATE IPRO</t>
        </is>
      </c>
      <c r="G107" s="7" t="inlineStr">
        <is>
          <t>PRECOCE</t>
        </is>
      </c>
      <c r="H107" s="8" t="n">
        <v>46293</v>
      </c>
      <c r="I107" s="9">
        <f>IF($H107="","",DATA_REF-$H107)</f>
        <v/>
      </c>
      <c r="J107" s="9">
        <f>IF($I107="","",MAX(0,$I107-'PARAMETROS'!$B$12))</f>
        <v/>
      </c>
      <c r="K107" s="10">
        <f>IFERROR(INDEX(KC_CURVAS!$C$5:$C$15,MATCH($E107&amp;"|"&amp;$G107,KC_CURVAS!$K$5:$K$15,0)),IFERROR(INDEX(KC_CURVAS!$C$5:$C$15,MATCH($E107&amp;"|",KC_CURVAS!$K$5:$K$15,0)),""))</f>
        <v/>
      </c>
      <c r="L107" s="10">
        <f>IFERROR(INDEX(KC_CURVAS!$D$5:$D$15,MATCH($E107&amp;"|"&amp;$G107,KC_CURVAS!$K$5:$K$15,0)),IFERROR(INDEX(KC_CURVAS!$D$5:$D$15,MATCH($E107&amp;"|",KC_CURVAS!$K$5:$K$15,0)),""))</f>
        <v/>
      </c>
      <c r="M107" s="10">
        <f>IFERROR(INDEX(KC_CURVAS!$E$5:$E$15,MATCH($E107&amp;"|"&amp;$G107,KC_CURVAS!$K$5:$K$15,0)),IFERROR(INDEX(KC_CURVAS!$E$5:$E$15,MATCH($E107&amp;"|",KC_CURVAS!$K$5:$K$15,0)),""))</f>
        <v/>
      </c>
      <c r="N107" s="10">
        <f>IFERROR(INDEX(KC_CURVAS!$F$5:$F$15,MATCH($E107&amp;"|"&amp;$G107,KC_CURVAS!$K$5:$K$15,0)),IFERROR(INDEX(KC_CURVAS!$F$5:$F$15,MATCH($E107&amp;"|",KC_CURVAS!$K$5:$K$15,0)),""))</f>
        <v/>
      </c>
      <c r="O107" s="11">
        <f>IFERROR(INDEX(KC_CURVAS!$G$5:$G$15,MATCH($E107&amp;"|"&amp;$G107,KC_CURVAS!$K$5:$K$15,0)),IFERROR(INDEX(KC_CURVAS!$G$5:$G$15,MATCH($E107&amp;"|",KC_CURVAS!$K$5:$K$15,0)),""))</f>
        <v/>
      </c>
      <c r="P107" s="11">
        <f>IFERROR(INDEX(KC_CURVAS!$H$5:$H$15,MATCH($E107&amp;"|"&amp;$G107,KC_CURVAS!$K$5:$K$15,0)),IFERROR(INDEX(KC_CURVAS!$H$5:$H$15,MATCH($E107&amp;"|",KC_CURVAS!$K$5:$K$15,0)),""))</f>
        <v/>
      </c>
      <c r="Q107" s="11">
        <f>IFERROR(INDEX(KC_CURVAS!$I$5:$I$15,MATCH($E107&amp;"|"&amp;$G107,KC_CURVAS!$K$5:$K$15,0)),IFERROR(INDEX(KC_CURVAS!$I$5:$I$15,MATCH($E107&amp;"|",KC_CURVAS!$K$5:$K$15,0)),""))</f>
        <v/>
      </c>
      <c r="R107" s="12">
        <f>IF(OR($J107="",$K107=""),"PENDENTE",IF($J107&lt;=$K107,$O107,IF($J107&lt;=$K107+$L107,$O107+($P107-$O107)*($J107-$K107)/$L107,IF($J107&lt;=$K107+$L107+$M107,$P107,IF($J107&lt;=$K107+$L107+$M107+$N107,$P107+($Q107-$P107)*($J107-($K107+$L107+$M107))/$N107,$Q107)))))</f>
        <v/>
      </c>
      <c r="S107" s="13">
        <f>ETO_SEM</f>
        <v/>
      </c>
      <c r="T107" s="14">
        <f>IF(OR($R107="",$R107="PENDENTE"),"",$R107*$S107)</f>
        <v/>
      </c>
      <c r="U107" s="13" t="n">
        <v>0</v>
      </c>
      <c r="V107" s="14">
        <f>IF($T107="","",MAX(0,$T107-N($U107)))</f>
        <v/>
      </c>
      <c r="W107" s="14">
        <f>IF($V107="","",$V107/EF_APLIC)</f>
        <v/>
      </c>
      <c r="X107" s="15" t="n">
        <v>100</v>
      </c>
      <c r="Y107" s="16">
        <f>IF(OR($W107="",$X107=""),"",$W107*$X107*10)</f>
        <v/>
      </c>
      <c r="Z107" s="17">
        <f>IFERROR(INDEX('PARAMETROS'!$B$16:$B$19,MATCH($D107,'PARAMETROS'!$A$16:$A$19,0)),"")</f>
        <v/>
      </c>
      <c r="AA107" s="16">
        <f>IF(OR($Y107="",$Z107=""),"",$Y107*$Z107)</f>
        <v/>
      </c>
      <c r="AB107" s="18">
        <f>IF($R107="PENDENTE","Definir classe/Kc",IF($W107="","-",IF($W107&gt;0,"Irrigar","Nao irrigar")))</f>
        <v/>
      </c>
      <c r="AC107" s="18">
        <f>IF(OR($W107="",$W107=0),"-",IF($W107&gt;=META_SEM,"Alta",IF($W107&gt;=META_SEM*FRAC_ACOMP,"Media","Baixa")))</f>
        <v/>
      </c>
      <c r="AD107" s="19" t="inlineStr"/>
    </row>
    <row r="108">
      <c r="A108" s="5" t="inlineStr">
        <is>
          <t>T107</t>
        </is>
      </c>
      <c r="B108" s="5" t="inlineStr">
        <is>
          <t>RDM</t>
        </is>
      </c>
      <c r="C108" s="5" t="inlineStr"/>
      <c r="D108" s="5" t="inlineStr">
        <is>
          <t>RDM2</t>
        </is>
      </c>
      <c r="E108" s="5" t="inlineStr">
        <is>
          <t>SOJA</t>
        </is>
      </c>
      <c r="F108" s="6" t="inlineStr">
        <is>
          <t>NEO 761 I2X</t>
        </is>
      </c>
      <c r="G108" s="7" t="inlineStr">
        <is>
          <t>PRECOCE</t>
        </is>
      </c>
      <c r="H108" s="8" t="n">
        <v>46293</v>
      </c>
      <c r="I108" s="9">
        <f>IF($H108="","",DATA_REF-$H108)</f>
        <v/>
      </c>
      <c r="J108" s="9">
        <f>IF($I108="","",MAX(0,$I108-'PARAMETROS'!$B$12))</f>
        <v/>
      </c>
      <c r="K108" s="10">
        <f>IFERROR(INDEX(KC_CURVAS!$C$5:$C$15,MATCH($E108&amp;"|"&amp;$G108,KC_CURVAS!$K$5:$K$15,0)),IFERROR(INDEX(KC_CURVAS!$C$5:$C$15,MATCH($E108&amp;"|",KC_CURVAS!$K$5:$K$15,0)),""))</f>
        <v/>
      </c>
      <c r="L108" s="10">
        <f>IFERROR(INDEX(KC_CURVAS!$D$5:$D$15,MATCH($E108&amp;"|"&amp;$G108,KC_CURVAS!$K$5:$K$15,0)),IFERROR(INDEX(KC_CURVAS!$D$5:$D$15,MATCH($E108&amp;"|",KC_CURVAS!$K$5:$K$15,0)),""))</f>
        <v/>
      </c>
      <c r="M108" s="10">
        <f>IFERROR(INDEX(KC_CURVAS!$E$5:$E$15,MATCH($E108&amp;"|"&amp;$G108,KC_CURVAS!$K$5:$K$15,0)),IFERROR(INDEX(KC_CURVAS!$E$5:$E$15,MATCH($E108&amp;"|",KC_CURVAS!$K$5:$K$15,0)),""))</f>
        <v/>
      </c>
      <c r="N108" s="10">
        <f>IFERROR(INDEX(KC_CURVAS!$F$5:$F$15,MATCH($E108&amp;"|"&amp;$G108,KC_CURVAS!$K$5:$K$15,0)),IFERROR(INDEX(KC_CURVAS!$F$5:$F$15,MATCH($E108&amp;"|",KC_CURVAS!$K$5:$K$15,0)),""))</f>
        <v/>
      </c>
      <c r="O108" s="11">
        <f>IFERROR(INDEX(KC_CURVAS!$G$5:$G$15,MATCH($E108&amp;"|"&amp;$G108,KC_CURVAS!$K$5:$K$15,0)),IFERROR(INDEX(KC_CURVAS!$G$5:$G$15,MATCH($E108&amp;"|",KC_CURVAS!$K$5:$K$15,0)),""))</f>
        <v/>
      </c>
      <c r="P108" s="11">
        <f>IFERROR(INDEX(KC_CURVAS!$H$5:$H$15,MATCH($E108&amp;"|"&amp;$G108,KC_CURVAS!$K$5:$K$15,0)),IFERROR(INDEX(KC_CURVAS!$H$5:$H$15,MATCH($E108&amp;"|",KC_CURVAS!$K$5:$K$15,0)),""))</f>
        <v/>
      </c>
      <c r="Q108" s="11">
        <f>IFERROR(INDEX(KC_CURVAS!$I$5:$I$15,MATCH($E108&amp;"|"&amp;$G108,KC_CURVAS!$K$5:$K$15,0)),IFERROR(INDEX(KC_CURVAS!$I$5:$I$15,MATCH($E108&amp;"|",KC_CURVAS!$K$5:$K$15,0)),""))</f>
        <v/>
      </c>
      <c r="R108" s="12">
        <f>IF(OR($J108="",$K108=""),"PENDENTE",IF($J108&lt;=$K108,$O108,IF($J108&lt;=$K108+$L108,$O108+($P108-$O108)*($J108-$K108)/$L108,IF($J108&lt;=$K108+$L108+$M108,$P108,IF($J108&lt;=$K108+$L108+$M108+$N108,$P108+($Q108-$P108)*($J108-($K108+$L108+$M108))/$N108,$Q108)))))</f>
        <v/>
      </c>
      <c r="S108" s="13">
        <f>ETO_SEM</f>
        <v/>
      </c>
      <c r="T108" s="14">
        <f>IF(OR($R108="",$R108="PENDENTE"),"",$R108*$S108)</f>
        <v/>
      </c>
      <c r="U108" s="13" t="n">
        <v>0</v>
      </c>
      <c r="V108" s="14">
        <f>IF($T108="","",MAX(0,$T108-N($U108)))</f>
        <v/>
      </c>
      <c r="W108" s="14">
        <f>IF($V108="","",$V108/EF_APLIC)</f>
        <v/>
      </c>
      <c r="X108" s="15" t="n">
        <v>100</v>
      </c>
      <c r="Y108" s="16">
        <f>IF(OR($W108="",$X108=""),"",$W108*$X108*10)</f>
        <v/>
      </c>
      <c r="Z108" s="17">
        <f>IFERROR(INDEX('PARAMETROS'!$B$16:$B$19,MATCH($D108,'PARAMETROS'!$A$16:$A$19,0)),"")</f>
        <v/>
      </c>
      <c r="AA108" s="16">
        <f>IF(OR($Y108="",$Z108=""),"",$Y108*$Z108)</f>
        <v/>
      </c>
      <c r="AB108" s="18">
        <f>IF($R108="PENDENTE","Definir classe/Kc",IF($W108="","-",IF($W108&gt;0,"Irrigar","Nao irrigar")))</f>
        <v/>
      </c>
      <c r="AC108" s="18">
        <f>IF(OR($W108="",$W108=0),"-",IF($W108&gt;=META_SEM,"Alta",IF($W108&gt;=META_SEM*FRAC_ACOMP,"Media","Baixa")))</f>
        <v/>
      </c>
      <c r="AD108" s="19" t="inlineStr"/>
    </row>
    <row r="109">
      <c r="A109" s="5" t="inlineStr">
        <is>
          <t>T109</t>
        </is>
      </c>
      <c r="B109" s="5" t="inlineStr">
        <is>
          <t>RDM</t>
        </is>
      </c>
      <c r="C109" s="5" t="inlineStr"/>
      <c r="D109" s="5" t="inlineStr">
        <is>
          <t>RDM2</t>
        </is>
      </c>
      <c r="E109" s="5" t="inlineStr">
        <is>
          <t>SOJA</t>
        </is>
      </c>
      <c r="F109" s="6" t="inlineStr">
        <is>
          <t>NEO 690 I2X</t>
        </is>
      </c>
      <c r="G109" s="7" t="inlineStr">
        <is>
          <t>PRECOCE</t>
        </is>
      </c>
      <c r="H109" s="8" t="n">
        <v>46290</v>
      </c>
      <c r="I109" s="9">
        <f>IF($H109="","",DATA_REF-$H109)</f>
        <v/>
      </c>
      <c r="J109" s="9">
        <f>IF($I109="","",MAX(0,$I109-'PARAMETROS'!$B$12))</f>
        <v/>
      </c>
      <c r="K109" s="10">
        <f>IFERROR(INDEX(KC_CURVAS!$C$5:$C$15,MATCH($E109&amp;"|"&amp;$G109,KC_CURVAS!$K$5:$K$15,0)),IFERROR(INDEX(KC_CURVAS!$C$5:$C$15,MATCH($E109&amp;"|",KC_CURVAS!$K$5:$K$15,0)),""))</f>
        <v/>
      </c>
      <c r="L109" s="10">
        <f>IFERROR(INDEX(KC_CURVAS!$D$5:$D$15,MATCH($E109&amp;"|"&amp;$G109,KC_CURVAS!$K$5:$K$15,0)),IFERROR(INDEX(KC_CURVAS!$D$5:$D$15,MATCH($E109&amp;"|",KC_CURVAS!$K$5:$K$15,0)),""))</f>
        <v/>
      </c>
      <c r="M109" s="10">
        <f>IFERROR(INDEX(KC_CURVAS!$E$5:$E$15,MATCH($E109&amp;"|"&amp;$G109,KC_CURVAS!$K$5:$K$15,0)),IFERROR(INDEX(KC_CURVAS!$E$5:$E$15,MATCH($E109&amp;"|",KC_CURVAS!$K$5:$K$15,0)),""))</f>
        <v/>
      </c>
      <c r="N109" s="10">
        <f>IFERROR(INDEX(KC_CURVAS!$F$5:$F$15,MATCH($E109&amp;"|"&amp;$G109,KC_CURVAS!$K$5:$K$15,0)),IFERROR(INDEX(KC_CURVAS!$F$5:$F$15,MATCH($E109&amp;"|",KC_CURVAS!$K$5:$K$15,0)),""))</f>
        <v/>
      </c>
      <c r="O109" s="11">
        <f>IFERROR(INDEX(KC_CURVAS!$G$5:$G$15,MATCH($E109&amp;"|"&amp;$G109,KC_CURVAS!$K$5:$K$15,0)),IFERROR(INDEX(KC_CURVAS!$G$5:$G$15,MATCH($E109&amp;"|",KC_CURVAS!$K$5:$K$15,0)),""))</f>
        <v/>
      </c>
      <c r="P109" s="11">
        <f>IFERROR(INDEX(KC_CURVAS!$H$5:$H$15,MATCH($E109&amp;"|"&amp;$G109,KC_CURVAS!$K$5:$K$15,0)),IFERROR(INDEX(KC_CURVAS!$H$5:$H$15,MATCH($E109&amp;"|",KC_CURVAS!$K$5:$K$15,0)),""))</f>
        <v/>
      </c>
      <c r="Q109" s="11">
        <f>IFERROR(INDEX(KC_CURVAS!$I$5:$I$15,MATCH($E109&amp;"|"&amp;$G109,KC_CURVAS!$K$5:$K$15,0)),IFERROR(INDEX(KC_CURVAS!$I$5:$I$15,MATCH($E109&amp;"|",KC_CURVAS!$K$5:$K$15,0)),""))</f>
        <v/>
      </c>
      <c r="R109" s="12">
        <f>IF(OR($J109="",$K109=""),"PENDENTE",IF($J109&lt;=$K109,$O109,IF($J109&lt;=$K109+$L109,$O109+($P109-$O109)*($J109-$K109)/$L109,IF($J109&lt;=$K109+$L109+$M109,$P109,IF($J109&lt;=$K109+$L109+$M109+$N109,$P109+($Q109-$P109)*($J109-($K109+$L109+$M109))/$N109,$Q109)))))</f>
        <v/>
      </c>
      <c r="S109" s="13">
        <f>ETO_SEM</f>
        <v/>
      </c>
      <c r="T109" s="14">
        <f>IF(OR($R109="",$R109="PENDENTE"),"",$R109*$S109)</f>
        <v/>
      </c>
      <c r="U109" s="13" t="n">
        <v>0</v>
      </c>
      <c r="V109" s="14">
        <f>IF($T109="","",MAX(0,$T109-N($U109)))</f>
        <v/>
      </c>
      <c r="W109" s="14">
        <f>IF($V109="","",$V109/EF_APLIC)</f>
        <v/>
      </c>
      <c r="X109" s="15" t="n">
        <v>100</v>
      </c>
      <c r="Y109" s="16">
        <f>IF(OR($W109="",$X109=""),"",$W109*$X109*10)</f>
        <v/>
      </c>
      <c r="Z109" s="17">
        <f>IFERROR(INDEX('PARAMETROS'!$B$16:$B$19,MATCH($D109,'PARAMETROS'!$A$16:$A$19,0)),"")</f>
        <v/>
      </c>
      <c r="AA109" s="16">
        <f>IF(OR($Y109="",$Z109=""),"",$Y109*$Z109)</f>
        <v/>
      </c>
      <c r="AB109" s="18">
        <f>IF($R109="PENDENTE","Definir classe/Kc",IF($W109="","-",IF($W109&gt;0,"Irrigar","Nao irrigar")))</f>
        <v/>
      </c>
      <c r="AC109" s="18">
        <f>IF(OR($W109="",$W109=0),"-",IF($W109&gt;=META_SEM,"Alta",IF($W109&gt;=META_SEM*FRAC_ACOMP,"Media","Baixa")))</f>
        <v/>
      </c>
      <c r="AD109" s="19" t="inlineStr"/>
    </row>
    <row r="110">
      <c r="A110" s="5" t="inlineStr">
        <is>
          <t>T3</t>
        </is>
      </c>
      <c r="B110" s="5" t="inlineStr">
        <is>
          <t>KARITEL</t>
        </is>
      </c>
      <c r="C110" s="5" t="inlineStr"/>
      <c r="D110" s="5" t="inlineStr">
        <is>
          <t>KM1</t>
        </is>
      </c>
      <c r="E110" s="5" t="inlineStr">
        <is>
          <t>SOJA</t>
        </is>
      </c>
      <c r="F110" s="6" t="inlineStr">
        <is>
          <t>COMBATE IPRO</t>
        </is>
      </c>
      <c r="G110" s="7" t="inlineStr">
        <is>
          <t>PRECOCE</t>
        </is>
      </c>
      <c r="H110" s="8" t="n">
        <v>46288</v>
      </c>
      <c r="I110" s="9">
        <f>IF($H110="","",DATA_REF-$H110)</f>
        <v/>
      </c>
      <c r="J110" s="9">
        <f>IF($I110="","",MAX(0,$I110-'PARAMETROS'!$B$12))</f>
        <v/>
      </c>
      <c r="K110" s="10">
        <f>IFERROR(INDEX(KC_CURVAS!$C$5:$C$15,MATCH($E110&amp;"|"&amp;$G110,KC_CURVAS!$K$5:$K$15,0)),IFERROR(INDEX(KC_CURVAS!$C$5:$C$15,MATCH($E110&amp;"|",KC_CURVAS!$K$5:$K$15,0)),""))</f>
        <v/>
      </c>
      <c r="L110" s="10">
        <f>IFERROR(INDEX(KC_CURVAS!$D$5:$D$15,MATCH($E110&amp;"|"&amp;$G110,KC_CURVAS!$K$5:$K$15,0)),IFERROR(INDEX(KC_CURVAS!$D$5:$D$15,MATCH($E110&amp;"|",KC_CURVAS!$K$5:$K$15,0)),""))</f>
        <v/>
      </c>
      <c r="M110" s="10">
        <f>IFERROR(INDEX(KC_CURVAS!$E$5:$E$15,MATCH($E110&amp;"|"&amp;$G110,KC_CURVAS!$K$5:$K$15,0)),IFERROR(INDEX(KC_CURVAS!$E$5:$E$15,MATCH($E110&amp;"|",KC_CURVAS!$K$5:$K$15,0)),""))</f>
        <v/>
      </c>
      <c r="N110" s="10">
        <f>IFERROR(INDEX(KC_CURVAS!$F$5:$F$15,MATCH($E110&amp;"|"&amp;$G110,KC_CURVAS!$K$5:$K$15,0)),IFERROR(INDEX(KC_CURVAS!$F$5:$F$15,MATCH($E110&amp;"|",KC_CURVAS!$K$5:$K$15,0)),""))</f>
        <v/>
      </c>
      <c r="O110" s="11">
        <f>IFERROR(INDEX(KC_CURVAS!$G$5:$G$15,MATCH($E110&amp;"|"&amp;$G110,KC_CURVAS!$K$5:$K$15,0)),IFERROR(INDEX(KC_CURVAS!$G$5:$G$15,MATCH($E110&amp;"|",KC_CURVAS!$K$5:$K$15,0)),""))</f>
        <v/>
      </c>
      <c r="P110" s="11">
        <f>IFERROR(INDEX(KC_CURVAS!$H$5:$H$15,MATCH($E110&amp;"|"&amp;$G110,KC_CURVAS!$K$5:$K$15,0)),IFERROR(INDEX(KC_CURVAS!$H$5:$H$15,MATCH($E110&amp;"|",KC_CURVAS!$K$5:$K$15,0)),""))</f>
        <v/>
      </c>
      <c r="Q110" s="11">
        <f>IFERROR(INDEX(KC_CURVAS!$I$5:$I$15,MATCH($E110&amp;"|"&amp;$G110,KC_CURVAS!$K$5:$K$15,0)),IFERROR(INDEX(KC_CURVAS!$I$5:$I$15,MATCH($E110&amp;"|",KC_CURVAS!$K$5:$K$15,0)),""))</f>
        <v/>
      </c>
      <c r="R110" s="12">
        <f>IF(OR($J110="",$K110=""),"PENDENTE",IF($J110&lt;=$K110,$O110,IF($J110&lt;=$K110+$L110,$O110+($P110-$O110)*($J110-$K110)/$L110,IF($J110&lt;=$K110+$L110+$M110,$P110,IF($J110&lt;=$K110+$L110+$M110+$N110,$P110+($Q110-$P110)*($J110-($K110+$L110+$M110))/$N110,$Q110)))))</f>
        <v/>
      </c>
      <c r="S110" s="13">
        <f>ETO_SEM</f>
        <v/>
      </c>
      <c r="T110" s="14">
        <f>IF(OR($R110="",$R110="PENDENTE"),"",$R110*$S110)</f>
        <v/>
      </c>
      <c r="U110" s="13" t="n">
        <v>0</v>
      </c>
      <c r="V110" s="14">
        <f>IF($T110="","",MAX(0,$T110-N($U110)))</f>
        <v/>
      </c>
      <c r="W110" s="14">
        <f>IF($V110="","",$V110/EF_APLIC)</f>
        <v/>
      </c>
      <c r="X110" s="15" t="n">
        <v>150</v>
      </c>
      <c r="Y110" s="16">
        <f>IF(OR($W110="",$X110=""),"",$W110*$X110*10)</f>
        <v/>
      </c>
      <c r="Z110" s="17">
        <f>IFERROR(INDEX('PARAMETROS'!$B$16:$B$19,MATCH($D110,'PARAMETROS'!$A$16:$A$19,0)),"")</f>
        <v/>
      </c>
      <c r="AA110" s="16">
        <f>IF(OR($Y110="",$Z110=""),"",$Y110*$Z110)</f>
        <v/>
      </c>
      <c r="AB110" s="18">
        <f>IF($R110="PENDENTE","Definir classe/Kc",IF($W110="","-",IF($W110&gt;0,"Irrigar","Nao irrigar")))</f>
        <v/>
      </c>
      <c r="AC110" s="18">
        <f>IF(OR($W110="",$W110=0),"-",IF($W110&gt;=META_SEM,"Alta",IF($W110&gt;=META_SEM*FRAC_ACOMP,"Media","Baixa")))</f>
        <v/>
      </c>
      <c r="AD110" s="19" t="inlineStr"/>
    </row>
    <row r="111">
      <c r="A111" s="5" t="inlineStr">
        <is>
          <t>T72</t>
        </is>
      </c>
      <c r="B111" s="5" t="inlineStr">
        <is>
          <t>KARITEL</t>
        </is>
      </c>
      <c r="C111" s="5" t="inlineStr"/>
      <c r="D111" s="5" t="inlineStr">
        <is>
          <t>KM2</t>
        </is>
      </c>
      <c r="E111" s="5" t="inlineStr">
        <is>
          <t>SOJA</t>
        </is>
      </c>
      <c r="F111" s="6" t="inlineStr">
        <is>
          <t>COMBATE IPRO</t>
        </is>
      </c>
      <c r="G111" s="7" t="inlineStr">
        <is>
          <t>PRECOCE</t>
        </is>
      </c>
      <c r="H111" s="8" t="n">
        <v>46294</v>
      </c>
      <c r="I111" s="9">
        <f>IF($H111="","",DATA_REF-$H111)</f>
        <v/>
      </c>
      <c r="J111" s="9">
        <f>IF($I111="","",MAX(0,$I111-'PARAMETROS'!$B$12))</f>
        <v/>
      </c>
      <c r="K111" s="10">
        <f>IFERROR(INDEX(KC_CURVAS!$C$5:$C$15,MATCH($E111&amp;"|"&amp;$G111,KC_CURVAS!$K$5:$K$15,0)),IFERROR(INDEX(KC_CURVAS!$C$5:$C$15,MATCH($E111&amp;"|",KC_CURVAS!$K$5:$K$15,0)),""))</f>
        <v/>
      </c>
      <c r="L111" s="10">
        <f>IFERROR(INDEX(KC_CURVAS!$D$5:$D$15,MATCH($E111&amp;"|"&amp;$G111,KC_CURVAS!$K$5:$K$15,0)),IFERROR(INDEX(KC_CURVAS!$D$5:$D$15,MATCH($E111&amp;"|",KC_CURVAS!$K$5:$K$15,0)),""))</f>
        <v/>
      </c>
      <c r="M111" s="10">
        <f>IFERROR(INDEX(KC_CURVAS!$E$5:$E$15,MATCH($E111&amp;"|"&amp;$G111,KC_CURVAS!$K$5:$K$15,0)),IFERROR(INDEX(KC_CURVAS!$E$5:$E$15,MATCH($E111&amp;"|",KC_CURVAS!$K$5:$K$15,0)),""))</f>
        <v/>
      </c>
      <c r="N111" s="10">
        <f>IFERROR(INDEX(KC_CURVAS!$F$5:$F$15,MATCH($E111&amp;"|"&amp;$G111,KC_CURVAS!$K$5:$K$15,0)),IFERROR(INDEX(KC_CURVAS!$F$5:$F$15,MATCH($E111&amp;"|",KC_CURVAS!$K$5:$K$15,0)),""))</f>
        <v/>
      </c>
      <c r="O111" s="11">
        <f>IFERROR(INDEX(KC_CURVAS!$G$5:$G$15,MATCH($E111&amp;"|"&amp;$G111,KC_CURVAS!$K$5:$K$15,0)),IFERROR(INDEX(KC_CURVAS!$G$5:$G$15,MATCH($E111&amp;"|",KC_CURVAS!$K$5:$K$15,0)),""))</f>
        <v/>
      </c>
      <c r="P111" s="11">
        <f>IFERROR(INDEX(KC_CURVAS!$H$5:$H$15,MATCH($E111&amp;"|"&amp;$G111,KC_CURVAS!$K$5:$K$15,0)),IFERROR(INDEX(KC_CURVAS!$H$5:$H$15,MATCH($E111&amp;"|",KC_CURVAS!$K$5:$K$15,0)),""))</f>
        <v/>
      </c>
      <c r="Q111" s="11">
        <f>IFERROR(INDEX(KC_CURVAS!$I$5:$I$15,MATCH($E111&amp;"|"&amp;$G111,KC_CURVAS!$K$5:$K$15,0)),IFERROR(INDEX(KC_CURVAS!$I$5:$I$15,MATCH($E111&amp;"|",KC_CURVAS!$K$5:$K$15,0)),""))</f>
        <v/>
      </c>
      <c r="R111" s="12">
        <f>IF(OR($J111="",$K111=""),"PENDENTE",IF($J111&lt;=$K111,$O111,IF($J111&lt;=$K111+$L111,$O111+($P111-$O111)*($J111-$K111)/$L111,IF($J111&lt;=$K111+$L111+$M111,$P111,IF($J111&lt;=$K111+$L111+$M111+$N111,$P111+($Q111-$P111)*($J111-($K111+$L111+$M111))/$N111,$Q111)))))</f>
        <v/>
      </c>
      <c r="S111" s="13">
        <f>ETO_SEM</f>
        <v/>
      </c>
      <c r="T111" s="14">
        <f>IF(OR($R111="",$R111="PENDENTE"),"",$R111*$S111)</f>
        <v/>
      </c>
      <c r="U111" s="13" t="n">
        <v>0</v>
      </c>
      <c r="V111" s="14">
        <f>IF($T111="","",MAX(0,$T111-N($U111)))</f>
        <v/>
      </c>
      <c r="W111" s="14">
        <f>IF($V111="","",$V111/EF_APLIC)</f>
        <v/>
      </c>
      <c r="X111" s="15" t="n">
        <v>125</v>
      </c>
      <c r="Y111" s="16">
        <f>IF(OR($W111="",$X111=""),"",$W111*$X111*10)</f>
        <v/>
      </c>
      <c r="Z111" s="17">
        <f>IFERROR(INDEX('PARAMETROS'!$B$16:$B$19,MATCH($D111,'PARAMETROS'!$A$16:$A$19,0)),"")</f>
        <v/>
      </c>
      <c r="AA111" s="16">
        <f>IF(OR($Y111="",$Z111=""),"",$Y111*$Z111)</f>
        <v/>
      </c>
      <c r="AB111" s="18">
        <f>IF($R111="PENDENTE","Definir classe/Kc",IF($W111="","-",IF($W111&gt;0,"Irrigar","Nao irrigar")))</f>
        <v/>
      </c>
      <c r="AC111" s="18">
        <f>IF(OR($W111="",$W111=0),"-",IF($W111&gt;=META_SEM,"Alta",IF($W111&gt;=META_SEM*FRAC_ACOMP,"Media","Baixa")))</f>
        <v/>
      </c>
      <c r="AD111" s="19" t="inlineStr"/>
    </row>
    <row r="112">
      <c r="A112" s="5" t="inlineStr">
        <is>
          <t>T44</t>
        </is>
      </c>
      <c r="B112" s="5" t="inlineStr">
        <is>
          <t>KARITEL</t>
        </is>
      </c>
      <c r="C112" s="5" t="inlineStr"/>
      <c r="D112" s="5" t="inlineStr">
        <is>
          <t>KM2</t>
        </is>
      </c>
      <c r="E112" s="5" t="inlineStr">
        <is>
          <t>SOJA</t>
        </is>
      </c>
      <c r="F112" s="6" t="inlineStr">
        <is>
          <t>NEO 761 I2X</t>
        </is>
      </c>
      <c r="G112" s="7" t="inlineStr">
        <is>
          <t>PRECOCE</t>
        </is>
      </c>
      <c r="H112" s="8" t="n">
        <v>46296</v>
      </c>
      <c r="I112" s="9">
        <f>IF($H112="","",DATA_REF-$H112)</f>
        <v/>
      </c>
      <c r="J112" s="9">
        <f>IF($I112="","",MAX(0,$I112-'PARAMETROS'!$B$12))</f>
        <v/>
      </c>
      <c r="K112" s="10">
        <f>IFERROR(INDEX(KC_CURVAS!$C$5:$C$15,MATCH($E112&amp;"|"&amp;$G112,KC_CURVAS!$K$5:$K$15,0)),IFERROR(INDEX(KC_CURVAS!$C$5:$C$15,MATCH($E112&amp;"|",KC_CURVAS!$K$5:$K$15,0)),""))</f>
        <v/>
      </c>
      <c r="L112" s="10">
        <f>IFERROR(INDEX(KC_CURVAS!$D$5:$D$15,MATCH($E112&amp;"|"&amp;$G112,KC_CURVAS!$K$5:$K$15,0)),IFERROR(INDEX(KC_CURVAS!$D$5:$D$15,MATCH($E112&amp;"|",KC_CURVAS!$K$5:$K$15,0)),""))</f>
        <v/>
      </c>
      <c r="M112" s="10">
        <f>IFERROR(INDEX(KC_CURVAS!$E$5:$E$15,MATCH($E112&amp;"|"&amp;$G112,KC_CURVAS!$K$5:$K$15,0)),IFERROR(INDEX(KC_CURVAS!$E$5:$E$15,MATCH($E112&amp;"|",KC_CURVAS!$K$5:$K$15,0)),""))</f>
        <v/>
      </c>
      <c r="N112" s="10">
        <f>IFERROR(INDEX(KC_CURVAS!$F$5:$F$15,MATCH($E112&amp;"|"&amp;$G112,KC_CURVAS!$K$5:$K$15,0)),IFERROR(INDEX(KC_CURVAS!$F$5:$F$15,MATCH($E112&amp;"|",KC_CURVAS!$K$5:$K$15,0)),""))</f>
        <v/>
      </c>
      <c r="O112" s="11">
        <f>IFERROR(INDEX(KC_CURVAS!$G$5:$G$15,MATCH($E112&amp;"|"&amp;$G112,KC_CURVAS!$K$5:$K$15,0)),IFERROR(INDEX(KC_CURVAS!$G$5:$G$15,MATCH($E112&amp;"|",KC_CURVAS!$K$5:$K$15,0)),""))</f>
        <v/>
      </c>
      <c r="P112" s="11">
        <f>IFERROR(INDEX(KC_CURVAS!$H$5:$H$15,MATCH($E112&amp;"|"&amp;$G112,KC_CURVAS!$K$5:$K$15,0)),IFERROR(INDEX(KC_CURVAS!$H$5:$H$15,MATCH($E112&amp;"|",KC_CURVAS!$K$5:$K$15,0)),""))</f>
        <v/>
      </c>
      <c r="Q112" s="11">
        <f>IFERROR(INDEX(KC_CURVAS!$I$5:$I$15,MATCH($E112&amp;"|"&amp;$G112,KC_CURVAS!$K$5:$K$15,0)),IFERROR(INDEX(KC_CURVAS!$I$5:$I$15,MATCH($E112&amp;"|",KC_CURVAS!$K$5:$K$15,0)),""))</f>
        <v/>
      </c>
      <c r="R112" s="12">
        <f>IF(OR($J112="",$K112=""),"PENDENTE",IF($J112&lt;=$K112,$O112,IF($J112&lt;=$K112+$L112,$O112+($P112-$O112)*($J112-$K112)/$L112,IF($J112&lt;=$K112+$L112+$M112,$P112,IF($J112&lt;=$K112+$L112+$M112+$N112,$P112+($Q112-$P112)*($J112-($K112+$L112+$M112))/$N112,$Q112)))))</f>
        <v/>
      </c>
      <c r="S112" s="13">
        <f>ETO_SEM</f>
        <v/>
      </c>
      <c r="T112" s="14">
        <f>IF(OR($R112="",$R112="PENDENTE"),"",$R112*$S112)</f>
        <v/>
      </c>
      <c r="U112" s="13" t="n">
        <v>0</v>
      </c>
      <c r="V112" s="14">
        <f>IF($T112="","",MAX(0,$T112-N($U112)))</f>
        <v/>
      </c>
      <c r="W112" s="14">
        <f>IF($V112="","",$V112/EF_APLIC)</f>
        <v/>
      </c>
      <c r="X112" s="15" t="n">
        <v>75</v>
      </c>
      <c r="Y112" s="16">
        <f>IF(OR($W112="",$X112=""),"",$W112*$X112*10)</f>
        <v/>
      </c>
      <c r="Z112" s="17">
        <f>IFERROR(INDEX('PARAMETROS'!$B$16:$B$19,MATCH($D112,'PARAMETROS'!$A$16:$A$19,0)),"")</f>
        <v/>
      </c>
      <c r="AA112" s="16">
        <f>IF(OR($Y112="",$Z112=""),"",$Y112*$Z112)</f>
        <v/>
      </c>
      <c r="AB112" s="18">
        <f>IF($R112="PENDENTE","Definir classe/Kc",IF($W112="","-",IF($W112&gt;0,"Irrigar","Nao irrigar")))</f>
        <v/>
      </c>
      <c r="AC112" s="18">
        <f>IF(OR($W112="",$W112=0),"-",IF($W112&gt;=META_SEM,"Alta",IF($W112&gt;=META_SEM*FRAC_ACOMP,"Media","Baixa")))</f>
        <v/>
      </c>
      <c r="AD112" s="19" t="inlineStr"/>
    </row>
    <row r="113">
      <c r="A113" s="5" t="inlineStr">
        <is>
          <t>T73</t>
        </is>
      </c>
      <c r="B113" s="5" t="inlineStr">
        <is>
          <t>KARITEL</t>
        </is>
      </c>
      <c r="C113" s="5" t="inlineStr"/>
      <c r="D113" s="5" t="inlineStr">
        <is>
          <t>KM2</t>
        </is>
      </c>
      <c r="E113" s="5" t="inlineStr">
        <is>
          <t>SOJA</t>
        </is>
      </c>
      <c r="F113" s="6" t="inlineStr">
        <is>
          <t>ATAQUE I2X</t>
        </is>
      </c>
      <c r="G113" s="7" t="inlineStr">
        <is>
          <t>TARDIA</t>
        </is>
      </c>
      <c r="H113" s="8" t="n">
        <v>46296</v>
      </c>
      <c r="I113" s="9">
        <f>IF($H113="","",DATA_REF-$H113)</f>
        <v/>
      </c>
      <c r="J113" s="9">
        <f>IF($I113="","",MAX(0,$I113-'PARAMETROS'!$B$12))</f>
        <v/>
      </c>
      <c r="K113" s="10">
        <f>IFERROR(INDEX(KC_CURVAS!$C$5:$C$15,MATCH($E113&amp;"|"&amp;$G113,KC_CURVAS!$K$5:$K$15,0)),IFERROR(INDEX(KC_CURVAS!$C$5:$C$15,MATCH($E113&amp;"|",KC_CURVAS!$K$5:$K$15,0)),""))</f>
        <v/>
      </c>
      <c r="L113" s="10">
        <f>IFERROR(INDEX(KC_CURVAS!$D$5:$D$15,MATCH($E113&amp;"|"&amp;$G113,KC_CURVAS!$K$5:$K$15,0)),IFERROR(INDEX(KC_CURVAS!$D$5:$D$15,MATCH($E113&amp;"|",KC_CURVAS!$K$5:$K$15,0)),""))</f>
        <v/>
      </c>
      <c r="M113" s="10">
        <f>IFERROR(INDEX(KC_CURVAS!$E$5:$E$15,MATCH($E113&amp;"|"&amp;$G113,KC_CURVAS!$K$5:$K$15,0)),IFERROR(INDEX(KC_CURVAS!$E$5:$E$15,MATCH($E113&amp;"|",KC_CURVAS!$K$5:$K$15,0)),""))</f>
        <v/>
      </c>
      <c r="N113" s="10">
        <f>IFERROR(INDEX(KC_CURVAS!$F$5:$F$15,MATCH($E113&amp;"|"&amp;$G113,KC_CURVAS!$K$5:$K$15,0)),IFERROR(INDEX(KC_CURVAS!$F$5:$F$15,MATCH($E113&amp;"|",KC_CURVAS!$K$5:$K$15,0)),""))</f>
        <v/>
      </c>
      <c r="O113" s="11">
        <f>IFERROR(INDEX(KC_CURVAS!$G$5:$G$15,MATCH($E113&amp;"|"&amp;$G113,KC_CURVAS!$K$5:$K$15,0)),IFERROR(INDEX(KC_CURVAS!$G$5:$G$15,MATCH($E113&amp;"|",KC_CURVAS!$K$5:$K$15,0)),""))</f>
        <v/>
      </c>
      <c r="P113" s="11">
        <f>IFERROR(INDEX(KC_CURVAS!$H$5:$H$15,MATCH($E113&amp;"|"&amp;$G113,KC_CURVAS!$K$5:$K$15,0)),IFERROR(INDEX(KC_CURVAS!$H$5:$H$15,MATCH($E113&amp;"|",KC_CURVAS!$K$5:$K$15,0)),""))</f>
        <v/>
      </c>
      <c r="Q113" s="11">
        <f>IFERROR(INDEX(KC_CURVAS!$I$5:$I$15,MATCH($E113&amp;"|"&amp;$G113,KC_CURVAS!$K$5:$K$15,0)),IFERROR(INDEX(KC_CURVAS!$I$5:$I$15,MATCH($E113&amp;"|",KC_CURVAS!$K$5:$K$15,0)),""))</f>
        <v/>
      </c>
      <c r="R113" s="12">
        <f>IF(OR($J113="",$K113=""),"PENDENTE",IF($J113&lt;=$K113,$O113,IF($J113&lt;=$K113+$L113,$O113+($P113-$O113)*($J113-$K113)/$L113,IF($J113&lt;=$K113+$L113+$M113,$P113,IF($J113&lt;=$K113+$L113+$M113+$N113,$P113+($Q113-$P113)*($J113-($K113+$L113+$M113))/$N113,$Q113)))))</f>
        <v/>
      </c>
      <c r="S113" s="13">
        <f>ETO_SEM</f>
        <v/>
      </c>
      <c r="T113" s="14">
        <f>IF(OR($R113="",$R113="PENDENTE"),"",$R113*$S113)</f>
        <v/>
      </c>
      <c r="U113" s="13" t="n">
        <v>0</v>
      </c>
      <c r="V113" s="14">
        <f>IF($T113="","",MAX(0,$T113-N($U113)))</f>
        <v/>
      </c>
      <c r="W113" s="14">
        <f>IF($V113="","",$V113/EF_APLIC)</f>
        <v/>
      </c>
      <c r="X113" s="15" t="n">
        <v>160</v>
      </c>
      <c r="Y113" s="16">
        <f>IF(OR($W113="",$X113=""),"",$W113*$X113*10)</f>
        <v/>
      </c>
      <c r="Z113" s="17">
        <f>IFERROR(INDEX('PARAMETROS'!$B$16:$B$19,MATCH($D113,'PARAMETROS'!$A$16:$A$19,0)),"")</f>
        <v/>
      </c>
      <c r="AA113" s="16">
        <f>IF(OR($Y113="",$Z113=""),"",$Y113*$Z113)</f>
        <v/>
      </c>
      <c r="AB113" s="18">
        <f>IF($R113="PENDENTE","Definir classe/Kc",IF($W113="","-",IF($W113&gt;0,"Irrigar","Nao irrigar")))</f>
        <v/>
      </c>
      <c r="AC113" s="18">
        <f>IF(OR($W113="",$W113=0),"-",IF($W113&gt;=META_SEM,"Alta",IF($W113&gt;=META_SEM*FRAC_ACOMP,"Media","Baixa")))</f>
        <v/>
      </c>
      <c r="AD113" s="19" t="inlineStr"/>
    </row>
    <row r="114">
      <c r="A114" s="5" t="inlineStr">
        <is>
          <t>T15</t>
        </is>
      </c>
      <c r="B114" s="5" t="inlineStr">
        <is>
          <t>KARITEL</t>
        </is>
      </c>
      <c r="C114" s="5" t="inlineStr"/>
      <c r="D114" s="5" t="inlineStr">
        <is>
          <t>KM1</t>
        </is>
      </c>
      <c r="E114" s="5" t="inlineStr">
        <is>
          <t>SOJA</t>
        </is>
      </c>
      <c r="F114" s="6" t="inlineStr">
        <is>
          <t>CZ 37B07 I2X</t>
        </is>
      </c>
      <c r="G114" s="7" t="inlineStr">
        <is>
          <t>PRECOCE</t>
        </is>
      </c>
      <c r="H114" s="8" t="n">
        <v>46297</v>
      </c>
      <c r="I114" s="9">
        <f>IF($H114="","",DATA_REF-$H114)</f>
        <v/>
      </c>
      <c r="J114" s="9">
        <f>IF($I114="","",MAX(0,$I114-'PARAMETROS'!$B$12))</f>
        <v/>
      </c>
      <c r="K114" s="10">
        <f>IFERROR(INDEX(KC_CURVAS!$C$5:$C$15,MATCH($E114&amp;"|"&amp;$G114,KC_CURVAS!$K$5:$K$15,0)),IFERROR(INDEX(KC_CURVAS!$C$5:$C$15,MATCH($E114&amp;"|",KC_CURVAS!$K$5:$K$15,0)),""))</f>
        <v/>
      </c>
      <c r="L114" s="10">
        <f>IFERROR(INDEX(KC_CURVAS!$D$5:$D$15,MATCH($E114&amp;"|"&amp;$G114,KC_CURVAS!$K$5:$K$15,0)),IFERROR(INDEX(KC_CURVAS!$D$5:$D$15,MATCH($E114&amp;"|",KC_CURVAS!$K$5:$K$15,0)),""))</f>
        <v/>
      </c>
      <c r="M114" s="10">
        <f>IFERROR(INDEX(KC_CURVAS!$E$5:$E$15,MATCH($E114&amp;"|"&amp;$G114,KC_CURVAS!$K$5:$K$15,0)),IFERROR(INDEX(KC_CURVAS!$E$5:$E$15,MATCH($E114&amp;"|",KC_CURVAS!$K$5:$K$15,0)),""))</f>
        <v/>
      </c>
      <c r="N114" s="10">
        <f>IFERROR(INDEX(KC_CURVAS!$F$5:$F$15,MATCH($E114&amp;"|"&amp;$G114,KC_CURVAS!$K$5:$K$15,0)),IFERROR(INDEX(KC_CURVAS!$F$5:$F$15,MATCH($E114&amp;"|",KC_CURVAS!$K$5:$K$15,0)),""))</f>
        <v/>
      </c>
      <c r="O114" s="11">
        <f>IFERROR(INDEX(KC_CURVAS!$G$5:$G$15,MATCH($E114&amp;"|"&amp;$G114,KC_CURVAS!$K$5:$K$15,0)),IFERROR(INDEX(KC_CURVAS!$G$5:$G$15,MATCH($E114&amp;"|",KC_CURVAS!$K$5:$K$15,0)),""))</f>
        <v/>
      </c>
      <c r="P114" s="11">
        <f>IFERROR(INDEX(KC_CURVAS!$H$5:$H$15,MATCH($E114&amp;"|"&amp;$G114,KC_CURVAS!$K$5:$K$15,0)),IFERROR(INDEX(KC_CURVAS!$H$5:$H$15,MATCH($E114&amp;"|",KC_CURVAS!$K$5:$K$15,0)),""))</f>
        <v/>
      </c>
      <c r="Q114" s="11">
        <f>IFERROR(INDEX(KC_CURVAS!$I$5:$I$15,MATCH($E114&amp;"|"&amp;$G114,KC_CURVAS!$K$5:$K$15,0)),IFERROR(INDEX(KC_CURVAS!$I$5:$I$15,MATCH($E114&amp;"|",KC_CURVAS!$K$5:$K$15,0)),""))</f>
        <v/>
      </c>
      <c r="R114" s="12">
        <f>IF(OR($J114="",$K114=""),"PENDENTE",IF($J114&lt;=$K114,$O114,IF($J114&lt;=$K114+$L114,$O114+($P114-$O114)*($J114-$K114)/$L114,IF($J114&lt;=$K114+$L114+$M114,$P114,IF($J114&lt;=$K114+$L114+$M114+$N114,$P114+($Q114-$P114)*($J114-($K114+$L114+$M114))/$N114,$Q114)))))</f>
        <v/>
      </c>
      <c r="S114" s="13">
        <f>ETO_SEM</f>
        <v/>
      </c>
      <c r="T114" s="14">
        <f>IF(OR($R114="",$R114="PENDENTE"),"",$R114*$S114)</f>
        <v/>
      </c>
      <c r="U114" s="13" t="n">
        <v>0</v>
      </c>
      <c r="V114" s="14">
        <f>IF($T114="","",MAX(0,$T114-N($U114)))</f>
        <v/>
      </c>
      <c r="W114" s="14">
        <f>IF($V114="","",$V114/EF_APLIC)</f>
        <v/>
      </c>
      <c r="X114" s="15" t="n">
        <v>150</v>
      </c>
      <c r="Y114" s="16">
        <f>IF(OR($W114="",$X114=""),"",$W114*$X114*10)</f>
        <v/>
      </c>
      <c r="Z114" s="17">
        <f>IFERROR(INDEX('PARAMETROS'!$B$16:$B$19,MATCH($D114,'PARAMETROS'!$A$16:$A$19,0)),"")</f>
        <v/>
      </c>
      <c r="AA114" s="16">
        <f>IF(OR($Y114="",$Z114=""),"",$Y114*$Z114)</f>
        <v/>
      </c>
      <c r="AB114" s="18">
        <f>IF($R114="PENDENTE","Definir classe/Kc",IF($W114="","-",IF($W114&gt;0,"Irrigar","Nao irrigar")))</f>
        <v/>
      </c>
      <c r="AC114" s="18">
        <f>IF(OR($W114="",$W114=0),"-",IF($W114&gt;=META_SEM,"Alta",IF($W114&gt;=META_SEM*FRAC_ACOMP,"Media","Baixa")))</f>
        <v/>
      </c>
      <c r="AD114" s="19" t="inlineStr"/>
    </row>
    <row r="115">
      <c r="A115" s="5" t="inlineStr">
        <is>
          <t>T17</t>
        </is>
      </c>
      <c r="B115" s="5" t="inlineStr">
        <is>
          <t>KARITEL</t>
        </is>
      </c>
      <c r="C115" s="5" t="inlineStr"/>
      <c r="D115" s="5" t="inlineStr">
        <is>
          <t>KM1</t>
        </is>
      </c>
      <c r="E115" s="5" t="inlineStr">
        <is>
          <t>SOJA</t>
        </is>
      </c>
      <c r="F115" s="6" t="inlineStr">
        <is>
          <t>CZ 37B07 I2X</t>
        </is>
      </c>
      <c r="G115" s="7" t="inlineStr">
        <is>
          <t>PRECOCE</t>
        </is>
      </c>
      <c r="H115" s="8" t="n">
        <v>46297</v>
      </c>
      <c r="I115" s="9">
        <f>IF($H115="","",DATA_REF-$H115)</f>
        <v/>
      </c>
      <c r="J115" s="9">
        <f>IF($I115="","",MAX(0,$I115-'PARAMETROS'!$B$12))</f>
        <v/>
      </c>
      <c r="K115" s="10">
        <f>IFERROR(INDEX(KC_CURVAS!$C$5:$C$15,MATCH($E115&amp;"|"&amp;$G115,KC_CURVAS!$K$5:$K$15,0)),IFERROR(INDEX(KC_CURVAS!$C$5:$C$15,MATCH($E115&amp;"|",KC_CURVAS!$K$5:$K$15,0)),""))</f>
        <v/>
      </c>
      <c r="L115" s="10">
        <f>IFERROR(INDEX(KC_CURVAS!$D$5:$D$15,MATCH($E115&amp;"|"&amp;$G115,KC_CURVAS!$K$5:$K$15,0)),IFERROR(INDEX(KC_CURVAS!$D$5:$D$15,MATCH($E115&amp;"|",KC_CURVAS!$K$5:$K$15,0)),""))</f>
        <v/>
      </c>
      <c r="M115" s="10">
        <f>IFERROR(INDEX(KC_CURVAS!$E$5:$E$15,MATCH($E115&amp;"|"&amp;$G115,KC_CURVAS!$K$5:$K$15,0)),IFERROR(INDEX(KC_CURVAS!$E$5:$E$15,MATCH($E115&amp;"|",KC_CURVAS!$K$5:$K$15,0)),""))</f>
        <v/>
      </c>
      <c r="N115" s="10">
        <f>IFERROR(INDEX(KC_CURVAS!$F$5:$F$15,MATCH($E115&amp;"|"&amp;$G115,KC_CURVAS!$K$5:$K$15,0)),IFERROR(INDEX(KC_CURVAS!$F$5:$F$15,MATCH($E115&amp;"|",KC_CURVAS!$K$5:$K$15,0)),""))</f>
        <v/>
      </c>
      <c r="O115" s="11">
        <f>IFERROR(INDEX(KC_CURVAS!$G$5:$G$15,MATCH($E115&amp;"|"&amp;$G115,KC_CURVAS!$K$5:$K$15,0)),IFERROR(INDEX(KC_CURVAS!$G$5:$G$15,MATCH($E115&amp;"|",KC_CURVAS!$K$5:$K$15,0)),""))</f>
        <v/>
      </c>
      <c r="P115" s="11">
        <f>IFERROR(INDEX(KC_CURVAS!$H$5:$H$15,MATCH($E115&amp;"|"&amp;$G115,KC_CURVAS!$K$5:$K$15,0)),IFERROR(INDEX(KC_CURVAS!$H$5:$H$15,MATCH($E115&amp;"|",KC_CURVAS!$K$5:$K$15,0)),""))</f>
        <v/>
      </c>
      <c r="Q115" s="11">
        <f>IFERROR(INDEX(KC_CURVAS!$I$5:$I$15,MATCH($E115&amp;"|"&amp;$G115,KC_CURVAS!$K$5:$K$15,0)),IFERROR(INDEX(KC_CURVAS!$I$5:$I$15,MATCH($E115&amp;"|",KC_CURVAS!$K$5:$K$15,0)),""))</f>
        <v/>
      </c>
      <c r="R115" s="12">
        <f>IF(OR($J115="",$K115=""),"PENDENTE",IF($J115&lt;=$K115,$O115,IF($J115&lt;=$K115+$L115,$O115+($P115-$O115)*($J115-$K115)/$L115,IF($J115&lt;=$K115+$L115+$M115,$P115,IF($J115&lt;=$K115+$L115+$M115+$N115,$P115+($Q115-$P115)*($J115-($K115+$L115+$M115))/$N115,$Q115)))))</f>
        <v/>
      </c>
      <c r="S115" s="13">
        <f>ETO_SEM</f>
        <v/>
      </c>
      <c r="T115" s="14">
        <f>IF(OR($R115="",$R115="PENDENTE"),"",$R115*$S115)</f>
        <v/>
      </c>
      <c r="U115" s="13" t="n">
        <v>0</v>
      </c>
      <c r="V115" s="14">
        <f>IF($T115="","",MAX(0,$T115-N($U115)))</f>
        <v/>
      </c>
      <c r="W115" s="14">
        <f>IF($V115="","",$V115/EF_APLIC)</f>
        <v/>
      </c>
      <c r="X115" s="15" t="n">
        <v>150</v>
      </c>
      <c r="Y115" s="16">
        <f>IF(OR($W115="",$X115=""),"",$W115*$X115*10)</f>
        <v/>
      </c>
      <c r="Z115" s="17">
        <f>IFERROR(INDEX('PARAMETROS'!$B$16:$B$19,MATCH($D115,'PARAMETROS'!$A$16:$A$19,0)),"")</f>
        <v/>
      </c>
      <c r="AA115" s="16">
        <f>IF(OR($Y115="",$Z115=""),"",$Y115*$Z115)</f>
        <v/>
      </c>
      <c r="AB115" s="18">
        <f>IF($R115="PENDENTE","Definir classe/Kc",IF($W115="","-",IF($W115&gt;0,"Irrigar","Nao irrigar")))</f>
        <v/>
      </c>
      <c r="AC115" s="18">
        <f>IF(OR($W115="",$W115=0),"-",IF($W115&gt;=META_SEM,"Alta",IF($W115&gt;=META_SEM*FRAC_ACOMP,"Media","Baixa")))</f>
        <v/>
      </c>
      <c r="AD115" s="19" t="inlineStr"/>
    </row>
    <row r="116">
      <c r="A116" s="5" t="inlineStr">
        <is>
          <t>T19</t>
        </is>
      </c>
      <c r="B116" s="5" t="inlineStr">
        <is>
          <t>KARITEL</t>
        </is>
      </c>
      <c r="C116" s="5" t="inlineStr"/>
      <c r="D116" s="5" t="inlineStr">
        <is>
          <t>KM1</t>
        </is>
      </c>
      <c r="E116" s="5" t="inlineStr">
        <is>
          <t>SOJA</t>
        </is>
      </c>
      <c r="F116" s="6" t="inlineStr">
        <is>
          <t>NEO 761 I2X</t>
        </is>
      </c>
      <c r="G116" s="7" t="inlineStr">
        <is>
          <t>PRECOCE</t>
        </is>
      </c>
      <c r="H116" s="8" t="n">
        <v>46298</v>
      </c>
      <c r="I116" s="9">
        <f>IF($H116="","",DATA_REF-$H116)</f>
        <v/>
      </c>
      <c r="J116" s="9">
        <f>IF($I116="","",MAX(0,$I116-'PARAMETROS'!$B$12))</f>
        <v/>
      </c>
      <c r="K116" s="10">
        <f>IFERROR(INDEX(KC_CURVAS!$C$5:$C$15,MATCH($E116&amp;"|"&amp;$G116,KC_CURVAS!$K$5:$K$15,0)),IFERROR(INDEX(KC_CURVAS!$C$5:$C$15,MATCH($E116&amp;"|",KC_CURVAS!$K$5:$K$15,0)),""))</f>
        <v/>
      </c>
      <c r="L116" s="10">
        <f>IFERROR(INDEX(KC_CURVAS!$D$5:$D$15,MATCH($E116&amp;"|"&amp;$G116,KC_CURVAS!$K$5:$K$15,0)),IFERROR(INDEX(KC_CURVAS!$D$5:$D$15,MATCH($E116&amp;"|",KC_CURVAS!$K$5:$K$15,0)),""))</f>
        <v/>
      </c>
      <c r="M116" s="10">
        <f>IFERROR(INDEX(KC_CURVAS!$E$5:$E$15,MATCH($E116&amp;"|"&amp;$G116,KC_CURVAS!$K$5:$K$15,0)),IFERROR(INDEX(KC_CURVAS!$E$5:$E$15,MATCH($E116&amp;"|",KC_CURVAS!$K$5:$K$15,0)),""))</f>
        <v/>
      </c>
      <c r="N116" s="10">
        <f>IFERROR(INDEX(KC_CURVAS!$F$5:$F$15,MATCH($E116&amp;"|"&amp;$G116,KC_CURVAS!$K$5:$K$15,0)),IFERROR(INDEX(KC_CURVAS!$F$5:$F$15,MATCH($E116&amp;"|",KC_CURVAS!$K$5:$K$15,0)),""))</f>
        <v/>
      </c>
      <c r="O116" s="11">
        <f>IFERROR(INDEX(KC_CURVAS!$G$5:$G$15,MATCH($E116&amp;"|"&amp;$G116,KC_CURVAS!$K$5:$K$15,0)),IFERROR(INDEX(KC_CURVAS!$G$5:$G$15,MATCH($E116&amp;"|",KC_CURVAS!$K$5:$K$15,0)),""))</f>
        <v/>
      </c>
      <c r="P116" s="11">
        <f>IFERROR(INDEX(KC_CURVAS!$H$5:$H$15,MATCH($E116&amp;"|"&amp;$G116,KC_CURVAS!$K$5:$K$15,0)),IFERROR(INDEX(KC_CURVAS!$H$5:$H$15,MATCH($E116&amp;"|",KC_CURVAS!$K$5:$K$15,0)),""))</f>
        <v/>
      </c>
      <c r="Q116" s="11">
        <f>IFERROR(INDEX(KC_CURVAS!$I$5:$I$15,MATCH($E116&amp;"|"&amp;$G116,KC_CURVAS!$K$5:$K$15,0)),IFERROR(INDEX(KC_CURVAS!$I$5:$I$15,MATCH($E116&amp;"|",KC_CURVAS!$K$5:$K$15,0)),""))</f>
        <v/>
      </c>
      <c r="R116" s="12">
        <f>IF(OR($J116="",$K116=""),"PENDENTE",IF($J116&lt;=$K116,$O116,IF($J116&lt;=$K116+$L116,$O116+($P116-$O116)*($J116-$K116)/$L116,IF($J116&lt;=$K116+$L116+$M116,$P116,IF($J116&lt;=$K116+$L116+$M116+$N116,$P116+($Q116-$P116)*($J116-($K116+$L116+$M116))/$N116,$Q116)))))</f>
        <v/>
      </c>
      <c r="S116" s="13">
        <f>ETO_SEM</f>
        <v/>
      </c>
      <c r="T116" s="14">
        <f>IF(OR($R116="",$R116="PENDENTE"),"",$R116*$S116)</f>
        <v/>
      </c>
      <c r="U116" s="13" t="n">
        <v>0</v>
      </c>
      <c r="V116" s="14">
        <f>IF($T116="","",MAX(0,$T116-N($U116)))</f>
        <v/>
      </c>
      <c r="W116" s="14">
        <f>IF($V116="","",$V116/EF_APLIC)</f>
        <v/>
      </c>
      <c r="X116" s="15" t="n">
        <v>150</v>
      </c>
      <c r="Y116" s="16">
        <f>IF(OR($W116="",$X116=""),"",$W116*$X116*10)</f>
        <v/>
      </c>
      <c r="Z116" s="17">
        <f>IFERROR(INDEX('PARAMETROS'!$B$16:$B$19,MATCH($D116,'PARAMETROS'!$A$16:$A$19,0)),"")</f>
        <v/>
      </c>
      <c r="AA116" s="16">
        <f>IF(OR($Y116="",$Z116=""),"",$Y116*$Z116)</f>
        <v/>
      </c>
      <c r="AB116" s="18">
        <f>IF($R116="PENDENTE","Definir classe/Kc",IF($W116="","-",IF($W116&gt;0,"Irrigar","Nao irrigar")))</f>
        <v/>
      </c>
      <c r="AC116" s="18">
        <f>IF(OR($W116="",$W116=0),"-",IF($W116&gt;=META_SEM,"Alta",IF($W116&gt;=META_SEM*FRAC_ACOMP,"Media","Baixa")))</f>
        <v/>
      </c>
      <c r="AD116" s="19" t="inlineStr"/>
    </row>
    <row r="117">
      <c r="A117" s="5" t="inlineStr">
        <is>
          <t>T21</t>
        </is>
      </c>
      <c r="B117" s="5" t="inlineStr">
        <is>
          <t>KARITEL</t>
        </is>
      </c>
      <c r="C117" s="5" t="inlineStr"/>
      <c r="D117" s="5" t="inlineStr">
        <is>
          <t>KM1</t>
        </is>
      </c>
      <c r="E117" s="5" t="inlineStr">
        <is>
          <t>SOJA</t>
        </is>
      </c>
      <c r="F117" s="6" t="inlineStr">
        <is>
          <t>NEO 761 I2X</t>
        </is>
      </c>
      <c r="G117" s="7" t="inlineStr">
        <is>
          <t>PRECOCE</t>
        </is>
      </c>
      <c r="H117" s="8" t="n">
        <v>46298</v>
      </c>
      <c r="I117" s="9">
        <f>IF($H117="","",DATA_REF-$H117)</f>
        <v/>
      </c>
      <c r="J117" s="9">
        <f>IF($I117="","",MAX(0,$I117-'PARAMETROS'!$B$12))</f>
        <v/>
      </c>
      <c r="K117" s="10">
        <f>IFERROR(INDEX(KC_CURVAS!$C$5:$C$15,MATCH($E117&amp;"|"&amp;$G117,KC_CURVAS!$K$5:$K$15,0)),IFERROR(INDEX(KC_CURVAS!$C$5:$C$15,MATCH($E117&amp;"|",KC_CURVAS!$K$5:$K$15,0)),""))</f>
        <v/>
      </c>
      <c r="L117" s="10">
        <f>IFERROR(INDEX(KC_CURVAS!$D$5:$D$15,MATCH($E117&amp;"|"&amp;$G117,KC_CURVAS!$K$5:$K$15,0)),IFERROR(INDEX(KC_CURVAS!$D$5:$D$15,MATCH($E117&amp;"|",KC_CURVAS!$K$5:$K$15,0)),""))</f>
        <v/>
      </c>
      <c r="M117" s="10">
        <f>IFERROR(INDEX(KC_CURVAS!$E$5:$E$15,MATCH($E117&amp;"|"&amp;$G117,KC_CURVAS!$K$5:$K$15,0)),IFERROR(INDEX(KC_CURVAS!$E$5:$E$15,MATCH($E117&amp;"|",KC_CURVAS!$K$5:$K$15,0)),""))</f>
        <v/>
      </c>
      <c r="N117" s="10">
        <f>IFERROR(INDEX(KC_CURVAS!$F$5:$F$15,MATCH($E117&amp;"|"&amp;$G117,KC_CURVAS!$K$5:$K$15,0)),IFERROR(INDEX(KC_CURVAS!$F$5:$F$15,MATCH($E117&amp;"|",KC_CURVAS!$K$5:$K$15,0)),""))</f>
        <v/>
      </c>
      <c r="O117" s="11">
        <f>IFERROR(INDEX(KC_CURVAS!$G$5:$G$15,MATCH($E117&amp;"|"&amp;$G117,KC_CURVAS!$K$5:$K$15,0)),IFERROR(INDEX(KC_CURVAS!$G$5:$G$15,MATCH($E117&amp;"|",KC_CURVAS!$K$5:$K$15,0)),""))</f>
        <v/>
      </c>
      <c r="P117" s="11">
        <f>IFERROR(INDEX(KC_CURVAS!$H$5:$H$15,MATCH($E117&amp;"|"&amp;$G117,KC_CURVAS!$K$5:$K$15,0)),IFERROR(INDEX(KC_CURVAS!$H$5:$H$15,MATCH($E117&amp;"|",KC_CURVAS!$K$5:$K$15,0)),""))</f>
        <v/>
      </c>
      <c r="Q117" s="11">
        <f>IFERROR(INDEX(KC_CURVAS!$I$5:$I$15,MATCH($E117&amp;"|"&amp;$G117,KC_CURVAS!$K$5:$K$15,0)),IFERROR(INDEX(KC_CURVAS!$I$5:$I$15,MATCH($E117&amp;"|",KC_CURVAS!$K$5:$K$15,0)),""))</f>
        <v/>
      </c>
      <c r="R117" s="12">
        <f>IF(OR($J117="",$K117=""),"PENDENTE",IF($J117&lt;=$K117,$O117,IF($J117&lt;=$K117+$L117,$O117+($P117-$O117)*($J117-$K117)/$L117,IF($J117&lt;=$K117+$L117+$M117,$P117,IF($J117&lt;=$K117+$L117+$M117+$N117,$P117+($Q117-$P117)*($J117-($K117+$L117+$M117))/$N117,$Q117)))))</f>
        <v/>
      </c>
      <c r="S117" s="13">
        <f>ETO_SEM</f>
        <v/>
      </c>
      <c r="T117" s="14">
        <f>IF(OR($R117="",$R117="PENDENTE"),"",$R117*$S117)</f>
        <v/>
      </c>
      <c r="U117" s="13" t="n">
        <v>0</v>
      </c>
      <c r="V117" s="14">
        <f>IF($T117="","",MAX(0,$T117-N($U117)))</f>
        <v/>
      </c>
      <c r="W117" s="14">
        <f>IF($V117="","",$V117/EF_APLIC)</f>
        <v/>
      </c>
      <c r="X117" s="15" t="n">
        <v>150</v>
      </c>
      <c r="Y117" s="16">
        <f>IF(OR($W117="",$X117=""),"",$W117*$X117*10)</f>
        <v/>
      </c>
      <c r="Z117" s="17">
        <f>IFERROR(INDEX('PARAMETROS'!$B$16:$B$19,MATCH($D117,'PARAMETROS'!$A$16:$A$19,0)),"")</f>
        <v/>
      </c>
      <c r="AA117" s="16">
        <f>IF(OR($Y117="",$Z117=""),"",$Y117*$Z117)</f>
        <v/>
      </c>
      <c r="AB117" s="18">
        <f>IF($R117="PENDENTE","Definir classe/Kc",IF($W117="","-",IF($W117&gt;0,"Irrigar","Nao irrigar")))</f>
        <v/>
      </c>
      <c r="AC117" s="18">
        <f>IF(OR($W117="",$W117=0),"-",IF($W117&gt;=META_SEM,"Alta",IF($W117&gt;=META_SEM*FRAC_ACOMP,"Media","Baixa")))</f>
        <v/>
      </c>
      <c r="AD117" s="19" t="inlineStr"/>
    </row>
    <row r="118">
      <c r="A118" s="5" t="inlineStr">
        <is>
          <t>T20</t>
        </is>
      </c>
      <c r="B118" s="5" t="inlineStr">
        <is>
          <t>KARITEL</t>
        </is>
      </c>
      <c r="C118" s="5" t="inlineStr"/>
      <c r="D118" s="5" t="inlineStr">
        <is>
          <t>KM1</t>
        </is>
      </c>
      <c r="E118" s="5" t="inlineStr">
        <is>
          <t>SOJA</t>
        </is>
      </c>
      <c r="F118" s="6" t="inlineStr">
        <is>
          <t>NEO 761 I2X</t>
        </is>
      </c>
      <c r="G118" s="7" t="inlineStr">
        <is>
          <t>PRECOCE</t>
        </is>
      </c>
      <c r="H118" s="8" t="n">
        <v>46299</v>
      </c>
      <c r="I118" s="9">
        <f>IF($H118="","",DATA_REF-$H118)</f>
        <v/>
      </c>
      <c r="J118" s="9">
        <f>IF($I118="","",MAX(0,$I118-'PARAMETROS'!$B$12))</f>
        <v/>
      </c>
      <c r="K118" s="10">
        <f>IFERROR(INDEX(KC_CURVAS!$C$5:$C$15,MATCH($E118&amp;"|"&amp;$G118,KC_CURVAS!$K$5:$K$15,0)),IFERROR(INDEX(KC_CURVAS!$C$5:$C$15,MATCH($E118&amp;"|",KC_CURVAS!$K$5:$K$15,0)),""))</f>
        <v/>
      </c>
      <c r="L118" s="10">
        <f>IFERROR(INDEX(KC_CURVAS!$D$5:$D$15,MATCH($E118&amp;"|"&amp;$G118,KC_CURVAS!$K$5:$K$15,0)),IFERROR(INDEX(KC_CURVAS!$D$5:$D$15,MATCH($E118&amp;"|",KC_CURVAS!$K$5:$K$15,0)),""))</f>
        <v/>
      </c>
      <c r="M118" s="10">
        <f>IFERROR(INDEX(KC_CURVAS!$E$5:$E$15,MATCH($E118&amp;"|"&amp;$G118,KC_CURVAS!$K$5:$K$15,0)),IFERROR(INDEX(KC_CURVAS!$E$5:$E$15,MATCH($E118&amp;"|",KC_CURVAS!$K$5:$K$15,0)),""))</f>
        <v/>
      </c>
      <c r="N118" s="10">
        <f>IFERROR(INDEX(KC_CURVAS!$F$5:$F$15,MATCH($E118&amp;"|"&amp;$G118,KC_CURVAS!$K$5:$K$15,0)),IFERROR(INDEX(KC_CURVAS!$F$5:$F$15,MATCH($E118&amp;"|",KC_CURVAS!$K$5:$K$15,0)),""))</f>
        <v/>
      </c>
      <c r="O118" s="11">
        <f>IFERROR(INDEX(KC_CURVAS!$G$5:$G$15,MATCH($E118&amp;"|"&amp;$G118,KC_CURVAS!$K$5:$K$15,0)),IFERROR(INDEX(KC_CURVAS!$G$5:$G$15,MATCH($E118&amp;"|",KC_CURVAS!$K$5:$K$15,0)),""))</f>
        <v/>
      </c>
      <c r="P118" s="11">
        <f>IFERROR(INDEX(KC_CURVAS!$H$5:$H$15,MATCH($E118&amp;"|"&amp;$G118,KC_CURVAS!$K$5:$K$15,0)),IFERROR(INDEX(KC_CURVAS!$H$5:$H$15,MATCH($E118&amp;"|",KC_CURVAS!$K$5:$K$15,0)),""))</f>
        <v/>
      </c>
      <c r="Q118" s="11">
        <f>IFERROR(INDEX(KC_CURVAS!$I$5:$I$15,MATCH($E118&amp;"|"&amp;$G118,KC_CURVAS!$K$5:$K$15,0)),IFERROR(INDEX(KC_CURVAS!$I$5:$I$15,MATCH($E118&amp;"|",KC_CURVAS!$K$5:$K$15,0)),""))</f>
        <v/>
      </c>
      <c r="R118" s="12">
        <f>IF(OR($J118="",$K118=""),"PENDENTE",IF($J118&lt;=$K118,$O118,IF($J118&lt;=$K118+$L118,$O118+($P118-$O118)*($J118-$K118)/$L118,IF($J118&lt;=$K118+$L118+$M118,$P118,IF($J118&lt;=$K118+$L118+$M118+$N118,$P118+($Q118-$P118)*($J118-($K118+$L118+$M118))/$N118,$Q118)))))</f>
        <v/>
      </c>
      <c r="S118" s="13">
        <f>ETO_SEM</f>
        <v/>
      </c>
      <c r="T118" s="14">
        <f>IF(OR($R118="",$R118="PENDENTE"),"",$R118*$S118)</f>
        <v/>
      </c>
      <c r="U118" s="13" t="n">
        <v>0</v>
      </c>
      <c r="V118" s="14">
        <f>IF($T118="","",MAX(0,$T118-N($U118)))</f>
        <v/>
      </c>
      <c r="W118" s="14">
        <f>IF($V118="","",$V118/EF_APLIC)</f>
        <v/>
      </c>
      <c r="X118" s="15" t="n">
        <v>150</v>
      </c>
      <c r="Y118" s="16">
        <f>IF(OR($W118="",$X118=""),"",$W118*$X118*10)</f>
        <v/>
      </c>
      <c r="Z118" s="17">
        <f>IFERROR(INDEX('PARAMETROS'!$B$16:$B$19,MATCH($D118,'PARAMETROS'!$A$16:$A$19,0)),"")</f>
        <v/>
      </c>
      <c r="AA118" s="16">
        <f>IF(OR($Y118="",$Z118=""),"",$Y118*$Z118)</f>
        <v/>
      </c>
      <c r="AB118" s="18">
        <f>IF($R118="PENDENTE","Definir classe/Kc",IF($W118="","-",IF($W118&gt;0,"Irrigar","Nao irrigar")))</f>
        <v/>
      </c>
      <c r="AC118" s="18">
        <f>IF(OR($W118="",$W118=0),"-",IF($W118&gt;=META_SEM,"Alta",IF($W118&gt;=META_SEM*FRAC_ACOMP,"Media","Baixa")))</f>
        <v/>
      </c>
      <c r="AD118" s="19" t="inlineStr"/>
    </row>
    <row r="119">
      <c r="A119" s="5" t="inlineStr">
        <is>
          <t>T22</t>
        </is>
      </c>
      <c r="B119" s="5" t="inlineStr">
        <is>
          <t>KARITEL</t>
        </is>
      </c>
      <c r="C119" s="5" t="inlineStr"/>
      <c r="D119" s="5" t="inlineStr">
        <is>
          <t>KM1</t>
        </is>
      </c>
      <c r="E119" s="5" t="inlineStr">
        <is>
          <t>SOJA</t>
        </is>
      </c>
      <c r="F119" s="6" t="inlineStr">
        <is>
          <t>NEO 761 I2X</t>
        </is>
      </c>
      <c r="G119" s="7" t="inlineStr">
        <is>
          <t>PRECOCE</t>
        </is>
      </c>
      <c r="H119" s="8" t="n">
        <v>46299</v>
      </c>
      <c r="I119" s="9">
        <f>IF($H119="","",DATA_REF-$H119)</f>
        <v/>
      </c>
      <c r="J119" s="9">
        <f>IF($I119="","",MAX(0,$I119-'PARAMETROS'!$B$12))</f>
        <v/>
      </c>
      <c r="K119" s="10">
        <f>IFERROR(INDEX(KC_CURVAS!$C$5:$C$15,MATCH($E119&amp;"|"&amp;$G119,KC_CURVAS!$K$5:$K$15,0)),IFERROR(INDEX(KC_CURVAS!$C$5:$C$15,MATCH($E119&amp;"|",KC_CURVAS!$K$5:$K$15,0)),""))</f>
        <v/>
      </c>
      <c r="L119" s="10">
        <f>IFERROR(INDEX(KC_CURVAS!$D$5:$D$15,MATCH($E119&amp;"|"&amp;$G119,KC_CURVAS!$K$5:$K$15,0)),IFERROR(INDEX(KC_CURVAS!$D$5:$D$15,MATCH($E119&amp;"|",KC_CURVAS!$K$5:$K$15,0)),""))</f>
        <v/>
      </c>
      <c r="M119" s="10">
        <f>IFERROR(INDEX(KC_CURVAS!$E$5:$E$15,MATCH($E119&amp;"|"&amp;$G119,KC_CURVAS!$K$5:$K$15,0)),IFERROR(INDEX(KC_CURVAS!$E$5:$E$15,MATCH($E119&amp;"|",KC_CURVAS!$K$5:$K$15,0)),""))</f>
        <v/>
      </c>
      <c r="N119" s="10">
        <f>IFERROR(INDEX(KC_CURVAS!$F$5:$F$15,MATCH($E119&amp;"|"&amp;$G119,KC_CURVAS!$K$5:$K$15,0)),IFERROR(INDEX(KC_CURVAS!$F$5:$F$15,MATCH($E119&amp;"|",KC_CURVAS!$K$5:$K$15,0)),""))</f>
        <v/>
      </c>
      <c r="O119" s="11">
        <f>IFERROR(INDEX(KC_CURVAS!$G$5:$G$15,MATCH($E119&amp;"|"&amp;$G119,KC_CURVAS!$K$5:$K$15,0)),IFERROR(INDEX(KC_CURVAS!$G$5:$G$15,MATCH($E119&amp;"|",KC_CURVAS!$K$5:$K$15,0)),""))</f>
        <v/>
      </c>
      <c r="P119" s="11">
        <f>IFERROR(INDEX(KC_CURVAS!$H$5:$H$15,MATCH($E119&amp;"|"&amp;$G119,KC_CURVAS!$K$5:$K$15,0)),IFERROR(INDEX(KC_CURVAS!$H$5:$H$15,MATCH($E119&amp;"|",KC_CURVAS!$K$5:$K$15,0)),""))</f>
        <v/>
      </c>
      <c r="Q119" s="11">
        <f>IFERROR(INDEX(KC_CURVAS!$I$5:$I$15,MATCH($E119&amp;"|"&amp;$G119,KC_CURVAS!$K$5:$K$15,0)),IFERROR(INDEX(KC_CURVAS!$I$5:$I$15,MATCH($E119&amp;"|",KC_CURVAS!$K$5:$K$15,0)),""))</f>
        <v/>
      </c>
      <c r="R119" s="12">
        <f>IF(OR($J119="",$K119=""),"PENDENTE",IF($J119&lt;=$K119,$O119,IF($J119&lt;=$K119+$L119,$O119+($P119-$O119)*($J119-$K119)/$L119,IF($J119&lt;=$K119+$L119+$M119,$P119,IF($J119&lt;=$K119+$L119+$M119+$N119,$P119+($Q119-$P119)*($J119-($K119+$L119+$M119))/$N119,$Q119)))))</f>
        <v/>
      </c>
      <c r="S119" s="13">
        <f>ETO_SEM</f>
        <v/>
      </c>
      <c r="T119" s="14">
        <f>IF(OR($R119="",$R119="PENDENTE"),"",$R119*$S119)</f>
        <v/>
      </c>
      <c r="U119" s="13" t="n">
        <v>0</v>
      </c>
      <c r="V119" s="14">
        <f>IF($T119="","",MAX(0,$T119-N($U119)))</f>
        <v/>
      </c>
      <c r="W119" s="14">
        <f>IF($V119="","",$V119/EF_APLIC)</f>
        <v/>
      </c>
      <c r="X119" s="15" t="n">
        <v>150</v>
      </c>
      <c r="Y119" s="16">
        <f>IF(OR($W119="",$X119=""),"",$W119*$X119*10)</f>
        <v/>
      </c>
      <c r="Z119" s="17">
        <f>IFERROR(INDEX('PARAMETROS'!$B$16:$B$19,MATCH($D119,'PARAMETROS'!$A$16:$A$19,0)),"")</f>
        <v/>
      </c>
      <c r="AA119" s="16">
        <f>IF(OR($Y119="",$Z119=""),"",$Y119*$Z119)</f>
        <v/>
      </c>
      <c r="AB119" s="18">
        <f>IF($R119="PENDENTE","Definir classe/Kc",IF($W119="","-",IF($W119&gt;0,"Irrigar","Nao irrigar")))</f>
        <v/>
      </c>
      <c r="AC119" s="18">
        <f>IF(OR($W119="",$W119=0),"-",IF($W119&gt;=META_SEM,"Alta",IF($W119&gt;=META_SEM*FRAC_ACOMP,"Media","Baixa")))</f>
        <v/>
      </c>
      <c r="AD119" s="19" t="inlineStr"/>
    </row>
    <row r="120">
      <c r="A120" s="5" t="inlineStr">
        <is>
          <t>T24</t>
        </is>
      </c>
      <c r="B120" s="5" t="inlineStr">
        <is>
          <t>KARITEL</t>
        </is>
      </c>
      <c r="C120" s="5" t="inlineStr"/>
      <c r="D120" s="5" t="inlineStr">
        <is>
          <t>KM1</t>
        </is>
      </c>
      <c r="E120" s="5" t="inlineStr">
        <is>
          <t>SOJA</t>
        </is>
      </c>
      <c r="F120" s="6" t="inlineStr">
        <is>
          <t>BMX Olimpo IPRO</t>
        </is>
      </c>
      <c r="G120" s="7" t="inlineStr">
        <is>
          <t>MÉDIA</t>
        </is>
      </c>
      <c r="H120" s="8" t="n">
        <v>46300</v>
      </c>
      <c r="I120" s="9">
        <f>IF($H120="","",DATA_REF-$H120)</f>
        <v/>
      </c>
      <c r="J120" s="9">
        <f>IF($I120="","",MAX(0,$I120-'PARAMETROS'!$B$12))</f>
        <v/>
      </c>
      <c r="K120" s="10">
        <f>IFERROR(INDEX(KC_CURVAS!$C$5:$C$15,MATCH($E120&amp;"|"&amp;$G120,KC_CURVAS!$K$5:$K$15,0)),IFERROR(INDEX(KC_CURVAS!$C$5:$C$15,MATCH($E120&amp;"|",KC_CURVAS!$K$5:$K$15,0)),""))</f>
        <v/>
      </c>
      <c r="L120" s="10">
        <f>IFERROR(INDEX(KC_CURVAS!$D$5:$D$15,MATCH($E120&amp;"|"&amp;$G120,KC_CURVAS!$K$5:$K$15,0)),IFERROR(INDEX(KC_CURVAS!$D$5:$D$15,MATCH($E120&amp;"|",KC_CURVAS!$K$5:$K$15,0)),""))</f>
        <v/>
      </c>
      <c r="M120" s="10">
        <f>IFERROR(INDEX(KC_CURVAS!$E$5:$E$15,MATCH($E120&amp;"|"&amp;$G120,KC_CURVAS!$K$5:$K$15,0)),IFERROR(INDEX(KC_CURVAS!$E$5:$E$15,MATCH($E120&amp;"|",KC_CURVAS!$K$5:$K$15,0)),""))</f>
        <v/>
      </c>
      <c r="N120" s="10">
        <f>IFERROR(INDEX(KC_CURVAS!$F$5:$F$15,MATCH($E120&amp;"|"&amp;$G120,KC_CURVAS!$K$5:$K$15,0)),IFERROR(INDEX(KC_CURVAS!$F$5:$F$15,MATCH($E120&amp;"|",KC_CURVAS!$K$5:$K$15,0)),""))</f>
        <v/>
      </c>
      <c r="O120" s="11">
        <f>IFERROR(INDEX(KC_CURVAS!$G$5:$G$15,MATCH($E120&amp;"|"&amp;$G120,KC_CURVAS!$K$5:$K$15,0)),IFERROR(INDEX(KC_CURVAS!$G$5:$G$15,MATCH($E120&amp;"|",KC_CURVAS!$K$5:$K$15,0)),""))</f>
        <v/>
      </c>
      <c r="P120" s="11">
        <f>IFERROR(INDEX(KC_CURVAS!$H$5:$H$15,MATCH($E120&amp;"|"&amp;$G120,KC_CURVAS!$K$5:$K$15,0)),IFERROR(INDEX(KC_CURVAS!$H$5:$H$15,MATCH($E120&amp;"|",KC_CURVAS!$K$5:$K$15,0)),""))</f>
        <v/>
      </c>
      <c r="Q120" s="11">
        <f>IFERROR(INDEX(KC_CURVAS!$I$5:$I$15,MATCH($E120&amp;"|"&amp;$G120,KC_CURVAS!$K$5:$K$15,0)),IFERROR(INDEX(KC_CURVAS!$I$5:$I$15,MATCH($E120&amp;"|",KC_CURVAS!$K$5:$K$15,0)),""))</f>
        <v/>
      </c>
      <c r="R120" s="12">
        <f>IF(OR($J120="",$K120=""),"PENDENTE",IF($J120&lt;=$K120,$O120,IF($J120&lt;=$K120+$L120,$O120+($P120-$O120)*($J120-$K120)/$L120,IF($J120&lt;=$K120+$L120+$M120,$P120,IF($J120&lt;=$K120+$L120+$M120+$N120,$P120+($Q120-$P120)*($J120-($K120+$L120+$M120))/$N120,$Q120)))))</f>
        <v/>
      </c>
      <c r="S120" s="13">
        <f>ETO_SEM</f>
        <v/>
      </c>
      <c r="T120" s="14">
        <f>IF(OR($R120="",$R120="PENDENTE"),"",$R120*$S120)</f>
        <v/>
      </c>
      <c r="U120" s="13" t="n">
        <v>0</v>
      </c>
      <c r="V120" s="14">
        <f>IF($T120="","",MAX(0,$T120-N($U120)))</f>
        <v/>
      </c>
      <c r="W120" s="14">
        <f>IF($V120="","",$V120/EF_APLIC)</f>
        <v/>
      </c>
      <c r="X120" s="15" t="n">
        <v>150</v>
      </c>
      <c r="Y120" s="16">
        <f>IF(OR($W120="",$X120=""),"",$W120*$X120*10)</f>
        <v/>
      </c>
      <c r="Z120" s="17">
        <f>IFERROR(INDEX('PARAMETROS'!$B$16:$B$19,MATCH($D120,'PARAMETROS'!$A$16:$A$19,0)),"")</f>
        <v/>
      </c>
      <c r="AA120" s="16">
        <f>IF(OR($Y120="",$Z120=""),"",$Y120*$Z120)</f>
        <v/>
      </c>
      <c r="AB120" s="18">
        <f>IF($R120="PENDENTE","Definir classe/Kc",IF($W120="","-",IF($W120&gt;0,"Irrigar","Nao irrigar")))</f>
        <v/>
      </c>
      <c r="AC120" s="18">
        <f>IF(OR($W120="",$W120=0),"-",IF($W120&gt;=META_SEM,"Alta",IF($W120&gt;=META_SEM*FRAC_ACOMP,"Media","Baixa")))</f>
        <v/>
      </c>
      <c r="AD120" s="19" t="inlineStr"/>
    </row>
    <row r="121">
      <c r="A121" s="5" t="inlineStr">
        <is>
          <t>T26</t>
        </is>
      </c>
      <c r="B121" s="5" t="inlineStr">
        <is>
          <t>KARITEL</t>
        </is>
      </c>
      <c r="C121" s="5" t="inlineStr"/>
      <c r="D121" s="5" t="inlineStr">
        <is>
          <t>KM1</t>
        </is>
      </c>
      <c r="E121" s="5" t="inlineStr">
        <is>
          <t>SOJA</t>
        </is>
      </c>
      <c r="F121" s="6" t="inlineStr">
        <is>
          <t>ST 76KA72</t>
        </is>
      </c>
      <c r="G121" s="7" t="inlineStr">
        <is>
          <t>PRECOCE</t>
        </is>
      </c>
      <c r="H121" s="8" t="n">
        <v>46302</v>
      </c>
      <c r="I121" s="9">
        <f>IF($H121="","",DATA_REF-$H121)</f>
        <v/>
      </c>
      <c r="J121" s="9">
        <f>IF($I121="","",MAX(0,$I121-'PARAMETROS'!$B$12))</f>
        <v/>
      </c>
      <c r="K121" s="10">
        <f>IFERROR(INDEX(KC_CURVAS!$C$5:$C$15,MATCH($E121&amp;"|"&amp;$G121,KC_CURVAS!$K$5:$K$15,0)),IFERROR(INDEX(KC_CURVAS!$C$5:$C$15,MATCH($E121&amp;"|",KC_CURVAS!$K$5:$K$15,0)),""))</f>
        <v/>
      </c>
      <c r="L121" s="10">
        <f>IFERROR(INDEX(KC_CURVAS!$D$5:$D$15,MATCH($E121&amp;"|"&amp;$G121,KC_CURVAS!$K$5:$K$15,0)),IFERROR(INDEX(KC_CURVAS!$D$5:$D$15,MATCH($E121&amp;"|",KC_CURVAS!$K$5:$K$15,0)),""))</f>
        <v/>
      </c>
      <c r="M121" s="10">
        <f>IFERROR(INDEX(KC_CURVAS!$E$5:$E$15,MATCH($E121&amp;"|"&amp;$G121,KC_CURVAS!$K$5:$K$15,0)),IFERROR(INDEX(KC_CURVAS!$E$5:$E$15,MATCH($E121&amp;"|",KC_CURVAS!$K$5:$K$15,0)),""))</f>
        <v/>
      </c>
      <c r="N121" s="10">
        <f>IFERROR(INDEX(KC_CURVAS!$F$5:$F$15,MATCH($E121&amp;"|"&amp;$G121,KC_CURVAS!$K$5:$K$15,0)),IFERROR(INDEX(KC_CURVAS!$F$5:$F$15,MATCH($E121&amp;"|",KC_CURVAS!$K$5:$K$15,0)),""))</f>
        <v/>
      </c>
      <c r="O121" s="11">
        <f>IFERROR(INDEX(KC_CURVAS!$G$5:$G$15,MATCH($E121&amp;"|"&amp;$G121,KC_CURVAS!$K$5:$K$15,0)),IFERROR(INDEX(KC_CURVAS!$G$5:$G$15,MATCH($E121&amp;"|",KC_CURVAS!$K$5:$K$15,0)),""))</f>
        <v/>
      </c>
      <c r="P121" s="11">
        <f>IFERROR(INDEX(KC_CURVAS!$H$5:$H$15,MATCH($E121&amp;"|"&amp;$G121,KC_CURVAS!$K$5:$K$15,0)),IFERROR(INDEX(KC_CURVAS!$H$5:$H$15,MATCH($E121&amp;"|",KC_CURVAS!$K$5:$K$15,0)),""))</f>
        <v/>
      </c>
      <c r="Q121" s="11">
        <f>IFERROR(INDEX(KC_CURVAS!$I$5:$I$15,MATCH($E121&amp;"|"&amp;$G121,KC_CURVAS!$K$5:$K$15,0)),IFERROR(INDEX(KC_CURVAS!$I$5:$I$15,MATCH($E121&amp;"|",KC_CURVAS!$K$5:$K$15,0)),""))</f>
        <v/>
      </c>
      <c r="R121" s="12">
        <f>IF(OR($J121="",$K121=""),"PENDENTE",IF($J121&lt;=$K121,$O121,IF($J121&lt;=$K121+$L121,$O121+($P121-$O121)*($J121-$K121)/$L121,IF($J121&lt;=$K121+$L121+$M121,$P121,IF($J121&lt;=$K121+$L121+$M121+$N121,$P121+($Q121-$P121)*($J121-($K121+$L121+$M121))/$N121,$Q121)))))</f>
        <v/>
      </c>
      <c r="S121" s="13">
        <f>ETO_SEM</f>
        <v/>
      </c>
      <c r="T121" s="14">
        <f>IF(OR($R121="",$R121="PENDENTE"),"",$R121*$S121)</f>
        <v/>
      </c>
      <c r="U121" s="13" t="n">
        <v>0</v>
      </c>
      <c r="V121" s="14">
        <f>IF($T121="","",MAX(0,$T121-N($U121)))</f>
        <v/>
      </c>
      <c r="W121" s="14">
        <f>IF($V121="","",$V121/EF_APLIC)</f>
        <v/>
      </c>
      <c r="X121" s="15" t="n">
        <v>150</v>
      </c>
      <c r="Y121" s="16">
        <f>IF(OR($W121="",$X121=""),"",$W121*$X121*10)</f>
        <v/>
      </c>
      <c r="Z121" s="17">
        <f>IFERROR(INDEX('PARAMETROS'!$B$16:$B$19,MATCH($D121,'PARAMETROS'!$A$16:$A$19,0)),"")</f>
        <v/>
      </c>
      <c r="AA121" s="16">
        <f>IF(OR($Y121="",$Z121=""),"",$Y121*$Z121)</f>
        <v/>
      </c>
      <c r="AB121" s="18">
        <f>IF($R121="PENDENTE","Definir classe/Kc",IF($W121="","-",IF($W121&gt;0,"Irrigar","Nao irrigar")))</f>
        <v/>
      </c>
      <c r="AC121" s="18">
        <f>IF(OR($W121="",$W121=0),"-",IF($W121&gt;=META_SEM,"Alta",IF($W121&gt;=META_SEM*FRAC_ACOMP,"Media","Baixa")))</f>
        <v/>
      </c>
      <c r="AD121" s="19" t="inlineStr"/>
    </row>
    <row r="122">
      <c r="A122" s="5" t="inlineStr">
        <is>
          <t>T33</t>
        </is>
      </c>
      <c r="B122" s="5" t="inlineStr">
        <is>
          <t>KARITEL</t>
        </is>
      </c>
      <c r="C122" s="5" t="inlineStr"/>
      <c r="D122" s="5" t="inlineStr">
        <is>
          <t>KM1</t>
        </is>
      </c>
      <c r="E122" s="5" t="inlineStr">
        <is>
          <t>SOJA</t>
        </is>
      </c>
      <c r="F122" s="6" t="inlineStr">
        <is>
          <t>ATAQUE I2X</t>
        </is>
      </c>
      <c r="G122" s="7" t="inlineStr">
        <is>
          <t>TARDIA</t>
        </is>
      </c>
      <c r="H122" s="8" t="n">
        <v>46302</v>
      </c>
      <c r="I122" s="9">
        <f>IF($H122="","",DATA_REF-$H122)</f>
        <v/>
      </c>
      <c r="J122" s="9">
        <f>IF($I122="","",MAX(0,$I122-'PARAMETROS'!$B$12))</f>
        <v/>
      </c>
      <c r="K122" s="10">
        <f>IFERROR(INDEX(KC_CURVAS!$C$5:$C$15,MATCH($E122&amp;"|"&amp;$G122,KC_CURVAS!$K$5:$K$15,0)),IFERROR(INDEX(KC_CURVAS!$C$5:$C$15,MATCH($E122&amp;"|",KC_CURVAS!$K$5:$K$15,0)),""))</f>
        <v/>
      </c>
      <c r="L122" s="10">
        <f>IFERROR(INDEX(KC_CURVAS!$D$5:$D$15,MATCH($E122&amp;"|"&amp;$G122,KC_CURVAS!$K$5:$K$15,0)),IFERROR(INDEX(KC_CURVAS!$D$5:$D$15,MATCH($E122&amp;"|",KC_CURVAS!$K$5:$K$15,0)),""))</f>
        <v/>
      </c>
      <c r="M122" s="10">
        <f>IFERROR(INDEX(KC_CURVAS!$E$5:$E$15,MATCH($E122&amp;"|"&amp;$G122,KC_CURVAS!$K$5:$K$15,0)),IFERROR(INDEX(KC_CURVAS!$E$5:$E$15,MATCH($E122&amp;"|",KC_CURVAS!$K$5:$K$15,0)),""))</f>
        <v/>
      </c>
      <c r="N122" s="10">
        <f>IFERROR(INDEX(KC_CURVAS!$F$5:$F$15,MATCH($E122&amp;"|"&amp;$G122,KC_CURVAS!$K$5:$K$15,0)),IFERROR(INDEX(KC_CURVAS!$F$5:$F$15,MATCH($E122&amp;"|",KC_CURVAS!$K$5:$K$15,0)),""))</f>
        <v/>
      </c>
      <c r="O122" s="11">
        <f>IFERROR(INDEX(KC_CURVAS!$G$5:$G$15,MATCH($E122&amp;"|"&amp;$G122,KC_CURVAS!$K$5:$K$15,0)),IFERROR(INDEX(KC_CURVAS!$G$5:$G$15,MATCH($E122&amp;"|",KC_CURVAS!$K$5:$K$15,0)),""))</f>
        <v/>
      </c>
      <c r="P122" s="11">
        <f>IFERROR(INDEX(KC_CURVAS!$H$5:$H$15,MATCH($E122&amp;"|"&amp;$G122,KC_CURVAS!$K$5:$K$15,0)),IFERROR(INDEX(KC_CURVAS!$H$5:$H$15,MATCH($E122&amp;"|",KC_CURVAS!$K$5:$K$15,0)),""))</f>
        <v/>
      </c>
      <c r="Q122" s="11">
        <f>IFERROR(INDEX(KC_CURVAS!$I$5:$I$15,MATCH($E122&amp;"|"&amp;$G122,KC_CURVAS!$K$5:$K$15,0)),IFERROR(INDEX(KC_CURVAS!$I$5:$I$15,MATCH($E122&amp;"|",KC_CURVAS!$K$5:$K$15,0)),""))</f>
        <v/>
      </c>
      <c r="R122" s="12">
        <f>IF(OR($J122="",$K122=""),"PENDENTE",IF($J122&lt;=$K122,$O122,IF($J122&lt;=$K122+$L122,$O122+($P122-$O122)*($J122-$K122)/$L122,IF($J122&lt;=$K122+$L122+$M122,$P122,IF($J122&lt;=$K122+$L122+$M122+$N122,$P122+($Q122-$P122)*($J122-($K122+$L122+$M122))/$N122,$Q122)))))</f>
        <v/>
      </c>
      <c r="S122" s="13">
        <f>ETO_SEM</f>
        <v/>
      </c>
      <c r="T122" s="14">
        <f>IF(OR($R122="",$R122="PENDENTE"),"",$R122*$S122)</f>
        <v/>
      </c>
      <c r="U122" s="13" t="n">
        <v>0</v>
      </c>
      <c r="V122" s="14">
        <f>IF($T122="","",MAX(0,$T122-N($U122)))</f>
        <v/>
      </c>
      <c r="W122" s="14">
        <f>IF($V122="","",$V122/EF_APLIC)</f>
        <v/>
      </c>
      <c r="X122" s="15" t="n">
        <v>138</v>
      </c>
      <c r="Y122" s="16">
        <f>IF(OR($W122="",$X122=""),"",$W122*$X122*10)</f>
        <v/>
      </c>
      <c r="Z122" s="17">
        <f>IFERROR(INDEX('PARAMETROS'!$B$16:$B$19,MATCH($D122,'PARAMETROS'!$A$16:$A$19,0)),"")</f>
        <v/>
      </c>
      <c r="AA122" s="16">
        <f>IF(OR($Y122="",$Z122=""),"",$Y122*$Z122)</f>
        <v/>
      </c>
      <c r="AB122" s="18">
        <f>IF($R122="PENDENTE","Definir classe/Kc",IF($W122="","-",IF($W122&gt;0,"Irrigar","Nao irrigar")))</f>
        <v/>
      </c>
      <c r="AC122" s="18">
        <f>IF(OR($W122="",$W122=0),"-",IF($W122&gt;=META_SEM,"Alta",IF($W122&gt;=META_SEM*FRAC_ACOMP,"Media","Baixa")))</f>
        <v/>
      </c>
      <c r="AD122" s="19" t="inlineStr"/>
    </row>
    <row r="123">
      <c r="A123" s="5" t="inlineStr">
        <is>
          <t>T35</t>
        </is>
      </c>
      <c r="B123" s="5" t="inlineStr">
        <is>
          <t>KARITEL</t>
        </is>
      </c>
      <c r="C123" s="5" t="inlineStr"/>
      <c r="D123" s="5" t="inlineStr">
        <is>
          <t>KM1</t>
        </is>
      </c>
      <c r="E123" s="5" t="inlineStr">
        <is>
          <t>SOJA</t>
        </is>
      </c>
      <c r="F123" s="6" t="inlineStr">
        <is>
          <t>COMPLETA IPRO</t>
        </is>
      </c>
      <c r="G123" s="7" t="inlineStr">
        <is>
          <t>MÉDIA</t>
        </is>
      </c>
      <c r="H123" s="8" t="n">
        <v>46303</v>
      </c>
      <c r="I123" s="9">
        <f>IF($H123="","",DATA_REF-$H123)</f>
        <v/>
      </c>
      <c r="J123" s="9">
        <f>IF($I123="","",MAX(0,$I123-'PARAMETROS'!$B$12))</f>
        <v/>
      </c>
      <c r="K123" s="10">
        <f>IFERROR(INDEX(KC_CURVAS!$C$5:$C$15,MATCH($E123&amp;"|"&amp;$G123,KC_CURVAS!$K$5:$K$15,0)),IFERROR(INDEX(KC_CURVAS!$C$5:$C$15,MATCH($E123&amp;"|",KC_CURVAS!$K$5:$K$15,0)),""))</f>
        <v/>
      </c>
      <c r="L123" s="10">
        <f>IFERROR(INDEX(KC_CURVAS!$D$5:$D$15,MATCH($E123&amp;"|"&amp;$G123,KC_CURVAS!$K$5:$K$15,0)),IFERROR(INDEX(KC_CURVAS!$D$5:$D$15,MATCH($E123&amp;"|",KC_CURVAS!$K$5:$K$15,0)),""))</f>
        <v/>
      </c>
      <c r="M123" s="10">
        <f>IFERROR(INDEX(KC_CURVAS!$E$5:$E$15,MATCH($E123&amp;"|"&amp;$G123,KC_CURVAS!$K$5:$K$15,0)),IFERROR(INDEX(KC_CURVAS!$E$5:$E$15,MATCH($E123&amp;"|",KC_CURVAS!$K$5:$K$15,0)),""))</f>
        <v/>
      </c>
      <c r="N123" s="10">
        <f>IFERROR(INDEX(KC_CURVAS!$F$5:$F$15,MATCH($E123&amp;"|"&amp;$G123,KC_CURVAS!$K$5:$K$15,0)),IFERROR(INDEX(KC_CURVAS!$F$5:$F$15,MATCH($E123&amp;"|",KC_CURVAS!$K$5:$K$15,0)),""))</f>
        <v/>
      </c>
      <c r="O123" s="11">
        <f>IFERROR(INDEX(KC_CURVAS!$G$5:$G$15,MATCH($E123&amp;"|"&amp;$G123,KC_CURVAS!$K$5:$K$15,0)),IFERROR(INDEX(KC_CURVAS!$G$5:$G$15,MATCH($E123&amp;"|",KC_CURVAS!$K$5:$K$15,0)),""))</f>
        <v/>
      </c>
      <c r="P123" s="11">
        <f>IFERROR(INDEX(KC_CURVAS!$H$5:$H$15,MATCH($E123&amp;"|"&amp;$G123,KC_CURVAS!$K$5:$K$15,0)),IFERROR(INDEX(KC_CURVAS!$H$5:$H$15,MATCH($E123&amp;"|",KC_CURVAS!$K$5:$K$15,0)),""))</f>
        <v/>
      </c>
      <c r="Q123" s="11">
        <f>IFERROR(INDEX(KC_CURVAS!$I$5:$I$15,MATCH($E123&amp;"|"&amp;$G123,KC_CURVAS!$K$5:$K$15,0)),IFERROR(INDEX(KC_CURVAS!$I$5:$I$15,MATCH($E123&amp;"|",KC_CURVAS!$K$5:$K$15,0)),""))</f>
        <v/>
      </c>
      <c r="R123" s="12">
        <f>IF(OR($J123="",$K123=""),"PENDENTE",IF($J123&lt;=$K123,$O123,IF($J123&lt;=$K123+$L123,$O123+($P123-$O123)*($J123-$K123)/$L123,IF($J123&lt;=$K123+$L123+$M123,$P123,IF($J123&lt;=$K123+$L123+$M123+$N123,$P123+($Q123-$P123)*($J123-($K123+$L123+$M123))/$N123,$Q123)))))</f>
        <v/>
      </c>
      <c r="S123" s="13">
        <f>ETO_SEM</f>
        <v/>
      </c>
      <c r="T123" s="14">
        <f>IF(OR($R123="",$R123="PENDENTE"),"",$R123*$S123)</f>
        <v/>
      </c>
      <c r="U123" s="13" t="n">
        <v>0</v>
      </c>
      <c r="V123" s="14">
        <f>IF($T123="","",MAX(0,$T123-N($U123)))</f>
        <v/>
      </c>
      <c r="W123" s="14">
        <f>IF($V123="","",$V123/EF_APLIC)</f>
        <v/>
      </c>
      <c r="X123" s="15" t="n">
        <v>150</v>
      </c>
      <c r="Y123" s="16">
        <f>IF(OR($W123="",$X123=""),"",$W123*$X123*10)</f>
        <v/>
      </c>
      <c r="Z123" s="17">
        <f>IFERROR(INDEX('PARAMETROS'!$B$16:$B$19,MATCH($D123,'PARAMETROS'!$A$16:$A$19,0)),"")</f>
        <v/>
      </c>
      <c r="AA123" s="16">
        <f>IF(OR($Y123="",$Z123=""),"",$Y123*$Z123)</f>
        <v/>
      </c>
      <c r="AB123" s="18">
        <f>IF($R123="PENDENTE","Definir classe/Kc",IF($W123="","-",IF($W123&gt;0,"Irrigar","Nao irrigar")))</f>
        <v/>
      </c>
      <c r="AC123" s="18">
        <f>IF(OR($W123="",$W123=0),"-",IF($W123&gt;=META_SEM,"Alta",IF($W123&gt;=META_SEM*FRAC_ACOMP,"Media","Baixa")))</f>
        <v/>
      </c>
      <c r="AD123" s="19" t="inlineStr"/>
    </row>
    <row r="124">
      <c r="A124" s="5" t="inlineStr">
        <is>
          <t>T36</t>
        </is>
      </c>
      <c r="B124" s="5" t="inlineStr">
        <is>
          <t>KARITEL</t>
        </is>
      </c>
      <c r="C124" s="5" t="inlineStr"/>
      <c r="D124" s="5" t="inlineStr">
        <is>
          <t>KM1</t>
        </is>
      </c>
      <c r="E124" s="5" t="inlineStr">
        <is>
          <t>SOJA</t>
        </is>
      </c>
      <c r="F124" s="6" t="inlineStr">
        <is>
          <t>COMPLETA IPRO</t>
        </is>
      </c>
      <c r="G124" s="7" t="inlineStr">
        <is>
          <t>MÉDIA</t>
        </is>
      </c>
      <c r="H124" s="8" t="n">
        <v>46303</v>
      </c>
      <c r="I124" s="9">
        <f>IF($H124="","",DATA_REF-$H124)</f>
        <v/>
      </c>
      <c r="J124" s="9">
        <f>IF($I124="","",MAX(0,$I124-'PARAMETROS'!$B$12))</f>
        <v/>
      </c>
      <c r="K124" s="10">
        <f>IFERROR(INDEX(KC_CURVAS!$C$5:$C$15,MATCH($E124&amp;"|"&amp;$G124,KC_CURVAS!$K$5:$K$15,0)),IFERROR(INDEX(KC_CURVAS!$C$5:$C$15,MATCH($E124&amp;"|",KC_CURVAS!$K$5:$K$15,0)),""))</f>
        <v/>
      </c>
      <c r="L124" s="10">
        <f>IFERROR(INDEX(KC_CURVAS!$D$5:$D$15,MATCH($E124&amp;"|"&amp;$G124,KC_CURVAS!$K$5:$K$15,0)),IFERROR(INDEX(KC_CURVAS!$D$5:$D$15,MATCH($E124&amp;"|",KC_CURVAS!$K$5:$K$15,0)),""))</f>
        <v/>
      </c>
      <c r="M124" s="10">
        <f>IFERROR(INDEX(KC_CURVAS!$E$5:$E$15,MATCH($E124&amp;"|"&amp;$G124,KC_CURVAS!$K$5:$K$15,0)),IFERROR(INDEX(KC_CURVAS!$E$5:$E$15,MATCH($E124&amp;"|",KC_CURVAS!$K$5:$K$15,0)),""))</f>
        <v/>
      </c>
      <c r="N124" s="10">
        <f>IFERROR(INDEX(KC_CURVAS!$F$5:$F$15,MATCH($E124&amp;"|"&amp;$G124,KC_CURVAS!$K$5:$K$15,0)),IFERROR(INDEX(KC_CURVAS!$F$5:$F$15,MATCH($E124&amp;"|",KC_CURVAS!$K$5:$K$15,0)),""))</f>
        <v/>
      </c>
      <c r="O124" s="11">
        <f>IFERROR(INDEX(KC_CURVAS!$G$5:$G$15,MATCH($E124&amp;"|"&amp;$G124,KC_CURVAS!$K$5:$K$15,0)),IFERROR(INDEX(KC_CURVAS!$G$5:$G$15,MATCH($E124&amp;"|",KC_CURVAS!$K$5:$K$15,0)),""))</f>
        <v/>
      </c>
      <c r="P124" s="11">
        <f>IFERROR(INDEX(KC_CURVAS!$H$5:$H$15,MATCH($E124&amp;"|"&amp;$G124,KC_CURVAS!$K$5:$K$15,0)),IFERROR(INDEX(KC_CURVAS!$H$5:$H$15,MATCH($E124&amp;"|",KC_CURVAS!$K$5:$K$15,0)),""))</f>
        <v/>
      </c>
      <c r="Q124" s="11">
        <f>IFERROR(INDEX(KC_CURVAS!$I$5:$I$15,MATCH($E124&amp;"|"&amp;$G124,KC_CURVAS!$K$5:$K$15,0)),IFERROR(INDEX(KC_CURVAS!$I$5:$I$15,MATCH($E124&amp;"|",KC_CURVAS!$K$5:$K$15,0)),""))</f>
        <v/>
      </c>
      <c r="R124" s="12">
        <f>IF(OR($J124="",$K124=""),"PENDENTE",IF($J124&lt;=$K124,$O124,IF($J124&lt;=$K124+$L124,$O124+($P124-$O124)*($J124-$K124)/$L124,IF($J124&lt;=$K124+$L124+$M124,$P124,IF($J124&lt;=$K124+$L124+$M124+$N124,$P124+($Q124-$P124)*($J124-($K124+$L124+$M124))/$N124,$Q124)))))</f>
        <v/>
      </c>
      <c r="S124" s="13">
        <f>ETO_SEM</f>
        <v/>
      </c>
      <c r="T124" s="14">
        <f>IF(OR($R124="",$R124="PENDENTE"),"",$R124*$S124)</f>
        <v/>
      </c>
      <c r="U124" s="13" t="n">
        <v>0</v>
      </c>
      <c r="V124" s="14">
        <f>IF($T124="","",MAX(0,$T124-N($U124)))</f>
        <v/>
      </c>
      <c r="W124" s="14">
        <f>IF($V124="","",$V124/EF_APLIC)</f>
        <v/>
      </c>
      <c r="X124" s="15" t="n">
        <v>150</v>
      </c>
      <c r="Y124" s="16">
        <f>IF(OR($W124="",$X124=""),"",$W124*$X124*10)</f>
        <v/>
      </c>
      <c r="Z124" s="17">
        <f>IFERROR(INDEX('PARAMETROS'!$B$16:$B$19,MATCH($D124,'PARAMETROS'!$A$16:$A$19,0)),"")</f>
        <v/>
      </c>
      <c r="AA124" s="16">
        <f>IF(OR($Y124="",$Z124=""),"",$Y124*$Z124)</f>
        <v/>
      </c>
      <c r="AB124" s="18">
        <f>IF($R124="PENDENTE","Definir classe/Kc",IF($W124="","-",IF($W124&gt;0,"Irrigar","Nao irrigar")))</f>
        <v/>
      </c>
      <c r="AC124" s="18">
        <f>IF(OR($W124="",$W124=0),"-",IF($W124&gt;=META_SEM,"Alta",IF($W124&gt;=META_SEM*FRAC_ACOMP,"Media","Baixa")))</f>
        <v/>
      </c>
      <c r="AD124" s="19" t="inlineStr"/>
    </row>
    <row r="125">
      <c r="A125" s="5" t="inlineStr">
        <is>
          <t>T12</t>
        </is>
      </c>
      <c r="B125" s="5" t="inlineStr">
        <is>
          <t>KARITEL</t>
        </is>
      </c>
      <c r="C125" s="5" t="inlineStr"/>
      <c r="D125" s="5" t="inlineStr">
        <is>
          <t>KM1</t>
        </is>
      </c>
      <c r="E125" s="5" t="inlineStr">
        <is>
          <t>SOJA</t>
        </is>
      </c>
      <c r="F125" s="6" t="inlineStr">
        <is>
          <t>COMBATE IPRO</t>
        </is>
      </c>
      <c r="G125" s="7" t="inlineStr">
        <is>
          <t>PRECOCE</t>
        </is>
      </c>
      <c r="H125" s="8" t="n">
        <v>46304</v>
      </c>
      <c r="I125" s="9">
        <f>IF($H125="","",DATA_REF-$H125)</f>
        <v/>
      </c>
      <c r="J125" s="9">
        <f>IF($I125="","",MAX(0,$I125-'PARAMETROS'!$B$12))</f>
        <v/>
      </c>
      <c r="K125" s="10">
        <f>IFERROR(INDEX(KC_CURVAS!$C$5:$C$15,MATCH($E125&amp;"|"&amp;$G125,KC_CURVAS!$K$5:$K$15,0)),IFERROR(INDEX(KC_CURVAS!$C$5:$C$15,MATCH($E125&amp;"|",KC_CURVAS!$K$5:$K$15,0)),""))</f>
        <v/>
      </c>
      <c r="L125" s="10">
        <f>IFERROR(INDEX(KC_CURVAS!$D$5:$D$15,MATCH($E125&amp;"|"&amp;$G125,KC_CURVAS!$K$5:$K$15,0)),IFERROR(INDEX(KC_CURVAS!$D$5:$D$15,MATCH($E125&amp;"|",KC_CURVAS!$K$5:$K$15,0)),""))</f>
        <v/>
      </c>
      <c r="M125" s="10">
        <f>IFERROR(INDEX(KC_CURVAS!$E$5:$E$15,MATCH($E125&amp;"|"&amp;$G125,KC_CURVAS!$K$5:$K$15,0)),IFERROR(INDEX(KC_CURVAS!$E$5:$E$15,MATCH($E125&amp;"|",KC_CURVAS!$K$5:$K$15,0)),""))</f>
        <v/>
      </c>
      <c r="N125" s="10">
        <f>IFERROR(INDEX(KC_CURVAS!$F$5:$F$15,MATCH($E125&amp;"|"&amp;$G125,KC_CURVAS!$K$5:$K$15,0)),IFERROR(INDEX(KC_CURVAS!$F$5:$F$15,MATCH($E125&amp;"|",KC_CURVAS!$K$5:$K$15,0)),""))</f>
        <v/>
      </c>
      <c r="O125" s="11">
        <f>IFERROR(INDEX(KC_CURVAS!$G$5:$G$15,MATCH($E125&amp;"|"&amp;$G125,KC_CURVAS!$K$5:$K$15,0)),IFERROR(INDEX(KC_CURVAS!$G$5:$G$15,MATCH($E125&amp;"|",KC_CURVAS!$K$5:$K$15,0)),""))</f>
        <v/>
      </c>
      <c r="P125" s="11">
        <f>IFERROR(INDEX(KC_CURVAS!$H$5:$H$15,MATCH($E125&amp;"|"&amp;$G125,KC_CURVAS!$K$5:$K$15,0)),IFERROR(INDEX(KC_CURVAS!$H$5:$H$15,MATCH($E125&amp;"|",KC_CURVAS!$K$5:$K$15,0)),""))</f>
        <v/>
      </c>
      <c r="Q125" s="11">
        <f>IFERROR(INDEX(KC_CURVAS!$I$5:$I$15,MATCH($E125&amp;"|"&amp;$G125,KC_CURVAS!$K$5:$K$15,0)),IFERROR(INDEX(KC_CURVAS!$I$5:$I$15,MATCH($E125&amp;"|",KC_CURVAS!$K$5:$K$15,0)),""))</f>
        <v/>
      </c>
      <c r="R125" s="12">
        <f>IF(OR($J125="",$K125=""),"PENDENTE",IF($J125&lt;=$K125,$O125,IF($J125&lt;=$K125+$L125,$O125+($P125-$O125)*($J125-$K125)/$L125,IF($J125&lt;=$K125+$L125+$M125,$P125,IF($J125&lt;=$K125+$L125+$M125+$N125,$P125+($Q125-$P125)*($J125-($K125+$L125+$M125))/$N125,$Q125)))))</f>
        <v/>
      </c>
      <c r="S125" s="13">
        <f>ETO_SEM</f>
        <v/>
      </c>
      <c r="T125" s="14">
        <f>IF(OR($R125="",$R125="PENDENTE"),"",$R125*$S125)</f>
        <v/>
      </c>
      <c r="U125" s="13" t="n">
        <v>0</v>
      </c>
      <c r="V125" s="14">
        <f>IF($T125="","",MAX(0,$T125-N($U125)))</f>
        <v/>
      </c>
      <c r="W125" s="14">
        <f>IF($V125="","",$V125/EF_APLIC)</f>
        <v/>
      </c>
      <c r="X125" s="15" t="n">
        <v>150</v>
      </c>
      <c r="Y125" s="16">
        <f>IF(OR($W125="",$X125=""),"",$W125*$X125*10)</f>
        <v/>
      </c>
      <c r="Z125" s="17">
        <f>IFERROR(INDEX('PARAMETROS'!$B$16:$B$19,MATCH($D125,'PARAMETROS'!$A$16:$A$19,0)),"")</f>
        <v/>
      </c>
      <c r="AA125" s="16">
        <f>IF(OR($Y125="",$Z125=""),"",$Y125*$Z125)</f>
        <v/>
      </c>
      <c r="AB125" s="18">
        <f>IF($R125="PENDENTE","Definir classe/Kc",IF($W125="","-",IF($W125&gt;0,"Irrigar","Nao irrigar")))</f>
        <v/>
      </c>
      <c r="AC125" s="18">
        <f>IF(OR($W125="",$W125=0),"-",IF($W125&gt;=META_SEM,"Alta",IF($W125&gt;=META_SEM*FRAC_ACOMP,"Media","Baixa")))</f>
        <v/>
      </c>
      <c r="AD125" s="19" t="inlineStr"/>
    </row>
    <row r="126">
      <c r="A126" s="5" t="inlineStr">
        <is>
          <t>T13</t>
        </is>
      </c>
      <c r="B126" s="5" t="inlineStr">
        <is>
          <t>KARITEL</t>
        </is>
      </c>
      <c r="C126" s="5" t="inlineStr"/>
      <c r="D126" s="5" t="inlineStr">
        <is>
          <t>KM1</t>
        </is>
      </c>
      <c r="E126" s="5" t="inlineStr">
        <is>
          <t>SOJA</t>
        </is>
      </c>
      <c r="F126" s="6" t="inlineStr">
        <is>
          <t>COMBATE IPRO</t>
        </is>
      </c>
      <c r="G126" s="7" t="inlineStr">
        <is>
          <t>PRECOCE</t>
        </is>
      </c>
      <c r="H126" s="8" t="n">
        <v>46304</v>
      </c>
      <c r="I126" s="9">
        <f>IF($H126="","",DATA_REF-$H126)</f>
        <v/>
      </c>
      <c r="J126" s="9">
        <f>IF($I126="","",MAX(0,$I126-'PARAMETROS'!$B$12))</f>
        <v/>
      </c>
      <c r="K126" s="10">
        <f>IFERROR(INDEX(KC_CURVAS!$C$5:$C$15,MATCH($E126&amp;"|"&amp;$G126,KC_CURVAS!$K$5:$K$15,0)),IFERROR(INDEX(KC_CURVAS!$C$5:$C$15,MATCH($E126&amp;"|",KC_CURVAS!$K$5:$K$15,0)),""))</f>
        <v/>
      </c>
      <c r="L126" s="10">
        <f>IFERROR(INDEX(KC_CURVAS!$D$5:$D$15,MATCH($E126&amp;"|"&amp;$G126,KC_CURVAS!$K$5:$K$15,0)),IFERROR(INDEX(KC_CURVAS!$D$5:$D$15,MATCH($E126&amp;"|",KC_CURVAS!$K$5:$K$15,0)),""))</f>
        <v/>
      </c>
      <c r="M126" s="10">
        <f>IFERROR(INDEX(KC_CURVAS!$E$5:$E$15,MATCH($E126&amp;"|"&amp;$G126,KC_CURVAS!$K$5:$K$15,0)),IFERROR(INDEX(KC_CURVAS!$E$5:$E$15,MATCH($E126&amp;"|",KC_CURVAS!$K$5:$K$15,0)),""))</f>
        <v/>
      </c>
      <c r="N126" s="10">
        <f>IFERROR(INDEX(KC_CURVAS!$F$5:$F$15,MATCH($E126&amp;"|"&amp;$G126,KC_CURVAS!$K$5:$K$15,0)),IFERROR(INDEX(KC_CURVAS!$F$5:$F$15,MATCH($E126&amp;"|",KC_CURVAS!$K$5:$K$15,0)),""))</f>
        <v/>
      </c>
      <c r="O126" s="11">
        <f>IFERROR(INDEX(KC_CURVAS!$G$5:$G$15,MATCH($E126&amp;"|"&amp;$G126,KC_CURVAS!$K$5:$K$15,0)),IFERROR(INDEX(KC_CURVAS!$G$5:$G$15,MATCH($E126&amp;"|",KC_CURVAS!$K$5:$K$15,0)),""))</f>
        <v/>
      </c>
      <c r="P126" s="11">
        <f>IFERROR(INDEX(KC_CURVAS!$H$5:$H$15,MATCH($E126&amp;"|"&amp;$G126,KC_CURVAS!$K$5:$K$15,0)),IFERROR(INDEX(KC_CURVAS!$H$5:$H$15,MATCH($E126&amp;"|",KC_CURVAS!$K$5:$K$15,0)),""))</f>
        <v/>
      </c>
      <c r="Q126" s="11">
        <f>IFERROR(INDEX(KC_CURVAS!$I$5:$I$15,MATCH($E126&amp;"|"&amp;$G126,KC_CURVAS!$K$5:$K$15,0)),IFERROR(INDEX(KC_CURVAS!$I$5:$I$15,MATCH($E126&amp;"|",KC_CURVAS!$K$5:$K$15,0)),""))</f>
        <v/>
      </c>
      <c r="R126" s="12">
        <f>IF(OR($J126="",$K126=""),"PENDENTE",IF($J126&lt;=$K126,$O126,IF($J126&lt;=$K126+$L126,$O126+($P126-$O126)*($J126-$K126)/$L126,IF($J126&lt;=$K126+$L126+$M126,$P126,IF($J126&lt;=$K126+$L126+$M126+$N126,$P126+($Q126-$P126)*($J126-($K126+$L126+$M126))/$N126,$Q126)))))</f>
        <v/>
      </c>
      <c r="S126" s="13">
        <f>ETO_SEM</f>
        <v/>
      </c>
      <c r="T126" s="14">
        <f>IF(OR($R126="",$R126="PENDENTE"),"",$R126*$S126)</f>
        <v/>
      </c>
      <c r="U126" s="13" t="n">
        <v>0</v>
      </c>
      <c r="V126" s="14">
        <f>IF($T126="","",MAX(0,$T126-N($U126)))</f>
        <v/>
      </c>
      <c r="W126" s="14">
        <f>IF($V126="","",$V126/EF_APLIC)</f>
        <v/>
      </c>
      <c r="X126" s="15" t="n">
        <v>71</v>
      </c>
      <c r="Y126" s="16">
        <f>IF(OR($W126="",$X126=""),"",$W126*$X126*10)</f>
        <v/>
      </c>
      <c r="Z126" s="17">
        <f>IFERROR(INDEX('PARAMETROS'!$B$16:$B$19,MATCH($D126,'PARAMETROS'!$A$16:$A$19,0)),"")</f>
        <v/>
      </c>
      <c r="AA126" s="16">
        <f>IF(OR($Y126="",$Z126=""),"",$Y126*$Z126)</f>
        <v/>
      </c>
      <c r="AB126" s="18">
        <f>IF($R126="PENDENTE","Definir classe/Kc",IF($W126="","-",IF($W126&gt;0,"Irrigar","Nao irrigar")))</f>
        <v/>
      </c>
      <c r="AC126" s="18">
        <f>IF(OR($W126="",$W126=0),"-",IF($W126&gt;=META_SEM,"Alta",IF($W126&gt;=META_SEM*FRAC_ACOMP,"Media","Baixa")))</f>
        <v/>
      </c>
      <c r="AD126" s="19" t="inlineStr"/>
    </row>
    <row r="127">
      <c r="A127" s="5" t="inlineStr">
        <is>
          <t>T37</t>
        </is>
      </c>
      <c r="B127" s="5" t="inlineStr">
        <is>
          <t>KARITEL</t>
        </is>
      </c>
      <c r="C127" s="5" t="inlineStr"/>
      <c r="D127" s="5" t="inlineStr">
        <is>
          <t>KM1</t>
        </is>
      </c>
      <c r="E127" s="5" t="inlineStr">
        <is>
          <t>SOJA</t>
        </is>
      </c>
      <c r="F127" s="6" t="inlineStr">
        <is>
          <t>COMPLETA IPRO</t>
        </is>
      </c>
      <c r="G127" s="7" t="inlineStr">
        <is>
          <t>MÉDIA</t>
        </is>
      </c>
      <c r="H127" s="8" t="n">
        <v>46304</v>
      </c>
      <c r="I127" s="9">
        <f>IF($H127="","",DATA_REF-$H127)</f>
        <v/>
      </c>
      <c r="J127" s="9">
        <f>IF($I127="","",MAX(0,$I127-'PARAMETROS'!$B$12))</f>
        <v/>
      </c>
      <c r="K127" s="10">
        <f>IFERROR(INDEX(KC_CURVAS!$C$5:$C$15,MATCH($E127&amp;"|"&amp;$G127,KC_CURVAS!$K$5:$K$15,0)),IFERROR(INDEX(KC_CURVAS!$C$5:$C$15,MATCH($E127&amp;"|",KC_CURVAS!$K$5:$K$15,0)),""))</f>
        <v/>
      </c>
      <c r="L127" s="10">
        <f>IFERROR(INDEX(KC_CURVAS!$D$5:$D$15,MATCH($E127&amp;"|"&amp;$G127,KC_CURVAS!$K$5:$K$15,0)),IFERROR(INDEX(KC_CURVAS!$D$5:$D$15,MATCH($E127&amp;"|",KC_CURVAS!$K$5:$K$15,0)),""))</f>
        <v/>
      </c>
      <c r="M127" s="10">
        <f>IFERROR(INDEX(KC_CURVAS!$E$5:$E$15,MATCH($E127&amp;"|"&amp;$G127,KC_CURVAS!$K$5:$K$15,0)),IFERROR(INDEX(KC_CURVAS!$E$5:$E$15,MATCH($E127&amp;"|",KC_CURVAS!$K$5:$K$15,0)),""))</f>
        <v/>
      </c>
      <c r="N127" s="10">
        <f>IFERROR(INDEX(KC_CURVAS!$F$5:$F$15,MATCH($E127&amp;"|"&amp;$G127,KC_CURVAS!$K$5:$K$15,0)),IFERROR(INDEX(KC_CURVAS!$F$5:$F$15,MATCH($E127&amp;"|",KC_CURVAS!$K$5:$K$15,0)),""))</f>
        <v/>
      </c>
      <c r="O127" s="11">
        <f>IFERROR(INDEX(KC_CURVAS!$G$5:$G$15,MATCH($E127&amp;"|"&amp;$G127,KC_CURVAS!$K$5:$K$15,0)),IFERROR(INDEX(KC_CURVAS!$G$5:$G$15,MATCH($E127&amp;"|",KC_CURVAS!$K$5:$K$15,0)),""))</f>
        <v/>
      </c>
      <c r="P127" s="11">
        <f>IFERROR(INDEX(KC_CURVAS!$H$5:$H$15,MATCH($E127&amp;"|"&amp;$G127,KC_CURVAS!$K$5:$K$15,0)),IFERROR(INDEX(KC_CURVAS!$H$5:$H$15,MATCH($E127&amp;"|",KC_CURVAS!$K$5:$K$15,0)),""))</f>
        <v/>
      </c>
      <c r="Q127" s="11">
        <f>IFERROR(INDEX(KC_CURVAS!$I$5:$I$15,MATCH($E127&amp;"|"&amp;$G127,KC_CURVAS!$K$5:$K$15,0)),IFERROR(INDEX(KC_CURVAS!$I$5:$I$15,MATCH($E127&amp;"|",KC_CURVAS!$K$5:$K$15,0)),""))</f>
        <v/>
      </c>
      <c r="R127" s="12">
        <f>IF(OR($J127="",$K127=""),"PENDENTE",IF($J127&lt;=$K127,$O127,IF($J127&lt;=$K127+$L127,$O127+($P127-$O127)*($J127-$K127)/$L127,IF($J127&lt;=$K127+$L127+$M127,$P127,IF($J127&lt;=$K127+$L127+$M127+$N127,$P127+($Q127-$P127)*($J127-($K127+$L127+$M127))/$N127,$Q127)))))</f>
        <v/>
      </c>
      <c r="S127" s="13">
        <f>ETO_SEM</f>
        <v/>
      </c>
      <c r="T127" s="14">
        <f>IF(OR($R127="",$R127="PENDENTE"),"",$R127*$S127)</f>
        <v/>
      </c>
      <c r="U127" s="13" t="n">
        <v>0</v>
      </c>
      <c r="V127" s="14">
        <f>IF($T127="","",MAX(0,$T127-N($U127)))</f>
        <v/>
      </c>
      <c r="W127" s="14">
        <f>IF($V127="","",$V127/EF_APLIC)</f>
        <v/>
      </c>
      <c r="X127" s="15" t="n">
        <v>72</v>
      </c>
      <c r="Y127" s="16">
        <f>IF(OR($W127="",$X127=""),"",$W127*$X127*10)</f>
        <v/>
      </c>
      <c r="Z127" s="17">
        <f>IFERROR(INDEX('PARAMETROS'!$B$16:$B$19,MATCH($D127,'PARAMETROS'!$A$16:$A$19,0)),"")</f>
        <v/>
      </c>
      <c r="AA127" s="16">
        <f>IF(OR($Y127="",$Z127=""),"",$Y127*$Z127)</f>
        <v/>
      </c>
      <c r="AB127" s="18">
        <f>IF($R127="PENDENTE","Definir classe/Kc",IF($W127="","-",IF($W127&gt;0,"Irrigar","Nao irrigar")))</f>
        <v/>
      </c>
      <c r="AC127" s="18">
        <f>IF(OR($W127="",$W127=0),"-",IF($W127&gt;=META_SEM,"Alta",IF($W127&gt;=META_SEM*FRAC_ACOMP,"Media","Baixa")))</f>
        <v/>
      </c>
      <c r="AD127" s="19" t="inlineStr"/>
    </row>
    <row r="128">
      <c r="A128" s="5" t="inlineStr">
        <is>
          <t>T38</t>
        </is>
      </c>
      <c r="B128" s="5" t="inlineStr">
        <is>
          <t>KARITEL</t>
        </is>
      </c>
      <c r="C128" s="5" t="inlineStr"/>
      <c r="D128" s="5" t="inlineStr">
        <is>
          <t>KM1</t>
        </is>
      </c>
      <c r="E128" s="5" t="inlineStr">
        <is>
          <t>SOJA</t>
        </is>
      </c>
      <c r="F128" s="6" t="inlineStr">
        <is>
          <t>COMPLETA IPRO</t>
        </is>
      </c>
      <c r="G128" s="7" t="inlineStr">
        <is>
          <t>MÉDIA</t>
        </is>
      </c>
      <c r="H128" s="8" t="n">
        <v>46304</v>
      </c>
      <c r="I128" s="9">
        <f>IF($H128="","",DATA_REF-$H128)</f>
        <v/>
      </c>
      <c r="J128" s="9">
        <f>IF($I128="","",MAX(0,$I128-'PARAMETROS'!$B$12))</f>
        <v/>
      </c>
      <c r="K128" s="10">
        <f>IFERROR(INDEX(KC_CURVAS!$C$5:$C$15,MATCH($E128&amp;"|"&amp;$G128,KC_CURVAS!$K$5:$K$15,0)),IFERROR(INDEX(KC_CURVAS!$C$5:$C$15,MATCH($E128&amp;"|",KC_CURVAS!$K$5:$K$15,0)),""))</f>
        <v/>
      </c>
      <c r="L128" s="10">
        <f>IFERROR(INDEX(KC_CURVAS!$D$5:$D$15,MATCH($E128&amp;"|"&amp;$G128,KC_CURVAS!$K$5:$K$15,0)),IFERROR(INDEX(KC_CURVAS!$D$5:$D$15,MATCH($E128&amp;"|",KC_CURVAS!$K$5:$K$15,0)),""))</f>
        <v/>
      </c>
      <c r="M128" s="10">
        <f>IFERROR(INDEX(KC_CURVAS!$E$5:$E$15,MATCH($E128&amp;"|"&amp;$G128,KC_CURVAS!$K$5:$K$15,0)),IFERROR(INDEX(KC_CURVAS!$E$5:$E$15,MATCH($E128&amp;"|",KC_CURVAS!$K$5:$K$15,0)),""))</f>
        <v/>
      </c>
      <c r="N128" s="10">
        <f>IFERROR(INDEX(KC_CURVAS!$F$5:$F$15,MATCH($E128&amp;"|"&amp;$G128,KC_CURVAS!$K$5:$K$15,0)),IFERROR(INDEX(KC_CURVAS!$F$5:$F$15,MATCH($E128&amp;"|",KC_CURVAS!$K$5:$K$15,0)),""))</f>
        <v/>
      </c>
      <c r="O128" s="11">
        <f>IFERROR(INDEX(KC_CURVAS!$G$5:$G$15,MATCH($E128&amp;"|"&amp;$G128,KC_CURVAS!$K$5:$K$15,0)),IFERROR(INDEX(KC_CURVAS!$G$5:$G$15,MATCH($E128&amp;"|",KC_CURVAS!$K$5:$K$15,0)),""))</f>
        <v/>
      </c>
      <c r="P128" s="11">
        <f>IFERROR(INDEX(KC_CURVAS!$H$5:$H$15,MATCH($E128&amp;"|"&amp;$G128,KC_CURVAS!$K$5:$K$15,0)),IFERROR(INDEX(KC_CURVAS!$H$5:$H$15,MATCH($E128&amp;"|",KC_CURVAS!$K$5:$K$15,0)),""))</f>
        <v/>
      </c>
      <c r="Q128" s="11">
        <f>IFERROR(INDEX(KC_CURVAS!$I$5:$I$15,MATCH($E128&amp;"|"&amp;$G128,KC_CURVAS!$K$5:$K$15,0)),IFERROR(INDEX(KC_CURVAS!$I$5:$I$15,MATCH($E128&amp;"|",KC_CURVAS!$K$5:$K$15,0)),""))</f>
        <v/>
      </c>
      <c r="R128" s="12">
        <f>IF(OR($J128="",$K128=""),"PENDENTE",IF($J128&lt;=$K128,$O128,IF($J128&lt;=$K128+$L128,$O128+($P128-$O128)*($J128-$K128)/$L128,IF($J128&lt;=$K128+$L128+$M128,$P128,IF($J128&lt;=$K128+$L128+$M128+$N128,$P128+($Q128-$P128)*($J128-($K128+$L128+$M128))/$N128,$Q128)))))</f>
        <v/>
      </c>
      <c r="S128" s="13">
        <f>ETO_SEM</f>
        <v/>
      </c>
      <c r="T128" s="14">
        <f>IF(OR($R128="",$R128="PENDENTE"),"",$R128*$S128)</f>
        <v/>
      </c>
      <c r="U128" s="13" t="n">
        <v>0</v>
      </c>
      <c r="V128" s="14">
        <f>IF($T128="","",MAX(0,$T128-N($U128)))</f>
        <v/>
      </c>
      <c r="W128" s="14">
        <f>IF($V128="","",$V128/EF_APLIC)</f>
        <v/>
      </c>
      <c r="X128" s="15" t="n">
        <v>141</v>
      </c>
      <c r="Y128" s="16">
        <f>IF(OR($W128="",$X128=""),"",$W128*$X128*10)</f>
        <v/>
      </c>
      <c r="Z128" s="17">
        <f>IFERROR(INDEX('PARAMETROS'!$B$16:$B$19,MATCH($D128,'PARAMETROS'!$A$16:$A$19,0)),"")</f>
        <v/>
      </c>
      <c r="AA128" s="16">
        <f>IF(OR($Y128="",$Z128=""),"",$Y128*$Z128)</f>
        <v/>
      </c>
      <c r="AB128" s="18">
        <f>IF($R128="PENDENTE","Definir classe/Kc",IF($W128="","-",IF($W128&gt;0,"Irrigar","Nao irrigar")))</f>
        <v/>
      </c>
      <c r="AC128" s="18">
        <f>IF(OR($W128="",$W128=0),"-",IF($W128&gt;=META_SEM,"Alta",IF($W128&gt;=META_SEM*FRAC_ACOMP,"Media","Baixa")))</f>
        <v/>
      </c>
      <c r="AD128" s="19" t="inlineStr"/>
    </row>
    <row r="129">
      <c r="A129" s="5" t="inlineStr">
        <is>
          <t>T40</t>
        </is>
      </c>
      <c r="B129" s="5" t="inlineStr">
        <is>
          <t>KARITEL</t>
        </is>
      </c>
      <c r="C129" s="5" t="inlineStr"/>
      <c r="D129" s="5" t="inlineStr">
        <is>
          <t>KM1</t>
        </is>
      </c>
      <c r="E129" s="5" t="inlineStr">
        <is>
          <t>SOJA</t>
        </is>
      </c>
      <c r="F129" s="6" t="inlineStr">
        <is>
          <t>BMX Olimpo IPRO</t>
        </is>
      </c>
      <c r="G129" s="7" t="inlineStr">
        <is>
          <t>MÉDIA</t>
        </is>
      </c>
      <c r="H129" s="8" t="n">
        <v>46305</v>
      </c>
      <c r="I129" s="9">
        <f>IF($H129="","",DATA_REF-$H129)</f>
        <v/>
      </c>
      <c r="J129" s="9">
        <f>IF($I129="","",MAX(0,$I129-'PARAMETROS'!$B$12))</f>
        <v/>
      </c>
      <c r="K129" s="10">
        <f>IFERROR(INDEX(KC_CURVAS!$C$5:$C$15,MATCH($E129&amp;"|"&amp;$G129,KC_CURVAS!$K$5:$K$15,0)),IFERROR(INDEX(KC_CURVAS!$C$5:$C$15,MATCH($E129&amp;"|",KC_CURVAS!$K$5:$K$15,0)),""))</f>
        <v/>
      </c>
      <c r="L129" s="10">
        <f>IFERROR(INDEX(KC_CURVAS!$D$5:$D$15,MATCH($E129&amp;"|"&amp;$G129,KC_CURVAS!$K$5:$K$15,0)),IFERROR(INDEX(KC_CURVAS!$D$5:$D$15,MATCH($E129&amp;"|",KC_CURVAS!$K$5:$K$15,0)),""))</f>
        <v/>
      </c>
      <c r="M129" s="10">
        <f>IFERROR(INDEX(KC_CURVAS!$E$5:$E$15,MATCH($E129&amp;"|"&amp;$G129,KC_CURVAS!$K$5:$K$15,0)),IFERROR(INDEX(KC_CURVAS!$E$5:$E$15,MATCH($E129&amp;"|",KC_CURVAS!$K$5:$K$15,0)),""))</f>
        <v/>
      </c>
      <c r="N129" s="10">
        <f>IFERROR(INDEX(KC_CURVAS!$F$5:$F$15,MATCH($E129&amp;"|"&amp;$G129,KC_CURVAS!$K$5:$K$15,0)),IFERROR(INDEX(KC_CURVAS!$F$5:$F$15,MATCH($E129&amp;"|",KC_CURVAS!$K$5:$K$15,0)),""))</f>
        <v/>
      </c>
      <c r="O129" s="11">
        <f>IFERROR(INDEX(KC_CURVAS!$G$5:$G$15,MATCH($E129&amp;"|"&amp;$G129,KC_CURVAS!$K$5:$K$15,0)),IFERROR(INDEX(KC_CURVAS!$G$5:$G$15,MATCH($E129&amp;"|",KC_CURVAS!$K$5:$K$15,0)),""))</f>
        <v/>
      </c>
      <c r="P129" s="11">
        <f>IFERROR(INDEX(KC_CURVAS!$H$5:$H$15,MATCH($E129&amp;"|"&amp;$G129,KC_CURVAS!$K$5:$K$15,0)),IFERROR(INDEX(KC_CURVAS!$H$5:$H$15,MATCH($E129&amp;"|",KC_CURVAS!$K$5:$K$15,0)),""))</f>
        <v/>
      </c>
      <c r="Q129" s="11">
        <f>IFERROR(INDEX(KC_CURVAS!$I$5:$I$15,MATCH($E129&amp;"|"&amp;$G129,KC_CURVAS!$K$5:$K$15,0)),IFERROR(INDEX(KC_CURVAS!$I$5:$I$15,MATCH($E129&amp;"|",KC_CURVAS!$K$5:$K$15,0)),""))</f>
        <v/>
      </c>
      <c r="R129" s="12">
        <f>IF(OR($J129="",$K129=""),"PENDENTE",IF($J129&lt;=$K129,$O129,IF($J129&lt;=$K129+$L129,$O129+($P129-$O129)*($J129-$K129)/$L129,IF($J129&lt;=$K129+$L129+$M129,$P129,IF($J129&lt;=$K129+$L129+$M129+$N129,$P129+($Q129-$P129)*($J129-($K129+$L129+$M129))/$N129,$Q129)))))</f>
        <v/>
      </c>
      <c r="S129" s="13">
        <f>ETO_SEM</f>
        <v/>
      </c>
      <c r="T129" s="14">
        <f>IF(OR($R129="",$R129="PENDENTE"),"",$R129*$S129)</f>
        <v/>
      </c>
      <c r="U129" s="13" t="n">
        <v>0</v>
      </c>
      <c r="V129" s="14">
        <f>IF($T129="","",MAX(0,$T129-N($U129)))</f>
        <v/>
      </c>
      <c r="W129" s="14">
        <f>IF($V129="","",$V129/EF_APLIC)</f>
        <v/>
      </c>
      <c r="X129" s="15" t="n">
        <v>150</v>
      </c>
      <c r="Y129" s="16">
        <f>IF(OR($W129="",$X129=""),"",$W129*$X129*10)</f>
        <v/>
      </c>
      <c r="Z129" s="17">
        <f>IFERROR(INDEX('PARAMETROS'!$B$16:$B$19,MATCH($D129,'PARAMETROS'!$A$16:$A$19,0)),"")</f>
        <v/>
      </c>
      <c r="AA129" s="16">
        <f>IF(OR($Y129="",$Z129=""),"",$Y129*$Z129)</f>
        <v/>
      </c>
      <c r="AB129" s="18">
        <f>IF($R129="PENDENTE","Definir classe/Kc",IF($W129="","-",IF($W129&gt;0,"Irrigar","Nao irrigar")))</f>
        <v/>
      </c>
      <c r="AC129" s="18">
        <f>IF(OR($W129="",$W129=0),"-",IF($W129&gt;=META_SEM,"Alta",IF($W129&gt;=META_SEM*FRAC_ACOMP,"Media","Baixa")))</f>
        <v/>
      </c>
      <c r="AD129" s="19" t="inlineStr"/>
    </row>
    <row r="130">
      <c r="A130" s="5" t="inlineStr">
        <is>
          <t>T41</t>
        </is>
      </c>
      <c r="B130" s="5" t="inlineStr">
        <is>
          <t>KARITEL</t>
        </is>
      </c>
      <c r="C130" s="5" t="inlineStr"/>
      <c r="D130" s="5" t="inlineStr">
        <is>
          <t>KM2</t>
        </is>
      </c>
      <c r="E130" s="5" t="inlineStr">
        <is>
          <t>SOJA</t>
        </is>
      </c>
      <c r="F130" s="6" t="inlineStr">
        <is>
          <t>NEO 761 I2X</t>
        </is>
      </c>
      <c r="G130" s="7" t="inlineStr">
        <is>
          <t>PRECOCE</t>
        </is>
      </c>
      <c r="H130" s="8" t="n">
        <v>46305</v>
      </c>
      <c r="I130" s="9">
        <f>IF($H130="","",DATA_REF-$H130)</f>
        <v/>
      </c>
      <c r="J130" s="9">
        <f>IF($I130="","",MAX(0,$I130-'PARAMETROS'!$B$12))</f>
        <v/>
      </c>
      <c r="K130" s="10">
        <f>IFERROR(INDEX(KC_CURVAS!$C$5:$C$15,MATCH($E130&amp;"|"&amp;$G130,KC_CURVAS!$K$5:$K$15,0)),IFERROR(INDEX(KC_CURVAS!$C$5:$C$15,MATCH($E130&amp;"|",KC_CURVAS!$K$5:$K$15,0)),""))</f>
        <v/>
      </c>
      <c r="L130" s="10">
        <f>IFERROR(INDEX(KC_CURVAS!$D$5:$D$15,MATCH($E130&amp;"|"&amp;$G130,KC_CURVAS!$K$5:$K$15,0)),IFERROR(INDEX(KC_CURVAS!$D$5:$D$15,MATCH($E130&amp;"|",KC_CURVAS!$K$5:$K$15,0)),""))</f>
        <v/>
      </c>
      <c r="M130" s="10">
        <f>IFERROR(INDEX(KC_CURVAS!$E$5:$E$15,MATCH($E130&amp;"|"&amp;$G130,KC_CURVAS!$K$5:$K$15,0)),IFERROR(INDEX(KC_CURVAS!$E$5:$E$15,MATCH($E130&amp;"|",KC_CURVAS!$K$5:$K$15,0)),""))</f>
        <v/>
      </c>
      <c r="N130" s="10">
        <f>IFERROR(INDEX(KC_CURVAS!$F$5:$F$15,MATCH($E130&amp;"|"&amp;$G130,KC_CURVAS!$K$5:$K$15,0)),IFERROR(INDEX(KC_CURVAS!$F$5:$F$15,MATCH($E130&amp;"|",KC_CURVAS!$K$5:$K$15,0)),""))</f>
        <v/>
      </c>
      <c r="O130" s="11">
        <f>IFERROR(INDEX(KC_CURVAS!$G$5:$G$15,MATCH($E130&amp;"|"&amp;$G130,KC_CURVAS!$K$5:$K$15,0)),IFERROR(INDEX(KC_CURVAS!$G$5:$G$15,MATCH($E130&amp;"|",KC_CURVAS!$K$5:$K$15,0)),""))</f>
        <v/>
      </c>
      <c r="P130" s="11">
        <f>IFERROR(INDEX(KC_CURVAS!$H$5:$H$15,MATCH($E130&amp;"|"&amp;$G130,KC_CURVAS!$K$5:$K$15,0)),IFERROR(INDEX(KC_CURVAS!$H$5:$H$15,MATCH($E130&amp;"|",KC_CURVAS!$K$5:$K$15,0)),""))</f>
        <v/>
      </c>
      <c r="Q130" s="11">
        <f>IFERROR(INDEX(KC_CURVAS!$I$5:$I$15,MATCH($E130&amp;"|"&amp;$G130,KC_CURVAS!$K$5:$K$15,0)),IFERROR(INDEX(KC_CURVAS!$I$5:$I$15,MATCH($E130&amp;"|",KC_CURVAS!$K$5:$K$15,0)),""))</f>
        <v/>
      </c>
      <c r="R130" s="12">
        <f>IF(OR($J130="",$K130=""),"PENDENTE",IF($J130&lt;=$K130,$O130,IF($J130&lt;=$K130+$L130,$O130+($P130-$O130)*($J130-$K130)/$L130,IF($J130&lt;=$K130+$L130+$M130,$P130,IF($J130&lt;=$K130+$L130+$M130+$N130,$P130+($Q130-$P130)*($J130-($K130+$L130+$M130))/$N130,$Q130)))))</f>
        <v/>
      </c>
      <c r="S130" s="13">
        <f>ETO_SEM</f>
        <v/>
      </c>
      <c r="T130" s="14">
        <f>IF(OR($R130="",$R130="PENDENTE"),"",$R130*$S130)</f>
        <v/>
      </c>
      <c r="U130" s="13" t="n">
        <v>0</v>
      </c>
      <c r="V130" s="14">
        <f>IF($T130="","",MAX(0,$T130-N($U130)))</f>
        <v/>
      </c>
      <c r="W130" s="14">
        <f>IF($V130="","",$V130/EF_APLIC)</f>
        <v/>
      </c>
      <c r="X130" s="15" t="n">
        <v>138</v>
      </c>
      <c r="Y130" s="16">
        <f>IF(OR($W130="",$X130=""),"",$W130*$X130*10)</f>
        <v/>
      </c>
      <c r="Z130" s="17">
        <f>IFERROR(INDEX('PARAMETROS'!$B$16:$B$19,MATCH($D130,'PARAMETROS'!$A$16:$A$19,0)),"")</f>
        <v/>
      </c>
      <c r="AA130" s="16">
        <f>IF(OR($Y130="",$Z130=""),"",$Y130*$Z130)</f>
        <v/>
      </c>
      <c r="AB130" s="18">
        <f>IF($R130="PENDENTE","Definir classe/Kc",IF($W130="","-",IF($W130&gt;0,"Irrigar","Nao irrigar")))</f>
        <v/>
      </c>
      <c r="AC130" s="18">
        <f>IF(OR($W130="",$W130=0),"-",IF($W130&gt;=META_SEM,"Alta",IF($W130&gt;=META_SEM*FRAC_ACOMP,"Media","Baixa")))</f>
        <v/>
      </c>
      <c r="AD130" s="19" t="inlineStr"/>
    </row>
    <row r="131">
      <c r="A131" s="5" t="inlineStr">
        <is>
          <t>T42</t>
        </is>
      </c>
      <c r="B131" s="5" t="inlineStr">
        <is>
          <t>KARITEL</t>
        </is>
      </c>
      <c r="C131" s="5" t="inlineStr"/>
      <c r="D131" s="5" t="inlineStr">
        <is>
          <t>KM2</t>
        </is>
      </c>
      <c r="E131" s="5" t="inlineStr">
        <is>
          <t>SOJA</t>
        </is>
      </c>
      <c r="F131" s="6" t="inlineStr">
        <is>
          <t>BMX Olimpo IPRO</t>
        </is>
      </c>
      <c r="G131" s="7" t="inlineStr">
        <is>
          <t>MÉDIA</t>
        </is>
      </c>
      <c r="H131" s="8" t="n">
        <v>46307</v>
      </c>
      <c r="I131" s="9">
        <f>IF($H131="","",DATA_REF-$H131)</f>
        <v/>
      </c>
      <c r="J131" s="9">
        <f>IF($I131="","",MAX(0,$I131-'PARAMETROS'!$B$12))</f>
        <v/>
      </c>
      <c r="K131" s="10">
        <f>IFERROR(INDEX(KC_CURVAS!$C$5:$C$15,MATCH($E131&amp;"|"&amp;$G131,KC_CURVAS!$K$5:$K$15,0)),IFERROR(INDEX(KC_CURVAS!$C$5:$C$15,MATCH($E131&amp;"|",KC_CURVAS!$K$5:$K$15,0)),""))</f>
        <v/>
      </c>
      <c r="L131" s="10">
        <f>IFERROR(INDEX(KC_CURVAS!$D$5:$D$15,MATCH($E131&amp;"|"&amp;$G131,KC_CURVAS!$K$5:$K$15,0)),IFERROR(INDEX(KC_CURVAS!$D$5:$D$15,MATCH($E131&amp;"|",KC_CURVAS!$K$5:$K$15,0)),""))</f>
        <v/>
      </c>
      <c r="M131" s="10">
        <f>IFERROR(INDEX(KC_CURVAS!$E$5:$E$15,MATCH($E131&amp;"|"&amp;$G131,KC_CURVAS!$K$5:$K$15,0)),IFERROR(INDEX(KC_CURVAS!$E$5:$E$15,MATCH($E131&amp;"|",KC_CURVAS!$K$5:$K$15,0)),""))</f>
        <v/>
      </c>
      <c r="N131" s="10">
        <f>IFERROR(INDEX(KC_CURVAS!$F$5:$F$15,MATCH($E131&amp;"|"&amp;$G131,KC_CURVAS!$K$5:$K$15,0)),IFERROR(INDEX(KC_CURVAS!$F$5:$F$15,MATCH($E131&amp;"|",KC_CURVAS!$K$5:$K$15,0)),""))</f>
        <v/>
      </c>
      <c r="O131" s="11">
        <f>IFERROR(INDEX(KC_CURVAS!$G$5:$G$15,MATCH($E131&amp;"|"&amp;$G131,KC_CURVAS!$K$5:$K$15,0)),IFERROR(INDEX(KC_CURVAS!$G$5:$G$15,MATCH($E131&amp;"|",KC_CURVAS!$K$5:$K$15,0)),""))</f>
        <v/>
      </c>
      <c r="P131" s="11">
        <f>IFERROR(INDEX(KC_CURVAS!$H$5:$H$15,MATCH($E131&amp;"|"&amp;$G131,KC_CURVAS!$K$5:$K$15,0)),IFERROR(INDEX(KC_CURVAS!$H$5:$H$15,MATCH($E131&amp;"|",KC_CURVAS!$K$5:$K$15,0)),""))</f>
        <v/>
      </c>
      <c r="Q131" s="11">
        <f>IFERROR(INDEX(KC_CURVAS!$I$5:$I$15,MATCH($E131&amp;"|"&amp;$G131,KC_CURVAS!$K$5:$K$15,0)),IFERROR(INDEX(KC_CURVAS!$I$5:$I$15,MATCH($E131&amp;"|",KC_CURVAS!$K$5:$K$15,0)),""))</f>
        <v/>
      </c>
      <c r="R131" s="12">
        <f>IF(OR($J131="",$K131=""),"PENDENTE",IF($J131&lt;=$K131,$O131,IF($J131&lt;=$K131+$L131,$O131+($P131-$O131)*($J131-$K131)/$L131,IF($J131&lt;=$K131+$L131+$M131,$P131,IF($J131&lt;=$K131+$L131+$M131+$N131,$P131+($Q131-$P131)*($J131-($K131+$L131+$M131))/$N131,$Q131)))))</f>
        <v/>
      </c>
      <c r="S131" s="13">
        <f>ETO_SEM</f>
        <v/>
      </c>
      <c r="T131" s="14">
        <f>IF(OR($R131="",$R131="PENDENTE"),"",$R131*$S131)</f>
        <v/>
      </c>
      <c r="U131" s="13" t="n">
        <v>0</v>
      </c>
      <c r="V131" s="14">
        <f>IF($T131="","",MAX(0,$T131-N($U131)))</f>
        <v/>
      </c>
      <c r="W131" s="14">
        <f>IF($V131="","",$V131/EF_APLIC)</f>
        <v/>
      </c>
      <c r="X131" s="15" t="n">
        <v>100</v>
      </c>
      <c r="Y131" s="16">
        <f>IF(OR($W131="",$X131=""),"",$W131*$X131*10)</f>
        <v/>
      </c>
      <c r="Z131" s="17">
        <f>IFERROR(INDEX('PARAMETROS'!$B$16:$B$19,MATCH($D131,'PARAMETROS'!$A$16:$A$19,0)),"")</f>
        <v/>
      </c>
      <c r="AA131" s="16">
        <f>IF(OR($Y131="",$Z131=""),"",$Y131*$Z131)</f>
        <v/>
      </c>
      <c r="AB131" s="18">
        <f>IF($R131="PENDENTE","Definir classe/Kc",IF($W131="","-",IF($W131&gt;0,"Irrigar","Nao irrigar")))</f>
        <v/>
      </c>
      <c r="AC131" s="18">
        <f>IF(OR($W131="",$W131=0),"-",IF($W131&gt;=META_SEM,"Alta",IF($W131&gt;=META_SEM*FRAC_ACOMP,"Media","Baixa")))</f>
        <v/>
      </c>
      <c r="AD131" s="19" t="inlineStr"/>
    </row>
    <row r="132">
      <c r="A132" s="5" t="inlineStr">
        <is>
          <t>T43</t>
        </is>
      </c>
      <c r="B132" s="5" t="inlineStr">
        <is>
          <t>KARITEL</t>
        </is>
      </c>
      <c r="C132" s="5" t="inlineStr"/>
      <c r="D132" s="5" t="inlineStr">
        <is>
          <t>KM2</t>
        </is>
      </c>
      <c r="E132" s="5" t="inlineStr">
        <is>
          <t>SOJA</t>
        </is>
      </c>
      <c r="F132" s="6" t="inlineStr">
        <is>
          <t>NEO 761 I2X</t>
        </is>
      </c>
      <c r="G132" s="7" t="inlineStr">
        <is>
          <t>PRECOCE</t>
        </is>
      </c>
      <c r="H132" s="8" t="n">
        <v>46307</v>
      </c>
      <c r="I132" s="9">
        <f>IF($H132="","",DATA_REF-$H132)</f>
        <v/>
      </c>
      <c r="J132" s="9">
        <f>IF($I132="","",MAX(0,$I132-'PARAMETROS'!$B$12))</f>
        <v/>
      </c>
      <c r="K132" s="10">
        <f>IFERROR(INDEX(KC_CURVAS!$C$5:$C$15,MATCH($E132&amp;"|"&amp;$G132,KC_CURVAS!$K$5:$K$15,0)),IFERROR(INDEX(KC_CURVAS!$C$5:$C$15,MATCH($E132&amp;"|",KC_CURVAS!$K$5:$K$15,0)),""))</f>
        <v/>
      </c>
      <c r="L132" s="10">
        <f>IFERROR(INDEX(KC_CURVAS!$D$5:$D$15,MATCH($E132&amp;"|"&amp;$G132,KC_CURVAS!$K$5:$K$15,0)),IFERROR(INDEX(KC_CURVAS!$D$5:$D$15,MATCH($E132&amp;"|",KC_CURVAS!$K$5:$K$15,0)),""))</f>
        <v/>
      </c>
      <c r="M132" s="10">
        <f>IFERROR(INDEX(KC_CURVAS!$E$5:$E$15,MATCH($E132&amp;"|"&amp;$G132,KC_CURVAS!$K$5:$K$15,0)),IFERROR(INDEX(KC_CURVAS!$E$5:$E$15,MATCH($E132&amp;"|",KC_CURVAS!$K$5:$K$15,0)),""))</f>
        <v/>
      </c>
      <c r="N132" s="10">
        <f>IFERROR(INDEX(KC_CURVAS!$F$5:$F$15,MATCH($E132&amp;"|"&amp;$G132,KC_CURVAS!$K$5:$K$15,0)),IFERROR(INDEX(KC_CURVAS!$F$5:$F$15,MATCH($E132&amp;"|",KC_CURVAS!$K$5:$K$15,0)),""))</f>
        <v/>
      </c>
      <c r="O132" s="11">
        <f>IFERROR(INDEX(KC_CURVAS!$G$5:$G$15,MATCH($E132&amp;"|"&amp;$G132,KC_CURVAS!$K$5:$K$15,0)),IFERROR(INDEX(KC_CURVAS!$G$5:$G$15,MATCH($E132&amp;"|",KC_CURVAS!$K$5:$K$15,0)),""))</f>
        <v/>
      </c>
      <c r="P132" s="11">
        <f>IFERROR(INDEX(KC_CURVAS!$H$5:$H$15,MATCH($E132&amp;"|"&amp;$G132,KC_CURVAS!$K$5:$K$15,0)),IFERROR(INDEX(KC_CURVAS!$H$5:$H$15,MATCH($E132&amp;"|",KC_CURVAS!$K$5:$K$15,0)),""))</f>
        <v/>
      </c>
      <c r="Q132" s="11">
        <f>IFERROR(INDEX(KC_CURVAS!$I$5:$I$15,MATCH($E132&amp;"|"&amp;$G132,KC_CURVAS!$K$5:$K$15,0)),IFERROR(INDEX(KC_CURVAS!$I$5:$I$15,MATCH($E132&amp;"|",KC_CURVAS!$K$5:$K$15,0)),""))</f>
        <v/>
      </c>
      <c r="R132" s="12">
        <f>IF(OR($J132="",$K132=""),"PENDENTE",IF($J132&lt;=$K132,$O132,IF($J132&lt;=$K132+$L132,$O132+($P132-$O132)*($J132-$K132)/$L132,IF($J132&lt;=$K132+$L132+$M132,$P132,IF($J132&lt;=$K132+$L132+$M132+$N132,$P132+($Q132-$P132)*($J132-($K132+$L132+$M132))/$N132,$Q132)))))</f>
        <v/>
      </c>
      <c r="S132" s="13">
        <f>ETO_SEM</f>
        <v/>
      </c>
      <c r="T132" s="14">
        <f>IF(OR($R132="",$R132="PENDENTE"),"",$R132*$S132)</f>
        <v/>
      </c>
      <c r="U132" s="13" t="n">
        <v>0</v>
      </c>
      <c r="V132" s="14">
        <f>IF($T132="","",MAX(0,$T132-N($U132)))</f>
        <v/>
      </c>
      <c r="W132" s="14">
        <f>IF($V132="","",$V132/EF_APLIC)</f>
        <v/>
      </c>
      <c r="X132" s="15" t="n">
        <v>138</v>
      </c>
      <c r="Y132" s="16">
        <f>IF(OR($W132="",$X132=""),"",$W132*$X132*10)</f>
        <v/>
      </c>
      <c r="Z132" s="17">
        <f>IFERROR(INDEX('PARAMETROS'!$B$16:$B$19,MATCH($D132,'PARAMETROS'!$A$16:$A$19,0)),"")</f>
        <v/>
      </c>
      <c r="AA132" s="16">
        <f>IF(OR($Y132="",$Z132=""),"",$Y132*$Z132)</f>
        <v/>
      </c>
      <c r="AB132" s="18">
        <f>IF($R132="PENDENTE","Definir classe/Kc",IF($W132="","-",IF($W132&gt;0,"Irrigar","Nao irrigar")))</f>
        <v/>
      </c>
      <c r="AC132" s="18">
        <f>IF(OR($W132="",$W132=0),"-",IF($W132&gt;=META_SEM,"Alta",IF($W132&gt;=META_SEM*FRAC_ACOMP,"Media","Baixa")))</f>
        <v/>
      </c>
      <c r="AD132" s="19" t="inlineStr"/>
    </row>
    <row r="133">
      <c r="A133" s="5" t="inlineStr">
        <is>
          <t>T125</t>
        </is>
      </c>
      <c r="B133" s="5" t="inlineStr">
        <is>
          <t>RDM</t>
        </is>
      </c>
      <c r="C133" s="5" t="inlineStr"/>
      <c r="D133" s="5" t="inlineStr">
        <is>
          <t>RDM2</t>
        </is>
      </c>
      <c r="E133" s="5" t="inlineStr">
        <is>
          <t>SOJA</t>
        </is>
      </c>
      <c r="F133" s="6" t="inlineStr">
        <is>
          <t>NEO 761 I2X</t>
        </is>
      </c>
      <c r="G133" s="7" t="inlineStr">
        <is>
          <t>PRECOCE</t>
        </is>
      </c>
      <c r="H133" s="8" t="n">
        <v>46308</v>
      </c>
      <c r="I133" s="9">
        <f>IF($H133="","",DATA_REF-$H133)</f>
        <v/>
      </c>
      <c r="J133" s="9">
        <f>IF($I133="","",MAX(0,$I133-'PARAMETROS'!$B$12))</f>
        <v/>
      </c>
      <c r="K133" s="10">
        <f>IFERROR(INDEX(KC_CURVAS!$C$5:$C$15,MATCH($E133&amp;"|"&amp;$G133,KC_CURVAS!$K$5:$K$15,0)),IFERROR(INDEX(KC_CURVAS!$C$5:$C$15,MATCH($E133&amp;"|",KC_CURVAS!$K$5:$K$15,0)),""))</f>
        <v/>
      </c>
      <c r="L133" s="10">
        <f>IFERROR(INDEX(KC_CURVAS!$D$5:$D$15,MATCH($E133&amp;"|"&amp;$G133,KC_CURVAS!$K$5:$K$15,0)),IFERROR(INDEX(KC_CURVAS!$D$5:$D$15,MATCH($E133&amp;"|",KC_CURVAS!$K$5:$K$15,0)),""))</f>
        <v/>
      </c>
      <c r="M133" s="10">
        <f>IFERROR(INDEX(KC_CURVAS!$E$5:$E$15,MATCH($E133&amp;"|"&amp;$G133,KC_CURVAS!$K$5:$K$15,0)),IFERROR(INDEX(KC_CURVAS!$E$5:$E$15,MATCH($E133&amp;"|",KC_CURVAS!$K$5:$K$15,0)),""))</f>
        <v/>
      </c>
      <c r="N133" s="10">
        <f>IFERROR(INDEX(KC_CURVAS!$F$5:$F$15,MATCH($E133&amp;"|"&amp;$G133,KC_CURVAS!$K$5:$K$15,0)),IFERROR(INDEX(KC_CURVAS!$F$5:$F$15,MATCH($E133&amp;"|",KC_CURVAS!$K$5:$K$15,0)),""))</f>
        <v/>
      </c>
      <c r="O133" s="11">
        <f>IFERROR(INDEX(KC_CURVAS!$G$5:$G$15,MATCH($E133&amp;"|"&amp;$G133,KC_CURVAS!$K$5:$K$15,0)),IFERROR(INDEX(KC_CURVAS!$G$5:$G$15,MATCH($E133&amp;"|",KC_CURVAS!$K$5:$K$15,0)),""))</f>
        <v/>
      </c>
      <c r="P133" s="11">
        <f>IFERROR(INDEX(KC_CURVAS!$H$5:$H$15,MATCH($E133&amp;"|"&amp;$G133,KC_CURVAS!$K$5:$K$15,0)),IFERROR(INDEX(KC_CURVAS!$H$5:$H$15,MATCH($E133&amp;"|",KC_CURVAS!$K$5:$K$15,0)),""))</f>
        <v/>
      </c>
      <c r="Q133" s="11">
        <f>IFERROR(INDEX(KC_CURVAS!$I$5:$I$15,MATCH($E133&amp;"|"&amp;$G133,KC_CURVAS!$K$5:$K$15,0)),IFERROR(INDEX(KC_CURVAS!$I$5:$I$15,MATCH($E133&amp;"|",KC_CURVAS!$K$5:$K$15,0)),""))</f>
        <v/>
      </c>
      <c r="R133" s="12">
        <f>IF(OR($J133="",$K133=""),"PENDENTE",IF($J133&lt;=$K133,$O133,IF($J133&lt;=$K133+$L133,$O133+($P133-$O133)*($J133-$K133)/$L133,IF($J133&lt;=$K133+$L133+$M133,$P133,IF($J133&lt;=$K133+$L133+$M133+$N133,$P133+($Q133-$P133)*($J133-($K133+$L133+$M133))/$N133,$Q133)))))</f>
        <v/>
      </c>
      <c r="S133" s="13">
        <f>ETO_SEM</f>
        <v/>
      </c>
      <c r="T133" s="14">
        <f>IF(OR($R133="",$R133="PENDENTE"),"",$R133*$S133)</f>
        <v/>
      </c>
      <c r="U133" s="13" t="n">
        <v>0</v>
      </c>
      <c r="V133" s="14">
        <f>IF($T133="","",MAX(0,$T133-N($U133)))</f>
        <v/>
      </c>
      <c r="W133" s="14">
        <f>IF($V133="","",$V133/EF_APLIC)</f>
        <v/>
      </c>
      <c r="X133" s="15" t="n">
        <v>100</v>
      </c>
      <c r="Y133" s="16">
        <f>IF(OR($W133="",$X133=""),"",$W133*$X133*10)</f>
        <v/>
      </c>
      <c r="Z133" s="17">
        <f>IFERROR(INDEX('PARAMETROS'!$B$16:$B$19,MATCH($D133,'PARAMETROS'!$A$16:$A$19,0)),"")</f>
        <v/>
      </c>
      <c r="AA133" s="16">
        <f>IF(OR($Y133="",$Z133=""),"",$Y133*$Z133)</f>
        <v/>
      </c>
      <c r="AB133" s="18">
        <f>IF($R133="PENDENTE","Definir classe/Kc",IF($W133="","-",IF($W133&gt;0,"Irrigar","Nao irrigar")))</f>
        <v/>
      </c>
      <c r="AC133" s="18">
        <f>IF(OR($W133="",$W133=0),"-",IF($W133&gt;=META_SEM,"Alta",IF($W133&gt;=META_SEM*FRAC_ACOMP,"Media","Baixa")))</f>
        <v/>
      </c>
      <c r="AD133" s="19" t="inlineStr"/>
    </row>
    <row r="134">
      <c r="A134" s="5" t="inlineStr">
        <is>
          <t>T127</t>
        </is>
      </c>
      <c r="B134" s="5" t="inlineStr">
        <is>
          <t>RDM</t>
        </is>
      </c>
      <c r="C134" s="5" t="inlineStr"/>
      <c r="D134" s="5" t="inlineStr">
        <is>
          <t>RDM2</t>
        </is>
      </c>
      <c r="E134" s="5" t="inlineStr">
        <is>
          <t>SOJA</t>
        </is>
      </c>
      <c r="F134" s="6" t="inlineStr">
        <is>
          <t>NEO 761 I2X</t>
        </is>
      </c>
      <c r="G134" s="7" t="inlineStr">
        <is>
          <t>PRECOCE</t>
        </is>
      </c>
      <c r="H134" s="8" t="n">
        <v>46308</v>
      </c>
      <c r="I134" s="9">
        <f>IF($H134="","",DATA_REF-$H134)</f>
        <v/>
      </c>
      <c r="J134" s="9">
        <f>IF($I134="","",MAX(0,$I134-'PARAMETROS'!$B$12))</f>
        <v/>
      </c>
      <c r="K134" s="10">
        <f>IFERROR(INDEX(KC_CURVAS!$C$5:$C$15,MATCH($E134&amp;"|"&amp;$G134,KC_CURVAS!$K$5:$K$15,0)),IFERROR(INDEX(KC_CURVAS!$C$5:$C$15,MATCH($E134&amp;"|",KC_CURVAS!$K$5:$K$15,0)),""))</f>
        <v/>
      </c>
      <c r="L134" s="10">
        <f>IFERROR(INDEX(KC_CURVAS!$D$5:$D$15,MATCH($E134&amp;"|"&amp;$G134,KC_CURVAS!$K$5:$K$15,0)),IFERROR(INDEX(KC_CURVAS!$D$5:$D$15,MATCH($E134&amp;"|",KC_CURVAS!$K$5:$K$15,0)),""))</f>
        <v/>
      </c>
      <c r="M134" s="10">
        <f>IFERROR(INDEX(KC_CURVAS!$E$5:$E$15,MATCH($E134&amp;"|"&amp;$G134,KC_CURVAS!$K$5:$K$15,0)),IFERROR(INDEX(KC_CURVAS!$E$5:$E$15,MATCH($E134&amp;"|",KC_CURVAS!$K$5:$K$15,0)),""))</f>
        <v/>
      </c>
      <c r="N134" s="10">
        <f>IFERROR(INDEX(KC_CURVAS!$F$5:$F$15,MATCH($E134&amp;"|"&amp;$G134,KC_CURVAS!$K$5:$K$15,0)),IFERROR(INDEX(KC_CURVAS!$F$5:$F$15,MATCH($E134&amp;"|",KC_CURVAS!$K$5:$K$15,0)),""))</f>
        <v/>
      </c>
      <c r="O134" s="11">
        <f>IFERROR(INDEX(KC_CURVAS!$G$5:$G$15,MATCH($E134&amp;"|"&amp;$G134,KC_CURVAS!$K$5:$K$15,0)),IFERROR(INDEX(KC_CURVAS!$G$5:$G$15,MATCH($E134&amp;"|",KC_CURVAS!$K$5:$K$15,0)),""))</f>
        <v/>
      </c>
      <c r="P134" s="11">
        <f>IFERROR(INDEX(KC_CURVAS!$H$5:$H$15,MATCH($E134&amp;"|"&amp;$G134,KC_CURVAS!$K$5:$K$15,0)),IFERROR(INDEX(KC_CURVAS!$H$5:$H$15,MATCH($E134&amp;"|",KC_CURVAS!$K$5:$K$15,0)),""))</f>
        <v/>
      </c>
      <c r="Q134" s="11">
        <f>IFERROR(INDEX(KC_CURVAS!$I$5:$I$15,MATCH($E134&amp;"|"&amp;$G134,KC_CURVAS!$K$5:$K$15,0)),IFERROR(INDEX(KC_CURVAS!$I$5:$I$15,MATCH($E134&amp;"|",KC_CURVAS!$K$5:$K$15,0)),""))</f>
        <v/>
      </c>
      <c r="R134" s="12">
        <f>IF(OR($J134="",$K134=""),"PENDENTE",IF($J134&lt;=$K134,$O134,IF($J134&lt;=$K134+$L134,$O134+($P134-$O134)*($J134-$K134)/$L134,IF($J134&lt;=$K134+$L134+$M134,$P134,IF($J134&lt;=$K134+$L134+$M134+$N134,$P134+($Q134-$P134)*($J134-($K134+$L134+$M134))/$N134,$Q134)))))</f>
        <v/>
      </c>
      <c r="S134" s="13">
        <f>ETO_SEM</f>
        <v/>
      </c>
      <c r="T134" s="14">
        <f>IF(OR($R134="",$R134="PENDENTE"),"",$R134*$S134)</f>
        <v/>
      </c>
      <c r="U134" s="13" t="n">
        <v>0</v>
      </c>
      <c r="V134" s="14">
        <f>IF($T134="","",MAX(0,$T134-N($U134)))</f>
        <v/>
      </c>
      <c r="W134" s="14">
        <f>IF($V134="","",$V134/EF_APLIC)</f>
        <v/>
      </c>
      <c r="X134" s="15" t="n">
        <v>100</v>
      </c>
      <c r="Y134" s="16">
        <f>IF(OR($W134="",$X134=""),"",$W134*$X134*10)</f>
        <v/>
      </c>
      <c r="Z134" s="17">
        <f>IFERROR(INDEX('PARAMETROS'!$B$16:$B$19,MATCH($D134,'PARAMETROS'!$A$16:$A$19,0)),"")</f>
        <v/>
      </c>
      <c r="AA134" s="16">
        <f>IF(OR($Y134="",$Z134=""),"",$Y134*$Z134)</f>
        <v/>
      </c>
      <c r="AB134" s="18">
        <f>IF($R134="PENDENTE","Definir classe/Kc",IF($W134="","-",IF($W134&gt;0,"Irrigar","Nao irrigar")))</f>
        <v/>
      </c>
      <c r="AC134" s="18">
        <f>IF(OR($W134="",$W134=0),"-",IF($W134&gt;=META_SEM,"Alta",IF($W134&gt;=META_SEM*FRAC_ACOMP,"Media","Baixa")))</f>
        <v/>
      </c>
      <c r="AD134" s="19" t="inlineStr"/>
    </row>
    <row r="135">
      <c r="A135" s="5" t="inlineStr">
        <is>
          <t>T129</t>
        </is>
      </c>
      <c r="B135" s="5" t="inlineStr">
        <is>
          <t>RDM</t>
        </is>
      </c>
      <c r="C135" s="5" t="inlineStr"/>
      <c r="D135" s="5" t="inlineStr">
        <is>
          <t>RDM2</t>
        </is>
      </c>
      <c r="E135" s="5" t="inlineStr">
        <is>
          <t>SOJA</t>
        </is>
      </c>
      <c r="F135" s="6" t="inlineStr">
        <is>
          <t>NEO 761 I2X</t>
        </is>
      </c>
      <c r="G135" s="7" t="inlineStr">
        <is>
          <t>PRECOCE</t>
        </is>
      </c>
      <c r="H135" s="8" t="n">
        <v>46308</v>
      </c>
      <c r="I135" s="9">
        <f>IF($H135="","",DATA_REF-$H135)</f>
        <v/>
      </c>
      <c r="J135" s="9">
        <f>IF($I135="","",MAX(0,$I135-'PARAMETROS'!$B$12))</f>
        <v/>
      </c>
      <c r="K135" s="10">
        <f>IFERROR(INDEX(KC_CURVAS!$C$5:$C$15,MATCH($E135&amp;"|"&amp;$G135,KC_CURVAS!$K$5:$K$15,0)),IFERROR(INDEX(KC_CURVAS!$C$5:$C$15,MATCH($E135&amp;"|",KC_CURVAS!$K$5:$K$15,0)),""))</f>
        <v/>
      </c>
      <c r="L135" s="10">
        <f>IFERROR(INDEX(KC_CURVAS!$D$5:$D$15,MATCH($E135&amp;"|"&amp;$G135,KC_CURVAS!$K$5:$K$15,0)),IFERROR(INDEX(KC_CURVAS!$D$5:$D$15,MATCH($E135&amp;"|",KC_CURVAS!$K$5:$K$15,0)),""))</f>
        <v/>
      </c>
      <c r="M135" s="10">
        <f>IFERROR(INDEX(KC_CURVAS!$E$5:$E$15,MATCH($E135&amp;"|"&amp;$G135,KC_CURVAS!$K$5:$K$15,0)),IFERROR(INDEX(KC_CURVAS!$E$5:$E$15,MATCH($E135&amp;"|",KC_CURVAS!$K$5:$K$15,0)),""))</f>
        <v/>
      </c>
      <c r="N135" s="10">
        <f>IFERROR(INDEX(KC_CURVAS!$F$5:$F$15,MATCH($E135&amp;"|"&amp;$G135,KC_CURVAS!$K$5:$K$15,0)),IFERROR(INDEX(KC_CURVAS!$F$5:$F$15,MATCH($E135&amp;"|",KC_CURVAS!$K$5:$K$15,0)),""))</f>
        <v/>
      </c>
      <c r="O135" s="11">
        <f>IFERROR(INDEX(KC_CURVAS!$G$5:$G$15,MATCH($E135&amp;"|"&amp;$G135,KC_CURVAS!$K$5:$K$15,0)),IFERROR(INDEX(KC_CURVAS!$G$5:$G$15,MATCH($E135&amp;"|",KC_CURVAS!$K$5:$K$15,0)),""))</f>
        <v/>
      </c>
      <c r="P135" s="11">
        <f>IFERROR(INDEX(KC_CURVAS!$H$5:$H$15,MATCH($E135&amp;"|"&amp;$G135,KC_CURVAS!$K$5:$K$15,0)),IFERROR(INDEX(KC_CURVAS!$H$5:$H$15,MATCH($E135&amp;"|",KC_CURVAS!$K$5:$K$15,0)),""))</f>
        <v/>
      </c>
      <c r="Q135" s="11">
        <f>IFERROR(INDEX(KC_CURVAS!$I$5:$I$15,MATCH($E135&amp;"|"&amp;$G135,KC_CURVAS!$K$5:$K$15,0)),IFERROR(INDEX(KC_CURVAS!$I$5:$I$15,MATCH($E135&amp;"|",KC_CURVAS!$K$5:$K$15,0)),""))</f>
        <v/>
      </c>
      <c r="R135" s="12">
        <f>IF(OR($J135="",$K135=""),"PENDENTE",IF($J135&lt;=$K135,$O135,IF($J135&lt;=$K135+$L135,$O135+($P135-$O135)*($J135-$K135)/$L135,IF($J135&lt;=$K135+$L135+$M135,$P135,IF($J135&lt;=$K135+$L135+$M135+$N135,$P135+($Q135-$P135)*($J135-($K135+$L135+$M135))/$N135,$Q135)))))</f>
        <v/>
      </c>
      <c r="S135" s="13">
        <f>ETO_SEM</f>
        <v/>
      </c>
      <c r="T135" s="14">
        <f>IF(OR($R135="",$R135="PENDENTE"),"",$R135*$S135)</f>
        <v/>
      </c>
      <c r="U135" s="13" t="n">
        <v>0</v>
      </c>
      <c r="V135" s="14">
        <f>IF($T135="","",MAX(0,$T135-N($U135)))</f>
        <v/>
      </c>
      <c r="W135" s="14">
        <f>IF($V135="","",$V135/EF_APLIC)</f>
        <v/>
      </c>
      <c r="X135" s="15" t="n">
        <v>100</v>
      </c>
      <c r="Y135" s="16">
        <f>IF(OR($W135="",$X135=""),"",$W135*$X135*10)</f>
        <v/>
      </c>
      <c r="Z135" s="17">
        <f>IFERROR(INDEX('PARAMETROS'!$B$16:$B$19,MATCH($D135,'PARAMETROS'!$A$16:$A$19,0)),"")</f>
        <v/>
      </c>
      <c r="AA135" s="16">
        <f>IF(OR($Y135="",$Z135=""),"",$Y135*$Z135)</f>
        <v/>
      </c>
      <c r="AB135" s="18">
        <f>IF($R135="PENDENTE","Definir classe/Kc",IF($W135="","-",IF($W135&gt;0,"Irrigar","Nao irrigar")))</f>
        <v/>
      </c>
      <c r="AC135" s="18">
        <f>IF(OR($W135="",$W135=0),"-",IF($W135&gt;=META_SEM,"Alta",IF($W135&gt;=META_SEM*FRAC_ACOMP,"Media","Baixa")))</f>
        <v/>
      </c>
      <c r="AD135" s="19" t="inlineStr"/>
    </row>
    <row r="136">
      <c r="A136" s="5" t="inlineStr">
        <is>
          <t>T133</t>
        </is>
      </c>
      <c r="B136" s="5" t="inlineStr">
        <is>
          <t>RDM</t>
        </is>
      </c>
      <c r="C136" s="5" t="inlineStr"/>
      <c r="D136" s="5" t="inlineStr">
        <is>
          <t>RDM2</t>
        </is>
      </c>
      <c r="E136" s="5" t="inlineStr">
        <is>
          <t>SOJA</t>
        </is>
      </c>
      <c r="F136" s="6" t="inlineStr">
        <is>
          <t>NEO 761 I2X</t>
        </is>
      </c>
      <c r="G136" s="7" t="inlineStr">
        <is>
          <t>PRECOCE</t>
        </is>
      </c>
      <c r="H136" s="8" t="n">
        <v>46308</v>
      </c>
      <c r="I136" s="9">
        <f>IF($H136="","",DATA_REF-$H136)</f>
        <v/>
      </c>
      <c r="J136" s="9">
        <f>IF($I136="","",MAX(0,$I136-'PARAMETROS'!$B$12))</f>
        <v/>
      </c>
      <c r="K136" s="10">
        <f>IFERROR(INDEX(KC_CURVAS!$C$5:$C$15,MATCH($E136&amp;"|"&amp;$G136,KC_CURVAS!$K$5:$K$15,0)),IFERROR(INDEX(KC_CURVAS!$C$5:$C$15,MATCH($E136&amp;"|",KC_CURVAS!$K$5:$K$15,0)),""))</f>
        <v/>
      </c>
      <c r="L136" s="10">
        <f>IFERROR(INDEX(KC_CURVAS!$D$5:$D$15,MATCH($E136&amp;"|"&amp;$G136,KC_CURVAS!$K$5:$K$15,0)),IFERROR(INDEX(KC_CURVAS!$D$5:$D$15,MATCH($E136&amp;"|",KC_CURVAS!$K$5:$K$15,0)),""))</f>
        <v/>
      </c>
      <c r="M136" s="10">
        <f>IFERROR(INDEX(KC_CURVAS!$E$5:$E$15,MATCH($E136&amp;"|"&amp;$G136,KC_CURVAS!$K$5:$K$15,0)),IFERROR(INDEX(KC_CURVAS!$E$5:$E$15,MATCH($E136&amp;"|",KC_CURVAS!$K$5:$K$15,0)),""))</f>
        <v/>
      </c>
      <c r="N136" s="10">
        <f>IFERROR(INDEX(KC_CURVAS!$F$5:$F$15,MATCH($E136&amp;"|"&amp;$G136,KC_CURVAS!$K$5:$K$15,0)),IFERROR(INDEX(KC_CURVAS!$F$5:$F$15,MATCH($E136&amp;"|",KC_CURVAS!$K$5:$K$15,0)),""))</f>
        <v/>
      </c>
      <c r="O136" s="11">
        <f>IFERROR(INDEX(KC_CURVAS!$G$5:$G$15,MATCH($E136&amp;"|"&amp;$G136,KC_CURVAS!$K$5:$K$15,0)),IFERROR(INDEX(KC_CURVAS!$G$5:$G$15,MATCH($E136&amp;"|",KC_CURVAS!$K$5:$K$15,0)),""))</f>
        <v/>
      </c>
      <c r="P136" s="11">
        <f>IFERROR(INDEX(KC_CURVAS!$H$5:$H$15,MATCH($E136&amp;"|"&amp;$G136,KC_CURVAS!$K$5:$K$15,0)),IFERROR(INDEX(KC_CURVAS!$H$5:$H$15,MATCH($E136&amp;"|",KC_CURVAS!$K$5:$K$15,0)),""))</f>
        <v/>
      </c>
      <c r="Q136" s="11">
        <f>IFERROR(INDEX(KC_CURVAS!$I$5:$I$15,MATCH($E136&amp;"|"&amp;$G136,KC_CURVAS!$K$5:$K$15,0)),IFERROR(INDEX(KC_CURVAS!$I$5:$I$15,MATCH($E136&amp;"|",KC_CURVAS!$K$5:$K$15,0)),""))</f>
        <v/>
      </c>
      <c r="R136" s="12">
        <f>IF(OR($J136="",$K136=""),"PENDENTE",IF($J136&lt;=$K136,$O136,IF($J136&lt;=$K136+$L136,$O136+($P136-$O136)*($J136-$K136)/$L136,IF($J136&lt;=$K136+$L136+$M136,$P136,IF($J136&lt;=$K136+$L136+$M136+$N136,$P136+($Q136-$P136)*($J136-($K136+$L136+$M136))/$N136,$Q136)))))</f>
        <v/>
      </c>
      <c r="S136" s="13">
        <f>ETO_SEM</f>
        <v/>
      </c>
      <c r="T136" s="14">
        <f>IF(OR($R136="",$R136="PENDENTE"),"",$R136*$S136)</f>
        <v/>
      </c>
      <c r="U136" s="13" t="n">
        <v>0</v>
      </c>
      <c r="V136" s="14">
        <f>IF($T136="","",MAX(0,$T136-N($U136)))</f>
        <v/>
      </c>
      <c r="W136" s="14">
        <f>IF($V136="","",$V136/EF_APLIC)</f>
        <v/>
      </c>
      <c r="X136" s="15" t="n">
        <v>100</v>
      </c>
      <c r="Y136" s="16">
        <f>IF(OR($W136="",$X136=""),"",$W136*$X136*10)</f>
        <v/>
      </c>
      <c r="Z136" s="17">
        <f>IFERROR(INDEX('PARAMETROS'!$B$16:$B$19,MATCH($D136,'PARAMETROS'!$A$16:$A$19,0)),"")</f>
        <v/>
      </c>
      <c r="AA136" s="16">
        <f>IF(OR($Y136="",$Z136=""),"",$Y136*$Z136)</f>
        <v/>
      </c>
      <c r="AB136" s="18">
        <f>IF($R136="PENDENTE","Definir classe/Kc",IF($W136="","-",IF($W136&gt;0,"Irrigar","Nao irrigar")))</f>
        <v/>
      </c>
      <c r="AC136" s="18">
        <f>IF(OR($W136="",$W136=0),"-",IF($W136&gt;=META_SEM,"Alta",IF($W136&gt;=META_SEM*FRAC_ACOMP,"Media","Baixa")))</f>
        <v/>
      </c>
      <c r="AD136" s="19" t="inlineStr"/>
    </row>
    <row r="137">
      <c r="A137" s="5" t="inlineStr">
        <is>
          <t>T121</t>
        </is>
      </c>
      <c r="B137" s="5" t="inlineStr">
        <is>
          <t>RDM</t>
        </is>
      </c>
      <c r="C137" s="5" t="inlineStr"/>
      <c r="D137" s="5" t="inlineStr">
        <is>
          <t>RDM2</t>
        </is>
      </c>
      <c r="E137" s="5" t="inlineStr">
        <is>
          <t>SOJA</t>
        </is>
      </c>
      <c r="F137" s="6" t="inlineStr">
        <is>
          <t>BMX Olimpo IPRO</t>
        </is>
      </c>
      <c r="G137" s="7" t="inlineStr">
        <is>
          <t>MÉDIA</t>
        </is>
      </c>
      <c r="H137" s="8" t="n">
        <v>46309</v>
      </c>
      <c r="I137" s="9">
        <f>IF($H137="","",DATA_REF-$H137)</f>
        <v/>
      </c>
      <c r="J137" s="9">
        <f>IF($I137="","",MAX(0,$I137-'PARAMETROS'!$B$12))</f>
        <v/>
      </c>
      <c r="K137" s="10">
        <f>IFERROR(INDEX(KC_CURVAS!$C$5:$C$15,MATCH($E137&amp;"|"&amp;$G137,KC_CURVAS!$K$5:$K$15,0)),IFERROR(INDEX(KC_CURVAS!$C$5:$C$15,MATCH($E137&amp;"|",KC_CURVAS!$K$5:$K$15,0)),""))</f>
        <v/>
      </c>
      <c r="L137" s="10">
        <f>IFERROR(INDEX(KC_CURVAS!$D$5:$D$15,MATCH($E137&amp;"|"&amp;$G137,KC_CURVAS!$K$5:$K$15,0)),IFERROR(INDEX(KC_CURVAS!$D$5:$D$15,MATCH($E137&amp;"|",KC_CURVAS!$K$5:$K$15,0)),""))</f>
        <v/>
      </c>
      <c r="M137" s="10">
        <f>IFERROR(INDEX(KC_CURVAS!$E$5:$E$15,MATCH($E137&amp;"|"&amp;$G137,KC_CURVAS!$K$5:$K$15,0)),IFERROR(INDEX(KC_CURVAS!$E$5:$E$15,MATCH($E137&amp;"|",KC_CURVAS!$K$5:$K$15,0)),""))</f>
        <v/>
      </c>
      <c r="N137" s="10">
        <f>IFERROR(INDEX(KC_CURVAS!$F$5:$F$15,MATCH($E137&amp;"|"&amp;$G137,KC_CURVAS!$K$5:$K$15,0)),IFERROR(INDEX(KC_CURVAS!$F$5:$F$15,MATCH($E137&amp;"|",KC_CURVAS!$K$5:$K$15,0)),""))</f>
        <v/>
      </c>
      <c r="O137" s="11">
        <f>IFERROR(INDEX(KC_CURVAS!$G$5:$G$15,MATCH($E137&amp;"|"&amp;$G137,KC_CURVAS!$K$5:$K$15,0)),IFERROR(INDEX(KC_CURVAS!$G$5:$G$15,MATCH($E137&amp;"|",KC_CURVAS!$K$5:$K$15,0)),""))</f>
        <v/>
      </c>
      <c r="P137" s="11">
        <f>IFERROR(INDEX(KC_CURVAS!$H$5:$H$15,MATCH($E137&amp;"|"&amp;$G137,KC_CURVAS!$K$5:$K$15,0)),IFERROR(INDEX(KC_CURVAS!$H$5:$H$15,MATCH($E137&amp;"|",KC_CURVAS!$K$5:$K$15,0)),""))</f>
        <v/>
      </c>
      <c r="Q137" s="11">
        <f>IFERROR(INDEX(KC_CURVAS!$I$5:$I$15,MATCH($E137&amp;"|"&amp;$G137,KC_CURVAS!$K$5:$K$15,0)),IFERROR(INDEX(KC_CURVAS!$I$5:$I$15,MATCH($E137&amp;"|",KC_CURVAS!$K$5:$K$15,0)),""))</f>
        <v/>
      </c>
      <c r="R137" s="12">
        <f>IF(OR($J137="",$K137=""),"PENDENTE",IF($J137&lt;=$K137,$O137,IF($J137&lt;=$K137+$L137,$O137+($P137-$O137)*($J137-$K137)/$L137,IF($J137&lt;=$K137+$L137+$M137,$P137,IF($J137&lt;=$K137+$L137+$M137+$N137,$P137+($Q137-$P137)*($J137-($K137+$L137+$M137))/$N137,$Q137)))))</f>
        <v/>
      </c>
      <c r="S137" s="13">
        <f>ETO_SEM</f>
        <v/>
      </c>
      <c r="T137" s="14">
        <f>IF(OR($R137="",$R137="PENDENTE"),"",$R137*$S137)</f>
        <v/>
      </c>
      <c r="U137" s="13" t="n">
        <v>0</v>
      </c>
      <c r="V137" s="14">
        <f>IF($T137="","",MAX(0,$T137-N($U137)))</f>
        <v/>
      </c>
      <c r="W137" s="14">
        <f>IF($V137="","",$V137/EF_APLIC)</f>
        <v/>
      </c>
      <c r="X137" s="15" t="n">
        <v>145</v>
      </c>
      <c r="Y137" s="16">
        <f>IF(OR($W137="",$X137=""),"",$W137*$X137*10)</f>
        <v/>
      </c>
      <c r="Z137" s="17">
        <f>IFERROR(INDEX('PARAMETROS'!$B$16:$B$19,MATCH($D137,'PARAMETROS'!$A$16:$A$19,0)),"")</f>
        <v/>
      </c>
      <c r="AA137" s="16">
        <f>IF(OR($Y137="",$Z137=""),"",$Y137*$Z137)</f>
        <v/>
      </c>
      <c r="AB137" s="18">
        <f>IF($R137="PENDENTE","Definir classe/Kc",IF($W137="","-",IF($W137&gt;0,"Irrigar","Nao irrigar")))</f>
        <v/>
      </c>
      <c r="AC137" s="18">
        <f>IF(OR($W137="",$W137=0),"-",IF($W137&gt;=META_SEM,"Alta",IF($W137&gt;=META_SEM*FRAC_ACOMP,"Media","Baixa")))</f>
        <v/>
      </c>
      <c r="AD137" s="19" t="inlineStr"/>
    </row>
    <row r="138">
      <c r="A138" s="5" t="inlineStr">
        <is>
          <t>T122</t>
        </is>
      </c>
      <c r="B138" s="5" t="inlineStr">
        <is>
          <t>RDM</t>
        </is>
      </c>
      <c r="C138" s="5" t="inlineStr"/>
      <c r="D138" s="5" t="inlineStr">
        <is>
          <t>RDM2</t>
        </is>
      </c>
      <c r="E138" s="5" t="inlineStr">
        <is>
          <t>SOJA</t>
        </is>
      </c>
      <c r="F138" s="6" t="inlineStr">
        <is>
          <t>NEO 761 I2X</t>
        </is>
      </c>
      <c r="G138" s="7" t="inlineStr">
        <is>
          <t>PRECOCE</t>
        </is>
      </c>
      <c r="H138" s="8" t="n">
        <v>46309</v>
      </c>
      <c r="I138" s="9">
        <f>IF($H138="","",DATA_REF-$H138)</f>
        <v/>
      </c>
      <c r="J138" s="9">
        <f>IF($I138="","",MAX(0,$I138-'PARAMETROS'!$B$12))</f>
        <v/>
      </c>
      <c r="K138" s="10">
        <f>IFERROR(INDEX(KC_CURVAS!$C$5:$C$15,MATCH($E138&amp;"|"&amp;$G138,KC_CURVAS!$K$5:$K$15,0)),IFERROR(INDEX(KC_CURVAS!$C$5:$C$15,MATCH($E138&amp;"|",KC_CURVAS!$K$5:$K$15,0)),""))</f>
        <v/>
      </c>
      <c r="L138" s="10">
        <f>IFERROR(INDEX(KC_CURVAS!$D$5:$D$15,MATCH($E138&amp;"|"&amp;$G138,KC_CURVAS!$K$5:$K$15,0)),IFERROR(INDEX(KC_CURVAS!$D$5:$D$15,MATCH($E138&amp;"|",KC_CURVAS!$K$5:$K$15,0)),""))</f>
        <v/>
      </c>
      <c r="M138" s="10">
        <f>IFERROR(INDEX(KC_CURVAS!$E$5:$E$15,MATCH($E138&amp;"|"&amp;$G138,KC_CURVAS!$K$5:$K$15,0)),IFERROR(INDEX(KC_CURVAS!$E$5:$E$15,MATCH($E138&amp;"|",KC_CURVAS!$K$5:$K$15,0)),""))</f>
        <v/>
      </c>
      <c r="N138" s="10">
        <f>IFERROR(INDEX(KC_CURVAS!$F$5:$F$15,MATCH($E138&amp;"|"&amp;$G138,KC_CURVAS!$K$5:$K$15,0)),IFERROR(INDEX(KC_CURVAS!$F$5:$F$15,MATCH($E138&amp;"|",KC_CURVAS!$K$5:$K$15,0)),""))</f>
        <v/>
      </c>
      <c r="O138" s="11">
        <f>IFERROR(INDEX(KC_CURVAS!$G$5:$G$15,MATCH($E138&amp;"|"&amp;$G138,KC_CURVAS!$K$5:$K$15,0)),IFERROR(INDEX(KC_CURVAS!$G$5:$G$15,MATCH($E138&amp;"|",KC_CURVAS!$K$5:$K$15,0)),""))</f>
        <v/>
      </c>
      <c r="P138" s="11">
        <f>IFERROR(INDEX(KC_CURVAS!$H$5:$H$15,MATCH($E138&amp;"|"&amp;$G138,KC_CURVAS!$K$5:$K$15,0)),IFERROR(INDEX(KC_CURVAS!$H$5:$H$15,MATCH($E138&amp;"|",KC_CURVAS!$K$5:$K$15,0)),""))</f>
        <v/>
      </c>
      <c r="Q138" s="11">
        <f>IFERROR(INDEX(KC_CURVAS!$I$5:$I$15,MATCH($E138&amp;"|"&amp;$G138,KC_CURVAS!$K$5:$K$15,0)),IFERROR(INDEX(KC_CURVAS!$I$5:$I$15,MATCH($E138&amp;"|",KC_CURVAS!$K$5:$K$15,0)),""))</f>
        <v/>
      </c>
      <c r="R138" s="12">
        <f>IF(OR($J138="",$K138=""),"PENDENTE",IF($J138&lt;=$K138,$O138,IF($J138&lt;=$K138+$L138,$O138+($P138-$O138)*($J138-$K138)/$L138,IF($J138&lt;=$K138+$L138+$M138,$P138,IF($J138&lt;=$K138+$L138+$M138+$N138,$P138+($Q138-$P138)*($J138-($K138+$L138+$M138))/$N138,$Q138)))))</f>
        <v/>
      </c>
      <c r="S138" s="13">
        <f>ETO_SEM</f>
        <v/>
      </c>
      <c r="T138" s="14">
        <f>IF(OR($R138="",$R138="PENDENTE"),"",$R138*$S138)</f>
        <v/>
      </c>
      <c r="U138" s="13" t="n">
        <v>0</v>
      </c>
      <c r="V138" s="14">
        <f>IF($T138="","",MAX(0,$T138-N($U138)))</f>
        <v/>
      </c>
      <c r="W138" s="14">
        <f>IF($V138="","",$V138/EF_APLIC)</f>
        <v/>
      </c>
      <c r="X138" s="15" t="n">
        <v>150</v>
      </c>
      <c r="Y138" s="16">
        <f>IF(OR($W138="",$X138=""),"",$W138*$X138*10)</f>
        <v/>
      </c>
      <c r="Z138" s="17">
        <f>IFERROR(INDEX('PARAMETROS'!$B$16:$B$19,MATCH($D138,'PARAMETROS'!$A$16:$A$19,0)),"")</f>
        <v/>
      </c>
      <c r="AA138" s="16">
        <f>IF(OR($Y138="",$Z138=""),"",$Y138*$Z138)</f>
        <v/>
      </c>
      <c r="AB138" s="18">
        <f>IF($R138="PENDENTE","Definir classe/Kc",IF($W138="","-",IF($W138&gt;0,"Irrigar","Nao irrigar")))</f>
        <v/>
      </c>
      <c r="AC138" s="18">
        <f>IF(OR($W138="",$W138=0),"-",IF($W138&gt;=META_SEM,"Alta",IF($W138&gt;=META_SEM*FRAC_ACOMP,"Media","Baixa")))</f>
        <v/>
      </c>
      <c r="AD138" s="19" t="inlineStr"/>
    </row>
    <row r="139">
      <c r="A139" s="5" t="inlineStr">
        <is>
          <t>T123</t>
        </is>
      </c>
      <c r="B139" s="5" t="inlineStr">
        <is>
          <t>RDM</t>
        </is>
      </c>
      <c r="C139" s="5" t="inlineStr"/>
      <c r="D139" s="5" t="inlineStr">
        <is>
          <t>RDM2</t>
        </is>
      </c>
      <c r="E139" s="5" t="inlineStr">
        <is>
          <t>SOJA</t>
        </is>
      </c>
      <c r="F139" s="6" t="inlineStr">
        <is>
          <t>NEO 761 I2X</t>
        </is>
      </c>
      <c r="G139" s="7" t="inlineStr">
        <is>
          <t>PRECOCE</t>
        </is>
      </c>
      <c r="H139" s="8" t="n">
        <v>46310</v>
      </c>
      <c r="I139" s="9">
        <f>IF($H139="","",DATA_REF-$H139)</f>
        <v/>
      </c>
      <c r="J139" s="9">
        <f>IF($I139="","",MAX(0,$I139-'PARAMETROS'!$B$12))</f>
        <v/>
      </c>
      <c r="K139" s="10">
        <f>IFERROR(INDEX(KC_CURVAS!$C$5:$C$15,MATCH($E139&amp;"|"&amp;$G139,KC_CURVAS!$K$5:$K$15,0)),IFERROR(INDEX(KC_CURVAS!$C$5:$C$15,MATCH($E139&amp;"|",KC_CURVAS!$K$5:$K$15,0)),""))</f>
        <v/>
      </c>
      <c r="L139" s="10">
        <f>IFERROR(INDEX(KC_CURVAS!$D$5:$D$15,MATCH($E139&amp;"|"&amp;$G139,KC_CURVAS!$K$5:$K$15,0)),IFERROR(INDEX(KC_CURVAS!$D$5:$D$15,MATCH($E139&amp;"|",KC_CURVAS!$K$5:$K$15,0)),""))</f>
        <v/>
      </c>
      <c r="M139" s="10">
        <f>IFERROR(INDEX(KC_CURVAS!$E$5:$E$15,MATCH($E139&amp;"|"&amp;$G139,KC_CURVAS!$K$5:$K$15,0)),IFERROR(INDEX(KC_CURVAS!$E$5:$E$15,MATCH($E139&amp;"|",KC_CURVAS!$K$5:$K$15,0)),""))</f>
        <v/>
      </c>
      <c r="N139" s="10">
        <f>IFERROR(INDEX(KC_CURVAS!$F$5:$F$15,MATCH($E139&amp;"|"&amp;$G139,KC_CURVAS!$K$5:$K$15,0)),IFERROR(INDEX(KC_CURVAS!$F$5:$F$15,MATCH($E139&amp;"|",KC_CURVAS!$K$5:$K$15,0)),""))</f>
        <v/>
      </c>
      <c r="O139" s="11">
        <f>IFERROR(INDEX(KC_CURVAS!$G$5:$G$15,MATCH($E139&amp;"|"&amp;$G139,KC_CURVAS!$K$5:$K$15,0)),IFERROR(INDEX(KC_CURVAS!$G$5:$G$15,MATCH($E139&amp;"|",KC_CURVAS!$K$5:$K$15,0)),""))</f>
        <v/>
      </c>
      <c r="P139" s="11">
        <f>IFERROR(INDEX(KC_CURVAS!$H$5:$H$15,MATCH($E139&amp;"|"&amp;$G139,KC_CURVAS!$K$5:$K$15,0)),IFERROR(INDEX(KC_CURVAS!$H$5:$H$15,MATCH($E139&amp;"|",KC_CURVAS!$K$5:$K$15,0)),""))</f>
        <v/>
      </c>
      <c r="Q139" s="11">
        <f>IFERROR(INDEX(KC_CURVAS!$I$5:$I$15,MATCH($E139&amp;"|"&amp;$G139,KC_CURVAS!$K$5:$K$15,0)),IFERROR(INDEX(KC_CURVAS!$I$5:$I$15,MATCH($E139&amp;"|",KC_CURVAS!$K$5:$K$15,0)),""))</f>
        <v/>
      </c>
      <c r="R139" s="12">
        <f>IF(OR($J139="",$K139=""),"PENDENTE",IF($J139&lt;=$K139,$O139,IF($J139&lt;=$K139+$L139,$O139+($P139-$O139)*($J139-$K139)/$L139,IF($J139&lt;=$K139+$L139+$M139,$P139,IF($J139&lt;=$K139+$L139+$M139+$N139,$P139+($Q139-$P139)*($J139-($K139+$L139+$M139))/$N139,$Q139)))))</f>
        <v/>
      </c>
      <c r="S139" s="13">
        <f>ETO_SEM</f>
        <v/>
      </c>
      <c r="T139" s="14">
        <f>IF(OR($R139="",$R139="PENDENTE"),"",$R139*$S139)</f>
        <v/>
      </c>
      <c r="U139" s="13" t="n">
        <v>0</v>
      </c>
      <c r="V139" s="14">
        <f>IF($T139="","",MAX(0,$T139-N($U139)))</f>
        <v/>
      </c>
      <c r="W139" s="14">
        <f>IF($V139="","",$V139/EF_APLIC)</f>
        <v/>
      </c>
      <c r="X139" s="15" t="n">
        <v>148</v>
      </c>
      <c r="Y139" s="16">
        <f>IF(OR($W139="",$X139=""),"",$W139*$X139*10)</f>
        <v/>
      </c>
      <c r="Z139" s="17">
        <f>IFERROR(INDEX('PARAMETROS'!$B$16:$B$19,MATCH($D139,'PARAMETROS'!$A$16:$A$19,0)),"")</f>
        <v/>
      </c>
      <c r="AA139" s="16">
        <f>IF(OR($Y139="",$Z139=""),"",$Y139*$Z139)</f>
        <v/>
      </c>
      <c r="AB139" s="18">
        <f>IF($R139="PENDENTE","Definir classe/Kc",IF($W139="","-",IF($W139&gt;0,"Irrigar","Nao irrigar")))</f>
        <v/>
      </c>
      <c r="AC139" s="18">
        <f>IF(OR($W139="",$W139=0),"-",IF($W139&gt;=META_SEM,"Alta",IF($W139&gt;=META_SEM*FRAC_ACOMP,"Media","Baixa")))</f>
        <v/>
      </c>
      <c r="AD139" s="19" t="inlineStr"/>
    </row>
    <row r="140">
      <c r="A140" s="5" t="inlineStr">
        <is>
          <t>T124</t>
        </is>
      </c>
      <c r="B140" s="5" t="inlineStr">
        <is>
          <t>RDM</t>
        </is>
      </c>
      <c r="C140" s="5" t="inlineStr"/>
      <c r="D140" s="5" t="inlineStr">
        <is>
          <t>RDM2</t>
        </is>
      </c>
      <c r="E140" s="5" t="inlineStr">
        <is>
          <t>SOJA</t>
        </is>
      </c>
      <c r="F140" s="6" t="inlineStr">
        <is>
          <t>BMX Olimpo IPRO</t>
        </is>
      </c>
      <c r="G140" s="7" t="inlineStr">
        <is>
          <t>MÉDIA</t>
        </is>
      </c>
      <c r="H140" s="8" t="n">
        <v>46310</v>
      </c>
      <c r="I140" s="9">
        <f>IF($H140="","",DATA_REF-$H140)</f>
        <v/>
      </c>
      <c r="J140" s="9">
        <f>IF($I140="","",MAX(0,$I140-'PARAMETROS'!$B$12))</f>
        <v/>
      </c>
      <c r="K140" s="10">
        <f>IFERROR(INDEX(KC_CURVAS!$C$5:$C$15,MATCH($E140&amp;"|"&amp;$G140,KC_CURVAS!$K$5:$K$15,0)),IFERROR(INDEX(KC_CURVAS!$C$5:$C$15,MATCH($E140&amp;"|",KC_CURVAS!$K$5:$K$15,0)),""))</f>
        <v/>
      </c>
      <c r="L140" s="10">
        <f>IFERROR(INDEX(KC_CURVAS!$D$5:$D$15,MATCH($E140&amp;"|"&amp;$G140,KC_CURVAS!$K$5:$K$15,0)),IFERROR(INDEX(KC_CURVAS!$D$5:$D$15,MATCH($E140&amp;"|",KC_CURVAS!$K$5:$K$15,0)),""))</f>
        <v/>
      </c>
      <c r="M140" s="10">
        <f>IFERROR(INDEX(KC_CURVAS!$E$5:$E$15,MATCH($E140&amp;"|"&amp;$G140,KC_CURVAS!$K$5:$K$15,0)),IFERROR(INDEX(KC_CURVAS!$E$5:$E$15,MATCH($E140&amp;"|",KC_CURVAS!$K$5:$K$15,0)),""))</f>
        <v/>
      </c>
      <c r="N140" s="10">
        <f>IFERROR(INDEX(KC_CURVAS!$F$5:$F$15,MATCH($E140&amp;"|"&amp;$G140,KC_CURVAS!$K$5:$K$15,0)),IFERROR(INDEX(KC_CURVAS!$F$5:$F$15,MATCH($E140&amp;"|",KC_CURVAS!$K$5:$K$15,0)),""))</f>
        <v/>
      </c>
      <c r="O140" s="11">
        <f>IFERROR(INDEX(KC_CURVAS!$G$5:$G$15,MATCH($E140&amp;"|"&amp;$G140,KC_CURVAS!$K$5:$K$15,0)),IFERROR(INDEX(KC_CURVAS!$G$5:$G$15,MATCH($E140&amp;"|",KC_CURVAS!$K$5:$K$15,0)),""))</f>
        <v/>
      </c>
      <c r="P140" s="11">
        <f>IFERROR(INDEX(KC_CURVAS!$H$5:$H$15,MATCH($E140&amp;"|"&amp;$G140,KC_CURVAS!$K$5:$K$15,0)),IFERROR(INDEX(KC_CURVAS!$H$5:$H$15,MATCH($E140&amp;"|",KC_CURVAS!$K$5:$K$15,0)),""))</f>
        <v/>
      </c>
      <c r="Q140" s="11">
        <f>IFERROR(INDEX(KC_CURVAS!$I$5:$I$15,MATCH($E140&amp;"|"&amp;$G140,KC_CURVAS!$K$5:$K$15,0)),IFERROR(INDEX(KC_CURVAS!$I$5:$I$15,MATCH($E140&amp;"|",KC_CURVAS!$K$5:$K$15,0)),""))</f>
        <v/>
      </c>
      <c r="R140" s="12">
        <f>IF(OR($J140="",$K140=""),"PENDENTE",IF($J140&lt;=$K140,$O140,IF($J140&lt;=$K140+$L140,$O140+($P140-$O140)*($J140-$K140)/$L140,IF($J140&lt;=$K140+$L140+$M140,$P140,IF($J140&lt;=$K140+$L140+$M140+$N140,$P140+($Q140-$P140)*($J140-($K140+$L140+$M140))/$N140,$Q140)))))</f>
        <v/>
      </c>
      <c r="S140" s="13">
        <f>ETO_SEM</f>
        <v/>
      </c>
      <c r="T140" s="14">
        <f>IF(OR($R140="",$R140="PENDENTE"),"",$R140*$S140)</f>
        <v/>
      </c>
      <c r="U140" s="13" t="n">
        <v>0</v>
      </c>
      <c r="V140" s="14">
        <f>IF($T140="","",MAX(0,$T140-N($U140)))</f>
        <v/>
      </c>
      <c r="W140" s="14">
        <f>IF($V140="","",$V140/EF_APLIC)</f>
        <v/>
      </c>
      <c r="X140" s="15" t="n">
        <v>150</v>
      </c>
      <c r="Y140" s="16">
        <f>IF(OR($W140="",$X140=""),"",$W140*$X140*10)</f>
        <v/>
      </c>
      <c r="Z140" s="17">
        <f>IFERROR(INDEX('PARAMETROS'!$B$16:$B$19,MATCH($D140,'PARAMETROS'!$A$16:$A$19,0)),"")</f>
        <v/>
      </c>
      <c r="AA140" s="16">
        <f>IF(OR($Y140="",$Z140=""),"",$Y140*$Z140)</f>
        <v/>
      </c>
      <c r="AB140" s="18">
        <f>IF($R140="PENDENTE","Definir classe/Kc",IF($W140="","-",IF($W140&gt;0,"Irrigar","Nao irrigar")))</f>
        <v/>
      </c>
      <c r="AC140" s="18">
        <f>IF(OR($W140="",$W140=0),"-",IF($W140&gt;=META_SEM,"Alta",IF($W140&gt;=META_SEM*FRAC_ACOMP,"Media","Baixa")))</f>
        <v/>
      </c>
      <c r="AD140" s="19" t="inlineStr"/>
    </row>
    <row r="141">
      <c r="A141" s="5" t="inlineStr">
        <is>
          <t>T16</t>
        </is>
      </c>
      <c r="B141" s="5" t="inlineStr">
        <is>
          <t>KARITEL</t>
        </is>
      </c>
      <c r="C141" s="5" t="inlineStr"/>
      <c r="D141" s="5" t="inlineStr">
        <is>
          <t>KM1</t>
        </is>
      </c>
      <c r="E141" s="5" t="inlineStr">
        <is>
          <t>SOJA</t>
        </is>
      </c>
      <c r="F141" s="6" t="inlineStr">
        <is>
          <t>ATAQUE I2X</t>
        </is>
      </c>
      <c r="G141" s="7" t="inlineStr">
        <is>
          <t>TARDIA</t>
        </is>
      </c>
      <c r="H141" s="8" t="n">
        <v>46311</v>
      </c>
      <c r="I141" s="9">
        <f>IF($H141="","",DATA_REF-$H141)</f>
        <v/>
      </c>
      <c r="J141" s="9">
        <f>IF($I141="","",MAX(0,$I141-'PARAMETROS'!$B$12))</f>
        <v/>
      </c>
      <c r="K141" s="10">
        <f>IFERROR(INDEX(KC_CURVAS!$C$5:$C$15,MATCH($E141&amp;"|"&amp;$G141,KC_CURVAS!$K$5:$K$15,0)),IFERROR(INDEX(KC_CURVAS!$C$5:$C$15,MATCH($E141&amp;"|",KC_CURVAS!$K$5:$K$15,0)),""))</f>
        <v/>
      </c>
      <c r="L141" s="10">
        <f>IFERROR(INDEX(KC_CURVAS!$D$5:$D$15,MATCH($E141&amp;"|"&amp;$G141,KC_CURVAS!$K$5:$K$15,0)),IFERROR(INDEX(KC_CURVAS!$D$5:$D$15,MATCH($E141&amp;"|",KC_CURVAS!$K$5:$K$15,0)),""))</f>
        <v/>
      </c>
      <c r="M141" s="10">
        <f>IFERROR(INDEX(KC_CURVAS!$E$5:$E$15,MATCH($E141&amp;"|"&amp;$G141,KC_CURVAS!$K$5:$K$15,0)),IFERROR(INDEX(KC_CURVAS!$E$5:$E$15,MATCH($E141&amp;"|",KC_CURVAS!$K$5:$K$15,0)),""))</f>
        <v/>
      </c>
      <c r="N141" s="10">
        <f>IFERROR(INDEX(KC_CURVAS!$F$5:$F$15,MATCH($E141&amp;"|"&amp;$G141,KC_CURVAS!$K$5:$K$15,0)),IFERROR(INDEX(KC_CURVAS!$F$5:$F$15,MATCH($E141&amp;"|",KC_CURVAS!$K$5:$K$15,0)),""))</f>
        <v/>
      </c>
      <c r="O141" s="11">
        <f>IFERROR(INDEX(KC_CURVAS!$G$5:$G$15,MATCH($E141&amp;"|"&amp;$G141,KC_CURVAS!$K$5:$K$15,0)),IFERROR(INDEX(KC_CURVAS!$G$5:$G$15,MATCH($E141&amp;"|",KC_CURVAS!$K$5:$K$15,0)),""))</f>
        <v/>
      </c>
      <c r="P141" s="11">
        <f>IFERROR(INDEX(KC_CURVAS!$H$5:$H$15,MATCH($E141&amp;"|"&amp;$G141,KC_CURVAS!$K$5:$K$15,0)),IFERROR(INDEX(KC_CURVAS!$H$5:$H$15,MATCH($E141&amp;"|",KC_CURVAS!$K$5:$K$15,0)),""))</f>
        <v/>
      </c>
      <c r="Q141" s="11">
        <f>IFERROR(INDEX(KC_CURVAS!$I$5:$I$15,MATCH($E141&amp;"|"&amp;$G141,KC_CURVAS!$K$5:$K$15,0)),IFERROR(INDEX(KC_CURVAS!$I$5:$I$15,MATCH($E141&amp;"|",KC_CURVAS!$K$5:$K$15,0)),""))</f>
        <v/>
      </c>
      <c r="R141" s="12">
        <f>IF(OR($J141="",$K141=""),"PENDENTE",IF($J141&lt;=$K141,$O141,IF($J141&lt;=$K141+$L141,$O141+($P141-$O141)*($J141-$K141)/$L141,IF($J141&lt;=$K141+$L141+$M141,$P141,IF($J141&lt;=$K141+$L141+$M141+$N141,$P141+($Q141-$P141)*($J141-($K141+$L141+$M141))/$N141,$Q141)))))</f>
        <v/>
      </c>
      <c r="S141" s="13">
        <f>ETO_SEM</f>
        <v/>
      </c>
      <c r="T141" s="14">
        <f>IF(OR($R141="",$R141="PENDENTE"),"",$R141*$S141)</f>
        <v/>
      </c>
      <c r="U141" s="13" t="n">
        <v>0</v>
      </c>
      <c r="V141" s="14">
        <f>IF($T141="","",MAX(0,$T141-N($U141)))</f>
        <v/>
      </c>
      <c r="W141" s="14">
        <f>IF($V141="","",$V141/EF_APLIC)</f>
        <v/>
      </c>
      <c r="X141" s="15" t="n">
        <v>150</v>
      </c>
      <c r="Y141" s="16">
        <f>IF(OR($W141="",$X141=""),"",$W141*$X141*10)</f>
        <v/>
      </c>
      <c r="Z141" s="17">
        <f>IFERROR(INDEX('PARAMETROS'!$B$16:$B$19,MATCH($D141,'PARAMETROS'!$A$16:$A$19,0)),"")</f>
        <v/>
      </c>
      <c r="AA141" s="16">
        <f>IF(OR($Y141="",$Z141=""),"",$Y141*$Z141)</f>
        <v/>
      </c>
      <c r="AB141" s="18">
        <f>IF($R141="PENDENTE","Definir classe/Kc",IF($W141="","-",IF($W141&gt;0,"Irrigar","Nao irrigar")))</f>
        <v/>
      </c>
      <c r="AC141" s="18">
        <f>IF(OR($W141="",$W141=0),"-",IF($W141&gt;=META_SEM,"Alta",IF($W141&gt;=META_SEM*FRAC_ACOMP,"Media","Baixa")))</f>
        <v/>
      </c>
      <c r="AD141" s="19" t="inlineStr"/>
    </row>
    <row r="142">
      <c r="A142" s="5" t="inlineStr">
        <is>
          <t>T47</t>
        </is>
      </c>
      <c r="B142" s="5" t="inlineStr">
        <is>
          <t>KARITEL</t>
        </is>
      </c>
      <c r="C142" s="5" t="inlineStr"/>
      <c r="D142" s="5" t="inlineStr">
        <is>
          <t>KM1</t>
        </is>
      </c>
      <c r="E142" s="5" t="inlineStr">
        <is>
          <t>SOJA</t>
        </is>
      </c>
      <c r="F142" s="6" t="inlineStr">
        <is>
          <t>M8434 12X</t>
        </is>
      </c>
      <c r="G142" s="7" t="inlineStr">
        <is>
          <t>MÉDIA</t>
        </is>
      </c>
      <c r="H142" s="8" t="n">
        <v>46312</v>
      </c>
      <c r="I142" s="9">
        <f>IF($H142="","",DATA_REF-$H142)</f>
        <v/>
      </c>
      <c r="J142" s="9">
        <f>IF($I142="","",MAX(0,$I142-'PARAMETROS'!$B$12))</f>
        <v/>
      </c>
      <c r="K142" s="10">
        <f>IFERROR(INDEX(KC_CURVAS!$C$5:$C$15,MATCH($E142&amp;"|"&amp;$G142,KC_CURVAS!$K$5:$K$15,0)),IFERROR(INDEX(KC_CURVAS!$C$5:$C$15,MATCH($E142&amp;"|",KC_CURVAS!$K$5:$K$15,0)),""))</f>
        <v/>
      </c>
      <c r="L142" s="10">
        <f>IFERROR(INDEX(KC_CURVAS!$D$5:$D$15,MATCH($E142&amp;"|"&amp;$G142,KC_CURVAS!$K$5:$K$15,0)),IFERROR(INDEX(KC_CURVAS!$D$5:$D$15,MATCH($E142&amp;"|",KC_CURVAS!$K$5:$K$15,0)),""))</f>
        <v/>
      </c>
      <c r="M142" s="10">
        <f>IFERROR(INDEX(KC_CURVAS!$E$5:$E$15,MATCH($E142&amp;"|"&amp;$G142,KC_CURVAS!$K$5:$K$15,0)),IFERROR(INDEX(KC_CURVAS!$E$5:$E$15,MATCH($E142&amp;"|",KC_CURVAS!$K$5:$K$15,0)),""))</f>
        <v/>
      </c>
      <c r="N142" s="10">
        <f>IFERROR(INDEX(KC_CURVAS!$F$5:$F$15,MATCH($E142&amp;"|"&amp;$G142,KC_CURVAS!$K$5:$K$15,0)),IFERROR(INDEX(KC_CURVAS!$F$5:$F$15,MATCH($E142&amp;"|",KC_CURVAS!$K$5:$K$15,0)),""))</f>
        <v/>
      </c>
      <c r="O142" s="11">
        <f>IFERROR(INDEX(KC_CURVAS!$G$5:$G$15,MATCH($E142&amp;"|"&amp;$G142,KC_CURVAS!$K$5:$K$15,0)),IFERROR(INDEX(KC_CURVAS!$G$5:$G$15,MATCH($E142&amp;"|",KC_CURVAS!$K$5:$K$15,0)),""))</f>
        <v/>
      </c>
      <c r="P142" s="11">
        <f>IFERROR(INDEX(KC_CURVAS!$H$5:$H$15,MATCH($E142&amp;"|"&amp;$G142,KC_CURVAS!$K$5:$K$15,0)),IFERROR(INDEX(KC_CURVAS!$H$5:$H$15,MATCH($E142&amp;"|",KC_CURVAS!$K$5:$K$15,0)),""))</f>
        <v/>
      </c>
      <c r="Q142" s="11">
        <f>IFERROR(INDEX(KC_CURVAS!$I$5:$I$15,MATCH($E142&amp;"|"&amp;$G142,KC_CURVAS!$K$5:$K$15,0)),IFERROR(INDEX(KC_CURVAS!$I$5:$I$15,MATCH($E142&amp;"|",KC_CURVAS!$K$5:$K$15,0)),""))</f>
        <v/>
      </c>
      <c r="R142" s="12">
        <f>IF(OR($J142="",$K142=""),"PENDENTE",IF($J142&lt;=$K142,$O142,IF($J142&lt;=$K142+$L142,$O142+($P142-$O142)*($J142-$K142)/$L142,IF($J142&lt;=$K142+$L142+$M142,$P142,IF($J142&lt;=$K142+$L142+$M142+$N142,$P142+($Q142-$P142)*($J142-($K142+$L142+$M142))/$N142,$Q142)))))</f>
        <v/>
      </c>
      <c r="S142" s="13">
        <f>ETO_SEM</f>
        <v/>
      </c>
      <c r="T142" s="14">
        <f>IF(OR($R142="",$R142="PENDENTE"),"",$R142*$S142)</f>
        <v/>
      </c>
      <c r="U142" s="13" t="n">
        <v>0</v>
      </c>
      <c r="V142" s="14">
        <f>IF($T142="","",MAX(0,$T142-N($U142)))</f>
        <v/>
      </c>
      <c r="W142" s="14">
        <f>IF($V142="","",$V142/EF_APLIC)</f>
        <v/>
      </c>
      <c r="X142" s="15" t="n">
        <v>160</v>
      </c>
      <c r="Y142" s="16">
        <f>IF(OR($W142="",$X142=""),"",$W142*$X142*10)</f>
        <v/>
      </c>
      <c r="Z142" s="17">
        <f>IFERROR(INDEX('PARAMETROS'!$B$16:$B$19,MATCH($D142,'PARAMETROS'!$A$16:$A$19,0)),"")</f>
        <v/>
      </c>
      <c r="AA142" s="16">
        <f>IF(OR($Y142="",$Z142=""),"",$Y142*$Z142)</f>
        <v/>
      </c>
      <c r="AB142" s="18">
        <f>IF($R142="PENDENTE","Definir classe/Kc",IF($W142="","-",IF($W142&gt;0,"Irrigar","Nao irrigar")))</f>
        <v/>
      </c>
      <c r="AC142" s="18">
        <f>IF(OR($W142="",$W142=0),"-",IF($W142&gt;=META_SEM,"Alta",IF($W142&gt;=META_SEM*FRAC_ACOMP,"Media","Baixa")))</f>
        <v/>
      </c>
      <c r="AD142" s="19" t="inlineStr"/>
    </row>
    <row r="143">
      <c r="A143" s="5" t="inlineStr">
        <is>
          <t>T48</t>
        </is>
      </c>
      <c r="B143" s="5" t="inlineStr">
        <is>
          <t>KARITEL</t>
        </is>
      </c>
      <c r="C143" s="5" t="inlineStr"/>
      <c r="D143" s="5" t="inlineStr">
        <is>
          <t>KM1</t>
        </is>
      </c>
      <c r="E143" s="5" t="inlineStr">
        <is>
          <t>SOJA</t>
        </is>
      </c>
      <c r="F143" s="6" t="inlineStr">
        <is>
          <t>M8434 12X</t>
        </is>
      </c>
      <c r="G143" s="7" t="inlineStr">
        <is>
          <t>MÉDIA</t>
        </is>
      </c>
      <c r="H143" s="8" t="n">
        <v>46314</v>
      </c>
      <c r="I143" s="9">
        <f>IF($H143="","",DATA_REF-$H143)</f>
        <v/>
      </c>
      <c r="J143" s="9">
        <f>IF($I143="","",MAX(0,$I143-'PARAMETROS'!$B$12))</f>
        <v/>
      </c>
      <c r="K143" s="10">
        <f>IFERROR(INDEX(KC_CURVAS!$C$5:$C$15,MATCH($E143&amp;"|"&amp;$G143,KC_CURVAS!$K$5:$K$15,0)),IFERROR(INDEX(KC_CURVAS!$C$5:$C$15,MATCH($E143&amp;"|",KC_CURVAS!$K$5:$K$15,0)),""))</f>
        <v/>
      </c>
      <c r="L143" s="10">
        <f>IFERROR(INDEX(KC_CURVAS!$D$5:$D$15,MATCH($E143&amp;"|"&amp;$G143,KC_CURVAS!$K$5:$K$15,0)),IFERROR(INDEX(KC_CURVAS!$D$5:$D$15,MATCH($E143&amp;"|",KC_CURVAS!$K$5:$K$15,0)),""))</f>
        <v/>
      </c>
      <c r="M143" s="10">
        <f>IFERROR(INDEX(KC_CURVAS!$E$5:$E$15,MATCH($E143&amp;"|"&amp;$G143,KC_CURVAS!$K$5:$K$15,0)),IFERROR(INDEX(KC_CURVAS!$E$5:$E$15,MATCH($E143&amp;"|",KC_CURVAS!$K$5:$K$15,0)),""))</f>
        <v/>
      </c>
      <c r="N143" s="10">
        <f>IFERROR(INDEX(KC_CURVAS!$F$5:$F$15,MATCH($E143&amp;"|"&amp;$G143,KC_CURVAS!$K$5:$K$15,0)),IFERROR(INDEX(KC_CURVAS!$F$5:$F$15,MATCH($E143&amp;"|",KC_CURVAS!$K$5:$K$15,0)),""))</f>
        <v/>
      </c>
      <c r="O143" s="11">
        <f>IFERROR(INDEX(KC_CURVAS!$G$5:$G$15,MATCH($E143&amp;"|"&amp;$G143,KC_CURVAS!$K$5:$K$15,0)),IFERROR(INDEX(KC_CURVAS!$G$5:$G$15,MATCH($E143&amp;"|",KC_CURVAS!$K$5:$K$15,0)),""))</f>
        <v/>
      </c>
      <c r="P143" s="11">
        <f>IFERROR(INDEX(KC_CURVAS!$H$5:$H$15,MATCH($E143&amp;"|"&amp;$G143,KC_CURVAS!$K$5:$K$15,0)),IFERROR(INDEX(KC_CURVAS!$H$5:$H$15,MATCH($E143&amp;"|",KC_CURVAS!$K$5:$K$15,0)),""))</f>
        <v/>
      </c>
      <c r="Q143" s="11">
        <f>IFERROR(INDEX(KC_CURVAS!$I$5:$I$15,MATCH($E143&amp;"|"&amp;$G143,KC_CURVAS!$K$5:$K$15,0)),IFERROR(INDEX(KC_CURVAS!$I$5:$I$15,MATCH($E143&amp;"|",KC_CURVAS!$K$5:$K$15,0)),""))</f>
        <v/>
      </c>
      <c r="R143" s="12">
        <f>IF(OR($J143="",$K143=""),"PENDENTE",IF($J143&lt;=$K143,$O143,IF($J143&lt;=$K143+$L143,$O143+($P143-$O143)*($J143-$K143)/$L143,IF($J143&lt;=$K143+$L143+$M143,$P143,IF($J143&lt;=$K143+$L143+$M143+$N143,$P143+($Q143-$P143)*($J143-($K143+$L143+$M143))/$N143,$Q143)))))</f>
        <v/>
      </c>
      <c r="S143" s="13">
        <f>ETO_SEM</f>
        <v/>
      </c>
      <c r="T143" s="14">
        <f>IF(OR($R143="",$R143="PENDENTE"),"",$R143*$S143)</f>
        <v/>
      </c>
      <c r="U143" s="13" t="n">
        <v>0</v>
      </c>
      <c r="V143" s="14">
        <f>IF($T143="","",MAX(0,$T143-N($U143)))</f>
        <v/>
      </c>
      <c r="W143" s="14">
        <f>IF($V143="","",$V143/EF_APLIC)</f>
        <v/>
      </c>
      <c r="X143" s="15" t="n">
        <v>160</v>
      </c>
      <c r="Y143" s="16">
        <f>IF(OR($W143="",$X143=""),"",$W143*$X143*10)</f>
        <v/>
      </c>
      <c r="Z143" s="17">
        <f>IFERROR(INDEX('PARAMETROS'!$B$16:$B$19,MATCH($D143,'PARAMETROS'!$A$16:$A$19,0)),"")</f>
        <v/>
      </c>
      <c r="AA143" s="16">
        <f>IF(OR($Y143="",$Z143=""),"",$Y143*$Z143)</f>
        <v/>
      </c>
      <c r="AB143" s="18">
        <f>IF($R143="PENDENTE","Definir classe/Kc",IF($W143="","-",IF($W143&gt;0,"Irrigar","Nao irrigar")))</f>
        <v/>
      </c>
      <c r="AC143" s="18">
        <f>IF(OR($W143="",$W143=0),"-",IF($W143&gt;=META_SEM,"Alta",IF($W143&gt;=META_SEM*FRAC_ACOMP,"Media","Baixa")))</f>
        <v/>
      </c>
      <c r="AD143" s="19" t="inlineStr"/>
    </row>
    <row r="144">
      <c r="A144" s="5" t="inlineStr">
        <is>
          <t>T49</t>
        </is>
      </c>
      <c r="B144" s="5" t="inlineStr">
        <is>
          <t>KARITEL</t>
        </is>
      </c>
      <c r="C144" s="5" t="inlineStr"/>
      <c r="D144" s="5" t="inlineStr">
        <is>
          <t>KM1</t>
        </is>
      </c>
      <c r="E144" s="5" t="inlineStr">
        <is>
          <t>SOJA</t>
        </is>
      </c>
      <c r="F144" s="6" t="inlineStr">
        <is>
          <t>M8434 12X</t>
        </is>
      </c>
      <c r="G144" s="7" t="inlineStr">
        <is>
          <t>MÉDIA</t>
        </is>
      </c>
      <c r="H144" s="8" t="n">
        <v>46314</v>
      </c>
      <c r="I144" s="9">
        <f>IF($H144="","",DATA_REF-$H144)</f>
        <v/>
      </c>
      <c r="J144" s="9">
        <f>IF($I144="","",MAX(0,$I144-'PARAMETROS'!$B$12))</f>
        <v/>
      </c>
      <c r="K144" s="10">
        <f>IFERROR(INDEX(KC_CURVAS!$C$5:$C$15,MATCH($E144&amp;"|"&amp;$G144,KC_CURVAS!$K$5:$K$15,0)),IFERROR(INDEX(KC_CURVAS!$C$5:$C$15,MATCH($E144&amp;"|",KC_CURVAS!$K$5:$K$15,0)),""))</f>
        <v/>
      </c>
      <c r="L144" s="10">
        <f>IFERROR(INDEX(KC_CURVAS!$D$5:$D$15,MATCH($E144&amp;"|"&amp;$G144,KC_CURVAS!$K$5:$K$15,0)),IFERROR(INDEX(KC_CURVAS!$D$5:$D$15,MATCH($E144&amp;"|",KC_CURVAS!$K$5:$K$15,0)),""))</f>
        <v/>
      </c>
      <c r="M144" s="10">
        <f>IFERROR(INDEX(KC_CURVAS!$E$5:$E$15,MATCH($E144&amp;"|"&amp;$G144,KC_CURVAS!$K$5:$K$15,0)),IFERROR(INDEX(KC_CURVAS!$E$5:$E$15,MATCH($E144&amp;"|",KC_CURVAS!$K$5:$K$15,0)),""))</f>
        <v/>
      </c>
      <c r="N144" s="10">
        <f>IFERROR(INDEX(KC_CURVAS!$F$5:$F$15,MATCH($E144&amp;"|"&amp;$G144,KC_CURVAS!$K$5:$K$15,0)),IFERROR(INDEX(KC_CURVAS!$F$5:$F$15,MATCH($E144&amp;"|",KC_CURVAS!$K$5:$K$15,0)),""))</f>
        <v/>
      </c>
      <c r="O144" s="11">
        <f>IFERROR(INDEX(KC_CURVAS!$G$5:$G$15,MATCH($E144&amp;"|"&amp;$G144,KC_CURVAS!$K$5:$K$15,0)),IFERROR(INDEX(KC_CURVAS!$G$5:$G$15,MATCH($E144&amp;"|",KC_CURVAS!$K$5:$K$15,0)),""))</f>
        <v/>
      </c>
      <c r="P144" s="11">
        <f>IFERROR(INDEX(KC_CURVAS!$H$5:$H$15,MATCH($E144&amp;"|"&amp;$G144,KC_CURVAS!$K$5:$K$15,0)),IFERROR(INDEX(KC_CURVAS!$H$5:$H$15,MATCH($E144&amp;"|",KC_CURVAS!$K$5:$K$15,0)),""))</f>
        <v/>
      </c>
      <c r="Q144" s="11">
        <f>IFERROR(INDEX(KC_CURVAS!$I$5:$I$15,MATCH($E144&amp;"|"&amp;$G144,KC_CURVAS!$K$5:$K$15,0)),IFERROR(INDEX(KC_CURVAS!$I$5:$I$15,MATCH($E144&amp;"|",KC_CURVAS!$K$5:$K$15,0)),""))</f>
        <v/>
      </c>
      <c r="R144" s="12">
        <f>IF(OR($J144="",$K144=""),"PENDENTE",IF($J144&lt;=$K144,$O144,IF($J144&lt;=$K144+$L144,$O144+($P144-$O144)*($J144-$K144)/$L144,IF($J144&lt;=$K144+$L144+$M144,$P144,IF($J144&lt;=$K144+$L144+$M144+$N144,$P144+($Q144-$P144)*($J144-($K144+$L144+$M144))/$N144,$Q144)))))</f>
        <v/>
      </c>
      <c r="S144" s="13">
        <f>ETO_SEM</f>
        <v/>
      </c>
      <c r="T144" s="14">
        <f>IF(OR($R144="",$R144="PENDENTE"),"",$R144*$S144)</f>
        <v/>
      </c>
      <c r="U144" s="13" t="n">
        <v>0</v>
      </c>
      <c r="V144" s="14">
        <f>IF($T144="","",MAX(0,$T144-N($U144)))</f>
        <v/>
      </c>
      <c r="W144" s="14">
        <f>IF($V144="","",$V144/EF_APLIC)</f>
        <v/>
      </c>
      <c r="X144" s="15" t="n">
        <v>125</v>
      </c>
      <c r="Y144" s="16">
        <f>IF(OR($W144="",$X144=""),"",$W144*$X144*10)</f>
        <v/>
      </c>
      <c r="Z144" s="17">
        <f>IFERROR(INDEX('PARAMETROS'!$B$16:$B$19,MATCH($D144,'PARAMETROS'!$A$16:$A$19,0)),"")</f>
        <v/>
      </c>
      <c r="AA144" s="16">
        <f>IF(OR($Y144="",$Z144=""),"",$Y144*$Z144)</f>
        <v/>
      </c>
      <c r="AB144" s="18">
        <f>IF($R144="PENDENTE","Definir classe/Kc",IF($W144="","-",IF($W144&gt;0,"Irrigar","Nao irrigar")))</f>
        <v/>
      </c>
      <c r="AC144" s="18">
        <f>IF(OR($W144="",$W144=0),"-",IF($W144&gt;=META_SEM,"Alta",IF($W144&gt;=META_SEM*FRAC_ACOMP,"Media","Baixa")))</f>
        <v/>
      </c>
      <c r="AD144" s="19" t="inlineStr"/>
    </row>
    <row r="145">
      <c r="A145" s="5" t="inlineStr">
        <is>
          <t>T56</t>
        </is>
      </c>
      <c r="B145" s="5" t="inlineStr">
        <is>
          <t>KARITEL</t>
        </is>
      </c>
      <c r="C145" s="5" t="inlineStr"/>
      <c r="D145" s="5" t="inlineStr">
        <is>
          <t>KM2</t>
        </is>
      </c>
      <c r="E145" s="5" t="inlineStr">
        <is>
          <t>SOJA</t>
        </is>
      </c>
      <c r="F145" s="6" t="inlineStr">
        <is>
          <t>BMX Olimpo IPRO</t>
        </is>
      </c>
      <c r="G145" s="7" t="inlineStr">
        <is>
          <t>MÉDIA</t>
        </is>
      </c>
      <c r="H145" s="8" t="n">
        <v>46315</v>
      </c>
      <c r="I145" s="9">
        <f>IF($H145="","",DATA_REF-$H145)</f>
        <v/>
      </c>
      <c r="J145" s="9">
        <f>IF($I145="","",MAX(0,$I145-'PARAMETROS'!$B$12))</f>
        <v/>
      </c>
      <c r="K145" s="10">
        <f>IFERROR(INDEX(KC_CURVAS!$C$5:$C$15,MATCH($E145&amp;"|"&amp;$G145,KC_CURVAS!$K$5:$K$15,0)),IFERROR(INDEX(KC_CURVAS!$C$5:$C$15,MATCH($E145&amp;"|",KC_CURVAS!$K$5:$K$15,0)),""))</f>
        <v/>
      </c>
      <c r="L145" s="10">
        <f>IFERROR(INDEX(KC_CURVAS!$D$5:$D$15,MATCH($E145&amp;"|"&amp;$G145,KC_CURVAS!$K$5:$K$15,0)),IFERROR(INDEX(KC_CURVAS!$D$5:$D$15,MATCH($E145&amp;"|",KC_CURVAS!$K$5:$K$15,0)),""))</f>
        <v/>
      </c>
      <c r="M145" s="10">
        <f>IFERROR(INDEX(KC_CURVAS!$E$5:$E$15,MATCH($E145&amp;"|"&amp;$G145,KC_CURVAS!$K$5:$K$15,0)),IFERROR(INDEX(KC_CURVAS!$E$5:$E$15,MATCH($E145&amp;"|",KC_CURVAS!$K$5:$K$15,0)),""))</f>
        <v/>
      </c>
      <c r="N145" s="10">
        <f>IFERROR(INDEX(KC_CURVAS!$F$5:$F$15,MATCH($E145&amp;"|"&amp;$G145,KC_CURVAS!$K$5:$K$15,0)),IFERROR(INDEX(KC_CURVAS!$F$5:$F$15,MATCH($E145&amp;"|",KC_CURVAS!$K$5:$K$15,0)),""))</f>
        <v/>
      </c>
      <c r="O145" s="11">
        <f>IFERROR(INDEX(KC_CURVAS!$G$5:$G$15,MATCH($E145&amp;"|"&amp;$G145,KC_CURVAS!$K$5:$K$15,0)),IFERROR(INDEX(KC_CURVAS!$G$5:$G$15,MATCH($E145&amp;"|",KC_CURVAS!$K$5:$K$15,0)),""))</f>
        <v/>
      </c>
      <c r="P145" s="11">
        <f>IFERROR(INDEX(KC_CURVAS!$H$5:$H$15,MATCH($E145&amp;"|"&amp;$G145,KC_CURVAS!$K$5:$K$15,0)),IFERROR(INDEX(KC_CURVAS!$H$5:$H$15,MATCH($E145&amp;"|",KC_CURVAS!$K$5:$K$15,0)),""))</f>
        <v/>
      </c>
      <c r="Q145" s="11">
        <f>IFERROR(INDEX(KC_CURVAS!$I$5:$I$15,MATCH($E145&amp;"|"&amp;$G145,KC_CURVAS!$K$5:$K$15,0)),IFERROR(INDEX(KC_CURVAS!$I$5:$I$15,MATCH($E145&amp;"|",KC_CURVAS!$K$5:$K$15,0)),""))</f>
        <v/>
      </c>
      <c r="R145" s="12">
        <f>IF(OR($J145="",$K145=""),"PENDENTE",IF($J145&lt;=$K145,$O145,IF($J145&lt;=$K145+$L145,$O145+($P145-$O145)*($J145-$K145)/$L145,IF($J145&lt;=$K145+$L145+$M145,$P145,IF($J145&lt;=$K145+$L145+$M145+$N145,$P145+($Q145-$P145)*($J145-($K145+$L145+$M145))/$N145,$Q145)))))</f>
        <v/>
      </c>
      <c r="S145" s="13">
        <f>ETO_SEM</f>
        <v/>
      </c>
      <c r="T145" s="14">
        <f>IF(OR($R145="",$R145="PENDENTE"),"",$R145*$S145)</f>
        <v/>
      </c>
      <c r="U145" s="13" t="n">
        <v>0</v>
      </c>
      <c r="V145" s="14">
        <f>IF($T145="","",MAX(0,$T145-N($U145)))</f>
        <v/>
      </c>
      <c r="W145" s="14">
        <f>IF($V145="","",$V145/EF_APLIC)</f>
        <v/>
      </c>
      <c r="X145" s="15" t="n">
        <v>95</v>
      </c>
      <c r="Y145" s="16">
        <f>IF(OR($W145="",$X145=""),"",$W145*$X145*10)</f>
        <v/>
      </c>
      <c r="Z145" s="17">
        <f>IFERROR(INDEX('PARAMETROS'!$B$16:$B$19,MATCH($D145,'PARAMETROS'!$A$16:$A$19,0)),"")</f>
        <v/>
      </c>
      <c r="AA145" s="16">
        <f>IF(OR($Y145="",$Z145=""),"",$Y145*$Z145)</f>
        <v/>
      </c>
      <c r="AB145" s="18">
        <f>IF($R145="PENDENTE","Definir classe/Kc",IF($W145="","-",IF($W145&gt;0,"Irrigar","Nao irrigar")))</f>
        <v/>
      </c>
      <c r="AC145" s="18">
        <f>IF(OR($W145="",$W145=0),"-",IF($W145&gt;=META_SEM,"Alta",IF($W145&gt;=META_SEM*FRAC_ACOMP,"Media","Baixa")))</f>
        <v/>
      </c>
      <c r="AD145" s="19" t="inlineStr"/>
    </row>
    <row r="146">
      <c r="A146" s="5" t="inlineStr">
        <is>
          <t>T56</t>
        </is>
      </c>
      <c r="B146" s="5" t="inlineStr">
        <is>
          <t>KARITEL</t>
        </is>
      </c>
      <c r="C146" s="5" t="inlineStr"/>
      <c r="D146" s="5" t="inlineStr">
        <is>
          <t>KM2</t>
        </is>
      </c>
      <c r="E146" s="5" t="inlineStr">
        <is>
          <t>SOJA</t>
        </is>
      </c>
      <c r="F146" s="6" t="inlineStr">
        <is>
          <t>CZ 48B18 IPRO</t>
        </is>
      </c>
      <c r="G146" s="7" t="inlineStr">
        <is>
          <t>MÉDIA</t>
        </is>
      </c>
      <c r="H146" s="8" t="n">
        <v>46315</v>
      </c>
      <c r="I146" s="9">
        <f>IF($H146="","",DATA_REF-$H146)</f>
        <v/>
      </c>
      <c r="J146" s="9">
        <f>IF($I146="","",MAX(0,$I146-'PARAMETROS'!$B$12))</f>
        <v/>
      </c>
      <c r="K146" s="10">
        <f>IFERROR(INDEX(KC_CURVAS!$C$5:$C$15,MATCH($E146&amp;"|"&amp;$G146,KC_CURVAS!$K$5:$K$15,0)),IFERROR(INDEX(KC_CURVAS!$C$5:$C$15,MATCH($E146&amp;"|",KC_CURVAS!$K$5:$K$15,0)),""))</f>
        <v/>
      </c>
      <c r="L146" s="10">
        <f>IFERROR(INDEX(KC_CURVAS!$D$5:$D$15,MATCH($E146&amp;"|"&amp;$G146,KC_CURVAS!$K$5:$K$15,0)),IFERROR(INDEX(KC_CURVAS!$D$5:$D$15,MATCH($E146&amp;"|",KC_CURVAS!$K$5:$K$15,0)),""))</f>
        <v/>
      </c>
      <c r="M146" s="10">
        <f>IFERROR(INDEX(KC_CURVAS!$E$5:$E$15,MATCH($E146&amp;"|"&amp;$G146,KC_CURVAS!$K$5:$K$15,0)),IFERROR(INDEX(KC_CURVAS!$E$5:$E$15,MATCH($E146&amp;"|",KC_CURVAS!$K$5:$K$15,0)),""))</f>
        <v/>
      </c>
      <c r="N146" s="10">
        <f>IFERROR(INDEX(KC_CURVAS!$F$5:$F$15,MATCH($E146&amp;"|"&amp;$G146,KC_CURVAS!$K$5:$K$15,0)),IFERROR(INDEX(KC_CURVAS!$F$5:$F$15,MATCH($E146&amp;"|",KC_CURVAS!$K$5:$K$15,0)),""))</f>
        <v/>
      </c>
      <c r="O146" s="11">
        <f>IFERROR(INDEX(KC_CURVAS!$G$5:$G$15,MATCH($E146&amp;"|"&amp;$G146,KC_CURVAS!$K$5:$K$15,0)),IFERROR(INDEX(KC_CURVAS!$G$5:$G$15,MATCH($E146&amp;"|",KC_CURVAS!$K$5:$K$15,0)),""))</f>
        <v/>
      </c>
      <c r="P146" s="11">
        <f>IFERROR(INDEX(KC_CURVAS!$H$5:$H$15,MATCH($E146&amp;"|"&amp;$G146,KC_CURVAS!$K$5:$K$15,0)),IFERROR(INDEX(KC_CURVAS!$H$5:$H$15,MATCH($E146&amp;"|",KC_CURVAS!$K$5:$K$15,0)),""))</f>
        <v/>
      </c>
      <c r="Q146" s="11">
        <f>IFERROR(INDEX(KC_CURVAS!$I$5:$I$15,MATCH($E146&amp;"|"&amp;$G146,KC_CURVAS!$K$5:$K$15,0)),IFERROR(INDEX(KC_CURVAS!$I$5:$I$15,MATCH($E146&amp;"|",KC_CURVAS!$K$5:$K$15,0)),""))</f>
        <v/>
      </c>
      <c r="R146" s="12">
        <f>IF(OR($J146="",$K146=""),"PENDENTE",IF($J146&lt;=$K146,$O146,IF($J146&lt;=$K146+$L146,$O146+($P146-$O146)*($J146-$K146)/$L146,IF($J146&lt;=$K146+$L146+$M146,$P146,IF($J146&lt;=$K146+$L146+$M146+$N146,$P146+($Q146-$P146)*($J146-($K146+$L146+$M146))/$N146,$Q146)))))</f>
        <v/>
      </c>
      <c r="S146" s="13">
        <f>ETO_SEM</f>
        <v/>
      </c>
      <c r="T146" s="14">
        <f>IF(OR($R146="",$R146="PENDENTE"),"",$R146*$S146)</f>
        <v/>
      </c>
      <c r="U146" s="13" t="n">
        <v>0</v>
      </c>
      <c r="V146" s="14">
        <f>IF($T146="","",MAX(0,$T146-N($U146)))</f>
        <v/>
      </c>
      <c r="W146" s="14">
        <f>IF($V146="","",$V146/EF_APLIC)</f>
        <v/>
      </c>
      <c r="X146" s="15" t="n">
        <v>55</v>
      </c>
      <c r="Y146" s="16">
        <f>IF(OR($W146="",$X146=""),"",$W146*$X146*10)</f>
        <v/>
      </c>
      <c r="Z146" s="17">
        <f>IFERROR(INDEX('PARAMETROS'!$B$16:$B$19,MATCH($D146,'PARAMETROS'!$A$16:$A$19,0)),"")</f>
        <v/>
      </c>
      <c r="AA146" s="16">
        <f>IF(OR($Y146="",$Z146=""),"",$Y146*$Z146)</f>
        <v/>
      </c>
      <c r="AB146" s="18">
        <f>IF($R146="PENDENTE","Definir classe/Kc",IF($W146="","-",IF($W146&gt;0,"Irrigar","Nao irrigar")))</f>
        <v/>
      </c>
      <c r="AC146" s="18">
        <f>IF(OR($W146="",$W146=0),"-",IF($W146&gt;=META_SEM,"Alta",IF($W146&gt;=META_SEM*FRAC_ACOMP,"Media","Baixa")))</f>
        <v/>
      </c>
      <c r="AD146" s="19" t="inlineStr"/>
    </row>
    <row r="147">
      <c r="A147" s="5" t="inlineStr">
        <is>
          <t>T58</t>
        </is>
      </c>
      <c r="B147" s="5" t="inlineStr">
        <is>
          <t>KARITEL</t>
        </is>
      </c>
      <c r="C147" s="5" t="inlineStr"/>
      <c r="D147" s="5" t="inlineStr">
        <is>
          <t>KM2</t>
        </is>
      </c>
      <c r="E147" s="5" t="inlineStr">
        <is>
          <t>SOJA</t>
        </is>
      </c>
      <c r="F147" s="6" t="inlineStr">
        <is>
          <t>BMX Olimpo IPRO</t>
        </is>
      </c>
      <c r="G147" s="7" t="inlineStr">
        <is>
          <t>MÉDIA</t>
        </is>
      </c>
      <c r="H147" s="8" t="n">
        <v>46315</v>
      </c>
      <c r="I147" s="9">
        <f>IF($H147="","",DATA_REF-$H147)</f>
        <v/>
      </c>
      <c r="J147" s="9">
        <f>IF($I147="","",MAX(0,$I147-'PARAMETROS'!$B$12))</f>
        <v/>
      </c>
      <c r="K147" s="10">
        <f>IFERROR(INDEX(KC_CURVAS!$C$5:$C$15,MATCH($E147&amp;"|"&amp;$G147,KC_CURVAS!$K$5:$K$15,0)),IFERROR(INDEX(KC_CURVAS!$C$5:$C$15,MATCH($E147&amp;"|",KC_CURVAS!$K$5:$K$15,0)),""))</f>
        <v/>
      </c>
      <c r="L147" s="10">
        <f>IFERROR(INDEX(KC_CURVAS!$D$5:$D$15,MATCH($E147&amp;"|"&amp;$G147,KC_CURVAS!$K$5:$K$15,0)),IFERROR(INDEX(KC_CURVAS!$D$5:$D$15,MATCH($E147&amp;"|",KC_CURVAS!$K$5:$K$15,0)),""))</f>
        <v/>
      </c>
      <c r="M147" s="10">
        <f>IFERROR(INDEX(KC_CURVAS!$E$5:$E$15,MATCH($E147&amp;"|"&amp;$G147,KC_CURVAS!$K$5:$K$15,0)),IFERROR(INDEX(KC_CURVAS!$E$5:$E$15,MATCH($E147&amp;"|",KC_CURVAS!$K$5:$K$15,0)),""))</f>
        <v/>
      </c>
      <c r="N147" s="10">
        <f>IFERROR(INDEX(KC_CURVAS!$F$5:$F$15,MATCH($E147&amp;"|"&amp;$G147,KC_CURVAS!$K$5:$K$15,0)),IFERROR(INDEX(KC_CURVAS!$F$5:$F$15,MATCH($E147&amp;"|",KC_CURVAS!$K$5:$K$15,0)),""))</f>
        <v/>
      </c>
      <c r="O147" s="11">
        <f>IFERROR(INDEX(KC_CURVAS!$G$5:$G$15,MATCH($E147&amp;"|"&amp;$G147,KC_CURVAS!$K$5:$K$15,0)),IFERROR(INDEX(KC_CURVAS!$G$5:$G$15,MATCH($E147&amp;"|",KC_CURVAS!$K$5:$K$15,0)),""))</f>
        <v/>
      </c>
      <c r="P147" s="11">
        <f>IFERROR(INDEX(KC_CURVAS!$H$5:$H$15,MATCH($E147&amp;"|"&amp;$G147,KC_CURVAS!$K$5:$K$15,0)),IFERROR(INDEX(KC_CURVAS!$H$5:$H$15,MATCH($E147&amp;"|",KC_CURVAS!$K$5:$K$15,0)),""))</f>
        <v/>
      </c>
      <c r="Q147" s="11">
        <f>IFERROR(INDEX(KC_CURVAS!$I$5:$I$15,MATCH($E147&amp;"|"&amp;$G147,KC_CURVAS!$K$5:$K$15,0)),IFERROR(INDEX(KC_CURVAS!$I$5:$I$15,MATCH($E147&amp;"|",KC_CURVAS!$K$5:$K$15,0)),""))</f>
        <v/>
      </c>
      <c r="R147" s="12">
        <f>IF(OR($J147="",$K147=""),"PENDENTE",IF($J147&lt;=$K147,$O147,IF($J147&lt;=$K147+$L147,$O147+($P147-$O147)*($J147-$K147)/$L147,IF($J147&lt;=$K147+$L147+$M147,$P147,IF($J147&lt;=$K147+$L147+$M147+$N147,$P147+($Q147-$P147)*($J147-($K147+$L147+$M147))/$N147,$Q147)))))</f>
        <v/>
      </c>
      <c r="S147" s="13">
        <f>ETO_SEM</f>
        <v/>
      </c>
      <c r="T147" s="14">
        <f>IF(OR($R147="",$R147="PENDENTE"),"",$R147*$S147)</f>
        <v/>
      </c>
      <c r="U147" s="13" t="n">
        <v>0</v>
      </c>
      <c r="V147" s="14">
        <f>IF($T147="","",MAX(0,$T147-N($U147)))</f>
        <v/>
      </c>
      <c r="W147" s="14">
        <f>IF($V147="","",$V147/EF_APLIC)</f>
        <v/>
      </c>
      <c r="X147" s="15" t="n">
        <v>150</v>
      </c>
      <c r="Y147" s="16">
        <f>IF(OR($W147="",$X147=""),"",$W147*$X147*10)</f>
        <v/>
      </c>
      <c r="Z147" s="17">
        <f>IFERROR(INDEX('PARAMETROS'!$B$16:$B$19,MATCH($D147,'PARAMETROS'!$A$16:$A$19,0)),"")</f>
        <v/>
      </c>
      <c r="AA147" s="16">
        <f>IF(OR($Y147="",$Z147=""),"",$Y147*$Z147)</f>
        <v/>
      </c>
      <c r="AB147" s="18">
        <f>IF($R147="PENDENTE","Definir classe/Kc",IF($W147="","-",IF($W147&gt;0,"Irrigar","Nao irrigar")))</f>
        <v/>
      </c>
      <c r="AC147" s="18">
        <f>IF(OR($W147="",$W147=0),"-",IF($W147&gt;=META_SEM,"Alta",IF($W147&gt;=META_SEM*FRAC_ACOMP,"Media","Baixa")))</f>
        <v/>
      </c>
      <c r="AD147" s="19" t="inlineStr"/>
    </row>
    <row r="148">
      <c r="A148" s="5" t="inlineStr">
        <is>
          <t>T51</t>
        </is>
      </c>
      <c r="B148" s="5" t="inlineStr">
        <is>
          <t>KARITEL</t>
        </is>
      </c>
      <c r="C148" s="5" t="inlineStr"/>
      <c r="D148" s="5" t="inlineStr">
        <is>
          <t>KM2</t>
        </is>
      </c>
      <c r="E148" s="5" t="inlineStr">
        <is>
          <t>SOJA</t>
        </is>
      </c>
      <c r="F148" s="6" t="inlineStr">
        <is>
          <t>CZ 48B18 IPRO</t>
        </is>
      </c>
      <c r="G148" s="7" t="inlineStr">
        <is>
          <t>MÉDIA</t>
        </is>
      </c>
      <c r="H148" s="8" t="n">
        <v>46316</v>
      </c>
      <c r="I148" s="9">
        <f>IF($H148="","",DATA_REF-$H148)</f>
        <v/>
      </c>
      <c r="J148" s="9">
        <f>IF($I148="","",MAX(0,$I148-'PARAMETROS'!$B$12))</f>
        <v/>
      </c>
      <c r="K148" s="10">
        <f>IFERROR(INDEX(KC_CURVAS!$C$5:$C$15,MATCH($E148&amp;"|"&amp;$G148,KC_CURVAS!$K$5:$K$15,0)),IFERROR(INDEX(KC_CURVAS!$C$5:$C$15,MATCH($E148&amp;"|",KC_CURVAS!$K$5:$K$15,0)),""))</f>
        <v/>
      </c>
      <c r="L148" s="10">
        <f>IFERROR(INDEX(KC_CURVAS!$D$5:$D$15,MATCH($E148&amp;"|"&amp;$G148,KC_CURVAS!$K$5:$K$15,0)),IFERROR(INDEX(KC_CURVAS!$D$5:$D$15,MATCH($E148&amp;"|",KC_CURVAS!$K$5:$K$15,0)),""))</f>
        <v/>
      </c>
      <c r="M148" s="10">
        <f>IFERROR(INDEX(KC_CURVAS!$E$5:$E$15,MATCH($E148&amp;"|"&amp;$G148,KC_CURVAS!$K$5:$K$15,0)),IFERROR(INDEX(KC_CURVAS!$E$5:$E$15,MATCH($E148&amp;"|",KC_CURVAS!$K$5:$K$15,0)),""))</f>
        <v/>
      </c>
      <c r="N148" s="10">
        <f>IFERROR(INDEX(KC_CURVAS!$F$5:$F$15,MATCH($E148&amp;"|"&amp;$G148,KC_CURVAS!$K$5:$K$15,0)),IFERROR(INDEX(KC_CURVAS!$F$5:$F$15,MATCH($E148&amp;"|",KC_CURVAS!$K$5:$K$15,0)),""))</f>
        <v/>
      </c>
      <c r="O148" s="11">
        <f>IFERROR(INDEX(KC_CURVAS!$G$5:$G$15,MATCH($E148&amp;"|"&amp;$G148,KC_CURVAS!$K$5:$K$15,0)),IFERROR(INDEX(KC_CURVAS!$G$5:$G$15,MATCH($E148&amp;"|",KC_CURVAS!$K$5:$K$15,0)),""))</f>
        <v/>
      </c>
      <c r="P148" s="11">
        <f>IFERROR(INDEX(KC_CURVAS!$H$5:$H$15,MATCH($E148&amp;"|"&amp;$G148,KC_CURVAS!$K$5:$K$15,0)),IFERROR(INDEX(KC_CURVAS!$H$5:$H$15,MATCH($E148&amp;"|",KC_CURVAS!$K$5:$K$15,0)),""))</f>
        <v/>
      </c>
      <c r="Q148" s="11">
        <f>IFERROR(INDEX(KC_CURVAS!$I$5:$I$15,MATCH($E148&amp;"|"&amp;$G148,KC_CURVAS!$K$5:$K$15,0)),IFERROR(INDEX(KC_CURVAS!$I$5:$I$15,MATCH($E148&amp;"|",KC_CURVAS!$K$5:$K$15,0)),""))</f>
        <v/>
      </c>
      <c r="R148" s="12">
        <f>IF(OR($J148="",$K148=""),"PENDENTE",IF($J148&lt;=$K148,$O148,IF($J148&lt;=$K148+$L148,$O148+($P148-$O148)*($J148-$K148)/$L148,IF($J148&lt;=$K148+$L148+$M148,$P148,IF($J148&lt;=$K148+$L148+$M148+$N148,$P148+($Q148-$P148)*($J148-($K148+$L148+$M148))/$N148,$Q148)))))</f>
        <v/>
      </c>
      <c r="S148" s="13">
        <f>ETO_SEM</f>
        <v/>
      </c>
      <c r="T148" s="14">
        <f>IF(OR($R148="",$R148="PENDENTE"),"",$R148*$S148)</f>
        <v/>
      </c>
      <c r="U148" s="13" t="n">
        <v>0</v>
      </c>
      <c r="V148" s="14">
        <f>IF($T148="","",MAX(0,$T148-N($U148)))</f>
        <v/>
      </c>
      <c r="W148" s="14">
        <f>IF($V148="","",$V148/EF_APLIC)</f>
        <v/>
      </c>
      <c r="X148" s="15" t="n">
        <v>120</v>
      </c>
      <c r="Y148" s="16">
        <f>IF(OR($W148="",$X148=""),"",$W148*$X148*10)</f>
        <v/>
      </c>
      <c r="Z148" s="17">
        <f>IFERROR(INDEX('PARAMETROS'!$B$16:$B$19,MATCH($D148,'PARAMETROS'!$A$16:$A$19,0)),"")</f>
        <v/>
      </c>
      <c r="AA148" s="16">
        <f>IF(OR($Y148="",$Z148=""),"",$Y148*$Z148)</f>
        <v/>
      </c>
      <c r="AB148" s="18">
        <f>IF($R148="PENDENTE","Definir classe/Kc",IF($W148="","-",IF($W148&gt;0,"Irrigar","Nao irrigar")))</f>
        <v/>
      </c>
      <c r="AC148" s="18">
        <f>IF(OR($W148="",$W148=0),"-",IF($W148&gt;=META_SEM,"Alta",IF($W148&gt;=META_SEM*FRAC_ACOMP,"Media","Baixa")))</f>
        <v/>
      </c>
      <c r="AD148" s="19" t="inlineStr"/>
    </row>
    <row r="149">
      <c r="A149" s="5" t="inlineStr">
        <is>
          <t>T54</t>
        </is>
      </c>
      <c r="B149" s="5" t="inlineStr">
        <is>
          <t>KARITEL</t>
        </is>
      </c>
      <c r="C149" s="5" t="inlineStr"/>
      <c r="D149" s="5" t="inlineStr">
        <is>
          <t>KM2</t>
        </is>
      </c>
      <c r="E149" s="5" t="inlineStr">
        <is>
          <t>SOJA</t>
        </is>
      </c>
      <c r="F149" s="6" t="inlineStr">
        <is>
          <t>CZ 48B18 IPRO</t>
        </is>
      </c>
      <c r="G149" s="7" t="inlineStr">
        <is>
          <t>MÉDIA</t>
        </is>
      </c>
      <c r="H149" s="8" t="n">
        <v>46316</v>
      </c>
      <c r="I149" s="9">
        <f>IF($H149="","",DATA_REF-$H149)</f>
        <v/>
      </c>
      <c r="J149" s="9">
        <f>IF($I149="","",MAX(0,$I149-'PARAMETROS'!$B$12))</f>
        <v/>
      </c>
      <c r="K149" s="10">
        <f>IFERROR(INDEX(KC_CURVAS!$C$5:$C$15,MATCH($E149&amp;"|"&amp;$G149,KC_CURVAS!$K$5:$K$15,0)),IFERROR(INDEX(KC_CURVAS!$C$5:$C$15,MATCH($E149&amp;"|",KC_CURVAS!$K$5:$K$15,0)),""))</f>
        <v/>
      </c>
      <c r="L149" s="10">
        <f>IFERROR(INDEX(KC_CURVAS!$D$5:$D$15,MATCH($E149&amp;"|"&amp;$G149,KC_CURVAS!$K$5:$K$15,0)),IFERROR(INDEX(KC_CURVAS!$D$5:$D$15,MATCH($E149&amp;"|",KC_CURVAS!$K$5:$K$15,0)),""))</f>
        <v/>
      </c>
      <c r="M149" s="10">
        <f>IFERROR(INDEX(KC_CURVAS!$E$5:$E$15,MATCH($E149&amp;"|"&amp;$G149,KC_CURVAS!$K$5:$K$15,0)),IFERROR(INDEX(KC_CURVAS!$E$5:$E$15,MATCH($E149&amp;"|",KC_CURVAS!$K$5:$K$15,0)),""))</f>
        <v/>
      </c>
      <c r="N149" s="10">
        <f>IFERROR(INDEX(KC_CURVAS!$F$5:$F$15,MATCH($E149&amp;"|"&amp;$G149,KC_CURVAS!$K$5:$K$15,0)),IFERROR(INDEX(KC_CURVAS!$F$5:$F$15,MATCH($E149&amp;"|",KC_CURVAS!$K$5:$K$15,0)),""))</f>
        <v/>
      </c>
      <c r="O149" s="11">
        <f>IFERROR(INDEX(KC_CURVAS!$G$5:$G$15,MATCH($E149&amp;"|"&amp;$G149,KC_CURVAS!$K$5:$K$15,0)),IFERROR(INDEX(KC_CURVAS!$G$5:$G$15,MATCH($E149&amp;"|",KC_CURVAS!$K$5:$K$15,0)),""))</f>
        <v/>
      </c>
      <c r="P149" s="11">
        <f>IFERROR(INDEX(KC_CURVAS!$H$5:$H$15,MATCH($E149&amp;"|"&amp;$G149,KC_CURVAS!$K$5:$K$15,0)),IFERROR(INDEX(KC_CURVAS!$H$5:$H$15,MATCH($E149&amp;"|",KC_CURVAS!$K$5:$K$15,0)),""))</f>
        <v/>
      </c>
      <c r="Q149" s="11">
        <f>IFERROR(INDEX(KC_CURVAS!$I$5:$I$15,MATCH($E149&amp;"|"&amp;$G149,KC_CURVAS!$K$5:$K$15,0)),IFERROR(INDEX(KC_CURVAS!$I$5:$I$15,MATCH($E149&amp;"|",KC_CURVAS!$K$5:$K$15,0)),""))</f>
        <v/>
      </c>
      <c r="R149" s="12">
        <f>IF(OR($J149="",$K149=""),"PENDENTE",IF($J149&lt;=$K149,$O149,IF($J149&lt;=$K149+$L149,$O149+($P149-$O149)*($J149-$K149)/$L149,IF($J149&lt;=$K149+$L149+$M149,$P149,IF($J149&lt;=$K149+$L149+$M149+$N149,$P149+($Q149-$P149)*($J149-($K149+$L149+$M149))/$N149,$Q149)))))</f>
        <v/>
      </c>
      <c r="S149" s="13">
        <f>ETO_SEM</f>
        <v/>
      </c>
      <c r="T149" s="14">
        <f>IF(OR($R149="",$R149="PENDENTE"),"",$R149*$S149)</f>
        <v/>
      </c>
      <c r="U149" s="13" t="n">
        <v>0</v>
      </c>
      <c r="V149" s="14">
        <f>IF($T149="","",MAX(0,$T149-N($U149)))</f>
        <v/>
      </c>
      <c r="W149" s="14">
        <f>IF($V149="","",$V149/EF_APLIC)</f>
        <v/>
      </c>
      <c r="X149" s="15" t="n">
        <v>120</v>
      </c>
      <c r="Y149" s="16">
        <f>IF(OR($W149="",$X149=""),"",$W149*$X149*10)</f>
        <v/>
      </c>
      <c r="Z149" s="17">
        <f>IFERROR(INDEX('PARAMETROS'!$B$16:$B$19,MATCH($D149,'PARAMETROS'!$A$16:$A$19,0)),"")</f>
        <v/>
      </c>
      <c r="AA149" s="16">
        <f>IF(OR($Y149="",$Z149=""),"",$Y149*$Z149)</f>
        <v/>
      </c>
      <c r="AB149" s="18">
        <f>IF($R149="PENDENTE","Definir classe/Kc",IF($W149="","-",IF($W149&gt;0,"Irrigar","Nao irrigar")))</f>
        <v/>
      </c>
      <c r="AC149" s="18">
        <f>IF(OR($W149="",$W149=0),"-",IF($W149&gt;=META_SEM,"Alta",IF($W149&gt;=META_SEM*FRAC_ACOMP,"Media","Baixa")))</f>
        <v/>
      </c>
      <c r="AD149" s="19" t="inlineStr"/>
    </row>
    <row r="150">
      <c r="A150" s="5" t="inlineStr">
        <is>
          <t>T53</t>
        </is>
      </c>
      <c r="B150" s="5" t="inlineStr">
        <is>
          <t>KARITEL</t>
        </is>
      </c>
      <c r="C150" s="5" t="inlineStr"/>
      <c r="D150" s="5" t="inlineStr">
        <is>
          <t>KM2</t>
        </is>
      </c>
      <c r="E150" s="5" t="inlineStr">
        <is>
          <t>SOJA</t>
        </is>
      </c>
      <c r="F150" s="6" t="inlineStr">
        <is>
          <t>CZ 48B18 IPRO</t>
        </is>
      </c>
      <c r="G150" s="7" t="inlineStr">
        <is>
          <t>MÉDIA</t>
        </is>
      </c>
      <c r="H150" s="8" t="n">
        <v>46317</v>
      </c>
      <c r="I150" s="9">
        <f>IF($H150="","",DATA_REF-$H150)</f>
        <v/>
      </c>
      <c r="J150" s="9">
        <f>IF($I150="","",MAX(0,$I150-'PARAMETROS'!$B$12))</f>
        <v/>
      </c>
      <c r="K150" s="10">
        <f>IFERROR(INDEX(KC_CURVAS!$C$5:$C$15,MATCH($E150&amp;"|"&amp;$G150,KC_CURVAS!$K$5:$K$15,0)),IFERROR(INDEX(KC_CURVAS!$C$5:$C$15,MATCH($E150&amp;"|",KC_CURVAS!$K$5:$K$15,0)),""))</f>
        <v/>
      </c>
      <c r="L150" s="10">
        <f>IFERROR(INDEX(KC_CURVAS!$D$5:$D$15,MATCH($E150&amp;"|"&amp;$G150,KC_CURVAS!$K$5:$K$15,0)),IFERROR(INDEX(KC_CURVAS!$D$5:$D$15,MATCH($E150&amp;"|",KC_CURVAS!$K$5:$K$15,0)),""))</f>
        <v/>
      </c>
      <c r="M150" s="10">
        <f>IFERROR(INDEX(KC_CURVAS!$E$5:$E$15,MATCH($E150&amp;"|"&amp;$G150,KC_CURVAS!$K$5:$K$15,0)),IFERROR(INDEX(KC_CURVAS!$E$5:$E$15,MATCH($E150&amp;"|",KC_CURVAS!$K$5:$K$15,0)),""))</f>
        <v/>
      </c>
      <c r="N150" s="10">
        <f>IFERROR(INDEX(KC_CURVAS!$F$5:$F$15,MATCH($E150&amp;"|"&amp;$G150,KC_CURVAS!$K$5:$K$15,0)),IFERROR(INDEX(KC_CURVAS!$F$5:$F$15,MATCH($E150&amp;"|",KC_CURVAS!$K$5:$K$15,0)),""))</f>
        <v/>
      </c>
      <c r="O150" s="11">
        <f>IFERROR(INDEX(KC_CURVAS!$G$5:$G$15,MATCH($E150&amp;"|"&amp;$G150,KC_CURVAS!$K$5:$K$15,0)),IFERROR(INDEX(KC_CURVAS!$G$5:$G$15,MATCH($E150&amp;"|",KC_CURVAS!$K$5:$K$15,0)),""))</f>
        <v/>
      </c>
      <c r="P150" s="11">
        <f>IFERROR(INDEX(KC_CURVAS!$H$5:$H$15,MATCH($E150&amp;"|"&amp;$G150,KC_CURVAS!$K$5:$K$15,0)),IFERROR(INDEX(KC_CURVAS!$H$5:$H$15,MATCH($E150&amp;"|",KC_CURVAS!$K$5:$K$15,0)),""))</f>
        <v/>
      </c>
      <c r="Q150" s="11">
        <f>IFERROR(INDEX(KC_CURVAS!$I$5:$I$15,MATCH($E150&amp;"|"&amp;$G150,KC_CURVAS!$K$5:$K$15,0)),IFERROR(INDEX(KC_CURVAS!$I$5:$I$15,MATCH($E150&amp;"|",KC_CURVAS!$K$5:$K$15,0)),""))</f>
        <v/>
      </c>
      <c r="R150" s="12">
        <f>IF(OR($J150="",$K150=""),"PENDENTE",IF($J150&lt;=$K150,$O150,IF($J150&lt;=$K150+$L150,$O150+($P150-$O150)*($J150-$K150)/$L150,IF($J150&lt;=$K150+$L150+$M150,$P150,IF($J150&lt;=$K150+$L150+$M150+$N150,$P150+($Q150-$P150)*($J150-($K150+$L150+$M150))/$N150,$Q150)))))</f>
        <v/>
      </c>
      <c r="S150" s="13">
        <f>ETO_SEM</f>
        <v/>
      </c>
      <c r="T150" s="14">
        <f>IF(OR($R150="",$R150="PENDENTE"),"",$R150*$S150)</f>
        <v/>
      </c>
      <c r="U150" s="13" t="n">
        <v>0</v>
      </c>
      <c r="V150" s="14">
        <f>IF($T150="","",MAX(0,$T150-N($U150)))</f>
        <v/>
      </c>
      <c r="W150" s="14">
        <f>IF($V150="","",$V150/EF_APLIC)</f>
        <v/>
      </c>
      <c r="X150" s="15" t="n">
        <v>75</v>
      </c>
      <c r="Y150" s="16">
        <f>IF(OR($W150="",$X150=""),"",$W150*$X150*10)</f>
        <v/>
      </c>
      <c r="Z150" s="17">
        <f>IFERROR(INDEX('PARAMETROS'!$B$16:$B$19,MATCH($D150,'PARAMETROS'!$A$16:$A$19,0)),"")</f>
        <v/>
      </c>
      <c r="AA150" s="16">
        <f>IF(OR($Y150="",$Z150=""),"",$Y150*$Z150)</f>
        <v/>
      </c>
      <c r="AB150" s="18">
        <f>IF($R150="PENDENTE","Definir classe/Kc",IF($W150="","-",IF($W150&gt;0,"Irrigar","Nao irrigar")))</f>
        <v/>
      </c>
      <c r="AC150" s="18">
        <f>IF(OR($W150="",$W150=0),"-",IF($W150&gt;=META_SEM,"Alta",IF($W150&gt;=META_SEM*FRAC_ACOMP,"Media","Baixa")))</f>
        <v/>
      </c>
      <c r="AD150" s="19" t="inlineStr"/>
    </row>
    <row r="151">
      <c r="A151" s="5" t="inlineStr">
        <is>
          <t>T55</t>
        </is>
      </c>
      <c r="B151" s="5" t="inlineStr">
        <is>
          <t>KARITEL</t>
        </is>
      </c>
      <c r="C151" s="5" t="inlineStr"/>
      <c r="D151" s="5" t="inlineStr">
        <is>
          <t>KM2</t>
        </is>
      </c>
      <c r="E151" s="5" t="inlineStr">
        <is>
          <t>SOJA</t>
        </is>
      </c>
      <c r="F151" s="6" t="inlineStr">
        <is>
          <t>CZ 48B18 IPRO</t>
        </is>
      </c>
      <c r="G151" s="7" t="inlineStr">
        <is>
          <t>MÉDIA</t>
        </is>
      </c>
      <c r="H151" s="8" t="n">
        <v>46318</v>
      </c>
      <c r="I151" s="9">
        <f>IF($H151="","",DATA_REF-$H151)</f>
        <v/>
      </c>
      <c r="J151" s="9">
        <f>IF($I151="","",MAX(0,$I151-'PARAMETROS'!$B$12))</f>
        <v/>
      </c>
      <c r="K151" s="10">
        <f>IFERROR(INDEX(KC_CURVAS!$C$5:$C$15,MATCH($E151&amp;"|"&amp;$G151,KC_CURVAS!$K$5:$K$15,0)),IFERROR(INDEX(KC_CURVAS!$C$5:$C$15,MATCH($E151&amp;"|",KC_CURVAS!$K$5:$K$15,0)),""))</f>
        <v/>
      </c>
      <c r="L151" s="10">
        <f>IFERROR(INDEX(KC_CURVAS!$D$5:$D$15,MATCH($E151&amp;"|"&amp;$G151,KC_CURVAS!$K$5:$K$15,0)),IFERROR(INDEX(KC_CURVAS!$D$5:$D$15,MATCH($E151&amp;"|",KC_CURVAS!$K$5:$K$15,0)),""))</f>
        <v/>
      </c>
      <c r="M151" s="10">
        <f>IFERROR(INDEX(KC_CURVAS!$E$5:$E$15,MATCH($E151&amp;"|"&amp;$G151,KC_CURVAS!$K$5:$K$15,0)),IFERROR(INDEX(KC_CURVAS!$E$5:$E$15,MATCH($E151&amp;"|",KC_CURVAS!$K$5:$K$15,0)),""))</f>
        <v/>
      </c>
      <c r="N151" s="10">
        <f>IFERROR(INDEX(KC_CURVAS!$F$5:$F$15,MATCH($E151&amp;"|"&amp;$G151,KC_CURVAS!$K$5:$K$15,0)),IFERROR(INDEX(KC_CURVAS!$F$5:$F$15,MATCH($E151&amp;"|",KC_CURVAS!$K$5:$K$15,0)),""))</f>
        <v/>
      </c>
      <c r="O151" s="11">
        <f>IFERROR(INDEX(KC_CURVAS!$G$5:$G$15,MATCH($E151&amp;"|"&amp;$G151,KC_CURVAS!$K$5:$K$15,0)),IFERROR(INDEX(KC_CURVAS!$G$5:$G$15,MATCH($E151&amp;"|",KC_CURVAS!$K$5:$K$15,0)),""))</f>
        <v/>
      </c>
      <c r="P151" s="11">
        <f>IFERROR(INDEX(KC_CURVAS!$H$5:$H$15,MATCH($E151&amp;"|"&amp;$G151,KC_CURVAS!$K$5:$K$15,0)),IFERROR(INDEX(KC_CURVAS!$H$5:$H$15,MATCH($E151&amp;"|",KC_CURVAS!$K$5:$K$15,0)),""))</f>
        <v/>
      </c>
      <c r="Q151" s="11">
        <f>IFERROR(INDEX(KC_CURVAS!$I$5:$I$15,MATCH($E151&amp;"|"&amp;$G151,KC_CURVAS!$K$5:$K$15,0)),IFERROR(INDEX(KC_CURVAS!$I$5:$I$15,MATCH($E151&amp;"|",KC_CURVAS!$K$5:$K$15,0)),""))</f>
        <v/>
      </c>
      <c r="R151" s="12">
        <f>IF(OR($J151="",$K151=""),"PENDENTE",IF($J151&lt;=$K151,$O151,IF($J151&lt;=$K151+$L151,$O151+($P151-$O151)*($J151-$K151)/$L151,IF($J151&lt;=$K151+$L151+$M151,$P151,IF($J151&lt;=$K151+$L151+$M151+$N151,$P151+($Q151-$P151)*($J151-($K151+$L151+$M151))/$N151,$Q151)))))</f>
        <v/>
      </c>
      <c r="S151" s="13">
        <f>ETO_SEM</f>
        <v/>
      </c>
      <c r="T151" s="14">
        <f>IF(OR($R151="",$R151="PENDENTE"),"",$R151*$S151)</f>
        <v/>
      </c>
      <c r="U151" s="13" t="n">
        <v>0</v>
      </c>
      <c r="V151" s="14">
        <f>IF($T151="","",MAX(0,$T151-N($U151)))</f>
        <v/>
      </c>
      <c r="W151" s="14">
        <f>IF($V151="","",$V151/EF_APLIC)</f>
        <v/>
      </c>
      <c r="X151" s="15" t="n">
        <v>150</v>
      </c>
      <c r="Y151" s="16">
        <f>IF(OR($W151="",$X151=""),"",$W151*$X151*10)</f>
        <v/>
      </c>
      <c r="Z151" s="17">
        <f>IFERROR(INDEX('PARAMETROS'!$B$16:$B$19,MATCH($D151,'PARAMETROS'!$A$16:$A$19,0)),"")</f>
        <v/>
      </c>
      <c r="AA151" s="16">
        <f>IF(OR($Y151="",$Z151=""),"",$Y151*$Z151)</f>
        <v/>
      </c>
      <c r="AB151" s="18">
        <f>IF($R151="PENDENTE","Definir classe/Kc",IF($W151="","-",IF($W151&gt;0,"Irrigar","Nao irrigar")))</f>
        <v/>
      </c>
      <c r="AC151" s="18">
        <f>IF(OR($W151="",$W151=0),"-",IF($W151&gt;=META_SEM,"Alta",IF($W151&gt;=META_SEM*FRAC_ACOMP,"Media","Baixa")))</f>
        <v/>
      </c>
      <c r="AD151" s="19" t="inlineStr"/>
    </row>
    <row r="152">
      <c r="A152" s="5" t="inlineStr">
        <is>
          <t>T14</t>
        </is>
      </c>
      <c r="B152" s="5" t="inlineStr">
        <is>
          <t>KARITEL</t>
        </is>
      </c>
      <c r="C152" s="5" t="inlineStr"/>
      <c r="D152" s="5" t="inlineStr">
        <is>
          <t>KM1</t>
        </is>
      </c>
      <c r="E152" s="5" t="inlineStr">
        <is>
          <t>SOJA</t>
        </is>
      </c>
      <c r="F152" s="6" t="inlineStr">
        <is>
          <t>COMBATE IPRO</t>
        </is>
      </c>
      <c r="G152" s="7" t="inlineStr">
        <is>
          <t>PRECOCE</t>
        </is>
      </c>
      <c r="H152" s="8" t="n">
        <v>46319</v>
      </c>
      <c r="I152" s="9">
        <f>IF($H152="","",DATA_REF-$H152)</f>
        <v/>
      </c>
      <c r="J152" s="9">
        <f>IF($I152="","",MAX(0,$I152-'PARAMETROS'!$B$12))</f>
        <v/>
      </c>
      <c r="K152" s="10">
        <f>IFERROR(INDEX(KC_CURVAS!$C$5:$C$15,MATCH($E152&amp;"|"&amp;$G152,KC_CURVAS!$K$5:$K$15,0)),IFERROR(INDEX(KC_CURVAS!$C$5:$C$15,MATCH($E152&amp;"|",KC_CURVAS!$K$5:$K$15,0)),""))</f>
        <v/>
      </c>
      <c r="L152" s="10">
        <f>IFERROR(INDEX(KC_CURVAS!$D$5:$D$15,MATCH($E152&amp;"|"&amp;$G152,KC_CURVAS!$K$5:$K$15,0)),IFERROR(INDEX(KC_CURVAS!$D$5:$D$15,MATCH($E152&amp;"|",KC_CURVAS!$K$5:$K$15,0)),""))</f>
        <v/>
      </c>
      <c r="M152" s="10">
        <f>IFERROR(INDEX(KC_CURVAS!$E$5:$E$15,MATCH($E152&amp;"|"&amp;$G152,KC_CURVAS!$K$5:$K$15,0)),IFERROR(INDEX(KC_CURVAS!$E$5:$E$15,MATCH($E152&amp;"|",KC_CURVAS!$K$5:$K$15,0)),""))</f>
        <v/>
      </c>
      <c r="N152" s="10">
        <f>IFERROR(INDEX(KC_CURVAS!$F$5:$F$15,MATCH($E152&amp;"|"&amp;$G152,KC_CURVAS!$K$5:$K$15,0)),IFERROR(INDEX(KC_CURVAS!$F$5:$F$15,MATCH($E152&amp;"|",KC_CURVAS!$K$5:$K$15,0)),""))</f>
        <v/>
      </c>
      <c r="O152" s="11">
        <f>IFERROR(INDEX(KC_CURVAS!$G$5:$G$15,MATCH($E152&amp;"|"&amp;$G152,KC_CURVAS!$K$5:$K$15,0)),IFERROR(INDEX(KC_CURVAS!$G$5:$G$15,MATCH($E152&amp;"|",KC_CURVAS!$K$5:$K$15,0)),""))</f>
        <v/>
      </c>
      <c r="P152" s="11">
        <f>IFERROR(INDEX(KC_CURVAS!$H$5:$H$15,MATCH($E152&amp;"|"&amp;$G152,KC_CURVAS!$K$5:$K$15,0)),IFERROR(INDEX(KC_CURVAS!$H$5:$H$15,MATCH($E152&amp;"|",KC_CURVAS!$K$5:$K$15,0)),""))</f>
        <v/>
      </c>
      <c r="Q152" s="11">
        <f>IFERROR(INDEX(KC_CURVAS!$I$5:$I$15,MATCH($E152&amp;"|"&amp;$G152,KC_CURVAS!$K$5:$K$15,0)),IFERROR(INDEX(KC_CURVAS!$I$5:$I$15,MATCH($E152&amp;"|",KC_CURVAS!$K$5:$K$15,0)),""))</f>
        <v/>
      </c>
      <c r="R152" s="12">
        <f>IF(OR($J152="",$K152=""),"PENDENTE",IF($J152&lt;=$K152,$O152,IF($J152&lt;=$K152+$L152,$O152+($P152-$O152)*($J152-$K152)/$L152,IF($J152&lt;=$K152+$L152+$M152,$P152,IF($J152&lt;=$K152+$L152+$M152+$N152,$P152+($Q152-$P152)*($J152-($K152+$L152+$M152))/$N152,$Q152)))))</f>
        <v/>
      </c>
      <c r="S152" s="13">
        <f>ETO_SEM</f>
        <v/>
      </c>
      <c r="T152" s="14">
        <f>IF(OR($R152="",$R152="PENDENTE"),"",$R152*$S152)</f>
        <v/>
      </c>
      <c r="U152" s="13" t="n">
        <v>0</v>
      </c>
      <c r="V152" s="14">
        <f>IF($T152="","",MAX(0,$T152-N($U152)))</f>
        <v/>
      </c>
      <c r="W152" s="14">
        <f>IF($V152="","",$V152/EF_APLIC)</f>
        <v/>
      </c>
      <c r="X152" s="15" t="n">
        <v>150</v>
      </c>
      <c r="Y152" s="16">
        <f>IF(OR($W152="",$X152=""),"",$W152*$X152*10)</f>
        <v/>
      </c>
      <c r="Z152" s="17">
        <f>IFERROR(INDEX('PARAMETROS'!$B$16:$B$19,MATCH($D152,'PARAMETROS'!$A$16:$A$19,0)),"")</f>
        <v/>
      </c>
      <c r="AA152" s="16">
        <f>IF(OR($Y152="",$Z152=""),"",$Y152*$Z152)</f>
        <v/>
      </c>
      <c r="AB152" s="18">
        <f>IF($R152="PENDENTE","Definir classe/Kc",IF($W152="","-",IF($W152&gt;0,"Irrigar","Nao irrigar")))</f>
        <v/>
      </c>
      <c r="AC152" s="18">
        <f>IF(OR($W152="",$W152=0),"-",IF($W152&gt;=META_SEM,"Alta",IF($W152&gt;=META_SEM*FRAC_ACOMP,"Media","Baixa")))</f>
        <v/>
      </c>
      <c r="AD152" s="19" t="inlineStr"/>
    </row>
    <row r="153">
      <c r="A153" s="5" t="inlineStr">
        <is>
          <t>TDRIPP</t>
        </is>
      </c>
      <c r="B153" s="5" t="inlineStr">
        <is>
          <t>KARITEL</t>
        </is>
      </c>
      <c r="C153" s="5" t="inlineStr"/>
      <c r="D153" s="5" t="inlineStr"/>
      <c r="E153" s="5" t="inlineStr">
        <is>
          <t>SOJA</t>
        </is>
      </c>
      <c r="F153" s="6" t="inlineStr">
        <is>
          <t>MURALHA IPRO</t>
        </is>
      </c>
      <c r="G153" s="7" t="inlineStr">
        <is>
          <t>MÉDIA</t>
        </is>
      </c>
      <c r="H153" s="8" t="n">
        <v>46327</v>
      </c>
      <c r="I153" s="9">
        <f>IF($H153="","",DATA_REF-$H153)</f>
        <v/>
      </c>
      <c r="J153" s="9">
        <f>IF($I153="","",MAX(0,$I153-'PARAMETROS'!$B$12))</f>
        <v/>
      </c>
      <c r="K153" s="10">
        <f>IFERROR(INDEX(KC_CURVAS!$C$5:$C$15,MATCH($E153&amp;"|"&amp;$G153,KC_CURVAS!$K$5:$K$15,0)),IFERROR(INDEX(KC_CURVAS!$C$5:$C$15,MATCH($E153&amp;"|",KC_CURVAS!$K$5:$K$15,0)),""))</f>
        <v/>
      </c>
      <c r="L153" s="10">
        <f>IFERROR(INDEX(KC_CURVAS!$D$5:$D$15,MATCH($E153&amp;"|"&amp;$G153,KC_CURVAS!$K$5:$K$15,0)),IFERROR(INDEX(KC_CURVAS!$D$5:$D$15,MATCH($E153&amp;"|",KC_CURVAS!$K$5:$K$15,0)),""))</f>
        <v/>
      </c>
      <c r="M153" s="10">
        <f>IFERROR(INDEX(KC_CURVAS!$E$5:$E$15,MATCH($E153&amp;"|"&amp;$G153,KC_CURVAS!$K$5:$K$15,0)),IFERROR(INDEX(KC_CURVAS!$E$5:$E$15,MATCH($E153&amp;"|",KC_CURVAS!$K$5:$K$15,0)),""))</f>
        <v/>
      </c>
      <c r="N153" s="10">
        <f>IFERROR(INDEX(KC_CURVAS!$F$5:$F$15,MATCH($E153&amp;"|"&amp;$G153,KC_CURVAS!$K$5:$K$15,0)),IFERROR(INDEX(KC_CURVAS!$F$5:$F$15,MATCH($E153&amp;"|",KC_CURVAS!$K$5:$K$15,0)),""))</f>
        <v/>
      </c>
      <c r="O153" s="11">
        <f>IFERROR(INDEX(KC_CURVAS!$G$5:$G$15,MATCH($E153&amp;"|"&amp;$G153,KC_CURVAS!$K$5:$K$15,0)),IFERROR(INDEX(KC_CURVAS!$G$5:$G$15,MATCH($E153&amp;"|",KC_CURVAS!$K$5:$K$15,0)),""))</f>
        <v/>
      </c>
      <c r="P153" s="11">
        <f>IFERROR(INDEX(KC_CURVAS!$H$5:$H$15,MATCH($E153&amp;"|"&amp;$G153,KC_CURVAS!$K$5:$K$15,0)),IFERROR(INDEX(KC_CURVAS!$H$5:$H$15,MATCH($E153&amp;"|",KC_CURVAS!$K$5:$K$15,0)),""))</f>
        <v/>
      </c>
      <c r="Q153" s="11">
        <f>IFERROR(INDEX(KC_CURVAS!$I$5:$I$15,MATCH($E153&amp;"|"&amp;$G153,KC_CURVAS!$K$5:$K$15,0)),IFERROR(INDEX(KC_CURVAS!$I$5:$I$15,MATCH($E153&amp;"|",KC_CURVAS!$K$5:$K$15,0)),""))</f>
        <v/>
      </c>
      <c r="R153" s="12">
        <f>IF(OR($J153="",$K153=""),"PENDENTE",IF($J153&lt;=$K153,$O153,IF($J153&lt;=$K153+$L153,$O153+($P153-$O153)*($J153-$K153)/$L153,IF($J153&lt;=$K153+$L153+$M153,$P153,IF($J153&lt;=$K153+$L153+$M153+$N153,$P153+($Q153-$P153)*($J153-($K153+$L153+$M153))/$N153,$Q153)))))</f>
        <v/>
      </c>
      <c r="S153" s="13">
        <f>ETO_SEM</f>
        <v/>
      </c>
      <c r="T153" s="14">
        <f>IF(OR($R153="",$R153="PENDENTE"),"",$R153*$S153)</f>
        <v/>
      </c>
      <c r="U153" s="13" t="n">
        <v>0</v>
      </c>
      <c r="V153" s="14">
        <f>IF($T153="","",MAX(0,$T153-N($U153)))</f>
        <v/>
      </c>
      <c r="W153" s="14">
        <f>IF($V153="","",$V153/EF_APLIC)</f>
        <v/>
      </c>
      <c r="X153" s="15" t="n">
        <v>40</v>
      </c>
      <c r="Y153" s="16">
        <f>IF(OR($W153="",$X153=""),"",$W153*$X153*10)</f>
        <v/>
      </c>
      <c r="Z153" s="17">
        <f>IFERROR(INDEX('PARAMETROS'!$B$16:$B$19,MATCH($D153,'PARAMETROS'!$A$16:$A$19,0)),"")</f>
        <v/>
      </c>
      <c r="AA153" s="16">
        <f>IF(OR($Y153="",$Z153=""),"",$Y153*$Z153)</f>
        <v/>
      </c>
      <c r="AB153" s="18">
        <f>IF($R153="PENDENTE","Definir classe/Kc",IF($W153="","-",IF($W153&gt;0,"Irrigar","Nao irrigar")))</f>
        <v/>
      </c>
      <c r="AC153" s="18">
        <f>IF(OR($W153="",$W153=0),"-",IF($W153&gt;=META_SEM,"Alta",IF($W153&gt;=META_SEM*FRAC_ACOMP,"Media","Baixa")))</f>
        <v/>
      </c>
      <c r="AD153" s="19" t="inlineStr"/>
    </row>
    <row r="154">
      <c r="A154" s="5" t="inlineStr">
        <is>
          <t>TK01</t>
        </is>
      </c>
      <c r="B154" s="5" t="inlineStr">
        <is>
          <t>KARITEL</t>
        </is>
      </c>
      <c r="C154" s="5" t="inlineStr"/>
      <c r="D154" s="5" t="inlineStr">
        <is>
          <t>KM1</t>
        </is>
      </c>
      <c r="E154" s="5" t="inlineStr">
        <is>
          <t>SOJA</t>
        </is>
      </c>
      <c r="F154" s="6" t="inlineStr">
        <is>
          <t>BMX DOMINIO IPRO</t>
        </is>
      </c>
      <c r="G154" s="7" t="inlineStr">
        <is>
          <t>MÉDIA</t>
        </is>
      </c>
      <c r="H154" s="8" t="n">
        <v>46327</v>
      </c>
      <c r="I154" s="9">
        <f>IF($H154="","",DATA_REF-$H154)</f>
        <v/>
      </c>
      <c r="J154" s="9">
        <f>IF($I154="","",MAX(0,$I154-'PARAMETROS'!$B$12))</f>
        <v/>
      </c>
      <c r="K154" s="10">
        <f>IFERROR(INDEX(KC_CURVAS!$C$5:$C$15,MATCH($E154&amp;"|"&amp;$G154,KC_CURVAS!$K$5:$K$15,0)),IFERROR(INDEX(KC_CURVAS!$C$5:$C$15,MATCH($E154&amp;"|",KC_CURVAS!$K$5:$K$15,0)),""))</f>
        <v/>
      </c>
      <c r="L154" s="10">
        <f>IFERROR(INDEX(KC_CURVAS!$D$5:$D$15,MATCH($E154&amp;"|"&amp;$G154,KC_CURVAS!$K$5:$K$15,0)),IFERROR(INDEX(KC_CURVAS!$D$5:$D$15,MATCH($E154&amp;"|",KC_CURVAS!$K$5:$K$15,0)),""))</f>
        <v/>
      </c>
      <c r="M154" s="10">
        <f>IFERROR(INDEX(KC_CURVAS!$E$5:$E$15,MATCH($E154&amp;"|"&amp;$G154,KC_CURVAS!$K$5:$K$15,0)),IFERROR(INDEX(KC_CURVAS!$E$5:$E$15,MATCH($E154&amp;"|",KC_CURVAS!$K$5:$K$15,0)),""))</f>
        <v/>
      </c>
      <c r="N154" s="10">
        <f>IFERROR(INDEX(KC_CURVAS!$F$5:$F$15,MATCH($E154&amp;"|"&amp;$G154,KC_CURVAS!$K$5:$K$15,0)),IFERROR(INDEX(KC_CURVAS!$F$5:$F$15,MATCH($E154&amp;"|",KC_CURVAS!$K$5:$K$15,0)),""))</f>
        <v/>
      </c>
      <c r="O154" s="11">
        <f>IFERROR(INDEX(KC_CURVAS!$G$5:$G$15,MATCH($E154&amp;"|"&amp;$G154,KC_CURVAS!$K$5:$K$15,0)),IFERROR(INDEX(KC_CURVAS!$G$5:$G$15,MATCH($E154&amp;"|",KC_CURVAS!$K$5:$K$15,0)),""))</f>
        <v/>
      </c>
      <c r="P154" s="11">
        <f>IFERROR(INDEX(KC_CURVAS!$H$5:$H$15,MATCH($E154&amp;"|"&amp;$G154,KC_CURVAS!$K$5:$K$15,0)),IFERROR(INDEX(KC_CURVAS!$H$5:$H$15,MATCH($E154&amp;"|",KC_CURVAS!$K$5:$K$15,0)),""))</f>
        <v/>
      </c>
      <c r="Q154" s="11">
        <f>IFERROR(INDEX(KC_CURVAS!$I$5:$I$15,MATCH($E154&amp;"|"&amp;$G154,KC_CURVAS!$K$5:$K$15,0)),IFERROR(INDEX(KC_CURVAS!$I$5:$I$15,MATCH($E154&amp;"|",KC_CURVAS!$K$5:$K$15,0)),""))</f>
        <v/>
      </c>
      <c r="R154" s="12">
        <f>IF(OR($J154="",$K154=""),"PENDENTE",IF($J154&lt;=$K154,$O154,IF($J154&lt;=$K154+$L154,$O154+($P154-$O154)*($J154-$K154)/$L154,IF($J154&lt;=$K154+$L154+$M154,$P154,IF($J154&lt;=$K154+$L154+$M154+$N154,$P154+($Q154-$P154)*($J154-($K154+$L154+$M154))/$N154,$Q154)))))</f>
        <v/>
      </c>
      <c r="S154" s="13">
        <f>ETO_SEM</f>
        <v/>
      </c>
      <c r="T154" s="14">
        <f>IF(OR($R154="",$R154="PENDENTE"),"",$R154*$S154)</f>
        <v/>
      </c>
      <c r="U154" s="13" t="n">
        <v>0</v>
      </c>
      <c r="V154" s="14">
        <f>IF($T154="","",MAX(0,$T154-N($U154)))</f>
        <v/>
      </c>
      <c r="W154" s="14">
        <f>IF($V154="","",$V154/EF_APLIC)</f>
        <v/>
      </c>
      <c r="X154" s="15" t="n">
        <v>70</v>
      </c>
      <c r="Y154" s="16">
        <f>IF(OR($W154="",$X154=""),"",$W154*$X154*10)</f>
        <v/>
      </c>
      <c r="Z154" s="17">
        <f>IFERROR(INDEX('PARAMETROS'!$B$16:$B$19,MATCH($D154,'PARAMETROS'!$A$16:$A$19,0)),"")</f>
        <v/>
      </c>
      <c r="AA154" s="16">
        <f>IF(OR($Y154="",$Z154=""),"",$Y154*$Z154)</f>
        <v/>
      </c>
      <c r="AB154" s="18">
        <f>IF($R154="PENDENTE","Definir classe/Kc",IF($W154="","-",IF($W154&gt;0,"Irrigar","Nao irrigar")))</f>
        <v/>
      </c>
      <c r="AC154" s="18">
        <f>IF(OR($W154="",$W154=0),"-",IF($W154&gt;=META_SEM,"Alta",IF($W154&gt;=META_SEM*FRAC_ACOMP,"Media","Baixa")))</f>
        <v/>
      </c>
      <c r="AD154" s="19" t="inlineStr"/>
    </row>
    <row r="155">
      <c r="A155" s="5" t="inlineStr">
        <is>
          <t>TK02</t>
        </is>
      </c>
      <c r="B155" s="5" t="inlineStr">
        <is>
          <t>KARITEL</t>
        </is>
      </c>
      <c r="C155" s="5" t="inlineStr"/>
      <c r="D155" s="5" t="inlineStr">
        <is>
          <t>KM1</t>
        </is>
      </c>
      <c r="E155" s="5" t="inlineStr">
        <is>
          <t>SOJA</t>
        </is>
      </c>
      <c r="F155" s="6" t="inlineStr">
        <is>
          <t>BMX DOMINIO IPRO</t>
        </is>
      </c>
      <c r="G155" s="7" t="inlineStr">
        <is>
          <t>MÉDIA</t>
        </is>
      </c>
      <c r="H155" s="8" t="n">
        <v>46327</v>
      </c>
      <c r="I155" s="9">
        <f>IF($H155="","",DATA_REF-$H155)</f>
        <v/>
      </c>
      <c r="J155" s="9">
        <f>IF($I155="","",MAX(0,$I155-'PARAMETROS'!$B$12))</f>
        <v/>
      </c>
      <c r="K155" s="10">
        <f>IFERROR(INDEX(KC_CURVAS!$C$5:$C$15,MATCH($E155&amp;"|"&amp;$G155,KC_CURVAS!$K$5:$K$15,0)),IFERROR(INDEX(KC_CURVAS!$C$5:$C$15,MATCH($E155&amp;"|",KC_CURVAS!$K$5:$K$15,0)),""))</f>
        <v/>
      </c>
      <c r="L155" s="10">
        <f>IFERROR(INDEX(KC_CURVAS!$D$5:$D$15,MATCH($E155&amp;"|"&amp;$G155,KC_CURVAS!$K$5:$K$15,0)),IFERROR(INDEX(KC_CURVAS!$D$5:$D$15,MATCH($E155&amp;"|",KC_CURVAS!$K$5:$K$15,0)),""))</f>
        <v/>
      </c>
      <c r="M155" s="10">
        <f>IFERROR(INDEX(KC_CURVAS!$E$5:$E$15,MATCH($E155&amp;"|"&amp;$G155,KC_CURVAS!$K$5:$K$15,0)),IFERROR(INDEX(KC_CURVAS!$E$5:$E$15,MATCH($E155&amp;"|",KC_CURVAS!$K$5:$K$15,0)),""))</f>
        <v/>
      </c>
      <c r="N155" s="10">
        <f>IFERROR(INDEX(KC_CURVAS!$F$5:$F$15,MATCH($E155&amp;"|"&amp;$G155,KC_CURVAS!$K$5:$K$15,0)),IFERROR(INDEX(KC_CURVAS!$F$5:$F$15,MATCH($E155&amp;"|",KC_CURVAS!$K$5:$K$15,0)),""))</f>
        <v/>
      </c>
      <c r="O155" s="11">
        <f>IFERROR(INDEX(KC_CURVAS!$G$5:$G$15,MATCH($E155&amp;"|"&amp;$G155,KC_CURVAS!$K$5:$K$15,0)),IFERROR(INDEX(KC_CURVAS!$G$5:$G$15,MATCH($E155&amp;"|",KC_CURVAS!$K$5:$K$15,0)),""))</f>
        <v/>
      </c>
      <c r="P155" s="11">
        <f>IFERROR(INDEX(KC_CURVAS!$H$5:$H$15,MATCH($E155&amp;"|"&amp;$G155,KC_CURVAS!$K$5:$K$15,0)),IFERROR(INDEX(KC_CURVAS!$H$5:$H$15,MATCH($E155&amp;"|",KC_CURVAS!$K$5:$K$15,0)),""))</f>
        <v/>
      </c>
      <c r="Q155" s="11">
        <f>IFERROR(INDEX(KC_CURVAS!$I$5:$I$15,MATCH($E155&amp;"|"&amp;$G155,KC_CURVAS!$K$5:$K$15,0)),IFERROR(INDEX(KC_CURVAS!$I$5:$I$15,MATCH($E155&amp;"|",KC_CURVAS!$K$5:$K$15,0)),""))</f>
        <v/>
      </c>
      <c r="R155" s="12">
        <f>IF(OR($J155="",$K155=""),"PENDENTE",IF($J155&lt;=$K155,$O155,IF($J155&lt;=$K155+$L155,$O155+($P155-$O155)*($J155-$K155)/$L155,IF($J155&lt;=$K155+$L155+$M155,$P155,IF($J155&lt;=$K155+$L155+$M155+$N155,$P155+($Q155-$P155)*($J155-($K155+$L155+$M155))/$N155,$Q155)))))</f>
        <v/>
      </c>
      <c r="S155" s="13">
        <f>ETO_SEM</f>
        <v/>
      </c>
      <c r="T155" s="14">
        <f>IF(OR($R155="",$R155="PENDENTE"),"",$R155*$S155)</f>
        <v/>
      </c>
      <c r="U155" s="13" t="n">
        <v>0</v>
      </c>
      <c r="V155" s="14">
        <f>IF($T155="","",MAX(0,$T155-N($U155)))</f>
        <v/>
      </c>
      <c r="W155" s="14">
        <f>IF($V155="","",$V155/EF_APLIC)</f>
        <v/>
      </c>
      <c r="X155" s="15" t="n">
        <v>134</v>
      </c>
      <c r="Y155" s="16">
        <f>IF(OR($W155="",$X155=""),"",$W155*$X155*10)</f>
        <v/>
      </c>
      <c r="Z155" s="17">
        <f>IFERROR(INDEX('PARAMETROS'!$B$16:$B$19,MATCH($D155,'PARAMETROS'!$A$16:$A$19,0)),"")</f>
        <v/>
      </c>
      <c r="AA155" s="16">
        <f>IF(OR($Y155="",$Z155=""),"",$Y155*$Z155)</f>
        <v/>
      </c>
      <c r="AB155" s="18">
        <f>IF($R155="PENDENTE","Definir classe/Kc",IF($W155="","-",IF($W155&gt;0,"Irrigar","Nao irrigar")))</f>
        <v/>
      </c>
      <c r="AC155" s="18">
        <f>IF(OR($W155="",$W155=0),"-",IF($W155&gt;=META_SEM,"Alta",IF($W155&gt;=META_SEM*FRAC_ACOMP,"Media","Baixa")))</f>
        <v/>
      </c>
      <c r="AD155" s="19" t="inlineStr"/>
    </row>
    <row r="156">
      <c r="A156" s="5" t="inlineStr">
        <is>
          <t>TK10</t>
        </is>
      </c>
      <c r="B156" s="5" t="inlineStr">
        <is>
          <t>KARITEL</t>
        </is>
      </c>
      <c r="C156" s="5" t="inlineStr"/>
      <c r="D156" s="5" t="inlineStr">
        <is>
          <t>KM1</t>
        </is>
      </c>
      <c r="E156" s="5" t="inlineStr">
        <is>
          <t>SOJA</t>
        </is>
      </c>
      <c r="F156" s="6" t="inlineStr">
        <is>
          <t>ATAQUE I2X</t>
        </is>
      </c>
      <c r="G156" s="7" t="inlineStr">
        <is>
          <t>TARDIA</t>
        </is>
      </c>
      <c r="H156" s="8" t="n">
        <v>46327</v>
      </c>
      <c r="I156" s="9">
        <f>IF($H156="","",DATA_REF-$H156)</f>
        <v/>
      </c>
      <c r="J156" s="9">
        <f>IF($I156="","",MAX(0,$I156-'PARAMETROS'!$B$12))</f>
        <v/>
      </c>
      <c r="K156" s="10">
        <f>IFERROR(INDEX(KC_CURVAS!$C$5:$C$15,MATCH($E156&amp;"|"&amp;$G156,KC_CURVAS!$K$5:$K$15,0)),IFERROR(INDEX(KC_CURVAS!$C$5:$C$15,MATCH($E156&amp;"|",KC_CURVAS!$K$5:$K$15,0)),""))</f>
        <v/>
      </c>
      <c r="L156" s="10">
        <f>IFERROR(INDEX(KC_CURVAS!$D$5:$D$15,MATCH($E156&amp;"|"&amp;$G156,KC_CURVAS!$K$5:$K$15,0)),IFERROR(INDEX(KC_CURVAS!$D$5:$D$15,MATCH($E156&amp;"|",KC_CURVAS!$K$5:$K$15,0)),""))</f>
        <v/>
      </c>
      <c r="M156" s="10">
        <f>IFERROR(INDEX(KC_CURVAS!$E$5:$E$15,MATCH($E156&amp;"|"&amp;$G156,KC_CURVAS!$K$5:$K$15,0)),IFERROR(INDEX(KC_CURVAS!$E$5:$E$15,MATCH($E156&amp;"|",KC_CURVAS!$K$5:$K$15,0)),""))</f>
        <v/>
      </c>
      <c r="N156" s="10">
        <f>IFERROR(INDEX(KC_CURVAS!$F$5:$F$15,MATCH($E156&amp;"|"&amp;$G156,KC_CURVAS!$K$5:$K$15,0)),IFERROR(INDEX(KC_CURVAS!$F$5:$F$15,MATCH($E156&amp;"|",KC_CURVAS!$K$5:$K$15,0)),""))</f>
        <v/>
      </c>
      <c r="O156" s="11">
        <f>IFERROR(INDEX(KC_CURVAS!$G$5:$G$15,MATCH($E156&amp;"|"&amp;$G156,KC_CURVAS!$K$5:$K$15,0)),IFERROR(INDEX(KC_CURVAS!$G$5:$G$15,MATCH($E156&amp;"|",KC_CURVAS!$K$5:$K$15,0)),""))</f>
        <v/>
      </c>
      <c r="P156" s="11">
        <f>IFERROR(INDEX(KC_CURVAS!$H$5:$H$15,MATCH($E156&amp;"|"&amp;$G156,KC_CURVAS!$K$5:$K$15,0)),IFERROR(INDEX(KC_CURVAS!$H$5:$H$15,MATCH($E156&amp;"|",KC_CURVAS!$K$5:$K$15,0)),""))</f>
        <v/>
      </c>
      <c r="Q156" s="11">
        <f>IFERROR(INDEX(KC_CURVAS!$I$5:$I$15,MATCH($E156&amp;"|"&amp;$G156,KC_CURVAS!$K$5:$K$15,0)),IFERROR(INDEX(KC_CURVAS!$I$5:$I$15,MATCH($E156&amp;"|",KC_CURVAS!$K$5:$K$15,0)),""))</f>
        <v/>
      </c>
      <c r="R156" s="12">
        <f>IF(OR($J156="",$K156=""),"PENDENTE",IF($J156&lt;=$K156,$O156,IF($J156&lt;=$K156+$L156,$O156+($P156-$O156)*($J156-$K156)/$L156,IF($J156&lt;=$K156+$L156+$M156,$P156,IF($J156&lt;=$K156+$L156+$M156+$N156,$P156+($Q156-$P156)*($J156-($K156+$L156+$M156))/$N156,$Q156)))))</f>
        <v/>
      </c>
      <c r="S156" s="13">
        <f>ETO_SEM</f>
        <v/>
      </c>
      <c r="T156" s="14">
        <f>IF(OR($R156="",$R156="PENDENTE"),"",$R156*$S156)</f>
        <v/>
      </c>
      <c r="U156" s="13" t="n">
        <v>0</v>
      </c>
      <c r="V156" s="14">
        <f>IF($T156="","",MAX(0,$T156-N($U156)))</f>
        <v/>
      </c>
      <c r="W156" s="14">
        <f>IF($V156="","",$V156/EF_APLIC)</f>
        <v/>
      </c>
      <c r="X156" s="15" t="n">
        <v>83</v>
      </c>
      <c r="Y156" s="16">
        <f>IF(OR($W156="",$X156=""),"",$W156*$X156*10)</f>
        <v/>
      </c>
      <c r="Z156" s="17">
        <f>IFERROR(INDEX('PARAMETROS'!$B$16:$B$19,MATCH($D156,'PARAMETROS'!$A$16:$A$19,0)),"")</f>
        <v/>
      </c>
      <c r="AA156" s="16">
        <f>IF(OR($Y156="",$Z156=""),"",$Y156*$Z156)</f>
        <v/>
      </c>
      <c r="AB156" s="18">
        <f>IF($R156="PENDENTE","Definir classe/Kc",IF($W156="","-",IF($W156&gt;0,"Irrigar","Nao irrigar")))</f>
        <v/>
      </c>
      <c r="AC156" s="18">
        <f>IF(OR($W156="",$W156=0),"-",IF($W156&gt;=META_SEM,"Alta",IF($W156&gt;=META_SEM*FRAC_ACOMP,"Media","Baixa")))</f>
        <v/>
      </c>
      <c r="AD156" s="19" t="inlineStr"/>
    </row>
    <row r="157">
      <c r="A157" s="5" t="inlineStr">
        <is>
          <t>TK10</t>
        </is>
      </c>
      <c r="B157" s="5" t="inlineStr">
        <is>
          <t>KARITEL</t>
        </is>
      </c>
      <c r="C157" s="5" t="inlineStr"/>
      <c r="D157" s="5" t="inlineStr">
        <is>
          <t>KM1</t>
        </is>
      </c>
      <c r="E157" s="5" t="inlineStr">
        <is>
          <t>SOJA</t>
        </is>
      </c>
      <c r="F157" s="6" t="inlineStr">
        <is>
          <t>ATAQUE I2X</t>
        </is>
      </c>
      <c r="G157" s="7" t="inlineStr">
        <is>
          <t>TARDIA</t>
        </is>
      </c>
      <c r="H157" s="8" t="n">
        <v>46327</v>
      </c>
      <c r="I157" s="9">
        <f>IF($H157="","",DATA_REF-$H157)</f>
        <v/>
      </c>
      <c r="J157" s="9">
        <f>IF($I157="","",MAX(0,$I157-'PARAMETROS'!$B$12))</f>
        <v/>
      </c>
      <c r="K157" s="10">
        <f>IFERROR(INDEX(KC_CURVAS!$C$5:$C$15,MATCH($E157&amp;"|"&amp;$G157,KC_CURVAS!$K$5:$K$15,0)),IFERROR(INDEX(KC_CURVAS!$C$5:$C$15,MATCH($E157&amp;"|",KC_CURVAS!$K$5:$K$15,0)),""))</f>
        <v/>
      </c>
      <c r="L157" s="10">
        <f>IFERROR(INDEX(KC_CURVAS!$D$5:$D$15,MATCH($E157&amp;"|"&amp;$G157,KC_CURVAS!$K$5:$K$15,0)),IFERROR(INDEX(KC_CURVAS!$D$5:$D$15,MATCH($E157&amp;"|",KC_CURVAS!$K$5:$K$15,0)),""))</f>
        <v/>
      </c>
      <c r="M157" s="10">
        <f>IFERROR(INDEX(KC_CURVAS!$E$5:$E$15,MATCH($E157&amp;"|"&amp;$G157,KC_CURVAS!$K$5:$K$15,0)),IFERROR(INDEX(KC_CURVAS!$E$5:$E$15,MATCH($E157&amp;"|",KC_CURVAS!$K$5:$K$15,0)),""))</f>
        <v/>
      </c>
      <c r="N157" s="10">
        <f>IFERROR(INDEX(KC_CURVAS!$F$5:$F$15,MATCH($E157&amp;"|"&amp;$G157,KC_CURVAS!$K$5:$K$15,0)),IFERROR(INDEX(KC_CURVAS!$F$5:$F$15,MATCH($E157&amp;"|",KC_CURVAS!$K$5:$K$15,0)),""))</f>
        <v/>
      </c>
      <c r="O157" s="11">
        <f>IFERROR(INDEX(KC_CURVAS!$G$5:$G$15,MATCH($E157&amp;"|"&amp;$G157,KC_CURVAS!$K$5:$K$15,0)),IFERROR(INDEX(KC_CURVAS!$G$5:$G$15,MATCH($E157&amp;"|",KC_CURVAS!$K$5:$K$15,0)),""))</f>
        <v/>
      </c>
      <c r="P157" s="11">
        <f>IFERROR(INDEX(KC_CURVAS!$H$5:$H$15,MATCH($E157&amp;"|"&amp;$G157,KC_CURVAS!$K$5:$K$15,0)),IFERROR(INDEX(KC_CURVAS!$H$5:$H$15,MATCH($E157&amp;"|",KC_CURVAS!$K$5:$K$15,0)),""))</f>
        <v/>
      </c>
      <c r="Q157" s="11">
        <f>IFERROR(INDEX(KC_CURVAS!$I$5:$I$15,MATCH($E157&amp;"|"&amp;$G157,KC_CURVAS!$K$5:$K$15,0)),IFERROR(INDEX(KC_CURVAS!$I$5:$I$15,MATCH($E157&amp;"|",KC_CURVAS!$K$5:$K$15,0)),""))</f>
        <v/>
      </c>
      <c r="R157" s="12">
        <f>IF(OR($J157="",$K157=""),"PENDENTE",IF($J157&lt;=$K157,$O157,IF($J157&lt;=$K157+$L157,$O157+($P157-$O157)*($J157-$K157)/$L157,IF($J157&lt;=$K157+$L157+$M157,$P157,IF($J157&lt;=$K157+$L157+$M157+$N157,$P157+($Q157-$P157)*($J157-($K157+$L157+$M157))/$N157,$Q157)))))</f>
        <v/>
      </c>
      <c r="S157" s="13">
        <f>ETO_SEM</f>
        <v/>
      </c>
      <c r="T157" s="14">
        <f>IF(OR($R157="",$R157="PENDENTE"),"",$R157*$S157)</f>
        <v/>
      </c>
      <c r="U157" s="13" t="n">
        <v>0</v>
      </c>
      <c r="V157" s="14">
        <f>IF($T157="","",MAX(0,$T157-N($U157)))</f>
        <v/>
      </c>
      <c r="W157" s="14">
        <f>IF($V157="","",$V157/EF_APLIC)</f>
        <v/>
      </c>
      <c r="X157" s="15" t="n">
        <v>13</v>
      </c>
      <c r="Y157" s="16">
        <f>IF(OR($W157="",$X157=""),"",$W157*$X157*10)</f>
        <v/>
      </c>
      <c r="Z157" s="17">
        <f>IFERROR(INDEX('PARAMETROS'!$B$16:$B$19,MATCH($D157,'PARAMETROS'!$A$16:$A$19,0)),"")</f>
        <v/>
      </c>
      <c r="AA157" s="16">
        <f>IF(OR($Y157="",$Z157=""),"",$Y157*$Z157)</f>
        <v/>
      </c>
      <c r="AB157" s="18">
        <f>IF($R157="PENDENTE","Definir classe/Kc",IF($W157="","-",IF($W157&gt;0,"Irrigar","Nao irrigar")))</f>
        <v/>
      </c>
      <c r="AC157" s="18">
        <f>IF(OR($W157="",$W157=0),"-",IF($W157&gt;=META_SEM,"Alta",IF($W157&gt;=META_SEM*FRAC_ACOMP,"Media","Baixa")))</f>
        <v/>
      </c>
      <c r="AD157" s="19" t="inlineStr"/>
    </row>
    <row r="158">
      <c r="A158" s="5" t="inlineStr">
        <is>
          <t>TK03</t>
        </is>
      </c>
      <c r="B158" s="5" t="inlineStr">
        <is>
          <t>KARITEL</t>
        </is>
      </c>
      <c r="C158" s="5" t="inlineStr"/>
      <c r="D158" s="5" t="inlineStr">
        <is>
          <t>KM1</t>
        </is>
      </c>
      <c r="E158" s="5" t="inlineStr">
        <is>
          <t>SOJA</t>
        </is>
      </c>
      <c r="F158" s="6" t="inlineStr">
        <is>
          <t>MURALHA IPRO</t>
        </is>
      </c>
      <c r="G158" s="7" t="inlineStr">
        <is>
          <t>MÉDIA</t>
        </is>
      </c>
      <c r="H158" s="8" t="n">
        <v>46328</v>
      </c>
      <c r="I158" s="9">
        <f>IF($H158="","",DATA_REF-$H158)</f>
        <v/>
      </c>
      <c r="J158" s="9">
        <f>IF($I158="","",MAX(0,$I158-'PARAMETROS'!$B$12))</f>
        <v/>
      </c>
      <c r="K158" s="10">
        <f>IFERROR(INDEX(KC_CURVAS!$C$5:$C$15,MATCH($E158&amp;"|"&amp;$G158,KC_CURVAS!$K$5:$K$15,0)),IFERROR(INDEX(KC_CURVAS!$C$5:$C$15,MATCH($E158&amp;"|",KC_CURVAS!$K$5:$K$15,0)),""))</f>
        <v/>
      </c>
      <c r="L158" s="10">
        <f>IFERROR(INDEX(KC_CURVAS!$D$5:$D$15,MATCH($E158&amp;"|"&amp;$G158,KC_CURVAS!$K$5:$K$15,0)),IFERROR(INDEX(KC_CURVAS!$D$5:$D$15,MATCH($E158&amp;"|",KC_CURVAS!$K$5:$K$15,0)),""))</f>
        <v/>
      </c>
      <c r="M158" s="10">
        <f>IFERROR(INDEX(KC_CURVAS!$E$5:$E$15,MATCH($E158&amp;"|"&amp;$G158,KC_CURVAS!$K$5:$K$15,0)),IFERROR(INDEX(KC_CURVAS!$E$5:$E$15,MATCH($E158&amp;"|",KC_CURVAS!$K$5:$K$15,0)),""))</f>
        <v/>
      </c>
      <c r="N158" s="10">
        <f>IFERROR(INDEX(KC_CURVAS!$F$5:$F$15,MATCH($E158&amp;"|"&amp;$G158,KC_CURVAS!$K$5:$K$15,0)),IFERROR(INDEX(KC_CURVAS!$F$5:$F$15,MATCH($E158&amp;"|",KC_CURVAS!$K$5:$K$15,0)),""))</f>
        <v/>
      </c>
      <c r="O158" s="11">
        <f>IFERROR(INDEX(KC_CURVAS!$G$5:$G$15,MATCH($E158&amp;"|"&amp;$G158,KC_CURVAS!$K$5:$K$15,0)),IFERROR(INDEX(KC_CURVAS!$G$5:$G$15,MATCH($E158&amp;"|",KC_CURVAS!$K$5:$K$15,0)),""))</f>
        <v/>
      </c>
      <c r="P158" s="11">
        <f>IFERROR(INDEX(KC_CURVAS!$H$5:$H$15,MATCH($E158&amp;"|"&amp;$G158,KC_CURVAS!$K$5:$K$15,0)),IFERROR(INDEX(KC_CURVAS!$H$5:$H$15,MATCH($E158&amp;"|",KC_CURVAS!$K$5:$K$15,0)),""))</f>
        <v/>
      </c>
      <c r="Q158" s="11">
        <f>IFERROR(INDEX(KC_CURVAS!$I$5:$I$15,MATCH($E158&amp;"|"&amp;$G158,KC_CURVAS!$K$5:$K$15,0)),IFERROR(INDEX(KC_CURVAS!$I$5:$I$15,MATCH($E158&amp;"|",KC_CURVAS!$K$5:$K$15,0)),""))</f>
        <v/>
      </c>
      <c r="R158" s="12">
        <f>IF(OR($J158="",$K158=""),"PENDENTE",IF($J158&lt;=$K158,$O158,IF($J158&lt;=$K158+$L158,$O158+($P158-$O158)*($J158-$K158)/$L158,IF($J158&lt;=$K158+$L158+$M158,$P158,IF($J158&lt;=$K158+$L158+$M158+$N158,$P158+($Q158-$P158)*($J158-($K158+$L158+$M158))/$N158,$Q158)))))</f>
        <v/>
      </c>
      <c r="S158" s="13">
        <f>ETO_SEM</f>
        <v/>
      </c>
      <c r="T158" s="14">
        <f>IF(OR($R158="",$R158="PENDENTE"),"",$R158*$S158)</f>
        <v/>
      </c>
      <c r="U158" s="13" t="n">
        <v>0</v>
      </c>
      <c r="V158" s="14">
        <f>IF($T158="","",MAX(0,$T158-N($U158)))</f>
        <v/>
      </c>
      <c r="W158" s="14">
        <f>IF($V158="","",$V158/EF_APLIC)</f>
        <v/>
      </c>
      <c r="X158" s="15" t="n">
        <v>77</v>
      </c>
      <c r="Y158" s="16">
        <f>IF(OR($W158="",$X158=""),"",$W158*$X158*10)</f>
        <v/>
      </c>
      <c r="Z158" s="17">
        <f>IFERROR(INDEX('PARAMETROS'!$B$16:$B$19,MATCH($D158,'PARAMETROS'!$A$16:$A$19,0)),"")</f>
        <v/>
      </c>
      <c r="AA158" s="16">
        <f>IF(OR($Y158="",$Z158=""),"",$Y158*$Z158)</f>
        <v/>
      </c>
      <c r="AB158" s="18">
        <f>IF($R158="PENDENTE","Definir classe/Kc",IF($W158="","-",IF($W158&gt;0,"Irrigar","Nao irrigar")))</f>
        <v/>
      </c>
      <c r="AC158" s="18">
        <f>IF(OR($W158="",$W158=0),"-",IF($W158&gt;=META_SEM,"Alta",IF($W158&gt;=META_SEM*FRAC_ACOMP,"Media","Baixa")))</f>
        <v/>
      </c>
      <c r="AD158" s="19" t="inlineStr"/>
    </row>
    <row r="159">
      <c r="A159" s="5" t="inlineStr">
        <is>
          <t>TK11</t>
        </is>
      </c>
      <c r="B159" s="5" t="inlineStr">
        <is>
          <t>KARITEL</t>
        </is>
      </c>
      <c r="C159" s="5" t="inlineStr"/>
      <c r="D159" s="5" t="inlineStr">
        <is>
          <t>KM1</t>
        </is>
      </c>
      <c r="E159" s="5" t="inlineStr">
        <is>
          <t>SOJA</t>
        </is>
      </c>
      <c r="F159" s="6" t="inlineStr">
        <is>
          <t>BMX DOMINIO IPRO</t>
        </is>
      </c>
      <c r="G159" s="7" t="inlineStr">
        <is>
          <t>MÉDIA</t>
        </is>
      </c>
      <c r="H159" s="8" t="n">
        <v>46328</v>
      </c>
      <c r="I159" s="9">
        <f>IF($H159="","",DATA_REF-$H159)</f>
        <v/>
      </c>
      <c r="J159" s="9">
        <f>IF($I159="","",MAX(0,$I159-'PARAMETROS'!$B$12))</f>
        <v/>
      </c>
      <c r="K159" s="10">
        <f>IFERROR(INDEX(KC_CURVAS!$C$5:$C$15,MATCH($E159&amp;"|"&amp;$G159,KC_CURVAS!$K$5:$K$15,0)),IFERROR(INDEX(KC_CURVAS!$C$5:$C$15,MATCH($E159&amp;"|",KC_CURVAS!$K$5:$K$15,0)),""))</f>
        <v/>
      </c>
      <c r="L159" s="10">
        <f>IFERROR(INDEX(KC_CURVAS!$D$5:$D$15,MATCH($E159&amp;"|"&amp;$G159,KC_CURVAS!$K$5:$K$15,0)),IFERROR(INDEX(KC_CURVAS!$D$5:$D$15,MATCH($E159&amp;"|",KC_CURVAS!$K$5:$K$15,0)),""))</f>
        <v/>
      </c>
      <c r="M159" s="10">
        <f>IFERROR(INDEX(KC_CURVAS!$E$5:$E$15,MATCH($E159&amp;"|"&amp;$G159,KC_CURVAS!$K$5:$K$15,0)),IFERROR(INDEX(KC_CURVAS!$E$5:$E$15,MATCH($E159&amp;"|",KC_CURVAS!$K$5:$K$15,0)),""))</f>
        <v/>
      </c>
      <c r="N159" s="10">
        <f>IFERROR(INDEX(KC_CURVAS!$F$5:$F$15,MATCH($E159&amp;"|"&amp;$G159,KC_CURVAS!$K$5:$K$15,0)),IFERROR(INDEX(KC_CURVAS!$F$5:$F$15,MATCH($E159&amp;"|",KC_CURVAS!$K$5:$K$15,0)),""))</f>
        <v/>
      </c>
      <c r="O159" s="11">
        <f>IFERROR(INDEX(KC_CURVAS!$G$5:$G$15,MATCH($E159&amp;"|"&amp;$G159,KC_CURVAS!$K$5:$K$15,0)),IFERROR(INDEX(KC_CURVAS!$G$5:$G$15,MATCH($E159&amp;"|",KC_CURVAS!$K$5:$K$15,0)),""))</f>
        <v/>
      </c>
      <c r="P159" s="11">
        <f>IFERROR(INDEX(KC_CURVAS!$H$5:$H$15,MATCH($E159&amp;"|"&amp;$G159,KC_CURVAS!$K$5:$K$15,0)),IFERROR(INDEX(KC_CURVAS!$H$5:$H$15,MATCH($E159&amp;"|",KC_CURVAS!$K$5:$K$15,0)),""))</f>
        <v/>
      </c>
      <c r="Q159" s="11">
        <f>IFERROR(INDEX(KC_CURVAS!$I$5:$I$15,MATCH($E159&amp;"|"&amp;$G159,KC_CURVAS!$K$5:$K$15,0)),IFERROR(INDEX(KC_CURVAS!$I$5:$I$15,MATCH($E159&amp;"|",KC_CURVAS!$K$5:$K$15,0)),""))</f>
        <v/>
      </c>
      <c r="R159" s="12">
        <f>IF(OR($J159="",$K159=""),"PENDENTE",IF($J159&lt;=$K159,$O159,IF($J159&lt;=$K159+$L159,$O159+($P159-$O159)*($J159-$K159)/$L159,IF($J159&lt;=$K159+$L159+$M159,$P159,IF($J159&lt;=$K159+$L159+$M159+$N159,$P159+($Q159-$P159)*($J159-($K159+$L159+$M159))/$N159,$Q159)))))</f>
        <v/>
      </c>
      <c r="S159" s="13">
        <f>ETO_SEM</f>
        <v/>
      </c>
      <c r="T159" s="14">
        <f>IF(OR($R159="",$R159="PENDENTE"),"",$R159*$S159)</f>
        <v/>
      </c>
      <c r="U159" s="13" t="n">
        <v>0</v>
      </c>
      <c r="V159" s="14">
        <f>IF($T159="","",MAX(0,$T159-N($U159)))</f>
        <v/>
      </c>
      <c r="W159" s="14">
        <f>IF($V159="","",$V159/EF_APLIC)</f>
        <v/>
      </c>
      <c r="X159" s="15" t="n">
        <v>75</v>
      </c>
      <c r="Y159" s="16">
        <f>IF(OR($W159="",$X159=""),"",$W159*$X159*10)</f>
        <v/>
      </c>
      <c r="Z159" s="17">
        <f>IFERROR(INDEX('PARAMETROS'!$B$16:$B$19,MATCH($D159,'PARAMETROS'!$A$16:$A$19,0)),"")</f>
        <v/>
      </c>
      <c r="AA159" s="16">
        <f>IF(OR($Y159="",$Z159=""),"",$Y159*$Z159)</f>
        <v/>
      </c>
      <c r="AB159" s="18">
        <f>IF($R159="PENDENTE","Definir classe/Kc",IF($W159="","-",IF($W159&gt;0,"Irrigar","Nao irrigar")))</f>
        <v/>
      </c>
      <c r="AC159" s="18">
        <f>IF(OR($W159="",$W159=0),"-",IF($W159&gt;=META_SEM,"Alta",IF($W159&gt;=META_SEM*FRAC_ACOMP,"Media","Baixa")))</f>
        <v/>
      </c>
      <c r="AD159" s="19" t="inlineStr"/>
    </row>
    <row r="160">
      <c r="A160" s="5" t="inlineStr">
        <is>
          <t>TK21</t>
        </is>
      </c>
      <c r="B160" s="5" t="inlineStr">
        <is>
          <t>KARITEL</t>
        </is>
      </c>
      <c r="C160" s="5" t="inlineStr"/>
      <c r="D160" s="5" t="inlineStr">
        <is>
          <t>KM1</t>
        </is>
      </c>
      <c r="E160" s="5" t="inlineStr">
        <is>
          <t>SOJA</t>
        </is>
      </c>
      <c r="F160" s="6" t="inlineStr">
        <is>
          <t>BMX DOMINIO IPRO</t>
        </is>
      </c>
      <c r="G160" s="7" t="inlineStr">
        <is>
          <t>MÉDIA</t>
        </is>
      </c>
      <c r="H160" s="8" t="n">
        <v>46329</v>
      </c>
      <c r="I160" s="9">
        <f>IF($H160="","",DATA_REF-$H160)</f>
        <v/>
      </c>
      <c r="J160" s="9">
        <f>IF($I160="","",MAX(0,$I160-'PARAMETROS'!$B$12))</f>
        <v/>
      </c>
      <c r="K160" s="10">
        <f>IFERROR(INDEX(KC_CURVAS!$C$5:$C$15,MATCH($E160&amp;"|"&amp;$G160,KC_CURVAS!$K$5:$K$15,0)),IFERROR(INDEX(KC_CURVAS!$C$5:$C$15,MATCH($E160&amp;"|",KC_CURVAS!$K$5:$K$15,0)),""))</f>
        <v/>
      </c>
      <c r="L160" s="10">
        <f>IFERROR(INDEX(KC_CURVAS!$D$5:$D$15,MATCH($E160&amp;"|"&amp;$G160,KC_CURVAS!$K$5:$K$15,0)),IFERROR(INDEX(KC_CURVAS!$D$5:$D$15,MATCH($E160&amp;"|",KC_CURVAS!$K$5:$K$15,0)),""))</f>
        <v/>
      </c>
      <c r="M160" s="10">
        <f>IFERROR(INDEX(KC_CURVAS!$E$5:$E$15,MATCH($E160&amp;"|"&amp;$G160,KC_CURVAS!$K$5:$K$15,0)),IFERROR(INDEX(KC_CURVAS!$E$5:$E$15,MATCH($E160&amp;"|",KC_CURVAS!$K$5:$K$15,0)),""))</f>
        <v/>
      </c>
      <c r="N160" s="10">
        <f>IFERROR(INDEX(KC_CURVAS!$F$5:$F$15,MATCH($E160&amp;"|"&amp;$G160,KC_CURVAS!$K$5:$K$15,0)),IFERROR(INDEX(KC_CURVAS!$F$5:$F$15,MATCH($E160&amp;"|",KC_CURVAS!$K$5:$K$15,0)),""))</f>
        <v/>
      </c>
      <c r="O160" s="11">
        <f>IFERROR(INDEX(KC_CURVAS!$G$5:$G$15,MATCH($E160&amp;"|"&amp;$G160,KC_CURVAS!$K$5:$K$15,0)),IFERROR(INDEX(KC_CURVAS!$G$5:$G$15,MATCH($E160&amp;"|",KC_CURVAS!$K$5:$K$15,0)),""))</f>
        <v/>
      </c>
      <c r="P160" s="11">
        <f>IFERROR(INDEX(KC_CURVAS!$H$5:$H$15,MATCH($E160&amp;"|"&amp;$G160,KC_CURVAS!$K$5:$K$15,0)),IFERROR(INDEX(KC_CURVAS!$H$5:$H$15,MATCH($E160&amp;"|",KC_CURVAS!$K$5:$K$15,0)),""))</f>
        <v/>
      </c>
      <c r="Q160" s="11">
        <f>IFERROR(INDEX(KC_CURVAS!$I$5:$I$15,MATCH($E160&amp;"|"&amp;$G160,KC_CURVAS!$K$5:$K$15,0)),IFERROR(INDEX(KC_CURVAS!$I$5:$I$15,MATCH($E160&amp;"|",KC_CURVAS!$K$5:$K$15,0)),""))</f>
        <v/>
      </c>
      <c r="R160" s="12">
        <f>IF(OR($J160="",$K160=""),"PENDENTE",IF($J160&lt;=$K160,$O160,IF($J160&lt;=$K160+$L160,$O160+($P160-$O160)*($J160-$K160)/$L160,IF($J160&lt;=$K160+$L160+$M160,$P160,IF($J160&lt;=$K160+$L160+$M160+$N160,$P160+($Q160-$P160)*($J160-($K160+$L160+$M160))/$N160,$Q160)))))</f>
        <v/>
      </c>
      <c r="S160" s="13">
        <f>ETO_SEM</f>
        <v/>
      </c>
      <c r="T160" s="14">
        <f>IF(OR($R160="",$R160="PENDENTE"),"",$R160*$S160)</f>
        <v/>
      </c>
      <c r="U160" s="13" t="n">
        <v>0</v>
      </c>
      <c r="V160" s="14">
        <f>IF($T160="","",MAX(0,$T160-N($U160)))</f>
        <v/>
      </c>
      <c r="W160" s="14">
        <f>IF($V160="","",$V160/EF_APLIC)</f>
        <v/>
      </c>
      <c r="X160" s="15" t="n">
        <v>213</v>
      </c>
      <c r="Y160" s="16">
        <f>IF(OR($W160="",$X160=""),"",$W160*$X160*10)</f>
        <v/>
      </c>
      <c r="Z160" s="17">
        <f>IFERROR(INDEX('PARAMETROS'!$B$16:$B$19,MATCH($D160,'PARAMETROS'!$A$16:$A$19,0)),"")</f>
        <v/>
      </c>
      <c r="AA160" s="16">
        <f>IF(OR($Y160="",$Z160=""),"",$Y160*$Z160)</f>
        <v/>
      </c>
      <c r="AB160" s="18">
        <f>IF($R160="PENDENTE","Definir classe/Kc",IF($W160="","-",IF($W160&gt;0,"Irrigar","Nao irrigar")))</f>
        <v/>
      </c>
      <c r="AC160" s="18">
        <f>IF(OR($W160="",$W160=0),"-",IF($W160&gt;=META_SEM,"Alta",IF($W160&gt;=META_SEM*FRAC_ACOMP,"Media","Baixa")))</f>
        <v/>
      </c>
      <c r="AD160" s="19" t="inlineStr"/>
    </row>
    <row r="161">
      <c r="A161" s="5" t="inlineStr">
        <is>
          <t>TK22</t>
        </is>
      </c>
      <c r="B161" s="5" t="inlineStr">
        <is>
          <t>KARITEL</t>
        </is>
      </c>
      <c r="C161" s="5" t="inlineStr"/>
      <c r="D161" s="5" t="inlineStr">
        <is>
          <t>KM1</t>
        </is>
      </c>
      <c r="E161" s="5" t="inlineStr">
        <is>
          <t>SOJA</t>
        </is>
      </c>
      <c r="F161" s="6" t="inlineStr">
        <is>
          <t>BMX DOMINIO IPRO</t>
        </is>
      </c>
      <c r="G161" s="7" t="inlineStr">
        <is>
          <t>MÉDIA</t>
        </is>
      </c>
      <c r="H161" s="8" t="n">
        <v>46329</v>
      </c>
      <c r="I161" s="9">
        <f>IF($H161="","",DATA_REF-$H161)</f>
        <v/>
      </c>
      <c r="J161" s="9">
        <f>IF($I161="","",MAX(0,$I161-'PARAMETROS'!$B$12))</f>
        <v/>
      </c>
      <c r="K161" s="10">
        <f>IFERROR(INDEX(KC_CURVAS!$C$5:$C$15,MATCH($E161&amp;"|"&amp;$G161,KC_CURVAS!$K$5:$K$15,0)),IFERROR(INDEX(KC_CURVAS!$C$5:$C$15,MATCH($E161&amp;"|",KC_CURVAS!$K$5:$K$15,0)),""))</f>
        <v/>
      </c>
      <c r="L161" s="10">
        <f>IFERROR(INDEX(KC_CURVAS!$D$5:$D$15,MATCH($E161&amp;"|"&amp;$G161,KC_CURVAS!$K$5:$K$15,0)),IFERROR(INDEX(KC_CURVAS!$D$5:$D$15,MATCH($E161&amp;"|",KC_CURVAS!$K$5:$K$15,0)),""))</f>
        <v/>
      </c>
      <c r="M161" s="10">
        <f>IFERROR(INDEX(KC_CURVAS!$E$5:$E$15,MATCH($E161&amp;"|"&amp;$G161,KC_CURVAS!$K$5:$K$15,0)),IFERROR(INDEX(KC_CURVAS!$E$5:$E$15,MATCH($E161&amp;"|",KC_CURVAS!$K$5:$K$15,0)),""))</f>
        <v/>
      </c>
      <c r="N161" s="10">
        <f>IFERROR(INDEX(KC_CURVAS!$F$5:$F$15,MATCH($E161&amp;"|"&amp;$G161,KC_CURVAS!$K$5:$K$15,0)),IFERROR(INDEX(KC_CURVAS!$F$5:$F$15,MATCH($E161&amp;"|",KC_CURVAS!$K$5:$K$15,0)),""))</f>
        <v/>
      </c>
      <c r="O161" s="11">
        <f>IFERROR(INDEX(KC_CURVAS!$G$5:$G$15,MATCH($E161&amp;"|"&amp;$G161,KC_CURVAS!$K$5:$K$15,0)),IFERROR(INDEX(KC_CURVAS!$G$5:$G$15,MATCH($E161&amp;"|",KC_CURVAS!$K$5:$K$15,0)),""))</f>
        <v/>
      </c>
      <c r="P161" s="11">
        <f>IFERROR(INDEX(KC_CURVAS!$H$5:$H$15,MATCH($E161&amp;"|"&amp;$G161,KC_CURVAS!$K$5:$K$15,0)),IFERROR(INDEX(KC_CURVAS!$H$5:$H$15,MATCH($E161&amp;"|",KC_CURVAS!$K$5:$K$15,0)),""))</f>
        <v/>
      </c>
      <c r="Q161" s="11">
        <f>IFERROR(INDEX(KC_CURVAS!$I$5:$I$15,MATCH($E161&amp;"|"&amp;$G161,KC_CURVAS!$K$5:$K$15,0)),IFERROR(INDEX(KC_CURVAS!$I$5:$I$15,MATCH($E161&amp;"|",KC_CURVAS!$K$5:$K$15,0)),""))</f>
        <v/>
      </c>
      <c r="R161" s="12">
        <f>IF(OR($J161="",$K161=""),"PENDENTE",IF($J161&lt;=$K161,$O161,IF($J161&lt;=$K161+$L161,$O161+($P161-$O161)*($J161-$K161)/$L161,IF($J161&lt;=$K161+$L161+$M161,$P161,IF($J161&lt;=$K161+$L161+$M161+$N161,$P161+($Q161-$P161)*($J161-($K161+$L161+$M161))/$N161,$Q161)))))</f>
        <v/>
      </c>
      <c r="S161" s="13">
        <f>ETO_SEM</f>
        <v/>
      </c>
      <c r="T161" s="14">
        <f>IF(OR($R161="",$R161="PENDENTE"),"",$R161*$S161)</f>
        <v/>
      </c>
      <c r="U161" s="13" t="n">
        <v>0</v>
      </c>
      <c r="V161" s="14">
        <f>IF($T161="","",MAX(0,$T161-N($U161)))</f>
        <v/>
      </c>
      <c r="W161" s="14">
        <f>IF($V161="","",$V161/EF_APLIC)</f>
        <v/>
      </c>
      <c r="X161" s="15" t="n">
        <v>110</v>
      </c>
      <c r="Y161" s="16">
        <f>IF(OR($W161="",$X161=""),"",$W161*$X161*10)</f>
        <v/>
      </c>
      <c r="Z161" s="17">
        <f>IFERROR(INDEX('PARAMETROS'!$B$16:$B$19,MATCH($D161,'PARAMETROS'!$A$16:$A$19,0)),"")</f>
        <v/>
      </c>
      <c r="AA161" s="16">
        <f>IF(OR($Y161="",$Z161=""),"",$Y161*$Z161)</f>
        <v/>
      </c>
      <c r="AB161" s="18">
        <f>IF($R161="PENDENTE","Definir classe/Kc",IF($W161="","-",IF($W161&gt;0,"Irrigar","Nao irrigar")))</f>
        <v/>
      </c>
      <c r="AC161" s="18">
        <f>IF(OR($W161="",$W161=0),"-",IF($W161&gt;=META_SEM,"Alta",IF($W161&gt;=META_SEM*FRAC_ACOMP,"Media","Baixa")))</f>
        <v/>
      </c>
      <c r="AD161" s="19" t="inlineStr"/>
    </row>
    <row r="162">
      <c r="A162" s="5" t="inlineStr">
        <is>
          <t>TK23</t>
        </is>
      </c>
      <c r="B162" s="5" t="inlineStr">
        <is>
          <t>KARITEL</t>
        </is>
      </c>
      <c r="C162" s="5" t="inlineStr"/>
      <c r="D162" s="5" t="inlineStr">
        <is>
          <t>KM1</t>
        </is>
      </c>
      <c r="E162" s="5" t="inlineStr">
        <is>
          <t>SOJA</t>
        </is>
      </c>
      <c r="F162" s="6" t="inlineStr">
        <is>
          <t>BMX DOMINIO IPRO</t>
        </is>
      </c>
      <c r="G162" s="7" t="inlineStr">
        <is>
          <t>MÉDIA</t>
        </is>
      </c>
      <c r="H162" s="8" t="n">
        <v>46329</v>
      </c>
      <c r="I162" s="9">
        <f>IF($H162="","",DATA_REF-$H162)</f>
        <v/>
      </c>
      <c r="J162" s="9">
        <f>IF($I162="","",MAX(0,$I162-'PARAMETROS'!$B$12))</f>
        <v/>
      </c>
      <c r="K162" s="10">
        <f>IFERROR(INDEX(KC_CURVAS!$C$5:$C$15,MATCH($E162&amp;"|"&amp;$G162,KC_CURVAS!$K$5:$K$15,0)),IFERROR(INDEX(KC_CURVAS!$C$5:$C$15,MATCH($E162&amp;"|",KC_CURVAS!$K$5:$K$15,0)),""))</f>
        <v/>
      </c>
      <c r="L162" s="10">
        <f>IFERROR(INDEX(KC_CURVAS!$D$5:$D$15,MATCH($E162&amp;"|"&amp;$G162,KC_CURVAS!$K$5:$K$15,0)),IFERROR(INDEX(KC_CURVAS!$D$5:$D$15,MATCH($E162&amp;"|",KC_CURVAS!$K$5:$K$15,0)),""))</f>
        <v/>
      </c>
      <c r="M162" s="10">
        <f>IFERROR(INDEX(KC_CURVAS!$E$5:$E$15,MATCH($E162&amp;"|"&amp;$G162,KC_CURVAS!$K$5:$K$15,0)),IFERROR(INDEX(KC_CURVAS!$E$5:$E$15,MATCH($E162&amp;"|",KC_CURVAS!$K$5:$K$15,0)),""))</f>
        <v/>
      </c>
      <c r="N162" s="10">
        <f>IFERROR(INDEX(KC_CURVAS!$F$5:$F$15,MATCH($E162&amp;"|"&amp;$G162,KC_CURVAS!$K$5:$K$15,0)),IFERROR(INDEX(KC_CURVAS!$F$5:$F$15,MATCH($E162&amp;"|",KC_CURVAS!$K$5:$K$15,0)),""))</f>
        <v/>
      </c>
      <c r="O162" s="11">
        <f>IFERROR(INDEX(KC_CURVAS!$G$5:$G$15,MATCH($E162&amp;"|"&amp;$G162,KC_CURVAS!$K$5:$K$15,0)),IFERROR(INDEX(KC_CURVAS!$G$5:$G$15,MATCH($E162&amp;"|",KC_CURVAS!$K$5:$K$15,0)),""))</f>
        <v/>
      </c>
      <c r="P162" s="11">
        <f>IFERROR(INDEX(KC_CURVAS!$H$5:$H$15,MATCH($E162&amp;"|"&amp;$G162,KC_CURVAS!$K$5:$K$15,0)),IFERROR(INDEX(KC_CURVAS!$H$5:$H$15,MATCH($E162&amp;"|",KC_CURVAS!$K$5:$K$15,0)),""))</f>
        <v/>
      </c>
      <c r="Q162" s="11">
        <f>IFERROR(INDEX(KC_CURVAS!$I$5:$I$15,MATCH($E162&amp;"|"&amp;$G162,KC_CURVAS!$K$5:$K$15,0)),IFERROR(INDEX(KC_CURVAS!$I$5:$I$15,MATCH($E162&amp;"|",KC_CURVAS!$K$5:$K$15,0)),""))</f>
        <v/>
      </c>
      <c r="R162" s="12">
        <f>IF(OR($J162="",$K162=""),"PENDENTE",IF($J162&lt;=$K162,$O162,IF($J162&lt;=$K162+$L162,$O162+($P162-$O162)*($J162-$K162)/$L162,IF($J162&lt;=$K162+$L162+$M162,$P162,IF($J162&lt;=$K162+$L162+$M162+$N162,$P162+($Q162-$P162)*($J162-($K162+$L162+$M162))/$N162,$Q162)))))</f>
        <v/>
      </c>
      <c r="S162" s="13">
        <f>ETO_SEM</f>
        <v/>
      </c>
      <c r="T162" s="14">
        <f>IF(OR($R162="",$R162="PENDENTE"),"",$R162*$S162)</f>
        <v/>
      </c>
      <c r="U162" s="13" t="n">
        <v>0</v>
      </c>
      <c r="V162" s="14">
        <f>IF($T162="","",MAX(0,$T162-N($U162)))</f>
        <v/>
      </c>
      <c r="W162" s="14">
        <f>IF($V162="","",$V162/EF_APLIC)</f>
        <v/>
      </c>
      <c r="X162" s="15" t="n">
        <v>40</v>
      </c>
      <c r="Y162" s="16">
        <f>IF(OR($W162="",$X162=""),"",$W162*$X162*10)</f>
        <v/>
      </c>
      <c r="Z162" s="17">
        <f>IFERROR(INDEX('PARAMETROS'!$B$16:$B$19,MATCH($D162,'PARAMETROS'!$A$16:$A$19,0)),"")</f>
        <v/>
      </c>
      <c r="AA162" s="16">
        <f>IF(OR($Y162="",$Z162=""),"",$Y162*$Z162)</f>
        <v/>
      </c>
      <c r="AB162" s="18">
        <f>IF($R162="PENDENTE","Definir classe/Kc",IF($W162="","-",IF($W162&gt;0,"Irrigar","Nao irrigar")))</f>
        <v/>
      </c>
      <c r="AC162" s="18">
        <f>IF(OR($W162="",$W162=0),"-",IF($W162&gt;=META_SEM,"Alta",IF($W162&gt;=META_SEM*FRAC_ACOMP,"Media","Baixa")))</f>
        <v/>
      </c>
      <c r="AD162" s="19" t="inlineStr"/>
    </row>
    <row r="163">
      <c r="A163" s="5" t="inlineStr">
        <is>
          <t>TK24</t>
        </is>
      </c>
      <c r="B163" s="5" t="inlineStr">
        <is>
          <t>KARITEL</t>
        </is>
      </c>
      <c r="C163" s="5" t="inlineStr"/>
      <c r="D163" s="5" t="inlineStr">
        <is>
          <t>KM1</t>
        </is>
      </c>
      <c r="E163" s="5" t="inlineStr">
        <is>
          <t>SOJA</t>
        </is>
      </c>
      <c r="F163" s="6" t="inlineStr">
        <is>
          <t>BMX DOMINIO IPRO</t>
        </is>
      </c>
      <c r="G163" s="7" t="inlineStr">
        <is>
          <t>MÉDIA</t>
        </is>
      </c>
      <c r="H163" s="8" t="n">
        <v>46330</v>
      </c>
      <c r="I163" s="9">
        <f>IF($H163="","",DATA_REF-$H163)</f>
        <v/>
      </c>
      <c r="J163" s="9">
        <f>IF($I163="","",MAX(0,$I163-'PARAMETROS'!$B$12))</f>
        <v/>
      </c>
      <c r="K163" s="10">
        <f>IFERROR(INDEX(KC_CURVAS!$C$5:$C$15,MATCH($E163&amp;"|"&amp;$G163,KC_CURVAS!$K$5:$K$15,0)),IFERROR(INDEX(KC_CURVAS!$C$5:$C$15,MATCH($E163&amp;"|",KC_CURVAS!$K$5:$K$15,0)),""))</f>
        <v/>
      </c>
      <c r="L163" s="10">
        <f>IFERROR(INDEX(KC_CURVAS!$D$5:$D$15,MATCH($E163&amp;"|"&amp;$G163,KC_CURVAS!$K$5:$K$15,0)),IFERROR(INDEX(KC_CURVAS!$D$5:$D$15,MATCH($E163&amp;"|",KC_CURVAS!$K$5:$K$15,0)),""))</f>
        <v/>
      </c>
      <c r="M163" s="10">
        <f>IFERROR(INDEX(KC_CURVAS!$E$5:$E$15,MATCH($E163&amp;"|"&amp;$G163,KC_CURVAS!$K$5:$K$15,0)),IFERROR(INDEX(KC_CURVAS!$E$5:$E$15,MATCH($E163&amp;"|",KC_CURVAS!$K$5:$K$15,0)),""))</f>
        <v/>
      </c>
      <c r="N163" s="10">
        <f>IFERROR(INDEX(KC_CURVAS!$F$5:$F$15,MATCH($E163&amp;"|"&amp;$G163,KC_CURVAS!$K$5:$K$15,0)),IFERROR(INDEX(KC_CURVAS!$F$5:$F$15,MATCH($E163&amp;"|",KC_CURVAS!$K$5:$K$15,0)),""))</f>
        <v/>
      </c>
      <c r="O163" s="11">
        <f>IFERROR(INDEX(KC_CURVAS!$G$5:$G$15,MATCH($E163&amp;"|"&amp;$G163,KC_CURVAS!$K$5:$K$15,0)),IFERROR(INDEX(KC_CURVAS!$G$5:$G$15,MATCH($E163&amp;"|",KC_CURVAS!$K$5:$K$15,0)),""))</f>
        <v/>
      </c>
      <c r="P163" s="11">
        <f>IFERROR(INDEX(KC_CURVAS!$H$5:$H$15,MATCH($E163&amp;"|"&amp;$G163,KC_CURVAS!$K$5:$K$15,0)),IFERROR(INDEX(KC_CURVAS!$H$5:$H$15,MATCH($E163&amp;"|",KC_CURVAS!$K$5:$K$15,0)),""))</f>
        <v/>
      </c>
      <c r="Q163" s="11">
        <f>IFERROR(INDEX(KC_CURVAS!$I$5:$I$15,MATCH($E163&amp;"|"&amp;$G163,KC_CURVAS!$K$5:$K$15,0)),IFERROR(INDEX(KC_CURVAS!$I$5:$I$15,MATCH($E163&amp;"|",KC_CURVAS!$K$5:$K$15,0)),""))</f>
        <v/>
      </c>
      <c r="R163" s="12">
        <f>IF(OR($J163="",$K163=""),"PENDENTE",IF($J163&lt;=$K163,$O163,IF($J163&lt;=$K163+$L163,$O163+($P163-$O163)*($J163-$K163)/$L163,IF($J163&lt;=$K163+$L163+$M163,$P163,IF($J163&lt;=$K163+$L163+$M163+$N163,$P163+($Q163-$P163)*($J163-($K163+$L163+$M163))/$N163,$Q163)))))</f>
        <v/>
      </c>
      <c r="S163" s="13">
        <f>ETO_SEM</f>
        <v/>
      </c>
      <c r="T163" s="14">
        <f>IF(OR($R163="",$R163="PENDENTE"),"",$R163*$S163)</f>
        <v/>
      </c>
      <c r="U163" s="13" t="n">
        <v>0</v>
      </c>
      <c r="V163" s="14">
        <f>IF($T163="","",MAX(0,$T163-N($U163)))</f>
        <v/>
      </c>
      <c r="W163" s="14">
        <f>IF($V163="","",$V163/EF_APLIC)</f>
        <v/>
      </c>
      <c r="X163" s="15" t="n">
        <v>59</v>
      </c>
      <c r="Y163" s="16">
        <f>IF(OR($W163="",$X163=""),"",$W163*$X163*10)</f>
        <v/>
      </c>
      <c r="Z163" s="17">
        <f>IFERROR(INDEX('PARAMETROS'!$B$16:$B$19,MATCH($D163,'PARAMETROS'!$A$16:$A$19,0)),"")</f>
        <v/>
      </c>
      <c r="AA163" s="16">
        <f>IF(OR($Y163="",$Z163=""),"",$Y163*$Z163)</f>
        <v/>
      </c>
      <c r="AB163" s="18">
        <f>IF($R163="PENDENTE","Definir classe/Kc",IF($W163="","-",IF($W163&gt;0,"Irrigar","Nao irrigar")))</f>
        <v/>
      </c>
      <c r="AC163" s="18">
        <f>IF(OR($W163="",$W163=0),"-",IF($W163&gt;=META_SEM,"Alta",IF($W163&gt;=META_SEM*FRAC_ACOMP,"Media","Baixa")))</f>
        <v/>
      </c>
      <c r="AD163" s="19" t="inlineStr"/>
    </row>
    <row r="164">
      <c r="A164" s="5" t="inlineStr">
        <is>
          <t>TK25</t>
        </is>
      </c>
      <c r="B164" s="5" t="inlineStr">
        <is>
          <t>KARITEL</t>
        </is>
      </c>
      <c r="C164" s="5" t="inlineStr"/>
      <c r="D164" s="5" t="inlineStr">
        <is>
          <t>KM1</t>
        </is>
      </c>
      <c r="E164" s="5" t="inlineStr">
        <is>
          <t>SOJA</t>
        </is>
      </c>
      <c r="F164" s="6" t="inlineStr">
        <is>
          <t>BMX DOMINIO IPRO</t>
        </is>
      </c>
      <c r="G164" s="7" t="inlineStr">
        <is>
          <t>MÉDIA</t>
        </is>
      </c>
      <c r="H164" s="8" t="n">
        <v>46330</v>
      </c>
      <c r="I164" s="9">
        <f>IF($H164="","",DATA_REF-$H164)</f>
        <v/>
      </c>
      <c r="J164" s="9">
        <f>IF($I164="","",MAX(0,$I164-'PARAMETROS'!$B$12))</f>
        <v/>
      </c>
      <c r="K164" s="10">
        <f>IFERROR(INDEX(KC_CURVAS!$C$5:$C$15,MATCH($E164&amp;"|"&amp;$G164,KC_CURVAS!$K$5:$K$15,0)),IFERROR(INDEX(KC_CURVAS!$C$5:$C$15,MATCH($E164&amp;"|",KC_CURVAS!$K$5:$K$15,0)),""))</f>
        <v/>
      </c>
      <c r="L164" s="10">
        <f>IFERROR(INDEX(KC_CURVAS!$D$5:$D$15,MATCH($E164&amp;"|"&amp;$G164,KC_CURVAS!$K$5:$K$15,0)),IFERROR(INDEX(KC_CURVAS!$D$5:$D$15,MATCH($E164&amp;"|",KC_CURVAS!$K$5:$K$15,0)),""))</f>
        <v/>
      </c>
      <c r="M164" s="10">
        <f>IFERROR(INDEX(KC_CURVAS!$E$5:$E$15,MATCH($E164&amp;"|"&amp;$G164,KC_CURVAS!$K$5:$K$15,0)),IFERROR(INDEX(KC_CURVAS!$E$5:$E$15,MATCH($E164&amp;"|",KC_CURVAS!$K$5:$K$15,0)),""))</f>
        <v/>
      </c>
      <c r="N164" s="10">
        <f>IFERROR(INDEX(KC_CURVAS!$F$5:$F$15,MATCH($E164&amp;"|"&amp;$G164,KC_CURVAS!$K$5:$K$15,0)),IFERROR(INDEX(KC_CURVAS!$F$5:$F$15,MATCH($E164&amp;"|",KC_CURVAS!$K$5:$K$15,0)),""))</f>
        <v/>
      </c>
      <c r="O164" s="11">
        <f>IFERROR(INDEX(KC_CURVAS!$G$5:$G$15,MATCH($E164&amp;"|"&amp;$G164,KC_CURVAS!$K$5:$K$15,0)),IFERROR(INDEX(KC_CURVAS!$G$5:$G$15,MATCH($E164&amp;"|",KC_CURVAS!$K$5:$K$15,0)),""))</f>
        <v/>
      </c>
      <c r="P164" s="11">
        <f>IFERROR(INDEX(KC_CURVAS!$H$5:$H$15,MATCH($E164&amp;"|"&amp;$G164,KC_CURVAS!$K$5:$K$15,0)),IFERROR(INDEX(KC_CURVAS!$H$5:$H$15,MATCH($E164&amp;"|",KC_CURVAS!$K$5:$K$15,0)),""))</f>
        <v/>
      </c>
      <c r="Q164" s="11">
        <f>IFERROR(INDEX(KC_CURVAS!$I$5:$I$15,MATCH($E164&amp;"|"&amp;$G164,KC_CURVAS!$K$5:$K$15,0)),IFERROR(INDEX(KC_CURVAS!$I$5:$I$15,MATCH($E164&amp;"|",KC_CURVAS!$K$5:$K$15,0)),""))</f>
        <v/>
      </c>
      <c r="R164" s="12">
        <f>IF(OR($J164="",$K164=""),"PENDENTE",IF($J164&lt;=$K164,$O164,IF($J164&lt;=$K164+$L164,$O164+($P164-$O164)*($J164-$K164)/$L164,IF($J164&lt;=$K164+$L164+$M164,$P164,IF($J164&lt;=$K164+$L164+$M164+$N164,$P164+($Q164-$P164)*($J164-($K164+$L164+$M164))/$N164,$Q164)))))</f>
        <v/>
      </c>
      <c r="S164" s="13">
        <f>ETO_SEM</f>
        <v/>
      </c>
      <c r="T164" s="14">
        <f>IF(OR($R164="",$R164="PENDENTE"),"",$R164*$S164)</f>
        <v/>
      </c>
      <c r="U164" s="13" t="n">
        <v>0</v>
      </c>
      <c r="V164" s="14">
        <f>IF($T164="","",MAX(0,$T164-N($U164)))</f>
        <v/>
      </c>
      <c r="W164" s="14">
        <f>IF($V164="","",$V164/EF_APLIC)</f>
        <v/>
      </c>
      <c r="X164" s="15" t="n">
        <v>27</v>
      </c>
      <c r="Y164" s="16">
        <f>IF(OR($W164="",$X164=""),"",$W164*$X164*10)</f>
        <v/>
      </c>
      <c r="Z164" s="17">
        <f>IFERROR(INDEX('PARAMETROS'!$B$16:$B$19,MATCH($D164,'PARAMETROS'!$A$16:$A$19,0)),"")</f>
        <v/>
      </c>
      <c r="AA164" s="16">
        <f>IF(OR($Y164="",$Z164=""),"",$Y164*$Z164)</f>
        <v/>
      </c>
      <c r="AB164" s="18">
        <f>IF($R164="PENDENTE","Definir classe/Kc",IF($W164="","-",IF($W164&gt;0,"Irrigar","Nao irrigar")))</f>
        <v/>
      </c>
      <c r="AC164" s="18">
        <f>IF(OR($W164="",$W164=0),"-",IF($W164&gt;=META_SEM,"Alta",IF($W164&gt;=META_SEM*FRAC_ACOMP,"Media","Baixa")))</f>
        <v/>
      </c>
      <c r="AD164" s="19" t="inlineStr"/>
    </row>
    <row r="165">
      <c r="A165" s="5" t="inlineStr">
        <is>
          <t>TK25</t>
        </is>
      </c>
      <c r="B165" s="5" t="inlineStr">
        <is>
          <t>KARITEL</t>
        </is>
      </c>
      <c r="C165" s="5" t="inlineStr"/>
      <c r="D165" s="5" t="inlineStr">
        <is>
          <t>KM1</t>
        </is>
      </c>
      <c r="E165" s="5" t="inlineStr">
        <is>
          <t>SOJA</t>
        </is>
      </c>
      <c r="F165" s="6" t="inlineStr">
        <is>
          <t>BMX DOMINIO IPRO</t>
        </is>
      </c>
      <c r="G165" s="7" t="inlineStr">
        <is>
          <t>MÉDIA</t>
        </is>
      </c>
      <c r="H165" s="8" t="n">
        <v>46330</v>
      </c>
      <c r="I165" s="9">
        <f>IF($H165="","",DATA_REF-$H165)</f>
        <v/>
      </c>
      <c r="J165" s="9">
        <f>IF($I165="","",MAX(0,$I165-'PARAMETROS'!$B$12))</f>
        <v/>
      </c>
      <c r="K165" s="10">
        <f>IFERROR(INDEX(KC_CURVAS!$C$5:$C$15,MATCH($E165&amp;"|"&amp;$G165,KC_CURVAS!$K$5:$K$15,0)),IFERROR(INDEX(KC_CURVAS!$C$5:$C$15,MATCH($E165&amp;"|",KC_CURVAS!$K$5:$K$15,0)),""))</f>
        <v/>
      </c>
      <c r="L165" s="10">
        <f>IFERROR(INDEX(KC_CURVAS!$D$5:$D$15,MATCH($E165&amp;"|"&amp;$G165,KC_CURVAS!$K$5:$K$15,0)),IFERROR(INDEX(KC_CURVAS!$D$5:$D$15,MATCH($E165&amp;"|",KC_CURVAS!$K$5:$K$15,0)),""))</f>
        <v/>
      </c>
      <c r="M165" s="10">
        <f>IFERROR(INDEX(KC_CURVAS!$E$5:$E$15,MATCH($E165&amp;"|"&amp;$G165,KC_CURVAS!$K$5:$K$15,0)),IFERROR(INDEX(KC_CURVAS!$E$5:$E$15,MATCH($E165&amp;"|",KC_CURVAS!$K$5:$K$15,0)),""))</f>
        <v/>
      </c>
      <c r="N165" s="10">
        <f>IFERROR(INDEX(KC_CURVAS!$F$5:$F$15,MATCH($E165&amp;"|"&amp;$G165,KC_CURVAS!$K$5:$K$15,0)),IFERROR(INDEX(KC_CURVAS!$F$5:$F$15,MATCH($E165&amp;"|",KC_CURVAS!$K$5:$K$15,0)),""))</f>
        <v/>
      </c>
      <c r="O165" s="11">
        <f>IFERROR(INDEX(KC_CURVAS!$G$5:$G$15,MATCH($E165&amp;"|"&amp;$G165,KC_CURVAS!$K$5:$K$15,0)),IFERROR(INDEX(KC_CURVAS!$G$5:$G$15,MATCH($E165&amp;"|",KC_CURVAS!$K$5:$K$15,0)),""))</f>
        <v/>
      </c>
      <c r="P165" s="11">
        <f>IFERROR(INDEX(KC_CURVAS!$H$5:$H$15,MATCH($E165&amp;"|"&amp;$G165,KC_CURVAS!$K$5:$K$15,0)),IFERROR(INDEX(KC_CURVAS!$H$5:$H$15,MATCH($E165&amp;"|",KC_CURVAS!$K$5:$K$15,0)),""))</f>
        <v/>
      </c>
      <c r="Q165" s="11">
        <f>IFERROR(INDEX(KC_CURVAS!$I$5:$I$15,MATCH($E165&amp;"|"&amp;$G165,KC_CURVAS!$K$5:$K$15,0)),IFERROR(INDEX(KC_CURVAS!$I$5:$I$15,MATCH($E165&amp;"|",KC_CURVAS!$K$5:$K$15,0)),""))</f>
        <v/>
      </c>
      <c r="R165" s="12">
        <f>IF(OR($J165="",$K165=""),"PENDENTE",IF($J165&lt;=$K165,$O165,IF($J165&lt;=$K165+$L165,$O165+($P165-$O165)*($J165-$K165)/$L165,IF($J165&lt;=$K165+$L165+$M165,$P165,IF($J165&lt;=$K165+$L165+$M165+$N165,$P165+($Q165-$P165)*($J165-($K165+$L165+$M165))/$N165,$Q165)))))</f>
        <v/>
      </c>
      <c r="S165" s="13">
        <f>ETO_SEM</f>
        <v/>
      </c>
      <c r="T165" s="14">
        <f>IF(OR($R165="",$R165="PENDENTE"),"",$R165*$S165)</f>
        <v/>
      </c>
      <c r="U165" s="13" t="n">
        <v>0</v>
      </c>
      <c r="V165" s="14">
        <f>IF($T165="","",MAX(0,$T165-N($U165)))</f>
        <v/>
      </c>
      <c r="W165" s="14">
        <f>IF($V165="","",$V165/EF_APLIC)</f>
        <v/>
      </c>
      <c r="X165" s="15" t="n">
        <v>171</v>
      </c>
      <c r="Y165" s="16">
        <f>IF(OR($W165="",$X165=""),"",$W165*$X165*10)</f>
        <v/>
      </c>
      <c r="Z165" s="17">
        <f>IFERROR(INDEX('PARAMETROS'!$B$16:$B$19,MATCH($D165,'PARAMETROS'!$A$16:$A$19,0)),"")</f>
        <v/>
      </c>
      <c r="AA165" s="16">
        <f>IF(OR($Y165="",$Z165=""),"",$Y165*$Z165)</f>
        <v/>
      </c>
      <c r="AB165" s="18">
        <f>IF($R165="PENDENTE","Definir classe/Kc",IF($W165="","-",IF($W165&gt;0,"Irrigar","Nao irrigar")))</f>
        <v/>
      </c>
      <c r="AC165" s="18">
        <f>IF(OR($W165="",$W165=0),"-",IF($W165&gt;=META_SEM,"Alta",IF($W165&gt;=META_SEM*FRAC_ACOMP,"Media","Baixa")))</f>
        <v/>
      </c>
      <c r="AD165" s="19" t="inlineStr"/>
    </row>
    <row r="166">
      <c r="A166" s="5" t="inlineStr">
        <is>
          <t>TK27</t>
        </is>
      </c>
      <c r="B166" s="5" t="inlineStr">
        <is>
          <t>KARITEL</t>
        </is>
      </c>
      <c r="C166" s="5" t="inlineStr"/>
      <c r="D166" s="5" t="inlineStr">
        <is>
          <t>KM1</t>
        </is>
      </c>
      <c r="E166" s="5" t="inlineStr">
        <is>
          <t>SOJA</t>
        </is>
      </c>
      <c r="F166" s="6" t="inlineStr">
        <is>
          <t>BMX DOMINIO IPRO</t>
        </is>
      </c>
      <c r="G166" s="7" t="inlineStr">
        <is>
          <t>MÉDIA</t>
        </is>
      </c>
      <c r="H166" s="8" t="n">
        <v>46330</v>
      </c>
      <c r="I166" s="9">
        <f>IF($H166="","",DATA_REF-$H166)</f>
        <v/>
      </c>
      <c r="J166" s="9">
        <f>IF($I166="","",MAX(0,$I166-'PARAMETROS'!$B$12))</f>
        <v/>
      </c>
      <c r="K166" s="10">
        <f>IFERROR(INDEX(KC_CURVAS!$C$5:$C$15,MATCH($E166&amp;"|"&amp;$G166,KC_CURVAS!$K$5:$K$15,0)),IFERROR(INDEX(KC_CURVAS!$C$5:$C$15,MATCH($E166&amp;"|",KC_CURVAS!$K$5:$K$15,0)),""))</f>
        <v/>
      </c>
      <c r="L166" s="10">
        <f>IFERROR(INDEX(KC_CURVAS!$D$5:$D$15,MATCH($E166&amp;"|"&amp;$G166,KC_CURVAS!$K$5:$K$15,0)),IFERROR(INDEX(KC_CURVAS!$D$5:$D$15,MATCH($E166&amp;"|",KC_CURVAS!$K$5:$K$15,0)),""))</f>
        <v/>
      </c>
      <c r="M166" s="10">
        <f>IFERROR(INDEX(KC_CURVAS!$E$5:$E$15,MATCH($E166&amp;"|"&amp;$G166,KC_CURVAS!$K$5:$K$15,0)),IFERROR(INDEX(KC_CURVAS!$E$5:$E$15,MATCH($E166&amp;"|",KC_CURVAS!$K$5:$K$15,0)),""))</f>
        <v/>
      </c>
      <c r="N166" s="10">
        <f>IFERROR(INDEX(KC_CURVAS!$F$5:$F$15,MATCH($E166&amp;"|"&amp;$G166,KC_CURVAS!$K$5:$K$15,0)),IFERROR(INDEX(KC_CURVAS!$F$5:$F$15,MATCH($E166&amp;"|",KC_CURVAS!$K$5:$K$15,0)),""))</f>
        <v/>
      </c>
      <c r="O166" s="11">
        <f>IFERROR(INDEX(KC_CURVAS!$G$5:$G$15,MATCH($E166&amp;"|"&amp;$G166,KC_CURVAS!$K$5:$K$15,0)),IFERROR(INDEX(KC_CURVAS!$G$5:$G$15,MATCH($E166&amp;"|",KC_CURVAS!$K$5:$K$15,0)),""))</f>
        <v/>
      </c>
      <c r="P166" s="11">
        <f>IFERROR(INDEX(KC_CURVAS!$H$5:$H$15,MATCH($E166&amp;"|"&amp;$G166,KC_CURVAS!$K$5:$K$15,0)),IFERROR(INDEX(KC_CURVAS!$H$5:$H$15,MATCH($E166&amp;"|",KC_CURVAS!$K$5:$K$15,0)),""))</f>
        <v/>
      </c>
      <c r="Q166" s="11">
        <f>IFERROR(INDEX(KC_CURVAS!$I$5:$I$15,MATCH($E166&amp;"|"&amp;$G166,KC_CURVAS!$K$5:$K$15,0)),IFERROR(INDEX(KC_CURVAS!$I$5:$I$15,MATCH($E166&amp;"|",KC_CURVAS!$K$5:$K$15,0)),""))</f>
        <v/>
      </c>
      <c r="R166" s="12">
        <f>IF(OR($J166="",$K166=""),"PENDENTE",IF($J166&lt;=$K166,$O166,IF($J166&lt;=$K166+$L166,$O166+($P166-$O166)*($J166-$K166)/$L166,IF($J166&lt;=$K166+$L166+$M166,$P166,IF($J166&lt;=$K166+$L166+$M166+$N166,$P166+($Q166-$P166)*($J166-($K166+$L166+$M166))/$N166,$Q166)))))</f>
        <v/>
      </c>
      <c r="S166" s="13">
        <f>ETO_SEM</f>
        <v/>
      </c>
      <c r="T166" s="14">
        <f>IF(OR($R166="",$R166="PENDENTE"),"",$R166*$S166)</f>
        <v/>
      </c>
      <c r="U166" s="13" t="n">
        <v>0</v>
      </c>
      <c r="V166" s="14">
        <f>IF($T166="","",MAX(0,$T166-N($U166)))</f>
        <v/>
      </c>
      <c r="W166" s="14">
        <f>IF($V166="","",$V166/EF_APLIC)</f>
        <v/>
      </c>
      <c r="X166" s="15" t="n">
        <v>313</v>
      </c>
      <c r="Y166" s="16">
        <f>IF(OR($W166="",$X166=""),"",$W166*$X166*10)</f>
        <v/>
      </c>
      <c r="Z166" s="17">
        <f>IFERROR(INDEX('PARAMETROS'!$B$16:$B$19,MATCH($D166,'PARAMETROS'!$A$16:$A$19,0)),"")</f>
        <v/>
      </c>
      <c r="AA166" s="16">
        <f>IF(OR($Y166="",$Z166=""),"",$Y166*$Z166)</f>
        <v/>
      </c>
      <c r="AB166" s="18">
        <f>IF($R166="PENDENTE","Definir classe/Kc",IF($W166="","-",IF($W166&gt;0,"Irrigar","Nao irrigar")))</f>
        <v/>
      </c>
      <c r="AC166" s="18">
        <f>IF(OR($W166="",$W166=0),"-",IF($W166&gt;=META_SEM,"Alta",IF($W166&gt;=META_SEM*FRAC_ACOMP,"Media","Baixa")))</f>
        <v/>
      </c>
      <c r="AD166" s="19" t="inlineStr"/>
    </row>
    <row r="167">
      <c r="A167" s="5" t="inlineStr">
        <is>
          <t>T46</t>
        </is>
      </c>
      <c r="B167" s="5" t="inlineStr">
        <is>
          <t>KARITEL</t>
        </is>
      </c>
      <c r="C167" s="5" t="inlineStr"/>
      <c r="D167" s="5" t="inlineStr">
        <is>
          <t>KM1</t>
        </is>
      </c>
      <c r="E167" s="5" t="inlineStr">
        <is>
          <t>SOJA</t>
        </is>
      </c>
      <c r="F167" s="6" t="inlineStr">
        <is>
          <t>M8434 12X</t>
        </is>
      </c>
      <c r="G167" s="7" t="inlineStr">
        <is>
          <t>MÉDIA</t>
        </is>
      </c>
      <c r="H167" s="8" t="n">
        <v>46331</v>
      </c>
      <c r="I167" s="9">
        <f>IF($H167="","",DATA_REF-$H167)</f>
        <v/>
      </c>
      <c r="J167" s="9">
        <f>IF($I167="","",MAX(0,$I167-'PARAMETROS'!$B$12))</f>
        <v/>
      </c>
      <c r="K167" s="10">
        <f>IFERROR(INDEX(KC_CURVAS!$C$5:$C$15,MATCH($E167&amp;"|"&amp;$G167,KC_CURVAS!$K$5:$K$15,0)),IFERROR(INDEX(KC_CURVAS!$C$5:$C$15,MATCH($E167&amp;"|",KC_CURVAS!$K$5:$K$15,0)),""))</f>
        <v/>
      </c>
      <c r="L167" s="10">
        <f>IFERROR(INDEX(KC_CURVAS!$D$5:$D$15,MATCH($E167&amp;"|"&amp;$G167,KC_CURVAS!$K$5:$K$15,0)),IFERROR(INDEX(KC_CURVAS!$D$5:$D$15,MATCH($E167&amp;"|",KC_CURVAS!$K$5:$K$15,0)),""))</f>
        <v/>
      </c>
      <c r="M167" s="10">
        <f>IFERROR(INDEX(KC_CURVAS!$E$5:$E$15,MATCH($E167&amp;"|"&amp;$G167,KC_CURVAS!$K$5:$K$15,0)),IFERROR(INDEX(KC_CURVAS!$E$5:$E$15,MATCH($E167&amp;"|",KC_CURVAS!$K$5:$K$15,0)),""))</f>
        <v/>
      </c>
      <c r="N167" s="10">
        <f>IFERROR(INDEX(KC_CURVAS!$F$5:$F$15,MATCH($E167&amp;"|"&amp;$G167,KC_CURVAS!$K$5:$K$15,0)),IFERROR(INDEX(KC_CURVAS!$F$5:$F$15,MATCH($E167&amp;"|",KC_CURVAS!$K$5:$K$15,0)),""))</f>
        <v/>
      </c>
      <c r="O167" s="11">
        <f>IFERROR(INDEX(KC_CURVAS!$G$5:$G$15,MATCH($E167&amp;"|"&amp;$G167,KC_CURVAS!$K$5:$K$15,0)),IFERROR(INDEX(KC_CURVAS!$G$5:$G$15,MATCH($E167&amp;"|",KC_CURVAS!$K$5:$K$15,0)),""))</f>
        <v/>
      </c>
      <c r="P167" s="11">
        <f>IFERROR(INDEX(KC_CURVAS!$H$5:$H$15,MATCH($E167&amp;"|"&amp;$G167,KC_CURVAS!$K$5:$K$15,0)),IFERROR(INDEX(KC_CURVAS!$H$5:$H$15,MATCH($E167&amp;"|",KC_CURVAS!$K$5:$K$15,0)),""))</f>
        <v/>
      </c>
      <c r="Q167" s="11">
        <f>IFERROR(INDEX(KC_CURVAS!$I$5:$I$15,MATCH($E167&amp;"|"&amp;$G167,KC_CURVAS!$K$5:$K$15,0)),IFERROR(INDEX(KC_CURVAS!$I$5:$I$15,MATCH($E167&amp;"|",KC_CURVAS!$K$5:$K$15,0)),""))</f>
        <v/>
      </c>
      <c r="R167" s="12">
        <f>IF(OR($J167="",$K167=""),"PENDENTE",IF($J167&lt;=$K167,$O167,IF($J167&lt;=$K167+$L167,$O167+($P167-$O167)*($J167-$K167)/$L167,IF($J167&lt;=$K167+$L167+$M167,$P167,IF($J167&lt;=$K167+$L167+$M167+$N167,$P167+($Q167-$P167)*($J167-($K167+$L167+$M167))/$N167,$Q167)))))</f>
        <v/>
      </c>
      <c r="S167" s="13">
        <f>ETO_SEM</f>
        <v/>
      </c>
      <c r="T167" s="14">
        <f>IF(OR($R167="",$R167="PENDENTE"),"",$R167*$S167)</f>
        <v/>
      </c>
      <c r="U167" s="13" t="n">
        <v>0</v>
      </c>
      <c r="V167" s="14">
        <f>IF($T167="","",MAX(0,$T167-N($U167)))</f>
        <v/>
      </c>
      <c r="W167" s="14">
        <f>IF($V167="","",$V167/EF_APLIC)</f>
        <v/>
      </c>
      <c r="X167" s="15" t="n">
        <v>160</v>
      </c>
      <c r="Y167" s="16">
        <f>IF(OR($W167="",$X167=""),"",$W167*$X167*10)</f>
        <v/>
      </c>
      <c r="Z167" s="17">
        <f>IFERROR(INDEX('PARAMETROS'!$B$16:$B$19,MATCH($D167,'PARAMETROS'!$A$16:$A$19,0)),"")</f>
        <v/>
      </c>
      <c r="AA167" s="16">
        <f>IF(OR($Y167="",$Z167=""),"",$Y167*$Z167)</f>
        <v/>
      </c>
      <c r="AB167" s="18">
        <f>IF($R167="PENDENTE","Definir classe/Kc",IF($W167="","-",IF($W167&gt;0,"Irrigar","Nao irrigar")))</f>
        <v/>
      </c>
      <c r="AC167" s="18">
        <f>IF(OR($W167="",$W167=0),"-",IF($W167&gt;=META_SEM,"Alta",IF($W167&gt;=META_SEM*FRAC_ACOMP,"Media","Baixa")))</f>
        <v/>
      </c>
      <c r="AD167" s="19" t="inlineStr"/>
    </row>
    <row r="168">
      <c r="A168" s="5" t="inlineStr">
        <is>
          <t>T52</t>
        </is>
      </c>
      <c r="B168" s="5" t="inlineStr">
        <is>
          <t>KARITEL</t>
        </is>
      </c>
      <c r="C168" s="5" t="inlineStr"/>
      <c r="D168" s="5" t="inlineStr">
        <is>
          <t>KM2</t>
        </is>
      </c>
      <c r="E168" s="5" t="inlineStr">
        <is>
          <t>SOJA</t>
        </is>
      </c>
      <c r="F168" s="6" t="inlineStr">
        <is>
          <t>M8434 12X</t>
        </is>
      </c>
      <c r="G168" s="7" t="inlineStr">
        <is>
          <t>MÉDIA</t>
        </is>
      </c>
      <c r="H168" s="8" t="n">
        <v>46331</v>
      </c>
      <c r="I168" s="9">
        <f>IF($H168="","",DATA_REF-$H168)</f>
        <v/>
      </c>
      <c r="J168" s="9">
        <f>IF($I168="","",MAX(0,$I168-'PARAMETROS'!$B$12))</f>
        <v/>
      </c>
      <c r="K168" s="10">
        <f>IFERROR(INDEX(KC_CURVAS!$C$5:$C$15,MATCH($E168&amp;"|"&amp;$G168,KC_CURVAS!$K$5:$K$15,0)),IFERROR(INDEX(KC_CURVAS!$C$5:$C$15,MATCH($E168&amp;"|",KC_CURVAS!$K$5:$K$15,0)),""))</f>
        <v/>
      </c>
      <c r="L168" s="10">
        <f>IFERROR(INDEX(KC_CURVAS!$D$5:$D$15,MATCH($E168&amp;"|"&amp;$G168,KC_CURVAS!$K$5:$K$15,0)),IFERROR(INDEX(KC_CURVAS!$D$5:$D$15,MATCH($E168&amp;"|",KC_CURVAS!$K$5:$K$15,0)),""))</f>
        <v/>
      </c>
      <c r="M168" s="10">
        <f>IFERROR(INDEX(KC_CURVAS!$E$5:$E$15,MATCH($E168&amp;"|"&amp;$G168,KC_CURVAS!$K$5:$K$15,0)),IFERROR(INDEX(KC_CURVAS!$E$5:$E$15,MATCH($E168&amp;"|",KC_CURVAS!$K$5:$K$15,0)),""))</f>
        <v/>
      </c>
      <c r="N168" s="10">
        <f>IFERROR(INDEX(KC_CURVAS!$F$5:$F$15,MATCH($E168&amp;"|"&amp;$G168,KC_CURVAS!$K$5:$K$15,0)),IFERROR(INDEX(KC_CURVAS!$F$5:$F$15,MATCH($E168&amp;"|",KC_CURVAS!$K$5:$K$15,0)),""))</f>
        <v/>
      </c>
      <c r="O168" s="11">
        <f>IFERROR(INDEX(KC_CURVAS!$G$5:$G$15,MATCH($E168&amp;"|"&amp;$G168,KC_CURVAS!$K$5:$K$15,0)),IFERROR(INDEX(KC_CURVAS!$G$5:$G$15,MATCH($E168&amp;"|",KC_CURVAS!$K$5:$K$15,0)),""))</f>
        <v/>
      </c>
      <c r="P168" s="11">
        <f>IFERROR(INDEX(KC_CURVAS!$H$5:$H$15,MATCH($E168&amp;"|"&amp;$G168,KC_CURVAS!$K$5:$K$15,0)),IFERROR(INDEX(KC_CURVAS!$H$5:$H$15,MATCH($E168&amp;"|",KC_CURVAS!$K$5:$K$15,0)),""))</f>
        <v/>
      </c>
      <c r="Q168" s="11">
        <f>IFERROR(INDEX(KC_CURVAS!$I$5:$I$15,MATCH($E168&amp;"|"&amp;$G168,KC_CURVAS!$K$5:$K$15,0)),IFERROR(INDEX(KC_CURVAS!$I$5:$I$15,MATCH($E168&amp;"|",KC_CURVAS!$K$5:$K$15,0)),""))</f>
        <v/>
      </c>
      <c r="R168" s="12">
        <f>IF(OR($J168="",$K168=""),"PENDENTE",IF($J168&lt;=$K168,$O168,IF($J168&lt;=$K168+$L168,$O168+($P168-$O168)*($J168-$K168)/$L168,IF($J168&lt;=$K168+$L168+$M168,$P168,IF($J168&lt;=$K168+$L168+$M168+$N168,$P168+($Q168-$P168)*($J168-($K168+$L168+$M168))/$N168,$Q168)))))</f>
        <v/>
      </c>
      <c r="S168" s="13">
        <f>ETO_SEM</f>
        <v/>
      </c>
      <c r="T168" s="14">
        <f>IF(OR($R168="",$R168="PENDENTE"),"",$R168*$S168)</f>
        <v/>
      </c>
      <c r="U168" s="13" t="n">
        <v>0</v>
      </c>
      <c r="V168" s="14">
        <f>IF($T168="","",MAX(0,$T168-N($U168)))</f>
        <v/>
      </c>
      <c r="W168" s="14">
        <f>IF($V168="","",$V168/EF_APLIC)</f>
        <v/>
      </c>
      <c r="X168" s="15" t="n">
        <v>160</v>
      </c>
      <c r="Y168" s="16">
        <f>IF(OR($W168="",$X168=""),"",$W168*$X168*10)</f>
        <v/>
      </c>
      <c r="Z168" s="17">
        <f>IFERROR(INDEX('PARAMETROS'!$B$16:$B$19,MATCH($D168,'PARAMETROS'!$A$16:$A$19,0)),"")</f>
        <v/>
      </c>
      <c r="AA168" s="16">
        <f>IF(OR($Y168="",$Z168=""),"",$Y168*$Z168)</f>
        <v/>
      </c>
      <c r="AB168" s="18">
        <f>IF($R168="PENDENTE","Definir classe/Kc",IF($W168="","-",IF($W168&gt;0,"Irrigar","Nao irrigar")))</f>
        <v/>
      </c>
      <c r="AC168" s="18">
        <f>IF(OR($W168="",$W168=0),"-",IF($W168&gt;=META_SEM,"Alta",IF($W168&gt;=META_SEM*FRAC_ACOMP,"Media","Baixa")))</f>
        <v/>
      </c>
      <c r="AD168" s="19" t="inlineStr"/>
    </row>
    <row r="169">
      <c r="A169" s="5" t="inlineStr">
        <is>
          <t>TR01</t>
        </is>
      </c>
      <c r="B169" s="5" t="inlineStr">
        <is>
          <t>RDM</t>
        </is>
      </c>
      <c r="C169" s="5" t="inlineStr"/>
      <c r="D169" s="5" t="inlineStr"/>
      <c r="E169" s="5" t="inlineStr">
        <is>
          <t>SOJA</t>
        </is>
      </c>
      <c r="F169" s="6" t="inlineStr">
        <is>
          <t>BMX DOMINIO IPRO</t>
        </is>
      </c>
      <c r="G169" s="7" t="inlineStr">
        <is>
          <t>MÉDIA</t>
        </is>
      </c>
      <c r="H169" s="8" t="n">
        <v>46331</v>
      </c>
      <c r="I169" s="9">
        <f>IF($H169="","",DATA_REF-$H169)</f>
        <v/>
      </c>
      <c r="J169" s="9">
        <f>IF($I169="","",MAX(0,$I169-'PARAMETROS'!$B$12))</f>
        <v/>
      </c>
      <c r="K169" s="10">
        <f>IFERROR(INDEX(KC_CURVAS!$C$5:$C$15,MATCH($E169&amp;"|"&amp;$G169,KC_CURVAS!$K$5:$K$15,0)),IFERROR(INDEX(KC_CURVAS!$C$5:$C$15,MATCH($E169&amp;"|",KC_CURVAS!$K$5:$K$15,0)),""))</f>
        <v/>
      </c>
      <c r="L169" s="10">
        <f>IFERROR(INDEX(KC_CURVAS!$D$5:$D$15,MATCH($E169&amp;"|"&amp;$G169,KC_CURVAS!$K$5:$K$15,0)),IFERROR(INDEX(KC_CURVAS!$D$5:$D$15,MATCH($E169&amp;"|",KC_CURVAS!$K$5:$K$15,0)),""))</f>
        <v/>
      </c>
      <c r="M169" s="10">
        <f>IFERROR(INDEX(KC_CURVAS!$E$5:$E$15,MATCH($E169&amp;"|"&amp;$G169,KC_CURVAS!$K$5:$K$15,0)),IFERROR(INDEX(KC_CURVAS!$E$5:$E$15,MATCH($E169&amp;"|",KC_CURVAS!$K$5:$K$15,0)),""))</f>
        <v/>
      </c>
      <c r="N169" s="10">
        <f>IFERROR(INDEX(KC_CURVAS!$F$5:$F$15,MATCH($E169&amp;"|"&amp;$G169,KC_CURVAS!$K$5:$K$15,0)),IFERROR(INDEX(KC_CURVAS!$F$5:$F$15,MATCH($E169&amp;"|",KC_CURVAS!$K$5:$K$15,0)),""))</f>
        <v/>
      </c>
      <c r="O169" s="11">
        <f>IFERROR(INDEX(KC_CURVAS!$G$5:$G$15,MATCH($E169&amp;"|"&amp;$G169,KC_CURVAS!$K$5:$K$15,0)),IFERROR(INDEX(KC_CURVAS!$G$5:$G$15,MATCH($E169&amp;"|",KC_CURVAS!$K$5:$K$15,0)),""))</f>
        <v/>
      </c>
      <c r="P169" s="11">
        <f>IFERROR(INDEX(KC_CURVAS!$H$5:$H$15,MATCH($E169&amp;"|"&amp;$G169,KC_CURVAS!$K$5:$K$15,0)),IFERROR(INDEX(KC_CURVAS!$H$5:$H$15,MATCH($E169&amp;"|",KC_CURVAS!$K$5:$K$15,0)),""))</f>
        <v/>
      </c>
      <c r="Q169" s="11">
        <f>IFERROR(INDEX(KC_CURVAS!$I$5:$I$15,MATCH($E169&amp;"|"&amp;$G169,KC_CURVAS!$K$5:$K$15,0)),IFERROR(INDEX(KC_CURVAS!$I$5:$I$15,MATCH($E169&amp;"|",KC_CURVAS!$K$5:$K$15,0)),""))</f>
        <v/>
      </c>
      <c r="R169" s="12">
        <f>IF(OR($J169="",$K169=""),"PENDENTE",IF($J169&lt;=$K169,$O169,IF($J169&lt;=$K169+$L169,$O169+($P169-$O169)*($J169-$K169)/$L169,IF($J169&lt;=$K169+$L169+$M169,$P169,IF($J169&lt;=$K169+$L169+$M169+$N169,$P169+($Q169-$P169)*($J169-($K169+$L169+$M169))/$N169,$Q169)))))</f>
        <v/>
      </c>
      <c r="S169" s="13">
        <f>ETO_SEM</f>
        <v/>
      </c>
      <c r="T169" s="14">
        <f>IF(OR($R169="",$R169="PENDENTE"),"",$R169*$S169)</f>
        <v/>
      </c>
      <c r="U169" s="13" t="n">
        <v>0</v>
      </c>
      <c r="V169" s="14">
        <f>IF($T169="","",MAX(0,$T169-N($U169)))</f>
        <v/>
      </c>
      <c r="W169" s="14">
        <f>IF($V169="","",$V169/EF_APLIC)</f>
        <v/>
      </c>
      <c r="X169" s="15" t="n">
        <v>71</v>
      </c>
      <c r="Y169" s="16">
        <f>IF(OR($W169="",$X169=""),"",$W169*$X169*10)</f>
        <v/>
      </c>
      <c r="Z169" s="17">
        <f>IFERROR(INDEX('PARAMETROS'!$B$16:$B$19,MATCH($D169,'PARAMETROS'!$A$16:$A$19,0)),"")</f>
        <v/>
      </c>
      <c r="AA169" s="16">
        <f>IF(OR($Y169="",$Z169=""),"",$Y169*$Z169)</f>
        <v/>
      </c>
      <c r="AB169" s="18">
        <f>IF($R169="PENDENTE","Definir classe/Kc",IF($W169="","-",IF($W169&gt;0,"Irrigar","Nao irrigar")))</f>
        <v/>
      </c>
      <c r="AC169" s="18">
        <f>IF(OR($W169="",$W169=0),"-",IF($W169&gt;=META_SEM,"Alta",IF($W169&gt;=META_SEM*FRAC_ACOMP,"Media","Baixa")))</f>
        <v/>
      </c>
      <c r="AD169" s="19" t="inlineStr"/>
    </row>
    <row r="170">
      <c r="A170" s="5" t="inlineStr">
        <is>
          <t>TR02</t>
        </is>
      </c>
      <c r="B170" s="5" t="inlineStr">
        <is>
          <t>RDM</t>
        </is>
      </c>
      <c r="C170" s="5" t="inlineStr"/>
      <c r="D170" s="5" t="inlineStr"/>
      <c r="E170" s="5" t="inlineStr">
        <is>
          <t>SOJA</t>
        </is>
      </c>
      <c r="F170" s="6" t="inlineStr">
        <is>
          <t>BMX DOMINIO IPRO</t>
        </is>
      </c>
      <c r="G170" s="7" t="inlineStr">
        <is>
          <t>MÉDIA</t>
        </is>
      </c>
      <c r="H170" s="8" t="n">
        <v>46331</v>
      </c>
      <c r="I170" s="9">
        <f>IF($H170="","",DATA_REF-$H170)</f>
        <v/>
      </c>
      <c r="J170" s="9">
        <f>IF($I170="","",MAX(0,$I170-'PARAMETROS'!$B$12))</f>
        <v/>
      </c>
      <c r="K170" s="10">
        <f>IFERROR(INDEX(KC_CURVAS!$C$5:$C$15,MATCH($E170&amp;"|"&amp;$G170,KC_CURVAS!$K$5:$K$15,0)),IFERROR(INDEX(KC_CURVAS!$C$5:$C$15,MATCH($E170&amp;"|",KC_CURVAS!$K$5:$K$15,0)),""))</f>
        <v/>
      </c>
      <c r="L170" s="10">
        <f>IFERROR(INDEX(KC_CURVAS!$D$5:$D$15,MATCH($E170&amp;"|"&amp;$G170,KC_CURVAS!$K$5:$K$15,0)),IFERROR(INDEX(KC_CURVAS!$D$5:$D$15,MATCH($E170&amp;"|",KC_CURVAS!$K$5:$K$15,0)),""))</f>
        <v/>
      </c>
      <c r="M170" s="10">
        <f>IFERROR(INDEX(KC_CURVAS!$E$5:$E$15,MATCH($E170&amp;"|"&amp;$G170,KC_CURVAS!$K$5:$K$15,0)),IFERROR(INDEX(KC_CURVAS!$E$5:$E$15,MATCH($E170&amp;"|",KC_CURVAS!$K$5:$K$15,0)),""))</f>
        <v/>
      </c>
      <c r="N170" s="10">
        <f>IFERROR(INDEX(KC_CURVAS!$F$5:$F$15,MATCH($E170&amp;"|"&amp;$G170,KC_CURVAS!$K$5:$K$15,0)),IFERROR(INDEX(KC_CURVAS!$F$5:$F$15,MATCH($E170&amp;"|",KC_CURVAS!$K$5:$K$15,0)),""))</f>
        <v/>
      </c>
      <c r="O170" s="11">
        <f>IFERROR(INDEX(KC_CURVAS!$G$5:$G$15,MATCH($E170&amp;"|"&amp;$G170,KC_CURVAS!$K$5:$K$15,0)),IFERROR(INDEX(KC_CURVAS!$G$5:$G$15,MATCH($E170&amp;"|",KC_CURVAS!$K$5:$K$15,0)),""))</f>
        <v/>
      </c>
      <c r="P170" s="11">
        <f>IFERROR(INDEX(KC_CURVAS!$H$5:$H$15,MATCH($E170&amp;"|"&amp;$G170,KC_CURVAS!$K$5:$K$15,0)),IFERROR(INDEX(KC_CURVAS!$H$5:$H$15,MATCH($E170&amp;"|",KC_CURVAS!$K$5:$K$15,0)),""))</f>
        <v/>
      </c>
      <c r="Q170" s="11">
        <f>IFERROR(INDEX(KC_CURVAS!$I$5:$I$15,MATCH($E170&amp;"|"&amp;$G170,KC_CURVAS!$K$5:$K$15,0)),IFERROR(INDEX(KC_CURVAS!$I$5:$I$15,MATCH($E170&amp;"|",KC_CURVAS!$K$5:$K$15,0)),""))</f>
        <v/>
      </c>
      <c r="R170" s="12">
        <f>IF(OR($J170="",$K170=""),"PENDENTE",IF($J170&lt;=$K170,$O170,IF($J170&lt;=$K170+$L170,$O170+($P170-$O170)*($J170-$K170)/$L170,IF($J170&lt;=$K170+$L170+$M170,$P170,IF($J170&lt;=$K170+$L170+$M170+$N170,$P170+($Q170-$P170)*($J170-($K170+$L170+$M170))/$N170,$Q170)))))</f>
        <v/>
      </c>
      <c r="S170" s="13">
        <f>ETO_SEM</f>
        <v/>
      </c>
      <c r="T170" s="14">
        <f>IF(OR($R170="",$R170="PENDENTE"),"",$R170*$S170)</f>
        <v/>
      </c>
      <c r="U170" s="13" t="n">
        <v>0</v>
      </c>
      <c r="V170" s="14">
        <f>IF($T170="","",MAX(0,$T170-N($U170)))</f>
        <v/>
      </c>
      <c r="W170" s="14">
        <f>IF($V170="","",$V170/EF_APLIC)</f>
        <v/>
      </c>
      <c r="X170" s="15" t="n">
        <v>38</v>
      </c>
      <c r="Y170" s="16">
        <f>IF(OR($W170="",$X170=""),"",$W170*$X170*10)</f>
        <v/>
      </c>
      <c r="Z170" s="17">
        <f>IFERROR(INDEX('PARAMETROS'!$B$16:$B$19,MATCH($D170,'PARAMETROS'!$A$16:$A$19,0)),"")</f>
        <v/>
      </c>
      <c r="AA170" s="16">
        <f>IF(OR($Y170="",$Z170=""),"",$Y170*$Z170)</f>
        <v/>
      </c>
      <c r="AB170" s="18">
        <f>IF($R170="PENDENTE","Definir classe/Kc",IF($W170="","-",IF($W170&gt;0,"Irrigar","Nao irrigar")))</f>
        <v/>
      </c>
      <c r="AC170" s="18">
        <f>IF(OR($W170="",$W170=0),"-",IF($W170&gt;=META_SEM,"Alta",IF($W170&gt;=META_SEM*FRAC_ACOMP,"Media","Baixa")))</f>
        <v/>
      </c>
      <c r="AD170" s="19" t="inlineStr"/>
    </row>
    <row r="171">
      <c r="A171" s="5" t="inlineStr">
        <is>
          <t>TR03</t>
        </is>
      </c>
      <c r="B171" s="5" t="inlineStr">
        <is>
          <t>RDM</t>
        </is>
      </c>
      <c r="C171" s="5" t="inlineStr"/>
      <c r="D171" s="5" t="inlineStr"/>
      <c r="E171" s="5" t="inlineStr">
        <is>
          <t>SOJA</t>
        </is>
      </c>
      <c r="F171" s="6" t="inlineStr">
        <is>
          <t>BMX DOMINIO IPRO</t>
        </is>
      </c>
      <c r="G171" s="7" t="inlineStr">
        <is>
          <t>MÉDIA</t>
        </is>
      </c>
      <c r="H171" s="8" t="n">
        <v>46332</v>
      </c>
      <c r="I171" s="9">
        <f>IF($H171="","",DATA_REF-$H171)</f>
        <v/>
      </c>
      <c r="J171" s="9">
        <f>IF($I171="","",MAX(0,$I171-'PARAMETROS'!$B$12))</f>
        <v/>
      </c>
      <c r="K171" s="10">
        <f>IFERROR(INDEX(KC_CURVAS!$C$5:$C$15,MATCH($E171&amp;"|"&amp;$G171,KC_CURVAS!$K$5:$K$15,0)),IFERROR(INDEX(KC_CURVAS!$C$5:$C$15,MATCH($E171&amp;"|",KC_CURVAS!$K$5:$K$15,0)),""))</f>
        <v/>
      </c>
      <c r="L171" s="10">
        <f>IFERROR(INDEX(KC_CURVAS!$D$5:$D$15,MATCH($E171&amp;"|"&amp;$G171,KC_CURVAS!$K$5:$K$15,0)),IFERROR(INDEX(KC_CURVAS!$D$5:$D$15,MATCH($E171&amp;"|",KC_CURVAS!$K$5:$K$15,0)),""))</f>
        <v/>
      </c>
      <c r="M171" s="10">
        <f>IFERROR(INDEX(KC_CURVAS!$E$5:$E$15,MATCH($E171&amp;"|"&amp;$G171,KC_CURVAS!$K$5:$K$15,0)),IFERROR(INDEX(KC_CURVAS!$E$5:$E$15,MATCH($E171&amp;"|",KC_CURVAS!$K$5:$K$15,0)),""))</f>
        <v/>
      </c>
      <c r="N171" s="10">
        <f>IFERROR(INDEX(KC_CURVAS!$F$5:$F$15,MATCH($E171&amp;"|"&amp;$G171,KC_CURVAS!$K$5:$K$15,0)),IFERROR(INDEX(KC_CURVAS!$F$5:$F$15,MATCH($E171&amp;"|",KC_CURVAS!$K$5:$K$15,0)),""))</f>
        <v/>
      </c>
      <c r="O171" s="11">
        <f>IFERROR(INDEX(KC_CURVAS!$G$5:$G$15,MATCH($E171&amp;"|"&amp;$G171,KC_CURVAS!$K$5:$K$15,0)),IFERROR(INDEX(KC_CURVAS!$G$5:$G$15,MATCH($E171&amp;"|",KC_CURVAS!$K$5:$K$15,0)),""))</f>
        <v/>
      </c>
      <c r="P171" s="11">
        <f>IFERROR(INDEX(KC_CURVAS!$H$5:$H$15,MATCH($E171&amp;"|"&amp;$G171,KC_CURVAS!$K$5:$K$15,0)),IFERROR(INDEX(KC_CURVAS!$H$5:$H$15,MATCH($E171&amp;"|",KC_CURVAS!$K$5:$K$15,0)),""))</f>
        <v/>
      </c>
      <c r="Q171" s="11">
        <f>IFERROR(INDEX(KC_CURVAS!$I$5:$I$15,MATCH($E171&amp;"|"&amp;$G171,KC_CURVAS!$K$5:$K$15,0)),IFERROR(INDEX(KC_CURVAS!$I$5:$I$15,MATCH($E171&amp;"|",KC_CURVAS!$K$5:$K$15,0)),""))</f>
        <v/>
      </c>
      <c r="R171" s="12">
        <f>IF(OR($J171="",$K171=""),"PENDENTE",IF($J171&lt;=$K171,$O171,IF($J171&lt;=$K171+$L171,$O171+($P171-$O171)*($J171-$K171)/$L171,IF($J171&lt;=$K171+$L171+$M171,$P171,IF($J171&lt;=$K171+$L171+$M171+$N171,$P171+($Q171-$P171)*($J171-($K171+$L171+$M171))/$N171,$Q171)))))</f>
        <v/>
      </c>
      <c r="S171" s="13">
        <f>ETO_SEM</f>
        <v/>
      </c>
      <c r="T171" s="14">
        <f>IF(OR($R171="",$R171="PENDENTE"),"",$R171*$S171)</f>
        <v/>
      </c>
      <c r="U171" s="13" t="n">
        <v>0</v>
      </c>
      <c r="V171" s="14">
        <f>IF($T171="","",MAX(0,$T171-N($U171)))</f>
        <v/>
      </c>
      <c r="W171" s="14">
        <f>IF($V171="","",$V171/EF_APLIC)</f>
        <v/>
      </c>
      <c r="X171" s="15" t="n">
        <v>162</v>
      </c>
      <c r="Y171" s="16">
        <f>IF(OR($W171="",$X171=""),"",$W171*$X171*10)</f>
        <v/>
      </c>
      <c r="Z171" s="17">
        <f>IFERROR(INDEX('PARAMETROS'!$B$16:$B$19,MATCH($D171,'PARAMETROS'!$A$16:$A$19,0)),"")</f>
        <v/>
      </c>
      <c r="AA171" s="16">
        <f>IF(OR($Y171="",$Z171=""),"",$Y171*$Z171)</f>
        <v/>
      </c>
      <c r="AB171" s="18">
        <f>IF($R171="PENDENTE","Definir classe/Kc",IF($W171="","-",IF($W171&gt;0,"Irrigar","Nao irrigar")))</f>
        <v/>
      </c>
      <c r="AC171" s="18">
        <f>IF(OR($W171="",$W171=0),"-",IF($W171&gt;=META_SEM,"Alta",IF($W171&gt;=META_SEM*FRAC_ACOMP,"Media","Baixa")))</f>
        <v/>
      </c>
      <c r="AD171" s="19" t="inlineStr"/>
    </row>
    <row r="172">
      <c r="A172" s="5" t="inlineStr">
        <is>
          <t>TR04</t>
        </is>
      </c>
      <c r="B172" s="5" t="inlineStr">
        <is>
          <t>RDM</t>
        </is>
      </c>
      <c r="C172" s="5" t="inlineStr"/>
      <c r="D172" s="5" t="inlineStr"/>
      <c r="E172" s="5" t="inlineStr">
        <is>
          <t>SOJA</t>
        </is>
      </c>
      <c r="F172" s="6" t="inlineStr">
        <is>
          <t>BMX DOMINIO IPRO</t>
        </is>
      </c>
      <c r="G172" s="7" t="inlineStr">
        <is>
          <t>MÉDIA</t>
        </is>
      </c>
      <c r="H172" s="8" t="n">
        <v>46332</v>
      </c>
      <c r="I172" s="9">
        <f>IF($H172="","",DATA_REF-$H172)</f>
        <v/>
      </c>
      <c r="J172" s="9">
        <f>IF($I172="","",MAX(0,$I172-'PARAMETROS'!$B$12))</f>
        <v/>
      </c>
      <c r="K172" s="10">
        <f>IFERROR(INDEX(KC_CURVAS!$C$5:$C$15,MATCH($E172&amp;"|"&amp;$G172,KC_CURVAS!$K$5:$K$15,0)),IFERROR(INDEX(KC_CURVAS!$C$5:$C$15,MATCH($E172&amp;"|",KC_CURVAS!$K$5:$K$15,0)),""))</f>
        <v/>
      </c>
      <c r="L172" s="10">
        <f>IFERROR(INDEX(KC_CURVAS!$D$5:$D$15,MATCH($E172&amp;"|"&amp;$G172,KC_CURVAS!$K$5:$K$15,0)),IFERROR(INDEX(KC_CURVAS!$D$5:$D$15,MATCH($E172&amp;"|",KC_CURVAS!$K$5:$K$15,0)),""))</f>
        <v/>
      </c>
      <c r="M172" s="10">
        <f>IFERROR(INDEX(KC_CURVAS!$E$5:$E$15,MATCH($E172&amp;"|"&amp;$G172,KC_CURVAS!$K$5:$K$15,0)),IFERROR(INDEX(KC_CURVAS!$E$5:$E$15,MATCH($E172&amp;"|",KC_CURVAS!$K$5:$K$15,0)),""))</f>
        <v/>
      </c>
      <c r="N172" s="10">
        <f>IFERROR(INDEX(KC_CURVAS!$F$5:$F$15,MATCH($E172&amp;"|"&amp;$G172,KC_CURVAS!$K$5:$K$15,0)),IFERROR(INDEX(KC_CURVAS!$F$5:$F$15,MATCH($E172&amp;"|",KC_CURVAS!$K$5:$K$15,0)),""))</f>
        <v/>
      </c>
      <c r="O172" s="11">
        <f>IFERROR(INDEX(KC_CURVAS!$G$5:$G$15,MATCH($E172&amp;"|"&amp;$G172,KC_CURVAS!$K$5:$K$15,0)),IFERROR(INDEX(KC_CURVAS!$G$5:$G$15,MATCH($E172&amp;"|",KC_CURVAS!$K$5:$K$15,0)),""))</f>
        <v/>
      </c>
      <c r="P172" s="11">
        <f>IFERROR(INDEX(KC_CURVAS!$H$5:$H$15,MATCH($E172&amp;"|"&amp;$G172,KC_CURVAS!$K$5:$K$15,0)),IFERROR(INDEX(KC_CURVAS!$H$5:$H$15,MATCH($E172&amp;"|",KC_CURVAS!$K$5:$K$15,0)),""))</f>
        <v/>
      </c>
      <c r="Q172" s="11">
        <f>IFERROR(INDEX(KC_CURVAS!$I$5:$I$15,MATCH($E172&amp;"|"&amp;$G172,KC_CURVAS!$K$5:$K$15,0)),IFERROR(INDEX(KC_CURVAS!$I$5:$I$15,MATCH($E172&amp;"|",KC_CURVAS!$K$5:$K$15,0)),""))</f>
        <v/>
      </c>
      <c r="R172" s="12">
        <f>IF(OR($J172="",$K172=""),"PENDENTE",IF($J172&lt;=$K172,$O172,IF($J172&lt;=$K172+$L172,$O172+($P172-$O172)*($J172-$K172)/$L172,IF($J172&lt;=$K172+$L172+$M172,$P172,IF($J172&lt;=$K172+$L172+$M172+$N172,$P172+($Q172-$P172)*($J172-($K172+$L172+$M172))/$N172,$Q172)))))</f>
        <v/>
      </c>
      <c r="S172" s="13">
        <f>ETO_SEM</f>
        <v/>
      </c>
      <c r="T172" s="14">
        <f>IF(OR($R172="",$R172="PENDENTE"),"",$R172*$S172)</f>
        <v/>
      </c>
      <c r="U172" s="13" t="n">
        <v>0</v>
      </c>
      <c r="V172" s="14">
        <f>IF($T172="","",MAX(0,$T172-N($U172)))</f>
        <v/>
      </c>
      <c r="W172" s="14">
        <f>IF($V172="","",$V172/EF_APLIC)</f>
        <v/>
      </c>
      <c r="X172" s="15" t="n">
        <v>240</v>
      </c>
      <c r="Y172" s="16">
        <f>IF(OR($W172="",$X172=""),"",$W172*$X172*10)</f>
        <v/>
      </c>
      <c r="Z172" s="17">
        <f>IFERROR(INDEX('PARAMETROS'!$B$16:$B$19,MATCH($D172,'PARAMETROS'!$A$16:$A$19,0)),"")</f>
        <v/>
      </c>
      <c r="AA172" s="16">
        <f>IF(OR($Y172="",$Z172=""),"",$Y172*$Z172)</f>
        <v/>
      </c>
      <c r="AB172" s="18">
        <f>IF($R172="PENDENTE","Definir classe/Kc",IF($W172="","-",IF($W172&gt;0,"Irrigar","Nao irrigar")))</f>
        <v/>
      </c>
      <c r="AC172" s="18">
        <f>IF(OR($W172="",$W172=0),"-",IF($W172&gt;=META_SEM,"Alta",IF($W172&gt;=META_SEM*FRAC_ACOMP,"Media","Baixa")))</f>
        <v/>
      </c>
      <c r="AD172" s="19" t="inlineStr"/>
    </row>
    <row r="173">
      <c r="A173" s="5" t="inlineStr">
        <is>
          <t>TR05</t>
        </is>
      </c>
      <c r="B173" s="5" t="inlineStr">
        <is>
          <t>RDM</t>
        </is>
      </c>
      <c r="C173" s="5" t="inlineStr"/>
      <c r="D173" s="5" t="inlineStr"/>
      <c r="E173" s="5" t="inlineStr">
        <is>
          <t>SOJA</t>
        </is>
      </c>
      <c r="F173" s="6" t="inlineStr">
        <is>
          <t>BMX DOMINIO IPRO</t>
        </is>
      </c>
      <c r="G173" s="7" t="inlineStr">
        <is>
          <t>MÉDIA</t>
        </is>
      </c>
      <c r="H173" s="8" t="n">
        <v>46332</v>
      </c>
      <c r="I173" s="9">
        <f>IF($H173="","",DATA_REF-$H173)</f>
        <v/>
      </c>
      <c r="J173" s="9">
        <f>IF($I173="","",MAX(0,$I173-'PARAMETROS'!$B$12))</f>
        <v/>
      </c>
      <c r="K173" s="10">
        <f>IFERROR(INDEX(KC_CURVAS!$C$5:$C$15,MATCH($E173&amp;"|"&amp;$G173,KC_CURVAS!$K$5:$K$15,0)),IFERROR(INDEX(KC_CURVAS!$C$5:$C$15,MATCH($E173&amp;"|",KC_CURVAS!$K$5:$K$15,0)),""))</f>
        <v/>
      </c>
      <c r="L173" s="10">
        <f>IFERROR(INDEX(KC_CURVAS!$D$5:$D$15,MATCH($E173&amp;"|"&amp;$G173,KC_CURVAS!$K$5:$K$15,0)),IFERROR(INDEX(KC_CURVAS!$D$5:$D$15,MATCH($E173&amp;"|",KC_CURVAS!$K$5:$K$15,0)),""))</f>
        <v/>
      </c>
      <c r="M173" s="10">
        <f>IFERROR(INDEX(KC_CURVAS!$E$5:$E$15,MATCH($E173&amp;"|"&amp;$G173,KC_CURVAS!$K$5:$K$15,0)),IFERROR(INDEX(KC_CURVAS!$E$5:$E$15,MATCH($E173&amp;"|",KC_CURVAS!$K$5:$K$15,0)),""))</f>
        <v/>
      </c>
      <c r="N173" s="10">
        <f>IFERROR(INDEX(KC_CURVAS!$F$5:$F$15,MATCH($E173&amp;"|"&amp;$G173,KC_CURVAS!$K$5:$K$15,0)),IFERROR(INDEX(KC_CURVAS!$F$5:$F$15,MATCH($E173&amp;"|",KC_CURVAS!$K$5:$K$15,0)),""))</f>
        <v/>
      </c>
      <c r="O173" s="11">
        <f>IFERROR(INDEX(KC_CURVAS!$G$5:$G$15,MATCH($E173&amp;"|"&amp;$G173,KC_CURVAS!$K$5:$K$15,0)),IFERROR(INDEX(KC_CURVAS!$G$5:$G$15,MATCH($E173&amp;"|",KC_CURVAS!$K$5:$K$15,0)),""))</f>
        <v/>
      </c>
      <c r="P173" s="11">
        <f>IFERROR(INDEX(KC_CURVAS!$H$5:$H$15,MATCH($E173&amp;"|"&amp;$G173,KC_CURVAS!$K$5:$K$15,0)),IFERROR(INDEX(KC_CURVAS!$H$5:$H$15,MATCH($E173&amp;"|",KC_CURVAS!$K$5:$K$15,0)),""))</f>
        <v/>
      </c>
      <c r="Q173" s="11">
        <f>IFERROR(INDEX(KC_CURVAS!$I$5:$I$15,MATCH($E173&amp;"|"&amp;$G173,KC_CURVAS!$K$5:$K$15,0)),IFERROR(INDEX(KC_CURVAS!$I$5:$I$15,MATCH($E173&amp;"|",KC_CURVAS!$K$5:$K$15,0)),""))</f>
        <v/>
      </c>
      <c r="R173" s="12">
        <f>IF(OR($J173="",$K173=""),"PENDENTE",IF($J173&lt;=$K173,$O173,IF($J173&lt;=$K173+$L173,$O173+($P173-$O173)*($J173-$K173)/$L173,IF($J173&lt;=$K173+$L173+$M173,$P173,IF($J173&lt;=$K173+$L173+$M173+$N173,$P173+($Q173-$P173)*($J173-($K173+$L173+$M173))/$N173,$Q173)))))</f>
        <v/>
      </c>
      <c r="S173" s="13">
        <f>ETO_SEM</f>
        <v/>
      </c>
      <c r="T173" s="14">
        <f>IF(OR($R173="",$R173="PENDENTE"),"",$R173*$S173)</f>
        <v/>
      </c>
      <c r="U173" s="13" t="n">
        <v>0</v>
      </c>
      <c r="V173" s="14">
        <f>IF($T173="","",MAX(0,$T173-N($U173)))</f>
        <v/>
      </c>
      <c r="W173" s="14">
        <f>IF($V173="","",$V173/EF_APLIC)</f>
        <v/>
      </c>
      <c r="X173" s="15" t="n">
        <v>37</v>
      </c>
      <c r="Y173" s="16">
        <f>IF(OR($W173="",$X173=""),"",$W173*$X173*10)</f>
        <v/>
      </c>
      <c r="Z173" s="17">
        <f>IFERROR(INDEX('PARAMETROS'!$B$16:$B$19,MATCH($D173,'PARAMETROS'!$A$16:$A$19,0)),"")</f>
        <v/>
      </c>
      <c r="AA173" s="16">
        <f>IF(OR($Y173="",$Z173=""),"",$Y173*$Z173)</f>
        <v/>
      </c>
      <c r="AB173" s="18">
        <f>IF($R173="PENDENTE","Definir classe/Kc",IF($W173="","-",IF($W173&gt;0,"Irrigar","Nao irrigar")))</f>
        <v/>
      </c>
      <c r="AC173" s="18">
        <f>IF(OR($W173="",$W173=0),"-",IF($W173&gt;=META_SEM,"Alta",IF($W173&gt;=META_SEM*FRAC_ACOMP,"Media","Baixa")))</f>
        <v/>
      </c>
      <c r="AD173" s="19" t="inlineStr"/>
    </row>
    <row r="174">
      <c r="A174" s="5" t="inlineStr">
        <is>
          <t>T45</t>
        </is>
      </c>
      <c r="B174" s="5" t="inlineStr">
        <is>
          <t>KARITEL</t>
        </is>
      </c>
      <c r="C174" s="5" t="inlineStr"/>
      <c r="D174" s="5" t="inlineStr">
        <is>
          <t>KM1</t>
        </is>
      </c>
      <c r="E174" s="5" t="inlineStr">
        <is>
          <t>SOJA</t>
        </is>
      </c>
      <c r="F174" s="6" t="inlineStr">
        <is>
          <t>CZ 58B10 I2X</t>
        </is>
      </c>
      <c r="G174" s="7" t="inlineStr">
        <is>
          <t>MÉDIA</t>
        </is>
      </c>
      <c r="H174" s="8" t="n">
        <v>46338</v>
      </c>
      <c r="I174" s="9">
        <f>IF($H174="","",DATA_REF-$H174)</f>
        <v/>
      </c>
      <c r="J174" s="9">
        <f>IF($I174="","",MAX(0,$I174-'PARAMETROS'!$B$12))</f>
        <v/>
      </c>
      <c r="K174" s="10">
        <f>IFERROR(INDEX(KC_CURVAS!$C$5:$C$15,MATCH($E174&amp;"|"&amp;$G174,KC_CURVAS!$K$5:$K$15,0)),IFERROR(INDEX(KC_CURVAS!$C$5:$C$15,MATCH($E174&amp;"|",KC_CURVAS!$K$5:$K$15,0)),""))</f>
        <v/>
      </c>
      <c r="L174" s="10">
        <f>IFERROR(INDEX(KC_CURVAS!$D$5:$D$15,MATCH($E174&amp;"|"&amp;$G174,KC_CURVAS!$K$5:$K$15,0)),IFERROR(INDEX(KC_CURVAS!$D$5:$D$15,MATCH($E174&amp;"|",KC_CURVAS!$K$5:$K$15,0)),""))</f>
        <v/>
      </c>
      <c r="M174" s="10">
        <f>IFERROR(INDEX(KC_CURVAS!$E$5:$E$15,MATCH($E174&amp;"|"&amp;$G174,KC_CURVAS!$K$5:$K$15,0)),IFERROR(INDEX(KC_CURVAS!$E$5:$E$15,MATCH($E174&amp;"|",KC_CURVAS!$K$5:$K$15,0)),""))</f>
        <v/>
      </c>
      <c r="N174" s="10">
        <f>IFERROR(INDEX(KC_CURVAS!$F$5:$F$15,MATCH($E174&amp;"|"&amp;$G174,KC_CURVAS!$K$5:$K$15,0)),IFERROR(INDEX(KC_CURVAS!$F$5:$F$15,MATCH($E174&amp;"|",KC_CURVAS!$K$5:$K$15,0)),""))</f>
        <v/>
      </c>
      <c r="O174" s="11">
        <f>IFERROR(INDEX(KC_CURVAS!$G$5:$G$15,MATCH($E174&amp;"|"&amp;$G174,KC_CURVAS!$K$5:$K$15,0)),IFERROR(INDEX(KC_CURVAS!$G$5:$G$15,MATCH($E174&amp;"|",KC_CURVAS!$K$5:$K$15,0)),""))</f>
        <v/>
      </c>
      <c r="P174" s="11">
        <f>IFERROR(INDEX(KC_CURVAS!$H$5:$H$15,MATCH($E174&amp;"|"&amp;$G174,KC_CURVAS!$K$5:$K$15,0)),IFERROR(INDEX(KC_CURVAS!$H$5:$H$15,MATCH($E174&amp;"|",KC_CURVAS!$K$5:$K$15,0)),""))</f>
        <v/>
      </c>
      <c r="Q174" s="11">
        <f>IFERROR(INDEX(KC_CURVAS!$I$5:$I$15,MATCH($E174&amp;"|"&amp;$G174,KC_CURVAS!$K$5:$K$15,0)),IFERROR(INDEX(KC_CURVAS!$I$5:$I$15,MATCH($E174&amp;"|",KC_CURVAS!$K$5:$K$15,0)),""))</f>
        <v/>
      </c>
      <c r="R174" s="12">
        <f>IF(OR($J174="",$K174=""),"PENDENTE",IF($J174&lt;=$K174,$O174,IF($J174&lt;=$K174+$L174,$O174+($P174-$O174)*($J174-$K174)/$L174,IF($J174&lt;=$K174+$L174+$M174,$P174,IF($J174&lt;=$K174+$L174+$M174+$N174,$P174+($Q174-$P174)*($J174-($K174+$L174+$M174))/$N174,$Q174)))))</f>
        <v/>
      </c>
      <c r="S174" s="13">
        <f>ETO_SEM</f>
        <v/>
      </c>
      <c r="T174" s="14">
        <f>IF(OR($R174="",$R174="PENDENTE"),"",$R174*$S174)</f>
        <v/>
      </c>
      <c r="U174" s="13" t="n">
        <v>0</v>
      </c>
      <c r="V174" s="14">
        <f>IF($T174="","",MAX(0,$T174-N($U174)))</f>
        <v/>
      </c>
      <c r="W174" s="14">
        <f>IF($V174="","",$V174/EF_APLIC)</f>
        <v/>
      </c>
      <c r="X174" s="15" t="n">
        <v>123</v>
      </c>
      <c r="Y174" s="16">
        <f>IF(OR($W174="",$X174=""),"",$W174*$X174*10)</f>
        <v/>
      </c>
      <c r="Z174" s="17">
        <f>IFERROR(INDEX('PARAMETROS'!$B$16:$B$19,MATCH($D174,'PARAMETROS'!$A$16:$A$19,0)),"")</f>
        <v/>
      </c>
      <c r="AA174" s="16">
        <f>IF(OR($Y174="",$Z174=""),"",$Y174*$Z174)</f>
        <v/>
      </c>
      <c r="AB174" s="18">
        <f>IF($R174="PENDENTE","Definir classe/Kc",IF($W174="","-",IF($W174&gt;0,"Irrigar","Nao irrigar")))</f>
        <v/>
      </c>
      <c r="AC174" s="18">
        <f>IF(OR($W174="",$W174=0),"-",IF($W174&gt;=META_SEM,"Alta",IF($W174&gt;=META_SEM*FRAC_ACOMP,"Media","Baixa")))</f>
        <v/>
      </c>
      <c r="AD174" s="19" t="inlineStr"/>
    </row>
    <row r="175">
      <c r="A175" s="5" t="inlineStr">
        <is>
          <t>T60</t>
        </is>
      </c>
      <c r="B175" s="5" t="inlineStr">
        <is>
          <t>KARITEL</t>
        </is>
      </c>
      <c r="C175" s="5" t="inlineStr"/>
      <c r="D175" s="5" t="inlineStr">
        <is>
          <t>KM2</t>
        </is>
      </c>
      <c r="E175" s="5" t="inlineStr">
        <is>
          <t>SOJA</t>
        </is>
      </c>
      <c r="F175" s="6" t="inlineStr">
        <is>
          <t>BMX Olimpo IPRO</t>
        </is>
      </c>
      <c r="G175" s="7" t="inlineStr">
        <is>
          <t>MÉDIA</t>
        </is>
      </c>
      <c r="H175" s="8" t="n">
        <v>46350</v>
      </c>
      <c r="I175" s="9">
        <f>IF($H175="","",DATA_REF-$H175)</f>
        <v/>
      </c>
      <c r="J175" s="9">
        <f>IF($I175="","",MAX(0,$I175-'PARAMETROS'!$B$12))</f>
        <v/>
      </c>
      <c r="K175" s="10">
        <f>IFERROR(INDEX(KC_CURVAS!$C$5:$C$15,MATCH($E175&amp;"|"&amp;$G175,KC_CURVAS!$K$5:$K$15,0)),IFERROR(INDEX(KC_CURVAS!$C$5:$C$15,MATCH($E175&amp;"|",KC_CURVAS!$K$5:$K$15,0)),""))</f>
        <v/>
      </c>
      <c r="L175" s="10">
        <f>IFERROR(INDEX(KC_CURVAS!$D$5:$D$15,MATCH($E175&amp;"|"&amp;$G175,KC_CURVAS!$K$5:$K$15,0)),IFERROR(INDEX(KC_CURVAS!$D$5:$D$15,MATCH($E175&amp;"|",KC_CURVAS!$K$5:$K$15,0)),""))</f>
        <v/>
      </c>
      <c r="M175" s="10">
        <f>IFERROR(INDEX(KC_CURVAS!$E$5:$E$15,MATCH($E175&amp;"|"&amp;$G175,KC_CURVAS!$K$5:$K$15,0)),IFERROR(INDEX(KC_CURVAS!$E$5:$E$15,MATCH($E175&amp;"|",KC_CURVAS!$K$5:$K$15,0)),""))</f>
        <v/>
      </c>
      <c r="N175" s="10">
        <f>IFERROR(INDEX(KC_CURVAS!$F$5:$F$15,MATCH($E175&amp;"|"&amp;$G175,KC_CURVAS!$K$5:$K$15,0)),IFERROR(INDEX(KC_CURVAS!$F$5:$F$15,MATCH($E175&amp;"|",KC_CURVAS!$K$5:$K$15,0)),""))</f>
        <v/>
      </c>
      <c r="O175" s="11">
        <f>IFERROR(INDEX(KC_CURVAS!$G$5:$G$15,MATCH($E175&amp;"|"&amp;$G175,KC_CURVAS!$K$5:$K$15,0)),IFERROR(INDEX(KC_CURVAS!$G$5:$G$15,MATCH($E175&amp;"|",KC_CURVAS!$K$5:$K$15,0)),""))</f>
        <v/>
      </c>
      <c r="P175" s="11">
        <f>IFERROR(INDEX(KC_CURVAS!$H$5:$H$15,MATCH($E175&amp;"|"&amp;$G175,KC_CURVAS!$K$5:$K$15,0)),IFERROR(INDEX(KC_CURVAS!$H$5:$H$15,MATCH($E175&amp;"|",KC_CURVAS!$K$5:$K$15,0)),""))</f>
        <v/>
      </c>
      <c r="Q175" s="11">
        <f>IFERROR(INDEX(KC_CURVAS!$I$5:$I$15,MATCH($E175&amp;"|"&amp;$G175,KC_CURVAS!$K$5:$K$15,0)),IFERROR(INDEX(KC_CURVAS!$I$5:$I$15,MATCH($E175&amp;"|",KC_CURVAS!$K$5:$K$15,0)),""))</f>
        <v/>
      </c>
      <c r="R175" s="12">
        <f>IF(OR($J175="",$K175=""),"PENDENTE",IF($J175&lt;=$K175,$O175,IF($J175&lt;=$K175+$L175,$O175+($P175-$O175)*($J175-$K175)/$L175,IF($J175&lt;=$K175+$L175+$M175,$P175,IF($J175&lt;=$K175+$L175+$M175+$N175,$P175+($Q175-$P175)*($J175-($K175+$L175+$M175))/$N175,$Q175)))))</f>
        <v/>
      </c>
      <c r="S175" s="13">
        <f>ETO_SEM</f>
        <v/>
      </c>
      <c r="T175" s="14">
        <f>IF(OR($R175="",$R175="PENDENTE"),"",$R175*$S175)</f>
        <v/>
      </c>
      <c r="U175" s="13" t="n">
        <v>0</v>
      </c>
      <c r="V175" s="14">
        <f>IF($T175="","",MAX(0,$T175-N($U175)))</f>
        <v/>
      </c>
      <c r="W175" s="14">
        <f>IF($V175="","",$V175/EF_APLIC)</f>
        <v/>
      </c>
      <c r="X175" s="15" t="n">
        <v>150</v>
      </c>
      <c r="Y175" s="16">
        <f>IF(OR($W175="",$X175=""),"",$W175*$X175*10)</f>
        <v/>
      </c>
      <c r="Z175" s="17">
        <f>IFERROR(INDEX('PARAMETROS'!$B$16:$B$19,MATCH($D175,'PARAMETROS'!$A$16:$A$19,0)),"")</f>
        <v/>
      </c>
      <c r="AA175" s="16">
        <f>IF(OR($Y175="",$Z175=""),"",$Y175*$Z175)</f>
        <v/>
      </c>
      <c r="AB175" s="18">
        <f>IF($R175="PENDENTE","Definir classe/Kc",IF($W175="","-",IF($W175&gt;0,"Irrigar","Nao irrigar")))</f>
        <v/>
      </c>
      <c r="AC175" s="18">
        <f>IF(OR($W175="",$W175=0),"-",IF($W175&gt;=META_SEM,"Alta",IF($W175&gt;=META_SEM*FRAC_ACOMP,"Media","Baixa")))</f>
        <v/>
      </c>
      <c r="AD175" s="19" t="inlineStr"/>
    </row>
    <row r="176">
      <c r="A176" s="5" t="inlineStr">
        <is>
          <t>T50</t>
        </is>
      </c>
      <c r="B176" s="5" t="inlineStr">
        <is>
          <t>KARITEL</t>
        </is>
      </c>
      <c r="C176" s="5" t="inlineStr"/>
      <c r="D176" s="5" t="inlineStr">
        <is>
          <t>KM2</t>
        </is>
      </c>
      <c r="E176" s="5" t="inlineStr">
        <is>
          <t>SOJA</t>
        </is>
      </c>
      <c r="F176" s="6" t="inlineStr">
        <is>
          <t>CZ 48B18 IPRO</t>
        </is>
      </c>
      <c r="G176" s="7" t="inlineStr">
        <is>
          <t>MÉDIA</t>
        </is>
      </c>
      <c r="H176" s="8" t="n">
        <v>46352</v>
      </c>
      <c r="I176" s="9">
        <f>IF($H176="","",DATA_REF-$H176)</f>
        <v/>
      </c>
      <c r="J176" s="9">
        <f>IF($I176="","",MAX(0,$I176-'PARAMETROS'!$B$12))</f>
        <v/>
      </c>
      <c r="K176" s="10">
        <f>IFERROR(INDEX(KC_CURVAS!$C$5:$C$15,MATCH($E176&amp;"|"&amp;$G176,KC_CURVAS!$K$5:$K$15,0)),IFERROR(INDEX(KC_CURVAS!$C$5:$C$15,MATCH($E176&amp;"|",KC_CURVAS!$K$5:$K$15,0)),""))</f>
        <v/>
      </c>
      <c r="L176" s="10">
        <f>IFERROR(INDEX(KC_CURVAS!$D$5:$D$15,MATCH($E176&amp;"|"&amp;$G176,KC_CURVAS!$K$5:$K$15,0)),IFERROR(INDEX(KC_CURVAS!$D$5:$D$15,MATCH($E176&amp;"|",KC_CURVAS!$K$5:$K$15,0)),""))</f>
        <v/>
      </c>
      <c r="M176" s="10">
        <f>IFERROR(INDEX(KC_CURVAS!$E$5:$E$15,MATCH($E176&amp;"|"&amp;$G176,KC_CURVAS!$K$5:$K$15,0)),IFERROR(INDEX(KC_CURVAS!$E$5:$E$15,MATCH($E176&amp;"|",KC_CURVAS!$K$5:$K$15,0)),""))</f>
        <v/>
      </c>
      <c r="N176" s="10">
        <f>IFERROR(INDEX(KC_CURVAS!$F$5:$F$15,MATCH($E176&amp;"|"&amp;$G176,KC_CURVAS!$K$5:$K$15,0)),IFERROR(INDEX(KC_CURVAS!$F$5:$F$15,MATCH($E176&amp;"|",KC_CURVAS!$K$5:$K$15,0)),""))</f>
        <v/>
      </c>
      <c r="O176" s="11">
        <f>IFERROR(INDEX(KC_CURVAS!$G$5:$G$15,MATCH($E176&amp;"|"&amp;$G176,KC_CURVAS!$K$5:$K$15,0)),IFERROR(INDEX(KC_CURVAS!$G$5:$G$15,MATCH($E176&amp;"|",KC_CURVAS!$K$5:$K$15,0)),""))</f>
        <v/>
      </c>
      <c r="P176" s="11">
        <f>IFERROR(INDEX(KC_CURVAS!$H$5:$H$15,MATCH($E176&amp;"|"&amp;$G176,KC_CURVAS!$K$5:$K$15,0)),IFERROR(INDEX(KC_CURVAS!$H$5:$H$15,MATCH($E176&amp;"|",KC_CURVAS!$K$5:$K$15,0)),""))</f>
        <v/>
      </c>
      <c r="Q176" s="11">
        <f>IFERROR(INDEX(KC_CURVAS!$I$5:$I$15,MATCH($E176&amp;"|"&amp;$G176,KC_CURVAS!$K$5:$K$15,0)),IFERROR(INDEX(KC_CURVAS!$I$5:$I$15,MATCH($E176&amp;"|",KC_CURVAS!$K$5:$K$15,0)),""))</f>
        <v/>
      </c>
      <c r="R176" s="12">
        <f>IF(OR($J176="",$K176=""),"PENDENTE",IF($J176&lt;=$K176,$O176,IF($J176&lt;=$K176+$L176,$O176+($P176-$O176)*($J176-$K176)/$L176,IF($J176&lt;=$K176+$L176+$M176,$P176,IF($J176&lt;=$K176+$L176+$M176+$N176,$P176+($Q176-$P176)*($J176-($K176+$L176+$M176))/$N176,$Q176)))))</f>
        <v/>
      </c>
      <c r="S176" s="13">
        <f>ETO_SEM</f>
        <v/>
      </c>
      <c r="T176" s="14">
        <f>IF(OR($R176="",$R176="PENDENTE"),"",$R176*$S176)</f>
        <v/>
      </c>
      <c r="U176" s="13" t="n">
        <v>0</v>
      </c>
      <c r="V176" s="14">
        <f>IF($T176="","",MAX(0,$T176-N($U176)))</f>
        <v/>
      </c>
      <c r="W176" s="14">
        <f>IF($V176="","",$V176/EF_APLIC)</f>
        <v/>
      </c>
      <c r="X176" s="15" t="n">
        <v>120</v>
      </c>
      <c r="Y176" s="16">
        <f>IF(OR($W176="",$X176=""),"",$W176*$X176*10)</f>
        <v/>
      </c>
      <c r="Z176" s="17">
        <f>IFERROR(INDEX('PARAMETROS'!$B$16:$B$19,MATCH($D176,'PARAMETROS'!$A$16:$A$19,0)),"")</f>
        <v/>
      </c>
      <c r="AA176" s="16">
        <f>IF(OR($Y176="",$Z176=""),"",$Y176*$Z176)</f>
        <v/>
      </c>
      <c r="AB176" s="18">
        <f>IF($R176="PENDENTE","Definir classe/Kc",IF($W176="","-",IF($W176&gt;0,"Irrigar","Nao irrigar")))</f>
        <v/>
      </c>
      <c r="AC176" s="18">
        <f>IF(OR($W176="",$W176=0),"-",IF($W176&gt;=META_SEM,"Alta",IF($W176&gt;=META_SEM*FRAC_ACOMP,"Media","Baixa")))</f>
        <v/>
      </c>
      <c r="AD176" s="19" t="inlineStr"/>
    </row>
    <row r="177">
      <c r="A177" s="5" t="inlineStr">
        <is>
          <t>T57</t>
        </is>
      </c>
      <c r="B177" s="5" t="inlineStr">
        <is>
          <t>KARITEL</t>
        </is>
      </c>
      <c r="C177" s="5" t="inlineStr"/>
      <c r="D177" s="5" t="inlineStr">
        <is>
          <t>KM2</t>
        </is>
      </c>
      <c r="E177" s="5" t="inlineStr">
        <is>
          <t>SOJA</t>
        </is>
      </c>
      <c r="F177" s="6" t="inlineStr">
        <is>
          <t>BMX Olimpo IPRO</t>
        </is>
      </c>
      <c r="G177" s="7" t="inlineStr">
        <is>
          <t>MÉDIA</t>
        </is>
      </c>
      <c r="H177" s="8" t="n">
        <v>46354</v>
      </c>
      <c r="I177" s="9">
        <f>IF($H177="","",DATA_REF-$H177)</f>
        <v/>
      </c>
      <c r="J177" s="9">
        <f>IF($I177="","",MAX(0,$I177-'PARAMETROS'!$B$12))</f>
        <v/>
      </c>
      <c r="K177" s="10">
        <f>IFERROR(INDEX(KC_CURVAS!$C$5:$C$15,MATCH($E177&amp;"|"&amp;$G177,KC_CURVAS!$K$5:$K$15,0)),IFERROR(INDEX(KC_CURVAS!$C$5:$C$15,MATCH($E177&amp;"|",KC_CURVAS!$K$5:$K$15,0)),""))</f>
        <v/>
      </c>
      <c r="L177" s="10">
        <f>IFERROR(INDEX(KC_CURVAS!$D$5:$D$15,MATCH($E177&amp;"|"&amp;$G177,KC_CURVAS!$K$5:$K$15,0)),IFERROR(INDEX(KC_CURVAS!$D$5:$D$15,MATCH($E177&amp;"|",KC_CURVAS!$K$5:$K$15,0)),""))</f>
        <v/>
      </c>
      <c r="M177" s="10">
        <f>IFERROR(INDEX(KC_CURVAS!$E$5:$E$15,MATCH($E177&amp;"|"&amp;$G177,KC_CURVAS!$K$5:$K$15,0)),IFERROR(INDEX(KC_CURVAS!$E$5:$E$15,MATCH($E177&amp;"|",KC_CURVAS!$K$5:$K$15,0)),""))</f>
        <v/>
      </c>
      <c r="N177" s="10">
        <f>IFERROR(INDEX(KC_CURVAS!$F$5:$F$15,MATCH($E177&amp;"|"&amp;$G177,KC_CURVAS!$K$5:$K$15,0)),IFERROR(INDEX(KC_CURVAS!$F$5:$F$15,MATCH($E177&amp;"|",KC_CURVAS!$K$5:$K$15,0)),""))</f>
        <v/>
      </c>
      <c r="O177" s="11">
        <f>IFERROR(INDEX(KC_CURVAS!$G$5:$G$15,MATCH($E177&amp;"|"&amp;$G177,KC_CURVAS!$K$5:$K$15,0)),IFERROR(INDEX(KC_CURVAS!$G$5:$G$15,MATCH($E177&amp;"|",KC_CURVAS!$K$5:$K$15,0)),""))</f>
        <v/>
      </c>
      <c r="P177" s="11">
        <f>IFERROR(INDEX(KC_CURVAS!$H$5:$H$15,MATCH($E177&amp;"|"&amp;$G177,KC_CURVAS!$K$5:$K$15,0)),IFERROR(INDEX(KC_CURVAS!$H$5:$H$15,MATCH($E177&amp;"|",KC_CURVAS!$K$5:$K$15,0)),""))</f>
        <v/>
      </c>
      <c r="Q177" s="11">
        <f>IFERROR(INDEX(KC_CURVAS!$I$5:$I$15,MATCH($E177&amp;"|"&amp;$G177,KC_CURVAS!$K$5:$K$15,0)),IFERROR(INDEX(KC_CURVAS!$I$5:$I$15,MATCH($E177&amp;"|",KC_CURVAS!$K$5:$K$15,0)),""))</f>
        <v/>
      </c>
      <c r="R177" s="12">
        <f>IF(OR($J177="",$K177=""),"PENDENTE",IF($J177&lt;=$K177,$O177,IF($J177&lt;=$K177+$L177,$O177+($P177-$O177)*($J177-$K177)/$L177,IF($J177&lt;=$K177+$L177+$M177,$P177,IF($J177&lt;=$K177+$L177+$M177+$N177,$P177+($Q177-$P177)*($J177-($K177+$L177+$M177))/$N177,$Q177)))))</f>
        <v/>
      </c>
      <c r="S177" s="13">
        <f>ETO_SEM</f>
        <v/>
      </c>
      <c r="T177" s="14">
        <f>IF(OR($R177="",$R177="PENDENTE"),"",$R177*$S177)</f>
        <v/>
      </c>
      <c r="U177" s="13" t="n">
        <v>0</v>
      </c>
      <c r="V177" s="14">
        <f>IF($T177="","",MAX(0,$T177-N($U177)))</f>
        <v/>
      </c>
      <c r="W177" s="14">
        <f>IF($V177="","",$V177/EF_APLIC)</f>
        <v/>
      </c>
      <c r="X177" s="15" t="n">
        <v>150</v>
      </c>
      <c r="Y177" s="16">
        <f>IF(OR($W177="",$X177=""),"",$W177*$X177*10)</f>
        <v/>
      </c>
      <c r="Z177" s="17">
        <f>IFERROR(INDEX('PARAMETROS'!$B$16:$B$19,MATCH($D177,'PARAMETROS'!$A$16:$A$19,0)),"")</f>
        <v/>
      </c>
      <c r="AA177" s="16">
        <f>IF(OR($Y177="",$Z177=""),"",$Y177*$Z177)</f>
        <v/>
      </c>
      <c r="AB177" s="18">
        <f>IF($R177="PENDENTE","Definir classe/Kc",IF($W177="","-",IF($W177&gt;0,"Irrigar","Nao irrigar")))</f>
        <v/>
      </c>
      <c r="AC177" s="18">
        <f>IF(OR($W177="",$W177=0),"-",IF($W177&gt;=META_SEM,"Alta",IF($W177&gt;=META_SEM*FRAC_ACOMP,"Media","Baixa")))</f>
        <v/>
      </c>
      <c r="AD177" s="19" t="inlineStr"/>
    </row>
    <row r="178">
      <c r="A178" s="5" t="inlineStr">
        <is>
          <t>T59</t>
        </is>
      </c>
      <c r="B178" s="5" t="inlineStr">
        <is>
          <t>KARITEL</t>
        </is>
      </c>
      <c r="C178" s="5" t="inlineStr"/>
      <c r="D178" s="5" t="inlineStr">
        <is>
          <t>KM2</t>
        </is>
      </c>
      <c r="E178" s="5" t="inlineStr">
        <is>
          <t>SOJA</t>
        </is>
      </c>
      <c r="F178" s="6" t="inlineStr">
        <is>
          <t>BMX Olimpo IPRO</t>
        </is>
      </c>
      <c r="G178" s="7" t="inlineStr">
        <is>
          <t>MÉDIA</t>
        </is>
      </c>
      <c r="H178" s="8" t="n">
        <v>46354</v>
      </c>
      <c r="I178" s="9">
        <f>IF($H178="","",DATA_REF-$H178)</f>
        <v/>
      </c>
      <c r="J178" s="9">
        <f>IF($I178="","",MAX(0,$I178-'PARAMETROS'!$B$12))</f>
        <v/>
      </c>
      <c r="K178" s="10">
        <f>IFERROR(INDEX(KC_CURVAS!$C$5:$C$15,MATCH($E178&amp;"|"&amp;$G178,KC_CURVAS!$K$5:$K$15,0)),IFERROR(INDEX(KC_CURVAS!$C$5:$C$15,MATCH($E178&amp;"|",KC_CURVAS!$K$5:$K$15,0)),""))</f>
        <v/>
      </c>
      <c r="L178" s="10">
        <f>IFERROR(INDEX(KC_CURVAS!$D$5:$D$15,MATCH($E178&amp;"|"&amp;$G178,KC_CURVAS!$K$5:$K$15,0)),IFERROR(INDEX(KC_CURVAS!$D$5:$D$15,MATCH($E178&amp;"|",KC_CURVAS!$K$5:$K$15,0)),""))</f>
        <v/>
      </c>
      <c r="M178" s="10">
        <f>IFERROR(INDEX(KC_CURVAS!$E$5:$E$15,MATCH($E178&amp;"|"&amp;$G178,KC_CURVAS!$K$5:$K$15,0)),IFERROR(INDEX(KC_CURVAS!$E$5:$E$15,MATCH($E178&amp;"|",KC_CURVAS!$K$5:$K$15,0)),""))</f>
        <v/>
      </c>
      <c r="N178" s="10">
        <f>IFERROR(INDEX(KC_CURVAS!$F$5:$F$15,MATCH($E178&amp;"|"&amp;$G178,KC_CURVAS!$K$5:$K$15,0)),IFERROR(INDEX(KC_CURVAS!$F$5:$F$15,MATCH($E178&amp;"|",KC_CURVAS!$K$5:$K$15,0)),""))</f>
        <v/>
      </c>
      <c r="O178" s="11">
        <f>IFERROR(INDEX(KC_CURVAS!$G$5:$G$15,MATCH($E178&amp;"|"&amp;$G178,KC_CURVAS!$K$5:$K$15,0)),IFERROR(INDEX(KC_CURVAS!$G$5:$G$15,MATCH($E178&amp;"|",KC_CURVAS!$K$5:$K$15,0)),""))</f>
        <v/>
      </c>
      <c r="P178" s="11">
        <f>IFERROR(INDEX(KC_CURVAS!$H$5:$H$15,MATCH($E178&amp;"|"&amp;$G178,KC_CURVAS!$K$5:$K$15,0)),IFERROR(INDEX(KC_CURVAS!$H$5:$H$15,MATCH($E178&amp;"|",KC_CURVAS!$K$5:$K$15,0)),""))</f>
        <v/>
      </c>
      <c r="Q178" s="11">
        <f>IFERROR(INDEX(KC_CURVAS!$I$5:$I$15,MATCH($E178&amp;"|"&amp;$G178,KC_CURVAS!$K$5:$K$15,0)),IFERROR(INDEX(KC_CURVAS!$I$5:$I$15,MATCH($E178&amp;"|",KC_CURVAS!$K$5:$K$15,0)),""))</f>
        <v/>
      </c>
      <c r="R178" s="12">
        <f>IF(OR($J178="",$K178=""),"PENDENTE",IF($J178&lt;=$K178,$O178,IF($J178&lt;=$K178+$L178,$O178+($P178-$O178)*($J178-$K178)/$L178,IF($J178&lt;=$K178+$L178+$M178,$P178,IF($J178&lt;=$K178+$L178+$M178+$N178,$P178+($Q178-$P178)*($J178-($K178+$L178+$M178))/$N178,$Q178)))))</f>
        <v/>
      </c>
      <c r="S178" s="13">
        <f>ETO_SEM</f>
        <v/>
      </c>
      <c r="T178" s="14">
        <f>IF(OR($R178="",$R178="PENDENTE"),"",$R178*$S178)</f>
        <v/>
      </c>
      <c r="U178" s="13" t="n">
        <v>0</v>
      </c>
      <c r="V178" s="14">
        <f>IF($T178="","",MAX(0,$T178-N($U178)))</f>
        <v/>
      </c>
      <c r="W178" s="14">
        <f>IF($V178="","",$V178/EF_APLIC)</f>
        <v/>
      </c>
      <c r="X178" s="15" t="n">
        <v>143</v>
      </c>
      <c r="Y178" s="16">
        <f>IF(OR($W178="",$X178=""),"",$W178*$X178*10)</f>
        <v/>
      </c>
      <c r="Z178" s="17">
        <f>IFERROR(INDEX('PARAMETROS'!$B$16:$B$19,MATCH($D178,'PARAMETROS'!$A$16:$A$19,0)),"")</f>
        <v/>
      </c>
      <c r="AA178" s="16">
        <f>IF(OR($Y178="",$Z178=""),"",$Y178*$Z178)</f>
        <v/>
      </c>
      <c r="AB178" s="18">
        <f>IF($R178="PENDENTE","Definir classe/Kc",IF($W178="","-",IF($W178&gt;0,"Irrigar","Nao irrigar")))</f>
        <v/>
      </c>
      <c r="AC178" s="18">
        <f>IF(OR($W178="",$W178=0),"-",IF($W178&gt;=META_SEM,"Alta",IF($W178&gt;=META_SEM*FRAC_ACOMP,"Media","Baixa")))</f>
        <v/>
      </c>
      <c r="AD178" s="19" t="inlineStr"/>
    </row>
    <row r="179">
      <c r="A179" s="5" t="inlineStr">
        <is>
          <t>T61</t>
        </is>
      </c>
      <c r="B179" s="5" t="inlineStr">
        <is>
          <t>KARITEL</t>
        </is>
      </c>
      <c r="C179" s="5" t="inlineStr"/>
      <c r="D179" s="5" t="inlineStr">
        <is>
          <t>KM2</t>
        </is>
      </c>
      <c r="E179" s="5" t="inlineStr">
        <is>
          <t>SOJA</t>
        </is>
      </c>
      <c r="F179" s="6" t="inlineStr">
        <is>
          <t>BMX Olimpo IPRO</t>
        </is>
      </c>
      <c r="G179" s="7" t="inlineStr">
        <is>
          <t>MÉDIA</t>
        </is>
      </c>
      <c r="H179" s="8" t="n">
        <v>46368</v>
      </c>
      <c r="I179" s="9">
        <f>IF($H179="","",DATA_REF-$H179)</f>
        <v/>
      </c>
      <c r="J179" s="9">
        <f>IF($I179="","",MAX(0,$I179-'PARAMETROS'!$B$12))</f>
        <v/>
      </c>
      <c r="K179" s="10">
        <f>IFERROR(INDEX(KC_CURVAS!$C$5:$C$15,MATCH($E179&amp;"|"&amp;$G179,KC_CURVAS!$K$5:$K$15,0)),IFERROR(INDEX(KC_CURVAS!$C$5:$C$15,MATCH($E179&amp;"|",KC_CURVAS!$K$5:$K$15,0)),""))</f>
        <v/>
      </c>
      <c r="L179" s="10">
        <f>IFERROR(INDEX(KC_CURVAS!$D$5:$D$15,MATCH($E179&amp;"|"&amp;$G179,KC_CURVAS!$K$5:$K$15,0)),IFERROR(INDEX(KC_CURVAS!$D$5:$D$15,MATCH($E179&amp;"|",KC_CURVAS!$K$5:$K$15,0)),""))</f>
        <v/>
      </c>
      <c r="M179" s="10">
        <f>IFERROR(INDEX(KC_CURVAS!$E$5:$E$15,MATCH($E179&amp;"|"&amp;$G179,KC_CURVAS!$K$5:$K$15,0)),IFERROR(INDEX(KC_CURVAS!$E$5:$E$15,MATCH($E179&amp;"|",KC_CURVAS!$K$5:$K$15,0)),""))</f>
        <v/>
      </c>
      <c r="N179" s="10">
        <f>IFERROR(INDEX(KC_CURVAS!$F$5:$F$15,MATCH($E179&amp;"|"&amp;$G179,KC_CURVAS!$K$5:$K$15,0)),IFERROR(INDEX(KC_CURVAS!$F$5:$F$15,MATCH($E179&amp;"|",KC_CURVAS!$K$5:$K$15,0)),""))</f>
        <v/>
      </c>
      <c r="O179" s="11">
        <f>IFERROR(INDEX(KC_CURVAS!$G$5:$G$15,MATCH($E179&amp;"|"&amp;$G179,KC_CURVAS!$K$5:$K$15,0)),IFERROR(INDEX(KC_CURVAS!$G$5:$G$15,MATCH($E179&amp;"|",KC_CURVAS!$K$5:$K$15,0)),""))</f>
        <v/>
      </c>
      <c r="P179" s="11">
        <f>IFERROR(INDEX(KC_CURVAS!$H$5:$H$15,MATCH($E179&amp;"|"&amp;$G179,KC_CURVAS!$K$5:$K$15,0)),IFERROR(INDEX(KC_CURVAS!$H$5:$H$15,MATCH($E179&amp;"|",KC_CURVAS!$K$5:$K$15,0)),""))</f>
        <v/>
      </c>
      <c r="Q179" s="11">
        <f>IFERROR(INDEX(KC_CURVAS!$I$5:$I$15,MATCH($E179&amp;"|"&amp;$G179,KC_CURVAS!$K$5:$K$15,0)),IFERROR(INDEX(KC_CURVAS!$I$5:$I$15,MATCH($E179&amp;"|",KC_CURVAS!$K$5:$K$15,0)),""))</f>
        <v/>
      </c>
      <c r="R179" s="12">
        <f>IF(OR($J179="",$K179=""),"PENDENTE",IF($J179&lt;=$K179,$O179,IF($J179&lt;=$K179+$L179,$O179+($P179-$O179)*($J179-$K179)/$L179,IF($J179&lt;=$K179+$L179+$M179,$P179,IF($J179&lt;=$K179+$L179+$M179+$N179,$P179+($Q179-$P179)*($J179-($K179+$L179+$M179))/$N179,$Q179)))))</f>
        <v/>
      </c>
      <c r="S179" s="13">
        <f>ETO_SEM</f>
        <v/>
      </c>
      <c r="T179" s="14">
        <f>IF(OR($R179="",$R179="PENDENTE"),"",$R179*$S179)</f>
        <v/>
      </c>
      <c r="U179" s="13" t="n">
        <v>0</v>
      </c>
      <c r="V179" s="14">
        <f>IF($T179="","",MAX(0,$T179-N($U179)))</f>
        <v/>
      </c>
      <c r="W179" s="14">
        <f>IF($V179="","",$V179/EF_APLIC)</f>
        <v/>
      </c>
      <c r="X179" s="15" t="n">
        <v>145</v>
      </c>
      <c r="Y179" s="16">
        <f>IF(OR($W179="",$X179=""),"",$W179*$X179*10)</f>
        <v/>
      </c>
      <c r="Z179" s="17">
        <f>IFERROR(INDEX('PARAMETROS'!$B$16:$B$19,MATCH($D179,'PARAMETROS'!$A$16:$A$19,0)),"")</f>
        <v/>
      </c>
      <c r="AA179" s="16">
        <f>IF(OR($Y179="",$Z179=""),"",$Y179*$Z179)</f>
        <v/>
      </c>
      <c r="AB179" s="18">
        <f>IF($R179="PENDENTE","Definir classe/Kc",IF($W179="","-",IF($W179&gt;0,"Irrigar","Nao irrigar")))</f>
        <v/>
      </c>
      <c r="AC179" s="18">
        <f>IF(OR($W179="",$W179=0),"-",IF($W179&gt;=META_SEM,"Alta",IF($W179&gt;=META_SEM*FRAC_ACOMP,"Media","Baixa")))</f>
        <v/>
      </c>
      <c r="AD179" s="19" t="inlineStr"/>
    </row>
    <row r="181">
      <c r="A181" s="21" t="inlineStr">
        <is>
          <t>Manejo via CLIMA: ETc = Kc x ETo semanal; Nec liquida = ETc - chuva efetiva; Nec bruta = Nec liq / 0,90. Kc automatico pela curva FAO-56 (KC_CURVAS) conforme o DAE. Energia = Volume x CE do setor. Colunas cinza-claro (Lini..Kcend) sao auxiliares do Kc. Editar ETo semanal e chuva a cada semana.</t>
        </is>
      </c>
    </row>
  </sheetData>
  <mergeCells count="1">
    <mergeCell ref="A181:AD18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D9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7" customWidth="1" min="4" max="4"/>
    <col width="9" customWidth="1" min="5" max="5"/>
    <col width="15" customWidth="1" min="6" max="6"/>
    <col width="9" customWidth="1" min="7" max="7"/>
    <col width="11" customWidth="1" min="8" max="8"/>
    <col width="6" customWidth="1" min="9" max="9"/>
    <col width="6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1" customWidth="1" min="23" max="23"/>
    <col width="8" customWidth="1" min="24" max="24"/>
    <col width="11" customWidth="1" min="25" max="25"/>
    <col width="10" customWidth="1" min="26" max="26"/>
    <col width="11" customWidth="1" min="27" max="27"/>
    <col width="12" customWidth="1" min="28" max="28"/>
    <col width="11" customWidth="1" min="29" max="29"/>
    <col width="20" customWidth="1" min="30" max="30"/>
  </cols>
  <sheetData>
    <row r="1" ht="20" customHeight="1">
      <c r="A1" s="1" t="inlineStr">
        <is>
          <t>SOJA - demanda via clima (plantio 26/27)</t>
        </is>
      </c>
    </row>
    <row r="2">
      <c r="A2" s="3" t="inlineStr">
        <is>
          <t>Classe derivada da ocupacao (editavel). Kc FAO-56 pelo DAE.</t>
        </is>
      </c>
    </row>
    <row r="4" ht="30" customHeight="1">
      <c r="A4" s="4" t="inlineStr">
        <is>
          <t>Pivo</t>
        </is>
      </c>
      <c r="B4" s="4" t="inlineStr">
        <is>
          <t>Faz</t>
        </is>
      </c>
      <c r="C4" s="4" t="inlineStr">
        <is>
          <t>Modulo</t>
        </is>
      </c>
      <c r="D4" s="4" t="inlineStr">
        <is>
          <t>Setor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Plantio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Lini</t>
        </is>
      </c>
      <c r="L4" s="4" t="inlineStr">
        <is>
          <t>Ldev</t>
        </is>
      </c>
      <c r="M4" s="4" t="inlineStr">
        <is>
          <t>Lmid</t>
        </is>
      </c>
      <c r="N4" s="4" t="inlineStr">
        <is>
          <t>Llate</t>
        </is>
      </c>
      <c r="O4" s="4" t="inlineStr">
        <is>
          <t>Kcini</t>
        </is>
      </c>
      <c r="P4" s="4" t="inlineStr">
        <is>
          <t>Kcmid</t>
        </is>
      </c>
      <c r="Q4" s="4" t="inlineStr">
        <is>
          <t>Kcend</t>
        </is>
      </c>
      <c r="R4" s="4" t="inlineStr">
        <is>
          <t>Kc (auto)</t>
        </is>
      </c>
      <c r="S4" s="4" t="inlineStr">
        <is>
          <t>ETo sem (mm)</t>
        </is>
      </c>
      <c r="T4" s="4" t="inlineStr">
        <is>
          <t>ETc sem (mm)</t>
        </is>
      </c>
      <c r="U4" s="4" t="inlineStr">
        <is>
          <t>Chuva ef (mm)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Area (ha)</t>
        </is>
      </c>
      <c r="Y4" s="4" t="inlineStr">
        <is>
          <t>Volume (m3)</t>
        </is>
      </c>
      <c r="Z4" s="4" t="inlineStr">
        <is>
          <t>CE (kWh/m3)</t>
        </is>
      </c>
      <c r="AA4" s="4" t="inlineStr">
        <is>
          <t>Energia (kWh)</t>
        </is>
      </c>
      <c r="AB4" s="4" t="inlineStr">
        <is>
          <t>Decisao</t>
        </is>
      </c>
      <c r="AC4" s="4" t="inlineStr">
        <is>
          <t>Prioridade</t>
        </is>
      </c>
      <c r="AD4" s="4" t="inlineStr">
        <is>
          <t>Obs</t>
        </is>
      </c>
    </row>
    <row r="5">
      <c r="A5" s="5" t="inlineStr">
        <is>
          <t>T66</t>
        </is>
      </c>
      <c r="B5" s="5" t="inlineStr">
        <is>
          <t>KARITEL</t>
        </is>
      </c>
      <c r="C5" s="5" t="inlineStr"/>
      <c r="D5" s="5" t="inlineStr">
        <is>
          <t>KM2</t>
        </is>
      </c>
      <c r="E5" s="5" t="inlineStr">
        <is>
          <t>SOJA</t>
        </is>
      </c>
      <c r="F5" s="6" t="inlineStr">
        <is>
          <t>NEO 761 I2X</t>
        </is>
      </c>
      <c r="G5" s="7" t="inlineStr">
        <is>
          <t>PRECOCE</t>
        </is>
      </c>
      <c r="H5" s="8" t="n">
        <v>46286</v>
      </c>
      <c r="I5" s="9">
        <f>IF($H5="","",DATA_REF-$H5)</f>
        <v/>
      </c>
      <c r="J5" s="9">
        <f>IF($I5="","",MAX(0,$I5-'PARAMETROS'!$B$12))</f>
        <v/>
      </c>
      <c r="K5" s="10">
        <f>IFERROR(INDEX(KC_CURVAS!$C$5:$C$15,MATCH($E5&amp;"|"&amp;$G5,KC_CURVAS!$K$5:$K$15,0)),IFERROR(INDEX(KC_CURVAS!$C$5:$C$15,MATCH($E5&amp;"|",KC_CURVAS!$K$5:$K$15,0)),""))</f>
        <v/>
      </c>
      <c r="L5" s="10">
        <f>IFERROR(INDEX(KC_CURVAS!$D$5:$D$15,MATCH($E5&amp;"|"&amp;$G5,KC_CURVAS!$K$5:$K$15,0)),IFERROR(INDEX(KC_CURVAS!$D$5:$D$15,MATCH($E5&amp;"|",KC_CURVAS!$K$5:$K$15,0)),""))</f>
        <v/>
      </c>
      <c r="M5" s="10">
        <f>IFERROR(INDEX(KC_CURVAS!$E$5:$E$15,MATCH($E5&amp;"|"&amp;$G5,KC_CURVAS!$K$5:$K$15,0)),IFERROR(INDEX(KC_CURVAS!$E$5:$E$15,MATCH($E5&amp;"|",KC_CURVAS!$K$5:$K$15,0)),""))</f>
        <v/>
      </c>
      <c r="N5" s="10">
        <f>IFERROR(INDEX(KC_CURVAS!$F$5:$F$15,MATCH($E5&amp;"|"&amp;$G5,KC_CURVAS!$K$5:$K$15,0)),IFERROR(INDEX(KC_CURVAS!$F$5:$F$15,MATCH($E5&amp;"|",KC_CURVAS!$K$5:$K$15,0)),""))</f>
        <v/>
      </c>
      <c r="O5" s="11">
        <f>IFERROR(INDEX(KC_CURVAS!$G$5:$G$15,MATCH($E5&amp;"|"&amp;$G5,KC_CURVAS!$K$5:$K$15,0)),IFERROR(INDEX(KC_CURVAS!$G$5:$G$15,MATCH($E5&amp;"|",KC_CURVAS!$K$5:$K$15,0)),""))</f>
        <v/>
      </c>
      <c r="P5" s="11">
        <f>IFERROR(INDEX(KC_CURVAS!$H$5:$H$15,MATCH($E5&amp;"|"&amp;$G5,KC_CURVAS!$K$5:$K$15,0)),IFERROR(INDEX(KC_CURVAS!$H$5:$H$15,MATCH($E5&amp;"|",KC_CURVAS!$K$5:$K$15,0)),""))</f>
        <v/>
      </c>
      <c r="Q5" s="11">
        <f>IFERROR(INDEX(KC_CURVAS!$I$5:$I$15,MATCH($E5&amp;"|"&amp;$G5,KC_CURVAS!$K$5:$K$15,0)),IFERROR(INDEX(KC_CURVAS!$I$5:$I$15,MATCH($E5&amp;"|",KC_CURVAS!$K$5:$K$15,0)),""))</f>
        <v/>
      </c>
      <c r="R5" s="12">
        <f>IF(OR($J5="",$K5=""),"PENDENTE",IF($J5&lt;=$K5,$O5,IF($J5&lt;=$K5+$L5,$O5+($P5-$O5)*($J5-$K5)/$L5,IF($J5&lt;=$K5+$L5+$M5,$P5,IF($J5&lt;=$K5+$L5+$M5+$N5,$P5+($Q5-$P5)*($J5-($K5+$L5+$M5))/$N5,$Q5)))))</f>
        <v/>
      </c>
      <c r="S5" s="13">
        <f>ETO_SEM</f>
        <v/>
      </c>
      <c r="T5" s="14">
        <f>IF(OR($R5="",$R5="PENDENTE"),"",$R5*$S5)</f>
        <v/>
      </c>
      <c r="U5" s="13" t="n">
        <v>0</v>
      </c>
      <c r="V5" s="14">
        <f>IF($T5="","",MAX(0,$T5-N($U5)))</f>
        <v/>
      </c>
      <c r="W5" s="14">
        <f>IF($V5="","",$V5/EF_APLIC)</f>
        <v/>
      </c>
      <c r="X5" s="15" t="n">
        <v>100</v>
      </c>
      <c r="Y5" s="16">
        <f>IF(OR($W5="",$X5=""),"",$W5*$X5*10)</f>
        <v/>
      </c>
      <c r="Z5" s="17">
        <f>IFERROR(INDEX('PARAMETROS'!$B$16:$B$19,MATCH($D5,'PARAMETROS'!$A$16:$A$19,0)),"")</f>
        <v/>
      </c>
      <c r="AA5" s="16">
        <f>IF(OR($Y5="",$Z5=""),"",$Y5*$Z5)</f>
        <v/>
      </c>
      <c r="AB5" s="18">
        <f>IF($R5="PENDENTE","Definir classe/Kc",IF($W5="","-",IF($W5&gt;0,"Irrigar","Nao irrigar")))</f>
        <v/>
      </c>
      <c r="AC5" s="18">
        <f>IF(OR($W5="",$W5=0),"-",IF($W5&gt;=META_SEM,"Alta",IF($W5&gt;=META_SEM*FRAC_ACOMP,"Media","Baixa")))</f>
        <v/>
      </c>
      <c r="AD5" s="19" t="inlineStr"/>
    </row>
    <row r="6">
      <c r="A6" s="5" t="inlineStr">
        <is>
          <t>T67</t>
        </is>
      </c>
      <c r="B6" s="5" t="inlineStr">
        <is>
          <t>KARITEL</t>
        </is>
      </c>
      <c r="C6" s="5" t="inlineStr"/>
      <c r="D6" s="5" t="inlineStr">
        <is>
          <t>KM2</t>
        </is>
      </c>
      <c r="E6" s="5" t="inlineStr">
        <is>
          <t>SOJA</t>
        </is>
      </c>
      <c r="F6" s="6" t="inlineStr">
        <is>
          <t>NEO 761 I2X</t>
        </is>
      </c>
      <c r="G6" s="7" t="inlineStr">
        <is>
          <t>PRECOCE</t>
        </is>
      </c>
      <c r="H6" s="8" t="n">
        <v>46286</v>
      </c>
      <c r="I6" s="9">
        <f>IF($H6="","",DATA_REF-$H6)</f>
        <v/>
      </c>
      <c r="J6" s="9">
        <f>IF($I6="","",MAX(0,$I6-'PARAMETROS'!$B$12))</f>
        <v/>
      </c>
      <c r="K6" s="10">
        <f>IFERROR(INDEX(KC_CURVAS!$C$5:$C$15,MATCH($E6&amp;"|"&amp;$G6,KC_CURVAS!$K$5:$K$15,0)),IFERROR(INDEX(KC_CURVAS!$C$5:$C$15,MATCH($E6&amp;"|",KC_CURVAS!$K$5:$K$15,0)),""))</f>
        <v/>
      </c>
      <c r="L6" s="10">
        <f>IFERROR(INDEX(KC_CURVAS!$D$5:$D$15,MATCH($E6&amp;"|"&amp;$G6,KC_CURVAS!$K$5:$K$15,0)),IFERROR(INDEX(KC_CURVAS!$D$5:$D$15,MATCH($E6&amp;"|",KC_CURVAS!$K$5:$K$15,0)),""))</f>
        <v/>
      </c>
      <c r="M6" s="10">
        <f>IFERROR(INDEX(KC_CURVAS!$E$5:$E$15,MATCH($E6&amp;"|"&amp;$G6,KC_CURVAS!$K$5:$K$15,0)),IFERROR(INDEX(KC_CURVAS!$E$5:$E$15,MATCH($E6&amp;"|",KC_CURVAS!$K$5:$K$15,0)),""))</f>
        <v/>
      </c>
      <c r="N6" s="10">
        <f>IFERROR(INDEX(KC_CURVAS!$F$5:$F$15,MATCH($E6&amp;"|"&amp;$G6,KC_CURVAS!$K$5:$K$15,0)),IFERROR(INDEX(KC_CURVAS!$F$5:$F$15,MATCH($E6&amp;"|",KC_CURVAS!$K$5:$K$15,0)),""))</f>
        <v/>
      </c>
      <c r="O6" s="11">
        <f>IFERROR(INDEX(KC_CURVAS!$G$5:$G$15,MATCH($E6&amp;"|"&amp;$G6,KC_CURVAS!$K$5:$K$15,0)),IFERROR(INDEX(KC_CURVAS!$G$5:$G$15,MATCH($E6&amp;"|",KC_CURVAS!$K$5:$K$15,0)),""))</f>
        <v/>
      </c>
      <c r="P6" s="11">
        <f>IFERROR(INDEX(KC_CURVAS!$H$5:$H$15,MATCH($E6&amp;"|"&amp;$G6,KC_CURVAS!$K$5:$K$15,0)),IFERROR(INDEX(KC_CURVAS!$H$5:$H$15,MATCH($E6&amp;"|",KC_CURVAS!$K$5:$K$15,0)),""))</f>
        <v/>
      </c>
      <c r="Q6" s="11">
        <f>IFERROR(INDEX(KC_CURVAS!$I$5:$I$15,MATCH($E6&amp;"|"&amp;$G6,KC_CURVAS!$K$5:$K$15,0)),IFERROR(INDEX(KC_CURVAS!$I$5:$I$15,MATCH($E6&amp;"|",KC_CURVAS!$K$5:$K$15,0)),""))</f>
        <v/>
      </c>
      <c r="R6" s="12">
        <f>IF(OR($J6="",$K6=""),"PENDENTE",IF($J6&lt;=$K6,$O6,IF($J6&lt;=$K6+$L6,$O6+($P6-$O6)*($J6-$K6)/$L6,IF($J6&lt;=$K6+$L6+$M6,$P6,IF($J6&lt;=$K6+$L6+$M6+$N6,$P6+($Q6-$P6)*($J6-($K6+$L6+$M6))/$N6,$Q6)))))</f>
        <v/>
      </c>
      <c r="S6" s="13">
        <f>ETO_SEM</f>
        <v/>
      </c>
      <c r="T6" s="14">
        <f>IF(OR($R6="",$R6="PENDENTE"),"",$R6*$S6)</f>
        <v/>
      </c>
      <c r="U6" s="13" t="n">
        <v>0</v>
      </c>
      <c r="V6" s="14">
        <f>IF($T6="","",MAX(0,$T6-N($U6)))</f>
        <v/>
      </c>
      <c r="W6" s="14">
        <f>IF($V6="","",$V6/EF_APLIC)</f>
        <v/>
      </c>
      <c r="X6" s="15" t="n">
        <v>80</v>
      </c>
      <c r="Y6" s="16">
        <f>IF(OR($W6="",$X6=""),"",$W6*$X6*10)</f>
        <v/>
      </c>
      <c r="Z6" s="17">
        <f>IFERROR(INDEX('PARAMETROS'!$B$16:$B$19,MATCH($D6,'PARAMETROS'!$A$16:$A$19,0)),"")</f>
        <v/>
      </c>
      <c r="AA6" s="16">
        <f>IF(OR($Y6="",$Z6=""),"",$Y6*$Z6)</f>
        <v/>
      </c>
      <c r="AB6" s="18">
        <f>IF($R6="PENDENTE","Definir classe/Kc",IF($W6="","-",IF($W6&gt;0,"Irrigar","Nao irrigar")))</f>
        <v/>
      </c>
      <c r="AC6" s="18">
        <f>IF(OR($W6="",$W6=0),"-",IF($W6&gt;=META_SEM,"Alta",IF($W6&gt;=META_SEM*FRAC_ACOMP,"Media","Baixa")))</f>
        <v/>
      </c>
      <c r="AD6" s="19" t="inlineStr"/>
    </row>
    <row r="7">
      <c r="A7" s="5" t="inlineStr">
        <is>
          <t>T6</t>
        </is>
      </c>
      <c r="B7" s="5" t="inlineStr">
        <is>
          <t>KARITEL</t>
        </is>
      </c>
      <c r="C7" s="5" t="inlineStr"/>
      <c r="D7" s="5" t="inlineStr">
        <is>
          <t>KM1</t>
        </is>
      </c>
      <c r="E7" s="5" t="inlineStr">
        <is>
          <t>SOJA</t>
        </is>
      </c>
      <c r="F7" s="6" t="inlineStr">
        <is>
          <t>COMBATE IPRO</t>
        </is>
      </c>
      <c r="G7" s="7" t="inlineStr">
        <is>
          <t>PRECOCE</t>
        </is>
      </c>
      <c r="H7" s="8" t="n">
        <v>46289</v>
      </c>
      <c r="I7" s="9">
        <f>IF($H7="","",DATA_REF-$H7)</f>
        <v/>
      </c>
      <c r="J7" s="9">
        <f>IF($I7="","",MAX(0,$I7-'PARAMETROS'!$B$12))</f>
        <v/>
      </c>
      <c r="K7" s="10">
        <f>IFERROR(INDEX(KC_CURVAS!$C$5:$C$15,MATCH($E7&amp;"|"&amp;$G7,KC_CURVAS!$K$5:$K$15,0)),IFERROR(INDEX(KC_CURVAS!$C$5:$C$15,MATCH($E7&amp;"|",KC_CURVAS!$K$5:$K$15,0)),""))</f>
        <v/>
      </c>
      <c r="L7" s="10">
        <f>IFERROR(INDEX(KC_CURVAS!$D$5:$D$15,MATCH($E7&amp;"|"&amp;$G7,KC_CURVAS!$K$5:$K$15,0)),IFERROR(INDEX(KC_CURVAS!$D$5:$D$15,MATCH($E7&amp;"|",KC_CURVAS!$K$5:$K$15,0)),""))</f>
        <v/>
      </c>
      <c r="M7" s="10">
        <f>IFERROR(INDEX(KC_CURVAS!$E$5:$E$15,MATCH($E7&amp;"|"&amp;$G7,KC_CURVAS!$K$5:$K$15,0)),IFERROR(INDEX(KC_CURVAS!$E$5:$E$15,MATCH($E7&amp;"|",KC_CURVAS!$K$5:$K$15,0)),""))</f>
        <v/>
      </c>
      <c r="N7" s="10">
        <f>IFERROR(INDEX(KC_CURVAS!$F$5:$F$15,MATCH($E7&amp;"|"&amp;$G7,KC_CURVAS!$K$5:$K$15,0)),IFERROR(INDEX(KC_CURVAS!$F$5:$F$15,MATCH($E7&amp;"|",KC_CURVAS!$K$5:$K$15,0)),""))</f>
        <v/>
      </c>
      <c r="O7" s="11">
        <f>IFERROR(INDEX(KC_CURVAS!$G$5:$G$15,MATCH($E7&amp;"|"&amp;$G7,KC_CURVAS!$K$5:$K$15,0)),IFERROR(INDEX(KC_CURVAS!$G$5:$G$15,MATCH($E7&amp;"|",KC_CURVAS!$K$5:$K$15,0)),""))</f>
        <v/>
      </c>
      <c r="P7" s="11">
        <f>IFERROR(INDEX(KC_CURVAS!$H$5:$H$15,MATCH($E7&amp;"|"&amp;$G7,KC_CURVAS!$K$5:$K$15,0)),IFERROR(INDEX(KC_CURVAS!$H$5:$H$15,MATCH($E7&amp;"|",KC_CURVAS!$K$5:$K$15,0)),""))</f>
        <v/>
      </c>
      <c r="Q7" s="11">
        <f>IFERROR(INDEX(KC_CURVAS!$I$5:$I$15,MATCH($E7&amp;"|"&amp;$G7,KC_CURVAS!$K$5:$K$15,0)),IFERROR(INDEX(KC_CURVAS!$I$5:$I$15,MATCH($E7&amp;"|",KC_CURVAS!$K$5:$K$15,0)),""))</f>
        <v/>
      </c>
      <c r="R7" s="12">
        <f>IF(OR($J7="",$K7=""),"PENDENTE",IF($J7&lt;=$K7,$O7,IF($J7&lt;=$K7+$L7,$O7+($P7-$O7)*($J7-$K7)/$L7,IF($J7&lt;=$K7+$L7+$M7,$P7,IF($J7&lt;=$K7+$L7+$M7+$N7,$P7+($Q7-$P7)*($J7-($K7+$L7+$M7))/$N7,$Q7)))))</f>
        <v/>
      </c>
      <c r="S7" s="13">
        <f>ETO_SEM</f>
        <v/>
      </c>
      <c r="T7" s="14">
        <f>IF(OR($R7="",$R7="PENDENTE"),"",$R7*$S7)</f>
        <v/>
      </c>
      <c r="U7" s="13" t="n">
        <v>0</v>
      </c>
      <c r="V7" s="14">
        <f>IF($T7="","",MAX(0,$T7-N($U7)))</f>
        <v/>
      </c>
      <c r="W7" s="14">
        <f>IF($V7="","",$V7/EF_APLIC)</f>
        <v/>
      </c>
      <c r="X7" s="15" t="n">
        <v>150</v>
      </c>
      <c r="Y7" s="16">
        <f>IF(OR($W7="",$X7=""),"",$W7*$X7*10)</f>
        <v/>
      </c>
      <c r="Z7" s="17">
        <f>IFERROR(INDEX('PARAMETROS'!$B$16:$B$19,MATCH($D7,'PARAMETROS'!$A$16:$A$19,0)),"")</f>
        <v/>
      </c>
      <c r="AA7" s="16">
        <f>IF(OR($Y7="",$Z7=""),"",$Y7*$Z7)</f>
        <v/>
      </c>
      <c r="AB7" s="18">
        <f>IF($R7="PENDENTE","Definir classe/Kc",IF($W7="","-",IF($W7&gt;0,"Irrigar","Nao irrigar")))</f>
        <v/>
      </c>
      <c r="AC7" s="18">
        <f>IF(OR($W7="",$W7=0),"-",IF($W7&gt;=META_SEM,"Alta",IF($W7&gt;=META_SEM*FRAC_ACOMP,"Media","Baixa")))</f>
        <v/>
      </c>
      <c r="AD7" s="19" t="inlineStr"/>
    </row>
    <row r="8">
      <c r="A8" s="5" t="inlineStr">
        <is>
          <t>T5</t>
        </is>
      </c>
      <c r="B8" s="5" t="inlineStr">
        <is>
          <t>KARITEL</t>
        </is>
      </c>
      <c r="C8" s="5" t="inlineStr"/>
      <c r="D8" s="5" t="inlineStr">
        <is>
          <t>KM1</t>
        </is>
      </c>
      <c r="E8" s="5" t="inlineStr">
        <is>
          <t>SOJA</t>
        </is>
      </c>
      <c r="F8" s="6" t="inlineStr">
        <is>
          <t>COMBATE IPRO</t>
        </is>
      </c>
      <c r="G8" s="7" t="inlineStr">
        <is>
          <t>PRECOCE</t>
        </is>
      </c>
      <c r="H8" s="8" t="n">
        <v>46289</v>
      </c>
      <c r="I8" s="9">
        <f>IF($H8="","",DATA_REF-$H8)</f>
        <v/>
      </c>
      <c r="J8" s="9">
        <f>IF($I8="","",MAX(0,$I8-'PARAMETROS'!$B$12))</f>
        <v/>
      </c>
      <c r="K8" s="10">
        <f>IFERROR(INDEX(KC_CURVAS!$C$5:$C$15,MATCH($E8&amp;"|"&amp;$G8,KC_CURVAS!$K$5:$K$15,0)),IFERROR(INDEX(KC_CURVAS!$C$5:$C$15,MATCH($E8&amp;"|",KC_CURVAS!$K$5:$K$15,0)),""))</f>
        <v/>
      </c>
      <c r="L8" s="10">
        <f>IFERROR(INDEX(KC_CURVAS!$D$5:$D$15,MATCH($E8&amp;"|"&amp;$G8,KC_CURVAS!$K$5:$K$15,0)),IFERROR(INDEX(KC_CURVAS!$D$5:$D$15,MATCH($E8&amp;"|",KC_CURVAS!$K$5:$K$15,0)),""))</f>
        <v/>
      </c>
      <c r="M8" s="10">
        <f>IFERROR(INDEX(KC_CURVAS!$E$5:$E$15,MATCH($E8&amp;"|"&amp;$G8,KC_CURVAS!$K$5:$K$15,0)),IFERROR(INDEX(KC_CURVAS!$E$5:$E$15,MATCH($E8&amp;"|",KC_CURVAS!$K$5:$K$15,0)),""))</f>
        <v/>
      </c>
      <c r="N8" s="10">
        <f>IFERROR(INDEX(KC_CURVAS!$F$5:$F$15,MATCH($E8&amp;"|"&amp;$G8,KC_CURVAS!$K$5:$K$15,0)),IFERROR(INDEX(KC_CURVAS!$F$5:$F$15,MATCH($E8&amp;"|",KC_CURVAS!$K$5:$K$15,0)),""))</f>
        <v/>
      </c>
      <c r="O8" s="11">
        <f>IFERROR(INDEX(KC_CURVAS!$G$5:$G$15,MATCH($E8&amp;"|"&amp;$G8,KC_CURVAS!$K$5:$K$15,0)),IFERROR(INDEX(KC_CURVAS!$G$5:$G$15,MATCH($E8&amp;"|",KC_CURVAS!$K$5:$K$15,0)),""))</f>
        <v/>
      </c>
      <c r="P8" s="11">
        <f>IFERROR(INDEX(KC_CURVAS!$H$5:$H$15,MATCH($E8&amp;"|"&amp;$G8,KC_CURVAS!$K$5:$K$15,0)),IFERROR(INDEX(KC_CURVAS!$H$5:$H$15,MATCH($E8&amp;"|",KC_CURVAS!$K$5:$K$15,0)),""))</f>
        <v/>
      </c>
      <c r="Q8" s="11">
        <f>IFERROR(INDEX(KC_CURVAS!$I$5:$I$15,MATCH($E8&amp;"|"&amp;$G8,KC_CURVAS!$K$5:$K$15,0)),IFERROR(INDEX(KC_CURVAS!$I$5:$I$15,MATCH($E8&amp;"|",KC_CURVAS!$K$5:$K$15,0)),""))</f>
        <v/>
      </c>
      <c r="R8" s="12">
        <f>IF(OR($J8="",$K8=""),"PENDENTE",IF($J8&lt;=$K8,$O8,IF($J8&lt;=$K8+$L8,$O8+($P8-$O8)*($J8-$K8)/$L8,IF($J8&lt;=$K8+$L8+$M8,$P8,IF($J8&lt;=$K8+$L8+$M8+$N8,$P8+($Q8-$P8)*($J8-($K8+$L8+$M8))/$N8,$Q8)))))</f>
        <v/>
      </c>
      <c r="S8" s="13">
        <f>ETO_SEM</f>
        <v/>
      </c>
      <c r="T8" s="14">
        <f>IF(OR($R8="",$R8="PENDENTE"),"",$R8*$S8)</f>
        <v/>
      </c>
      <c r="U8" s="13" t="n">
        <v>0</v>
      </c>
      <c r="V8" s="14">
        <f>IF($T8="","",MAX(0,$T8-N($U8)))</f>
        <v/>
      </c>
      <c r="W8" s="14">
        <f>IF($V8="","",$V8/EF_APLIC)</f>
        <v/>
      </c>
      <c r="X8" s="15" t="n">
        <v>150</v>
      </c>
      <c r="Y8" s="16">
        <f>IF(OR($W8="",$X8=""),"",$W8*$X8*10)</f>
        <v/>
      </c>
      <c r="Z8" s="17">
        <f>IFERROR(INDEX('PARAMETROS'!$B$16:$B$19,MATCH($D8,'PARAMETROS'!$A$16:$A$19,0)),"")</f>
        <v/>
      </c>
      <c r="AA8" s="16">
        <f>IF(OR($Y8="",$Z8=""),"",$Y8*$Z8)</f>
        <v/>
      </c>
      <c r="AB8" s="18">
        <f>IF($R8="PENDENTE","Definir classe/Kc",IF($W8="","-",IF($W8&gt;0,"Irrigar","Nao irrigar")))</f>
        <v/>
      </c>
      <c r="AC8" s="18">
        <f>IF(OR($W8="",$W8=0),"-",IF($W8&gt;=META_SEM,"Alta",IF($W8&gt;=META_SEM*FRAC_ACOMP,"Media","Baixa")))</f>
        <v/>
      </c>
      <c r="AD8" s="19" t="inlineStr"/>
    </row>
    <row r="9">
      <c r="A9" s="5" t="inlineStr">
        <is>
          <t>T2</t>
        </is>
      </c>
      <c r="B9" s="5" t="inlineStr">
        <is>
          <t>KARITEL</t>
        </is>
      </c>
      <c r="C9" s="5" t="inlineStr"/>
      <c r="D9" s="5" t="inlineStr">
        <is>
          <t>KM1</t>
        </is>
      </c>
      <c r="E9" s="5" t="inlineStr">
        <is>
          <t>SOJA</t>
        </is>
      </c>
      <c r="F9" s="6" t="inlineStr">
        <is>
          <t>CZ 37B07 I2X</t>
        </is>
      </c>
      <c r="G9" s="7" t="inlineStr">
        <is>
          <t>PRECOCE</t>
        </is>
      </c>
      <c r="H9" s="8" t="n">
        <v>46287</v>
      </c>
      <c r="I9" s="9">
        <f>IF($H9="","",DATA_REF-$H9)</f>
        <v/>
      </c>
      <c r="J9" s="9">
        <f>IF($I9="","",MAX(0,$I9-'PARAMETROS'!$B$12))</f>
        <v/>
      </c>
      <c r="K9" s="10">
        <f>IFERROR(INDEX(KC_CURVAS!$C$5:$C$15,MATCH($E9&amp;"|"&amp;$G9,KC_CURVAS!$K$5:$K$15,0)),IFERROR(INDEX(KC_CURVAS!$C$5:$C$15,MATCH($E9&amp;"|",KC_CURVAS!$K$5:$K$15,0)),""))</f>
        <v/>
      </c>
      <c r="L9" s="10">
        <f>IFERROR(INDEX(KC_CURVAS!$D$5:$D$15,MATCH($E9&amp;"|"&amp;$G9,KC_CURVAS!$K$5:$K$15,0)),IFERROR(INDEX(KC_CURVAS!$D$5:$D$15,MATCH($E9&amp;"|",KC_CURVAS!$K$5:$K$15,0)),""))</f>
        <v/>
      </c>
      <c r="M9" s="10">
        <f>IFERROR(INDEX(KC_CURVAS!$E$5:$E$15,MATCH($E9&amp;"|"&amp;$G9,KC_CURVAS!$K$5:$K$15,0)),IFERROR(INDEX(KC_CURVAS!$E$5:$E$15,MATCH($E9&amp;"|",KC_CURVAS!$K$5:$K$15,0)),""))</f>
        <v/>
      </c>
      <c r="N9" s="10">
        <f>IFERROR(INDEX(KC_CURVAS!$F$5:$F$15,MATCH($E9&amp;"|"&amp;$G9,KC_CURVAS!$K$5:$K$15,0)),IFERROR(INDEX(KC_CURVAS!$F$5:$F$15,MATCH($E9&amp;"|",KC_CURVAS!$K$5:$K$15,0)),""))</f>
        <v/>
      </c>
      <c r="O9" s="11">
        <f>IFERROR(INDEX(KC_CURVAS!$G$5:$G$15,MATCH($E9&amp;"|"&amp;$G9,KC_CURVAS!$K$5:$K$15,0)),IFERROR(INDEX(KC_CURVAS!$G$5:$G$15,MATCH($E9&amp;"|",KC_CURVAS!$K$5:$K$15,0)),""))</f>
        <v/>
      </c>
      <c r="P9" s="11">
        <f>IFERROR(INDEX(KC_CURVAS!$H$5:$H$15,MATCH($E9&amp;"|"&amp;$G9,KC_CURVAS!$K$5:$K$15,0)),IFERROR(INDEX(KC_CURVAS!$H$5:$H$15,MATCH($E9&amp;"|",KC_CURVAS!$K$5:$K$15,0)),""))</f>
        <v/>
      </c>
      <c r="Q9" s="11">
        <f>IFERROR(INDEX(KC_CURVAS!$I$5:$I$15,MATCH($E9&amp;"|"&amp;$G9,KC_CURVAS!$K$5:$K$15,0)),IFERROR(INDEX(KC_CURVAS!$I$5:$I$15,MATCH($E9&amp;"|",KC_CURVAS!$K$5:$K$15,0)),""))</f>
        <v/>
      </c>
      <c r="R9" s="12">
        <f>IF(OR($J9="",$K9=""),"PENDENTE",IF($J9&lt;=$K9,$O9,IF($J9&lt;=$K9+$L9,$O9+($P9-$O9)*($J9-$K9)/$L9,IF($J9&lt;=$K9+$L9+$M9,$P9,IF($J9&lt;=$K9+$L9+$M9+$N9,$P9+($Q9-$P9)*($J9-($K9+$L9+$M9))/$N9,$Q9)))))</f>
        <v/>
      </c>
      <c r="S9" s="13">
        <f>ETO_SEM</f>
        <v/>
      </c>
      <c r="T9" s="14">
        <f>IF(OR($R9="",$R9="PENDENTE"),"",$R9*$S9)</f>
        <v/>
      </c>
      <c r="U9" s="13" t="n">
        <v>0</v>
      </c>
      <c r="V9" s="14">
        <f>IF($T9="","",MAX(0,$T9-N($U9)))</f>
        <v/>
      </c>
      <c r="W9" s="14">
        <f>IF($V9="","",$V9/EF_APLIC)</f>
        <v/>
      </c>
      <c r="X9" s="15" t="n">
        <v>124</v>
      </c>
      <c r="Y9" s="16">
        <f>IF(OR($W9="",$X9=""),"",$W9*$X9*10)</f>
        <v/>
      </c>
      <c r="Z9" s="17">
        <f>IFERROR(INDEX('PARAMETROS'!$B$16:$B$19,MATCH($D9,'PARAMETROS'!$A$16:$A$19,0)),"")</f>
        <v/>
      </c>
      <c r="AA9" s="16">
        <f>IF(OR($Y9="",$Z9=""),"",$Y9*$Z9)</f>
        <v/>
      </c>
      <c r="AB9" s="18">
        <f>IF($R9="PENDENTE","Definir classe/Kc",IF($W9="","-",IF($W9&gt;0,"Irrigar","Nao irrigar")))</f>
        <v/>
      </c>
      <c r="AC9" s="18">
        <f>IF(OR($W9="",$W9=0),"-",IF($W9&gt;=META_SEM,"Alta",IF($W9&gt;=META_SEM*FRAC_ACOMP,"Media","Baixa")))</f>
        <v/>
      </c>
      <c r="AD9" s="19" t="inlineStr"/>
    </row>
    <row r="10">
      <c r="A10" s="5" t="inlineStr">
        <is>
          <t>T4</t>
        </is>
      </c>
      <c r="B10" s="5" t="inlineStr">
        <is>
          <t>KARITEL</t>
        </is>
      </c>
      <c r="C10" s="5" t="inlineStr"/>
      <c r="D10" s="5" t="inlineStr">
        <is>
          <t>KM1</t>
        </is>
      </c>
      <c r="E10" s="5" t="inlineStr">
        <is>
          <t>SOJA</t>
        </is>
      </c>
      <c r="F10" s="6" t="inlineStr">
        <is>
          <t>COMBATE IPRO</t>
        </is>
      </c>
      <c r="G10" s="7" t="inlineStr">
        <is>
          <t>PRECOCE</t>
        </is>
      </c>
      <c r="H10" s="8" t="n">
        <v>46288</v>
      </c>
      <c r="I10" s="9">
        <f>IF($H10="","",DATA_REF-$H10)</f>
        <v/>
      </c>
      <c r="J10" s="9">
        <f>IF($I10="","",MAX(0,$I10-'PARAMETROS'!$B$12))</f>
        <v/>
      </c>
      <c r="K10" s="10">
        <f>IFERROR(INDEX(KC_CURVAS!$C$5:$C$15,MATCH($E10&amp;"|"&amp;$G10,KC_CURVAS!$K$5:$K$15,0)),IFERROR(INDEX(KC_CURVAS!$C$5:$C$15,MATCH($E10&amp;"|",KC_CURVAS!$K$5:$K$15,0)),""))</f>
        <v/>
      </c>
      <c r="L10" s="10">
        <f>IFERROR(INDEX(KC_CURVAS!$D$5:$D$15,MATCH($E10&amp;"|"&amp;$G10,KC_CURVAS!$K$5:$K$15,0)),IFERROR(INDEX(KC_CURVAS!$D$5:$D$15,MATCH($E10&amp;"|",KC_CURVAS!$K$5:$K$15,0)),""))</f>
        <v/>
      </c>
      <c r="M10" s="10">
        <f>IFERROR(INDEX(KC_CURVAS!$E$5:$E$15,MATCH($E10&amp;"|"&amp;$G10,KC_CURVAS!$K$5:$K$15,0)),IFERROR(INDEX(KC_CURVAS!$E$5:$E$15,MATCH($E10&amp;"|",KC_CURVAS!$K$5:$K$15,0)),""))</f>
        <v/>
      </c>
      <c r="N10" s="10">
        <f>IFERROR(INDEX(KC_CURVAS!$F$5:$F$15,MATCH($E10&amp;"|"&amp;$G10,KC_CURVAS!$K$5:$K$15,0)),IFERROR(INDEX(KC_CURVAS!$F$5:$F$15,MATCH($E10&amp;"|",KC_CURVAS!$K$5:$K$15,0)),""))</f>
        <v/>
      </c>
      <c r="O10" s="11">
        <f>IFERROR(INDEX(KC_CURVAS!$G$5:$G$15,MATCH($E10&amp;"|"&amp;$G10,KC_CURVAS!$K$5:$K$15,0)),IFERROR(INDEX(KC_CURVAS!$G$5:$G$15,MATCH($E10&amp;"|",KC_CURVAS!$K$5:$K$15,0)),""))</f>
        <v/>
      </c>
      <c r="P10" s="11">
        <f>IFERROR(INDEX(KC_CURVAS!$H$5:$H$15,MATCH($E10&amp;"|"&amp;$G10,KC_CURVAS!$K$5:$K$15,0)),IFERROR(INDEX(KC_CURVAS!$H$5:$H$15,MATCH($E10&amp;"|",KC_CURVAS!$K$5:$K$15,0)),""))</f>
        <v/>
      </c>
      <c r="Q10" s="11">
        <f>IFERROR(INDEX(KC_CURVAS!$I$5:$I$15,MATCH($E10&amp;"|"&amp;$G10,KC_CURVAS!$K$5:$K$15,0)),IFERROR(INDEX(KC_CURVAS!$I$5:$I$15,MATCH($E10&amp;"|",KC_CURVAS!$K$5:$K$15,0)),""))</f>
        <v/>
      </c>
      <c r="R10" s="12">
        <f>IF(OR($J10="",$K10=""),"PENDENTE",IF($J10&lt;=$K10,$O10,IF($J10&lt;=$K10+$L10,$O10+($P10-$O10)*($J10-$K10)/$L10,IF($J10&lt;=$K10+$L10+$M10,$P10,IF($J10&lt;=$K10+$L10+$M10+$N10,$P10+($Q10-$P10)*($J10-($K10+$L10+$M10))/$N10,$Q10)))))</f>
        <v/>
      </c>
      <c r="S10" s="13">
        <f>ETO_SEM</f>
        <v/>
      </c>
      <c r="T10" s="14">
        <f>IF(OR($R10="",$R10="PENDENTE"),"",$R10*$S10)</f>
        <v/>
      </c>
      <c r="U10" s="13" t="n">
        <v>0</v>
      </c>
      <c r="V10" s="14">
        <f>IF($T10="","",MAX(0,$T10-N($U10)))</f>
        <v/>
      </c>
      <c r="W10" s="14">
        <f>IF($V10="","",$V10/EF_APLIC)</f>
        <v/>
      </c>
      <c r="X10" s="15" t="n">
        <v>63</v>
      </c>
      <c r="Y10" s="16">
        <f>IF(OR($W10="",$X10=""),"",$W10*$X10*10)</f>
        <v/>
      </c>
      <c r="Z10" s="17">
        <f>IFERROR(INDEX('PARAMETROS'!$B$16:$B$19,MATCH($D10,'PARAMETROS'!$A$16:$A$19,0)),"")</f>
        <v/>
      </c>
      <c r="AA10" s="16">
        <f>IF(OR($Y10="",$Z10=""),"",$Y10*$Z10)</f>
        <v/>
      </c>
      <c r="AB10" s="18">
        <f>IF($R10="PENDENTE","Definir classe/Kc",IF($W10="","-",IF($W10&gt;0,"Irrigar","Nao irrigar")))</f>
        <v/>
      </c>
      <c r="AC10" s="18">
        <f>IF(OR($W10="",$W10=0),"-",IF($W10&gt;=META_SEM,"Alta",IF($W10&gt;=META_SEM*FRAC_ACOMP,"Media","Baixa")))</f>
        <v/>
      </c>
      <c r="AD10" s="19" t="inlineStr"/>
    </row>
    <row r="11">
      <c r="A11" s="5" t="inlineStr">
        <is>
          <t>T68</t>
        </is>
      </c>
      <c r="B11" s="5" t="inlineStr">
        <is>
          <t>KARITEL</t>
        </is>
      </c>
      <c r="C11" s="5" t="inlineStr"/>
      <c r="D11" s="5" t="inlineStr">
        <is>
          <t>KM2</t>
        </is>
      </c>
      <c r="E11" s="5" t="inlineStr">
        <is>
          <t>SOJA</t>
        </is>
      </c>
      <c r="F11" s="6" t="inlineStr">
        <is>
          <t>COMPLETA IPRO</t>
        </is>
      </c>
      <c r="G11" s="7" t="inlineStr">
        <is>
          <t>MÉDIA</t>
        </is>
      </c>
      <c r="H11" s="8" t="n">
        <v>46290</v>
      </c>
      <c r="I11" s="9">
        <f>IF($H11="","",DATA_REF-$H11)</f>
        <v/>
      </c>
      <c r="J11" s="9">
        <f>IF($I11="","",MAX(0,$I11-'PARAMETROS'!$B$12))</f>
        <v/>
      </c>
      <c r="K11" s="10">
        <f>IFERROR(INDEX(KC_CURVAS!$C$5:$C$15,MATCH($E11&amp;"|"&amp;$G11,KC_CURVAS!$K$5:$K$15,0)),IFERROR(INDEX(KC_CURVAS!$C$5:$C$15,MATCH($E11&amp;"|",KC_CURVAS!$K$5:$K$15,0)),""))</f>
        <v/>
      </c>
      <c r="L11" s="10">
        <f>IFERROR(INDEX(KC_CURVAS!$D$5:$D$15,MATCH($E11&amp;"|"&amp;$G11,KC_CURVAS!$K$5:$K$15,0)),IFERROR(INDEX(KC_CURVAS!$D$5:$D$15,MATCH($E11&amp;"|",KC_CURVAS!$K$5:$K$15,0)),""))</f>
        <v/>
      </c>
      <c r="M11" s="10">
        <f>IFERROR(INDEX(KC_CURVAS!$E$5:$E$15,MATCH($E11&amp;"|"&amp;$G11,KC_CURVAS!$K$5:$K$15,0)),IFERROR(INDEX(KC_CURVAS!$E$5:$E$15,MATCH($E11&amp;"|",KC_CURVAS!$K$5:$K$15,0)),""))</f>
        <v/>
      </c>
      <c r="N11" s="10">
        <f>IFERROR(INDEX(KC_CURVAS!$F$5:$F$15,MATCH($E11&amp;"|"&amp;$G11,KC_CURVAS!$K$5:$K$15,0)),IFERROR(INDEX(KC_CURVAS!$F$5:$F$15,MATCH($E11&amp;"|",KC_CURVAS!$K$5:$K$15,0)),""))</f>
        <v/>
      </c>
      <c r="O11" s="11">
        <f>IFERROR(INDEX(KC_CURVAS!$G$5:$G$15,MATCH($E11&amp;"|"&amp;$G11,KC_CURVAS!$K$5:$K$15,0)),IFERROR(INDEX(KC_CURVAS!$G$5:$G$15,MATCH($E11&amp;"|",KC_CURVAS!$K$5:$K$15,0)),""))</f>
        <v/>
      </c>
      <c r="P11" s="11">
        <f>IFERROR(INDEX(KC_CURVAS!$H$5:$H$15,MATCH($E11&amp;"|"&amp;$G11,KC_CURVAS!$K$5:$K$15,0)),IFERROR(INDEX(KC_CURVAS!$H$5:$H$15,MATCH($E11&amp;"|",KC_CURVAS!$K$5:$K$15,0)),""))</f>
        <v/>
      </c>
      <c r="Q11" s="11">
        <f>IFERROR(INDEX(KC_CURVAS!$I$5:$I$15,MATCH($E11&amp;"|"&amp;$G11,KC_CURVAS!$K$5:$K$15,0)),IFERROR(INDEX(KC_CURVAS!$I$5:$I$15,MATCH($E11&amp;"|",KC_CURVAS!$K$5:$K$15,0)),""))</f>
        <v/>
      </c>
      <c r="R11" s="12">
        <f>IF(OR($J11="",$K11=""),"PENDENTE",IF($J11&lt;=$K11,$O11,IF($J11&lt;=$K11+$L11,$O11+($P11-$O11)*($J11-$K11)/$L11,IF($J11&lt;=$K11+$L11+$M11,$P11,IF($J11&lt;=$K11+$L11+$M11+$N11,$P11+($Q11-$P11)*($J11-($K11+$L11+$M11))/$N11,$Q11)))))</f>
        <v/>
      </c>
      <c r="S11" s="13">
        <f>ETO_SEM</f>
        <v/>
      </c>
      <c r="T11" s="14">
        <f>IF(OR($R11="",$R11="PENDENTE"),"",$R11*$S11)</f>
        <v/>
      </c>
      <c r="U11" s="13" t="n">
        <v>0</v>
      </c>
      <c r="V11" s="14">
        <f>IF($T11="","",MAX(0,$T11-N($U11)))</f>
        <v/>
      </c>
      <c r="W11" s="14">
        <f>IF($V11="","",$V11/EF_APLIC)</f>
        <v/>
      </c>
      <c r="X11" s="15" t="n">
        <v>80</v>
      </c>
      <c r="Y11" s="16">
        <f>IF(OR($W11="",$X11=""),"",$W11*$X11*10)</f>
        <v/>
      </c>
      <c r="Z11" s="17">
        <f>IFERROR(INDEX('PARAMETROS'!$B$16:$B$19,MATCH($D11,'PARAMETROS'!$A$16:$A$19,0)),"")</f>
        <v/>
      </c>
      <c r="AA11" s="16">
        <f>IF(OR($Y11="",$Z11=""),"",$Y11*$Z11)</f>
        <v/>
      </c>
      <c r="AB11" s="18">
        <f>IF($R11="PENDENTE","Definir classe/Kc",IF($W11="","-",IF($W11&gt;0,"Irrigar","Nao irrigar")))</f>
        <v/>
      </c>
      <c r="AC11" s="18">
        <f>IF(OR($W11="",$W11=0),"-",IF($W11&gt;=META_SEM,"Alta",IF($W11&gt;=META_SEM*FRAC_ACOMP,"Media","Baixa")))</f>
        <v/>
      </c>
      <c r="AD11" s="19" t="inlineStr"/>
    </row>
    <row r="12">
      <c r="A12" s="5" t="inlineStr">
        <is>
          <t>T63</t>
        </is>
      </c>
      <c r="B12" s="5" t="inlineStr">
        <is>
          <t>KARITEL</t>
        </is>
      </c>
      <c r="C12" s="5" t="inlineStr"/>
      <c r="D12" s="5" t="inlineStr">
        <is>
          <t>KM2</t>
        </is>
      </c>
      <c r="E12" s="5" t="inlineStr">
        <is>
          <t>SOJA</t>
        </is>
      </c>
      <c r="F12" s="6" t="inlineStr">
        <is>
          <t>NEO 761 I2X</t>
        </is>
      </c>
      <c r="G12" s="7" t="inlineStr">
        <is>
          <t>PRECOCE</t>
        </is>
      </c>
      <c r="H12" s="8" t="n">
        <v>46294</v>
      </c>
      <c r="I12" s="9">
        <f>IF($H12="","",DATA_REF-$H12)</f>
        <v/>
      </c>
      <c r="J12" s="9">
        <f>IF($I12="","",MAX(0,$I12-'PARAMETROS'!$B$12))</f>
        <v/>
      </c>
      <c r="K12" s="10">
        <f>IFERROR(INDEX(KC_CURVAS!$C$5:$C$15,MATCH($E12&amp;"|"&amp;$G12,KC_CURVAS!$K$5:$K$15,0)),IFERROR(INDEX(KC_CURVAS!$C$5:$C$15,MATCH($E12&amp;"|",KC_CURVAS!$K$5:$K$15,0)),""))</f>
        <v/>
      </c>
      <c r="L12" s="10">
        <f>IFERROR(INDEX(KC_CURVAS!$D$5:$D$15,MATCH($E12&amp;"|"&amp;$G12,KC_CURVAS!$K$5:$K$15,0)),IFERROR(INDEX(KC_CURVAS!$D$5:$D$15,MATCH($E12&amp;"|",KC_CURVAS!$K$5:$K$15,0)),""))</f>
        <v/>
      </c>
      <c r="M12" s="10">
        <f>IFERROR(INDEX(KC_CURVAS!$E$5:$E$15,MATCH($E12&amp;"|"&amp;$G12,KC_CURVAS!$K$5:$K$15,0)),IFERROR(INDEX(KC_CURVAS!$E$5:$E$15,MATCH($E12&amp;"|",KC_CURVAS!$K$5:$K$15,0)),""))</f>
        <v/>
      </c>
      <c r="N12" s="10">
        <f>IFERROR(INDEX(KC_CURVAS!$F$5:$F$15,MATCH($E12&amp;"|"&amp;$G12,KC_CURVAS!$K$5:$K$15,0)),IFERROR(INDEX(KC_CURVAS!$F$5:$F$15,MATCH($E12&amp;"|",KC_CURVAS!$K$5:$K$15,0)),""))</f>
        <v/>
      </c>
      <c r="O12" s="11">
        <f>IFERROR(INDEX(KC_CURVAS!$G$5:$G$15,MATCH($E12&amp;"|"&amp;$G12,KC_CURVAS!$K$5:$K$15,0)),IFERROR(INDEX(KC_CURVAS!$G$5:$G$15,MATCH($E12&amp;"|",KC_CURVAS!$K$5:$K$15,0)),""))</f>
        <v/>
      </c>
      <c r="P12" s="11">
        <f>IFERROR(INDEX(KC_CURVAS!$H$5:$H$15,MATCH($E12&amp;"|"&amp;$G12,KC_CURVAS!$K$5:$K$15,0)),IFERROR(INDEX(KC_CURVAS!$H$5:$H$15,MATCH($E12&amp;"|",KC_CURVAS!$K$5:$K$15,0)),""))</f>
        <v/>
      </c>
      <c r="Q12" s="11">
        <f>IFERROR(INDEX(KC_CURVAS!$I$5:$I$15,MATCH($E12&amp;"|"&amp;$G12,KC_CURVAS!$K$5:$K$15,0)),IFERROR(INDEX(KC_CURVAS!$I$5:$I$15,MATCH($E12&amp;"|",KC_CURVAS!$K$5:$K$15,0)),""))</f>
        <v/>
      </c>
      <c r="R12" s="12">
        <f>IF(OR($J12="",$K12=""),"PENDENTE",IF($J12&lt;=$K12,$O12,IF($J12&lt;=$K12+$L12,$O12+($P12-$O12)*($J12-$K12)/$L12,IF($J12&lt;=$K12+$L12+$M12,$P12,IF($J12&lt;=$K12+$L12+$M12+$N12,$P12+($Q12-$P12)*($J12-($K12+$L12+$M12))/$N12,$Q12)))))</f>
        <v/>
      </c>
      <c r="S12" s="13">
        <f>ETO_SEM</f>
        <v/>
      </c>
      <c r="T12" s="14">
        <f>IF(OR($R12="",$R12="PENDENTE"),"",$R12*$S12)</f>
        <v/>
      </c>
      <c r="U12" s="13" t="n">
        <v>0</v>
      </c>
      <c r="V12" s="14">
        <f>IF($T12="","",MAX(0,$T12-N($U12)))</f>
        <v/>
      </c>
      <c r="W12" s="14">
        <f>IF($V12="","",$V12/EF_APLIC)</f>
        <v/>
      </c>
      <c r="X12" s="15" t="n">
        <v>80</v>
      </c>
      <c r="Y12" s="16">
        <f>IF(OR($W12="",$X12=""),"",$W12*$X12*10)</f>
        <v/>
      </c>
      <c r="Z12" s="17">
        <f>IFERROR(INDEX('PARAMETROS'!$B$16:$B$19,MATCH($D12,'PARAMETROS'!$A$16:$A$19,0)),"")</f>
        <v/>
      </c>
      <c r="AA12" s="16">
        <f>IF(OR($Y12="",$Z12=""),"",$Y12*$Z12)</f>
        <v/>
      </c>
      <c r="AB12" s="18">
        <f>IF($R12="PENDENTE","Definir classe/Kc",IF($W12="","-",IF($W12&gt;0,"Irrigar","Nao irrigar")))</f>
        <v/>
      </c>
      <c r="AC12" s="18">
        <f>IF(OR($W12="",$W12=0),"-",IF($W12&gt;=META_SEM,"Alta",IF($W12&gt;=META_SEM*FRAC_ACOMP,"Media","Baixa")))</f>
        <v/>
      </c>
      <c r="AD12" s="19" t="inlineStr"/>
    </row>
    <row r="13">
      <c r="A13" s="5" t="inlineStr">
        <is>
          <t>T64</t>
        </is>
      </c>
      <c r="B13" s="5" t="inlineStr">
        <is>
          <t>KARITEL</t>
        </is>
      </c>
      <c r="C13" s="5" t="inlineStr"/>
      <c r="D13" s="5" t="inlineStr">
        <is>
          <t>KM2</t>
        </is>
      </c>
      <c r="E13" s="5" t="inlineStr">
        <is>
          <t>SOJA</t>
        </is>
      </c>
      <c r="F13" s="6" t="inlineStr">
        <is>
          <t>NEO 761 I2X</t>
        </is>
      </c>
      <c r="G13" s="7" t="inlineStr">
        <is>
          <t>PRECOCE</t>
        </is>
      </c>
      <c r="H13" s="8" t="n">
        <v>46295</v>
      </c>
      <c r="I13" s="9">
        <f>IF($H13="","",DATA_REF-$H13)</f>
        <v/>
      </c>
      <c r="J13" s="9">
        <f>IF($I13="","",MAX(0,$I13-'PARAMETROS'!$B$12))</f>
        <v/>
      </c>
      <c r="K13" s="10">
        <f>IFERROR(INDEX(KC_CURVAS!$C$5:$C$15,MATCH($E13&amp;"|"&amp;$G13,KC_CURVAS!$K$5:$K$15,0)),IFERROR(INDEX(KC_CURVAS!$C$5:$C$15,MATCH($E13&amp;"|",KC_CURVAS!$K$5:$K$15,0)),""))</f>
        <v/>
      </c>
      <c r="L13" s="10">
        <f>IFERROR(INDEX(KC_CURVAS!$D$5:$D$15,MATCH($E13&amp;"|"&amp;$G13,KC_CURVAS!$K$5:$K$15,0)),IFERROR(INDEX(KC_CURVAS!$D$5:$D$15,MATCH($E13&amp;"|",KC_CURVAS!$K$5:$K$15,0)),""))</f>
        <v/>
      </c>
      <c r="M13" s="10">
        <f>IFERROR(INDEX(KC_CURVAS!$E$5:$E$15,MATCH($E13&amp;"|"&amp;$G13,KC_CURVAS!$K$5:$K$15,0)),IFERROR(INDEX(KC_CURVAS!$E$5:$E$15,MATCH($E13&amp;"|",KC_CURVAS!$K$5:$K$15,0)),""))</f>
        <v/>
      </c>
      <c r="N13" s="10">
        <f>IFERROR(INDEX(KC_CURVAS!$F$5:$F$15,MATCH($E13&amp;"|"&amp;$G13,KC_CURVAS!$K$5:$K$15,0)),IFERROR(INDEX(KC_CURVAS!$F$5:$F$15,MATCH($E13&amp;"|",KC_CURVAS!$K$5:$K$15,0)),""))</f>
        <v/>
      </c>
      <c r="O13" s="11">
        <f>IFERROR(INDEX(KC_CURVAS!$G$5:$G$15,MATCH($E13&amp;"|"&amp;$G13,KC_CURVAS!$K$5:$K$15,0)),IFERROR(INDEX(KC_CURVAS!$G$5:$G$15,MATCH($E13&amp;"|",KC_CURVAS!$K$5:$K$15,0)),""))</f>
        <v/>
      </c>
      <c r="P13" s="11">
        <f>IFERROR(INDEX(KC_CURVAS!$H$5:$H$15,MATCH($E13&amp;"|"&amp;$G13,KC_CURVAS!$K$5:$K$15,0)),IFERROR(INDEX(KC_CURVAS!$H$5:$H$15,MATCH($E13&amp;"|",KC_CURVAS!$K$5:$K$15,0)),""))</f>
        <v/>
      </c>
      <c r="Q13" s="11">
        <f>IFERROR(INDEX(KC_CURVAS!$I$5:$I$15,MATCH($E13&amp;"|"&amp;$G13,KC_CURVAS!$K$5:$K$15,0)),IFERROR(INDEX(KC_CURVAS!$I$5:$I$15,MATCH($E13&amp;"|",KC_CURVAS!$K$5:$K$15,0)),""))</f>
        <v/>
      </c>
      <c r="R13" s="12">
        <f>IF(OR($J13="",$K13=""),"PENDENTE",IF($J13&lt;=$K13,$O13,IF($J13&lt;=$K13+$L13,$O13+($P13-$O13)*($J13-$K13)/$L13,IF($J13&lt;=$K13+$L13+$M13,$P13,IF($J13&lt;=$K13+$L13+$M13+$N13,$P13+($Q13-$P13)*($J13-($K13+$L13+$M13))/$N13,$Q13)))))</f>
        <v/>
      </c>
      <c r="S13" s="13">
        <f>ETO_SEM</f>
        <v/>
      </c>
      <c r="T13" s="14">
        <f>IF(OR($R13="",$R13="PENDENTE"),"",$R13*$S13)</f>
        <v/>
      </c>
      <c r="U13" s="13" t="n">
        <v>0</v>
      </c>
      <c r="V13" s="14">
        <f>IF($T13="","",MAX(0,$T13-N($U13)))</f>
        <v/>
      </c>
      <c r="W13" s="14">
        <f>IF($V13="","",$V13/EF_APLIC)</f>
        <v/>
      </c>
      <c r="X13" s="15" t="n">
        <v>80</v>
      </c>
      <c r="Y13" s="16">
        <f>IF(OR($W13="",$X13=""),"",$W13*$X13*10)</f>
        <v/>
      </c>
      <c r="Z13" s="17">
        <f>IFERROR(INDEX('PARAMETROS'!$B$16:$B$19,MATCH($D13,'PARAMETROS'!$A$16:$A$19,0)),"")</f>
        <v/>
      </c>
      <c r="AA13" s="16">
        <f>IF(OR($Y13="",$Z13=""),"",$Y13*$Z13)</f>
        <v/>
      </c>
      <c r="AB13" s="18">
        <f>IF($R13="PENDENTE","Definir classe/Kc",IF($W13="","-",IF($W13&gt;0,"Irrigar","Nao irrigar")))</f>
        <v/>
      </c>
      <c r="AC13" s="18">
        <f>IF(OR($W13="",$W13=0),"-",IF($W13&gt;=META_SEM,"Alta",IF($W13&gt;=META_SEM*FRAC_ACOMP,"Media","Baixa")))</f>
        <v/>
      </c>
      <c r="AD13" s="19" t="inlineStr"/>
    </row>
    <row r="14">
      <c r="A14" s="5" t="inlineStr">
        <is>
          <t>T65</t>
        </is>
      </c>
      <c r="B14" s="5" t="inlineStr">
        <is>
          <t>KARITEL</t>
        </is>
      </c>
      <c r="C14" s="5" t="inlineStr"/>
      <c r="D14" s="5" t="inlineStr">
        <is>
          <t>KM2</t>
        </is>
      </c>
      <c r="E14" s="5" t="inlineStr">
        <is>
          <t>SOJA</t>
        </is>
      </c>
      <c r="F14" s="6" t="inlineStr">
        <is>
          <t>NEO 761 I2X</t>
        </is>
      </c>
      <c r="G14" s="7" t="inlineStr">
        <is>
          <t>PRECOCE</t>
        </is>
      </c>
      <c r="H14" s="8" t="n">
        <v>46295</v>
      </c>
      <c r="I14" s="9">
        <f>IF($H14="","",DATA_REF-$H14)</f>
        <v/>
      </c>
      <c r="J14" s="9">
        <f>IF($I14="","",MAX(0,$I14-'PARAMETROS'!$B$12))</f>
        <v/>
      </c>
      <c r="K14" s="10">
        <f>IFERROR(INDEX(KC_CURVAS!$C$5:$C$15,MATCH($E14&amp;"|"&amp;$G14,KC_CURVAS!$K$5:$K$15,0)),IFERROR(INDEX(KC_CURVAS!$C$5:$C$15,MATCH($E14&amp;"|",KC_CURVAS!$K$5:$K$15,0)),""))</f>
        <v/>
      </c>
      <c r="L14" s="10">
        <f>IFERROR(INDEX(KC_CURVAS!$D$5:$D$15,MATCH($E14&amp;"|"&amp;$G14,KC_CURVAS!$K$5:$K$15,0)),IFERROR(INDEX(KC_CURVAS!$D$5:$D$15,MATCH($E14&amp;"|",KC_CURVAS!$K$5:$K$15,0)),""))</f>
        <v/>
      </c>
      <c r="M14" s="10">
        <f>IFERROR(INDEX(KC_CURVAS!$E$5:$E$15,MATCH($E14&amp;"|"&amp;$G14,KC_CURVAS!$K$5:$K$15,0)),IFERROR(INDEX(KC_CURVAS!$E$5:$E$15,MATCH($E14&amp;"|",KC_CURVAS!$K$5:$K$15,0)),""))</f>
        <v/>
      </c>
      <c r="N14" s="10">
        <f>IFERROR(INDEX(KC_CURVAS!$F$5:$F$15,MATCH($E14&amp;"|"&amp;$G14,KC_CURVAS!$K$5:$K$15,0)),IFERROR(INDEX(KC_CURVAS!$F$5:$F$15,MATCH($E14&amp;"|",KC_CURVAS!$K$5:$K$15,0)),""))</f>
        <v/>
      </c>
      <c r="O14" s="11">
        <f>IFERROR(INDEX(KC_CURVAS!$G$5:$G$15,MATCH($E14&amp;"|"&amp;$G14,KC_CURVAS!$K$5:$K$15,0)),IFERROR(INDEX(KC_CURVAS!$G$5:$G$15,MATCH($E14&amp;"|",KC_CURVAS!$K$5:$K$15,0)),""))</f>
        <v/>
      </c>
      <c r="P14" s="11">
        <f>IFERROR(INDEX(KC_CURVAS!$H$5:$H$15,MATCH($E14&amp;"|"&amp;$G14,KC_CURVAS!$K$5:$K$15,0)),IFERROR(INDEX(KC_CURVAS!$H$5:$H$15,MATCH($E14&amp;"|",KC_CURVAS!$K$5:$K$15,0)),""))</f>
        <v/>
      </c>
      <c r="Q14" s="11">
        <f>IFERROR(INDEX(KC_CURVAS!$I$5:$I$15,MATCH($E14&amp;"|"&amp;$G14,KC_CURVAS!$K$5:$K$15,0)),IFERROR(INDEX(KC_CURVAS!$I$5:$I$15,MATCH($E14&amp;"|",KC_CURVAS!$K$5:$K$15,0)),""))</f>
        <v/>
      </c>
      <c r="R14" s="12">
        <f>IF(OR($J14="",$K14=""),"PENDENTE",IF($J14&lt;=$K14,$O14,IF($J14&lt;=$K14+$L14,$O14+($P14-$O14)*($J14-$K14)/$L14,IF($J14&lt;=$K14+$L14+$M14,$P14,IF($J14&lt;=$K14+$L14+$M14+$N14,$P14+($Q14-$P14)*($J14-($K14+$L14+$M14))/$N14,$Q14)))))</f>
        <v/>
      </c>
      <c r="S14" s="13">
        <f>ETO_SEM</f>
        <v/>
      </c>
      <c r="T14" s="14">
        <f>IF(OR($R14="",$R14="PENDENTE"),"",$R14*$S14)</f>
        <v/>
      </c>
      <c r="U14" s="13" t="n">
        <v>0</v>
      </c>
      <c r="V14" s="14">
        <f>IF($T14="","",MAX(0,$T14-N($U14)))</f>
        <v/>
      </c>
      <c r="W14" s="14">
        <f>IF($V14="","",$V14/EF_APLIC)</f>
        <v/>
      </c>
      <c r="X14" s="15" t="n">
        <v>150</v>
      </c>
      <c r="Y14" s="16">
        <f>IF(OR($W14="",$X14=""),"",$W14*$X14*10)</f>
        <v/>
      </c>
      <c r="Z14" s="17">
        <f>IFERROR(INDEX('PARAMETROS'!$B$16:$B$19,MATCH($D14,'PARAMETROS'!$A$16:$A$19,0)),"")</f>
        <v/>
      </c>
      <c r="AA14" s="16">
        <f>IF(OR($Y14="",$Z14=""),"",$Y14*$Z14)</f>
        <v/>
      </c>
      <c r="AB14" s="18">
        <f>IF($R14="PENDENTE","Definir classe/Kc",IF($W14="","-",IF($W14&gt;0,"Irrigar","Nao irrigar")))</f>
        <v/>
      </c>
      <c r="AC14" s="18">
        <f>IF(OR($W14="",$W14=0),"-",IF($W14&gt;=META_SEM,"Alta",IF($W14&gt;=META_SEM*FRAC_ACOMP,"Media","Baixa")))</f>
        <v/>
      </c>
      <c r="AD14" s="19" t="inlineStr"/>
    </row>
    <row r="15">
      <c r="A15" s="5" t="inlineStr">
        <is>
          <t>T104</t>
        </is>
      </c>
      <c r="B15" s="5" t="inlineStr">
        <is>
          <t>RDM</t>
        </is>
      </c>
      <c r="C15" s="5" t="inlineStr"/>
      <c r="D15" s="5" t="inlineStr">
        <is>
          <t>RDM1</t>
        </is>
      </c>
      <c r="E15" s="5" t="inlineStr">
        <is>
          <t>SOJA</t>
        </is>
      </c>
      <c r="F15" s="6" t="inlineStr">
        <is>
          <t>COMBATE IPRO</t>
        </is>
      </c>
      <c r="G15" s="7" t="inlineStr">
        <is>
          <t>PRECOCE</t>
        </is>
      </c>
      <c r="H15" s="8" t="n">
        <v>46291</v>
      </c>
      <c r="I15" s="9">
        <f>IF($H15="","",DATA_REF-$H15)</f>
        <v/>
      </c>
      <c r="J15" s="9">
        <f>IF($I15="","",MAX(0,$I15-'PARAMETROS'!$B$12))</f>
        <v/>
      </c>
      <c r="K15" s="10">
        <f>IFERROR(INDEX(KC_CURVAS!$C$5:$C$15,MATCH($E15&amp;"|"&amp;$G15,KC_CURVAS!$K$5:$K$15,0)),IFERROR(INDEX(KC_CURVAS!$C$5:$C$15,MATCH($E15&amp;"|",KC_CURVAS!$K$5:$K$15,0)),""))</f>
        <v/>
      </c>
      <c r="L15" s="10">
        <f>IFERROR(INDEX(KC_CURVAS!$D$5:$D$15,MATCH($E15&amp;"|"&amp;$G15,KC_CURVAS!$K$5:$K$15,0)),IFERROR(INDEX(KC_CURVAS!$D$5:$D$15,MATCH($E15&amp;"|",KC_CURVAS!$K$5:$K$15,0)),""))</f>
        <v/>
      </c>
      <c r="M15" s="10">
        <f>IFERROR(INDEX(KC_CURVAS!$E$5:$E$15,MATCH($E15&amp;"|"&amp;$G15,KC_CURVAS!$K$5:$K$15,0)),IFERROR(INDEX(KC_CURVAS!$E$5:$E$15,MATCH($E15&amp;"|",KC_CURVAS!$K$5:$K$15,0)),""))</f>
        <v/>
      </c>
      <c r="N15" s="10">
        <f>IFERROR(INDEX(KC_CURVAS!$F$5:$F$15,MATCH($E15&amp;"|"&amp;$G15,KC_CURVAS!$K$5:$K$15,0)),IFERROR(INDEX(KC_CURVAS!$F$5:$F$15,MATCH($E15&amp;"|",KC_CURVAS!$K$5:$K$15,0)),""))</f>
        <v/>
      </c>
      <c r="O15" s="11">
        <f>IFERROR(INDEX(KC_CURVAS!$G$5:$G$15,MATCH($E15&amp;"|"&amp;$G15,KC_CURVAS!$K$5:$K$15,0)),IFERROR(INDEX(KC_CURVAS!$G$5:$G$15,MATCH($E15&amp;"|",KC_CURVAS!$K$5:$K$15,0)),""))</f>
        <v/>
      </c>
      <c r="P15" s="11">
        <f>IFERROR(INDEX(KC_CURVAS!$H$5:$H$15,MATCH($E15&amp;"|"&amp;$G15,KC_CURVAS!$K$5:$K$15,0)),IFERROR(INDEX(KC_CURVAS!$H$5:$H$15,MATCH($E15&amp;"|",KC_CURVAS!$K$5:$K$15,0)),""))</f>
        <v/>
      </c>
      <c r="Q15" s="11">
        <f>IFERROR(INDEX(KC_CURVAS!$I$5:$I$15,MATCH($E15&amp;"|"&amp;$G15,KC_CURVAS!$K$5:$K$15,0)),IFERROR(INDEX(KC_CURVAS!$I$5:$I$15,MATCH($E15&amp;"|",KC_CURVAS!$K$5:$K$15,0)),""))</f>
        <v/>
      </c>
      <c r="R15" s="12">
        <f>IF(OR($J15="",$K15=""),"PENDENTE",IF($J15&lt;=$K15,$O15,IF($J15&lt;=$K15+$L15,$O15+($P15-$O15)*($J15-$K15)/$L15,IF($J15&lt;=$K15+$L15+$M15,$P15,IF($J15&lt;=$K15+$L15+$M15+$N15,$P15+($Q15-$P15)*($J15-($K15+$L15+$M15))/$N15,$Q15)))))</f>
        <v/>
      </c>
      <c r="S15" s="13">
        <f>ETO_SEM</f>
        <v/>
      </c>
      <c r="T15" s="14">
        <f>IF(OR($R15="",$R15="PENDENTE"),"",$R15*$S15)</f>
        <v/>
      </c>
      <c r="U15" s="13" t="n">
        <v>0</v>
      </c>
      <c r="V15" s="14">
        <f>IF($T15="","",MAX(0,$T15-N($U15)))</f>
        <v/>
      </c>
      <c r="W15" s="14">
        <f>IF($V15="","",$V15/EF_APLIC)</f>
        <v/>
      </c>
      <c r="X15" s="15" t="n">
        <v>100</v>
      </c>
      <c r="Y15" s="16">
        <f>IF(OR($W15="",$X15=""),"",$W15*$X15*10)</f>
        <v/>
      </c>
      <c r="Z15" s="17">
        <f>IFERROR(INDEX('PARAMETROS'!$B$16:$B$19,MATCH($D15,'PARAMETROS'!$A$16:$A$19,0)),"")</f>
        <v/>
      </c>
      <c r="AA15" s="16">
        <f>IF(OR($Y15="",$Z15=""),"",$Y15*$Z15)</f>
        <v/>
      </c>
      <c r="AB15" s="18">
        <f>IF($R15="PENDENTE","Definir classe/Kc",IF($W15="","-",IF($W15&gt;0,"Irrigar","Nao irrigar")))</f>
        <v/>
      </c>
      <c r="AC15" s="18">
        <f>IF(OR($W15="",$W15=0),"-",IF($W15&gt;=META_SEM,"Alta",IF($W15&gt;=META_SEM*FRAC_ACOMP,"Media","Baixa")))</f>
        <v/>
      </c>
      <c r="AD15" s="19" t="inlineStr"/>
    </row>
    <row r="16">
      <c r="A16" s="5" t="inlineStr">
        <is>
          <t>T110</t>
        </is>
      </c>
      <c r="B16" s="5" t="inlineStr">
        <is>
          <t>RDM</t>
        </is>
      </c>
      <c r="C16" s="5" t="inlineStr"/>
      <c r="D16" s="5" t="inlineStr">
        <is>
          <t>RDM1</t>
        </is>
      </c>
      <c r="E16" s="5" t="inlineStr">
        <is>
          <t>SOJA</t>
        </is>
      </c>
      <c r="F16" s="6" t="inlineStr">
        <is>
          <t>NEO 690 I2X</t>
        </is>
      </c>
      <c r="G16" s="7" t="inlineStr">
        <is>
          <t>PRECOCE</t>
        </is>
      </c>
      <c r="H16" s="8" t="n">
        <v>46290</v>
      </c>
      <c r="I16" s="9">
        <f>IF($H16="","",DATA_REF-$H16)</f>
        <v/>
      </c>
      <c r="J16" s="9">
        <f>IF($I16="","",MAX(0,$I16-'PARAMETROS'!$B$12))</f>
        <v/>
      </c>
      <c r="K16" s="10">
        <f>IFERROR(INDEX(KC_CURVAS!$C$5:$C$15,MATCH($E16&amp;"|"&amp;$G16,KC_CURVAS!$K$5:$K$15,0)),IFERROR(INDEX(KC_CURVAS!$C$5:$C$15,MATCH($E16&amp;"|",KC_CURVAS!$K$5:$K$15,0)),""))</f>
        <v/>
      </c>
      <c r="L16" s="10">
        <f>IFERROR(INDEX(KC_CURVAS!$D$5:$D$15,MATCH($E16&amp;"|"&amp;$G16,KC_CURVAS!$K$5:$K$15,0)),IFERROR(INDEX(KC_CURVAS!$D$5:$D$15,MATCH($E16&amp;"|",KC_CURVAS!$K$5:$K$15,0)),""))</f>
        <v/>
      </c>
      <c r="M16" s="10">
        <f>IFERROR(INDEX(KC_CURVAS!$E$5:$E$15,MATCH($E16&amp;"|"&amp;$G16,KC_CURVAS!$K$5:$K$15,0)),IFERROR(INDEX(KC_CURVAS!$E$5:$E$15,MATCH($E16&amp;"|",KC_CURVAS!$K$5:$K$15,0)),""))</f>
        <v/>
      </c>
      <c r="N16" s="10">
        <f>IFERROR(INDEX(KC_CURVAS!$F$5:$F$15,MATCH($E16&amp;"|"&amp;$G16,KC_CURVAS!$K$5:$K$15,0)),IFERROR(INDEX(KC_CURVAS!$F$5:$F$15,MATCH($E16&amp;"|",KC_CURVAS!$K$5:$K$15,0)),""))</f>
        <v/>
      </c>
      <c r="O16" s="11">
        <f>IFERROR(INDEX(KC_CURVAS!$G$5:$G$15,MATCH($E16&amp;"|"&amp;$G16,KC_CURVAS!$K$5:$K$15,0)),IFERROR(INDEX(KC_CURVAS!$G$5:$G$15,MATCH($E16&amp;"|",KC_CURVAS!$K$5:$K$15,0)),""))</f>
        <v/>
      </c>
      <c r="P16" s="11">
        <f>IFERROR(INDEX(KC_CURVAS!$H$5:$H$15,MATCH($E16&amp;"|"&amp;$G16,KC_CURVAS!$K$5:$K$15,0)),IFERROR(INDEX(KC_CURVAS!$H$5:$H$15,MATCH($E16&amp;"|",KC_CURVAS!$K$5:$K$15,0)),""))</f>
        <v/>
      </c>
      <c r="Q16" s="11">
        <f>IFERROR(INDEX(KC_CURVAS!$I$5:$I$15,MATCH($E16&amp;"|"&amp;$G16,KC_CURVAS!$K$5:$K$15,0)),IFERROR(INDEX(KC_CURVAS!$I$5:$I$15,MATCH($E16&amp;"|",KC_CURVAS!$K$5:$K$15,0)),""))</f>
        <v/>
      </c>
      <c r="R16" s="12">
        <f>IF(OR($J16="",$K16=""),"PENDENTE",IF($J16&lt;=$K16,$O16,IF($J16&lt;=$K16+$L16,$O16+($P16-$O16)*($J16-$K16)/$L16,IF($J16&lt;=$K16+$L16+$M16,$P16,IF($J16&lt;=$K16+$L16+$M16+$N16,$P16+($Q16-$P16)*($J16-($K16+$L16+$M16))/$N16,$Q16)))))</f>
        <v/>
      </c>
      <c r="S16" s="13">
        <f>ETO_SEM</f>
        <v/>
      </c>
      <c r="T16" s="14">
        <f>IF(OR($R16="",$R16="PENDENTE"),"",$R16*$S16)</f>
        <v/>
      </c>
      <c r="U16" s="13" t="n">
        <v>0</v>
      </c>
      <c r="V16" s="14">
        <f>IF($T16="","",MAX(0,$T16-N($U16)))</f>
        <v/>
      </c>
      <c r="W16" s="14">
        <f>IF($V16="","",$V16/EF_APLIC)</f>
        <v/>
      </c>
      <c r="X16" s="15" t="n">
        <v>100</v>
      </c>
      <c r="Y16" s="16">
        <f>IF(OR($W16="",$X16=""),"",$W16*$X16*10)</f>
        <v/>
      </c>
      <c r="Z16" s="17">
        <f>IFERROR(INDEX('PARAMETROS'!$B$16:$B$19,MATCH($D16,'PARAMETROS'!$A$16:$A$19,0)),"")</f>
        <v/>
      </c>
      <c r="AA16" s="16">
        <f>IF(OR($Y16="",$Z16=""),"",$Y16*$Z16)</f>
        <v/>
      </c>
      <c r="AB16" s="18">
        <f>IF($R16="PENDENTE","Definir classe/Kc",IF($W16="","-",IF($W16&gt;0,"Irrigar","Nao irrigar")))</f>
        <v/>
      </c>
      <c r="AC16" s="18">
        <f>IF(OR($W16="",$W16=0),"-",IF($W16&gt;=META_SEM,"Alta",IF($W16&gt;=META_SEM*FRAC_ACOMP,"Media","Baixa")))</f>
        <v/>
      </c>
      <c r="AD16" s="19" t="inlineStr"/>
    </row>
    <row r="17">
      <c r="A17" s="5" t="inlineStr">
        <is>
          <t>T106</t>
        </is>
      </c>
      <c r="B17" s="5" t="inlineStr">
        <is>
          <t>RDM</t>
        </is>
      </c>
      <c r="C17" s="5" t="inlineStr"/>
      <c r="D17" s="5" t="inlineStr">
        <is>
          <t>RDM2</t>
        </is>
      </c>
      <c r="E17" s="5" t="inlineStr">
        <is>
          <t>SOJA</t>
        </is>
      </c>
      <c r="F17" s="6" t="inlineStr">
        <is>
          <t>NEO 761 I2X</t>
        </is>
      </c>
      <c r="G17" s="7" t="inlineStr">
        <is>
          <t>PRECOCE</t>
        </is>
      </c>
      <c r="H17" s="8" t="n">
        <v>46291</v>
      </c>
      <c r="I17" s="9">
        <f>IF($H17="","",DATA_REF-$H17)</f>
        <v/>
      </c>
      <c r="J17" s="9">
        <f>IF($I17="","",MAX(0,$I17-'PARAMETROS'!$B$12))</f>
        <v/>
      </c>
      <c r="K17" s="10">
        <f>IFERROR(INDEX(KC_CURVAS!$C$5:$C$15,MATCH($E17&amp;"|"&amp;$G17,KC_CURVAS!$K$5:$K$15,0)),IFERROR(INDEX(KC_CURVAS!$C$5:$C$15,MATCH($E17&amp;"|",KC_CURVAS!$K$5:$K$15,0)),""))</f>
        <v/>
      </c>
      <c r="L17" s="10">
        <f>IFERROR(INDEX(KC_CURVAS!$D$5:$D$15,MATCH($E17&amp;"|"&amp;$G17,KC_CURVAS!$K$5:$K$15,0)),IFERROR(INDEX(KC_CURVAS!$D$5:$D$15,MATCH($E17&amp;"|",KC_CURVAS!$K$5:$K$15,0)),""))</f>
        <v/>
      </c>
      <c r="M17" s="10">
        <f>IFERROR(INDEX(KC_CURVAS!$E$5:$E$15,MATCH($E17&amp;"|"&amp;$G17,KC_CURVAS!$K$5:$K$15,0)),IFERROR(INDEX(KC_CURVAS!$E$5:$E$15,MATCH($E17&amp;"|",KC_CURVAS!$K$5:$K$15,0)),""))</f>
        <v/>
      </c>
      <c r="N17" s="10">
        <f>IFERROR(INDEX(KC_CURVAS!$F$5:$F$15,MATCH($E17&amp;"|"&amp;$G17,KC_CURVAS!$K$5:$K$15,0)),IFERROR(INDEX(KC_CURVAS!$F$5:$F$15,MATCH($E17&amp;"|",KC_CURVAS!$K$5:$K$15,0)),""))</f>
        <v/>
      </c>
      <c r="O17" s="11">
        <f>IFERROR(INDEX(KC_CURVAS!$G$5:$G$15,MATCH($E17&amp;"|"&amp;$G17,KC_CURVAS!$K$5:$K$15,0)),IFERROR(INDEX(KC_CURVAS!$G$5:$G$15,MATCH($E17&amp;"|",KC_CURVAS!$K$5:$K$15,0)),""))</f>
        <v/>
      </c>
      <c r="P17" s="11">
        <f>IFERROR(INDEX(KC_CURVAS!$H$5:$H$15,MATCH($E17&amp;"|"&amp;$G17,KC_CURVAS!$K$5:$K$15,0)),IFERROR(INDEX(KC_CURVAS!$H$5:$H$15,MATCH($E17&amp;"|",KC_CURVAS!$K$5:$K$15,0)),""))</f>
        <v/>
      </c>
      <c r="Q17" s="11">
        <f>IFERROR(INDEX(KC_CURVAS!$I$5:$I$15,MATCH($E17&amp;"|"&amp;$G17,KC_CURVAS!$K$5:$K$15,0)),IFERROR(INDEX(KC_CURVAS!$I$5:$I$15,MATCH($E17&amp;"|",KC_CURVAS!$K$5:$K$15,0)),""))</f>
        <v/>
      </c>
      <c r="R17" s="12">
        <f>IF(OR($J17="",$K17=""),"PENDENTE",IF($J17&lt;=$K17,$O17,IF($J17&lt;=$K17+$L17,$O17+($P17-$O17)*($J17-$K17)/$L17,IF($J17&lt;=$K17+$L17+$M17,$P17,IF($J17&lt;=$K17+$L17+$M17+$N17,$P17+($Q17-$P17)*($J17-($K17+$L17+$M17))/$N17,$Q17)))))</f>
        <v/>
      </c>
      <c r="S17" s="13">
        <f>ETO_SEM</f>
        <v/>
      </c>
      <c r="T17" s="14">
        <f>IF(OR($R17="",$R17="PENDENTE"),"",$R17*$S17)</f>
        <v/>
      </c>
      <c r="U17" s="13" t="n">
        <v>0</v>
      </c>
      <c r="V17" s="14">
        <f>IF($T17="","",MAX(0,$T17-N($U17)))</f>
        <v/>
      </c>
      <c r="W17" s="14">
        <f>IF($V17="","",$V17/EF_APLIC)</f>
        <v/>
      </c>
      <c r="X17" s="15" t="n">
        <v>100</v>
      </c>
      <c r="Y17" s="16">
        <f>IF(OR($W17="",$X17=""),"",$W17*$X17*10)</f>
        <v/>
      </c>
      <c r="Z17" s="17">
        <f>IFERROR(INDEX('PARAMETROS'!$B$16:$B$19,MATCH($D17,'PARAMETROS'!$A$16:$A$19,0)),"")</f>
        <v/>
      </c>
      <c r="AA17" s="16">
        <f>IF(OR($Y17="",$Z17=""),"",$Y17*$Z17)</f>
        <v/>
      </c>
      <c r="AB17" s="18">
        <f>IF($R17="PENDENTE","Definir classe/Kc",IF($W17="","-",IF($W17&gt;0,"Irrigar","Nao irrigar")))</f>
        <v/>
      </c>
      <c r="AC17" s="18">
        <f>IF(OR($W17="",$W17=0),"-",IF($W17&gt;=META_SEM,"Alta",IF($W17&gt;=META_SEM*FRAC_ACOMP,"Media","Baixa")))</f>
        <v/>
      </c>
      <c r="AD17" s="19" t="inlineStr"/>
    </row>
    <row r="18">
      <c r="A18" s="5" t="inlineStr">
        <is>
          <t>T105</t>
        </is>
      </c>
      <c r="B18" s="5" t="inlineStr">
        <is>
          <t>RDM</t>
        </is>
      </c>
      <c r="C18" s="5" t="inlineStr"/>
      <c r="D18" s="5" t="inlineStr">
        <is>
          <t>RDM2</t>
        </is>
      </c>
      <c r="E18" s="5" t="inlineStr">
        <is>
          <t>SOJA</t>
        </is>
      </c>
      <c r="F18" s="6" t="inlineStr">
        <is>
          <t>COMBATE IPRO</t>
        </is>
      </c>
      <c r="G18" s="7" t="inlineStr">
        <is>
          <t>PRECOCE</t>
        </is>
      </c>
      <c r="H18" s="8" t="n">
        <v>46293</v>
      </c>
      <c r="I18" s="9">
        <f>IF($H18="","",DATA_REF-$H18)</f>
        <v/>
      </c>
      <c r="J18" s="9">
        <f>IF($I18="","",MAX(0,$I18-'PARAMETROS'!$B$12))</f>
        <v/>
      </c>
      <c r="K18" s="10">
        <f>IFERROR(INDEX(KC_CURVAS!$C$5:$C$15,MATCH($E18&amp;"|"&amp;$G18,KC_CURVAS!$K$5:$K$15,0)),IFERROR(INDEX(KC_CURVAS!$C$5:$C$15,MATCH($E18&amp;"|",KC_CURVAS!$K$5:$K$15,0)),""))</f>
        <v/>
      </c>
      <c r="L18" s="10">
        <f>IFERROR(INDEX(KC_CURVAS!$D$5:$D$15,MATCH($E18&amp;"|"&amp;$G18,KC_CURVAS!$K$5:$K$15,0)),IFERROR(INDEX(KC_CURVAS!$D$5:$D$15,MATCH($E18&amp;"|",KC_CURVAS!$K$5:$K$15,0)),""))</f>
        <v/>
      </c>
      <c r="M18" s="10">
        <f>IFERROR(INDEX(KC_CURVAS!$E$5:$E$15,MATCH($E18&amp;"|"&amp;$G18,KC_CURVAS!$K$5:$K$15,0)),IFERROR(INDEX(KC_CURVAS!$E$5:$E$15,MATCH($E18&amp;"|",KC_CURVAS!$K$5:$K$15,0)),""))</f>
        <v/>
      </c>
      <c r="N18" s="10">
        <f>IFERROR(INDEX(KC_CURVAS!$F$5:$F$15,MATCH($E18&amp;"|"&amp;$G18,KC_CURVAS!$K$5:$K$15,0)),IFERROR(INDEX(KC_CURVAS!$F$5:$F$15,MATCH($E18&amp;"|",KC_CURVAS!$K$5:$K$15,0)),""))</f>
        <v/>
      </c>
      <c r="O18" s="11">
        <f>IFERROR(INDEX(KC_CURVAS!$G$5:$G$15,MATCH($E18&amp;"|"&amp;$G18,KC_CURVAS!$K$5:$K$15,0)),IFERROR(INDEX(KC_CURVAS!$G$5:$G$15,MATCH($E18&amp;"|",KC_CURVAS!$K$5:$K$15,0)),""))</f>
        <v/>
      </c>
      <c r="P18" s="11">
        <f>IFERROR(INDEX(KC_CURVAS!$H$5:$H$15,MATCH($E18&amp;"|"&amp;$G18,KC_CURVAS!$K$5:$K$15,0)),IFERROR(INDEX(KC_CURVAS!$H$5:$H$15,MATCH($E18&amp;"|",KC_CURVAS!$K$5:$K$15,0)),""))</f>
        <v/>
      </c>
      <c r="Q18" s="11">
        <f>IFERROR(INDEX(KC_CURVAS!$I$5:$I$15,MATCH($E18&amp;"|"&amp;$G18,KC_CURVAS!$K$5:$K$15,0)),IFERROR(INDEX(KC_CURVAS!$I$5:$I$15,MATCH($E18&amp;"|",KC_CURVAS!$K$5:$K$15,0)),""))</f>
        <v/>
      </c>
      <c r="R18" s="12">
        <f>IF(OR($J18="",$K18=""),"PENDENTE",IF($J18&lt;=$K18,$O18,IF($J18&lt;=$K18+$L18,$O18+($P18-$O18)*($J18-$K18)/$L18,IF($J18&lt;=$K18+$L18+$M18,$P18,IF($J18&lt;=$K18+$L18+$M18+$N18,$P18+($Q18-$P18)*($J18-($K18+$L18+$M18))/$N18,$Q18)))))</f>
        <v/>
      </c>
      <c r="S18" s="13">
        <f>ETO_SEM</f>
        <v/>
      </c>
      <c r="T18" s="14">
        <f>IF(OR($R18="",$R18="PENDENTE"),"",$R18*$S18)</f>
        <v/>
      </c>
      <c r="U18" s="13" t="n">
        <v>0</v>
      </c>
      <c r="V18" s="14">
        <f>IF($T18="","",MAX(0,$T18-N($U18)))</f>
        <v/>
      </c>
      <c r="W18" s="14">
        <f>IF($V18="","",$V18/EF_APLIC)</f>
        <v/>
      </c>
      <c r="X18" s="15" t="n">
        <v>100</v>
      </c>
      <c r="Y18" s="16">
        <f>IF(OR($W18="",$X18=""),"",$W18*$X18*10)</f>
        <v/>
      </c>
      <c r="Z18" s="17">
        <f>IFERROR(INDEX('PARAMETROS'!$B$16:$B$19,MATCH($D18,'PARAMETROS'!$A$16:$A$19,0)),"")</f>
        <v/>
      </c>
      <c r="AA18" s="16">
        <f>IF(OR($Y18="",$Z18=""),"",$Y18*$Z18)</f>
        <v/>
      </c>
      <c r="AB18" s="18">
        <f>IF($R18="PENDENTE","Definir classe/Kc",IF($W18="","-",IF($W18&gt;0,"Irrigar","Nao irrigar")))</f>
        <v/>
      </c>
      <c r="AC18" s="18">
        <f>IF(OR($W18="",$W18=0),"-",IF($W18&gt;=META_SEM,"Alta",IF($W18&gt;=META_SEM*FRAC_ACOMP,"Media","Baixa")))</f>
        <v/>
      </c>
      <c r="AD18" s="19" t="inlineStr"/>
    </row>
    <row r="19">
      <c r="A19" s="5" t="inlineStr">
        <is>
          <t>T107</t>
        </is>
      </c>
      <c r="B19" s="5" t="inlineStr">
        <is>
          <t>RDM</t>
        </is>
      </c>
      <c r="C19" s="5" t="inlineStr"/>
      <c r="D19" s="5" t="inlineStr">
        <is>
          <t>RDM2</t>
        </is>
      </c>
      <c r="E19" s="5" t="inlineStr">
        <is>
          <t>SOJA</t>
        </is>
      </c>
      <c r="F19" s="6" t="inlineStr">
        <is>
          <t>NEO 761 I2X</t>
        </is>
      </c>
      <c r="G19" s="7" t="inlineStr">
        <is>
          <t>PRECOCE</t>
        </is>
      </c>
      <c r="H19" s="8" t="n">
        <v>46293</v>
      </c>
      <c r="I19" s="9">
        <f>IF($H19="","",DATA_REF-$H19)</f>
        <v/>
      </c>
      <c r="J19" s="9">
        <f>IF($I19="","",MAX(0,$I19-'PARAMETROS'!$B$12))</f>
        <v/>
      </c>
      <c r="K19" s="10">
        <f>IFERROR(INDEX(KC_CURVAS!$C$5:$C$15,MATCH($E19&amp;"|"&amp;$G19,KC_CURVAS!$K$5:$K$15,0)),IFERROR(INDEX(KC_CURVAS!$C$5:$C$15,MATCH($E19&amp;"|",KC_CURVAS!$K$5:$K$15,0)),""))</f>
        <v/>
      </c>
      <c r="L19" s="10">
        <f>IFERROR(INDEX(KC_CURVAS!$D$5:$D$15,MATCH($E19&amp;"|"&amp;$G19,KC_CURVAS!$K$5:$K$15,0)),IFERROR(INDEX(KC_CURVAS!$D$5:$D$15,MATCH($E19&amp;"|",KC_CURVAS!$K$5:$K$15,0)),""))</f>
        <v/>
      </c>
      <c r="M19" s="10">
        <f>IFERROR(INDEX(KC_CURVAS!$E$5:$E$15,MATCH($E19&amp;"|"&amp;$G19,KC_CURVAS!$K$5:$K$15,0)),IFERROR(INDEX(KC_CURVAS!$E$5:$E$15,MATCH($E19&amp;"|",KC_CURVAS!$K$5:$K$15,0)),""))</f>
        <v/>
      </c>
      <c r="N19" s="10">
        <f>IFERROR(INDEX(KC_CURVAS!$F$5:$F$15,MATCH($E19&amp;"|"&amp;$G19,KC_CURVAS!$K$5:$K$15,0)),IFERROR(INDEX(KC_CURVAS!$F$5:$F$15,MATCH($E19&amp;"|",KC_CURVAS!$K$5:$K$15,0)),""))</f>
        <v/>
      </c>
      <c r="O19" s="11">
        <f>IFERROR(INDEX(KC_CURVAS!$G$5:$G$15,MATCH($E19&amp;"|"&amp;$G19,KC_CURVAS!$K$5:$K$15,0)),IFERROR(INDEX(KC_CURVAS!$G$5:$G$15,MATCH($E19&amp;"|",KC_CURVAS!$K$5:$K$15,0)),""))</f>
        <v/>
      </c>
      <c r="P19" s="11">
        <f>IFERROR(INDEX(KC_CURVAS!$H$5:$H$15,MATCH($E19&amp;"|"&amp;$G19,KC_CURVAS!$K$5:$K$15,0)),IFERROR(INDEX(KC_CURVAS!$H$5:$H$15,MATCH($E19&amp;"|",KC_CURVAS!$K$5:$K$15,0)),""))</f>
        <v/>
      </c>
      <c r="Q19" s="11">
        <f>IFERROR(INDEX(KC_CURVAS!$I$5:$I$15,MATCH($E19&amp;"|"&amp;$G19,KC_CURVAS!$K$5:$K$15,0)),IFERROR(INDEX(KC_CURVAS!$I$5:$I$15,MATCH($E19&amp;"|",KC_CURVAS!$K$5:$K$15,0)),""))</f>
        <v/>
      </c>
      <c r="R19" s="12">
        <f>IF(OR($J19="",$K19=""),"PENDENTE",IF($J19&lt;=$K19,$O19,IF($J19&lt;=$K19+$L19,$O19+($P19-$O19)*($J19-$K19)/$L19,IF($J19&lt;=$K19+$L19+$M19,$P19,IF($J19&lt;=$K19+$L19+$M19+$N19,$P19+($Q19-$P19)*($J19-($K19+$L19+$M19))/$N19,$Q19)))))</f>
        <v/>
      </c>
      <c r="S19" s="13">
        <f>ETO_SEM</f>
        <v/>
      </c>
      <c r="T19" s="14">
        <f>IF(OR($R19="",$R19="PENDENTE"),"",$R19*$S19)</f>
        <v/>
      </c>
      <c r="U19" s="13" t="n">
        <v>0</v>
      </c>
      <c r="V19" s="14">
        <f>IF($T19="","",MAX(0,$T19-N($U19)))</f>
        <v/>
      </c>
      <c r="W19" s="14">
        <f>IF($V19="","",$V19/EF_APLIC)</f>
        <v/>
      </c>
      <c r="X19" s="15" t="n">
        <v>100</v>
      </c>
      <c r="Y19" s="16">
        <f>IF(OR($W19="",$X19=""),"",$W19*$X19*10)</f>
        <v/>
      </c>
      <c r="Z19" s="17">
        <f>IFERROR(INDEX('PARAMETROS'!$B$16:$B$19,MATCH($D19,'PARAMETROS'!$A$16:$A$19,0)),"")</f>
        <v/>
      </c>
      <c r="AA19" s="16">
        <f>IF(OR($Y19="",$Z19=""),"",$Y19*$Z19)</f>
        <v/>
      </c>
      <c r="AB19" s="18">
        <f>IF($R19="PENDENTE","Definir classe/Kc",IF($W19="","-",IF($W19&gt;0,"Irrigar","Nao irrigar")))</f>
        <v/>
      </c>
      <c r="AC19" s="18">
        <f>IF(OR($W19="",$W19=0),"-",IF($W19&gt;=META_SEM,"Alta",IF($W19&gt;=META_SEM*FRAC_ACOMP,"Media","Baixa")))</f>
        <v/>
      </c>
      <c r="AD19" s="19" t="inlineStr"/>
    </row>
    <row r="20">
      <c r="A20" s="5" t="inlineStr">
        <is>
          <t>T109</t>
        </is>
      </c>
      <c r="B20" s="5" t="inlineStr">
        <is>
          <t>RDM</t>
        </is>
      </c>
      <c r="C20" s="5" t="inlineStr"/>
      <c r="D20" s="5" t="inlineStr">
        <is>
          <t>RDM2</t>
        </is>
      </c>
      <c r="E20" s="5" t="inlineStr">
        <is>
          <t>SOJA</t>
        </is>
      </c>
      <c r="F20" s="6" t="inlineStr">
        <is>
          <t>NEO 690 I2X</t>
        </is>
      </c>
      <c r="G20" s="7" t="inlineStr">
        <is>
          <t>PRECOCE</t>
        </is>
      </c>
      <c r="H20" s="8" t="n">
        <v>46290</v>
      </c>
      <c r="I20" s="9">
        <f>IF($H20="","",DATA_REF-$H20)</f>
        <v/>
      </c>
      <c r="J20" s="9">
        <f>IF($I20="","",MAX(0,$I20-'PARAMETROS'!$B$12))</f>
        <v/>
      </c>
      <c r="K20" s="10">
        <f>IFERROR(INDEX(KC_CURVAS!$C$5:$C$15,MATCH($E20&amp;"|"&amp;$G20,KC_CURVAS!$K$5:$K$15,0)),IFERROR(INDEX(KC_CURVAS!$C$5:$C$15,MATCH($E20&amp;"|",KC_CURVAS!$K$5:$K$15,0)),""))</f>
        <v/>
      </c>
      <c r="L20" s="10">
        <f>IFERROR(INDEX(KC_CURVAS!$D$5:$D$15,MATCH($E20&amp;"|"&amp;$G20,KC_CURVAS!$K$5:$K$15,0)),IFERROR(INDEX(KC_CURVAS!$D$5:$D$15,MATCH($E20&amp;"|",KC_CURVAS!$K$5:$K$15,0)),""))</f>
        <v/>
      </c>
      <c r="M20" s="10">
        <f>IFERROR(INDEX(KC_CURVAS!$E$5:$E$15,MATCH($E20&amp;"|"&amp;$G20,KC_CURVAS!$K$5:$K$15,0)),IFERROR(INDEX(KC_CURVAS!$E$5:$E$15,MATCH($E20&amp;"|",KC_CURVAS!$K$5:$K$15,0)),""))</f>
        <v/>
      </c>
      <c r="N20" s="10">
        <f>IFERROR(INDEX(KC_CURVAS!$F$5:$F$15,MATCH($E20&amp;"|"&amp;$G20,KC_CURVAS!$K$5:$K$15,0)),IFERROR(INDEX(KC_CURVAS!$F$5:$F$15,MATCH($E20&amp;"|",KC_CURVAS!$K$5:$K$15,0)),""))</f>
        <v/>
      </c>
      <c r="O20" s="11">
        <f>IFERROR(INDEX(KC_CURVAS!$G$5:$G$15,MATCH($E20&amp;"|"&amp;$G20,KC_CURVAS!$K$5:$K$15,0)),IFERROR(INDEX(KC_CURVAS!$G$5:$G$15,MATCH($E20&amp;"|",KC_CURVAS!$K$5:$K$15,0)),""))</f>
        <v/>
      </c>
      <c r="P20" s="11">
        <f>IFERROR(INDEX(KC_CURVAS!$H$5:$H$15,MATCH($E20&amp;"|"&amp;$G20,KC_CURVAS!$K$5:$K$15,0)),IFERROR(INDEX(KC_CURVAS!$H$5:$H$15,MATCH($E20&amp;"|",KC_CURVAS!$K$5:$K$15,0)),""))</f>
        <v/>
      </c>
      <c r="Q20" s="11">
        <f>IFERROR(INDEX(KC_CURVAS!$I$5:$I$15,MATCH($E20&amp;"|"&amp;$G20,KC_CURVAS!$K$5:$K$15,0)),IFERROR(INDEX(KC_CURVAS!$I$5:$I$15,MATCH($E20&amp;"|",KC_CURVAS!$K$5:$K$15,0)),""))</f>
        <v/>
      </c>
      <c r="R20" s="12">
        <f>IF(OR($J20="",$K20=""),"PENDENTE",IF($J20&lt;=$K20,$O20,IF($J20&lt;=$K20+$L20,$O20+($P20-$O20)*($J20-$K20)/$L20,IF($J20&lt;=$K20+$L20+$M20,$P20,IF($J20&lt;=$K20+$L20+$M20+$N20,$P20+($Q20-$P20)*($J20-($K20+$L20+$M20))/$N20,$Q20)))))</f>
        <v/>
      </c>
      <c r="S20" s="13">
        <f>ETO_SEM</f>
        <v/>
      </c>
      <c r="T20" s="14">
        <f>IF(OR($R20="",$R20="PENDENTE"),"",$R20*$S20)</f>
        <v/>
      </c>
      <c r="U20" s="13" t="n">
        <v>0</v>
      </c>
      <c r="V20" s="14">
        <f>IF($T20="","",MAX(0,$T20-N($U20)))</f>
        <v/>
      </c>
      <c r="W20" s="14">
        <f>IF($V20="","",$V20/EF_APLIC)</f>
        <v/>
      </c>
      <c r="X20" s="15" t="n">
        <v>100</v>
      </c>
      <c r="Y20" s="16">
        <f>IF(OR($W20="",$X20=""),"",$W20*$X20*10)</f>
        <v/>
      </c>
      <c r="Z20" s="17">
        <f>IFERROR(INDEX('PARAMETROS'!$B$16:$B$19,MATCH($D20,'PARAMETROS'!$A$16:$A$19,0)),"")</f>
        <v/>
      </c>
      <c r="AA20" s="16">
        <f>IF(OR($Y20="",$Z20=""),"",$Y20*$Z20)</f>
        <v/>
      </c>
      <c r="AB20" s="18">
        <f>IF($R20="PENDENTE","Definir classe/Kc",IF($W20="","-",IF($W20&gt;0,"Irrigar","Nao irrigar")))</f>
        <v/>
      </c>
      <c r="AC20" s="18">
        <f>IF(OR($W20="",$W20=0),"-",IF($W20&gt;=META_SEM,"Alta",IF($W20&gt;=META_SEM*FRAC_ACOMP,"Media","Baixa")))</f>
        <v/>
      </c>
      <c r="AD20" s="19" t="inlineStr"/>
    </row>
    <row r="21">
      <c r="A21" s="5" t="inlineStr">
        <is>
          <t>T3</t>
        </is>
      </c>
      <c r="B21" s="5" t="inlineStr">
        <is>
          <t>KARITEL</t>
        </is>
      </c>
      <c r="C21" s="5" t="inlineStr"/>
      <c r="D21" s="5" t="inlineStr">
        <is>
          <t>KM1</t>
        </is>
      </c>
      <c r="E21" s="5" t="inlineStr">
        <is>
          <t>SOJA</t>
        </is>
      </c>
      <c r="F21" s="6" t="inlineStr">
        <is>
          <t>COMBATE IPRO</t>
        </is>
      </c>
      <c r="G21" s="7" t="inlineStr">
        <is>
          <t>PRECOCE</t>
        </is>
      </c>
      <c r="H21" s="8" t="n">
        <v>46288</v>
      </c>
      <c r="I21" s="9">
        <f>IF($H21="","",DATA_REF-$H21)</f>
        <v/>
      </c>
      <c r="J21" s="9">
        <f>IF($I21="","",MAX(0,$I21-'PARAMETROS'!$B$12))</f>
        <v/>
      </c>
      <c r="K21" s="10">
        <f>IFERROR(INDEX(KC_CURVAS!$C$5:$C$15,MATCH($E21&amp;"|"&amp;$G21,KC_CURVAS!$K$5:$K$15,0)),IFERROR(INDEX(KC_CURVAS!$C$5:$C$15,MATCH($E21&amp;"|",KC_CURVAS!$K$5:$K$15,0)),""))</f>
        <v/>
      </c>
      <c r="L21" s="10">
        <f>IFERROR(INDEX(KC_CURVAS!$D$5:$D$15,MATCH($E21&amp;"|"&amp;$G21,KC_CURVAS!$K$5:$K$15,0)),IFERROR(INDEX(KC_CURVAS!$D$5:$D$15,MATCH($E21&amp;"|",KC_CURVAS!$K$5:$K$15,0)),""))</f>
        <v/>
      </c>
      <c r="M21" s="10">
        <f>IFERROR(INDEX(KC_CURVAS!$E$5:$E$15,MATCH($E21&amp;"|"&amp;$G21,KC_CURVAS!$K$5:$K$15,0)),IFERROR(INDEX(KC_CURVAS!$E$5:$E$15,MATCH($E21&amp;"|",KC_CURVAS!$K$5:$K$15,0)),""))</f>
        <v/>
      </c>
      <c r="N21" s="10">
        <f>IFERROR(INDEX(KC_CURVAS!$F$5:$F$15,MATCH($E21&amp;"|"&amp;$G21,KC_CURVAS!$K$5:$K$15,0)),IFERROR(INDEX(KC_CURVAS!$F$5:$F$15,MATCH($E21&amp;"|",KC_CURVAS!$K$5:$K$15,0)),""))</f>
        <v/>
      </c>
      <c r="O21" s="11">
        <f>IFERROR(INDEX(KC_CURVAS!$G$5:$G$15,MATCH($E21&amp;"|"&amp;$G21,KC_CURVAS!$K$5:$K$15,0)),IFERROR(INDEX(KC_CURVAS!$G$5:$G$15,MATCH($E21&amp;"|",KC_CURVAS!$K$5:$K$15,0)),""))</f>
        <v/>
      </c>
      <c r="P21" s="11">
        <f>IFERROR(INDEX(KC_CURVAS!$H$5:$H$15,MATCH($E21&amp;"|"&amp;$G21,KC_CURVAS!$K$5:$K$15,0)),IFERROR(INDEX(KC_CURVAS!$H$5:$H$15,MATCH($E21&amp;"|",KC_CURVAS!$K$5:$K$15,0)),""))</f>
        <v/>
      </c>
      <c r="Q21" s="11">
        <f>IFERROR(INDEX(KC_CURVAS!$I$5:$I$15,MATCH($E21&amp;"|"&amp;$G21,KC_CURVAS!$K$5:$K$15,0)),IFERROR(INDEX(KC_CURVAS!$I$5:$I$15,MATCH($E21&amp;"|",KC_CURVAS!$K$5:$K$15,0)),""))</f>
        <v/>
      </c>
      <c r="R21" s="12">
        <f>IF(OR($J21="",$K21=""),"PENDENTE",IF($J21&lt;=$K21,$O21,IF($J21&lt;=$K21+$L21,$O21+($P21-$O21)*($J21-$K21)/$L21,IF($J21&lt;=$K21+$L21+$M21,$P21,IF($J21&lt;=$K21+$L21+$M21+$N21,$P21+($Q21-$P21)*($J21-($K21+$L21+$M21))/$N21,$Q21)))))</f>
        <v/>
      </c>
      <c r="S21" s="13">
        <f>ETO_SEM</f>
        <v/>
      </c>
      <c r="T21" s="14">
        <f>IF(OR($R21="",$R21="PENDENTE"),"",$R21*$S21)</f>
        <v/>
      </c>
      <c r="U21" s="13" t="n">
        <v>0</v>
      </c>
      <c r="V21" s="14">
        <f>IF($T21="","",MAX(0,$T21-N($U21)))</f>
        <v/>
      </c>
      <c r="W21" s="14">
        <f>IF($V21="","",$V21/EF_APLIC)</f>
        <v/>
      </c>
      <c r="X21" s="15" t="n">
        <v>150</v>
      </c>
      <c r="Y21" s="16">
        <f>IF(OR($W21="",$X21=""),"",$W21*$X21*10)</f>
        <v/>
      </c>
      <c r="Z21" s="17">
        <f>IFERROR(INDEX('PARAMETROS'!$B$16:$B$19,MATCH($D21,'PARAMETROS'!$A$16:$A$19,0)),"")</f>
        <v/>
      </c>
      <c r="AA21" s="16">
        <f>IF(OR($Y21="",$Z21=""),"",$Y21*$Z21)</f>
        <v/>
      </c>
      <c r="AB21" s="18">
        <f>IF($R21="PENDENTE","Definir classe/Kc",IF($W21="","-",IF($W21&gt;0,"Irrigar","Nao irrigar")))</f>
        <v/>
      </c>
      <c r="AC21" s="18">
        <f>IF(OR($W21="",$W21=0),"-",IF($W21&gt;=META_SEM,"Alta",IF($W21&gt;=META_SEM*FRAC_ACOMP,"Media","Baixa")))</f>
        <v/>
      </c>
      <c r="AD21" s="19" t="inlineStr"/>
    </row>
    <row r="22">
      <c r="A22" s="5" t="inlineStr">
        <is>
          <t>T72</t>
        </is>
      </c>
      <c r="B22" s="5" t="inlineStr">
        <is>
          <t>KARITEL</t>
        </is>
      </c>
      <c r="C22" s="5" t="inlineStr"/>
      <c r="D22" s="5" t="inlineStr">
        <is>
          <t>KM2</t>
        </is>
      </c>
      <c r="E22" s="5" t="inlineStr">
        <is>
          <t>SOJA</t>
        </is>
      </c>
      <c r="F22" s="6" t="inlineStr">
        <is>
          <t>COMBATE IPRO</t>
        </is>
      </c>
      <c r="G22" s="7" t="inlineStr">
        <is>
          <t>PRECOCE</t>
        </is>
      </c>
      <c r="H22" s="8" t="n">
        <v>46294</v>
      </c>
      <c r="I22" s="9">
        <f>IF($H22="","",DATA_REF-$H22)</f>
        <v/>
      </c>
      <c r="J22" s="9">
        <f>IF($I22="","",MAX(0,$I22-'PARAMETROS'!$B$12))</f>
        <v/>
      </c>
      <c r="K22" s="10">
        <f>IFERROR(INDEX(KC_CURVAS!$C$5:$C$15,MATCH($E22&amp;"|"&amp;$G22,KC_CURVAS!$K$5:$K$15,0)),IFERROR(INDEX(KC_CURVAS!$C$5:$C$15,MATCH($E22&amp;"|",KC_CURVAS!$K$5:$K$15,0)),""))</f>
        <v/>
      </c>
      <c r="L22" s="10">
        <f>IFERROR(INDEX(KC_CURVAS!$D$5:$D$15,MATCH($E22&amp;"|"&amp;$G22,KC_CURVAS!$K$5:$K$15,0)),IFERROR(INDEX(KC_CURVAS!$D$5:$D$15,MATCH($E22&amp;"|",KC_CURVAS!$K$5:$K$15,0)),""))</f>
        <v/>
      </c>
      <c r="M22" s="10">
        <f>IFERROR(INDEX(KC_CURVAS!$E$5:$E$15,MATCH($E22&amp;"|"&amp;$G22,KC_CURVAS!$K$5:$K$15,0)),IFERROR(INDEX(KC_CURVAS!$E$5:$E$15,MATCH($E22&amp;"|",KC_CURVAS!$K$5:$K$15,0)),""))</f>
        <v/>
      </c>
      <c r="N22" s="10">
        <f>IFERROR(INDEX(KC_CURVAS!$F$5:$F$15,MATCH($E22&amp;"|"&amp;$G22,KC_CURVAS!$K$5:$K$15,0)),IFERROR(INDEX(KC_CURVAS!$F$5:$F$15,MATCH($E22&amp;"|",KC_CURVAS!$K$5:$K$15,0)),""))</f>
        <v/>
      </c>
      <c r="O22" s="11">
        <f>IFERROR(INDEX(KC_CURVAS!$G$5:$G$15,MATCH($E22&amp;"|"&amp;$G22,KC_CURVAS!$K$5:$K$15,0)),IFERROR(INDEX(KC_CURVAS!$G$5:$G$15,MATCH($E22&amp;"|",KC_CURVAS!$K$5:$K$15,0)),""))</f>
        <v/>
      </c>
      <c r="P22" s="11">
        <f>IFERROR(INDEX(KC_CURVAS!$H$5:$H$15,MATCH($E22&amp;"|"&amp;$G22,KC_CURVAS!$K$5:$K$15,0)),IFERROR(INDEX(KC_CURVAS!$H$5:$H$15,MATCH($E22&amp;"|",KC_CURVAS!$K$5:$K$15,0)),""))</f>
        <v/>
      </c>
      <c r="Q22" s="11">
        <f>IFERROR(INDEX(KC_CURVAS!$I$5:$I$15,MATCH($E22&amp;"|"&amp;$G22,KC_CURVAS!$K$5:$K$15,0)),IFERROR(INDEX(KC_CURVAS!$I$5:$I$15,MATCH($E22&amp;"|",KC_CURVAS!$K$5:$K$15,0)),""))</f>
        <v/>
      </c>
      <c r="R22" s="12">
        <f>IF(OR($J22="",$K22=""),"PENDENTE",IF($J22&lt;=$K22,$O22,IF($J22&lt;=$K22+$L22,$O22+($P22-$O22)*($J22-$K22)/$L22,IF($J22&lt;=$K22+$L22+$M22,$P22,IF($J22&lt;=$K22+$L22+$M22+$N22,$P22+($Q22-$P22)*($J22-($K22+$L22+$M22))/$N22,$Q22)))))</f>
        <v/>
      </c>
      <c r="S22" s="13">
        <f>ETO_SEM</f>
        <v/>
      </c>
      <c r="T22" s="14">
        <f>IF(OR($R22="",$R22="PENDENTE"),"",$R22*$S22)</f>
        <v/>
      </c>
      <c r="U22" s="13" t="n">
        <v>0</v>
      </c>
      <c r="V22" s="14">
        <f>IF($T22="","",MAX(0,$T22-N($U22)))</f>
        <v/>
      </c>
      <c r="W22" s="14">
        <f>IF($V22="","",$V22/EF_APLIC)</f>
        <v/>
      </c>
      <c r="X22" s="15" t="n">
        <v>125</v>
      </c>
      <c r="Y22" s="16">
        <f>IF(OR($W22="",$X22=""),"",$W22*$X22*10)</f>
        <v/>
      </c>
      <c r="Z22" s="17">
        <f>IFERROR(INDEX('PARAMETROS'!$B$16:$B$19,MATCH($D22,'PARAMETROS'!$A$16:$A$19,0)),"")</f>
        <v/>
      </c>
      <c r="AA22" s="16">
        <f>IF(OR($Y22="",$Z22=""),"",$Y22*$Z22)</f>
        <v/>
      </c>
      <c r="AB22" s="18">
        <f>IF($R22="PENDENTE","Definir classe/Kc",IF($W22="","-",IF($W22&gt;0,"Irrigar","Nao irrigar")))</f>
        <v/>
      </c>
      <c r="AC22" s="18">
        <f>IF(OR($W22="",$W22=0),"-",IF($W22&gt;=META_SEM,"Alta",IF($W22&gt;=META_SEM*FRAC_ACOMP,"Media","Baixa")))</f>
        <v/>
      </c>
      <c r="AD22" s="19" t="inlineStr"/>
    </row>
    <row r="23">
      <c r="A23" s="5" t="inlineStr">
        <is>
          <t>T44</t>
        </is>
      </c>
      <c r="B23" s="5" t="inlineStr">
        <is>
          <t>KARITEL</t>
        </is>
      </c>
      <c r="C23" s="5" t="inlineStr"/>
      <c r="D23" s="5" t="inlineStr">
        <is>
          <t>KM2</t>
        </is>
      </c>
      <c r="E23" s="5" t="inlineStr">
        <is>
          <t>SOJA</t>
        </is>
      </c>
      <c r="F23" s="6" t="inlineStr">
        <is>
          <t>NEO 761 I2X</t>
        </is>
      </c>
      <c r="G23" s="7" t="inlineStr">
        <is>
          <t>PRECOCE</t>
        </is>
      </c>
      <c r="H23" s="8" t="n">
        <v>46296</v>
      </c>
      <c r="I23" s="9">
        <f>IF($H23="","",DATA_REF-$H23)</f>
        <v/>
      </c>
      <c r="J23" s="9">
        <f>IF($I23="","",MAX(0,$I23-'PARAMETROS'!$B$12))</f>
        <v/>
      </c>
      <c r="K23" s="10">
        <f>IFERROR(INDEX(KC_CURVAS!$C$5:$C$15,MATCH($E23&amp;"|"&amp;$G23,KC_CURVAS!$K$5:$K$15,0)),IFERROR(INDEX(KC_CURVAS!$C$5:$C$15,MATCH($E23&amp;"|",KC_CURVAS!$K$5:$K$15,0)),""))</f>
        <v/>
      </c>
      <c r="L23" s="10">
        <f>IFERROR(INDEX(KC_CURVAS!$D$5:$D$15,MATCH($E23&amp;"|"&amp;$G23,KC_CURVAS!$K$5:$K$15,0)),IFERROR(INDEX(KC_CURVAS!$D$5:$D$15,MATCH($E23&amp;"|",KC_CURVAS!$K$5:$K$15,0)),""))</f>
        <v/>
      </c>
      <c r="M23" s="10">
        <f>IFERROR(INDEX(KC_CURVAS!$E$5:$E$15,MATCH($E23&amp;"|"&amp;$G23,KC_CURVAS!$K$5:$K$15,0)),IFERROR(INDEX(KC_CURVAS!$E$5:$E$15,MATCH($E23&amp;"|",KC_CURVAS!$K$5:$K$15,0)),""))</f>
        <v/>
      </c>
      <c r="N23" s="10">
        <f>IFERROR(INDEX(KC_CURVAS!$F$5:$F$15,MATCH($E23&amp;"|"&amp;$G23,KC_CURVAS!$K$5:$K$15,0)),IFERROR(INDEX(KC_CURVAS!$F$5:$F$15,MATCH($E23&amp;"|",KC_CURVAS!$K$5:$K$15,0)),""))</f>
        <v/>
      </c>
      <c r="O23" s="11">
        <f>IFERROR(INDEX(KC_CURVAS!$G$5:$G$15,MATCH($E23&amp;"|"&amp;$G23,KC_CURVAS!$K$5:$K$15,0)),IFERROR(INDEX(KC_CURVAS!$G$5:$G$15,MATCH($E23&amp;"|",KC_CURVAS!$K$5:$K$15,0)),""))</f>
        <v/>
      </c>
      <c r="P23" s="11">
        <f>IFERROR(INDEX(KC_CURVAS!$H$5:$H$15,MATCH($E23&amp;"|"&amp;$G23,KC_CURVAS!$K$5:$K$15,0)),IFERROR(INDEX(KC_CURVAS!$H$5:$H$15,MATCH($E23&amp;"|",KC_CURVAS!$K$5:$K$15,0)),""))</f>
        <v/>
      </c>
      <c r="Q23" s="11">
        <f>IFERROR(INDEX(KC_CURVAS!$I$5:$I$15,MATCH($E23&amp;"|"&amp;$G23,KC_CURVAS!$K$5:$K$15,0)),IFERROR(INDEX(KC_CURVAS!$I$5:$I$15,MATCH($E23&amp;"|",KC_CURVAS!$K$5:$K$15,0)),""))</f>
        <v/>
      </c>
      <c r="R23" s="12">
        <f>IF(OR($J23="",$K23=""),"PENDENTE",IF($J23&lt;=$K23,$O23,IF($J23&lt;=$K23+$L23,$O23+($P23-$O23)*($J23-$K23)/$L23,IF($J23&lt;=$K23+$L23+$M23,$P23,IF($J23&lt;=$K23+$L23+$M23+$N23,$P23+($Q23-$P23)*($J23-($K23+$L23+$M23))/$N23,$Q23)))))</f>
        <v/>
      </c>
      <c r="S23" s="13">
        <f>ETO_SEM</f>
        <v/>
      </c>
      <c r="T23" s="14">
        <f>IF(OR($R23="",$R23="PENDENTE"),"",$R23*$S23)</f>
        <v/>
      </c>
      <c r="U23" s="13" t="n">
        <v>0</v>
      </c>
      <c r="V23" s="14">
        <f>IF($T23="","",MAX(0,$T23-N($U23)))</f>
        <v/>
      </c>
      <c r="W23" s="14">
        <f>IF($V23="","",$V23/EF_APLIC)</f>
        <v/>
      </c>
      <c r="X23" s="15" t="n">
        <v>75</v>
      </c>
      <c r="Y23" s="16">
        <f>IF(OR($W23="",$X23=""),"",$W23*$X23*10)</f>
        <v/>
      </c>
      <c r="Z23" s="17">
        <f>IFERROR(INDEX('PARAMETROS'!$B$16:$B$19,MATCH($D23,'PARAMETROS'!$A$16:$A$19,0)),"")</f>
        <v/>
      </c>
      <c r="AA23" s="16">
        <f>IF(OR($Y23="",$Z23=""),"",$Y23*$Z23)</f>
        <v/>
      </c>
      <c r="AB23" s="18">
        <f>IF($R23="PENDENTE","Definir classe/Kc",IF($W23="","-",IF($W23&gt;0,"Irrigar","Nao irrigar")))</f>
        <v/>
      </c>
      <c r="AC23" s="18">
        <f>IF(OR($W23="",$W23=0),"-",IF($W23&gt;=META_SEM,"Alta",IF($W23&gt;=META_SEM*FRAC_ACOMP,"Media","Baixa")))</f>
        <v/>
      </c>
      <c r="AD23" s="19" t="inlineStr"/>
    </row>
    <row r="24">
      <c r="A24" s="5" t="inlineStr">
        <is>
          <t>T73</t>
        </is>
      </c>
      <c r="B24" s="5" t="inlineStr">
        <is>
          <t>KARITEL</t>
        </is>
      </c>
      <c r="C24" s="5" t="inlineStr"/>
      <c r="D24" s="5" t="inlineStr">
        <is>
          <t>KM2</t>
        </is>
      </c>
      <c r="E24" s="5" t="inlineStr">
        <is>
          <t>SOJA</t>
        </is>
      </c>
      <c r="F24" s="6" t="inlineStr">
        <is>
          <t>ATAQUE I2X</t>
        </is>
      </c>
      <c r="G24" s="7" t="inlineStr">
        <is>
          <t>TARDIA</t>
        </is>
      </c>
      <c r="H24" s="8" t="n">
        <v>46296</v>
      </c>
      <c r="I24" s="9">
        <f>IF($H24="","",DATA_REF-$H24)</f>
        <v/>
      </c>
      <c r="J24" s="9">
        <f>IF($I24="","",MAX(0,$I24-'PARAMETROS'!$B$12))</f>
        <v/>
      </c>
      <c r="K24" s="10">
        <f>IFERROR(INDEX(KC_CURVAS!$C$5:$C$15,MATCH($E24&amp;"|"&amp;$G24,KC_CURVAS!$K$5:$K$15,0)),IFERROR(INDEX(KC_CURVAS!$C$5:$C$15,MATCH($E24&amp;"|",KC_CURVAS!$K$5:$K$15,0)),""))</f>
        <v/>
      </c>
      <c r="L24" s="10">
        <f>IFERROR(INDEX(KC_CURVAS!$D$5:$D$15,MATCH($E24&amp;"|"&amp;$G24,KC_CURVAS!$K$5:$K$15,0)),IFERROR(INDEX(KC_CURVAS!$D$5:$D$15,MATCH($E24&amp;"|",KC_CURVAS!$K$5:$K$15,0)),""))</f>
        <v/>
      </c>
      <c r="M24" s="10">
        <f>IFERROR(INDEX(KC_CURVAS!$E$5:$E$15,MATCH($E24&amp;"|"&amp;$G24,KC_CURVAS!$K$5:$K$15,0)),IFERROR(INDEX(KC_CURVAS!$E$5:$E$15,MATCH($E24&amp;"|",KC_CURVAS!$K$5:$K$15,0)),""))</f>
        <v/>
      </c>
      <c r="N24" s="10">
        <f>IFERROR(INDEX(KC_CURVAS!$F$5:$F$15,MATCH($E24&amp;"|"&amp;$G24,KC_CURVAS!$K$5:$K$15,0)),IFERROR(INDEX(KC_CURVAS!$F$5:$F$15,MATCH($E24&amp;"|",KC_CURVAS!$K$5:$K$15,0)),""))</f>
        <v/>
      </c>
      <c r="O24" s="11">
        <f>IFERROR(INDEX(KC_CURVAS!$G$5:$G$15,MATCH($E24&amp;"|"&amp;$G24,KC_CURVAS!$K$5:$K$15,0)),IFERROR(INDEX(KC_CURVAS!$G$5:$G$15,MATCH($E24&amp;"|",KC_CURVAS!$K$5:$K$15,0)),""))</f>
        <v/>
      </c>
      <c r="P24" s="11">
        <f>IFERROR(INDEX(KC_CURVAS!$H$5:$H$15,MATCH($E24&amp;"|"&amp;$G24,KC_CURVAS!$K$5:$K$15,0)),IFERROR(INDEX(KC_CURVAS!$H$5:$H$15,MATCH($E24&amp;"|",KC_CURVAS!$K$5:$K$15,0)),""))</f>
        <v/>
      </c>
      <c r="Q24" s="11">
        <f>IFERROR(INDEX(KC_CURVAS!$I$5:$I$15,MATCH($E24&amp;"|"&amp;$G24,KC_CURVAS!$K$5:$K$15,0)),IFERROR(INDEX(KC_CURVAS!$I$5:$I$15,MATCH($E24&amp;"|",KC_CURVAS!$K$5:$K$15,0)),""))</f>
        <v/>
      </c>
      <c r="R24" s="12">
        <f>IF(OR($J24="",$K24=""),"PENDENTE",IF($J24&lt;=$K24,$O24,IF($J24&lt;=$K24+$L24,$O24+($P24-$O24)*($J24-$K24)/$L24,IF($J24&lt;=$K24+$L24+$M24,$P24,IF($J24&lt;=$K24+$L24+$M24+$N24,$P24+($Q24-$P24)*($J24-($K24+$L24+$M24))/$N24,$Q24)))))</f>
        <v/>
      </c>
      <c r="S24" s="13">
        <f>ETO_SEM</f>
        <v/>
      </c>
      <c r="T24" s="14">
        <f>IF(OR($R24="",$R24="PENDENTE"),"",$R24*$S24)</f>
        <v/>
      </c>
      <c r="U24" s="13" t="n">
        <v>0</v>
      </c>
      <c r="V24" s="14">
        <f>IF($T24="","",MAX(0,$T24-N($U24)))</f>
        <v/>
      </c>
      <c r="W24" s="14">
        <f>IF($V24="","",$V24/EF_APLIC)</f>
        <v/>
      </c>
      <c r="X24" s="15" t="n">
        <v>160</v>
      </c>
      <c r="Y24" s="16">
        <f>IF(OR($W24="",$X24=""),"",$W24*$X24*10)</f>
        <v/>
      </c>
      <c r="Z24" s="17">
        <f>IFERROR(INDEX('PARAMETROS'!$B$16:$B$19,MATCH($D24,'PARAMETROS'!$A$16:$A$19,0)),"")</f>
        <v/>
      </c>
      <c r="AA24" s="16">
        <f>IF(OR($Y24="",$Z24=""),"",$Y24*$Z24)</f>
        <v/>
      </c>
      <c r="AB24" s="18">
        <f>IF($R24="PENDENTE","Definir classe/Kc",IF($W24="","-",IF($W24&gt;0,"Irrigar","Nao irrigar")))</f>
        <v/>
      </c>
      <c r="AC24" s="18">
        <f>IF(OR($W24="",$W24=0),"-",IF($W24&gt;=META_SEM,"Alta",IF($W24&gt;=META_SEM*FRAC_ACOMP,"Media","Baixa")))</f>
        <v/>
      </c>
      <c r="AD24" s="19" t="inlineStr"/>
    </row>
    <row r="25">
      <c r="A25" s="5" t="inlineStr">
        <is>
          <t>T15</t>
        </is>
      </c>
      <c r="B25" s="5" t="inlineStr">
        <is>
          <t>KARITEL</t>
        </is>
      </c>
      <c r="C25" s="5" t="inlineStr"/>
      <c r="D25" s="5" t="inlineStr">
        <is>
          <t>KM1</t>
        </is>
      </c>
      <c r="E25" s="5" t="inlineStr">
        <is>
          <t>SOJA</t>
        </is>
      </c>
      <c r="F25" s="6" t="inlineStr">
        <is>
          <t>CZ 37B07 I2X</t>
        </is>
      </c>
      <c r="G25" s="7" t="inlineStr">
        <is>
          <t>PRECOCE</t>
        </is>
      </c>
      <c r="H25" s="8" t="n">
        <v>46297</v>
      </c>
      <c r="I25" s="9">
        <f>IF($H25="","",DATA_REF-$H25)</f>
        <v/>
      </c>
      <c r="J25" s="9">
        <f>IF($I25="","",MAX(0,$I25-'PARAMETROS'!$B$12))</f>
        <v/>
      </c>
      <c r="K25" s="10">
        <f>IFERROR(INDEX(KC_CURVAS!$C$5:$C$15,MATCH($E25&amp;"|"&amp;$G25,KC_CURVAS!$K$5:$K$15,0)),IFERROR(INDEX(KC_CURVAS!$C$5:$C$15,MATCH($E25&amp;"|",KC_CURVAS!$K$5:$K$15,0)),""))</f>
        <v/>
      </c>
      <c r="L25" s="10">
        <f>IFERROR(INDEX(KC_CURVAS!$D$5:$D$15,MATCH($E25&amp;"|"&amp;$G25,KC_CURVAS!$K$5:$K$15,0)),IFERROR(INDEX(KC_CURVAS!$D$5:$D$15,MATCH($E25&amp;"|",KC_CURVAS!$K$5:$K$15,0)),""))</f>
        <v/>
      </c>
      <c r="M25" s="10">
        <f>IFERROR(INDEX(KC_CURVAS!$E$5:$E$15,MATCH($E25&amp;"|"&amp;$G25,KC_CURVAS!$K$5:$K$15,0)),IFERROR(INDEX(KC_CURVAS!$E$5:$E$15,MATCH($E25&amp;"|",KC_CURVAS!$K$5:$K$15,0)),""))</f>
        <v/>
      </c>
      <c r="N25" s="10">
        <f>IFERROR(INDEX(KC_CURVAS!$F$5:$F$15,MATCH($E25&amp;"|"&amp;$G25,KC_CURVAS!$K$5:$K$15,0)),IFERROR(INDEX(KC_CURVAS!$F$5:$F$15,MATCH($E25&amp;"|",KC_CURVAS!$K$5:$K$15,0)),""))</f>
        <v/>
      </c>
      <c r="O25" s="11">
        <f>IFERROR(INDEX(KC_CURVAS!$G$5:$G$15,MATCH($E25&amp;"|"&amp;$G25,KC_CURVAS!$K$5:$K$15,0)),IFERROR(INDEX(KC_CURVAS!$G$5:$G$15,MATCH($E25&amp;"|",KC_CURVAS!$K$5:$K$15,0)),""))</f>
        <v/>
      </c>
      <c r="P25" s="11">
        <f>IFERROR(INDEX(KC_CURVAS!$H$5:$H$15,MATCH($E25&amp;"|"&amp;$G25,KC_CURVAS!$K$5:$K$15,0)),IFERROR(INDEX(KC_CURVAS!$H$5:$H$15,MATCH($E25&amp;"|",KC_CURVAS!$K$5:$K$15,0)),""))</f>
        <v/>
      </c>
      <c r="Q25" s="11">
        <f>IFERROR(INDEX(KC_CURVAS!$I$5:$I$15,MATCH($E25&amp;"|"&amp;$G25,KC_CURVAS!$K$5:$K$15,0)),IFERROR(INDEX(KC_CURVAS!$I$5:$I$15,MATCH($E25&amp;"|",KC_CURVAS!$K$5:$K$15,0)),""))</f>
        <v/>
      </c>
      <c r="R25" s="12">
        <f>IF(OR($J25="",$K25=""),"PENDENTE",IF($J25&lt;=$K25,$O25,IF($J25&lt;=$K25+$L25,$O25+($P25-$O25)*($J25-$K25)/$L25,IF($J25&lt;=$K25+$L25+$M25,$P25,IF($J25&lt;=$K25+$L25+$M25+$N25,$P25+($Q25-$P25)*($J25-($K25+$L25+$M25))/$N25,$Q25)))))</f>
        <v/>
      </c>
      <c r="S25" s="13">
        <f>ETO_SEM</f>
        <v/>
      </c>
      <c r="T25" s="14">
        <f>IF(OR($R25="",$R25="PENDENTE"),"",$R25*$S25)</f>
        <v/>
      </c>
      <c r="U25" s="13" t="n">
        <v>0</v>
      </c>
      <c r="V25" s="14">
        <f>IF($T25="","",MAX(0,$T25-N($U25)))</f>
        <v/>
      </c>
      <c r="W25" s="14">
        <f>IF($V25="","",$V25/EF_APLIC)</f>
        <v/>
      </c>
      <c r="X25" s="15" t="n">
        <v>150</v>
      </c>
      <c r="Y25" s="16">
        <f>IF(OR($W25="",$X25=""),"",$W25*$X25*10)</f>
        <v/>
      </c>
      <c r="Z25" s="17">
        <f>IFERROR(INDEX('PARAMETROS'!$B$16:$B$19,MATCH($D25,'PARAMETROS'!$A$16:$A$19,0)),"")</f>
        <v/>
      </c>
      <c r="AA25" s="16">
        <f>IF(OR($Y25="",$Z25=""),"",$Y25*$Z25)</f>
        <v/>
      </c>
      <c r="AB25" s="18">
        <f>IF($R25="PENDENTE","Definir classe/Kc",IF($W25="","-",IF($W25&gt;0,"Irrigar","Nao irrigar")))</f>
        <v/>
      </c>
      <c r="AC25" s="18">
        <f>IF(OR($W25="",$W25=0),"-",IF($W25&gt;=META_SEM,"Alta",IF($W25&gt;=META_SEM*FRAC_ACOMP,"Media","Baixa")))</f>
        <v/>
      </c>
      <c r="AD25" s="19" t="inlineStr"/>
    </row>
    <row r="26">
      <c r="A26" s="5" t="inlineStr">
        <is>
          <t>T17</t>
        </is>
      </c>
      <c r="B26" s="5" t="inlineStr">
        <is>
          <t>KARITEL</t>
        </is>
      </c>
      <c r="C26" s="5" t="inlineStr"/>
      <c r="D26" s="5" t="inlineStr">
        <is>
          <t>KM1</t>
        </is>
      </c>
      <c r="E26" s="5" t="inlineStr">
        <is>
          <t>SOJA</t>
        </is>
      </c>
      <c r="F26" s="6" t="inlineStr">
        <is>
          <t>CZ 37B07 I2X</t>
        </is>
      </c>
      <c r="G26" s="7" t="inlineStr">
        <is>
          <t>PRECOCE</t>
        </is>
      </c>
      <c r="H26" s="8" t="n">
        <v>46297</v>
      </c>
      <c r="I26" s="9">
        <f>IF($H26="","",DATA_REF-$H26)</f>
        <v/>
      </c>
      <c r="J26" s="9">
        <f>IF($I26="","",MAX(0,$I26-'PARAMETROS'!$B$12))</f>
        <v/>
      </c>
      <c r="K26" s="10">
        <f>IFERROR(INDEX(KC_CURVAS!$C$5:$C$15,MATCH($E26&amp;"|"&amp;$G26,KC_CURVAS!$K$5:$K$15,0)),IFERROR(INDEX(KC_CURVAS!$C$5:$C$15,MATCH($E26&amp;"|",KC_CURVAS!$K$5:$K$15,0)),""))</f>
        <v/>
      </c>
      <c r="L26" s="10">
        <f>IFERROR(INDEX(KC_CURVAS!$D$5:$D$15,MATCH($E26&amp;"|"&amp;$G26,KC_CURVAS!$K$5:$K$15,0)),IFERROR(INDEX(KC_CURVAS!$D$5:$D$15,MATCH($E26&amp;"|",KC_CURVAS!$K$5:$K$15,0)),""))</f>
        <v/>
      </c>
      <c r="M26" s="10">
        <f>IFERROR(INDEX(KC_CURVAS!$E$5:$E$15,MATCH($E26&amp;"|"&amp;$G26,KC_CURVAS!$K$5:$K$15,0)),IFERROR(INDEX(KC_CURVAS!$E$5:$E$15,MATCH($E26&amp;"|",KC_CURVAS!$K$5:$K$15,0)),""))</f>
        <v/>
      </c>
      <c r="N26" s="10">
        <f>IFERROR(INDEX(KC_CURVAS!$F$5:$F$15,MATCH($E26&amp;"|"&amp;$G26,KC_CURVAS!$K$5:$K$15,0)),IFERROR(INDEX(KC_CURVAS!$F$5:$F$15,MATCH($E26&amp;"|",KC_CURVAS!$K$5:$K$15,0)),""))</f>
        <v/>
      </c>
      <c r="O26" s="11">
        <f>IFERROR(INDEX(KC_CURVAS!$G$5:$G$15,MATCH($E26&amp;"|"&amp;$G26,KC_CURVAS!$K$5:$K$15,0)),IFERROR(INDEX(KC_CURVAS!$G$5:$G$15,MATCH($E26&amp;"|",KC_CURVAS!$K$5:$K$15,0)),""))</f>
        <v/>
      </c>
      <c r="P26" s="11">
        <f>IFERROR(INDEX(KC_CURVAS!$H$5:$H$15,MATCH($E26&amp;"|"&amp;$G26,KC_CURVAS!$K$5:$K$15,0)),IFERROR(INDEX(KC_CURVAS!$H$5:$H$15,MATCH($E26&amp;"|",KC_CURVAS!$K$5:$K$15,0)),""))</f>
        <v/>
      </c>
      <c r="Q26" s="11">
        <f>IFERROR(INDEX(KC_CURVAS!$I$5:$I$15,MATCH($E26&amp;"|"&amp;$G26,KC_CURVAS!$K$5:$K$15,0)),IFERROR(INDEX(KC_CURVAS!$I$5:$I$15,MATCH($E26&amp;"|",KC_CURVAS!$K$5:$K$15,0)),""))</f>
        <v/>
      </c>
      <c r="R26" s="12">
        <f>IF(OR($J26="",$K26=""),"PENDENTE",IF($J26&lt;=$K26,$O26,IF($J26&lt;=$K26+$L26,$O26+($P26-$O26)*($J26-$K26)/$L26,IF($J26&lt;=$K26+$L26+$M26,$P26,IF($J26&lt;=$K26+$L26+$M26+$N26,$P26+($Q26-$P26)*($J26-($K26+$L26+$M26))/$N26,$Q26)))))</f>
        <v/>
      </c>
      <c r="S26" s="13">
        <f>ETO_SEM</f>
        <v/>
      </c>
      <c r="T26" s="14">
        <f>IF(OR($R26="",$R26="PENDENTE"),"",$R26*$S26)</f>
        <v/>
      </c>
      <c r="U26" s="13" t="n">
        <v>0</v>
      </c>
      <c r="V26" s="14">
        <f>IF($T26="","",MAX(0,$T26-N($U26)))</f>
        <v/>
      </c>
      <c r="W26" s="14">
        <f>IF($V26="","",$V26/EF_APLIC)</f>
        <v/>
      </c>
      <c r="X26" s="15" t="n">
        <v>150</v>
      </c>
      <c r="Y26" s="16">
        <f>IF(OR($W26="",$X26=""),"",$W26*$X26*10)</f>
        <v/>
      </c>
      <c r="Z26" s="17">
        <f>IFERROR(INDEX('PARAMETROS'!$B$16:$B$19,MATCH($D26,'PARAMETROS'!$A$16:$A$19,0)),"")</f>
        <v/>
      </c>
      <c r="AA26" s="16">
        <f>IF(OR($Y26="",$Z26=""),"",$Y26*$Z26)</f>
        <v/>
      </c>
      <c r="AB26" s="18">
        <f>IF($R26="PENDENTE","Definir classe/Kc",IF($W26="","-",IF($W26&gt;0,"Irrigar","Nao irrigar")))</f>
        <v/>
      </c>
      <c r="AC26" s="18">
        <f>IF(OR($W26="",$W26=0),"-",IF($W26&gt;=META_SEM,"Alta",IF($W26&gt;=META_SEM*FRAC_ACOMP,"Media","Baixa")))</f>
        <v/>
      </c>
      <c r="AD26" s="19" t="inlineStr"/>
    </row>
    <row r="27">
      <c r="A27" s="5" t="inlineStr">
        <is>
          <t>T19</t>
        </is>
      </c>
      <c r="B27" s="5" t="inlineStr">
        <is>
          <t>KARITEL</t>
        </is>
      </c>
      <c r="C27" s="5" t="inlineStr"/>
      <c r="D27" s="5" t="inlineStr">
        <is>
          <t>KM1</t>
        </is>
      </c>
      <c r="E27" s="5" t="inlineStr">
        <is>
          <t>SOJA</t>
        </is>
      </c>
      <c r="F27" s="6" t="inlineStr">
        <is>
          <t>NEO 761 I2X</t>
        </is>
      </c>
      <c r="G27" s="7" t="inlineStr">
        <is>
          <t>PRECOCE</t>
        </is>
      </c>
      <c r="H27" s="8" t="n">
        <v>46298</v>
      </c>
      <c r="I27" s="9">
        <f>IF($H27="","",DATA_REF-$H27)</f>
        <v/>
      </c>
      <c r="J27" s="9">
        <f>IF($I27="","",MAX(0,$I27-'PARAMETROS'!$B$12))</f>
        <v/>
      </c>
      <c r="K27" s="10">
        <f>IFERROR(INDEX(KC_CURVAS!$C$5:$C$15,MATCH($E27&amp;"|"&amp;$G27,KC_CURVAS!$K$5:$K$15,0)),IFERROR(INDEX(KC_CURVAS!$C$5:$C$15,MATCH($E27&amp;"|",KC_CURVAS!$K$5:$K$15,0)),""))</f>
        <v/>
      </c>
      <c r="L27" s="10">
        <f>IFERROR(INDEX(KC_CURVAS!$D$5:$D$15,MATCH($E27&amp;"|"&amp;$G27,KC_CURVAS!$K$5:$K$15,0)),IFERROR(INDEX(KC_CURVAS!$D$5:$D$15,MATCH($E27&amp;"|",KC_CURVAS!$K$5:$K$15,0)),""))</f>
        <v/>
      </c>
      <c r="M27" s="10">
        <f>IFERROR(INDEX(KC_CURVAS!$E$5:$E$15,MATCH($E27&amp;"|"&amp;$G27,KC_CURVAS!$K$5:$K$15,0)),IFERROR(INDEX(KC_CURVAS!$E$5:$E$15,MATCH($E27&amp;"|",KC_CURVAS!$K$5:$K$15,0)),""))</f>
        <v/>
      </c>
      <c r="N27" s="10">
        <f>IFERROR(INDEX(KC_CURVAS!$F$5:$F$15,MATCH($E27&amp;"|"&amp;$G27,KC_CURVAS!$K$5:$K$15,0)),IFERROR(INDEX(KC_CURVAS!$F$5:$F$15,MATCH($E27&amp;"|",KC_CURVAS!$K$5:$K$15,0)),""))</f>
        <v/>
      </c>
      <c r="O27" s="11">
        <f>IFERROR(INDEX(KC_CURVAS!$G$5:$G$15,MATCH($E27&amp;"|"&amp;$G27,KC_CURVAS!$K$5:$K$15,0)),IFERROR(INDEX(KC_CURVAS!$G$5:$G$15,MATCH($E27&amp;"|",KC_CURVAS!$K$5:$K$15,0)),""))</f>
        <v/>
      </c>
      <c r="P27" s="11">
        <f>IFERROR(INDEX(KC_CURVAS!$H$5:$H$15,MATCH($E27&amp;"|"&amp;$G27,KC_CURVAS!$K$5:$K$15,0)),IFERROR(INDEX(KC_CURVAS!$H$5:$H$15,MATCH($E27&amp;"|",KC_CURVAS!$K$5:$K$15,0)),""))</f>
        <v/>
      </c>
      <c r="Q27" s="11">
        <f>IFERROR(INDEX(KC_CURVAS!$I$5:$I$15,MATCH($E27&amp;"|"&amp;$G27,KC_CURVAS!$K$5:$K$15,0)),IFERROR(INDEX(KC_CURVAS!$I$5:$I$15,MATCH($E27&amp;"|",KC_CURVAS!$K$5:$K$15,0)),""))</f>
        <v/>
      </c>
      <c r="R27" s="12">
        <f>IF(OR($J27="",$K27=""),"PENDENTE",IF($J27&lt;=$K27,$O27,IF($J27&lt;=$K27+$L27,$O27+($P27-$O27)*($J27-$K27)/$L27,IF($J27&lt;=$K27+$L27+$M27,$P27,IF($J27&lt;=$K27+$L27+$M27+$N27,$P27+($Q27-$P27)*($J27-($K27+$L27+$M27))/$N27,$Q27)))))</f>
        <v/>
      </c>
      <c r="S27" s="13">
        <f>ETO_SEM</f>
        <v/>
      </c>
      <c r="T27" s="14">
        <f>IF(OR($R27="",$R27="PENDENTE"),"",$R27*$S27)</f>
        <v/>
      </c>
      <c r="U27" s="13" t="n">
        <v>0</v>
      </c>
      <c r="V27" s="14">
        <f>IF($T27="","",MAX(0,$T27-N($U27)))</f>
        <v/>
      </c>
      <c r="W27" s="14">
        <f>IF($V27="","",$V27/EF_APLIC)</f>
        <v/>
      </c>
      <c r="X27" s="15" t="n">
        <v>150</v>
      </c>
      <c r="Y27" s="16">
        <f>IF(OR($W27="",$X27=""),"",$W27*$X27*10)</f>
        <v/>
      </c>
      <c r="Z27" s="17">
        <f>IFERROR(INDEX('PARAMETROS'!$B$16:$B$19,MATCH($D27,'PARAMETROS'!$A$16:$A$19,0)),"")</f>
        <v/>
      </c>
      <c r="AA27" s="16">
        <f>IF(OR($Y27="",$Z27=""),"",$Y27*$Z27)</f>
        <v/>
      </c>
      <c r="AB27" s="18">
        <f>IF($R27="PENDENTE","Definir classe/Kc",IF($W27="","-",IF($W27&gt;0,"Irrigar","Nao irrigar")))</f>
        <v/>
      </c>
      <c r="AC27" s="18">
        <f>IF(OR($W27="",$W27=0),"-",IF($W27&gt;=META_SEM,"Alta",IF($W27&gt;=META_SEM*FRAC_ACOMP,"Media","Baixa")))</f>
        <v/>
      </c>
      <c r="AD27" s="19" t="inlineStr"/>
    </row>
    <row r="28">
      <c r="A28" s="5" t="inlineStr">
        <is>
          <t>T21</t>
        </is>
      </c>
      <c r="B28" s="5" t="inlineStr">
        <is>
          <t>KARITEL</t>
        </is>
      </c>
      <c r="C28" s="5" t="inlineStr"/>
      <c r="D28" s="5" t="inlineStr">
        <is>
          <t>KM1</t>
        </is>
      </c>
      <c r="E28" s="5" t="inlineStr">
        <is>
          <t>SOJA</t>
        </is>
      </c>
      <c r="F28" s="6" t="inlineStr">
        <is>
          <t>NEO 761 I2X</t>
        </is>
      </c>
      <c r="G28" s="7" t="inlineStr">
        <is>
          <t>PRECOCE</t>
        </is>
      </c>
      <c r="H28" s="8" t="n">
        <v>46298</v>
      </c>
      <c r="I28" s="9">
        <f>IF($H28="","",DATA_REF-$H28)</f>
        <v/>
      </c>
      <c r="J28" s="9">
        <f>IF($I28="","",MAX(0,$I28-'PARAMETROS'!$B$12))</f>
        <v/>
      </c>
      <c r="K28" s="10">
        <f>IFERROR(INDEX(KC_CURVAS!$C$5:$C$15,MATCH($E28&amp;"|"&amp;$G28,KC_CURVAS!$K$5:$K$15,0)),IFERROR(INDEX(KC_CURVAS!$C$5:$C$15,MATCH($E28&amp;"|",KC_CURVAS!$K$5:$K$15,0)),""))</f>
        <v/>
      </c>
      <c r="L28" s="10">
        <f>IFERROR(INDEX(KC_CURVAS!$D$5:$D$15,MATCH($E28&amp;"|"&amp;$G28,KC_CURVAS!$K$5:$K$15,0)),IFERROR(INDEX(KC_CURVAS!$D$5:$D$15,MATCH($E28&amp;"|",KC_CURVAS!$K$5:$K$15,0)),""))</f>
        <v/>
      </c>
      <c r="M28" s="10">
        <f>IFERROR(INDEX(KC_CURVAS!$E$5:$E$15,MATCH($E28&amp;"|"&amp;$G28,KC_CURVAS!$K$5:$K$15,0)),IFERROR(INDEX(KC_CURVAS!$E$5:$E$15,MATCH($E28&amp;"|",KC_CURVAS!$K$5:$K$15,0)),""))</f>
        <v/>
      </c>
      <c r="N28" s="10">
        <f>IFERROR(INDEX(KC_CURVAS!$F$5:$F$15,MATCH($E28&amp;"|"&amp;$G28,KC_CURVAS!$K$5:$K$15,0)),IFERROR(INDEX(KC_CURVAS!$F$5:$F$15,MATCH($E28&amp;"|",KC_CURVAS!$K$5:$K$15,0)),""))</f>
        <v/>
      </c>
      <c r="O28" s="11">
        <f>IFERROR(INDEX(KC_CURVAS!$G$5:$G$15,MATCH($E28&amp;"|"&amp;$G28,KC_CURVAS!$K$5:$K$15,0)),IFERROR(INDEX(KC_CURVAS!$G$5:$G$15,MATCH($E28&amp;"|",KC_CURVAS!$K$5:$K$15,0)),""))</f>
        <v/>
      </c>
      <c r="P28" s="11">
        <f>IFERROR(INDEX(KC_CURVAS!$H$5:$H$15,MATCH($E28&amp;"|"&amp;$G28,KC_CURVAS!$K$5:$K$15,0)),IFERROR(INDEX(KC_CURVAS!$H$5:$H$15,MATCH($E28&amp;"|",KC_CURVAS!$K$5:$K$15,0)),""))</f>
        <v/>
      </c>
      <c r="Q28" s="11">
        <f>IFERROR(INDEX(KC_CURVAS!$I$5:$I$15,MATCH($E28&amp;"|"&amp;$G28,KC_CURVAS!$K$5:$K$15,0)),IFERROR(INDEX(KC_CURVAS!$I$5:$I$15,MATCH($E28&amp;"|",KC_CURVAS!$K$5:$K$15,0)),""))</f>
        <v/>
      </c>
      <c r="R28" s="12">
        <f>IF(OR($J28="",$K28=""),"PENDENTE",IF($J28&lt;=$K28,$O28,IF($J28&lt;=$K28+$L28,$O28+($P28-$O28)*($J28-$K28)/$L28,IF($J28&lt;=$K28+$L28+$M28,$P28,IF($J28&lt;=$K28+$L28+$M28+$N28,$P28+($Q28-$P28)*($J28-($K28+$L28+$M28))/$N28,$Q28)))))</f>
        <v/>
      </c>
      <c r="S28" s="13">
        <f>ETO_SEM</f>
        <v/>
      </c>
      <c r="T28" s="14">
        <f>IF(OR($R28="",$R28="PENDENTE"),"",$R28*$S28)</f>
        <v/>
      </c>
      <c r="U28" s="13" t="n">
        <v>0</v>
      </c>
      <c r="V28" s="14">
        <f>IF($T28="","",MAX(0,$T28-N($U28)))</f>
        <v/>
      </c>
      <c r="W28" s="14">
        <f>IF($V28="","",$V28/EF_APLIC)</f>
        <v/>
      </c>
      <c r="X28" s="15" t="n">
        <v>150</v>
      </c>
      <c r="Y28" s="16">
        <f>IF(OR($W28="",$X28=""),"",$W28*$X28*10)</f>
        <v/>
      </c>
      <c r="Z28" s="17">
        <f>IFERROR(INDEX('PARAMETROS'!$B$16:$B$19,MATCH($D28,'PARAMETROS'!$A$16:$A$19,0)),"")</f>
        <v/>
      </c>
      <c r="AA28" s="16">
        <f>IF(OR($Y28="",$Z28=""),"",$Y28*$Z28)</f>
        <v/>
      </c>
      <c r="AB28" s="18">
        <f>IF($R28="PENDENTE","Definir classe/Kc",IF($W28="","-",IF($W28&gt;0,"Irrigar","Nao irrigar")))</f>
        <v/>
      </c>
      <c r="AC28" s="18">
        <f>IF(OR($W28="",$W28=0),"-",IF($W28&gt;=META_SEM,"Alta",IF($W28&gt;=META_SEM*FRAC_ACOMP,"Media","Baixa")))</f>
        <v/>
      </c>
      <c r="AD28" s="19" t="inlineStr"/>
    </row>
    <row r="29">
      <c r="A29" s="5" t="inlineStr">
        <is>
          <t>T20</t>
        </is>
      </c>
      <c r="B29" s="5" t="inlineStr">
        <is>
          <t>KARITEL</t>
        </is>
      </c>
      <c r="C29" s="5" t="inlineStr"/>
      <c r="D29" s="5" t="inlineStr">
        <is>
          <t>KM1</t>
        </is>
      </c>
      <c r="E29" s="5" t="inlineStr">
        <is>
          <t>SOJA</t>
        </is>
      </c>
      <c r="F29" s="6" t="inlineStr">
        <is>
          <t>NEO 761 I2X</t>
        </is>
      </c>
      <c r="G29" s="7" t="inlineStr">
        <is>
          <t>PRECOCE</t>
        </is>
      </c>
      <c r="H29" s="8" t="n">
        <v>46299</v>
      </c>
      <c r="I29" s="9">
        <f>IF($H29="","",DATA_REF-$H29)</f>
        <v/>
      </c>
      <c r="J29" s="9">
        <f>IF($I29="","",MAX(0,$I29-'PARAMETROS'!$B$12))</f>
        <v/>
      </c>
      <c r="K29" s="10">
        <f>IFERROR(INDEX(KC_CURVAS!$C$5:$C$15,MATCH($E29&amp;"|"&amp;$G29,KC_CURVAS!$K$5:$K$15,0)),IFERROR(INDEX(KC_CURVAS!$C$5:$C$15,MATCH($E29&amp;"|",KC_CURVAS!$K$5:$K$15,0)),""))</f>
        <v/>
      </c>
      <c r="L29" s="10">
        <f>IFERROR(INDEX(KC_CURVAS!$D$5:$D$15,MATCH($E29&amp;"|"&amp;$G29,KC_CURVAS!$K$5:$K$15,0)),IFERROR(INDEX(KC_CURVAS!$D$5:$D$15,MATCH($E29&amp;"|",KC_CURVAS!$K$5:$K$15,0)),""))</f>
        <v/>
      </c>
      <c r="M29" s="10">
        <f>IFERROR(INDEX(KC_CURVAS!$E$5:$E$15,MATCH($E29&amp;"|"&amp;$G29,KC_CURVAS!$K$5:$K$15,0)),IFERROR(INDEX(KC_CURVAS!$E$5:$E$15,MATCH($E29&amp;"|",KC_CURVAS!$K$5:$K$15,0)),""))</f>
        <v/>
      </c>
      <c r="N29" s="10">
        <f>IFERROR(INDEX(KC_CURVAS!$F$5:$F$15,MATCH($E29&amp;"|"&amp;$G29,KC_CURVAS!$K$5:$K$15,0)),IFERROR(INDEX(KC_CURVAS!$F$5:$F$15,MATCH($E29&amp;"|",KC_CURVAS!$K$5:$K$15,0)),""))</f>
        <v/>
      </c>
      <c r="O29" s="11">
        <f>IFERROR(INDEX(KC_CURVAS!$G$5:$G$15,MATCH($E29&amp;"|"&amp;$G29,KC_CURVAS!$K$5:$K$15,0)),IFERROR(INDEX(KC_CURVAS!$G$5:$G$15,MATCH($E29&amp;"|",KC_CURVAS!$K$5:$K$15,0)),""))</f>
        <v/>
      </c>
      <c r="P29" s="11">
        <f>IFERROR(INDEX(KC_CURVAS!$H$5:$H$15,MATCH($E29&amp;"|"&amp;$G29,KC_CURVAS!$K$5:$K$15,0)),IFERROR(INDEX(KC_CURVAS!$H$5:$H$15,MATCH($E29&amp;"|",KC_CURVAS!$K$5:$K$15,0)),""))</f>
        <v/>
      </c>
      <c r="Q29" s="11">
        <f>IFERROR(INDEX(KC_CURVAS!$I$5:$I$15,MATCH($E29&amp;"|"&amp;$G29,KC_CURVAS!$K$5:$K$15,0)),IFERROR(INDEX(KC_CURVAS!$I$5:$I$15,MATCH($E29&amp;"|",KC_CURVAS!$K$5:$K$15,0)),""))</f>
        <v/>
      </c>
      <c r="R29" s="12">
        <f>IF(OR($J29="",$K29=""),"PENDENTE",IF($J29&lt;=$K29,$O29,IF($J29&lt;=$K29+$L29,$O29+($P29-$O29)*($J29-$K29)/$L29,IF($J29&lt;=$K29+$L29+$M29,$P29,IF($J29&lt;=$K29+$L29+$M29+$N29,$P29+($Q29-$P29)*($J29-($K29+$L29+$M29))/$N29,$Q29)))))</f>
        <v/>
      </c>
      <c r="S29" s="13">
        <f>ETO_SEM</f>
        <v/>
      </c>
      <c r="T29" s="14">
        <f>IF(OR($R29="",$R29="PENDENTE"),"",$R29*$S29)</f>
        <v/>
      </c>
      <c r="U29" s="13" t="n">
        <v>0</v>
      </c>
      <c r="V29" s="14">
        <f>IF($T29="","",MAX(0,$T29-N($U29)))</f>
        <v/>
      </c>
      <c r="W29" s="14">
        <f>IF($V29="","",$V29/EF_APLIC)</f>
        <v/>
      </c>
      <c r="X29" s="15" t="n">
        <v>150</v>
      </c>
      <c r="Y29" s="16">
        <f>IF(OR($W29="",$X29=""),"",$W29*$X29*10)</f>
        <v/>
      </c>
      <c r="Z29" s="17">
        <f>IFERROR(INDEX('PARAMETROS'!$B$16:$B$19,MATCH($D29,'PARAMETROS'!$A$16:$A$19,0)),"")</f>
        <v/>
      </c>
      <c r="AA29" s="16">
        <f>IF(OR($Y29="",$Z29=""),"",$Y29*$Z29)</f>
        <v/>
      </c>
      <c r="AB29" s="18">
        <f>IF($R29="PENDENTE","Definir classe/Kc",IF($W29="","-",IF($W29&gt;0,"Irrigar","Nao irrigar")))</f>
        <v/>
      </c>
      <c r="AC29" s="18">
        <f>IF(OR($W29="",$W29=0),"-",IF($W29&gt;=META_SEM,"Alta",IF($W29&gt;=META_SEM*FRAC_ACOMP,"Media","Baixa")))</f>
        <v/>
      </c>
      <c r="AD29" s="19" t="inlineStr"/>
    </row>
    <row r="30">
      <c r="A30" s="5" t="inlineStr">
        <is>
          <t>T22</t>
        </is>
      </c>
      <c r="B30" s="5" t="inlineStr">
        <is>
          <t>KARITEL</t>
        </is>
      </c>
      <c r="C30" s="5" t="inlineStr"/>
      <c r="D30" s="5" t="inlineStr">
        <is>
          <t>KM1</t>
        </is>
      </c>
      <c r="E30" s="5" t="inlineStr">
        <is>
          <t>SOJA</t>
        </is>
      </c>
      <c r="F30" s="6" t="inlineStr">
        <is>
          <t>NEO 761 I2X</t>
        </is>
      </c>
      <c r="G30" s="7" t="inlineStr">
        <is>
          <t>PRECOCE</t>
        </is>
      </c>
      <c r="H30" s="8" t="n">
        <v>46299</v>
      </c>
      <c r="I30" s="9">
        <f>IF($H30="","",DATA_REF-$H30)</f>
        <v/>
      </c>
      <c r="J30" s="9">
        <f>IF($I30="","",MAX(0,$I30-'PARAMETROS'!$B$12))</f>
        <v/>
      </c>
      <c r="K30" s="10">
        <f>IFERROR(INDEX(KC_CURVAS!$C$5:$C$15,MATCH($E30&amp;"|"&amp;$G30,KC_CURVAS!$K$5:$K$15,0)),IFERROR(INDEX(KC_CURVAS!$C$5:$C$15,MATCH($E30&amp;"|",KC_CURVAS!$K$5:$K$15,0)),""))</f>
        <v/>
      </c>
      <c r="L30" s="10">
        <f>IFERROR(INDEX(KC_CURVAS!$D$5:$D$15,MATCH($E30&amp;"|"&amp;$G30,KC_CURVAS!$K$5:$K$15,0)),IFERROR(INDEX(KC_CURVAS!$D$5:$D$15,MATCH($E30&amp;"|",KC_CURVAS!$K$5:$K$15,0)),""))</f>
        <v/>
      </c>
      <c r="M30" s="10">
        <f>IFERROR(INDEX(KC_CURVAS!$E$5:$E$15,MATCH($E30&amp;"|"&amp;$G30,KC_CURVAS!$K$5:$K$15,0)),IFERROR(INDEX(KC_CURVAS!$E$5:$E$15,MATCH($E30&amp;"|",KC_CURVAS!$K$5:$K$15,0)),""))</f>
        <v/>
      </c>
      <c r="N30" s="10">
        <f>IFERROR(INDEX(KC_CURVAS!$F$5:$F$15,MATCH($E30&amp;"|"&amp;$G30,KC_CURVAS!$K$5:$K$15,0)),IFERROR(INDEX(KC_CURVAS!$F$5:$F$15,MATCH($E30&amp;"|",KC_CURVAS!$K$5:$K$15,0)),""))</f>
        <v/>
      </c>
      <c r="O30" s="11">
        <f>IFERROR(INDEX(KC_CURVAS!$G$5:$G$15,MATCH($E30&amp;"|"&amp;$G30,KC_CURVAS!$K$5:$K$15,0)),IFERROR(INDEX(KC_CURVAS!$G$5:$G$15,MATCH($E30&amp;"|",KC_CURVAS!$K$5:$K$15,0)),""))</f>
        <v/>
      </c>
      <c r="P30" s="11">
        <f>IFERROR(INDEX(KC_CURVAS!$H$5:$H$15,MATCH($E30&amp;"|"&amp;$G30,KC_CURVAS!$K$5:$K$15,0)),IFERROR(INDEX(KC_CURVAS!$H$5:$H$15,MATCH($E30&amp;"|",KC_CURVAS!$K$5:$K$15,0)),""))</f>
        <v/>
      </c>
      <c r="Q30" s="11">
        <f>IFERROR(INDEX(KC_CURVAS!$I$5:$I$15,MATCH($E30&amp;"|"&amp;$G30,KC_CURVAS!$K$5:$K$15,0)),IFERROR(INDEX(KC_CURVAS!$I$5:$I$15,MATCH($E30&amp;"|",KC_CURVAS!$K$5:$K$15,0)),""))</f>
        <v/>
      </c>
      <c r="R30" s="12">
        <f>IF(OR($J30="",$K30=""),"PENDENTE",IF($J30&lt;=$K30,$O30,IF($J30&lt;=$K30+$L30,$O30+($P30-$O30)*($J30-$K30)/$L30,IF($J30&lt;=$K30+$L30+$M30,$P30,IF($J30&lt;=$K30+$L30+$M30+$N30,$P30+($Q30-$P30)*($J30-($K30+$L30+$M30))/$N30,$Q30)))))</f>
        <v/>
      </c>
      <c r="S30" s="13">
        <f>ETO_SEM</f>
        <v/>
      </c>
      <c r="T30" s="14">
        <f>IF(OR($R30="",$R30="PENDENTE"),"",$R30*$S30)</f>
        <v/>
      </c>
      <c r="U30" s="13" t="n">
        <v>0</v>
      </c>
      <c r="V30" s="14">
        <f>IF($T30="","",MAX(0,$T30-N($U30)))</f>
        <v/>
      </c>
      <c r="W30" s="14">
        <f>IF($V30="","",$V30/EF_APLIC)</f>
        <v/>
      </c>
      <c r="X30" s="15" t="n">
        <v>150</v>
      </c>
      <c r="Y30" s="16">
        <f>IF(OR($W30="",$X30=""),"",$W30*$X30*10)</f>
        <v/>
      </c>
      <c r="Z30" s="17">
        <f>IFERROR(INDEX('PARAMETROS'!$B$16:$B$19,MATCH($D30,'PARAMETROS'!$A$16:$A$19,0)),"")</f>
        <v/>
      </c>
      <c r="AA30" s="16">
        <f>IF(OR($Y30="",$Z30=""),"",$Y30*$Z30)</f>
        <v/>
      </c>
      <c r="AB30" s="18">
        <f>IF($R30="PENDENTE","Definir classe/Kc",IF($W30="","-",IF($W30&gt;0,"Irrigar","Nao irrigar")))</f>
        <v/>
      </c>
      <c r="AC30" s="18">
        <f>IF(OR($W30="",$W30=0),"-",IF($W30&gt;=META_SEM,"Alta",IF($W30&gt;=META_SEM*FRAC_ACOMP,"Media","Baixa")))</f>
        <v/>
      </c>
      <c r="AD30" s="19" t="inlineStr"/>
    </row>
    <row r="31">
      <c r="A31" s="5" t="inlineStr">
        <is>
          <t>T24</t>
        </is>
      </c>
      <c r="B31" s="5" t="inlineStr">
        <is>
          <t>KARITEL</t>
        </is>
      </c>
      <c r="C31" s="5" t="inlineStr"/>
      <c r="D31" s="5" t="inlineStr">
        <is>
          <t>KM1</t>
        </is>
      </c>
      <c r="E31" s="5" t="inlineStr">
        <is>
          <t>SOJA</t>
        </is>
      </c>
      <c r="F31" s="6" t="inlineStr">
        <is>
          <t>BMX Olimpo IPRO</t>
        </is>
      </c>
      <c r="G31" s="7" t="inlineStr">
        <is>
          <t>MÉDIA</t>
        </is>
      </c>
      <c r="H31" s="8" t="n">
        <v>46300</v>
      </c>
      <c r="I31" s="9">
        <f>IF($H31="","",DATA_REF-$H31)</f>
        <v/>
      </c>
      <c r="J31" s="9">
        <f>IF($I31="","",MAX(0,$I31-'PARAMETROS'!$B$12))</f>
        <v/>
      </c>
      <c r="K31" s="10">
        <f>IFERROR(INDEX(KC_CURVAS!$C$5:$C$15,MATCH($E31&amp;"|"&amp;$G31,KC_CURVAS!$K$5:$K$15,0)),IFERROR(INDEX(KC_CURVAS!$C$5:$C$15,MATCH($E31&amp;"|",KC_CURVAS!$K$5:$K$15,0)),""))</f>
        <v/>
      </c>
      <c r="L31" s="10">
        <f>IFERROR(INDEX(KC_CURVAS!$D$5:$D$15,MATCH($E31&amp;"|"&amp;$G31,KC_CURVAS!$K$5:$K$15,0)),IFERROR(INDEX(KC_CURVAS!$D$5:$D$15,MATCH($E31&amp;"|",KC_CURVAS!$K$5:$K$15,0)),""))</f>
        <v/>
      </c>
      <c r="M31" s="10">
        <f>IFERROR(INDEX(KC_CURVAS!$E$5:$E$15,MATCH($E31&amp;"|"&amp;$G31,KC_CURVAS!$K$5:$K$15,0)),IFERROR(INDEX(KC_CURVAS!$E$5:$E$15,MATCH($E31&amp;"|",KC_CURVAS!$K$5:$K$15,0)),""))</f>
        <v/>
      </c>
      <c r="N31" s="10">
        <f>IFERROR(INDEX(KC_CURVAS!$F$5:$F$15,MATCH($E31&amp;"|"&amp;$G31,KC_CURVAS!$K$5:$K$15,0)),IFERROR(INDEX(KC_CURVAS!$F$5:$F$15,MATCH($E31&amp;"|",KC_CURVAS!$K$5:$K$15,0)),""))</f>
        <v/>
      </c>
      <c r="O31" s="11">
        <f>IFERROR(INDEX(KC_CURVAS!$G$5:$G$15,MATCH($E31&amp;"|"&amp;$G31,KC_CURVAS!$K$5:$K$15,0)),IFERROR(INDEX(KC_CURVAS!$G$5:$G$15,MATCH($E31&amp;"|",KC_CURVAS!$K$5:$K$15,0)),""))</f>
        <v/>
      </c>
      <c r="P31" s="11">
        <f>IFERROR(INDEX(KC_CURVAS!$H$5:$H$15,MATCH($E31&amp;"|"&amp;$G31,KC_CURVAS!$K$5:$K$15,0)),IFERROR(INDEX(KC_CURVAS!$H$5:$H$15,MATCH($E31&amp;"|",KC_CURVAS!$K$5:$K$15,0)),""))</f>
        <v/>
      </c>
      <c r="Q31" s="11">
        <f>IFERROR(INDEX(KC_CURVAS!$I$5:$I$15,MATCH($E31&amp;"|"&amp;$G31,KC_CURVAS!$K$5:$K$15,0)),IFERROR(INDEX(KC_CURVAS!$I$5:$I$15,MATCH($E31&amp;"|",KC_CURVAS!$K$5:$K$15,0)),""))</f>
        <v/>
      </c>
      <c r="R31" s="12">
        <f>IF(OR($J31="",$K31=""),"PENDENTE",IF($J31&lt;=$K31,$O31,IF($J31&lt;=$K31+$L31,$O31+($P31-$O31)*($J31-$K31)/$L31,IF($J31&lt;=$K31+$L31+$M31,$P31,IF($J31&lt;=$K31+$L31+$M31+$N31,$P31+($Q31-$P31)*($J31-($K31+$L31+$M31))/$N31,$Q31)))))</f>
        <v/>
      </c>
      <c r="S31" s="13">
        <f>ETO_SEM</f>
        <v/>
      </c>
      <c r="T31" s="14">
        <f>IF(OR($R31="",$R31="PENDENTE"),"",$R31*$S31)</f>
        <v/>
      </c>
      <c r="U31" s="13" t="n">
        <v>0</v>
      </c>
      <c r="V31" s="14">
        <f>IF($T31="","",MAX(0,$T31-N($U31)))</f>
        <v/>
      </c>
      <c r="W31" s="14">
        <f>IF($V31="","",$V31/EF_APLIC)</f>
        <v/>
      </c>
      <c r="X31" s="15" t="n">
        <v>150</v>
      </c>
      <c r="Y31" s="16">
        <f>IF(OR($W31="",$X31=""),"",$W31*$X31*10)</f>
        <v/>
      </c>
      <c r="Z31" s="17">
        <f>IFERROR(INDEX('PARAMETROS'!$B$16:$B$19,MATCH($D31,'PARAMETROS'!$A$16:$A$19,0)),"")</f>
        <v/>
      </c>
      <c r="AA31" s="16">
        <f>IF(OR($Y31="",$Z31=""),"",$Y31*$Z31)</f>
        <v/>
      </c>
      <c r="AB31" s="18">
        <f>IF($R31="PENDENTE","Definir classe/Kc",IF($W31="","-",IF($W31&gt;0,"Irrigar","Nao irrigar")))</f>
        <v/>
      </c>
      <c r="AC31" s="18">
        <f>IF(OR($W31="",$W31=0),"-",IF($W31&gt;=META_SEM,"Alta",IF($W31&gt;=META_SEM*FRAC_ACOMP,"Media","Baixa")))</f>
        <v/>
      </c>
      <c r="AD31" s="19" t="inlineStr"/>
    </row>
    <row r="32">
      <c r="A32" s="5" t="inlineStr">
        <is>
          <t>T26</t>
        </is>
      </c>
      <c r="B32" s="5" t="inlineStr">
        <is>
          <t>KARITEL</t>
        </is>
      </c>
      <c r="C32" s="5" t="inlineStr"/>
      <c r="D32" s="5" t="inlineStr">
        <is>
          <t>KM1</t>
        </is>
      </c>
      <c r="E32" s="5" t="inlineStr">
        <is>
          <t>SOJA</t>
        </is>
      </c>
      <c r="F32" s="6" t="inlineStr">
        <is>
          <t>ST 76KA72</t>
        </is>
      </c>
      <c r="G32" s="7" t="inlineStr">
        <is>
          <t>PRECOCE</t>
        </is>
      </c>
      <c r="H32" s="8" t="n">
        <v>46302</v>
      </c>
      <c r="I32" s="9">
        <f>IF($H32="","",DATA_REF-$H32)</f>
        <v/>
      </c>
      <c r="J32" s="9">
        <f>IF($I32="","",MAX(0,$I32-'PARAMETROS'!$B$12))</f>
        <v/>
      </c>
      <c r="K32" s="10">
        <f>IFERROR(INDEX(KC_CURVAS!$C$5:$C$15,MATCH($E32&amp;"|"&amp;$G32,KC_CURVAS!$K$5:$K$15,0)),IFERROR(INDEX(KC_CURVAS!$C$5:$C$15,MATCH($E32&amp;"|",KC_CURVAS!$K$5:$K$15,0)),""))</f>
        <v/>
      </c>
      <c r="L32" s="10">
        <f>IFERROR(INDEX(KC_CURVAS!$D$5:$D$15,MATCH($E32&amp;"|"&amp;$G32,KC_CURVAS!$K$5:$K$15,0)),IFERROR(INDEX(KC_CURVAS!$D$5:$D$15,MATCH($E32&amp;"|",KC_CURVAS!$K$5:$K$15,0)),""))</f>
        <v/>
      </c>
      <c r="M32" s="10">
        <f>IFERROR(INDEX(KC_CURVAS!$E$5:$E$15,MATCH($E32&amp;"|"&amp;$G32,KC_CURVAS!$K$5:$K$15,0)),IFERROR(INDEX(KC_CURVAS!$E$5:$E$15,MATCH($E32&amp;"|",KC_CURVAS!$K$5:$K$15,0)),""))</f>
        <v/>
      </c>
      <c r="N32" s="10">
        <f>IFERROR(INDEX(KC_CURVAS!$F$5:$F$15,MATCH($E32&amp;"|"&amp;$G32,KC_CURVAS!$K$5:$K$15,0)),IFERROR(INDEX(KC_CURVAS!$F$5:$F$15,MATCH($E32&amp;"|",KC_CURVAS!$K$5:$K$15,0)),""))</f>
        <v/>
      </c>
      <c r="O32" s="11">
        <f>IFERROR(INDEX(KC_CURVAS!$G$5:$G$15,MATCH($E32&amp;"|"&amp;$G32,KC_CURVAS!$K$5:$K$15,0)),IFERROR(INDEX(KC_CURVAS!$G$5:$G$15,MATCH($E32&amp;"|",KC_CURVAS!$K$5:$K$15,0)),""))</f>
        <v/>
      </c>
      <c r="P32" s="11">
        <f>IFERROR(INDEX(KC_CURVAS!$H$5:$H$15,MATCH($E32&amp;"|"&amp;$G32,KC_CURVAS!$K$5:$K$15,0)),IFERROR(INDEX(KC_CURVAS!$H$5:$H$15,MATCH($E32&amp;"|",KC_CURVAS!$K$5:$K$15,0)),""))</f>
        <v/>
      </c>
      <c r="Q32" s="11">
        <f>IFERROR(INDEX(KC_CURVAS!$I$5:$I$15,MATCH($E32&amp;"|"&amp;$G32,KC_CURVAS!$K$5:$K$15,0)),IFERROR(INDEX(KC_CURVAS!$I$5:$I$15,MATCH($E32&amp;"|",KC_CURVAS!$K$5:$K$15,0)),""))</f>
        <v/>
      </c>
      <c r="R32" s="12">
        <f>IF(OR($J32="",$K32=""),"PENDENTE",IF($J32&lt;=$K32,$O32,IF($J32&lt;=$K32+$L32,$O32+($P32-$O32)*($J32-$K32)/$L32,IF($J32&lt;=$K32+$L32+$M32,$P32,IF($J32&lt;=$K32+$L32+$M32+$N32,$P32+($Q32-$P32)*($J32-($K32+$L32+$M32))/$N32,$Q32)))))</f>
        <v/>
      </c>
      <c r="S32" s="13">
        <f>ETO_SEM</f>
        <v/>
      </c>
      <c r="T32" s="14">
        <f>IF(OR($R32="",$R32="PENDENTE"),"",$R32*$S32)</f>
        <v/>
      </c>
      <c r="U32" s="13" t="n">
        <v>0</v>
      </c>
      <c r="V32" s="14">
        <f>IF($T32="","",MAX(0,$T32-N($U32)))</f>
        <v/>
      </c>
      <c r="W32" s="14">
        <f>IF($V32="","",$V32/EF_APLIC)</f>
        <v/>
      </c>
      <c r="X32" s="15" t="n">
        <v>150</v>
      </c>
      <c r="Y32" s="16">
        <f>IF(OR($W32="",$X32=""),"",$W32*$X32*10)</f>
        <v/>
      </c>
      <c r="Z32" s="17">
        <f>IFERROR(INDEX('PARAMETROS'!$B$16:$B$19,MATCH($D32,'PARAMETROS'!$A$16:$A$19,0)),"")</f>
        <v/>
      </c>
      <c r="AA32" s="16">
        <f>IF(OR($Y32="",$Z32=""),"",$Y32*$Z32)</f>
        <v/>
      </c>
      <c r="AB32" s="18">
        <f>IF($R32="PENDENTE","Definir classe/Kc",IF($W32="","-",IF($W32&gt;0,"Irrigar","Nao irrigar")))</f>
        <v/>
      </c>
      <c r="AC32" s="18">
        <f>IF(OR($W32="",$W32=0),"-",IF($W32&gt;=META_SEM,"Alta",IF($W32&gt;=META_SEM*FRAC_ACOMP,"Media","Baixa")))</f>
        <v/>
      </c>
      <c r="AD32" s="19" t="inlineStr"/>
    </row>
    <row r="33">
      <c r="A33" s="5" t="inlineStr">
        <is>
          <t>T33</t>
        </is>
      </c>
      <c r="B33" s="5" t="inlineStr">
        <is>
          <t>KARITEL</t>
        </is>
      </c>
      <c r="C33" s="5" t="inlineStr"/>
      <c r="D33" s="5" t="inlineStr">
        <is>
          <t>KM1</t>
        </is>
      </c>
      <c r="E33" s="5" t="inlineStr">
        <is>
          <t>SOJA</t>
        </is>
      </c>
      <c r="F33" s="6" t="inlineStr">
        <is>
          <t>ATAQUE I2X</t>
        </is>
      </c>
      <c r="G33" s="7" t="inlineStr">
        <is>
          <t>TARDIA</t>
        </is>
      </c>
      <c r="H33" s="8" t="n">
        <v>46302</v>
      </c>
      <c r="I33" s="9">
        <f>IF($H33="","",DATA_REF-$H33)</f>
        <v/>
      </c>
      <c r="J33" s="9">
        <f>IF($I33="","",MAX(0,$I33-'PARAMETROS'!$B$12))</f>
        <v/>
      </c>
      <c r="K33" s="10">
        <f>IFERROR(INDEX(KC_CURVAS!$C$5:$C$15,MATCH($E33&amp;"|"&amp;$G33,KC_CURVAS!$K$5:$K$15,0)),IFERROR(INDEX(KC_CURVAS!$C$5:$C$15,MATCH($E33&amp;"|",KC_CURVAS!$K$5:$K$15,0)),""))</f>
        <v/>
      </c>
      <c r="L33" s="10">
        <f>IFERROR(INDEX(KC_CURVAS!$D$5:$D$15,MATCH($E33&amp;"|"&amp;$G33,KC_CURVAS!$K$5:$K$15,0)),IFERROR(INDEX(KC_CURVAS!$D$5:$D$15,MATCH($E33&amp;"|",KC_CURVAS!$K$5:$K$15,0)),""))</f>
        <v/>
      </c>
      <c r="M33" s="10">
        <f>IFERROR(INDEX(KC_CURVAS!$E$5:$E$15,MATCH($E33&amp;"|"&amp;$G33,KC_CURVAS!$K$5:$K$15,0)),IFERROR(INDEX(KC_CURVAS!$E$5:$E$15,MATCH($E33&amp;"|",KC_CURVAS!$K$5:$K$15,0)),""))</f>
        <v/>
      </c>
      <c r="N33" s="10">
        <f>IFERROR(INDEX(KC_CURVAS!$F$5:$F$15,MATCH($E33&amp;"|"&amp;$G33,KC_CURVAS!$K$5:$K$15,0)),IFERROR(INDEX(KC_CURVAS!$F$5:$F$15,MATCH($E33&amp;"|",KC_CURVAS!$K$5:$K$15,0)),""))</f>
        <v/>
      </c>
      <c r="O33" s="11">
        <f>IFERROR(INDEX(KC_CURVAS!$G$5:$G$15,MATCH($E33&amp;"|"&amp;$G33,KC_CURVAS!$K$5:$K$15,0)),IFERROR(INDEX(KC_CURVAS!$G$5:$G$15,MATCH($E33&amp;"|",KC_CURVAS!$K$5:$K$15,0)),""))</f>
        <v/>
      </c>
      <c r="P33" s="11">
        <f>IFERROR(INDEX(KC_CURVAS!$H$5:$H$15,MATCH($E33&amp;"|"&amp;$G33,KC_CURVAS!$K$5:$K$15,0)),IFERROR(INDEX(KC_CURVAS!$H$5:$H$15,MATCH($E33&amp;"|",KC_CURVAS!$K$5:$K$15,0)),""))</f>
        <v/>
      </c>
      <c r="Q33" s="11">
        <f>IFERROR(INDEX(KC_CURVAS!$I$5:$I$15,MATCH($E33&amp;"|"&amp;$G33,KC_CURVAS!$K$5:$K$15,0)),IFERROR(INDEX(KC_CURVAS!$I$5:$I$15,MATCH($E33&amp;"|",KC_CURVAS!$K$5:$K$15,0)),""))</f>
        <v/>
      </c>
      <c r="R33" s="12">
        <f>IF(OR($J33="",$K33=""),"PENDENTE",IF($J33&lt;=$K33,$O33,IF($J33&lt;=$K33+$L33,$O33+($P33-$O33)*($J33-$K33)/$L33,IF($J33&lt;=$K33+$L33+$M33,$P33,IF($J33&lt;=$K33+$L33+$M33+$N33,$P33+($Q33-$P33)*($J33-($K33+$L33+$M33))/$N33,$Q33)))))</f>
        <v/>
      </c>
      <c r="S33" s="13">
        <f>ETO_SEM</f>
        <v/>
      </c>
      <c r="T33" s="14">
        <f>IF(OR($R33="",$R33="PENDENTE"),"",$R33*$S33)</f>
        <v/>
      </c>
      <c r="U33" s="13" t="n">
        <v>0</v>
      </c>
      <c r="V33" s="14">
        <f>IF($T33="","",MAX(0,$T33-N($U33)))</f>
        <v/>
      </c>
      <c r="W33" s="14">
        <f>IF($V33="","",$V33/EF_APLIC)</f>
        <v/>
      </c>
      <c r="X33" s="15" t="n">
        <v>138</v>
      </c>
      <c r="Y33" s="16">
        <f>IF(OR($W33="",$X33=""),"",$W33*$X33*10)</f>
        <v/>
      </c>
      <c r="Z33" s="17">
        <f>IFERROR(INDEX('PARAMETROS'!$B$16:$B$19,MATCH($D33,'PARAMETROS'!$A$16:$A$19,0)),"")</f>
        <v/>
      </c>
      <c r="AA33" s="16">
        <f>IF(OR($Y33="",$Z33=""),"",$Y33*$Z33)</f>
        <v/>
      </c>
      <c r="AB33" s="18">
        <f>IF($R33="PENDENTE","Definir classe/Kc",IF($W33="","-",IF($W33&gt;0,"Irrigar","Nao irrigar")))</f>
        <v/>
      </c>
      <c r="AC33" s="18">
        <f>IF(OR($W33="",$W33=0),"-",IF($W33&gt;=META_SEM,"Alta",IF($W33&gt;=META_SEM*FRAC_ACOMP,"Media","Baixa")))</f>
        <v/>
      </c>
      <c r="AD33" s="19" t="inlineStr"/>
    </row>
    <row r="34">
      <c r="A34" s="5" t="inlineStr">
        <is>
          <t>T35</t>
        </is>
      </c>
      <c r="B34" s="5" t="inlineStr">
        <is>
          <t>KARITEL</t>
        </is>
      </c>
      <c r="C34" s="5" t="inlineStr"/>
      <c r="D34" s="5" t="inlineStr">
        <is>
          <t>KM1</t>
        </is>
      </c>
      <c r="E34" s="5" t="inlineStr">
        <is>
          <t>SOJA</t>
        </is>
      </c>
      <c r="F34" s="6" t="inlineStr">
        <is>
          <t>COMPLETA IPRO</t>
        </is>
      </c>
      <c r="G34" s="7" t="inlineStr">
        <is>
          <t>MÉDIA</t>
        </is>
      </c>
      <c r="H34" s="8" t="n">
        <v>46303</v>
      </c>
      <c r="I34" s="9">
        <f>IF($H34="","",DATA_REF-$H34)</f>
        <v/>
      </c>
      <c r="J34" s="9">
        <f>IF($I34="","",MAX(0,$I34-'PARAMETROS'!$B$12))</f>
        <v/>
      </c>
      <c r="K34" s="10">
        <f>IFERROR(INDEX(KC_CURVAS!$C$5:$C$15,MATCH($E34&amp;"|"&amp;$G34,KC_CURVAS!$K$5:$K$15,0)),IFERROR(INDEX(KC_CURVAS!$C$5:$C$15,MATCH($E34&amp;"|",KC_CURVAS!$K$5:$K$15,0)),""))</f>
        <v/>
      </c>
      <c r="L34" s="10">
        <f>IFERROR(INDEX(KC_CURVAS!$D$5:$D$15,MATCH($E34&amp;"|"&amp;$G34,KC_CURVAS!$K$5:$K$15,0)),IFERROR(INDEX(KC_CURVAS!$D$5:$D$15,MATCH($E34&amp;"|",KC_CURVAS!$K$5:$K$15,0)),""))</f>
        <v/>
      </c>
      <c r="M34" s="10">
        <f>IFERROR(INDEX(KC_CURVAS!$E$5:$E$15,MATCH($E34&amp;"|"&amp;$G34,KC_CURVAS!$K$5:$K$15,0)),IFERROR(INDEX(KC_CURVAS!$E$5:$E$15,MATCH($E34&amp;"|",KC_CURVAS!$K$5:$K$15,0)),""))</f>
        <v/>
      </c>
      <c r="N34" s="10">
        <f>IFERROR(INDEX(KC_CURVAS!$F$5:$F$15,MATCH($E34&amp;"|"&amp;$G34,KC_CURVAS!$K$5:$K$15,0)),IFERROR(INDEX(KC_CURVAS!$F$5:$F$15,MATCH($E34&amp;"|",KC_CURVAS!$K$5:$K$15,0)),""))</f>
        <v/>
      </c>
      <c r="O34" s="11">
        <f>IFERROR(INDEX(KC_CURVAS!$G$5:$G$15,MATCH($E34&amp;"|"&amp;$G34,KC_CURVAS!$K$5:$K$15,0)),IFERROR(INDEX(KC_CURVAS!$G$5:$G$15,MATCH($E34&amp;"|",KC_CURVAS!$K$5:$K$15,0)),""))</f>
        <v/>
      </c>
      <c r="P34" s="11">
        <f>IFERROR(INDEX(KC_CURVAS!$H$5:$H$15,MATCH($E34&amp;"|"&amp;$G34,KC_CURVAS!$K$5:$K$15,0)),IFERROR(INDEX(KC_CURVAS!$H$5:$H$15,MATCH($E34&amp;"|",KC_CURVAS!$K$5:$K$15,0)),""))</f>
        <v/>
      </c>
      <c r="Q34" s="11">
        <f>IFERROR(INDEX(KC_CURVAS!$I$5:$I$15,MATCH($E34&amp;"|"&amp;$G34,KC_CURVAS!$K$5:$K$15,0)),IFERROR(INDEX(KC_CURVAS!$I$5:$I$15,MATCH($E34&amp;"|",KC_CURVAS!$K$5:$K$15,0)),""))</f>
        <v/>
      </c>
      <c r="R34" s="12">
        <f>IF(OR($J34="",$K34=""),"PENDENTE",IF($J34&lt;=$K34,$O34,IF($J34&lt;=$K34+$L34,$O34+($P34-$O34)*($J34-$K34)/$L34,IF($J34&lt;=$K34+$L34+$M34,$P34,IF($J34&lt;=$K34+$L34+$M34+$N34,$P34+($Q34-$P34)*($J34-($K34+$L34+$M34))/$N34,$Q34)))))</f>
        <v/>
      </c>
      <c r="S34" s="13">
        <f>ETO_SEM</f>
        <v/>
      </c>
      <c r="T34" s="14">
        <f>IF(OR($R34="",$R34="PENDENTE"),"",$R34*$S34)</f>
        <v/>
      </c>
      <c r="U34" s="13" t="n">
        <v>0</v>
      </c>
      <c r="V34" s="14">
        <f>IF($T34="","",MAX(0,$T34-N($U34)))</f>
        <v/>
      </c>
      <c r="W34" s="14">
        <f>IF($V34="","",$V34/EF_APLIC)</f>
        <v/>
      </c>
      <c r="X34" s="15" t="n">
        <v>150</v>
      </c>
      <c r="Y34" s="16">
        <f>IF(OR($W34="",$X34=""),"",$W34*$X34*10)</f>
        <v/>
      </c>
      <c r="Z34" s="17">
        <f>IFERROR(INDEX('PARAMETROS'!$B$16:$B$19,MATCH($D34,'PARAMETROS'!$A$16:$A$19,0)),"")</f>
        <v/>
      </c>
      <c r="AA34" s="16">
        <f>IF(OR($Y34="",$Z34=""),"",$Y34*$Z34)</f>
        <v/>
      </c>
      <c r="AB34" s="18">
        <f>IF($R34="PENDENTE","Definir classe/Kc",IF($W34="","-",IF($W34&gt;0,"Irrigar","Nao irrigar")))</f>
        <v/>
      </c>
      <c r="AC34" s="18">
        <f>IF(OR($W34="",$W34=0),"-",IF($W34&gt;=META_SEM,"Alta",IF($W34&gt;=META_SEM*FRAC_ACOMP,"Media","Baixa")))</f>
        <v/>
      </c>
      <c r="AD34" s="19" t="inlineStr"/>
    </row>
    <row r="35">
      <c r="A35" s="5" t="inlineStr">
        <is>
          <t>T36</t>
        </is>
      </c>
      <c r="B35" s="5" t="inlineStr">
        <is>
          <t>KARITEL</t>
        </is>
      </c>
      <c r="C35" s="5" t="inlineStr"/>
      <c r="D35" s="5" t="inlineStr">
        <is>
          <t>KM1</t>
        </is>
      </c>
      <c r="E35" s="5" t="inlineStr">
        <is>
          <t>SOJA</t>
        </is>
      </c>
      <c r="F35" s="6" t="inlineStr">
        <is>
          <t>COMPLETA IPRO</t>
        </is>
      </c>
      <c r="G35" s="7" t="inlineStr">
        <is>
          <t>MÉDIA</t>
        </is>
      </c>
      <c r="H35" s="8" t="n">
        <v>46303</v>
      </c>
      <c r="I35" s="9">
        <f>IF($H35="","",DATA_REF-$H35)</f>
        <v/>
      </c>
      <c r="J35" s="9">
        <f>IF($I35="","",MAX(0,$I35-'PARAMETROS'!$B$12))</f>
        <v/>
      </c>
      <c r="K35" s="10">
        <f>IFERROR(INDEX(KC_CURVAS!$C$5:$C$15,MATCH($E35&amp;"|"&amp;$G35,KC_CURVAS!$K$5:$K$15,0)),IFERROR(INDEX(KC_CURVAS!$C$5:$C$15,MATCH($E35&amp;"|",KC_CURVAS!$K$5:$K$15,0)),""))</f>
        <v/>
      </c>
      <c r="L35" s="10">
        <f>IFERROR(INDEX(KC_CURVAS!$D$5:$D$15,MATCH($E35&amp;"|"&amp;$G35,KC_CURVAS!$K$5:$K$15,0)),IFERROR(INDEX(KC_CURVAS!$D$5:$D$15,MATCH($E35&amp;"|",KC_CURVAS!$K$5:$K$15,0)),""))</f>
        <v/>
      </c>
      <c r="M35" s="10">
        <f>IFERROR(INDEX(KC_CURVAS!$E$5:$E$15,MATCH($E35&amp;"|"&amp;$G35,KC_CURVAS!$K$5:$K$15,0)),IFERROR(INDEX(KC_CURVAS!$E$5:$E$15,MATCH($E35&amp;"|",KC_CURVAS!$K$5:$K$15,0)),""))</f>
        <v/>
      </c>
      <c r="N35" s="10">
        <f>IFERROR(INDEX(KC_CURVAS!$F$5:$F$15,MATCH($E35&amp;"|"&amp;$G35,KC_CURVAS!$K$5:$K$15,0)),IFERROR(INDEX(KC_CURVAS!$F$5:$F$15,MATCH($E35&amp;"|",KC_CURVAS!$K$5:$K$15,0)),""))</f>
        <v/>
      </c>
      <c r="O35" s="11">
        <f>IFERROR(INDEX(KC_CURVAS!$G$5:$G$15,MATCH($E35&amp;"|"&amp;$G35,KC_CURVAS!$K$5:$K$15,0)),IFERROR(INDEX(KC_CURVAS!$G$5:$G$15,MATCH($E35&amp;"|",KC_CURVAS!$K$5:$K$15,0)),""))</f>
        <v/>
      </c>
      <c r="P35" s="11">
        <f>IFERROR(INDEX(KC_CURVAS!$H$5:$H$15,MATCH($E35&amp;"|"&amp;$G35,KC_CURVAS!$K$5:$K$15,0)),IFERROR(INDEX(KC_CURVAS!$H$5:$H$15,MATCH($E35&amp;"|",KC_CURVAS!$K$5:$K$15,0)),""))</f>
        <v/>
      </c>
      <c r="Q35" s="11">
        <f>IFERROR(INDEX(KC_CURVAS!$I$5:$I$15,MATCH($E35&amp;"|"&amp;$G35,KC_CURVAS!$K$5:$K$15,0)),IFERROR(INDEX(KC_CURVAS!$I$5:$I$15,MATCH($E35&amp;"|",KC_CURVAS!$K$5:$K$15,0)),""))</f>
        <v/>
      </c>
      <c r="R35" s="12">
        <f>IF(OR($J35="",$K35=""),"PENDENTE",IF($J35&lt;=$K35,$O35,IF($J35&lt;=$K35+$L35,$O35+($P35-$O35)*($J35-$K35)/$L35,IF($J35&lt;=$K35+$L35+$M35,$P35,IF($J35&lt;=$K35+$L35+$M35+$N35,$P35+($Q35-$P35)*($J35-($K35+$L35+$M35))/$N35,$Q35)))))</f>
        <v/>
      </c>
      <c r="S35" s="13">
        <f>ETO_SEM</f>
        <v/>
      </c>
      <c r="T35" s="14">
        <f>IF(OR($R35="",$R35="PENDENTE"),"",$R35*$S35)</f>
        <v/>
      </c>
      <c r="U35" s="13" t="n">
        <v>0</v>
      </c>
      <c r="V35" s="14">
        <f>IF($T35="","",MAX(0,$T35-N($U35)))</f>
        <v/>
      </c>
      <c r="W35" s="14">
        <f>IF($V35="","",$V35/EF_APLIC)</f>
        <v/>
      </c>
      <c r="X35" s="15" t="n">
        <v>150</v>
      </c>
      <c r="Y35" s="16">
        <f>IF(OR($W35="",$X35=""),"",$W35*$X35*10)</f>
        <v/>
      </c>
      <c r="Z35" s="17">
        <f>IFERROR(INDEX('PARAMETROS'!$B$16:$B$19,MATCH($D35,'PARAMETROS'!$A$16:$A$19,0)),"")</f>
        <v/>
      </c>
      <c r="AA35" s="16">
        <f>IF(OR($Y35="",$Z35=""),"",$Y35*$Z35)</f>
        <v/>
      </c>
      <c r="AB35" s="18">
        <f>IF($R35="PENDENTE","Definir classe/Kc",IF($W35="","-",IF($W35&gt;0,"Irrigar","Nao irrigar")))</f>
        <v/>
      </c>
      <c r="AC35" s="18">
        <f>IF(OR($W35="",$W35=0),"-",IF($W35&gt;=META_SEM,"Alta",IF($W35&gt;=META_SEM*FRAC_ACOMP,"Media","Baixa")))</f>
        <v/>
      </c>
      <c r="AD35" s="19" t="inlineStr"/>
    </row>
    <row r="36">
      <c r="A36" s="5" t="inlineStr">
        <is>
          <t>T12</t>
        </is>
      </c>
      <c r="B36" s="5" t="inlineStr">
        <is>
          <t>KARITEL</t>
        </is>
      </c>
      <c r="C36" s="5" t="inlineStr"/>
      <c r="D36" s="5" t="inlineStr">
        <is>
          <t>KM1</t>
        </is>
      </c>
      <c r="E36" s="5" t="inlineStr">
        <is>
          <t>SOJA</t>
        </is>
      </c>
      <c r="F36" s="6" t="inlineStr">
        <is>
          <t>COMBATE IPRO</t>
        </is>
      </c>
      <c r="G36" s="7" t="inlineStr">
        <is>
          <t>PRECOCE</t>
        </is>
      </c>
      <c r="H36" s="8" t="n">
        <v>46304</v>
      </c>
      <c r="I36" s="9">
        <f>IF($H36="","",DATA_REF-$H36)</f>
        <v/>
      </c>
      <c r="J36" s="9">
        <f>IF($I36="","",MAX(0,$I36-'PARAMETROS'!$B$12))</f>
        <v/>
      </c>
      <c r="K36" s="10">
        <f>IFERROR(INDEX(KC_CURVAS!$C$5:$C$15,MATCH($E36&amp;"|"&amp;$G36,KC_CURVAS!$K$5:$K$15,0)),IFERROR(INDEX(KC_CURVAS!$C$5:$C$15,MATCH($E36&amp;"|",KC_CURVAS!$K$5:$K$15,0)),""))</f>
        <v/>
      </c>
      <c r="L36" s="10">
        <f>IFERROR(INDEX(KC_CURVAS!$D$5:$D$15,MATCH($E36&amp;"|"&amp;$G36,KC_CURVAS!$K$5:$K$15,0)),IFERROR(INDEX(KC_CURVAS!$D$5:$D$15,MATCH($E36&amp;"|",KC_CURVAS!$K$5:$K$15,0)),""))</f>
        <v/>
      </c>
      <c r="M36" s="10">
        <f>IFERROR(INDEX(KC_CURVAS!$E$5:$E$15,MATCH($E36&amp;"|"&amp;$G36,KC_CURVAS!$K$5:$K$15,0)),IFERROR(INDEX(KC_CURVAS!$E$5:$E$15,MATCH($E36&amp;"|",KC_CURVAS!$K$5:$K$15,0)),""))</f>
        <v/>
      </c>
      <c r="N36" s="10">
        <f>IFERROR(INDEX(KC_CURVAS!$F$5:$F$15,MATCH($E36&amp;"|"&amp;$G36,KC_CURVAS!$K$5:$K$15,0)),IFERROR(INDEX(KC_CURVAS!$F$5:$F$15,MATCH($E36&amp;"|",KC_CURVAS!$K$5:$K$15,0)),""))</f>
        <v/>
      </c>
      <c r="O36" s="11">
        <f>IFERROR(INDEX(KC_CURVAS!$G$5:$G$15,MATCH($E36&amp;"|"&amp;$G36,KC_CURVAS!$K$5:$K$15,0)),IFERROR(INDEX(KC_CURVAS!$G$5:$G$15,MATCH($E36&amp;"|",KC_CURVAS!$K$5:$K$15,0)),""))</f>
        <v/>
      </c>
      <c r="P36" s="11">
        <f>IFERROR(INDEX(KC_CURVAS!$H$5:$H$15,MATCH($E36&amp;"|"&amp;$G36,KC_CURVAS!$K$5:$K$15,0)),IFERROR(INDEX(KC_CURVAS!$H$5:$H$15,MATCH($E36&amp;"|",KC_CURVAS!$K$5:$K$15,0)),""))</f>
        <v/>
      </c>
      <c r="Q36" s="11">
        <f>IFERROR(INDEX(KC_CURVAS!$I$5:$I$15,MATCH($E36&amp;"|"&amp;$G36,KC_CURVAS!$K$5:$K$15,0)),IFERROR(INDEX(KC_CURVAS!$I$5:$I$15,MATCH($E36&amp;"|",KC_CURVAS!$K$5:$K$15,0)),""))</f>
        <v/>
      </c>
      <c r="R36" s="12">
        <f>IF(OR($J36="",$K36=""),"PENDENTE",IF($J36&lt;=$K36,$O36,IF($J36&lt;=$K36+$L36,$O36+($P36-$O36)*($J36-$K36)/$L36,IF($J36&lt;=$K36+$L36+$M36,$P36,IF($J36&lt;=$K36+$L36+$M36+$N36,$P36+($Q36-$P36)*($J36-($K36+$L36+$M36))/$N36,$Q36)))))</f>
        <v/>
      </c>
      <c r="S36" s="13">
        <f>ETO_SEM</f>
        <v/>
      </c>
      <c r="T36" s="14">
        <f>IF(OR($R36="",$R36="PENDENTE"),"",$R36*$S36)</f>
        <v/>
      </c>
      <c r="U36" s="13" t="n">
        <v>0</v>
      </c>
      <c r="V36" s="14">
        <f>IF($T36="","",MAX(0,$T36-N($U36)))</f>
        <v/>
      </c>
      <c r="W36" s="14">
        <f>IF($V36="","",$V36/EF_APLIC)</f>
        <v/>
      </c>
      <c r="X36" s="15" t="n">
        <v>150</v>
      </c>
      <c r="Y36" s="16">
        <f>IF(OR($W36="",$X36=""),"",$W36*$X36*10)</f>
        <v/>
      </c>
      <c r="Z36" s="17">
        <f>IFERROR(INDEX('PARAMETROS'!$B$16:$B$19,MATCH($D36,'PARAMETROS'!$A$16:$A$19,0)),"")</f>
        <v/>
      </c>
      <c r="AA36" s="16">
        <f>IF(OR($Y36="",$Z36=""),"",$Y36*$Z36)</f>
        <v/>
      </c>
      <c r="AB36" s="18">
        <f>IF($R36="PENDENTE","Definir classe/Kc",IF($W36="","-",IF($W36&gt;0,"Irrigar","Nao irrigar")))</f>
        <v/>
      </c>
      <c r="AC36" s="18">
        <f>IF(OR($W36="",$W36=0),"-",IF($W36&gt;=META_SEM,"Alta",IF($W36&gt;=META_SEM*FRAC_ACOMP,"Media","Baixa")))</f>
        <v/>
      </c>
      <c r="AD36" s="19" t="inlineStr"/>
    </row>
    <row r="37">
      <c r="A37" s="5" t="inlineStr">
        <is>
          <t>T13</t>
        </is>
      </c>
      <c r="B37" s="5" t="inlineStr">
        <is>
          <t>KARITEL</t>
        </is>
      </c>
      <c r="C37" s="5" t="inlineStr"/>
      <c r="D37" s="5" t="inlineStr">
        <is>
          <t>KM1</t>
        </is>
      </c>
      <c r="E37" s="5" t="inlineStr">
        <is>
          <t>SOJA</t>
        </is>
      </c>
      <c r="F37" s="6" t="inlineStr">
        <is>
          <t>COMBATE IPRO</t>
        </is>
      </c>
      <c r="G37" s="7" t="inlineStr">
        <is>
          <t>PRECOCE</t>
        </is>
      </c>
      <c r="H37" s="8" t="n">
        <v>46304</v>
      </c>
      <c r="I37" s="9">
        <f>IF($H37="","",DATA_REF-$H37)</f>
        <v/>
      </c>
      <c r="J37" s="9">
        <f>IF($I37="","",MAX(0,$I37-'PARAMETROS'!$B$12))</f>
        <v/>
      </c>
      <c r="K37" s="10">
        <f>IFERROR(INDEX(KC_CURVAS!$C$5:$C$15,MATCH($E37&amp;"|"&amp;$G37,KC_CURVAS!$K$5:$K$15,0)),IFERROR(INDEX(KC_CURVAS!$C$5:$C$15,MATCH($E37&amp;"|",KC_CURVAS!$K$5:$K$15,0)),""))</f>
        <v/>
      </c>
      <c r="L37" s="10">
        <f>IFERROR(INDEX(KC_CURVAS!$D$5:$D$15,MATCH($E37&amp;"|"&amp;$G37,KC_CURVAS!$K$5:$K$15,0)),IFERROR(INDEX(KC_CURVAS!$D$5:$D$15,MATCH($E37&amp;"|",KC_CURVAS!$K$5:$K$15,0)),""))</f>
        <v/>
      </c>
      <c r="M37" s="10">
        <f>IFERROR(INDEX(KC_CURVAS!$E$5:$E$15,MATCH($E37&amp;"|"&amp;$G37,KC_CURVAS!$K$5:$K$15,0)),IFERROR(INDEX(KC_CURVAS!$E$5:$E$15,MATCH($E37&amp;"|",KC_CURVAS!$K$5:$K$15,0)),""))</f>
        <v/>
      </c>
      <c r="N37" s="10">
        <f>IFERROR(INDEX(KC_CURVAS!$F$5:$F$15,MATCH($E37&amp;"|"&amp;$G37,KC_CURVAS!$K$5:$K$15,0)),IFERROR(INDEX(KC_CURVAS!$F$5:$F$15,MATCH($E37&amp;"|",KC_CURVAS!$K$5:$K$15,0)),""))</f>
        <v/>
      </c>
      <c r="O37" s="11">
        <f>IFERROR(INDEX(KC_CURVAS!$G$5:$G$15,MATCH($E37&amp;"|"&amp;$G37,KC_CURVAS!$K$5:$K$15,0)),IFERROR(INDEX(KC_CURVAS!$G$5:$G$15,MATCH($E37&amp;"|",KC_CURVAS!$K$5:$K$15,0)),""))</f>
        <v/>
      </c>
      <c r="P37" s="11">
        <f>IFERROR(INDEX(KC_CURVAS!$H$5:$H$15,MATCH($E37&amp;"|"&amp;$G37,KC_CURVAS!$K$5:$K$15,0)),IFERROR(INDEX(KC_CURVAS!$H$5:$H$15,MATCH($E37&amp;"|",KC_CURVAS!$K$5:$K$15,0)),""))</f>
        <v/>
      </c>
      <c r="Q37" s="11">
        <f>IFERROR(INDEX(KC_CURVAS!$I$5:$I$15,MATCH($E37&amp;"|"&amp;$G37,KC_CURVAS!$K$5:$K$15,0)),IFERROR(INDEX(KC_CURVAS!$I$5:$I$15,MATCH($E37&amp;"|",KC_CURVAS!$K$5:$K$15,0)),""))</f>
        <v/>
      </c>
      <c r="R37" s="12">
        <f>IF(OR($J37="",$K37=""),"PENDENTE",IF($J37&lt;=$K37,$O37,IF($J37&lt;=$K37+$L37,$O37+($P37-$O37)*($J37-$K37)/$L37,IF($J37&lt;=$K37+$L37+$M37,$P37,IF($J37&lt;=$K37+$L37+$M37+$N37,$P37+($Q37-$P37)*($J37-($K37+$L37+$M37))/$N37,$Q37)))))</f>
        <v/>
      </c>
      <c r="S37" s="13">
        <f>ETO_SEM</f>
        <v/>
      </c>
      <c r="T37" s="14">
        <f>IF(OR($R37="",$R37="PENDENTE"),"",$R37*$S37)</f>
        <v/>
      </c>
      <c r="U37" s="13" t="n">
        <v>0</v>
      </c>
      <c r="V37" s="14">
        <f>IF($T37="","",MAX(0,$T37-N($U37)))</f>
        <v/>
      </c>
      <c r="W37" s="14">
        <f>IF($V37="","",$V37/EF_APLIC)</f>
        <v/>
      </c>
      <c r="X37" s="15" t="n">
        <v>71</v>
      </c>
      <c r="Y37" s="16">
        <f>IF(OR($W37="",$X37=""),"",$W37*$X37*10)</f>
        <v/>
      </c>
      <c r="Z37" s="17">
        <f>IFERROR(INDEX('PARAMETROS'!$B$16:$B$19,MATCH($D37,'PARAMETROS'!$A$16:$A$19,0)),"")</f>
        <v/>
      </c>
      <c r="AA37" s="16">
        <f>IF(OR($Y37="",$Z37=""),"",$Y37*$Z37)</f>
        <v/>
      </c>
      <c r="AB37" s="18">
        <f>IF($R37="PENDENTE","Definir classe/Kc",IF($W37="","-",IF($W37&gt;0,"Irrigar","Nao irrigar")))</f>
        <v/>
      </c>
      <c r="AC37" s="18">
        <f>IF(OR($W37="",$W37=0),"-",IF($W37&gt;=META_SEM,"Alta",IF($W37&gt;=META_SEM*FRAC_ACOMP,"Media","Baixa")))</f>
        <v/>
      </c>
      <c r="AD37" s="19" t="inlineStr"/>
    </row>
    <row r="38">
      <c r="A38" s="5" t="inlineStr">
        <is>
          <t>T37</t>
        </is>
      </c>
      <c r="B38" s="5" t="inlineStr">
        <is>
          <t>KARITEL</t>
        </is>
      </c>
      <c r="C38" s="5" t="inlineStr"/>
      <c r="D38" s="5" t="inlineStr">
        <is>
          <t>KM1</t>
        </is>
      </c>
      <c r="E38" s="5" t="inlineStr">
        <is>
          <t>SOJA</t>
        </is>
      </c>
      <c r="F38" s="6" t="inlineStr">
        <is>
          <t>COMPLETA IPRO</t>
        </is>
      </c>
      <c r="G38" s="7" t="inlineStr">
        <is>
          <t>MÉDIA</t>
        </is>
      </c>
      <c r="H38" s="8" t="n">
        <v>46304</v>
      </c>
      <c r="I38" s="9">
        <f>IF($H38="","",DATA_REF-$H38)</f>
        <v/>
      </c>
      <c r="J38" s="9">
        <f>IF($I38="","",MAX(0,$I38-'PARAMETROS'!$B$12))</f>
        <v/>
      </c>
      <c r="K38" s="10">
        <f>IFERROR(INDEX(KC_CURVAS!$C$5:$C$15,MATCH($E38&amp;"|"&amp;$G38,KC_CURVAS!$K$5:$K$15,0)),IFERROR(INDEX(KC_CURVAS!$C$5:$C$15,MATCH($E38&amp;"|",KC_CURVAS!$K$5:$K$15,0)),""))</f>
        <v/>
      </c>
      <c r="L38" s="10">
        <f>IFERROR(INDEX(KC_CURVAS!$D$5:$D$15,MATCH($E38&amp;"|"&amp;$G38,KC_CURVAS!$K$5:$K$15,0)),IFERROR(INDEX(KC_CURVAS!$D$5:$D$15,MATCH($E38&amp;"|",KC_CURVAS!$K$5:$K$15,0)),""))</f>
        <v/>
      </c>
      <c r="M38" s="10">
        <f>IFERROR(INDEX(KC_CURVAS!$E$5:$E$15,MATCH($E38&amp;"|"&amp;$G38,KC_CURVAS!$K$5:$K$15,0)),IFERROR(INDEX(KC_CURVAS!$E$5:$E$15,MATCH($E38&amp;"|",KC_CURVAS!$K$5:$K$15,0)),""))</f>
        <v/>
      </c>
      <c r="N38" s="10">
        <f>IFERROR(INDEX(KC_CURVAS!$F$5:$F$15,MATCH($E38&amp;"|"&amp;$G38,KC_CURVAS!$K$5:$K$15,0)),IFERROR(INDEX(KC_CURVAS!$F$5:$F$15,MATCH($E38&amp;"|",KC_CURVAS!$K$5:$K$15,0)),""))</f>
        <v/>
      </c>
      <c r="O38" s="11">
        <f>IFERROR(INDEX(KC_CURVAS!$G$5:$G$15,MATCH($E38&amp;"|"&amp;$G38,KC_CURVAS!$K$5:$K$15,0)),IFERROR(INDEX(KC_CURVAS!$G$5:$G$15,MATCH($E38&amp;"|",KC_CURVAS!$K$5:$K$15,0)),""))</f>
        <v/>
      </c>
      <c r="P38" s="11">
        <f>IFERROR(INDEX(KC_CURVAS!$H$5:$H$15,MATCH($E38&amp;"|"&amp;$G38,KC_CURVAS!$K$5:$K$15,0)),IFERROR(INDEX(KC_CURVAS!$H$5:$H$15,MATCH($E38&amp;"|",KC_CURVAS!$K$5:$K$15,0)),""))</f>
        <v/>
      </c>
      <c r="Q38" s="11">
        <f>IFERROR(INDEX(KC_CURVAS!$I$5:$I$15,MATCH($E38&amp;"|"&amp;$G38,KC_CURVAS!$K$5:$K$15,0)),IFERROR(INDEX(KC_CURVAS!$I$5:$I$15,MATCH($E38&amp;"|",KC_CURVAS!$K$5:$K$15,0)),""))</f>
        <v/>
      </c>
      <c r="R38" s="12">
        <f>IF(OR($J38="",$K38=""),"PENDENTE",IF($J38&lt;=$K38,$O38,IF($J38&lt;=$K38+$L38,$O38+($P38-$O38)*($J38-$K38)/$L38,IF($J38&lt;=$K38+$L38+$M38,$P38,IF($J38&lt;=$K38+$L38+$M38+$N38,$P38+($Q38-$P38)*($J38-($K38+$L38+$M38))/$N38,$Q38)))))</f>
        <v/>
      </c>
      <c r="S38" s="13">
        <f>ETO_SEM</f>
        <v/>
      </c>
      <c r="T38" s="14">
        <f>IF(OR($R38="",$R38="PENDENTE"),"",$R38*$S38)</f>
        <v/>
      </c>
      <c r="U38" s="13" t="n">
        <v>0</v>
      </c>
      <c r="V38" s="14">
        <f>IF($T38="","",MAX(0,$T38-N($U38)))</f>
        <v/>
      </c>
      <c r="W38" s="14">
        <f>IF($V38="","",$V38/EF_APLIC)</f>
        <v/>
      </c>
      <c r="X38" s="15" t="n">
        <v>72</v>
      </c>
      <c r="Y38" s="16">
        <f>IF(OR($W38="",$X38=""),"",$W38*$X38*10)</f>
        <v/>
      </c>
      <c r="Z38" s="17">
        <f>IFERROR(INDEX('PARAMETROS'!$B$16:$B$19,MATCH($D38,'PARAMETROS'!$A$16:$A$19,0)),"")</f>
        <v/>
      </c>
      <c r="AA38" s="16">
        <f>IF(OR($Y38="",$Z38=""),"",$Y38*$Z38)</f>
        <v/>
      </c>
      <c r="AB38" s="18">
        <f>IF($R38="PENDENTE","Definir classe/Kc",IF($W38="","-",IF($W38&gt;0,"Irrigar","Nao irrigar")))</f>
        <v/>
      </c>
      <c r="AC38" s="18">
        <f>IF(OR($W38="",$W38=0),"-",IF($W38&gt;=META_SEM,"Alta",IF($W38&gt;=META_SEM*FRAC_ACOMP,"Media","Baixa")))</f>
        <v/>
      </c>
      <c r="AD38" s="19" t="inlineStr"/>
    </row>
    <row r="39">
      <c r="A39" s="5" t="inlineStr">
        <is>
          <t>T38</t>
        </is>
      </c>
      <c r="B39" s="5" t="inlineStr">
        <is>
          <t>KARITEL</t>
        </is>
      </c>
      <c r="C39" s="5" t="inlineStr"/>
      <c r="D39" s="5" t="inlineStr">
        <is>
          <t>KM1</t>
        </is>
      </c>
      <c r="E39" s="5" t="inlineStr">
        <is>
          <t>SOJA</t>
        </is>
      </c>
      <c r="F39" s="6" t="inlineStr">
        <is>
          <t>COMPLETA IPRO</t>
        </is>
      </c>
      <c r="G39" s="7" t="inlineStr">
        <is>
          <t>MÉDIA</t>
        </is>
      </c>
      <c r="H39" s="8" t="n">
        <v>46304</v>
      </c>
      <c r="I39" s="9">
        <f>IF($H39="","",DATA_REF-$H39)</f>
        <v/>
      </c>
      <c r="J39" s="9">
        <f>IF($I39="","",MAX(0,$I39-'PARAMETROS'!$B$12))</f>
        <v/>
      </c>
      <c r="K39" s="10">
        <f>IFERROR(INDEX(KC_CURVAS!$C$5:$C$15,MATCH($E39&amp;"|"&amp;$G39,KC_CURVAS!$K$5:$K$15,0)),IFERROR(INDEX(KC_CURVAS!$C$5:$C$15,MATCH($E39&amp;"|",KC_CURVAS!$K$5:$K$15,0)),""))</f>
        <v/>
      </c>
      <c r="L39" s="10">
        <f>IFERROR(INDEX(KC_CURVAS!$D$5:$D$15,MATCH($E39&amp;"|"&amp;$G39,KC_CURVAS!$K$5:$K$15,0)),IFERROR(INDEX(KC_CURVAS!$D$5:$D$15,MATCH($E39&amp;"|",KC_CURVAS!$K$5:$K$15,0)),""))</f>
        <v/>
      </c>
      <c r="M39" s="10">
        <f>IFERROR(INDEX(KC_CURVAS!$E$5:$E$15,MATCH($E39&amp;"|"&amp;$G39,KC_CURVAS!$K$5:$K$15,0)),IFERROR(INDEX(KC_CURVAS!$E$5:$E$15,MATCH($E39&amp;"|",KC_CURVAS!$K$5:$K$15,0)),""))</f>
        <v/>
      </c>
      <c r="N39" s="10">
        <f>IFERROR(INDEX(KC_CURVAS!$F$5:$F$15,MATCH($E39&amp;"|"&amp;$G39,KC_CURVAS!$K$5:$K$15,0)),IFERROR(INDEX(KC_CURVAS!$F$5:$F$15,MATCH($E39&amp;"|",KC_CURVAS!$K$5:$K$15,0)),""))</f>
        <v/>
      </c>
      <c r="O39" s="11">
        <f>IFERROR(INDEX(KC_CURVAS!$G$5:$G$15,MATCH($E39&amp;"|"&amp;$G39,KC_CURVAS!$K$5:$K$15,0)),IFERROR(INDEX(KC_CURVAS!$G$5:$G$15,MATCH($E39&amp;"|",KC_CURVAS!$K$5:$K$15,0)),""))</f>
        <v/>
      </c>
      <c r="P39" s="11">
        <f>IFERROR(INDEX(KC_CURVAS!$H$5:$H$15,MATCH($E39&amp;"|"&amp;$G39,KC_CURVAS!$K$5:$K$15,0)),IFERROR(INDEX(KC_CURVAS!$H$5:$H$15,MATCH($E39&amp;"|",KC_CURVAS!$K$5:$K$15,0)),""))</f>
        <v/>
      </c>
      <c r="Q39" s="11">
        <f>IFERROR(INDEX(KC_CURVAS!$I$5:$I$15,MATCH($E39&amp;"|"&amp;$G39,KC_CURVAS!$K$5:$K$15,0)),IFERROR(INDEX(KC_CURVAS!$I$5:$I$15,MATCH($E39&amp;"|",KC_CURVAS!$K$5:$K$15,0)),""))</f>
        <v/>
      </c>
      <c r="R39" s="12">
        <f>IF(OR($J39="",$K39=""),"PENDENTE",IF($J39&lt;=$K39,$O39,IF($J39&lt;=$K39+$L39,$O39+($P39-$O39)*($J39-$K39)/$L39,IF($J39&lt;=$K39+$L39+$M39,$P39,IF($J39&lt;=$K39+$L39+$M39+$N39,$P39+($Q39-$P39)*($J39-($K39+$L39+$M39))/$N39,$Q39)))))</f>
        <v/>
      </c>
      <c r="S39" s="13">
        <f>ETO_SEM</f>
        <v/>
      </c>
      <c r="T39" s="14">
        <f>IF(OR($R39="",$R39="PENDENTE"),"",$R39*$S39)</f>
        <v/>
      </c>
      <c r="U39" s="13" t="n">
        <v>0</v>
      </c>
      <c r="V39" s="14">
        <f>IF($T39="","",MAX(0,$T39-N($U39)))</f>
        <v/>
      </c>
      <c r="W39" s="14">
        <f>IF($V39="","",$V39/EF_APLIC)</f>
        <v/>
      </c>
      <c r="X39" s="15" t="n">
        <v>141</v>
      </c>
      <c r="Y39" s="16">
        <f>IF(OR($W39="",$X39=""),"",$W39*$X39*10)</f>
        <v/>
      </c>
      <c r="Z39" s="17">
        <f>IFERROR(INDEX('PARAMETROS'!$B$16:$B$19,MATCH($D39,'PARAMETROS'!$A$16:$A$19,0)),"")</f>
        <v/>
      </c>
      <c r="AA39" s="16">
        <f>IF(OR($Y39="",$Z39=""),"",$Y39*$Z39)</f>
        <v/>
      </c>
      <c r="AB39" s="18">
        <f>IF($R39="PENDENTE","Definir classe/Kc",IF($W39="","-",IF($W39&gt;0,"Irrigar","Nao irrigar")))</f>
        <v/>
      </c>
      <c r="AC39" s="18">
        <f>IF(OR($W39="",$W39=0),"-",IF($W39&gt;=META_SEM,"Alta",IF($W39&gt;=META_SEM*FRAC_ACOMP,"Media","Baixa")))</f>
        <v/>
      </c>
      <c r="AD39" s="19" t="inlineStr"/>
    </row>
    <row r="40">
      <c r="A40" s="5" t="inlineStr">
        <is>
          <t>T40</t>
        </is>
      </c>
      <c r="B40" s="5" t="inlineStr">
        <is>
          <t>KARITEL</t>
        </is>
      </c>
      <c r="C40" s="5" t="inlineStr"/>
      <c r="D40" s="5" t="inlineStr">
        <is>
          <t>KM1</t>
        </is>
      </c>
      <c r="E40" s="5" t="inlineStr">
        <is>
          <t>SOJA</t>
        </is>
      </c>
      <c r="F40" s="6" t="inlineStr">
        <is>
          <t>BMX Olimpo IPRO</t>
        </is>
      </c>
      <c r="G40" s="7" t="inlineStr">
        <is>
          <t>MÉDIA</t>
        </is>
      </c>
      <c r="H40" s="8" t="n">
        <v>46305</v>
      </c>
      <c r="I40" s="9">
        <f>IF($H40="","",DATA_REF-$H40)</f>
        <v/>
      </c>
      <c r="J40" s="9">
        <f>IF($I40="","",MAX(0,$I40-'PARAMETROS'!$B$12))</f>
        <v/>
      </c>
      <c r="K40" s="10">
        <f>IFERROR(INDEX(KC_CURVAS!$C$5:$C$15,MATCH($E40&amp;"|"&amp;$G40,KC_CURVAS!$K$5:$K$15,0)),IFERROR(INDEX(KC_CURVAS!$C$5:$C$15,MATCH($E40&amp;"|",KC_CURVAS!$K$5:$K$15,0)),""))</f>
        <v/>
      </c>
      <c r="L40" s="10">
        <f>IFERROR(INDEX(KC_CURVAS!$D$5:$D$15,MATCH($E40&amp;"|"&amp;$G40,KC_CURVAS!$K$5:$K$15,0)),IFERROR(INDEX(KC_CURVAS!$D$5:$D$15,MATCH($E40&amp;"|",KC_CURVAS!$K$5:$K$15,0)),""))</f>
        <v/>
      </c>
      <c r="M40" s="10">
        <f>IFERROR(INDEX(KC_CURVAS!$E$5:$E$15,MATCH($E40&amp;"|"&amp;$G40,KC_CURVAS!$K$5:$K$15,0)),IFERROR(INDEX(KC_CURVAS!$E$5:$E$15,MATCH($E40&amp;"|",KC_CURVAS!$K$5:$K$15,0)),""))</f>
        <v/>
      </c>
      <c r="N40" s="10">
        <f>IFERROR(INDEX(KC_CURVAS!$F$5:$F$15,MATCH($E40&amp;"|"&amp;$G40,KC_CURVAS!$K$5:$K$15,0)),IFERROR(INDEX(KC_CURVAS!$F$5:$F$15,MATCH($E40&amp;"|",KC_CURVAS!$K$5:$K$15,0)),""))</f>
        <v/>
      </c>
      <c r="O40" s="11">
        <f>IFERROR(INDEX(KC_CURVAS!$G$5:$G$15,MATCH($E40&amp;"|"&amp;$G40,KC_CURVAS!$K$5:$K$15,0)),IFERROR(INDEX(KC_CURVAS!$G$5:$G$15,MATCH($E40&amp;"|",KC_CURVAS!$K$5:$K$15,0)),""))</f>
        <v/>
      </c>
      <c r="P40" s="11">
        <f>IFERROR(INDEX(KC_CURVAS!$H$5:$H$15,MATCH($E40&amp;"|"&amp;$G40,KC_CURVAS!$K$5:$K$15,0)),IFERROR(INDEX(KC_CURVAS!$H$5:$H$15,MATCH($E40&amp;"|",KC_CURVAS!$K$5:$K$15,0)),""))</f>
        <v/>
      </c>
      <c r="Q40" s="11">
        <f>IFERROR(INDEX(KC_CURVAS!$I$5:$I$15,MATCH($E40&amp;"|"&amp;$G40,KC_CURVAS!$K$5:$K$15,0)),IFERROR(INDEX(KC_CURVAS!$I$5:$I$15,MATCH($E40&amp;"|",KC_CURVAS!$K$5:$K$15,0)),""))</f>
        <v/>
      </c>
      <c r="R40" s="12">
        <f>IF(OR($J40="",$K40=""),"PENDENTE",IF($J40&lt;=$K40,$O40,IF($J40&lt;=$K40+$L40,$O40+($P40-$O40)*($J40-$K40)/$L40,IF($J40&lt;=$K40+$L40+$M40,$P40,IF($J40&lt;=$K40+$L40+$M40+$N40,$P40+($Q40-$P40)*($J40-($K40+$L40+$M40))/$N40,$Q40)))))</f>
        <v/>
      </c>
      <c r="S40" s="13">
        <f>ETO_SEM</f>
        <v/>
      </c>
      <c r="T40" s="14">
        <f>IF(OR($R40="",$R40="PENDENTE"),"",$R40*$S40)</f>
        <v/>
      </c>
      <c r="U40" s="13" t="n">
        <v>0</v>
      </c>
      <c r="V40" s="14">
        <f>IF($T40="","",MAX(0,$T40-N($U40)))</f>
        <v/>
      </c>
      <c r="W40" s="14">
        <f>IF($V40="","",$V40/EF_APLIC)</f>
        <v/>
      </c>
      <c r="X40" s="15" t="n">
        <v>150</v>
      </c>
      <c r="Y40" s="16">
        <f>IF(OR($W40="",$X40=""),"",$W40*$X40*10)</f>
        <v/>
      </c>
      <c r="Z40" s="17">
        <f>IFERROR(INDEX('PARAMETROS'!$B$16:$B$19,MATCH($D40,'PARAMETROS'!$A$16:$A$19,0)),"")</f>
        <v/>
      </c>
      <c r="AA40" s="16">
        <f>IF(OR($Y40="",$Z40=""),"",$Y40*$Z40)</f>
        <v/>
      </c>
      <c r="AB40" s="18">
        <f>IF($R40="PENDENTE","Definir classe/Kc",IF($W40="","-",IF($W40&gt;0,"Irrigar","Nao irrigar")))</f>
        <v/>
      </c>
      <c r="AC40" s="18">
        <f>IF(OR($W40="",$W40=0),"-",IF($W40&gt;=META_SEM,"Alta",IF($W40&gt;=META_SEM*FRAC_ACOMP,"Media","Baixa")))</f>
        <v/>
      </c>
      <c r="AD40" s="19" t="inlineStr"/>
    </row>
    <row r="41">
      <c r="A41" s="5" t="inlineStr">
        <is>
          <t>T41</t>
        </is>
      </c>
      <c r="B41" s="5" t="inlineStr">
        <is>
          <t>KARITEL</t>
        </is>
      </c>
      <c r="C41" s="5" t="inlineStr"/>
      <c r="D41" s="5" t="inlineStr">
        <is>
          <t>KM2</t>
        </is>
      </c>
      <c r="E41" s="5" t="inlineStr">
        <is>
          <t>SOJA</t>
        </is>
      </c>
      <c r="F41" s="6" t="inlineStr">
        <is>
          <t>NEO 761 I2X</t>
        </is>
      </c>
      <c r="G41" s="7" t="inlineStr">
        <is>
          <t>PRECOCE</t>
        </is>
      </c>
      <c r="H41" s="8" t="n">
        <v>46305</v>
      </c>
      <c r="I41" s="9">
        <f>IF($H41="","",DATA_REF-$H41)</f>
        <v/>
      </c>
      <c r="J41" s="9">
        <f>IF($I41="","",MAX(0,$I41-'PARAMETROS'!$B$12))</f>
        <v/>
      </c>
      <c r="K41" s="10">
        <f>IFERROR(INDEX(KC_CURVAS!$C$5:$C$15,MATCH($E41&amp;"|"&amp;$G41,KC_CURVAS!$K$5:$K$15,0)),IFERROR(INDEX(KC_CURVAS!$C$5:$C$15,MATCH($E41&amp;"|",KC_CURVAS!$K$5:$K$15,0)),""))</f>
        <v/>
      </c>
      <c r="L41" s="10">
        <f>IFERROR(INDEX(KC_CURVAS!$D$5:$D$15,MATCH($E41&amp;"|"&amp;$G41,KC_CURVAS!$K$5:$K$15,0)),IFERROR(INDEX(KC_CURVAS!$D$5:$D$15,MATCH($E41&amp;"|",KC_CURVAS!$K$5:$K$15,0)),""))</f>
        <v/>
      </c>
      <c r="M41" s="10">
        <f>IFERROR(INDEX(KC_CURVAS!$E$5:$E$15,MATCH($E41&amp;"|"&amp;$G41,KC_CURVAS!$K$5:$K$15,0)),IFERROR(INDEX(KC_CURVAS!$E$5:$E$15,MATCH($E41&amp;"|",KC_CURVAS!$K$5:$K$15,0)),""))</f>
        <v/>
      </c>
      <c r="N41" s="10">
        <f>IFERROR(INDEX(KC_CURVAS!$F$5:$F$15,MATCH($E41&amp;"|"&amp;$G41,KC_CURVAS!$K$5:$K$15,0)),IFERROR(INDEX(KC_CURVAS!$F$5:$F$15,MATCH($E41&amp;"|",KC_CURVAS!$K$5:$K$15,0)),""))</f>
        <v/>
      </c>
      <c r="O41" s="11">
        <f>IFERROR(INDEX(KC_CURVAS!$G$5:$G$15,MATCH($E41&amp;"|"&amp;$G41,KC_CURVAS!$K$5:$K$15,0)),IFERROR(INDEX(KC_CURVAS!$G$5:$G$15,MATCH($E41&amp;"|",KC_CURVAS!$K$5:$K$15,0)),""))</f>
        <v/>
      </c>
      <c r="P41" s="11">
        <f>IFERROR(INDEX(KC_CURVAS!$H$5:$H$15,MATCH($E41&amp;"|"&amp;$G41,KC_CURVAS!$K$5:$K$15,0)),IFERROR(INDEX(KC_CURVAS!$H$5:$H$15,MATCH($E41&amp;"|",KC_CURVAS!$K$5:$K$15,0)),""))</f>
        <v/>
      </c>
      <c r="Q41" s="11">
        <f>IFERROR(INDEX(KC_CURVAS!$I$5:$I$15,MATCH($E41&amp;"|"&amp;$G41,KC_CURVAS!$K$5:$K$15,0)),IFERROR(INDEX(KC_CURVAS!$I$5:$I$15,MATCH($E41&amp;"|",KC_CURVAS!$K$5:$K$15,0)),""))</f>
        <v/>
      </c>
      <c r="R41" s="12">
        <f>IF(OR($J41="",$K41=""),"PENDENTE",IF($J41&lt;=$K41,$O41,IF($J41&lt;=$K41+$L41,$O41+($P41-$O41)*($J41-$K41)/$L41,IF($J41&lt;=$K41+$L41+$M41,$P41,IF($J41&lt;=$K41+$L41+$M41+$N41,$P41+($Q41-$P41)*($J41-($K41+$L41+$M41))/$N41,$Q41)))))</f>
        <v/>
      </c>
      <c r="S41" s="13">
        <f>ETO_SEM</f>
        <v/>
      </c>
      <c r="T41" s="14">
        <f>IF(OR($R41="",$R41="PENDENTE"),"",$R41*$S41)</f>
        <v/>
      </c>
      <c r="U41" s="13" t="n">
        <v>0</v>
      </c>
      <c r="V41" s="14">
        <f>IF($T41="","",MAX(0,$T41-N($U41)))</f>
        <v/>
      </c>
      <c r="W41" s="14">
        <f>IF($V41="","",$V41/EF_APLIC)</f>
        <v/>
      </c>
      <c r="X41" s="15" t="n">
        <v>138</v>
      </c>
      <c r="Y41" s="16">
        <f>IF(OR($W41="",$X41=""),"",$W41*$X41*10)</f>
        <v/>
      </c>
      <c r="Z41" s="17">
        <f>IFERROR(INDEX('PARAMETROS'!$B$16:$B$19,MATCH($D41,'PARAMETROS'!$A$16:$A$19,0)),"")</f>
        <v/>
      </c>
      <c r="AA41" s="16">
        <f>IF(OR($Y41="",$Z41=""),"",$Y41*$Z41)</f>
        <v/>
      </c>
      <c r="AB41" s="18">
        <f>IF($R41="PENDENTE","Definir classe/Kc",IF($W41="","-",IF($W41&gt;0,"Irrigar","Nao irrigar")))</f>
        <v/>
      </c>
      <c r="AC41" s="18">
        <f>IF(OR($W41="",$W41=0),"-",IF($W41&gt;=META_SEM,"Alta",IF($W41&gt;=META_SEM*FRAC_ACOMP,"Media","Baixa")))</f>
        <v/>
      </c>
      <c r="AD41" s="19" t="inlineStr"/>
    </row>
    <row r="42">
      <c r="A42" s="5" t="inlineStr">
        <is>
          <t>T42</t>
        </is>
      </c>
      <c r="B42" s="5" t="inlineStr">
        <is>
          <t>KARITEL</t>
        </is>
      </c>
      <c r="C42" s="5" t="inlineStr"/>
      <c r="D42" s="5" t="inlineStr">
        <is>
          <t>KM2</t>
        </is>
      </c>
      <c r="E42" s="5" t="inlineStr">
        <is>
          <t>SOJA</t>
        </is>
      </c>
      <c r="F42" s="6" t="inlineStr">
        <is>
          <t>BMX Olimpo IPRO</t>
        </is>
      </c>
      <c r="G42" s="7" t="inlineStr">
        <is>
          <t>MÉDIA</t>
        </is>
      </c>
      <c r="H42" s="8" t="n">
        <v>46307</v>
      </c>
      <c r="I42" s="9">
        <f>IF($H42="","",DATA_REF-$H42)</f>
        <v/>
      </c>
      <c r="J42" s="9">
        <f>IF($I42="","",MAX(0,$I42-'PARAMETROS'!$B$12))</f>
        <v/>
      </c>
      <c r="K42" s="10">
        <f>IFERROR(INDEX(KC_CURVAS!$C$5:$C$15,MATCH($E42&amp;"|"&amp;$G42,KC_CURVAS!$K$5:$K$15,0)),IFERROR(INDEX(KC_CURVAS!$C$5:$C$15,MATCH($E42&amp;"|",KC_CURVAS!$K$5:$K$15,0)),""))</f>
        <v/>
      </c>
      <c r="L42" s="10">
        <f>IFERROR(INDEX(KC_CURVAS!$D$5:$D$15,MATCH($E42&amp;"|"&amp;$G42,KC_CURVAS!$K$5:$K$15,0)),IFERROR(INDEX(KC_CURVAS!$D$5:$D$15,MATCH($E42&amp;"|",KC_CURVAS!$K$5:$K$15,0)),""))</f>
        <v/>
      </c>
      <c r="M42" s="10">
        <f>IFERROR(INDEX(KC_CURVAS!$E$5:$E$15,MATCH($E42&amp;"|"&amp;$G42,KC_CURVAS!$K$5:$K$15,0)),IFERROR(INDEX(KC_CURVAS!$E$5:$E$15,MATCH($E42&amp;"|",KC_CURVAS!$K$5:$K$15,0)),""))</f>
        <v/>
      </c>
      <c r="N42" s="10">
        <f>IFERROR(INDEX(KC_CURVAS!$F$5:$F$15,MATCH($E42&amp;"|"&amp;$G42,KC_CURVAS!$K$5:$K$15,0)),IFERROR(INDEX(KC_CURVAS!$F$5:$F$15,MATCH($E42&amp;"|",KC_CURVAS!$K$5:$K$15,0)),""))</f>
        <v/>
      </c>
      <c r="O42" s="11">
        <f>IFERROR(INDEX(KC_CURVAS!$G$5:$G$15,MATCH($E42&amp;"|"&amp;$G42,KC_CURVAS!$K$5:$K$15,0)),IFERROR(INDEX(KC_CURVAS!$G$5:$G$15,MATCH($E42&amp;"|",KC_CURVAS!$K$5:$K$15,0)),""))</f>
        <v/>
      </c>
      <c r="P42" s="11">
        <f>IFERROR(INDEX(KC_CURVAS!$H$5:$H$15,MATCH($E42&amp;"|"&amp;$G42,KC_CURVAS!$K$5:$K$15,0)),IFERROR(INDEX(KC_CURVAS!$H$5:$H$15,MATCH($E42&amp;"|",KC_CURVAS!$K$5:$K$15,0)),""))</f>
        <v/>
      </c>
      <c r="Q42" s="11">
        <f>IFERROR(INDEX(KC_CURVAS!$I$5:$I$15,MATCH($E42&amp;"|"&amp;$G42,KC_CURVAS!$K$5:$K$15,0)),IFERROR(INDEX(KC_CURVAS!$I$5:$I$15,MATCH($E42&amp;"|",KC_CURVAS!$K$5:$K$15,0)),""))</f>
        <v/>
      </c>
      <c r="R42" s="12">
        <f>IF(OR($J42="",$K42=""),"PENDENTE",IF($J42&lt;=$K42,$O42,IF($J42&lt;=$K42+$L42,$O42+($P42-$O42)*($J42-$K42)/$L42,IF($J42&lt;=$K42+$L42+$M42,$P42,IF($J42&lt;=$K42+$L42+$M42+$N42,$P42+($Q42-$P42)*($J42-($K42+$L42+$M42))/$N42,$Q42)))))</f>
        <v/>
      </c>
      <c r="S42" s="13">
        <f>ETO_SEM</f>
        <v/>
      </c>
      <c r="T42" s="14">
        <f>IF(OR($R42="",$R42="PENDENTE"),"",$R42*$S42)</f>
        <v/>
      </c>
      <c r="U42" s="13" t="n">
        <v>0</v>
      </c>
      <c r="V42" s="14">
        <f>IF($T42="","",MAX(0,$T42-N($U42)))</f>
        <v/>
      </c>
      <c r="W42" s="14">
        <f>IF($V42="","",$V42/EF_APLIC)</f>
        <v/>
      </c>
      <c r="X42" s="15" t="n">
        <v>100</v>
      </c>
      <c r="Y42" s="16">
        <f>IF(OR($W42="",$X42=""),"",$W42*$X42*10)</f>
        <v/>
      </c>
      <c r="Z42" s="17">
        <f>IFERROR(INDEX('PARAMETROS'!$B$16:$B$19,MATCH($D42,'PARAMETROS'!$A$16:$A$19,0)),"")</f>
        <v/>
      </c>
      <c r="AA42" s="16">
        <f>IF(OR($Y42="",$Z42=""),"",$Y42*$Z42)</f>
        <v/>
      </c>
      <c r="AB42" s="18">
        <f>IF($R42="PENDENTE","Definir classe/Kc",IF($W42="","-",IF($W42&gt;0,"Irrigar","Nao irrigar")))</f>
        <v/>
      </c>
      <c r="AC42" s="18">
        <f>IF(OR($W42="",$W42=0),"-",IF($W42&gt;=META_SEM,"Alta",IF($W42&gt;=META_SEM*FRAC_ACOMP,"Media","Baixa")))</f>
        <v/>
      </c>
      <c r="AD42" s="19" t="inlineStr"/>
    </row>
    <row r="43">
      <c r="A43" s="5" t="inlineStr">
        <is>
          <t>T43</t>
        </is>
      </c>
      <c r="B43" s="5" t="inlineStr">
        <is>
          <t>KARITEL</t>
        </is>
      </c>
      <c r="C43" s="5" t="inlineStr"/>
      <c r="D43" s="5" t="inlineStr">
        <is>
          <t>KM2</t>
        </is>
      </c>
      <c r="E43" s="5" t="inlineStr">
        <is>
          <t>SOJA</t>
        </is>
      </c>
      <c r="F43" s="6" t="inlineStr">
        <is>
          <t>NEO 761 I2X</t>
        </is>
      </c>
      <c r="G43" s="7" t="inlineStr">
        <is>
          <t>PRECOCE</t>
        </is>
      </c>
      <c r="H43" s="8" t="n">
        <v>46307</v>
      </c>
      <c r="I43" s="9">
        <f>IF($H43="","",DATA_REF-$H43)</f>
        <v/>
      </c>
      <c r="J43" s="9">
        <f>IF($I43="","",MAX(0,$I43-'PARAMETROS'!$B$12))</f>
        <v/>
      </c>
      <c r="K43" s="10">
        <f>IFERROR(INDEX(KC_CURVAS!$C$5:$C$15,MATCH($E43&amp;"|"&amp;$G43,KC_CURVAS!$K$5:$K$15,0)),IFERROR(INDEX(KC_CURVAS!$C$5:$C$15,MATCH($E43&amp;"|",KC_CURVAS!$K$5:$K$15,0)),""))</f>
        <v/>
      </c>
      <c r="L43" s="10">
        <f>IFERROR(INDEX(KC_CURVAS!$D$5:$D$15,MATCH($E43&amp;"|"&amp;$G43,KC_CURVAS!$K$5:$K$15,0)),IFERROR(INDEX(KC_CURVAS!$D$5:$D$15,MATCH($E43&amp;"|",KC_CURVAS!$K$5:$K$15,0)),""))</f>
        <v/>
      </c>
      <c r="M43" s="10">
        <f>IFERROR(INDEX(KC_CURVAS!$E$5:$E$15,MATCH($E43&amp;"|"&amp;$G43,KC_CURVAS!$K$5:$K$15,0)),IFERROR(INDEX(KC_CURVAS!$E$5:$E$15,MATCH($E43&amp;"|",KC_CURVAS!$K$5:$K$15,0)),""))</f>
        <v/>
      </c>
      <c r="N43" s="10">
        <f>IFERROR(INDEX(KC_CURVAS!$F$5:$F$15,MATCH($E43&amp;"|"&amp;$G43,KC_CURVAS!$K$5:$K$15,0)),IFERROR(INDEX(KC_CURVAS!$F$5:$F$15,MATCH($E43&amp;"|",KC_CURVAS!$K$5:$K$15,0)),""))</f>
        <v/>
      </c>
      <c r="O43" s="11">
        <f>IFERROR(INDEX(KC_CURVAS!$G$5:$G$15,MATCH($E43&amp;"|"&amp;$G43,KC_CURVAS!$K$5:$K$15,0)),IFERROR(INDEX(KC_CURVAS!$G$5:$G$15,MATCH($E43&amp;"|",KC_CURVAS!$K$5:$K$15,0)),""))</f>
        <v/>
      </c>
      <c r="P43" s="11">
        <f>IFERROR(INDEX(KC_CURVAS!$H$5:$H$15,MATCH($E43&amp;"|"&amp;$G43,KC_CURVAS!$K$5:$K$15,0)),IFERROR(INDEX(KC_CURVAS!$H$5:$H$15,MATCH($E43&amp;"|",KC_CURVAS!$K$5:$K$15,0)),""))</f>
        <v/>
      </c>
      <c r="Q43" s="11">
        <f>IFERROR(INDEX(KC_CURVAS!$I$5:$I$15,MATCH($E43&amp;"|"&amp;$G43,KC_CURVAS!$K$5:$K$15,0)),IFERROR(INDEX(KC_CURVAS!$I$5:$I$15,MATCH($E43&amp;"|",KC_CURVAS!$K$5:$K$15,0)),""))</f>
        <v/>
      </c>
      <c r="R43" s="12">
        <f>IF(OR($J43="",$K43=""),"PENDENTE",IF($J43&lt;=$K43,$O43,IF($J43&lt;=$K43+$L43,$O43+($P43-$O43)*($J43-$K43)/$L43,IF($J43&lt;=$K43+$L43+$M43,$P43,IF($J43&lt;=$K43+$L43+$M43+$N43,$P43+($Q43-$P43)*($J43-($K43+$L43+$M43))/$N43,$Q43)))))</f>
        <v/>
      </c>
      <c r="S43" s="13">
        <f>ETO_SEM</f>
        <v/>
      </c>
      <c r="T43" s="14">
        <f>IF(OR($R43="",$R43="PENDENTE"),"",$R43*$S43)</f>
        <v/>
      </c>
      <c r="U43" s="13" t="n">
        <v>0</v>
      </c>
      <c r="V43" s="14">
        <f>IF($T43="","",MAX(0,$T43-N($U43)))</f>
        <v/>
      </c>
      <c r="W43" s="14">
        <f>IF($V43="","",$V43/EF_APLIC)</f>
        <v/>
      </c>
      <c r="X43" s="15" t="n">
        <v>138</v>
      </c>
      <c r="Y43" s="16">
        <f>IF(OR($W43="",$X43=""),"",$W43*$X43*10)</f>
        <v/>
      </c>
      <c r="Z43" s="17">
        <f>IFERROR(INDEX('PARAMETROS'!$B$16:$B$19,MATCH($D43,'PARAMETROS'!$A$16:$A$19,0)),"")</f>
        <v/>
      </c>
      <c r="AA43" s="16">
        <f>IF(OR($Y43="",$Z43=""),"",$Y43*$Z43)</f>
        <v/>
      </c>
      <c r="AB43" s="18">
        <f>IF($R43="PENDENTE","Definir classe/Kc",IF($W43="","-",IF($W43&gt;0,"Irrigar","Nao irrigar")))</f>
        <v/>
      </c>
      <c r="AC43" s="18">
        <f>IF(OR($W43="",$W43=0),"-",IF($W43&gt;=META_SEM,"Alta",IF($W43&gt;=META_SEM*FRAC_ACOMP,"Media","Baixa")))</f>
        <v/>
      </c>
      <c r="AD43" s="19" t="inlineStr"/>
    </row>
    <row r="44">
      <c r="A44" s="5" t="inlineStr">
        <is>
          <t>T125</t>
        </is>
      </c>
      <c r="B44" s="5" t="inlineStr">
        <is>
          <t>RDM</t>
        </is>
      </c>
      <c r="C44" s="5" t="inlineStr"/>
      <c r="D44" s="5" t="inlineStr">
        <is>
          <t>RDM2</t>
        </is>
      </c>
      <c r="E44" s="5" t="inlineStr">
        <is>
          <t>SOJA</t>
        </is>
      </c>
      <c r="F44" s="6" t="inlineStr">
        <is>
          <t>NEO 761 I2X</t>
        </is>
      </c>
      <c r="G44" s="7" t="inlineStr">
        <is>
          <t>PRECOCE</t>
        </is>
      </c>
      <c r="H44" s="8" t="n">
        <v>46308</v>
      </c>
      <c r="I44" s="9">
        <f>IF($H44="","",DATA_REF-$H44)</f>
        <v/>
      </c>
      <c r="J44" s="9">
        <f>IF($I44="","",MAX(0,$I44-'PARAMETROS'!$B$12))</f>
        <v/>
      </c>
      <c r="K44" s="10">
        <f>IFERROR(INDEX(KC_CURVAS!$C$5:$C$15,MATCH($E44&amp;"|"&amp;$G44,KC_CURVAS!$K$5:$K$15,0)),IFERROR(INDEX(KC_CURVAS!$C$5:$C$15,MATCH($E44&amp;"|",KC_CURVAS!$K$5:$K$15,0)),""))</f>
        <v/>
      </c>
      <c r="L44" s="10">
        <f>IFERROR(INDEX(KC_CURVAS!$D$5:$D$15,MATCH($E44&amp;"|"&amp;$G44,KC_CURVAS!$K$5:$K$15,0)),IFERROR(INDEX(KC_CURVAS!$D$5:$D$15,MATCH($E44&amp;"|",KC_CURVAS!$K$5:$K$15,0)),""))</f>
        <v/>
      </c>
      <c r="M44" s="10">
        <f>IFERROR(INDEX(KC_CURVAS!$E$5:$E$15,MATCH($E44&amp;"|"&amp;$G44,KC_CURVAS!$K$5:$K$15,0)),IFERROR(INDEX(KC_CURVAS!$E$5:$E$15,MATCH($E44&amp;"|",KC_CURVAS!$K$5:$K$15,0)),""))</f>
        <v/>
      </c>
      <c r="N44" s="10">
        <f>IFERROR(INDEX(KC_CURVAS!$F$5:$F$15,MATCH($E44&amp;"|"&amp;$G44,KC_CURVAS!$K$5:$K$15,0)),IFERROR(INDEX(KC_CURVAS!$F$5:$F$15,MATCH($E44&amp;"|",KC_CURVAS!$K$5:$K$15,0)),""))</f>
        <v/>
      </c>
      <c r="O44" s="11">
        <f>IFERROR(INDEX(KC_CURVAS!$G$5:$G$15,MATCH($E44&amp;"|"&amp;$G44,KC_CURVAS!$K$5:$K$15,0)),IFERROR(INDEX(KC_CURVAS!$G$5:$G$15,MATCH($E44&amp;"|",KC_CURVAS!$K$5:$K$15,0)),""))</f>
        <v/>
      </c>
      <c r="P44" s="11">
        <f>IFERROR(INDEX(KC_CURVAS!$H$5:$H$15,MATCH($E44&amp;"|"&amp;$G44,KC_CURVAS!$K$5:$K$15,0)),IFERROR(INDEX(KC_CURVAS!$H$5:$H$15,MATCH($E44&amp;"|",KC_CURVAS!$K$5:$K$15,0)),""))</f>
        <v/>
      </c>
      <c r="Q44" s="11">
        <f>IFERROR(INDEX(KC_CURVAS!$I$5:$I$15,MATCH($E44&amp;"|"&amp;$G44,KC_CURVAS!$K$5:$K$15,0)),IFERROR(INDEX(KC_CURVAS!$I$5:$I$15,MATCH($E44&amp;"|",KC_CURVAS!$K$5:$K$15,0)),""))</f>
        <v/>
      </c>
      <c r="R44" s="12">
        <f>IF(OR($J44="",$K44=""),"PENDENTE",IF($J44&lt;=$K44,$O44,IF($J44&lt;=$K44+$L44,$O44+($P44-$O44)*($J44-$K44)/$L44,IF($J44&lt;=$K44+$L44+$M44,$P44,IF($J44&lt;=$K44+$L44+$M44+$N44,$P44+($Q44-$P44)*($J44-($K44+$L44+$M44))/$N44,$Q44)))))</f>
        <v/>
      </c>
      <c r="S44" s="13">
        <f>ETO_SEM</f>
        <v/>
      </c>
      <c r="T44" s="14">
        <f>IF(OR($R44="",$R44="PENDENTE"),"",$R44*$S44)</f>
        <v/>
      </c>
      <c r="U44" s="13" t="n">
        <v>0</v>
      </c>
      <c r="V44" s="14">
        <f>IF($T44="","",MAX(0,$T44-N($U44)))</f>
        <v/>
      </c>
      <c r="W44" s="14">
        <f>IF($V44="","",$V44/EF_APLIC)</f>
        <v/>
      </c>
      <c r="X44" s="15" t="n">
        <v>100</v>
      </c>
      <c r="Y44" s="16">
        <f>IF(OR($W44="",$X44=""),"",$W44*$X44*10)</f>
        <v/>
      </c>
      <c r="Z44" s="17">
        <f>IFERROR(INDEX('PARAMETROS'!$B$16:$B$19,MATCH($D44,'PARAMETROS'!$A$16:$A$19,0)),"")</f>
        <v/>
      </c>
      <c r="AA44" s="16">
        <f>IF(OR($Y44="",$Z44=""),"",$Y44*$Z44)</f>
        <v/>
      </c>
      <c r="AB44" s="18">
        <f>IF($R44="PENDENTE","Definir classe/Kc",IF($W44="","-",IF($W44&gt;0,"Irrigar","Nao irrigar")))</f>
        <v/>
      </c>
      <c r="AC44" s="18">
        <f>IF(OR($W44="",$W44=0),"-",IF($W44&gt;=META_SEM,"Alta",IF($W44&gt;=META_SEM*FRAC_ACOMP,"Media","Baixa")))</f>
        <v/>
      </c>
      <c r="AD44" s="19" t="inlineStr"/>
    </row>
    <row r="45">
      <c r="A45" s="5" t="inlineStr">
        <is>
          <t>T127</t>
        </is>
      </c>
      <c r="B45" s="5" t="inlineStr">
        <is>
          <t>RDM</t>
        </is>
      </c>
      <c r="C45" s="5" t="inlineStr"/>
      <c r="D45" s="5" t="inlineStr">
        <is>
          <t>RDM2</t>
        </is>
      </c>
      <c r="E45" s="5" t="inlineStr">
        <is>
          <t>SOJA</t>
        </is>
      </c>
      <c r="F45" s="6" t="inlineStr">
        <is>
          <t>NEO 761 I2X</t>
        </is>
      </c>
      <c r="G45" s="7" t="inlineStr">
        <is>
          <t>PRECOCE</t>
        </is>
      </c>
      <c r="H45" s="8" t="n">
        <v>46308</v>
      </c>
      <c r="I45" s="9">
        <f>IF($H45="","",DATA_REF-$H45)</f>
        <v/>
      </c>
      <c r="J45" s="9">
        <f>IF($I45="","",MAX(0,$I45-'PARAMETROS'!$B$12))</f>
        <v/>
      </c>
      <c r="K45" s="10">
        <f>IFERROR(INDEX(KC_CURVAS!$C$5:$C$15,MATCH($E45&amp;"|"&amp;$G45,KC_CURVAS!$K$5:$K$15,0)),IFERROR(INDEX(KC_CURVAS!$C$5:$C$15,MATCH($E45&amp;"|",KC_CURVAS!$K$5:$K$15,0)),""))</f>
        <v/>
      </c>
      <c r="L45" s="10">
        <f>IFERROR(INDEX(KC_CURVAS!$D$5:$D$15,MATCH($E45&amp;"|"&amp;$G45,KC_CURVAS!$K$5:$K$15,0)),IFERROR(INDEX(KC_CURVAS!$D$5:$D$15,MATCH($E45&amp;"|",KC_CURVAS!$K$5:$K$15,0)),""))</f>
        <v/>
      </c>
      <c r="M45" s="10">
        <f>IFERROR(INDEX(KC_CURVAS!$E$5:$E$15,MATCH($E45&amp;"|"&amp;$G45,KC_CURVAS!$K$5:$K$15,0)),IFERROR(INDEX(KC_CURVAS!$E$5:$E$15,MATCH($E45&amp;"|",KC_CURVAS!$K$5:$K$15,0)),""))</f>
        <v/>
      </c>
      <c r="N45" s="10">
        <f>IFERROR(INDEX(KC_CURVAS!$F$5:$F$15,MATCH($E45&amp;"|"&amp;$G45,KC_CURVAS!$K$5:$K$15,0)),IFERROR(INDEX(KC_CURVAS!$F$5:$F$15,MATCH($E45&amp;"|",KC_CURVAS!$K$5:$K$15,0)),""))</f>
        <v/>
      </c>
      <c r="O45" s="11">
        <f>IFERROR(INDEX(KC_CURVAS!$G$5:$G$15,MATCH($E45&amp;"|"&amp;$G45,KC_CURVAS!$K$5:$K$15,0)),IFERROR(INDEX(KC_CURVAS!$G$5:$G$15,MATCH($E45&amp;"|",KC_CURVAS!$K$5:$K$15,0)),""))</f>
        <v/>
      </c>
      <c r="P45" s="11">
        <f>IFERROR(INDEX(KC_CURVAS!$H$5:$H$15,MATCH($E45&amp;"|"&amp;$G45,KC_CURVAS!$K$5:$K$15,0)),IFERROR(INDEX(KC_CURVAS!$H$5:$H$15,MATCH($E45&amp;"|",KC_CURVAS!$K$5:$K$15,0)),""))</f>
        <v/>
      </c>
      <c r="Q45" s="11">
        <f>IFERROR(INDEX(KC_CURVAS!$I$5:$I$15,MATCH($E45&amp;"|"&amp;$G45,KC_CURVAS!$K$5:$K$15,0)),IFERROR(INDEX(KC_CURVAS!$I$5:$I$15,MATCH($E45&amp;"|",KC_CURVAS!$K$5:$K$15,0)),""))</f>
        <v/>
      </c>
      <c r="R45" s="12">
        <f>IF(OR($J45="",$K45=""),"PENDENTE",IF($J45&lt;=$K45,$O45,IF($J45&lt;=$K45+$L45,$O45+($P45-$O45)*($J45-$K45)/$L45,IF($J45&lt;=$K45+$L45+$M45,$P45,IF($J45&lt;=$K45+$L45+$M45+$N45,$P45+($Q45-$P45)*($J45-($K45+$L45+$M45))/$N45,$Q45)))))</f>
        <v/>
      </c>
      <c r="S45" s="13">
        <f>ETO_SEM</f>
        <v/>
      </c>
      <c r="T45" s="14">
        <f>IF(OR($R45="",$R45="PENDENTE"),"",$R45*$S45)</f>
        <v/>
      </c>
      <c r="U45" s="13" t="n">
        <v>0</v>
      </c>
      <c r="V45" s="14">
        <f>IF($T45="","",MAX(0,$T45-N($U45)))</f>
        <v/>
      </c>
      <c r="W45" s="14">
        <f>IF($V45="","",$V45/EF_APLIC)</f>
        <v/>
      </c>
      <c r="X45" s="15" t="n">
        <v>100</v>
      </c>
      <c r="Y45" s="16">
        <f>IF(OR($W45="",$X45=""),"",$W45*$X45*10)</f>
        <v/>
      </c>
      <c r="Z45" s="17">
        <f>IFERROR(INDEX('PARAMETROS'!$B$16:$B$19,MATCH($D45,'PARAMETROS'!$A$16:$A$19,0)),"")</f>
        <v/>
      </c>
      <c r="AA45" s="16">
        <f>IF(OR($Y45="",$Z45=""),"",$Y45*$Z45)</f>
        <v/>
      </c>
      <c r="AB45" s="18">
        <f>IF($R45="PENDENTE","Definir classe/Kc",IF($W45="","-",IF($W45&gt;0,"Irrigar","Nao irrigar")))</f>
        <v/>
      </c>
      <c r="AC45" s="18">
        <f>IF(OR($W45="",$W45=0),"-",IF($W45&gt;=META_SEM,"Alta",IF($W45&gt;=META_SEM*FRAC_ACOMP,"Media","Baixa")))</f>
        <v/>
      </c>
      <c r="AD45" s="19" t="inlineStr"/>
    </row>
    <row r="46">
      <c r="A46" s="5" t="inlineStr">
        <is>
          <t>T129</t>
        </is>
      </c>
      <c r="B46" s="5" t="inlineStr">
        <is>
          <t>RDM</t>
        </is>
      </c>
      <c r="C46" s="5" t="inlineStr"/>
      <c r="D46" s="5" t="inlineStr">
        <is>
          <t>RDM2</t>
        </is>
      </c>
      <c r="E46" s="5" t="inlineStr">
        <is>
          <t>SOJA</t>
        </is>
      </c>
      <c r="F46" s="6" t="inlineStr">
        <is>
          <t>NEO 761 I2X</t>
        </is>
      </c>
      <c r="G46" s="7" t="inlineStr">
        <is>
          <t>PRECOCE</t>
        </is>
      </c>
      <c r="H46" s="8" t="n">
        <v>46308</v>
      </c>
      <c r="I46" s="9">
        <f>IF($H46="","",DATA_REF-$H46)</f>
        <v/>
      </c>
      <c r="J46" s="9">
        <f>IF($I46="","",MAX(0,$I46-'PARAMETROS'!$B$12))</f>
        <v/>
      </c>
      <c r="K46" s="10">
        <f>IFERROR(INDEX(KC_CURVAS!$C$5:$C$15,MATCH($E46&amp;"|"&amp;$G46,KC_CURVAS!$K$5:$K$15,0)),IFERROR(INDEX(KC_CURVAS!$C$5:$C$15,MATCH($E46&amp;"|",KC_CURVAS!$K$5:$K$15,0)),""))</f>
        <v/>
      </c>
      <c r="L46" s="10">
        <f>IFERROR(INDEX(KC_CURVAS!$D$5:$D$15,MATCH($E46&amp;"|"&amp;$G46,KC_CURVAS!$K$5:$K$15,0)),IFERROR(INDEX(KC_CURVAS!$D$5:$D$15,MATCH($E46&amp;"|",KC_CURVAS!$K$5:$K$15,0)),""))</f>
        <v/>
      </c>
      <c r="M46" s="10">
        <f>IFERROR(INDEX(KC_CURVAS!$E$5:$E$15,MATCH($E46&amp;"|"&amp;$G46,KC_CURVAS!$K$5:$K$15,0)),IFERROR(INDEX(KC_CURVAS!$E$5:$E$15,MATCH($E46&amp;"|",KC_CURVAS!$K$5:$K$15,0)),""))</f>
        <v/>
      </c>
      <c r="N46" s="10">
        <f>IFERROR(INDEX(KC_CURVAS!$F$5:$F$15,MATCH($E46&amp;"|"&amp;$G46,KC_CURVAS!$K$5:$K$15,0)),IFERROR(INDEX(KC_CURVAS!$F$5:$F$15,MATCH($E46&amp;"|",KC_CURVAS!$K$5:$K$15,0)),""))</f>
        <v/>
      </c>
      <c r="O46" s="11">
        <f>IFERROR(INDEX(KC_CURVAS!$G$5:$G$15,MATCH($E46&amp;"|"&amp;$G46,KC_CURVAS!$K$5:$K$15,0)),IFERROR(INDEX(KC_CURVAS!$G$5:$G$15,MATCH($E46&amp;"|",KC_CURVAS!$K$5:$K$15,0)),""))</f>
        <v/>
      </c>
      <c r="P46" s="11">
        <f>IFERROR(INDEX(KC_CURVAS!$H$5:$H$15,MATCH($E46&amp;"|"&amp;$G46,KC_CURVAS!$K$5:$K$15,0)),IFERROR(INDEX(KC_CURVAS!$H$5:$H$15,MATCH($E46&amp;"|",KC_CURVAS!$K$5:$K$15,0)),""))</f>
        <v/>
      </c>
      <c r="Q46" s="11">
        <f>IFERROR(INDEX(KC_CURVAS!$I$5:$I$15,MATCH($E46&amp;"|"&amp;$G46,KC_CURVAS!$K$5:$K$15,0)),IFERROR(INDEX(KC_CURVAS!$I$5:$I$15,MATCH($E46&amp;"|",KC_CURVAS!$K$5:$K$15,0)),""))</f>
        <v/>
      </c>
      <c r="R46" s="12">
        <f>IF(OR($J46="",$K46=""),"PENDENTE",IF($J46&lt;=$K46,$O46,IF($J46&lt;=$K46+$L46,$O46+($P46-$O46)*($J46-$K46)/$L46,IF($J46&lt;=$K46+$L46+$M46,$P46,IF($J46&lt;=$K46+$L46+$M46+$N46,$P46+($Q46-$P46)*($J46-($K46+$L46+$M46))/$N46,$Q46)))))</f>
        <v/>
      </c>
      <c r="S46" s="13">
        <f>ETO_SEM</f>
        <v/>
      </c>
      <c r="T46" s="14">
        <f>IF(OR($R46="",$R46="PENDENTE"),"",$R46*$S46)</f>
        <v/>
      </c>
      <c r="U46" s="13" t="n">
        <v>0</v>
      </c>
      <c r="V46" s="14">
        <f>IF($T46="","",MAX(0,$T46-N($U46)))</f>
        <v/>
      </c>
      <c r="W46" s="14">
        <f>IF($V46="","",$V46/EF_APLIC)</f>
        <v/>
      </c>
      <c r="X46" s="15" t="n">
        <v>100</v>
      </c>
      <c r="Y46" s="16">
        <f>IF(OR($W46="",$X46=""),"",$W46*$X46*10)</f>
        <v/>
      </c>
      <c r="Z46" s="17">
        <f>IFERROR(INDEX('PARAMETROS'!$B$16:$B$19,MATCH($D46,'PARAMETROS'!$A$16:$A$19,0)),"")</f>
        <v/>
      </c>
      <c r="AA46" s="16">
        <f>IF(OR($Y46="",$Z46=""),"",$Y46*$Z46)</f>
        <v/>
      </c>
      <c r="AB46" s="18">
        <f>IF($R46="PENDENTE","Definir classe/Kc",IF($W46="","-",IF($W46&gt;0,"Irrigar","Nao irrigar")))</f>
        <v/>
      </c>
      <c r="AC46" s="18">
        <f>IF(OR($W46="",$W46=0),"-",IF($W46&gt;=META_SEM,"Alta",IF($W46&gt;=META_SEM*FRAC_ACOMP,"Media","Baixa")))</f>
        <v/>
      </c>
      <c r="AD46" s="19" t="inlineStr"/>
    </row>
    <row r="47">
      <c r="A47" s="5" t="inlineStr">
        <is>
          <t>T133</t>
        </is>
      </c>
      <c r="B47" s="5" t="inlineStr">
        <is>
          <t>RDM</t>
        </is>
      </c>
      <c r="C47" s="5" t="inlineStr"/>
      <c r="D47" s="5" t="inlineStr">
        <is>
          <t>RDM2</t>
        </is>
      </c>
      <c r="E47" s="5" t="inlineStr">
        <is>
          <t>SOJA</t>
        </is>
      </c>
      <c r="F47" s="6" t="inlineStr">
        <is>
          <t>NEO 761 I2X</t>
        </is>
      </c>
      <c r="G47" s="7" t="inlineStr">
        <is>
          <t>PRECOCE</t>
        </is>
      </c>
      <c r="H47" s="8" t="n">
        <v>46308</v>
      </c>
      <c r="I47" s="9">
        <f>IF($H47="","",DATA_REF-$H47)</f>
        <v/>
      </c>
      <c r="J47" s="9">
        <f>IF($I47="","",MAX(0,$I47-'PARAMETROS'!$B$12))</f>
        <v/>
      </c>
      <c r="K47" s="10">
        <f>IFERROR(INDEX(KC_CURVAS!$C$5:$C$15,MATCH($E47&amp;"|"&amp;$G47,KC_CURVAS!$K$5:$K$15,0)),IFERROR(INDEX(KC_CURVAS!$C$5:$C$15,MATCH($E47&amp;"|",KC_CURVAS!$K$5:$K$15,0)),""))</f>
        <v/>
      </c>
      <c r="L47" s="10">
        <f>IFERROR(INDEX(KC_CURVAS!$D$5:$D$15,MATCH($E47&amp;"|"&amp;$G47,KC_CURVAS!$K$5:$K$15,0)),IFERROR(INDEX(KC_CURVAS!$D$5:$D$15,MATCH($E47&amp;"|",KC_CURVAS!$K$5:$K$15,0)),""))</f>
        <v/>
      </c>
      <c r="M47" s="10">
        <f>IFERROR(INDEX(KC_CURVAS!$E$5:$E$15,MATCH($E47&amp;"|"&amp;$G47,KC_CURVAS!$K$5:$K$15,0)),IFERROR(INDEX(KC_CURVAS!$E$5:$E$15,MATCH($E47&amp;"|",KC_CURVAS!$K$5:$K$15,0)),""))</f>
        <v/>
      </c>
      <c r="N47" s="10">
        <f>IFERROR(INDEX(KC_CURVAS!$F$5:$F$15,MATCH($E47&amp;"|"&amp;$G47,KC_CURVAS!$K$5:$K$15,0)),IFERROR(INDEX(KC_CURVAS!$F$5:$F$15,MATCH($E47&amp;"|",KC_CURVAS!$K$5:$K$15,0)),""))</f>
        <v/>
      </c>
      <c r="O47" s="11">
        <f>IFERROR(INDEX(KC_CURVAS!$G$5:$G$15,MATCH($E47&amp;"|"&amp;$G47,KC_CURVAS!$K$5:$K$15,0)),IFERROR(INDEX(KC_CURVAS!$G$5:$G$15,MATCH($E47&amp;"|",KC_CURVAS!$K$5:$K$15,0)),""))</f>
        <v/>
      </c>
      <c r="P47" s="11">
        <f>IFERROR(INDEX(KC_CURVAS!$H$5:$H$15,MATCH($E47&amp;"|"&amp;$G47,KC_CURVAS!$K$5:$K$15,0)),IFERROR(INDEX(KC_CURVAS!$H$5:$H$15,MATCH($E47&amp;"|",KC_CURVAS!$K$5:$K$15,0)),""))</f>
        <v/>
      </c>
      <c r="Q47" s="11">
        <f>IFERROR(INDEX(KC_CURVAS!$I$5:$I$15,MATCH($E47&amp;"|"&amp;$G47,KC_CURVAS!$K$5:$K$15,0)),IFERROR(INDEX(KC_CURVAS!$I$5:$I$15,MATCH($E47&amp;"|",KC_CURVAS!$K$5:$K$15,0)),""))</f>
        <v/>
      </c>
      <c r="R47" s="12">
        <f>IF(OR($J47="",$K47=""),"PENDENTE",IF($J47&lt;=$K47,$O47,IF($J47&lt;=$K47+$L47,$O47+($P47-$O47)*($J47-$K47)/$L47,IF($J47&lt;=$K47+$L47+$M47,$P47,IF($J47&lt;=$K47+$L47+$M47+$N47,$P47+($Q47-$P47)*($J47-($K47+$L47+$M47))/$N47,$Q47)))))</f>
        <v/>
      </c>
      <c r="S47" s="13">
        <f>ETO_SEM</f>
        <v/>
      </c>
      <c r="T47" s="14">
        <f>IF(OR($R47="",$R47="PENDENTE"),"",$R47*$S47)</f>
        <v/>
      </c>
      <c r="U47" s="13" t="n">
        <v>0</v>
      </c>
      <c r="V47" s="14">
        <f>IF($T47="","",MAX(0,$T47-N($U47)))</f>
        <v/>
      </c>
      <c r="W47" s="14">
        <f>IF($V47="","",$V47/EF_APLIC)</f>
        <v/>
      </c>
      <c r="X47" s="15" t="n">
        <v>100</v>
      </c>
      <c r="Y47" s="16">
        <f>IF(OR($W47="",$X47=""),"",$W47*$X47*10)</f>
        <v/>
      </c>
      <c r="Z47" s="17">
        <f>IFERROR(INDEX('PARAMETROS'!$B$16:$B$19,MATCH($D47,'PARAMETROS'!$A$16:$A$19,0)),"")</f>
        <v/>
      </c>
      <c r="AA47" s="16">
        <f>IF(OR($Y47="",$Z47=""),"",$Y47*$Z47)</f>
        <v/>
      </c>
      <c r="AB47" s="18">
        <f>IF($R47="PENDENTE","Definir classe/Kc",IF($W47="","-",IF($W47&gt;0,"Irrigar","Nao irrigar")))</f>
        <v/>
      </c>
      <c r="AC47" s="18">
        <f>IF(OR($W47="",$W47=0),"-",IF($W47&gt;=META_SEM,"Alta",IF($W47&gt;=META_SEM*FRAC_ACOMP,"Media","Baixa")))</f>
        <v/>
      </c>
      <c r="AD47" s="19" t="inlineStr"/>
    </row>
    <row r="48">
      <c r="A48" s="5" t="inlineStr">
        <is>
          <t>T121</t>
        </is>
      </c>
      <c r="B48" s="5" t="inlineStr">
        <is>
          <t>RDM</t>
        </is>
      </c>
      <c r="C48" s="5" t="inlineStr"/>
      <c r="D48" s="5" t="inlineStr">
        <is>
          <t>RDM2</t>
        </is>
      </c>
      <c r="E48" s="5" t="inlineStr">
        <is>
          <t>SOJA</t>
        </is>
      </c>
      <c r="F48" s="6" t="inlineStr">
        <is>
          <t>BMX Olimpo IPRO</t>
        </is>
      </c>
      <c r="G48" s="7" t="inlineStr">
        <is>
          <t>MÉDIA</t>
        </is>
      </c>
      <c r="H48" s="8" t="n">
        <v>46309</v>
      </c>
      <c r="I48" s="9">
        <f>IF($H48="","",DATA_REF-$H48)</f>
        <v/>
      </c>
      <c r="J48" s="9">
        <f>IF($I48="","",MAX(0,$I48-'PARAMETROS'!$B$12))</f>
        <v/>
      </c>
      <c r="K48" s="10">
        <f>IFERROR(INDEX(KC_CURVAS!$C$5:$C$15,MATCH($E48&amp;"|"&amp;$G48,KC_CURVAS!$K$5:$K$15,0)),IFERROR(INDEX(KC_CURVAS!$C$5:$C$15,MATCH($E48&amp;"|",KC_CURVAS!$K$5:$K$15,0)),""))</f>
        <v/>
      </c>
      <c r="L48" s="10">
        <f>IFERROR(INDEX(KC_CURVAS!$D$5:$D$15,MATCH($E48&amp;"|"&amp;$G48,KC_CURVAS!$K$5:$K$15,0)),IFERROR(INDEX(KC_CURVAS!$D$5:$D$15,MATCH($E48&amp;"|",KC_CURVAS!$K$5:$K$15,0)),""))</f>
        <v/>
      </c>
      <c r="M48" s="10">
        <f>IFERROR(INDEX(KC_CURVAS!$E$5:$E$15,MATCH($E48&amp;"|"&amp;$G48,KC_CURVAS!$K$5:$K$15,0)),IFERROR(INDEX(KC_CURVAS!$E$5:$E$15,MATCH($E48&amp;"|",KC_CURVAS!$K$5:$K$15,0)),""))</f>
        <v/>
      </c>
      <c r="N48" s="10">
        <f>IFERROR(INDEX(KC_CURVAS!$F$5:$F$15,MATCH($E48&amp;"|"&amp;$G48,KC_CURVAS!$K$5:$K$15,0)),IFERROR(INDEX(KC_CURVAS!$F$5:$F$15,MATCH($E48&amp;"|",KC_CURVAS!$K$5:$K$15,0)),""))</f>
        <v/>
      </c>
      <c r="O48" s="11">
        <f>IFERROR(INDEX(KC_CURVAS!$G$5:$G$15,MATCH($E48&amp;"|"&amp;$G48,KC_CURVAS!$K$5:$K$15,0)),IFERROR(INDEX(KC_CURVAS!$G$5:$G$15,MATCH($E48&amp;"|",KC_CURVAS!$K$5:$K$15,0)),""))</f>
        <v/>
      </c>
      <c r="P48" s="11">
        <f>IFERROR(INDEX(KC_CURVAS!$H$5:$H$15,MATCH($E48&amp;"|"&amp;$G48,KC_CURVAS!$K$5:$K$15,0)),IFERROR(INDEX(KC_CURVAS!$H$5:$H$15,MATCH($E48&amp;"|",KC_CURVAS!$K$5:$K$15,0)),""))</f>
        <v/>
      </c>
      <c r="Q48" s="11">
        <f>IFERROR(INDEX(KC_CURVAS!$I$5:$I$15,MATCH($E48&amp;"|"&amp;$G48,KC_CURVAS!$K$5:$K$15,0)),IFERROR(INDEX(KC_CURVAS!$I$5:$I$15,MATCH($E48&amp;"|",KC_CURVAS!$K$5:$K$15,0)),""))</f>
        <v/>
      </c>
      <c r="R48" s="12">
        <f>IF(OR($J48="",$K48=""),"PENDENTE",IF($J48&lt;=$K48,$O48,IF($J48&lt;=$K48+$L48,$O48+($P48-$O48)*($J48-$K48)/$L48,IF($J48&lt;=$K48+$L48+$M48,$P48,IF($J48&lt;=$K48+$L48+$M48+$N48,$P48+($Q48-$P48)*($J48-($K48+$L48+$M48))/$N48,$Q48)))))</f>
        <v/>
      </c>
      <c r="S48" s="13">
        <f>ETO_SEM</f>
        <v/>
      </c>
      <c r="T48" s="14">
        <f>IF(OR($R48="",$R48="PENDENTE"),"",$R48*$S48)</f>
        <v/>
      </c>
      <c r="U48" s="13" t="n">
        <v>0</v>
      </c>
      <c r="V48" s="14">
        <f>IF($T48="","",MAX(0,$T48-N($U48)))</f>
        <v/>
      </c>
      <c r="W48" s="14">
        <f>IF($V48="","",$V48/EF_APLIC)</f>
        <v/>
      </c>
      <c r="X48" s="15" t="n">
        <v>145</v>
      </c>
      <c r="Y48" s="16">
        <f>IF(OR($W48="",$X48=""),"",$W48*$X48*10)</f>
        <v/>
      </c>
      <c r="Z48" s="17">
        <f>IFERROR(INDEX('PARAMETROS'!$B$16:$B$19,MATCH($D48,'PARAMETROS'!$A$16:$A$19,0)),"")</f>
        <v/>
      </c>
      <c r="AA48" s="16">
        <f>IF(OR($Y48="",$Z48=""),"",$Y48*$Z48)</f>
        <v/>
      </c>
      <c r="AB48" s="18">
        <f>IF($R48="PENDENTE","Definir classe/Kc",IF($W48="","-",IF($W48&gt;0,"Irrigar","Nao irrigar")))</f>
        <v/>
      </c>
      <c r="AC48" s="18">
        <f>IF(OR($W48="",$W48=0),"-",IF($W48&gt;=META_SEM,"Alta",IF($W48&gt;=META_SEM*FRAC_ACOMP,"Media","Baixa")))</f>
        <v/>
      </c>
      <c r="AD48" s="19" t="inlineStr"/>
    </row>
    <row r="49">
      <c r="A49" s="5" t="inlineStr">
        <is>
          <t>T122</t>
        </is>
      </c>
      <c r="B49" s="5" t="inlineStr">
        <is>
          <t>RDM</t>
        </is>
      </c>
      <c r="C49" s="5" t="inlineStr"/>
      <c r="D49" s="5" t="inlineStr">
        <is>
          <t>RDM2</t>
        </is>
      </c>
      <c r="E49" s="5" t="inlineStr">
        <is>
          <t>SOJA</t>
        </is>
      </c>
      <c r="F49" s="6" t="inlineStr">
        <is>
          <t>NEO 761 I2X</t>
        </is>
      </c>
      <c r="G49" s="7" t="inlineStr">
        <is>
          <t>PRECOCE</t>
        </is>
      </c>
      <c r="H49" s="8" t="n">
        <v>46309</v>
      </c>
      <c r="I49" s="9">
        <f>IF($H49="","",DATA_REF-$H49)</f>
        <v/>
      </c>
      <c r="J49" s="9">
        <f>IF($I49="","",MAX(0,$I49-'PARAMETROS'!$B$12))</f>
        <v/>
      </c>
      <c r="K49" s="10">
        <f>IFERROR(INDEX(KC_CURVAS!$C$5:$C$15,MATCH($E49&amp;"|"&amp;$G49,KC_CURVAS!$K$5:$K$15,0)),IFERROR(INDEX(KC_CURVAS!$C$5:$C$15,MATCH($E49&amp;"|",KC_CURVAS!$K$5:$K$15,0)),""))</f>
        <v/>
      </c>
      <c r="L49" s="10">
        <f>IFERROR(INDEX(KC_CURVAS!$D$5:$D$15,MATCH($E49&amp;"|"&amp;$G49,KC_CURVAS!$K$5:$K$15,0)),IFERROR(INDEX(KC_CURVAS!$D$5:$D$15,MATCH($E49&amp;"|",KC_CURVAS!$K$5:$K$15,0)),""))</f>
        <v/>
      </c>
      <c r="M49" s="10">
        <f>IFERROR(INDEX(KC_CURVAS!$E$5:$E$15,MATCH($E49&amp;"|"&amp;$G49,KC_CURVAS!$K$5:$K$15,0)),IFERROR(INDEX(KC_CURVAS!$E$5:$E$15,MATCH($E49&amp;"|",KC_CURVAS!$K$5:$K$15,0)),""))</f>
        <v/>
      </c>
      <c r="N49" s="10">
        <f>IFERROR(INDEX(KC_CURVAS!$F$5:$F$15,MATCH($E49&amp;"|"&amp;$G49,KC_CURVAS!$K$5:$K$15,0)),IFERROR(INDEX(KC_CURVAS!$F$5:$F$15,MATCH($E49&amp;"|",KC_CURVAS!$K$5:$K$15,0)),""))</f>
        <v/>
      </c>
      <c r="O49" s="11">
        <f>IFERROR(INDEX(KC_CURVAS!$G$5:$G$15,MATCH($E49&amp;"|"&amp;$G49,KC_CURVAS!$K$5:$K$15,0)),IFERROR(INDEX(KC_CURVAS!$G$5:$G$15,MATCH($E49&amp;"|",KC_CURVAS!$K$5:$K$15,0)),""))</f>
        <v/>
      </c>
      <c r="P49" s="11">
        <f>IFERROR(INDEX(KC_CURVAS!$H$5:$H$15,MATCH($E49&amp;"|"&amp;$G49,KC_CURVAS!$K$5:$K$15,0)),IFERROR(INDEX(KC_CURVAS!$H$5:$H$15,MATCH($E49&amp;"|",KC_CURVAS!$K$5:$K$15,0)),""))</f>
        <v/>
      </c>
      <c r="Q49" s="11">
        <f>IFERROR(INDEX(KC_CURVAS!$I$5:$I$15,MATCH($E49&amp;"|"&amp;$G49,KC_CURVAS!$K$5:$K$15,0)),IFERROR(INDEX(KC_CURVAS!$I$5:$I$15,MATCH($E49&amp;"|",KC_CURVAS!$K$5:$K$15,0)),""))</f>
        <v/>
      </c>
      <c r="R49" s="12">
        <f>IF(OR($J49="",$K49=""),"PENDENTE",IF($J49&lt;=$K49,$O49,IF($J49&lt;=$K49+$L49,$O49+($P49-$O49)*($J49-$K49)/$L49,IF($J49&lt;=$K49+$L49+$M49,$P49,IF($J49&lt;=$K49+$L49+$M49+$N49,$P49+($Q49-$P49)*($J49-($K49+$L49+$M49))/$N49,$Q49)))))</f>
        <v/>
      </c>
      <c r="S49" s="13">
        <f>ETO_SEM</f>
        <v/>
      </c>
      <c r="T49" s="14">
        <f>IF(OR($R49="",$R49="PENDENTE"),"",$R49*$S49)</f>
        <v/>
      </c>
      <c r="U49" s="13" t="n">
        <v>0</v>
      </c>
      <c r="V49" s="14">
        <f>IF($T49="","",MAX(0,$T49-N($U49)))</f>
        <v/>
      </c>
      <c r="W49" s="14">
        <f>IF($V49="","",$V49/EF_APLIC)</f>
        <v/>
      </c>
      <c r="X49" s="15" t="n">
        <v>150</v>
      </c>
      <c r="Y49" s="16">
        <f>IF(OR($W49="",$X49=""),"",$W49*$X49*10)</f>
        <v/>
      </c>
      <c r="Z49" s="17">
        <f>IFERROR(INDEX('PARAMETROS'!$B$16:$B$19,MATCH($D49,'PARAMETROS'!$A$16:$A$19,0)),"")</f>
        <v/>
      </c>
      <c r="AA49" s="16">
        <f>IF(OR($Y49="",$Z49=""),"",$Y49*$Z49)</f>
        <v/>
      </c>
      <c r="AB49" s="18">
        <f>IF($R49="PENDENTE","Definir classe/Kc",IF($W49="","-",IF($W49&gt;0,"Irrigar","Nao irrigar")))</f>
        <v/>
      </c>
      <c r="AC49" s="18">
        <f>IF(OR($W49="",$W49=0),"-",IF($W49&gt;=META_SEM,"Alta",IF($W49&gt;=META_SEM*FRAC_ACOMP,"Media","Baixa")))</f>
        <v/>
      </c>
      <c r="AD49" s="19" t="inlineStr"/>
    </row>
    <row r="50">
      <c r="A50" s="5" t="inlineStr">
        <is>
          <t>T123</t>
        </is>
      </c>
      <c r="B50" s="5" t="inlineStr">
        <is>
          <t>RDM</t>
        </is>
      </c>
      <c r="C50" s="5" t="inlineStr"/>
      <c r="D50" s="5" t="inlineStr">
        <is>
          <t>RDM2</t>
        </is>
      </c>
      <c r="E50" s="5" t="inlineStr">
        <is>
          <t>SOJA</t>
        </is>
      </c>
      <c r="F50" s="6" t="inlineStr">
        <is>
          <t>NEO 761 I2X</t>
        </is>
      </c>
      <c r="G50" s="7" t="inlineStr">
        <is>
          <t>PRECOCE</t>
        </is>
      </c>
      <c r="H50" s="8" t="n">
        <v>46310</v>
      </c>
      <c r="I50" s="9">
        <f>IF($H50="","",DATA_REF-$H50)</f>
        <v/>
      </c>
      <c r="J50" s="9">
        <f>IF($I50="","",MAX(0,$I50-'PARAMETROS'!$B$12))</f>
        <v/>
      </c>
      <c r="K50" s="10">
        <f>IFERROR(INDEX(KC_CURVAS!$C$5:$C$15,MATCH($E50&amp;"|"&amp;$G50,KC_CURVAS!$K$5:$K$15,0)),IFERROR(INDEX(KC_CURVAS!$C$5:$C$15,MATCH($E50&amp;"|",KC_CURVAS!$K$5:$K$15,0)),""))</f>
        <v/>
      </c>
      <c r="L50" s="10">
        <f>IFERROR(INDEX(KC_CURVAS!$D$5:$D$15,MATCH($E50&amp;"|"&amp;$G50,KC_CURVAS!$K$5:$K$15,0)),IFERROR(INDEX(KC_CURVAS!$D$5:$D$15,MATCH($E50&amp;"|",KC_CURVAS!$K$5:$K$15,0)),""))</f>
        <v/>
      </c>
      <c r="M50" s="10">
        <f>IFERROR(INDEX(KC_CURVAS!$E$5:$E$15,MATCH($E50&amp;"|"&amp;$G50,KC_CURVAS!$K$5:$K$15,0)),IFERROR(INDEX(KC_CURVAS!$E$5:$E$15,MATCH($E50&amp;"|",KC_CURVAS!$K$5:$K$15,0)),""))</f>
        <v/>
      </c>
      <c r="N50" s="10">
        <f>IFERROR(INDEX(KC_CURVAS!$F$5:$F$15,MATCH($E50&amp;"|"&amp;$G50,KC_CURVAS!$K$5:$K$15,0)),IFERROR(INDEX(KC_CURVAS!$F$5:$F$15,MATCH($E50&amp;"|",KC_CURVAS!$K$5:$K$15,0)),""))</f>
        <v/>
      </c>
      <c r="O50" s="11">
        <f>IFERROR(INDEX(KC_CURVAS!$G$5:$G$15,MATCH($E50&amp;"|"&amp;$G50,KC_CURVAS!$K$5:$K$15,0)),IFERROR(INDEX(KC_CURVAS!$G$5:$G$15,MATCH($E50&amp;"|",KC_CURVAS!$K$5:$K$15,0)),""))</f>
        <v/>
      </c>
      <c r="P50" s="11">
        <f>IFERROR(INDEX(KC_CURVAS!$H$5:$H$15,MATCH($E50&amp;"|"&amp;$G50,KC_CURVAS!$K$5:$K$15,0)),IFERROR(INDEX(KC_CURVAS!$H$5:$H$15,MATCH($E50&amp;"|",KC_CURVAS!$K$5:$K$15,0)),""))</f>
        <v/>
      </c>
      <c r="Q50" s="11">
        <f>IFERROR(INDEX(KC_CURVAS!$I$5:$I$15,MATCH($E50&amp;"|"&amp;$G50,KC_CURVAS!$K$5:$K$15,0)),IFERROR(INDEX(KC_CURVAS!$I$5:$I$15,MATCH($E50&amp;"|",KC_CURVAS!$K$5:$K$15,0)),""))</f>
        <v/>
      </c>
      <c r="R50" s="12">
        <f>IF(OR($J50="",$K50=""),"PENDENTE",IF($J50&lt;=$K50,$O50,IF($J50&lt;=$K50+$L50,$O50+($P50-$O50)*($J50-$K50)/$L50,IF($J50&lt;=$K50+$L50+$M50,$P50,IF($J50&lt;=$K50+$L50+$M50+$N50,$P50+($Q50-$P50)*($J50-($K50+$L50+$M50))/$N50,$Q50)))))</f>
        <v/>
      </c>
      <c r="S50" s="13">
        <f>ETO_SEM</f>
        <v/>
      </c>
      <c r="T50" s="14">
        <f>IF(OR($R50="",$R50="PENDENTE"),"",$R50*$S50)</f>
        <v/>
      </c>
      <c r="U50" s="13" t="n">
        <v>0</v>
      </c>
      <c r="V50" s="14">
        <f>IF($T50="","",MAX(0,$T50-N($U50)))</f>
        <v/>
      </c>
      <c r="W50" s="14">
        <f>IF($V50="","",$V50/EF_APLIC)</f>
        <v/>
      </c>
      <c r="X50" s="15" t="n">
        <v>148</v>
      </c>
      <c r="Y50" s="16">
        <f>IF(OR($W50="",$X50=""),"",$W50*$X50*10)</f>
        <v/>
      </c>
      <c r="Z50" s="17">
        <f>IFERROR(INDEX('PARAMETROS'!$B$16:$B$19,MATCH($D50,'PARAMETROS'!$A$16:$A$19,0)),"")</f>
        <v/>
      </c>
      <c r="AA50" s="16">
        <f>IF(OR($Y50="",$Z50=""),"",$Y50*$Z50)</f>
        <v/>
      </c>
      <c r="AB50" s="18">
        <f>IF($R50="PENDENTE","Definir classe/Kc",IF($W50="","-",IF($W50&gt;0,"Irrigar","Nao irrigar")))</f>
        <v/>
      </c>
      <c r="AC50" s="18">
        <f>IF(OR($W50="",$W50=0),"-",IF($W50&gt;=META_SEM,"Alta",IF($W50&gt;=META_SEM*FRAC_ACOMP,"Media","Baixa")))</f>
        <v/>
      </c>
      <c r="AD50" s="19" t="inlineStr"/>
    </row>
    <row r="51">
      <c r="A51" s="5" t="inlineStr">
        <is>
          <t>T124</t>
        </is>
      </c>
      <c r="B51" s="5" t="inlineStr">
        <is>
          <t>RDM</t>
        </is>
      </c>
      <c r="C51" s="5" t="inlineStr"/>
      <c r="D51" s="5" t="inlineStr">
        <is>
          <t>RDM2</t>
        </is>
      </c>
      <c r="E51" s="5" t="inlineStr">
        <is>
          <t>SOJA</t>
        </is>
      </c>
      <c r="F51" s="6" t="inlineStr">
        <is>
          <t>BMX Olimpo IPRO</t>
        </is>
      </c>
      <c r="G51" s="7" t="inlineStr">
        <is>
          <t>MÉDIA</t>
        </is>
      </c>
      <c r="H51" s="8" t="n">
        <v>46310</v>
      </c>
      <c r="I51" s="9">
        <f>IF($H51="","",DATA_REF-$H51)</f>
        <v/>
      </c>
      <c r="J51" s="9">
        <f>IF($I51="","",MAX(0,$I51-'PARAMETROS'!$B$12))</f>
        <v/>
      </c>
      <c r="K51" s="10">
        <f>IFERROR(INDEX(KC_CURVAS!$C$5:$C$15,MATCH($E51&amp;"|"&amp;$G51,KC_CURVAS!$K$5:$K$15,0)),IFERROR(INDEX(KC_CURVAS!$C$5:$C$15,MATCH($E51&amp;"|",KC_CURVAS!$K$5:$K$15,0)),""))</f>
        <v/>
      </c>
      <c r="L51" s="10">
        <f>IFERROR(INDEX(KC_CURVAS!$D$5:$D$15,MATCH($E51&amp;"|"&amp;$G51,KC_CURVAS!$K$5:$K$15,0)),IFERROR(INDEX(KC_CURVAS!$D$5:$D$15,MATCH($E51&amp;"|",KC_CURVAS!$K$5:$K$15,0)),""))</f>
        <v/>
      </c>
      <c r="M51" s="10">
        <f>IFERROR(INDEX(KC_CURVAS!$E$5:$E$15,MATCH($E51&amp;"|"&amp;$G51,KC_CURVAS!$K$5:$K$15,0)),IFERROR(INDEX(KC_CURVAS!$E$5:$E$15,MATCH($E51&amp;"|",KC_CURVAS!$K$5:$K$15,0)),""))</f>
        <v/>
      </c>
      <c r="N51" s="10">
        <f>IFERROR(INDEX(KC_CURVAS!$F$5:$F$15,MATCH($E51&amp;"|"&amp;$G51,KC_CURVAS!$K$5:$K$15,0)),IFERROR(INDEX(KC_CURVAS!$F$5:$F$15,MATCH($E51&amp;"|",KC_CURVAS!$K$5:$K$15,0)),""))</f>
        <v/>
      </c>
      <c r="O51" s="11">
        <f>IFERROR(INDEX(KC_CURVAS!$G$5:$G$15,MATCH($E51&amp;"|"&amp;$G51,KC_CURVAS!$K$5:$K$15,0)),IFERROR(INDEX(KC_CURVAS!$G$5:$G$15,MATCH($E51&amp;"|",KC_CURVAS!$K$5:$K$15,0)),""))</f>
        <v/>
      </c>
      <c r="P51" s="11">
        <f>IFERROR(INDEX(KC_CURVAS!$H$5:$H$15,MATCH($E51&amp;"|"&amp;$G51,KC_CURVAS!$K$5:$K$15,0)),IFERROR(INDEX(KC_CURVAS!$H$5:$H$15,MATCH($E51&amp;"|",KC_CURVAS!$K$5:$K$15,0)),""))</f>
        <v/>
      </c>
      <c r="Q51" s="11">
        <f>IFERROR(INDEX(KC_CURVAS!$I$5:$I$15,MATCH($E51&amp;"|"&amp;$G51,KC_CURVAS!$K$5:$K$15,0)),IFERROR(INDEX(KC_CURVAS!$I$5:$I$15,MATCH($E51&amp;"|",KC_CURVAS!$K$5:$K$15,0)),""))</f>
        <v/>
      </c>
      <c r="R51" s="12">
        <f>IF(OR($J51="",$K51=""),"PENDENTE",IF($J51&lt;=$K51,$O51,IF($J51&lt;=$K51+$L51,$O51+($P51-$O51)*($J51-$K51)/$L51,IF($J51&lt;=$K51+$L51+$M51,$P51,IF($J51&lt;=$K51+$L51+$M51+$N51,$P51+($Q51-$P51)*($J51-($K51+$L51+$M51))/$N51,$Q51)))))</f>
        <v/>
      </c>
      <c r="S51" s="13">
        <f>ETO_SEM</f>
        <v/>
      </c>
      <c r="T51" s="14">
        <f>IF(OR($R51="",$R51="PENDENTE"),"",$R51*$S51)</f>
        <v/>
      </c>
      <c r="U51" s="13" t="n">
        <v>0</v>
      </c>
      <c r="V51" s="14">
        <f>IF($T51="","",MAX(0,$T51-N($U51)))</f>
        <v/>
      </c>
      <c r="W51" s="14">
        <f>IF($V51="","",$V51/EF_APLIC)</f>
        <v/>
      </c>
      <c r="X51" s="15" t="n">
        <v>150</v>
      </c>
      <c r="Y51" s="16">
        <f>IF(OR($W51="",$X51=""),"",$W51*$X51*10)</f>
        <v/>
      </c>
      <c r="Z51" s="17">
        <f>IFERROR(INDEX('PARAMETROS'!$B$16:$B$19,MATCH($D51,'PARAMETROS'!$A$16:$A$19,0)),"")</f>
        <v/>
      </c>
      <c r="AA51" s="16">
        <f>IF(OR($Y51="",$Z51=""),"",$Y51*$Z51)</f>
        <v/>
      </c>
      <c r="AB51" s="18">
        <f>IF($R51="PENDENTE","Definir classe/Kc",IF($W51="","-",IF($W51&gt;0,"Irrigar","Nao irrigar")))</f>
        <v/>
      </c>
      <c r="AC51" s="18">
        <f>IF(OR($W51="",$W51=0),"-",IF($W51&gt;=META_SEM,"Alta",IF($W51&gt;=META_SEM*FRAC_ACOMP,"Media","Baixa")))</f>
        <v/>
      </c>
      <c r="AD51" s="19" t="inlineStr"/>
    </row>
    <row r="52">
      <c r="A52" s="5" t="inlineStr">
        <is>
          <t>T16</t>
        </is>
      </c>
      <c r="B52" s="5" t="inlineStr">
        <is>
          <t>KARITEL</t>
        </is>
      </c>
      <c r="C52" s="5" t="inlineStr"/>
      <c r="D52" s="5" t="inlineStr">
        <is>
          <t>KM1</t>
        </is>
      </c>
      <c r="E52" s="5" t="inlineStr">
        <is>
          <t>SOJA</t>
        </is>
      </c>
      <c r="F52" s="6" t="inlineStr">
        <is>
          <t>ATAQUE I2X</t>
        </is>
      </c>
      <c r="G52" s="7" t="inlineStr">
        <is>
          <t>TARDIA</t>
        </is>
      </c>
      <c r="H52" s="8" t="n">
        <v>46311</v>
      </c>
      <c r="I52" s="9">
        <f>IF($H52="","",DATA_REF-$H52)</f>
        <v/>
      </c>
      <c r="J52" s="9">
        <f>IF($I52="","",MAX(0,$I52-'PARAMETROS'!$B$12))</f>
        <v/>
      </c>
      <c r="K52" s="10">
        <f>IFERROR(INDEX(KC_CURVAS!$C$5:$C$15,MATCH($E52&amp;"|"&amp;$G52,KC_CURVAS!$K$5:$K$15,0)),IFERROR(INDEX(KC_CURVAS!$C$5:$C$15,MATCH($E52&amp;"|",KC_CURVAS!$K$5:$K$15,0)),""))</f>
        <v/>
      </c>
      <c r="L52" s="10">
        <f>IFERROR(INDEX(KC_CURVAS!$D$5:$D$15,MATCH($E52&amp;"|"&amp;$G52,KC_CURVAS!$K$5:$K$15,0)),IFERROR(INDEX(KC_CURVAS!$D$5:$D$15,MATCH($E52&amp;"|",KC_CURVAS!$K$5:$K$15,0)),""))</f>
        <v/>
      </c>
      <c r="M52" s="10">
        <f>IFERROR(INDEX(KC_CURVAS!$E$5:$E$15,MATCH($E52&amp;"|"&amp;$G52,KC_CURVAS!$K$5:$K$15,0)),IFERROR(INDEX(KC_CURVAS!$E$5:$E$15,MATCH($E52&amp;"|",KC_CURVAS!$K$5:$K$15,0)),""))</f>
        <v/>
      </c>
      <c r="N52" s="10">
        <f>IFERROR(INDEX(KC_CURVAS!$F$5:$F$15,MATCH($E52&amp;"|"&amp;$G52,KC_CURVAS!$K$5:$K$15,0)),IFERROR(INDEX(KC_CURVAS!$F$5:$F$15,MATCH($E52&amp;"|",KC_CURVAS!$K$5:$K$15,0)),""))</f>
        <v/>
      </c>
      <c r="O52" s="11">
        <f>IFERROR(INDEX(KC_CURVAS!$G$5:$G$15,MATCH($E52&amp;"|"&amp;$G52,KC_CURVAS!$K$5:$K$15,0)),IFERROR(INDEX(KC_CURVAS!$G$5:$G$15,MATCH($E52&amp;"|",KC_CURVAS!$K$5:$K$15,0)),""))</f>
        <v/>
      </c>
      <c r="P52" s="11">
        <f>IFERROR(INDEX(KC_CURVAS!$H$5:$H$15,MATCH($E52&amp;"|"&amp;$G52,KC_CURVAS!$K$5:$K$15,0)),IFERROR(INDEX(KC_CURVAS!$H$5:$H$15,MATCH($E52&amp;"|",KC_CURVAS!$K$5:$K$15,0)),""))</f>
        <v/>
      </c>
      <c r="Q52" s="11">
        <f>IFERROR(INDEX(KC_CURVAS!$I$5:$I$15,MATCH($E52&amp;"|"&amp;$G52,KC_CURVAS!$K$5:$K$15,0)),IFERROR(INDEX(KC_CURVAS!$I$5:$I$15,MATCH($E52&amp;"|",KC_CURVAS!$K$5:$K$15,0)),""))</f>
        <v/>
      </c>
      <c r="R52" s="12">
        <f>IF(OR($J52="",$K52=""),"PENDENTE",IF($J52&lt;=$K52,$O52,IF($J52&lt;=$K52+$L52,$O52+($P52-$O52)*($J52-$K52)/$L52,IF($J52&lt;=$K52+$L52+$M52,$P52,IF($J52&lt;=$K52+$L52+$M52+$N52,$P52+($Q52-$P52)*($J52-($K52+$L52+$M52))/$N52,$Q52)))))</f>
        <v/>
      </c>
      <c r="S52" s="13">
        <f>ETO_SEM</f>
        <v/>
      </c>
      <c r="T52" s="14">
        <f>IF(OR($R52="",$R52="PENDENTE"),"",$R52*$S52)</f>
        <v/>
      </c>
      <c r="U52" s="13" t="n">
        <v>0</v>
      </c>
      <c r="V52" s="14">
        <f>IF($T52="","",MAX(0,$T52-N($U52)))</f>
        <v/>
      </c>
      <c r="W52" s="14">
        <f>IF($V52="","",$V52/EF_APLIC)</f>
        <v/>
      </c>
      <c r="X52" s="15" t="n">
        <v>150</v>
      </c>
      <c r="Y52" s="16">
        <f>IF(OR($W52="",$X52=""),"",$W52*$X52*10)</f>
        <v/>
      </c>
      <c r="Z52" s="17">
        <f>IFERROR(INDEX('PARAMETROS'!$B$16:$B$19,MATCH($D52,'PARAMETROS'!$A$16:$A$19,0)),"")</f>
        <v/>
      </c>
      <c r="AA52" s="16">
        <f>IF(OR($Y52="",$Z52=""),"",$Y52*$Z52)</f>
        <v/>
      </c>
      <c r="AB52" s="18">
        <f>IF($R52="PENDENTE","Definir classe/Kc",IF($W52="","-",IF($W52&gt;0,"Irrigar","Nao irrigar")))</f>
        <v/>
      </c>
      <c r="AC52" s="18">
        <f>IF(OR($W52="",$W52=0),"-",IF($W52&gt;=META_SEM,"Alta",IF($W52&gt;=META_SEM*FRAC_ACOMP,"Media","Baixa")))</f>
        <v/>
      </c>
      <c r="AD52" s="19" t="inlineStr"/>
    </row>
    <row r="53">
      <c r="A53" s="5" t="inlineStr">
        <is>
          <t>T47</t>
        </is>
      </c>
      <c r="B53" s="5" t="inlineStr">
        <is>
          <t>KARITEL</t>
        </is>
      </c>
      <c r="C53" s="5" t="inlineStr"/>
      <c r="D53" s="5" t="inlineStr">
        <is>
          <t>KM1</t>
        </is>
      </c>
      <c r="E53" s="5" t="inlineStr">
        <is>
          <t>SOJA</t>
        </is>
      </c>
      <c r="F53" s="6" t="inlineStr">
        <is>
          <t>M8434 12X</t>
        </is>
      </c>
      <c r="G53" s="7" t="inlineStr">
        <is>
          <t>MÉDIA</t>
        </is>
      </c>
      <c r="H53" s="8" t="n">
        <v>46312</v>
      </c>
      <c r="I53" s="9">
        <f>IF($H53="","",DATA_REF-$H53)</f>
        <v/>
      </c>
      <c r="J53" s="9">
        <f>IF($I53="","",MAX(0,$I53-'PARAMETROS'!$B$12))</f>
        <v/>
      </c>
      <c r="K53" s="10">
        <f>IFERROR(INDEX(KC_CURVAS!$C$5:$C$15,MATCH($E53&amp;"|"&amp;$G53,KC_CURVAS!$K$5:$K$15,0)),IFERROR(INDEX(KC_CURVAS!$C$5:$C$15,MATCH($E53&amp;"|",KC_CURVAS!$K$5:$K$15,0)),""))</f>
        <v/>
      </c>
      <c r="L53" s="10">
        <f>IFERROR(INDEX(KC_CURVAS!$D$5:$D$15,MATCH($E53&amp;"|"&amp;$G53,KC_CURVAS!$K$5:$K$15,0)),IFERROR(INDEX(KC_CURVAS!$D$5:$D$15,MATCH($E53&amp;"|",KC_CURVAS!$K$5:$K$15,0)),""))</f>
        <v/>
      </c>
      <c r="M53" s="10">
        <f>IFERROR(INDEX(KC_CURVAS!$E$5:$E$15,MATCH($E53&amp;"|"&amp;$G53,KC_CURVAS!$K$5:$K$15,0)),IFERROR(INDEX(KC_CURVAS!$E$5:$E$15,MATCH($E53&amp;"|",KC_CURVAS!$K$5:$K$15,0)),""))</f>
        <v/>
      </c>
      <c r="N53" s="10">
        <f>IFERROR(INDEX(KC_CURVAS!$F$5:$F$15,MATCH($E53&amp;"|"&amp;$G53,KC_CURVAS!$K$5:$K$15,0)),IFERROR(INDEX(KC_CURVAS!$F$5:$F$15,MATCH($E53&amp;"|",KC_CURVAS!$K$5:$K$15,0)),""))</f>
        <v/>
      </c>
      <c r="O53" s="11">
        <f>IFERROR(INDEX(KC_CURVAS!$G$5:$G$15,MATCH($E53&amp;"|"&amp;$G53,KC_CURVAS!$K$5:$K$15,0)),IFERROR(INDEX(KC_CURVAS!$G$5:$G$15,MATCH($E53&amp;"|",KC_CURVAS!$K$5:$K$15,0)),""))</f>
        <v/>
      </c>
      <c r="P53" s="11">
        <f>IFERROR(INDEX(KC_CURVAS!$H$5:$H$15,MATCH($E53&amp;"|"&amp;$G53,KC_CURVAS!$K$5:$K$15,0)),IFERROR(INDEX(KC_CURVAS!$H$5:$H$15,MATCH($E53&amp;"|",KC_CURVAS!$K$5:$K$15,0)),""))</f>
        <v/>
      </c>
      <c r="Q53" s="11">
        <f>IFERROR(INDEX(KC_CURVAS!$I$5:$I$15,MATCH($E53&amp;"|"&amp;$G53,KC_CURVAS!$K$5:$K$15,0)),IFERROR(INDEX(KC_CURVAS!$I$5:$I$15,MATCH($E53&amp;"|",KC_CURVAS!$K$5:$K$15,0)),""))</f>
        <v/>
      </c>
      <c r="R53" s="12">
        <f>IF(OR($J53="",$K53=""),"PENDENTE",IF($J53&lt;=$K53,$O53,IF($J53&lt;=$K53+$L53,$O53+($P53-$O53)*($J53-$K53)/$L53,IF($J53&lt;=$K53+$L53+$M53,$P53,IF($J53&lt;=$K53+$L53+$M53+$N53,$P53+($Q53-$P53)*($J53-($K53+$L53+$M53))/$N53,$Q53)))))</f>
        <v/>
      </c>
      <c r="S53" s="13">
        <f>ETO_SEM</f>
        <v/>
      </c>
      <c r="T53" s="14">
        <f>IF(OR($R53="",$R53="PENDENTE"),"",$R53*$S53)</f>
        <v/>
      </c>
      <c r="U53" s="13" t="n">
        <v>0</v>
      </c>
      <c r="V53" s="14">
        <f>IF($T53="","",MAX(0,$T53-N($U53)))</f>
        <v/>
      </c>
      <c r="W53" s="14">
        <f>IF($V53="","",$V53/EF_APLIC)</f>
        <v/>
      </c>
      <c r="X53" s="15" t="n">
        <v>160</v>
      </c>
      <c r="Y53" s="16">
        <f>IF(OR($W53="",$X53=""),"",$W53*$X53*10)</f>
        <v/>
      </c>
      <c r="Z53" s="17">
        <f>IFERROR(INDEX('PARAMETROS'!$B$16:$B$19,MATCH($D53,'PARAMETROS'!$A$16:$A$19,0)),"")</f>
        <v/>
      </c>
      <c r="AA53" s="16">
        <f>IF(OR($Y53="",$Z53=""),"",$Y53*$Z53)</f>
        <v/>
      </c>
      <c r="AB53" s="18">
        <f>IF($R53="PENDENTE","Definir classe/Kc",IF($W53="","-",IF($W53&gt;0,"Irrigar","Nao irrigar")))</f>
        <v/>
      </c>
      <c r="AC53" s="18">
        <f>IF(OR($W53="",$W53=0),"-",IF($W53&gt;=META_SEM,"Alta",IF($W53&gt;=META_SEM*FRAC_ACOMP,"Media","Baixa")))</f>
        <v/>
      </c>
      <c r="AD53" s="19" t="inlineStr"/>
    </row>
    <row r="54">
      <c r="A54" s="5" t="inlineStr">
        <is>
          <t>T48</t>
        </is>
      </c>
      <c r="B54" s="5" t="inlineStr">
        <is>
          <t>KARITEL</t>
        </is>
      </c>
      <c r="C54" s="5" t="inlineStr"/>
      <c r="D54" s="5" t="inlineStr">
        <is>
          <t>KM1</t>
        </is>
      </c>
      <c r="E54" s="5" t="inlineStr">
        <is>
          <t>SOJA</t>
        </is>
      </c>
      <c r="F54" s="6" t="inlineStr">
        <is>
          <t>M8434 12X</t>
        </is>
      </c>
      <c r="G54" s="7" t="inlineStr">
        <is>
          <t>MÉDIA</t>
        </is>
      </c>
      <c r="H54" s="8" t="n">
        <v>46314</v>
      </c>
      <c r="I54" s="9">
        <f>IF($H54="","",DATA_REF-$H54)</f>
        <v/>
      </c>
      <c r="J54" s="9">
        <f>IF($I54="","",MAX(0,$I54-'PARAMETROS'!$B$12))</f>
        <v/>
      </c>
      <c r="K54" s="10">
        <f>IFERROR(INDEX(KC_CURVAS!$C$5:$C$15,MATCH($E54&amp;"|"&amp;$G54,KC_CURVAS!$K$5:$K$15,0)),IFERROR(INDEX(KC_CURVAS!$C$5:$C$15,MATCH($E54&amp;"|",KC_CURVAS!$K$5:$K$15,0)),""))</f>
        <v/>
      </c>
      <c r="L54" s="10">
        <f>IFERROR(INDEX(KC_CURVAS!$D$5:$D$15,MATCH($E54&amp;"|"&amp;$G54,KC_CURVAS!$K$5:$K$15,0)),IFERROR(INDEX(KC_CURVAS!$D$5:$D$15,MATCH($E54&amp;"|",KC_CURVAS!$K$5:$K$15,0)),""))</f>
        <v/>
      </c>
      <c r="M54" s="10">
        <f>IFERROR(INDEX(KC_CURVAS!$E$5:$E$15,MATCH($E54&amp;"|"&amp;$G54,KC_CURVAS!$K$5:$K$15,0)),IFERROR(INDEX(KC_CURVAS!$E$5:$E$15,MATCH($E54&amp;"|",KC_CURVAS!$K$5:$K$15,0)),""))</f>
        <v/>
      </c>
      <c r="N54" s="10">
        <f>IFERROR(INDEX(KC_CURVAS!$F$5:$F$15,MATCH($E54&amp;"|"&amp;$G54,KC_CURVAS!$K$5:$K$15,0)),IFERROR(INDEX(KC_CURVAS!$F$5:$F$15,MATCH($E54&amp;"|",KC_CURVAS!$K$5:$K$15,0)),""))</f>
        <v/>
      </c>
      <c r="O54" s="11">
        <f>IFERROR(INDEX(KC_CURVAS!$G$5:$G$15,MATCH($E54&amp;"|"&amp;$G54,KC_CURVAS!$K$5:$K$15,0)),IFERROR(INDEX(KC_CURVAS!$G$5:$G$15,MATCH($E54&amp;"|",KC_CURVAS!$K$5:$K$15,0)),""))</f>
        <v/>
      </c>
      <c r="P54" s="11">
        <f>IFERROR(INDEX(KC_CURVAS!$H$5:$H$15,MATCH($E54&amp;"|"&amp;$G54,KC_CURVAS!$K$5:$K$15,0)),IFERROR(INDEX(KC_CURVAS!$H$5:$H$15,MATCH($E54&amp;"|",KC_CURVAS!$K$5:$K$15,0)),""))</f>
        <v/>
      </c>
      <c r="Q54" s="11">
        <f>IFERROR(INDEX(KC_CURVAS!$I$5:$I$15,MATCH($E54&amp;"|"&amp;$G54,KC_CURVAS!$K$5:$K$15,0)),IFERROR(INDEX(KC_CURVAS!$I$5:$I$15,MATCH($E54&amp;"|",KC_CURVAS!$K$5:$K$15,0)),""))</f>
        <v/>
      </c>
      <c r="R54" s="12">
        <f>IF(OR($J54="",$K54=""),"PENDENTE",IF($J54&lt;=$K54,$O54,IF($J54&lt;=$K54+$L54,$O54+($P54-$O54)*($J54-$K54)/$L54,IF($J54&lt;=$K54+$L54+$M54,$P54,IF($J54&lt;=$K54+$L54+$M54+$N54,$P54+($Q54-$P54)*($J54-($K54+$L54+$M54))/$N54,$Q54)))))</f>
        <v/>
      </c>
      <c r="S54" s="13">
        <f>ETO_SEM</f>
        <v/>
      </c>
      <c r="T54" s="14">
        <f>IF(OR($R54="",$R54="PENDENTE"),"",$R54*$S54)</f>
        <v/>
      </c>
      <c r="U54" s="13" t="n">
        <v>0</v>
      </c>
      <c r="V54" s="14">
        <f>IF($T54="","",MAX(0,$T54-N($U54)))</f>
        <v/>
      </c>
      <c r="W54" s="14">
        <f>IF($V54="","",$V54/EF_APLIC)</f>
        <v/>
      </c>
      <c r="X54" s="15" t="n">
        <v>160</v>
      </c>
      <c r="Y54" s="16">
        <f>IF(OR($W54="",$X54=""),"",$W54*$X54*10)</f>
        <v/>
      </c>
      <c r="Z54" s="17">
        <f>IFERROR(INDEX('PARAMETROS'!$B$16:$B$19,MATCH($D54,'PARAMETROS'!$A$16:$A$19,0)),"")</f>
        <v/>
      </c>
      <c r="AA54" s="16">
        <f>IF(OR($Y54="",$Z54=""),"",$Y54*$Z54)</f>
        <v/>
      </c>
      <c r="AB54" s="18">
        <f>IF($R54="PENDENTE","Definir classe/Kc",IF($W54="","-",IF($W54&gt;0,"Irrigar","Nao irrigar")))</f>
        <v/>
      </c>
      <c r="AC54" s="18">
        <f>IF(OR($W54="",$W54=0),"-",IF($W54&gt;=META_SEM,"Alta",IF($W54&gt;=META_SEM*FRAC_ACOMP,"Media","Baixa")))</f>
        <v/>
      </c>
      <c r="AD54" s="19" t="inlineStr"/>
    </row>
    <row r="55">
      <c r="A55" s="5" t="inlineStr">
        <is>
          <t>T49</t>
        </is>
      </c>
      <c r="B55" s="5" t="inlineStr">
        <is>
          <t>KARITEL</t>
        </is>
      </c>
      <c r="C55" s="5" t="inlineStr"/>
      <c r="D55" s="5" t="inlineStr">
        <is>
          <t>KM1</t>
        </is>
      </c>
      <c r="E55" s="5" t="inlineStr">
        <is>
          <t>SOJA</t>
        </is>
      </c>
      <c r="F55" s="6" t="inlineStr">
        <is>
          <t>M8434 12X</t>
        </is>
      </c>
      <c r="G55" s="7" t="inlineStr">
        <is>
          <t>MÉDIA</t>
        </is>
      </c>
      <c r="H55" s="8" t="n">
        <v>46314</v>
      </c>
      <c r="I55" s="9">
        <f>IF($H55="","",DATA_REF-$H55)</f>
        <v/>
      </c>
      <c r="J55" s="9">
        <f>IF($I55="","",MAX(0,$I55-'PARAMETROS'!$B$12))</f>
        <v/>
      </c>
      <c r="K55" s="10">
        <f>IFERROR(INDEX(KC_CURVAS!$C$5:$C$15,MATCH($E55&amp;"|"&amp;$G55,KC_CURVAS!$K$5:$K$15,0)),IFERROR(INDEX(KC_CURVAS!$C$5:$C$15,MATCH($E55&amp;"|",KC_CURVAS!$K$5:$K$15,0)),""))</f>
        <v/>
      </c>
      <c r="L55" s="10">
        <f>IFERROR(INDEX(KC_CURVAS!$D$5:$D$15,MATCH($E55&amp;"|"&amp;$G55,KC_CURVAS!$K$5:$K$15,0)),IFERROR(INDEX(KC_CURVAS!$D$5:$D$15,MATCH($E55&amp;"|",KC_CURVAS!$K$5:$K$15,0)),""))</f>
        <v/>
      </c>
      <c r="M55" s="10">
        <f>IFERROR(INDEX(KC_CURVAS!$E$5:$E$15,MATCH($E55&amp;"|"&amp;$G55,KC_CURVAS!$K$5:$K$15,0)),IFERROR(INDEX(KC_CURVAS!$E$5:$E$15,MATCH($E55&amp;"|",KC_CURVAS!$K$5:$K$15,0)),""))</f>
        <v/>
      </c>
      <c r="N55" s="10">
        <f>IFERROR(INDEX(KC_CURVAS!$F$5:$F$15,MATCH($E55&amp;"|"&amp;$G55,KC_CURVAS!$K$5:$K$15,0)),IFERROR(INDEX(KC_CURVAS!$F$5:$F$15,MATCH($E55&amp;"|",KC_CURVAS!$K$5:$K$15,0)),""))</f>
        <v/>
      </c>
      <c r="O55" s="11">
        <f>IFERROR(INDEX(KC_CURVAS!$G$5:$G$15,MATCH($E55&amp;"|"&amp;$G55,KC_CURVAS!$K$5:$K$15,0)),IFERROR(INDEX(KC_CURVAS!$G$5:$G$15,MATCH($E55&amp;"|",KC_CURVAS!$K$5:$K$15,0)),""))</f>
        <v/>
      </c>
      <c r="P55" s="11">
        <f>IFERROR(INDEX(KC_CURVAS!$H$5:$H$15,MATCH($E55&amp;"|"&amp;$G55,KC_CURVAS!$K$5:$K$15,0)),IFERROR(INDEX(KC_CURVAS!$H$5:$H$15,MATCH($E55&amp;"|",KC_CURVAS!$K$5:$K$15,0)),""))</f>
        <v/>
      </c>
      <c r="Q55" s="11">
        <f>IFERROR(INDEX(KC_CURVAS!$I$5:$I$15,MATCH($E55&amp;"|"&amp;$G55,KC_CURVAS!$K$5:$K$15,0)),IFERROR(INDEX(KC_CURVAS!$I$5:$I$15,MATCH($E55&amp;"|",KC_CURVAS!$K$5:$K$15,0)),""))</f>
        <v/>
      </c>
      <c r="R55" s="12">
        <f>IF(OR($J55="",$K55=""),"PENDENTE",IF($J55&lt;=$K55,$O55,IF($J55&lt;=$K55+$L55,$O55+($P55-$O55)*($J55-$K55)/$L55,IF($J55&lt;=$K55+$L55+$M55,$P55,IF($J55&lt;=$K55+$L55+$M55+$N55,$P55+($Q55-$P55)*($J55-($K55+$L55+$M55))/$N55,$Q55)))))</f>
        <v/>
      </c>
      <c r="S55" s="13">
        <f>ETO_SEM</f>
        <v/>
      </c>
      <c r="T55" s="14">
        <f>IF(OR($R55="",$R55="PENDENTE"),"",$R55*$S55)</f>
        <v/>
      </c>
      <c r="U55" s="13" t="n">
        <v>0</v>
      </c>
      <c r="V55" s="14">
        <f>IF($T55="","",MAX(0,$T55-N($U55)))</f>
        <v/>
      </c>
      <c r="W55" s="14">
        <f>IF($V55="","",$V55/EF_APLIC)</f>
        <v/>
      </c>
      <c r="X55" s="15" t="n">
        <v>125</v>
      </c>
      <c r="Y55" s="16">
        <f>IF(OR($W55="",$X55=""),"",$W55*$X55*10)</f>
        <v/>
      </c>
      <c r="Z55" s="17">
        <f>IFERROR(INDEX('PARAMETROS'!$B$16:$B$19,MATCH($D55,'PARAMETROS'!$A$16:$A$19,0)),"")</f>
        <v/>
      </c>
      <c r="AA55" s="16">
        <f>IF(OR($Y55="",$Z55=""),"",$Y55*$Z55)</f>
        <v/>
      </c>
      <c r="AB55" s="18">
        <f>IF($R55="PENDENTE","Definir classe/Kc",IF($W55="","-",IF($W55&gt;0,"Irrigar","Nao irrigar")))</f>
        <v/>
      </c>
      <c r="AC55" s="18">
        <f>IF(OR($W55="",$W55=0),"-",IF($W55&gt;=META_SEM,"Alta",IF($W55&gt;=META_SEM*FRAC_ACOMP,"Media","Baixa")))</f>
        <v/>
      </c>
      <c r="AD55" s="19" t="inlineStr"/>
    </row>
    <row r="56">
      <c r="A56" s="5" t="inlineStr">
        <is>
          <t>T56</t>
        </is>
      </c>
      <c r="B56" s="5" t="inlineStr">
        <is>
          <t>KARITEL</t>
        </is>
      </c>
      <c r="C56" s="5" t="inlineStr"/>
      <c r="D56" s="5" t="inlineStr">
        <is>
          <t>KM2</t>
        </is>
      </c>
      <c r="E56" s="5" t="inlineStr">
        <is>
          <t>SOJA</t>
        </is>
      </c>
      <c r="F56" s="6" t="inlineStr">
        <is>
          <t>BMX Olimpo IPRO</t>
        </is>
      </c>
      <c r="G56" s="7" t="inlineStr">
        <is>
          <t>MÉDIA</t>
        </is>
      </c>
      <c r="H56" s="8" t="n">
        <v>46315</v>
      </c>
      <c r="I56" s="9">
        <f>IF($H56="","",DATA_REF-$H56)</f>
        <v/>
      </c>
      <c r="J56" s="9">
        <f>IF($I56="","",MAX(0,$I56-'PARAMETROS'!$B$12))</f>
        <v/>
      </c>
      <c r="K56" s="10">
        <f>IFERROR(INDEX(KC_CURVAS!$C$5:$C$15,MATCH($E56&amp;"|"&amp;$G56,KC_CURVAS!$K$5:$K$15,0)),IFERROR(INDEX(KC_CURVAS!$C$5:$C$15,MATCH($E56&amp;"|",KC_CURVAS!$K$5:$K$15,0)),""))</f>
        <v/>
      </c>
      <c r="L56" s="10">
        <f>IFERROR(INDEX(KC_CURVAS!$D$5:$D$15,MATCH($E56&amp;"|"&amp;$G56,KC_CURVAS!$K$5:$K$15,0)),IFERROR(INDEX(KC_CURVAS!$D$5:$D$15,MATCH($E56&amp;"|",KC_CURVAS!$K$5:$K$15,0)),""))</f>
        <v/>
      </c>
      <c r="M56" s="10">
        <f>IFERROR(INDEX(KC_CURVAS!$E$5:$E$15,MATCH($E56&amp;"|"&amp;$G56,KC_CURVAS!$K$5:$K$15,0)),IFERROR(INDEX(KC_CURVAS!$E$5:$E$15,MATCH($E56&amp;"|",KC_CURVAS!$K$5:$K$15,0)),""))</f>
        <v/>
      </c>
      <c r="N56" s="10">
        <f>IFERROR(INDEX(KC_CURVAS!$F$5:$F$15,MATCH($E56&amp;"|"&amp;$G56,KC_CURVAS!$K$5:$K$15,0)),IFERROR(INDEX(KC_CURVAS!$F$5:$F$15,MATCH($E56&amp;"|",KC_CURVAS!$K$5:$K$15,0)),""))</f>
        <v/>
      </c>
      <c r="O56" s="11">
        <f>IFERROR(INDEX(KC_CURVAS!$G$5:$G$15,MATCH($E56&amp;"|"&amp;$G56,KC_CURVAS!$K$5:$K$15,0)),IFERROR(INDEX(KC_CURVAS!$G$5:$G$15,MATCH($E56&amp;"|",KC_CURVAS!$K$5:$K$15,0)),""))</f>
        <v/>
      </c>
      <c r="P56" s="11">
        <f>IFERROR(INDEX(KC_CURVAS!$H$5:$H$15,MATCH($E56&amp;"|"&amp;$G56,KC_CURVAS!$K$5:$K$15,0)),IFERROR(INDEX(KC_CURVAS!$H$5:$H$15,MATCH($E56&amp;"|",KC_CURVAS!$K$5:$K$15,0)),""))</f>
        <v/>
      </c>
      <c r="Q56" s="11">
        <f>IFERROR(INDEX(KC_CURVAS!$I$5:$I$15,MATCH($E56&amp;"|"&amp;$G56,KC_CURVAS!$K$5:$K$15,0)),IFERROR(INDEX(KC_CURVAS!$I$5:$I$15,MATCH($E56&amp;"|",KC_CURVAS!$K$5:$K$15,0)),""))</f>
        <v/>
      </c>
      <c r="R56" s="12">
        <f>IF(OR($J56="",$K56=""),"PENDENTE",IF($J56&lt;=$K56,$O56,IF($J56&lt;=$K56+$L56,$O56+($P56-$O56)*($J56-$K56)/$L56,IF($J56&lt;=$K56+$L56+$M56,$P56,IF($J56&lt;=$K56+$L56+$M56+$N56,$P56+($Q56-$P56)*($J56-($K56+$L56+$M56))/$N56,$Q56)))))</f>
        <v/>
      </c>
      <c r="S56" s="13">
        <f>ETO_SEM</f>
        <v/>
      </c>
      <c r="T56" s="14">
        <f>IF(OR($R56="",$R56="PENDENTE"),"",$R56*$S56)</f>
        <v/>
      </c>
      <c r="U56" s="13" t="n">
        <v>0</v>
      </c>
      <c r="V56" s="14">
        <f>IF($T56="","",MAX(0,$T56-N($U56)))</f>
        <v/>
      </c>
      <c r="W56" s="14">
        <f>IF($V56="","",$V56/EF_APLIC)</f>
        <v/>
      </c>
      <c r="X56" s="15" t="n">
        <v>95</v>
      </c>
      <c r="Y56" s="16">
        <f>IF(OR($W56="",$X56=""),"",$W56*$X56*10)</f>
        <v/>
      </c>
      <c r="Z56" s="17">
        <f>IFERROR(INDEX('PARAMETROS'!$B$16:$B$19,MATCH($D56,'PARAMETROS'!$A$16:$A$19,0)),"")</f>
        <v/>
      </c>
      <c r="AA56" s="16">
        <f>IF(OR($Y56="",$Z56=""),"",$Y56*$Z56)</f>
        <v/>
      </c>
      <c r="AB56" s="18">
        <f>IF($R56="PENDENTE","Definir classe/Kc",IF($W56="","-",IF($W56&gt;0,"Irrigar","Nao irrigar")))</f>
        <v/>
      </c>
      <c r="AC56" s="18">
        <f>IF(OR($W56="",$W56=0),"-",IF($W56&gt;=META_SEM,"Alta",IF($W56&gt;=META_SEM*FRAC_ACOMP,"Media","Baixa")))</f>
        <v/>
      </c>
      <c r="AD56" s="19" t="inlineStr"/>
    </row>
    <row r="57">
      <c r="A57" s="5" t="inlineStr">
        <is>
          <t>T56</t>
        </is>
      </c>
      <c r="B57" s="5" t="inlineStr">
        <is>
          <t>KARITEL</t>
        </is>
      </c>
      <c r="C57" s="5" t="inlineStr"/>
      <c r="D57" s="5" t="inlineStr">
        <is>
          <t>KM2</t>
        </is>
      </c>
      <c r="E57" s="5" t="inlineStr">
        <is>
          <t>SOJA</t>
        </is>
      </c>
      <c r="F57" s="6" t="inlineStr">
        <is>
          <t>CZ 48B18 IPRO</t>
        </is>
      </c>
      <c r="G57" s="7" t="inlineStr">
        <is>
          <t>MÉDIA</t>
        </is>
      </c>
      <c r="H57" s="8" t="n">
        <v>46315</v>
      </c>
      <c r="I57" s="9">
        <f>IF($H57="","",DATA_REF-$H57)</f>
        <v/>
      </c>
      <c r="J57" s="9">
        <f>IF($I57="","",MAX(0,$I57-'PARAMETROS'!$B$12))</f>
        <v/>
      </c>
      <c r="K57" s="10">
        <f>IFERROR(INDEX(KC_CURVAS!$C$5:$C$15,MATCH($E57&amp;"|"&amp;$G57,KC_CURVAS!$K$5:$K$15,0)),IFERROR(INDEX(KC_CURVAS!$C$5:$C$15,MATCH($E57&amp;"|",KC_CURVAS!$K$5:$K$15,0)),""))</f>
        <v/>
      </c>
      <c r="L57" s="10">
        <f>IFERROR(INDEX(KC_CURVAS!$D$5:$D$15,MATCH($E57&amp;"|"&amp;$G57,KC_CURVAS!$K$5:$K$15,0)),IFERROR(INDEX(KC_CURVAS!$D$5:$D$15,MATCH($E57&amp;"|",KC_CURVAS!$K$5:$K$15,0)),""))</f>
        <v/>
      </c>
      <c r="M57" s="10">
        <f>IFERROR(INDEX(KC_CURVAS!$E$5:$E$15,MATCH($E57&amp;"|"&amp;$G57,KC_CURVAS!$K$5:$K$15,0)),IFERROR(INDEX(KC_CURVAS!$E$5:$E$15,MATCH($E57&amp;"|",KC_CURVAS!$K$5:$K$15,0)),""))</f>
        <v/>
      </c>
      <c r="N57" s="10">
        <f>IFERROR(INDEX(KC_CURVAS!$F$5:$F$15,MATCH($E57&amp;"|"&amp;$G57,KC_CURVAS!$K$5:$K$15,0)),IFERROR(INDEX(KC_CURVAS!$F$5:$F$15,MATCH($E57&amp;"|",KC_CURVAS!$K$5:$K$15,0)),""))</f>
        <v/>
      </c>
      <c r="O57" s="11">
        <f>IFERROR(INDEX(KC_CURVAS!$G$5:$G$15,MATCH($E57&amp;"|"&amp;$G57,KC_CURVAS!$K$5:$K$15,0)),IFERROR(INDEX(KC_CURVAS!$G$5:$G$15,MATCH($E57&amp;"|",KC_CURVAS!$K$5:$K$15,0)),""))</f>
        <v/>
      </c>
      <c r="P57" s="11">
        <f>IFERROR(INDEX(KC_CURVAS!$H$5:$H$15,MATCH($E57&amp;"|"&amp;$G57,KC_CURVAS!$K$5:$K$15,0)),IFERROR(INDEX(KC_CURVAS!$H$5:$H$15,MATCH($E57&amp;"|",KC_CURVAS!$K$5:$K$15,0)),""))</f>
        <v/>
      </c>
      <c r="Q57" s="11">
        <f>IFERROR(INDEX(KC_CURVAS!$I$5:$I$15,MATCH($E57&amp;"|"&amp;$G57,KC_CURVAS!$K$5:$K$15,0)),IFERROR(INDEX(KC_CURVAS!$I$5:$I$15,MATCH($E57&amp;"|",KC_CURVAS!$K$5:$K$15,0)),""))</f>
        <v/>
      </c>
      <c r="R57" s="12">
        <f>IF(OR($J57="",$K57=""),"PENDENTE",IF($J57&lt;=$K57,$O57,IF($J57&lt;=$K57+$L57,$O57+($P57-$O57)*($J57-$K57)/$L57,IF($J57&lt;=$K57+$L57+$M57,$P57,IF($J57&lt;=$K57+$L57+$M57+$N57,$P57+($Q57-$P57)*($J57-($K57+$L57+$M57))/$N57,$Q57)))))</f>
        <v/>
      </c>
      <c r="S57" s="13">
        <f>ETO_SEM</f>
        <v/>
      </c>
      <c r="T57" s="14">
        <f>IF(OR($R57="",$R57="PENDENTE"),"",$R57*$S57)</f>
        <v/>
      </c>
      <c r="U57" s="13" t="n">
        <v>0</v>
      </c>
      <c r="V57" s="14">
        <f>IF($T57="","",MAX(0,$T57-N($U57)))</f>
        <v/>
      </c>
      <c r="W57" s="14">
        <f>IF($V57="","",$V57/EF_APLIC)</f>
        <v/>
      </c>
      <c r="X57" s="15" t="n">
        <v>55</v>
      </c>
      <c r="Y57" s="16">
        <f>IF(OR($W57="",$X57=""),"",$W57*$X57*10)</f>
        <v/>
      </c>
      <c r="Z57" s="17">
        <f>IFERROR(INDEX('PARAMETROS'!$B$16:$B$19,MATCH($D57,'PARAMETROS'!$A$16:$A$19,0)),"")</f>
        <v/>
      </c>
      <c r="AA57" s="16">
        <f>IF(OR($Y57="",$Z57=""),"",$Y57*$Z57)</f>
        <v/>
      </c>
      <c r="AB57" s="18">
        <f>IF($R57="PENDENTE","Definir classe/Kc",IF($W57="","-",IF($W57&gt;0,"Irrigar","Nao irrigar")))</f>
        <v/>
      </c>
      <c r="AC57" s="18">
        <f>IF(OR($W57="",$W57=0),"-",IF($W57&gt;=META_SEM,"Alta",IF($W57&gt;=META_SEM*FRAC_ACOMP,"Media","Baixa")))</f>
        <v/>
      </c>
      <c r="AD57" s="19" t="inlineStr"/>
    </row>
    <row r="58">
      <c r="A58" s="5" t="inlineStr">
        <is>
          <t>T58</t>
        </is>
      </c>
      <c r="B58" s="5" t="inlineStr">
        <is>
          <t>KARITEL</t>
        </is>
      </c>
      <c r="C58" s="5" t="inlineStr"/>
      <c r="D58" s="5" t="inlineStr">
        <is>
          <t>KM2</t>
        </is>
      </c>
      <c r="E58" s="5" t="inlineStr">
        <is>
          <t>SOJA</t>
        </is>
      </c>
      <c r="F58" s="6" t="inlineStr">
        <is>
          <t>BMX Olimpo IPRO</t>
        </is>
      </c>
      <c r="G58" s="7" t="inlineStr">
        <is>
          <t>MÉDIA</t>
        </is>
      </c>
      <c r="H58" s="8" t="n">
        <v>46315</v>
      </c>
      <c r="I58" s="9">
        <f>IF($H58="","",DATA_REF-$H58)</f>
        <v/>
      </c>
      <c r="J58" s="9">
        <f>IF($I58="","",MAX(0,$I58-'PARAMETROS'!$B$12))</f>
        <v/>
      </c>
      <c r="K58" s="10">
        <f>IFERROR(INDEX(KC_CURVAS!$C$5:$C$15,MATCH($E58&amp;"|"&amp;$G58,KC_CURVAS!$K$5:$K$15,0)),IFERROR(INDEX(KC_CURVAS!$C$5:$C$15,MATCH($E58&amp;"|",KC_CURVAS!$K$5:$K$15,0)),""))</f>
        <v/>
      </c>
      <c r="L58" s="10">
        <f>IFERROR(INDEX(KC_CURVAS!$D$5:$D$15,MATCH($E58&amp;"|"&amp;$G58,KC_CURVAS!$K$5:$K$15,0)),IFERROR(INDEX(KC_CURVAS!$D$5:$D$15,MATCH($E58&amp;"|",KC_CURVAS!$K$5:$K$15,0)),""))</f>
        <v/>
      </c>
      <c r="M58" s="10">
        <f>IFERROR(INDEX(KC_CURVAS!$E$5:$E$15,MATCH($E58&amp;"|"&amp;$G58,KC_CURVAS!$K$5:$K$15,0)),IFERROR(INDEX(KC_CURVAS!$E$5:$E$15,MATCH($E58&amp;"|",KC_CURVAS!$K$5:$K$15,0)),""))</f>
        <v/>
      </c>
      <c r="N58" s="10">
        <f>IFERROR(INDEX(KC_CURVAS!$F$5:$F$15,MATCH($E58&amp;"|"&amp;$G58,KC_CURVAS!$K$5:$K$15,0)),IFERROR(INDEX(KC_CURVAS!$F$5:$F$15,MATCH($E58&amp;"|",KC_CURVAS!$K$5:$K$15,0)),""))</f>
        <v/>
      </c>
      <c r="O58" s="11">
        <f>IFERROR(INDEX(KC_CURVAS!$G$5:$G$15,MATCH($E58&amp;"|"&amp;$G58,KC_CURVAS!$K$5:$K$15,0)),IFERROR(INDEX(KC_CURVAS!$G$5:$G$15,MATCH($E58&amp;"|",KC_CURVAS!$K$5:$K$15,0)),""))</f>
        <v/>
      </c>
      <c r="P58" s="11">
        <f>IFERROR(INDEX(KC_CURVAS!$H$5:$H$15,MATCH($E58&amp;"|"&amp;$G58,KC_CURVAS!$K$5:$K$15,0)),IFERROR(INDEX(KC_CURVAS!$H$5:$H$15,MATCH($E58&amp;"|",KC_CURVAS!$K$5:$K$15,0)),""))</f>
        <v/>
      </c>
      <c r="Q58" s="11">
        <f>IFERROR(INDEX(KC_CURVAS!$I$5:$I$15,MATCH($E58&amp;"|"&amp;$G58,KC_CURVAS!$K$5:$K$15,0)),IFERROR(INDEX(KC_CURVAS!$I$5:$I$15,MATCH($E58&amp;"|",KC_CURVAS!$K$5:$K$15,0)),""))</f>
        <v/>
      </c>
      <c r="R58" s="12">
        <f>IF(OR($J58="",$K58=""),"PENDENTE",IF($J58&lt;=$K58,$O58,IF($J58&lt;=$K58+$L58,$O58+($P58-$O58)*($J58-$K58)/$L58,IF($J58&lt;=$K58+$L58+$M58,$P58,IF($J58&lt;=$K58+$L58+$M58+$N58,$P58+($Q58-$P58)*($J58-($K58+$L58+$M58))/$N58,$Q58)))))</f>
        <v/>
      </c>
      <c r="S58" s="13">
        <f>ETO_SEM</f>
        <v/>
      </c>
      <c r="T58" s="14">
        <f>IF(OR($R58="",$R58="PENDENTE"),"",$R58*$S58)</f>
        <v/>
      </c>
      <c r="U58" s="13" t="n">
        <v>0</v>
      </c>
      <c r="V58" s="14">
        <f>IF($T58="","",MAX(0,$T58-N($U58)))</f>
        <v/>
      </c>
      <c r="W58" s="14">
        <f>IF($V58="","",$V58/EF_APLIC)</f>
        <v/>
      </c>
      <c r="X58" s="15" t="n">
        <v>150</v>
      </c>
      <c r="Y58" s="16">
        <f>IF(OR($W58="",$X58=""),"",$W58*$X58*10)</f>
        <v/>
      </c>
      <c r="Z58" s="17">
        <f>IFERROR(INDEX('PARAMETROS'!$B$16:$B$19,MATCH($D58,'PARAMETROS'!$A$16:$A$19,0)),"")</f>
        <v/>
      </c>
      <c r="AA58" s="16">
        <f>IF(OR($Y58="",$Z58=""),"",$Y58*$Z58)</f>
        <v/>
      </c>
      <c r="AB58" s="18">
        <f>IF($R58="PENDENTE","Definir classe/Kc",IF($W58="","-",IF($W58&gt;0,"Irrigar","Nao irrigar")))</f>
        <v/>
      </c>
      <c r="AC58" s="18">
        <f>IF(OR($W58="",$W58=0),"-",IF($W58&gt;=META_SEM,"Alta",IF($W58&gt;=META_SEM*FRAC_ACOMP,"Media","Baixa")))</f>
        <v/>
      </c>
      <c r="AD58" s="19" t="inlineStr"/>
    </row>
    <row r="59">
      <c r="A59" s="5" t="inlineStr">
        <is>
          <t>T51</t>
        </is>
      </c>
      <c r="B59" s="5" t="inlineStr">
        <is>
          <t>KARITEL</t>
        </is>
      </c>
      <c r="C59" s="5" t="inlineStr"/>
      <c r="D59" s="5" t="inlineStr">
        <is>
          <t>KM2</t>
        </is>
      </c>
      <c r="E59" s="5" t="inlineStr">
        <is>
          <t>SOJA</t>
        </is>
      </c>
      <c r="F59" s="6" t="inlineStr">
        <is>
          <t>CZ 48B18 IPRO</t>
        </is>
      </c>
      <c r="G59" s="7" t="inlineStr">
        <is>
          <t>MÉDIA</t>
        </is>
      </c>
      <c r="H59" s="8" t="n">
        <v>46316</v>
      </c>
      <c r="I59" s="9">
        <f>IF($H59="","",DATA_REF-$H59)</f>
        <v/>
      </c>
      <c r="J59" s="9">
        <f>IF($I59="","",MAX(0,$I59-'PARAMETROS'!$B$12))</f>
        <v/>
      </c>
      <c r="K59" s="10">
        <f>IFERROR(INDEX(KC_CURVAS!$C$5:$C$15,MATCH($E59&amp;"|"&amp;$G59,KC_CURVAS!$K$5:$K$15,0)),IFERROR(INDEX(KC_CURVAS!$C$5:$C$15,MATCH($E59&amp;"|",KC_CURVAS!$K$5:$K$15,0)),""))</f>
        <v/>
      </c>
      <c r="L59" s="10">
        <f>IFERROR(INDEX(KC_CURVAS!$D$5:$D$15,MATCH($E59&amp;"|"&amp;$G59,KC_CURVAS!$K$5:$K$15,0)),IFERROR(INDEX(KC_CURVAS!$D$5:$D$15,MATCH($E59&amp;"|",KC_CURVAS!$K$5:$K$15,0)),""))</f>
        <v/>
      </c>
      <c r="M59" s="10">
        <f>IFERROR(INDEX(KC_CURVAS!$E$5:$E$15,MATCH($E59&amp;"|"&amp;$G59,KC_CURVAS!$K$5:$K$15,0)),IFERROR(INDEX(KC_CURVAS!$E$5:$E$15,MATCH($E59&amp;"|",KC_CURVAS!$K$5:$K$15,0)),""))</f>
        <v/>
      </c>
      <c r="N59" s="10">
        <f>IFERROR(INDEX(KC_CURVAS!$F$5:$F$15,MATCH($E59&amp;"|"&amp;$G59,KC_CURVAS!$K$5:$K$15,0)),IFERROR(INDEX(KC_CURVAS!$F$5:$F$15,MATCH($E59&amp;"|",KC_CURVAS!$K$5:$K$15,0)),""))</f>
        <v/>
      </c>
      <c r="O59" s="11">
        <f>IFERROR(INDEX(KC_CURVAS!$G$5:$G$15,MATCH($E59&amp;"|"&amp;$G59,KC_CURVAS!$K$5:$K$15,0)),IFERROR(INDEX(KC_CURVAS!$G$5:$G$15,MATCH($E59&amp;"|",KC_CURVAS!$K$5:$K$15,0)),""))</f>
        <v/>
      </c>
      <c r="P59" s="11">
        <f>IFERROR(INDEX(KC_CURVAS!$H$5:$H$15,MATCH($E59&amp;"|"&amp;$G59,KC_CURVAS!$K$5:$K$15,0)),IFERROR(INDEX(KC_CURVAS!$H$5:$H$15,MATCH($E59&amp;"|",KC_CURVAS!$K$5:$K$15,0)),""))</f>
        <v/>
      </c>
      <c r="Q59" s="11">
        <f>IFERROR(INDEX(KC_CURVAS!$I$5:$I$15,MATCH($E59&amp;"|"&amp;$G59,KC_CURVAS!$K$5:$K$15,0)),IFERROR(INDEX(KC_CURVAS!$I$5:$I$15,MATCH($E59&amp;"|",KC_CURVAS!$K$5:$K$15,0)),""))</f>
        <v/>
      </c>
      <c r="R59" s="12">
        <f>IF(OR($J59="",$K59=""),"PENDENTE",IF($J59&lt;=$K59,$O59,IF($J59&lt;=$K59+$L59,$O59+($P59-$O59)*($J59-$K59)/$L59,IF($J59&lt;=$K59+$L59+$M59,$P59,IF($J59&lt;=$K59+$L59+$M59+$N59,$P59+($Q59-$P59)*($J59-($K59+$L59+$M59))/$N59,$Q59)))))</f>
        <v/>
      </c>
      <c r="S59" s="13">
        <f>ETO_SEM</f>
        <v/>
      </c>
      <c r="T59" s="14">
        <f>IF(OR($R59="",$R59="PENDENTE"),"",$R59*$S59)</f>
        <v/>
      </c>
      <c r="U59" s="13" t="n">
        <v>0</v>
      </c>
      <c r="V59" s="14">
        <f>IF($T59="","",MAX(0,$T59-N($U59)))</f>
        <v/>
      </c>
      <c r="W59" s="14">
        <f>IF($V59="","",$V59/EF_APLIC)</f>
        <v/>
      </c>
      <c r="X59" s="15" t="n">
        <v>120</v>
      </c>
      <c r="Y59" s="16">
        <f>IF(OR($W59="",$X59=""),"",$W59*$X59*10)</f>
        <v/>
      </c>
      <c r="Z59" s="17">
        <f>IFERROR(INDEX('PARAMETROS'!$B$16:$B$19,MATCH($D59,'PARAMETROS'!$A$16:$A$19,0)),"")</f>
        <v/>
      </c>
      <c r="AA59" s="16">
        <f>IF(OR($Y59="",$Z59=""),"",$Y59*$Z59)</f>
        <v/>
      </c>
      <c r="AB59" s="18">
        <f>IF($R59="PENDENTE","Definir classe/Kc",IF($W59="","-",IF($W59&gt;0,"Irrigar","Nao irrigar")))</f>
        <v/>
      </c>
      <c r="AC59" s="18">
        <f>IF(OR($W59="",$W59=0),"-",IF($W59&gt;=META_SEM,"Alta",IF($W59&gt;=META_SEM*FRAC_ACOMP,"Media","Baixa")))</f>
        <v/>
      </c>
      <c r="AD59" s="19" t="inlineStr"/>
    </row>
    <row r="60">
      <c r="A60" s="5" t="inlineStr">
        <is>
          <t>T54</t>
        </is>
      </c>
      <c r="B60" s="5" t="inlineStr">
        <is>
          <t>KARITEL</t>
        </is>
      </c>
      <c r="C60" s="5" t="inlineStr"/>
      <c r="D60" s="5" t="inlineStr">
        <is>
          <t>KM2</t>
        </is>
      </c>
      <c r="E60" s="5" t="inlineStr">
        <is>
          <t>SOJA</t>
        </is>
      </c>
      <c r="F60" s="6" t="inlineStr">
        <is>
          <t>CZ 48B18 IPRO</t>
        </is>
      </c>
      <c r="G60" s="7" t="inlineStr">
        <is>
          <t>MÉDIA</t>
        </is>
      </c>
      <c r="H60" s="8" t="n">
        <v>46316</v>
      </c>
      <c r="I60" s="9">
        <f>IF($H60="","",DATA_REF-$H60)</f>
        <v/>
      </c>
      <c r="J60" s="9">
        <f>IF($I60="","",MAX(0,$I60-'PARAMETROS'!$B$12))</f>
        <v/>
      </c>
      <c r="K60" s="10">
        <f>IFERROR(INDEX(KC_CURVAS!$C$5:$C$15,MATCH($E60&amp;"|"&amp;$G60,KC_CURVAS!$K$5:$K$15,0)),IFERROR(INDEX(KC_CURVAS!$C$5:$C$15,MATCH($E60&amp;"|",KC_CURVAS!$K$5:$K$15,0)),""))</f>
        <v/>
      </c>
      <c r="L60" s="10">
        <f>IFERROR(INDEX(KC_CURVAS!$D$5:$D$15,MATCH($E60&amp;"|"&amp;$G60,KC_CURVAS!$K$5:$K$15,0)),IFERROR(INDEX(KC_CURVAS!$D$5:$D$15,MATCH($E60&amp;"|",KC_CURVAS!$K$5:$K$15,0)),""))</f>
        <v/>
      </c>
      <c r="M60" s="10">
        <f>IFERROR(INDEX(KC_CURVAS!$E$5:$E$15,MATCH($E60&amp;"|"&amp;$G60,KC_CURVAS!$K$5:$K$15,0)),IFERROR(INDEX(KC_CURVAS!$E$5:$E$15,MATCH($E60&amp;"|",KC_CURVAS!$K$5:$K$15,0)),""))</f>
        <v/>
      </c>
      <c r="N60" s="10">
        <f>IFERROR(INDEX(KC_CURVAS!$F$5:$F$15,MATCH($E60&amp;"|"&amp;$G60,KC_CURVAS!$K$5:$K$15,0)),IFERROR(INDEX(KC_CURVAS!$F$5:$F$15,MATCH($E60&amp;"|",KC_CURVAS!$K$5:$K$15,0)),""))</f>
        <v/>
      </c>
      <c r="O60" s="11">
        <f>IFERROR(INDEX(KC_CURVAS!$G$5:$G$15,MATCH($E60&amp;"|"&amp;$G60,KC_CURVAS!$K$5:$K$15,0)),IFERROR(INDEX(KC_CURVAS!$G$5:$G$15,MATCH($E60&amp;"|",KC_CURVAS!$K$5:$K$15,0)),""))</f>
        <v/>
      </c>
      <c r="P60" s="11">
        <f>IFERROR(INDEX(KC_CURVAS!$H$5:$H$15,MATCH($E60&amp;"|"&amp;$G60,KC_CURVAS!$K$5:$K$15,0)),IFERROR(INDEX(KC_CURVAS!$H$5:$H$15,MATCH($E60&amp;"|",KC_CURVAS!$K$5:$K$15,0)),""))</f>
        <v/>
      </c>
      <c r="Q60" s="11">
        <f>IFERROR(INDEX(KC_CURVAS!$I$5:$I$15,MATCH($E60&amp;"|"&amp;$G60,KC_CURVAS!$K$5:$K$15,0)),IFERROR(INDEX(KC_CURVAS!$I$5:$I$15,MATCH($E60&amp;"|",KC_CURVAS!$K$5:$K$15,0)),""))</f>
        <v/>
      </c>
      <c r="R60" s="12">
        <f>IF(OR($J60="",$K60=""),"PENDENTE",IF($J60&lt;=$K60,$O60,IF($J60&lt;=$K60+$L60,$O60+($P60-$O60)*($J60-$K60)/$L60,IF($J60&lt;=$K60+$L60+$M60,$P60,IF($J60&lt;=$K60+$L60+$M60+$N60,$P60+($Q60-$P60)*($J60-($K60+$L60+$M60))/$N60,$Q60)))))</f>
        <v/>
      </c>
      <c r="S60" s="13">
        <f>ETO_SEM</f>
        <v/>
      </c>
      <c r="T60" s="14">
        <f>IF(OR($R60="",$R60="PENDENTE"),"",$R60*$S60)</f>
        <v/>
      </c>
      <c r="U60" s="13" t="n">
        <v>0</v>
      </c>
      <c r="V60" s="14">
        <f>IF($T60="","",MAX(0,$T60-N($U60)))</f>
        <v/>
      </c>
      <c r="W60" s="14">
        <f>IF($V60="","",$V60/EF_APLIC)</f>
        <v/>
      </c>
      <c r="X60" s="15" t="n">
        <v>120</v>
      </c>
      <c r="Y60" s="16">
        <f>IF(OR($W60="",$X60=""),"",$W60*$X60*10)</f>
        <v/>
      </c>
      <c r="Z60" s="17">
        <f>IFERROR(INDEX('PARAMETROS'!$B$16:$B$19,MATCH($D60,'PARAMETROS'!$A$16:$A$19,0)),"")</f>
        <v/>
      </c>
      <c r="AA60" s="16">
        <f>IF(OR($Y60="",$Z60=""),"",$Y60*$Z60)</f>
        <v/>
      </c>
      <c r="AB60" s="18">
        <f>IF($R60="PENDENTE","Definir classe/Kc",IF($W60="","-",IF($W60&gt;0,"Irrigar","Nao irrigar")))</f>
        <v/>
      </c>
      <c r="AC60" s="18">
        <f>IF(OR($W60="",$W60=0),"-",IF($W60&gt;=META_SEM,"Alta",IF($W60&gt;=META_SEM*FRAC_ACOMP,"Media","Baixa")))</f>
        <v/>
      </c>
      <c r="AD60" s="19" t="inlineStr"/>
    </row>
    <row r="61">
      <c r="A61" s="5" t="inlineStr">
        <is>
          <t>T53</t>
        </is>
      </c>
      <c r="B61" s="5" t="inlineStr">
        <is>
          <t>KARITEL</t>
        </is>
      </c>
      <c r="C61" s="5" t="inlineStr"/>
      <c r="D61" s="5" t="inlineStr">
        <is>
          <t>KM2</t>
        </is>
      </c>
      <c r="E61" s="5" t="inlineStr">
        <is>
          <t>SOJA</t>
        </is>
      </c>
      <c r="F61" s="6" t="inlineStr">
        <is>
          <t>CZ 48B18 IPRO</t>
        </is>
      </c>
      <c r="G61" s="7" t="inlineStr">
        <is>
          <t>MÉDIA</t>
        </is>
      </c>
      <c r="H61" s="8" t="n">
        <v>46317</v>
      </c>
      <c r="I61" s="9">
        <f>IF($H61="","",DATA_REF-$H61)</f>
        <v/>
      </c>
      <c r="J61" s="9">
        <f>IF($I61="","",MAX(0,$I61-'PARAMETROS'!$B$12))</f>
        <v/>
      </c>
      <c r="K61" s="10">
        <f>IFERROR(INDEX(KC_CURVAS!$C$5:$C$15,MATCH($E61&amp;"|"&amp;$G61,KC_CURVAS!$K$5:$K$15,0)),IFERROR(INDEX(KC_CURVAS!$C$5:$C$15,MATCH($E61&amp;"|",KC_CURVAS!$K$5:$K$15,0)),""))</f>
        <v/>
      </c>
      <c r="L61" s="10">
        <f>IFERROR(INDEX(KC_CURVAS!$D$5:$D$15,MATCH($E61&amp;"|"&amp;$G61,KC_CURVAS!$K$5:$K$15,0)),IFERROR(INDEX(KC_CURVAS!$D$5:$D$15,MATCH($E61&amp;"|",KC_CURVAS!$K$5:$K$15,0)),""))</f>
        <v/>
      </c>
      <c r="M61" s="10">
        <f>IFERROR(INDEX(KC_CURVAS!$E$5:$E$15,MATCH($E61&amp;"|"&amp;$G61,KC_CURVAS!$K$5:$K$15,0)),IFERROR(INDEX(KC_CURVAS!$E$5:$E$15,MATCH($E61&amp;"|",KC_CURVAS!$K$5:$K$15,0)),""))</f>
        <v/>
      </c>
      <c r="N61" s="10">
        <f>IFERROR(INDEX(KC_CURVAS!$F$5:$F$15,MATCH($E61&amp;"|"&amp;$G61,KC_CURVAS!$K$5:$K$15,0)),IFERROR(INDEX(KC_CURVAS!$F$5:$F$15,MATCH($E61&amp;"|",KC_CURVAS!$K$5:$K$15,0)),""))</f>
        <v/>
      </c>
      <c r="O61" s="11">
        <f>IFERROR(INDEX(KC_CURVAS!$G$5:$G$15,MATCH($E61&amp;"|"&amp;$G61,KC_CURVAS!$K$5:$K$15,0)),IFERROR(INDEX(KC_CURVAS!$G$5:$G$15,MATCH($E61&amp;"|",KC_CURVAS!$K$5:$K$15,0)),""))</f>
        <v/>
      </c>
      <c r="P61" s="11">
        <f>IFERROR(INDEX(KC_CURVAS!$H$5:$H$15,MATCH($E61&amp;"|"&amp;$G61,KC_CURVAS!$K$5:$K$15,0)),IFERROR(INDEX(KC_CURVAS!$H$5:$H$15,MATCH($E61&amp;"|",KC_CURVAS!$K$5:$K$15,0)),""))</f>
        <v/>
      </c>
      <c r="Q61" s="11">
        <f>IFERROR(INDEX(KC_CURVAS!$I$5:$I$15,MATCH($E61&amp;"|"&amp;$G61,KC_CURVAS!$K$5:$K$15,0)),IFERROR(INDEX(KC_CURVAS!$I$5:$I$15,MATCH($E61&amp;"|",KC_CURVAS!$K$5:$K$15,0)),""))</f>
        <v/>
      </c>
      <c r="R61" s="12">
        <f>IF(OR($J61="",$K61=""),"PENDENTE",IF($J61&lt;=$K61,$O61,IF($J61&lt;=$K61+$L61,$O61+($P61-$O61)*($J61-$K61)/$L61,IF($J61&lt;=$K61+$L61+$M61,$P61,IF($J61&lt;=$K61+$L61+$M61+$N61,$P61+($Q61-$P61)*($J61-($K61+$L61+$M61))/$N61,$Q61)))))</f>
        <v/>
      </c>
      <c r="S61" s="13">
        <f>ETO_SEM</f>
        <v/>
      </c>
      <c r="T61" s="14">
        <f>IF(OR($R61="",$R61="PENDENTE"),"",$R61*$S61)</f>
        <v/>
      </c>
      <c r="U61" s="13" t="n">
        <v>0</v>
      </c>
      <c r="V61" s="14">
        <f>IF($T61="","",MAX(0,$T61-N($U61)))</f>
        <v/>
      </c>
      <c r="W61" s="14">
        <f>IF($V61="","",$V61/EF_APLIC)</f>
        <v/>
      </c>
      <c r="X61" s="15" t="n">
        <v>75</v>
      </c>
      <c r="Y61" s="16">
        <f>IF(OR($W61="",$X61=""),"",$W61*$X61*10)</f>
        <v/>
      </c>
      <c r="Z61" s="17">
        <f>IFERROR(INDEX('PARAMETROS'!$B$16:$B$19,MATCH($D61,'PARAMETROS'!$A$16:$A$19,0)),"")</f>
        <v/>
      </c>
      <c r="AA61" s="16">
        <f>IF(OR($Y61="",$Z61=""),"",$Y61*$Z61)</f>
        <v/>
      </c>
      <c r="AB61" s="18">
        <f>IF($R61="PENDENTE","Definir classe/Kc",IF($W61="","-",IF($W61&gt;0,"Irrigar","Nao irrigar")))</f>
        <v/>
      </c>
      <c r="AC61" s="18">
        <f>IF(OR($W61="",$W61=0),"-",IF($W61&gt;=META_SEM,"Alta",IF($W61&gt;=META_SEM*FRAC_ACOMP,"Media","Baixa")))</f>
        <v/>
      </c>
      <c r="AD61" s="19" t="inlineStr"/>
    </row>
    <row r="62">
      <c r="A62" s="5" t="inlineStr">
        <is>
          <t>T55</t>
        </is>
      </c>
      <c r="B62" s="5" t="inlineStr">
        <is>
          <t>KARITEL</t>
        </is>
      </c>
      <c r="C62" s="5" t="inlineStr"/>
      <c r="D62" s="5" t="inlineStr">
        <is>
          <t>KM2</t>
        </is>
      </c>
      <c r="E62" s="5" t="inlineStr">
        <is>
          <t>SOJA</t>
        </is>
      </c>
      <c r="F62" s="6" t="inlineStr">
        <is>
          <t>CZ 48B18 IPRO</t>
        </is>
      </c>
      <c r="G62" s="7" t="inlineStr">
        <is>
          <t>MÉDIA</t>
        </is>
      </c>
      <c r="H62" s="8" t="n">
        <v>46318</v>
      </c>
      <c r="I62" s="9">
        <f>IF($H62="","",DATA_REF-$H62)</f>
        <v/>
      </c>
      <c r="J62" s="9">
        <f>IF($I62="","",MAX(0,$I62-'PARAMETROS'!$B$12))</f>
        <v/>
      </c>
      <c r="K62" s="10">
        <f>IFERROR(INDEX(KC_CURVAS!$C$5:$C$15,MATCH($E62&amp;"|"&amp;$G62,KC_CURVAS!$K$5:$K$15,0)),IFERROR(INDEX(KC_CURVAS!$C$5:$C$15,MATCH($E62&amp;"|",KC_CURVAS!$K$5:$K$15,0)),""))</f>
        <v/>
      </c>
      <c r="L62" s="10">
        <f>IFERROR(INDEX(KC_CURVAS!$D$5:$D$15,MATCH($E62&amp;"|"&amp;$G62,KC_CURVAS!$K$5:$K$15,0)),IFERROR(INDEX(KC_CURVAS!$D$5:$D$15,MATCH($E62&amp;"|",KC_CURVAS!$K$5:$K$15,0)),""))</f>
        <v/>
      </c>
      <c r="M62" s="10">
        <f>IFERROR(INDEX(KC_CURVAS!$E$5:$E$15,MATCH($E62&amp;"|"&amp;$G62,KC_CURVAS!$K$5:$K$15,0)),IFERROR(INDEX(KC_CURVAS!$E$5:$E$15,MATCH($E62&amp;"|",KC_CURVAS!$K$5:$K$15,0)),""))</f>
        <v/>
      </c>
      <c r="N62" s="10">
        <f>IFERROR(INDEX(KC_CURVAS!$F$5:$F$15,MATCH($E62&amp;"|"&amp;$G62,KC_CURVAS!$K$5:$K$15,0)),IFERROR(INDEX(KC_CURVAS!$F$5:$F$15,MATCH($E62&amp;"|",KC_CURVAS!$K$5:$K$15,0)),""))</f>
        <v/>
      </c>
      <c r="O62" s="11">
        <f>IFERROR(INDEX(KC_CURVAS!$G$5:$G$15,MATCH($E62&amp;"|"&amp;$G62,KC_CURVAS!$K$5:$K$15,0)),IFERROR(INDEX(KC_CURVAS!$G$5:$G$15,MATCH($E62&amp;"|",KC_CURVAS!$K$5:$K$15,0)),""))</f>
        <v/>
      </c>
      <c r="P62" s="11">
        <f>IFERROR(INDEX(KC_CURVAS!$H$5:$H$15,MATCH($E62&amp;"|"&amp;$G62,KC_CURVAS!$K$5:$K$15,0)),IFERROR(INDEX(KC_CURVAS!$H$5:$H$15,MATCH($E62&amp;"|",KC_CURVAS!$K$5:$K$15,0)),""))</f>
        <v/>
      </c>
      <c r="Q62" s="11">
        <f>IFERROR(INDEX(KC_CURVAS!$I$5:$I$15,MATCH($E62&amp;"|"&amp;$G62,KC_CURVAS!$K$5:$K$15,0)),IFERROR(INDEX(KC_CURVAS!$I$5:$I$15,MATCH($E62&amp;"|",KC_CURVAS!$K$5:$K$15,0)),""))</f>
        <v/>
      </c>
      <c r="R62" s="12">
        <f>IF(OR($J62="",$K62=""),"PENDENTE",IF($J62&lt;=$K62,$O62,IF($J62&lt;=$K62+$L62,$O62+($P62-$O62)*($J62-$K62)/$L62,IF($J62&lt;=$K62+$L62+$M62,$P62,IF($J62&lt;=$K62+$L62+$M62+$N62,$P62+($Q62-$P62)*($J62-($K62+$L62+$M62))/$N62,$Q62)))))</f>
        <v/>
      </c>
      <c r="S62" s="13">
        <f>ETO_SEM</f>
        <v/>
      </c>
      <c r="T62" s="14">
        <f>IF(OR($R62="",$R62="PENDENTE"),"",$R62*$S62)</f>
        <v/>
      </c>
      <c r="U62" s="13" t="n">
        <v>0</v>
      </c>
      <c r="V62" s="14">
        <f>IF($T62="","",MAX(0,$T62-N($U62)))</f>
        <v/>
      </c>
      <c r="W62" s="14">
        <f>IF($V62="","",$V62/EF_APLIC)</f>
        <v/>
      </c>
      <c r="X62" s="15" t="n">
        <v>150</v>
      </c>
      <c r="Y62" s="16">
        <f>IF(OR($W62="",$X62=""),"",$W62*$X62*10)</f>
        <v/>
      </c>
      <c r="Z62" s="17">
        <f>IFERROR(INDEX('PARAMETROS'!$B$16:$B$19,MATCH($D62,'PARAMETROS'!$A$16:$A$19,0)),"")</f>
        <v/>
      </c>
      <c r="AA62" s="16">
        <f>IF(OR($Y62="",$Z62=""),"",$Y62*$Z62)</f>
        <v/>
      </c>
      <c r="AB62" s="18">
        <f>IF($R62="PENDENTE","Definir classe/Kc",IF($W62="","-",IF($W62&gt;0,"Irrigar","Nao irrigar")))</f>
        <v/>
      </c>
      <c r="AC62" s="18">
        <f>IF(OR($W62="",$W62=0),"-",IF($W62&gt;=META_SEM,"Alta",IF($W62&gt;=META_SEM*FRAC_ACOMP,"Media","Baixa")))</f>
        <v/>
      </c>
      <c r="AD62" s="19" t="inlineStr"/>
    </row>
    <row r="63">
      <c r="A63" s="5" t="inlineStr">
        <is>
          <t>T14</t>
        </is>
      </c>
      <c r="B63" s="5" t="inlineStr">
        <is>
          <t>KARITEL</t>
        </is>
      </c>
      <c r="C63" s="5" t="inlineStr"/>
      <c r="D63" s="5" t="inlineStr">
        <is>
          <t>KM1</t>
        </is>
      </c>
      <c r="E63" s="5" t="inlineStr">
        <is>
          <t>SOJA</t>
        </is>
      </c>
      <c r="F63" s="6" t="inlineStr">
        <is>
          <t>COMBATE IPRO</t>
        </is>
      </c>
      <c r="G63" s="7" t="inlineStr">
        <is>
          <t>PRECOCE</t>
        </is>
      </c>
      <c r="H63" s="8" t="n">
        <v>46319</v>
      </c>
      <c r="I63" s="9">
        <f>IF($H63="","",DATA_REF-$H63)</f>
        <v/>
      </c>
      <c r="J63" s="9">
        <f>IF($I63="","",MAX(0,$I63-'PARAMETROS'!$B$12))</f>
        <v/>
      </c>
      <c r="K63" s="10">
        <f>IFERROR(INDEX(KC_CURVAS!$C$5:$C$15,MATCH($E63&amp;"|"&amp;$G63,KC_CURVAS!$K$5:$K$15,0)),IFERROR(INDEX(KC_CURVAS!$C$5:$C$15,MATCH($E63&amp;"|",KC_CURVAS!$K$5:$K$15,0)),""))</f>
        <v/>
      </c>
      <c r="L63" s="10">
        <f>IFERROR(INDEX(KC_CURVAS!$D$5:$D$15,MATCH($E63&amp;"|"&amp;$G63,KC_CURVAS!$K$5:$K$15,0)),IFERROR(INDEX(KC_CURVAS!$D$5:$D$15,MATCH($E63&amp;"|",KC_CURVAS!$K$5:$K$15,0)),""))</f>
        <v/>
      </c>
      <c r="M63" s="10">
        <f>IFERROR(INDEX(KC_CURVAS!$E$5:$E$15,MATCH($E63&amp;"|"&amp;$G63,KC_CURVAS!$K$5:$K$15,0)),IFERROR(INDEX(KC_CURVAS!$E$5:$E$15,MATCH($E63&amp;"|",KC_CURVAS!$K$5:$K$15,0)),""))</f>
        <v/>
      </c>
      <c r="N63" s="10">
        <f>IFERROR(INDEX(KC_CURVAS!$F$5:$F$15,MATCH($E63&amp;"|"&amp;$G63,KC_CURVAS!$K$5:$K$15,0)),IFERROR(INDEX(KC_CURVAS!$F$5:$F$15,MATCH($E63&amp;"|",KC_CURVAS!$K$5:$K$15,0)),""))</f>
        <v/>
      </c>
      <c r="O63" s="11">
        <f>IFERROR(INDEX(KC_CURVAS!$G$5:$G$15,MATCH($E63&amp;"|"&amp;$G63,KC_CURVAS!$K$5:$K$15,0)),IFERROR(INDEX(KC_CURVAS!$G$5:$G$15,MATCH($E63&amp;"|",KC_CURVAS!$K$5:$K$15,0)),""))</f>
        <v/>
      </c>
      <c r="P63" s="11">
        <f>IFERROR(INDEX(KC_CURVAS!$H$5:$H$15,MATCH($E63&amp;"|"&amp;$G63,KC_CURVAS!$K$5:$K$15,0)),IFERROR(INDEX(KC_CURVAS!$H$5:$H$15,MATCH($E63&amp;"|",KC_CURVAS!$K$5:$K$15,0)),""))</f>
        <v/>
      </c>
      <c r="Q63" s="11">
        <f>IFERROR(INDEX(KC_CURVAS!$I$5:$I$15,MATCH($E63&amp;"|"&amp;$G63,KC_CURVAS!$K$5:$K$15,0)),IFERROR(INDEX(KC_CURVAS!$I$5:$I$15,MATCH($E63&amp;"|",KC_CURVAS!$K$5:$K$15,0)),""))</f>
        <v/>
      </c>
      <c r="R63" s="12">
        <f>IF(OR($J63="",$K63=""),"PENDENTE",IF($J63&lt;=$K63,$O63,IF($J63&lt;=$K63+$L63,$O63+($P63-$O63)*($J63-$K63)/$L63,IF($J63&lt;=$K63+$L63+$M63,$P63,IF($J63&lt;=$K63+$L63+$M63+$N63,$P63+($Q63-$P63)*($J63-($K63+$L63+$M63))/$N63,$Q63)))))</f>
        <v/>
      </c>
      <c r="S63" s="13">
        <f>ETO_SEM</f>
        <v/>
      </c>
      <c r="T63" s="14">
        <f>IF(OR($R63="",$R63="PENDENTE"),"",$R63*$S63)</f>
        <v/>
      </c>
      <c r="U63" s="13" t="n">
        <v>0</v>
      </c>
      <c r="V63" s="14">
        <f>IF($T63="","",MAX(0,$T63-N($U63)))</f>
        <v/>
      </c>
      <c r="W63" s="14">
        <f>IF($V63="","",$V63/EF_APLIC)</f>
        <v/>
      </c>
      <c r="X63" s="15" t="n">
        <v>150</v>
      </c>
      <c r="Y63" s="16">
        <f>IF(OR($W63="",$X63=""),"",$W63*$X63*10)</f>
        <v/>
      </c>
      <c r="Z63" s="17">
        <f>IFERROR(INDEX('PARAMETROS'!$B$16:$B$19,MATCH($D63,'PARAMETROS'!$A$16:$A$19,0)),"")</f>
        <v/>
      </c>
      <c r="AA63" s="16">
        <f>IF(OR($Y63="",$Z63=""),"",$Y63*$Z63)</f>
        <v/>
      </c>
      <c r="AB63" s="18">
        <f>IF($R63="PENDENTE","Definir classe/Kc",IF($W63="","-",IF($W63&gt;0,"Irrigar","Nao irrigar")))</f>
        <v/>
      </c>
      <c r="AC63" s="18">
        <f>IF(OR($W63="",$W63=0),"-",IF($W63&gt;=META_SEM,"Alta",IF($W63&gt;=META_SEM*FRAC_ACOMP,"Media","Baixa")))</f>
        <v/>
      </c>
      <c r="AD63" s="19" t="inlineStr"/>
    </row>
    <row r="64">
      <c r="A64" s="5" t="inlineStr">
        <is>
          <t>TDRIPP</t>
        </is>
      </c>
      <c r="B64" s="5" t="inlineStr">
        <is>
          <t>KARITEL</t>
        </is>
      </c>
      <c r="C64" s="5" t="inlineStr"/>
      <c r="D64" s="5" t="inlineStr"/>
      <c r="E64" s="5" t="inlineStr">
        <is>
          <t>SOJA</t>
        </is>
      </c>
      <c r="F64" s="6" t="inlineStr">
        <is>
          <t>MURALHA IPRO</t>
        </is>
      </c>
      <c r="G64" s="7" t="inlineStr">
        <is>
          <t>MÉDIA</t>
        </is>
      </c>
      <c r="H64" s="8" t="n">
        <v>46327</v>
      </c>
      <c r="I64" s="9">
        <f>IF($H64="","",DATA_REF-$H64)</f>
        <v/>
      </c>
      <c r="J64" s="9">
        <f>IF($I64="","",MAX(0,$I64-'PARAMETROS'!$B$12))</f>
        <v/>
      </c>
      <c r="K64" s="10">
        <f>IFERROR(INDEX(KC_CURVAS!$C$5:$C$15,MATCH($E64&amp;"|"&amp;$G64,KC_CURVAS!$K$5:$K$15,0)),IFERROR(INDEX(KC_CURVAS!$C$5:$C$15,MATCH($E64&amp;"|",KC_CURVAS!$K$5:$K$15,0)),""))</f>
        <v/>
      </c>
      <c r="L64" s="10">
        <f>IFERROR(INDEX(KC_CURVAS!$D$5:$D$15,MATCH($E64&amp;"|"&amp;$G64,KC_CURVAS!$K$5:$K$15,0)),IFERROR(INDEX(KC_CURVAS!$D$5:$D$15,MATCH($E64&amp;"|",KC_CURVAS!$K$5:$K$15,0)),""))</f>
        <v/>
      </c>
      <c r="M64" s="10">
        <f>IFERROR(INDEX(KC_CURVAS!$E$5:$E$15,MATCH($E64&amp;"|"&amp;$G64,KC_CURVAS!$K$5:$K$15,0)),IFERROR(INDEX(KC_CURVAS!$E$5:$E$15,MATCH($E64&amp;"|",KC_CURVAS!$K$5:$K$15,0)),""))</f>
        <v/>
      </c>
      <c r="N64" s="10">
        <f>IFERROR(INDEX(KC_CURVAS!$F$5:$F$15,MATCH($E64&amp;"|"&amp;$G64,KC_CURVAS!$K$5:$K$15,0)),IFERROR(INDEX(KC_CURVAS!$F$5:$F$15,MATCH($E64&amp;"|",KC_CURVAS!$K$5:$K$15,0)),""))</f>
        <v/>
      </c>
      <c r="O64" s="11">
        <f>IFERROR(INDEX(KC_CURVAS!$G$5:$G$15,MATCH($E64&amp;"|"&amp;$G64,KC_CURVAS!$K$5:$K$15,0)),IFERROR(INDEX(KC_CURVAS!$G$5:$G$15,MATCH($E64&amp;"|",KC_CURVAS!$K$5:$K$15,0)),""))</f>
        <v/>
      </c>
      <c r="P64" s="11">
        <f>IFERROR(INDEX(KC_CURVAS!$H$5:$H$15,MATCH($E64&amp;"|"&amp;$G64,KC_CURVAS!$K$5:$K$15,0)),IFERROR(INDEX(KC_CURVAS!$H$5:$H$15,MATCH($E64&amp;"|",KC_CURVAS!$K$5:$K$15,0)),""))</f>
        <v/>
      </c>
      <c r="Q64" s="11">
        <f>IFERROR(INDEX(KC_CURVAS!$I$5:$I$15,MATCH($E64&amp;"|"&amp;$G64,KC_CURVAS!$K$5:$K$15,0)),IFERROR(INDEX(KC_CURVAS!$I$5:$I$15,MATCH($E64&amp;"|",KC_CURVAS!$K$5:$K$15,0)),""))</f>
        <v/>
      </c>
      <c r="R64" s="12">
        <f>IF(OR($J64="",$K64=""),"PENDENTE",IF($J64&lt;=$K64,$O64,IF($J64&lt;=$K64+$L64,$O64+($P64-$O64)*($J64-$K64)/$L64,IF($J64&lt;=$K64+$L64+$M64,$P64,IF($J64&lt;=$K64+$L64+$M64+$N64,$P64+($Q64-$P64)*($J64-($K64+$L64+$M64))/$N64,$Q64)))))</f>
        <v/>
      </c>
      <c r="S64" s="13">
        <f>ETO_SEM</f>
        <v/>
      </c>
      <c r="T64" s="14">
        <f>IF(OR($R64="",$R64="PENDENTE"),"",$R64*$S64)</f>
        <v/>
      </c>
      <c r="U64" s="13" t="n">
        <v>0</v>
      </c>
      <c r="V64" s="14">
        <f>IF($T64="","",MAX(0,$T64-N($U64)))</f>
        <v/>
      </c>
      <c r="W64" s="14">
        <f>IF($V64="","",$V64/EF_APLIC)</f>
        <v/>
      </c>
      <c r="X64" s="15" t="n">
        <v>40</v>
      </c>
      <c r="Y64" s="16">
        <f>IF(OR($W64="",$X64=""),"",$W64*$X64*10)</f>
        <v/>
      </c>
      <c r="Z64" s="17">
        <f>IFERROR(INDEX('PARAMETROS'!$B$16:$B$19,MATCH($D64,'PARAMETROS'!$A$16:$A$19,0)),"")</f>
        <v/>
      </c>
      <c r="AA64" s="16">
        <f>IF(OR($Y64="",$Z64=""),"",$Y64*$Z64)</f>
        <v/>
      </c>
      <c r="AB64" s="18">
        <f>IF($R64="PENDENTE","Definir classe/Kc",IF($W64="","-",IF($W64&gt;0,"Irrigar","Nao irrigar")))</f>
        <v/>
      </c>
      <c r="AC64" s="18">
        <f>IF(OR($W64="",$W64=0),"-",IF($W64&gt;=META_SEM,"Alta",IF($W64&gt;=META_SEM*FRAC_ACOMP,"Media","Baixa")))</f>
        <v/>
      </c>
      <c r="AD64" s="19" t="inlineStr"/>
    </row>
    <row r="65">
      <c r="A65" s="5" t="inlineStr">
        <is>
          <t>TK01</t>
        </is>
      </c>
      <c r="B65" s="5" t="inlineStr">
        <is>
          <t>KARITEL</t>
        </is>
      </c>
      <c r="C65" s="5" t="inlineStr"/>
      <c r="D65" s="5" t="inlineStr">
        <is>
          <t>KM1</t>
        </is>
      </c>
      <c r="E65" s="5" t="inlineStr">
        <is>
          <t>SOJA</t>
        </is>
      </c>
      <c r="F65" s="6" t="inlineStr">
        <is>
          <t>BMX DOMINIO IPRO</t>
        </is>
      </c>
      <c r="G65" s="7" t="inlineStr">
        <is>
          <t>MÉDIA</t>
        </is>
      </c>
      <c r="H65" s="8" t="n">
        <v>46327</v>
      </c>
      <c r="I65" s="9">
        <f>IF($H65="","",DATA_REF-$H65)</f>
        <v/>
      </c>
      <c r="J65" s="9">
        <f>IF($I65="","",MAX(0,$I65-'PARAMETROS'!$B$12))</f>
        <v/>
      </c>
      <c r="K65" s="10">
        <f>IFERROR(INDEX(KC_CURVAS!$C$5:$C$15,MATCH($E65&amp;"|"&amp;$G65,KC_CURVAS!$K$5:$K$15,0)),IFERROR(INDEX(KC_CURVAS!$C$5:$C$15,MATCH($E65&amp;"|",KC_CURVAS!$K$5:$K$15,0)),""))</f>
        <v/>
      </c>
      <c r="L65" s="10">
        <f>IFERROR(INDEX(KC_CURVAS!$D$5:$D$15,MATCH($E65&amp;"|"&amp;$G65,KC_CURVAS!$K$5:$K$15,0)),IFERROR(INDEX(KC_CURVAS!$D$5:$D$15,MATCH($E65&amp;"|",KC_CURVAS!$K$5:$K$15,0)),""))</f>
        <v/>
      </c>
      <c r="M65" s="10">
        <f>IFERROR(INDEX(KC_CURVAS!$E$5:$E$15,MATCH($E65&amp;"|"&amp;$G65,KC_CURVAS!$K$5:$K$15,0)),IFERROR(INDEX(KC_CURVAS!$E$5:$E$15,MATCH($E65&amp;"|",KC_CURVAS!$K$5:$K$15,0)),""))</f>
        <v/>
      </c>
      <c r="N65" s="10">
        <f>IFERROR(INDEX(KC_CURVAS!$F$5:$F$15,MATCH($E65&amp;"|"&amp;$G65,KC_CURVAS!$K$5:$K$15,0)),IFERROR(INDEX(KC_CURVAS!$F$5:$F$15,MATCH($E65&amp;"|",KC_CURVAS!$K$5:$K$15,0)),""))</f>
        <v/>
      </c>
      <c r="O65" s="11">
        <f>IFERROR(INDEX(KC_CURVAS!$G$5:$G$15,MATCH($E65&amp;"|"&amp;$G65,KC_CURVAS!$K$5:$K$15,0)),IFERROR(INDEX(KC_CURVAS!$G$5:$G$15,MATCH($E65&amp;"|",KC_CURVAS!$K$5:$K$15,0)),""))</f>
        <v/>
      </c>
      <c r="P65" s="11">
        <f>IFERROR(INDEX(KC_CURVAS!$H$5:$H$15,MATCH($E65&amp;"|"&amp;$G65,KC_CURVAS!$K$5:$K$15,0)),IFERROR(INDEX(KC_CURVAS!$H$5:$H$15,MATCH($E65&amp;"|",KC_CURVAS!$K$5:$K$15,0)),""))</f>
        <v/>
      </c>
      <c r="Q65" s="11">
        <f>IFERROR(INDEX(KC_CURVAS!$I$5:$I$15,MATCH($E65&amp;"|"&amp;$G65,KC_CURVAS!$K$5:$K$15,0)),IFERROR(INDEX(KC_CURVAS!$I$5:$I$15,MATCH($E65&amp;"|",KC_CURVAS!$K$5:$K$15,0)),""))</f>
        <v/>
      </c>
      <c r="R65" s="12">
        <f>IF(OR($J65="",$K65=""),"PENDENTE",IF($J65&lt;=$K65,$O65,IF($J65&lt;=$K65+$L65,$O65+($P65-$O65)*($J65-$K65)/$L65,IF($J65&lt;=$K65+$L65+$M65,$P65,IF($J65&lt;=$K65+$L65+$M65+$N65,$P65+($Q65-$P65)*($J65-($K65+$L65+$M65))/$N65,$Q65)))))</f>
        <v/>
      </c>
      <c r="S65" s="13">
        <f>ETO_SEM</f>
        <v/>
      </c>
      <c r="T65" s="14">
        <f>IF(OR($R65="",$R65="PENDENTE"),"",$R65*$S65)</f>
        <v/>
      </c>
      <c r="U65" s="13" t="n">
        <v>0</v>
      </c>
      <c r="V65" s="14">
        <f>IF($T65="","",MAX(0,$T65-N($U65)))</f>
        <v/>
      </c>
      <c r="W65" s="14">
        <f>IF($V65="","",$V65/EF_APLIC)</f>
        <v/>
      </c>
      <c r="X65" s="15" t="n">
        <v>70</v>
      </c>
      <c r="Y65" s="16">
        <f>IF(OR($W65="",$X65=""),"",$W65*$X65*10)</f>
        <v/>
      </c>
      <c r="Z65" s="17">
        <f>IFERROR(INDEX('PARAMETROS'!$B$16:$B$19,MATCH($D65,'PARAMETROS'!$A$16:$A$19,0)),"")</f>
        <v/>
      </c>
      <c r="AA65" s="16">
        <f>IF(OR($Y65="",$Z65=""),"",$Y65*$Z65)</f>
        <v/>
      </c>
      <c r="AB65" s="18">
        <f>IF($R65="PENDENTE","Definir classe/Kc",IF($W65="","-",IF($W65&gt;0,"Irrigar","Nao irrigar")))</f>
        <v/>
      </c>
      <c r="AC65" s="18">
        <f>IF(OR($W65="",$W65=0),"-",IF($W65&gt;=META_SEM,"Alta",IF($W65&gt;=META_SEM*FRAC_ACOMP,"Media","Baixa")))</f>
        <v/>
      </c>
      <c r="AD65" s="19" t="inlineStr"/>
    </row>
    <row r="66">
      <c r="A66" s="5" t="inlineStr">
        <is>
          <t>TK02</t>
        </is>
      </c>
      <c r="B66" s="5" t="inlineStr">
        <is>
          <t>KARITEL</t>
        </is>
      </c>
      <c r="C66" s="5" t="inlineStr"/>
      <c r="D66" s="5" t="inlineStr">
        <is>
          <t>KM1</t>
        </is>
      </c>
      <c r="E66" s="5" t="inlineStr">
        <is>
          <t>SOJA</t>
        </is>
      </c>
      <c r="F66" s="6" t="inlineStr">
        <is>
          <t>BMX DOMINIO IPRO</t>
        </is>
      </c>
      <c r="G66" s="7" t="inlineStr">
        <is>
          <t>MÉDIA</t>
        </is>
      </c>
      <c r="H66" s="8" t="n">
        <v>46327</v>
      </c>
      <c r="I66" s="9">
        <f>IF($H66="","",DATA_REF-$H66)</f>
        <v/>
      </c>
      <c r="J66" s="9">
        <f>IF($I66="","",MAX(0,$I66-'PARAMETROS'!$B$12))</f>
        <v/>
      </c>
      <c r="K66" s="10">
        <f>IFERROR(INDEX(KC_CURVAS!$C$5:$C$15,MATCH($E66&amp;"|"&amp;$G66,KC_CURVAS!$K$5:$K$15,0)),IFERROR(INDEX(KC_CURVAS!$C$5:$C$15,MATCH($E66&amp;"|",KC_CURVAS!$K$5:$K$15,0)),""))</f>
        <v/>
      </c>
      <c r="L66" s="10">
        <f>IFERROR(INDEX(KC_CURVAS!$D$5:$D$15,MATCH($E66&amp;"|"&amp;$G66,KC_CURVAS!$K$5:$K$15,0)),IFERROR(INDEX(KC_CURVAS!$D$5:$D$15,MATCH($E66&amp;"|",KC_CURVAS!$K$5:$K$15,0)),""))</f>
        <v/>
      </c>
      <c r="M66" s="10">
        <f>IFERROR(INDEX(KC_CURVAS!$E$5:$E$15,MATCH($E66&amp;"|"&amp;$G66,KC_CURVAS!$K$5:$K$15,0)),IFERROR(INDEX(KC_CURVAS!$E$5:$E$15,MATCH($E66&amp;"|",KC_CURVAS!$K$5:$K$15,0)),""))</f>
        <v/>
      </c>
      <c r="N66" s="10">
        <f>IFERROR(INDEX(KC_CURVAS!$F$5:$F$15,MATCH($E66&amp;"|"&amp;$G66,KC_CURVAS!$K$5:$K$15,0)),IFERROR(INDEX(KC_CURVAS!$F$5:$F$15,MATCH($E66&amp;"|",KC_CURVAS!$K$5:$K$15,0)),""))</f>
        <v/>
      </c>
      <c r="O66" s="11">
        <f>IFERROR(INDEX(KC_CURVAS!$G$5:$G$15,MATCH($E66&amp;"|"&amp;$G66,KC_CURVAS!$K$5:$K$15,0)),IFERROR(INDEX(KC_CURVAS!$G$5:$G$15,MATCH($E66&amp;"|",KC_CURVAS!$K$5:$K$15,0)),""))</f>
        <v/>
      </c>
      <c r="P66" s="11">
        <f>IFERROR(INDEX(KC_CURVAS!$H$5:$H$15,MATCH($E66&amp;"|"&amp;$G66,KC_CURVAS!$K$5:$K$15,0)),IFERROR(INDEX(KC_CURVAS!$H$5:$H$15,MATCH($E66&amp;"|",KC_CURVAS!$K$5:$K$15,0)),""))</f>
        <v/>
      </c>
      <c r="Q66" s="11">
        <f>IFERROR(INDEX(KC_CURVAS!$I$5:$I$15,MATCH($E66&amp;"|"&amp;$G66,KC_CURVAS!$K$5:$K$15,0)),IFERROR(INDEX(KC_CURVAS!$I$5:$I$15,MATCH($E66&amp;"|",KC_CURVAS!$K$5:$K$15,0)),""))</f>
        <v/>
      </c>
      <c r="R66" s="12">
        <f>IF(OR($J66="",$K66=""),"PENDENTE",IF($J66&lt;=$K66,$O66,IF($J66&lt;=$K66+$L66,$O66+($P66-$O66)*($J66-$K66)/$L66,IF($J66&lt;=$K66+$L66+$M66,$P66,IF($J66&lt;=$K66+$L66+$M66+$N66,$P66+($Q66-$P66)*($J66-($K66+$L66+$M66))/$N66,$Q66)))))</f>
        <v/>
      </c>
      <c r="S66" s="13">
        <f>ETO_SEM</f>
        <v/>
      </c>
      <c r="T66" s="14">
        <f>IF(OR($R66="",$R66="PENDENTE"),"",$R66*$S66)</f>
        <v/>
      </c>
      <c r="U66" s="13" t="n">
        <v>0</v>
      </c>
      <c r="V66" s="14">
        <f>IF($T66="","",MAX(0,$T66-N($U66)))</f>
        <v/>
      </c>
      <c r="W66" s="14">
        <f>IF($V66="","",$V66/EF_APLIC)</f>
        <v/>
      </c>
      <c r="X66" s="15" t="n">
        <v>134</v>
      </c>
      <c r="Y66" s="16">
        <f>IF(OR($W66="",$X66=""),"",$W66*$X66*10)</f>
        <v/>
      </c>
      <c r="Z66" s="17">
        <f>IFERROR(INDEX('PARAMETROS'!$B$16:$B$19,MATCH($D66,'PARAMETROS'!$A$16:$A$19,0)),"")</f>
        <v/>
      </c>
      <c r="AA66" s="16">
        <f>IF(OR($Y66="",$Z66=""),"",$Y66*$Z66)</f>
        <v/>
      </c>
      <c r="AB66" s="18">
        <f>IF($R66="PENDENTE","Definir classe/Kc",IF($W66="","-",IF($W66&gt;0,"Irrigar","Nao irrigar")))</f>
        <v/>
      </c>
      <c r="AC66" s="18">
        <f>IF(OR($W66="",$W66=0),"-",IF($W66&gt;=META_SEM,"Alta",IF($W66&gt;=META_SEM*FRAC_ACOMP,"Media","Baixa")))</f>
        <v/>
      </c>
      <c r="AD66" s="19" t="inlineStr"/>
    </row>
    <row r="67">
      <c r="A67" s="5" t="inlineStr">
        <is>
          <t>TK10</t>
        </is>
      </c>
      <c r="B67" s="5" t="inlineStr">
        <is>
          <t>KARITEL</t>
        </is>
      </c>
      <c r="C67" s="5" t="inlineStr"/>
      <c r="D67" s="5" t="inlineStr">
        <is>
          <t>KM1</t>
        </is>
      </c>
      <c r="E67" s="5" t="inlineStr">
        <is>
          <t>SOJA</t>
        </is>
      </c>
      <c r="F67" s="6" t="inlineStr">
        <is>
          <t>ATAQUE I2X</t>
        </is>
      </c>
      <c r="G67" s="7" t="inlineStr">
        <is>
          <t>TARDIA</t>
        </is>
      </c>
      <c r="H67" s="8" t="n">
        <v>46327</v>
      </c>
      <c r="I67" s="9">
        <f>IF($H67="","",DATA_REF-$H67)</f>
        <v/>
      </c>
      <c r="J67" s="9">
        <f>IF($I67="","",MAX(0,$I67-'PARAMETROS'!$B$12))</f>
        <v/>
      </c>
      <c r="K67" s="10">
        <f>IFERROR(INDEX(KC_CURVAS!$C$5:$C$15,MATCH($E67&amp;"|"&amp;$G67,KC_CURVAS!$K$5:$K$15,0)),IFERROR(INDEX(KC_CURVAS!$C$5:$C$15,MATCH($E67&amp;"|",KC_CURVAS!$K$5:$K$15,0)),""))</f>
        <v/>
      </c>
      <c r="L67" s="10">
        <f>IFERROR(INDEX(KC_CURVAS!$D$5:$D$15,MATCH($E67&amp;"|"&amp;$G67,KC_CURVAS!$K$5:$K$15,0)),IFERROR(INDEX(KC_CURVAS!$D$5:$D$15,MATCH($E67&amp;"|",KC_CURVAS!$K$5:$K$15,0)),""))</f>
        <v/>
      </c>
      <c r="M67" s="10">
        <f>IFERROR(INDEX(KC_CURVAS!$E$5:$E$15,MATCH($E67&amp;"|"&amp;$G67,KC_CURVAS!$K$5:$K$15,0)),IFERROR(INDEX(KC_CURVAS!$E$5:$E$15,MATCH($E67&amp;"|",KC_CURVAS!$K$5:$K$15,0)),""))</f>
        <v/>
      </c>
      <c r="N67" s="10">
        <f>IFERROR(INDEX(KC_CURVAS!$F$5:$F$15,MATCH($E67&amp;"|"&amp;$G67,KC_CURVAS!$K$5:$K$15,0)),IFERROR(INDEX(KC_CURVAS!$F$5:$F$15,MATCH($E67&amp;"|",KC_CURVAS!$K$5:$K$15,0)),""))</f>
        <v/>
      </c>
      <c r="O67" s="11">
        <f>IFERROR(INDEX(KC_CURVAS!$G$5:$G$15,MATCH($E67&amp;"|"&amp;$G67,KC_CURVAS!$K$5:$K$15,0)),IFERROR(INDEX(KC_CURVAS!$G$5:$G$15,MATCH($E67&amp;"|",KC_CURVAS!$K$5:$K$15,0)),""))</f>
        <v/>
      </c>
      <c r="P67" s="11">
        <f>IFERROR(INDEX(KC_CURVAS!$H$5:$H$15,MATCH($E67&amp;"|"&amp;$G67,KC_CURVAS!$K$5:$K$15,0)),IFERROR(INDEX(KC_CURVAS!$H$5:$H$15,MATCH($E67&amp;"|",KC_CURVAS!$K$5:$K$15,0)),""))</f>
        <v/>
      </c>
      <c r="Q67" s="11">
        <f>IFERROR(INDEX(KC_CURVAS!$I$5:$I$15,MATCH($E67&amp;"|"&amp;$G67,KC_CURVAS!$K$5:$K$15,0)),IFERROR(INDEX(KC_CURVAS!$I$5:$I$15,MATCH($E67&amp;"|",KC_CURVAS!$K$5:$K$15,0)),""))</f>
        <v/>
      </c>
      <c r="R67" s="12">
        <f>IF(OR($J67="",$K67=""),"PENDENTE",IF($J67&lt;=$K67,$O67,IF($J67&lt;=$K67+$L67,$O67+($P67-$O67)*($J67-$K67)/$L67,IF($J67&lt;=$K67+$L67+$M67,$P67,IF($J67&lt;=$K67+$L67+$M67+$N67,$P67+($Q67-$P67)*($J67-($K67+$L67+$M67))/$N67,$Q67)))))</f>
        <v/>
      </c>
      <c r="S67" s="13">
        <f>ETO_SEM</f>
        <v/>
      </c>
      <c r="T67" s="14">
        <f>IF(OR($R67="",$R67="PENDENTE"),"",$R67*$S67)</f>
        <v/>
      </c>
      <c r="U67" s="13" t="n">
        <v>0</v>
      </c>
      <c r="V67" s="14">
        <f>IF($T67="","",MAX(0,$T67-N($U67)))</f>
        <v/>
      </c>
      <c r="W67" s="14">
        <f>IF($V67="","",$V67/EF_APLIC)</f>
        <v/>
      </c>
      <c r="X67" s="15" t="n">
        <v>83</v>
      </c>
      <c r="Y67" s="16">
        <f>IF(OR($W67="",$X67=""),"",$W67*$X67*10)</f>
        <v/>
      </c>
      <c r="Z67" s="17">
        <f>IFERROR(INDEX('PARAMETROS'!$B$16:$B$19,MATCH($D67,'PARAMETROS'!$A$16:$A$19,0)),"")</f>
        <v/>
      </c>
      <c r="AA67" s="16">
        <f>IF(OR($Y67="",$Z67=""),"",$Y67*$Z67)</f>
        <v/>
      </c>
      <c r="AB67" s="18">
        <f>IF($R67="PENDENTE","Definir classe/Kc",IF($W67="","-",IF($W67&gt;0,"Irrigar","Nao irrigar")))</f>
        <v/>
      </c>
      <c r="AC67" s="18">
        <f>IF(OR($W67="",$W67=0),"-",IF($W67&gt;=META_SEM,"Alta",IF($W67&gt;=META_SEM*FRAC_ACOMP,"Media","Baixa")))</f>
        <v/>
      </c>
      <c r="AD67" s="19" t="inlineStr"/>
    </row>
    <row r="68">
      <c r="A68" s="5" t="inlineStr">
        <is>
          <t>TK10</t>
        </is>
      </c>
      <c r="B68" s="5" t="inlineStr">
        <is>
          <t>KARITEL</t>
        </is>
      </c>
      <c r="C68" s="5" t="inlineStr"/>
      <c r="D68" s="5" t="inlineStr">
        <is>
          <t>KM1</t>
        </is>
      </c>
      <c r="E68" s="5" t="inlineStr">
        <is>
          <t>SOJA</t>
        </is>
      </c>
      <c r="F68" s="6" t="inlineStr">
        <is>
          <t>ATAQUE I2X</t>
        </is>
      </c>
      <c r="G68" s="7" t="inlineStr">
        <is>
          <t>TARDIA</t>
        </is>
      </c>
      <c r="H68" s="8" t="n">
        <v>46327</v>
      </c>
      <c r="I68" s="9">
        <f>IF($H68="","",DATA_REF-$H68)</f>
        <v/>
      </c>
      <c r="J68" s="9">
        <f>IF($I68="","",MAX(0,$I68-'PARAMETROS'!$B$12))</f>
        <v/>
      </c>
      <c r="K68" s="10">
        <f>IFERROR(INDEX(KC_CURVAS!$C$5:$C$15,MATCH($E68&amp;"|"&amp;$G68,KC_CURVAS!$K$5:$K$15,0)),IFERROR(INDEX(KC_CURVAS!$C$5:$C$15,MATCH($E68&amp;"|",KC_CURVAS!$K$5:$K$15,0)),""))</f>
        <v/>
      </c>
      <c r="L68" s="10">
        <f>IFERROR(INDEX(KC_CURVAS!$D$5:$D$15,MATCH($E68&amp;"|"&amp;$G68,KC_CURVAS!$K$5:$K$15,0)),IFERROR(INDEX(KC_CURVAS!$D$5:$D$15,MATCH($E68&amp;"|",KC_CURVAS!$K$5:$K$15,0)),""))</f>
        <v/>
      </c>
      <c r="M68" s="10">
        <f>IFERROR(INDEX(KC_CURVAS!$E$5:$E$15,MATCH($E68&amp;"|"&amp;$G68,KC_CURVAS!$K$5:$K$15,0)),IFERROR(INDEX(KC_CURVAS!$E$5:$E$15,MATCH($E68&amp;"|",KC_CURVAS!$K$5:$K$15,0)),""))</f>
        <v/>
      </c>
      <c r="N68" s="10">
        <f>IFERROR(INDEX(KC_CURVAS!$F$5:$F$15,MATCH($E68&amp;"|"&amp;$G68,KC_CURVAS!$K$5:$K$15,0)),IFERROR(INDEX(KC_CURVAS!$F$5:$F$15,MATCH($E68&amp;"|",KC_CURVAS!$K$5:$K$15,0)),""))</f>
        <v/>
      </c>
      <c r="O68" s="11">
        <f>IFERROR(INDEX(KC_CURVAS!$G$5:$G$15,MATCH($E68&amp;"|"&amp;$G68,KC_CURVAS!$K$5:$K$15,0)),IFERROR(INDEX(KC_CURVAS!$G$5:$G$15,MATCH($E68&amp;"|",KC_CURVAS!$K$5:$K$15,0)),""))</f>
        <v/>
      </c>
      <c r="P68" s="11">
        <f>IFERROR(INDEX(KC_CURVAS!$H$5:$H$15,MATCH($E68&amp;"|"&amp;$G68,KC_CURVAS!$K$5:$K$15,0)),IFERROR(INDEX(KC_CURVAS!$H$5:$H$15,MATCH($E68&amp;"|",KC_CURVAS!$K$5:$K$15,0)),""))</f>
        <v/>
      </c>
      <c r="Q68" s="11">
        <f>IFERROR(INDEX(KC_CURVAS!$I$5:$I$15,MATCH($E68&amp;"|"&amp;$G68,KC_CURVAS!$K$5:$K$15,0)),IFERROR(INDEX(KC_CURVAS!$I$5:$I$15,MATCH($E68&amp;"|",KC_CURVAS!$K$5:$K$15,0)),""))</f>
        <v/>
      </c>
      <c r="R68" s="12">
        <f>IF(OR($J68="",$K68=""),"PENDENTE",IF($J68&lt;=$K68,$O68,IF($J68&lt;=$K68+$L68,$O68+($P68-$O68)*($J68-$K68)/$L68,IF($J68&lt;=$K68+$L68+$M68,$P68,IF($J68&lt;=$K68+$L68+$M68+$N68,$P68+($Q68-$P68)*($J68-($K68+$L68+$M68))/$N68,$Q68)))))</f>
        <v/>
      </c>
      <c r="S68" s="13">
        <f>ETO_SEM</f>
        <v/>
      </c>
      <c r="T68" s="14">
        <f>IF(OR($R68="",$R68="PENDENTE"),"",$R68*$S68)</f>
        <v/>
      </c>
      <c r="U68" s="13" t="n">
        <v>0</v>
      </c>
      <c r="V68" s="14">
        <f>IF($T68="","",MAX(0,$T68-N($U68)))</f>
        <v/>
      </c>
      <c r="W68" s="14">
        <f>IF($V68="","",$V68/EF_APLIC)</f>
        <v/>
      </c>
      <c r="X68" s="15" t="n">
        <v>13</v>
      </c>
      <c r="Y68" s="16">
        <f>IF(OR($W68="",$X68=""),"",$W68*$X68*10)</f>
        <v/>
      </c>
      <c r="Z68" s="17">
        <f>IFERROR(INDEX('PARAMETROS'!$B$16:$B$19,MATCH($D68,'PARAMETROS'!$A$16:$A$19,0)),"")</f>
        <v/>
      </c>
      <c r="AA68" s="16">
        <f>IF(OR($Y68="",$Z68=""),"",$Y68*$Z68)</f>
        <v/>
      </c>
      <c r="AB68" s="18">
        <f>IF($R68="PENDENTE","Definir classe/Kc",IF($W68="","-",IF($W68&gt;0,"Irrigar","Nao irrigar")))</f>
        <v/>
      </c>
      <c r="AC68" s="18">
        <f>IF(OR($W68="",$W68=0),"-",IF($W68&gt;=META_SEM,"Alta",IF($W68&gt;=META_SEM*FRAC_ACOMP,"Media","Baixa")))</f>
        <v/>
      </c>
      <c r="AD68" s="19" t="inlineStr"/>
    </row>
    <row r="69">
      <c r="A69" s="5" t="inlineStr">
        <is>
          <t>TK03</t>
        </is>
      </c>
      <c r="B69" s="5" t="inlineStr">
        <is>
          <t>KARITEL</t>
        </is>
      </c>
      <c r="C69" s="5" t="inlineStr"/>
      <c r="D69" s="5" t="inlineStr">
        <is>
          <t>KM1</t>
        </is>
      </c>
      <c r="E69" s="5" t="inlineStr">
        <is>
          <t>SOJA</t>
        </is>
      </c>
      <c r="F69" s="6" t="inlineStr">
        <is>
          <t>MURALHA IPRO</t>
        </is>
      </c>
      <c r="G69" s="7" t="inlineStr">
        <is>
          <t>MÉDIA</t>
        </is>
      </c>
      <c r="H69" s="8" t="n">
        <v>46328</v>
      </c>
      <c r="I69" s="9">
        <f>IF($H69="","",DATA_REF-$H69)</f>
        <v/>
      </c>
      <c r="J69" s="9">
        <f>IF($I69="","",MAX(0,$I69-'PARAMETROS'!$B$12))</f>
        <v/>
      </c>
      <c r="K69" s="10">
        <f>IFERROR(INDEX(KC_CURVAS!$C$5:$C$15,MATCH($E69&amp;"|"&amp;$G69,KC_CURVAS!$K$5:$K$15,0)),IFERROR(INDEX(KC_CURVAS!$C$5:$C$15,MATCH($E69&amp;"|",KC_CURVAS!$K$5:$K$15,0)),""))</f>
        <v/>
      </c>
      <c r="L69" s="10">
        <f>IFERROR(INDEX(KC_CURVAS!$D$5:$D$15,MATCH($E69&amp;"|"&amp;$G69,KC_CURVAS!$K$5:$K$15,0)),IFERROR(INDEX(KC_CURVAS!$D$5:$D$15,MATCH($E69&amp;"|",KC_CURVAS!$K$5:$K$15,0)),""))</f>
        <v/>
      </c>
      <c r="M69" s="10">
        <f>IFERROR(INDEX(KC_CURVAS!$E$5:$E$15,MATCH($E69&amp;"|"&amp;$G69,KC_CURVAS!$K$5:$K$15,0)),IFERROR(INDEX(KC_CURVAS!$E$5:$E$15,MATCH($E69&amp;"|",KC_CURVAS!$K$5:$K$15,0)),""))</f>
        <v/>
      </c>
      <c r="N69" s="10">
        <f>IFERROR(INDEX(KC_CURVAS!$F$5:$F$15,MATCH($E69&amp;"|"&amp;$G69,KC_CURVAS!$K$5:$K$15,0)),IFERROR(INDEX(KC_CURVAS!$F$5:$F$15,MATCH($E69&amp;"|",KC_CURVAS!$K$5:$K$15,0)),""))</f>
        <v/>
      </c>
      <c r="O69" s="11">
        <f>IFERROR(INDEX(KC_CURVAS!$G$5:$G$15,MATCH($E69&amp;"|"&amp;$G69,KC_CURVAS!$K$5:$K$15,0)),IFERROR(INDEX(KC_CURVAS!$G$5:$G$15,MATCH($E69&amp;"|",KC_CURVAS!$K$5:$K$15,0)),""))</f>
        <v/>
      </c>
      <c r="P69" s="11">
        <f>IFERROR(INDEX(KC_CURVAS!$H$5:$H$15,MATCH($E69&amp;"|"&amp;$G69,KC_CURVAS!$K$5:$K$15,0)),IFERROR(INDEX(KC_CURVAS!$H$5:$H$15,MATCH($E69&amp;"|",KC_CURVAS!$K$5:$K$15,0)),""))</f>
        <v/>
      </c>
      <c r="Q69" s="11">
        <f>IFERROR(INDEX(KC_CURVAS!$I$5:$I$15,MATCH($E69&amp;"|"&amp;$G69,KC_CURVAS!$K$5:$K$15,0)),IFERROR(INDEX(KC_CURVAS!$I$5:$I$15,MATCH($E69&amp;"|",KC_CURVAS!$K$5:$K$15,0)),""))</f>
        <v/>
      </c>
      <c r="R69" s="12">
        <f>IF(OR($J69="",$K69=""),"PENDENTE",IF($J69&lt;=$K69,$O69,IF($J69&lt;=$K69+$L69,$O69+($P69-$O69)*($J69-$K69)/$L69,IF($J69&lt;=$K69+$L69+$M69,$P69,IF($J69&lt;=$K69+$L69+$M69+$N69,$P69+($Q69-$P69)*($J69-($K69+$L69+$M69))/$N69,$Q69)))))</f>
        <v/>
      </c>
      <c r="S69" s="13">
        <f>ETO_SEM</f>
        <v/>
      </c>
      <c r="T69" s="14">
        <f>IF(OR($R69="",$R69="PENDENTE"),"",$R69*$S69)</f>
        <v/>
      </c>
      <c r="U69" s="13" t="n">
        <v>0</v>
      </c>
      <c r="V69" s="14">
        <f>IF($T69="","",MAX(0,$T69-N($U69)))</f>
        <v/>
      </c>
      <c r="W69" s="14">
        <f>IF($V69="","",$V69/EF_APLIC)</f>
        <v/>
      </c>
      <c r="X69" s="15" t="n">
        <v>77</v>
      </c>
      <c r="Y69" s="16">
        <f>IF(OR($W69="",$X69=""),"",$W69*$X69*10)</f>
        <v/>
      </c>
      <c r="Z69" s="17">
        <f>IFERROR(INDEX('PARAMETROS'!$B$16:$B$19,MATCH($D69,'PARAMETROS'!$A$16:$A$19,0)),"")</f>
        <v/>
      </c>
      <c r="AA69" s="16">
        <f>IF(OR($Y69="",$Z69=""),"",$Y69*$Z69)</f>
        <v/>
      </c>
      <c r="AB69" s="18">
        <f>IF($R69="PENDENTE","Definir classe/Kc",IF($W69="","-",IF($W69&gt;0,"Irrigar","Nao irrigar")))</f>
        <v/>
      </c>
      <c r="AC69" s="18">
        <f>IF(OR($W69="",$W69=0),"-",IF($W69&gt;=META_SEM,"Alta",IF($W69&gt;=META_SEM*FRAC_ACOMP,"Media","Baixa")))</f>
        <v/>
      </c>
      <c r="AD69" s="19" t="inlineStr"/>
    </row>
    <row r="70">
      <c r="A70" s="5" t="inlineStr">
        <is>
          <t>TK11</t>
        </is>
      </c>
      <c r="B70" s="5" t="inlineStr">
        <is>
          <t>KARITEL</t>
        </is>
      </c>
      <c r="C70" s="5" t="inlineStr"/>
      <c r="D70" s="5" t="inlineStr">
        <is>
          <t>KM1</t>
        </is>
      </c>
      <c r="E70" s="5" t="inlineStr">
        <is>
          <t>SOJA</t>
        </is>
      </c>
      <c r="F70" s="6" t="inlineStr">
        <is>
          <t>BMX DOMINIO IPRO</t>
        </is>
      </c>
      <c r="G70" s="7" t="inlineStr">
        <is>
          <t>MÉDIA</t>
        </is>
      </c>
      <c r="H70" s="8" t="n">
        <v>46328</v>
      </c>
      <c r="I70" s="9">
        <f>IF($H70="","",DATA_REF-$H70)</f>
        <v/>
      </c>
      <c r="J70" s="9">
        <f>IF($I70="","",MAX(0,$I70-'PARAMETROS'!$B$12))</f>
        <v/>
      </c>
      <c r="K70" s="10">
        <f>IFERROR(INDEX(KC_CURVAS!$C$5:$C$15,MATCH($E70&amp;"|"&amp;$G70,KC_CURVAS!$K$5:$K$15,0)),IFERROR(INDEX(KC_CURVAS!$C$5:$C$15,MATCH($E70&amp;"|",KC_CURVAS!$K$5:$K$15,0)),""))</f>
        <v/>
      </c>
      <c r="L70" s="10">
        <f>IFERROR(INDEX(KC_CURVAS!$D$5:$D$15,MATCH($E70&amp;"|"&amp;$G70,KC_CURVAS!$K$5:$K$15,0)),IFERROR(INDEX(KC_CURVAS!$D$5:$D$15,MATCH($E70&amp;"|",KC_CURVAS!$K$5:$K$15,0)),""))</f>
        <v/>
      </c>
      <c r="M70" s="10">
        <f>IFERROR(INDEX(KC_CURVAS!$E$5:$E$15,MATCH($E70&amp;"|"&amp;$G70,KC_CURVAS!$K$5:$K$15,0)),IFERROR(INDEX(KC_CURVAS!$E$5:$E$15,MATCH($E70&amp;"|",KC_CURVAS!$K$5:$K$15,0)),""))</f>
        <v/>
      </c>
      <c r="N70" s="10">
        <f>IFERROR(INDEX(KC_CURVAS!$F$5:$F$15,MATCH($E70&amp;"|"&amp;$G70,KC_CURVAS!$K$5:$K$15,0)),IFERROR(INDEX(KC_CURVAS!$F$5:$F$15,MATCH($E70&amp;"|",KC_CURVAS!$K$5:$K$15,0)),""))</f>
        <v/>
      </c>
      <c r="O70" s="11">
        <f>IFERROR(INDEX(KC_CURVAS!$G$5:$G$15,MATCH($E70&amp;"|"&amp;$G70,KC_CURVAS!$K$5:$K$15,0)),IFERROR(INDEX(KC_CURVAS!$G$5:$G$15,MATCH($E70&amp;"|",KC_CURVAS!$K$5:$K$15,0)),""))</f>
        <v/>
      </c>
      <c r="P70" s="11">
        <f>IFERROR(INDEX(KC_CURVAS!$H$5:$H$15,MATCH($E70&amp;"|"&amp;$G70,KC_CURVAS!$K$5:$K$15,0)),IFERROR(INDEX(KC_CURVAS!$H$5:$H$15,MATCH($E70&amp;"|",KC_CURVAS!$K$5:$K$15,0)),""))</f>
        <v/>
      </c>
      <c r="Q70" s="11">
        <f>IFERROR(INDEX(KC_CURVAS!$I$5:$I$15,MATCH($E70&amp;"|"&amp;$G70,KC_CURVAS!$K$5:$K$15,0)),IFERROR(INDEX(KC_CURVAS!$I$5:$I$15,MATCH($E70&amp;"|",KC_CURVAS!$K$5:$K$15,0)),""))</f>
        <v/>
      </c>
      <c r="R70" s="12">
        <f>IF(OR($J70="",$K70=""),"PENDENTE",IF($J70&lt;=$K70,$O70,IF($J70&lt;=$K70+$L70,$O70+($P70-$O70)*($J70-$K70)/$L70,IF($J70&lt;=$K70+$L70+$M70,$P70,IF($J70&lt;=$K70+$L70+$M70+$N70,$P70+($Q70-$P70)*($J70-($K70+$L70+$M70))/$N70,$Q70)))))</f>
        <v/>
      </c>
      <c r="S70" s="13">
        <f>ETO_SEM</f>
        <v/>
      </c>
      <c r="T70" s="14">
        <f>IF(OR($R70="",$R70="PENDENTE"),"",$R70*$S70)</f>
        <v/>
      </c>
      <c r="U70" s="13" t="n">
        <v>0</v>
      </c>
      <c r="V70" s="14">
        <f>IF($T70="","",MAX(0,$T70-N($U70)))</f>
        <v/>
      </c>
      <c r="W70" s="14">
        <f>IF($V70="","",$V70/EF_APLIC)</f>
        <v/>
      </c>
      <c r="X70" s="15" t="n">
        <v>75</v>
      </c>
      <c r="Y70" s="16">
        <f>IF(OR($W70="",$X70=""),"",$W70*$X70*10)</f>
        <v/>
      </c>
      <c r="Z70" s="17">
        <f>IFERROR(INDEX('PARAMETROS'!$B$16:$B$19,MATCH($D70,'PARAMETROS'!$A$16:$A$19,0)),"")</f>
        <v/>
      </c>
      <c r="AA70" s="16">
        <f>IF(OR($Y70="",$Z70=""),"",$Y70*$Z70)</f>
        <v/>
      </c>
      <c r="AB70" s="18">
        <f>IF($R70="PENDENTE","Definir classe/Kc",IF($W70="","-",IF($W70&gt;0,"Irrigar","Nao irrigar")))</f>
        <v/>
      </c>
      <c r="AC70" s="18">
        <f>IF(OR($W70="",$W70=0),"-",IF($W70&gt;=META_SEM,"Alta",IF($W70&gt;=META_SEM*FRAC_ACOMP,"Media","Baixa")))</f>
        <v/>
      </c>
      <c r="AD70" s="19" t="inlineStr"/>
    </row>
    <row r="71">
      <c r="A71" s="5" t="inlineStr">
        <is>
          <t>TK21</t>
        </is>
      </c>
      <c r="B71" s="5" t="inlineStr">
        <is>
          <t>KARITEL</t>
        </is>
      </c>
      <c r="C71" s="5" t="inlineStr"/>
      <c r="D71" s="5" t="inlineStr">
        <is>
          <t>KM1</t>
        </is>
      </c>
      <c r="E71" s="5" t="inlineStr">
        <is>
          <t>SOJA</t>
        </is>
      </c>
      <c r="F71" s="6" t="inlineStr">
        <is>
          <t>BMX DOMINIO IPRO</t>
        </is>
      </c>
      <c r="G71" s="7" t="inlineStr">
        <is>
          <t>MÉDIA</t>
        </is>
      </c>
      <c r="H71" s="8" t="n">
        <v>46329</v>
      </c>
      <c r="I71" s="9">
        <f>IF($H71="","",DATA_REF-$H71)</f>
        <v/>
      </c>
      <c r="J71" s="9">
        <f>IF($I71="","",MAX(0,$I71-'PARAMETROS'!$B$12))</f>
        <v/>
      </c>
      <c r="K71" s="10">
        <f>IFERROR(INDEX(KC_CURVAS!$C$5:$C$15,MATCH($E71&amp;"|"&amp;$G71,KC_CURVAS!$K$5:$K$15,0)),IFERROR(INDEX(KC_CURVAS!$C$5:$C$15,MATCH($E71&amp;"|",KC_CURVAS!$K$5:$K$15,0)),""))</f>
        <v/>
      </c>
      <c r="L71" s="10">
        <f>IFERROR(INDEX(KC_CURVAS!$D$5:$D$15,MATCH($E71&amp;"|"&amp;$G71,KC_CURVAS!$K$5:$K$15,0)),IFERROR(INDEX(KC_CURVAS!$D$5:$D$15,MATCH($E71&amp;"|",KC_CURVAS!$K$5:$K$15,0)),""))</f>
        <v/>
      </c>
      <c r="M71" s="10">
        <f>IFERROR(INDEX(KC_CURVAS!$E$5:$E$15,MATCH($E71&amp;"|"&amp;$G71,KC_CURVAS!$K$5:$K$15,0)),IFERROR(INDEX(KC_CURVAS!$E$5:$E$15,MATCH($E71&amp;"|",KC_CURVAS!$K$5:$K$15,0)),""))</f>
        <v/>
      </c>
      <c r="N71" s="10">
        <f>IFERROR(INDEX(KC_CURVAS!$F$5:$F$15,MATCH($E71&amp;"|"&amp;$G71,KC_CURVAS!$K$5:$K$15,0)),IFERROR(INDEX(KC_CURVAS!$F$5:$F$15,MATCH($E71&amp;"|",KC_CURVAS!$K$5:$K$15,0)),""))</f>
        <v/>
      </c>
      <c r="O71" s="11">
        <f>IFERROR(INDEX(KC_CURVAS!$G$5:$G$15,MATCH($E71&amp;"|"&amp;$G71,KC_CURVAS!$K$5:$K$15,0)),IFERROR(INDEX(KC_CURVAS!$G$5:$G$15,MATCH($E71&amp;"|",KC_CURVAS!$K$5:$K$15,0)),""))</f>
        <v/>
      </c>
      <c r="P71" s="11">
        <f>IFERROR(INDEX(KC_CURVAS!$H$5:$H$15,MATCH($E71&amp;"|"&amp;$G71,KC_CURVAS!$K$5:$K$15,0)),IFERROR(INDEX(KC_CURVAS!$H$5:$H$15,MATCH($E71&amp;"|",KC_CURVAS!$K$5:$K$15,0)),""))</f>
        <v/>
      </c>
      <c r="Q71" s="11">
        <f>IFERROR(INDEX(KC_CURVAS!$I$5:$I$15,MATCH($E71&amp;"|"&amp;$G71,KC_CURVAS!$K$5:$K$15,0)),IFERROR(INDEX(KC_CURVAS!$I$5:$I$15,MATCH($E71&amp;"|",KC_CURVAS!$K$5:$K$15,0)),""))</f>
        <v/>
      </c>
      <c r="R71" s="12">
        <f>IF(OR($J71="",$K71=""),"PENDENTE",IF($J71&lt;=$K71,$O71,IF($J71&lt;=$K71+$L71,$O71+($P71-$O71)*($J71-$K71)/$L71,IF($J71&lt;=$K71+$L71+$M71,$P71,IF($J71&lt;=$K71+$L71+$M71+$N71,$P71+($Q71-$P71)*($J71-($K71+$L71+$M71))/$N71,$Q71)))))</f>
        <v/>
      </c>
      <c r="S71" s="13">
        <f>ETO_SEM</f>
        <v/>
      </c>
      <c r="T71" s="14">
        <f>IF(OR($R71="",$R71="PENDENTE"),"",$R71*$S71)</f>
        <v/>
      </c>
      <c r="U71" s="13" t="n">
        <v>0</v>
      </c>
      <c r="V71" s="14">
        <f>IF($T71="","",MAX(0,$T71-N($U71)))</f>
        <v/>
      </c>
      <c r="W71" s="14">
        <f>IF($V71="","",$V71/EF_APLIC)</f>
        <v/>
      </c>
      <c r="X71" s="15" t="n">
        <v>213</v>
      </c>
      <c r="Y71" s="16">
        <f>IF(OR($W71="",$X71=""),"",$W71*$X71*10)</f>
        <v/>
      </c>
      <c r="Z71" s="17">
        <f>IFERROR(INDEX('PARAMETROS'!$B$16:$B$19,MATCH($D71,'PARAMETROS'!$A$16:$A$19,0)),"")</f>
        <v/>
      </c>
      <c r="AA71" s="16">
        <f>IF(OR($Y71="",$Z71=""),"",$Y71*$Z71)</f>
        <v/>
      </c>
      <c r="AB71" s="18">
        <f>IF($R71="PENDENTE","Definir classe/Kc",IF($W71="","-",IF($W71&gt;0,"Irrigar","Nao irrigar")))</f>
        <v/>
      </c>
      <c r="AC71" s="18">
        <f>IF(OR($W71="",$W71=0),"-",IF($W71&gt;=META_SEM,"Alta",IF($W71&gt;=META_SEM*FRAC_ACOMP,"Media","Baixa")))</f>
        <v/>
      </c>
      <c r="AD71" s="19" t="inlineStr"/>
    </row>
    <row r="72">
      <c r="A72" s="5" t="inlineStr">
        <is>
          <t>TK22</t>
        </is>
      </c>
      <c r="B72" s="5" t="inlineStr">
        <is>
          <t>KARITEL</t>
        </is>
      </c>
      <c r="C72" s="5" t="inlineStr"/>
      <c r="D72" s="5" t="inlineStr">
        <is>
          <t>KM1</t>
        </is>
      </c>
      <c r="E72" s="5" t="inlineStr">
        <is>
          <t>SOJA</t>
        </is>
      </c>
      <c r="F72" s="6" t="inlineStr">
        <is>
          <t>BMX DOMINIO IPRO</t>
        </is>
      </c>
      <c r="G72" s="7" t="inlineStr">
        <is>
          <t>MÉDIA</t>
        </is>
      </c>
      <c r="H72" s="8" t="n">
        <v>46329</v>
      </c>
      <c r="I72" s="9">
        <f>IF($H72="","",DATA_REF-$H72)</f>
        <v/>
      </c>
      <c r="J72" s="9">
        <f>IF($I72="","",MAX(0,$I72-'PARAMETROS'!$B$12))</f>
        <v/>
      </c>
      <c r="K72" s="10">
        <f>IFERROR(INDEX(KC_CURVAS!$C$5:$C$15,MATCH($E72&amp;"|"&amp;$G72,KC_CURVAS!$K$5:$K$15,0)),IFERROR(INDEX(KC_CURVAS!$C$5:$C$15,MATCH($E72&amp;"|",KC_CURVAS!$K$5:$K$15,0)),""))</f>
        <v/>
      </c>
      <c r="L72" s="10">
        <f>IFERROR(INDEX(KC_CURVAS!$D$5:$D$15,MATCH($E72&amp;"|"&amp;$G72,KC_CURVAS!$K$5:$K$15,0)),IFERROR(INDEX(KC_CURVAS!$D$5:$D$15,MATCH($E72&amp;"|",KC_CURVAS!$K$5:$K$15,0)),""))</f>
        <v/>
      </c>
      <c r="M72" s="10">
        <f>IFERROR(INDEX(KC_CURVAS!$E$5:$E$15,MATCH($E72&amp;"|"&amp;$G72,KC_CURVAS!$K$5:$K$15,0)),IFERROR(INDEX(KC_CURVAS!$E$5:$E$15,MATCH($E72&amp;"|",KC_CURVAS!$K$5:$K$15,0)),""))</f>
        <v/>
      </c>
      <c r="N72" s="10">
        <f>IFERROR(INDEX(KC_CURVAS!$F$5:$F$15,MATCH($E72&amp;"|"&amp;$G72,KC_CURVAS!$K$5:$K$15,0)),IFERROR(INDEX(KC_CURVAS!$F$5:$F$15,MATCH($E72&amp;"|",KC_CURVAS!$K$5:$K$15,0)),""))</f>
        <v/>
      </c>
      <c r="O72" s="11">
        <f>IFERROR(INDEX(KC_CURVAS!$G$5:$G$15,MATCH($E72&amp;"|"&amp;$G72,KC_CURVAS!$K$5:$K$15,0)),IFERROR(INDEX(KC_CURVAS!$G$5:$G$15,MATCH($E72&amp;"|",KC_CURVAS!$K$5:$K$15,0)),""))</f>
        <v/>
      </c>
      <c r="P72" s="11">
        <f>IFERROR(INDEX(KC_CURVAS!$H$5:$H$15,MATCH($E72&amp;"|"&amp;$G72,KC_CURVAS!$K$5:$K$15,0)),IFERROR(INDEX(KC_CURVAS!$H$5:$H$15,MATCH($E72&amp;"|",KC_CURVAS!$K$5:$K$15,0)),""))</f>
        <v/>
      </c>
      <c r="Q72" s="11">
        <f>IFERROR(INDEX(KC_CURVAS!$I$5:$I$15,MATCH($E72&amp;"|"&amp;$G72,KC_CURVAS!$K$5:$K$15,0)),IFERROR(INDEX(KC_CURVAS!$I$5:$I$15,MATCH($E72&amp;"|",KC_CURVAS!$K$5:$K$15,0)),""))</f>
        <v/>
      </c>
      <c r="R72" s="12">
        <f>IF(OR($J72="",$K72=""),"PENDENTE",IF($J72&lt;=$K72,$O72,IF($J72&lt;=$K72+$L72,$O72+($P72-$O72)*($J72-$K72)/$L72,IF($J72&lt;=$K72+$L72+$M72,$P72,IF($J72&lt;=$K72+$L72+$M72+$N72,$P72+($Q72-$P72)*($J72-($K72+$L72+$M72))/$N72,$Q72)))))</f>
        <v/>
      </c>
      <c r="S72" s="13">
        <f>ETO_SEM</f>
        <v/>
      </c>
      <c r="T72" s="14">
        <f>IF(OR($R72="",$R72="PENDENTE"),"",$R72*$S72)</f>
        <v/>
      </c>
      <c r="U72" s="13" t="n">
        <v>0</v>
      </c>
      <c r="V72" s="14">
        <f>IF($T72="","",MAX(0,$T72-N($U72)))</f>
        <v/>
      </c>
      <c r="W72" s="14">
        <f>IF($V72="","",$V72/EF_APLIC)</f>
        <v/>
      </c>
      <c r="X72" s="15" t="n">
        <v>110</v>
      </c>
      <c r="Y72" s="16">
        <f>IF(OR($W72="",$X72=""),"",$W72*$X72*10)</f>
        <v/>
      </c>
      <c r="Z72" s="17">
        <f>IFERROR(INDEX('PARAMETROS'!$B$16:$B$19,MATCH($D72,'PARAMETROS'!$A$16:$A$19,0)),"")</f>
        <v/>
      </c>
      <c r="AA72" s="16">
        <f>IF(OR($Y72="",$Z72=""),"",$Y72*$Z72)</f>
        <v/>
      </c>
      <c r="AB72" s="18">
        <f>IF($R72="PENDENTE","Definir classe/Kc",IF($W72="","-",IF($W72&gt;0,"Irrigar","Nao irrigar")))</f>
        <v/>
      </c>
      <c r="AC72" s="18">
        <f>IF(OR($W72="",$W72=0),"-",IF($W72&gt;=META_SEM,"Alta",IF($W72&gt;=META_SEM*FRAC_ACOMP,"Media","Baixa")))</f>
        <v/>
      </c>
      <c r="AD72" s="19" t="inlineStr"/>
    </row>
    <row r="73">
      <c r="A73" s="5" t="inlineStr">
        <is>
          <t>TK23</t>
        </is>
      </c>
      <c r="B73" s="5" t="inlineStr">
        <is>
          <t>KARITEL</t>
        </is>
      </c>
      <c r="C73" s="5" t="inlineStr"/>
      <c r="D73" s="5" t="inlineStr">
        <is>
          <t>KM1</t>
        </is>
      </c>
      <c r="E73" s="5" t="inlineStr">
        <is>
          <t>SOJA</t>
        </is>
      </c>
      <c r="F73" s="6" t="inlineStr">
        <is>
          <t>BMX DOMINIO IPRO</t>
        </is>
      </c>
      <c r="G73" s="7" t="inlineStr">
        <is>
          <t>MÉDIA</t>
        </is>
      </c>
      <c r="H73" s="8" t="n">
        <v>46329</v>
      </c>
      <c r="I73" s="9">
        <f>IF($H73="","",DATA_REF-$H73)</f>
        <v/>
      </c>
      <c r="J73" s="9">
        <f>IF($I73="","",MAX(0,$I73-'PARAMETROS'!$B$12))</f>
        <v/>
      </c>
      <c r="K73" s="10">
        <f>IFERROR(INDEX(KC_CURVAS!$C$5:$C$15,MATCH($E73&amp;"|"&amp;$G73,KC_CURVAS!$K$5:$K$15,0)),IFERROR(INDEX(KC_CURVAS!$C$5:$C$15,MATCH($E73&amp;"|",KC_CURVAS!$K$5:$K$15,0)),""))</f>
        <v/>
      </c>
      <c r="L73" s="10">
        <f>IFERROR(INDEX(KC_CURVAS!$D$5:$D$15,MATCH($E73&amp;"|"&amp;$G73,KC_CURVAS!$K$5:$K$15,0)),IFERROR(INDEX(KC_CURVAS!$D$5:$D$15,MATCH($E73&amp;"|",KC_CURVAS!$K$5:$K$15,0)),""))</f>
        <v/>
      </c>
      <c r="M73" s="10">
        <f>IFERROR(INDEX(KC_CURVAS!$E$5:$E$15,MATCH($E73&amp;"|"&amp;$G73,KC_CURVAS!$K$5:$K$15,0)),IFERROR(INDEX(KC_CURVAS!$E$5:$E$15,MATCH($E73&amp;"|",KC_CURVAS!$K$5:$K$15,0)),""))</f>
        <v/>
      </c>
      <c r="N73" s="10">
        <f>IFERROR(INDEX(KC_CURVAS!$F$5:$F$15,MATCH($E73&amp;"|"&amp;$G73,KC_CURVAS!$K$5:$K$15,0)),IFERROR(INDEX(KC_CURVAS!$F$5:$F$15,MATCH($E73&amp;"|",KC_CURVAS!$K$5:$K$15,0)),""))</f>
        <v/>
      </c>
      <c r="O73" s="11">
        <f>IFERROR(INDEX(KC_CURVAS!$G$5:$G$15,MATCH($E73&amp;"|"&amp;$G73,KC_CURVAS!$K$5:$K$15,0)),IFERROR(INDEX(KC_CURVAS!$G$5:$G$15,MATCH($E73&amp;"|",KC_CURVAS!$K$5:$K$15,0)),""))</f>
        <v/>
      </c>
      <c r="P73" s="11">
        <f>IFERROR(INDEX(KC_CURVAS!$H$5:$H$15,MATCH($E73&amp;"|"&amp;$G73,KC_CURVAS!$K$5:$K$15,0)),IFERROR(INDEX(KC_CURVAS!$H$5:$H$15,MATCH($E73&amp;"|",KC_CURVAS!$K$5:$K$15,0)),""))</f>
        <v/>
      </c>
      <c r="Q73" s="11">
        <f>IFERROR(INDEX(KC_CURVAS!$I$5:$I$15,MATCH($E73&amp;"|"&amp;$G73,KC_CURVAS!$K$5:$K$15,0)),IFERROR(INDEX(KC_CURVAS!$I$5:$I$15,MATCH($E73&amp;"|",KC_CURVAS!$K$5:$K$15,0)),""))</f>
        <v/>
      </c>
      <c r="R73" s="12">
        <f>IF(OR($J73="",$K73=""),"PENDENTE",IF($J73&lt;=$K73,$O73,IF($J73&lt;=$K73+$L73,$O73+($P73-$O73)*($J73-$K73)/$L73,IF($J73&lt;=$K73+$L73+$M73,$P73,IF($J73&lt;=$K73+$L73+$M73+$N73,$P73+($Q73-$P73)*($J73-($K73+$L73+$M73))/$N73,$Q73)))))</f>
        <v/>
      </c>
      <c r="S73" s="13">
        <f>ETO_SEM</f>
        <v/>
      </c>
      <c r="T73" s="14">
        <f>IF(OR($R73="",$R73="PENDENTE"),"",$R73*$S73)</f>
        <v/>
      </c>
      <c r="U73" s="13" t="n">
        <v>0</v>
      </c>
      <c r="V73" s="14">
        <f>IF($T73="","",MAX(0,$T73-N($U73)))</f>
        <v/>
      </c>
      <c r="W73" s="14">
        <f>IF($V73="","",$V73/EF_APLIC)</f>
        <v/>
      </c>
      <c r="X73" s="15" t="n">
        <v>40</v>
      </c>
      <c r="Y73" s="16">
        <f>IF(OR($W73="",$X73=""),"",$W73*$X73*10)</f>
        <v/>
      </c>
      <c r="Z73" s="17">
        <f>IFERROR(INDEX('PARAMETROS'!$B$16:$B$19,MATCH($D73,'PARAMETROS'!$A$16:$A$19,0)),"")</f>
        <v/>
      </c>
      <c r="AA73" s="16">
        <f>IF(OR($Y73="",$Z73=""),"",$Y73*$Z73)</f>
        <v/>
      </c>
      <c r="AB73" s="18">
        <f>IF($R73="PENDENTE","Definir classe/Kc",IF($W73="","-",IF($W73&gt;0,"Irrigar","Nao irrigar")))</f>
        <v/>
      </c>
      <c r="AC73" s="18">
        <f>IF(OR($W73="",$W73=0),"-",IF($W73&gt;=META_SEM,"Alta",IF($W73&gt;=META_SEM*FRAC_ACOMP,"Media","Baixa")))</f>
        <v/>
      </c>
      <c r="AD73" s="19" t="inlineStr"/>
    </row>
    <row r="74">
      <c r="A74" s="5" t="inlineStr">
        <is>
          <t>TK24</t>
        </is>
      </c>
      <c r="B74" s="5" t="inlineStr">
        <is>
          <t>KARITEL</t>
        </is>
      </c>
      <c r="C74" s="5" t="inlineStr"/>
      <c r="D74" s="5" t="inlineStr">
        <is>
          <t>KM1</t>
        </is>
      </c>
      <c r="E74" s="5" t="inlineStr">
        <is>
          <t>SOJA</t>
        </is>
      </c>
      <c r="F74" s="6" t="inlineStr">
        <is>
          <t>BMX DOMINIO IPRO</t>
        </is>
      </c>
      <c r="G74" s="7" t="inlineStr">
        <is>
          <t>MÉDIA</t>
        </is>
      </c>
      <c r="H74" s="8" t="n">
        <v>46330</v>
      </c>
      <c r="I74" s="9">
        <f>IF($H74="","",DATA_REF-$H74)</f>
        <v/>
      </c>
      <c r="J74" s="9">
        <f>IF($I74="","",MAX(0,$I74-'PARAMETROS'!$B$12))</f>
        <v/>
      </c>
      <c r="K74" s="10">
        <f>IFERROR(INDEX(KC_CURVAS!$C$5:$C$15,MATCH($E74&amp;"|"&amp;$G74,KC_CURVAS!$K$5:$K$15,0)),IFERROR(INDEX(KC_CURVAS!$C$5:$C$15,MATCH($E74&amp;"|",KC_CURVAS!$K$5:$K$15,0)),""))</f>
        <v/>
      </c>
      <c r="L74" s="10">
        <f>IFERROR(INDEX(KC_CURVAS!$D$5:$D$15,MATCH($E74&amp;"|"&amp;$G74,KC_CURVAS!$K$5:$K$15,0)),IFERROR(INDEX(KC_CURVAS!$D$5:$D$15,MATCH($E74&amp;"|",KC_CURVAS!$K$5:$K$15,0)),""))</f>
        <v/>
      </c>
      <c r="M74" s="10">
        <f>IFERROR(INDEX(KC_CURVAS!$E$5:$E$15,MATCH($E74&amp;"|"&amp;$G74,KC_CURVAS!$K$5:$K$15,0)),IFERROR(INDEX(KC_CURVAS!$E$5:$E$15,MATCH($E74&amp;"|",KC_CURVAS!$K$5:$K$15,0)),""))</f>
        <v/>
      </c>
      <c r="N74" s="10">
        <f>IFERROR(INDEX(KC_CURVAS!$F$5:$F$15,MATCH($E74&amp;"|"&amp;$G74,KC_CURVAS!$K$5:$K$15,0)),IFERROR(INDEX(KC_CURVAS!$F$5:$F$15,MATCH($E74&amp;"|",KC_CURVAS!$K$5:$K$15,0)),""))</f>
        <v/>
      </c>
      <c r="O74" s="11">
        <f>IFERROR(INDEX(KC_CURVAS!$G$5:$G$15,MATCH($E74&amp;"|"&amp;$G74,KC_CURVAS!$K$5:$K$15,0)),IFERROR(INDEX(KC_CURVAS!$G$5:$G$15,MATCH($E74&amp;"|",KC_CURVAS!$K$5:$K$15,0)),""))</f>
        <v/>
      </c>
      <c r="P74" s="11">
        <f>IFERROR(INDEX(KC_CURVAS!$H$5:$H$15,MATCH($E74&amp;"|"&amp;$G74,KC_CURVAS!$K$5:$K$15,0)),IFERROR(INDEX(KC_CURVAS!$H$5:$H$15,MATCH($E74&amp;"|",KC_CURVAS!$K$5:$K$15,0)),""))</f>
        <v/>
      </c>
      <c r="Q74" s="11">
        <f>IFERROR(INDEX(KC_CURVAS!$I$5:$I$15,MATCH($E74&amp;"|"&amp;$G74,KC_CURVAS!$K$5:$K$15,0)),IFERROR(INDEX(KC_CURVAS!$I$5:$I$15,MATCH($E74&amp;"|",KC_CURVAS!$K$5:$K$15,0)),""))</f>
        <v/>
      </c>
      <c r="R74" s="12">
        <f>IF(OR($J74="",$K74=""),"PENDENTE",IF($J74&lt;=$K74,$O74,IF($J74&lt;=$K74+$L74,$O74+($P74-$O74)*($J74-$K74)/$L74,IF($J74&lt;=$K74+$L74+$M74,$P74,IF($J74&lt;=$K74+$L74+$M74+$N74,$P74+($Q74-$P74)*($J74-($K74+$L74+$M74))/$N74,$Q74)))))</f>
        <v/>
      </c>
      <c r="S74" s="13">
        <f>ETO_SEM</f>
        <v/>
      </c>
      <c r="T74" s="14">
        <f>IF(OR($R74="",$R74="PENDENTE"),"",$R74*$S74)</f>
        <v/>
      </c>
      <c r="U74" s="13" t="n">
        <v>0</v>
      </c>
      <c r="V74" s="14">
        <f>IF($T74="","",MAX(0,$T74-N($U74)))</f>
        <v/>
      </c>
      <c r="W74" s="14">
        <f>IF($V74="","",$V74/EF_APLIC)</f>
        <v/>
      </c>
      <c r="X74" s="15" t="n">
        <v>59</v>
      </c>
      <c r="Y74" s="16">
        <f>IF(OR($W74="",$X74=""),"",$W74*$X74*10)</f>
        <v/>
      </c>
      <c r="Z74" s="17">
        <f>IFERROR(INDEX('PARAMETROS'!$B$16:$B$19,MATCH($D74,'PARAMETROS'!$A$16:$A$19,0)),"")</f>
        <v/>
      </c>
      <c r="AA74" s="16">
        <f>IF(OR($Y74="",$Z74=""),"",$Y74*$Z74)</f>
        <v/>
      </c>
      <c r="AB74" s="18">
        <f>IF($R74="PENDENTE","Definir classe/Kc",IF($W74="","-",IF($W74&gt;0,"Irrigar","Nao irrigar")))</f>
        <v/>
      </c>
      <c r="AC74" s="18">
        <f>IF(OR($W74="",$W74=0),"-",IF($W74&gt;=META_SEM,"Alta",IF($W74&gt;=META_SEM*FRAC_ACOMP,"Media","Baixa")))</f>
        <v/>
      </c>
      <c r="AD74" s="19" t="inlineStr"/>
    </row>
    <row r="75">
      <c r="A75" s="5" t="inlineStr">
        <is>
          <t>TK25</t>
        </is>
      </c>
      <c r="B75" s="5" t="inlineStr">
        <is>
          <t>KARITEL</t>
        </is>
      </c>
      <c r="C75" s="5" t="inlineStr"/>
      <c r="D75" s="5" t="inlineStr">
        <is>
          <t>KM1</t>
        </is>
      </c>
      <c r="E75" s="5" t="inlineStr">
        <is>
          <t>SOJA</t>
        </is>
      </c>
      <c r="F75" s="6" t="inlineStr">
        <is>
          <t>BMX DOMINIO IPRO</t>
        </is>
      </c>
      <c r="G75" s="7" t="inlineStr">
        <is>
          <t>MÉDIA</t>
        </is>
      </c>
      <c r="H75" s="8" t="n">
        <v>46330</v>
      </c>
      <c r="I75" s="9">
        <f>IF($H75="","",DATA_REF-$H75)</f>
        <v/>
      </c>
      <c r="J75" s="9">
        <f>IF($I75="","",MAX(0,$I75-'PARAMETROS'!$B$12))</f>
        <v/>
      </c>
      <c r="K75" s="10">
        <f>IFERROR(INDEX(KC_CURVAS!$C$5:$C$15,MATCH($E75&amp;"|"&amp;$G75,KC_CURVAS!$K$5:$K$15,0)),IFERROR(INDEX(KC_CURVAS!$C$5:$C$15,MATCH($E75&amp;"|",KC_CURVAS!$K$5:$K$15,0)),""))</f>
        <v/>
      </c>
      <c r="L75" s="10">
        <f>IFERROR(INDEX(KC_CURVAS!$D$5:$D$15,MATCH($E75&amp;"|"&amp;$G75,KC_CURVAS!$K$5:$K$15,0)),IFERROR(INDEX(KC_CURVAS!$D$5:$D$15,MATCH($E75&amp;"|",KC_CURVAS!$K$5:$K$15,0)),""))</f>
        <v/>
      </c>
      <c r="M75" s="10">
        <f>IFERROR(INDEX(KC_CURVAS!$E$5:$E$15,MATCH($E75&amp;"|"&amp;$G75,KC_CURVAS!$K$5:$K$15,0)),IFERROR(INDEX(KC_CURVAS!$E$5:$E$15,MATCH($E75&amp;"|",KC_CURVAS!$K$5:$K$15,0)),""))</f>
        <v/>
      </c>
      <c r="N75" s="10">
        <f>IFERROR(INDEX(KC_CURVAS!$F$5:$F$15,MATCH($E75&amp;"|"&amp;$G75,KC_CURVAS!$K$5:$K$15,0)),IFERROR(INDEX(KC_CURVAS!$F$5:$F$15,MATCH($E75&amp;"|",KC_CURVAS!$K$5:$K$15,0)),""))</f>
        <v/>
      </c>
      <c r="O75" s="11">
        <f>IFERROR(INDEX(KC_CURVAS!$G$5:$G$15,MATCH($E75&amp;"|"&amp;$G75,KC_CURVAS!$K$5:$K$15,0)),IFERROR(INDEX(KC_CURVAS!$G$5:$G$15,MATCH($E75&amp;"|",KC_CURVAS!$K$5:$K$15,0)),""))</f>
        <v/>
      </c>
      <c r="P75" s="11">
        <f>IFERROR(INDEX(KC_CURVAS!$H$5:$H$15,MATCH($E75&amp;"|"&amp;$G75,KC_CURVAS!$K$5:$K$15,0)),IFERROR(INDEX(KC_CURVAS!$H$5:$H$15,MATCH($E75&amp;"|",KC_CURVAS!$K$5:$K$15,0)),""))</f>
        <v/>
      </c>
      <c r="Q75" s="11">
        <f>IFERROR(INDEX(KC_CURVAS!$I$5:$I$15,MATCH($E75&amp;"|"&amp;$G75,KC_CURVAS!$K$5:$K$15,0)),IFERROR(INDEX(KC_CURVAS!$I$5:$I$15,MATCH($E75&amp;"|",KC_CURVAS!$K$5:$K$15,0)),""))</f>
        <v/>
      </c>
      <c r="R75" s="12">
        <f>IF(OR($J75="",$K75=""),"PENDENTE",IF($J75&lt;=$K75,$O75,IF($J75&lt;=$K75+$L75,$O75+($P75-$O75)*($J75-$K75)/$L75,IF($J75&lt;=$K75+$L75+$M75,$P75,IF($J75&lt;=$K75+$L75+$M75+$N75,$P75+($Q75-$P75)*($J75-($K75+$L75+$M75))/$N75,$Q75)))))</f>
        <v/>
      </c>
      <c r="S75" s="13">
        <f>ETO_SEM</f>
        <v/>
      </c>
      <c r="T75" s="14">
        <f>IF(OR($R75="",$R75="PENDENTE"),"",$R75*$S75)</f>
        <v/>
      </c>
      <c r="U75" s="13" t="n">
        <v>0</v>
      </c>
      <c r="V75" s="14">
        <f>IF($T75="","",MAX(0,$T75-N($U75)))</f>
        <v/>
      </c>
      <c r="W75" s="14">
        <f>IF($V75="","",$V75/EF_APLIC)</f>
        <v/>
      </c>
      <c r="X75" s="15" t="n">
        <v>27</v>
      </c>
      <c r="Y75" s="16">
        <f>IF(OR($W75="",$X75=""),"",$W75*$X75*10)</f>
        <v/>
      </c>
      <c r="Z75" s="17">
        <f>IFERROR(INDEX('PARAMETROS'!$B$16:$B$19,MATCH($D75,'PARAMETROS'!$A$16:$A$19,0)),"")</f>
        <v/>
      </c>
      <c r="AA75" s="16">
        <f>IF(OR($Y75="",$Z75=""),"",$Y75*$Z75)</f>
        <v/>
      </c>
      <c r="AB75" s="18">
        <f>IF($R75="PENDENTE","Definir classe/Kc",IF($W75="","-",IF($W75&gt;0,"Irrigar","Nao irrigar")))</f>
        <v/>
      </c>
      <c r="AC75" s="18">
        <f>IF(OR($W75="",$W75=0),"-",IF($W75&gt;=META_SEM,"Alta",IF($W75&gt;=META_SEM*FRAC_ACOMP,"Media","Baixa")))</f>
        <v/>
      </c>
      <c r="AD75" s="19" t="inlineStr"/>
    </row>
    <row r="76">
      <c r="A76" s="5" t="inlineStr">
        <is>
          <t>TK25</t>
        </is>
      </c>
      <c r="B76" s="5" t="inlineStr">
        <is>
          <t>KARITEL</t>
        </is>
      </c>
      <c r="C76" s="5" t="inlineStr"/>
      <c r="D76" s="5" t="inlineStr">
        <is>
          <t>KM1</t>
        </is>
      </c>
      <c r="E76" s="5" t="inlineStr">
        <is>
          <t>SOJA</t>
        </is>
      </c>
      <c r="F76" s="6" t="inlineStr">
        <is>
          <t>BMX DOMINIO IPRO</t>
        </is>
      </c>
      <c r="G76" s="7" t="inlineStr">
        <is>
          <t>MÉDIA</t>
        </is>
      </c>
      <c r="H76" s="8" t="n">
        <v>46330</v>
      </c>
      <c r="I76" s="9">
        <f>IF($H76="","",DATA_REF-$H76)</f>
        <v/>
      </c>
      <c r="J76" s="9">
        <f>IF($I76="","",MAX(0,$I76-'PARAMETROS'!$B$12))</f>
        <v/>
      </c>
      <c r="K76" s="10">
        <f>IFERROR(INDEX(KC_CURVAS!$C$5:$C$15,MATCH($E76&amp;"|"&amp;$G76,KC_CURVAS!$K$5:$K$15,0)),IFERROR(INDEX(KC_CURVAS!$C$5:$C$15,MATCH($E76&amp;"|",KC_CURVAS!$K$5:$K$15,0)),""))</f>
        <v/>
      </c>
      <c r="L76" s="10">
        <f>IFERROR(INDEX(KC_CURVAS!$D$5:$D$15,MATCH($E76&amp;"|"&amp;$G76,KC_CURVAS!$K$5:$K$15,0)),IFERROR(INDEX(KC_CURVAS!$D$5:$D$15,MATCH($E76&amp;"|",KC_CURVAS!$K$5:$K$15,0)),""))</f>
        <v/>
      </c>
      <c r="M76" s="10">
        <f>IFERROR(INDEX(KC_CURVAS!$E$5:$E$15,MATCH($E76&amp;"|"&amp;$G76,KC_CURVAS!$K$5:$K$15,0)),IFERROR(INDEX(KC_CURVAS!$E$5:$E$15,MATCH($E76&amp;"|",KC_CURVAS!$K$5:$K$15,0)),""))</f>
        <v/>
      </c>
      <c r="N76" s="10">
        <f>IFERROR(INDEX(KC_CURVAS!$F$5:$F$15,MATCH($E76&amp;"|"&amp;$G76,KC_CURVAS!$K$5:$K$15,0)),IFERROR(INDEX(KC_CURVAS!$F$5:$F$15,MATCH($E76&amp;"|",KC_CURVAS!$K$5:$K$15,0)),""))</f>
        <v/>
      </c>
      <c r="O76" s="11">
        <f>IFERROR(INDEX(KC_CURVAS!$G$5:$G$15,MATCH($E76&amp;"|"&amp;$G76,KC_CURVAS!$K$5:$K$15,0)),IFERROR(INDEX(KC_CURVAS!$G$5:$G$15,MATCH($E76&amp;"|",KC_CURVAS!$K$5:$K$15,0)),""))</f>
        <v/>
      </c>
      <c r="P76" s="11">
        <f>IFERROR(INDEX(KC_CURVAS!$H$5:$H$15,MATCH($E76&amp;"|"&amp;$G76,KC_CURVAS!$K$5:$K$15,0)),IFERROR(INDEX(KC_CURVAS!$H$5:$H$15,MATCH($E76&amp;"|",KC_CURVAS!$K$5:$K$15,0)),""))</f>
        <v/>
      </c>
      <c r="Q76" s="11">
        <f>IFERROR(INDEX(KC_CURVAS!$I$5:$I$15,MATCH($E76&amp;"|"&amp;$G76,KC_CURVAS!$K$5:$K$15,0)),IFERROR(INDEX(KC_CURVAS!$I$5:$I$15,MATCH($E76&amp;"|",KC_CURVAS!$K$5:$K$15,0)),""))</f>
        <v/>
      </c>
      <c r="R76" s="12">
        <f>IF(OR($J76="",$K76=""),"PENDENTE",IF($J76&lt;=$K76,$O76,IF($J76&lt;=$K76+$L76,$O76+($P76-$O76)*($J76-$K76)/$L76,IF($J76&lt;=$K76+$L76+$M76,$P76,IF($J76&lt;=$K76+$L76+$M76+$N76,$P76+($Q76-$P76)*($J76-($K76+$L76+$M76))/$N76,$Q76)))))</f>
        <v/>
      </c>
      <c r="S76" s="13">
        <f>ETO_SEM</f>
        <v/>
      </c>
      <c r="T76" s="14">
        <f>IF(OR($R76="",$R76="PENDENTE"),"",$R76*$S76)</f>
        <v/>
      </c>
      <c r="U76" s="13" t="n">
        <v>0</v>
      </c>
      <c r="V76" s="14">
        <f>IF($T76="","",MAX(0,$T76-N($U76)))</f>
        <v/>
      </c>
      <c r="W76" s="14">
        <f>IF($V76="","",$V76/EF_APLIC)</f>
        <v/>
      </c>
      <c r="X76" s="15" t="n">
        <v>171</v>
      </c>
      <c r="Y76" s="16">
        <f>IF(OR($W76="",$X76=""),"",$W76*$X76*10)</f>
        <v/>
      </c>
      <c r="Z76" s="17">
        <f>IFERROR(INDEX('PARAMETROS'!$B$16:$B$19,MATCH($D76,'PARAMETROS'!$A$16:$A$19,0)),"")</f>
        <v/>
      </c>
      <c r="AA76" s="16">
        <f>IF(OR($Y76="",$Z76=""),"",$Y76*$Z76)</f>
        <v/>
      </c>
      <c r="AB76" s="18">
        <f>IF($R76="PENDENTE","Definir classe/Kc",IF($W76="","-",IF($W76&gt;0,"Irrigar","Nao irrigar")))</f>
        <v/>
      </c>
      <c r="AC76" s="18">
        <f>IF(OR($W76="",$W76=0),"-",IF($W76&gt;=META_SEM,"Alta",IF($W76&gt;=META_SEM*FRAC_ACOMP,"Media","Baixa")))</f>
        <v/>
      </c>
      <c r="AD76" s="19" t="inlineStr"/>
    </row>
    <row r="77">
      <c r="A77" s="5" t="inlineStr">
        <is>
          <t>TK27</t>
        </is>
      </c>
      <c r="B77" s="5" t="inlineStr">
        <is>
          <t>KARITEL</t>
        </is>
      </c>
      <c r="C77" s="5" t="inlineStr"/>
      <c r="D77" s="5" t="inlineStr">
        <is>
          <t>KM1</t>
        </is>
      </c>
      <c r="E77" s="5" t="inlineStr">
        <is>
          <t>SOJA</t>
        </is>
      </c>
      <c r="F77" s="6" t="inlineStr">
        <is>
          <t>BMX DOMINIO IPRO</t>
        </is>
      </c>
      <c r="G77" s="7" t="inlineStr">
        <is>
          <t>MÉDIA</t>
        </is>
      </c>
      <c r="H77" s="8" t="n">
        <v>46330</v>
      </c>
      <c r="I77" s="9">
        <f>IF($H77="","",DATA_REF-$H77)</f>
        <v/>
      </c>
      <c r="J77" s="9">
        <f>IF($I77="","",MAX(0,$I77-'PARAMETROS'!$B$12))</f>
        <v/>
      </c>
      <c r="K77" s="10">
        <f>IFERROR(INDEX(KC_CURVAS!$C$5:$C$15,MATCH($E77&amp;"|"&amp;$G77,KC_CURVAS!$K$5:$K$15,0)),IFERROR(INDEX(KC_CURVAS!$C$5:$C$15,MATCH($E77&amp;"|",KC_CURVAS!$K$5:$K$15,0)),""))</f>
        <v/>
      </c>
      <c r="L77" s="10">
        <f>IFERROR(INDEX(KC_CURVAS!$D$5:$D$15,MATCH($E77&amp;"|"&amp;$G77,KC_CURVAS!$K$5:$K$15,0)),IFERROR(INDEX(KC_CURVAS!$D$5:$D$15,MATCH($E77&amp;"|",KC_CURVAS!$K$5:$K$15,0)),""))</f>
        <v/>
      </c>
      <c r="M77" s="10">
        <f>IFERROR(INDEX(KC_CURVAS!$E$5:$E$15,MATCH($E77&amp;"|"&amp;$G77,KC_CURVAS!$K$5:$K$15,0)),IFERROR(INDEX(KC_CURVAS!$E$5:$E$15,MATCH($E77&amp;"|",KC_CURVAS!$K$5:$K$15,0)),""))</f>
        <v/>
      </c>
      <c r="N77" s="10">
        <f>IFERROR(INDEX(KC_CURVAS!$F$5:$F$15,MATCH($E77&amp;"|"&amp;$G77,KC_CURVAS!$K$5:$K$15,0)),IFERROR(INDEX(KC_CURVAS!$F$5:$F$15,MATCH($E77&amp;"|",KC_CURVAS!$K$5:$K$15,0)),""))</f>
        <v/>
      </c>
      <c r="O77" s="11">
        <f>IFERROR(INDEX(KC_CURVAS!$G$5:$G$15,MATCH($E77&amp;"|"&amp;$G77,KC_CURVAS!$K$5:$K$15,0)),IFERROR(INDEX(KC_CURVAS!$G$5:$G$15,MATCH($E77&amp;"|",KC_CURVAS!$K$5:$K$15,0)),""))</f>
        <v/>
      </c>
      <c r="P77" s="11">
        <f>IFERROR(INDEX(KC_CURVAS!$H$5:$H$15,MATCH($E77&amp;"|"&amp;$G77,KC_CURVAS!$K$5:$K$15,0)),IFERROR(INDEX(KC_CURVAS!$H$5:$H$15,MATCH($E77&amp;"|",KC_CURVAS!$K$5:$K$15,0)),""))</f>
        <v/>
      </c>
      <c r="Q77" s="11">
        <f>IFERROR(INDEX(KC_CURVAS!$I$5:$I$15,MATCH($E77&amp;"|"&amp;$G77,KC_CURVAS!$K$5:$K$15,0)),IFERROR(INDEX(KC_CURVAS!$I$5:$I$15,MATCH($E77&amp;"|",KC_CURVAS!$K$5:$K$15,0)),""))</f>
        <v/>
      </c>
      <c r="R77" s="12">
        <f>IF(OR($J77="",$K77=""),"PENDENTE",IF($J77&lt;=$K77,$O77,IF($J77&lt;=$K77+$L77,$O77+($P77-$O77)*($J77-$K77)/$L77,IF($J77&lt;=$K77+$L77+$M77,$P77,IF($J77&lt;=$K77+$L77+$M77+$N77,$P77+($Q77-$P77)*($J77-($K77+$L77+$M77))/$N77,$Q77)))))</f>
        <v/>
      </c>
      <c r="S77" s="13">
        <f>ETO_SEM</f>
        <v/>
      </c>
      <c r="T77" s="14">
        <f>IF(OR($R77="",$R77="PENDENTE"),"",$R77*$S77)</f>
        <v/>
      </c>
      <c r="U77" s="13" t="n">
        <v>0</v>
      </c>
      <c r="V77" s="14">
        <f>IF($T77="","",MAX(0,$T77-N($U77)))</f>
        <v/>
      </c>
      <c r="W77" s="14">
        <f>IF($V77="","",$V77/EF_APLIC)</f>
        <v/>
      </c>
      <c r="X77" s="15" t="n">
        <v>313</v>
      </c>
      <c r="Y77" s="16">
        <f>IF(OR($W77="",$X77=""),"",$W77*$X77*10)</f>
        <v/>
      </c>
      <c r="Z77" s="17">
        <f>IFERROR(INDEX('PARAMETROS'!$B$16:$B$19,MATCH($D77,'PARAMETROS'!$A$16:$A$19,0)),"")</f>
        <v/>
      </c>
      <c r="AA77" s="16">
        <f>IF(OR($Y77="",$Z77=""),"",$Y77*$Z77)</f>
        <v/>
      </c>
      <c r="AB77" s="18">
        <f>IF($R77="PENDENTE","Definir classe/Kc",IF($W77="","-",IF($W77&gt;0,"Irrigar","Nao irrigar")))</f>
        <v/>
      </c>
      <c r="AC77" s="18">
        <f>IF(OR($W77="",$W77=0),"-",IF($W77&gt;=META_SEM,"Alta",IF($W77&gt;=META_SEM*FRAC_ACOMP,"Media","Baixa")))</f>
        <v/>
      </c>
      <c r="AD77" s="19" t="inlineStr"/>
    </row>
    <row r="78">
      <c r="A78" s="5" t="inlineStr">
        <is>
          <t>T46</t>
        </is>
      </c>
      <c r="B78" s="5" t="inlineStr">
        <is>
          <t>KARITEL</t>
        </is>
      </c>
      <c r="C78" s="5" t="inlineStr"/>
      <c r="D78" s="5" t="inlineStr">
        <is>
          <t>KM1</t>
        </is>
      </c>
      <c r="E78" s="5" t="inlineStr">
        <is>
          <t>SOJA</t>
        </is>
      </c>
      <c r="F78" s="6" t="inlineStr">
        <is>
          <t>M8434 12X</t>
        </is>
      </c>
      <c r="G78" s="7" t="inlineStr">
        <is>
          <t>MÉDIA</t>
        </is>
      </c>
      <c r="H78" s="8" t="n">
        <v>46331</v>
      </c>
      <c r="I78" s="9">
        <f>IF($H78="","",DATA_REF-$H78)</f>
        <v/>
      </c>
      <c r="J78" s="9">
        <f>IF($I78="","",MAX(0,$I78-'PARAMETROS'!$B$12))</f>
        <v/>
      </c>
      <c r="K78" s="10">
        <f>IFERROR(INDEX(KC_CURVAS!$C$5:$C$15,MATCH($E78&amp;"|"&amp;$G78,KC_CURVAS!$K$5:$K$15,0)),IFERROR(INDEX(KC_CURVAS!$C$5:$C$15,MATCH($E78&amp;"|",KC_CURVAS!$K$5:$K$15,0)),""))</f>
        <v/>
      </c>
      <c r="L78" s="10">
        <f>IFERROR(INDEX(KC_CURVAS!$D$5:$D$15,MATCH($E78&amp;"|"&amp;$G78,KC_CURVAS!$K$5:$K$15,0)),IFERROR(INDEX(KC_CURVAS!$D$5:$D$15,MATCH($E78&amp;"|",KC_CURVAS!$K$5:$K$15,0)),""))</f>
        <v/>
      </c>
      <c r="M78" s="10">
        <f>IFERROR(INDEX(KC_CURVAS!$E$5:$E$15,MATCH($E78&amp;"|"&amp;$G78,KC_CURVAS!$K$5:$K$15,0)),IFERROR(INDEX(KC_CURVAS!$E$5:$E$15,MATCH($E78&amp;"|",KC_CURVAS!$K$5:$K$15,0)),""))</f>
        <v/>
      </c>
      <c r="N78" s="10">
        <f>IFERROR(INDEX(KC_CURVAS!$F$5:$F$15,MATCH($E78&amp;"|"&amp;$G78,KC_CURVAS!$K$5:$K$15,0)),IFERROR(INDEX(KC_CURVAS!$F$5:$F$15,MATCH($E78&amp;"|",KC_CURVAS!$K$5:$K$15,0)),""))</f>
        <v/>
      </c>
      <c r="O78" s="11">
        <f>IFERROR(INDEX(KC_CURVAS!$G$5:$G$15,MATCH($E78&amp;"|"&amp;$G78,KC_CURVAS!$K$5:$K$15,0)),IFERROR(INDEX(KC_CURVAS!$G$5:$G$15,MATCH($E78&amp;"|",KC_CURVAS!$K$5:$K$15,0)),""))</f>
        <v/>
      </c>
      <c r="P78" s="11">
        <f>IFERROR(INDEX(KC_CURVAS!$H$5:$H$15,MATCH($E78&amp;"|"&amp;$G78,KC_CURVAS!$K$5:$K$15,0)),IFERROR(INDEX(KC_CURVAS!$H$5:$H$15,MATCH($E78&amp;"|",KC_CURVAS!$K$5:$K$15,0)),""))</f>
        <v/>
      </c>
      <c r="Q78" s="11">
        <f>IFERROR(INDEX(KC_CURVAS!$I$5:$I$15,MATCH($E78&amp;"|"&amp;$G78,KC_CURVAS!$K$5:$K$15,0)),IFERROR(INDEX(KC_CURVAS!$I$5:$I$15,MATCH($E78&amp;"|",KC_CURVAS!$K$5:$K$15,0)),""))</f>
        <v/>
      </c>
      <c r="R78" s="12">
        <f>IF(OR($J78="",$K78=""),"PENDENTE",IF($J78&lt;=$K78,$O78,IF($J78&lt;=$K78+$L78,$O78+($P78-$O78)*($J78-$K78)/$L78,IF($J78&lt;=$K78+$L78+$M78,$P78,IF($J78&lt;=$K78+$L78+$M78+$N78,$P78+($Q78-$P78)*($J78-($K78+$L78+$M78))/$N78,$Q78)))))</f>
        <v/>
      </c>
      <c r="S78" s="13">
        <f>ETO_SEM</f>
        <v/>
      </c>
      <c r="T78" s="14">
        <f>IF(OR($R78="",$R78="PENDENTE"),"",$R78*$S78)</f>
        <v/>
      </c>
      <c r="U78" s="13" t="n">
        <v>0</v>
      </c>
      <c r="V78" s="14">
        <f>IF($T78="","",MAX(0,$T78-N($U78)))</f>
        <v/>
      </c>
      <c r="W78" s="14">
        <f>IF($V78="","",$V78/EF_APLIC)</f>
        <v/>
      </c>
      <c r="X78" s="15" t="n">
        <v>160</v>
      </c>
      <c r="Y78" s="16">
        <f>IF(OR($W78="",$X78=""),"",$W78*$X78*10)</f>
        <v/>
      </c>
      <c r="Z78" s="17">
        <f>IFERROR(INDEX('PARAMETROS'!$B$16:$B$19,MATCH($D78,'PARAMETROS'!$A$16:$A$19,0)),"")</f>
        <v/>
      </c>
      <c r="AA78" s="16">
        <f>IF(OR($Y78="",$Z78=""),"",$Y78*$Z78)</f>
        <v/>
      </c>
      <c r="AB78" s="18">
        <f>IF($R78="PENDENTE","Definir classe/Kc",IF($W78="","-",IF($W78&gt;0,"Irrigar","Nao irrigar")))</f>
        <v/>
      </c>
      <c r="AC78" s="18">
        <f>IF(OR($W78="",$W78=0),"-",IF($W78&gt;=META_SEM,"Alta",IF($W78&gt;=META_SEM*FRAC_ACOMP,"Media","Baixa")))</f>
        <v/>
      </c>
      <c r="AD78" s="19" t="inlineStr"/>
    </row>
    <row r="79">
      <c r="A79" s="5" t="inlineStr">
        <is>
          <t>T52</t>
        </is>
      </c>
      <c r="B79" s="5" t="inlineStr">
        <is>
          <t>KARITEL</t>
        </is>
      </c>
      <c r="C79" s="5" t="inlineStr"/>
      <c r="D79" s="5" t="inlineStr">
        <is>
          <t>KM2</t>
        </is>
      </c>
      <c r="E79" s="5" t="inlineStr">
        <is>
          <t>SOJA</t>
        </is>
      </c>
      <c r="F79" s="6" t="inlineStr">
        <is>
          <t>M8434 12X</t>
        </is>
      </c>
      <c r="G79" s="7" t="inlineStr">
        <is>
          <t>MÉDIA</t>
        </is>
      </c>
      <c r="H79" s="8" t="n">
        <v>46331</v>
      </c>
      <c r="I79" s="9">
        <f>IF($H79="","",DATA_REF-$H79)</f>
        <v/>
      </c>
      <c r="J79" s="9">
        <f>IF($I79="","",MAX(0,$I79-'PARAMETROS'!$B$12))</f>
        <v/>
      </c>
      <c r="K79" s="10">
        <f>IFERROR(INDEX(KC_CURVAS!$C$5:$C$15,MATCH($E79&amp;"|"&amp;$G79,KC_CURVAS!$K$5:$K$15,0)),IFERROR(INDEX(KC_CURVAS!$C$5:$C$15,MATCH($E79&amp;"|",KC_CURVAS!$K$5:$K$15,0)),""))</f>
        <v/>
      </c>
      <c r="L79" s="10">
        <f>IFERROR(INDEX(KC_CURVAS!$D$5:$D$15,MATCH($E79&amp;"|"&amp;$G79,KC_CURVAS!$K$5:$K$15,0)),IFERROR(INDEX(KC_CURVAS!$D$5:$D$15,MATCH($E79&amp;"|",KC_CURVAS!$K$5:$K$15,0)),""))</f>
        <v/>
      </c>
      <c r="M79" s="10">
        <f>IFERROR(INDEX(KC_CURVAS!$E$5:$E$15,MATCH($E79&amp;"|"&amp;$G79,KC_CURVAS!$K$5:$K$15,0)),IFERROR(INDEX(KC_CURVAS!$E$5:$E$15,MATCH($E79&amp;"|",KC_CURVAS!$K$5:$K$15,0)),""))</f>
        <v/>
      </c>
      <c r="N79" s="10">
        <f>IFERROR(INDEX(KC_CURVAS!$F$5:$F$15,MATCH($E79&amp;"|"&amp;$G79,KC_CURVAS!$K$5:$K$15,0)),IFERROR(INDEX(KC_CURVAS!$F$5:$F$15,MATCH($E79&amp;"|",KC_CURVAS!$K$5:$K$15,0)),""))</f>
        <v/>
      </c>
      <c r="O79" s="11">
        <f>IFERROR(INDEX(KC_CURVAS!$G$5:$G$15,MATCH($E79&amp;"|"&amp;$G79,KC_CURVAS!$K$5:$K$15,0)),IFERROR(INDEX(KC_CURVAS!$G$5:$G$15,MATCH($E79&amp;"|",KC_CURVAS!$K$5:$K$15,0)),""))</f>
        <v/>
      </c>
      <c r="P79" s="11">
        <f>IFERROR(INDEX(KC_CURVAS!$H$5:$H$15,MATCH($E79&amp;"|"&amp;$G79,KC_CURVAS!$K$5:$K$15,0)),IFERROR(INDEX(KC_CURVAS!$H$5:$H$15,MATCH($E79&amp;"|",KC_CURVAS!$K$5:$K$15,0)),""))</f>
        <v/>
      </c>
      <c r="Q79" s="11">
        <f>IFERROR(INDEX(KC_CURVAS!$I$5:$I$15,MATCH($E79&amp;"|"&amp;$G79,KC_CURVAS!$K$5:$K$15,0)),IFERROR(INDEX(KC_CURVAS!$I$5:$I$15,MATCH($E79&amp;"|",KC_CURVAS!$K$5:$K$15,0)),""))</f>
        <v/>
      </c>
      <c r="R79" s="12">
        <f>IF(OR($J79="",$K79=""),"PENDENTE",IF($J79&lt;=$K79,$O79,IF($J79&lt;=$K79+$L79,$O79+($P79-$O79)*($J79-$K79)/$L79,IF($J79&lt;=$K79+$L79+$M79,$P79,IF($J79&lt;=$K79+$L79+$M79+$N79,$P79+($Q79-$P79)*($J79-($K79+$L79+$M79))/$N79,$Q79)))))</f>
        <v/>
      </c>
      <c r="S79" s="13">
        <f>ETO_SEM</f>
        <v/>
      </c>
      <c r="T79" s="14">
        <f>IF(OR($R79="",$R79="PENDENTE"),"",$R79*$S79)</f>
        <v/>
      </c>
      <c r="U79" s="13" t="n">
        <v>0</v>
      </c>
      <c r="V79" s="14">
        <f>IF($T79="","",MAX(0,$T79-N($U79)))</f>
        <v/>
      </c>
      <c r="W79" s="14">
        <f>IF($V79="","",$V79/EF_APLIC)</f>
        <v/>
      </c>
      <c r="X79" s="15" t="n">
        <v>160</v>
      </c>
      <c r="Y79" s="16">
        <f>IF(OR($W79="",$X79=""),"",$W79*$X79*10)</f>
        <v/>
      </c>
      <c r="Z79" s="17">
        <f>IFERROR(INDEX('PARAMETROS'!$B$16:$B$19,MATCH($D79,'PARAMETROS'!$A$16:$A$19,0)),"")</f>
        <v/>
      </c>
      <c r="AA79" s="16">
        <f>IF(OR($Y79="",$Z79=""),"",$Y79*$Z79)</f>
        <v/>
      </c>
      <c r="AB79" s="18">
        <f>IF($R79="PENDENTE","Definir classe/Kc",IF($W79="","-",IF($W79&gt;0,"Irrigar","Nao irrigar")))</f>
        <v/>
      </c>
      <c r="AC79" s="18">
        <f>IF(OR($W79="",$W79=0),"-",IF($W79&gt;=META_SEM,"Alta",IF($W79&gt;=META_SEM*FRAC_ACOMP,"Media","Baixa")))</f>
        <v/>
      </c>
      <c r="AD79" s="19" t="inlineStr"/>
    </row>
    <row r="80">
      <c r="A80" s="5" t="inlineStr">
        <is>
          <t>TR01</t>
        </is>
      </c>
      <c r="B80" s="5" t="inlineStr">
        <is>
          <t>RDM</t>
        </is>
      </c>
      <c r="C80" s="5" t="inlineStr"/>
      <c r="D80" s="5" t="inlineStr"/>
      <c r="E80" s="5" t="inlineStr">
        <is>
          <t>SOJA</t>
        </is>
      </c>
      <c r="F80" s="6" t="inlineStr">
        <is>
          <t>BMX DOMINIO IPRO</t>
        </is>
      </c>
      <c r="G80" s="7" t="inlineStr">
        <is>
          <t>MÉDIA</t>
        </is>
      </c>
      <c r="H80" s="8" t="n">
        <v>46331</v>
      </c>
      <c r="I80" s="9">
        <f>IF($H80="","",DATA_REF-$H80)</f>
        <v/>
      </c>
      <c r="J80" s="9">
        <f>IF($I80="","",MAX(0,$I80-'PARAMETROS'!$B$12))</f>
        <v/>
      </c>
      <c r="K80" s="10">
        <f>IFERROR(INDEX(KC_CURVAS!$C$5:$C$15,MATCH($E80&amp;"|"&amp;$G80,KC_CURVAS!$K$5:$K$15,0)),IFERROR(INDEX(KC_CURVAS!$C$5:$C$15,MATCH($E80&amp;"|",KC_CURVAS!$K$5:$K$15,0)),""))</f>
        <v/>
      </c>
      <c r="L80" s="10">
        <f>IFERROR(INDEX(KC_CURVAS!$D$5:$D$15,MATCH($E80&amp;"|"&amp;$G80,KC_CURVAS!$K$5:$K$15,0)),IFERROR(INDEX(KC_CURVAS!$D$5:$D$15,MATCH($E80&amp;"|",KC_CURVAS!$K$5:$K$15,0)),""))</f>
        <v/>
      </c>
      <c r="M80" s="10">
        <f>IFERROR(INDEX(KC_CURVAS!$E$5:$E$15,MATCH($E80&amp;"|"&amp;$G80,KC_CURVAS!$K$5:$K$15,0)),IFERROR(INDEX(KC_CURVAS!$E$5:$E$15,MATCH($E80&amp;"|",KC_CURVAS!$K$5:$K$15,0)),""))</f>
        <v/>
      </c>
      <c r="N80" s="10">
        <f>IFERROR(INDEX(KC_CURVAS!$F$5:$F$15,MATCH($E80&amp;"|"&amp;$G80,KC_CURVAS!$K$5:$K$15,0)),IFERROR(INDEX(KC_CURVAS!$F$5:$F$15,MATCH($E80&amp;"|",KC_CURVAS!$K$5:$K$15,0)),""))</f>
        <v/>
      </c>
      <c r="O80" s="11">
        <f>IFERROR(INDEX(KC_CURVAS!$G$5:$G$15,MATCH($E80&amp;"|"&amp;$G80,KC_CURVAS!$K$5:$K$15,0)),IFERROR(INDEX(KC_CURVAS!$G$5:$G$15,MATCH($E80&amp;"|",KC_CURVAS!$K$5:$K$15,0)),""))</f>
        <v/>
      </c>
      <c r="P80" s="11">
        <f>IFERROR(INDEX(KC_CURVAS!$H$5:$H$15,MATCH($E80&amp;"|"&amp;$G80,KC_CURVAS!$K$5:$K$15,0)),IFERROR(INDEX(KC_CURVAS!$H$5:$H$15,MATCH($E80&amp;"|",KC_CURVAS!$K$5:$K$15,0)),""))</f>
        <v/>
      </c>
      <c r="Q80" s="11">
        <f>IFERROR(INDEX(KC_CURVAS!$I$5:$I$15,MATCH($E80&amp;"|"&amp;$G80,KC_CURVAS!$K$5:$K$15,0)),IFERROR(INDEX(KC_CURVAS!$I$5:$I$15,MATCH($E80&amp;"|",KC_CURVAS!$K$5:$K$15,0)),""))</f>
        <v/>
      </c>
      <c r="R80" s="12">
        <f>IF(OR($J80="",$K80=""),"PENDENTE",IF($J80&lt;=$K80,$O80,IF($J80&lt;=$K80+$L80,$O80+($P80-$O80)*($J80-$K80)/$L80,IF($J80&lt;=$K80+$L80+$M80,$P80,IF($J80&lt;=$K80+$L80+$M80+$N80,$P80+($Q80-$P80)*($J80-($K80+$L80+$M80))/$N80,$Q80)))))</f>
        <v/>
      </c>
      <c r="S80" s="13">
        <f>ETO_SEM</f>
        <v/>
      </c>
      <c r="T80" s="14">
        <f>IF(OR($R80="",$R80="PENDENTE"),"",$R80*$S80)</f>
        <v/>
      </c>
      <c r="U80" s="13" t="n">
        <v>0</v>
      </c>
      <c r="V80" s="14">
        <f>IF($T80="","",MAX(0,$T80-N($U80)))</f>
        <v/>
      </c>
      <c r="W80" s="14">
        <f>IF($V80="","",$V80/EF_APLIC)</f>
        <v/>
      </c>
      <c r="X80" s="15" t="n">
        <v>71</v>
      </c>
      <c r="Y80" s="16">
        <f>IF(OR($W80="",$X80=""),"",$W80*$X80*10)</f>
        <v/>
      </c>
      <c r="Z80" s="17">
        <f>IFERROR(INDEX('PARAMETROS'!$B$16:$B$19,MATCH($D80,'PARAMETROS'!$A$16:$A$19,0)),"")</f>
        <v/>
      </c>
      <c r="AA80" s="16">
        <f>IF(OR($Y80="",$Z80=""),"",$Y80*$Z80)</f>
        <v/>
      </c>
      <c r="AB80" s="18">
        <f>IF($R80="PENDENTE","Definir classe/Kc",IF($W80="","-",IF($W80&gt;0,"Irrigar","Nao irrigar")))</f>
        <v/>
      </c>
      <c r="AC80" s="18">
        <f>IF(OR($W80="",$W80=0),"-",IF($W80&gt;=META_SEM,"Alta",IF($W80&gt;=META_SEM*FRAC_ACOMP,"Media","Baixa")))</f>
        <v/>
      </c>
      <c r="AD80" s="19" t="inlineStr"/>
    </row>
    <row r="81">
      <c r="A81" s="5" t="inlineStr">
        <is>
          <t>TR02</t>
        </is>
      </c>
      <c r="B81" s="5" t="inlineStr">
        <is>
          <t>RDM</t>
        </is>
      </c>
      <c r="C81" s="5" t="inlineStr"/>
      <c r="D81" s="5" t="inlineStr"/>
      <c r="E81" s="5" t="inlineStr">
        <is>
          <t>SOJA</t>
        </is>
      </c>
      <c r="F81" s="6" t="inlineStr">
        <is>
          <t>BMX DOMINIO IPRO</t>
        </is>
      </c>
      <c r="G81" s="7" t="inlineStr">
        <is>
          <t>MÉDIA</t>
        </is>
      </c>
      <c r="H81" s="8" t="n">
        <v>46331</v>
      </c>
      <c r="I81" s="9">
        <f>IF($H81="","",DATA_REF-$H81)</f>
        <v/>
      </c>
      <c r="J81" s="9">
        <f>IF($I81="","",MAX(0,$I81-'PARAMETROS'!$B$12))</f>
        <v/>
      </c>
      <c r="K81" s="10">
        <f>IFERROR(INDEX(KC_CURVAS!$C$5:$C$15,MATCH($E81&amp;"|"&amp;$G81,KC_CURVAS!$K$5:$K$15,0)),IFERROR(INDEX(KC_CURVAS!$C$5:$C$15,MATCH($E81&amp;"|",KC_CURVAS!$K$5:$K$15,0)),""))</f>
        <v/>
      </c>
      <c r="L81" s="10">
        <f>IFERROR(INDEX(KC_CURVAS!$D$5:$D$15,MATCH($E81&amp;"|"&amp;$G81,KC_CURVAS!$K$5:$K$15,0)),IFERROR(INDEX(KC_CURVAS!$D$5:$D$15,MATCH($E81&amp;"|",KC_CURVAS!$K$5:$K$15,0)),""))</f>
        <v/>
      </c>
      <c r="M81" s="10">
        <f>IFERROR(INDEX(KC_CURVAS!$E$5:$E$15,MATCH($E81&amp;"|"&amp;$G81,KC_CURVAS!$K$5:$K$15,0)),IFERROR(INDEX(KC_CURVAS!$E$5:$E$15,MATCH($E81&amp;"|",KC_CURVAS!$K$5:$K$15,0)),""))</f>
        <v/>
      </c>
      <c r="N81" s="10">
        <f>IFERROR(INDEX(KC_CURVAS!$F$5:$F$15,MATCH($E81&amp;"|"&amp;$G81,KC_CURVAS!$K$5:$K$15,0)),IFERROR(INDEX(KC_CURVAS!$F$5:$F$15,MATCH($E81&amp;"|",KC_CURVAS!$K$5:$K$15,0)),""))</f>
        <v/>
      </c>
      <c r="O81" s="11">
        <f>IFERROR(INDEX(KC_CURVAS!$G$5:$G$15,MATCH($E81&amp;"|"&amp;$G81,KC_CURVAS!$K$5:$K$15,0)),IFERROR(INDEX(KC_CURVAS!$G$5:$G$15,MATCH($E81&amp;"|",KC_CURVAS!$K$5:$K$15,0)),""))</f>
        <v/>
      </c>
      <c r="P81" s="11">
        <f>IFERROR(INDEX(KC_CURVAS!$H$5:$H$15,MATCH($E81&amp;"|"&amp;$G81,KC_CURVAS!$K$5:$K$15,0)),IFERROR(INDEX(KC_CURVAS!$H$5:$H$15,MATCH($E81&amp;"|",KC_CURVAS!$K$5:$K$15,0)),""))</f>
        <v/>
      </c>
      <c r="Q81" s="11">
        <f>IFERROR(INDEX(KC_CURVAS!$I$5:$I$15,MATCH($E81&amp;"|"&amp;$G81,KC_CURVAS!$K$5:$K$15,0)),IFERROR(INDEX(KC_CURVAS!$I$5:$I$15,MATCH($E81&amp;"|",KC_CURVAS!$K$5:$K$15,0)),""))</f>
        <v/>
      </c>
      <c r="R81" s="12">
        <f>IF(OR($J81="",$K81=""),"PENDENTE",IF($J81&lt;=$K81,$O81,IF($J81&lt;=$K81+$L81,$O81+($P81-$O81)*($J81-$K81)/$L81,IF($J81&lt;=$K81+$L81+$M81,$P81,IF($J81&lt;=$K81+$L81+$M81+$N81,$P81+($Q81-$P81)*($J81-($K81+$L81+$M81))/$N81,$Q81)))))</f>
        <v/>
      </c>
      <c r="S81" s="13">
        <f>ETO_SEM</f>
        <v/>
      </c>
      <c r="T81" s="14">
        <f>IF(OR($R81="",$R81="PENDENTE"),"",$R81*$S81)</f>
        <v/>
      </c>
      <c r="U81" s="13" t="n">
        <v>0</v>
      </c>
      <c r="V81" s="14">
        <f>IF($T81="","",MAX(0,$T81-N($U81)))</f>
        <v/>
      </c>
      <c r="W81" s="14">
        <f>IF($V81="","",$V81/EF_APLIC)</f>
        <v/>
      </c>
      <c r="X81" s="15" t="n">
        <v>38</v>
      </c>
      <c r="Y81" s="16">
        <f>IF(OR($W81="",$X81=""),"",$W81*$X81*10)</f>
        <v/>
      </c>
      <c r="Z81" s="17">
        <f>IFERROR(INDEX('PARAMETROS'!$B$16:$B$19,MATCH($D81,'PARAMETROS'!$A$16:$A$19,0)),"")</f>
        <v/>
      </c>
      <c r="AA81" s="16">
        <f>IF(OR($Y81="",$Z81=""),"",$Y81*$Z81)</f>
        <v/>
      </c>
      <c r="AB81" s="18">
        <f>IF($R81="PENDENTE","Definir classe/Kc",IF($W81="","-",IF($W81&gt;0,"Irrigar","Nao irrigar")))</f>
        <v/>
      </c>
      <c r="AC81" s="18">
        <f>IF(OR($W81="",$W81=0),"-",IF($W81&gt;=META_SEM,"Alta",IF($W81&gt;=META_SEM*FRAC_ACOMP,"Media","Baixa")))</f>
        <v/>
      </c>
      <c r="AD81" s="19" t="inlineStr"/>
    </row>
    <row r="82">
      <c r="A82" s="5" t="inlineStr">
        <is>
          <t>TR03</t>
        </is>
      </c>
      <c r="B82" s="5" t="inlineStr">
        <is>
          <t>RDM</t>
        </is>
      </c>
      <c r="C82" s="5" t="inlineStr"/>
      <c r="D82" s="5" t="inlineStr"/>
      <c r="E82" s="5" t="inlineStr">
        <is>
          <t>SOJA</t>
        </is>
      </c>
      <c r="F82" s="6" t="inlineStr">
        <is>
          <t>BMX DOMINIO IPRO</t>
        </is>
      </c>
      <c r="G82" s="7" t="inlineStr">
        <is>
          <t>MÉDIA</t>
        </is>
      </c>
      <c r="H82" s="8" t="n">
        <v>46332</v>
      </c>
      <c r="I82" s="9">
        <f>IF($H82="","",DATA_REF-$H82)</f>
        <v/>
      </c>
      <c r="J82" s="9">
        <f>IF($I82="","",MAX(0,$I82-'PARAMETROS'!$B$12))</f>
        <v/>
      </c>
      <c r="K82" s="10">
        <f>IFERROR(INDEX(KC_CURVAS!$C$5:$C$15,MATCH($E82&amp;"|"&amp;$G82,KC_CURVAS!$K$5:$K$15,0)),IFERROR(INDEX(KC_CURVAS!$C$5:$C$15,MATCH($E82&amp;"|",KC_CURVAS!$K$5:$K$15,0)),""))</f>
        <v/>
      </c>
      <c r="L82" s="10">
        <f>IFERROR(INDEX(KC_CURVAS!$D$5:$D$15,MATCH($E82&amp;"|"&amp;$G82,KC_CURVAS!$K$5:$K$15,0)),IFERROR(INDEX(KC_CURVAS!$D$5:$D$15,MATCH($E82&amp;"|",KC_CURVAS!$K$5:$K$15,0)),""))</f>
        <v/>
      </c>
      <c r="M82" s="10">
        <f>IFERROR(INDEX(KC_CURVAS!$E$5:$E$15,MATCH($E82&amp;"|"&amp;$G82,KC_CURVAS!$K$5:$K$15,0)),IFERROR(INDEX(KC_CURVAS!$E$5:$E$15,MATCH($E82&amp;"|",KC_CURVAS!$K$5:$K$15,0)),""))</f>
        <v/>
      </c>
      <c r="N82" s="10">
        <f>IFERROR(INDEX(KC_CURVAS!$F$5:$F$15,MATCH($E82&amp;"|"&amp;$G82,KC_CURVAS!$K$5:$K$15,0)),IFERROR(INDEX(KC_CURVAS!$F$5:$F$15,MATCH($E82&amp;"|",KC_CURVAS!$K$5:$K$15,0)),""))</f>
        <v/>
      </c>
      <c r="O82" s="11">
        <f>IFERROR(INDEX(KC_CURVAS!$G$5:$G$15,MATCH($E82&amp;"|"&amp;$G82,KC_CURVAS!$K$5:$K$15,0)),IFERROR(INDEX(KC_CURVAS!$G$5:$G$15,MATCH($E82&amp;"|",KC_CURVAS!$K$5:$K$15,0)),""))</f>
        <v/>
      </c>
      <c r="P82" s="11">
        <f>IFERROR(INDEX(KC_CURVAS!$H$5:$H$15,MATCH($E82&amp;"|"&amp;$G82,KC_CURVAS!$K$5:$K$15,0)),IFERROR(INDEX(KC_CURVAS!$H$5:$H$15,MATCH($E82&amp;"|",KC_CURVAS!$K$5:$K$15,0)),""))</f>
        <v/>
      </c>
      <c r="Q82" s="11">
        <f>IFERROR(INDEX(KC_CURVAS!$I$5:$I$15,MATCH($E82&amp;"|"&amp;$G82,KC_CURVAS!$K$5:$K$15,0)),IFERROR(INDEX(KC_CURVAS!$I$5:$I$15,MATCH($E82&amp;"|",KC_CURVAS!$K$5:$K$15,0)),""))</f>
        <v/>
      </c>
      <c r="R82" s="12">
        <f>IF(OR($J82="",$K82=""),"PENDENTE",IF($J82&lt;=$K82,$O82,IF($J82&lt;=$K82+$L82,$O82+($P82-$O82)*($J82-$K82)/$L82,IF($J82&lt;=$K82+$L82+$M82,$P82,IF($J82&lt;=$K82+$L82+$M82+$N82,$P82+($Q82-$P82)*($J82-($K82+$L82+$M82))/$N82,$Q82)))))</f>
        <v/>
      </c>
      <c r="S82" s="13">
        <f>ETO_SEM</f>
        <v/>
      </c>
      <c r="T82" s="14">
        <f>IF(OR($R82="",$R82="PENDENTE"),"",$R82*$S82)</f>
        <v/>
      </c>
      <c r="U82" s="13" t="n">
        <v>0</v>
      </c>
      <c r="V82" s="14">
        <f>IF($T82="","",MAX(0,$T82-N($U82)))</f>
        <v/>
      </c>
      <c r="W82" s="14">
        <f>IF($V82="","",$V82/EF_APLIC)</f>
        <v/>
      </c>
      <c r="X82" s="15" t="n">
        <v>162</v>
      </c>
      <c r="Y82" s="16">
        <f>IF(OR($W82="",$X82=""),"",$W82*$X82*10)</f>
        <v/>
      </c>
      <c r="Z82" s="17">
        <f>IFERROR(INDEX('PARAMETROS'!$B$16:$B$19,MATCH($D82,'PARAMETROS'!$A$16:$A$19,0)),"")</f>
        <v/>
      </c>
      <c r="AA82" s="16">
        <f>IF(OR($Y82="",$Z82=""),"",$Y82*$Z82)</f>
        <v/>
      </c>
      <c r="AB82" s="18">
        <f>IF($R82="PENDENTE","Definir classe/Kc",IF($W82="","-",IF($W82&gt;0,"Irrigar","Nao irrigar")))</f>
        <v/>
      </c>
      <c r="AC82" s="18">
        <f>IF(OR($W82="",$W82=0),"-",IF($W82&gt;=META_SEM,"Alta",IF($W82&gt;=META_SEM*FRAC_ACOMP,"Media","Baixa")))</f>
        <v/>
      </c>
      <c r="AD82" s="19" t="inlineStr"/>
    </row>
    <row r="83">
      <c r="A83" s="5" t="inlineStr">
        <is>
          <t>TR04</t>
        </is>
      </c>
      <c r="B83" s="5" t="inlineStr">
        <is>
          <t>RDM</t>
        </is>
      </c>
      <c r="C83" s="5" t="inlineStr"/>
      <c r="D83" s="5" t="inlineStr"/>
      <c r="E83" s="5" t="inlineStr">
        <is>
          <t>SOJA</t>
        </is>
      </c>
      <c r="F83" s="6" t="inlineStr">
        <is>
          <t>BMX DOMINIO IPRO</t>
        </is>
      </c>
      <c r="G83" s="7" t="inlineStr">
        <is>
          <t>MÉDIA</t>
        </is>
      </c>
      <c r="H83" s="8" t="n">
        <v>46332</v>
      </c>
      <c r="I83" s="9">
        <f>IF($H83="","",DATA_REF-$H83)</f>
        <v/>
      </c>
      <c r="J83" s="9">
        <f>IF($I83="","",MAX(0,$I83-'PARAMETROS'!$B$12))</f>
        <v/>
      </c>
      <c r="K83" s="10">
        <f>IFERROR(INDEX(KC_CURVAS!$C$5:$C$15,MATCH($E83&amp;"|"&amp;$G83,KC_CURVAS!$K$5:$K$15,0)),IFERROR(INDEX(KC_CURVAS!$C$5:$C$15,MATCH($E83&amp;"|",KC_CURVAS!$K$5:$K$15,0)),""))</f>
        <v/>
      </c>
      <c r="L83" s="10">
        <f>IFERROR(INDEX(KC_CURVAS!$D$5:$D$15,MATCH($E83&amp;"|"&amp;$G83,KC_CURVAS!$K$5:$K$15,0)),IFERROR(INDEX(KC_CURVAS!$D$5:$D$15,MATCH($E83&amp;"|",KC_CURVAS!$K$5:$K$15,0)),""))</f>
        <v/>
      </c>
      <c r="M83" s="10">
        <f>IFERROR(INDEX(KC_CURVAS!$E$5:$E$15,MATCH($E83&amp;"|"&amp;$G83,KC_CURVAS!$K$5:$K$15,0)),IFERROR(INDEX(KC_CURVAS!$E$5:$E$15,MATCH($E83&amp;"|",KC_CURVAS!$K$5:$K$15,0)),""))</f>
        <v/>
      </c>
      <c r="N83" s="10">
        <f>IFERROR(INDEX(KC_CURVAS!$F$5:$F$15,MATCH($E83&amp;"|"&amp;$G83,KC_CURVAS!$K$5:$K$15,0)),IFERROR(INDEX(KC_CURVAS!$F$5:$F$15,MATCH($E83&amp;"|",KC_CURVAS!$K$5:$K$15,0)),""))</f>
        <v/>
      </c>
      <c r="O83" s="11">
        <f>IFERROR(INDEX(KC_CURVAS!$G$5:$G$15,MATCH($E83&amp;"|"&amp;$G83,KC_CURVAS!$K$5:$K$15,0)),IFERROR(INDEX(KC_CURVAS!$G$5:$G$15,MATCH($E83&amp;"|",KC_CURVAS!$K$5:$K$15,0)),""))</f>
        <v/>
      </c>
      <c r="P83" s="11">
        <f>IFERROR(INDEX(KC_CURVAS!$H$5:$H$15,MATCH($E83&amp;"|"&amp;$G83,KC_CURVAS!$K$5:$K$15,0)),IFERROR(INDEX(KC_CURVAS!$H$5:$H$15,MATCH($E83&amp;"|",KC_CURVAS!$K$5:$K$15,0)),""))</f>
        <v/>
      </c>
      <c r="Q83" s="11">
        <f>IFERROR(INDEX(KC_CURVAS!$I$5:$I$15,MATCH($E83&amp;"|"&amp;$G83,KC_CURVAS!$K$5:$K$15,0)),IFERROR(INDEX(KC_CURVAS!$I$5:$I$15,MATCH($E83&amp;"|",KC_CURVAS!$K$5:$K$15,0)),""))</f>
        <v/>
      </c>
      <c r="R83" s="12">
        <f>IF(OR($J83="",$K83=""),"PENDENTE",IF($J83&lt;=$K83,$O83,IF($J83&lt;=$K83+$L83,$O83+($P83-$O83)*($J83-$K83)/$L83,IF($J83&lt;=$K83+$L83+$M83,$P83,IF($J83&lt;=$K83+$L83+$M83+$N83,$P83+($Q83-$P83)*($J83-($K83+$L83+$M83))/$N83,$Q83)))))</f>
        <v/>
      </c>
      <c r="S83" s="13">
        <f>ETO_SEM</f>
        <v/>
      </c>
      <c r="T83" s="14">
        <f>IF(OR($R83="",$R83="PENDENTE"),"",$R83*$S83)</f>
        <v/>
      </c>
      <c r="U83" s="13" t="n">
        <v>0</v>
      </c>
      <c r="V83" s="14">
        <f>IF($T83="","",MAX(0,$T83-N($U83)))</f>
        <v/>
      </c>
      <c r="W83" s="14">
        <f>IF($V83="","",$V83/EF_APLIC)</f>
        <v/>
      </c>
      <c r="X83" s="15" t="n">
        <v>240</v>
      </c>
      <c r="Y83" s="16">
        <f>IF(OR($W83="",$X83=""),"",$W83*$X83*10)</f>
        <v/>
      </c>
      <c r="Z83" s="17">
        <f>IFERROR(INDEX('PARAMETROS'!$B$16:$B$19,MATCH($D83,'PARAMETROS'!$A$16:$A$19,0)),"")</f>
        <v/>
      </c>
      <c r="AA83" s="16">
        <f>IF(OR($Y83="",$Z83=""),"",$Y83*$Z83)</f>
        <v/>
      </c>
      <c r="AB83" s="18">
        <f>IF($R83="PENDENTE","Definir classe/Kc",IF($W83="","-",IF($W83&gt;0,"Irrigar","Nao irrigar")))</f>
        <v/>
      </c>
      <c r="AC83" s="18">
        <f>IF(OR($W83="",$W83=0),"-",IF($W83&gt;=META_SEM,"Alta",IF($W83&gt;=META_SEM*FRAC_ACOMP,"Media","Baixa")))</f>
        <v/>
      </c>
      <c r="AD83" s="19" t="inlineStr"/>
    </row>
    <row r="84">
      <c r="A84" s="5" t="inlineStr">
        <is>
          <t>TR05</t>
        </is>
      </c>
      <c r="B84" s="5" t="inlineStr">
        <is>
          <t>RDM</t>
        </is>
      </c>
      <c r="C84" s="5" t="inlineStr"/>
      <c r="D84" s="5" t="inlineStr"/>
      <c r="E84" s="5" t="inlineStr">
        <is>
          <t>SOJA</t>
        </is>
      </c>
      <c r="F84" s="6" t="inlineStr">
        <is>
          <t>BMX DOMINIO IPRO</t>
        </is>
      </c>
      <c r="G84" s="7" t="inlineStr">
        <is>
          <t>MÉDIA</t>
        </is>
      </c>
      <c r="H84" s="8" t="n">
        <v>46332</v>
      </c>
      <c r="I84" s="9">
        <f>IF($H84="","",DATA_REF-$H84)</f>
        <v/>
      </c>
      <c r="J84" s="9">
        <f>IF($I84="","",MAX(0,$I84-'PARAMETROS'!$B$12))</f>
        <v/>
      </c>
      <c r="K84" s="10">
        <f>IFERROR(INDEX(KC_CURVAS!$C$5:$C$15,MATCH($E84&amp;"|"&amp;$G84,KC_CURVAS!$K$5:$K$15,0)),IFERROR(INDEX(KC_CURVAS!$C$5:$C$15,MATCH($E84&amp;"|",KC_CURVAS!$K$5:$K$15,0)),""))</f>
        <v/>
      </c>
      <c r="L84" s="10">
        <f>IFERROR(INDEX(KC_CURVAS!$D$5:$D$15,MATCH($E84&amp;"|"&amp;$G84,KC_CURVAS!$K$5:$K$15,0)),IFERROR(INDEX(KC_CURVAS!$D$5:$D$15,MATCH($E84&amp;"|",KC_CURVAS!$K$5:$K$15,0)),""))</f>
        <v/>
      </c>
      <c r="M84" s="10">
        <f>IFERROR(INDEX(KC_CURVAS!$E$5:$E$15,MATCH($E84&amp;"|"&amp;$G84,KC_CURVAS!$K$5:$K$15,0)),IFERROR(INDEX(KC_CURVAS!$E$5:$E$15,MATCH($E84&amp;"|",KC_CURVAS!$K$5:$K$15,0)),""))</f>
        <v/>
      </c>
      <c r="N84" s="10">
        <f>IFERROR(INDEX(KC_CURVAS!$F$5:$F$15,MATCH($E84&amp;"|"&amp;$G84,KC_CURVAS!$K$5:$K$15,0)),IFERROR(INDEX(KC_CURVAS!$F$5:$F$15,MATCH($E84&amp;"|",KC_CURVAS!$K$5:$K$15,0)),""))</f>
        <v/>
      </c>
      <c r="O84" s="11">
        <f>IFERROR(INDEX(KC_CURVAS!$G$5:$G$15,MATCH($E84&amp;"|"&amp;$G84,KC_CURVAS!$K$5:$K$15,0)),IFERROR(INDEX(KC_CURVAS!$G$5:$G$15,MATCH($E84&amp;"|",KC_CURVAS!$K$5:$K$15,0)),""))</f>
        <v/>
      </c>
      <c r="P84" s="11">
        <f>IFERROR(INDEX(KC_CURVAS!$H$5:$H$15,MATCH($E84&amp;"|"&amp;$G84,KC_CURVAS!$K$5:$K$15,0)),IFERROR(INDEX(KC_CURVAS!$H$5:$H$15,MATCH($E84&amp;"|",KC_CURVAS!$K$5:$K$15,0)),""))</f>
        <v/>
      </c>
      <c r="Q84" s="11">
        <f>IFERROR(INDEX(KC_CURVAS!$I$5:$I$15,MATCH($E84&amp;"|"&amp;$G84,KC_CURVAS!$K$5:$K$15,0)),IFERROR(INDEX(KC_CURVAS!$I$5:$I$15,MATCH($E84&amp;"|",KC_CURVAS!$K$5:$K$15,0)),""))</f>
        <v/>
      </c>
      <c r="R84" s="12">
        <f>IF(OR($J84="",$K84=""),"PENDENTE",IF($J84&lt;=$K84,$O84,IF($J84&lt;=$K84+$L84,$O84+($P84-$O84)*($J84-$K84)/$L84,IF($J84&lt;=$K84+$L84+$M84,$P84,IF($J84&lt;=$K84+$L84+$M84+$N84,$P84+($Q84-$P84)*($J84-($K84+$L84+$M84))/$N84,$Q84)))))</f>
        <v/>
      </c>
      <c r="S84" s="13">
        <f>ETO_SEM</f>
        <v/>
      </c>
      <c r="T84" s="14">
        <f>IF(OR($R84="",$R84="PENDENTE"),"",$R84*$S84)</f>
        <v/>
      </c>
      <c r="U84" s="13" t="n">
        <v>0</v>
      </c>
      <c r="V84" s="14">
        <f>IF($T84="","",MAX(0,$T84-N($U84)))</f>
        <v/>
      </c>
      <c r="W84" s="14">
        <f>IF($V84="","",$V84/EF_APLIC)</f>
        <v/>
      </c>
      <c r="X84" s="15" t="n">
        <v>37</v>
      </c>
      <c r="Y84" s="16">
        <f>IF(OR($W84="",$X84=""),"",$W84*$X84*10)</f>
        <v/>
      </c>
      <c r="Z84" s="17">
        <f>IFERROR(INDEX('PARAMETROS'!$B$16:$B$19,MATCH($D84,'PARAMETROS'!$A$16:$A$19,0)),"")</f>
        <v/>
      </c>
      <c r="AA84" s="16">
        <f>IF(OR($Y84="",$Z84=""),"",$Y84*$Z84)</f>
        <v/>
      </c>
      <c r="AB84" s="18">
        <f>IF($R84="PENDENTE","Definir classe/Kc",IF($W84="","-",IF($W84&gt;0,"Irrigar","Nao irrigar")))</f>
        <v/>
      </c>
      <c r="AC84" s="18">
        <f>IF(OR($W84="",$W84=0),"-",IF($W84&gt;=META_SEM,"Alta",IF($W84&gt;=META_SEM*FRAC_ACOMP,"Media","Baixa")))</f>
        <v/>
      </c>
      <c r="AD84" s="19" t="inlineStr"/>
    </row>
    <row r="85">
      <c r="A85" s="5" t="inlineStr">
        <is>
          <t>T45</t>
        </is>
      </c>
      <c r="B85" s="5" t="inlineStr">
        <is>
          <t>KARITEL</t>
        </is>
      </c>
      <c r="C85" s="5" t="inlineStr"/>
      <c r="D85" s="5" t="inlineStr">
        <is>
          <t>KM1</t>
        </is>
      </c>
      <c r="E85" s="5" t="inlineStr">
        <is>
          <t>SOJA</t>
        </is>
      </c>
      <c r="F85" s="6" t="inlineStr">
        <is>
          <t>CZ 58B10 I2X</t>
        </is>
      </c>
      <c r="G85" s="7" t="inlineStr">
        <is>
          <t>MÉDIA</t>
        </is>
      </c>
      <c r="H85" s="8" t="n">
        <v>46338</v>
      </c>
      <c r="I85" s="9">
        <f>IF($H85="","",DATA_REF-$H85)</f>
        <v/>
      </c>
      <c r="J85" s="9">
        <f>IF($I85="","",MAX(0,$I85-'PARAMETROS'!$B$12))</f>
        <v/>
      </c>
      <c r="K85" s="10">
        <f>IFERROR(INDEX(KC_CURVAS!$C$5:$C$15,MATCH($E85&amp;"|"&amp;$G85,KC_CURVAS!$K$5:$K$15,0)),IFERROR(INDEX(KC_CURVAS!$C$5:$C$15,MATCH($E85&amp;"|",KC_CURVAS!$K$5:$K$15,0)),""))</f>
        <v/>
      </c>
      <c r="L85" s="10">
        <f>IFERROR(INDEX(KC_CURVAS!$D$5:$D$15,MATCH($E85&amp;"|"&amp;$G85,KC_CURVAS!$K$5:$K$15,0)),IFERROR(INDEX(KC_CURVAS!$D$5:$D$15,MATCH($E85&amp;"|",KC_CURVAS!$K$5:$K$15,0)),""))</f>
        <v/>
      </c>
      <c r="M85" s="10">
        <f>IFERROR(INDEX(KC_CURVAS!$E$5:$E$15,MATCH($E85&amp;"|"&amp;$G85,KC_CURVAS!$K$5:$K$15,0)),IFERROR(INDEX(KC_CURVAS!$E$5:$E$15,MATCH($E85&amp;"|",KC_CURVAS!$K$5:$K$15,0)),""))</f>
        <v/>
      </c>
      <c r="N85" s="10">
        <f>IFERROR(INDEX(KC_CURVAS!$F$5:$F$15,MATCH($E85&amp;"|"&amp;$G85,KC_CURVAS!$K$5:$K$15,0)),IFERROR(INDEX(KC_CURVAS!$F$5:$F$15,MATCH($E85&amp;"|",KC_CURVAS!$K$5:$K$15,0)),""))</f>
        <v/>
      </c>
      <c r="O85" s="11">
        <f>IFERROR(INDEX(KC_CURVAS!$G$5:$G$15,MATCH($E85&amp;"|"&amp;$G85,KC_CURVAS!$K$5:$K$15,0)),IFERROR(INDEX(KC_CURVAS!$G$5:$G$15,MATCH($E85&amp;"|",KC_CURVAS!$K$5:$K$15,0)),""))</f>
        <v/>
      </c>
      <c r="P85" s="11">
        <f>IFERROR(INDEX(KC_CURVAS!$H$5:$H$15,MATCH($E85&amp;"|"&amp;$G85,KC_CURVAS!$K$5:$K$15,0)),IFERROR(INDEX(KC_CURVAS!$H$5:$H$15,MATCH($E85&amp;"|",KC_CURVAS!$K$5:$K$15,0)),""))</f>
        <v/>
      </c>
      <c r="Q85" s="11">
        <f>IFERROR(INDEX(KC_CURVAS!$I$5:$I$15,MATCH($E85&amp;"|"&amp;$G85,KC_CURVAS!$K$5:$K$15,0)),IFERROR(INDEX(KC_CURVAS!$I$5:$I$15,MATCH($E85&amp;"|",KC_CURVAS!$K$5:$K$15,0)),""))</f>
        <v/>
      </c>
      <c r="R85" s="12">
        <f>IF(OR($J85="",$K85=""),"PENDENTE",IF($J85&lt;=$K85,$O85,IF($J85&lt;=$K85+$L85,$O85+($P85-$O85)*($J85-$K85)/$L85,IF($J85&lt;=$K85+$L85+$M85,$P85,IF($J85&lt;=$K85+$L85+$M85+$N85,$P85+($Q85-$P85)*($J85-($K85+$L85+$M85))/$N85,$Q85)))))</f>
        <v/>
      </c>
      <c r="S85" s="13">
        <f>ETO_SEM</f>
        <v/>
      </c>
      <c r="T85" s="14">
        <f>IF(OR($R85="",$R85="PENDENTE"),"",$R85*$S85)</f>
        <v/>
      </c>
      <c r="U85" s="13" t="n">
        <v>0</v>
      </c>
      <c r="V85" s="14">
        <f>IF($T85="","",MAX(0,$T85-N($U85)))</f>
        <v/>
      </c>
      <c r="W85" s="14">
        <f>IF($V85="","",$V85/EF_APLIC)</f>
        <v/>
      </c>
      <c r="X85" s="15" t="n">
        <v>123</v>
      </c>
      <c r="Y85" s="16">
        <f>IF(OR($W85="",$X85=""),"",$W85*$X85*10)</f>
        <v/>
      </c>
      <c r="Z85" s="17">
        <f>IFERROR(INDEX('PARAMETROS'!$B$16:$B$19,MATCH($D85,'PARAMETROS'!$A$16:$A$19,0)),"")</f>
        <v/>
      </c>
      <c r="AA85" s="16">
        <f>IF(OR($Y85="",$Z85=""),"",$Y85*$Z85)</f>
        <v/>
      </c>
      <c r="AB85" s="18">
        <f>IF($R85="PENDENTE","Definir classe/Kc",IF($W85="","-",IF($W85&gt;0,"Irrigar","Nao irrigar")))</f>
        <v/>
      </c>
      <c r="AC85" s="18">
        <f>IF(OR($W85="",$W85=0),"-",IF($W85&gt;=META_SEM,"Alta",IF($W85&gt;=META_SEM*FRAC_ACOMP,"Media","Baixa")))</f>
        <v/>
      </c>
      <c r="AD85" s="19" t="inlineStr"/>
    </row>
    <row r="86">
      <c r="A86" s="5" t="inlineStr">
        <is>
          <t>T60</t>
        </is>
      </c>
      <c r="B86" s="5" t="inlineStr">
        <is>
          <t>KARITEL</t>
        </is>
      </c>
      <c r="C86" s="5" t="inlineStr"/>
      <c r="D86" s="5" t="inlineStr">
        <is>
          <t>KM2</t>
        </is>
      </c>
      <c r="E86" s="5" t="inlineStr">
        <is>
          <t>SOJA</t>
        </is>
      </c>
      <c r="F86" s="6" t="inlineStr">
        <is>
          <t>BMX Olimpo IPRO</t>
        </is>
      </c>
      <c r="G86" s="7" t="inlineStr">
        <is>
          <t>MÉDIA</t>
        </is>
      </c>
      <c r="H86" s="8" t="n">
        <v>46350</v>
      </c>
      <c r="I86" s="9">
        <f>IF($H86="","",DATA_REF-$H86)</f>
        <v/>
      </c>
      <c r="J86" s="9">
        <f>IF($I86="","",MAX(0,$I86-'PARAMETROS'!$B$12))</f>
        <v/>
      </c>
      <c r="K86" s="10">
        <f>IFERROR(INDEX(KC_CURVAS!$C$5:$C$15,MATCH($E86&amp;"|"&amp;$G86,KC_CURVAS!$K$5:$K$15,0)),IFERROR(INDEX(KC_CURVAS!$C$5:$C$15,MATCH($E86&amp;"|",KC_CURVAS!$K$5:$K$15,0)),""))</f>
        <v/>
      </c>
      <c r="L86" s="10">
        <f>IFERROR(INDEX(KC_CURVAS!$D$5:$D$15,MATCH($E86&amp;"|"&amp;$G86,KC_CURVAS!$K$5:$K$15,0)),IFERROR(INDEX(KC_CURVAS!$D$5:$D$15,MATCH($E86&amp;"|",KC_CURVAS!$K$5:$K$15,0)),""))</f>
        <v/>
      </c>
      <c r="M86" s="10">
        <f>IFERROR(INDEX(KC_CURVAS!$E$5:$E$15,MATCH($E86&amp;"|"&amp;$G86,KC_CURVAS!$K$5:$K$15,0)),IFERROR(INDEX(KC_CURVAS!$E$5:$E$15,MATCH($E86&amp;"|",KC_CURVAS!$K$5:$K$15,0)),""))</f>
        <v/>
      </c>
      <c r="N86" s="10">
        <f>IFERROR(INDEX(KC_CURVAS!$F$5:$F$15,MATCH($E86&amp;"|"&amp;$G86,KC_CURVAS!$K$5:$K$15,0)),IFERROR(INDEX(KC_CURVAS!$F$5:$F$15,MATCH($E86&amp;"|",KC_CURVAS!$K$5:$K$15,0)),""))</f>
        <v/>
      </c>
      <c r="O86" s="11">
        <f>IFERROR(INDEX(KC_CURVAS!$G$5:$G$15,MATCH($E86&amp;"|"&amp;$G86,KC_CURVAS!$K$5:$K$15,0)),IFERROR(INDEX(KC_CURVAS!$G$5:$G$15,MATCH($E86&amp;"|",KC_CURVAS!$K$5:$K$15,0)),""))</f>
        <v/>
      </c>
      <c r="P86" s="11">
        <f>IFERROR(INDEX(KC_CURVAS!$H$5:$H$15,MATCH($E86&amp;"|"&amp;$G86,KC_CURVAS!$K$5:$K$15,0)),IFERROR(INDEX(KC_CURVAS!$H$5:$H$15,MATCH($E86&amp;"|",KC_CURVAS!$K$5:$K$15,0)),""))</f>
        <v/>
      </c>
      <c r="Q86" s="11">
        <f>IFERROR(INDEX(KC_CURVAS!$I$5:$I$15,MATCH($E86&amp;"|"&amp;$G86,KC_CURVAS!$K$5:$K$15,0)),IFERROR(INDEX(KC_CURVAS!$I$5:$I$15,MATCH($E86&amp;"|",KC_CURVAS!$K$5:$K$15,0)),""))</f>
        <v/>
      </c>
      <c r="R86" s="12">
        <f>IF(OR($J86="",$K86=""),"PENDENTE",IF($J86&lt;=$K86,$O86,IF($J86&lt;=$K86+$L86,$O86+($P86-$O86)*($J86-$K86)/$L86,IF($J86&lt;=$K86+$L86+$M86,$P86,IF($J86&lt;=$K86+$L86+$M86+$N86,$P86+($Q86-$P86)*($J86-($K86+$L86+$M86))/$N86,$Q86)))))</f>
        <v/>
      </c>
      <c r="S86" s="13">
        <f>ETO_SEM</f>
        <v/>
      </c>
      <c r="T86" s="14">
        <f>IF(OR($R86="",$R86="PENDENTE"),"",$R86*$S86)</f>
        <v/>
      </c>
      <c r="U86" s="13" t="n">
        <v>0</v>
      </c>
      <c r="V86" s="14">
        <f>IF($T86="","",MAX(0,$T86-N($U86)))</f>
        <v/>
      </c>
      <c r="W86" s="14">
        <f>IF($V86="","",$V86/EF_APLIC)</f>
        <v/>
      </c>
      <c r="X86" s="15" t="n">
        <v>150</v>
      </c>
      <c r="Y86" s="16">
        <f>IF(OR($W86="",$X86=""),"",$W86*$X86*10)</f>
        <v/>
      </c>
      <c r="Z86" s="17">
        <f>IFERROR(INDEX('PARAMETROS'!$B$16:$B$19,MATCH($D86,'PARAMETROS'!$A$16:$A$19,0)),"")</f>
        <v/>
      </c>
      <c r="AA86" s="16">
        <f>IF(OR($Y86="",$Z86=""),"",$Y86*$Z86)</f>
        <v/>
      </c>
      <c r="AB86" s="18">
        <f>IF($R86="PENDENTE","Definir classe/Kc",IF($W86="","-",IF($W86&gt;0,"Irrigar","Nao irrigar")))</f>
        <v/>
      </c>
      <c r="AC86" s="18">
        <f>IF(OR($W86="",$W86=0),"-",IF($W86&gt;=META_SEM,"Alta",IF($W86&gt;=META_SEM*FRAC_ACOMP,"Media","Baixa")))</f>
        <v/>
      </c>
      <c r="AD86" s="19" t="inlineStr"/>
    </row>
    <row r="87">
      <c r="A87" s="5" t="inlineStr">
        <is>
          <t>T50</t>
        </is>
      </c>
      <c r="B87" s="5" t="inlineStr">
        <is>
          <t>KARITEL</t>
        </is>
      </c>
      <c r="C87" s="5" t="inlineStr"/>
      <c r="D87" s="5" t="inlineStr">
        <is>
          <t>KM2</t>
        </is>
      </c>
      <c r="E87" s="5" t="inlineStr">
        <is>
          <t>SOJA</t>
        </is>
      </c>
      <c r="F87" s="6" t="inlineStr">
        <is>
          <t>CZ 48B18 IPRO</t>
        </is>
      </c>
      <c r="G87" s="7" t="inlineStr">
        <is>
          <t>MÉDIA</t>
        </is>
      </c>
      <c r="H87" s="8" t="n">
        <v>46352</v>
      </c>
      <c r="I87" s="9">
        <f>IF($H87="","",DATA_REF-$H87)</f>
        <v/>
      </c>
      <c r="J87" s="9">
        <f>IF($I87="","",MAX(0,$I87-'PARAMETROS'!$B$12))</f>
        <v/>
      </c>
      <c r="K87" s="10">
        <f>IFERROR(INDEX(KC_CURVAS!$C$5:$C$15,MATCH($E87&amp;"|"&amp;$G87,KC_CURVAS!$K$5:$K$15,0)),IFERROR(INDEX(KC_CURVAS!$C$5:$C$15,MATCH($E87&amp;"|",KC_CURVAS!$K$5:$K$15,0)),""))</f>
        <v/>
      </c>
      <c r="L87" s="10">
        <f>IFERROR(INDEX(KC_CURVAS!$D$5:$D$15,MATCH($E87&amp;"|"&amp;$G87,KC_CURVAS!$K$5:$K$15,0)),IFERROR(INDEX(KC_CURVAS!$D$5:$D$15,MATCH($E87&amp;"|",KC_CURVAS!$K$5:$K$15,0)),""))</f>
        <v/>
      </c>
      <c r="M87" s="10">
        <f>IFERROR(INDEX(KC_CURVAS!$E$5:$E$15,MATCH($E87&amp;"|"&amp;$G87,KC_CURVAS!$K$5:$K$15,0)),IFERROR(INDEX(KC_CURVAS!$E$5:$E$15,MATCH($E87&amp;"|",KC_CURVAS!$K$5:$K$15,0)),""))</f>
        <v/>
      </c>
      <c r="N87" s="10">
        <f>IFERROR(INDEX(KC_CURVAS!$F$5:$F$15,MATCH($E87&amp;"|"&amp;$G87,KC_CURVAS!$K$5:$K$15,0)),IFERROR(INDEX(KC_CURVAS!$F$5:$F$15,MATCH($E87&amp;"|",KC_CURVAS!$K$5:$K$15,0)),""))</f>
        <v/>
      </c>
      <c r="O87" s="11">
        <f>IFERROR(INDEX(KC_CURVAS!$G$5:$G$15,MATCH($E87&amp;"|"&amp;$G87,KC_CURVAS!$K$5:$K$15,0)),IFERROR(INDEX(KC_CURVAS!$G$5:$G$15,MATCH($E87&amp;"|",KC_CURVAS!$K$5:$K$15,0)),""))</f>
        <v/>
      </c>
      <c r="P87" s="11">
        <f>IFERROR(INDEX(KC_CURVAS!$H$5:$H$15,MATCH($E87&amp;"|"&amp;$G87,KC_CURVAS!$K$5:$K$15,0)),IFERROR(INDEX(KC_CURVAS!$H$5:$H$15,MATCH($E87&amp;"|",KC_CURVAS!$K$5:$K$15,0)),""))</f>
        <v/>
      </c>
      <c r="Q87" s="11">
        <f>IFERROR(INDEX(KC_CURVAS!$I$5:$I$15,MATCH($E87&amp;"|"&amp;$G87,KC_CURVAS!$K$5:$K$15,0)),IFERROR(INDEX(KC_CURVAS!$I$5:$I$15,MATCH($E87&amp;"|",KC_CURVAS!$K$5:$K$15,0)),""))</f>
        <v/>
      </c>
      <c r="R87" s="12">
        <f>IF(OR($J87="",$K87=""),"PENDENTE",IF($J87&lt;=$K87,$O87,IF($J87&lt;=$K87+$L87,$O87+($P87-$O87)*($J87-$K87)/$L87,IF($J87&lt;=$K87+$L87+$M87,$P87,IF($J87&lt;=$K87+$L87+$M87+$N87,$P87+($Q87-$P87)*($J87-($K87+$L87+$M87))/$N87,$Q87)))))</f>
        <v/>
      </c>
      <c r="S87" s="13">
        <f>ETO_SEM</f>
        <v/>
      </c>
      <c r="T87" s="14">
        <f>IF(OR($R87="",$R87="PENDENTE"),"",$R87*$S87)</f>
        <v/>
      </c>
      <c r="U87" s="13" t="n">
        <v>0</v>
      </c>
      <c r="V87" s="14">
        <f>IF($T87="","",MAX(0,$T87-N($U87)))</f>
        <v/>
      </c>
      <c r="W87" s="14">
        <f>IF($V87="","",$V87/EF_APLIC)</f>
        <v/>
      </c>
      <c r="X87" s="15" t="n">
        <v>120</v>
      </c>
      <c r="Y87" s="16">
        <f>IF(OR($W87="",$X87=""),"",$W87*$X87*10)</f>
        <v/>
      </c>
      <c r="Z87" s="17">
        <f>IFERROR(INDEX('PARAMETROS'!$B$16:$B$19,MATCH($D87,'PARAMETROS'!$A$16:$A$19,0)),"")</f>
        <v/>
      </c>
      <c r="AA87" s="16">
        <f>IF(OR($Y87="",$Z87=""),"",$Y87*$Z87)</f>
        <v/>
      </c>
      <c r="AB87" s="18">
        <f>IF($R87="PENDENTE","Definir classe/Kc",IF($W87="","-",IF($W87&gt;0,"Irrigar","Nao irrigar")))</f>
        <v/>
      </c>
      <c r="AC87" s="18">
        <f>IF(OR($W87="",$W87=0),"-",IF($W87&gt;=META_SEM,"Alta",IF($W87&gt;=META_SEM*FRAC_ACOMP,"Media","Baixa")))</f>
        <v/>
      </c>
      <c r="AD87" s="19" t="inlineStr"/>
    </row>
    <row r="88">
      <c r="A88" s="5" t="inlineStr">
        <is>
          <t>T57</t>
        </is>
      </c>
      <c r="B88" s="5" t="inlineStr">
        <is>
          <t>KARITEL</t>
        </is>
      </c>
      <c r="C88" s="5" t="inlineStr"/>
      <c r="D88" s="5" t="inlineStr">
        <is>
          <t>KM2</t>
        </is>
      </c>
      <c r="E88" s="5" t="inlineStr">
        <is>
          <t>SOJA</t>
        </is>
      </c>
      <c r="F88" s="6" t="inlineStr">
        <is>
          <t>BMX Olimpo IPRO</t>
        </is>
      </c>
      <c r="G88" s="7" t="inlineStr">
        <is>
          <t>MÉDIA</t>
        </is>
      </c>
      <c r="H88" s="8" t="n">
        <v>46354</v>
      </c>
      <c r="I88" s="9">
        <f>IF($H88="","",DATA_REF-$H88)</f>
        <v/>
      </c>
      <c r="J88" s="9">
        <f>IF($I88="","",MAX(0,$I88-'PARAMETROS'!$B$12))</f>
        <v/>
      </c>
      <c r="K88" s="10">
        <f>IFERROR(INDEX(KC_CURVAS!$C$5:$C$15,MATCH($E88&amp;"|"&amp;$G88,KC_CURVAS!$K$5:$K$15,0)),IFERROR(INDEX(KC_CURVAS!$C$5:$C$15,MATCH($E88&amp;"|",KC_CURVAS!$K$5:$K$15,0)),""))</f>
        <v/>
      </c>
      <c r="L88" s="10">
        <f>IFERROR(INDEX(KC_CURVAS!$D$5:$D$15,MATCH($E88&amp;"|"&amp;$G88,KC_CURVAS!$K$5:$K$15,0)),IFERROR(INDEX(KC_CURVAS!$D$5:$D$15,MATCH($E88&amp;"|",KC_CURVAS!$K$5:$K$15,0)),""))</f>
        <v/>
      </c>
      <c r="M88" s="10">
        <f>IFERROR(INDEX(KC_CURVAS!$E$5:$E$15,MATCH($E88&amp;"|"&amp;$G88,KC_CURVAS!$K$5:$K$15,0)),IFERROR(INDEX(KC_CURVAS!$E$5:$E$15,MATCH($E88&amp;"|",KC_CURVAS!$K$5:$K$15,0)),""))</f>
        <v/>
      </c>
      <c r="N88" s="10">
        <f>IFERROR(INDEX(KC_CURVAS!$F$5:$F$15,MATCH($E88&amp;"|"&amp;$G88,KC_CURVAS!$K$5:$K$15,0)),IFERROR(INDEX(KC_CURVAS!$F$5:$F$15,MATCH($E88&amp;"|",KC_CURVAS!$K$5:$K$15,0)),""))</f>
        <v/>
      </c>
      <c r="O88" s="11">
        <f>IFERROR(INDEX(KC_CURVAS!$G$5:$G$15,MATCH($E88&amp;"|"&amp;$G88,KC_CURVAS!$K$5:$K$15,0)),IFERROR(INDEX(KC_CURVAS!$G$5:$G$15,MATCH($E88&amp;"|",KC_CURVAS!$K$5:$K$15,0)),""))</f>
        <v/>
      </c>
      <c r="P88" s="11">
        <f>IFERROR(INDEX(KC_CURVAS!$H$5:$H$15,MATCH($E88&amp;"|"&amp;$G88,KC_CURVAS!$K$5:$K$15,0)),IFERROR(INDEX(KC_CURVAS!$H$5:$H$15,MATCH($E88&amp;"|",KC_CURVAS!$K$5:$K$15,0)),""))</f>
        <v/>
      </c>
      <c r="Q88" s="11">
        <f>IFERROR(INDEX(KC_CURVAS!$I$5:$I$15,MATCH($E88&amp;"|"&amp;$G88,KC_CURVAS!$K$5:$K$15,0)),IFERROR(INDEX(KC_CURVAS!$I$5:$I$15,MATCH($E88&amp;"|",KC_CURVAS!$K$5:$K$15,0)),""))</f>
        <v/>
      </c>
      <c r="R88" s="12">
        <f>IF(OR($J88="",$K88=""),"PENDENTE",IF($J88&lt;=$K88,$O88,IF($J88&lt;=$K88+$L88,$O88+($P88-$O88)*($J88-$K88)/$L88,IF($J88&lt;=$K88+$L88+$M88,$P88,IF($J88&lt;=$K88+$L88+$M88+$N88,$P88+($Q88-$P88)*($J88-($K88+$L88+$M88))/$N88,$Q88)))))</f>
        <v/>
      </c>
      <c r="S88" s="13">
        <f>ETO_SEM</f>
        <v/>
      </c>
      <c r="T88" s="14">
        <f>IF(OR($R88="",$R88="PENDENTE"),"",$R88*$S88)</f>
        <v/>
      </c>
      <c r="U88" s="13" t="n">
        <v>0</v>
      </c>
      <c r="V88" s="14">
        <f>IF($T88="","",MAX(0,$T88-N($U88)))</f>
        <v/>
      </c>
      <c r="W88" s="14">
        <f>IF($V88="","",$V88/EF_APLIC)</f>
        <v/>
      </c>
      <c r="X88" s="15" t="n">
        <v>150</v>
      </c>
      <c r="Y88" s="16">
        <f>IF(OR($W88="",$X88=""),"",$W88*$X88*10)</f>
        <v/>
      </c>
      <c r="Z88" s="17">
        <f>IFERROR(INDEX('PARAMETROS'!$B$16:$B$19,MATCH($D88,'PARAMETROS'!$A$16:$A$19,0)),"")</f>
        <v/>
      </c>
      <c r="AA88" s="16">
        <f>IF(OR($Y88="",$Z88=""),"",$Y88*$Z88)</f>
        <v/>
      </c>
      <c r="AB88" s="18">
        <f>IF($R88="PENDENTE","Definir classe/Kc",IF($W88="","-",IF($W88&gt;0,"Irrigar","Nao irrigar")))</f>
        <v/>
      </c>
      <c r="AC88" s="18">
        <f>IF(OR($W88="",$W88=0),"-",IF($W88&gt;=META_SEM,"Alta",IF($W88&gt;=META_SEM*FRAC_ACOMP,"Media","Baixa")))</f>
        <v/>
      </c>
      <c r="AD88" s="19" t="inlineStr"/>
    </row>
    <row r="89">
      <c r="A89" s="5" t="inlineStr">
        <is>
          <t>T59</t>
        </is>
      </c>
      <c r="B89" s="5" t="inlineStr">
        <is>
          <t>KARITEL</t>
        </is>
      </c>
      <c r="C89" s="5" t="inlineStr"/>
      <c r="D89" s="5" t="inlineStr">
        <is>
          <t>KM2</t>
        </is>
      </c>
      <c r="E89" s="5" t="inlineStr">
        <is>
          <t>SOJA</t>
        </is>
      </c>
      <c r="F89" s="6" t="inlineStr">
        <is>
          <t>BMX Olimpo IPRO</t>
        </is>
      </c>
      <c r="G89" s="7" t="inlineStr">
        <is>
          <t>MÉDIA</t>
        </is>
      </c>
      <c r="H89" s="8" t="n">
        <v>46354</v>
      </c>
      <c r="I89" s="9">
        <f>IF($H89="","",DATA_REF-$H89)</f>
        <v/>
      </c>
      <c r="J89" s="9">
        <f>IF($I89="","",MAX(0,$I89-'PARAMETROS'!$B$12))</f>
        <v/>
      </c>
      <c r="K89" s="10">
        <f>IFERROR(INDEX(KC_CURVAS!$C$5:$C$15,MATCH($E89&amp;"|"&amp;$G89,KC_CURVAS!$K$5:$K$15,0)),IFERROR(INDEX(KC_CURVAS!$C$5:$C$15,MATCH($E89&amp;"|",KC_CURVAS!$K$5:$K$15,0)),""))</f>
        <v/>
      </c>
      <c r="L89" s="10">
        <f>IFERROR(INDEX(KC_CURVAS!$D$5:$D$15,MATCH($E89&amp;"|"&amp;$G89,KC_CURVAS!$K$5:$K$15,0)),IFERROR(INDEX(KC_CURVAS!$D$5:$D$15,MATCH($E89&amp;"|",KC_CURVAS!$K$5:$K$15,0)),""))</f>
        <v/>
      </c>
      <c r="M89" s="10">
        <f>IFERROR(INDEX(KC_CURVAS!$E$5:$E$15,MATCH($E89&amp;"|"&amp;$G89,KC_CURVAS!$K$5:$K$15,0)),IFERROR(INDEX(KC_CURVAS!$E$5:$E$15,MATCH($E89&amp;"|",KC_CURVAS!$K$5:$K$15,0)),""))</f>
        <v/>
      </c>
      <c r="N89" s="10">
        <f>IFERROR(INDEX(KC_CURVAS!$F$5:$F$15,MATCH($E89&amp;"|"&amp;$G89,KC_CURVAS!$K$5:$K$15,0)),IFERROR(INDEX(KC_CURVAS!$F$5:$F$15,MATCH($E89&amp;"|",KC_CURVAS!$K$5:$K$15,0)),""))</f>
        <v/>
      </c>
      <c r="O89" s="11">
        <f>IFERROR(INDEX(KC_CURVAS!$G$5:$G$15,MATCH($E89&amp;"|"&amp;$G89,KC_CURVAS!$K$5:$K$15,0)),IFERROR(INDEX(KC_CURVAS!$G$5:$G$15,MATCH($E89&amp;"|",KC_CURVAS!$K$5:$K$15,0)),""))</f>
        <v/>
      </c>
      <c r="P89" s="11">
        <f>IFERROR(INDEX(KC_CURVAS!$H$5:$H$15,MATCH($E89&amp;"|"&amp;$G89,KC_CURVAS!$K$5:$K$15,0)),IFERROR(INDEX(KC_CURVAS!$H$5:$H$15,MATCH($E89&amp;"|",KC_CURVAS!$K$5:$K$15,0)),""))</f>
        <v/>
      </c>
      <c r="Q89" s="11">
        <f>IFERROR(INDEX(KC_CURVAS!$I$5:$I$15,MATCH($E89&amp;"|"&amp;$G89,KC_CURVAS!$K$5:$K$15,0)),IFERROR(INDEX(KC_CURVAS!$I$5:$I$15,MATCH($E89&amp;"|",KC_CURVAS!$K$5:$K$15,0)),""))</f>
        <v/>
      </c>
      <c r="R89" s="12">
        <f>IF(OR($J89="",$K89=""),"PENDENTE",IF($J89&lt;=$K89,$O89,IF($J89&lt;=$K89+$L89,$O89+($P89-$O89)*($J89-$K89)/$L89,IF($J89&lt;=$K89+$L89+$M89,$P89,IF($J89&lt;=$K89+$L89+$M89+$N89,$P89+($Q89-$P89)*($J89-($K89+$L89+$M89))/$N89,$Q89)))))</f>
        <v/>
      </c>
      <c r="S89" s="13">
        <f>ETO_SEM</f>
        <v/>
      </c>
      <c r="T89" s="14">
        <f>IF(OR($R89="",$R89="PENDENTE"),"",$R89*$S89)</f>
        <v/>
      </c>
      <c r="U89" s="13" t="n">
        <v>0</v>
      </c>
      <c r="V89" s="14">
        <f>IF($T89="","",MAX(0,$T89-N($U89)))</f>
        <v/>
      </c>
      <c r="W89" s="14">
        <f>IF($V89="","",$V89/EF_APLIC)</f>
        <v/>
      </c>
      <c r="X89" s="15" t="n">
        <v>143</v>
      </c>
      <c r="Y89" s="16">
        <f>IF(OR($W89="",$X89=""),"",$W89*$X89*10)</f>
        <v/>
      </c>
      <c r="Z89" s="17">
        <f>IFERROR(INDEX('PARAMETROS'!$B$16:$B$19,MATCH($D89,'PARAMETROS'!$A$16:$A$19,0)),"")</f>
        <v/>
      </c>
      <c r="AA89" s="16">
        <f>IF(OR($Y89="",$Z89=""),"",$Y89*$Z89)</f>
        <v/>
      </c>
      <c r="AB89" s="18">
        <f>IF($R89="PENDENTE","Definir classe/Kc",IF($W89="","-",IF($W89&gt;0,"Irrigar","Nao irrigar")))</f>
        <v/>
      </c>
      <c r="AC89" s="18">
        <f>IF(OR($W89="",$W89=0),"-",IF($W89&gt;=META_SEM,"Alta",IF($W89&gt;=META_SEM*FRAC_ACOMP,"Media","Baixa")))</f>
        <v/>
      </c>
      <c r="AD89" s="19" t="inlineStr"/>
    </row>
    <row r="90">
      <c r="A90" s="5" t="inlineStr">
        <is>
          <t>T61</t>
        </is>
      </c>
      <c r="B90" s="5" t="inlineStr">
        <is>
          <t>KARITEL</t>
        </is>
      </c>
      <c r="C90" s="5" t="inlineStr"/>
      <c r="D90" s="5" t="inlineStr">
        <is>
          <t>KM2</t>
        </is>
      </c>
      <c r="E90" s="5" t="inlineStr">
        <is>
          <t>SOJA</t>
        </is>
      </c>
      <c r="F90" s="6" t="inlineStr">
        <is>
          <t>BMX Olimpo IPRO</t>
        </is>
      </c>
      <c r="G90" s="7" t="inlineStr">
        <is>
          <t>MÉDIA</t>
        </is>
      </c>
      <c r="H90" s="8" t="n">
        <v>46368</v>
      </c>
      <c r="I90" s="9">
        <f>IF($H90="","",DATA_REF-$H90)</f>
        <v/>
      </c>
      <c r="J90" s="9">
        <f>IF($I90="","",MAX(0,$I90-'PARAMETROS'!$B$12))</f>
        <v/>
      </c>
      <c r="K90" s="10">
        <f>IFERROR(INDEX(KC_CURVAS!$C$5:$C$15,MATCH($E90&amp;"|"&amp;$G90,KC_CURVAS!$K$5:$K$15,0)),IFERROR(INDEX(KC_CURVAS!$C$5:$C$15,MATCH($E90&amp;"|",KC_CURVAS!$K$5:$K$15,0)),""))</f>
        <v/>
      </c>
      <c r="L90" s="10">
        <f>IFERROR(INDEX(KC_CURVAS!$D$5:$D$15,MATCH($E90&amp;"|"&amp;$G90,KC_CURVAS!$K$5:$K$15,0)),IFERROR(INDEX(KC_CURVAS!$D$5:$D$15,MATCH($E90&amp;"|",KC_CURVAS!$K$5:$K$15,0)),""))</f>
        <v/>
      </c>
      <c r="M90" s="10">
        <f>IFERROR(INDEX(KC_CURVAS!$E$5:$E$15,MATCH($E90&amp;"|"&amp;$G90,KC_CURVAS!$K$5:$K$15,0)),IFERROR(INDEX(KC_CURVAS!$E$5:$E$15,MATCH($E90&amp;"|",KC_CURVAS!$K$5:$K$15,0)),""))</f>
        <v/>
      </c>
      <c r="N90" s="10">
        <f>IFERROR(INDEX(KC_CURVAS!$F$5:$F$15,MATCH($E90&amp;"|"&amp;$G90,KC_CURVAS!$K$5:$K$15,0)),IFERROR(INDEX(KC_CURVAS!$F$5:$F$15,MATCH($E90&amp;"|",KC_CURVAS!$K$5:$K$15,0)),""))</f>
        <v/>
      </c>
      <c r="O90" s="11">
        <f>IFERROR(INDEX(KC_CURVAS!$G$5:$G$15,MATCH($E90&amp;"|"&amp;$G90,KC_CURVAS!$K$5:$K$15,0)),IFERROR(INDEX(KC_CURVAS!$G$5:$G$15,MATCH($E90&amp;"|",KC_CURVAS!$K$5:$K$15,0)),""))</f>
        <v/>
      </c>
      <c r="P90" s="11">
        <f>IFERROR(INDEX(KC_CURVAS!$H$5:$H$15,MATCH($E90&amp;"|"&amp;$G90,KC_CURVAS!$K$5:$K$15,0)),IFERROR(INDEX(KC_CURVAS!$H$5:$H$15,MATCH($E90&amp;"|",KC_CURVAS!$K$5:$K$15,0)),""))</f>
        <v/>
      </c>
      <c r="Q90" s="11">
        <f>IFERROR(INDEX(KC_CURVAS!$I$5:$I$15,MATCH($E90&amp;"|"&amp;$G90,KC_CURVAS!$K$5:$K$15,0)),IFERROR(INDEX(KC_CURVAS!$I$5:$I$15,MATCH($E90&amp;"|",KC_CURVAS!$K$5:$K$15,0)),""))</f>
        <v/>
      </c>
      <c r="R90" s="12">
        <f>IF(OR($J90="",$K90=""),"PENDENTE",IF($J90&lt;=$K90,$O90,IF($J90&lt;=$K90+$L90,$O90+($P90-$O90)*($J90-$K90)/$L90,IF($J90&lt;=$K90+$L90+$M90,$P90,IF($J90&lt;=$K90+$L90+$M90+$N90,$P90+($Q90-$P90)*($J90-($K90+$L90+$M90))/$N90,$Q90)))))</f>
        <v/>
      </c>
      <c r="S90" s="13">
        <f>ETO_SEM</f>
        <v/>
      </c>
      <c r="T90" s="14">
        <f>IF(OR($R90="",$R90="PENDENTE"),"",$R90*$S90)</f>
        <v/>
      </c>
      <c r="U90" s="13" t="n">
        <v>0</v>
      </c>
      <c r="V90" s="14">
        <f>IF($T90="","",MAX(0,$T90-N($U90)))</f>
        <v/>
      </c>
      <c r="W90" s="14">
        <f>IF($V90="","",$V90/EF_APLIC)</f>
        <v/>
      </c>
      <c r="X90" s="15" t="n">
        <v>145</v>
      </c>
      <c r="Y90" s="16">
        <f>IF(OR($W90="",$X90=""),"",$W90*$X90*10)</f>
        <v/>
      </c>
      <c r="Z90" s="17">
        <f>IFERROR(INDEX('PARAMETROS'!$B$16:$B$19,MATCH($D90,'PARAMETROS'!$A$16:$A$19,0)),"")</f>
        <v/>
      </c>
      <c r="AA90" s="16">
        <f>IF(OR($Y90="",$Z90=""),"",$Y90*$Z90)</f>
        <v/>
      </c>
      <c r="AB90" s="18">
        <f>IF($R90="PENDENTE","Definir classe/Kc",IF($W90="","-",IF($W90&gt;0,"Irrigar","Nao irrigar")))</f>
        <v/>
      </c>
      <c r="AC90" s="18">
        <f>IF(OR($W90="",$W90=0),"-",IF($W90&gt;=META_SEM,"Alta",IF($W90&gt;=META_SEM*FRAC_ACOMP,"Media","Baixa")))</f>
        <v/>
      </c>
      <c r="AD90" s="19" t="inlineStr"/>
    </row>
    <row r="92">
      <c r="A92" s="21" t="inlineStr">
        <is>
          <t>Manejo via CLIMA: ETc = Kc x ETo semanal; Nec liquida = ETc - chuva efetiva; Nec bruta = Nec liq / 0,90. Kc automatico pela curva FAO-56 (KC_CURVAS) conforme o DAE. Energia = Volume x CE do setor. Colunas cinza-claro (Lini..Kcend) sao auxiliares do Kc. Editar ETo semanal e chuva a cada semana.</t>
        </is>
      </c>
    </row>
  </sheetData>
  <mergeCells count="1">
    <mergeCell ref="A92:AD9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AD6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7" customWidth="1" min="4" max="4"/>
    <col width="9" customWidth="1" min="5" max="5"/>
    <col width="15" customWidth="1" min="6" max="6"/>
    <col width="9" customWidth="1" min="7" max="7"/>
    <col width="11" customWidth="1" min="8" max="8"/>
    <col width="6" customWidth="1" min="9" max="9"/>
    <col width="6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1" customWidth="1" min="23" max="23"/>
    <col width="8" customWidth="1" min="24" max="24"/>
    <col width="11" customWidth="1" min="25" max="25"/>
    <col width="10" customWidth="1" min="26" max="26"/>
    <col width="11" customWidth="1" min="27" max="27"/>
    <col width="12" customWidth="1" min="28" max="28"/>
    <col width="11" customWidth="1" min="29" max="29"/>
    <col width="20" customWidth="1" min="30" max="30"/>
  </cols>
  <sheetData>
    <row r="1" ht="20" customHeight="1">
      <c r="A1" s="1" t="inlineStr">
        <is>
          <t>ALGODAO - demanda via clima</t>
        </is>
      </c>
    </row>
    <row r="2">
      <c r="A2" s="3" t="inlineStr">
        <is>
          <t>Mapa de cultura importado. Datas do snapshot 25/26 - atualizar plantio para a safra vigente.</t>
        </is>
      </c>
    </row>
    <row r="4" ht="30" customHeight="1">
      <c r="A4" s="4" t="inlineStr">
        <is>
          <t>Pivo</t>
        </is>
      </c>
      <c r="B4" s="4" t="inlineStr">
        <is>
          <t>Faz</t>
        </is>
      </c>
      <c r="C4" s="4" t="inlineStr">
        <is>
          <t>Modulo</t>
        </is>
      </c>
      <c r="D4" s="4" t="inlineStr">
        <is>
          <t>Setor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Plantio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Lini</t>
        </is>
      </c>
      <c r="L4" s="4" t="inlineStr">
        <is>
          <t>Ldev</t>
        </is>
      </c>
      <c r="M4" s="4" t="inlineStr">
        <is>
          <t>Lmid</t>
        </is>
      </c>
      <c r="N4" s="4" t="inlineStr">
        <is>
          <t>Llate</t>
        </is>
      </c>
      <c r="O4" s="4" t="inlineStr">
        <is>
          <t>Kcini</t>
        </is>
      </c>
      <c r="P4" s="4" t="inlineStr">
        <is>
          <t>Kcmid</t>
        </is>
      </c>
      <c r="Q4" s="4" t="inlineStr">
        <is>
          <t>Kcend</t>
        </is>
      </c>
      <c r="R4" s="4" t="inlineStr">
        <is>
          <t>Kc (auto)</t>
        </is>
      </c>
      <c r="S4" s="4" t="inlineStr">
        <is>
          <t>ETo sem (mm)</t>
        </is>
      </c>
      <c r="T4" s="4" t="inlineStr">
        <is>
          <t>ETc sem (mm)</t>
        </is>
      </c>
      <c r="U4" s="4" t="inlineStr">
        <is>
          <t>Chuva ef (mm)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Area (ha)</t>
        </is>
      </c>
      <c r="Y4" s="4" t="inlineStr">
        <is>
          <t>Volume (m3)</t>
        </is>
      </c>
      <c r="Z4" s="4" t="inlineStr">
        <is>
          <t>CE (kWh/m3)</t>
        </is>
      </c>
      <c r="AA4" s="4" t="inlineStr">
        <is>
          <t>Energia (kWh)</t>
        </is>
      </c>
      <c r="AB4" s="4" t="inlineStr">
        <is>
          <t>Decisao</t>
        </is>
      </c>
      <c r="AC4" s="4" t="inlineStr">
        <is>
          <t>Prioridade</t>
        </is>
      </c>
      <c r="AD4" s="4" t="inlineStr">
        <is>
          <t>Obs</t>
        </is>
      </c>
    </row>
    <row r="5">
      <c r="A5" s="5" t="inlineStr">
        <is>
          <t>30</t>
        </is>
      </c>
      <c r="B5" s="5" t="inlineStr">
        <is>
          <t>Karitel</t>
        </is>
      </c>
      <c r="C5" s="5" t="inlineStr">
        <is>
          <t>Módulo 01</t>
        </is>
      </c>
      <c r="D5" s="5" t="inlineStr">
        <is>
          <t>KM1</t>
        </is>
      </c>
      <c r="E5" s="5" t="inlineStr">
        <is>
          <t>ALGODÃO</t>
        </is>
      </c>
      <c r="F5" s="6" t="inlineStr">
        <is>
          <t>FM 985 GLTP</t>
        </is>
      </c>
      <c r="G5" s="7" t="inlineStr">
        <is>
          <t>MÉDIO</t>
        </is>
      </c>
      <c r="H5" s="8" t="n">
        <v>46048</v>
      </c>
      <c r="I5" s="9">
        <f>IF($H5="","",DATA_REF-$H5)</f>
        <v/>
      </c>
      <c r="J5" s="9">
        <f>IF($I5="","",MAX(0,$I5-'PARAMETROS'!$B$12))</f>
        <v/>
      </c>
      <c r="K5" s="10">
        <f>IFERROR(INDEX(KC_CURVAS!$C$5:$C$15,MATCH($E5&amp;"|"&amp;$G5,KC_CURVAS!$K$5:$K$15,0)),IFERROR(INDEX(KC_CURVAS!$C$5:$C$15,MATCH($E5&amp;"|",KC_CURVAS!$K$5:$K$15,0)),""))</f>
        <v/>
      </c>
      <c r="L5" s="10">
        <f>IFERROR(INDEX(KC_CURVAS!$D$5:$D$15,MATCH($E5&amp;"|"&amp;$G5,KC_CURVAS!$K$5:$K$15,0)),IFERROR(INDEX(KC_CURVAS!$D$5:$D$15,MATCH($E5&amp;"|",KC_CURVAS!$K$5:$K$15,0)),""))</f>
        <v/>
      </c>
      <c r="M5" s="10">
        <f>IFERROR(INDEX(KC_CURVAS!$E$5:$E$15,MATCH($E5&amp;"|"&amp;$G5,KC_CURVAS!$K$5:$K$15,0)),IFERROR(INDEX(KC_CURVAS!$E$5:$E$15,MATCH($E5&amp;"|",KC_CURVAS!$K$5:$K$15,0)),""))</f>
        <v/>
      </c>
      <c r="N5" s="10">
        <f>IFERROR(INDEX(KC_CURVAS!$F$5:$F$15,MATCH($E5&amp;"|"&amp;$G5,KC_CURVAS!$K$5:$K$15,0)),IFERROR(INDEX(KC_CURVAS!$F$5:$F$15,MATCH($E5&amp;"|",KC_CURVAS!$K$5:$K$15,0)),""))</f>
        <v/>
      </c>
      <c r="O5" s="11">
        <f>IFERROR(INDEX(KC_CURVAS!$G$5:$G$15,MATCH($E5&amp;"|"&amp;$G5,KC_CURVAS!$K$5:$K$15,0)),IFERROR(INDEX(KC_CURVAS!$G$5:$G$15,MATCH($E5&amp;"|",KC_CURVAS!$K$5:$K$15,0)),""))</f>
        <v/>
      </c>
      <c r="P5" s="11">
        <f>IFERROR(INDEX(KC_CURVAS!$H$5:$H$15,MATCH($E5&amp;"|"&amp;$G5,KC_CURVAS!$K$5:$K$15,0)),IFERROR(INDEX(KC_CURVAS!$H$5:$H$15,MATCH($E5&amp;"|",KC_CURVAS!$K$5:$K$15,0)),""))</f>
        <v/>
      </c>
      <c r="Q5" s="11">
        <f>IFERROR(INDEX(KC_CURVAS!$I$5:$I$15,MATCH($E5&amp;"|"&amp;$G5,KC_CURVAS!$K$5:$K$15,0)),IFERROR(INDEX(KC_CURVAS!$I$5:$I$15,MATCH($E5&amp;"|",KC_CURVAS!$K$5:$K$15,0)),""))</f>
        <v/>
      </c>
      <c r="R5" s="12">
        <f>IF(OR($J5="",$K5=""),"PENDENTE",IF($J5&lt;=$K5,$O5,IF($J5&lt;=$K5+$L5,$O5+($P5-$O5)*($J5-$K5)/$L5,IF($J5&lt;=$K5+$L5+$M5,$P5,IF($J5&lt;=$K5+$L5+$M5+$N5,$P5+($Q5-$P5)*($J5-($K5+$L5+$M5))/$N5,$Q5)))))</f>
        <v/>
      </c>
      <c r="S5" s="13">
        <f>ETO_SEM</f>
        <v/>
      </c>
      <c r="T5" s="14">
        <f>IF(OR($R5="",$R5="PENDENTE"),"",$R5*$S5)</f>
        <v/>
      </c>
      <c r="U5" s="13" t="n">
        <v>0</v>
      </c>
      <c r="V5" s="14">
        <f>IF($T5="","",MAX(0,$T5-N($U5)))</f>
        <v/>
      </c>
      <c r="W5" s="14">
        <f>IF($V5="","",$V5/EF_APLIC)</f>
        <v/>
      </c>
      <c r="X5" s="15" t="n">
        <v>150.01</v>
      </c>
      <c r="Y5" s="16">
        <f>IF(OR($W5="",$X5=""),"",$W5*$X5*10)</f>
        <v/>
      </c>
      <c r="Z5" s="17">
        <f>IFERROR(INDEX('PARAMETROS'!$B$16:$B$19,MATCH($D5,'PARAMETROS'!$A$16:$A$19,0)),"")</f>
        <v/>
      </c>
      <c r="AA5" s="16">
        <f>IF(OR($Y5="",$Z5=""),"",$Y5*$Z5)</f>
        <v/>
      </c>
      <c r="AB5" s="18">
        <f>IF($R5="PENDENTE","Definir classe/Kc",IF($W5="","-",IF($W5&gt;0,"Irrigar","Nao irrigar")))</f>
        <v/>
      </c>
      <c r="AC5" s="18">
        <f>IF(OR($W5="",$W5=0),"-",IF($W5&gt;=META_SEM,"Alta",IF($W5&gt;=META_SEM*FRAC_ACOMP,"Media","Baixa")))</f>
        <v/>
      </c>
      <c r="AD5" s="19" t="inlineStr"/>
    </row>
    <row r="6">
      <c r="A6" s="5" t="inlineStr">
        <is>
          <t>31</t>
        </is>
      </c>
      <c r="B6" s="5" t="inlineStr">
        <is>
          <t>Karitel</t>
        </is>
      </c>
      <c r="C6" s="5" t="inlineStr">
        <is>
          <t>Módulo 01</t>
        </is>
      </c>
      <c r="D6" s="5" t="inlineStr">
        <is>
          <t>KM1</t>
        </is>
      </c>
      <c r="E6" s="5" t="inlineStr">
        <is>
          <t>ALGODÃO</t>
        </is>
      </c>
      <c r="F6" s="6" t="inlineStr">
        <is>
          <t>IMA 5901 B2RF</t>
        </is>
      </c>
      <c r="G6" s="7" t="inlineStr">
        <is>
          <t>MÉDIO</t>
        </is>
      </c>
      <c r="H6" s="8" t="n">
        <v>46046</v>
      </c>
      <c r="I6" s="9">
        <f>IF($H6="","",DATA_REF-$H6)</f>
        <v/>
      </c>
      <c r="J6" s="9">
        <f>IF($I6="","",MAX(0,$I6-'PARAMETROS'!$B$12))</f>
        <v/>
      </c>
      <c r="K6" s="10">
        <f>IFERROR(INDEX(KC_CURVAS!$C$5:$C$15,MATCH($E6&amp;"|"&amp;$G6,KC_CURVAS!$K$5:$K$15,0)),IFERROR(INDEX(KC_CURVAS!$C$5:$C$15,MATCH($E6&amp;"|",KC_CURVAS!$K$5:$K$15,0)),""))</f>
        <v/>
      </c>
      <c r="L6" s="10">
        <f>IFERROR(INDEX(KC_CURVAS!$D$5:$D$15,MATCH($E6&amp;"|"&amp;$G6,KC_CURVAS!$K$5:$K$15,0)),IFERROR(INDEX(KC_CURVAS!$D$5:$D$15,MATCH($E6&amp;"|",KC_CURVAS!$K$5:$K$15,0)),""))</f>
        <v/>
      </c>
      <c r="M6" s="10">
        <f>IFERROR(INDEX(KC_CURVAS!$E$5:$E$15,MATCH($E6&amp;"|"&amp;$G6,KC_CURVAS!$K$5:$K$15,0)),IFERROR(INDEX(KC_CURVAS!$E$5:$E$15,MATCH($E6&amp;"|",KC_CURVAS!$K$5:$K$15,0)),""))</f>
        <v/>
      </c>
      <c r="N6" s="10">
        <f>IFERROR(INDEX(KC_CURVAS!$F$5:$F$15,MATCH($E6&amp;"|"&amp;$G6,KC_CURVAS!$K$5:$K$15,0)),IFERROR(INDEX(KC_CURVAS!$F$5:$F$15,MATCH($E6&amp;"|",KC_CURVAS!$K$5:$K$15,0)),""))</f>
        <v/>
      </c>
      <c r="O6" s="11">
        <f>IFERROR(INDEX(KC_CURVAS!$G$5:$G$15,MATCH($E6&amp;"|"&amp;$G6,KC_CURVAS!$K$5:$K$15,0)),IFERROR(INDEX(KC_CURVAS!$G$5:$G$15,MATCH($E6&amp;"|",KC_CURVAS!$K$5:$K$15,0)),""))</f>
        <v/>
      </c>
      <c r="P6" s="11">
        <f>IFERROR(INDEX(KC_CURVAS!$H$5:$H$15,MATCH($E6&amp;"|"&amp;$G6,KC_CURVAS!$K$5:$K$15,0)),IFERROR(INDEX(KC_CURVAS!$H$5:$H$15,MATCH($E6&amp;"|",KC_CURVAS!$K$5:$K$15,0)),""))</f>
        <v/>
      </c>
      <c r="Q6" s="11">
        <f>IFERROR(INDEX(KC_CURVAS!$I$5:$I$15,MATCH($E6&amp;"|"&amp;$G6,KC_CURVAS!$K$5:$K$15,0)),IFERROR(INDEX(KC_CURVAS!$I$5:$I$15,MATCH($E6&amp;"|",KC_CURVAS!$K$5:$K$15,0)),""))</f>
        <v/>
      </c>
      <c r="R6" s="12">
        <f>IF(OR($J6="",$K6=""),"PENDENTE",IF($J6&lt;=$K6,$O6,IF($J6&lt;=$K6+$L6,$O6+($P6-$O6)*($J6-$K6)/$L6,IF($J6&lt;=$K6+$L6+$M6,$P6,IF($J6&lt;=$K6+$L6+$M6+$N6,$P6+($Q6-$P6)*($J6-($K6+$L6+$M6))/$N6,$Q6)))))</f>
        <v/>
      </c>
      <c r="S6" s="13">
        <f>ETO_SEM</f>
        <v/>
      </c>
      <c r="T6" s="14">
        <f>IF(OR($R6="",$R6="PENDENTE"),"",$R6*$S6)</f>
        <v/>
      </c>
      <c r="U6" s="13" t="n">
        <v>0</v>
      </c>
      <c r="V6" s="14">
        <f>IF($T6="","",MAX(0,$T6-N($U6)))</f>
        <v/>
      </c>
      <c r="W6" s="14">
        <f>IF($V6="","",$V6/EF_APLIC)</f>
        <v/>
      </c>
      <c r="X6" s="15" t="n">
        <v>150.01</v>
      </c>
      <c r="Y6" s="16">
        <f>IF(OR($W6="",$X6=""),"",$W6*$X6*10)</f>
        <v/>
      </c>
      <c r="Z6" s="17">
        <f>IFERROR(INDEX('PARAMETROS'!$B$16:$B$19,MATCH($D6,'PARAMETROS'!$A$16:$A$19,0)),"")</f>
        <v/>
      </c>
      <c r="AA6" s="16">
        <f>IF(OR($Y6="",$Z6=""),"",$Y6*$Z6)</f>
        <v/>
      </c>
      <c r="AB6" s="18">
        <f>IF($R6="PENDENTE","Definir classe/Kc",IF($W6="","-",IF($W6&gt;0,"Irrigar","Nao irrigar")))</f>
        <v/>
      </c>
      <c r="AC6" s="18">
        <f>IF(OR($W6="",$W6=0),"-",IF($W6&gt;=META_SEM,"Alta",IF($W6&gt;=META_SEM*FRAC_ACOMP,"Media","Baixa")))</f>
        <v/>
      </c>
      <c r="AD6" s="19" t="inlineStr"/>
    </row>
    <row r="7">
      <c r="A7" s="5" t="inlineStr">
        <is>
          <t>33</t>
        </is>
      </c>
      <c r="B7" s="5" t="inlineStr">
        <is>
          <t>Karitel</t>
        </is>
      </c>
      <c r="C7" s="5" t="inlineStr">
        <is>
          <t>Módulo 01</t>
        </is>
      </c>
      <c r="D7" s="5" t="inlineStr">
        <is>
          <t>KM1</t>
        </is>
      </c>
      <c r="E7" s="5" t="inlineStr">
        <is>
          <t>ALGODÃO</t>
        </is>
      </c>
      <c r="F7" s="6" t="inlineStr">
        <is>
          <t>FM 985 GLTP</t>
        </is>
      </c>
      <c r="G7" s="7" t="inlineStr">
        <is>
          <t>MÉDIO</t>
        </is>
      </c>
      <c r="H7" s="8" t="n">
        <v>46010</v>
      </c>
      <c r="I7" s="9">
        <f>IF($H7="","",DATA_REF-$H7)</f>
        <v/>
      </c>
      <c r="J7" s="9">
        <f>IF($I7="","",MAX(0,$I7-'PARAMETROS'!$B$12))</f>
        <v/>
      </c>
      <c r="K7" s="10">
        <f>IFERROR(INDEX(KC_CURVAS!$C$5:$C$15,MATCH($E7&amp;"|"&amp;$G7,KC_CURVAS!$K$5:$K$15,0)),IFERROR(INDEX(KC_CURVAS!$C$5:$C$15,MATCH($E7&amp;"|",KC_CURVAS!$K$5:$K$15,0)),""))</f>
        <v/>
      </c>
      <c r="L7" s="10">
        <f>IFERROR(INDEX(KC_CURVAS!$D$5:$D$15,MATCH($E7&amp;"|"&amp;$G7,KC_CURVAS!$K$5:$K$15,0)),IFERROR(INDEX(KC_CURVAS!$D$5:$D$15,MATCH($E7&amp;"|",KC_CURVAS!$K$5:$K$15,0)),""))</f>
        <v/>
      </c>
      <c r="M7" s="10">
        <f>IFERROR(INDEX(KC_CURVAS!$E$5:$E$15,MATCH($E7&amp;"|"&amp;$G7,KC_CURVAS!$K$5:$K$15,0)),IFERROR(INDEX(KC_CURVAS!$E$5:$E$15,MATCH($E7&amp;"|",KC_CURVAS!$K$5:$K$15,0)),""))</f>
        <v/>
      </c>
      <c r="N7" s="10">
        <f>IFERROR(INDEX(KC_CURVAS!$F$5:$F$15,MATCH($E7&amp;"|"&amp;$G7,KC_CURVAS!$K$5:$K$15,0)),IFERROR(INDEX(KC_CURVAS!$F$5:$F$15,MATCH($E7&amp;"|",KC_CURVAS!$K$5:$K$15,0)),""))</f>
        <v/>
      </c>
      <c r="O7" s="11">
        <f>IFERROR(INDEX(KC_CURVAS!$G$5:$G$15,MATCH($E7&amp;"|"&amp;$G7,KC_CURVAS!$K$5:$K$15,0)),IFERROR(INDEX(KC_CURVAS!$G$5:$G$15,MATCH($E7&amp;"|",KC_CURVAS!$K$5:$K$15,0)),""))</f>
        <v/>
      </c>
      <c r="P7" s="11">
        <f>IFERROR(INDEX(KC_CURVAS!$H$5:$H$15,MATCH($E7&amp;"|"&amp;$G7,KC_CURVAS!$K$5:$K$15,0)),IFERROR(INDEX(KC_CURVAS!$H$5:$H$15,MATCH($E7&amp;"|",KC_CURVAS!$K$5:$K$15,0)),""))</f>
        <v/>
      </c>
      <c r="Q7" s="11">
        <f>IFERROR(INDEX(KC_CURVAS!$I$5:$I$15,MATCH($E7&amp;"|"&amp;$G7,KC_CURVAS!$K$5:$K$15,0)),IFERROR(INDEX(KC_CURVAS!$I$5:$I$15,MATCH($E7&amp;"|",KC_CURVAS!$K$5:$K$15,0)),""))</f>
        <v/>
      </c>
      <c r="R7" s="12">
        <f>IF(OR($J7="",$K7=""),"PENDENTE",IF($J7&lt;=$K7,$O7,IF($J7&lt;=$K7+$L7,$O7+($P7-$O7)*($J7-$K7)/$L7,IF($J7&lt;=$K7+$L7+$M7,$P7,IF($J7&lt;=$K7+$L7+$M7+$N7,$P7+($Q7-$P7)*($J7-($K7+$L7+$M7))/$N7,$Q7)))))</f>
        <v/>
      </c>
      <c r="S7" s="13">
        <f>ETO_SEM</f>
        <v/>
      </c>
      <c r="T7" s="14">
        <f>IF(OR($R7="",$R7="PENDENTE"),"",$R7*$S7)</f>
        <v/>
      </c>
      <c r="U7" s="13" t="n">
        <v>0</v>
      </c>
      <c r="V7" s="14">
        <f>IF($T7="","",MAX(0,$T7-N($U7)))</f>
        <v/>
      </c>
      <c r="W7" s="14">
        <f>IF($V7="","",$V7/EF_APLIC)</f>
        <v/>
      </c>
      <c r="X7" s="15" t="n">
        <v>137.67</v>
      </c>
      <c r="Y7" s="16">
        <f>IF(OR($W7="",$X7=""),"",$W7*$X7*10)</f>
        <v/>
      </c>
      <c r="Z7" s="17">
        <f>IFERROR(INDEX('PARAMETROS'!$B$16:$B$19,MATCH($D7,'PARAMETROS'!$A$16:$A$19,0)),"")</f>
        <v/>
      </c>
      <c r="AA7" s="16">
        <f>IF(OR($Y7="",$Z7=""),"",$Y7*$Z7)</f>
        <v/>
      </c>
      <c r="AB7" s="18">
        <f>IF($R7="PENDENTE","Definir classe/Kc",IF($W7="","-",IF($W7&gt;0,"Irrigar","Nao irrigar")))</f>
        <v/>
      </c>
      <c r="AC7" s="18">
        <f>IF(OR($W7="",$W7=0),"-",IF($W7&gt;=META_SEM,"Alta",IF($W7&gt;=META_SEM*FRAC_ACOMP,"Media","Baixa")))</f>
        <v/>
      </c>
      <c r="AD7" s="19" t="inlineStr"/>
    </row>
    <row r="8">
      <c r="A8" s="5" t="inlineStr">
        <is>
          <t>34</t>
        </is>
      </c>
      <c r="B8" s="5" t="inlineStr">
        <is>
          <t>Karitel</t>
        </is>
      </c>
      <c r="C8" s="5" t="inlineStr">
        <is>
          <t>Módulo 01</t>
        </is>
      </c>
      <c r="D8" s="5" t="inlineStr">
        <is>
          <t>KM1</t>
        </is>
      </c>
      <c r="E8" s="5" t="inlineStr">
        <is>
          <t>ALGODÃO</t>
        </is>
      </c>
      <c r="F8" s="6" t="inlineStr">
        <is>
          <t>FM 974 GLT</t>
        </is>
      </c>
      <c r="G8" s="7" t="inlineStr">
        <is>
          <t>MÉDIO</t>
        </is>
      </c>
      <c r="H8" s="8" t="n">
        <v>46012</v>
      </c>
      <c r="I8" s="9">
        <f>IF($H8="","",DATA_REF-$H8)</f>
        <v/>
      </c>
      <c r="J8" s="9">
        <f>IF($I8="","",MAX(0,$I8-'PARAMETROS'!$B$12))</f>
        <v/>
      </c>
      <c r="K8" s="10">
        <f>IFERROR(INDEX(KC_CURVAS!$C$5:$C$15,MATCH($E8&amp;"|"&amp;$G8,KC_CURVAS!$K$5:$K$15,0)),IFERROR(INDEX(KC_CURVAS!$C$5:$C$15,MATCH($E8&amp;"|",KC_CURVAS!$K$5:$K$15,0)),""))</f>
        <v/>
      </c>
      <c r="L8" s="10">
        <f>IFERROR(INDEX(KC_CURVAS!$D$5:$D$15,MATCH($E8&amp;"|"&amp;$G8,KC_CURVAS!$K$5:$K$15,0)),IFERROR(INDEX(KC_CURVAS!$D$5:$D$15,MATCH($E8&amp;"|",KC_CURVAS!$K$5:$K$15,0)),""))</f>
        <v/>
      </c>
      <c r="M8" s="10">
        <f>IFERROR(INDEX(KC_CURVAS!$E$5:$E$15,MATCH($E8&amp;"|"&amp;$G8,KC_CURVAS!$K$5:$K$15,0)),IFERROR(INDEX(KC_CURVAS!$E$5:$E$15,MATCH($E8&amp;"|",KC_CURVAS!$K$5:$K$15,0)),""))</f>
        <v/>
      </c>
      <c r="N8" s="10">
        <f>IFERROR(INDEX(KC_CURVAS!$F$5:$F$15,MATCH($E8&amp;"|"&amp;$G8,KC_CURVAS!$K$5:$K$15,0)),IFERROR(INDEX(KC_CURVAS!$F$5:$F$15,MATCH($E8&amp;"|",KC_CURVAS!$K$5:$K$15,0)),""))</f>
        <v/>
      </c>
      <c r="O8" s="11">
        <f>IFERROR(INDEX(KC_CURVAS!$G$5:$G$15,MATCH($E8&amp;"|"&amp;$G8,KC_CURVAS!$K$5:$K$15,0)),IFERROR(INDEX(KC_CURVAS!$G$5:$G$15,MATCH($E8&amp;"|",KC_CURVAS!$K$5:$K$15,0)),""))</f>
        <v/>
      </c>
      <c r="P8" s="11">
        <f>IFERROR(INDEX(KC_CURVAS!$H$5:$H$15,MATCH($E8&amp;"|"&amp;$G8,KC_CURVAS!$K$5:$K$15,0)),IFERROR(INDEX(KC_CURVAS!$H$5:$H$15,MATCH($E8&amp;"|",KC_CURVAS!$K$5:$K$15,0)),""))</f>
        <v/>
      </c>
      <c r="Q8" s="11">
        <f>IFERROR(INDEX(KC_CURVAS!$I$5:$I$15,MATCH($E8&amp;"|"&amp;$G8,KC_CURVAS!$K$5:$K$15,0)),IFERROR(INDEX(KC_CURVAS!$I$5:$I$15,MATCH($E8&amp;"|",KC_CURVAS!$K$5:$K$15,0)),""))</f>
        <v/>
      </c>
      <c r="R8" s="12">
        <f>IF(OR($J8="",$K8=""),"PENDENTE",IF($J8&lt;=$K8,$O8,IF($J8&lt;=$K8+$L8,$O8+($P8-$O8)*($J8-$K8)/$L8,IF($J8&lt;=$K8+$L8+$M8,$P8,IF($J8&lt;=$K8+$L8+$M8+$N8,$P8+($Q8-$P8)*($J8-($K8+$L8+$M8))/$N8,$Q8)))))</f>
        <v/>
      </c>
      <c r="S8" s="13">
        <f>ETO_SEM</f>
        <v/>
      </c>
      <c r="T8" s="14">
        <f>IF(OR($R8="",$R8="PENDENTE"),"",$R8*$S8)</f>
        <v/>
      </c>
      <c r="U8" s="13" t="n">
        <v>0</v>
      </c>
      <c r="V8" s="14">
        <f>IF($T8="","",MAX(0,$T8-N($U8)))</f>
        <v/>
      </c>
      <c r="W8" s="14">
        <f>IF($V8="","",$V8/EF_APLIC)</f>
        <v/>
      </c>
      <c r="X8" s="15" t="n">
        <v>150.01</v>
      </c>
      <c r="Y8" s="16">
        <f>IF(OR($W8="",$X8=""),"",$W8*$X8*10)</f>
        <v/>
      </c>
      <c r="Z8" s="17">
        <f>IFERROR(INDEX('PARAMETROS'!$B$16:$B$19,MATCH($D8,'PARAMETROS'!$A$16:$A$19,0)),"")</f>
        <v/>
      </c>
      <c r="AA8" s="16">
        <f>IF(OR($Y8="",$Z8=""),"",$Y8*$Z8)</f>
        <v/>
      </c>
      <c r="AB8" s="18">
        <f>IF($R8="PENDENTE","Definir classe/Kc",IF($W8="","-",IF($W8&gt;0,"Irrigar","Nao irrigar")))</f>
        <v/>
      </c>
      <c r="AC8" s="18">
        <f>IF(OR($W8="",$W8=0),"-",IF($W8&gt;=META_SEM,"Alta",IF($W8&gt;=META_SEM*FRAC_ACOMP,"Media","Baixa")))</f>
        <v/>
      </c>
      <c r="AD8" s="19" t="inlineStr"/>
    </row>
    <row r="9">
      <c r="A9" s="5" t="inlineStr">
        <is>
          <t>1</t>
        </is>
      </c>
      <c r="B9" s="5" t="inlineStr">
        <is>
          <t>Karitel</t>
        </is>
      </c>
      <c r="C9" s="5" t="inlineStr">
        <is>
          <t>Módulo 01</t>
        </is>
      </c>
      <c r="D9" s="5" t="inlineStr">
        <is>
          <t>KM1</t>
        </is>
      </c>
      <c r="E9" s="5" t="inlineStr">
        <is>
          <t>ALGODÃO</t>
        </is>
      </c>
      <c r="F9" s="6" t="inlineStr">
        <is>
          <t>FM 990 STP</t>
        </is>
      </c>
      <c r="G9" s="7" t="inlineStr">
        <is>
          <t>PRECOCE</t>
        </is>
      </c>
      <c r="H9" s="8" t="n">
        <v>45994</v>
      </c>
      <c r="I9" s="9">
        <f>IF($H9="","",DATA_REF-$H9)</f>
        <v/>
      </c>
      <c r="J9" s="9">
        <f>IF($I9="","",MAX(0,$I9-'PARAMETROS'!$B$12))</f>
        <v/>
      </c>
      <c r="K9" s="10">
        <f>IFERROR(INDEX(KC_CURVAS!$C$5:$C$15,MATCH($E9&amp;"|"&amp;$G9,KC_CURVAS!$K$5:$K$15,0)),IFERROR(INDEX(KC_CURVAS!$C$5:$C$15,MATCH($E9&amp;"|",KC_CURVAS!$K$5:$K$15,0)),""))</f>
        <v/>
      </c>
      <c r="L9" s="10">
        <f>IFERROR(INDEX(KC_CURVAS!$D$5:$D$15,MATCH($E9&amp;"|"&amp;$G9,KC_CURVAS!$K$5:$K$15,0)),IFERROR(INDEX(KC_CURVAS!$D$5:$D$15,MATCH($E9&amp;"|",KC_CURVAS!$K$5:$K$15,0)),""))</f>
        <v/>
      </c>
      <c r="M9" s="10">
        <f>IFERROR(INDEX(KC_CURVAS!$E$5:$E$15,MATCH($E9&amp;"|"&amp;$G9,KC_CURVAS!$K$5:$K$15,0)),IFERROR(INDEX(KC_CURVAS!$E$5:$E$15,MATCH($E9&amp;"|",KC_CURVAS!$K$5:$K$15,0)),""))</f>
        <v/>
      </c>
      <c r="N9" s="10">
        <f>IFERROR(INDEX(KC_CURVAS!$F$5:$F$15,MATCH($E9&amp;"|"&amp;$G9,KC_CURVAS!$K$5:$K$15,0)),IFERROR(INDEX(KC_CURVAS!$F$5:$F$15,MATCH($E9&amp;"|",KC_CURVAS!$K$5:$K$15,0)),""))</f>
        <v/>
      </c>
      <c r="O9" s="11">
        <f>IFERROR(INDEX(KC_CURVAS!$G$5:$G$15,MATCH($E9&amp;"|"&amp;$G9,KC_CURVAS!$K$5:$K$15,0)),IFERROR(INDEX(KC_CURVAS!$G$5:$G$15,MATCH($E9&amp;"|",KC_CURVAS!$K$5:$K$15,0)),""))</f>
        <v/>
      </c>
      <c r="P9" s="11">
        <f>IFERROR(INDEX(KC_CURVAS!$H$5:$H$15,MATCH($E9&amp;"|"&amp;$G9,KC_CURVAS!$K$5:$K$15,0)),IFERROR(INDEX(KC_CURVAS!$H$5:$H$15,MATCH($E9&amp;"|",KC_CURVAS!$K$5:$K$15,0)),""))</f>
        <v/>
      </c>
      <c r="Q9" s="11">
        <f>IFERROR(INDEX(KC_CURVAS!$I$5:$I$15,MATCH($E9&amp;"|"&amp;$G9,KC_CURVAS!$K$5:$K$15,0)),IFERROR(INDEX(KC_CURVAS!$I$5:$I$15,MATCH($E9&amp;"|",KC_CURVAS!$K$5:$K$15,0)),""))</f>
        <v/>
      </c>
      <c r="R9" s="12">
        <f>IF(OR($J9="",$K9=""),"PENDENTE",IF($J9&lt;=$K9,$O9,IF($J9&lt;=$K9+$L9,$O9+($P9-$O9)*($J9-$K9)/$L9,IF($J9&lt;=$K9+$L9+$M9,$P9,IF($J9&lt;=$K9+$L9+$M9+$N9,$P9+($Q9-$P9)*($J9-($K9+$L9+$M9))/$N9,$Q9)))))</f>
        <v/>
      </c>
      <c r="S9" s="13">
        <f>ETO_SEM</f>
        <v/>
      </c>
      <c r="T9" s="14">
        <f>IF(OR($R9="",$R9="PENDENTE"),"",$R9*$S9)</f>
        <v/>
      </c>
      <c r="U9" s="13" t="n">
        <v>0</v>
      </c>
      <c r="V9" s="14">
        <f>IF($T9="","",MAX(0,$T9-N($U9)))</f>
        <v/>
      </c>
      <c r="W9" s="14">
        <f>IF($V9="","",$V9/EF_APLIC)</f>
        <v/>
      </c>
      <c r="X9" s="15" t="n">
        <v>150.01</v>
      </c>
      <c r="Y9" s="16">
        <f>IF(OR($W9="",$X9=""),"",$W9*$X9*10)</f>
        <v/>
      </c>
      <c r="Z9" s="17">
        <f>IFERROR(INDEX('PARAMETROS'!$B$16:$B$19,MATCH($D9,'PARAMETROS'!$A$16:$A$19,0)),"")</f>
        <v/>
      </c>
      <c r="AA9" s="16">
        <f>IF(OR($Y9="",$Z9=""),"",$Y9*$Z9)</f>
        <v/>
      </c>
      <c r="AB9" s="18">
        <f>IF($R9="PENDENTE","Definir classe/Kc",IF($W9="","-",IF($W9&gt;0,"Irrigar","Nao irrigar")))</f>
        <v/>
      </c>
      <c r="AC9" s="18">
        <f>IF(OR($W9="",$W9=0),"-",IF($W9&gt;=META_SEM,"Alta",IF($W9&gt;=META_SEM*FRAC_ACOMP,"Media","Baixa")))</f>
        <v/>
      </c>
      <c r="AD9" s="19" t="inlineStr"/>
    </row>
    <row r="10">
      <c r="A10" s="5" t="inlineStr">
        <is>
          <t>2</t>
        </is>
      </c>
      <c r="B10" s="5" t="inlineStr">
        <is>
          <t>Karitel</t>
        </is>
      </c>
      <c r="C10" s="5" t="inlineStr">
        <is>
          <t>Módulo 01</t>
        </is>
      </c>
      <c r="D10" s="5" t="inlineStr">
        <is>
          <t>KM1</t>
        </is>
      </c>
      <c r="E10" s="5" t="inlineStr">
        <is>
          <t>ALGODÃO</t>
        </is>
      </c>
      <c r="F10" s="6" t="inlineStr">
        <is>
          <t>FM 933 STP</t>
        </is>
      </c>
      <c r="G10" s="7" t="inlineStr">
        <is>
          <t>PRECOCE</t>
        </is>
      </c>
      <c r="H10" s="8" t="n">
        <v>46069</v>
      </c>
      <c r="I10" s="9">
        <f>IF($H10="","",DATA_REF-$H10)</f>
        <v/>
      </c>
      <c r="J10" s="9">
        <f>IF($I10="","",MAX(0,$I10-'PARAMETROS'!$B$12))</f>
        <v/>
      </c>
      <c r="K10" s="10">
        <f>IFERROR(INDEX(KC_CURVAS!$C$5:$C$15,MATCH($E10&amp;"|"&amp;$G10,KC_CURVAS!$K$5:$K$15,0)),IFERROR(INDEX(KC_CURVAS!$C$5:$C$15,MATCH($E10&amp;"|",KC_CURVAS!$K$5:$K$15,0)),""))</f>
        <v/>
      </c>
      <c r="L10" s="10">
        <f>IFERROR(INDEX(KC_CURVAS!$D$5:$D$15,MATCH($E10&amp;"|"&amp;$G10,KC_CURVAS!$K$5:$K$15,0)),IFERROR(INDEX(KC_CURVAS!$D$5:$D$15,MATCH($E10&amp;"|",KC_CURVAS!$K$5:$K$15,0)),""))</f>
        <v/>
      </c>
      <c r="M10" s="10">
        <f>IFERROR(INDEX(KC_CURVAS!$E$5:$E$15,MATCH($E10&amp;"|"&amp;$G10,KC_CURVAS!$K$5:$K$15,0)),IFERROR(INDEX(KC_CURVAS!$E$5:$E$15,MATCH($E10&amp;"|",KC_CURVAS!$K$5:$K$15,0)),""))</f>
        <v/>
      </c>
      <c r="N10" s="10">
        <f>IFERROR(INDEX(KC_CURVAS!$F$5:$F$15,MATCH($E10&amp;"|"&amp;$G10,KC_CURVAS!$K$5:$K$15,0)),IFERROR(INDEX(KC_CURVAS!$F$5:$F$15,MATCH($E10&amp;"|",KC_CURVAS!$K$5:$K$15,0)),""))</f>
        <v/>
      </c>
      <c r="O10" s="11">
        <f>IFERROR(INDEX(KC_CURVAS!$G$5:$G$15,MATCH($E10&amp;"|"&amp;$G10,KC_CURVAS!$K$5:$K$15,0)),IFERROR(INDEX(KC_CURVAS!$G$5:$G$15,MATCH($E10&amp;"|",KC_CURVAS!$K$5:$K$15,0)),""))</f>
        <v/>
      </c>
      <c r="P10" s="11">
        <f>IFERROR(INDEX(KC_CURVAS!$H$5:$H$15,MATCH($E10&amp;"|"&amp;$G10,KC_CURVAS!$K$5:$K$15,0)),IFERROR(INDEX(KC_CURVAS!$H$5:$H$15,MATCH($E10&amp;"|",KC_CURVAS!$K$5:$K$15,0)),""))</f>
        <v/>
      </c>
      <c r="Q10" s="11">
        <f>IFERROR(INDEX(KC_CURVAS!$I$5:$I$15,MATCH($E10&amp;"|"&amp;$G10,KC_CURVAS!$K$5:$K$15,0)),IFERROR(INDEX(KC_CURVAS!$I$5:$I$15,MATCH($E10&amp;"|",KC_CURVAS!$K$5:$K$15,0)),""))</f>
        <v/>
      </c>
      <c r="R10" s="12">
        <f>IF(OR($J10="",$K10=""),"PENDENTE",IF($J10&lt;=$K10,$O10,IF($J10&lt;=$K10+$L10,$O10+($P10-$O10)*($J10-$K10)/$L10,IF($J10&lt;=$K10+$L10+$M10,$P10,IF($J10&lt;=$K10+$L10+$M10+$N10,$P10+($Q10-$P10)*($J10-($K10+$L10+$M10))/$N10,$Q10)))))</f>
        <v/>
      </c>
      <c r="S10" s="13">
        <f>ETO_SEM</f>
        <v/>
      </c>
      <c r="T10" s="14">
        <f>IF(OR($R10="",$R10="PENDENTE"),"",$R10*$S10)</f>
        <v/>
      </c>
      <c r="U10" s="13" t="n">
        <v>0</v>
      </c>
      <c r="V10" s="14">
        <f>IF($T10="","",MAX(0,$T10-N($U10)))</f>
        <v/>
      </c>
      <c r="W10" s="14">
        <f>IF($V10="","",$V10/EF_APLIC)</f>
        <v/>
      </c>
      <c r="X10" s="15" t="n">
        <v>123.72</v>
      </c>
      <c r="Y10" s="16">
        <f>IF(OR($W10="",$X10=""),"",$W10*$X10*10)</f>
        <v/>
      </c>
      <c r="Z10" s="17">
        <f>IFERROR(INDEX('PARAMETROS'!$B$16:$B$19,MATCH($D10,'PARAMETROS'!$A$16:$A$19,0)),"")</f>
        <v/>
      </c>
      <c r="AA10" s="16">
        <f>IF(OR($Y10="",$Z10=""),"",$Y10*$Z10)</f>
        <v/>
      </c>
      <c r="AB10" s="18">
        <f>IF($R10="PENDENTE","Definir classe/Kc",IF($W10="","-",IF($W10&gt;0,"Irrigar","Nao irrigar")))</f>
        <v/>
      </c>
      <c r="AC10" s="18">
        <f>IF(OR($W10="",$W10=0),"-",IF($W10&gt;=META_SEM,"Alta",IF($W10&gt;=META_SEM*FRAC_ACOMP,"Media","Baixa")))</f>
        <v/>
      </c>
      <c r="AD10" s="19" t="inlineStr"/>
    </row>
    <row r="11">
      <c r="A11" s="5" t="inlineStr">
        <is>
          <t>6</t>
        </is>
      </c>
      <c r="B11" s="5" t="inlineStr">
        <is>
          <t>Karitel</t>
        </is>
      </c>
      <c r="C11" s="5" t="inlineStr">
        <is>
          <t>Módulo 01</t>
        </is>
      </c>
      <c r="D11" s="5" t="inlineStr">
        <is>
          <t>KM1</t>
        </is>
      </c>
      <c r="E11" s="5" t="inlineStr">
        <is>
          <t>ALGODÃO</t>
        </is>
      </c>
      <c r="F11" s="6" t="inlineStr">
        <is>
          <t>DP 2111 B3RF</t>
        </is>
      </c>
      <c r="G11" s="7" t="inlineStr">
        <is>
          <t>MÉDIO</t>
        </is>
      </c>
      <c r="H11" s="8" t="n">
        <v>46070</v>
      </c>
      <c r="I11" s="9">
        <f>IF($H11="","",DATA_REF-$H11)</f>
        <v/>
      </c>
      <c r="J11" s="9">
        <f>IF($I11="","",MAX(0,$I11-'PARAMETROS'!$B$12))</f>
        <v/>
      </c>
      <c r="K11" s="10">
        <f>IFERROR(INDEX(KC_CURVAS!$C$5:$C$15,MATCH($E11&amp;"|"&amp;$G11,KC_CURVAS!$K$5:$K$15,0)),IFERROR(INDEX(KC_CURVAS!$C$5:$C$15,MATCH($E11&amp;"|",KC_CURVAS!$K$5:$K$15,0)),""))</f>
        <v/>
      </c>
      <c r="L11" s="10">
        <f>IFERROR(INDEX(KC_CURVAS!$D$5:$D$15,MATCH($E11&amp;"|"&amp;$G11,KC_CURVAS!$K$5:$K$15,0)),IFERROR(INDEX(KC_CURVAS!$D$5:$D$15,MATCH($E11&amp;"|",KC_CURVAS!$K$5:$K$15,0)),""))</f>
        <v/>
      </c>
      <c r="M11" s="10">
        <f>IFERROR(INDEX(KC_CURVAS!$E$5:$E$15,MATCH($E11&amp;"|"&amp;$G11,KC_CURVAS!$K$5:$K$15,0)),IFERROR(INDEX(KC_CURVAS!$E$5:$E$15,MATCH($E11&amp;"|",KC_CURVAS!$K$5:$K$15,0)),""))</f>
        <v/>
      </c>
      <c r="N11" s="10">
        <f>IFERROR(INDEX(KC_CURVAS!$F$5:$F$15,MATCH($E11&amp;"|"&amp;$G11,KC_CURVAS!$K$5:$K$15,0)),IFERROR(INDEX(KC_CURVAS!$F$5:$F$15,MATCH($E11&amp;"|",KC_CURVAS!$K$5:$K$15,0)),""))</f>
        <v/>
      </c>
      <c r="O11" s="11">
        <f>IFERROR(INDEX(KC_CURVAS!$G$5:$G$15,MATCH($E11&amp;"|"&amp;$G11,KC_CURVAS!$K$5:$K$15,0)),IFERROR(INDEX(KC_CURVAS!$G$5:$G$15,MATCH($E11&amp;"|",KC_CURVAS!$K$5:$K$15,0)),""))</f>
        <v/>
      </c>
      <c r="P11" s="11">
        <f>IFERROR(INDEX(KC_CURVAS!$H$5:$H$15,MATCH($E11&amp;"|"&amp;$G11,KC_CURVAS!$K$5:$K$15,0)),IFERROR(INDEX(KC_CURVAS!$H$5:$H$15,MATCH($E11&amp;"|",KC_CURVAS!$K$5:$K$15,0)),""))</f>
        <v/>
      </c>
      <c r="Q11" s="11">
        <f>IFERROR(INDEX(KC_CURVAS!$I$5:$I$15,MATCH($E11&amp;"|"&amp;$G11,KC_CURVAS!$K$5:$K$15,0)),IFERROR(INDEX(KC_CURVAS!$I$5:$I$15,MATCH($E11&amp;"|",KC_CURVAS!$K$5:$K$15,0)),""))</f>
        <v/>
      </c>
      <c r="R11" s="12">
        <f>IF(OR($J11="",$K11=""),"PENDENTE",IF($J11&lt;=$K11,$O11,IF($J11&lt;=$K11+$L11,$O11+($P11-$O11)*($J11-$K11)/$L11,IF($J11&lt;=$K11+$L11+$M11,$P11,IF($J11&lt;=$K11+$L11+$M11+$N11,$P11+($Q11-$P11)*($J11-($K11+$L11+$M11))/$N11,$Q11)))))</f>
        <v/>
      </c>
      <c r="S11" s="13">
        <f>ETO_SEM</f>
        <v/>
      </c>
      <c r="T11" s="14">
        <f>IF(OR($R11="",$R11="PENDENTE"),"",$R11*$S11)</f>
        <v/>
      </c>
      <c r="U11" s="13" t="n">
        <v>0</v>
      </c>
      <c r="V11" s="14">
        <f>IF($T11="","",MAX(0,$T11-N($U11)))</f>
        <v/>
      </c>
      <c r="W11" s="14">
        <f>IF($V11="","",$V11/EF_APLIC)</f>
        <v/>
      </c>
      <c r="X11" s="15" t="n">
        <v>150.01</v>
      </c>
      <c r="Y11" s="16">
        <f>IF(OR($W11="",$X11=""),"",$W11*$X11*10)</f>
        <v/>
      </c>
      <c r="Z11" s="17">
        <f>IFERROR(INDEX('PARAMETROS'!$B$16:$B$19,MATCH($D11,'PARAMETROS'!$A$16:$A$19,0)),"")</f>
        <v/>
      </c>
      <c r="AA11" s="16">
        <f>IF(OR($Y11="",$Z11=""),"",$Y11*$Z11)</f>
        <v/>
      </c>
      <c r="AB11" s="18">
        <f>IF($R11="PENDENTE","Definir classe/Kc",IF($W11="","-",IF($W11&gt;0,"Irrigar","Nao irrigar")))</f>
        <v/>
      </c>
      <c r="AC11" s="18">
        <f>IF(OR($W11="",$W11=0),"-",IF($W11&gt;=META_SEM,"Alta",IF($W11&gt;=META_SEM*FRAC_ACOMP,"Media","Baixa")))</f>
        <v/>
      </c>
      <c r="AD11" s="19" t="inlineStr"/>
    </row>
    <row r="12">
      <c r="A12" s="5" t="inlineStr">
        <is>
          <t>15</t>
        </is>
      </c>
      <c r="B12" s="5" t="inlineStr">
        <is>
          <t>Karitel</t>
        </is>
      </c>
      <c r="C12" s="5" t="inlineStr">
        <is>
          <t>Módulo 01</t>
        </is>
      </c>
      <c r="D12" s="5" t="inlineStr">
        <is>
          <t>KM1</t>
        </is>
      </c>
      <c r="E12" s="5" t="inlineStr">
        <is>
          <t>ALGODÃO</t>
        </is>
      </c>
      <c r="F12" s="6" t="inlineStr">
        <is>
          <t>DP 1949 B3RF</t>
        </is>
      </c>
      <c r="G12" s="7" t="inlineStr">
        <is>
          <t>PRECOCE</t>
        </is>
      </c>
      <c r="H12" s="8" t="n">
        <v>46059</v>
      </c>
      <c r="I12" s="9">
        <f>IF($H12="","",DATA_REF-$H12)</f>
        <v/>
      </c>
      <c r="J12" s="9">
        <f>IF($I12="","",MAX(0,$I12-'PARAMETROS'!$B$12))</f>
        <v/>
      </c>
      <c r="K12" s="10">
        <f>IFERROR(INDEX(KC_CURVAS!$C$5:$C$15,MATCH($E12&amp;"|"&amp;$G12,KC_CURVAS!$K$5:$K$15,0)),IFERROR(INDEX(KC_CURVAS!$C$5:$C$15,MATCH($E12&amp;"|",KC_CURVAS!$K$5:$K$15,0)),""))</f>
        <v/>
      </c>
      <c r="L12" s="10">
        <f>IFERROR(INDEX(KC_CURVAS!$D$5:$D$15,MATCH($E12&amp;"|"&amp;$G12,KC_CURVAS!$K$5:$K$15,0)),IFERROR(INDEX(KC_CURVAS!$D$5:$D$15,MATCH($E12&amp;"|",KC_CURVAS!$K$5:$K$15,0)),""))</f>
        <v/>
      </c>
      <c r="M12" s="10">
        <f>IFERROR(INDEX(KC_CURVAS!$E$5:$E$15,MATCH($E12&amp;"|"&amp;$G12,KC_CURVAS!$K$5:$K$15,0)),IFERROR(INDEX(KC_CURVAS!$E$5:$E$15,MATCH($E12&amp;"|",KC_CURVAS!$K$5:$K$15,0)),""))</f>
        <v/>
      </c>
      <c r="N12" s="10">
        <f>IFERROR(INDEX(KC_CURVAS!$F$5:$F$15,MATCH($E12&amp;"|"&amp;$G12,KC_CURVAS!$K$5:$K$15,0)),IFERROR(INDEX(KC_CURVAS!$F$5:$F$15,MATCH($E12&amp;"|",KC_CURVAS!$K$5:$K$15,0)),""))</f>
        <v/>
      </c>
      <c r="O12" s="11">
        <f>IFERROR(INDEX(KC_CURVAS!$G$5:$G$15,MATCH($E12&amp;"|"&amp;$G12,KC_CURVAS!$K$5:$K$15,0)),IFERROR(INDEX(KC_CURVAS!$G$5:$G$15,MATCH($E12&amp;"|",KC_CURVAS!$K$5:$K$15,0)),""))</f>
        <v/>
      </c>
      <c r="P12" s="11">
        <f>IFERROR(INDEX(KC_CURVAS!$H$5:$H$15,MATCH($E12&amp;"|"&amp;$G12,KC_CURVAS!$K$5:$K$15,0)),IFERROR(INDEX(KC_CURVAS!$H$5:$H$15,MATCH($E12&amp;"|",KC_CURVAS!$K$5:$K$15,0)),""))</f>
        <v/>
      </c>
      <c r="Q12" s="11">
        <f>IFERROR(INDEX(KC_CURVAS!$I$5:$I$15,MATCH($E12&amp;"|"&amp;$G12,KC_CURVAS!$K$5:$K$15,0)),IFERROR(INDEX(KC_CURVAS!$I$5:$I$15,MATCH($E12&amp;"|",KC_CURVAS!$K$5:$K$15,0)),""))</f>
        <v/>
      </c>
      <c r="R12" s="12">
        <f>IF(OR($J12="",$K12=""),"PENDENTE",IF($J12&lt;=$K12,$O12,IF($J12&lt;=$K12+$L12,$O12+($P12-$O12)*($J12-$K12)/$L12,IF($J12&lt;=$K12+$L12+$M12,$P12,IF($J12&lt;=$K12+$L12+$M12+$N12,$P12+($Q12-$P12)*($J12-($K12+$L12+$M12))/$N12,$Q12)))))</f>
        <v/>
      </c>
      <c r="S12" s="13">
        <f>ETO_SEM</f>
        <v/>
      </c>
      <c r="T12" s="14">
        <f>IF(OR($R12="",$R12="PENDENTE"),"",$R12*$S12)</f>
        <v/>
      </c>
      <c r="U12" s="13" t="n">
        <v>0</v>
      </c>
      <c r="V12" s="14">
        <f>IF($T12="","",MAX(0,$T12-N($U12)))</f>
        <v/>
      </c>
      <c r="W12" s="14">
        <f>IF($V12="","",$V12/EF_APLIC)</f>
        <v/>
      </c>
      <c r="X12" s="15" t="n">
        <v>150.01</v>
      </c>
      <c r="Y12" s="16">
        <f>IF(OR($W12="",$X12=""),"",$W12*$X12*10)</f>
        <v/>
      </c>
      <c r="Z12" s="17">
        <f>IFERROR(INDEX('PARAMETROS'!$B$16:$B$19,MATCH($D12,'PARAMETROS'!$A$16:$A$19,0)),"")</f>
        <v/>
      </c>
      <c r="AA12" s="16">
        <f>IF(OR($Y12="",$Z12=""),"",$Y12*$Z12)</f>
        <v/>
      </c>
      <c r="AB12" s="18">
        <f>IF($R12="PENDENTE","Definir classe/Kc",IF($W12="","-",IF($W12&gt;0,"Irrigar","Nao irrigar")))</f>
        <v/>
      </c>
      <c r="AC12" s="18">
        <f>IF(OR($W12="",$W12=0),"-",IF($W12&gt;=META_SEM,"Alta",IF($W12&gt;=META_SEM*FRAC_ACOMP,"Media","Baixa")))</f>
        <v/>
      </c>
      <c r="AD12" s="19" t="inlineStr"/>
    </row>
    <row r="13">
      <c r="A13" s="5" t="inlineStr">
        <is>
          <t>16</t>
        </is>
      </c>
      <c r="B13" s="5" t="inlineStr">
        <is>
          <t>Karitel</t>
        </is>
      </c>
      <c r="C13" s="5" t="inlineStr">
        <is>
          <t>Módulo 01</t>
        </is>
      </c>
      <c r="D13" s="5" t="inlineStr">
        <is>
          <t>KM1</t>
        </is>
      </c>
      <c r="E13" s="5" t="inlineStr">
        <is>
          <t>ALGODÃO</t>
        </is>
      </c>
      <c r="F13" s="6" t="inlineStr">
        <is>
          <t>FM 974 GLT</t>
        </is>
      </c>
      <c r="G13" s="7" t="inlineStr">
        <is>
          <t>MÉDIO</t>
        </is>
      </c>
      <c r="H13" s="8" t="n">
        <v>46059</v>
      </c>
      <c r="I13" s="9">
        <f>IF($H13="","",DATA_REF-$H13)</f>
        <v/>
      </c>
      <c r="J13" s="9">
        <f>IF($I13="","",MAX(0,$I13-'PARAMETROS'!$B$12))</f>
        <v/>
      </c>
      <c r="K13" s="10">
        <f>IFERROR(INDEX(KC_CURVAS!$C$5:$C$15,MATCH($E13&amp;"|"&amp;$G13,KC_CURVAS!$K$5:$K$15,0)),IFERROR(INDEX(KC_CURVAS!$C$5:$C$15,MATCH($E13&amp;"|",KC_CURVAS!$K$5:$K$15,0)),""))</f>
        <v/>
      </c>
      <c r="L13" s="10">
        <f>IFERROR(INDEX(KC_CURVAS!$D$5:$D$15,MATCH($E13&amp;"|"&amp;$G13,KC_CURVAS!$K$5:$K$15,0)),IFERROR(INDEX(KC_CURVAS!$D$5:$D$15,MATCH($E13&amp;"|",KC_CURVAS!$K$5:$K$15,0)),""))</f>
        <v/>
      </c>
      <c r="M13" s="10">
        <f>IFERROR(INDEX(KC_CURVAS!$E$5:$E$15,MATCH($E13&amp;"|"&amp;$G13,KC_CURVAS!$K$5:$K$15,0)),IFERROR(INDEX(KC_CURVAS!$E$5:$E$15,MATCH($E13&amp;"|",KC_CURVAS!$K$5:$K$15,0)),""))</f>
        <v/>
      </c>
      <c r="N13" s="10">
        <f>IFERROR(INDEX(KC_CURVAS!$F$5:$F$15,MATCH($E13&amp;"|"&amp;$G13,KC_CURVAS!$K$5:$K$15,0)),IFERROR(INDEX(KC_CURVAS!$F$5:$F$15,MATCH($E13&amp;"|",KC_CURVAS!$K$5:$K$15,0)),""))</f>
        <v/>
      </c>
      <c r="O13" s="11">
        <f>IFERROR(INDEX(KC_CURVAS!$G$5:$G$15,MATCH($E13&amp;"|"&amp;$G13,KC_CURVAS!$K$5:$K$15,0)),IFERROR(INDEX(KC_CURVAS!$G$5:$G$15,MATCH($E13&amp;"|",KC_CURVAS!$K$5:$K$15,0)),""))</f>
        <v/>
      </c>
      <c r="P13" s="11">
        <f>IFERROR(INDEX(KC_CURVAS!$H$5:$H$15,MATCH($E13&amp;"|"&amp;$G13,KC_CURVAS!$K$5:$K$15,0)),IFERROR(INDEX(KC_CURVAS!$H$5:$H$15,MATCH($E13&amp;"|",KC_CURVAS!$K$5:$K$15,0)),""))</f>
        <v/>
      </c>
      <c r="Q13" s="11">
        <f>IFERROR(INDEX(KC_CURVAS!$I$5:$I$15,MATCH($E13&amp;"|"&amp;$G13,KC_CURVAS!$K$5:$K$15,0)),IFERROR(INDEX(KC_CURVAS!$I$5:$I$15,MATCH($E13&amp;"|",KC_CURVAS!$K$5:$K$15,0)),""))</f>
        <v/>
      </c>
      <c r="R13" s="12">
        <f>IF(OR($J13="",$K13=""),"PENDENTE",IF($J13&lt;=$K13,$O13,IF($J13&lt;=$K13+$L13,$O13+($P13-$O13)*($J13-$K13)/$L13,IF($J13&lt;=$K13+$L13+$M13,$P13,IF($J13&lt;=$K13+$L13+$M13+$N13,$P13+($Q13-$P13)*($J13-($K13+$L13+$M13))/$N13,$Q13)))))</f>
        <v/>
      </c>
      <c r="S13" s="13">
        <f>ETO_SEM</f>
        <v/>
      </c>
      <c r="T13" s="14">
        <f>IF(OR($R13="",$R13="PENDENTE"),"",$R13*$S13)</f>
        <v/>
      </c>
      <c r="U13" s="13" t="n">
        <v>0</v>
      </c>
      <c r="V13" s="14">
        <f>IF($T13="","",MAX(0,$T13-N($U13)))</f>
        <v/>
      </c>
      <c r="W13" s="14">
        <f>IF($V13="","",$V13/EF_APLIC)</f>
        <v/>
      </c>
      <c r="X13" s="15" t="n">
        <v>150.01</v>
      </c>
      <c r="Y13" s="16">
        <f>IF(OR($W13="",$X13=""),"",$W13*$X13*10)</f>
        <v/>
      </c>
      <c r="Z13" s="17">
        <f>IFERROR(INDEX('PARAMETROS'!$B$16:$B$19,MATCH($D13,'PARAMETROS'!$A$16:$A$19,0)),"")</f>
        <v/>
      </c>
      <c r="AA13" s="16">
        <f>IF(OR($Y13="",$Z13=""),"",$Y13*$Z13)</f>
        <v/>
      </c>
      <c r="AB13" s="18">
        <f>IF($R13="PENDENTE","Definir classe/Kc",IF($W13="","-",IF($W13&gt;0,"Irrigar","Nao irrigar")))</f>
        <v/>
      </c>
      <c r="AC13" s="18">
        <f>IF(OR($W13="",$W13=0),"-",IF($W13&gt;=META_SEM,"Alta",IF($W13&gt;=META_SEM*FRAC_ACOMP,"Media","Baixa")))</f>
        <v/>
      </c>
      <c r="AD13" s="19" t="inlineStr"/>
    </row>
    <row r="14">
      <c r="A14" s="5" t="inlineStr">
        <is>
          <t>17</t>
        </is>
      </c>
      <c r="B14" s="5" t="inlineStr">
        <is>
          <t>Karitel</t>
        </is>
      </c>
      <c r="C14" s="5" t="inlineStr">
        <is>
          <t>Módulo 01</t>
        </is>
      </c>
      <c r="D14" s="5" t="inlineStr">
        <is>
          <t>KM1</t>
        </is>
      </c>
      <c r="E14" s="5" t="inlineStr">
        <is>
          <t>ALGODÃO</t>
        </is>
      </c>
      <c r="F14" s="6" t="inlineStr">
        <is>
          <t>DP 1949 B3RF</t>
        </is>
      </c>
      <c r="G14" s="7" t="inlineStr">
        <is>
          <t>PRECOCE</t>
        </is>
      </c>
      <c r="H14" s="8" t="n">
        <v>46059</v>
      </c>
      <c r="I14" s="9">
        <f>IF($H14="","",DATA_REF-$H14)</f>
        <v/>
      </c>
      <c r="J14" s="9">
        <f>IF($I14="","",MAX(0,$I14-'PARAMETROS'!$B$12))</f>
        <v/>
      </c>
      <c r="K14" s="10">
        <f>IFERROR(INDEX(KC_CURVAS!$C$5:$C$15,MATCH($E14&amp;"|"&amp;$G14,KC_CURVAS!$K$5:$K$15,0)),IFERROR(INDEX(KC_CURVAS!$C$5:$C$15,MATCH($E14&amp;"|",KC_CURVAS!$K$5:$K$15,0)),""))</f>
        <v/>
      </c>
      <c r="L14" s="10">
        <f>IFERROR(INDEX(KC_CURVAS!$D$5:$D$15,MATCH($E14&amp;"|"&amp;$G14,KC_CURVAS!$K$5:$K$15,0)),IFERROR(INDEX(KC_CURVAS!$D$5:$D$15,MATCH($E14&amp;"|",KC_CURVAS!$K$5:$K$15,0)),""))</f>
        <v/>
      </c>
      <c r="M14" s="10">
        <f>IFERROR(INDEX(KC_CURVAS!$E$5:$E$15,MATCH($E14&amp;"|"&amp;$G14,KC_CURVAS!$K$5:$K$15,0)),IFERROR(INDEX(KC_CURVAS!$E$5:$E$15,MATCH($E14&amp;"|",KC_CURVAS!$K$5:$K$15,0)),""))</f>
        <v/>
      </c>
      <c r="N14" s="10">
        <f>IFERROR(INDEX(KC_CURVAS!$F$5:$F$15,MATCH($E14&amp;"|"&amp;$G14,KC_CURVAS!$K$5:$K$15,0)),IFERROR(INDEX(KC_CURVAS!$F$5:$F$15,MATCH($E14&amp;"|",KC_CURVAS!$K$5:$K$15,0)),""))</f>
        <v/>
      </c>
      <c r="O14" s="11">
        <f>IFERROR(INDEX(KC_CURVAS!$G$5:$G$15,MATCH($E14&amp;"|"&amp;$G14,KC_CURVAS!$K$5:$K$15,0)),IFERROR(INDEX(KC_CURVAS!$G$5:$G$15,MATCH($E14&amp;"|",KC_CURVAS!$K$5:$K$15,0)),""))</f>
        <v/>
      </c>
      <c r="P14" s="11">
        <f>IFERROR(INDEX(KC_CURVAS!$H$5:$H$15,MATCH($E14&amp;"|"&amp;$G14,KC_CURVAS!$K$5:$K$15,0)),IFERROR(INDEX(KC_CURVAS!$H$5:$H$15,MATCH($E14&amp;"|",KC_CURVAS!$K$5:$K$15,0)),""))</f>
        <v/>
      </c>
      <c r="Q14" s="11">
        <f>IFERROR(INDEX(KC_CURVAS!$I$5:$I$15,MATCH($E14&amp;"|"&amp;$G14,KC_CURVAS!$K$5:$K$15,0)),IFERROR(INDEX(KC_CURVAS!$I$5:$I$15,MATCH($E14&amp;"|",KC_CURVAS!$K$5:$K$15,0)),""))</f>
        <v/>
      </c>
      <c r="R14" s="12">
        <f>IF(OR($J14="",$K14=""),"PENDENTE",IF($J14&lt;=$K14,$O14,IF($J14&lt;=$K14+$L14,$O14+($P14-$O14)*($J14-$K14)/$L14,IF($J14&lt;=$K14+$L14+$M14,$P14,IF($J14&lt;=$K14+$L14+$M14+$N14,$P14+($Q14-$P14)*($J14-($K14+$L14+$M14))/$N14,$Q14)))))</f>
        <v/>
      </c>
      <c r="S14" s="13">
        <f>ETO_SEM</f>
        <v/>
      </c>
      <c r="T14" s="14">
        <f>IF(OR($R14="",$R14="PENDENTE"),"",$R14*$S14)</f>
        <v/>
      </c>
      <c r="U14" s="13" t="n">
        <v>0</v>
      </c>
      <c r="V14" s="14">
        <f>IF($T14="","",MAX(0,$T14-N($U14)))</f>
        <v/>
      </c>
      <c r="W14" s="14">
        <f>IF($V14="","",$V14/EF_APLIC)</f>
        <v/>
      </c>
      <c r="X14" s="15" t="n">
        <v>150.01</v>
      </c>
      <c r="Y14" s="16">
        <f>IF(OR($W14="",$X14=""),"",$W14*$X14*10)</f>
        <v/>
      </c>
      <c r="Z14" s="17">
        <f>IFERROR(INDEX('PARAMETROS'!$B$16:$B$19,MATCH($D14,'PARAMETROS'!$A$16:$A$19,0)),"")</f>
        <v/>
      </c>
      <c r="AA14" s="16">
        <f>IF(OR($Y14="",$Z14=""),"",$Y14*$Z14)</f>
        <v/>
      </c>
      <c r="AB14" s="18">
        <f>IF($R14="PENDENTE","Definir classe/Kc",IF($W14="","-",IF($W14&gt;0,"Irrigar","Nao irrigar")))</f>
        <v/>
      </c>
      <c r="AC14" s="18">
        <f>IF(OR($W14="",$W14=0),"-",IF($W14&gt;=META_SEM,"Alta",IF($W14&gt;=META_SEM*FRAC_ACOMP,"Media","Baixa")))</f>
        <v/>
      </c>
      <c r="AD14" s="19" t="inlineStr"/>
    </row>
    <row r="15">
      <c r="A15" s="5" t="inlineStr">
        <is>
          <t>19</t>
        </is>
      </c>
      <c r="B15" s="5" t="inlineStr">
        <is>
          <t>Karitel</t>
        </is>
      </c>
      <c r="C15" s="5" t="inlineStr">
        <is>
          <t>Módulo 01</t>
        </is>
      </c>
      <c r="D15" s="5" t="inlineStr">
        <is>
          <t>KM1</t>
        </is>
      </c>
      <c r="E15" s="5" t="inlineStr">
        <is>
          <t>ALGODÃO</t>
        </is>
      </c>
      <c r="F15" s="6" t="inlineStr">
        <is>
          <t>DP 1949 B3RF</t>
        </is>
      </c>
      <c r="G15" s="7" t="inlineStr">
        <is>
          <t>PRECOCE</t>
        </is>
      </c>
      <c r="H15" s="8" t="n">
        <v>46059</v>
      </c>
      <c r="I15" s="9">
        <f>IF($H15="","",DATA_REF-$H15)</f>
        <v/>
      </c>
      <c r="J15" s="9">
        <f>IF($I15="","",MAX(0,$I15-'PARAMETROS'!$B$12))</f>
        <v/>
      </c>
      <c r="K15" s="10">
        <f>IFERROR(INDEX(KC_CURVAS!$C$5:$C$15,MATCH($E15&amp;"|"&amp;$G15,KC_CURVAS!$K$5:$K$15,0)),IFERROR(INDEX(KC_CURVAS!$C$5:$C$15,MATCH($E15&amp;"|",KC_CURVAS!$K$5:$K$15,0)),""))</f>
        <v/>
      </c>
      <c r="L15" s="10">
        <f>IFERROR(INDEX(KC_CURVAS!$D$5:$D$15,MATCH($E15&amp;"|"&amp;$G15,KC_CURVAS!$K$5:$K$15,0)),IFERROR(INDEX(KC_CURVAS!$D$5:$D$15,MATCH($E15&amp;"|",KC_CURVAS!$K$5:$K$15,0)),""))</f>
        <v/>
      </c>
      <c r="M15" s="10">
        <f>IFERROR(INDEX(KC_CURVAS!$E$5:$E$15,MATCH($E15&amp;"|"&amp;$G15,KC_CURVAS!$K$5:$K$15,0)),IFERROR(INDEX(KC_CURVAS!$E$5:$E$15,MATCH($E15&amp;"|",KC_CURVAS!$K$5:$K$15,0)),""))</f>
        <v/>
      </c>
      <c r="N15" s="10">
        <f>IFERROR(INDEX(KC_CURVAS!$F$5:$F$15,MATCH($E15&amp;"|"&amp;$G15,KC_CURVAS!$K$5:$K$15,0)),IFERROR(INDEX(KC_CURVAS!$F$5:$F$15,MATCH($E15&amp;"|",KC_CURVAS!$K$5:$K$15,0)),""))</f>
        <v/>
      </c>
      <c r="O15" s="11">
        <f>IFERROR(INDEX(KC_CURVAS!$G$5:$G$15,MATCH($E15&amp;"|"&amp;$G15,KC_CURVAS!$K$5:$K$15,0)),IFERROR(INDEX(KC_CURVAS!$G$5:$G$15,MATCH($E15&amp;"|",KC_CURVAS!$K$5:$K$15,0)),""))</f>
        <v/>
      </c>
      <c r="P15" s="11">
        <f>IFERROR(INDEX(KC_CURVAS!$H$5:$H$15,MATCH($E15&amp;"|"&amp;$G15,KC_CURVAS!$K$5:$K$15,0)),IFERROR(INDEX(KC_CURVAS!$H$5:$H$15,MATCH($E15&amp;"|",KC_CURVAS!$K$5:$K$15,0)),""))</f>
        <v/>
      </c>
      <c r="Q15" s="11">
        <f>IFERROR(INDEX(KC_CURVAS!$I$5:$I$15,MATCH($E15&amp;"|"&amp;$G15,KC_CURVAS!$K$5:$K$15,0)),IFERROR(INDEX(KC_CURVAS!$I$5:$I$15,MATCH($E15&amp;"|",KC_CURVAS!$K$5:$K$15,0)),""))</f>
        <v/>
      </c>
      <c r="R15" s="12">
        <f>IF(OR($J15="",$K15=""),"PENDENTE",IF($J15&lt;=$K15,$O15,IF($J15&lt;=$K15+$L15,$O15+($P15-$O15)*($J15-$K15)/$L15,IF($J15&lt;=$K15+$L15+$M15,$P15,IF($J15&lt;=$K15+$L15+$M15+$N15,$P15+($Q15-$P15)*($J15-($K15+$L15+$M15))/$N15,$Q15)))))</f>
        <v/>
      </c>
      <c r="S15" s="13">
        <f>ETO_SEM</f>
        <v/>
      </c>
      <c r="T15" s="14">
        <f>IF(OR($R15="",$R15="PENDENTE"),"",$R15*$S15)</f>
        <v/>
      </c>
      <c r="U15" s="13" t="n">
        <v>0</v>
      </c>
      <c r="V15" s="14">
        <f>IF($T15="","",MAX(0,$T15-N($U15)))</f>
        <v/>
      </c>
      <c r="W15" s="14">
        <f>IF($V15="","",$V15/EF_APLIC)</f>
        <v/>
      </c>
      <c r="X15" s="15" t="n">
        <v>150.01</v>
      </c>
      <c r="Y15" s="16">
        <f>IF(OR($W15="",$X15=""),"",$W15*$X15*10)</f>
        <v/>
      </c>
      <c r="Z15" s="17">
        <f>IFERROR(INDEX('PARAMETROS'!$B$16:$B$19,MATCH($D15,'PARAMETROS'!$A$16:$A$19,0)),"")</f>
        <v/>
      </c>
      <c r="AA15" s="16">
        <f>IF(OR($Y15="",$Z15=""),"",$Y15*$Z15)</f>
        <v/>
      </c>
      <c r="AB15" s="18">
        <f>IF($R15="PENDENTE","Definir classe/Kc",IF($W15="","-",IF($W15&gt;0,"Irrigar","Nao irrigar")))</f>
        <v/>
      </c>
      <c r="AC15" s="18">
        <f>IF(OR($W15="",$W15=0),"-",IF($W15&gt;=META_SEM,"Alta",IF($W15&gt;=META_SEM*FRAC_ACOMP,"Media","Baixa")))</f>
        <v/>
      </c>
      <c r="AD15" s="19" t="inlineStr"/>
    </row>
    <row r="16">
      <c r="A16" s="5" t="inlineStr">
        <is>
          <t>20</t>
        </is>
      </c>
      <c r="B16" s="5" t="inlineStr">
        <is>
          <t>Karitel</t>
        </is>
      </c>
      <c r="C16" s="5" t="inlineStr">
        <is>
          <t>Módulo 01</t>
        </is>
      </c>
      <c r="D16" s="5" t="inlineStr">
        <is>
          <t>KM1</t>
        </is>
      </c>
      <c r="E16" s="5" t="inlineStr">
        <is>
          <t>ALGODÃO</t>
        </is>
      </c>
      <c r="F16" s="6" t="inlineStr">
        <is>
          <t>FM 974 GLT</t>
        </is>
      </c>
      <c r="G16" s="7" t="inlineStr">
        <is>
          <t>MÉDIO</t>
        </is>
      </c>
      <c r="H16" s="8" t="n">
        <v>46037</v>
      </c>
      <c r="I16" s="9">
        <f>IF($H16="","",DATA_REF-$H16)</f>
        <v/>
      </c>
      <c r="J16" s="9">
        <f>IF($I16="","",MAX(0,$I16-'PARAMETROS'!$B$12))</f>
        <v/>
      </c>
      <c r="K16" s="10">
        <f>IFERROR(INDEX(KC_CURVAS!$C$5:$C$15,MATCH($E16&amp;"|"&amp;$G16,KC_CURVAS!$K$5:$K$15,0)),IFERROR(INDEX(KC_CURVAS!$C$5:$C$15,MATCH($E16&amp;"|",KC_CURVAS!$K$5:$K$15,0)),""))</f>
        <v/>
      </c>
      <c r="L16" s="10">
        <f>IFERROR(INDEX(KC_CURVAS!$D$5:$D$15,MATCH($E16&amp;"|"&amp;$G16,KC_CURVAS!$K$5:$K$15,0)),IFERROR(INDEX(KC_CURVAS!$D$5:$D$15,MATCH($E16&amp;"|",KC_CURVAS!$K$5:$K$15,0)),""))</f>
        <v/>
      </c>
      <c r="M16" s="10">
        <f>IFERROR(INDEX(KC_CURVAS!$E$5:$E$15,MATCH($E16&amp;"|"&amp;$G16,KC_CURVAS!$K$5:$K$15,0)),IFERROR(INDEX(KC_CURVAS!$E$5:$E$15,MATCH($E16&amp;"|",KC_CURVAS!$K$5:$K$15,0)),""))</f>
        <v/>
      </c>
      <c r="N16" s="10">
        <f>IFERROR(INDEX(KC_CURVAS!$F$5:$F$15,MATCH($E16&amp;"|"&amp;$G16,KC_CURVAS!$K$5:$K$15,0)),IFERROR(INDEX(KC_CURVAS!$F$5:$F$15,MATCH($E16&amp;"|",KC_CURVAS!$K$5:$K$15,0)),""))</f>
        <v/>
      </c>
      <c r="O16" s="11">
        <f>IFERROR(INDEX(KC_CURVAS!$G$5:$G$15,MATCH($E16&amp;"|"&amp;$G16,KC_CURVAS!$K$5:$K$15,0)),IFERROR(INDEX(KC_CURVAS!$G$5:$G$15,MATCH($E16&amp;"|",KC_CURVAS!$K$5:$K$15,0)),""))</f>
        <v/>
      </c>
      <c r="P16" s="11">
        <f>IFERROR(INDEX(KC_CURVAS!$H$5:$H$15,MATCH($E16&amp;"|"&amp;$G16,KC_CURVAS!$K$5:$K$15,0)),IFERROR(INDEX(KC_CURVAS!$H$5:$H$15,MATCH($E16&amp;"|",KC_CURVAS!$K$5:$K$15,0)),""))</f>
        <v/>
      </c>
      <c r="Q16" s="11">
        <f>IFERROR(INDEX(KC_CURVAS!$I$5:$I$15,MATCH($E16&amp;"|"&amp;$G16,KC_CURVAS!$K$5:$K$15,0)),IFERROR(INDEX(KC_CURVAS!$I$5:$I$15,MATCH($E16&amp;"|",KC_CURVAS!$K$5:$K$15,0)),""))</f>
        <v/>
      </c>
      <c r="R16" s="12">
        <f>IF(OR($J16="",$K16=""),"PENDENTE",IF($J16&lt;=$K16,$O16,IF($J16&lt;=$K16+$L16,$O16+($P16-$O16)*($J16-$K16)/$L16,IF($J16&lt;=$K16+$L16+$M16,$P16,IF($J16&lt;=$K16+$L16+$M16+$N16,$P16+($Q16-$P16)*($J16-($K16+$L16+$M16))/$N16,$Q16)))))</f>
        <v/>
      </c>
      <c r="S16" s="13">
        <f>ETO_SEM</f>
        <v/>
      </c>
      <c r="T16" s="14">
        <f>IF(OR($R16="",$R16="PENDENTE"),"",$R16*$S16)</f>
        <v/>
      </c>
      <c r="U16" s="13" t="n">
        <v>0</v>
      </c>
      <c r="V16" s="14">
        <f>IF($T16="","",MAX(0,$T16-N($U16)))</f>
        <v/>
      </c>
      <c r="W16" s="14">
        <f>IF($V16="","",$V16/EF_APLIC)</f>
        <v/>
      </c>
      <c r="X16" s="15" t="n">
        <v>150.01</v>
      </c>
      <c r="Y16" s="16">
        <f>IF(OR($W16="",$X16=""),"",$W16*$X16*10)</f>
        <v/>
      </c>
      <c r="Z16" s="17">
        <f>IFERROR(INDEX('PARAMETROS'!$B$16:$B$19,MATCH($D16,'PARAMETROS'!$A$16:$A$19,0)),"")</f>
        <v/>
      </c>
      <c r="AA16" s="16">
        <f>IF(OR($Y16="",$Z16=""),"",$Y16*$Z16)</f>
        <v/>
      </c>
      <c r="AB16" s="18">
        <f>IF($R16="PENDENTE","Definir classe/Kc",IF($W16="","-",IF($W16&gt;0,"Irrigar","Nao irrigar")))</f>
        <v/>
      </c>
      <c r="AC16" s="18">
        <f>IF(OR($W16="",$W16=0),"-",IF($W16&gt;=META_SEM,"Alta",IF($W16&gt;=META_SEM*FRAC_ACOMP,"Media","Baixa")))</f>
        <v/>
      </c>
      <c r="AD16" s="19" t="inlineStr"/>
    </row>
    <row r="17">
      <c r="A17" s="5" t="inlineStr">
        <is>
          <t>21</t>
        </is>
      </c>
      <c r="B17" s="5" t="inlineStr">
        <is>
          <t>Karitel</t>
        </is>
      </c>
      <c r="C17" s="5" t="inlineStr">
        <is>
          <t>Módulo 01</t>
        </is>
      </c>
      <c r="D17" s="5" t="inlineStr">
        <is>
          <t>KM1</t>
        </is>
      </c>
      <c r="E17" s="5" t="inlineStr">
        <is>
          <t>ALGODÃO</t>
        </is>
      </c>
      <c r="F17" s="6" t="inlineStr">
        <is>
          <t>DP 1949 B3RF</t>
        </is>
      </c>
      <c r="G17" s="7" t="inlineStr">
        <is>
          <t>PRECOCE</t>
        </is>
      </c>
      <c r="H17" s="8" t="n">
        <v>46050</v>
      </c>
      <c r="I17" s="9">
        <f>IF($H17="","",DATA_REF-$H17)</f>
        <v/>
      </c>
      <c r="J17" s="9">
        <f>IF($I17="","",MAX(0,$I17-'PARAMETROS'!$B$12))</f>
        <v/>
      </c>
      <c r="K17" s="10">
        <f>IFERROR(INDEX(KC_CURVAS!$C$5:$C$15,MATCH($E17&amp;"|"&amp;$G17,KC_CURVAS!$K$5:$K$15,0)),IFERROR(INDEX(KC_CURVAS!$C$5:$C$15,MATCH($E17&amp;"|",KC_CURVAS!$K$5:$K$15,0)),""))</f>
        <v/>
      </c>
      <c r="L17" s="10">
        <f>IFERROR(INDEX(KC_CURVAS!$D$5:$D$15,MATCH($E17&amp;"|"&amp;$G17,KC_CURVAS!$K$5:$K$15,0)),IFERROR(INDEX(KC_CURVAS!$D$5:$D$15,MATCH($E17&amp;"|",KC_CURVAS!$K$5:$K$15,0)),""))</f>
        <v/>
      </c>
      <c r="M17" s="10">
        <f>IFERROR(INDEX(KC_CURVAS!$E$5:$E$15,MATCH($E17&amp;"|"&amp;$G17,KC_CURVAS!$K$5:$K$15,0)),IFERROR(INDEX(KC_CURVAS!$E$5:$E$15,MATCH($E17&amp;"|",KC_CURVAS!$K$5:$K$15,0)),""))</f>
        <v/>
      </c>
      <c r="N17" s="10">
        <f>IFERROR(INDEX(KC_CURVAS!$F$5:$F$15,MATCH($E17&amp;"|"&amp;$G17,KC_CURVAS!$K$5:$K$15,0)),IFERROR(INDEX(KC_CURVAS!$F$5:$F$15,MATCH($E17&amp;"|",KC_CURVAS!$K$5:$K$15,0)),""))</f>
        <v/>
      </c>
      <c r="O17" s="11">
        <f>IFERROR(INDEX(KC_CURVAS!$G$5:$G$15,MATCH($E17&amp;"|"&amp;$G17,KC_CURVAS!$K$5:$K$15,0)),IFERROR(INDEX(KC_CURVAS!$G$5:$G$15,MATCH($E17&amp;"|",KC_CURVAS!$K$5:$K$15,0)),""))</f>
        <v/>
      </c>
      <c r="P17" s="11">
        <f>IFERROR(INDEX(KC_CURVAS!$H$5:$H$15,MATCH($E17&amp;"|"&amp;$G17,KC_CURVAS!$K$5:$K$15,0)),IFERROR(INDEX(KC_CURVAS!$H$5:$H$15,MATCH($E17&amp;"|",KC_CURVAS!$K$5:$K$15,0)),""))</f>
        <v/>
      </c>
      <c r="Q17" s="11">
        <f>IFERROR(INDEX(KC_CURVAS!$I$5:$I$15,MATCH($E17&amp;"|"&amp;$G17,KC_CURVAS!$K$5:$K$15,0)),IFERROR(INDEX(KC_CURVAS!$I$5:$I$15,MATCH($E17&amp;"|",KC_CURVAS!$K$5:$K$15,0)),""))</f>
        <v/>
      </c>
      <c r="R17" s="12">
        <f>IF(OR($J17="",$K17=""),"PENDENTE",IF($J17&lt;=$K17,$O17,IF($J17&lt;=$K17+$L17,$O17+($P17-$O17)*($J17-$K17)/$L17,IF($J17&lt;=$K17+$L17+$M17,$P17,IF($J17&lt;=$K17+$L17+$M17+$N17,$P17+($Q17-$P17)*($J17-($K17+$L17+$M17))/$N17,$Q17)))))</f>
        <v/>
      </c>
      <c r="S17" s="13">
        <f>ETO_SEM</f>
        <v/>
      </c>
      <c r="T17" s="14">
        <f>IF(OR($R17="",$R17="PENDENTE"),"",$R17*$S17)</f>
        <v/>
      </c>
      <c r="U17" s="13" t="n">
        <v>0</v>
      </c>
      <c r="V17" s="14">
        <f>IF($T17="","",MAX(0,$T17-N($U17)))</f>
        <v/>
      </c>
      <c r="W17" s="14">
        <f>IF($V17="","",$V17/EF_APLIC)</f>
        <v/>
      </c>
      <c r="X17" s="15" t="n">
        <v>150.01</v>
      </c>
      <c r="Y17" s="16">
        <f>IF(OR($W17="",$X17=""),"",$W17*$X17*10)</f>
        <v/>
      </c>
      <c r="Z17" s="17">
        <f>IFERROR(INDEX('PARAMETROS'!$B$16:$B$19,MATCH($D17,'PARAMETROS'!$A$16:$A$19,0)),"")</f>
        <v/>
      </c>
      <c r="AA17" s="16">
        <f>IF(OR($Y17="",$Z17=""),"",$Y17*$Z17)</f>
        <v/>
      </c>
      <c r="AB17" s="18">
        <f>IF($R17="PENDENTE","Definir classe/Kc",IF($W17="","-",IF($W17&gt;0,"Irrigar","Nao irrigar")))</f>
        <v/>
      </c>
      <c r="AC17" s="18">
        <f>IF(OR($W17="",$W17=0),"-",IF($W17&gt;=META_SEM,"Alta",IF($W17&gt;=META_SEM*FRAC_ACOMP,"Media","Baixa")))</f>
        <v/>
      </c>
      <c r="AD17" s="19" t="inlineStr"/>
    </row>
    <row r="18">
      <c r="A18" s="5" t="inlineStr">
        <is>
          <t>22</t>
        </is>
      </c>
      <c r="B18" s="5" t="inlineStr">
        <is>
          <t>Karitel</t>
        </is>
      </c>
      <c r="C18" s="5" t="inlineStr">
        <is>
          <t>Módulo 01</t>
        </is>
      </c>
      <c r="D18" s="5" t="inlineStr">
        <is>
          <t>KM1</t>
        </is>
      </c>
      <c r="E18" s="5" t="inlineStr">
        <is>
          <t>ALGODÃO</t>
        </is>
      </c>
      <c r="F18" s="6" t="inlineStr">
        <is>
          <t>FM 974 GLT</t>
        </is>
      </c>
      <c r="G18" s="7" t="inlineStr">
        <is>
          <t>MÉDIO</t>
        </is>
      </c>
      <c r="H18" s="8" t="n">
        <v>46047</v>
      </c>
      <c r="I18" s="9">
        <f>IF($H18="","",DATA_REF-$H18)</f>
        <v/>
      </c>
      <c r="J18" s="9">
        <f>IF($I18="","",MAX(0,$I18-'PARAMETROS'!$B$12))</f>
        <v/>
      </c>
      <c r="K18" s="10">
        <f>IFERROR(INDEX(KC_CURVAS!$C$5:$C$15,MATCH($E18&amp;"|"&amp;$G18,KC_CURVAS!$K$5:$K$15,0)),IFERROR(INDEX(KC_CURVAS!$C$5:$C$15,MATCH($E18&amp;"|",KC_CURVAS!$K$5:$K$15,0)),""))</f>
        <v/>
      </c>
      <c r="L18" s="10">
        <f>IFERROR(INDEX(KC_CURVAS!$D$5:$D$15,MATCH($E18&amp;"|"&amp;$G18,KC_CURVAS!$K$5:$K$15,0)),IFERROR(INDEX(KC_CURVAS!$D$5:$D$15,MATCH($E18&amp;"|",KC_CURVAS!$K$5:$K$15,0)),""))</f>
        <v/>
      </c>
      <c r="M18" s="10">
        <f>IFERROR(INDEX(KC_CURVAS!$E$5:$E$15,MATCH($E18&amp;"|"&amp;$G18,KC_CURVAS!$K$5:$K$15,0)),IFERROR(INDEX(KC_CURVAS!$E$5:$E$15,MATCH($E18&amp;"|",KC_CURVAS!$K$5:$K$15,0)),""))</f>
        <v/>
      </c>
      <c r="N18" s="10">
        <f>IFERROR(INDEX(KC_CURVAS!$F$5:$F$15,MATCH($E18&amp;"|"&amp;$G18,KC_CURVAS!$K$5:$K$15,0)),IFERROR(INDEX(KC_CURVAS!$F$5:$F$15,MATCH($E18&amp;"|",KC_CURVAS!$K$5:$K$15,0)),""))</f>
        <v/>
      </c>
      <c r="O18" s="11">
        <f>IFERROR(INDEX(KC_CURVAS!$G$5:$G$15,MATCH($E18&amp;"|"&amp;$G18,KC_CURVAS!$K$5:$K$15,0)),IFERROR(INDEX(KC_CURVAS!$G$5:$G$15,MATCH($E18&amp;"|",KC_CURVAS!$K$5:$K$15,0)),""))</f>
        <v/>
      </c>
      <c r="P18" s="11">
        <f>IFERROR(INDEX(KC_CURVAS!$H$5:$H$15,MATCH($E18&amp;"|"&amp;$G18,KC_CURVAS!$K$5:$K$15,0)),IFERROR(INDEX(KC_CURVAS!$H$5:$H$15,MATCH($E18&amp;"|",KC_CURVAS!$K$5:$K$15,0)),""))</f>
        <v/>
      </c>
      <c r="Q18" s="11">
        <f>IFERROR(INDEX(KC_CURVAS!$I$5:$I$15,MATCH($E18&amp;"|"&amp;$G18,KC_CURVAS!$K$5:$K$15,0)),IFERROR(INDEX(KC_CURVAS!$I$5:$I$15,MATCH($E18&amp;"|",KC_CURVAS!$K$5:$K$15,0)),""))</f>
        <v/>
      </c>
      <c r="R18" s="12">
        <f>IF(OR($J18="",$K18=""),"PENDENTE",IF($J18&lt;=$K18,$O18,IF($J18&lt;=$K18+$L18,$O18+($P18-$O18)*($J18-$K18)/$L18,IF($J18&lt;=$K18+$L18+$M18,$P18,IF($J18&lt;=$K18+$L18+$M18+$N18,$P18+($Q18-$P18)*($J18-($K18+$L18+$M18))/$N18,$Q18)))))</f>
        <v/>
      </c>
      <c r="S18" s="13">
        <f>ETO_SEM</f>
        <v/>
      </c>
      <c r="T18" s="14">
        <f>IF(OR($R18="",$R18="PENDENTE"),"",$R18*$S18)</f>
        <v/>
      </c>
      <c r="U18" s="13" t="n">
        <v>0</v>
      </c>
      <c r="V18" s="14">
        <f>IF($T18="","",MAX(0,$T18-N($U18)))</f>
        <v/>
      </c>
      <c r="W18" s="14">
        <f>IF($V18="","",$V18/EF_APLIC)</f>
        <v/>
      </c>
      <c r="X18" s="15" t="n">
        <v>150.01</v>
      </c>
      <c r="Y18" s="16">
        <f>IF(OR($W18="",$X18=""),"",$W18*$X18*10)</f>
        <v/>
      </c>
      <c r="Z18" s="17">
        <f>IFERROR(INDEX('PARAMETROS'!$B$16:$B$19,MATCH($D18,'PARAMETROS'!$A$16:$A$19,0)),"")</f>
        <v/>
      </c>
      <c r="AA18" s="16">
        <f>IF(OR($Y18="",$Z18=""),"",$Y18*$Z18)</f>
        <v/>
      </c>
      <c r="AB18" s="18">
        <f>IF($R18="PENDENTE","Definir classe/Kc",IF($W18="","-",IF($W18&gt;0,"Irrigar","Nao irrigar")))</f>
        <v/>
      </c>
      <c r="AC18" s="18">
        <f>IF(OR($W18="",$W18=0),"-",IF($W18&gt;=META_SEM,"Alta",IF($W18&gt;=META_SEM*FRAC_ACOMP,"Media","Baixa")))</f>
        <v/>
      </c>
      <c r="AD18" s="19" t="inlineStr"/>
    </row>
    <row r="19">
      <c r="A19" s="5" t="inlineStr">
        <is>
          <t>24</t>
        </is>
      </c>
      <c r="B19" s="5" t="inlineStr">
        <is>
          <t>Karitel</t>
        </is>
      </c>
      <c r="C19" s="5" t="inlineStr">
        <is>
          <t>Módulo 01</t>
        </is>
      </c>
      <c r="D19" s="5" t="inlineStr">
        <is>
          <t>KM1</t>
        </is>
      </c>
      <c r="E19" s="5" t="inlineStr">
        <is>
          <t>ALGODÃO</t>
        </is>
      </c>
      <c r="F19" s="6" t="inlineStr">
        <is>
          <t>FM 974 GLT</t>
        </is>
      </c>
      <c r="G19" s="7" t="inlineStr">
        <is>
          <t>MÉDIO</t>
        </is>
      </c>
      <c r="H19" s="8" t="n">
        <v>46043</v>
      </c>
      <c r="I19" s="9">
        <f>IF($H19="","",DATA_REF-$H19)</f>
        <v/>
      </c>
      <c r="J19" s="9">
        <f>IF($I19="","",MAX(0,$I19-'PARAMETROS'!$B$12))</f>
        <v/>
      </c>
      <c r="K19" s="10">
        <f>IFERROR(INDEX(KC_CURVAS!$C$5:$C$15,MATCH($E19&amp;"|"&amp;$G19,KC_CURVAS!$K$5:$K$15,0)),IFERROR(INDEX(KC_CURVAS!$C$5:$C$15,MATCH($E19&amp;"|",KC_CURVAS!$K$5:$K$15,0)),""))</f>
        <v/>
      </c>
      <c r="L19" s="10">
        <f>IFERROR(INDEX(KC_CURVAS!$D$5:$D$15,MATCH($E19&amp;"|"&amp;$G19,KC_CURVAS!$K$5:$K$15,0)),IFERROR(INDEX(KC_CURVAS!$D$5:$D$15,MATCH($E19&amp;"|",KC_CURVAS!$K$5:$K$15,0)),""))</f>
        <v/>
      </c>
      <c r="M19" s="10">
        <f>IFERROR(INDEX(KC_CURVAS!$E$5:$E$15,MATCH($E19&amp;"|"&amp;$G19,KC_CURVAS!$K$5:$K$15,0)),IFERROR(INDEX(KC_CURVAS!$E$5:$E$15,MATCH($E19&amp;"|",KC_CURVAS!$K$5:$K$15,0)),""))</f>
        <v/>
      </c>
      <c r="N19" s="10">
        <f>IFERROR(INDEX(KC_CURVAS!$F$5:$F$15,MATCH($E19&amp;"|"&amp;$G19,KC_CURVAS!$K$5:$K$15,0)),IFERROR(INDEX(KC_CURVAS!$F$5:$F$15,MATCH($E19&amp;"|",KC_CURVAS!$K$5:$K$15,0)),""))</f>
        <v/>
      </c>
      <c r="O19" s="11">
        <f>IFERROR(INDEX(KC_CURVAS!$G$5:$G$15,MATCH($E19&amp;"|"&amp;$G19,KC_CURVAS!$K$5:$K$15,0)),IFERROR(INDEX(KC_CURVAS!$G$5:$G$15,MATCH($E19&amp;"|",KC_CURVAS!$K$5:$K$15,0)),""))</f>
        <v/>
      </c>
      <c r="P19" s="11">
        <f>IFERROR(INDEX(KC_CURVAS!$H$5:$H$15,MATCH($E19&amp;"|"&amp;$G19,KC_CURVAS!$K$5:$K$15,0)),IFERROR(INDEX(KC_CURVAS!$H$5:$H$15,MATCH($E19&amp;"|",KC_CURVAS!$K$5:$K$15,0)),""))</f>
        <v/>
      </c>
      <c r="Q19" s="11">
        <f>IFERROR(INDEX(KC_CURVAS!$I$5:$I$15,MATCH($E19&amp;"|"&amp;$G19,KC_CURVAS!$K$5:$K$15,0)),IFERROR(INDEX(KC_CURVAS!$I$5:$I$15,MATCH($E19&amp;"|",KC_CURVAS!$K$5:$K$15,0)),""))</f>
        <v/>
      </c>
      <c r="R19" s="12">
        <f>IF(OR($J19="",$K19=""),"PENDENTE",IF($J19&lt;=$K19,$O19,IF($J19&lt;=$K19+$L19,$O19+($P19-$O19)*($J19-$K19)/$L19,IF($J19&lt;=$K19+$L19+$M19,$P19,IF($J19&lt;=$K19+$L19+$M19+$N19,$P19+($Q19-$P19)*($J19-($K19+$L19+$M19))/$N19,$Q19)))))</f>
        <v/>
      </c>
      <c r="S19" s="13">
        <f>ETO_SEM</f>
        <v/>
      </c>
      <c r="T19" s="14">
        <f>IF(OR($R19="",$R19="PENDENTE"),"",$R19*$S19)</f>
        <v/>
      </c>
      <c r="U19" s="13" t="n">
        <v>0</v>
      </c>
      <c r="V19" s="14">
        <f>IF($T19="","",MAX(0,$T19-N($U19)))</f>
        <v/>
      </c>
      <c r="W19" s="14">
        <f>IF($V19="","",$V19/EF_APLIC)</f>
        <v/>
      </c>
      <c r="X19" s="15" t="n">
        <v>150.01</v>
      </c>
      <c r="Y19" s="16">
        <f>IF(OR($W19="",$X19=""),"",$W19*$X19*10)</f>
        <v/>
      </c>
      <c r="Z19" s="17">
        <f>IFERROR(INDEX('PARAMETROS'!$B$16:$B$19,MATCH($D19,'PARAMETROS'!$A$16:$A$19,0)),"")</f>
        <v/>
      </c>
      <c r="AA19" s="16">
        <f>IF(OR($Y19="",$Z19=""),"",$Y19*$Z19)</f>
        <v/>
      </c>
      <c r="AB19" s="18">
        <f>IF($R19="PENDENTE","Definir classe/Kc",IF($W19="","-",IF($W19&gt;0,"Irrigar","Nao irrigar")))</f>
        <v/>
      </c>
      <c r="AC19" s="18">
        <f>IF(OR($W19="",$W19=0),"-",IF($W19&gt;=META_SEM,"Alta",IF($W19&gt;=META_SEM*FRAC_ACOMP,"Media","Baixa")))</f>
        <v/>
      </c>
      <c r="AD19" s="19" t="inlineStr"/>
    </row>
    <row r="20">
      <c r="A20" s="5" t="inlineStr">
        <is>
          <t>26</t>
        </is>
      </c>
      <c r="B20" s="5" t="inlineStr">
        <is>
          <t>Karitel</t>
        </is>
      </c>
      <c r="C20" s="5" t="inlineStr">
        <is>
          <t>Módulo 01</t>
        </is>
      </c>
      <c r="D20" s="5" t="inlineStr">
        <is>
          <t>KM1</t>
        </is>
      </c>
      <c r="E20" s="5" t="inlineStr">
        <is>
          <t>ALGODÃO</t>
        </is>
      </c>
      <c r="F20" s="6" t="inlineStr">
        <is>
          <t>FM 911 GLTP</t>
        </is>
      </c>
      <c r="G20" s="7" t="inlineStr">
        <is>
          <t>TARDIO</t>
        </is>
      </c>
      <c r="H20" s="8" t="n">
        <v>46041</v>
      </c>
      <c r="I20" s="9">
        <f>IF($H20="","",DATA_REF-$H20)</f>
        <v/>
      </c>
      <c r="J20" s="9">
        <f>IF($I20="","",MAX(0,$I20-'PARAMETROS'!$B$12))</f>
        <v/>
      </c>
      <c r="K20" s="10">
        <f>IFERROR(INDEX(KC_CURVAS!$C$5:$C$15,MATCH($E20&amp;"|"&amp;$G20,KC_CURVAS!$K$5:$K$15,0)),IFERROR(INDEX(KC_CURVAS!$C$5:$C$15,MATCH($E20&amp;"|",KC_CURVAS!$K$5:$K$15,0)),""))</f>
        <v/>
      </c>
      <c r="L20" s="10">
        <f>IFERROR(INDEX(KC_CURVAS!$D$5:$D$15,MATCH($E20&amp;"|"&amp;$G20,KC_CURVAS!$K$5:$K$15,0)),IFERROR(INDEX(KC_CURVAS!$D$5:$D$15,MATCH($E20&amp;"|",KC_CURVAS!$K$5:$K$15,0)),""))</f>
        <v/>
      </c>
      <c r="M20" s="10">
        <f>IFERROR(INDEX(KC_CURVAS!$E$5:$E$15,MATCH($E20&amp;"|"&amp;$G20,KC_CURVAS!$K$5:$K$15,0)),IFERROR(INDEX(KC_CURVAS!$E$5:$E$15,MATCH($E20&amp;"|",KC_CURVAS!$K$5:$K$15,0)),""))</f>
        <v/>
      </c>
      <c r="N20" s="10">
        <f>IFERROR(INDEX(KC_CURVAS!$F$5:$F$15,MATCH($E20&amp;"|"&amp;$G20,KC_CURVAS!$K$5:$K$15,0)),IFERROR(INDEX(KC_CURVAS!$F$5:$F$15,MATCH($E20&amp;"|",KC_CURVAS!$K$5:$K$15,0)),""))</f>
        <v/>
      </c>
      <c r="O20" s="11">
        <f>IFERROR(INDEX(KC_CURVAS!$G$5:$G$15,MATCH($E20&amp;"|"&amp;$G20,KC_CURVAS!$K$5:$K$15,0)),IFERROR(INDEX(KC_CURVAS!$G$5:$G$15,MATCH($E20&amp;"|",KC_CURVAS!$K$5:$K$15,0)),""))</f>
        <v/>
      </c>
      <c r="P20" s="11">
        <f>IFERROR(INDEX(KC_CURVAS!$H$5:$H$15,MATCH($E20&amp;"|"&amp;$G20,KC_CURVAS!$K$5:$K$15,0)),IFERROR(INDEX(KC_CURVAS!$H$5:$H$15,MATCH($E20&amp;"|",KC_CURVAS!$K$5:$K$15,0)),""))</f>
        <v/>
      </c>
      <c r="Q20" s="11">
        <f>IFERROR(INDEX(KC_CURVAS!$I$5:$I$15,MATCH($E20&amp;"|"&amp;$G20,KC_CURVAS!$K$5:$K$15,0)),IFERROR(INDEX(KC_CURVAS!$I$5:$I$15,MATCH($E20&amp;"|",KC_CURVAS!$K$5:$K$15,0)),""))</f>
        <v/>
      </c>
      <c r="R20" s="12">
        <f>IF(OR($J20="",$K20=""),"PENDENTE",IF($J20&lt;=$K20,$O20,IF($J20&lt;=$K20+$L20,$O20+($P20-$O20)*($J20-$K20)/$L20,IF($J20&lt;=$K20+$L20+$M20,$P20,IF($J20&lt;=$K20+$L20+$M20+$N20,$P20+($Q20-$P20)*($J20-($K20+$L20+$M20))/$N20,$Q20)))))</f>
        <v/>
      </c>
      <c r="S20" s="13">
        <f>ETO_SEM</f>
        <v/>
      </c>
      <c r="T20" s="14">
        <f>IF(OR($R20="",$R20="PENDENTE"),"",$R20*$S20)</f>
        <v/>
      </c>
      <c r="U20" s="13" t="n">
        <v>0</v>
      </c>
      <c r="V20" s="14">
        <f>IF($T20="","",MAX(0,$T20-N($U20)))</f>
        <v/>
      </c>
      <c r="W20" s="14">
        <f>IF($V20="","",$V20/EF_APLIC)</f>
        <v/>
      </c>
      <c r="X20" s="15" t="n">
        <v>150.01</v>
      </c>
      <c r="Y20" s="16">
        <f>IF(OR($W20="",$X20=""),"",$W20*$X20*10)</f>
        <v/>
      </c>
      <c r="Z20" s="17">
        <f>IFERROR(INDEX('PARAMETROS'!$B$16:$B$19,MATCH($D20,'PARAMETROS'!$A$16:$A$19,0)),"")</f>
        <v/>
      </c>
      <c r="AA20" s="16">
        <f>IF(OR($Y20="",$Z20=""),"",$Y20*$Z20)</f>
        <v/>
      </c>
      <c r="AB20" s="18">
        <f>IF($R20="PENDENTE","Definir classe/Kc",IF($W20="","-",IF($W20&gt;0,"Irrigar","Nao irrigar")))</f>
        <v/>
      </c>
      <c r="AC20" s="18">
        <f>IF(OR($W20="",$W20=0),"-",IF($W20&gt;=META_SEM,"Alta",IF($W20&gt;=META_SEM*FRAC_ACOMP,"Media","Baixa")))</f>
        <v/>
      </c>
      <c r="AD20" s="19" t="inlineStr"/>
    </row>
    <row r="21">
      <c r="A21" s="5" t="inlineStr">
        <is>
          <t>39</t>
        </is>
      </c>
      <c r="B21" s="5" t="inlineStr">
        <is>
          <t>Karitel</t>
        </is>
      </c>
      <c r="C21" s="5" t="inlineStr">
        <is>
          <t>Módulo 02</t>
        </is>
      </c>
      <c r="D21" s="5" t="inlineStr">
        <is>
          <t>KM1</t>
        </is>
      </c>
      <c r="E21" s="5" t="inlineStr">
        <is>
          <t>ALGODÃO</t>
        </is>
      </c>
      <c r="F21" s="6" t="inlineStr">
        <is>
          <t>FM 911 GLTP</t>
        </is>
      </c>
      <c r="G21" s="7" t="inlineStr">
        <is>
          <t>TARDIO</t>
        </is>
      </c>
      <c r="H21" s="8" t="n">
        <v>46060</v>
      </c>
      <c r="I21" s="9">
        <f>IF($H21="","",DATA_REF-$H21)</f>
        <v/>
      </c>
      <c r="J21" s="9">
        <f>IF($I21="","",MAX(0,$I21-'PARAMETROS'!$B$12))</f>
        <v/>
      </c>
      <c r="K21" s="10">
        <f>IFERROR(INDEX(KC_CURVAS!$C$5:$C$15,MATCH($E21&amp;"|"&amp;$G21,KC_CURVAS!$K$5:$K$15,0)),IFERROR(INDEX(KC_CURVAS!$C$5:$C$15,MATCH($E21&amp;"|",KC_CURVAS!$K$5:$K$15,0)),""))</f>
        <v/>
      </c>
      <c r="L21" s="10">
        <f>IFERROR(INDEX(KC_CURVAS!$D$5:$D$15,MATCH($E21&amp;"|"&amp;$G21,KC_CURVAS!$K$5:$K$15,0)),IFERROR(INDEX(KC_CURVAS!$D$5:$D$15,MATCH($E21&amp;"|",KC_CURVAS!$K$5:$K$15,0)),""))</f>
        <v/>
      </c>
      <c r="M21" s="10">
        <f>IFERROR(INDEX(KC_CURVAS!$E$5:$E$15,MATCH($E21&amp;"|"&amp;$G21,KC_CURVAS!$K$5:$K$15,0)),IFERROR(INDEX(KC_CURVAS!$E$5:$E$15,MATCH($E21&amp;"|",KC_CURVAS!$K$5:$K$15,0)),""))</f>
        <v/>
      </c>
      <c r="N21" s="10">
        <f>IFERROR(INDEX(KC_CURVAS!$F$5:$F$15,MATCH($E21&amp;"|"&amp;$G21,KC_CURVAS!$K$5:$K$15,0)),IFERROR(INDEX(KC_CURVAS!$F$5:$F$15,MATCH($E21&amp;"|",KC_CURVAS!$K$5:$K$15,0)),""))</f>
        <v/>
      </c>
      <c r="O21" s="11">
        <f>IFERROR(INDEX(KC_CURVAS!$G$5:$G$15,MATCH($E21&amp;"|"&amp;$G21,KC_CURVAS!$K$5:$K$15,0)),IFERROR(INDEX(KC_CURVAS!$G$5:$G$15,MATCH($E21&amp;"|",KC_CURVAS!$K$5:$K$15,0)),""))</f>
        <v/>
      </c>
      <c r="P21" s="11">
        <f>IFERROR(INDEX(KC_CURVAS!$H$5:$H$15,MATCH($E21&amp;"|"&amp;$G21,KC_CURVAS!$K$5:$K$15,0)),IFERROR(INDEX(KC_CURVAS!$H$5:$H$15,MATCH($E21&amp;"|",KC_CURVAS!$K$5:$K$15,0)),""))</f>
        <v/>
      </c>
      <c r="Q21" s="11">
        <f>IFERROR(INDEX(KC_CURVAS!$I$5:$I$15,MATCH($E21&amp;"|"&amp;$G21,KC_CURVAS!$K$5:$K$15,0)),IFERROR(INDEX(KC_CURVAS!$I$5:$I$15,MATCH($E21&amp;"|",KC_CURVAS!$K$5:$K$15,0)),""))</f>
        <v/>
      </c>
      <c r="R21" s="12">
        <f>IF(OR($J21="",$K21=""),"PENDENTE",IF($J21&lt;=$K21,$O21,IF($J21&lt;=$K21+$L21,$O21+($P21-$O21)*($J21-$K21)/$L21,IF($J21&lt;=$K21+$L21+$M21,$P21,IF($J21&lt;=$K21+$L21+$M21+$N21,$P21+($Q21-$P21)*($J21-($K21+$L21+$M21))/$N21,$Q21)))))</f>
        <v/>
      </c>
      <c r="S21" s="13">
        <f>ETO_SEM</f>
        <v/>
      </c>
      <c r="T21" s="14">
        <f>IF(OR($R21="",$R21="PENDENTE"),"",$R21*$S21)</f>
        <v/>
      </c>
      <c r="U21" s="13" t="n">
        <v>0</v>
      </c>
      <c r="V21" s="14">
        <f>IF($T21="","",MAX(0,$T21-N($U21)))</f>
        <v/>
      </c>
      <c r="W21" s="14">
        <f>IF($V21="","",$V21/EF_APLIC)</f>
        <v/>
      </c>
      <c r="X21" s="15" t="n">
        <v>100.65</v>
      </c>
      <c r="Y21" s="16">
        <f>IF(OR($W21="",$X21=""),"",$W21*$X21*10)</f>
        <v/>
      </c>
      <c r="Z21" s="17">
        <f>IFERROR(INDEX('PARAMETROS'!$B$16:$B$19,MATCH($D21,'PARAMETROS'!$A$16:$A$19,0)),"")</f>
        <v/>
      </c>
      <c r="AA21" s="16">
        <f>IF(OR($Y21="",$Z21=""),"",$Y21*$Z21)</f>
        <v/>
      </c>
      <c r="AB21" s="18">
        <f>IF($R21="PENDENTE","Definir classe/Kc",IF($W21="","-",IF($W21&gt;0,"Irrigar","Nao irrigar")))</f>
        <v/>
      </c>
      <c r="AC21" s="18">
        <f>IF(OR($W21="",$W21=0),"-",IF($W21&gt;=META_SEM,"Alta",IF($W21&gt;=META_SEM*FRAC_ACOMP,"Media","Baixa")))</f>
        <v/>
      </c>
      <c r="AD21" s="19" t="inlineStr"/>
    </row>
    <row r="22">
      <c r="A22" s="5" t="inlineStr">
        <is>
          <t>48</t>
        </is>
      </c>
      <c r="B22" s="5" t="inlineStr">
        <is>
          <t>Karitel</t>
        </is>
      </c>
      <c r="C22" s="5" t="inlineStr">
        <is>
          <t>Módulo 02</t>
        </is>
      </c>
      <c r="D22" s="5" t="inlineStr">
        <is>
          <t>KM1</t>
        </is>
      </c>
      <c r="E22" s="5" t="inlineStr">
        <is>
          <t>ALGODÃO</t>
        </is>
      </c>
      <c r="F22" s="6" t="inlineStr">
        <is>
          <t>FM 985 GLTP</t>
        </is>
      </c>
      <c r="G22" s="7" t="inlineStr">
        <is>
          <t>MÉDIO</t>
        </is>
      </c>
      <c r="H22" s="8" t="n">
        <v>46040</v>
      </c>
      <c r="I22" s="9">
        <f>IF($H22="","",DATA_REF-$H22)</f>
        <v/>
      </c>
      <c r="J22" s="9">
        <f>IF($I22="","",MAX(0,$I22-'PARAMETROS'!$B$12))</f>
        <v/>
      </c>
      <c r="K22" s="10">
        <f>IFERROR(INDEX(KC_CURVAS!$C$5:$C$15,MATCH($E22&amp;"|"&amp;$G22,KC_CURVAS!$K$5:$K$15,0)),IFERROR(INDEX(KC_CURVAS!$C$5:$C$15,MATCH($E22&amp;"|",KC_CURVAS!$K$5:$K$15,0)),""))</f>
        <v/>
      </c>
      <c r="L22" s="10">
        <f>IFERROR(INDEX(KC_CURVAS!$D$5:$D$15,MATCH($E22&amp;"|"&amp;$G22,KC_CURVAS!$K$5:$K$15,0)),IFERROR(INDEX(KC_CURVAS!$D$5:$D$15,MATCH($E22&amp;"|",KC_CURVAS!$K$5:$K$15,0)),""))</f>
        <v/>
      </c>
      <c r="M22" s="10">
        <f>IFERROR(INDEX(KC_CURVAS!$E$5:$E$15,MATCH($E22&amp;"|"&amp;$G22,KC_CURVAS!$K$5:$K$15,0)),IFERROR(INDEX(KC_CURVAS!$E$5:$E$15,MATCH($E22&amp;"|",KC_CURVAS!$K$5:$K$15,0)),""))</f>
        <v/>
      </c>
      <c r="N22" s="10">
        <f>IFERROR(INDEX(KC_CURVAS!$F$5:$F$15,MATCH($E22&amp;"|"&amp;$G22,KC_CURVAS!$K$5:$K$15,0)),IFERROR(INDEX(KC_CURVAS!$F$5:$F$15,MATCH($E22&amp;"|",KC_CURVAS!$K$5:$K$15,0)),""))</f>
        <v/>
      </c>
      <c r="O22" s="11">
        <f>IFERROR(INDEX(KC_CURVAS!$G$5:$G$15,MATCH($E22&amp;"|"&amp;$G22,KC_CURVAS!$K$5:$K$15,0)),IFERROR(INDEX(KC_CURVAS!$G$5:$G$15,MATCH($E22&amp;"|",KC_CURVAS!$K$5:$K$15,0)),""))</f>
        <v/>
      </c>
      <c r="P22" s="11">
        <f>IFERROR(INDEX(KC_CURVAS!$H$5:$H$15,MATCH($E22&amp;"|"&amp;$G22,KC_CURVAS!$K$5:$K$15,0)),IFERROR(INDEX(KC_CURVAS!$H$5:$H$15,MATCH($E22&amp;"|",KC_CURVAS!$K$5:$K$15,0)),""))</f>
        <v/>
      </c>
      <c r="Q22" s="11">
        <f>IFERROR(INDEX(KC_CURVAS!$I$5:$I$15,MATCH($E22&amp;"|"&amp;$G22,KC_CURVAS!$K$5:$K$15,0)),IFERROR(INDEX(KC_CURVAS!$I$5:$I$15,MATCH($E22&amp;"|",KC_CURVAS!$K$5:$K$15,0)),""))</f>
        <v/>
      </c>
      <c r="R22" s="12">
        <f>IF(OR($J22="",$K22=""),"PENDENTE",IF($J22&lt;=$K22,$O22,IF($J22&lt;=$K22+$L22,$O22+($P22-$O22)*($J22-$K22)/$L22,IF($J22&lt;=$K22+$L22+$M22,$P22,IF($J22&lt;=$K22+$L22+$M22+$N22,$P22+($Q22-$P22)*($J22-($K22+$L22+$M22))/$N22,$Q22)))))</f>
        <v/>
      </c>
      <c r="S22" s="13">
        <f>ETO_SEM</f>
        <v/>
      </c>
      <c r="T22" s="14">
        <f>IF(OR($R22="",$R22="PENDENTE"),"",$R22*$S22)</f>
        <v/>
      </c>
      <c r="U22" s="13" t="n">
        <v>0</v>
      </c>
      <c r="V22" s="14">
        <f>IF($T22="","",MAX(0,$T22-N($U22)))</f>
        <v/>
      </c>
      <c r="W22" s="14">
        <f>IF($V22="","",$V22/EF_APLIC)</f>
        <v/>
      </c>
      <c r="X22" s="15" t="n">
        <v>159.45</v>
      </c>
      <c r="Y22" s="16">
        <f>IF(OR($W22="",$X22=""),"",$W22*$X22*10)</f>
        <v/>
      </c>
      <c r="Z22" s="17">
        <f>IFERROR(INDEX('PARAMETROS'!$B$16:$B$19,MATCH($D22,'PARAMETROS'!$A$16:$A$19,0)),"")</f>
        <v/>
      </c>
      <c r="AA22" s="16">
        <f>IF(OR($Y22="",$Z22=""),"",$Y22*$Z22)</f>
        <v/>
      </c>
      <c r="AB22" s="18">
        <f>IF($R22="PENDENTE","Definir classe/Kc",IF($W22="","-",IF($W22&gt;0,"Irrigar","Nao irrigar")))</f>
        <v/>
      </c>
      <c r="AC22" s="18">
        <f>IF(OR($W22="",$W22=0),"-",IF($W22&gt;=META_SEM,"Alta",IF($W22&gt;=META_SEM*FRAC_ACOMP,"Media","Baixa")))</f>
        <v/>
      </c>
      <c r="AD22" s="19" t="inlineStr"/>
    </row>
    <row r="23">
      <c r="A23" s="5" t="inlineStr">
        <is>
          <t>49</t>
        </is>
      </c>
      <c r="B23" s="5" t="inlineStr">
        <is>
          <t>Karitel</t>
        </is>
      </c>
      <c r="C23" s="5" t="inlineStr">
        <is>
          <t>Módulo 02</t>
        </is>
      </c>
      <c r="D23" s="5" t="inlineStr">
        <is>
          <t>KM1</t>
        </is>
      </c>
      <c r="E23" s="5" t="inlineStr">
        <is>
          <t>ALGODÃO</t>
        </is>
      </c>
      <c r="F23" s="6" t="inlineStr">
        <is>
          <t>FM 985 GLTP</t>
        </is>
      </c>
      <c r="G23" s="7" t="inlineStr">
        <is>
          <t>MÉDIO</t>
        </is>
      </c>
      <c r="H23" s="8" t="n">
        <v>46040</v>
      </c>
      <c r="I23" s="9">
        <f>IF($H23="","",DATA_REF-$H23)</f>
        <v/>
      </c>
      <c r="J23" s="9">
        <f>IF($I23="","",MAX(0,$I23-'PARAMETROS'!$B$12))</f>
        <v/>
      </c>
      <c r="K23" s="10">
        <f>IFERROR(INDEX(KC_CURVAS!$C$5:$C$15,MATCH($E23&amp;"|"&amp;$G23,KC_CURVAS!$K$5:$K$15,0)),IFERROR(INDEX(KC_CURVAS!$C$5:$C$15,MATCH($E23&amp;"|",KC_CURVAS!$K$5:$K$15,0)),""))</f>
        <v/>
      </c>
      <c r="L23" s="10">
        <f>IFERROR(INDEX(KC_CURVAS!$D$5:$D$15,MATCH($E23&amp;"|"&amp;$G23,KC_CURVAS!$K$5:$K$15,0)),IFERROR(INDEX(KC_CURVAS!$D$5:$D$15,MATCH($E23&amp;"|",KC_CURVAS!$K$5:$K$15,0)),""))</f>
        <v/>
      </c>
      <c r="M23" s="10">
        <f>IFERROR(INDEX(KC_CURVAS!$E$5:$E$15,MATCH($E23&amp;"|"&amp;$G23,KC_CURVAS!$K$5:$K$15,0)),IFERROR(INDEX(KC_CURVAS!$E$5:$E$15,MATCH($E23&amp;"|",KC_CURVAS!$K$5:$K$15,0)),""))</f>
        <v/>
      </c>
      <c r="N23" s="10">
        <f>IFERROR(INDEX(KC_CURVAS!$F$5:$F$15,MATCH($E23&amp;"|"&amp;$G23,KC_CURVAS!$K$5:$K$15,0)),IFERROR(INDEX(KC_CURVAS!$F$5:$F$15,MATCH($E23&amp;"|",KC_CURVAS!$K$5:$K$15,0)),""))</f>
        <v/>
      </c>
      <c r="O23" s="11">
        <f>IFERROR(INDEX(KC_CURVAS!$G$5:$G$15,MATCH($E23&amp;"|"&amp;$G23,KC_CURVAS!$K$5:$K$15,0)),IFERROR(INDEX(KC_CURVAS!$G$5:$G$15,MATCH($E23&amp;"|",KC_CURVAS!$K$5:$K$15,0)),""))</f>
        <v/>
      </c>
      <c r="P23" s="11">
        <f>IFERROR(INDEX(KC_CURVAS!$H$5:$H$15,MATCH($E23&amp;"|"&amp;$G23,KC_CURVAS!$K$5:$K$15,0)),IFERROR(INDEX(KC_CURVAS!$H$5:$H$15,MATCH($E23&amp;"|",KC_CURVAS!$K$5:$K$15,0)),""))</f>
        <v/>
      </c>
      <c r="Q23" s="11">
        <f>IFERROR(INDEX(KC_CURVAS!$I$5:$I$15,MATCH($E23&amp;"|"&amp;$G23,KC_CURVAS!$K$5:$K$15,0)),IFERROR(INDEX(KC_CURVAS!$I$5:$I$15,MATCH($E23&amp;"|",KC_CURVAS!$K$5:$K$15,0)),""))</f>
        <v/>
      </c>
      <c r="R23" s="12">
        <f>IF(OR($J23="",$K23=""),"PENDENTE",IF($J23&lt;=$K23,$O23,IF($J23&lt;=$K23+$L23,$O23+($P23-$O23)*($J23-$K23)/$L23,IF($J23&lt;=$K23+$L23+$M23,$P23,IF($J23&lt;=$K23+$L23+$M23+$N23,$P23+($Q23-$P23)*($J23-($K23+$L23+$M23))/$N23,$Q23)))))</f>
        <v/>
      </c>
      <c r="S23" s="13">
        <f>ETO_SEM</f>
        <v/>
      </c>
      <c r="T23" s="14">
        <f>IF(OR($R23="",$R23="PENDENTE"),"",$R23*$S23)</f>
        <v/>
      </c>
      <c r="U23" s="13" t="n">
        <v>0</v>
      </c>
      <c r="V23" s="14">
        <f>IF($T23="","",MAX(0,$T23-N($U23)))</f>
        <v/>
      </c>
      <c r="W23" s="14">
        <f>IF($V23="","",$V23/EF_APLIC)</f>
        <v/>
      </c>
      <c r="X23" s="15" t="n">
        <v>124.31</v>
      </c>
      <c r="Y23" s="16">
        <f>IF(OR($W23="",$X23=""),"",$W23*$X23*10)</f>
        <v/>
      </c>
      <c r="Z23" s="17">
        <f>IFERROR(INDEX('PARAMETROS'!$B$16:$B$19,MATCH($D23,'PARAMETROS'!$A$16:$A$19,0)),"")</f>
        <v/>
      </c>
      <c r="AA23" s="16">
        <f>IF(OR($Y23="",$Z23=""),"",$Y23*$Z23)</f>
        <v/>
      </c>
      <c r="AB23" s="18">
        <f>IF($R23="PENDENTE","Definir classe/Kc",IF($W23="","-",IF($W23&gt;0,"Irrigar","Nao irrigar")))</f>
        <v/>
      </c>
      <c r="AC23" s="18">
        <f>IF(OR($W23="",$W23=0),"-",IF($W23&gt;=META_SEM,"Alta",IF($W23&gt;=META_SEM*FRAC_ACOMP,"Media","Baixa")))</f>
        <v/>
      </c>
      <c r="AD23" s="19" t="inlineStr"/>
    </row>
    <row r="24">
      <c r="A24" s="5" t="inlineStr">
        <is>
          <t>73</t>
        </is>
      </c>
      <c r="B24" s="5" t="inlineStr">
        <is>
          <t>Karitel</t>
        </is>
      </c>
      <c r="C24" s="5" t="inlineStr">
        <is>
          <t>Módulo 02</t>
        </is>
      </c>
      <c r="D24" s="5" t="inlineStr">
        <is>
          <t>KM2</t>
        </is>
      </c>
      <c r="E24" s="5" t="inlineStr">
        <is>
          <t>ALGODÃO</t>
        </is>
      </c>
      <c r="F24" s="6" t="inlineStr">
        <is>
          <t>FM 985 GLTP</t>
        </is>
      </c>
      <c r="G24" s="7" t="inlineStr">
        <is>
          <t>MÉDIO</t>
        </is>
      </c>
      <c r="H24" s="8" t="n">
        <v>46023</v>
      </c>
      <c r="I24" s="9">
        <f>IF($H24="","",DATA_REF-$H24)</f>
        <v/>
      </c>
      <c r="J24" s="9">
        <f>IF($I24="","",MAX(0,$I24-'PARAMETROS'!$B$12))</f>
        <v/>
      </c>
      <c r="K24" s="10">
        <f>IFERROR(INDEX(KC_CURVAS!$C$5:$C$15,MATCH($E24&amp;"|"&amp;$G24,KC_CURVAS!$K$5:$K$15,0)),IFERROR(INDEX(KC_CURVAS!$C$5:$C$15,MATCH($E24&amp;"|",KC_CURVAS!$K$5:$K$15,0)),""))</f>
        <v/>
      </c>
      <c r="L24" s="10">
        <f>IFERROR(INDEX(KC_CURVAS!$D$5:$D$15,MATCH($E24&amp;"|"&amp;$G24,KC_CURVAS!$K$5:$K$15,0)),IFERROR(INDEX(KC_CURVAS!$D$5:$D$15,MATCH($E24&amp;"|",KC_CURVAS!$K$5:$K$15,0)),""))</f>
        <v/>
      </c>
      <c r="M24" s="10">
        <f>IFERROR(INDEX(KC_CURVAS!$E$5:$E$15,MATCH($E24&amp;"|"&amp;$G24,KC_CURVAS!$K$5:$K$15,0)),IFERROR(INDEX(KC_CURVAS!$E$5:$E$15,MATCH($E24&amp;"|",KC_CURVAS!$K$5:$K$15,0)),""))</f>
        <v/>
      </c>
      <c r="N24" s="10">
        <f>IFERROR(INDEX(KC_CURVAS!$F$5:$F$15,MATCH($E24&amp;"|"&amp;$G24,KC_CURVAS!$K$5:$K$15,0)),IFERROR(INDEX(KC_CURVAS!$F$5:$F$15,MATCH($E24&amp;"|",KC_CURVAS!$K$5:$K$15,0)),""))</f>
        <v/>
      </c>
      <c r="O24" s="11">
        <f>IFERROR(INDEX(KC_CURVAS!$G$5:$G$15,MATCH($E24&amp;"|"&amp;$G24,KC_CURVAS!$K$5:$K$15,0)),IFERROR(INDEX(KC_CURVAS!$G$5:$G$15,MATCH($E24&amp;"|",KC_CURVAS!$K$5:$K$15,0)),""))</f>
        <v/>
      </c>
      <c r="P24" s="11">
        <f>IFERROR(INDEX(KC_CURVAS!$H$5:$H$15,MATCH($E24&amp;"|"&amp;$G24,KC_CURVAS!$K$5:$K$15,0)),IFERROR(INDEX(KC_CURVAS!$H$5:$H$15,MATCH($E24&amp;"|",KC_CURVAS!$K$5:$K$15,0)),""))</f>
        <v/>
      </c>
      <c r="Q24" s="11">
        <f>IFERROR(INDEX(KC_CURVAS!$I$5:$I$15,MATCH($E24&amp;"|"&amp;$G24,KC_CURVAS!$K$5:$K$15,0)),IFERROR(INDEX(KC_CURVAS!$I$5:$I$15,MATCH($E24&amp;"|",KC_CURVAS!$K$5:$K$15,0)),""))</f>
        <v/>
      </c>
      <c r="R24" s="12">
        <f>IF(OR($J24="",$K24=""),"PENDENTE",IF($J24&lt;=$K24,$O24,IF($J24&lt;=$K24+$L24,$O24+($P24-$O24)*($J24-$K24)/$L24,IF($J24&lt;=$K24+$L24+$M24,$P24,IF($J24&lt;=$K24+$L24+$M24+$N24,$P24+($Q24-$P24)*($J24-($K24+$L24+$M24))/$N24,$Q24)))))</f>
        <v/>
      </c>
      <c r="S24" s="13">
        <f>ETO_SEM</f>
        <v/>
      </c>
      <c r="T24" s="14">
        <f>IF(OR($R24="",$R24="PENDENTE"),"",$R24*$S24)</f>
        <v/>
      </c>
      <c r="U24" s="13" t="n">
        <v>0</v>
      </c>
      <c r="V24" s="14">
        <f>IF($T24="","",MAX(0,$T24-N($U24)))</f>
        <v/>
      </c>
      <c r="W24" s="14">
        <f>IF($V24="","",$V24/EF_APLIC)</f>
        <v/>
      </c>
      <c r="X24" s="15" t="n">
        <v>159.45</v>
      </c>
      <c r="Y24" s="16">
        <f>IF(OR($W24="",$X24=""),"",$W24*$X24*10)</f>
        <v/>
      </c>
      <c r="Z24" s="17">
        <f>IFERROR(INDEX('PARAMETROS'!$B$16:$B$19,MATCH($D24,'PARAMETROS'!$A$16:$A$19,0)),"")</f>
        <v/>
      </c>
      <c r="AA24" s="16">
        <f>IF(OR($Y24="",$Z24=""),"",$Y24*$Z24)</f>
        <v/>
      </c>
      <c r="AB24" s="18">
        <f>IF($R24="PENDENTE","Definir classe/Kc",IF($W24="","-",IF($W24&gt;0,"Irrigar","Nao irrigar")))</f>
        <v/>
      </c>
      <c r="AC24" s="18">
        <f>IF(OR($W24="",$W24=0),"-",IF($W24&gt;=META_SEM,"Alta",IF($W24&gt;=META_SEM*FRAC_ACOMP,"Media","Baixa")))</f>
        <v/>
      </c>
      <c r="AD24" s="19" t="inlineStr"/>
    </row>
    <row r="25">
      <c r="A25" s="5" t="inlineStr">
        <is>
          <t>35</t>
        </is>
      </c>
      <c r="B25" s="5" t="inlineStr">
        <is>
          <t>Karitel</t>
        </is>
      </c>
      <c r="C25" s="5" t="inlineStr">
        <is>
          <t>Módulo 02</t>
        </is>
      </c>
      <c r="D25" s="5" t="inlineStr">
        <is>
          <t>KM1</t>
        </is>
      </c>
      <c r="E25" s="5" t="inlineStr">
        <is>
          <t>ALGODÃO</t>
        </is>
      </c>
      <c r="F25" s="6" t="inlineStr">
        <is>
          <t>DP 1949 B3RF</t>
        </is>
      </c>
      <c r="G25" s="7" t="inlineStr">
        <is>
          <t>PRECOCE</t>
        </is>
      </c>
      <c r="H25" s="8" t="n">
        <v>46065</v>
      </c>
      <c r="I25" s="9">
        <f>IF($H25="","",DATA_REF-$H25)</f>
        <v/>
      </c>
      <c r="J25" s="9">
        <f>IF($I25="","",MAX(0,$I25-'PARAMETROS'!$B$12))</f>
        <v/>
      </c>
      <c r="K25" s="10">
        <f>IFERROR(INDEX(KC_CURVAS!$C$5:$C$15,MATCH($E25&amp;"|"&amp;$G25,KC_CURVAS!$K$5:$K$15,0)),IFERROR(INDEX(KC_CURVAS!$C$5:$C$15,MATCH($E25&amp;"|",KC_CURVAS!$K$5:$K$15,0)),""))</f>
        <v/>
      </c>
      <c r="L25" s="10">
        <f>IFERROR(INDEX(KC_CURVAS!$D$5:$D$15,MATCH($E25&amp;"|"&amp;$G25,KC_CURVAS!$K$5:$K$15,0)),IFERROR(INDEX(KC_CURVAS!$D$5:$D$15,MATCH($E25&amp;"|",KC_CURVAS!$K$5:$K$15,0)),""))</f>
        <v/>
      </c>
      <c r="M25" s="10">
        <f>IFERROR(INDEX(KC_CURVAS!$E$5:$E$15,MATCH($E25&amp;"|"&amp;$G25,KC_CURVAS!$K$5:$K$15,0)),IFERROR(INDEX(KC_CURVAS!$E$5:$E$15,MATCH($E25&amp;"|",KC_CURVAS!$K$5:$K$15,0)),""))</f>
        <v/>
      </c>
      <c r="N25" s="10">
        <f>IFERROR(INDEX(KC_CURVAS!$F$5:$F$15,MATCH($E25&amp;"|"&amp;$G25,KC_CURVAS!$K$5:$K$15,0)),IFERROR(INDEX(KC_CURVAS!$F$5:$F$15,MATCH($E25&amp;"|",KC_CURVAS!$K$5:$K$15,0)),""))</f>
        <v/>
      </c>
      <c r="O25" s="11">
        <f>IFERROR(INDEX(KC_CURVAS!$G$5:$G$15,MATCH($E25&amp;"|"&amp;$G25,KC_CURVAS!$K$5:$K$15,0)),IFERROR(INDEX(KC_CURVAS!$G$5:$G$15,MATCH($E25&amp;"|",KC_CURVAS!$K$5:$K$15,0)),""))</f>
        <v/>
      </c>
      <c r="P25" s="11">
        <f>IFERROR(INDEX(KC_CURVAS!$H$5:$H$15,MATCH($E25&amp;"|"&amp;$G25,KC_CURVAS!$K$5:$K$15,0)),IFERROR(INDEX(KC_CURVAS!$H$5:$H$15,MATCH($E25&amp;"|",KC_CURVAS!$K$5:$K$15,0)),""))</f>
        <v/>
      </c>
      <c r="Q25" s="11">
        <f>IFERROR(INDEX(KC_CURVAS!$I$5:$I$15,MATCH($E25&amp;"|"&amp;$G25,KC_CURVAS!$K$5:$K$15,0)),IFERROR(INDEX(KC_CURVAS!$I$5:$I$15,MATCH($E25&amp;"|",KC_CURVAS!$K$5:$K$15,0)),""))</f>
        <v/>
      </c>
      <c r="R25" s="12">
        <f>IF(OR($J25="",$K25=""),"PENDENTE",IF($J25&lt;=$K25,$O25,IF($J25&lt;=$K25+$L25,$O25+($P25-$O25)*($J25-$K25)/$L25,IF($J25&lt;=$K25+$L25+$M25,$P25,IF($J25&lt;=$K25+$L25+$M25+$N25,$P25+($Q25-$P25)*($J25-($K25+$L25+$M25))/$N25,$Q25)))))</f>
        <v/>
      </c>
      <c r="S25" s="13">
        <f>ETO_SEM</f>
        <v/>
      </c>
      <c r="T25" s="14">
        <f>IF(OR($R25="",$R25="PENDENTE"),"",$R25*$S25)</f>
        <v/>
      </c>
      <c r="U25" s="13" t="n">
        <v>0</v>
      </c>
      <c r="V25" s="14">
        <f>IF($T25="","",MAX(0,$T25-N($U25)))</f>
        <v/>
      </c>
      <c r="W25" s="14">
        <f>IF($V25="","",$V25/EF_APLIC)</f>
        <v/>
      </c>
      <c r="X25" s="15" t="n">
        <v>150.54</v>
      </c>
      <c r="Y25" s="16">
        <f>IF(OR($W25="",$X25=""),"",$W25*$X25*10)</f>
        <v/>
      </c>
      <c r="Z25" s="17">
        <f>IFERROR(INDEX('PARAMETROS'!$B$16:$B$19,MATCH($D25,'PARAMETROS'!$A$16:$A$19,0)),"")</f>
        <v/>
      </c>
      <c r="AA25" s="16">
        <f>IF(OR($Y25="",$Z25=""),"",$Y25*$Z25)</f>
        <v/>
      </c>
      <c r="AB25" s="18">
        <f>IF($R25="PENDENTE","Definir classe/Kc",IF($W25="","-",IF($W25&gt;0,"Irrigar","Nao irrigar")))</f>
        <v/>
      </c>
      <c r="AC25" s="18">
        <f>IF(OR($W25="",$W25=0),"-",IF($W25&gt;=META_SEM,"Alta",IF($W25&gt;=META_SEM*FRAC_ACOMP,"Media","Baixa")))</f>
        <v/>
      </c>
      <c r="AD25" s="19" t="inlineStr"/>
    </row>
    <row r="26">
      <c r="A26" s="5" t="inlineStr">
        <is>
          <t>41</t>
        </is>
      </c>
      <c r="B26" s="5" t="inlineStr">
        <is>
          <t>Karitel</t>
        </is>
      </c>
      <c r="C26" s="5" t="inlineStr">
        <is>
          <t>Módulo 02</t>
        </is>
      </c>
      <c r="D26" s="5" t="inlineStr">
        <is>
          <t>KM2</t>
        </is>
      </c>
      <c r="E26" s="5" t="inlineStr">
        <is>
          <t>ALGODÃO</t>
        </is>
      </c>
      <c r="F26" s="6" t="inlineStr">
        <is>
          <t>FM 911 GLTP</t>
        </is>
      </c>
      <c r="G26" s="7" t="inlineStr">
        <is>
          <t>TARDIO</t>
        </is>
      </c>
      <c r="H26" s="8" t="n">
        <v>46067</v>
      </c>
      <c r="I26" s="9">
        <f>IF($H26="","",DATA_REF-$H26)</f>
        <v/>
      </c>
      <c r="J26" s="9">
        <f>IF($I26="","",MAX(0,$I26-'PARAMETROS'!$B$12))</f>
        <v/>
      </c>
      <c r="K26" s="10">
        <f>IFERROR(INDEX(KC_CURVAS!$C$5:$C$15,MATCH($E26&amp;"|"&amp;$G26,KC_CURVAS!$K$5:$K$15,0)),IFERROR(INDEX(KC_CURVAS!$C$5:$C$15,MATCH($E26&amp;"|",KC_CURVAS!$K$5:$K$15,0)),""))</f>
        <v/>
      </c>
      <c r="L26" s="10">
        <f>IFERROR(INDEX(KC_CURVAS!$D$5:$D$15,MATCH($E26&amp;"|"&amp;$G26,KC_CURVAS!$K$5:$K$15,0)),IFERROR(INDEX(KC_CURVAS!$D$5:$D$15,MATCH($E26&amp;"|",KC_CURVAS!$K$5:$K$15,0)),""))</f>
        <v/>
      </c>
      <c r="M26" s="10">
        <f>IFERROR(INDEX(KC_CURVAS!$E$5:$E$15,MATCH($E26&amp;"|"&amp;$G26,KC_CURVAS!$K$5:$K$15,0)),IFERROR(INDEX(KC_CURVAS!$E$5:$E$15,MATCH($E26&amp;"|",KC_CURVAS!$K$5:$K$15,0)),""))</f>
        <v/>
      </c>
      <c r="N26" s="10">
        <f>IFERROR(INDEX(KC_CURVAS!$F$5:$F$15,MATCH($E26&amp;"|"&amp;$G26,KC_CURVAS!$K$5:$K$15,0)),IFERROR(INDEX(KC_CURVAS!$F$5:$F$15,MATCH($E26&amp;"|",KC_CURVAS!$K$5:$K$15,0)),""))</f>
        <v/>
      </c>
      <c r="O26" s="11">
        <f>IFERROR(INDEX(KC_CURVAS!$G$5:$G$15,MATCH($E26&amp;"|"&amp;$G26,KC_CURVAS!$K$5:$K$15,0)),IFERROR(INDEX(KC_CURVAS!$G$5:$G$15,MATCH($E26&amp;"|",KC_CURVAS!$K$5:$K$15,0)),""))</f>
        <v/>
      </c>
      <c r="P26" s="11">
        <f>IFERROR(INDEX(KC_CURVAS!$H$5:$H$15,MATCH($E26&amp;"|"&amp;$G26,KC_CURVAS!$K$5:$K$15,0)),IFERROR(INDEX(KC_CURVAS!$H$5:$H$15,MATCH($E26&amp;"|",KC_CURVAS!$K$5:$K$15,0)),""))</f>
        <v/>
      </c>
      <c r="Q26" s="11">
        <f>IFERROR(INDEX(KC_CURVAS!$I$5:$I$15,MATCH($E26&amp;"|"&amp;$G26,KC_CURVAS!$K$5:$K$15,0)),IFERROR(INDEX(KC_CURVAS!$I$5:$I$15,MATCH($E26&amp;"|",KC_CURVAS!$K$5:$K$15,0)),""))</f>
        <v/>
      </c>
      <c r="R26" s="12">
        <f>IF(OR($J26="",$K26=""),"PENDENTE",IF($J26&lt;=$K26,$O26,IF($J26&lt;=$K26+$L26,$O26+($P26-$O26)*($J26-$K26)/$L26,IF($J26&lt;=$K26+$L26+$M26,$P26,IF($J26&lt;=$K26+$L26+$M26+$N26,$P26+($Q26-$P26)*($J26-($K26+$L26+$M26))/$N26,$Q26)))))</f>
        <v/>
      </c>
      <c r="S26" s="13">
        <f>ETO_SEM</f>
        <v/>
      </c>
      <c r="T26" s="14">
        <f>IF(OR($R26="",$R26="PENDENTE"),"",$R26*$S26)</f>
        <v/>
      </c>
      <c r="U26" s="13" t="n">
        <v>0</v>
      </c>
      <c r="V26" s="14">
        <f>IF($T26="","",MAX(0,$T26-N($U26)))</f>
        <v/>
      </c>
      <c r="W26" s="14">
        <f>IF($V26="","",$V26/EF_APLIC)</f>
        <v/>
      </c>
      <c r="X26" s="15" t="n">
        <v>138.55</v>
      </c>
      <c r="Y26" s="16">
        <f>IF(OR($W26="",$X26=""),"",$W26*$X26*10)</f>
        <v/>
      </c>
      <c r="Z26" s="17">
        <f>IFERROR(INDEX('PARAMETROS'!$B$16:$B$19,MATCH($D26,'PARAMETROS'!$A$16:$A$19,0)),"")</f>
        <v/>
      </c>
      <c r="AA26" s="16">
        <f>IF(OR($Y26="",$Z26=""),"",$Y26*$Z26)</f>
        <v/>
      </c>
      <c r="AB26" s="18">
        <f>IF($R26="PENDENTE","Definir classe/Kc",IF($W26="","-",IF($W26&gt;0,"Irrigar","Nao irrigar")))</f>
        <v/>
      </c>
      <c r="AC26" s="18">
        <f>IF(OR($W26="",$W26=0),"-",IF($W26&gt;=META_SEM,"Alta",IF($W26&gt;=META_SEM*FRAC_ACOMP,"Media","Baixa")))</f>
        <v/>
      </c>
      <c r="AD26" s="19" t="inlineStr"/>
    </row>
    <row r="27">
      <c r="A27" s="5" t="inlineStr">
        <is>
          <t>42</t>
        </is>
      </c>
      <c r="B27" s="5" t="inlineStr">
        <is>
          <t>Karitel</t>
        </is>
      </c>
      <c r="C27" s="5" t="inlineStr">
        <is>
          <t>Módulo 02</t>
        </is>
      </c>
      <c r="D27" s="5" t="inlineStr">
        <is>
          <t>KM2</t>
        </is>
      </c>
      <c r="E27" s="5" t="inlineStr">
        <is>
          <t>ALGODÃO</t>
        </is>
      </c>
      <c r="F27" s="6" t="inlineStr">
        <is>
          <t>DP 2111 B3RF</t>
        </is>
      </c>
      <c r="G27" s="7" t="inlineStr">
        <is>
          <t>MÉDIO</t>
        </is>
      </c>
      <c r="H27" s="8" t="n">
        <v>46059</v>
      </c>
      <c r="I27" s="9">
        <f>IF($H27="","",DATA_REF-$H27)</f>
        <v/>
      </c>
      <c r="J27" s="9">
        <f>IF($I27="","",MAX(0,$I27-'PARAMETROS'!$B$12))</f>
        <v/>
      </c>
      <c r="K27" s="10">
        <f>IFERROR(INDEX(KC_CURVAS!$C$5:$C$15,MATCH($E27&amp;"|"&amp;$G27,KC_CURVAS!$K$5:$K$15,0)),IFERROR(INDEX(KC_CURVAS!$C$5:$C$15,MATCH($E27&amp;"|",KC_CURVAS!$K$5:$K$15,0)),""))</f>
        <v/>
      </c>
      <c r="L27" s="10">
        <f>IFERROR(INDEX(KC_CURVAS!$D$5:$D$15,MATCH($E27&amp;"|"&amp;$G27,KC_CURVAS!$K$5:$K$15,0)),IFERROR(INDEX(KC_CURVAS!$D$5:$D$15,MATCH($E27&amp;"|",KC_CURVAS!$K$5:$K$15,0)),""))</f>
        <v/>
      </c>
      <c r="M27" s="10">
        <f>IFERROR(INDEX(KC_CURVAS!$E$5:$E$15,MATCH($E27&amp;"|"&amp;$G27,KC_CURVAS!$K$5:$K$15,0)),IFERROR(INDEX(KC_CURVAS!$E$5:$E$15,MATCH($E27&amp;"|",KC_CURVAS!$K$5:$K$15,0)),""))</f>
        <v/>
      </c>
      <c r="N27" s="10">
        <f>IFERROR(INDEX(KC_CURVAS!$F$5:$F$15,MATCH($E27&amp;"|"&amp;$G27,KC_CURVAS!$K$5:$K$15,0)),IFERROR(INDEX(KC_CURVAS!$F$5:$F$15,MATCH($E27&amp;"|",KC_CURVAS!$K$5:$K$15,0)),""))</f>
        <v/>
      </c>
      <c r="O27" s="11">
        <f>IFERROR(INDEX(KC_CURVAS!$G$5:$G$15,MATCH($E27&amp;"|"&amp;$G27,KC_CURVAS!$K$5:$K$15,0)),IFERROR(INDEX(KC_CURVAS!$G$5:$G$15,MATCH($E27&amp;"|",KC_CURVAS!$K$5:$K$15,0)),""))</f>
        <v/>
      </c>
      <c r="P27" s="11">
        <f>IFERROR(INDEX(KC_CURVAS!$H$5:$H$15,MATCH($E27&amp;"|"&amp;$G27,KC_CURVAS!$K$5:$K$15,0)),IFERROR(INDEX(KC_CURVAS!$H$5:$H$15,MATCH($E27&amp;"|",KC_CURVAS!$K$5:$K$15,0)),""))</f>
        <v/>
      </c>
      <c r="Q27" s="11">
        <f>IFERROR(INDEX(KC_CURVAS!$I$5:$I$15,MATCH($E27&amp;"|"&amp;$G27,KC_CURVAS!$K$5:$K$15,0)),IFERROR(INDEX(KC_CURVAS!$I$5:$I$15,MATCH($E27&amp;"|",KC_CURVAS!$K$5:$K$15,0)),""))</f>
        <v/>
      </c>
      <c r="R27" s="12">
        <f>IF(OR($J27="",$K27=""),"PENDENTE",IF($J27&lt;=$K27,$O27,IF($J27&lt;=$K27+$L27,$O27+($P27-$O27)*($J27-$K27)/$L27,IF($J27&lt;=$K27+$L27+$M27,$P27,IF($J27&lt;=$K27+$L27+$M27+$N27,$P27+($Q27-$P27)*($J27-($K27+$L27+$M27))/$N27,$Q27)))))</f>
        <v/>
      </c>
      <c r="S27" s="13">
        <f>ETO_SEM</f>
        <v/>
      </c>
      <c r="T27" s="14">
        <f>IF(OR($R27="",$R27="PENDENTE"),"",$R27*$S27)</f>
        <v/>
      </c>
      <c r="U27" s="13" t="n">
        <v>0</v>
      </c>
      <c r="V27" s="14">
        <f>IF($T27="","",MAX(0,$T27-N($U27)))</f>
        <v/>
      </c>
      <c r="W27" s="14">
        <f>IF($V27="","",$V27/EF_APLIC)</f>
        <v/>
      </c>
      <c r="X27" s="15" t="n">
        <v>100.65</v>
      </c>
      <c r="Y27" s="16">
        <f>IF(OR($W27="",$X27=""),"",$W27*$X27*10)</f>
        <v/>
      </c>
      <c r="Z27" s="17">
        <f>IFERROR(INDEX('PARAMETROS'!$B$16:$B$19,MATCH($D27,'PARAMETROS'!$A$16:$A$19,0)),"")</f>
        <v/>
      </c>
      <c r="AA27" s="16">
        <f>IF(OR($Y27="",$Z27=""),"",$Y27*$Z27)</f>
        <v/>
      </c>
      <c r="AB27" s="18">
        <f>IF($R27="PENDENTE","Definir classe/Kc",IF($W27="","-",IF($W27&gt;0,"Irrigar","Nao irrigar")))</f>
        <v/>
      </c>
      <c r="AC27" s="18">
        <f>IF(OR($W27="",$W27=0),"-",IF($W27&gt;=META_SEM,"Alta",IF($W27&gt;=META_SEM*FRAC_ACOMP,"Media","Baixa")))</f>
        <v/>
      </c>
      <c r="AD27" s="19" t="inlineStr"/>
    </row>
    <row r="28">
      <c r="A28" s="5" t="inlineStr">
        <is>
          <t>43</t>
        </is>
      </c>
      <c r="B28" s="5" t="inlineStr">
        <is>
          <t>Karitel</t>
        </is>
      </c>
      <c r="C28" s="5" t="inlineStr">
        <is>
          <t>Módulo 02</t>
        </is>
      </c>
      <c r="D28" s="5" t="inlineStr">
        <is>
          <t>KM2</t>
        </is>
      </c>
      <c r="E28" s="5" t="inlineStr">
        <is>
          <t>ALGODÃO</t>
        </is>
      </c>
      <c r="F28" s="6" t="inlineStr">
        <is>
          <t>FM 985 GLTP</t>
        </is>
      </c>
      <c r="G28" s="7" t="inlineStr">
        <is>
          <t>MÉDIO</t>
        </is>
      </c>
      <c r="H28" s="8" t="n">
        <v>46066</v>
      </c>
      <c r="I28" s="9">
        <f>IF($H28="","",DATA_REF-$H28)</f>
        <v/>
      </c>
      <c r="J28" s="9">
        <f>IF($I28="","",MAX(0,$I28-'PARAMETROS'!$B$12))</f>
        <v/>
      </c>
      <c r="K28" s="10">
        <f>IFERROR(INDEX(KC_CURVAS!$C$5:$C$15,MATCH($E28&amp;"|"&amp;$G28,KC_CURVAS!$K$5:$K$15,0)),IFERROR(INDEX(KC_CURVAS!$C$5:$C$15,MATCH($E28&amp;"|",KC_CURVAS!$K$5:$K$15,0)),""))</f>
        <v/>
      </c>
      <c r="L28" s="10">
        <f>IFERROR(INDEX(KC_CURVAS!$D$5:$D$15,MATCH($E28&amp;"|"&amp;$G28,KC_CURVAS!$K$5:$K$15,0)),IFERROR(INDEX(KC_CURVAS!$D$5:$D$15,MATCH($E28&amp;"|",KC_CURVAS!$K$5:$K$15,0)),""))</f>
        <v/>
      </c>
      <c r="M28" s="10">
        <f>IFERROR(INDEX(KC_CURVAS!$E$5:$E$15,MATCH($E28&amp;"|"&amp;$G28,KC_CURVAS!$K$5:$K$15,0)),IFERROR(INDEX(KC_CURVAS!$E$5:$E$15,MATCH($E28&amp;"|",KC_CURVAS!$K$5:$K$15,0)),""))</f>
        <v/>
      </c>
      <c r="N28" s="10">
        <f>IFERROR(INDEX(KC_CURVAS!$F$5:$F$15,MATCH($E28&amp;"|"&amp;$G28,KC_CURVAS!$K$5:$K$15,0)),IFERROR(INDEX(KC_CURVAS!$F$5:$F$15,MATCH($E28&amp;"|",KC_CURVAS!$K$5:$K$15,0)),""))</f>
        <v/>
      </c>
      <c r="O28" s="11">
        <f>IFERROR(INDEX(KC_CURVAS!$G$5:$G$15,MATCH($E28&amp;"|"&amp;$G28,KC_CURVAS!$K$5:$K$15,0)),IFERROR(INDEX(KC_CURVAS!$G$5:$G$15,MATCH($E28&amp;"|",KC_CURVAS!$K$5:$K$15,0)),""))</f>
        <v/>
      </c>
      <c r="P28" s="11">
        <f>IFERROR(INDEX(KC_CURVAS!$H$5:$H$15,MATCH($E28&amp;"|"&amp;$G28,KC_CURVAS!$K$5:$K$15,0)),IFERROR(INDEX(KC_CURVAS!$H$5:$H$15,MATCH($E28&amp;"|",KC_CURVAS!$K$5:$K$15,0)),""))</f>
        <v/>
      </c>
      <c r="Q28" s="11">
        <f>IFERROR(INDEX(KC_CURVAS!$I$5:$I$15,MATCH($E28&amp;"|"&amp;$G28,KC_CURVAS!$K$5:$K$15,0)),IFERROR(INDEX(KC_CURVAS!$I$5:$I$15,MATCH($E28&amp;"|",KC_CURVAS!$K$5:$K$15,0)),""))</f>
        <v/>
      </c>
      <c r="R28" s="12">
        <f>IF(OR($J28="",$K28=""),"PENDENTE",IF($J28&lt;=$K28,$O28,IF($J28&lt;=$K28+$L28,$O28+($P28-$O28)*($J28-$K28)/$L28,IF($J28&lt;=$K28+$L28+$M28,$P28,IF($J28&lt;=$K28+$L28+$M28+$N28,$P28+($Q28-$P28)*($J28-($K28+$L28+$M28))/$N28,$Q28)))))</f>
        <v/>
      </c>
      <c r="S28" s="13">
        <f>ETO_SEM</f>
        <v/>
      </c>
      <c r="T28" s="14">
        <f>IF(OR($R28="",$R28="PENDENTE"),"",$R28*$S28)</f>
        <v/>
      </c>
      <c r="U28" s="13" t="n">
        <v>0</v>
      </c>
      <c r="V28" s="14">
        <f>IF($T28="","",MAX(0,$T28-N($U28)))</f>
        <v/>
      </c>
      <c r="W28" s="14">
        <f>IF($V28="","",$V28/EF_APLIC)</f>
        <v/>
      </c>
      <c r="X28" s="15" t="n">
        <v>138.55</v>
      </c>
      <c r="Y28" s="16">
        <f>IF(OR($W28="",$X28=""),"",$W28*$X28*10)</f>
        <v/>
      </c>
      <c r="Z28" s="17">
        <f>IFERROR(INDEX('PARAMETROS'!$B$16:$B$19,MATCH($D28,'PARAMETROS'!$A$16:$A$19,0)),"")</f>
        <v/>
      </c>
      <c r="AA28" s="16">
        <f>IF(OR($Y28="",$Z28=""),"",$Y28*$Z28)</f>
        <v/>
      </c>
      <c r="AB28" s="18">
        <f>IF($R28="PENDENTE","Definir classe/Kc",IF($W28="","-",IF($W28&gt;0,"Irrigar","Nao irrigar")))</f>
        <v/>
      </c>
      <c r="AC28" s="18">
        <f>IF(OR($W28="",$W28=0),"-",IF($W28&gt;=META_SEM,"Alta",IF($W28&gt;=META_SEM*FRAC_ACOMP,"Media","Baixa")))</f>
        <v/>
      </c>
      <c r="AD28" s="19" t="inlineStr"/>
    </row>
    <row r="29">
      <c r="A29" s="5" t="inlineStr">
        <is>
          <t>53</t>
        </is>
      </c>
      <c r="B29" s="5" t="inlineStr">
        <is>
          <t>Karitel</t>
        </is>
      </c>
      <c r="C29" s="5" t="inlineStr">
        <is>
          <t>Módulo 03</t>
        </is>
      </c>
      <c r="D29" s="5" t="inlineStr">
        <is>
          <t>KM2</t>
        </is>
      </c>
      <c r="E29" s="5" t="inlineStr">
        <is>
          <t>ALGODÃO</t>
        </is>
      </c>
      <c r="F29" s="6" t="inlineStr">
        <is>
          <t>FM 985 GLTP</t>
        </is>
      </c>
      <c r="G29" s="7" t="inlineStr">
        <is>
          <t>MÉDIO</t>
        </is>
      </c>
      <c r="H29" s="8" t="n">
        <v>46070</v>
      </c>
      <c r="I29" s="9">
        <f>IF($H29="","",DATA_REF-$H29)</f>
        <v/>
      </c>
      <c r="J29" s="9">
        <f>IF($I29="","",MAX(0,$I29-'PARAMETROS'!$B$12))</f>
        <v/>
      </c>
      <c r="K29" s="10">
        <f>IFERROR(INDEX(KC_CURVAS!$C$5:$C$15,MATCH($E29&amp;"|"&amp;$G29,KC_CURVAS!$K$5:$K$15,0)),IFERROR(INDEX(KC_CURVAS!$C$5:$C$15,MATCH($E29&amp;"|",KC_CURVAS!$K$5:$K$15,0)),""))</f>
        <v/>
      </c>
      <c r="L29" s="10">
        <f>IFERROR(INDEX(KC_CURVAS!$D$5:$D$15,MATCH($E29&amp;"|"&amp;$G29,KC_CURVAS!$K$5:$K$15,0)),IFERROR(INDEX(KC_CURVAS!$D$5:$D$15,MATCH($E29&amp;"|",KC_CURVAS!$K$5:$K$15,0)),""))</f>
        <v/>
      </c>
      <c r="M29" s="10">
        <f>IFERROR(INDEX(KC_CURVAS!$E$5:$E$15,MATCH($E29&amp;"|"&amp;$G29,KC_CURVAS!$K$5:$K$15,0)),IFERROR(INDEX(KC_CURVAS!$E$5:$E$15,MATCH($E29&amp;"|",KC_CURVAS!$K$5:$K$15,0)),""))</f>
        <v/>
      </c>
      <c r="N29" s="10">
        <f>IFERROR(INDEX(KC_CURVAS!$F$5:$F$15,MATCH($E29&amp;"|"&amp;$G29,KC_CURVAS!$K$5:$K$15,0)),IFERROR(INDEX(KC_CURVAS!$F$5:$F$15,MATCH($E29&amp;"|",KC_CURVAS!$K$5:$K$15,0)),""))</f>
        <v/>
      </c>
      <c r="O29" s="11">
        <f>IFERROR(INDEX(KC_CURVAS!$G$5:$G$15,MATCH($E29&amp;"|"&amp;$G29,KC_CURVAS!$K$5:$K$15,0)),IFERROR(INDEX(KC_CURVAS!$G$5:$G$15,MATCH($E29&amp;"|",KC_CURVAS!$K$5:$K$15,0)),""))</f>
        <v/>
      </c>
      <c r="P29" s="11">
        <f>IFERROR(INDEX(KC_CURVAS!$H$5:$H$15,MATCH($E29&amp;"|"&amp;$G29,KC_CURVAS!$K$5:$K$15,0)),IFERROR(INDEX(KC_CURVAS!$H$5:$H$15,MATCH($E29&amp;"|",KC_CURVAS!$K$5:$K$15,0)),""))</f>
        <v/>
      </c>
      <c r="Q29" s="11">
        <f>IFERROR(INDEX(KC_CURVAS!$I$5:$I$15,MATCH($E29&amp;"|"&amp;$G29,KC_CURVAS!$K$5:$K$15,0)),IFERROR(INDEX(KC_CURVAS!$I$5:$I$15,MATCH($E29&amp;"|",KC_CURVAS!$K$5:$K$15,0)),""))</f>
        <v/>
      </c>
      <c r="R29" s="12">
        <f>IF(OR($J29="",$K29=""),"PENDENTE",IF($J29&lt;=$K29,$O29,IF($J29&lt;=$K29+$L29,$O29+($P29-$O29)*($J29-$K29)/$L29,IF($J29&lt;=$K29+$L29+$M29,$P29,IF($J29&lt;=$K29+$L29+$M29+$N29,$P29+($Q29-$P29)*($J29-($K29+$L29+$M29))/$N29,$Q29)))))</f>
        <v/>
      </c>
      <c r="S29" s="13">
        <f>ETO_SEM</f>
        <v/>
      </c>
      <c r="T29" s="14">
        <f>IF(OR($R29="",$R29="PENDENTE"),"",$R29*$S29)</f>
        <v/>
      </c>
      <c r="U29" s="13" t="n">
        <v>0</v>
      </c>
      <c r="V29" s="14">
        <f>IF($T29="","",MAX(0,$T29-N($U29)))</f>
        <v/>
      </c>
      <c r="W29" s="14">
        <f>IF($V29="","",$V29/EF_APLIC)</f>
        <v/>
      </c>
      <c r="X29" s="15" t="n">
        <v>74.68000000000001</v>
      </c>
      <c r="Y29" s="16">
        <f>IF(OR($W29="",$X29=""),"",$W29*$X29*10)</f>
        <v/>
      </c>
      <c r="Z29" s="17">
        <f>IFERROR(INDEX('PARAMETROS'!$B$16:$B$19,MATCH($D29,'PARAMETROS'!$A$16:$A$19,0)),"")</f>
        <v/>
      </c>
      <c r="AA29" s="16">
        <f>IF(OR($Y29="",$Z29=""),"",$Y29*$Z29)</f>
        <v/>
      </c>
      <c r="AB29" s="18">
        <f>IF($R29="PENDENTE","Definir classe/Kc",IF($W29="","-",IF($W29&gt;0,"Irrigar","Nao irrigar")))</f>
        <v/>
      </c>
      <c r="AC29" s="18">
        <f>IF(OR($W29="",$W29=0),"-",IF($W29&gt;=META_SEM,"Alta",IF($W29&gt;=META_SEM*FRAC_ACOMP,"Media","Baixa")))</f>
        <v/>
      </c>
      <c r="AD29" s="19" t="inlineStr"/>
    </row>
    <row r="30">
      <c r="A30" s="5" t="inlineStr">
        <is>
          <t>54</t>
        </is>
      </c>
      <c r="B30" s="5" t="inlineStr">
        <is>
          <t>Karitel</t>
        </is>
      </c>
      <c r="C30" s="5" t="inlineStr">
        <is>
          <t>Módulo 03</t>
        </is>
      </c>
      <c r="D30" s="5" t="inlineStr">
        <is>
          <t>KM2</t>
        </is>
      </c>
      <c r="E30" s="5" t="inlineStr">
        <is>
          <t>ALGODÃO</t>
        </is>
      </c>
      <c r="F30" s="6" t="inlineStr">
        <is>
          <t>FM 985 GLTP</t>
        </is>
      </c>
      <c r="G30" s="7" t="inlineStr">
        <is>
          <t>MÉDIO</t>
        </is>
      </c>
      <c r="H30" s="8" t="n">
        <v>46071</v>
      </c>
      <c r="I30" s="9">
        <f>IF($H30="","",DATA_REF-$H30)</f>
        <v/>
      </c>
      <c r="J30" s="9">
        <f>IF($I30="","",MAX(0,$I30-'PARAMETROS'!$B$12))</f>
        <v/>
      </c>
      <c r="K30" s="10">
        <f>IFERROR(INDEX(KC_CURVAS!$C$5:$C$15,MATCH($E30&amp;"|"&amp;$G30,KC_CURVAS!$K$5:$K$15,0)),IFERROR(INDEX(KC_CURVAS!$C$5:$C$15,MATCH($E30&amp;"|",KC_CURVAS!$K$5:$K$15,0)),""))</f>
        <v/>
      </c>
      <c r="L30" s="10">
        <f>IFERROR(INDEX(KC_CURVAS!$D$5:$D$15,MATCH($E30&amp;"|"&amp;$G30,KC_CURVAS!$K$5:$K$15,0)),IFERROR(INDEX(KC_CURVAS!$D$5:$D$15,MATCH($E30&amp;"|",KC_CURVAS!$K$5:$K$15,0)),""))</f>
        <v/>
      </c>
      <c r="M30" s="10">
        <f>IFERROR(INDEX(KC_CURVAS!$E$5:$E$15,MATCH($E30&amp;"|"&amp;$G30,KC_CURVAS!$K$5:$K$15,0)),IFERROR(INDEX(KC_CURVAS!$E$5:$E$15,MATCH($E30&amp;"|",KC_CURVAS!$K$5:$K$15,0)),""))</f>
        <v/>
      </c>
      <c r="N30" s="10">
        <f>IFERROR(INDEX(KC_CURVAS!$F$5:$F$15,MATCH($E30&amp;"|"&amp;$G30,KC_CURVAS!$K$5:$K$15,0)),IFERROR(INDEX(KC_CURVAS!$F$5:$F$15,MATCH($E30&amp;"|",KC_CURVAS!$K$5:$K$15,0)),""))</f>
        <v/>
      </c>
      <c r="O30" s="11">
        <f>IFERROR(INDEX(KC_CURVAS!$G$5:$G$15,MATCH($E30&amp;"|"&amp;$G30,KC_CURVAS!$K$5:$K$15,0)),IFERROR(INDEX(KC_CURVAS!$G$5:$G$15,MATCH($E30&amp;"|",KC_CURVAS!$K$5:$K$15,0)),""))</f>
        <v/>
      </c>
      <c r="P30" s="11">
        <f>IFERROR(INDEX(KC_CURVAS!$H$5:$H$15,MATCH($E30&amp;"|"&amp;$G30,KC_CURVAS!$K$5:$K$15,0)),IFERROR(INDEX(KC_CURVAS!$H$5:$H$15,MATCH($E30&amp;"|",KC_CURVAS!$K$5:$K$15,0)),""))</f>
        <v/>
      </c>
      <c r="Q30" s="11">
        <f>IFERROR(INDEX(KC_CURVAS!$I$5:$I$15,MATCH($E30&amp;"|"&amp;$G30,KC_CURVAS!$K$5:$K$15,0)),IFERROR(INDEX(KC_CURVAS!$I$5:$I$15,MATCH($E30&amp;"|",KC_CURVAS!$K$5:$K$15,0)),""))</f>
        <v/>
      </c>
      <c r="R30" s="12">
        <f>IF(OR($J30="",$K30=""),"PENDENTE",IF($J30&lt;=$K30,$O30,IF($J30&lt;=$K30+$L30,$O30+($P30-$O30)*($J30-$K30)/$L30,IF($J30&lt;=$K30+$L30+$M30,$P30,IF($J30&lt;=$K30+$L30+$M30+$N30,$P30+($Q30-$P30)*($J30-($K30+$L30+$M30))/$N30,$Q30)))))</f>
        <v/>
      </c>
      <c r="S30" s="13">
        <f>ETO_SEM</f>
        <v/>
      </c>
      <c r="T30" s="14">
        <f>IF(OR($R30="",$R30="PENDENTE"),"",$R30*$S30)</f>
        <v/>
      </c>
      <c r="U30" s="13" t="n">
        <v>0</v>
      </c>
      <c r="V30" s="14">
        <f>IF($T30="","",MAX(0,$T30-N($U30)))</f>
        <v/>
      </c>
      <c r="W30" s="14">
        <f>IF($V30="","",$V30/EF_APLIC)</f>
        <v/>
      </c>
      <c r="X30" s="15" t="n">
        <v>121.22</v>
      </c>
      <c r="Y30" s="16">
        <f>IF(OR($W30="",$X30=""),"",$W30*$X30*10)</f>
        <v/>
      </c>
      <c r="Z30" s="17">
        <f>IFERROR(INDEX('PARAMETROS'!$B$16:$B$19,MATCH($D30,'PARAMETROS'!$A$16:$A$19,0)),"")</f>
        <v/>
      </c>
      <c r="AA30" s="16">
        <f>IF(OR($Y30="",$Z30=""),"",$Y30*$Z30)</f>
        <v/>
      </c>
      <c r="AB30" s="18">
        <f>IF($R30="PENDENTE","Definir classe/Kc",IF($W30="","-",IF($W30&gt;0,"Irrigar","Nao irrigar")))</f>
        <v/>
      </c>
      <c r="AC30" s="18">
        <f>IF(OR($W30="",$W30=0),"-",IF($W30&gt;=META_SEM,"Alta",IF($W30&gt;=META_SEM*FRAC_ACOMP,"Media","Baixa")))</f>
        <v/>
      </c>
      <c r="AD30" s="19" t="inlineStr"/>
    </row>
    <row r="31">
      <c r="A31" s="5" t="inlineStr">
        <is>
          <t>55</t>
        </is>
      </c>
      <c r="B31" s="5" t="inlineStr">
        <is>
          <t>Karitel</t>
        </is>
      </c>
      <c r="C31" s="5" t="inlineStr">
        <is>
          <t>Módulo 03</t>
        </is>
      </c>
      <c r="D31" s="5" t="inlineStr">
        <is>
          <t>KM2</t>
        </is>
      </c>
      <c r="E31" s="5" t="inlineStr">
        <is>
          <t>ALGODÃO</t>
        </is>
      </c>
      <c r="F31" s="6" t="inlineStr">
        <is>
          <t>DP 1949 B3RF</t>
        </is>
      </c>
      <c r="G31" s="7" t="inlineStr">
        <is>
          <t>PRECOCE</t>
        </is>
      </c>
      <c r="H31" s="8" t="n">
        <v>45953</v>
      </c>
      <c r="I31" s="9">
        <f>IF($H31="","",DATA_REF-$H31)</f>
        <v/>
      </c>
      <c r="J31" s="9">
        <f>IF($I31="","",MAX(0,$I31-'PARAMETROS'!$B$12))</f>
        <v/>
      </c>
      <c r="K31" s="10">
        <f>IFERROR(INDEX(KC_CURVAS!$C$5:$C$15,MATCH($E31&amp;"|"&amp;$G31,KC_CURVAS!$K$5:$K$15,0)),IFERROR(INDEX(KC_CURVAS!$C$5:$C$15,MATCH($E31&amp;"|",KC_CURVAS!$K$5:$K$15,0)),""))</f>
        <v/>
      </c>
      <c r="L31" s="10">
        <f>IFERROR(INDEX(KC_CURVAS!$D$5:$D$15,MATCH($E31&amp;"|"&amp;$G31,KC_CURVAS!$K$5:$K$15,0)),IFERROR(INDEX(KC_CURVAS!$D$5:$D$15,MATCH($E31&amp;"|",KC_CURVAS!$K$5:$K$15,0)),""))</f>
        <v/>
      </c>
      <c r="M31" s="10">
        <f>IFERROR(INDEX(KC_CURVAS!$E$5:$E$15,MATCH($E31&amp;"|"&amp;$G31,KC_CURVAS!$K$5:$K$15,0)),IFERROR(INDEX(KC_CURVAS!$E$5:$E$15,MATCH($E31&amp;"|",KC_CURVAS!$K$5:$K$15,0)),""))</f>
        <v/>
      </c>
      <c r="N31" s="10">
        <f>IFERROR(INDEX(KC_CURVAS!$F$5:$F$15,MATCH($E31&amp;"|"&amp;$G31,KC_CURVAS!$K$5:$K$15,0)),IFERROR(INDEX(KC_CURVAS!$F$5:$F$15,MATCH($E31&amp;"|",KC_CURVAS!$K$5:$K$15,0)),""))</f>
        <v/>
      </c>
      <c r="O31" s="11">
        <f>IFERROR(INDEX(KC_CURVAS!$G$5:$G$15,MATCH($E31&amp;"|"&amp;$G31,KC_CURVAS!$K$5:$K$15,0)),IFERROR(INDEX(KC_CURVAS!$G$5:$G$15,MATCH($E31&amp;"|",KC_CURVAS!$K$5:$K$15,0)),""))</f>
        <v/>
      </c>
      <c r="P31" s="11">
        <f>IFERROR(INDEX(KC_CURVAS!$H$5:$H$15,MATCH($E31&amp;"|"&amp;$G31,KC_CURVAS!$K$5:$K$15,0)),IFERROR(INDEX(KC_CURVAS!$H$5:$H$15,MATCH($E31&amp;"|",KC_CURVAS!$K$5:$K$15,0)),""))</f>
        <v/>
      </c>
      <c r="Q31" s="11">
        <f>IFERROR(INDEX(KC_CURVAS!$I$5:$I$15,MATCH($E31&amp;"|"&amp;$G31,KC_CURVAS!$K$5:$K$15,0)),IFERROR(INDEX(KC_CURVAS!$I$5:$I$15,MATCH($E31&amp;"|",KC_CURVAS!$K$5:$K$15,0)),""))</f>
        <v/>
      </c>
      <c r="R31" s="12">
        <f>IF(OR($J31="",$K31=""),"PENDENTE",IF($J31&lt;=$K31,$O31,IF($J31&lt;=$K31+$L31,$O31+($P31-$O31)*($J31-$K31)/$L31,IF($J31&lt;=$K31+$L31+$M31,$P31,IF($J31&lt;=$K31+$L31+$M31+$N31,$P31+($Q31-$P31)*($J31-($K31+$L31+$M31))/$N31,$Q31)))))</f>
        <v/>
      </c>
      <c r="S31" s="13">
        <f>ETO_SEM</f>
        <v/>
      </c>
      <c r="T31" s="14">
        <f>IF(OR($R31="",$R31="PENDENTE"),"",$R31*$S31)</f>
        <v/>
      </c>
      <c r="U31" s="13" t="n">
        <v>0</v>
      </c>
      <c r="V31" s="14">
        <f>IF($T31="","",MAX(0,$T31-N($U31)))</f>
        <v/>
      </c>
      <c r="W31" s="14">
        <f>IF($V31="","",$V31/EF_APLIC)</f>
        <v/>
      </c>
      <c r="X31" s="15" t="n">
        <v>151.33</v>
      </c>
      <c r="Y31" s="16">
        <f>IF(OR($W31="",$X31=""),"",$W31*$X31*10)</f>
        <v/>
      </c>
      <c r="Z31" s="17">
        <f>IFERROR(INDEX('PARAMETROS'!$B$16:$B$19,MATCH($D31,'PARAMETROS'!$A$16:$A$19,0)),"")</f>
        <v/>
      </c>
      <c r="AA31" s="16">
        <f>IF(OR($Y31="",$Z31=""),"",$Y31*$Z31)</f>
        <v/>
      </c>
      <c r="AB31" s="18">
        <f>IF($R31="PENDENTE","Definir classe/Kc",IF($W31="","-",IF($W31&gt;0,"Irrigar","Nao irrigar")))</f>
        <v/>
      </c>
      <c r="AC31" s="18">
        <f>IF(OR($W31="",$W31=0),"-",IF($W31&gt;=META_SEM,"Alta",IF($W31&gt;=META_SEM*FRAC_ACOMP,"Media","Baixa")))</f>
        <v/>
      </c>
      <c r="AD31" s="19" t="inlineStr"/>
    </row>
    <row r="32">
      <c r="A32" s="5" t="inlineStr">
        <is>
          <t>51</t>
        </is>
      </c>
      <c r="B32" s="5" t="inlineStr">
        <is>
          <t>Karitel</t>
        </is>
      </c>
      <c r="C32" s="5" t="inlineStr">
        <is>
          <t>Módulo 03</t>
        </is>
      </c>
      <c r="D32" s="5" t="inlineStr">
        <is>
          <t>KM2</t>
        </is>
      </c>
      <c r="E32" s="5" t="inlineStr">
        <is>
          <t>ALGODÃO</t>
        </is>
      </c>
      <c r="F32" s="6" t="inlineStr">
        <is>
          <t>DP 2104 B3XF</t>
        </is>
      </c>
      <c r="G32" s="7" t="inlineStr">
        <is>
          <t>MÉDIO</t>
        </is>
      </c>
      <c r="H32" s="8" t="n">
        <v>46087</v>
      </c>
      <c r="I32" s="9">
        <f>IF($H32="","",DATA_REF-$H32)</f>
        <v/>
      </c>
      <c r="J32" s="9">
        <f>IF($I32="","",MAX(0,$I32-'PARAMETROS'!$B$12))</f>
        <v/>
      </c>
      <c r="K32" s="10">
        <f>IFERROR(INDEX(KC_CURVAS!$C$5:$C$15,MATCH($E32&amp;"|"&amp;$G32,KC_CURVAS!$K$5:$K$15,0)),IFERROR(INDEX(KC_CURVAS!$C$5:$C$15,MATCH($E32&amp;"|",KC_CURVAS!$K$5:$K$15,0)),""))</f>
        <v/>
      </c>
      <c r="L32" s="10">
        <f>IFERROR(INDEX(KC_CURVAS!$D$5:$D$15,MATCH($E32&amp;"|"&amp;$G32,KC_CURVAS!$K$5:$K$15,0)),IFERROR(INDEX(KC_CURVAS!$D$5:$D$15,MATCH($E32&amp;"|",KC_CURVAS!$K$5:$K$15,0)),""))</f>
        <v/>
      </c>
      <c r="M32" s="10">
        <f>IFERROR(INDEX(KC_CURVAS!$E$5:$E$15,MATCH($E32&amp;"|"&amp;$G32,KC_CURVAS!$K$5:$K$15,0)),IFERROR(INDEX(KC_CURVAS!$E$5:$E$15,MATCH($E32&amp;"|",KC_CURVAS!$K$5:$K$15,0)),""))</f>
        <v/>
      </c>
      <c r="N32" s="10">
        <f>IFERROR(INDEX(KC_CURVAS!$F$5:$F$15,MATCH($E32&amp;"|"&amp;$G32,KC_CURVAS!$K$5:$K$15,0)),IFERROR(INDEX(KC_CURVAS!$F$5:$F$15,MATCH($E32&amp;"|",KC_CURVAS!$K$5:$K$15,0)),""))</f>
        <v/>
      </c>
      <c r="O32" s="11">
        <f>IFERROR(INDEX(KC_CURVAS!$G$5:$G$15,MATCH($E32&amp;"|"&amp;$G32,KC_CURVAS!$K$5:$K$15,0)),IFERROR(INDEX(KC_CURVAS!$G$5:$G$15,MATCH($E32&amp;"|",KC_CURVAS!$K$5:$K$15,0)),""))</f>
        <v/>
      </c>
      <c r="P32" s="11">
        <f>IFERROR(INDEX(KC_CURVAS!$H$5:$H$15,MATCH($E32&amp;"|"&amp;$G32,KC_CURVAS!$K$5:$K$15,0)),IFERROR(INDEX(KC_CURVAS!$H$5:$H$15,MATCH($E32&amp;"|",KC_CURVAS!$K$5:$K$15,0)),""))</f>
        <v/>
      </c>
      <c r="Q32" s="11">
        <f>IFERROR(INDEX(KC_CURVAS!$I$5:$I$15,MATCH($E32&amp;"|"&amp;$G32,KC_CURVAS!$K$5:$K$15,0)),IFERROR(INDEX(KC_CURVAS!$I$5:$I$15,MATCH($E32&amp;"|",KC_CURVAS!$K$5:$K$15,0)),""))</f>
        <v/>
      </c>
      <c r="R32" s="12">
        <f>IF(OR($J32="",$K32=""),"PENDENTE",IF($J32&lt;=$K32,$O32,IF($J32&lt;=$K32+$L32,$O32+($P32-$O32)*($J32-$K32)/$L32,IF($J32&lt;=$K32+$L32+$M32,$P32,IF($J32&lt;=$K32+$L32+$M32+$N32,$P32+($Q32-$P32)*($J32-($K32+$L32+$M32))/$N32,$Q32)))))</f>
        <v/>
      </c>
      <c r="S32" s="13">
        <f>ETO_SEM</f>
        <v/>
      </c>
      <c r="T32" s="14">
        <f>IF(OR($R32="",$R32="PENDENTE"),"",$R32*$S32)</f>
        <v/>
      </c>
      <c r="U32" s="13" t="n">
        <v>0</v>
      </c>
      <c r="V32" s="14">
        <f>IF($T32="","",MAX(0,$T32-N($U32)))</f>
        <v/>
      </c>
      <c r="W32" s="14">
        <f>IF($V32="","",$V32/EF_APLIC)</f>
        <v/>
      </c>
      <c r="X32" s="15" t="n">
        <v>119.34</v>
      </c>
      <c r="Y32" s="16">
        <f>IF(OR($W32="",$X32=""),"",$W32*$X32*10)</f>
        <v/>
      </c>
      <c r="Z32" s="17">
        <f>IFERROR(INDEX('PARAMETROS'!$B$16:$B$19,MATCH($D32,'PARAMETROS'!$A$16:$A$19,0)),"")</f>
        <v/>
      </c>
      <c r="AA32" s="16">
        <f>IF(OR($Y32="",$Z32=""),"",$Y32*$Z32)</f>
        <v/>
      </c>
      <c r="AB32" s="18">
        <f>IF($R32="PENDENTE","Definir classe/Kc",IF($W32="","-",IF($W32&gt;0,"Irrigar","Nao irrigar")))</f>
        <v/>
      </c>
      <c r="AC32" s="18">
        <f>IF(OR($W32="",$W32=0),"-",IF($W32&gt;=META_SEM,"Alta",IF($W32&gt;=META_SEM*FRAC_ACOMP,"Media","Baixa")))</f>
        <v/>
      </c>
      <c r="AD32" s="19" t="inlineStr"/>
    </row>
    <row r="33">
      <c r="A33" s="5" t="inlineStr">
        <is>
          <t>56</t>
        </is>
      </c>
      <c r="B33" s="5" t="inlineStr">
        <is>
          <t>Karitel</t>
        </is>
      </c>
      <c r="C33" s="5" t="inlineStr">
        <is>
          <t>Módulo 03</t>
        </is>
      </c>
      <c r="D33" s="5" t="inlineStr">
        <is>
          <t>KM2</t>
        </is>
      </c>
      <c r="E33" s="5" t="inlineStr">
        <is>
          <t>ALGODÃO</t>
        </is>
      </c>
      <c r="F33" s="6" t="inlineStr">
        <is>
          <t>FM 911 GLTP</t>
        </is>
      </c>
      <c r="G33" s="7" t="inlineStr">
        <is>
          <t>TARDIO</t>
        </is>
      </c>
      <c r="H33" s="8" t="n">
        <v>46038</v>
      </c>
      <c r="I33" s="9">
        <f>IF($H33="","",DATA_REF-$H33)</f>
        <v/>
      </c>
      <c r="J33" s="9">
        <f>IF($I33="","",MAX(0,$I33-'PARAMETROS'!$B$12))</f>
        <v/>
      </c>
      <c r="K33" s="10">
        <f>IFERROR(INDEX(KC_CURVAS!$C$5:$C$15,MATCH($E33&amp;"|"&amp;$G33,KC_CURVAS!$K$5:$K$15,0)),IFERROR(INDEX(KC_CURVAS!$C$5:$C$15,MATCH($E33&amp;"|",KC_CURVAS!$K$5:$K$15,0)),""))</f>
        <v/>
      </c>
      <c r="L33" s="10">
        <f>IFERROR(INDEX(KC_CURVAS!$D$5:$D$15,MATCH($E33&amp;"|"&amp;$G33,KC_CURVAS!$K$5:$K$15,0)),IFERROR(INDEX(KC_CURVAS!$D$5:$D$15,MATCH($E33&amp;"|",KC_CURVAS!$K$5:$K$15,0)),""))</f>
        <v/>
      </c>
      <c r="M33" s="10">
        <f>IFERROR(INDEX(KC_CURVAS!$E$5:$E$15,MATCH($E33&amp;"|"&amp;$G33,KC_CURVAS!$K$5:$K$15,0)),IFERROR(INDEX(KC_CURVAS!$E$5:$E$15,MATCH($E33&amp;"|",KC_CURVAS!$K$5:$K$15,0)),""))</f>
        <v/>
      </c>
      <c r="N33" s="10">
        <f>IFERROR(INDEX(KC_CURVAS!$F$5:$F$15,MATCH($E33&amp;"|"&amp;$G33,KC_CURVAS!$K$5:$K$15,0)),IFERROR(INDEX(KC_CURVAS!$F$5:$F$15,MATCH($E33&amp;"|",KC_CURVAS!$K$5:$K$15,0)),""))</f>
        <v/>
      </c>
      <c r="O33" s="11">
        <f>IFERROR(INDEX(KC_CURVAS!$G$5:$G$15,MATCH($E33&amp;"|"&amp;$G33,KC_CURVAS!$K$5:$K$15,0)),IFERROR(INDEX(KC_CURVAS!$G$5:$G$15,MATCH($E33&amp;"|",KC_CURVAS!$K$5:$K$15,0)),""))</f>
        <v/>
      </c>
      <c r="P33" s="11">
        <f>IFERROR(INDEX(KC_CURVAS!$H$5:$H$15,MATCH($E33&amp;"|"&amp;$G33,KC_CURVAS!$K$5:$K$15,0)),IFERROR(INDEX(KC_CURVAS!$H$5:$H$15,MATCH($E33&amp;"|",KC_CURVAS!$K$5:$K$15,0)),""))</f>
        <v/>
      </c>
      <c r="Q33" s="11">
        <f>IFERROR(INDEX(KC_CURVAS!$I$5:$I$15,MATCH($E33&amp;"|"&amp;$G33,KC_CURVAS!$K$5:$K$15,0)),IFERROR(INDEX(KC_CURVAS!$I$5:$I$15,MATCH($E33&amp;"|",KC_CURVAS!$K$5:$K$15,0)),""))</f>
        <v/>
      </c>
      <c r="R33" s="12">
        <f>IF(OR($J33="",$K33=""),"PENDENTE",IF($J33&lt;=$K33,$O33,IF($J33&lt;=$K33+$L33,$O33+($P33-$O33)*($J33-$K33)/$L33,IF($J33&lt;=$K33+$L33+$M33,$P33,IF($J33&lt;=$K33+$L33+$M33+$N33,$P33+($Q33-$P33)*($J33-($K33+$L33+$M33))/$N33,$Q33)))))</f>
        <v/>
      </c>
      <c r="S33" s="13">
        <f>ETO_SEM</f>
        <v/>
      </c>
      <c r="T33" s="14">
        <f>IF(OR($R33="",$R33="PENDENTE"),"",$R33*$S33)</f>
        <v/>
      </c>
      <c r="U33" s="13" t="n">
        <v>0</v>
      </c>
      <c r="V33" s="14">
        <f>IF($T33="","",MAX(0,$T33-N($U33)))</f>
        <v/>
      </c>
      <c r="W33" s="14">
        <f>IF($V33="","",$V33/EF_APLIC)</f>
        <v/>
      </c>
      <c r="X33" s="15" t="n">
        <v>151.2</v>
      </c>
      <c r="Y33" s="16">
        <f>IF(OR($W33="",$X33=""),"",$W33*$X33*10)</f>
        <v/>
      </c>
      <c r="Z33" s="17">
        <f>IFERROR(INDEX('PARAMETROS'!$B$16:$B$19,MATCH($D33,'PARAMETROS'!$A$16:$A$19,0)),"")</f>
        <v/>
      </c>
      <c r="AA33" s="16">
        <f>IF(OR($Y33="",$Z33=""),"",$Y33*$Z33)</f>
        <v/>
      </c>
      <c r="AB33" s="18">
        <f>IF($R33="PENDENTE","Definir classe/Kc",IF($W33="","-",IF($W33&gt;0,"Irrigar","Nao irrigar")))</f>
        <v/>
      </c>
      <c r="AC33" s="18">
        <f>IF(OR($W33="",$W33=0),"-",IF($W33&gt;=META_SEM,"Alta",IF($W33&gt;=META_SEM*FRAC_ACOMP,"Media","Baixa")))</f>
        <v/>
      </c>
      <c r="AD33" s="19" t="inlineStr"/>
    </row>
    <row r="34">
      <c r="A34" s="5" t="inlineStr">
        <is>
          <t>57</t>
        </is>
      </c>
      <c r="B34" s="5" t="inlineStr">
        <is>
          <t>Karitel</t>
        </is>
      </c>
      <c r="C34" s="5" t="inlineStr">
        <is>
          <t>Módulo 03</t>
        </is>
      </c>
      <c r="D34" s="5" t="inlineStr">
        <is>
          <t>KM2</t>
        </is>
      </c>
      <c r="E34" s="5" t="inlineStr">
        <is>
          <t>ALGODÃO</t>
        </is>
      </c>
      <c r="F34" s="6" t="inlineStr">
        <is>
          <t>FM 911 GLTP</t>
        </is>
      </c>
      <c r="G34" s="7" t="inlineStr">
        <is>
          <t>TARDIO</t>
        </is>
      </c>
      <c r="H34" s="8" t="n">
        <v>46002</v>
      </c>
      <c r="I34" s="9">
        <f>IF($H34="","",DATA_REF-$H34)</f>
        <v/>
      </c>
      <c r="J34" s="9">
        <f>IF($I34="","",MAX(0,$I34-'PARAMETROS'!$B$12))</f>
        <v/>
      </c>
      <c r="K34" s="10">
        <f>IFERROR(INDEX(KC_CURVAS!$C$5:$C$15,MATCH($E34&amp;"|"&amp;$G34,KC_CURVAS!$K$5:$K$15,0)),IFERROR(INDEX(KC_CURVAS!$C$5:$C$15,MATCH($E34&amp;"|",KC_CURVAS!$K$5:$K$15,0)),""))</f>
        <v/>
      </c>
      <c r="L34" s="10">
        <f>IFERROR(INDEX(KC_CURVAS!$D$5:$D$15,MATCH($E34&amp;"|"&amp;$G34,KC_CURVAS!$K$5:$K$15,0)),IFERROR(INDEX(KC_CURVAS!$D$5:$D$15,MATCH($E34&amp;"|",KC_CURVAS!$K$5:$K$15,0)),""))</f>
        <v/>
      </c>
      <c r="M34" s="10">
        <f>IFERROR(INDEX(KC_CURVAS!$E$5:$E$15,MATCH($E34&amp;"|"&amp;$G34,KC_CURVAS!$K$5:$K$15,0)),IFERROR(INDEX(KC_CURVAS!$E$5:$E$15,MATCH($E34&amp;"|",KC_CURVAS!$K$5:$K$15,0)),""))</f>
        <v/>
      </c>
      <c r="N34" s="10">
        <f>IFERROR(INDEX(KC_CURVAS!$F$5:$F$15,MATCH($E34&amp;"|"&amp;$G34,KC_CURVAS!$K$5:$K$15,0)),IFERROR(INDEX(KC_CURVAS!$F$5:$F$15,MATCH($E34&amp;"|",KC_CURVAS!$K$5:$K$15,0)),""))</f>
        <v/>
      </c>
      <c r="O34" s="11">
        <f>IFERROR(INDEX(KC_CURVAS!$G$5:$G$15,MATCH($E34&amp;"|"&amp;$G34,KC_CURVAS!$K$5:$K$15,0)),IFERROR(INDEX(KC_CURVAS!$G$5:$G$15,MATCH($E34&amp;"|",KC_CURVAS!$K$5:$K$15,0)),""))</f>
        <v/>
      </c>
      <c r="P34" s="11">
        <f>IFERROR(INDEX(KC_CURVAS!$H$5:$H$15,MATCH($E34&amp;"|"&amp;$G34,KC_CURVAS!$K$5:$K$15,0)),IFERROR(INDEX(KC_CURVAS!$H$5:$H$15,MATCH($E34&amp;"|",KC_CURVAS!$K$5:$K$15,0)),""))</f>
        <v/>
      </c>
      <c r="Q34" s="11">
        <f>IFERROR(INDEX(KC_CURVAS!$I$5:$I$15,MATCH($E34&amp;"|"&amp;$G34,KC_CURVAS!$K$5:$K$15,0)),IFERROR(INDEX(KC_CURVAS!$I$5:$I$15,MATCH($E34&amp;"|",KC_CURVAS!$K$5:$K$15,0)),""))</f>
        <v/>
      </c>
      <c r="R34" s="12">
        <f>IF(OR($J34="",$K34=""),"PENDENTE",IF($J34&lt;=$K34,$O34,IF($J34&lt;=$K34+$L34,$O34+($P34-$O34)*($J34-$K34)/$L34,IF($J34&lt;=$K34+$L34+$M34,$P34,IF($J34&lt;=$K34+$L34+$M34+$N34,$P34+($Q34-$P34)*($J34-($K34+$L34+$M34))/$N34,$Q34)))))</f>
        <v/>
      </c>
      <c r="S34" s="13">
        <f>ETO_SEM</f>
        <v/>
      </c>
      <c r="T34" s="14">
        <f>IF(OR($R34="",$R34="PENDENTE"),"",$R34*$S34)</f>
        <v/>
      </c>
      <c r="U34" s="13" t="n">
        <v>0</v>
      </c>
      <c r="V34" s="14">
        <f>IF($T34="","",MAX(0,$T34-N($U34)))</f>
        <v/>
      </c>
      <c r="W34" s="14">
        <f>IF($V34="","",$V34/EF_APLIC)</f>
        <v/>
      </c>
      <c r="X34" s="15" t="n">
        <v>150</v>
      </c>
      <c r="Y34" s="16">
        <f>IF(OR($W34="",$X34=""),"",$W34*$X34*10)</f>
        <v/>
      </c>
      <c r="Z34" s="17">
        <f>IFERROR(INDEX('PARAMETROS'!$B$16:$B$19,MATCH($D34,'PARAMETROS'!$A$16:$A$19,0)),"")</f>
        <v/>
      </c>
      <c r="AA34" s="16">
        <f>IF(OR($Y34="",$Z34=""),"",$Y34*$Z34)</f>
        <v/>
      </c>
      <c r="AB34" s="18">
        <f>IF($R34="PENDENTE","Definir classe/Kc",IF($W34="","-",IF($W34&gt;0,"Irrigar","Nao irrigar")))</f>
        <v/>
      </c>
      <c r="AC34" s="18">
        <f>IF(OR($W34="",$W34=0),"-",IF($W34&gt;=META_SEM,"Alta",IF($W34&gt;=META_SEM*FRAC_ACOMP,"Media","Baixa")))</f>
        <v/>
      </c>
      <c r="AD34" s="19" t="inlineStr"/>
    </row>
    <row r="35">
      <c r="A35" s="5" t="inlineStr">
        <is>
          <t>58</t>
        </is>
      </c>
      <c r="B35" s="5" t="inlineStr">
        <is>
          <t>Karitel</t>
        </is>
      </c>
      <c r="C35" s="5" t="inlineStr">
        <is>
          <t>Módulo 03</t>
        </is>
      </c>
      <c r="D35" s="5" t="inlineStr">
        <is>
          <t>KM2</t>
        </is>
      </c>
      <c r="E35" s="5" t="inlineStr">
        <is>
          <t>ALGODÃO</t>
        </is>
      </c>
      <c r="F35" s="6" t="inlineStr">
        <is>
          <t>DP 2111 B3RF</t>
        </is>
      </c>
      <c r="G35" s="7" t="inlineStr">
        <is>
          <t>MÉDIO</t>
        </is>
      </c>
      <c r="H35" s="8" t="n">
        <v>45873</v>
      </c>
      <c r="I35" s="9">
        <f>IF($H35="","",DATA_REF-$H35)</f>
        <v/>
      </c>
      <c r="J35" s="9">
        <f>IF($I35="","",MAX(0,$I35-'PARAMETROS'!$B$12))</f>
        <v/>
      </c>
      <c r="K35" s="10">
        <f>IFERROR(INDEX(KC_CURVAS!$C$5:$C$15,MATCH($E35&amp;"|"&amp;$G35,KC_CURVAS!$K$5:$K$15,0)),IFERROR(INDEX(KC_CURVAS!$C$5:$C$15,MATCH($E35&amp;"|",KC_CURVAS!$K$5:$K$15,0)),""))</f>
        <v/>
      </c>
      <c r="L35" s="10">
        <f>IFERROR(INDEX(KC_CURVAS!$D$5:$D$15,MATCH($E35&amp;"|"&amp;$G35,KC_CURVAS!$K$5:$K$15,0)),IFERROR(INDEX(KC_CURVAS!$D$5:$D$15,MATCH($E35&amp;"|",KC_CURVAS!$K$5:$K$15,0)),""))</f>
        <v/>
      </c>
      <c r="M35" s="10">
        <f>IFERROR(INDEX(KC_CURVAS!$E$5:$E$15,MATCH($E35&amp;"|"&amp;$G35,KC_CURVAS!$K$5:$K$15,0)),IFERROR(INDEX(KC_CURVAS!$E$5:$E$15,MATCH($E35&amp;"|",KC_CURVAS!$K$5:$K$15,0)),""))</f>
        <v/>
      </c>
      <c r="N35" s="10">
        <f>IFERROR(INDEX(KC_CURVAS!$F$5:$F$15,MATCH($E35&amp;"|"&amp;$G35,KC_CURVAS!$K$5:$K$15,0)),IFERROR(INDEX(KC_CURVAS!$F$5:$F$15,MATCH($E35&amp;"|",KC_CURVAS!$K$5:$K$15,0)),""))</f>
        <v/>
      </c>
      <c r="O35" s="11">
        <f>IFERROR(INDEX(KC_CURVAS!$G$5:$G$15,MATCH($E35&amp;"|"&amp;$G35,KC_CURVAS!$K$5:$K$15,0)),IFERROR(INDEX(KC_CURVAS!$G$5:$G$15,MATCH($E35&amp;"|",KC_CURVAS!$K$5:$K$15,0)),""))</f>
        <v/>
      </c>
      <c r="P35" s="11">
        <f>IFERROR(INDEX(KC_CURVAS!$H$5:$H$15,MATCH($E35&amp;"|"&amp;$G35,KC_CURVAS!$K$5:$K$15,0)),IFERROR(INDEX(KC_CURVAS!$H$5:$H$15,MATCH($E35&amp;"|",KC_CURVAS!$K$5:$K$15,0)),""))</f>
        <v/>
      </c>
      <c r="Q35" s="11">
        <f>IFERROR(INDEX(KC_CURVAS!$I$5:$I$15,MATCH($E35&amp;"|"&amp;$G35,KC_CURVAS!$K$5:$K$15,0)),IFERROR(INDEX(KC_CURVAS!$I$5:$I$15,MATCH($E35&amp;"|",KC_CURVAS!$K$5:$K$15,0)),""))</f>
        <v/>
      </c>
      <c r="R35" s="12">
        <f>IF(OR($J35="",$K35=""),"PENDENTE",IF($J35&lt;=$K35,$O35,IF($J35&lt;=$K35+$L35,$O35+($P35-$O35)*($J35-$K35)/$L35,IF($J35&lt;=$K35+$L35+$M35,$P35,IF($J35&lt;=$K35+$L35+$M35+$N35,$P35+($Q35-$P35)*($J35-($K35+$L35+$M35))/$N35,$Q35)))))</f>
        <v/>
      </c>
      <c r="S35" s="13">
        <f>ETO_SEM</f>
        <v/>
      </c>
      <c r="T35" s="14">
        <f>IF(OR($R35="",$R35="PENDENTE"),"",$R35*$S35)</f>
        <v/>
      </c>
      <c r="U35" s="13" t="n">
        <v>0</v>
      </c>
      <c r="V35" s="14">
        <f>IF($T35="","",MAX(0,$T35-N($U35)))</f>
        <v/>
      </c>
      <c r="W35" s="14">
        <f>IF($V35="","",$V35/EF_APLIC)</f>
        <v/>
      </c>
      <c r="X35" s="15" t="n">
        <v>150</v>
      </c>
      <c r="Y35" s="16">
        <f>IF(OR($W35="",$X35=""),"",$W35*$X35*10)</f>
        <v/>
      </c>
      <c r="Z35" s="17">
        <f>IFERROR(INDEX('PARAMETROS'!$B$16:$B$19,MATCH($D35,'PARAMETROS'!$A$16:$A$19,0)),"")</f>
        <v/>
      </c>
      <c r="AA35" s="16">
        <f>IF(OR($Y35="",$Z35=""),"",$Y35*$Z35)</f>
        <v/>
      </c>
      <c r="AB35" s="18">
        <f>IF($R35="PENDENTE","Definir classe/Kc",IF($W35="","-",IF($W35&gt;0,"Irrigar","Nao irrigar")))</f>
        <v/>
      </c>
      <c r="AC35" s="18">
        <f>IF(OR($W35="",$W35=0),"-",IF($W35&gt;=META_SEM,"Alta",IF($W35&gt;=META_SEM*FRAC_ACOMP,"Media","Baixa")))</f>
        <v/>
      </c>
      <c r="AD35" s="19" t="inlineStr"/>
    </row>
    <row r="36">
      <c r="A36" s="5" t="inlineStr">
        <is>
          <t>59</t>
        </is>
      </c>
      <c r="B36" s="5" t="inlineStr">
        <is>
          <t>Karitel</t>
        </is>
      </c>
      <c r="C36" s="5" t="inlineStr">
        <is>
          <t>Módulo 03</t>
        </is>
      </c>
      <c r="D36" s="5" t="inlineStr">
        <is>
          <t>KM2</t>
        </is>
      </c>
      <c r="E36" s="5" t="inlineStr">
        <is>
          <t>ALGODÃO</t>
        </is>
      </c>
      <c r="F36" s="6" t="inlineStr">
        <is>
          <t>FM 911 GLTP</t>
        </is>
      </c>
      <c r="G36" s="7" t="inlineStr">
        <is>
          <t>TARDIO</t>
        </is>
      </c>
      <c r="H36" s="8" t="n">
        <v>46008</v>
      </c>
      <c r="I36" s="9">
        <f>IF($H36="","",DATA_REF-$H36)</f>
        <v/>
      </c>
      <c r="J36" s="9">
        <f>IF($I36="","",MAX(0,$I36-'PARAMETROS'!$B$12))</f>
        <v/>
      </c>
      <c r="K36" s="10">
        <f>IFERROR(INDEX(KC_CURVAS!$C$5:$C$15,MATCH($E36&amp;"|"&amp;$G36,KC_CURVAS!$K$5:$K$15,0)),IFERROR(INDEX(KC_CURVAS!$C$5:$C$15,MATCH($E36&amp;"|",KC_CURVAS!$K$5:$K$15,0)),""))</f>
        <v/>
      </c>
      <c r="L36" s="10">
        <f>IFERROR(INDEX(KC_CURVAS!$D$5:$D$15,MATCH($E36&amp;"|"&amp;$G36,KC_CURVAS!$K$5:$K$15,0)),IFERROR(INDEX(KC_CURVAS!$D$5:$D$15,MATCH($E36&amp;"|",KC_CURVAS!$K$5:$K$15,0)),""))</f>
        <v/>
      </c>
      <c r="M36" s="10">
        <f>IFERROR(INDEX(KC_CURVAS!$E$5:$E$15,MATCH($E36&amp;"|"&amp;$G36,KC_CURVAS!$K$5:$K$15,0)),IFERROR(INDEX(KC_CURVAS!$E$5:$E$15,MATCH($E36&amp;"|",KC_CURVAS!$K$5:$K$15,0)),""))</f>
        <v/>
      </c>
      <c r="N36" s="10">
        <f>IFERROR(INDEX(KC_CURVAS!$F$5:$F$15,MATCH($E36&amp;"|"&amp;$G36,KC_CURVAS!$K$5:$K$15,0)),IFERROR(INDEX(KC_CURVAS!$F$5:$F$15,MATCH($E36&amp;"|",KC_CURVAS!$K$5:$K$15,0)),""))</f>
        <v/>
      </c>
      <c r="O36" s="11">
        <f>IFERROR(INDEX(KC_CURVAS!$G$5:$G$15,MATCH($E36&amp;"|"&amp;$G36,KC_CURVAS!$K$5:$K$15,0)),IFERROR(INDEX(KC_CURVAS!$G$5:$G$15,MATCH($E36&amp;"|",KC_CURVAS!$K$5:$K$15,0)),""))</f>
        <v/>
      </c>
      <c r="P36" s="11">
        <f>IFERROR(INDEX(KC_CURVAS!$H$5:$H$15,MATCH($E36&amp;"|"&amp;$G36,KC_CURVAS!$K$5:$K$15,0)),IFERROR(INDEX(KC_CURVAS!$H$5:$H$15,MATCH($E36&amp;"|",KC_CURVAS!$K$5:$K$15,0)),""))</f>
        <v/>
      </c>
      <c r="Q36" s="11">
        <f>IFERROR(INDEX(KC_CURVAS!$I$5:$I$15,MATCH($E36&amp;"|"&amp;$G36,KC_CURVAS!$K$5:$K$15,0)),IFERROR(INDEX(KC_CURVAS!$I$5:$I$15,MATCH($E36&amp;"|",KC_CURVAS!$K$5:$K$15,0)),""))</f>
        <v/>
      </c>
      <c r="R36" s="12">
        <f>IF(OR($J36="",$K36=""),"PENDENTE",IF($J36&lt;=$K36,$O36,IF($J36&lt;=$K36+$L36,$O36+($P36-$O36)*($J36-$K36)/$L36,IF($J36&lt;=$K36+$L36+$M36,$P36,IF($J36&lt;=$K36+$L36+$M36+$N36,$P36+($Q36-$P36)*($J36-($K36+$L36+$M36))/$N36,$Q36)))))</f>
        <v/>
      </c>
      <c r="S36" s="13">
        <f>ETO_SEM</f>
        <v/>
      </c>
      <c r="T36" s="14">
        <f>IF(OR($R36="",$R36="PENDENTE"),"",$R36*$S36)</f>
        <v/>
      </c>
      <c r="U36" s="13" t="n">
        <v>0</v>
      </c>
      <c r="V36" s="14">
        <f>IF($T36="","",MAX(0,$T36-N($U36)))</f>
        <v/>
      </c>
      <c r="W36" s="14">
        <f>IF($V36="","",$V36/EF_APLIC)</f>
        <v/>
      </c>
      <c r="X36" s="15" t="n">
        <v>143</v>
      </c>
      <c r="Y36" s="16">
        <f>IF(OR($W36="",$X36=""),"",$W36*$X36*10)</f>
        <v/>
      </c>
      <c r="Z36" s="17">
        <f>IFERROR(INDEX('PARAMETROS'!$B$16:$B$19,MATCH($D36,'PARAMETROS'!$A$16:$A$19,0)),"")</f>
        <v/>
      </c>
      <c r="AA36" s="16">
        <f>IF(OR($Y36="",$Z36=""),"",$Y36*$Z36)</f>
        <v/>
      </c>
      <c r="AB36" s="18">
        <f>IF($R36="PENDENTE","Definir classe/Kc",IF($W36="","-",IF($W36&gt;0,"Irrigar","Nao irrigar")))</f>
        <v/>
      </c>
      <c r="AC36" s="18">
        <f>IF(OR($W36="",$W36=0),"-",IF($W36&gt;=META_SEM,"Alta",IF($W36&gt;=META_SEM*FRAC_ACOMP,"Media","Baixa")))</f>
        <v/>
      </c>
      <c r="AD36" s="19" t="inlineStr"/>
    </row>
    <row r="37">
      <c r="A37" s="5" t="inlineStr">
        <is>
          <t>60</t>
        </is>
      </c>
      <c r="B37" s="5" t="inlineStr">
        <is>
          <t>Karitel</t>
        </is>
      </c>
      <c r="C37" s="5" t="inlineStr">
        <is>
          <t>Módulo 03</t>
        </is>
      </c>
      <c r="D37" s="5" t="inlineStr">
        <is>
          <t>KM2</t>
        </is>
      </c>
      <c r="E37" s="5" t="inlineStr">
        <is>
          <t>ALGODÃO</t>
        </is>
      </c>
      <c r="F37" s="6" t="inlineStr">
        <is>
          <t>DP 1949 B3RF</t>
        </is>
      </c>
      <c r="G37" s="7" t="inlineStr">
        <is>
          <t>PRECOCE</t>
        </is>
      </c>
      <c r="H37" s="8" t="n">
        <v>46001</v>
      </c>
      <c r="I37" s="9">
        <f>IF($H37="","",DATA_REF-$H37)</f>
        <v/>
      </c>
      <c r="J37" s="9">
        <f>IF($I37="","",MAX(0,$I37-'PARAMETROS'!$B$12))</f>
        <v/>
      </c>
      <c r="K37" s="10">
        <f>IFERROR(INDEX(KC_CURVAS!$C$5:$C$15,MATCH($E37&amp;"|"&amp;$G37,KC_CURVAS!$K$5:$K$15,0)),IFERROR(INDEX(KC_CURVAS!$C$5:$C$15,MATCH($E37&amp;"|",KC_CURVAS!$K$5:$K$15,0)),""))</f>
        <v/>
      </c>
      <c r="L37" s="10">
        <f>IFERROR(INDEX(KC_CURVAS!$D$5:$D$15,MATCH($E37&amp;"|"&amp;$G37,KC_CURVAS!$K$5:$K$15,0)),IFERROR(INDEX(KC_CURVAS!$D$5:$D$15,MATCH($E37&amp;"|",KC_CURVAS!$K$5:$K$15,0)),""))</f>
        <v/>
      </c>
      <c r="M37" s="10">
        <f>IFERROR(INDEX(KC_CURVAS!$E$5:$E$15,MATCH($E37&amp;"|"&amp;$G37,KC_CURVAS!$K$5:$K$15,0)),IFERROR(INDEX(KC_CURVAS!$E$5:$E$15,MATCH($E37&amp;"|",KC_CURVAS!$K$5:$K$15,0)),""))</f>
        <v/>
      </c>
      <c r="N37" s="10">
        <f>IFERROR(INDEX(KC_CURVAS!$F$5:$F$15,MATCH($E37&amp;"|"&amp;$G37,KC_CURVAS!$K$5:$K$15,0)),IFERROR(INDEX(KC_CURVAS!$F$5:$F$15,MATCH($E37&amp;"|",KC_CURVAS!$K$5:$K$15,0)),""))</f>
        <v/>
      </c>
      <c r="O37" s="11">
        <f>IFERROR(INDEX(KC_CURVAS!$G$5:$G$15,MATCH($E37&amp;"|"&amp;$G37,KC_CURVAS!$K$5:$K$15,0)),IFERROR(INDEX(KC_CURVAS!$G$5:$G$15,MATCH($E37&amp;"|",KC_CURVAS!$K$5:$K$15,0)),""))</f>
        <v/>
      </c>
      <c r="P37" s="11">
        <f>IFERROR(INDEX(KC_CURVAS!$H$5:$H$15,MATCH($E37&amp;"|"&amp;$G37,KC_CURVAS!$K$5:$K$15,0)),IFERROR(INDEX(KC_CURVAS!$H$5:$H$15,MATCH($E37&amp;"|",KC_CURVAS!$K$5:$K$15,0)),""))</f>
        <v/>
      </c>
      <c r="Q37" s="11">
        <f>IFERROR(INDEX(KC_CURVAS!$I$5:$I$15,MATCH($E37&amp;"|"&amp;$G37,KC_CURVAS!$K$5:$K$15,0)),IFERROR(INDEX(KC_CURVAS!$I$5:$I$15,MATCH($E37&amp;"|",KC_CURVAS!$K$5:$K$15,0)),""))</f>
        <v/>
      </c>
      <c r="R37" s="12">
        <f>IF(OR($J37="",$K37=""),"PENDENTE",IF($J37&lt;=$K37,$O37,IF($J37&lt;=$K37+$L37,$O37+($P37-$O37)*($J37-$K37)/$L37,IF($J37&lt;=$K37+$L37+$M37,$P37,IF($J37&lt;=$K37+$L37+$M37+$N37,$P37+($Q37-$P37)*($J37-($K37+$L37+$M37))/$N37,$Q37)))))</f>
        <v/>
      </c>
      <c r="S37" s="13">
        <f>ETO_SEM</f>
        <v/>
      </c>
      <c r="T37" s="14">
        <f>IF(OR($R37="",$R37="PENDENTE"),"",$R37*$S37)</f>
        <v/>
      </c>
      <c r="U37" s="13" t="n">
        <v>0</v>
      </c>
      <c r="V37" s="14">
        <f>IF($T37="","",MAX(0,$T37-N($U37)))</f>
        <v/>
      </c>
      <c r="W37" s="14">
        <f>IF($V37="","",$V37/EF_APLIC)</f>
        <v/>
      </c>
      <c r="X37" s="15" t="n">
        <v>150</v>
      </c>
      <c r="Y37" s="16">
        <f>IF(OR($W37="",$X37=""),"",$W37*$X37*10)</f>
        <v/>
      </c>
      <c r="Z37" s="17">
        <f>IFERROR(INDEX('PARAMETROS'!$B$16:$B$19,MATCH($D37,'PARAMETROS'!$A$16:$A$19,0)),"")</f>
        <v/>
      </c>
      <c r="AA37" s="16">
        <f>IF(OR($Y37="",$Z37=""),"",$Y37*$Z37)</f>
        <v/>
      </c>
      <c r="AB37" s="18">
        <f>IF($R37="PENDENTE","Definir classe/Kc",IF($W37="","-",IF($W37&gt;0,"Irrigar","Nao irrigar")))</f>
        <v/>
      </c>
      <c r="AC37" s="18">
        <f>IF(OR($W37="",$W37=0),"-",IF($W37&gt;=META_SEM,"Alta",IF($W37&gt;=META_SEM*FRAC_ACOMP,"Media","Baixa")))</f>
        <v/>
      </c>
      <c r="AD37" s="19" t="inlineStr"/>
    </row>
    <row r="38">
      <c r="A38" s="5" t="inlineStr">
        <is>
          <t>66</t>
        </is>
      </c>
      <c r="B38" s="5" t="inlineStr">
        <is>
          <t>Karitel</t>
        </is>
      </c>
      <c r="C38" s="5" t="inlineStr">
        <is>
          <t>Módulo 03</t>
        </is>
      </c>
      <c r="D38" s="5" t="inlineStr">
        <is>
          <t>KM2</t>
        </is>
      </c>
      <c r="E38" s="5" t="inlineStr">
        <is>
          <t>ALGODÃO</t>
        </is>
      </c>
      <c r="F38" s="6" t="inlineStr">
        <is>
          <t>DP 1949 B3RF</t>
        </is>
      </c>
      <c r="G38" s="7" t="inlineStr">
        <is>
          <t>PRECOCE</t>
        </is>
      </c>
      <c r="H38" s="8" t="n">
        <v>46000</v>
      </c>
      <c r="I38" s="9">
        <f>IF($H38="","",DATA_REF-$H38)</f>
        <v/>
      </c>
      <c r="J38" s="9">
        <f>IF($I38="","",MAX(0,$I38-'PARAMETROS'!$B$12))</f>
        <v/>
      </c>
      <c r="K38" s="10">
        <f>IFERROR(INDEX(KC_CURVAS!$C$5:$C$15,MATCH($E38&amp;"|"&amp;$G38,KC_CURVAS!$K$5:$K$15,0)),IFERROR(INDEX(KC_CURVAS!$C$5:$C$15,MATCH($E38&amp;"|",KC_CURVAS!$K$5:$K$15,0)),""))</f>
        <v/>
      </c>
      <c r="L38" s="10">
        <f>IFERROR(INDEX(KC_CURVAS!$D$5:$D$15,MATCH($E38&amp;"|"&amp;$G38,KC_CURVAS!$K$5:$K$15,0)),IFERROR(INDEX(KC_CURVAS!$D$5:$D$15,MATCH($E38&amp;"|",KC_CURVAS!$K$5:$K$15,0)),""))</f>
        <v/>
      </c>
      <c r="M38" s="10">
        <f>IFERROR(INDEX(KC_CURVAS!$E$5:$E$15,MATCH($E38&amp;"|"&amp;$G38,KC_CURVAS!$K$5:$K$15,0)),IFERROR(INDEX(KC_CURVAS!$E$5:$E$15,MATCH($E38&amp;"|",KC_CURVAS!$K$5:$K$15,0)),""))</f>
        <v/>
      </c>
      <c r="N38" s="10">
        <f>IFERROR(INDEX(KC_CURVAS!$F$5:$F$15,MATCH($E38&amp;"|"&amp;$G38,KC_CURVAS!$K$5:$K$15,0)),IFERROR(INDEX(KC_CURVAS!$F$5:$F$15,MATCH($E38&amp;"|",KC_CURVAS!$K$5:$K$15,0)),""))</f>
        <v/>
      </c>
      <c r="O38" s="11">
        <f>IFERROR(INDEX(KC_CURVAS!$G$5:$G$15,MATCH($E38&amp;"|"&amp;$G38,KC_CURVAS!$K$5:$K$15,0)),IFERROR(INDEX(KC_CURVAS!$G$5:$G$15,MATCH($E38&amp;"|",KC_CURVAS!$K$5:$K$15,0)),""))</f>
        <v/>
      </c>
      <c r="P38" s="11">
        <f>IFERROR(INDEX(KC_CURVAS!$H$5:$H$15,MATCH($E38&amp;"|"&amp;$G38,KC_CURVAS!$K$5:$K$15,0)),IFERROR(INDEX(KC_CURVAS!$H$5:$H$15,MATCH($E38&amp;"|",KC_CURVAS!$K$5:$K$15,0)),""))</f>
        <v/>
      </c>
      <c r="Q38" s="11">
        <f>IFERROR(INDEX(KC_CURVAS!$I$5:$I$15,MATCH($E38&amp;"|"&amp;$G38,KC_CURVAS!$K$5:$K$15,0)),IFERROR(INDEX(KC_CURVAS!$I$5:$I$15,MATCH($E38&amp;"|",KC_CURVAS!$K$5:$K$15,0)),""))</f>
        <v/>
      </c>
      <c r="R38" s="12">
        <f>IF(OR($J38="",$K38=""),"PENDENTE",IF($J38&lt;=$K38,$O38,IF($J38&lt;=$K38+$L38,$O38+($P38-$O38)*($J38-$K38)/$L38,IF($J38&lt;=$K38+$L38+$M38,$P38,IF($J38&lt;=$K38+$L38+$M38+$N38,$P38+($Q38-$P38)*($J38-($K38+$L38+$M38))/$N38,$Q38)))))</f>
        <v/>
      </c>
      <c r="S38" s="13">
        <f>ETO_SEM</f>
        <v/>
      </c>
      <c r="T38" s="14">
        <f>IF(OR($R38="",$R38="PENDENTE"),"",$R38*$S38)</f>
        <v/>
      </c>
      <c r="U38" s="13" t="n">
        <v>0</v>
      </c>
      <c r="V38" s="14">
        <f>IF($T38="","",MAX(0,$T38-N($U38)))</f>
        <v/>
      </c>
      <c r="W38" s="14">
        <f>IF($V38="","",$V38/EF_APLIC)</f>
        <v/>
      </c>
      <c r="X38" s="15" t="n">
        <v>100</v>
      </c>
      <c r="Y38" s="16">
        <f>IF(OR($W38="",$X38=""),"",$W38*$X38*10)</f>
        <v/>
      </c>
      <c r="Z38" s="17">
        <f>IFERROR(INDEX('PARAMETROS'!$B$16:$B$19,MATCH($D38,'PARAMETROS'!$A$16:$A$19,0)),"")</f>
        <v/>
      </c>
      <c r="AA38" s="16">
        <f>IF(OR($Y38="",$Z38=""),"",$Y38*$Z38)</f>
        <v/>
      </c>
      <c r="AB38" s="18">
        <f>IF($R38="PENDENTE","Definir classe/Kc",IF($W38="","-",IF($W38&gt;0,"Irrigar","Nao irrigar")))</f>
        <v/>
      </c>
      <c r="AC38" s="18">
        <f>IF(OR($W38="",$W38=0),"-",IF($W38&gt;=META_SEM,"Alta",IF($W38&gt;=META_SEM*FRAC_ACOMP,"Media","Baixa")))</f>
        <v/>
      </c>
      <c r="AD38" s="19" t="inlineStr"/>
    </row>
    <row r="39">
      <c r="A39" s="5" t="inlineStr">
        <is>
          <t>61</t>
        </is>
      </c>
      <c r="B39" s="5" t="inlineStr">
        <is>
          <t>Karitel</t>
        </is>
      </c>
      <c r="C39" s="5" t="inlineStr">
        <is>
          <t>Módulo 03</t>
        </is>
      </c>
      <c r="D39" s="5" t="inlineStr">
        <is>
          <t>KM2</t>
        </is>
      </c>
      <c r="E39" s="5" t="inlineStr">
        <is>
          <t>ALGODÃO</t>
        </is>
      </c>
      <c r="F39" s="6" t="inlineStr">
        <is>
          <t>FM 911 GLTP</t>
        </is>
      </c>
      <c r="G39" s="7" t="inlineStr">
        <is>
          <t>TARDIO</t>
        </is>
      </c>
      <c r="H39" s="8" t="n">
        <v>46020</v>
      </c>
      <c r="I39" s="9">
        <f>IF($H39="","",DATA_REF-$H39)</f>
        <v/>
      </c>
      <c r="J39" s="9">
        <f>IF($I39="","",MAX(0,$I39-'PARAMETROS'!$B$12))</f>
        <v/>
      </c>
      <c r="K39" s="10">
        <f>IFERROR(INDEX(KC_CURVAS!$C$5:$C$15,MATCH($E39&amp;"|"&amp;$G39,KC_CURVAS!$K$5:$K$15,0)),IFERROR(INDEX(KC_CURVAS!$C$5:$C$15,MATCH($E39&amp;"|",KC_CURVAS!$K$5:$K$15,0)),""))</f>
        <v/>
      </c>
      <c r="L39" s="10">
        <f>IFERROR(INDEX(KC_CURVAS!$D$5:$D$15,MATCH($E39&amp;"|"&amp;$G39,KC_CURVAS!$K$5:$K$15,0)),IFERROR(INDEX(KC_CURVAS!$D$5:$D$15,MATCH($E39&amp;"|",KC_CURVAS!$K$5:$K$15,0)),""))</f>
        <v/>
      </c>
      <c r="M39" s="10">
        <f>IFERROR(INDEX(KC_CURVAS!$E$5:$E$15,MATCH($E39&amp;"|"&amp;$G39,KC_CURVAS!$K$5:$K$15,0)),IFERROR(INDEX(KC_CURVAS!$E$5:$E$15,MATCH($E39&amp;"|",KC_CURVAS!$K$5:$K$15,0)),""))</f>
        <v/>
      </c>
      <c r="N39" s="10">
        <f>IFERROR(INDEX(KC_CURVAS!$F$5:$F$15,MATCH($E39&amp;"|"&amp;$G39,KC_CURVAS!$K$5:$K$15,0)),IFERROR(INDEX(KC_CURVAS!$F$5:$F$15,MATCH($E39&amp;"|",KC_CURVAS!$K$5:$K$15,0)),""))</f>
        <v/>
      </c>
      <c r="O39" s="11">
        <f>IFERROR(INDEX(KC_CURVAS!$G$5:$G$15,MATCH($E39&amp;"|"&amp;$G39,KC_CURVAS!$K$5:$K$15,0)),IFERROR(INDEX(KC_CURVAS!$G$5:$G$15,MATCH($E39&amp;"|",KC_CURVAS!$K$5:$K$15,0)),""))</f>
        <v/>
      </c>
      <c r="P39" s="11">
        <f>IFERROR(INDEX(KC_CURVAS!$H$5:$H$15,MATCH($E39&amp;"|"&amp;$G39,KC_CURVAS!$K$5:$K$15,0)),IFERROR(INDEX(KC_CURVAS!$H$5:$H$15,MATCH($E39&amp;"|",KC_CURVAS!$K$5:$K$15,0)),""))</f>
        <v/>
      </c>
      <c r="Q39" s="11">
        <f>IFERROR(INDEX(KC_CURVAS!$I$5:$I$15,MATCH($E39&amp;"|"&amp;$G39,KC_CURVAS!$K$5:$K$15,0)),IFERROR(INDEX(KC_CURVAS!$I$5:$I$15,MATCH($E39&amp;"|",KC_CURVAS!$K$5:$K$15,0)),""))</f>
        <v/>
      </c>
      <c r="R39" s="12">
        <f>IF(OR($J39="",$K39=""),"PENDENTE",IF($J39&lt;=$K39,$O39,IF($J39&lt;=$K39+$L39,$O39+($P39-$O39)*($J39-$K39)/$L39,IF($J39&lt;=$K39+$L39+$M39,$P39,IF($J39&lt;=$K39+$L39+$M39+$N39,$P39+($Q39-$P39)*($J39-($K39+$L39+$M39))/$N39,$Q39)))))</f>
        <v/>
      </c>
      <c r="S39" s="13">
        <f>ETO_SEM</f>
        <v/>
      </c>
      <c r="T39" s="14">
        <f>IF(OR($R39="",$R39="PENDENTE"),"",$R39*$S39)</f>
        <v/>
      </c>
      <c r="U39" s="13" t="n">
        <v>0</v>
      </c>
      <c r="V39" s="14">
        <f>IF($T39="","",MAX(0,$T39-N($U39)))</f>
        <v/>
      </c>
      <c r="W39" s="14">
        <f>IF($V39="","",$V39/EF_APLIC)</f>
        <v/>
      </c>
      <c r="X39" s="15" t="n">
        <v>145</v>
      </c>
      <c r="Y39" s="16">
        <f>IF(OR($W39="",$X39=""),"",$W39*$X39*10)</f>
        <v/>
      </c>
      <c r="Z39" s="17">
        <f>IFERROR(INDEX('PARAMETROS'!$B$16:$B$19,MATCH($D39,'PARAMETROS'!$A$16:$A$19,0)),"")</f>
        <v/>
      </c>
      <c r="AA39" s="16">
        <f>IF(OR($Y39="",$Z39=""),"",$Y39*$Z39)</f>
        <v/>
      </c>
      <c r="AB39" s="18">
        <f>IF($R39="PENDENTE","Definir classe/Kc",IF($W39="","-",IF($W39&gt;0,"Irrigar","Nao irrigar")))</f>
        <v/>
      </c>
      <c r="AC39" s="18">
        <f>IF(OR($W39="",$W39=0),"-",IF($W39&gt;=META_SEM,"Alta",IF($W39&gt;=META_SEM*FRAC_ACOMP,"Media","Baixa")))</f>
        <v/>
      </c>
      <c r="AD39" s="19" t="inlineStr"/>
    </row>
    <row r="40">
      <c r="A40" s="5" t="inlineStr">
        <is>
          <t>62</t>
        </is>
      </c>
      <c r="B40" s="5" t="inlineStr">
        <is>
          <t>Karitel</t>
        </is>
      </c>
      <c r="C40" s="5" t="inlineStr">
        <is>
          <t>Módulo 03</t>
        </is>
      </c>
      <c r="D40" s="5" t="inlineStr">
        <is>
          <t>KM2</t>
        </is>
      </c>
      <c r="E40" s="5" t="inlineStr">
        <is>
          <t>ALGODÃO</t>
        </is>
      </c>
      <c r="F40" s="6" t="inlineStr">
        <is>
          <t>FM 974 GLT</t>
        </is>
      </c>
      <c r="G40" s="7" t="inlineStr">
        <is>
          <t>MÉDIO</t>
        </is>
      </c>
      <c r="H40" s="8" t="n">
        <v>46033</v>
      </c>
      <c r="I40" s="9">
        <f>IF($H40="","",DATA_REF-$H40)</f>
        <v/>
      </c>
      <c r="J40" s="9">
        <f>IF($I40="","",MAX(0,$I40-'PARAMETROS'!$B$12))</f>
        <v/>
      </c>
      <c r="K40" s="10">
        <f>IFERROR(INDEX(KC_CURVAS!$C$5:$C$15,MATCH($E40&amp;"|"&amp;$G40,KC_CURVAS!$K$5:$K$15,0)),IFERROR(INDEX(KC_CURVAS!$C$5:$C$15,MATCH($E40&amp;"|",KC_CURVAS!$K$5:$K$15,0)),""))</f>
        <v/>
      </c>
      <c r="L40" s="10">
        <f>IFERROR(INDEX(KC_CURVAS!$D$5:$D$15,MATCH($E40&amp;"|"&amp;$G40,KC_CURVAS!$K$5:$K$15,0)),IFERROR(INDEX(KC_CURVAS!$D$5:$D$15,MATCH($E40&amp;"|",KC_CURVAS!$K$5:$K$15,0)),""))</f>
        <v/>
      </c>
      <c r="M40" s="10">
        <f>IFERROR(INDEX(KC_CURVAS!$E$5:$E$15,MATCH($E40&amp;"|"&amp;$G40,KC_CURVAS!$K$5:$K$15,0)),IFERROR(INDEX(KC_CURVAS!$E$5:$E$15,MATCH($E40&amp;"|",KC_CURVAS!$K$5:$K$15,0)),""))</f>
        <v/>
      </c>
      <c r="N40" s="10">
        <f>IFERROR(INDEX(KC_CURVAS!$F$5:$F$15,MATCH($E40&amp;"|"&amp;$G40,KC_CURVAS!$K$5:$K$15,0)),IFERROR(INDEX(KC_CURVAS!$F$5:$F$15,MATCH($E40&amp;"|",KC_CURVAS!$K$5:$K$15,0)),""))</f>
        <v/>
      </c>
      <c r="O40" s="11">
        <f>IFERROR(INDEX(KC_CURVAS!$G$5:$G$15,MATCH($E40&amp;"|"&amp;$G40,KC_CURVAS!$K$5:$K$15,0)),IFERROR(INDEX(KC_CURVAS!$G$5:$G$15,MATCH($E40&amp;"|",KC_CURVAS!$K$5:$K$15,0)),""))</f>
        <v/>
      </c>
      <c r="P40" s="11">
        <f>IFERROR(INDEX(KC_CURVAS!$H$5:$H$15,MATCH($E40&amp;"|"&amp;$G40,KC_CURVAS!$K$5:$K$15,0)),IFERROR(INDEX(KC_CURVAS!$H$5:$H$15,MATCH($E40&amp;"|",KC_CURVAS!$K$5:$K$15,0)),""))</f>
        <v/>
      </c>
      <c r="Q40" s="11">
        <f>IFERROR(INDEX(KC_CURVAS!$I$5:$I$15,MATCH($E40&amp;"|"&amp;$G40,KC_CURVAS!$K$5:$K$15,0)),IFERROR(INDEX(KC_CURVAS!$I$5:$I$15,MATCH($E40&amp;"|",KC_CURVAS!$K$5:$K$15,0)),""))</f>
        <v/>
      </c>
      <c r="R40" s="12">
        <f>IF(OR($J40="",$K40=""),"PENDENTE",IF($J40&lt;=$K40,$O40,IF($J40&lt;=$K40+$L40,$O40+($P40-$O40)*($J40-$K40)/$L40,IF($J40&lt;=$K40+$L40+$M40,$P40,IF($J40&lt;=$K40+$L40+$M40+$N40,$P40+($Q40-$P40)*($J40-($K40+$L40+$M40))/$N40,$Q40)))))</f>
        <v/>
      </c>
      <c r="S40" s="13">
        <f>ETO_SEM</f>
        <v/>
      </c>
      <c r="T40" s="14">
        <f>IF(OR($R40="",$R40="PENDENTE"),"",$R40*$S40)</f>
        <v/>
      </c>
      <c r="U40" s="13" t="n">
        <v>0</v>
      </c>
      <c r="V40" s="14">
        <f>IF($T40="","",MAX(0,$T40-N($U40)))</f>
        <v/>
      </c>
      <c r="W40" s="14">
        <f>IF($V40="","",$V40/EF_APLIC)</f>
        <v/>
      </c>
      <c r="X40" s="15" t="n">
        <v>140</v>
      </c>
      <c r="Y40" s="16">
        <f>IF(OR($W40="",$X40=""),"",$W40*$X40*10)</f>
        <v/>
      </c>
      <c r="Z40" s="17">
        <f>IFERROR(INDEX('PARAMETROS'!$B$16:$B$19,MATCH($D40,'PARAMETROS'!$A$16:$A$19,0)),"")</f>
        <v/>
      </c>
      <c r="AA40" s="16">
        <f>IF(OR($Y40="",$Z40=""),"",$Y40*$Z40)</f>
        <v/>
      </c>
      <c r="AB40" s="18">
        <f>IF($R40="PENDENTE","Definir classe/Kc",IF($W40="","-",IF($W40&gt;0,"Irrigar","Nao irrigar")))</f>
        <v/>
      </c>
      <c r="AC40" s="18">
        <f>IF(OR($W40="",$W40=0),"-",IF($W40&gt;=META_SEM,"Alta",IF($W40&gt;=META_SEM*FRAC_ACOMP,"Media","Baixa")))</f>
        <v/>
      </c>
      <c r="AD40" s="19" t="inlineStr"/>
    </row>
    <row r="41">
      <c r="A41" s="5" t="inlineStr">
        <is>
          <t>67</t>
        </is>
      </c>
      <c r="B41" s="5" t="inlineStr">
        <is>
          <t>Karitel</t>
        </is>
      </c>
      <c r="C41" s="5" t="inlineStr">
        <is>
          <t>Módulo 03</t>
        </is>
      </c>
      <c r="D41" s="5" t="inlineStr">
        <is>
          <t>KM2</t>
        </is>
      </c>
      <c r="E41" s="5" t="inlineStr">
        <is>
          <t>ALGODÃO</t>
        </is>
      </c>
      <c r="F41" s="6" t="inlineStr">
        <is>
          <t>FM 979 STP</t>
        </is>
      </c>
      <c r="G41" s="7" t="inlineStr">
        <is>
          <t>PRECOCE</t>
        </is>
      </c>
      <c r="H41" s="8" t="n">
        <v>46003</v>
      </c>
      <c r="I41" s="9">
        <f>IF($H41="","",DATA_REF-$H41)</f>
        <v/>
      </c>
      <c r="J41" s="9">
        <f>IF($I41="","",MAX(0,$I41-'PARAMETROS'!$B$12))</f>
        <v/>
      </c>
      <c r="K41" s="10">
        <f>IFERROR(INDEX(KC_CURVAS!$C$5:$C$15,MATCH($E41&amp;"|"&amp;$G41,KC_CURVAS!$K$5:$K$15,0)),IFERROR(INDEX(KC_CURVAS!$C$5:$C$15,MATCH($E41&amp;"|",KC_CURVAS!$K$5:$K$15,0)),""))</f>
        <v/>
      </c>
      <c r="L41" s="10">
        <f>IFERROR(INDEX(KC_CURVAS!$D$5:$D$15,MATCH($E41&amp;"|"&amp;$G41,KC_CURVAS!$K$5:$K$15,0)),IFERROR(INDEX(KC_CURVAS!$D$5:$D$15,MATCH($E41&amp;"|",KC_CURVAS!$K$5:$K$15,0)),""))</f>
        <v/>
      </c>
      <c r="M41" s="10">
        <f>IFERROR(INDEX(KC_CURVAS!$E$5:$E$15,MATCH($E41&amp;"|"&amp;$G41,KC_CURVAS!$K$5:$K$15,0)),IFERROR(INDEX(KC_CURVAS!$E$5:$E$15,MATCH($E41&amp;"|",KC_CURVAS!$K$5:$K$15,0)),""))</f>
        <v/>
      </c>
      <c r="N41" s="10">
        <f>IFERROR(INDEX(KC_CURVAS!$F$5:$F$15,MATCH($E41&amp;"|"&amp;$G41,KC_CURVAS!$K$5:$K$15,0)),IFERROR(INDEX(KC_CURVAS!$F$5:$F$15,MATCH($E41&amp;"|",KC_CURVAS!$K$5:$K$15,0)),""))</f>
        <v/>
      </c>
      <c r="O41" s="11">
        <f>IFERROR(INDEX(KC_CURVAS!$G$5:$G$15,MATCH($E41&amp;"|"&amp;$G41,KC_CURVAS!$K$5:$K$15,0)),IFERROR(INDEX(KC_CURVAS!$G$5:$G$15,MATCH($E41&amp;"|",KC_CURVAS!$K$5:$K$15,0)),""))</f>
        <v/>
      </c>
      <c r="P41" s="11">
        <f>IFERROR(INDEX(KC_CURVAS!$H$5:$H$15,MATCH($E41&amp;"|"&amp;$G41,KC_CURVAS!$K$5:$K$15,0)),IFERROR(INDEX(KC_CURVAS!$H$5:$H$15,MATCH($E41&amp;"|",KC_CURVAS!$K$5:$K$15,0)),""))</f>
        <v/>
      </c>
      <c r="Q41" s="11">
        <f>IFERROR(INDEX(KC_CURVAS!$I$5:$I$15,MATCH($E41&amp;"|"&amp;$G41,KC_CURVAS!$K$5:$K$15,0)),IFERROR(INDEX(KC_CURVAS!$I$5:$I$15,MATCH($E41&amp;"|",KC_CURVAS!$K$5:$K$15,0)),""))</f>
        <v/>
      </c>
      <c r="R41" s="12">
        <f>IF(OR($J41="",$K41=""),"PENDENTE",IF($J41&lt;=$K41,$O41,IF($J41&lt;=$K41+$L41,$O41+($P41-$O41)*($J41-$K41)/$L41,IF($J41&lt;=$K41+$L41+$M41,$P41,IF($J41&lt;=$K41+$L41+$M41+$N41,$P41+($Q41-$P41)*($J41-($K41+$L41+$M41))/$N41,$Q41)))))</f>
        <v/>
      </c>
      <c r="S41" s="13">
        <f>ETO_SEM</f>
        <v/>
      </c>
      <c r="T41" s="14">
        <f>IF(OR($R41="",$R41="PENDENTE"),"",$R41*$S41)</f>
        <v/>
      </c>
      <c r="U41" s="13" t="n">
        <v>0</v>
      </c>
      <c r="V41" s="14">
        <f>IF($T41="","",MAX(0,$T41-N($U41)))</f>
        <v/>
      </c>
      <c r="W41" s="14">
        <f>IF($V41="","",$V41/EF_APLIC)</f>
        <v/>
      </c>
      <c r="X41" s="15" t="n">
        <v>80</v>
      </c>
      <c r="Y41" s="16">
        <f>IF(OR($W41="",$X41=""),"",$W41*$X41*10)</f>
        <v/>
      </c>
      <c r="Z41" s="17">
        <f>IFERROR(INDEX('PARAMETROS'!$B$16:$B$19,MATCH($D41,'PARAMETROS'!$A$16:$A$19,0)),"")</f>
        <v/>
      </c>
      <c r="AA41" s="16">
        <f>IF(OR($Y41="",$Z41=""),"",$Y41*$Z41)</f>
        <v/>
      </c>
      <c r="AB41" s="18">
        <f>IF($R41="PENDENTE","Definir classe/Kc",IF($W41="","-",IF($W41&gt;0,"Irrigar","Nao irrigar")))</f>
        <v/>
      </c>
      <c r="AC41" s="18">
        <f>IF(OR($W41="",$W41=0),"-",IF($W41&gt;=META_SEM,"Alta",IF($W41&gt;=META_SEM*FRAC_ACOMP,"Media","Baixa")))</f>
        <v/>
      </c>
      <c r="AD41" s="19" t="inlineStr"/>
    </row>
    <row r="42">
      <c r="A42" s="5" t="inlineStr">
        <is>
          <t>68</t>
        </is>
      </c>
      <c r="B42" s="5" t="inlineStr">
        <is>
          <t>Karitel</t>
        </is>
      </c>
      <c r="C42" s="5" t="inlineStr">
        <is>
          <t>Módulo 03</t>
        </is>
      </c>
      <c r="D42" s="5" t="inlineStr">
        <is>
          <t>KM2</t>
        </is>
      </c>
      <c r="E42" s="5" t="inlineStr">
        <is>
          <t>ALGODÃO</t>
        </is>
      </c>
      <c r="F42" s="6" t="inlineStr">
        <is>
          <t>FM 911 GLTP</t>
        </is>
      </c>
      <c r="G42" s="7" t="inlineStr">
        <is>
          <t>TARDIO</t>
        </is>
      </c>
      <c r="H42" s="8" t="n">
        <v>46052</v>
      </c>
      <c r="I42" s="9">
        <f>IF($H42="","",DATA_REF-$H42)</f>
        <v/>
      </c>
      <c r="J42" s="9">
        <f>IF($I42="","",MAX(0,$I42-'PARAMETROS'!$B$12))</f>
        <v/>
      </c>
      <c r="K42" s="10">
        <f>IFERROR(INDEX(KC_CURVAS!$C$5:$C$15,MATCH($E42&amp;"|"&amp;$G42,KC_CURVAS!$K$5:$K$15,0)),IFERROR(INDEX(KC_CURVAS!$C$5:$C$15,MATCH($E42&amp;"|",KC_CURVAS!$K$5:$K$15,0)),""))</f>
        <v/>
      </c>
      <c r="L42" s="10">
        <f>IFERROR(INDEX(KC_CURVAS!$D$5:$D$15,MATCH($E42&amp;"|"&amp;$G42,KC_CURVAS!$K$5:$K$15,0)),IFERROR(INDEX(KC_CURVAS!$D$5:$D$15,MATCH($E42&amp;"|",KC_CURVAS!$K$5:$K$15,0)),""))</f>
        <v/>
      </c>
      <c r="M42" s="10">
        <f>IFERROR(INDEX(KC_CURVAS!$E$5:$E$15,MATCH($E42&amp;"|"&amp;$G42,KC_CURVAS!$K$5:$K$15,0)),IFERROR(INDEX(KC_CURVAS!$E$5:$E$15,MATCH($E42&amp;"|",KC_CURVAS!$K$5:$K$15,0)),""))</f>
        <v/>
      </c>
      <c r="N42" s="10">
        <f>IFERROR(INDEX(KC_CURVAS!$F$5:$F$15,MATCH($E42&amp;"|"&amp;$G42,KC_CURVAS!$K$5:$K$15,0)),IFERROR(INDEX(KC_CURVAS!$F$5:$F$15,MATCH($E42&amp;"|",KC_CURVAS!$K$5:$K$15,0)),""))</f>
        <v/>
      </c>
      <c r="O42" s="11">
        <f>IFERROR(INDEX(KC_CURVAS!$G$5:$G$15,MATCH($E42&amp;"|"&amp;$G42,KC_CURVAS!$K$5:$K$15,0)),IFERROR(INDEX(KC_CURVAS!$G$5:$G$15,MATCH($E42&amp;"|",KC_CURVAS!$K$5:$K$15,0)),""))</f>
        <v/>
      </c>
      <c r="P42" s="11">
        <f>IFERROR(INDEX(KC_CURVAS!$H$5:$H$15,MATCH($E42&amp;"|"&amp;$G42,KC_CURVAS!$K$5:$K$15,0)),IFERROR(INDEX(KC_CURVAS!$H$5:$H$15,MATCH($E42&amp;"|",KC_CURVAS!$K$5:$K$15,0)),""))</f>
        <v/>
      </c>
      <c r="Q42" s="11">
        <f>IFERROR(INDEX(KC_CURVAS!$I$5:$I$15,MATCH($E42&amp;"|"&amp;$G42,KC_CURVAS!$K$5:$K$15,0)),IFERROR(INDEX(KC_CURVAS!$I$5:$I$15,MATCH($E42&amp;"|",KC_CURVAS!$K$5:$K$15,0)),""))</f>
        <v/>
      </c>
      <c r="R42" s="12">
        <f>IF(OR($J42="",$K42=""),"PENDENTE",IF($J42&lt;=$K42,$O42,IF($J42&lt;=$K42+$L42,$O42+($P42-$O42)*($J42-$K42)/$L42,IF($J42&lt;=$K42+$L42+$M42,$P42,IF($J42&lt;=$K42+$L42+$M42+$N42,$P42+($Q42-$P42)*($J42-($K42+$L42+$M42))/$N42,$Q42)))))</f>
        <v/>
      </c>
      <c r="S42" s="13">
        <f>ETO_SEM</f>
        <v/>
      </c>
      <c r="T42" s="14">
        <f>IF(OR($R42="",$R42="PENDENTE"),"",$R42*$S42)</f>
        <v/>
      </c>
      <c r="U42" s="13" t="n">
        <v>0</v>
      </c>
      <c r="V42" s="14">
        <f>IF($T42="","",MAX(0,$T42-N($U42)))</f>
        <v/>
      </c>
      <c r="W42" s="14">
        <f>IF($V42="","",$V42/EF_APLIC)</f>
        <v/>
      </c>
      <c r="X42" s="15" t="n">
        <v>80</v>
      </c>
      <c r="Y42" s="16">
        <f>IF(OR($W42="",$X42=""),"",$W42*$X42*10)</f>
        <v/>
      </c>
      <c r="Z42" s="17">
        <f>IFERROR(INDEX('PARAMETROS'!$B$16:$B$19,MATCH($D42,'PARAMETROS'!$A$16:$A$19,0)),"")</f>
        <v/>
      </c>
      <c r="AA42" s="16">
        <f>IF(OR($Y42="",$Z42=""),"",$Y42*$Z42)</f>
        <v/>
      </c>
      <c r="AB42" s="18">
        <f>IF($R42="PENDENTE","Definir classe/Kc",IF($W42="","-",IF($W42&gt;0,"Irrigar","Nao irrigar")))</f>
        <v/>
      </c>
      <c r="AC42" s="18">
        <f>IF(OR($W42="",$W42=0),"-",IF($W42&gt;=META_SEM,"Alta",IF($W42&gt;=META_SEM*FRAC_ACOMP,"Media","Baixa")))</f>
        <v/>
      </c>
      <c r="AD42" s="19" t="inlineStr"/>
    </row>
    <row r="43">
      <c r="A43" s="5" t="inlineStr">
        <is>
          <t>69</t>
        </is>
      </c>
      <c r="B43" s="5" t="inlineStr">
        <is>
          <t>Karitel</t>
        </is>
      </c>
      <c r="C43" s="5" t="inlineStr">
        <is>
          <t>Módulo 03</t>
        </is>
      </c>
      <c r="D43" s="5" t="inlineStr">
        <is>
          <t>KM2</t>
        </is>
      </c>
      <c r="E43" s="5" t="inlineStr">
        <is>
          <t>ALGODÃO</t>
        </is>
      </c>
      <c r="F43" s="6" t="inlineStr">
        <is>
          <t>DP 1949 B3RF</t>
        </is>
      </c>
      <c r="G43" s="7" t="inlineStr">
        <is>
          <t>PRECOCE</t>
        </is>
      </c>
      <c r="H43" s="8" t="n">
        <v>46067</v>
      </c>
      <c r="I43" s="9">
        <f>IF($H43="","",DATA_REF-$H43)</f>
        <v/>
      </c>
      <c r="J43" s="9">
        <f>IF($I43="","",MAX(0,$I43-'PARAMETROS'!$B$12))</f>
        <v/>
      </c>
      <c r="K43" s="10">
        <f>IFERROR(INDEX(KC_CURVAS!$C$5:$C$15,MATCH($E43&amp;"|"&amp;$G43,KC_CURVAS!$K$5:$K$15,0)),IFERROR(INDEX(KC_CURVAS!$C$5:$C$15,MATCH($E43&amp;"|",KC_CURVAS!$K$5:$K$15,0)),""))</f>
        <v/>
      </c>
      <c r="L43" s="10">
        <f>IFERROR(INDEX(KC_CURVAS!$D$5:$D$15,MATCH($E43&amp;"|"&amp;$G43,KC_CURVAS!$K$5:$K$15,0)),IFERROR(INDEX(KC_CURVAS!$D$5:$D$15,MATCH($E43&amp;"|",KC_CURVAS!$K$5:$K$15,0)),""))</f>
        <v/>
      </c>
      <c r="M43" s="10">
        <f>IFERROR(INDEX(KC_CURVAS!$E$5:$E$15,MATCH($E43&amp;"|"&amp;$G43,KC_CURVAS!$K$5:$K$15,0)),IFERROR(INDEX(KC_CURVAS!$E$5:$E$15,MATCH($E43&amp;"|",KC_CURVAS!$K$5:$K$15,0)),""))</f>
        <v/>
      </c>
      <c r="N43" s="10">
        <f>IFERROR(INDEX(KC_CURVAS!$F$5:$F$15,MATCH($E43&amp;"|"&amp;$G43,KC_CURVAS!$K$5:$K$15,0)),IFERROR(INDEX(KC_CURVAS!$F$5:$F$15,MATCH($E43&amp;"|",KC_CURVAS!$K$5:$K$15,0)),""))</f>
        <v/>
      </c>
      <c r="O43" s="11">
        <f>IFERROR(INDEX(KC_CURVAS!$G$5:$G$15,MATCH($E43&amp;"|"&amp;$G43,KC_CURVAS!$K$5:$K$15,0)),IFERROR(INDEX(KC_CURVAS!$G$5:$G$15,MATCH($E43&amp;"|",KC_CURVAS!$K$5:$K$15,0)),""))</f>
        <v/>
      </c>
      <c r="P43" s="11">
        <f>IFERROR(INDEX(KC_CURVAS!$H$5:$H$15,MATCH($E43&amp;"|"&amp;$G43,KC_CURVAS!$K$5:$K$15,0)),IFERROR(INDEX(KC_CURVAS!$H$5:$H$15,MATCH($E43&amp;"|",KC_CURVAS!$K$5:$K$15,0)),""))</f>
        <v/>
      </c>
      <c r="Q43" s="11">
        <f>IFERROR(INDEX(KC_CURVAS!$I$5:$I$15,MATCH($E43&amp;"|"&amp;$G43,KC_CURVAS!$K$5:$K$15,0)),IFERROR(INDEX(KC_CURVAS!$I$5:$I$15,MATCH($E43&amp;"|",KC_CURVAS!$K$5:$K$15,0)),""))</f>
        <v/>
      </c>
      <c r="R43" s="12">
        <f>IF(OR($J43="",$K43=""),"PENDENTE",IF($J43&lt;=$K43,$O43,IF($J43&lt;=$K43+$L43,$O43+($P43-$O43)*($J43-$K43)/$L43,IF($J43&lt;=$K43+$L43+$M43,$P43,IF($J43&lt;=$K43+$L43+$M43+$N43,$P43+($Q43-$P43)*($J43-($K43+$L43+$M43))/$N43,$Q43)))))</f>
        <v/>
      </c>
      <c r="S43" s="13">
        <f>ETO_SEM</f>
        <v/>
      </c>
      <c r="T43" s="14">
        <f>IF(OR($R43="",$R43="PENDENTE"),"",$R43*$S43)</f>
        <v/>
      </c>
      <c r="U43" s="13" t="n">
        <v>0</v>
      </c>
      <c r="V43" s="14">
        <f>IF($T43="","",MAX(0,$T43-N($U43)))</f>
        <v/>
      </c>
      <c r="W43" s="14">
        <f>IF($V43="","",$V43/EF_APLIC)</f>
        <v/>
      </c>
      <c r="X43" s="15" t="n">
        <v>80</v>
      </c>
      <c r="Y43" s="16">
        <f>IF(OR($W43="",$X43=""),"",$W43*$X43*10)</f>
        <v/>
      </c>
      <c r="Z43" s="17">
        <f>IFERROR(INDEX('PARAMETROS'!$B$16:$B$19,MATCH($D43,'PARAMETROS'!$A$16:$A$19,0)),"")</f>
        <v/>
      </c>
      <c r="AA43" s="16">
        <f>IF(OR($Y43="",$Z43=""),"",$Y43*$Z43)</f>
        <v/>
      </c>
      <c r="AB43" s="18">
        <f>IF($R43="PENDENTE","Definir classe/Kc",IF($W43="","-",IF($W43&gt;0,"Irrigar","Nao irrigar")))</f>
        <v/>
      </c>
      <c r="AC43" s="18">
        <f>IF(OR($W43="",$W43=0),"-",IF($W43&gt;=META_SEM,"Alta",IF($W43&gt;=META_SEM*FRAC_ACOMP,"Media","Baixa")))</f>
        <v/>
      </c>
      <c r="AD43" s="19" t="inlineStr"/>
    </row>
    <row r="44">
      <c r="A44" s="5" t="inlineStr">
        <is>
          <t>70</t>
        </is>
      </c>
      <c r="B44" s="5" t="inlineStr">
        <is>
          <t>Karitel</t>
        </is>
      </c>
      <c r="C44" s="5" t="inlineStr">
        <is>
          <t>Módulo 03</t>
        </is>
      </c>
      <c r="D44" s="5" t="inlineStr">
        <is>
          <t>KM2</t>
        </is>
      </c>
      <c r="E44" s="5" t="inlineStr">
        <is>
          <t>ALGODÃO</t>
        </is>
      </c>
      <c r="F44" s="6" t="inlineStr">
        <is>
          <t>FM 911 GLTP</t>
        </is>
      </c>
      <c r="G44" s="7" t="inlineStr">
        <is>
          <t>TARDIO</t>
        </is>
      </c>
      <c r="H44" s="8" t="n">
        <v>46017</v>
      </c>
      <c r="I44" s="9">
        <f>IF($H44="","",DATA_REF-$H44)</f>
        <v/>
      </c>
      <c r="J44" s="9">
        <f>IF($I44="","",MAX(0,$I44-'PARAMETROS'!$B$12))</f>
        <v/>
      </c>
      <c r="K44" s="10">
        <f>IFERROR(INDEX(KC_CURVAS!$C$5:$C$15,MATCH($E44&amp;"|"&amp;$G44,KC_CURVAS!$K$5:$K$15,0)),IFERROR(INDEX(KC_CURVAS!$C$5:$C$15,MATCH($E44&amp;"|",KC_CURVAS!$K$5:$K$15,0)),""))</f>
        <v/>
      </c>
      <c r="L44" s="10">
        <f>IFERROR(INDEX(KC_CURVAS!$D$5:$D$15,MATCH($E44&amp;"|"&amp;$G44,KC_CURVAS!$K$5:$K$15,0)),IFERROR(INDEX(KC_CURVAS!$D$5:$D$15,MATCH($E44&amp;"|",KC_CURVAS!$K$5:$K$15,0)),""))</f>
        <v/>
      </c>
      <c r="M44" s="10">
        <f>IFERROR(INDEX(KC_CURVAS!$E$5:$E$15,MATCH($E44&amp;"|"&amp;$G44,KC_CURVAS!$K$5:$K$15,0)),IFERROR(INDEX(KC_CURVAS!$E$5:$E$15,MATCH($E44&amp;"|",KC_CURVAS!$K$5:$K$15,0)),""))</f>
        <v/>
      </c>
      <c r="N44" s="10">
        <f>IFERROR(INDEX(KC_CURVAS!$F$5:$F$15,MATCH($E44&amp;"|"&amp;$G44,KC_CURVAS!$K$5:$K$15,0)),IFERROR(INDEX(KC_CURVAS!$F$5:$F$15,MATCH($E44&amp;"|",KC_CURVAS!$K$5:$K$15,0)),""))</f>
        <v/>
      </c>
      <c r="O44" s="11">
        <f>IFERROR(INDEX(KC_CURVAS!$G$5:$G$15,MATCH($E44&amp;"|"&amp;$G44,KC_CURVAS!$K$5:$K$15,0)),IFERROR(INDEX(KC_CURVAS!$G$5:$G$15,MATCH($E44&amp;"|",KC_CURVAS!$K$5:$K$15,0)),""))</f>
        <v/>
      </c>
      <c r="P44" s="11">
        <f>IFERROR(INDEX(KC_CURVAS!$H$5:$H$15,MATCH($E44&amp;"|"&amp;$G44,KC_CURVAS!$K$5:$K$15,0)),IFERROR(INDEX(KC_CURVAS!$H$5:$H$15,MATCH($E44&amp;"|",KC_CURVAS!$K$5:$K$15,0)),""))</f>
        <v/>
      </c>
      <c r="Q44" s="11">
        <f>IFERROR(INDEX(KC_CURVAS!$I$5:$I$15,MATCH($E44&amp;"|"&amp;$G44,KC_CURVAS!$K$5:$K$15,0)),IFERROR(INDEX(KC_CURVAS!$I$5:$I$15,MATCH($E44&amp;"|",KC_CURVAS!$K$5:$K$15,0)),""))</f>
        <v/>
      </c>
      <c r="R44" s="12">
        <f>IF(OR($J44="",$K44=""),"PENDENTE",IF($J44&lt;=$K44,$O44,IF($J44&lt;=$K44+$L44,$O44+($P44-$O44)*($J44-$K44)/$L44,IF($J44&lt;=$K44+$L44+$M44,$P44,IF($J44&lt;=$K44+$L44+$M44+$N44,$P44+($Q44-$P44)*($J44-($K44+$L44+$M44))/$N44,$Q44)))))</f>
        <v/>
      </c>
      <c r="S44" s="13">
        <f>ETO_SEM</f>
        <v/>
      </c>
      <c r="T44" s="14">
        <f>IF(OR($R44="",$R44="PENDENTE"),"",$R44*$S44)</f>
        <v/>
      </c>
      <c r="U44" s="13" t="n">
        <v>0</v>
      </c>
      <c r="V44" s="14">
        <f>IF($T44="","",MAX(0,$T44-N($U44)))</f>
        <v/>
      </c>
      <c r="W44" s="14">
        <f>IF($V44="","",$V44/EF_APLIC)</f>
        <v/>
      </c>
      <c r="X44" s="15" t="n">
        <v>150</v>
      </c>
      <c r="Y44" s="16">
        <f>IF(OR($W44="",$X44=""),"",$W44*$X44*10)</f>
        <v/>
      </c>
      <c r="Z44" s="17">
        <f>IFERROR(INDEX('PARAMETROS'!$B$16:$B$19,MATCH($D44,'PARAMETROS'!$A$16:$A$19,0)),"")</f>
        <v/>
      </c>
      <c r="AA44" s="16">
        <f>IF(OR($Y44="",$Z44=""),"",$Y44*$Z44)</f>
        <v/>
      </c>
      <c r="AB44" s="18">
        <f>IF($R44="PENDENTE","Definir classe/Kc",IF($W44="","-",IF($W44&gt;0,"Irrigar","Nao irrigar")))</f>
        <v/>
      </c>
      <c r="AC44" s="18">
        <f>IF(OR($W44="",$W44=0),"-",IF($W44&gt;=META_SEM,"Alta",IF($W44&gt;=META_SEM*FRAC_ACOMP,"Media","Baixa")))</f>
        <v/>
      </c>
      <c r="AD44" s="19" t="inlineStr"/>
    </row>
    <row r="45">
      <c r="A45" s="5" t="inlineStr">
        <is>
          <t>72</t>
        </is>
      </c>
      <c r="B45" s="5" t="inlineStr">
        <is>
          <t>Karitel</t>
        </is>
      </c>
      <c r="C45" s="5" t="inlineStr">
        <is>
          <t>Módulo 03</t>
        </is>
      </c>
      <c r="D45" s="5" t="inlineStr">
        <is>
          <t>KM2</t>
        </is>
      </c>
      <c r="E45" s="5" t="inlineStr">
        <is>
          <t>ALGODÃO</t>
        </is>
      </c>
      <c r="F45" s="6" t="inlineStr">
        <is>
          <t>DP 2111 B3RF</t>
        </is>
      </c>
      <c r="G45" s="7" t="inlineStr">
        <is>
          <t>MÉDIO</t>
        </is>
      </c>
      <c r="H45" s="8" t="n">
        <v>45965</v>
      </c>
      <c r="I45" s="9">
        <f>IF($H45="","",DATA_REF-$H45)</f>
        <v/>
      </c>
      <c r="J45" s="9">
        <f>IF($I45="","",MAX(0,$I45-'PARAMETROS'!$B$12))</f>
        <v/>
      </c>
      <c r="K45" s="10">
        <f>IFERROR(INDEX(KC_CURVAS!$C$5:$C$15,MATCH($E45&amp;"|"&amp;$G45,KC_CURVAS!$K$5:$K$15,0)),IFERROR(INDEX(KC_CURVAS!$C$5:$C$15,MATCH($E45&amp;"|",KC_CURVAS!$K$5:$K$15,0)),""))</f>
        <v/>
      </c>
      <c r="L45" s="10">
        <f>IFERROR(INDEX(KC_CURVAS!$D$5:$D$15,MATCH($E45&amp;"|"&amp;$G45,KC_CURVAS!$K$5:$K$15,0)),IFERROR(INDEX(KC_CURVAS!$D$5:$D$15,MATCH($E45&amp;"|",KC_CURVAS!$K$5:$K$15,0)),""))</f>
        <v/>
      </c>
      <c r="M45" s="10">
        <f>IFERROR(INDEX(KC_CURVAS!$E$5:$E$15,MATCH($E45&amp;"|"&amp;$G45,KC_CURVAS!$K$5:$K$15,0)),IFERROR(INDEX(KC_CURVAS!$E$5:$E$15,MATCH($E45&amp;"|",KC_CURVAS!$K$5:$K$15,0)),""))</f>
        <v/>
      </c>
      <c r="N45" s="10">
        <f>IFERROR(INDEX(KC_CURVAS!$F$5:$F$15,MATCH($E45&amp;"|"&amp;$G45,KC_CURVAS!$K$5:$K$15,0)),IFERROR(INDEX(KC_CURVAS!$F$5:$F$15,MATCH($E45&amp;"|",KC_CURVAS!$K$5:$K$15,0)),""))</f>
        <v/>
      </c>
      <c r="O45" s="11">
        <f>IFERROR(INDEX(KC_CURVAS!$G$5:$G$15,MATCH($E45&amp;"|"&amp;$G45,KC_CURVAS!$K$5:$K$15,0)),IFERROR(INDEX(KC_CURVAS!$G$5:$G$15,MATCH($E45&amp;"|",KC_CURVAS!$K$5:$K$15,0)),""))</f>
        <v/>
      </c>
      <c r="P45" s="11">
        <f>IFERROR(INDEX(KC_CURVAS!$H$5:$H$15,MATCH($E45&amp;"|"&amp;$G45,KC_CURVAS!$K$5:$K$15,0)),IFERROR(INDEX(KC_CURVAS!$H$5:$H$15,MATCH($E45&amp;"|",KC_CURVAS!$K$5:$K$15,0)),""))</f>
        <v/>
      </c>
      <c r="Q45" s="11">
        <f>IFERROR(INDEX(KC_CURVAS!$I$5:$I$15,MATCH($E45&amp;"|"&amp;$G45,KC_CURVAS!$K$5:$K$15,0)),IFERROR(INDEX(KC_CURVAS!$I$5:$I$15,MATCH($E45&amp;"|",KC_CURVAS!$K$5:$K$15,0)),""))</f>
        <v/>
      </c>
      <c r="R45" s="12">
        <f>IF(OR($J45="",$K45=""),"PENDENTE",IF($J45&lt;=$K45,$O45,IF($J45&lt;=$K45+$L45,$O45+($P45-$O45)*($J45-$K45)/$L45,IF($J45&lt;=$K45+$L45+$M45,$P45,IF($J45&lt;=$K45+$L45+$M45+$N45,$P45+($Q45-$P45)*($J45-($K45+$L45+$M45))/$N45,$Q45)))))</f>
        <v/>
      </c>
      <c r="S45" s="13">
        <f>ETO_SEM</f>
        <v/>
      </c>
      <c r="T45" s="14">
        <f>IF(OR($R45="",$R45="PENDENTE"),"",$R45*$S45)</f>
        <v/>
      </c>
      <c r="U45" s="13" t="n">
        <v>0</v>
      </c>
      <c r="V45" s="14">
        <f>IF($T45="","",MAX(0,$T45-N($U45)))</f>
        <v/>
      </c>
      <c r="W45" s="14">
        <f>IF($V45="","",$V45/EF_APLIC)</f>
        <v/>
      </c>
      <c r="X45" s="15" t="n">
        <v>125</v>
      </c>
      <c r="Y45" s="16">
        <f>IF(OR($W45="",$X45=""),"",$W45*$X45*10)</f>
        <v/>
      </c>
      <c r="Z45" s="17">
        <f>IFERROR(INDEX('PARAMETROS'!$B$16:$B$19,MATCH($D45,'PARAMETROS'!$A$16:$A$19,0)),"")</f>
        <v/>
      </c>
      <c r="AA45" s="16">
        <f>IF(OR($Y45="",$Z45=""),"",$Y45*$Z45)</f>
        <v/>
      </c>
      <c r="AB45" s="18">
        <f>IF($R45="PENDENTE","Definir classe/Kc",IF($W45="","-",IF($W45&gt;0,"Irrigar","Nao irrigar")))</f>
        <v/>
      </c>
      <c r="AC45" s="18">
        <f>IF(OR($W45="",$W45=0),"-",IF($W45&gt;=META_SEM,"Alta",IF($W45&gt;=META_SEM*FRAC_ACOMP,"Media","Baixa")))</f>
        <v/>
      </c>
      <c r="AD45" s="19" t="inlineStr"/>
    </row>
    <row r="46">
      <c r="A46" s="5" t="inlineStr">
        <is>
          <t>63</t>
        </is>
      </c>
      <c r="B46" s="5" t="inlineStr">
        <is>
          <t>Karitel</t>
        </is>
      </c>
      <c r="C46" s="5" t="inlineStr">
        <is>
          <t>Módulo 03</t>
        </is>
      </c>
      <c r="D46" s="5" t="inlineStr">
        <is>
          <t>KM2</t>
        </is>
      </c>
      <c r="E46" s="5" t="inlineStr">
        <is>
          <t>ALGODÃO</t>
        </is>
      </c>
      <c r="F46" s="6" t="inlineStr">
        <is>
          <t>FM 985 GLTP</t>
        </is>
      </c>
      <c r="G46" s="7" t="inlineStr">
        <is>
          <t>MÉDIO</t>
        </is>
      </c>
      <c r="H46" s="8" t="n">
        <v>46051</v>
      </c>
      <c r="I46" s="9">
        <f>IF($H46="","",DATA_REF-$H46)</f>
        <v/>
      </c>
      <c r="J46" s="9">
        <f>IF($I46="","",MAX(0,$I46-'PARAMETROS'!$B$12))</f>
        <v/>
      </c>
      <c r="K46" s="10">
        <f>IFERROR(INDEX(KC_CURVAS!$C$5:$C$15,MATCH($E46&amp;"|"&amp;$G46,KC_CURVAS!$K$5:$K$15,0)),IFERROR(INDEX(KC_CURVAS!$C$5:$C$15,MATCH($E46&amp;"|",KC_CURVAS!$K$5:$K$15,0)),""))</f>
        <v/>
      </c>
      <c r="L46" s="10">
        <f>IFERROR(INDEX(KC_CURVAS!$D$5:$D$15,MATCH($E46&amp;"|"&amp;$G46,KC_CURVAS!$K$5:$K$15,0)),IFERROR(INDEX(KC_CURVAS!$D$5:$D$15,MATCH($E46&amp;"|",KC_CURVAS!$K$5:$K$15,0)),""))</f>
        <v/>
      </c>
      <c r="M46" s="10">
        <f>IFERROR(INDEX(KC_CURVAS!$E$5:$E$15,MATCH($E46&amp;"|"&amp;$G46,KC_CURVAS!$K$5:$K$15,0)),IFERROR(INDEX(KC_CURVAS!$E$5:$E$15,MATCH($E46&amp;"|",KC_CURVAS!$K$5:$K$15,0)),""))</f>
        <v/>
      </c>
      <c r="N46" s="10">
        <f>IFERROR(INDEX(KC_CURVAS!$F$5:$F$15,MATCH($E46&amp;"|"&amp;$G46,KC_CURVAS!$K$5:$K$15,0)),IFERROR(INDEX(KC_CURVAS!$F$5:$F$15,MATCH($E46&amp;"|",KC_CURVAS!$K$5:$K$15,0)),""))</f>
        <v/>
      </c>
      <c r="O46" s="11">
        <f>IFERROR(INDEX(KC_CURVAS!$G$5:$G$15,MATCH($E46&amp;"|"&amp;$G46,KC_CURVAS!$K$5:$K$15,0)),IFERROR(INDEX(KC_CURVAS!$G$5:$G$15,MATCH($E46&amp;"|",KC_CURVAS!$K$5:$K$15,0)),""))</f>
        <v/>
      </c>
      <c r="P46" s="11">
        <f>IFERROR(INDEX(KC_CURVAS!$H$5:$H$15,MATCH($E46&amp;"|"&amp;$G46,KC_CURVAS!$K$5:$K$15,0)),IFERROR(INDEX(KC_CURVAS!$H$5:$H$15,MATCH($E46&amp;"|",KC_CURVAS!$K$5:$K$15,0)),""))</f>
        <v/>
      </c>
      <c r="Q46" s="11">
        <f>IFERROR(INDEX(KC_CURVAS!$I$5:$I$15,MATCH($E46&amp;"|"&amp;$G46,KC_CURVAS!$K$5:$K$15,0)),IFERROR(INDEX(KC_CURVAS!$I$5:$I$15,MATCH($E46&amp;"|",KC_CURVAS!$K$5:$K$15,0)),""))</f>
        <v/>
      </c>
      <c r="R46" s="12">
        <f>IF(OR($J46="",$K46=""),"PENDENTE",IF($J46&lt;=$K46,$O46,IF($J46&lt;=$K46+$L46,$O46+($P46-$O46)*($J46-$K46)/$L46,IF($J46&lt;=$K46+$L46+$M46,$P46,IF($J46&lt;=$K46+$L46+$M46+$N46,$P46+($Q46-$P46)*($J46-($K46+$L46+$M46))/$N46,$Q46)))))</f>
        <v/>
      </c>
      <c r="S46" s="13">
        <f>ETO_SEM</f>
        <v/>
      </c>
      <c r="T46" s="14">
        <f>IF(OR($R46="",$R46="PENDENTE"),"",$R46*$S46)</f>
        <v/>
      </c>
      <c r="U46" s="13" t="n">
        <v>0</v>
      </c>
      <c r="V46" s="14">
        <f>IF($T46="","",MAX(0,$T46-N($U46)))</f>
        <v/>
      </c>
      <c r="W46" s="14">
        <f>IF($V46="","",$V46/EF_APLIC)</f>
        <v/>
      </c>
      <c r="X46" s="15" t="n">
        <v>80.15000000000001</v>
      </c>
      <c r="Y46" s="16">
        <f>IF(OR($W46="",$X46=""),"",$W46*$X46*10)</f>
        <v/>
      </c>
      <c r="Z46" s="17">
        <f>IFERROR(INDEX('PARAMETROS'!$B$16:$B$19,MATCH($D46,'PARAMETROS'!$A$16:$A$19,0)),"")</f>
        <v/>
      </c>
      <c r="AA46" s="16">
        <f>IF(OR($Y46="",$Z46=""),"",$Y46*$Z46)</f>
        <v/>
      </c>
      <c r="AB46" s="18">
        <f>IF($R46="PENDENTE","Definir classe/Kc",IF($W46="","-",IF($W46&gt;0,"Irrigar","Nao irrigar")))</f>
        <v/>
      </c>
      <c r="AC46" s="18">
        <f>IF(OR($W46="",$W46=0),"-",IF($W46&gt;=META_SEM,"Alta",IF($W46&gt;=META_SEM*FRAC_ACOMP,"Media","Baixa")))</f>
        <v/>
      </c>
      <c r="AD46" s="19" t="inlineStr"/>
    </row>
    <row r="47">
      <c r="A47" s="5" t="inlineStr">
        <is>
          <t>64</t>
        </is>
      </c>
      <c r="B47" s="5" t="inlineStr">
        <is>
          <t>Karitel</t>
        </is>
      </c>
      <c r="C47" s="5" t="inlineStr">
        <is>
          <t>Módulo 03</t>
        </is>
      </c>
      <c r="D47" s="5" t="inlineStr">
        <is>
          <t>KM2</t>
        </is>
      </c>
      <c r="E47" s="5" t="inlineStr">
        <is>
          <t>ALGODÃO</t>
        </is>
      </c>
      <c r="F47" s="6" t="inlineStr">
        <is>
          <t>FM 985 GLTP</t>
        </is>
      </c>
      <c r="G47" s="7" t="inlineStr">
        <is>
          <t>MÉDIO</t>
        </is>
      </c>
      <c r="H47" s="8" t="n">
        <v>46063</v>
      </c>
      <c r="I47" s="9">
        <f>IF($H47="","",DATA_REF-$H47)</f>
        <v/>
      </c>
      <c r="J47" s="9">
        <f>IF($I47="","",MAX(0,$I47-'PARAMETROS'!$B$12))</f>
        <v/>
      </c>
      <c r="K47" s="10">
        <f>IFERROR(INDEX(KC_CURVAS!$C$5:$C$15,MATCH($E47&amp;"|"&amp;$G47,KC_CURVAS!$K$5:$K$15,0)),IFERROR(INDEX(KC_CURVAS!$C$5:$C$15,MATCH($E47&amp;"|",KC_CURVAS!$K$5:$K$15,0)),""))</f>
        <v/>
      </c>
      <c r="L47" s="10">
        <f>IFERROR(INDEX(KC_CURVAS!$D$5:$D$15,MATCH($E47&amp;"|"&amp;$G47,KC_CURVAS!$K$5:$K$15,0)),IFERROR(INDEX(KC_CURVAS!$D$5:$D$15,MATCH($E47&amp;"|",KC_CURVAS!$K$5:$K$15,0)),""))</f>
        <v/>
      </c>
      <c r="M47" s="10">
        <f>IFERROR(INDEX(KC_CURVAS!$E$5:$E$15,MATCH($E47&amp;"|"&amp;$G47,KC_CURVAS!$K$5:$K$15,0)),IFERROR(INDEX(KC_CURVAS!$E$5:$E$15,MATCH($E47&amp;"|",KC_CURVAS!$K$5:$K$15,0)),""))</f>
        <v/>
      </c>
      <c r="N47" s="10">
        <f>IFERROR(INDEX(KC_CURVAS!$F$5:$F$15,MATCH($E47&amp;"|"&amp;$G47,KC_CURVAS!$K$5:$K$15,0)),IFERROR(INDEX(KC_CURVAS!$F$5:$F$15,MATCH($E47&amp;"|",KC_CURVAS!$K$5:$K$15,0)),""))</f>
        <v/>
      </c>
      <c r="O47" s="11">
        <f>IFERROR(INDEX(KC_CURVAS!$G$5:$G$15,MATCH($E47&amp;"|"&amp;$G47,KC_CURVAS!$K$5:$K$15,0)),IFERROR(INDEX(KC_CURVAS!$G$5:$G$15,MATCH($E47&amp;"|",KC_CURVAS!$K$5:$K$15,0)),""))</f>
        <v/>
      </c>
      <c r="P47" s="11">
        <f>IFERROR(INDEX(KC_CURVAS!$H$5:$H$15,MATCH($E47&amp;"|"&amp;$G47,KC_CURVAS!$K$5:$K$15,0)),IFERROR(INDEX(KC_CURVAS!$H$5:$H$15,MATCH($E47&amp;"|",KC_CURVAS!$K$5:$K$15,0)),""))</f>
        <v/>
      </c>
      <c r="Q47" s="11">
        <f>IFERROR(INDEX(KC_CURVAS!$I$5:$I$15,MATCH($E47&amp;"|"&amp;$G47,KC_CURVAS!$K$5:$K$15,0)),IFERROR(INDEX(KC_CURVAS!$I$5:$I$15,MATCH($E47&amp;"|",KC_CURVAS!$K$5:$K$15,0)),""))</f>
        <v/>
      </c>
      <c r="R47" s="12">
        <f>IF(OR($J47="",$K47=""),"PENDENTE",IF($J47&lt;=$K47,$O47,IF($J47&lt;=$K47+$L47,$O47+($P47-$O47)*($J47-$K47)/$L47,IF($J47&lt;=$K47+$L47+$M47,$P47,IF($J47&lt;=$K47+$L47+$M47+$N47,$P47+($Q47-$P47)*($J47-($K47+$L47+$M47))/$N47,$Q47)))))</f>
        <v/>
      </c>
      <c r="S47" s="13">
        <f>ETO_SEM</f>
        <v/>
      </c>
      <c r="T47" s="14">
        <f>IF(OR($R47="",$R47="PENDENTE"),"",$R47*$S47)</f>
        <v/>
      </c>
      <c r="U47" s="13" t="n">
        <v>0</v>
      </c>
      <c r="V47" s="14">
        <f>IF($T47="","",MAX(0,$T47-N($U47)))</f>
        <v/>
      </c>
      <c r="W47" s="14">
        <f>IF($V47="","",$V47/EF_APLIC)</f>
        <v/>
      </c>
      <c r="X47" s="15" t="n">
        <v>80.15000000000001</v>
      </c>
      <c r="Y47" s="16">
        <f>IF(OR($W47="",$X47=""),"",$W47*$X47*10)</f>
        <v/>
      </c>
      <c r="Z47" s="17">
        <f>IFERROR(INDEX('PARAMETROS'!$B$16:$B$19,MATCH($D47,'PARAMETROS'!$A$16:$A$19,0)),"")</f>
        <v/>
      </c>
      <c r="AA47" s="16">
        <f>IF(OR($Y47="",$Z47=""),"",$Y47*$Z47)</f>
        <v/>
      </c>
      <c r="AB47" s="18">
        <f>IF($R47="PENDENTE","Definir classe/Kc",IF($W47="","-",IF($W47&gt;0,"Irrigar","Nao irrigar")))</f>
        <v/>
      </c>
      <c r="AC47" s="18">
        <f>IF(OR($W47="",$W47=0),"-",IF($W47&gt;=META_SEM,"Alta",IF($W47&gt;=META_SEM*FRAC_ACOMP,"Media","Baixa")))</f>
        <v/>
      </c>
      <c r="AD47" s="19" t="inlineStr"/>
    </row>
    <row r="48">
      <c r="A48" s="5" t="inlineStr">
        <is>
          <t>65</t>
        </is>
      </c>
      <c r="B48" s="5" t="inlineStr">
        <is>
          <t>Karitel</t>
        </is>
      </c>
      <c r="C48" s="5" t="inlineStr">
        <is>
          <t>Módulo 03</t>
        </is>
      </c>
      <c r="D48" s="5" t="inlineStr">
        <is>
          <t>KM2</t>
        </is>
      </c>
      <c r="E48" s="5" t="inlineStr">
        <is>
          <t>ALGODÃO</t>
        </is>
      </c>
      <c r="F48" s="6" t="inlineStr">
        <is>
          <t>FM 985 GLTP</t>
        </is>
      </c>
      <c r="G48" s="7" t="inlineStr">
        <is>
          <t>MÉDIO</t>
        </is>
      </c>
      <c r="H48" s="8" t="n">
        <v>46051</v>
      </c>
      <c r="I48" s="9">
        <f>IF($H48="","",DATA_REF-$H48)</f>
        <v/>
      </c>
      <c r="J48" s="9">
        <f>IF($I48="","",MAX(0,$I48-'PARAMETROS'!$B$12))</f>
        <v/>
      </c>
      <c r="K48" s="10">
        <f>IFERROR(INDEX(KC_CURVAS!$C$5:$C$15,MATCH($E48&amp;"|"&amp;$G48,KC_CURVAS!$K$5:$K$15,0)),IFERROR(INDEX(KC_CURVAS!$C$5:$C$15,MATCH($E48&amp;"|",KC_CURVAS!$K$5:$K$15,0)),""))</f>
        <v/>
      </c>
      <c r="L48" s="10">
        <f>IFERROR(INDEX(KC_CURVAS!$D$5:$D$15,MATCH($E48&amp;"|"&amp;$G48,KC_CURVAS!$K$5:$K$15,0)),IFERROR(INDEX(KC_CURVAS!$D$5:$D$15,MATCH($E48&amp;"|",KC_CURVAS!$K$5:$K$15,0)),""))</f>
        <v/>
      </c>
      <c r="M48" s="10">
        <f>IFERROR(INDEX(KC_CURVAS!$E$5:$E$15,MATCH($E48&amp;"|"&amp;$G48,KC_CURVAS!$K$5:$K$15,0)),IFERROR(INDEX(KC_CURVAS!$E$5:$E$15,MATCH($E48&amp;"|",KC_CURVAS!$K$5:$K$15,0)),""))</f>
        <v/>
      </c>
      <c r="N48" s="10">
        <f>IFERROR(INDEX(KC_CURVAS!$F$5:$F$15,MATCH($E48&amp;"|"&amp;$G48,KC_CURVAS!$K$5:$K$15,0)),IFERROR(INDEX(KC_CURVAS!$F$5:$F$15,MATCH($E48&amp;"|",KC_CURVAS!$K$5:$K$15,0)),""))</f>
        <v/>
      </c>
      <c r="O48" s="11">
        <f>IFERROR(INDEX(KC_CURVAS!$G$5:$G$15,MATCH($E48&amp;"|"&amp;$G48,KC_CURVAS!$K$5:$K$15,0)),IFERROR(INDEX(KC_CURVAS!$G$5:$G$15,MATCH($E48&amp;"|",KC_CURVAS!$K$5:$K$15,0)),""))</f>
        <v/>
      </c>
      <c r="P48" s="11">
        <f>IFERROR(INDEX(KC_CURVAS!$H$5:$H$15,MATCH($E48&amp;"|"&amp;$G48,KC_CURVAS!$K$5:$K$15,0)),IFERROR(INDEX(KC_CURVAS!$H$5:$H$15,MATCH($E48&amp;"|",KC_CURVAS!$K$5:$K$15,0)),""))</f>
        <v/>
      </c>
      <c r="Q48" s="11">
        <f>IFERROR(INDEX(KC_CURVAS!$I$5:$I$15,MATCH($E48&amp;"|"&amp;$G48,KC_CURVAS!$K$5:$K$15,0)),IFERROR(INDEX(KC_CURVAS!$I$5:$I$15,MATCH($E48&amp;"|",KC_CURVAS!$K$5:$K$15,0)),""))</f>
        <v/>
      </c>
      <c r="R48" s="12">
        <f>IF(OR($J48="",$K48=""),"PENDENTE",IF($J48&lt;=$K48,$O48,IF($J48&lt;=$K48+$L48,$O48+($P48-$O48)*($J48-$K48)/$L48,IF($J48&lt;=$K48+$L48+$M48,$P48,IF($J48&lt;=$K48+$L48+$M48+$N48,$P48+($Q48-$P48)*($J48-($K48+$L48+$M48))/$N48,$Q48)))))</f>
        <v/>
      </c>
      <c r="S48" s="13">
        <f>ETO_SEM</f>
        <v/>
      </c>
      <c r="T48" s="14">
        <f>IF(OR($R48="",$R48="PENDENTE"),"",$R48*$S48)</f>
        <v/>
      </c>
      <c r="U48" s="13" t="n">
        <v>0</v>
      </c>
      <c r="V48" s="14">
        <f>IF($T48="","",MAX(0,$T48-N($U48)))</f>
        <v/>
      </c>
      <c r="W48" s="14">
        <f>IF($V48="","",$V48/EF_APLIC)</f>
        <v/>
      </c>
      <c r="X48" s="15" t="n">
        <v>150</v>
      </c>
      <c r="Y48" s="16">
        <f>IF(OR($W48="",$X48=""),"",$W48*$X48*10)</f>
        <v/>
      </c>
      <c r="Z48" s="17">
        <f>IFERROR(INDEX('PARAMETROS'!$B$16:$B$19,MATCH($D48,'PARAMETROS'!$A$16:$A$19,0)),"")</f>
        <v/>
      </c>
      <c r="AA48" s="16">
        <f>IF(OR($Y48="",$Z48=""),"",$Y48*$Z48)</f>
        <v/>
      </c>
      <c r="AB48" s="18">
        <f>IF($R48="PENDENTE","Definir classe/Kc",IF($W48="","-",IF($W48&gt;0,"Irrigar","Nao irrigar")))</f>
        <v/>
      </c>
      <c r="AC48" s="18">
        <f>IF(OR($W48="",$W48=0),"-",IF($W48&gt;=META_SEM,"Alta",IF($W48&gt;=META_SEM*FRAC_ACOMP,"Media","Baixa")))</f>
        <v/>
      </c>
      <c r="AD48" s="19" t="inlineStr"/>
    </row>
    <row r="49">
      <c r="A49" s="5" t="inlineStr">
        <is>
          <t>109</t>
        </is>
      </c>
      <c r="B49" s="5" t="inlineStr">
        <is>
          <t>RDM</t>
        </is>
      </c>
      <c r="C49" s="5" t="inlineStr">
        <is>
          <t>Módulo 01</t>
        </is>
      </c>
      <c r="D49" s="5" t="inlineStr">
        <is>
          <t>RDM2</t>
        </is>
      </c>
      <c r="E49" s="5" t="inlineStr">
        <is>
          <t>ALGODÃO</t>
        </is>
      </c>
      <c r="F49" s="6" t="inlineStr">
        <is>
          <t>FM 985 GLTP</t>
        </is>
      </c>
      <c r="G49" s="7" t="inlineStr">
        <is>
          <t>MÉDIO</t>
        </is>
      </c>
      <c r="H49" s="8" t="n">
        <v>46021</v>
      </c>
      <c r="I49" s="9">
        <f>IF($H49="","",DATA_REF-$H49)</f>
        <v/>
      </c>
      <c r="J49" s="9">
        <f>IF($I49="","",MAX(0,$I49-'PARAMETROS'!$B$12))</f>
        <v/>
      </c>
      <c r="K49" s="10">
        <f>IFERROR(INDEX(KC_CURVAS!$C$5:$C$15,MATCH($E49&amp;"|"&amp;$G49,KC_CURVAS!$K$5:$K$15,0)),IFERROR(INDEX(KC_CURVAS!$C$5:$C$15,MATCH($E49&amp;"|",KC_CURVAS!$K$5:$K$15,0)),""))</f>
        <v/>
      </c>
      <c r="L49" s="10">
        <f>IFERROR(INDEX(KC_CURVAS!$D$5:$D$15,MATCH($E49&amp;"|"&amp;$G49,KC_CURVAS!$K$5:$K$15,0)),IFERROR(INDEX(KC_CURVAS!$D$5:$D$15,MATCH($E49&amp;"|",KC_CURVAS!$K$5:$K$15,0)),""))</f>
        <v/>
      </c>
      <c r="M49" s="10">
        <f>IFERROR(INDEX(KC_CURVAS!$E$5:$E$15,MATCH($E49&amp;"|"&amp;$G49,KC_CURVAS!$K$5:$K$15,0)),IFERROR(INDEX(KC_CURVAS!$E$5:$E$15,MATCH($E49&amp;"|",KC_CURVAS!$K$5:$K$15,0)),""))</f>
        <v/>
      </c>
      <c r="N49" s="10">
        <f>IFERROR(INDEX(KC_CURVAS!$F$5:$F$15,MATCH($E49&amp;"|"&amp;$G49,KC_CURVAS!$K$5:$K$15,0)),IFERROR(INDEX(KC_CURVAS!$F$5:$F$15,MATCH($E49&amp;"|",KC_CURVAS!$K$5:$K$15,0)),""))</f>
        <v/>
      </c>
      <c r="O49" s="11">
        <f>IFERROR(INDEX(KC_CURVAS!$G$5:$G$15,MATCH($E49&amp;"|"&amp;$G49,KC_CURVAS!$K$5:$K$15,0)),IFERROR(INDEX(KC_CURVAS!$G$5:$G$15,MATCH($E49&amp;"|",KC_CURVAS!$K$5:$K$15,0)),""))</f>
        <v/>
      </c>
      <c r="P49" s="11">
        <f>IFERROR(INDEX(KC_CURVAS!$H$5:$H$15,MATCH($E49&amp;"|"&amp;$G49,KC_CURVAS!$K$5:$K$15,0)),IFERROR(INDEX(KC_CURVAS!$H$5:$H$15,MATCH($E49&amp;"|",KC_CURVAS!$K$5:$K$15,0)),""))</f>
        <v/>
      </c>
      <c r="Q49" s="11">
        <f>IFERROR(INDEX(KC_CURVAS!$I$5:$I$15,MATCH($E49&amp;"|"&amp;$G49,KC_CURVAS!$K$5:$K$15,0)),IFERROR(INDEX(KC_CURVAS!$I$5:$I$15,MATCH($E49&amp;"|",KC_CURVAS!$K$5:$K$15,0)),""))</f>
        <v/>
      </c>
      <c r="R49" s="12">
        <f>IF(OR($J49="",$K49=""),"PENDENTE",IF($J49&lt;=$K49,$O49,IF($J49&lt;=$K49+$L49,$O49+($P49-$O49)*($J49-$K49)/$L49,IF($J49&lt;=$K49+$L49+$M49,$P49,IF($J49&lt;=$K49+$L49+$M49+$N49,$P49+($Q49-$P49)*($J49-($K49+$L49+$M49))/$N49,$Q49)))))</f>
        <v/>
      </c>
      <c r="S49" s="13">
        <f>ETO_SEM</f>
        <v/>
      </c>
      <c r="T49" s="14">
        <f>IF(OR($R49="",$R49="PENDENTE"),"",$R49*$S49)</f>
        <v/>
      </c>
      <c r="U49" s="13" t="n">
        <v>0</v>
      </c>
      <c r="V49" s="14">
        <f>IF($T49="","",MAX(0,$T49-N($U49)))</f>
        <v/>
      </c>
      <c r="W49" s="14">
        <f>IF($V49="","",$V49/EF_APLIC)</f>
        <v/>
      </c>
      <c r="X49" s="15" t="n">
        <v>102.01</v>
      </c>
      <c r="Y49" s="16">
        <f>IF(OR($W49="",$X49=""),"",$W49*$X49*10)</f>
        <v/>
      </c>
      <c r="Z49" s="17">
        <f>IFERROR(INDEX('PARAMETROS'!$B$16:$B$19,MATCH($D49,'PARAMETROS'!$A$16:$A$19,0)),"")</f>
        <v/>
      </c>
      <c r="AA49" s="16">
        <f>IF(OR($Y49="",$Z49=""),"",$Y49*$Z49)</f>
        <v/>
      </c>
      <c r="AB49" s="18">
        <f>IF($R49="PENDENTE","Definir classe/Kc",IF($W49="","-",IF($W49&gt;0,"Irrigar","Nao irrigar")))</f>
        <v/>
      </c>
      <c r="AC49" s="18">
        <f>IF(OR($W49="",$W49=0),"-",IF($W49&gt;=META_SEM,"Alta",IF($W49&gt;=META_SEM*FRAC_ACOMP,"Media","Baixa")))</f>
        <v/>
      </c>
      <c r="AD49" s="19" t="inlineStr"/>
    </row>
    <row r="50">
      <c r="A50" s="5" t="inlineStr">
        <is>
          <t>106</t>
        </is>
      </c>
      <c r="B50" s="5" t="inlineStr">
        <is>
          <t>RDM</t>
        </is>
      </c>
      <c r="C50" s="5" t="inlineStr">
        <is>
          <t>Módulo 01</t>
        </is>
      </c>
      <c r="D50" s="5" t="inlineStr">
        <is>
          <t>RDM2</t>
        </is>
      </c>
      <c r="E50" s="5" t="inlineStr">
        <is>
          <t>ALGODÃO</t>
        </is>
      </c>
      <c r="F50" s="6" t="inlineStr">
        <is>
          <t>DP 2252 B3XF</t>
        </is>
      </c>
      <c r="G50" s="7" t="inlineStr">
        <is>
          <t>PRECOCE</t>
        </is>
      </c>
      <c r="H50" s="8" t="n">
        <v>46073</v>
      </c>
      <c r="I50" s="9">
        <f>IF($H50="","",DATA_REF-$H50)</f>
        <v/>
      </c>
      <c r="J50" s="9">
        <f>IF($I50="","",MAX(0,$I50-'PARAMETROS'!$B$12))</f>
        <v/>
      </c>
      <c r="K50" s="10">
        <f>IFERROR(INDEX(KC_CURVAS!$C$5:$C$15,MATCH($E50&amp;"|"&amp;$G50,KC_CURVAS!$K$5:$K$15,0)),IFERROR(INDEX(KC_CURVAS!$C$5:$C$15,MATCH($E50&amp;"|",KC_CURVAS!$K$5:$K$15,0)),""))</f>
        <v/>
      </c>
      <c r="L50" s="10">
        <f>IFERROR(INDEX(KC_CURVAS!$D$5:$D$15,MATCH($E50&amp;"|"&amp;$G50,KC_CURVAS!$K$5:$K$15,0)),IFERROR(INDEX(KC_CURVAS!$D$5:$D$15,MATCH($E50&amp;"|",KC_CURVAS!$K$5:$K$15,0)),""))</f>
        <v/>
      </c>
      <c r="M50" s="10">
        <f>IFERROR(INDEX(KC_CURVAS!$E$5:$E$15,MATCH($E50&amp;"|"&amp;$G50,KC_CURVAS!$K$5:$K$15,0)),IFERROR(INDEX(KC_CURVAS!$E$5:$E$15,MATCH($E50&amp;"|",KC_CURVAS!$K$5:$K$15,0)),""))</f>
        <v/>
      </c>
      <c r="N50" s="10">
        <f>IFERROR(INDEX(KC_CURVAS!$F$5:$F$15,MATCH($E50&amp;"|"&amp;$G50,KC_CURVAS!$K$5:$K$15,0)),IFERROR(INDEX(KC_CURVAS!$F$5:$F$15,MATCH($E50&amp;"|",KC_CURVAS!$K$5:$K$15,0)),""))</f>
        <v/>
      </c>
      <c r="O50" s="11">
        <f>IFERROR(INDEX(KC_CURVAS!$G$5:$G$15,MATCH($E50&amp;"|"&amp;$G50,KC_CURVAS!$K$5:$K$15,0)),IFERROR(INDEX(KC_CURVAS!$G$5:$G$15,MATCH($E50&amp;"|",KC_CURVAS!$K$5:$K$15,0)),""))</f>
        <v/>
      </c>
      <c r="P50" s="11">
        <f>IFERROR(INDEX(KC_CURVAS!$H$5:$H$15,MATCH($E50&amp;"|"&amp;$G50,KC_CURVAS!$K$5:$K$15,0)),IFERROR(INDEX(KC_CURVAS!$H$5:$H$15,MATCH($E50&amp;"|",KC_CURVAS!$K$5:$K$15,0)),""))</f>
        <v/>
      </c>
      <c r="Q50" s="11">
        <f>IFERROR(INDEX(KC_CURVAS!$I$5:$I$15,MATCH($E50&amp;"|"&amp;$G50,KC_CURVAS!$K$5:$K$15,0)),IFERROR(INDEX(KC_CURVAS!$I$5:$I$15,MATCH($E50&amp;"|",KC_CURVAS!$K$5:$K$15,0)),""))</f>
        <v/>
      </c>
      <c r="R50" s="12">
        <f>IF(OR($J50="",$K50=""),"PENDENTE",IF($J50&lt;=$K50,$O50,IF($J50&lt;=$K50+$L50,$O50+($P50-$O50)*($J50-$K50)/$L50,IF($J50&lt;=$K50+$L50+$M50,$P50,IF($J50&lt;=$K50+$L50+$M50+$N50,$P50+($Q50-$P50)*($J50-($K50+$L50+$M50))/$N50,$Q50)))))</f>
        <v/>
      </c>
      <c r="S50" s="13">
        <f>ETO_SEM</f>
        <v/>
      </c>
      <c r="T50" s="14">
        <f>IF(OR($R50="",$R50="PENDENTE"),"",$R50*$S50)</f>
        <v/>
      </c>
      <c r="U50" s="13" t="n">
        <v>0</v>
      </c>
      <c r="V50" s="14">
        <f>IF($T50="","",MAX(0,$T50-N($U50)))</f>
        <v/>
      </c>
      <c r="W50" s="14">
        <f>IF($V50="","",$V50/EF_APLIC)</f>
        <v/>
      </c>
      <c r="X50" s="15" t="n">
        <v>102.01</v>
      </c>
      <c r="Y50" s="16">
        <f>IF(OR($W50="",$X50=""),"",$W50*$X50*10)</f>
        <v/>
      </c>
      <c r="Z50" s="17">
        <f>IFERROR(INDEX('PARAMETROS'!$B$16:$B$19,MATCH($D50,'PARAMETROS'!$A$16:$A$19,0)),"")</f>
        <v/>
      </c>
      <c r="AA50" s="16">
        <f>IF(OR($Y50="",$Z50=""),"",$Y50*$Z50)</f>
        <v/>
      </c>
      <c r="AB50" s="18">
        <f>IF($R50="PENDENTE","Definir classe/Kc",IF($W50="","-",IF($W50&gt;0,"Irrigar","Nao irrigar")))</f>
        <v/>
      </c>
      <c r="AC50" s="18">
        <f>IF(OR($W50="",$W50=0),"-",IF($W50&gt;=META_SEM,"Alta",IF($W50&gt;=META_SEM*FRAC_ACOMP,"Media","Baixa")))</f>
        <v/>
      </c>
      <c r="AD50" s="19" t="inlineStr"/>
    </row>
    <row r="51">
      <c r="A51" s="5" t="inlineStr">
        <is>
          <t>108</t>
        </is>
      </c>
      <c r="B51" s="5" t="inlineStr">
        <is>
          <t>RDM</t>
        </is>
      </c>
      <c r="C51" s="5" t="inlineStr">
        <is>
          <t>Módulo 01</t>
        </is>
      </c>
      <c r="D51" s="5" t="inlineStr">
        <is>
          <t>RDM2</t>
        </is>
      </c>
      <c r="E51" s="5" t="inlineStr">
        <is>
          <t>ALGODÃO</t>
        </is>
      </c>
      <c r="F51" s="6" t="inlineStr">
        <is>
          <t>FM 985 GLTP</t>
        </is>
      </c>
      <c r="G51" s="7" t="inlineStr">
        <is>
          <t>MÉDIO</t>
        </is>
      </c>
      <c r="H51" s="8" t="n">
        <v>46014</v>
      </c>
      <c r="I51" s="9">
        <f>IF($H51="","",DATA_REF-$H51)</f>
        <v/>
      </c>
      <c r="J51" s="9">
        <f>IF($I51="","",MAX(0,$I51-'PARAMETROS'!$B$12))</f>
        <v/>
      </c>
      <c r="K51" s="10">
        <f>IFERROR(INDEX(KC_CURVAS!$C$5:$C$15,MATCH($E51&amp;"|"&amp;$G51,KC_CURVAS!$K$5:$K$15,0)),IFERROR(INDEX(KC_CURVAS!$C$5:$C$15,MATCH($E51&amp;"|",KC_CURVAS!$K$5:$K$15,0)),""))</f>
        <v/>
      </c>
      <c r="L51" s="10">
        <f>IFERROR(INDEX(KC_CURVAS!$D$5:$D$15,MATCH($E51&amp;"|"&amp;$G51,KC_CURVAS!$K$5:$K$15,0)),IFERROR(INDEX(KC_CURVAS!$D$5:$D$15,MATCH($E51&amp;"|",KC_CURVAS!$K$5:$K$15,0)),""))</f>
        <v/>
      </c>
      <c r="M51" s="10">
        <f>IFERROR(INDEX(KC_CURVAS!$E$5:$E$15,MATCH($E51&amp;"|"&amp;$G51,KC_CURVAS!$K$5:$K$15,0)),IFERROR(INDEX(KC_CURVAS!$E$5:$E$15,MATCH($E51&amp;"|",KC_CURVAS!$K$5:$K$15,0)),""))</f>
        <v/>
      </c>
      <c r="N51" s="10">
        <f>IFERROR(INDEX(KC_CURVAS!$F$5:$F$15,MATCH($E51&amp;"|"&amp;$G51,KC_CURVAS!$K$5:$K$15,0)),IFERROR(INDEX(KC_CURVAS!$F$5:$F$15,MATCH($E51&amp;"|",KC_CURVAS!$K$5:$K$15,0)),""))</f>
        <v/>
      </c>
      <c r="O51" s="11">
        <f>IFERROR(INDEX(KC_CURVAS!$G$5:$G$15,MATCH($E51&amp;"|"&amp;$G51,KC_CURVAS!$K$5:$K$15,0)),IFERROR(INDEX(KC_CURVAS!$G$5:$G$15,MATCH($E51&amp;"|",KC_CURVAS!$K$5:$K$15,0)),""))</f>
        <v/>
      </c>
      <c r="P51" s="11">
        <f>IFERROR(INDEX(KC_CURVAS!$H$5:$H$15,MATCH($E51&amp;"|"&amp;$G51,KC_CURVAS!$K$5:$K$15,0)),IFERROR(INDEX(KC_CURVAS!$H$5:$H$15,MATCH($E51&amp;"|",KC_CURVAS!$K$5:$K$15,0)),""))</f>
        <v/>
      </c>
      <c r="Q51" s="11">
        <f>IFERROR(INDEX(KC_CURVAS!$I$5:$I$15,MATCH($E51&amp;"|"&amp;$G51,KC_CURVAS!$K$5:$K$15,0)),IFERROR(INDEX(KC_CURVAS!$I$5:$I$15,MATCH($E51&amp;"|",KC_CURVAS!$K$5:$K$15,0)),""))</f>
        <v/>
      </c>
      <c r="R51" s="12">
        <f>IF(OR($J51="",$K51=""),"PENDENTE",IF($J51&lt;=$K51,$O51,IF($J51&lt;=$K51+$L51,$O51+($P51-$O51)*($J51-$K51)/$L51,IF($J51&lt;=$K51+$L51+$M51,$P51,IF($J51&lt;=$K51+$L51+$M51+$N51,$P51+($Q51-$P51)*($J51-($K51+$L51+$M51))/$N51,$Q51)))))</f>
        <v/>
      </c>
      <c r="S51" s="13">
        <f>ETO_SEM</f>
        <v/>
      </c>
      <c r="T51" s="14">
        <f>IF(OR($R51="",$R51="PENDENTE"),"",$R51*$S51)</f>
        <v/>
      </c>
      <c r="U51" s="13" t="n">
        <v>0</v>
      </c>
      <c r="V51" s="14">
        <f>IF($T51="","",MAX(0,$T51-N($U51)))</f>
        <v/>
      </c>
      <c r="W51" s="14">
        <f>IF($V51="","",$V51/EF_APLIC)</f>
        <v/>
      </c>
      <c r="X51" s="15" t="n">
        <v>102.01</v>
      </c>
      <c r="Y51" s="16">
        <f>IF(OR($W51="",$X51=""),"",$W51*$X51*10)</f>
        <v/>
      </c>
      <c r="Z51" s="17">
        <f>IFERROR(INDEX('PARAMETROS'!$B$16:$B$19,MATCH($D51,'PARAMETROS'!$A$16:$A$19,0)),"")</f>
        <v/>
      </c>
      <c r="AA51" s="16">
        <f>IF(OR($Y51="",$Z51=""),"",$Y51*$Z51)</f>
        <v/>
      </c>
      <c r="AB51" s="18">
        <f>IF($R51="PENDENTE","Definir classe/Kc",IF($W51="","-",IF($W51&gt;0,"Irrigar","Nao irrigar")))</f>
        <v/>
      </c>
      <c r="AC51" s="18">
        <f>IF(OR($W51="",$W51=0),"-",IF($W51&gt;=META_SEM,"Alta",IF($W51&gt;=META_SEM*FRAC_ACOMP,"Media","Baixa")))</f>
        <v/>
      </c>
      <c r="AD51" s="19" t="inlineStr"/>
    </row>
    <row r="52">
      <c r="A52" s="5" t="inlineStr">
        <is>
          <t>105</t>
        </is>
      </c>
      <c r="B52" s="5" t="inlineStr">
        <is>
          <t>RDM</t>
        </is>
      </c>
      <c r="C52" s="5" t="inlineStr">
        <is>
          <t>Módulo 01</t>
        </is>
      </c>
      <c r="D52" s="5" t="inlineStr">
        <is>
          <t>RDM2</t>
        </is>
      </c>
      <c r="E52" s="5" t="inlineStr">
        <is>
          <t>ALGODÃO</t>
        </is>
      </c>
      <c r="F52" s="6" t="inlineStr">
        <is>
          <t>FM 974 GLT</t>
        </is>
      </c>
      <c r="G52" s="7" t="inlineStr">
        <is>
          <t>MÉDIO</t>
        </is>
      </c>
      <c r="H52" s="8" t="n">
        <v>46012</v>
      </c>
      <c r="I52" s="9">
        <f>IF($H52="","",DATA_REF-$H52)</f>
        <v/>
      </c>
      <c r="J52" s="9">
        <f>IF($I52="","",MAX(0,$I52-'PARAMETROS'!$B$12))</f>
        <v/>
      </c>
      <c r="K52" s="10">
        <f>IFERROR(INDEX(KC_CURVAS!$C$5:$C$15,MATCH($E52&amp;"|"&amp;$G52,KC_CURVAS!$K$5:$K$15,0)),IFERROR(INDEX(KC_CURVAS!$C$5:$C$15,MATCH($E52&amp;"|",KC_CURVAS!$K$5:$K$15,0)),""))</f>
        <v/>
      </c>
      <c r="L52" s="10">
        <f>IFERROR(INDEX(KC_CURVAS!$D$5:$D$15,MATCH($E52&amp;"|"&amp;$G52,KC_CURVAS!$K$5:$K$15,0)),IFERROR(INDEX(KC_CURVAS!$D$5:$D$15,MATCH($E52&amp;"|",KC_CURVAS!$K$5:$K$15,0)),""))</f>
        <v/>
      </c>
      <c r="M52" s="10">
        <f>IFERROR(INDEX(KC_CURVAS!$E$5:$E$15,MATCH($E52&amp;"|"&amp;$G52,KC_CURVAS!$K$5:$K$15,0)),IFERROR(INDEX(KC_CURVAS!$E$5:$E$15,MATCH($E52&amp;"|",KC_CURVAS!$K$5:$K$15,0)),""))</f>
        <v/>
      </c>
      <c r="N52" s="10">
        <f>IFERROR(INDEX(KC_CURVAS!$F$5:$F$15,MATCH($E52&amp;"|"&amp;$G52,KC_CURVAS!$K$5:$K$15,0)),IFERROR(INDEX(KC_CURVAS!$F$5:$F$15,MATCH($E52&amp;"|",KC_CURVAS!$K$5:$K$15,0)),""))</f>
        <v/>
      </c>
      <c r="O52" s="11">
        <f>IFERROR(INDEX(KC_CURVAS!$G$5:$G$15,MATCH($E52&amp;"|"&amp;$G52,KC_CURVAS!$K$5:$K$15,0)),IFERROR(INDEX(KC_CURVAS!$G$5:$G$15,MATCH($E52&amp;"|",KC_CURVAS!$K$5:$K$15,0)),""))</f>
        <v/>
      </c>
      <c r="P52" s="11">
        <f>IFERROR(INDEX(KC_CURVAS!$H$5:$H$15,MATCH($E52&amp;"|"&amp;$G52,KC_CURVAS!$K$5:$K$15,0)),IFERROR(INDEX(KC_CURVAS!$H$5:$H$15,MATCH($E52&amp;"|",KC_CURVAS!$K$5:$K$15,0)),""))</f>
        <v/>
      </c>
      <c r="Q52" s="11">
        <f>IFERROR(INDEX(KC_CURVAS!$I$5:$I$15,MATCH($E52&amp;"|"&amp;$G52,KC_CURVAS!$K$5:$K$15,0)),IFERROR(INDEX(KC_CURVAS!$I$5:$I$15,MATCH($E52&amp;"|",KC_CURVAS!$K$5:$K$15,0)),""))</f>
        <v/>
      </c>
      <c r="R52" s="12">
        <f>IF(OR($J52="",$K52=""),"PENDENTE",IF($J52&lt;=$K52,$O52,IF($J52&lt;=$K52+$L52,$O52+($P52-$O52)*($J52-$K52)/$L52,IF($J52&lt;=$K52+$L52+$M52,$P52,IF($J52&lt;=$K52+$L52+$M52+$N52,$P52+($Q52-$P52)*($J52-($K52+$L52+$M52))/$N52,$Q52)))))</f>
        <v/>
      </c>
      <c r="S52" s="13">
        <f>ETO_SEM</f>
        <v/>
      </c>
      <c r="T52" s="14">
        <f>IF(OR($R52="",$R52="PENDENTE"),"",$R52*$S52)</f>
        <v/>
      </c>
      <c r="U52" s="13" t="n">
        <v>0</v>
      </c>
      <c r="V52" s="14">
        <f>IF($T52="","",MAX(0,$T52-N($U52)))</f>
        <v/>
      </c>
      <c r="W52" s="14">
        <f>IF($V52="","",$V52/EF_APLIC)</f>
        <v/>
      </c>
      <c r="X52" s="15" t="n">
        <v>102.01</v>
      </c>
      <c r="Y52" s="16">
        <f>IF(OR($W52="",$X52=""),"",$W52*$X52*10)</f>
        <v/>
      </c>
      <c r="Z52" s="17">
        <f>IFERROR(INDEX('PARAMETROS'!$B$16:$B$19,MATCH($D52,'PARAMETROS'!$A$16:$A$19,0)),"")</f>
        <v/>
      </c>
      <c r="AA52" s="16">
        <f>IF(OR($Y52="",$Z52=""),"",$Y52*$Z52)</f>
        <v/>
      </c>
      <c r="AB52" s="18">
        <f>IF($R52="PENDENTE","Definir classe/Kc",IF($W52="","-",IF($W52&gt;0,"Irrigar","Nao irrigar")))</f>
        <v/>
      </c>
      <c r="AC52" s="18">
        <f>IF(OR($W52="",$W52=0),"-",IF($W52&gt;=META_SEM,"Alta",IF($W52&gt;=META_SEM*FRAC_ACOMP,"Media","Baixa")))</f>
        <v/>
      </c>
      <c r="AD52" s="19" t="inlineStr"/>
    </row>
    <row r="53">
      <c r="A53" s="5" t="inlineStr">
        <is>
          <t>107</t>
        </is>
      </c>
      <c r="B53" s="5" t="inlineStr">
        <is>
          <t>RDM</t>
        </is>
      </c>
      <c r="C53" s="5" t="inlineStr">
        <is>
          <t>Módulo 01</t>
        </is>
      </c>
      <c r="D53" s="5" t="inlineStr">
        <is>
          <t>RDM2</t>
        </is>
      </c>
      <c r="E53" s="5" t="inlineStr">
        <is>
          <t>ALGODÃO</t>
        </is>
      </c>
      <c r="F53" s="6" t="inlineStr">
        <is>
          <t>FM 974 GLT</t>
        </is>
      </c>
      <c r="G53" s="7" t="inlineStr">
        <is>
          <t>MÉDIO</t>
        </is>
      </c>
      <c r="H53" s="8" t="n">
        <v>46013</v>
      </c>
      <c r="I53" s="9">
        <f>IF($H53="","",DATA_REF-$H53)</f>
        <v/>
      </c>
      <c r="J53" s="9">
        <f>IF($I53="","",MAX(0,$I53-'PARAMETROS'!$B$12))</f>
        <v/>
      </c>
      <c r="K53" s="10">
        <f>IFERROR(INDEX(KC_CURVAS!$C$5:$C$15,MATCH($E53&amp;"|"&amp;$G53,KC_CURVAS!$K$5:$K$15,0)),IFERROR(INDEX(KC_CURVAS!$C$5:$C$15,MATCH($E53&amp;"|",KC_CURVAS!$K$5:$K$15,0)),""))</f>
        <v/>
      </c>
      <c r="L53" s="10">
        <f>IFERROR(INDEX(KC_CURVAS!$D$5:$D$15,MATCH($E53&amp;"|"&amp;$G53,KC_CURVAS!$K$5:$K$15,0)),IFERROR(INDEX(KC_CURVAS!$D$5:$D$15,MATCH($E53&amp;"|",KC_CURVAS!$K$5:$K$15,0)),""))</f>
        <v/>
      </c>
      <c r="M53" s="10">
        <f>IFERROR(INDEX(KC_CURVAS!$E$5:$E$15,MATCH($E53&amp;"|"&amp;$G53,KC_CURVAS!$K$5:$K$15,0)),IFERROR(INDEX(KC_CURVAS!$E$5:$E$15,MATCH($E53&amp;"|",KC_CURVAS!$K$5:$K$15,0)),""))</f>
        <v/>
      </c>
      <c r="N53" s="10">
        <f>IFERROR(INDEX(KC_CURVAS!$F$5:$F$15,MATCH($E53&amp;"|"&amp;$G53,KC_CURVAS!$K$5:$K$15,0)),IFERROR(INDEX(KC_CURVAS!$F$5:$F$15,MATCH($E53&amp;"|",KC_CURVAS!$K$5:$K$15,0)),""))</f>
        <v/>
      </c>
      <c r="O53" s="11">
        <f>IFERROR(INDEX(KC_CURVAS!$G$5:$G$15,MATCH($E53&amp;"|"&amp;$G53,KC_CURVAS!$K$5:$K$15,0)),IFERROR(INDEX(KC_CURVAS!$G$5:$G$15,MATCH($E53&amp;"|",KC_CURVAS!$K$5:$K$15,0)),""))</f>
        <v/>
      </c>
      <c r="P53" s="11">
        <f>IFERROR(INDEX(KC_CURVAS!$H$5:$H$15,MATCH($E53&amp;"|"&amp;$G53,KC_CURVAS!$K$5:$K$15,0)),IFERROR(INDEX(KC_CURVAS!$H$5:$H$15,MATCH($E53&amp;"|",KC_CURVAS!$K$5:$K$15,0)),""))</f>
        <v/>
      </c>
      <c r="Q53" s="11">
        <f>IFERROR(INDEX(KC_CURVAS!$I$5:$I$15,MATCH($E53&amp;"|"&amp;$G53,KC_CURVAS!$K$5:$K$15,0)),IFERROR(INDEX(KC_CURVAS!$I$5:$I$15,MATCH($E53&amp;"|",KC_CURVAS!$K$5:$K$15,0)),""))</f>
        <v/>
      </c>
      <c r="R53" s="12">
        <f>IF(OR($J53="",$K53=""),"PENDENTE",IF($J53&lt;=$K53,$O53,IF($J53&lt;=$K53+$L53,$O53+($P53-$O53)*($J53-$K53)/$L53,IF($J53&lt;=$K53+$L53+$M53,$P53,IF($J53&lt;=$K53+$L53+$M53+$N53,$P53+($Q53-$P53)*($J53-($K53+$L53+$M53))/$N53,$Q53)))))</f>
        <v/>
      </c>
      <c r="S53" s="13">
        <f>ETO_SEM</f>
        <v/>
      </c>
      <c r="T53" s="14">
        <f>IF(OR($R53="",$R53="PENDENTE"),"",$R53*$S53)</f>
        <v/>
      </c>
      <c r="U53" s="13" t="n">
        <v>0</v>
      </c>
      <c r="V53" s="14">
        <f>IF($T53="","",MAX(0,$T53-N($U53)))</f>
        <v/>
      </c>
      <c r="W53" s="14">
        <f>IF($V53="","",$V53/EF_APLIC)</f>
        <v/>
      </c>
      <c r="X53" s="15" t="n">
        <v>102.01</v>
      </c>
      <c r="Y53" s="16">
        <f>IF(OR($W53="",$X53=""),"",$W53*$X53*10)</f>
        <v/>
      </c>
      <c r="Z53" s="17">
        <f>IFERROR(INDEX('PARAMETROS'!$B$16:$B$19,MATCH($D53,'PARAMETROS'!$A$16:$A$19,0)),"")</f>
        <v/>
      </c>
      <c r="AA53" s="16">
        <f>IF(OR($Y53="",$Z53=""),"",$Y53*$Z53)</f>
        <v/>
      </c>
      <c r="AB53" s="18">
        <f>IF($R53="PENDENTE","Definir classe/Kc",IF($W53="","-",IF($W53&gt;0,"Irrigar","Nao irrigar")))</f>
        <v/>
      </c>
      <c r="AC53" s="18">
        <f>IF(OR($W53="",$W53=0),"-",IF($W53&gt;=META_SEM,"Alta",IF($W53&gt;=META_SEM*FRAC_ACOMP,"Media","Baixa")))</f>
        <v/>
      </c>
      <c r="AD53" s="19" t="inlineStr"/>
    </row>
    <row r="54">
      <c r="A54" s="5" t="inlineStr">
        <is>
          <t>102</t>
        </is>
      </c>
      <c r="B54" s="5" t="inlineStr">
        <is>
          <t>RDM</t>
        </is>
      </c>
      <c r="C54" s="5" t="inlineStr">
        <is>
          <t>Módulo 01</t>
        </is>
      </c>
      <c r="D54" s="5" t="inlineStr">
        <is>
          <t>RDM1</t>
        </is>
      </c>
      <c r="E54" s="5" t="inlineStr">
        <is>
          <t>ALGODÃO</t>
        </is>
      </c>
      <c r="F54" s="6" t="inlineStr">
        <is>
          <t>FM 974 GLT</t>
        </is>
      </c>
      <c r="G54" s="7" t="inlineStr">
        <is>
          <t>MÉDIO</t>
        </is>
      </c>
      <c r="H54" s="8" t="n">
        <v>46012</v>
      </c>
      <c r="I54" s="9">
        <f>IF($H54="","",DATA_REF-$H54)</f>
        <v/>
      </c>
      <c r="J54" s="9">
        <f>IF($I54="","",MAX(0,$I54-'PARAMETROS'!$B$12))</f>
        <v/>
      </c>
      <c r="K54" s="10">
        <f>IFERROR(INDEX(KC_CURVAS!$C$5:$C$15,MATCH($E54&amp;"|"&amp;$G54,KC_CURVAS!$K$5:$K$15,0)),IFERROR(INDEX(KC_CURVAS!$C$5:$C$15,MATCH($E54&amp;"|",KC_CURVAS!$K$5:$K$15,0)),""))</f>
        <v/>
      </c>
      <c r="L54" s="10">
        <f>IFERROR(INDEX(KC_CURVAS!$D$5:$D$15,MATCH($E54&amp;"|"&amp;$G54,KC_CURVAS!$K$5:$K$15,0)),IFERROR(INDEX(KC_CURVAS!$D$5:$D$15,MATCH($E54&amp;"|",KC_CURVAS!$K$5:$K$15,0)),""))</f>
        <v/>
      </c>
      <c r="M54" s="10">
        <f>IFERROR(INDEX(KC_CURVAS!$E$5:$E$15,MATCH($E54&amp;"|"&amp;$G54,KC_CURVAS!$K$5:$K$15,0)),IFERROR(INDEX(KC_CURVAS!$E$5:$E$15,MATCH($E54&amp;"|",KC_CURVAS!$K$5:$K$15,0)),""))</f>
        <v/>
      </c>
      <c r="N54" s="10">
        <f>IFERROR(INDEX(KC_CURVAS!$F$5:$F$15,MATCH($E54&amp;"|"&amp;$G54,KC_CURVAS!$K$5:$K$15,0)),IFERROR(INDEX(KC_CURVAS!$F$5:$F$15,MATCH($E54&amp;"|",KC_CURVAS!$K$5:$K$15,0)),""))</f>
        <v/>
      </c>
      <c r="O54" s="11">
        <f>IFERROR(INDEX(KC_CURVAS!$G$5:$G$15,MATCH($E54&amp;"|"&amp;$G54,KC_CURVAS!$K$5:$K$15,0)),IFERROR(INDEX(KC_CURVAS!$G$5:$G$15,MATCH($E54&amp;"|",KC_CURVAS!$K$5:$K$15,0)),""))</f>
        <v/>
      </c>
      <c r="P54" s="11">
        <f>IFERROR(INDEX(KC_CURVAS!$H$5:$H$15,MATCH($E54&amp;"|"&amp;$G54,KC_CURVAS!$K$5:$K$15,0)),IFERROR(INDEX(KC_CURVAS!$H$5:$H$15,MATCH($E54&amp;"|",KC_CURVAS!$K$5:$K$15,0)),""))</f>
        <v/>
      </c>
      <c r="Q54" s="11">
        <f>IFERROR(INDEX(KC_CURVAS!$I$5:$I$15,MATCH($E54&amp;"|"&amp;$G54,KC_CURVAS!$K$5:$K$15,0)),IFERROR(INDEX(KC_CURVAS!$I$5:$I$15,MATCH($E54&amp;"|",KC_CURVAS!$K$5:$K$15,0)),""))</f>
        <v/>
      </c>
      <c r="R54" s="12">
        <f>IF(OR($J54="",$K54=""),"PENDENTE",IF($J54&lt;=$K54,$O54,IF($J54&lt;=$K54+$L54,$O54+($P54-$O54)*($J54-$K54)/$L54,IF($J54&lt;=$K54+$L54+$M54,$P54,IF($J54&lt;=$K54+$L54+$M54+$N54,$P54+($Q54-$P54)*($J54-($K54+$L54+$M54))/$N54,$Q54)))))</f>
        <v/>
      </c>
      <c r="S54" s="13">
        <f>ETO_SEM</f>
        <v/>
      </c>
      <c r="T54" s="14">
        <f>IF(OR($R54="",$R54="PENDENTE"),"",$R54*$S54)</f>
        <v/>
      </c>
      <c r="U54" s="13" t="n">
        <v>0</v>
      </c>
      <c r="V54" s="14">
        <f>IF($T54="","",MAX(0,$T54-N($U54)))</f>
        <v/>
      </c>
      <c r="W54" s="14">
        <f>IF($V54="","",$V54/EF_APLIC)</f>
        <v/>
      </c>
      <c r="X54" s="15" t="n">
        <v>102.19</v>
      </c>
      <c r="Y54" s="16">
        <f>IF(OR($W54="",$X54=""),"",$W54*$X54*10)</f>
        <v/>
      </c>
      <c r="Z54" s="17">
        <f>IFERROR(INDEX('PARAMETROS'!$B$16:$B$19,MATCH($D54,'PARAMETROS'!$A$16:$A$19,0)),"")</f>
        <v/>
      </c>
      <c r="AA54" s="16">
        <f>IF(OR($Y54="",$Z54=""),"",$Y54*$Z54)</f>
        <v/>
      </c>
      <c r="AB54" s="18">
        <f>IF($R54="PENDENTE","Definir classe/Kc",IF($W54="","-",IF($W54&gt;0,"Irrigar","Nao irrigar")))</f>
        <v/>
      </c>
      <c r="AC54" s="18">
        <f>IF(OR($W54="",$W54=0),"-",IF($W54&gt;=META_SEM,"Alta",IF($W54&gt;=META_SEM*FRAC_ACOMP,"Media","Baixa")))</f>
        <v/>
      </c>
      <c r="AD54" s="19" t="inlineStr"/>
    </row>
    <row r="55">
      <c r="A55" s="5" t="inlineStr">
        <is>
          <t>103</t>
        </is>
      </c>
      <c r="B55" s="5" t="inlineStr">
        <is>
          <t>RDM</t>
        </is>
      </c>
      <c r="C55" s="5" t="inlineStr">
        <is>
          <t>Módulo 01</t>
        </is>
      </c>
      <c r="D55" s="5" t="inlineStr">
        <is>
          <t>RDM1</t>
        </is>
      </c>
      <c r="E55" s="5" t="inlineStr">
        <is>
          <t>ALGODÃO</t>
        </is>
      </c>
      <c r="F55" s="6" t="inlineStr">
        <is>
          <t>FM 974 GLT</t>
        </is>
      </c>
      <c r="G55" s="7" t="inlineStr">
        <is>
          <t>MÉDIO</t>
        </is>
      </c>
      <c r="H55" s="8" t="n">
        <v>46049</v>
      </c>
      <c r="I55" s="9">
        <f>IF($H55="","",DATA_REF-$H55)</f>
        <v/>
      </c>
      <c r="J55" s="9">
        <f>IF($I55="","",MAX(0,$I55-'PARAMETROS'!$B$12))</f>
        <v/>
      </c>
      <c r="K55" s="10">
        <f>IFERROR(INDEX(KC_CURVAS!$C$5:$C$15,MATCH($E55&amp;"|"&amp;$G55,KC_CURVAS!$K$5:$K$15,0)),IFERROR(INDEX(KC_CURVAS!$C$5:$C$15,MATCH($E55&amp;"|",KC_CURVAS!$K$5:$K$15,0)),""))</f>
        <v/>
      </c>
      <c r="L55" s="10">
        <f>IFERROR(INDEX(KC_CURVAS!$D$5:$D$15,MATCH($E55&amp;"|"&amp;$G55,KC_CURVAS!$K$5:$K$15,0)),IFERROR(INDEX(KC_CURVAS!$D$5:$D$15,MATCH($E55&amp;"|",KC_CURVAS!$K$5:$K$15,0)),""))</f>
        <v/>
      </c>
      <c r="M55" s="10">
        <f>IFERROR(INDEX(KC_CURVAS!$E$5:$E$15,MATCH($E55&amp;"|"&amp;$G55,KC_CURVAS!$K$5:$K$15,0)),IFERROR(INDEX(KC_CURVAS!$E$5:$E$15,MATCH($E55&amp;"|",KC_CURVAS!$K$5:$K$15,0)),""))</f>
        <v/>
      </c>
      <c r="N55" s="10">
        <f>IFERROR(INDEX(KC_CURVAS!$F$5:$F$15,MATCH($E55&amp;"|"&amp;$G55,KC_CURVAS!$K$5:$K$15,0)),IFERROR(INDEX(KC_CURVAS!$F$5:$F$15,MATCH($E55&amp;"|",KC_CURVAS!$K$5:$K$15,0)),""))</f>
        <v/>
      </c>
      <c r="O55" s="11">
        <f>IFERROR(INDEX(KC_CURVAS!$G$5:$G$15,MATCH($E55&amp;"|"&amp;$G55,KC_CURVAS!$K$5:$K$15,0)),IFERROR(INDEX(KC_CURVAS!$G$5:$G$15,MATCH($E55&amp;"|",KC_CURVAS!$K$5:$K$15,0)),""))</f>
        <v/>
      </c>
      <c r="P55" s="11">
        <f>IFERROR(INDEX(KC_CURVAS!$H$5:$H$15,MATCH($E55&amp;"|"&amp;$G55,KC_CURVAS!$K$5:$K$15,0)),IFERROR(INDEX(KC_CURVAS!$H$5:$H$15,MATCH($E55&amp;"|",KC_CURVAS!$K$5:$K$15,0)),""))</f>
        <v/>
      </c>
      <c r="Q55" s="11">
        <f>IFERROR(INDEX(KC_CURVAS!$I$5:$I$15,MATCH($E55&amp;"|"&amp;$G55,KC_CURVAS!$K$5:$K$15,0)),IFERROR(INDEX(KC_CURVAS!$I$5:$I$15,MATCH($E55&amp;"|",KC_CURVAS!$K$5:$K$15,0)),""))</f>
        <v/>
      </c>
      <c r="R55" s="12">
        <f>IF(OR($J55="",$K55=""),"PENDENTE",IF($J55&lt;=$K55,$O55,IF($J55&lt;=$K55+$L55,$O55+($P55-$O55)*($J55-$K55)/$L55,IF($J55&lt;=$K55+$L55+$M55,$P55,IF($J55&lt;=$K55+$L55+$M55+$N55,$P55+($Q55-$P55)*($J55-($K55+$L55+$M55))/$N55,$Q55)))))</f>
        <v/>
      </c>
      <c r="S55" s="13">
        <f>ETO_SEM</f>
        <v/>
      </c>
      <c r="T55" s="14">
        <f>IF(OR($R55="",$R55="PENDENTE"),"",$R55*$S55)</f>
        <v/>
      </c>
      <c r="U55" s="13" t="n">
        <v>0</v>
      </c>
      <c r="V55" s="14">
        <f>IF($T55="","",MAX(0,$T55-N($U55)))</f>
        <v/>
      </c>
      <c r="W55" s="14">
        <f>IF($V55="","",$V55/EF_APLIC)</f>
        <v/>
      </c>
      <c r="X55" s="15" t="n">
        <v>102.01</v>
      </c>
      <c r="Y55" s="16">
        <f>IF(OR($W55="",$X55=""),"",$W55*$X55*10)</f>
        <v/>
      </c>
      <c r="Z55" s="17">
        <f>IFERROR(INDEX('PARAMETROS'!$B$16:$B$19,MATCH($D55,'PARAMETROS'!$A$16:$A$19,0)),"")</f>
        <v/>
      </c>
      <c r="AA55" s="16">
        <f>IF(OR($Y55="",$Z55=""),"",$Y55*$Z55)</f>
        <v/>
      </c>
      <c r="AB55" s="18">
        <f>IF($R55="PENDENTE","Definir classe/Kc",IF($W55="","-",IF($W55&gt;0,"Irrigar","Nao irrigar")))</f>
        <v/>
      </c>
      <c r="AC55" s="18">
        <f>IF(OR($W55="",$W55=0),"-",IF($W55&gt;=META_SEM,"Alta",IF($W55&gt;=META_SEM*FRAC_ACOMP,"Media","Baixa")))</f>
        <v/>
      </c>
      <c r="AD55" s="19" t="inlineStr"/>
    </row>
    <row r="56">
      <c r="A56" s="5" t="inlineStr">
        <is>
          <t>104</t>
        </is>
      </c>
      <c r="B56" s="5" t="inlineStr">
        <is>
          <t>RDM</t>
        </is>
      </c>
      <c r="C56" s="5" t="inlineStr">
        <is>
          <t>Módulo 01</t>
        </is>
      </c>
      <c r="D56" s="5" t="inlineStr">
        <is>
          <t>RDM1</t>
        </is>
      </c>
      <c r="E56" s="5" t="inlineStr">
        <is>
          <t>ALGODÃO</t>
        </is>
      </c>
      <c r="F56" s="6" t="inlineStr">
        <is>
          <t>FM 985 GLTP</t>
        </is>
      </c>
      <c r="G56" s="7" t="inlineStr">
        <is>
          <t>MÉDIO</t>
        </is>
      </c>
      <c r="H56" s="8" t="n">
        <v>46015</v>
      </c>
      <c r="I56" s="9">
        <f>IF($H56="","",DATA_REF-$H56)</f>
        <v/>
      </c>
      <c r="J56" s="9">
        <f>IF($I56="","",MAX(0,$I56-'PARAMETROS'!$B$12))</f>
        <v/>
      </c>
      <c r="K56" s="10">
        <f>IFERROR(INDEX(KC_CURVAS!$C$5:$C$15,MATCH($E56&amp;"|"&amp;$G56,KC_CURVAS!$K$5:$K$15,0)),IFERROR(INDEX(KC_CURVAS!$C$5:$C$15,MATCH($E56&amp;"|",KC_CURVAS!$K$5:$K$15,0)),""))</f>
        <v/>
      </c>
      <c r="L56" s="10">
        <f>IFERROR(INDEX(KC_CURVAS!$D$5:$D$15,MATCH($E56&amp;"|"&amp;$G56,KC_CURVAS!$K$5:$K$15,0)),IFERROR(INDEX(KC_CURVAS!$D$5:$D$15,MATCH($E56&amp;"|",KC_CURVAS!$K$5:$K$15,0)),""))</f>
        <v/>
      </c>
      <c r="M56" s="10">
        <f>IFERROR(INDEX(KC_CURVAS!$E$5:$E$15,MATCH($E56&amp;"|"&amp;$G56,KC_CURVAS!$K$5:$K$15,0)),IFERROR(INDEX(KC_CURVAS!$E$5:$E$15,MATCH($E56&amp;"|",KC_CURVAS!$K$5:$K$15,0)),""))</f>
        <v/>
      </c>
      <c r="N56" s="10">
        <f>IFERROR(INDEX(KC_CURVAS!$F$5:$F$15,MATCH($E56&amp;"|"&amp;$G56,KC_CURVAS!$K$5:$K$15,0)),IFERROR(INDEX(KC_CURVAS!$F$5:$F$15,MATCH($E56&amp;"|",KC_CURVAS!$K$5:$K$15,0)),""))</f>
        <v/>
      </c>
      <c r="O56" s="11">
        <f>IFERROR(INDEX(KC_CURVAS!$G$5:$G$15,MATCH($E56&amp;"|"&amp;$G56,KC_CURVAS!$K$5:$K$15,0)),IFERROR(INDEX(KC_CURVAS!$G$5:$G$15,MATCH($E56&amp;"|",KC_CURVAS!$K$5:$K$15,0)),""))</f>
        <v/>
      </c>
      <c r="P56" s="11">
        <f>IFERROR(INDEX(KC_CURVAS!$H$5:$H$15,MATCH($E56&amp;"|"&amp;$G56,KC_CURVAS!$K$5:$K$15,0)),IFERROR(INDEX(KC_CURVAS!$H$5:$H$15,MATCH($E56&amp;"|",KC_CURVAS!$K$5:$K$15,0)),""))</f>
        <v/>
      </c>
      <c r="Q56" s="11">
        <f>IFERROR(INDEX(KC_CURVAS!$I$5:$I$15,MATCH($E56&amp;"|"&amp;$G56,KC_CURVAS!$K$5:$K$15,0)),IFERROR(INDEX(KC_CURVAS!$I$5:$I$15,MATCH($E56&amp;"|",KC_CURVAS!$K$5:$K$15,0)),""))</f>
        <v/>
      </c>
      <c r="R56" s="12">
        <f>IF(OR($J56="",$K56=""),"PENDENTE",IF($J56&lt;=$K56,$O56,IF($J56&lt;=$K56+$L56,$O56+($P56-$O56)*($J56-$K56)/$L56,IF($J56&lt;=$K56+$L56+$M56,$P56,IF($J56&lt;=$K56+$L56+$M56+$N56,$P56+($Q56-$P56)*($J56-($K56+$L56+$M56))/$N56,$Q56)))))</f>
        <v/>
      </c>
      <c r="S56" s="13">
        <f>ETO_SEM</f>
        <v/>
      </c>
      <c r="T56" s="14">
        <f>IF(OR($R56="",$R56="PENDENTE"),"",$R56*$S56)</f>
        <v/>
      </c>
      <c r="U56" s="13" t="n">
        <v>0</v>
      </c>
      <c r="V56" s="14">
        <f>IF($T56="","",MAX(0,$T56-N($U56)))</f>
        <v/>
      </c>
      <c r="W56" s="14">
        <f>IF($V56="","",$V56/EF_APLIC)</f>
        <v/>
      </c>
      <c r="X56" s="15" t="n">
        <v>102.01</v>
      </c>
      <c r="Y56" s="16">
        <f>IF(OR($W56="",$X56=""),"",$W56*$X56*10)</f>
        <v/>
      </c>
      <c r="Z56" s="17">
        <f>IFERROR(INDEX('PARAMETROS'!$B$16:$B$19,MATCH($D56,'PARAMETROS'!$A$16:$A$19,0)),"")</f>
        <v/>
      </c>
      <c r="AA56" s="16">
        <f>IF(OR($Y56="",$Z56=""),"",$Y56*$Z56)</f>
        <v/>
      </c>
      <c r="AB56" s="18">
        <f>IF($R56="PENDENTE","Definir classe/Kc",IF($W56="","-",IF($W56&gt;0,"Irrigar","Nao irrigar")))</f>
        <v/>
      </c>
      <c r="AC56" s="18">
        <f>IF(OR($W56="",$W56=0),"-",IF($W56&gt;=META_SEM,"Alta",IF($W56&gt;=META_SEM*FRAC_ACOMP,"Media","Baixa")))</f>
        <v/>
      </c>
      <c r="AD56" s="19" t="inlineStr"/>
    </row>
    <row r="57">
      <c r="A57" s="5" t="inlineStr">
        <is>
          <t>110</t>
        </is>
      </c>
      <c r="B57" s="5" t="inlineStr">
        <is>
          <t>RDM</t>
        </is>
      </c>
      <c r="C57" s="5" t="inlineStr">
        <is>
          <t>Módulo 01</t>
        </is>
      </c>
      <c r="D57" s="5" t="inlineStr">
        <is>
          <t>RDM1</t>
        </is>
      </c>
      <c r="E57" s="5" t="inlineStr">
        <is>
          <t>ALGODÃO</t>
        </is>
      </c>
      <c r="F57" s="6" t="inlineStr">
        <is>
          <t>FM 985 GLTP</t>
        </is>
      </c>
      <c r="G57" s="7" t="inlineStr">
        <is>
          <t>MÉDIO</t>
        </is>
      </c>
      <c r="H57" s="8" t="n">
        <v>46018</v>
      </c>
      <c r="I57" s="9">
        <f>IF($H57="","",DATA_REF-$H57)</f>
        <v/>
      </c>
      <c r="J57" s="9">
        <f>IF($I57="","",MAX(0,$I57-'PARAMETROS'!$B$12))</f>
        <v/>
      </c>
      <c r="K57" s="10">
        <f>IFERROR(INDEX(KC_CURVAS!$C$5:$C$15,MATCH($E57&amp;"|"&amp;$G57,KC_CURVAS!$K$5:$K$15,0)),IFERROR(INDEX(KC_CURVAS!$C$5:$C$15,MATCH($E57&amp;"|",KC_CURVAS!$K$5:$K$15,0)),""))</f>
        <v/>
      </c>
      <c r="L57" s="10">
        <f>IFERROR(INDEX(KC_CURVAS!$D$5:$D$15,MATCH($E57&amp;"|"&amp;$G57,KC_CURVAS!$K$5:$K$15,0)),IFERROR(INDEX(KC_CURVAS!$D$5:$D$15,MATCH($E57&amp;"|",KC_CURVAS!$K$5:$K$15,0)),""))</f>
        <v/>
      </c>
      <c r="M57" s="10">
        <f>IFERROR(INDEX(KC_CURVAS!$E$5:$E$15,MATCH($E57&amp;"|"&amp;$G57,KC_CURVAS!$K$5:$K$15,0)),IFERROR(INDEX(KC_CURVAS!$E$5:$E$15,MATCH($E57&amp;"|",KC_CURVAS!$K$5:$K$15,0)),""))</f>
        <v/>
      </c>
      <c r="N57" s="10">
        <f>IFERROR(INDEX(KC_CURVAS!$F$5:$F$15,MATCH($E57&amp;"|"&amp;$G57,KC_CURVAS!$K$5:$K$15,0)),IFERROR(INDEX(KC_CURVAS!$F$5:$F$15,MATCH($E57&amp;"|",KC_CURVAS!$K$5:$K$15,0)),""))</f>
        <v/>
      </c>
      <c r="O57" s="11">
        <f>IFERROR(INDEX(KC_CURVAS!$G$5:$G$15,MATCH($E57&amp;"|"&amp;$G57,KC_CURVAS!$K$5:$K$15,0)),IFERROR(INDEX(KC_CURVAS!$G$5:$G$15,MATCH($E57&amp;"|",KC_CURVAS!$K$5:$K$15,0)),""))</f>
        <v/>
      </c>
      <c r="P57" s="11">
        <f>IFERROR(INDEX(KC_CURVAS!$H$5:$H$15,MATCH($E57&amp;"|"&amp;$G57,KC_CURVAS!$K$5:$K$15,0)),IFERROR(INDEX(KC_CURVAS!$H$5:$H$15,MATCH($E57&amp;"|",KC_CURVAS!$K$5:$K$15,0)),""))</f>
        <v/>
      </c>
      <c r="Q57" s="11">
        <f>IFERROR(INDEX(KC_CURVAS!$I$5:$I$15,MATCH($E57&amp;"|"&amp;$G57,KC_CURVAS!$K$5:$K$15,0)),IFERROR(INDEX(KC_CURVAS!$I$5:$I$15,MATCH($E57&amp;"|",KC_CURVAS!$K$5:$K$15,0)),""))</f>
        <v/>
      </c>
      <c r="R57" s="12">
        <f>IF(OR($J57="",$K57=""),"PENDENTE",IF($J57&lt;=$K57,$O57,IF($J57&lt;=$K57+$L57,$O57+($P57-$O57)*($J57-$K57)/$L57,IF($J57&lt;=$K57+$L57+$M57,$P57,IF($J57&lt;=$K57+$L57+$M57+$N57,$P57+($Q57-$P57)*($J57-($K57+$L57+$M57))/$N57,$Q57)))))</f>
        <v/>
      </c>
      <c r="S57" s="13">
        <f>ETO_SEM</f>
        <v/>
      </c>
      <c r="T57" s="14">
        <f>IF(OR($R57="",$R57="PENDENTE"),"",$R57*$S57)</f>
        <v/>
      </c>
      <c r="U57" s="13" t="n">
        <v>0</v>
      </c>
      <c r="V57" s="14">
        <f>IF($T57="","",MAX(0,$T57-N($U57)))</f>
        <v/>
      </c>
      <c r="W57" s="14">
        <f>IF($V57="","",$V57/EF_APLIC)</f>
        <v/>
      </c>
      <c r="X57" s="15" t="n">
        <v>102.19</v>
      </c>
      <c r="Y57" s="16">
        <f>IF(OR($W57="",$X57=""),"",$W57*$X57*10)</f>
        <v/>
      </c>
      <c r="Z57" s="17">
        <f>IFERROR(INDEX('PARAMETROS'!$B$16:$B$19,MATCH($D57,'PARAMETROS'!$A$16:$A$19,0)),"")</f>
        <v/>
      </c>
      <c r="AA57" s="16">
        <f>IF(OR($Y57="",$Z57=""),"",$Y57*$Z57)</f>
        <v/>
      </c>
      <c r="AB57" s="18">
        <f>IF($R57="PENDENTE","Definir classe/Kc",IF($W57="","-",IF($W57&gt;0,"Irrigar","Nao irrigar")))</f>
        <v/>
      </c>
      <c r="AC57" s="18">
        <f>IF(OR($W57="",$W57=0),"-",IF($W57&gt;=META_SEM,"Alta",IF($W57&gt;=META_SEM*FRAC_ACOMP,"Media","Baixa")))</f>
        <v/>
      </c>
      <c r="AD57" s="19" t="inlineStr"/>
    </row>
    <row r="58">
      <c r="A58" s="5" t="inlineStr">
        <is>
          <t>112</t>
        </is>
      </c>
      <c r="B58" s="5" t="inlineStr">
        <is>
          <t>RDM</t>
        </is>
      </c>
      <c r="C58" s="5" t="inlineStr">
        <is>
          <t>Módulo 02</t>
        </is>
      </c>
      <c r="D58" s="5" t="inlineStr">
        <is>
          <t>RDM2</t>
        </is>
      </c>
      <c r="E58" s="5" t="inlineStr">
        <is>
          <t>ALGODÃO</t>
        </is>
      </c>
      <c r="F58" s="6" t="inlineStr">
        <is>
          <t>FM 911 GLTP</t>
        </is>
      </c>
      <c r="G58" s="7" t="inlineStr">
        <is>
          <t>TARDIO</t>
        </is>
      </c>
      <c r="H58" s="8" t="n">
        <v>46056</v>
      </c>
      <c r="I58" s="9">
        <f>IF($H58="","",DATA_REF-$H58)</f>
        <v/>
      </c>
      <c r="J58" s="9">
        <f>IF($I58="","",MAX(0,$I58-'PARAMETROS'!$B$12))</f>
        <v/>
      </c>
      <c r="K58" s="10">
        <f>IFERROR(INDEX(KC_CURVAS!$C$5:$C$15,MATCH($E58&amp;"|"&amp;$G58,KC_CURVAS!$K$5:$K$15,0)),IFERROR(INDEX(KC_CURVAS!$C$5:$C$15,MATCH($E58&amp;"|",KC_CURVAS!$K$5:$K$15,0)),""))</f>
        <v/>
      </c>
      <c r="L58" s="10">
        <f>IFERROR(INDEX(KC_CURVAS!$D$5:$D$15,MATCH($E58&amp;"|"&amp;$G58,KC_CURVAS!$K$5:$K$15,0)),IFERROR(INDEX(KC_CURVAS!$D$5:$D$15,MATCH($E58&amp;"|",KC_CURVAS!$K$5:$K$15,0)),""))</f>
        <v/>
      </c>
      <c r="M58" s="10">
        <f>IFERROR(INDEX(KC_CURVAS!$E$5:$E$15,MATCH($E58&amp;"|"&amp;$G58,KC_CURVAS!$K$5:$K$15,0)),IFERROR(INDEX(KC_CURVAS!$E$5:$E$15,MATCH($E58&amp;"|",KC_CURVAS!$K$5:$K$15,0)),""))</f>
        <v/>
      </c>
      <c r="N58" s="10">
        <f>IFERROR(INDEX(KC_CURVAS!$F$5:$F$15,MATCH($E58&amp;"|"&amp;$G58,KC_CURVAS!$K$5:$K$15,0)),IFERROR(INDEX(KC_CURVAS!$F$5:$F$15,MATCH($E58&amp;"|",KC_CURVAS!$K$5:$K$15,0)),""))</f>
        <v/>
      </c>
      <c r="O58" s="11">
        <f>IFERROR(INDEX(KC_CURVAS!$G$5:$G$15,MATCH($E58&amp;"|"&amp;$G58,KC_CURVAS!$K$5:$K$15,0)),IFERROR(INDEX(KC_CURVAS!$G$5:$G$15,MATCH($E58&amp;"|",KC_CURVAS!$K$5:$K$15,0)),""))</f>
        <v/>
      </c>
      <c r="P58" s="11">
        <f>IFERROR(INDEX(KC_CURVAS!$H$5:$H$15,MATCH($E58&amp;"|"&amp;$G58,KC_CURVAS!$K$5:$K$15,0)),IFERROR(INDEX(KC_CURVAS!$H$5:$H$15,MATCH($E58&amp;"|",KC_CURVAS!$K$5:$K$15,0)),""))</f>
        <v/>
      </c>
      <c r="Q58" s="11">
        <f>IFERROR(INDEX(KC_CURVAS!$I$5:$I$15,MATCH($E58&amp;"|"&amp;$G58,KC_CURVAS!$K$5:$K$15,0)),IFERROR(INDEX(KC_CURVAS!$I$5:$I$15,MATCH($E58&amp;"|",KC_CURVAS!$K$5:$K$15,0)),""))</f>
        <v/>
      </c>
      <c r="R58" s="12">
        <f>IF(OR($J58="",$K58=""),"PENDENTE",IF($J58&lt;=$K58,$O58,IF($J58&lt;=$K58+$L58,$O58+($P58-$O58)*($J58-$K58)/$L58,IF($J58&lt;=$K58+$L58+$M58,$P58,IF($J58&lt;=$K58+$L58+$M58+$N58,$P58+($Q58-$P58)*($J58-($K58+$L58+$M58))/$N58,$Q58)))))</f>
        <v/>
      </c>
      <c r="S58" s="13">
        <f>ETO_SEM</f>
        <v/>
      </c>
      <c r="T58" s="14">
        <f>IF(OR($R58="",$R58="PENDENTE"),"",$R58*$S58)</f>
        <v/>
      </c>
      <c r="U58" s="13" t="n">
        <v>0</v>
      </c>
      <c r="V58" s="14">
        <f>IF($T58="","",MAX(0,$T58-N($U58)))</f>
        <v/>
      </c>
      <c r="W58" s="14">
        <f>IF($V58="","",$V58/EF_APLIC)</f>
        <v/>
      </c>
      <c r="X58" s="15" t="n">
        <v>150.34</v>
      </c>
      <c r="Y58" s="16">
        <f>IF(OR($W58="",$X58=""),"",$W58*$X58*10)</f>
        <v/>
      </c>
      <c r="Z58" s="17">
        <f>IFERROR(INDEX('PARAMETROS'!$B$16:$B$19,MATCH($D58,'PARAMETROS'!$A$16:$A$19,0)),"")</f>
        <v/>
      </c>
      <c r="AA58" s="16">
        <f>IF(OR($Y58="",$Z58=""),"",$Y58*$Z58)</f>
        <v/>
      </c>
      <c r="AB58" s="18">
        <f>IF($R58="PENDENTE","Definir classe/Kc",IF($W58="","-",IF($W58&gt;0,"Irrigar","Nao irrigar")))</f>
        <v/>
      </c>
      <c r="AC58" s="18">
        <f>IF(OR($W58="",$W58=0),"-",IF($W58&gt;=META_SEM,"Alta",IF($W58&gt;=META_SEM*FRAC_ACOMP,"Media","Baixa")))</f>
        <v/>
      </c>
      <c r="AD58" s="19" t="inlineStr"/>
    </row>
    <row r="59">
      <c r="A59" s="5" t="inlineStr">
        <is>
          <t>113</t>
        </is>
      </c>
      <c r="B59" s="5" t="inlineStr">
        <is>
          <t>RDM</t>
        </is>
      </c>
      <c r="C59" s="5" t="inlineStr">
        <is>
          <t>Módulo 02</t>
        </is>
      </c>
      <c r="D59" s="5" t="inlineStr">
        <is>
          <t>RDM2</t>
        </is>
      </c>
      <c r="E59" s="5" t="inlineStr">
        <is>
          <t>ALGODÃO</t>
        </is>
      </c>
      <c r="F59" s="6" t="inlineStr">
        <is>
          <t>DP 1949 B3RF</t>
        </is>
      </c>
      <c r="G59" s="7" t="inlineStr">
        <is>
          <t>PRECOCE</t>
        </is>
      </c>
      <c r="H59" s="8" t="n">
        <v>46070</v>
      </c>
      <c r="I59" s="9">
        <f>IF($H59="","",DATA_REF-$H59)</f>
        <v/>
      </c>
      <c r="J59" s="9">
        <f>IF($I59="","",MAX(0,$I59-'PARAMETROS'!$B$12))</f>
        <v/>
      </c>
      <c r="K59" s="10">
        <f>IFERROR(INDEX(KC_CURVAS!$C$5:$C$15,MATCH($E59&amp;"|"&amp;$G59,KC_CURVAS!$K$5:$K$15,0)),IFERROR(INDEX(KC_CURVAS!$C$5:$C$15,MATCH($E59&amp;"|",KC_CURVAS!$K$5:$K$15,0)),""))</f>
        <v/>
      </c>
      <c r="L59" s="10">
        <f>IFERROR(INDEX(KC_CURVAS!$D$5:$D$15,MATCH($E59&amp;"|"&amp;$G59,KC_CURVAS!$K$5:$K$15,0)),IFERROR(INDEX(KC_CURVAS!$D$5:$D$15,MATCH($E59&amp;"|",KC_CURVAS!$K$5:$K$15,0)),""))</f>
        <v/>
      </c>
      <c r="M59" s="10">
        <f>IFERROR(INDEX(KC_CURVAS!$E$5:$E$15,MATCH($E59&amp;"|"&amp;$G59,KC_CURVAS!$K$5:$K$15,0)),IFERROR(INDEX(KC_CURVAS!$E$5:$E$15,MATCH($E59&amp;"|",KC_CURVAS!$K$5:$K$15,0)),""))</f>
        <v/>
      </c>
      <c r="N59" s="10">
        <f>IFERROR(INDEX(KC_CURVAS!$F$5:$F$15,MATCH($E59&amp;"|"&amp;$G59,KC_CURVAS!$K$5:$K$15,0)),IFERROR(INDEX(KC_CURVAS!$F$5:$F$15,MATCH($E59&amp;"|",KC_CURVAS!$K$5:$K$15,0)),""))</f>
        <v/>
      </c>
      <c r="O59" s="11">
        <f>IFERROR(INDEX(KC_CURVAS!$G$5:$G$15,MATCH($E59&amp;"|"&amp;$G59,KC_CURVAS!$K$5:$K$15,0)),IFERROR(INDEX(KC_CURVAS!$G$5:$G$15,MATCH($E59&amp;"|",KC_CURVAS!$K$5:$K$15,0)),""))</f>
        <v/>
      </c>
      <c r="P59" s="11">
        <f>IFERROR(INDEX(KC_CURVAS!$H$5:$H$15,MATCH($E59&amp;"|"&amp;$G59,KC_CURVAS!$K$5:$K$15,0)),IFERROR(INDEX(KC_CURVAS!$H$5:$H$15,MATCH($E59&amp;"|",KC_CURVAS!$K$5:$K$15,0)),""))</f>
        <v/>
      </c>
      <c r="Q59" s="11">
        <f>IFERROR(INDEX(KC_CURVAS!$I$5:$I$15,MATCH($E59&amp;"|"&amp;$G59,KC_CURVAS!$K$5:$K$15,0)),IFERROR(INDEX(KC_CURVAS!$I$5:$I$15,MATCH($E59&amp;"|",KC_CURVAS!$K$5:$K$15,0)),""))</f>
        <v/>
      </c>
      <c r="R59" s="12">
        <f>IF(OR($J59="",$K59=""),"PENDENTE",IF($J59&lt;=$K59,$O59,IF($J59&lt;=$K59+$L59,$O59+($P59-$O59)*($J59-$K59)/$L59,IF($J59&lt;=$K59+$L59+$M59,$P59,IF($J59&lt;=$K59+$L59+$M59+$N59,$P59+($Q59-$P59)*($J59-($K59+$L59+$M59))/$N59,$Q59)))))</f>
        <v/>
      </c>
      <c r="S59" s="13">
        <f>ETO_SEM</f>
        <v/>
      </c>
      <c r="T59" s="14">
        <f>IF(OR($R59="",$R59="PENDENTE"),"",$R59*$S59)</f>
        <v/>
      </c>
      <c r="U59" s="13" t="n">
        <v>0</v>
      </c>
      <c r="V59" s="14">
        <f>IF($T59="","",MAX(0,$T59-N($U59)))</f>
        <v/>
      </c>
      <c r="W59" s="14">
        <f>IF($V59="","",$V59/EF_APLIC)</f>
        <v/>
      </c>
      <c r="X59" s="15" t="n">
        <v>150.14</v>
      </c>
      <c r="Y59" s="16">
        <f>IF(OR($W59="",$X59=""),"",$W59*$X59*10)</f>
        <v/>
      </c>
      <c r="Z59" s="17">
        <f>IFERROR(INDEX('PARAMETROS'!$B$16:$B$19,MATCH($D59,'PARAMETROS'!$A$16:$A$19,0)),"")</f>
        <v/>
      </c>
      <c r="AA59" s="16">
        <f>IF(OR($Y59="",$Z59=""),"",$Y59*$Z59)</f>
        <v/>
      </c>
      <c r="AB59" s="18">
        <f>IF($R59="PENDENTE","Definir classe/Kc",IF($W59="","-",IF($W59&gt;0,"Irrigar","Nao irrigar")))</f>
        <v/>
      </c>
      <c r="AC59" s="18">
        <f>IF(OR($W59="",$W59=0),"-",IF($W59&gt;=META_SEM,"Alta",IF($W59&gt;=META_SEM*FRAC_ACOMP,"Media","Baixa")))</f>
        <v/>
      </c>
      <c r="AD59" s="19" t="inlineStr"/>
    </row>
    <row r="60">
      <c r="A60" s="5" t="inlineStr">
        <is>
          <t>114</t>
        </is>
      </c>
      <c r="B60" s="5" t="inlineStr">
        <is>
          <t>RDM</t>
        </is>
      </c>
      <c r="C60" s="5" t="inlineStr">
        <is>
          <t>Módulo 02</t>
        </is>
      </c>
      <c r="D60" s="5" t="inlineStr">
        <is>
          <t>RDM2</t>
        </is>
      </c>
      <c r="E60" s="5" t="inlineStr">
        <is>
          <t>ALGODÃO</t>
        </is>
      </c>
      <c r="F60" s="6" t="inlineStr">
        <is>
          <t>FM 911 GLTP</t>
        </is>
      </c>
      <c r="G60" s="7" t="inlineStr">
        <is>
          <t>TARDIO</t>
        </is>
      </c>
      <c r="H60" s="8" t="n">
        <v>46051</v>
      </c>
      <c r="I60" s="9">
        <f>IF($H60="","",DATA_REF-$H60)</f>
        <v/>
      </c>
      <c r="J60" s="9">
        <f>IF($I60="","",MAX(0,$I60-'PARAMETROS'!$B$12))</f>
        <v/>
      </c>
      <c r="K60" s="10">
        <f>IFERROR(INDEX(KC_CURVAS!$C$5:$C$15,MATCH($E60&amp;"|"&amp;$G60,KC_CURVAS!$K$5:$K$15,0)),IFERROR(INDEX(KC_CURVAS!$C$5:$C$15,MATCH($E60&amp;"|",KC_CURVAS!$K$5:$K$15,0)),""))</f>
        <v/>
      </c>
      <c r="L60" s="10">
        <f>IFERROR(INDEX(KC_CURVAS!$D$5:$D$15,MATCH($E60&amp;"|"&amp;$G60,KC_CURVAS!$K$5:$K$15,0)),IFERROR(INDEX(KC_CURVAS!$D$5:$D$15,MATCH($E60&amp;"|",KC_CURVAS!$K$5:$K$15,0)),""))</f>
        <v/>
      </c>
      <c r="M60" s="10">
        <f>IFERROR(INDEX(KC_CURVAS!$E$5:$E$15,MATCH($E60&amp;"|"&amp;$G60,KC_CURVAS!$K$5:$K$15,0)),IFERROR(INDEX(KC_CURVAS!$E$5:$E$15,MATCH($E60&amp;"|",KC_CURVAS!$K$5:$K$15,0)),""))</f>
        <v/>
      </c>
      <c r="N60" s="10">
        <f>IFERROR(INDEX(KC_CURVAS!$F$5:$F$15,MATCH($E60&amp;"|"&amp;$G60,KC_CURVAS!$K$5:$K$15,0)),IFERROR(INDEX(KC_CURVAS!$F$5:$F$15,MATCH($E60&amp;"|",KC_CURVAS!$K$5:$K$15,0)),""))</f>
        <v/>
      </c>
      <c r="O60" s="11">
        <f>IFERROR(INDEX(KC_CURVAS!$G$5:$G$15,MATCH($E60&amp;"|"&amp;$G60,KC_CURVAS!$K$5:$K$15,0)),IFERROR(INDEX(KC_CURVAS!$G$5:$G$15,MATCH($E60&amp;"|",KC_CURVAS!$K$5:$K$15,0)),""))</f>
        <v/>
      </c>
      <c r="P60" s="11">
        <f>IFERROR(INDEX(KC_CURVAS!$H$5:$H$15,MATCH($E60&amp;"|"&amp;$G60,KC_CURVAS!$K$5:$K$15,0)),IFERROR(INDEX(KC_CURVAS!$H$5:$H$15,MATCH($E60&amp;"|",KC_CURVAS!$K$5:$K$15,0)),""))</f>
        <v/>
      </c>
      <c r="Q60" s="11">
        <f>IFERROR(INDEX(KC_CURVAS!$I$5:$I$15,MATCH($E60&amp;"|"&amp;$G60,KC_CURVAS!$K$5:$K$15,0)),IFERROR(INDEX(KC_CURVAS!$I$5:$I$15,MATCH($E60&amp;"|",KC_CURVAS!$K$5:$K$15,0)),""))</f>
        <v/>
      </c>
      <c r="R60" s="12">
        <f>IF(OR($J60="",$K60=""),"PENDENTE",IF($J60&lt;=$K60,$O60,IF($J60&lt;=$K60+$L60,$O60+($P60-$O60)*($J60-$K60)/$L60,IF($J60&lt;=$K60+$L60+$M60,$P60,IF($J60&lt;=$K60+$L60+$M60+$N60,$P60+($Q60-$P60)*($J60-($K60+$L60+$M60))/$N60,$Q60)))))</f>
        <v/>
      </c>
      <c r="S60" s="13">
        <f>ETO_SEM</f>
        <v/>
      </c>
      <c r="T60" s="14">
        <f>IF(OR($R60="",$R60="PENDENTE"),"",$R60*$S60)</f>
        <v/>
      </c>
      <c r="U60" s="13" t="n">
        <v>0</v>
      </c>
      <c r="V60" s="14">
        <f>IF($T60="","",MAX(0,$T60-N($U60)))</f>
        <v/>
      </c>
      <c r="W60" s="14">
        <f>IF($V60="","",$V60/EF_APLIC)</f>
        <v/>
      </c>
      <c r="X60" s="15" t="n">
        <v>120.13</v>
      </c>
      <c r="Y60" s="16">
        <f>IF(OR($W60="",$X60=""),"",$W60*$X60*10)</f>
        <v/>
      </c>
      <c r="Z60" s="17">
        <f>IFERROR(INDEX('PARAMETROS'!$B$16:$B$19,MATCH($D60,'PARAMETROS'!$A$16:$A$19,0)),"")</f>
        <v/>
      </c>
      <c r="AA60" s="16">
        <f>IF(OR($Y60="",$Z60=""),"",$Y60*$Z60)</f>
        <v/>
      </c>
      <c r="AB60" s="18">
        <f>IF($R60="PENDENTE","Definir classe/Kc",IF($W60="","-",IF($W60&gt;0,"Irrigar","Nao irrigar")))</f>
        <v/>
      </c>
      <c r="AC60" s="18">
        <f>IF(OR($W60="",$W60=0),"-",IF($W60&gt;=META_SEM,"Alta",IF($W60&gt;=META_SEM*FRAC_ACOMP,"Media","Baixa")))</f>
        <v/>
      </c>
      <c r="AD60" s="19" t="inlineStr"/>
    </row>
    <row r="61">
      <c r="A61" s="5" t="inlineStr">
        <is>
          <t>115</t>
        </is>
      </c>
      <c r="B61" s="5" t="inlineStr">
        <is>
          <t>RDM</t>
        </is>
      </c>
      <c r="C61" s="5" t="inlineStr">
        <is>
          <t>Módulo 02</t>
        </is>
      </c>
      <c r="D61" s="5" t="inlineStr">
        <is>
          <t>RDM2</t>
        </is>
      </c>
      <c r="E61" s="5" t="inlineStr">
        <is>
          <t>ALGODÃO</t>
        </is>
      </c>
      <c r="F61" s="6" t="inlineStr">
        <is>
          <t>DP 1949 B3RF</t>
        </is>
      </c>
      <c r="G61" s="7" t="inlineStr">
        <is>
          <t>PRECOCE</t>
        </is>
      </c>
      <c r="H61" s="8" t="n">
        <v>46029</v>
      </c>
      <c r="I61" s="9">
        <f>IF($H61="","",DATA_REF-$H61)</f>
        <v/>
      </c>
      <c r="J61" s="9">
        <f>IF($I61="","",MAX(0,$I61-'PARAMETROS'!$B$12))</f>
        <v/>
      </c>
      <c r="K61" s="10">
        <f>IFERROR(INDEX(KC_CURVAS!$C$5:$C$15,MATCH($E61&amp;"|"&amp;$G61,KC_CURVAS!$K$5:$K$15,0)),IFERROR(INDEX(KC_CURVAS!$C$5:$C$15,MATCH($E61&amp;"|",KC_CURVAS!$K$5:$K$15,0)),""))</f>
        <v/>
      </c>
      <c r="L61" s="10">
        <f>IFERROR(INDEX(KC_CURVAS!$D$5:$D$15,MATCH($E61&amp;"|"&amp;$G61,KC_CURVAS!$K$5:$K$15,0)),IFERROR(INDEX(KC_CURVAS!$D$5:$D$15,MATCH($E61&amp;"|",KC_CURVAS!$K$5:$K$15,0)),""))</f>
        <v/>
      </c>
      <c r="M61" s="10">
        <f>IFERROR(INDEX(KC_CURVAS!$E$5:$E$15,MATCH($E61&amp;"|"&amp;$G61,KC_CURVAS!$K$5:$K$15,0)),IFERROR(INDEX(KC_CURVAS!$E$5:$E$15,MATCH($E61&amp;"|",KC_CURVAS!$K$5:$K$15,0)),""))</f>
        <v/>
      </c>
      <c r="N61" s="10">
        <f>IFERROR(INDEX(KC_CURVAS!$F$5:$F$15,MATCH($E61&amp;"|"&amp;$G61,KC_CURVAS!$K$5:$K$15,0)),IFERROR(INDEX(KC_CURVAS!$F$5:$F$15,MATCH($E61&amp;"|",KC_CURVAS!$K$5:$K$15,0)),""))</f>
        <v/>
      </c>
      <c r="O61" s="11">
        <f>IFERROR(INDEX(KC_CURVAS!$G$5:$G$15,MATCH($E61&amp;"|"&amp;$G61,KC_CURVAS!$K$5:$K$15,0)),IFERROR(INDEX(KC_CURVAS!$G$5:$G$15,MATCH($E61&amp;"|",KC_CURVAS!$K$5:$K$15,0)),""))</f>
        <v/>
      </c>
      <c r="P61" s="11">
        <f>IFERROR(INDEX(KC_CURVAS!$H$5:$H$15,MATCH($E61&amp;"|"&amp;$G61,KC_CURVAS!$K$5:$K$15,0)),IFERROR(INDEX(KC_CURVAS!$H$5:$H$15,MATCH($E61&amp;"|",KC_CURVAS!$K$5:$K$15,0)),""))</f>
        <v/>
      </c>
      <c r="Q61" s="11">
        <f>IFERROR(INDEX(KC_CURVAS!$I$5:$I$15,MATCH($E61&amp;"|"&amp;$G61,KC_CURVAS!$K$5:$K$15,0)),IFERROR(INDEX(KC_CURVAS!$I$5:$I$15,MATCH($E61&amp;"|",KC_CURVAS!$K$5:$K$15,0)),""))</f>
        <v/>
      </c>
      <c r="R61" s="12">
        <f>IF(OR($J61="",$K61=""),"PENDENTE",IF($J61&lt;=$K61,$O61,IF($J61&lt;=$K61+$L61,$O61+($P61-$O61)*($J61-$K61)/$L61,IF($J61&lt;=$K61+$L61+$M61,$P61,IF($J61&lt;=$K61+$L61+$M61+$N61,$P61+($Q61-$P61)*($J61-($K61+$L61+$M61))/$N61,$Q61)))))</f>
        <v/>
      </c>
      <c r="S61" s="13">
        <f>ETO_SEM</f>
        <v/>
      </c>
      <c r="T61" s="14">
        <f>IF(OR($R61="",$R61="PENDENTE"),"",$R61*$S61)</f>
        <v/>
      </c>
      <c r="U61" s="13" t="n">
        <v>0</v>
      </c>
      <c r="V61" s="14">
        <f>IF($T61="","",MAX(0,$T61-N($U61)))</f>
        <v/>
      </c>
      <c r="W61" s="14">
        <f>IF($V61="","",$V61/EF_APLIC)</f>
        <v/>
      </c>
      <c r="X61" s="15" t="n">
        <v>150.34</v>
      </c>
      <c r="Y61" s="16">
        <f>IF(OR($W61="",$X61=""),"",$W61*$X61*10)</f>
        <v/>
      </c>
      <c r="Z61" s="17">
        <f>IFERROR(INDEX('PARAMETROS'!$B$16:$B$19,MATCH($D61,'PARAMETROS'!$A$16:$A$19,0)),"")</f>
        <v/>
      </c>
      <c r="AA61" s="16">
        <f>IF(OR($Y61="",$Z61=""),"",$Y61*$Z61)</f>
        <v/>
      </c>
      <c r="AB61" s="18">
        <f>IF($R61="PENDENTE","Definir classe/Kc",IF($W61="","-",IF($W61&gt;0,"Irrigar","Nao irrigar")))</f>
        <v/>
      </c>
      <c r="AC61" s="18">
        <f>IF(OR($W61="",$W61=0),"-",IF($W61&gt;=META_SEM,"Alta",IF($W61&gt;=META_SEM*FRAC_ACOMP,"Media","Baixa")))</f>
        <v/>
      </c>
      <c r="AD61" s="19" t="inlineStr"/>
    </row>
    <row r="62">
      <c r="A62" s="5" t="inlineStr">
        <is>
          <t>131</t>
        </is>
      </c>
      <c r="B62" s="5" t="inlineStr">
        <is>
          <t>RDM</t>
        </is>
      </c>
      <c r="C62" s="5" t="inlineStr">
        <is>
          <t>Módulo 02</t>
        </is>
      </c>
      <c r="D62" s="5" t="inlineStr">
        <is>
          <t>RDM2</t>
        </is>
      </c>
      <c r="E62" s="5" t="inlineStr">
        <is>
          <t>ALGODÃO</t>
        </is>
      </c>
      <c r="F62" s="6" t="inlineStr">
        <is>
          <t>FM 985 GLTP</t>
        </is>
      </c>
      <c r="G62" s="7" t="inlineStr">
        <is>
          <t>MÉDIO</t>
        </is>
      </c>
      <c r="H62" s="8" t="n">
        <v>46016</v>
      </c>
      <c r="I62" s="9">
        <f>IF($H62="","",DATA_REF-$H62)</f>
        <v/>
      </c>
      <c r="J62" s="9">
        <f>IF($I62="","",MAX(0,$I62-'PARAMETROS'!$B$12))</f>
        <v/>
      </c>
      <c r="K62" s="10">
        <f>IFERROR(INDEX(KC_CURVAS!$C$5:$C$15,MATCH($E62&amp;"|"&amp;$G62,KC_CURVAS!$K$5:$K$15,0)),IFERROR(INDEX(KC_CURVAS!$C$5:$C$15,MATCH($E62&amp;"|",KC_CURVAS!$K$5:$K$15,0)),""))</f>
        <v/>
      </c>
      <c r="L62" s="10">
        <f>IFERROR(INDEX(KC_CURVAS!$D$5:$D$15,MATCH($E62&amp;"|"&amp;$G62,KC_CURVAS!$K$5:$K$15,0)),IFERROR(INDEX(KC_CURVAS!$D$5:$D$15,MATCH($E62&amp;"|",KC_CURVAS!$K$5:$K$15,0)),""))</f>
        <v/>
      </c>
      <c r="M62" s="10">
        <f>IFERROR(INDEX(KC_CURVAS!$E$5:$E$15,MATCH($E62&amp;"|"&amp;$G62,KC_CURVAS!$K$5:$K$15,0)),IFERROR(INDEX(KC_CURVAS!$E$5:$E$15,MATCH($E62&amp;"|",KC_CURVAS!$K$5:$K$15,0)),""))</f>
        <v/>
      </c>
      <c r="N62" s="10">
        <f>IFERROR(INDEX(KC_CURVAS!$F$5:$F$15,MATCH($E62&amp;"|"&amp;$G62,KC_CURVAS!$K$5:$K$15,0)),IFERROR(INDEX(KC_CURVAS!$F$5:$F$15,MATCH($E62&amp;"|",KC_CURVAS!$K$5:$K$15,0)),""))</f>
        <v/>
      </c>
      <c r="O62" s="11">
        <f>IFERROR(INDEX(KC_CURVAS!$G$5:$G$15,MATCH($E62&amp;"|"&amp;$G62,KC_CURVAS!$K$5:$K$15,0)),IFERROR(INDEX(KC_CURVAS!$G$5:$G$15,MATCH($E62&amp;"|",KC_CURVAS!$K$5:$K$15,0)),""))</f>
        <v/>
      </c>
      <c r="P62" s="11">
        <f>IFERROR(INDEX(KC_CURVAS!$H$5:$H$15,MATCH($E62&amp;"|"&amp;$G62,KC_CURVAS!$K$5:$K$15,0)),IFERROR(INDEX(KC_CURVAS!$H$5:$H$15,MATCH($E62&amp;"|",KC_CURVAS!$K$5:$K$15,0)),""))</f>
        <v/>
      </c>
      <c r="Q62" s="11">
        <f>IFERROR(INDEX(KC_CURVAS!$I$5:$I$15,MATCH($E62&amp;"|"&amp;$G62,KC_CURVAS!$K$5:$K$15,0)),IFERROR(INDEX(KC_CURVAS!$I$5:$I$15,MATCH($E62&amp;"|",KC_CURVAS!$K$5:$K$15,0)),""))</f>
        <v/>
      </c>
      <c r="R62" s="12">
        <f>IF(OR($J62="",$K62=""),"PENDENTE",IF($J62&lt;=$K62,$O62,IF($J62&lt;=$K62+$L62,$O62+($P62-$O62)*($J62-$K62)/$L62,IF($J62&lt;=$K62+$L62+$M62,$P62,IF($J62&lt;=$K62+$L62+$M62+$N62,$P62+($Q62-$P62)*($J62-($K62+$L62+$M62))/$N62,$Q62)))))</f>
        <v/>
      </c>
      <c r="S62" s="13">
        <f>ETO_SEM</f>
        <v/>
      </c>
      <c r="T62" s="14">
        <f>IF(OR($R62="",$R62="PENDENTE"),"",$R62*$S62)</f>
        <v/>
      </c>
      <c r="U62" s="13" t="n">
        <v>0</v>
      </c>
      <c r="V62" s="14">
        <f>IF($T62="","",MAX(0,$T62-N($U62)))</f>
        <v/>
      </c>
      <c r="W62" s="14">
        <f>IF($V62="","",$V62/EF_APLIC)</f>
        <v/>
      </c>
      <c r="X62" s="15" t="n">
        <v>101.12</v>
      </c>
      <c r="Y62" s="16">
        <f>IF(OR($W62="",$X62=""),"",$W62*$X62*10)</f>
        <v/>
      </c>
      <c r="Z62" s="17">
        <f>IFERROR(INDEX('PARAMETROS'!$B$16:$B$19,MATCH($D62,'PARAMETROS'!$A$16:$A$19,0)),"")</f>
        <v/>
      </c>
      <c r="AA62" s="16">
        <f>IF(OR($Y62="",$Z62=""),"",$Y62*$Z62)</f>
        <v/>
      </c>
      <c r="AB62" s="18">
        <f>IF($R62="PENDENTE","Definir classe/Kc",IF($W62="","-",IF($W62&gt;0,"Irrigar","Nao irrigar")))</f>
        <v/>
      </c>
      <c r="AC62" s="18">
        <f>IF(OR($W62="",$W62=0),"-",IF($W62&gt;=META_SEM,"Alta",IF($W62&gt;=META_SEM*FRAC_ACOMP,"Media","Baixa")))</f>
        <v/>
      </c>
      <c r="AD62" s="19" t="inlineStr"/>
    </row>
    <row r="63">
      <c r="A63" s="5" t="inlineStr">
        <is>
          <t>132</t>
        </is>
      </c>
      <c r="B63" s="5" t="inlineStr">
        <is>
          <t>RDM</t>
        </is>
      </c>
      <c r="C63" s="5" t="inlineStr">
        <is>
          <t>Módulo 02</t>
        </is>
      </c>
      <c r="D63" s="5" t="inlineStr">
        <is>
          <t>RDM2</t>
        </is>
      </c>
      <c r="E63" s="5" t="inlineStr">
        <is>
          <t>ALGODÃO</t>
        </is>
      </c>
      <c r="F63" s="6" t="inlineStr">
        <is>
          <t>FM 985 GLTP</t>
        </is>
      </c>
      <c r="G63" s="7" t="inlineStr">
        <is>
          <t>MÉDIO</t>
        </is>
      </c>
      <c r="H63" s="8" t="n">
        <v>46018</v>
      </c>
      <c r="I63" s="9">
        <f>IF($H63="","",DATA_REF-$H63)</f>
        <v/>
      </c>
      <c r="J63" s="9">
        <f>IF($I63="","",MAX(0,$I63-'PARAMETROS'!$B$12))</f>
        <v/>
      </c>
      <c r="K63" s="10">
        <f>IFERROR(INDEX(KC_CURVAS!$C$5:$C$15,MATCH($E63&amp;"|"&amp;$G63,KC_CURVAS!$K$5:$K$15,0)),IFERROR(INDEX(KC_CURVAS!$C$5:$C$15,MATCH($E63&amp;"|",KC_CURVAS!$K$5:$K$15,0)),""))</f>
        <v/>
      </c>
      <c r="L63" s="10">
        <f>IFERROR(INDEX(KC_CURVAS!$D$5:$D$15,MATCH($E63&amp;"|"&amp;$G63,KC_CURVAS!$K$5:$K$15,0)),IFERROR(INDEX(KC_CURVAS!$D$5:$D$15,MATCH($E63&amp;"|",KC_CURVAS!$K$5:$K$15,0)),""))</f>
        <v/>
      </c>
      <c r="M63" s="10">
        <f>IFERROR(INDEX(KC_CURVAS!$E$5:$E$15,MATCH($E63&amp;"|"&amp;$G63,KC_CURVAS!$K$5:$K$15,0)),IFERROR(INDEX(KC_CURVAS!$E$5:$E$15,MATCH($E63&amp;"|",KC_CURVAS!$K$5:$K$15,0)),""))</f>
        <v/>
      </c>
      <c r="N63" s="10">
        <f>IFERROR(INDEX(KC_CURVAS!$F$5:$F$15,MATCH($E63&amp;"|"&amp;$G63,KC_CURVAS!$K$5:$K$15,0)),IFERROR(INDEX(KC_CURVAS!$F$5:$F$15,MATCH($E63&amp;"|",KC_CURVAS!$K$5:$K$15,0)),""))</f>
        <v/>
      </c>
      <c r="O63" s="11">
        <f>IFERROR(INDEX(KC_CURVAS!$G$5:$G$15,MATCH($E63&amp;"|"&amp;$G63,KC_CURVAS!$K$5:$K$15,0)),IFERROR(INDEX(KC_CURVAS!$G$5:$G$15,MATCH($E63&amp;"|",KC_CURVAS!$K$5:$K$15,0)),""))</f>
        <v/>
      </c>
      <c r="P63" s="11">
        <f>IFERROR(INDEX(KC_CURVAS!$H$5:$H$15,MATCH($E63&amp;"|"&amp;$G63,KC_CURVAS!$K$5:$K$15,0)),IFERROR(INDEX(KC_CURVAS!$H$5:$H$15,MATCH($E63&amp;"|",KC_CURVAS!$K$5:$K$15,0)),""))</f>
        <v/>
      </c>
      <c r="Q63" s="11">
        <f>IFERROR(INDEX(KC_CURVAS!$I$5:$I$15,MATCH($E63&amp;"|"&amp;$G63,KC_CURVAS!$K$5:$K$15,0)),IFERROR(INDEX(KC_CURVAS!$I$5:$I$15,MATCH($E63&amp;"|",KC_CURVAS!$K$5:$K$15,0)),""))</f>
        <v/>
      </c>
      <c r="R63" s="12">
        <f>IF(OR($J63="",$K63=""),"PENDENTE",IF($J63&lt;=$K63,$O63,IF($J63&lt;=$K63+$L63,$O63+($P63-$O63)*($J63-$K63)/$L63,IF($J63&lt;=$K63+$L63+$M63,$P63,IF($J63&lt;=$K63+$L63+$M63+$N63,$P63+($Q63-$P63)*($J63-($K63+$L63+$M63))/$N63,$Q63)))))</f>
        <v/>
      </c>
      <c r="S63" s="13">
        <f>ETO_SEM</f>
        <v/>
      </c>
      <c r="T63" s="14">
        <f>IF(OR($R63="",$R63="PENDENTE"),"",$R63*$S63)</f>
        <v/>
      </c>
      <c r="U63" s="13" t="n">
        <v>0</v>
      </c>
      <c r="V63" s="14">
        <f>IF($T63="","",MAX(0,$T63-N($U63)))</f>
        <v/>
      </c>
      <c r="W63" s="14">
        <f>IF($V63="","",$V63/EF_APLIC)</f>
        <v/>
      </c>
      <c r="X63" s="15" t="n">
        <v>101.12</v>
      </c>
      <c r="Y63" s="16">
        <f>IF(OR($W63="",$X63=""),"",$W63*$X63*10)</f>
        <v/>
      </c>
      <c r="Z63" s="17">
        <f>IFERROR(INDEX('PARAMETROS'!$B$16:$B$19,MATCH($D63,'PARAMETROS'!$A$16:$A$19,0)),"")</f>
        <v/>
      </c>
      <c r="AA63" s="16">
        <f>IF(OR($Y63="",$Z63=""),"",$Y63*$Z63)</f>
        <v/>
      </c>
      <c r="AB63" s="18">
        <f>IF($R63="PENDENTE","Definir classe/Kc",IF($W63="","-",IF($W63&gt;0,"Irrigar","Nao irrigar")))</f>
        <v/>
      </c>
      <c r="AC63" s="18">
        <f>IF(OR($W63="",$W63=0),"-",IF($W63&gt;=META_SEM,"Alta",IF($W63&gt;=META_SEM*FRAC_ACOMP,"Media","Baixa")))</f>
        <v/>
      </c>
      <c r="AD63" s="19" t="inlineStr"/>
    </row>
    <row r="64">
      <c r="A64" s="5" t="inlineStr">
        <is>
          <t>116</t>
        </is>
      </c>
      <c r="B64" s="5" t="inlineStr">
        <is>
          <t>RDM</t>
        </is>
      </c>
      <c r="C64" s="5" t="inlineStr">
        <is>
          <t>Módulo 02</t>
        </is>
      </c>
      <c r="D64" s="5" t="inlineStr">
        <is>
          <t>RDM2</t>
        </is>
      </c>
      <c r="E64" s="5" t="inlineStr">
        <is>
          <t>ALGODÃO</t>
        </is>
      </c>
      <c r="F64" s="6" t="inlineStr">
        <is>
          <t>DP 2111 B3RF</t>
        </is>
      </c>
      <c r="G64" s="7" t="inlineStr">
        <is>
          <t>MÉDIO</t>
        </is>
      </c>
      <c r="H64" s="8" t="n">
        <v>45955</v>
      </c>
      <c r="I64" s="9">
        <f>IF($H64="","",DATA_REF-$H64)</f>
        <v/>
      </c>
      <c r="J64" s="9">
        <f>IF($I64="","",MAX(0,$I64-'PARAMETROS'!$B$12))</f>
        <v/>
      </c>
      <c r="K64" s="10">
        <f>IFERROR(INDEX(KC_CURVAS!$C$5:$C$15,MATCH($E64&amp;"|"&amp;$G64,KC_CURVAS!$K$5:$K$15,0)),IFERROR(INDEX(KC_CURVAS!$C$5:$C$15,MATCH($E64&amp;"|",KC_CURVAS!$K$5:$K$15,0)),""))</f>
        <v/>
      </c>
      <c r="L64" s="10">
        <f>IFERROR(INDEX(KC_CURVAS!$D$5:$D$15,MATCH($E64&amp;"|"&amp;$G64,KC_CURVAS!$K$5:$K$15,0)),IFERROR(INDEX(KC_CURVAS!$D$5:$D$15,MATCH($E64&amp;"|",KC_CURVAS!$K$5:$K$15,0)),""))</f>
        <v/>
      </c>
      <c r="M64" s="10">
        <f>IFERROR(INDEX(KC_CURVAS!$E$5:$E$15,MATCH($E64&amp;"|"&amp;$G64,KC_CURVAS!$K$5:$K$15,0)),IFERROR(INDEX(KC_CURVAS!$E$5:$E$15,MATCH($E64&amp;"|",KC_CURVAS!$K$5:$K$15,0)),""))</f>
        <v/>
      </c>
      <c r="N64" s="10">
        <f>IFERROR(INDEX(KC_CURVAS!$F$5:$F$15,MATCH($E64&amp;"|"&amp;$G64,KC_CURVAS!$K$5:$K$15,0)),IFERROR(INDEX(KC_CURVAS!$F$5:$F$15,MATCH($E64&amp;"|",KC_CURVAS!$K$5:$K$15,0)),""))</f>
        <v/>
      </c>
      <c r="O64" s="11">
        <f>IFERROR(INDEX(KC_CURVAS!$G$5:$G$15,MATCH($E64&amp;"|"&amp;$G64,KC_CURVAS!$K$5:$K$15,0)),IFERROR(INDEX(KC_CURVAS!$G$5:$G$15,MATCH($E64&amp;"|",KC_CURVAS!$K$5:$K$15,0)),""))</f>
        <v/>
      </c>
      <c r="P64" s="11">
        <f>IFERROR(INDEX(KC_CURVAS!$H$5:$H$15,MATCH($E64&amp;"|"&amp;$G64,KC_CURVAS!$K$5:$K$15,0)),IFERROR(INDEX(KC_CURVAS!$H$5:$H$15,MATCH($E64&amp;"|",KC_CURVAS!$K$5:$K$15,0)),""))</f>
        <v/>
      </c>
      <c r="Q64" s="11">
        <f>IFERROR(INDEX(KC_CURVAS!$I$5:$I$15,MATCH($E64&amp;"|"&amp;$G64,KC_CURVAS!$K$5:$K$15,0)),IFERROR(INDEX(KC_CURVAS!$I$5:$I$15,MATCH($E64&amp;"|",KC_CURVAS!$K$5:$K$15,0)),""))</f>
        <v/>
      </c>
      <c r="R64" s="12">
        <f>IF(OR($J64="",$K64=""),"PENDENTE",IF($J64&lt;=$K64,$O64,IF($J64&lt;=$K64+$L64,$O64+($P64-$O64)*($J64-$K64)/$L64,IF($J64&lt;=$K64+$L64+$M64,$P64,IF($J64&lt;=$K64+$L64+$M64+$N64,$P64+($Q64-$P64)*($J64-($K64+$L64+$M64))/$N64,$Q64)))))</f>
        <v/>
      </c>
      <c r="S64" s="13">
        <f>ETO_SEM</f>
        <v/>
      </c>
      <c r="T64" s="14">
        <f>IF(OR($R64="",$R64="PENDENTE"),"",$R64*$S64)</f>
        <v/>
      </c>
      <c r="U64" s="13" t="n">
        <v>0</v>
      </c>
      <c r="V64" s="14">
        <f>IF($T64="","",MAX(0,$T64-N($U64)))</f>
        <v/>
      </c>
      <c r="W64" s="14">
        <f>IF($V64="","",$V64/EF_APLIC)</f>
        <v/>
      </c>
      <c r="X64" s="15" t="n">
        <v>150.34</v>
      </c>
      <c r="Y64" s="16">
        <f>IF(OR($W64="",$X64=""),"",$W64*$X64*10)</f>
        <v/>
      </c>
      <c r="Z64" s="17">
        <f>IFERROR(INDEX('PARAMETROS'!$B$16:$B$19,MATCH($D64,'PARAMETROS'!$A$16:$A$19,0)),"")</f>
        <v/>
      </c>
      <c r="AA64" s="16">
        <f>IF(OR($Y64="",$Z64=""),"",$Y64*$Z64)</f>
        <v/>
      </c>
      <c r="AB64" s="18">
        <f>IF($R64="PENDENTE","Definir classe/Kc",IF($W64="","-",IF($W64&gt;0,"Irrigar","Nao irrigar")))</f>
        <v/>
      </c>
      <c r="AC64" s="18">
        <f>IF(OR($W64="",$W64=0),"-",IF($W64&gt;=META_SEM,"Alta",IF($W64&gt;=META_SEM*FRAC_ACOMP,"Media","Baixa")))</f>
        <v/>
      </c>
      <c r="AD64" s="19" t="inlineStr"/>
    </row>
    <row r="65">
      <c r="A65" s="5" t="inlineStr">
        <is>
          <t>117</t>
        </is>
      </c>
      <c r="B65" s="5" t="inlineStr">
        <is>
          <t>RDM</t>
        </is>
      </c>
      <c r="C65" s="5" t="inlineStr">
        <is>
          <t>Módulo 02</t>
        </is>
      </c>
      <c r="D65" s="5" t="inlineStr">
        <is>
          <t>RDM2</t>
        </is>
      </c>
      <c r="E65" s="5" t="inlineStr">
        <is>
          <t>ALGODÃO</t>
        </is>
      </c>
      <c r="F65" s="6" t="inlineStr">
        <is>
          <t>FM 974 GLT</t>
        </is>
      </c>
      <c r="G65" s="7" t="inlineStr">
        <is>
          <t>MÉDIO</t>
        </is>
      </c>
      <c r="H65" s="8" t="n">
        <v>46091</v>
      </c>
      <c r="I65" s="9">
        <f>IF($H65="","",DATA_REF-$H65)</f>
        <v/>
      </c>
      <c r="J65" s="9">
        <f>IF($I65="","",MAX(0,$I65-'PARAMETROS'!$B$12))</f>
        <v/>
      </c>
      <c r="K65" s="10">
        <f>IFERROR(INDEX(KC_CURVAS!$C$5:$C$15,MATCH($E65&amp;"|"&amp;$G65,KC_CURVAS!$K$5:$K$15,0)),IFERROR(INDEX(KC_CURVAS!$C$5:$C$15,MATCH($E65&amp;"|",KC_CURVAS!$K$5:$K$15,0)),""))</f>
        <v/>
      </c>
      <c r="L65" s="10">
        <f>IFERROR(INDEX(KC_CURVAS!$D$5:$D$15,MATCH($E65&amp;"|"&amp;$G65,KC_CURVAS!$K$5:$K$15,0)),IFERROR(INDEX(KC_CURVAS!$D$5:$D$15,MATCH($E65&amp;"|",KC_CURVAS!$K$5:$K$15,0)),""))</f>
        <v/>
      </c>
      <c r="M65" s="10">
        <f>IFERROR(INDEX(KC_CURVAS!$E$5:$E$15,MATCH($E65&amp;"|"&amp;$G65,KC_CURVAS!$K$5:$K$15,0)),IFERROR(INDEX(KC_CURVAS!$E$5:$E$15,MATCH($E65&amp;"|",KC_CURVAS!$K$5:$K$15,0)),""))</f>
        <v/>
      </c>
      <c r="N65" s="10">
        <f>IFERROR(INDEX(KC_CURVAS!$F$5:$F$15,MATCH($E65&amp;"|"&amp;$G65,KC_CURVAS!$K$5:$K$15,0)),IFERROR(INDEX(KC_CURVAS!$F$5:$F$15,MATCH($E65&amp;"|",KC_CURVAS!$K$5:$K$15,0)),""))</f>
        <v/>
      </c>
      <c r="O65" s="11">
        <f>IFERROR(INDEX(KC_CURVAS!$G$5:$G$15,MATCH($E65&amp;"|"&amp;$G65,KC_CURVAS!$K$5:$K$15,0)),IFERROR(INDEX(KC_CURVAS!$G$5:$G$15,MATCH($E65&amp;"|",KC_CURVAS!$K$5:$K$15,0)),""))</f>
        <v/>
      </c>
      <c r="P65" s="11">
        <f>IFERROR(INDEX(KC_CURVAS!$H$5:$H$15,MATCH($E65&amp;"|"&amp;$G65,KC_CURVAS!$K$5:$K$15,0)),IFERROR(INDEX(KC_CURVAS!$H$5:$H$15,MATCH($E65&amp;"|",KC_CURVAS!$K$5:$K$15,0)),""))</f>
        <v/>
      </c>
      <c r="Q65" s="11">
        <f>IFERROR(INDEX(KC_CURVAS!$I$5:$I$15,MATCH($E65&amp;"|"&amp;$G65,KC_CURVAS!$K$5:$K$15,0)),IFERROR(INDEX(KC_CURVAS!$I$5:$I$15,MATCH($E65&amp;"|",KC_CURVAS!$K$5:$K$15,0)),""))</f>
        <v/>
      </c>
      <c r="R65" s="12">
        <f>IF(OR($J65="",$K65=""),"PENDENTE",IF($J65&lt;=$K65,$O65,IF($J65&lt;=$K65+$L65,$O65+($P65-$O65)*($J65-$K65)/$L65,IF($J65&lt;=$K65+$L65+$M65,$P65,IF($J65&lt;=$K65+$L65+$M65+$N65,$P65+($Q65-$P65)*($J65-($K65+$L65+$M65))/$N65,$Q65)))))</f>
        <v/>
      </c>
      <c r="S65" s="13">
        <f>ETO_SEM</f>
        <v/>
      </c>
      <c r="T65" s="14">
        <f>IF(OR($R65="",$R65="PENDENTE"),"",$R65*$S65)</f>
        <v/>
      </c>
      <c r="U65" s="13" t="n">
        <v>0</v>
      </c>
      <c r="V65" s="14">
        <f>IF($T65="","",MAX(0,$T65-N($U65)))</f>
        <v/>
      </c>
      <c r="W65" s="14">
        <f>IF($V65="","",$V65/EF_APLIC)</f>
        <v/>
      </c>
      <c r="X65" s="15" t="n">
        <v>150.34</v>
      </c>
      <c r="Y65" s="16">
        <f>IF(OR($W65="",$X65=""),"",$W65*$X65*10)</f>
        <v/>
      </c>
      <c r="Z65" s="17">
        <f>IFERROR(INDEX('PARAMETROS'!$B$16:$B$19,MATCH($D65,'PARAMETROS'!$A$16:$A$19,0)),"")</f>
        <v/>
      </c>
      <c r="AA65" s="16">
        <f>IF(OR($Y65="",$Z65=""),"",$Y65*$Z65)</f>
        <v/>
      </c>
      <c r="AB65" s="18">
        <f>IF($R65="PENDENTE","Definir classe/Kc",IF($W65="","-",IF($W65&gt;0,"Irrigar","Nao irrigar")))</f>
        <v/>
      </c>
      <c r="AC65" s="18">
        <f>IF(OR($W65="",$W65=0),"-",IF($W65&gt;=META_SEM,"Alta",IF($W65&gt;=META_SEM*FRAC_ACOMP,"Media","Baixa")))</f>
        <v/>
      </c>
      <c r="AD65" s="19" t="inlineStr"/>
    </row>
    <row r="66">
      <c r="A66" s="5" t="inlineStr">
        <is>
          <t>122</t>
        </is>
      </c>
      <c r="B66" s="5" t="inlineStr">
        <is>
          <t>RDM</t>
        </is>
      </c>
      <c r="C66" s="5" t="inlineStr">
        <is>
          <t>Módulo 02</t>
        </is>
      </c>
      <c r="D66" s="5" t="inlineStr">
        <is>
          <t>RDM2</t>
        </is>
      </c>
      <c r="E66" s="5" t="inlineStr">
        <is>
          <t>ALGODÃO</t>
        </is>
      </c>
      <c r="F66" s="6" t="inlineStr">
        <is>
          <t>DP 1949 B3RF</t>
        </is>
      </c>
      <c r="G66" s="7" t="inlineStr">
        <is>
          <t>PRECOCE</t>
        </is>
      </c>
      <c r="H66" s="8" t="n">
        <v>46088</v>
      </c>
      <c r="I66" s="9">
        <f>IF($H66="","",DATA_REF-$H66)</f>
        <v/>
      </c>
      <c r="J66" s="9">
        <f>IF($I66="","",MAX(0,$I66-'PARAMETROS'!$B$12))</f>
        <v/>
      </c>
      <c r="K66" s="10">
        <f>IFERROR(INDEX(KC_CURVAS!$C$5:$C$15,MATCH($E66&amp;"|"&amp;$G66,KC_CURVAS!$K$5:$K$15,0)),IFERROR(INDEX(KC_CURVAS!$C$5:$C$15,MATCH($E66&amp;"|",KC_CURVAS!$K$5:$K$15,0)),""))</f>
        <v/>
      </c>
      <c r="L66" s="10">
        <f>IFERROR(INDEX(KC_CURVAS!$D$5:$D$15,MATCH($E66&amp;"|"&amp;$G66,KC_CURVAS!$K$5:$K$15,0)),IFERROR(INDEX(KC_CURVAS!$D$5:$D$15,MATCH($E66&amp;"|",KC_CURVAS!$K$5:$K$15,0)),""))</f>
        <v/>
      </c>
      <c r="M66" s="10">
        <f>IFERROR(INDEX(KC_CURVAS!$E$5:$E$15,MATCH($E66&amp;"|"&amp;$G66,KC_CURVAS!$K$5:$K$15,0)),IFERROR(INDEX(KC_CURVAS!$E$5:$E$15,MATCH($E66&amp;"|",KC_CURVAS!$K$5:$K$15,0)),""))</f>
        <v/>
      </c>
      <c r="N66" s="10">
        <f>IFERROR(INDEX(KC_CURVAS!$F$5:$F$15,MATCH($E66&amp;"|"&amp;$G66,KC_CURVAS!$K$5:$K$15,0)),IFERROR(INDEX(KC_CURVAS!$F$5:$F$15,MATCH($E66&amp;"|",KC_CURVAS!$K$5:$K$15,0)),""))</f>
        <v/>
      </c>
      <c r="O66" s="11">
        <f>IFERROR(INDEX(KC_CURVAS!$G$5:$G$15,MATCH($E66&amp;"|"&amp;$G66,KC_CURVAS!$K$5:$K$15,0)),IFERROR(INDEX(KC_CURVAS!$G$5:$G$15,MATCH($E66&amp;"|",KC_CURVAS!$K$5:$K$15,0)),""))</f>
        <v/>
      </c>
      <c r="P66" s="11">
        <f>IFERROR(INDEX(KC_CURVAS!$H$5:$H$15,MATCH($E66&amp;"|"&amp;$G66,KC_CURVAS!$K$5:$K$15,0)),IFERROR(INDEX(KC_CURVAS!$H$5:$H$15,MATCH($E66&amp;"|",KC_CURVAS!$K$5:$K$15,0)),""))</f>
        <v/>
      </c>
      <c r="Q66" s="11">
        <f>IFERROR(INDEX(KC_CURVAS!$I$5:$I$15,MATCH($E66&amp;"|"&amp;$G66,KC_CURVAS!$K$5:$K$15,0)),IFERROR(INDEX(KC_CURVAS!$I$5:$I$15,MATCH($E66&amp;"|",KC_CURVAS!$K$5:$K$15,0)),""))</f>
        <v/>
      </c>
      <c r="R66" s="12">
        <f>IF(OR($J66="",$K66=""),"PENDENTE",IF($J66&lt;=$K66,$O66,IF($J66&lt;=$K66+$L66,$O66+($P66-$O66)*($J66-$K66)/$L66,IF($J66&lt;=$K66+$L66+$M66,$P66,IF($J66&lt;=$K66+$L66+$M66+$N66,$P66+($Q66-$P66)*($J66-($K66+$L66+$M66))/$N66,$Q66)))))</f>
        <v/>
      </c>
      <c r="S66" s="13">
        <f>ETO_SEM</f>
        <v/>
      </c>
      <c r="T66" s="14">
        <f>IF(OR($R66="",$R66="PENDENTE"),"",$R66*$S66)</f>
        <v/>
      </c>
      <c r="U66" s="13" t="n">
        <v>0</v>
      </c>
      <c r="V66" s="14">
        <f>IF($T66="","",MAX(0,$T66-N($U66)))</f>
        <v/>
      </c>
      <c r="W66" s="14">
        <f>IF($V66="","",$V66/EF_APLIC)</f>
        <v/>
      </c>
      <c r="X66" s="15" t="n">
        <v>150.14</v>
      </c>
      <c r="Y66" s="16">
        <f>IF(OR($W66="",$X66=""),"",$W66*$X66*10)</f>
        <v/>
      </c>
      <c r="Z66" s="17">
        <f>IFERROR(INDEX('PARAMETROS'!$B$16:$B$19,MATCH($D66,'PARAMETROS'!$A$16:$A$19,0)),"")</f>
        <v/>
      </c>
      <c r="AA66" s="16">
        <f>IF(OR($Y66="",$Z66=""),"",$Y66*$Z66)</f>
        <v/>
      </c>
      <c r="AB66" s="18">
        <f>IF($R66="PENDENTE","Definir classe/Kc",IF($W66="","-",IF($W66&gt;0,"Irrigar","Nao irrigar")))</f>
        <v/>
      </c>
      <c r="AC66" s="18">
        <f>IF(OR($W66="",$W66=0),"-",IF($W66&gt;=META_SEM,"Alta",IF($W66&gt;=META_SEM*FRAC_ACOMP,"Media","Baixa")))</f>
        <v/>
      </c>
      <c r="AD66" s="19" t="inlineStr"/>
    </row>
    <row r="67">
      <c r="A67" s="5" t="inlineStr">
        <is>
          <t>123</t>
        </is>
      </c>
      <c r="B67" s="5" t="inlineStr">
        <is>
          <t>RDM</t>
        </is>
      </c>
      <c r="C67" s="5" t="inlineStr">
        <is>
          <t>Módulo 02</t>
        </is>
      </c>
      <c r="D67" s="5" t="inlineStr">
        <is>
          <t>RDM2</t>
        </is>
      </c>
      <c r="E67" s="5" t="inlineStr">
        <is>
          <t>ALGODÃO</t>
        </is>
      </c>
      <c r="F67" s="6" t="inlineStr">
        <is>
          <t>DP 1949 B3RF</t>
        </is>
      </c>
      <c r="G67" s="7" t="inlineStr">
        <is>
          <t>PRECOCE</t>
        </is>
      </c>
      <c r="H67" s="8" t="n">
        <v>46086</v>
      </c>
      <c r="I67" s="9">
        <f>IF($H67="","",DATA_REF-$H67)</f>
        <v/>
      </c>
      <c r="J67" s="9">
        <f>IF($I67="","",MAX(0,$I67-'PARAMETROS'!$B$12))</f>
        <v/>
      </c>
      <c r="K67" s="10">
        <f>IFERROR(INDEX(KC_CURVAS!$C$5:$C$15,MATCH($E67&amp;"|"&amp;$G67,KC_CURVAS!$K$5:$K$15,0)),IFERROR(INDEX(KC_CURVAS!$C$5:$C$15,MATCH($E67&amp;"|",KC_CURVAS!$K$5:$K$15,0)),""))</f>
        <v/>
      </c>
      <c r="L67" s="10">
        <f>IFERROR(INDEX(KC_CURVAS!$D$5:$D$15,MATCH($E67&amp;"|"&amp;$G67,KC_CURVAS!$K$5:$K$15,0)),IFERROR(INDEX(KC_CURVAS!$D$5:$D$15,MATCH($E67&amp;"|",KC_CURVAS!$K$5:$K$15,0)),""))</f>
        <v/>
      </c>
      <c r="M67" s="10">
        <f>IFERROR(INDEX(KC_CURVAS!$E$5:$E$15,MATCH($E67&amp;"|"&amp;$G67,KC_CURVAS!$K$5:$K$15,0)),IFERROR(INDEX(KC_CURVAS!$E$5:$E$15,MATCH($E67&amp;"|",KC_CURVAS!$K$5:$K$15,0)),""))</f>
        <v/>
      </c>
      <c r="N67" s="10">
        <f>IFERROR(INDEX(KC_CURVAS!$F$5:$F$15,MATCH($E67&amp;"|"&amp;$G67,KC_CURVAS!$K$5:$K$15,0)),IFERROR(INDEX(KC_CURVAS!$F$5:$F$15,MATCH($E67&amp;"|",KC_CURVAS!$K$5:$K$15,0)),""))</f>
        <v/>
      </c>
      <c r="O67" s="11">
        <f>IFERROR(INDEX(KC_CURVAS!$G$5:$G$15,MATCH($E67&amp;"|"&amp;$G67,KC_CURVAS!$K$5:$K$15,0)),IFERROR(INDEX(KC_CURVAS!$G$5:$G$15,MATCH($E67&amp;"|",KC_CURVAS!$K$5:$K$15,0)),""))</f>
        <v/>
      </c>
      <c r="P67" s="11">
        <f>IFERROR(INDEX(KC_CURVAS!$H$5:$H$15,MATCH($E67&amp;"|"&amp;$G67,KC_CURVAS!$K$5:$K$15,0)),IFERROR(INDEX(KC_CURVAS!$H$5:$H$15,MATCH($E67&amp;"|",KC_CURVAS!$K$5:$K$15,0)),""))</f>
        <v/>
      </c>
      <c r="Q67" s="11">
        <f>IFERROR(INDEX(KC_CURVAS!$I$5:$I$15,MATCH($E67&amp;"|"&amp;$G67,KC_CURVAS!$K$5:$K$15,0)),IFERROR(INDEX(KC_CURVAS!$I$5:$I$15,MATCH($E67&amp;"|",KC_CURVAS!$K$5:$K$15,0)),""))</f>
        <v/>
      </c>
      <c r="R67" s="12">
        <f>IF(OR($J67="",$K67=""),"PENDENTE",IF($J67&lt;=$K67,$O67,IF($J67&lt;=$K67+$L67,$O67+($P67-$O67)*($J67-$K67)/$L67,IF($J67&lt;=$K67+$L67+$M67,$P67,IF($J67&lt;=$K67+$L67+$M67+$N67,$P67+($Q67-$P67)*($J67-($K67+$L67+$M67))/$N67,$Q67)))))</f>
        <v/>
      </c>
      <c r="S67" s="13">
        <f>ETO_SEM</f>
        <v/>
      </c>
      <c r="T67" s="14">
        <f>IF(OR($R67="",$R67="PENDENTE"),"",$R67*$S67)</f>
        <v/>
      </c>
      <c r="U67" s="13" t="n">
        <v>0</v>
      </c>
      <c r="V67" s="14">
        <f>IF($T67="","",MAX(0,$T67-N($U67)))</f>
        <v/>
      </c>
      <c r="W67" s="14">
        <f>IF($V67="","",$V67/EF_APLIC)</f>
        <v/>
      </c>
      <c r="X67" s="15" t="n">
        <v>150.34</v>
      </c>
      <c r="Y67" s="16">
        <f>IF(OR($W67="",$X67=""),"",$W67*$X67*10)</f>
        <v/>
      </c>
      <c r="Z67" s="17">
        <f>IFERROR(INDEX('PARAMETROS'!$B$16:$B$19,MATCH($D67,'PARAMETROS'!$A$16:$A$19,0)),"")</f>
        <v/>
      </c>
      <c r="AA67" s="16">
        <f>IF(OR($Y67="",$Z67=""),"",$Y67*$Z67)</f>
        <v/>
      </c>
      <c r="AB67" s="18">
        <f>IF($R67="PENDENTE","Definir classe/Kc",IF($W67="","-",IF($W67&gt;0,"Irrigar","Nao irrigar")))</f>
        <v/>
      </c>
      <c r="AC67" s="18">
        <f>IF(OR($W67="",$W67=0),"-",IF($W67&gt;=META_SEM,"Alta",IF($W67&gt;=META_SEM*FRAC_ACOMP,"Media","Baixa")))</f>
        <v/>
      </c>
      <c r="AD67" s="19" t="inlineStr"/>
    </row>
    <row r="69">
      <c r="A69" s="21" t="inlineStr">
        <is>
          <t>Manejo via CLIMA: ETc = Kc x ETo semanal; Nec liquida = ETc - chuva efetiva; Nec bruta = Nec liq / 0,90. Kc automatico pela curva FAO-56 (KC_CURVAS) conforme o DAE. Energia = Volume x CE do setor. Colunas cinza-claro (Lini..Kcend) sao auxiliares do Kc. Editar ETo semanal e chuva a cada semana.</t>
        </is>
      </c>
    </row>
  </sheetData>
  <mergeCells count="1">
    <mergeCell ref="A69:AD6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D1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7" customWidth="1" min="4" max="4"/>
    <col width="9" customWidth="1" min="5" max="5"/>
    <col width="15" customWidth="1" min="6" max="6"/>
    <col width="9" customWidth="1" min="7" max="7"/>
    <col width="11" customWidth="1" min="8" max="8"/>
    <col width="6" customWidth="1" min="9" max="9"/>
    <col width="6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1" customWidth="1" min="23" max="23"/>
    <col width="8" customWidth="1" min="24" max="24"/>
    <col width="11" customWidth="1" min="25" max="25"/>
    <col width="10" customWidth="1" min="26" max="26"/>
    <col width="11" customWidth="1" min="27" max="27"/>
    <col width="12" customWidth="1" min="28" max="28"/>
    <col width="11" customWidth="1" min="29" max="29"/>
    <col width="20" customWidth="1" min="30" max="30"/>
  </cols>
  <sheetData>
    <row r="1" ht="20" customHeight="1">
      <c r="A1" s="1" t="inlineStr">
        <is>
          <t>TABACO - demanda via clima</t>
        </is>
      </c>
    </row>
    <row r="2">
      <c r="A2" s="3" t="inlineStr">
        <is>
          <t>Curva unica de tabaco. Classe ignorada no Kc. Atualizar plantio.</t>
        </is>
      </c>
    </row>
    <row r="4" ht="30" customHeight="1">
      <c r="A4" s="4" t="inlineStr">
        <is>
          <t>Pivo</t>
        </is>
      </c>
      <c r="B4" s="4" t="inlineStr">
        <is>
          <t>Faz</t>
        </is>
      </c>
      <c r="C4" s="4" t="inlineStr">
        <is>
          <t>Modulo</t>
        </is>
      </c>
      <c r="D4" s="4" t="inlineStr">
        <is>
          <t>Setor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Plantio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Lini</t>
        </is>
      </c>
      <c r="L4" s="4" t="inlineStr">
        <is>
          <t>Ldev</t>
        </is>
      </c>
      <c r="M4" s="4" t="inlineStr">
        <is>
          <t>Lmid</t>
        </is>
      </c>
      <c r="N4" s="4" t="inlineStr">
        <is>
          <t>Llate</t>
        </is>
      </c>
      <c r="O4" s="4" t="inlineStr">
        <is>
          <t>Kcini</t>
        </is>
      </c>
      <c r="P4" s="4" t="inlineStr">
        <is>
          <t>Kcmid</t>
        </is>
      </c>
      <c r="Q4" s="4" t="inlineStr">
        <is>
          <t>Kcend</t>
        </is>
      </c>
      <c r="R4" s="4" t="inlineStr">
        <is>
          <t>Kc (auto)</t>
        </is>
      </c>
      <c r="S4" s="4" t="inlineStr">
        <is>
          <t>ETo sem (mm)</t>
        </is>
      </c>
      <c r="T4" s="4" t="inlineStr">
        <is>
          <t>ETc sem (mm)</t>
        </is>
      </c>
      <c r="U4" s="4" t="inlineStr">
        <is>
          <t>Chuva ef (mm)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Area (ha)</t>
        </is>
      </c>
      <c r="Y4" s="4" t="inlineStr">
        <is>
          <t>Volume (m3)</t>
        </is>
      </c>
      <c r="Z4" s="4" t="inlineStr">
        <is>
          <t>CE (kWh/m3)</t>
        </is>
      </c>
      <c r="AA4" s="4" t="inlineStr">
        <is>
          <t>Energia (kWh)</t>
        </is>
      </c>
      <c r="AB4" s="4" t="inlineStr">
        <is>
          <t>Decisao</t>
        </is>
      </c>
      <c r="AC4" s="4" t="inlineStr">
        <is>
          <t>Prioridade</t>
        </is>
      </c>
      <c r="AD4" s="4" t="inlineStr">
        <is>
          <t>Obs</t>
        </is>
      </c>
    </row>
    <row r="5">
      <c r="A5" s="5" t="inlineStr">
        <is>
          <t>3</t>
        </is>
      </c>
      <c r="B5" s="5" t="inlineStr">
        <is>
          <t>Karitel</t>
        </is>
      </c>
      <c r="C5" s="5" t="inlineStr">
        <is>
          <t>Módulo 01</t>
        </is>
      </c>
      <c r="D5" s="5" t="inlineStr">
        <is>
          <t>KM1</t>
        </is>
      </c>
      <c r="E5" s="5" t="inlineStr">
        <is>
          <t>TABACO</t>
        </is>
      </c>
      <c r="F5" s="6" t="inlineStr"/>
      <c r="G5" s="7" t="inlineStr"/>
      <c r="H5" s="8" t="n">
        <v>45924</v>
      </c>
      <c r="I5" s="9">
        <f>IF($H5="","",DATA_REF-$H5)</f>
        <v/>
      </c>
      <c r="J5" s="9">
        <f>IF($I5="","",MAX(0,$I5-'PARAMETROS'!$B$12))</f>
        <v/>
      </c>
      <c r="K5" s="10">
        <f>IFERROR(INDEX(KC_CURVAS!$C$5:$C$15,MATCH($E5&amp;"|"&amp;$G5,KC_CURVAS!$K$5:$K$15,0)),IFERROR(INDEX(KC_CURVAS!$C$5:$C$15,MATCH($E5&amp;"|",KC_CURVAS!$K$5:$K$15,0)),""))</f>
        <v/>
      </c>
      <c r="L5" s="10">
        <f>IFERROR(INDEX(KC_CURVAS!$D$5:$D$15,MATCH($E5&amp;"|"&amp;$G5,KC_CURVAS!$K$5:$K$15,0)),IFERROR(INDEX(KC_CURVAS!$D$5:$D$15,MATCH($E5&amp;"|",KC_CURVAS!$K$5:$K$15,0)),""))</f>
        <v/>
      </c>
      <c r="M5" s="10">
        <f>IFERROR(INDEX(KC_CURVAS!$E$5:$E$15,MATCH($E5&amp;"|"&amp;$G5,KC_CURVAS!$K$5:$K$15,0)),IFERROR(INDEX(KC_CURVAS!$E$5:$E$15,MATCH($E5&amp;"|",KC_CURVAS!$K$5:$K$15,0)),""))</f>
        <v/>
      </c>
      <c r="N5" s="10">
        <f>IFERROR(INDEX(KC_CURVAS!$F$5:$F$15,MATCH($E5&amp;"|"&amp;$G5,KC_CURVAS!$K$5:$K$15,0)),IFERROR(INDEX(KC_CURVAS!$F$5:$F$15,MATCH($E5&amp;"|",KC_CURVAS!$K$5:$K$15,0)),""))</f>
        <v/>
      </c>
      <c r="O5" s="11">
        <f>IFERROR(INDEX(KC_CURVAS!$G$5:$G$15,MATCH($E5&amp;"|"&amp;$G5,KC_CURVAS!$K$5:$K$15,0)),IFERROR(INDEX(KC_CURVAS!$G$5:$G$15,MATCH($E5&amp;"|",KC_CURVAS!$K$5:$K$15,0)),""))</f>
        <v/>
      </c>
      <c r="P5" s="11">
        <f>IFERROR(INDEX(KC_CURVAS!$H$5:$H$15,MATCH($E5&amp;"|"&amp;$G5,KC_CURVAS!$K$5:$K$15,0)),IFERROR(INDEX(KC_CURVAS!$H$5:$H$15,MATCH($E5&amp;"|",KC_CURVAS!$K$5:$K$15,0)),""))</f>
        <v/>
      </c>
      <c r="Q5" s="11">
        <f>IFERROR(INDEX(KC_CURVAS!$I$5:$I$15,MATCH($E5&amp;"|"&amp;$G5,KC_CURVAS!$K$5:$K$15,0)),IFERROR(INDEX(KC_CURVAS!$I$5:$I$15,MATCH($E5&amp;"|",KC_CURVAS!$K$5:$K$15,0)),""))</f>
        <v/>
      </c>
      <c r="R5" s="12">
        <f>IF(OR($J5="",$K5=""),"PENDENTE",IF($J5&lt;=$K5,$O5,IF($J5&lt;=$K5+$L5,$O5+($P5-$O5)*($J5-$K5)/$L5,IF($J5&lt;=$K5+$L5+$M5,$P5,IF($J5&lt;=$K5+$L5+$M5+$N5,$P5+($Q5-$P5)*($J5-($K5+$L5+$M5))/$N5,$Q5)))))</f>
        <v/>
      </c>
      <c r="S5" s="13">
        <f>ETO_SEM</f>
        <v/>
      </c>
      <c r="T5" s="14">
        <f>IF(OR($R5="",$R5="PENDENTE"),"",$R5*$S5)</f>
        <v/>
      </c>
      <c r="U5" s="13" t="n">
        <v>0</v>
      </c>
      <c r="V5" s="14">
        <f>IF($T5="","",MAX(0,$T5-N($U5)))</f>
        <v/>
      </c>
      <c r="W5" s="14">
        <f>IF($V5="","",$V5/EF_APLIC)</f>
        <v/>
      </c>
      <c r="X5" s="15" t="n">
        <v>150.01</v>
      </c>
      <c r="Y5" s="16">
        <f>IF(OR($W5="",$X5=""),"",$W5*$X5*10)</f>
        <v/>
      </c>
      <c r="Z5" s="17">
        <f>IFERROR(INDEX('PARAMETROS'!$B$16:$B$19,MATCH($D5,'PARAMETROS'!$A$16:$A$19,0)),"")</f>
        <v/>
      </c>
      <c r="AA5" s="16">
        <f>IF(OR($Y5="",$Z5=""),"",$Y5*$Z5)</f>
        <v/>
      </c>
      <c r="AB5" s="18">
        <f>IF($R5="PENDENTE","Definir classe/Kc",IF($W5="","-",IF($W5&gt;0,"Irrigar","Nao irrigar")))</f>
        <v/>
      </c>
      <c r="AC5" s="18">
        <f>IF(OR($W5="",$W5=0),"-",IF($W5&gt;=META_SEM,"Alta",IF($W5&gt;=META_SEM*FRAC_ACOMP,"Media","Baixa")))</f>
        <v/>
      </c>
      <c r="AD5" s="19" t="inlineStr"/>
    </row>
    <row r="6">
      <c r="A6" s="5" t="inlineStr">
        <is>
          <t>4</t>
        </is>
      </c>
      <c r="B6" s="5" t="inlineStr">
        <is>
          <t>Karitel</t>
        </is>
      </c>
      <c r="C6" s="5" t="inlineStr">
        <is>
          <t>Módulo 01</t>
        </is>
      </c>
      <c r="D6" s="5" t="inlineStr">
        <is>
          <t>KM1</t>
        </is>
      </c>
      <c r="E6" s="5" t="inlineStr">
        <is>
          <t>TABACO</t>
        </is>
      </c>
      <c r="F6" s="6" t="inlineStr"/>
      <c r="G6" s="7" t="inlineStr"/>
      <c r="H6" s="8" t="n">
        <v>45918</v>
      </c>
      <c r="I6" s="9">
        <f>IF($H6="","",DATA_REF-$H6)</f>
        <v/>
      </c>
      <c r="J6" s="9">
        <f>IF($I6="","",MAX(0,$I6-'PARAMETROS'!$B$12))</f>
        <v/>
      </c>
      <c r="K6" s="10">
        <f>IFERROR(INDEX(KC_CURVAS!$C$5:$C$15,MATCH($E6&amp;"|"&amp;$G6,KC_CURVAS!$K$5:$K$15,0)),IFERROR(INDEX(KC_CURVAS!$C$5:$C$15,MATCH($E6&amp;"|",KC_CURVAS!$K$5:$K$15,0)),""))</f>
        <v/>
      </c>
      <c r="L6" s="10">
        <f>IFERROR(INDEX(KC_CURVAS!$D$5:$D$15,MATCH($E6&amp;"|"&amp;$G6,KC_CURVAS!$K$5:$K$15,0)),IFERROR(INDEX(KC_CURVAS!$D$5:$D$15,MATCH($E6&amp;"|",KC_CURVAS!$K$5:$K$15,0)),""))</f>
        <v/>
      </c>
      <c r="M6" s="10">
        <f>IFERROR(INDEX(KC_CURVAS!$E$5:$E$15,MATCH($E6&amp;"|"&amp;$G6,KC_CURVAS!$K$5:$K$15,0)),IFERROR(INDEX(KC_CURVAS!$E$5:$E$15,MATCH($E6&amp;"|",KC_CURVAS!$K$5:$K$15,0)),""))</f>
        <v/>
      </c>
      <c r="N6" s="10">
        <f>IFERROR(INDEX(KC_CURVAS!$F$5:$F$15,MATCH($E6&amp;"|"&amp;$G6,KC_CURVAS!$K$5:$K$15,0)),IFERROR(INDEX(KC_CURVAS!$F$5:$F$15,MATCH($E6&amp;"|",KC_CURVAS!$K$5:$K$15,0)),""))</f>
        <v/>
      </c>
      <c r="O6" s="11">
        <f>IFERROR(INDEX(KC_CURVAS!$G$5:$G$15,MATCH($E6&amp;"|"&amp;$G6,KC_CURVAS!$K$5:$K$15,0)),IFERROR(INDEX(KC_CURVAS!$G$5:$G$15,MATCH($E6&amp;"|",KC_CURVAS!$K$5:$K$15,0)),""))</f>
        <v/>
      </c>
      <c r="P6" s="11">
        <f>IFERROR(INDEX(KC_CURVAS!$H$5:$H$15,MATCH($E6&amp;"|"&amp;$G6,KC_CURVAS!$K$5:$K$15,0)),IFERROR(INDEX(KC_CURVAS!$H$5:$H$15,MATCH($E6&amp;"|",KC_CURVAS!$K$5:$K$15,0)),""))</f>
        <v/>
      </c>
      <c r="Q6" s="11">
        <f>IFERROR(INDEX(KC_CURVAS!$I$5:$I$15,MATCH($E6&amp;"|"&amp;$G6,KC_CURVAS!$K$5:$K$15,0)),IFERROR(INDEX(KC_CURVAS!$I$5:$I$15,MATCH($E6&amp;"|",KC_CURVAS!$K$5:$K$15,0)),""))</f>
        <v/>
      </c>
      <c r="R6" s="12">
        <f>IF(OR($J6="",$K6=""),"PENDENTE",IF($J6&lt;=$K6,$O6,IF($J6&lt;=$K6+$L6,$O6+($P6-$O6)*($J6-$K6)/$L6,IF($J6&lt;=$K6+$L6+$M6,$P6,IF($J6&lt;=$K6+$L6+$M6+$N6,$P6+($Q6-$P6)*($J6-($K6+$L6+$M6))/$N6,$Q6)))))</f>
        <v/>
      </c>
      <c r="S6" s="13">
        <f>ETO_SEM</f>
        <v/>
      </c>
      <c r="T6" s="14">
        <f>IF(OR($R6="",$R6="PENDENTE"),"",$R6*$S6)</f>
        <v/>
      </c>
      <c r="U6" s="13" t="n">
        <v>0</v>
      </c>
      <c r="V6" s="14">
        <f>IF($T6="","",MAX(0,$T6-N($U6)))</f>
        <v/>
      </c>
      <c r="W6" s="14">
        <f>IF($V6="","",$V6/EF_APLIC)</f>
        <v/>
      </c>
      <c r="X6" s="15" t="n">
        <v>62.76</v>
      </c>
      <c r="Y6" s="16">
        <f>IF(OR($W6="",$X6=""),"",$W6*$X6*10)</f>
        <v/>
      </c>
      <c r="Z6" s="17">
        <f>IFERROR(INDEX('PARAMETROS'!$B$16:$B$19,MATCH($D6,'PARAMETROS'!$A$16:$A$19,0)),"")</f>
        <v/>
      </c>
      <c r="AA6" s="16">
        <f>IF(OR($Y6="",$Z6=""),"",$Y6*$Z6)</f>
        <v/>
      </c>
      <c r="AB6" s="18">
        <f>IF($R6="PENDENTE","Definir classe/Kc",IF($W6="","-",IF($W6&gt;0,"Irrigar","Nao irrigar")))</f>
        <v/>
      </c>
      <c r="AC6" s="18">
        <f>IF(OR($W6="",$W6=0),"-",IF($W6&gt;=META_SEM,"Alta",IF($W6&gt;=META_SEM*FRAC_ACOMP,"Media","Baixa")))</f>
        <v/>
      </c>
      <c r="AD6" s="19" t="inlineStr"/>
    </row>
    <row r="7">
      <c r="A7" s="5" t="inlineStr">
        <is>
          <t>7</t>
        </is>
      </c>
      <c r="B7" s="5" t="inlineStr">
        <is>
          <t>Karitel</t>
        </is>
      </c>
      <c r="C7" s="5" t="inlineStr">
        <is>
          <t>Módulo 01</t>
        </is>
      </c>
      <c r="D7" s="5" t="inlineStr">
        <is>
          <t>KM1</t>
        </is>
      </c>
      <c r="E7" s="5" t="inlineStr">
        <is>
          <t>TABACO</t>
        </is>
      </c>
      <c r="F7" s="6" t="inlineStr"/>
      <c r="G7" s="7" t="inlineStr">
        <is>
          <t>TARDIA</t>
        </is>
      </c>
      <c r="H7" s="8" t="n">
        <v>45946</v>
      </c>
      <c r="I7" s="9">
        <f>IF($H7="","",DATA_REF-$H7)</f>
        <v/>
      </c>
      <c r="J7" s="9">
        <f>IF($I7="","",MAX(0,$I7-'PARAMETROS'!$B$12))</f>
        <v/>
      </c>
      <c r="K7" s="10">
        <f>IFERROR(INDEX(KC_CURVAS!$C$5:$C$15,MATCH($E7&amp;"|"&amp;$G7,KC_CURVAS!$K$5:$K$15,0)),IFERROR(INDEX(KC_CURVAS!$C$5:$C$15,MATCH($E7&amp;"|",KC_CURVAS!$K$5:$K$15,0)),""))</f>
        <v/>
      </c>
      <c r="L7" s="10">
        <f>IFERROR(INDEX(KC_CURVAS!$D$5:$D$15,MATCH($E7&amp;"|"&amp;$G7,KC_CURVAS!$K$5:$K$15,0)),IFERROR(INDEX(KC_CURVAS!$D$5:$D$15,MATCH($E7&amp;"|",KC_CURVAS!$K$5:$K$15,0)),""))</f>
        <v/>
      </c>
      <c r="M7" s="10">
        <f>IFERROR(INDEX(KC_CURVAS!$E$5:$E$15,MATCH($E7&amp;"|"&amp;$G7,KC_CURVAS!$K$5:$K$15,0)),IFERROR(INDEX(KC_CURVAS!$E$5:$E$15,MATCH($E7&amp;"|",KC_CURVAS!$K$5:$K$15,0)),""))</f>
        <v/>
      </c>
      <c r="N7" s="10">
        <f>IFERROR(INDEX(KC_CURVAS!$F$5:$F$15,MATCH($E7&amp;"|"&amp;$G7,KC_CURVAS!$K$5:$K$15,0)),IFERROR(INDEX(KC_CURVAS!$F$5:$F$15,MATCH($E7&amp;"|",KC_CURVAS!$K$5:$K$15,0)),""))</f>
        <v/>
      </c>
      <c r="O7" s="11">
        <f>IFERROR(INDEX(KC_CURVAS!$G$5:$G$15,MATCH($E7&amp;"|"&amp;$G7,KC_CURVAS!$K$5:$K$15,0)),IFERROR(INDEX(KC_CURVAS!$G$5:$G$15,MATCH($E7&amp;"|",KC_CURVAS!$K$5:$K$15,0)),""))</f>
        <v/>
      </c>
      <c r="P7" s="11">
        <f>IFERROR(INDEX(KC_CURVAS!$H$5:$H$15,MATCH($E7&amp;"|"&amp;$G7,KC_CURVAS!$K$5:$K$15,0)),IFERROR(INDEX(KC_CURVAS!$H$5:$H$15,MATCH($E7&amp;"|",KC_CURVAS!$K$5:$K$15,0)),""))</f>
        <v/>
      </c>
      <c r="Q7" s="11">
        <f>IFERROR(INDEX(KC_CURVAS!$I$5:$I$15,MATCH($E7&amp;"|"&amp;$G7,KC_CURVAS!$K$5:$K$15,0)),IFERROR(INDEX(KC_CURVAS!$I$5:$I$15,MATCH($E7&amp;"|",KC_CURVAS!$K$5:$K$15,0)),""))</f>
        <v/>
      </c>
      <c r="R7" s="12">
        <f>IF(OR($J7="",$K7=""),"PENDENTE",IF($J7&lt;=$K7,$O7,IF($J7&lt;=$K7+$L7,$O7+($P7-$O7)*($J7-$K7)/$L7,IF($J7&lt;=$K7+$L7+$M7,$P7,IF($J7&lt;=$K7+$L7+$M7+$N7,$P7+($Q7-$P7)*($J7-($K7+$L7+$M7))/$N7,$Q7)))))</f>
        <v/>
      </c>
      <c r="S7" s="13">
        <f>ETO_SEM</f>
        <v/>
      </c>
      <c r="T7" s="14">
        <f>IF(OR($R7="",$R7="PENDENTE"),"",$R7*$S7)</f>
        <v/>
      </c>
      <c r="U7" s="13" t="n">
        <v>0</v>
      </c>
      <c r="V7" s="14">
        <f>IF($T7="","",MAX(0,$T7-N($U7)))</f>
        <v/>
      </c>
      <c r="W7" s="14">
        <f>IF($V7="","",$V7/EF_APLIC)</f>
        <v/>
      </c>
      <c r="X7" s="15" t="n">
        <v>120.13</v>
      </c>
      <c r="Y7" s="16">
        <f>IF(OR($W7="",$X7=""),"",$W7*$X7*10)</f>
        <v/>
      </c>
      <c r="Z7" s="17">
        <f>IFERROR(INDEX('PARAMETROS'!$B$16:$B$19,MATCH($D7,'PARAMETROS'!$A$16:$A$19,0)),"")</f>
        <v/>
      </c>
      <c r="AA7" s="16">
        <f>IF(OR($Y7="",$Z7=""),"",$Y7*$Z7)</f>
        <v/>
      </c>
      <c r="AB7" s="18">
        <f>IF($R7="PENDENTE","Definir classe/Kc",IF($W7="","-",IF($W7&gt;0,"Irrigar","Nao irrigar")))</f>
        <v/>
      </c>
      <c r="AC7" s="18">
        <f>IF(OR($W7="",$W7=0),"-",IF($W7&gt;=META_SEM,"Alta",IF($W7&gt;=META_SEM*FRAC_ACOMP,"Media","Baixa")))</f>
        <v/>
      </c>
      <c r="AD7" s="19" t="inlineStr"/>
    </row>
    <row r="8">
      <c r="A8" s="5" t="inlineStr">
        <is>
          <t>8</t>
        </is>
      </c>
      <c r="B8" s="5" t="inlineStr">
        <is>
          <t>Karitel</t>
        </is>
      </c>
      <c r="C8" s="5" t="inlineStr">
        <is>
          <t>Módulo 01</t>
        </is>
      </c>
      <c r="D8" s="5" t="inlineStr">
        <is>
          <t>KM1</t>
        </is>
      </c>
      <c r="E8" s="5" t="inlineStr">
        <is>
          <t>TABACO</t>
        </is>
      </c>
      <c r="F8" s="6" t="inlineStr"/>
      <c r="G8" s="7" t="inlineStr">
        <is>
          <t>TARDIA</t>
        </is>
      </c>
      <c r="H8" s="8" t="n">
        <v>45945</v>
      </c>
      <c r="I8" s="9">
        <f>IF($H8="","",DATA_REF-$H8)</f>
        <v/>
      </c>
      <c r="J8" s="9">
        <f>IF($I8="","",MAX(0,$I8-'PARAMETROS'!$B$12))</f>
        <v/>
      </c>
      <c r="K8" s="10">
        <f>IFERROR(INDEX(KC_CURVAS!$C$5:$C$15,MATCH($E8&amp;"|"&amp;$G8,KC_CURVAS!$K$5:$K$15,0)),IFERROR(INDEX(KC_CURVAS!$C$5:$C$15,MATCH($E8&amp;"|",KC_CURVAS!$K$5:$K$15,0)),""))</f>
        <v/>
      </c>
      <c r="L8" s="10">
        <f>IFERROR(INDEX(KC_CURVAS!$D$5:$D$15,MATCH($E8&amp;"|"&amp;$G8,KC_CURVAS!$K$5:$K$15,0)),IFERROR(INDEX(KC_CURVAS!$D$5:$D$15,MATCH($E8&amp;"|",KC_CURVAS!$K$5:$K$15,0)),""))</f>
        <v/>
      </c>
      <c r="M8" s="10">
        <f>IFERROR(INDEX(KC_CURVAS!$E$5:$E$15,MATCH($E8&amp;"|"&amp;$G8,KC_CURVAS!$K$5:$K$15,0)),IFERROR(INDEX(KC_CURVAS!$E$5:$E$15,MATCH($E8&amp;"|",KC_CURVAS!$K$5:$K$15,0)),""))</f>
        <v/>
      </c>
      <c r="N8" s="10">
        <f>IFERROR(INDEX(KC_CURVAS!$F$5:$F$15,MATCH($E8&amp;"|"&amp;$G8,KC_CURVAS!$K$5:$K$15,0)),IFERROR(INDEX(KC_CURVAS!$F$5:$F$15,MATCH($E8&amp;"|",KC_CURVAS!$K$5:$K$15,0)),""))</f>
        <v/>
      </c>
      <c r="O8" s="11">
        <f>IFERROR(INDEX(KC_CURVAS!$G$5:$G$15,MATCH($E8&amp;"|"&amp;$G8,KC_CURVAS!$K$5:$K$15,0)),IFERROR(INDEX(KC_CURVAS!$G$5:$G$15,MATCH($E8&amp;"|",KC_CURVAS!$K$5:$K$15,0)),""))</f>
        <v/>
      </c>
      <c r="P8" s="11">
        <f>IFERROR(INDEX(KC_CURVAS!$H$5:$H$15,MATCH($E8&amp;"|"&amp;$G8,KC_CURVAS!$K$5:$K$15,0)),IFERROR(INDEX(KC_CURVAS!$H$5:$H$15,MATCH($E8&amp;"|",KC_CURVAS!$K$5:$K$15,0)),""))</f>
        <v/>
      </c>
      <c r="Q8" s="11">
        <f>IFERROR(INDEX(KC_CURVAS!$I$5:$I$15,MATCH($E8&amp;"|"&amp;$G8,KC_CURVAS!$K$5:$K$15,0)),IFERROR(INDEX(KC_CURVAS!$I$5:$I$15,MATCH($E8&amp;"|",KC_CURVAS!$K$5:$K$15,0)),""))</f>
        <v/>
      </c>
      <c r="R8" s="12">
        <f>IF(OR($J8="",$K8=""),"PENDENTE",IF($J8&lt;=$K8,$O8,IF($J8&lt;=$K8+$L8,$O8+($P8-$O8)*($J8-$K8)/$L8,IF($J8&lt;=$K8+$L8+$M8,$P8,IF($J8&lt;=$K8+$L8+$M8+$N8,$P8+($Q8-$P8)*($J8-($K8+$L8+$M8))/$N8,$Q8)))))</f>
        <v/>
      </c>
      <c r="S8" s="13">
        <f>ETO_SEM</f>
        <v/>
      </c>
      <c r="T8" s="14">
        <f>IF(OR($R8="",$R8="PENDENTE"),"",$R8*$S8)</f>
        <v/>
      </c>
      <c r="U8" s="13" t="n">
        <v>0</v>
      </c>
      <c r="V8" s="14">
        <f>IF($T8="","",MAX(0,$T8-N($U8)))</f>
        <v/>
      </c>
      <c r="W8" s="14">
        <f>IF($V8="","",$V8/EF_APLIC)</f>
        <v/>
      </c>
      <c r="X8" s="15" t="n">
        <v>150.01</v>
      </c>
      <c r="Y8" s="16">
        <f>IF(OR($W8="",$X8=""),"",$W8*$X8*10)</f>
        <v/>
      </c>
      <c r="Z8" s="17">
        <f>IFERROR(INDEX('PARAMETROS'!$B$16:$B$19,MATCH($D8,'PARAMETROS'!$A$16:$A$19,0)),"")</f>
        <v/>
      </c>
      <c r="AA8" s="16">
        <f>IF(OR($Y8="",$Z8=""),"",$Y8*$Z8)</f>
        <v/>
      </c>
      <c r="AB8" s="18">
        <f>IF($R8="PENDENTE","Definir classe/Kc",IF($W8="","-",IF($W8&gt;0,"Irrigar","Nao irrigar")))</f>
        <v/>
      </c>
      <c r="AC8" s="18">
        <f>IF(OR($W8="",$W8=0),"-",IF($W8&gt;=META_SEM,"Alta",IF($W8&gt;=META_SEM*FRAC_ACOMP,"Media","Baixa")))</f>
        <v/>
      </c>
      <c r="AD8" s="19" t="inlineStr"/>
    </row>
    <row r="9">
      <c r="A9" s="5" t="inlineStr">
        <is>
          <t>11</t>
        </is>
      </c>
      <c r="B9" s="5" t="inlineStr">
        <is>
          <t>Karitel</t>
        </is>
      </c>
      <c r="C9" s="5" t="inlineStr">
        <is>
          <t>Módulo 01</t>
        </is>
      </c>
      <c r="D9" s="5" t="inlineStr">
        <is>
          <t>KM1</t>
        </is>
      </c>
      <c r="E9" s="5" t="inlineStr">
        <is>
          <t>TABACO</t>
        </is>
      </c>
      <c r="F9" s="6" t="inlineStr"/>
      <c r="G9" s="7" t="inlineStr">
        <is>
          <t>TARDIA</t>
        </is>
      </c>
      <c r="H9" s="8" t="n">
        <v>45953</v>
      </c>
      <c r="I9" s="9">
        <f>IF($H9="","",DATA_REF-$H9)</f>
        <v/>
      </c>
      <c r="J9" s="9">
        <f>IF($I9="","",MAX(0,$I9-'PARAMETROS'!$B$12))</f>
        <v/>
      </c>
      <c r="K9" s="10">
        <f>IFERROR(INDEX(KC_CURVAS!$C$5:$C$15,MATCH($E9&amp;"|"&amp;$G9,KC_CURVAS!$K$5:$K$15,0)),IFERROR(INDEX(KC_CURVAS!$C$5:$C$15,MATCH($E9&amp;"|",KC_CURVAS!$K$5:$K$15,0)),""))</f>
        <v/>
      </c>
      <c r="L9" s="10">
        <f>IFERROR(INDEX(KC_CURVAS!$D$5:$D$15,MATCH($E9&amp;"|"&amp;$G9,KC_CURVAS!$K$5:$K$15,0)),IFERROR(INDEX(KC_CURVAS!$D$5:$D$15,MATCH($E9&amp;"|",KC_CURVAS!$K$5:$K$15,0)),""))</f>
        <v/>
      </c>
      <c r="M9" s="10">
        <f>IFERROR(INDEX(KC_CURVAS!$E$5:$E$15,MATCH($E9&amp;"|"&amp;$G9,KC_CURVAS!$K$5:$K$15,0)),IFERROR(INDEX(KC_CURVAS!$E$5:$E$15,MATCH($E9&amp;"|",KC_CURVAS!$K$5:$K$15,0)),""))</f>
        <v/>
      </c>
      <c r="N9" s="10">
        <f>IFERROR(INDEX(KC_CURVAS!$F$5:$F$15,MATCH($E9&amp;"|"&amp;$G9,KC_CURVAS!$K$5:$K$15,0)),IFERROR(INDEX(KC_CURVAS!$F$5:$F$15,MATCH($E9&amp;"|",KC_CURVAS!$K$5:$K$15,0)),""))</f>
        <v/>
      </c>
      <c r="O9" s="11">
        <f>IFERROR(INDEX(KC_CURVAS!$G$5:$G$15,MATCH($E9&amp;"|"&amp;$G9,KC_CURVAS!$K$5:$K$15,0)),IFERROR(INDEX(KC_CURVAS!$G$5:$G$15,MATCH($E9&amp;"|",KC_CURVAS!$K$5:$K$15,0)),""))</f>
        <v/>
      </c>
      <c r="P9" s="11">
        <f>IFERROR(INDEX(KC_CURVAS!$H$5:$H$15,MATCH($E9&amp;"|"&amp;$G9,KC_CURVAS!$K$5:$K$15,0)),IFERROR(INDEX(KC_CURVAS!$H$5:$H$15,MATCH($E9&amp;"|",KC_CURVAS!$K$5:$K$15,0)),""))</f>
        <v/>
      </c>
      <c r="Q9" s="11">
        <f>IFERROR(INDEX(KC_CURVAS!$I$5:$I$15,MATCH($E9&amp;"|"&amp;$G9,KC_CURVAS!$K$5:$K$15,0)),IFERROR(INDEX(KC_CURVAS!$I$5:$I$15,MATCH($E9&amp;"|",KC_CURVAS!$K$5:$K$15,0)),""))</f>
        <v/>
      </c>
      <c r="R9" s="12">
        <f>IF(OR($J9="",$K9=""),"PENDENTE",IF($J9&lt;=$K9,$O9,IF($J9&lt;=$K9+$L9,$O9+($P9-$O9)*($J9-$K9)/$L9,IF($J9&lt;=$K9+$L9+$M9,$P9,IF($J9&lt;=$K9+$L9+$M9+$N9,$P9+($Q9-$P9)*($J9-($K9+$L9+$M9))/$N9,$Q9)))))</f>
        <v/>
      </c>
      <c r="S9" s="13">
        <f>ETO_SEM</f>
        <v/>
      </c>
      <c r="T9" s="14">
        <f>IF(OR($R9="",$R9="PENDENTE"),"",$R9*$S9)</f>
        <v/>
      </c>
      <c r="U9" s="13" t="n">
        <v>0</v>
      </c>
      <c r="V9" s="14">
        <f>IF($T9="","",MAX(0,$T9-N($U9)))</f>
        <v/>
      </c>
      <c r="W9" s="14">
        <f>IF($V9="","",$V9/EF_APLIC)</f>
        <v/>
      </c>
      <c r="X9" s="15" t="n">
        <v>121.12</v>
      </c>
      <c r="Y9" s="16">
        <f>IF(OR($W9="",$X9=""),"",$W9*$X9*10)</f>
        <v/>
      </c>
      <c r="Z9" s="17">
        <f>IFERROR(INDEX('PARAMETROS'!$B$16:$B$19,MATCH($D9,'PARAMETROS'!$A$16:$A$19,0)),"")</f>
        <v/>
      </c>
      <c r="AA9" s="16">
        <f>IF(OR($Y9="",$Z9=""),"",$Y9*$Z9)</f>
        <v/>
      </c>
      <c r="AB9" s="18">
        <f>IF($R9="PENDENTE","Definir classe/Kc",IF($W9="","-",IF($W9&gt;0,"Irrigar","Nao irrigar")))</f>
        <v/>
      </c>
      <c r="AC9" s="18">
        <f>IF(OR($W9="",$W9=0),"-",IF($W9&gt;=META_SEM,"Alta",IF($W9&gt;=META_SEM*FRAC_ACOMP,"Media","Baixa")))</f>
        <v/>
      </c>
      <c r="AD9" s="19" t="inlineStr"/>
    </row>
    <row r="10">
      <c r="A10" s="5" t="inlineStr">
        <is>
          <t>37</t>
        </is>
      </c>
      <c r="B10" s="5" t="inlineStr">
        <is>
          <t>Karitel</t>
        </is>
      </c>
      <c r="C10" s="5" t="inlineStr">
        <is>
          <t>Módulo 02</t>
        </is>
      </c>
      <c r="D10" s="5" t="inlineStr">
        <is>
          <t>KM1</t>
        </is>
      </c>
      <c r="E10" s="5" t="inlineStr">
        <is>
          <t>TABACO</t>
        </is>
      </c>
      <c r="F10" s="6" t="inlineStr"/>
      <c r="G10" s="7" t="inlineStr"/>
      <c r="H10" s="8" t="n">
        <v>45953</v>
      </c>
      <c r="I10" s="9">
        <f>IF($H10="","",DATA_REF-$H10)</f>
        <v/>
      </c>
      <c r="J10" s="9">
        <f>IF($I10="","",MAX(0,$I10-'PARAMETROS'!$B$12))</f>
        <v/>
      </c>
      <c r="K10" s="10">
        <f>IFERROR(INDEX(KC_CURVAS!$C$5:$C$15,MATCH($E10&amp;"|"&amp;$G10,KC_CURVAS!$K$5:$K$15,0)),IFERROR(INDEX(KC_CURVAS!$C$5:$C$15,MATCH($E10&amp;"|",KC_CURVAS!$K$5:$K$15,0)),""))</f>
        <v/>
      </c>
      <c r="L10" s="10">
        <f>IFERROR(INDEX(KC_CURVAS!$D$5:$D$15,MATCH($E10&amp;"|"&amp;$G10,KC_CURVAS!$K$5:$K$15,0)),IFERROR(INDEX(KC_CURVAS!$D$5:$D$15,MATCH($E10&amp;"|",KC_CURVAS!$K$5:$K$15,0)),""))</f>
        <v/>
      </c>
      <c r="M10" s="10">
        <f>IFERROR(INDEX(KC_CURVAS!$E$5:$E$15,MATCH($E10&amp;"|"&amp;$G10,KC_CURVAS!$K$5:$K$15,0)),IFERROR(INDEX(KC_CURVAS!$E$5:$E$15,MATCH($E10&amp;"|",KC_CURVAS!$K$5:$K$15,0)),""))</f>
        <v/>
      </c>
      <c r="N10" s="10">
        <f>IFERROR(INDEX(KC_CURVAS!$F$5:$F$15,MATCH($E10&amp;"|"&amp;$G10,KC_CURVAS!$K$5:$K$15,0)),IFERROR(INDEX(KC_CURVAS!$F$5:$F$15,MATCH($E10&amp;"|",KC_CURVAS!$K$5:$K$15,0)),""))</f>
        <v/>
      </c>
      <c r="O10" s="11">
        <f>IFERROR(INDEX(KC_CURVAS!$G$5:$G$15,MATCH($E10&amp;"|"&amp;$G10,KC_CURVAS!$K$5:$K$15,0)),IFERROR(INDEX(KC_CURVAS!$G$5:$G$15,MATCH($E10&amp;"|",KC_CURVAS!$K$5:$K$15,0)),""))</f>
        <v/>
      </c>
      <c r="P10" s="11">
        <f>IFERROR(INDEX(KC_CURVAS!$H$5:$H$15,MATCH($E10&amp;"|"&amp;$G10,KC_CURVAS!$K$5:$K$15,0)),IFERROR(INDEX(KC_CURVAS!$H$5:$H$15,MATCH($E10&amp;"|",KC_CURVAS!$K$5:$K$15,0)),""))</f>
        <v/>
      </c>
      <c r="Q10" s="11">
        <f>IFERROR(INDEX(KC_CURVAS!$I$5:$I$15,MATCH($E10&amp;"|"&amp;$G10,KC_CURVAS!$K$5:$K$15,0)),IFERROR(INDEX(KC_CURVAS!$I$5:$I$15,MATCH($E10&amp;"|",KC_CURVAS!$K$5:$K$15,0)),""))</f>
        <v/>
      </c>
      <c r="R10" s="12">
        <f>IF(OR($J10="",$K10=""),"PENDENTE",IF($J10&lt;=$K10,$O10,IF($J10&lt;=$K10+$L10,$O10+($P10-$O10)*($J10-$K10)/$L10,IF($J10&lt;=$K10+$L10+$M10,$P10,IF($J10&lt;=$K10+$L10+$M10+$N10,$P10+($Q10-$P10)*($J10-($K10+$L10+$M10))/$N10,$Q10)))))</f>
        <v/>
      </c>
      <c r="S10" s="13">
        <f>ETO_SEM</f>
        <v/>
      </c>
      <c r="T10" s="14">
        <f>IF(OR($R10="",$R10="PENDENTE"),"",$R10*$S10)</f>
        <v/>
      </c>
      <c r="U10" s="13" t="n">
        <v>0</v>
      </c>
      <c r="V10" s="14">
        <f>IF($T10="","",MAX(0,$T10-N($U10)))</f>
        <v/>
      </c>
      <c r="W10" s="14">
        <f>IF($V10="","",$V10/EF_APLIC)</f>
        <v/>
      </c>
      <c r="X10" s="15" t="n">
        <v>72</v>
      </c>
      <c r="Y10" s="16">
        <f>IF(OR($W10="",$X10=""),"",$W10*$X10*10)</f>
        <v/>
      </c>
      <c r="Z10" s="17">
        <f>IFERROR(INDEX('PARAMETROS'!$B$16:$B$19,MATCH($D10,'PARAMETROS'!$A$16:$A$19,0)),"")</f>
        <v/>
      </c>
      <c r="AA10" s="16">
        <f>IF(OR($Y10="",$Z10=""),"",$Y10*$Z10)</f>
        <v/>
      </c>
      <c r="AB10" s="18">
        <f>IF($R10="PENDENTE","Definir classe/Kc",IF($W10="","-",IF($W10&gt;0,"Irrigar","Nao irrigar")))</f>
        <v/>
      </c>
      <c r="AC10" s="18">
        <f>IF(OR($W10="",$W10=0),"-",IF($W10&gt;=META_SEM,"Alta",IF($W10&gt;=META_SEM*FRAC_ACOMP,"Media","Baixa")))</f>
        <v/>
      </c>
      <c r="AD10" s="19" t="inlineStr"/>
    </row>
    <row r="11">
      <c r="A11" s="5" t="inlineStr">
        <is>
          <t>118</t>
        </is>
      </c>
      <c r="B11" s="5" t="inlineStr">
        <is>
          <t>RDM</t>
        </is>
      </c>
      <c r="C11" s="5" t="inlineStr">
        <is>
          <t>Módulo 02</t>
        </is>
      </c>
      <c r="D11" s="5" t="inlineStr">
        <is>
          <t>RDM2</t>
        </is>
      </c>
      <c r="E11" s="5" t="inlineStr">
        <is>
          <t>TABACO</t>
        </is>
      </c>
      <c r="F11" s="6" t="inlineStr"/>
      <c r="G11" s="7" t="inlineStr"/>
      <c r="H11" s="8" t="n">
        <v>45814</v>
      </c>
      <c r="I11" s="9">
        <f>IF($H11="","",DATA_REF-$H11)</f>
        <v/>
      </c>
      <c r="J11" s="9">
        <f>IF($I11="","",MAX(0,$I11-'PARAMETROS'!$B$12))</f>
        <v/>
      </c>
      <c r="K11" s="10">
        <f>IFERROR(INDEX(KC_CURVAS!$C$5:$C$15,MATCH($E11&amp;"|"&amp;$G11,KC_CURVAS!$K$5:$K$15,0)),IFERROR(INDEX(KC_CURVAS!$C$5:$C$15,MATCH($E11&amp;"|",KC_CURVAS!$K$5:$K$15,0)),""))</f>
        <v/>
      </c>
      <c r="L11" s="10">
        <f>IFERROR(INDEX(KC_CURVAS!$D$5:$D$15,MATCH($E11&amp;"|"&amp;$G11,KC_CURVAS!$K$5:$K$15,0)),IFERROR(INDEX(KC_CURVAS!$D$5:$D$15,MATCH($E11&amp;"|",KC_CURVAS!$K$5:$K$15,0)),""))</f>
        <v/>
      </c>
      <c r="M11" s="10">
        <f>IFERROR(INDEX(KC_CURVAS!$E$5:$E$15,MATCH($E11&amp;"|"&amp;$G11,KC_CURVAS!$K$5:$K$15,0)),IFERROR(INDEX(KC_CURVAS!$E$5:$E$15,MATCH($E11&amp;"|",KC_CURVAS!$K$5:$K$15,0)),""))</f>
        <v/>
      </c>
      <c r="N11" s="10">
        <f>IFERROR(INDEX(KC_CURVAS!$F$5:$F$15,MATCH($E11&amp;"|"&amp;$G11,KC_CURVAS!$K$5:$K$15,0)),IFERROR(INDEX(KC_CURVAS!$F$5:$F$15,MATCH($E11&amp;"|",KC_CURVAS!$K$5:$K$15,0)),""))</f>
        <v/>
      </c>
      <c r="O11" s="11">
        <f>IFERROR(INDEX(KC_CURVAS!$G$5:$G$15,MATCH($E11&amp;"|"&amp;$G11,KC_CURVAS!$K$5:$K$15,0)),IFERROR(INDEX(KC_CURVAS!$G$5:$G$15,MATCH($E11&amp;"|",KC_CURVAS!$K$5:$K$15,0)),""))</f>
        <v/>
      </c>
      <c r="P11" s="11">
        <f>IFERROR(INDEX(KC_CURVAS!$H$5:$H$15,MATCH($E11&amp;"|"&amp;$G11,KC_CURVAS!$K$5:$K$15,0)),IFERROR(INDEX(KC_CURVAS!$H$5:$H$15,MATCH($E11&amp;"|",KC_CURVAS!$K$5:$K$15,0)),""))</f>
        <v/>
      </c>
      <c r="Q11" s="11">
        <f>IFERROR(INDEX(KC_CURVAS!$I$5:$I$15,MATCH($E11&amp;"|"&amp;$G11,KC_CURVAS!$K$5:$K$15,0)),IFERROR(INDEX(KC_CURVAS!$I$5:$I$15,MATCH($E11&amp;"|",KC_CURVAS!$K$5:$K$15,0)),""))</f>
        <v/>
      </c>
      <c r="R11" s="12">
        <f>IF(OR($J11="",$K11=""),"PENDENTE",IF($J11&lt;=$K11,$O11,IF($J11&lt;=$K11+$L11,$O11+($P11-$O11)*($J11-$K11)/$L11,IF($J11&lt;=$K11+$L11+$M11,$P11,IF($J11&lt;=$K11+$L11+$M11+$N11,$P11+($Q11-$P11)*($J11-($K11+$L11+$M11))/$N11,$Q11)))))</f>
        <v/>
      </c>
      <c r="S11" s="13">
        <f>ETO_SEM</f>
        <v/>
      </c>
      <c r="T11" s="14">
        <f>IF(OR($R11="",$R11="PENDENTE"),"",$R11*$S11)</f>
        <v/>
      </c>
      <c r="U11" s="13" t="n">
        <v>0</v>
      </c>
      <c r="V11" s="14">
        <f>IF($T11="","",MAX(0,$T11-N($U11)))</f>
        <v/>
      </c>
      <c r="W11" s="14">
        <f>IF($V11="","",$V11/EF_APLIC)</f>
        <v/>
      </c>
      <c r="X11" s="15" t="n">
        <v>150.14</v>
      </c>
      <c r="Y11" s="16">
        <f>IF(OR($W11="",$X11=""),"",$W11*$X11*10)</f>
        <v/>
      </c>
      <c r="Z11" s="17">
        <f>IFERROR(INDEX('PARAMETROS'!$B$16:$B$19,MATCH($D11,'PARAMETROS'!$A$16:$A$19,0)),"")</f>
        <v/>
      </c>
      <c r="AA11" s="16">
        <f>IF(OR($Y11="",$Z11=""),"",$Y11*$Z11)</f>
        <v/>
      </c>
      <c r="AB11" s="18">
        <f>IF($R11="PENDENTE","Definir classe/Kc",IF($W11="","-",IF($W11&gt;0,"Irrigar","Nao irrigar")))</f>
        <v/>
      </c>
      <c r="AC11" s="18">
        <f>IF(OR($W11="",$W11=0),"-",IF($W11&gt;=META_SEM,"Alta",IF($W11&gt;=META_SEM*FRAC_ACOMP,"Media","Baixa")))</f>
        <v/>
      </c>
      <c r="AD11" s="19" t="inlineStr"/>
    </row>
    <row r="12">
      <c r="A12" s="5" t="inlineStr">
        <is>
          <t>119</t>
        </is>
      </c>
      <c r="B12" s="5" t="inlineStr">
        <is>
          <t>RDM</t>
        </is>
      </c>
      <c r="C12" s="5" t="inlineStr">
        <is>
          <t>Módulo 02</t>
        </is>
      </c>
      <c r="D12" s="5" t="inlineStr">
        <is>
          <t>RDM2</t>
        </is>
      </c>
      <c r="E12" s="5" t="inlineStr">
        <is>
          <t>TABACO</t>
        </is>
      </c>
      <c r="F12" s="6" t="inlineStr"/>
      <c r="G12" s="7" t="inlineStr"/>
      <c r="H12" s="8" t="n">
        <v>46031</v>
      </c>
      <c r="I12" s="9">
        <f>IF($H12="","",DATA_REF-$H12)</f>
        <v/>
      </c>
      <c r="J12" s="9">
        <f>IF($I12="","",MAX(0,$I12-'PARAMETROS'!$B$12))</f>
        <v/>
      </c>
      <c r="K12" s="10">
        <f>IFERROR(INDEX(KC_CURVAS!$C$5:$C$15,MATCH($E12&amp;"|"&amp;$G12,KC_CURVAS!$K$5:$K$15,0)),IFERROR(INDEX(KC_CURVAS!$C$5:$C$15,MATCH($E12&amp;"|",KC_CURVAS!$K$5:$K$15,0)),""))</f>
        <v/>
      </c>
      <c r="L12" s="10">
        <f>IFERROR(INDEX(KC_CURVAS!$D$5:$D$15,MATCH($E12&amp;"|"&amp;$G12,KC_CURVAS!$K$5:$K$15,0)),IFERROR(INDEX(KC_CURVAS!$D$5:$D$15,MATCH($E12&amp;"|",KC_CURVAS!$K$5:$K$15,0)),""))</f>
        <v/>
      </c>
      <c r="M12" s="10">
        <f>IFERROR(INDEX(KC_CURVAS!$E$5:$E$15,MATCH($E12&amp;"|"&amp;$G12,KC_CURVAS!$K$5:$K$15,0)),IFERROR(INDEX(KC_CURVAS!$E$5:$E$15,MATCH($E12&amp;"|",KC_CURVAS!$K$5:$K$15,0)),""))</f>
        <v/>
      </c>
      <c r="N12" s="10">
        <f>IFERROR(INDEX(KC_CURVAS!$F$5:$F$15,MATCH($E12&amp;"|"&amp;$G12,KC_CURVAS!$K$5:$K$15,0)),IFERROR(INDEX(KC_CURVAS!$F$5:$F$15,MATCH($E12&amp;"|",KC_CURVAS!$K$5:$K$15,0)),""))</f>
        <v/>
      </c>
      <c r="O12" s="11">
        <f>IFERROR(INDEX(KC_CURVAS!$G$5:$G$15,MATCH($E12&amp;"|"&amp;$G12,KC_CURVAS!$K$5:$K$15,0)),IFERROR(INDEX(KC_CURVAS!$G$5:$G$15,MATCH($E12&amp;"|",KC_CURVAS!$K$5:$K$15,0)),""))</f>
        <v/>
      </c>
      <c r="P12" s="11">
        <f>IFERROR(INDEX(KC_CURVAS!$H$5:$H$15,MATCH($E12&amp;"|"&amp;$G12,KC_CURVAS!$K$5:$K$15,0)),IFERROR(INDEX(KC_CURVAS!$H$5:$H$15,MATCH($E12&amp;"|",KC_CURVAS!$K$5:$K$15,0)),""))</f>
        <v/>
      </c>
      <c r="Q12" s="11">
        <f>IFERROR(INDEX(KC_CURVAS!$I$5:$I$15,MATCH($E12&amp;"|"&amp;$G12,KC_CURVAS!$K$5:$K$15,0)),IFERROR(INDEX(KC_CURVAS!$I$5:$I$15,MATCH($E12&amp;"|",KC_CURVAS!$K$5:$K$15,0)),""))</f>
        <v/>
      </c>
      <c r="R12" s="12">
        <f>IF(OR($J12="",$K12=""),"PENDENTE",IF($J12&lt;=$K12,$O12,IF($J12&lt;=$K12+$L12,$O12+($P12-$O12)*($J12-$K12)/$L12,IF($J12&lt;=$K12+$L12+$M12,$P12,IF($J12&lt;=$K12+$L12+$M12+$N12,$P12+($Q12-$P12)*($J12-($K12+$L12+$M12))/$N12,$Q12)))))</f>
        <v/>
      </c>
      <c r="S12" s="13">
        <f>ETO_SEM</f>
        <v/>
      </c>
      <c r="T12" s="14">
        <f>IF(OR($R12="",$R12="PENDENTE"),"",$R12*$S12)</f>
        <v/>
      </c>
      <c r="U12" s="13" t="n">
        <v>0</v>
      </c>
      <c r="V12" s="14">
        <f>IF($T12="","",MAX(0,$T12-N($U12)))</f>
        <v/>
      </c>
      <c r="W12" s="14">
        <f>IF($V12="","",$V12/EF_APLIC)</f>
        <v/>
      </c>
      <c r="X12" s="15" t="n">
        <v>150.34</v>
      </c>
      <c r="Y12" s="16">
        <f>IF(OR($W12="",$X12=""),"",$W12*$X12*10)</f>
        <v/>
      </c>
      <c r="Z12" s="17">
        <f>IFERROR(INDEX('PARAMETROS'!$B$16:$B$19,MATCH($D12,'PARAMETROS'!$A$16:$A$19,0)),"")</f>
        <v/>
      </c>
      <c r="AA12" s="16">
        <f>IF(OR($Y12="",$Z12=""),"",$Y12*$Z12)</f>
        <v/>
      </c>
      <c r="AB12" s="18">
        <f>IF($R12="PENDENTE","Definir classe/Kc",IF($W12="","-",IF($W12&gt;0,"Irrigar","Nao irrigar")))</f>
        <v/>
      </c>
      <c r="AC12" s="18">
        <f>IF(OR($W12="",$W12=0),"-",IF($W12&gt;=META_SEM,"Alta",IF($W12&gt;=META_SEM*FRAC_ACOMP,"Media","Baixa")))</f>
        <v/>
      </c>
      <c r="AD12" s="19" t="inlineStr"/>
    </row>
    <row r="13">
      <c r="A13" s="5" t="inlineStr">
        <is>
          <t>128</t>
        </is>
      </c>
      <c r="B13" s="5" t="inlineStr">
        <is>
          <t>RDM</t>
        </is>
      </c>
      <c r="C13" s="5" t="inlineStr">
        <is>
          <t>Módulo 02</t>
        </is>
      </c>
      <c r="D13" s="5" t="inlineStr">
        <is>
          <t>RDM2</t>
        </is>
      </c>
      <c r="E13" s="5" t="inlineStr">
        <is>
          <t>TABACO</t>
        </is>
      </c>
      <c r="F13" s="6" t="inlineStr"/>
      <c r="G13" s="7" t="inlineStr"/>
      <c r="H13" s="20" t="n"/>
      <c r="I13" s="9">
        <f>IF($H13="","",DATA_REF-$H13)</f>
        <v/>
      </c>
      <c r="J13" s="9">
        <f>IF($I13="","",MAX(0,$I13-'PARAMETROS'!$B$12))</f>
        <v/>
      </c>
      <c r="K13" s="10">
        <f>IFERROR(INDEX(KC_CURVAS!$C$5:$C$15,MATCH($E13&amp;"|"&amp;$G13,KC_CURVAS!$K$5:$K$15,0)),IFERROR(INDEX(KC_CURVAS!$C$5:$C$15,MATCH($E13&amp;"|",KC_CURVAS!$K$5:$K$15,0)),""))</f>
        <v/>
      </c>
      <c r="L13" s="10">
        <f>IFERROR(INDEX(KC_CURVAS!$D$5:$D$15,MATCH($E13&amp;"|"&amp;$G13,KC_CURVAS!$K$5:$K$15,0)),IFERROR(INDEX(KC_CURVAS!$D$5:$D$15,MATCH($E13&amp;"|",KC_CURVAS!$K$5:$K$15,0)),""))</f>
        <v/>
      </c>
      <c r="M13" s="10">
        <f>IFERROR(INDEX(KC_CURVAS!$E$5:$E$15,MATCH($E13&amp;"|"&amp;$G13,KC_CURVAS!$K$5:$K$15,0)),IFERROR(INDEX(KC_CURVAS!$E$5:$E$15,MATCH($E13&amp;"|",KC_CURVAS!$K$5:$K$15,0)),""))</f>
        <v/>
      </c>
      <c r="N13" s="10">
        <f>IFERROR(INDEX(KC_CURVAS!$F$5:$F$15,MATCH($E13&amp;"|"&amp;$G13,KC_CURVAS!$K$5:$K$15,0)),IFERROR(INDEX(KC_CURVAS!$F$5:$F$15,MATCH($E13&amp;"|",KC_CURVAS!$K$5:$K$15,0)),""))</f>
        <v/>
      </c>
      <c r="O13" s="11">
        <f>IFERROR(INDEX(KC_CURVAS!$G$5:$G$15,MATCH($E13&amp;"|"&amp;$G13,KC_CURVAS!$K$5:$K$15,0)),IFERROR(INDEX(KC_CURVAS!$G$5:$G$15,MATCH($E13&amp;"|",KC_CURVAS!$K$5:$K$15,0)),""))</f>
        <v/>
      </c>
      <c r="P13" s="11">
        <f>IFERROR(INDEX(KC_CURVAS!$H$5:$H$15,MATCH($E13&amp;"|"&amp;$G13,KC_CURVAS!$K$5:$K$15,0)),IFERROR(INDEX(KC_CURVAS!$H$5:$H$15,MATCH($E13&amp;"|",KC_CURVAS!$K$5:$K$15,0)),""))</f>
        <v/>
      </c>
      <c r="Q13" s="11">
        <f>IFERROR(INDEX(KC_CURVAS!$I$5:$I$15,MATCH($E13&amp;"|"&amp;$G13,KC_CURVAS!$K$5:$K$15,0)),IFERROR(INDEX(KC_CURVAS!$I$5:$I$15,MATCH($E13&amp;"|",KC_CURVAS!$K$5:$K$15,0)),""))</f>
        <v/>
      </c>
      <c r="R13" s="12">
        <f>IF(OR($J13="",$K13=""),"PENDENTE",IF($J13&lt;=$K13,$O13,IF($J13&lt;=$K13+$L13,$O13+($P13-$O13)*($J13-$K13)/$L13,IF($J13&lt;=$K13+$L13+$M13,$P13,IF($J13&lt;=$K13+$L13+$M13+$N13,$P13+($Q13-$P13)*($J13-($K13+$L13+$M13))/$N13,$Q13)))))</f>
        <v/>
      </c>
      <c r="S13" s="13">
        <f>ETO_SEM</f>
        <v/>
      </c>
      <c r="T13" s="14">
        <f>IF(OR($R13="",$R13="PENDENTE"),"",$R13*$S13)</f>
        <v/>
      </c>
      <c r="U13" s="13" t="n">
        <v>0</v>
      </c>
      <c r="V13" s="14">
        <f>IF($T13="","",MAX(0,$T13-N($U13)))</f>
        <v/>
      </c>
      <c r="W13" s="14">
        <f>IF($V13="","",$V13/EF_APLIC)</f>
        <v/>
      </c>
      <c r="X13" s="15" t="n">
        <v>140.57</v>
      </c>
      <c r="Y13" s="16">
        <f>IF(OR($W13="",$X13=""),"",$W13*$X13*10)</f>
        <v/>
      </c>
      <c r="Z13" s="17">
        <f>IFERROR(INDEX('PARAMETROS'!$B$16:$B$19,MATCH($D13,'PARAMETROS'!$A$16:$A$19,0)),"")</f>
        <v/>
      </c>
      <c r="AA13" s="16">
        <f>IF(OR($Y13="",$Z13=""),"",$Y13*$Z13)</f>
        <v/>
      </c>
      <c r="AB13" s="18">
        <f>IF($R13="PENDENTE","Definir classe/Kc",IF($W13="","-",IF($W13&gt;0,"Irrigar","Nao irrigar")))</f>
        <v/>
      </c>
      <c r="AC13" s="18">
        <f>IF(OR($W13="",$W13=0),"-",IF($W13&gt;=META_SEM,"Alta",IF($W13&gt;=META_SEM*FRAC_ACOMP,"Media","Baixa")))</f>
        <v/>
      </c>
      <c r="AD13" s="19" t="inlineStr"/>
    </row>
    <row r="14">
      <c r="A14" s="5" t="inlineStr">
        <is>
          <t>120</t>
        </is>
      </c>
      <c r="B14" s="5" t="inlineStr">
        <is>
          <t>RDM</t>
        </is>
      </c>
      <c r="C14" s="5" t="inlineStr">
        <is>
          <t>Módulo 02</t>
        </is>
      </c>
      <c r="D14" s="5" t="inlineStr">
        <is>
          <t>RDM2</t>
        </is>
      </c>
      <c r="E14" s="5" t="inlineStr">
        <is>
          <t>TABACO</t>
        </is>
      </c>
      <c r="F14" s="6" t="inlineStr"/>
      <c r="G14" s="7" t="inlineStr"/>
      <c r="H14" s="8" t="n">
        <v>45900</v>
      </c>
      <c r="I14" s="9">
        <f>IF($H14="","",DATA_REF-$H14)</f>
        <v/>
      </c>
      <c r="J14" s="9">
        <f>IF($I14="","",MAX(0,$I14-'PARAMETROS'!$B$12))</f>
        <v/>
      </c>
      <c r="K14" s="10">
        <f>IFERROR(INDEX(KC_CURVAS!$C$5:$C$15,MATCH($E14&amp;"|"&amp;$G14,KC_CURVAS!$K$5:$K$15,0)),IFERROR(INDEX(KC_CURVAS!$C$5:$C$15,MATCH($E14&amp;"|",KC_CURVAS!$K$5:$K$15,0)),""))</f>
        <v/>
      </c>
      <c r="L14" s="10">
        <f>IFERROR(INDEX(KC_CURVAS!$D$5:$D$15,MATCH($E14&amp;"|"&amp;$G14,KC_CURVAS!$K$5:$K$15,0)),IFERROR(INDEX(KC_CURVAS!$D$5:$D$15,MATCH($E14&amp;"|",KC_CURVAS!$K$5:$K$15,0)),""))</f>
        <v/>
      </c>
      <c r="M14" s="10">
        <f>IFERROR(INDEX(KC_CURVAS!$E$5:$E$15,MATCH($E14&amp;"|"&amp;$G14,KC_CURVAS!$K$5:$K$15,0)),IFERROR(INDEX(KC_CURVAS!$E$5:$E$15,MATCH($E14&amp;"|",KC_CURVAS!$K$5:$K$15,0)),""))</f>
        <v/>
      </c>
      <c r="N14" s="10">
        <f>IFERROR(INDEX(KC_CURVAS!$F$5:$F$15,MATCH($E14&amp;"|"&amp;$G14,KC_CURVAS!$K$5:$K$15,0)),IFERROR(INDEX(KC_CURVAS!$F$5:$F$15,MATCH($E14&amp;"|",KC_CURVAS!$K$5:$K$15,0)),""))</f>
        <v/>
      </c>
      <c r="O14" s="11">
        <f>IFERROR(INDEX(KC_CURVAS!$G$5:$G$15,MATCH($E14&amp;"|"&amp;$G14,KC_CURVAS!$K$5:$K$15,0)),IFERROR(INDEX(KC_CURVAS!$G$5:$G$15,MATCH($E14&amp;"|",KC_CURVAS!$K$5:$K$15,0)),""))</f>
        <v/>
      </c>
      <c r="P14" s="11">
        <f>IFERROR(INDEX(KC_CURVAS!$H$5:$H$15,MATCH($E14&amp;"|"&amp;$G14,KC_CURVAS!$K$5:$K$15,0)),IFERROR(INDEX(KC_CURVAS!$H$5:$H$15,MATCH($E14&amp;"|",KC_CURVAS!$K$5:$K$15,0)),""))</f>
        <v/>
      </c>
      <c r="Q14" s="11">
        <f>IFERROR(INDEX(KC_CURVAS!$I$5:$I$15,MATCH($E14&amp;"|"&amp;$G14,KC_CURVAS!$K$5:$K$15,0)),IFERROR(INDEX(KC_CURVAS!$I$5:$I$15,MATCH($E14&amp;"|",KC_CURVAS!$K$5:$K$15,0)),""))</f>
        <v/>
      </c>
      <c r="R14" s="12">
        <f>IF(OR($J14="",$K14=""),"PENDENTE",IF($J14&lt;=$K14,$O14,IF($J14&lt;=$K14+$L14,$O14+($P14-$O14)*($J14-$K14)/$L14,IF($J14&lt;=$K14+$L14+$M14,$P14,IF($J14&lt;=$K14+$L14+$M14+$N14,$P14+($Q14-$P14)*($J14-($K14+$L14+$M14))/$N14,$Q14)))))</f>
        <v/>
      </c>
      <c r="S14" s="13">
        <f>ETO_SEM</f>
        <v/>
      </c>
      <c r="T14" s="14">
        <f>IF(OR($R14="",$R14="PENDENTE"),"",$R14*$S14)</f>
        <v/>
      </c>
      <c r="U14" s="13" t="n">
        <v>0</v>
      </c>
      <c r="V14" s="14">
        <f>IF($T14="","",MAX(0,$T14-N($U14)))</f>
        <v/>
      </c>
      <c r="W14" s="14">
        <f>IF($V14="","",$V14/EF_APLIC)</f>
        <v/>
      </c>
      <c r="X14" s="15" t="n">
        <v>150.34</v>
      </c>
      <c r="Y14" s="16">
        <f>IF(OR($W14="",$X14=""),"",$W14*$X14*10)</f>
        <v/>
      </c>
      <c r="Z14" s="17">
        <f>IFERROR(INDEX('PARAMETROS'!$B$16:$B$19,MATCH($D14,'PARAMETROS'!$A$16:$A$19,0)),"")</f>
        <v/>
      </c>
      <c r="AA14" s="16">
        <f>IF(OR($Y14="",$Z14=""),"",$Y14*$Z14)</f>
        <v/>
      </c>
      <c r="AB14" s="18">
        <f>IF($R14="PENDENTE","Definir classe/Kc",IF($W14="","-",IF($W14&gt;0,"Irrigar","Nao irrigar")))</f>
        <v/>
      </c>
      <c r="AC14" s="18">
        <f>IF(OR($W14="",$W14=0),"-",IF($W14&gt;=META_SEM,"Alta",IF($W14&gt;=META_SEM*FRAC_ACOMP,"Media","Baixa")))</f>
        <v/>
      </c>
      <c r="AD14" s="19" t="inlineStr"/>
    </row>
    <row r="15">
      <c r="A15" s="5" t="inlineStr">
        <is>
          <t>121</t>
        </is>
      </c>
      <c r="B15" s="5" t="inlineStr">
        <is>
          <t>RDM</t>
        </is>
      </c>
      <c r="C15" s="5" t="inlineStr">
        <is>
          <t>Módulo 02</t>
        </is>
      </c>
      <c r="D15" s="5" t="inlineStr">
        <is>
          <t>RDM2</t>
        </is>
      </c>
      <c r="E15" s="5" t="inlineStr">
        <is>
          <t>TABACO</t>
        </is>
      </c>
      <c r="F15" s="6" t="inlineStr"/>
      <c r="G15" s="7" t="inlineStr"/>
      <c r="H15" s="8" t="n">
        <v>45913</v>
      </c>
      <c r="I15" s="9">
        <f>IF($H15="","",DATA_REF-$H15)</f>
        <v/>
      </c>
      <c r="J15" s="9">
        <f>IF($I15="","",MAX(0,$I15-'PARAMETROS'!$B$12))</f>
        <v/>
      </c>
      <c r="K15" s="10">
        <f>IFERROR(INDEX(KC_CURVAS!$C$5:$C$15,MATCH($E15&amp;"|"&amp;$G15,KC_CURVAS!$K$5:$K$15,0)),IFERROR(INDEX(KC_CURVAS!$C$5:$C$15,MATCH($E15&amp;"|",KC_CURVAS!$K$5:$K$15,0)),""))</f>
        <v/>
      </c>
      <c r="L15" s="10">
        <f>IFERROR(INDEX(KC_CURVAS!$D$5:$D$15,MATCH($E15&amp;"|"&amp;$G15,KC_CURVAS!$K$5:$K$15,0)),IFERROR(INDEX(KC_CURVAS!$D$5:$D$15,MATCH($E15&amp;"|",KC_CURVAS!$K$5:$K$15,0)),""))</f>
        <v/>
      </c>
      <c r="M15" s="10">
        <f>IFERROR(INDEX(KC_CURVAS!$E$5:$E$15,MATCH($E15&amp;"|"&amp;$G15,KC_CURVAS!$K$5:$K$15,0)),IFERROR(INDEX(KC_CURVAS!$E$5:$E$15,MATCH($E15&amp;"|",KC_CURVAS!$K$5:$K$15,0)),""))</f>
        <v/>
      </c>
      <c r="N15" s="10">
        <f>IFERROR(INDEX(KC_CURVAS!$F$5:$F$15,MATCH($E15&amp;"|"&amp;$G15,KC_CURVAS!$K$5:$K$15,0)),IFERROR(INDEX(KC_CURVAS!$F$5:$F$15,MATCH($E15&amp;"|",KC_CURVAS!$K$5:$K$15,0)),""))</f>
        <v/>
      </c>
      <c r="O15" s="11">
        <f>IFERROR(INDEX(KC_CURVAS!$G$5:$G$15,MATCH($E15&amp;"|"&amp;$G15,KC_CURVAS!$K$5:$K$15,0)),IFERROR(INDEX(KC_CURVAS!$G$5:$G$15,MATCH($E15&amp;"|",KC_CURVAS!$K$5:$K$15,0)),""))</f>
        <v/>
      </c>
      <c r="P15" s="11">
        <f>IFERROR(INDEX(KC_CURVAS!$H$5:$H$15,MATCH($E15&amp;"|"&amp;$G15,KC_CURVAS!$K$5:$K$15,0)),IFERROR(INDEX(KC_CURVAS!$H$5:$H$15,MATCH($E15&amp;"|",KC_CURVAS!$K$5:$K$15,0)),""))</f>
        <v/>
      </c>
      <c r="Q15" s="11">
        <f>IFERROR(INDEX(KC_CURVAS!$I$5:$I$15,MATCH($E15&amp;"|"&amp;$G15,KC_CURVAS!$K$5:$K$15,0)),IFERROR(INDEX(KC_CURVAS!$I$5:$I$15,MATCH($E15&amp;"|",KC_CURVAS!$K$5:$K$15,0)),""))</f>
        <v/>
      </c>
      <c r="R15" s="12">
        <f>IF(OR($J15="",$K15=""),"PENDENTE",IF($J15&lt;=$K15,$O15,IF($J15&lt;=$K15+$L15,$O15+($P15-$O15)*($J15-$K15)/$L15,IF($J15&lt;=$K15+$L15+$M15,$P15,IF($J15&lt;=$K15+$L15+$M15+$N15,$P15+($Q15-$P15)*($J15-($K15+$L15+$M15))/$N15,$Q15)))))</f>
        <v/>
      </c>
      <c r="S15" s="13">
        <f>ETO_SEM</f>
        <v/>
      </c>
      <c r="T15" s="14">
        <f>IF(OR($R15="",$R15="PENDENTE"),"",$R15*$S15)</f>
        <v/>
      </c>
      <c r="U15" s="13" t="n">
        <v>0</v>
      </c>
      <c r="V15" s="14">
        <f>IF($T15="","",MAX(0,$T15-N($U15)))</f>
        <v/>
      </c>
      <c r="W15" s="14">
        <f>IF($V15="","",$V15/EF_APLIC)</f>
        <v/>
      </c>
      <c r="X15" s="15" t="n">
        <v>150.34</v>
      </c>
      <c r="Y15" s="16">
        <f>IF(OR($W15="",$X15=""),"",$W15*$X15*10)</f>
        <v/>
      </c>
      <c r="Z15" s="17">
        <f>IFERROR(INDEX('PARAMETROS'!$B$16:$B$19,MATCH($D15,'PARAMETROS'!$A$16:$A$19,0)),"")</f>
        <v/>
      </c>
      <c r="AA15" s="16">
        <f>IF(OR($Y15="",$Z15=""),"",$Y15*$Z15)</f>
        <v/>
      </c>
      <c r="AB15" s="18">
        <f>IF($R15="PENDENTE","Definir classe/Kc",IF($W15="","-",IF($W15&gt;0,"Irrigar","Nao irrigar")))</f>
        <v/>
      </c>
      <c r="AC15" s="18">
        <f>IF(OR($W15="",$W15=0),"-",IF($W15&gt;=META_SEM,"Alta",IF($W15&gt;=META_SEM*FRAC_ACOMP,"Media","Baixa")))</f>
        <v/>
      </c>
      <c r="AD15" s="19" t="inlineStr"/>
    </row>
    <row r="16">
      <c r="A16" s="5" t="inlineStr">
        <is>
          <t>124</t>
        </is>
      </c>
      <c r="B16" s="5" t="inlineStr">
        <is>
          <t>RDM</t>
        </is>
      </c>
      <c r="C16" s="5" t="inlineStr">
        <is>
          <t>Módulo 02</t>
        </is>
      </c>
      <c r="D16" s="5" t="inlineStr">
        <is>
          <t>RDM2</t>
        </is>
      </c>
      <c r="E16" s="5" t="inlineStr">
        <is>
          <t>TABACO</t>
        </is>
      </c>
      <c r="F16" s="6" t="inlineStr"/>
      <c r="G16" s="7" t="inlineStr"/>
      <c r="H16" s="8" t="n">
        <v>46037</v>
      </c>
      <c r="I16" s="9">
        <f>IF($H16="","",DATA_REF-$H16)</f>
        <v/>
      </c>
      <c r="J16" s="9">
        <f>IF($I16="","",MAX(0,$I16-'PARAMETROS'!$B$12))</f>
        <v/>
      </c>
      <c r="K16" s="10">
        <f>IFERROR(INDEX(KC_CURVAS!$C$5:$C$15,MATCH($E16&amp;"|"&amp;$G16,KC_CURVAS!$K$5:$K$15,0)),IFERROR(INDEX(KC_CURVAS!$C$5:$C$15,MATCH($E16&amp;"|",KC_CURVAS!$K$5:$K$15,0)),""))</f>
        <v/>
      </c>
      <c r="L16" s="10">
        <f>IFERROR(INDEX(KC_CURVAS!$D$5:$D$15,MATCH($E16&amp;"|"&amp;$G16,KC_CURVAS!$K$5:$K$15,0)),IFERROR(INDEX(KC_CURVAS!$D$5:$D$15,MATCH($E16&amp;"|",KC_CURVAS!$K$5:$K$15,0)),""))</f>
        <v/>
      </c>
      <c r="M16" s="10">
        <f>IFERROR(INDEX(KC_CURVAS!$E$5:$E$15,MATCH($E16&amp;"|"&amp;$G16,KC_CURVAS!$K$5:$K$15,0)),IFERROR(INDEX(KC_CURVAS!$E$5:$E$15,MATCH($E16&amp;"|",KC_CURVAS!$K$5:$K$15,0)),""))</f>
        <v/>
      </c>
      <c r="N16" s="10">
        <f>IFERROR(INDEX(KC_CURVAS!$F$5:$F$15,MATCH($E16&amp;"|"&amp;$G16,KC_CURVAS!$K$5:$K$15,0)),IFERROR(INDEX(KC_CURVAS!$F$5:$F$15,MATCH($E16&amp;"|",KC_CURVAS!$K$5:$K$15,0)),""))</f>
        <v/>
      </c>
      <c r="O16" s="11">
        <f>IFERROR(INDEX(KC_CURVAS!$G$5:$G$15,MATCH($E16&amp;"|"&amp;$G16,KC_CURVAS!$K$5:$K$15,0)),IFERROR(INDEX(KC_CURVAS!$G$5:$G$15,MATCH($E16&amp;"|",KC_CURVAS!$K$5:$K$15,0)),""))</f>
        <v/>
      </c>
      <c r="P16" s="11">
        <f>IFERROR(INDEX(KC_CURVAS!$H$5:$H$15,MATCH($E16&amp;"|"&amp;$G16,KC_CURVAS!$K$5:$K$15,0)),IFERROR(INDEX(KC_CURVAS!$H$5:$H$15,MATCH($E16&amp;"|",KC_CURVAS!$K$5:$K$15,0)),""))</f>
        <v/>
      </c>
      <c r="Q16" s="11">
        <f>IFERROR(INDEX(KC_CURVAS!$I$5:$I$15,MATCH($E16&amp;"|"&amp;$G16,KC_CURVAS!$K$5:$K$15,0)),IFERROR(INDEX(KC_CURVAS!$I$5:$I$15,MATCH($E16&amp;"|",KC_CURVAS!$K$5:$K$15,0)),""))</f>
        <v/>
      </c>
      <c r="R16" s="12">
        <f>IF(OR($J16="",$K16=""),"PENDENTE",IF($J16&lt;=$K16,$O16,IF($J16&lt;=$K16+$L16,$O16+($P16-$O16)*($J16-$K16)/$L16,IF($J16&lt;=$K16+$L16+$M16,$P16,IF($J16&lt;=$K16+$L16+$M16+$N16,$P16+($Q16-$P16)*($J16-($K16+$L16+$M16))/$N16,$Q16)))))</f>
        <v/>
      </c>
      <c r="S16" s="13">
        <f>ETO_SEM</f>
        <v/>
      </c>
      <c r="T16" s="14">
        <f>IF(OR($R16="",$R16="PENDENTE"),"",$R16*$S16)</f>
        <v/>
      </c>
      <c r="U16" s="13" t="n">
        <v>0</v>
      </c>
      <c r="V16" s="14">
        <f>IF($T16="","",MAX(0,$T16-N($U16)))</f>
        <v/>
      </c>
      <c r="W16" s="14">
        <f>IF($V16="","",$V16/EF_APLIC)</f>
        <v/>
      </c>
      <c r="X16" s="15" t="n">
        <v>150.14</v>
      </c>
      <c r="Y16" s="16">
        <f>IF(OR($W16="",$X16=""),"",$W16*$X16*10)</f>
        <v/>
      </c>
      <c r="Z16" s="17">
        <f>IFERROR(INDEX('PARAMETROS'!$B$16:$B$19,MATCH($D16,'PARAMETROS'!$A$16:$A$19,0)),"")</f>
        <v/>
      </c>
      <c r="AA16" s="16">
        <f>IF(OR($Y16="",$Z16=""),"",$Y16*$Z16)</f>
        <v/>
      </c>
      <c r="AB16" s="18">
        <f>IF($R16="PENDENTE","Definir classe/Kc",IF($W16="","-",IF($W16&gt;0,"Irrigar","Nao irrigar")))</f>
        <v/>
      </c>
      <c r="AC16" s="18">
        <f>IF(OR($W16="",$W16=0),"-",IF($W16&gt;=META_SEM,"Alta",IF($W16&gt;=META_SEM*FRAC_ACOMP,"Media","Baixa")))</f>
        <v/>
      </c>
      <c r="AD16" s="19" t="inlineStr"/>
    </row>
    <row r="17">
      <c r="A17" s="5" t="inlineStr">
        <is>
          <t>126</t>
        </is>
      </c>
      <c r="B17" s="5" t="inlineStr">
        <is>
          <t>RDM</t>
        </is>
      </c>
      <c r="C17" s="5" t="inlineStr">
        <is>
          <t>Módulo 02</t>
        </is>
      </c>
      <c r="D17" s="5" t="inlineStr">
        <is>
          <t>RDM2</t>
        </is>
      </c>
      <c r="E17" s="5" t="inlineStr">
        <is>
          <t>TABACO</t>
        </is>
      </c>
      <c r="F17" s="6" t="inlineStr"/>
      <c r="G17" s="7" t="inlineStr"/>
      <c r="H17" s="8" t="n">
        <v>46003</v>
      </c>
      <c r="I17" s="9">
        <f>IF($H17="","",DATA_REF-$H17)</f>
        <v/>
      </c>
      <c r="J17" s="9">
        <f>IF($I17="","",MAX(0,$I17-'PARAMETROS'!$B$12))</f>
        <v/>
      </c>
      <c r="K17" s="10">
        <f>IFERROR(INDEX(KC_CURVAS!$C$5:$C$15,MATCH($E17&amp;"|"&amp;$G17,KC_CURVAS!$K$5:$K$15,0)),IFERROR(INDEX(KC_CURVAS!$C$5:$C$15,MATCH($E17&amp;"|",KC_CURVAS!$K$5:$K$15,0)),""))</f>
        <v/>
      </c>
      <c r="L17" s="10">
        <f>IFERROR(INDEX(KC_CURVAS!$D$5:$D$15,MATCH($E17&amp;"|"&amp;$G17,KC_CURVAS!$K$5:$K$15,0)),IFERROR(INDEX(KC_CURVAS!$D$5:$D$15,MATCH($E17&amp;"|",KC_CURVAS!$K$5:$K$15,0)),""))</f>
        <v/>
      </c>
      <c r="M17" s="10">
        <f>IFERROR(INDEX(KC_CURVAS!$E$5:$E$15,MATCH($E17&amp;"|"&amp;$G17,KC_CURVAS!$K$5:$K$15,0)),IFERROR(INDEX(KC_CURVAS!$E$5:$E$15,MATCH($E17&amp;"|",KC_CURVAS!$K$5:$K$15,0)),""))</f>
        <v/>
      </c>
      <c r="N17" s="10">
        <f>IFERROR(INDEX(KC_CURVAS!$F$5:$F$15,MATCH($E17&amp;"|"&amp;$G17,KC_CURVAS!$K$5:$K$15,0)),IFERROR(INDEX(KC_CURVAS!$F$5:$F$15,MATCH($E17&amp;"|",KC_CURVAS!$K$5:$K$15,0)),""))</f>
        <v/>
      </c>
      <c r="O17" s="11">
        <f>IFERROR(INDEX(KC_CURVAS!$G$5:$G$15,MATCH($E17&amp;"|"&amp;$G17,KC_CURVAS!$K$5:$K$15,0)),IFERROR(INDEX(KC_CURVAS!$G$5:$G$15,MATCH($E17&amp;"|",KC_CURVAS!$K$5:$K$15,0)),""))</f>
        <v/>
      </c>
      <c r="P17" s="11">
        <f>IFERROR(INDEX(KC_CURVAS!$H$5:$H$15,MATCH($E17&amp;"|"&amp;$G17,KC_CURVAS!$K$5:$K$15,0)),IFERROR(INDEX(KC_CURVAS!$H$5:$H$15,MATCH($E17&amp;"|",KC_CURVAS!$K$5:$K$15,0)),""))</f>
        <v/>
      </c>
      <c r="Q17" s="11">
        <f>IFERROR(INDEX(KC_CURVAS!$I$5:$I$15,MATCH($E17&amp;"|"&amp;$G17,KC_CURVAS!$K$5:$K$15,0)),IFERROR(INDEX(KC_CURVAS!$I$5:$I$15,MATCH($E17&amp;"|",KC_CURVAS!$K$5:$K$15,0)),""))</f>
        <v/>
      </c>
      <c r="R17" s="12">
        <f>IF(OR($J17="",$K17=""),"PENDENTE",IF($J17&lt;=$K17,$O17,IF($J17&lt;=$K17+$L17,$O17+($P17-$O17)*($J17-$K17)/$L17,IF($J17&lt;=$K17+$L17+$M17,$P17,IF($J17&lt;=$K17+$L17+$M17+$N17,$P17+($Q17-$P17)*($J17-($K17+$L17+$M17))/$N17,$Q17)))))</f>
        <v/>
      </c>
      <c r="S17" s="13">
        <f>ETO_SEM</f>
        <v/>
      </c>
      <c r="T17" s="14">
        <f>IF(OR($R17="",$R17="PENDENTE"),"",$R17*$S17)</f>
        <v/>
      </c>
      <c r="U17" s="13" t="n">
        <v>0</v>
      </c>
      <c r="V17" s="14">
        <f>IF($T17="","",MAX(0,$T17-N($U17)))</f>
        <v/>
      </c>
      <c r="W17" s="14">
        <f>IF($V17="","",$V17/EF_APLIC)</f>
        <v/>
      </c>
      <c r="X17" s="15" t="n">
        <v>140.57</v>
      </c>
      <c r="Y17" s="16">
        <f>IF(OR($W17="",$X17=""),"",$W17*$X17*10)</f>
        <v/>
      </c>
      <c r="Z17" s="17">
        <f>IFERROR(INDEX('PARAMETROS'!$B$16:$B$19,MATCH($D17,'PARAMETROS'!$A$16:$A$19,0)),"")</f>
        <v/>
      </c>
      <c r="AA17" s="16">
        <f>IF(OR($Y17="",$Z17=""),"",$Y17*$Z17)</f>
        <v/>
      </c>
      <c r="AB17" s="18">
        <f>IF($R17="PENDENTE","Definir classe/Kc",IF($W17="","-",IF($W17&gt;0,"Irrigar","Nao irrigar")))</f>
        <v/>
      </c>
      <c r="AC17" s="18">
        <f>IF(OR($W17="",$W17=0),"-",IF($W17&gt;=META_SEM,"Alta",IF($W17&gt;=META_SEM*FRAC_ACOMP,"Media","Baixa")))</f>
        <v/>
      </c>
      <c r="AD17" s="19" t="inlineStr"/>
    </row>
    <row r="19">
      <c r="A19" s="21" t="inlineStr">
        <is>
          <t>Manejo via CLIMA: ETc = Kc x ETo semanal; Nec liquida = ETc - chuva efetiva; Nec bruta = Nec liq / 0,90. Kc automatico pela curva FAO-56 (KC_CURVAS) conforme o DAE. Energia = Volume x CE do setor. Colunas cinza-claro (Lini..Kcend) sao auxiliares do Kc. Editar ETo semanal e chuva a cada semana.</t>
        </is>
      </c>
    </row>
  </sheetData>
  <mergeCells count="1">
    <mergeCell ref="A19:AD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43C0C"/>
    <outlinePr summaryBelow="1" summaryRight="1"/>
    <pageSetUpPr/>
  </sheetPr>
  <dimension ref="A1:AD1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7" customWidth="1" min="4" max="4"/>
    <col width="9" customWidth="1" min="5" max="5"/>
    <col width="15" customWidth="1" min="6" max="6"/>
    <col width="9" customWidth="1" min="7" max="7"/>
    <col width="11" customWidth="1" min="8" max="8"/>
    <col width="6" customWidth="1" min="9" max="9"/>
    <col width="6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1" customWidth="1" min="23" max="23"/>
    <col width="8" customWidth="1" min="24" max="24"/>
    <col width="11" customWidth="1" min="25" max="25"/>
    <col width="10" customWidth="1" min="26" max="26"/>
    <col width="11" customWidth="1" min="27" max="27"/>
    <col width="12" customWidth="1" min="28" max="28"/>
    <col width="11" customWidth="1" min="29" max="29"/>
    <col width="20" customWidth="1" min="30" max="30"/>
  </cols>
  <sheetData>
    <row r="1" ht="20" customHeight="1">
      <c r="A1" s="1" t="inlineStr">
        <is>
          <t>CACAU - demanda via clima</t>
        </is>
      </c>
    </row>
    <row r="2">
      <c r="A2" s="3" t="inlineStr">
        <is>
          <t>Perene. SEM curva Kc propria -&gt; Kc PENDENTE (preencher KC_CURVAS p/ cacau).</t>
        </is>
      </c>
    </row>
    <row r="4" ht="30" customHeight="1">
      <c r="A4" s="4" t="inlineStr">
        <is>
          <t>Pivo</t>
        </is>
      </c>
      <c r="B4" s="4" t="inlineStr">
        <is>
          <t>Faz</t>
        </is>
      </c>
      <c r="C4" s="4" t="inlineStr">
        <is>
          <t>Modulo</t>
        </is>
      </c>
      <c r="D4" s="4" t="inlineStr">
        <is>
          <t>Setor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Plantio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Lini</t>
        </is>
      </c>
      <c r="L4" s="4" t="inlineStr">
        <is>
          <t>Ldev</t>
        </is>
      </c>
      <c r="M4" s="4" t="inlineStr">
        <is>
          <t>Lmid</t>
        </is>
      </c>
      <c r="N4" s="4" t="inlineStr">
        <is>
          <t>Llate</t>
        </is>
      </c>
      <c r="O4" s="4" t="inlineStr">
        <is>
          <t>Kcini</t>
        </is>
      </c>
      <c r="P4" s="4" t="inlineStr">
        <is>
          <t>Kcmid</t>
        </is>
      </c>
      <c r="Q4" s="4" t="inlineStr">
        <is>
          <t>Kcend</t>
        </is>
      </c>
      <c r="R4" s="4" t="inlineStr">
        <is>
          <t>Kc (auto)</t>
        </is>
      </c>
      <c r="S4" s="4" t="inlineStr">
        <is>
          <t>ETo sem (mm)</t>
        </is>
      </c>
      <c r="T4" s="4" t="inlineStr">
        <is>
          <t>ETc sem (mm)</t>
        </is>
      </c>
      <c r="U4" s="4" t="inlineStr">
        <is>
          <t>Chuva ef (mm)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Area (ha)</t>
        </is>
      </c>
      <c r="Y4" s="4" t="inlineStr">
        <is>
          <t>Volume (m3)</t>
        </is>
      </c>
      <c r="Z4" s="4" t="inlineStr">
        <is>
          <t>CE (kWh/m3)</t>
        </is>
      </c>
      <c r="AA4" s="4" t="inlineStr">
        <is>
          <t>Energia (kWh)</t>
        </is>
      </c>
      <c r="AB4" s="4" t="inlineStr">
        <is>
          <t>Decisao</t>
        </is>
      </c>
      <c r="AC4" s="4" t="inlineStr">
        <is>
          <t>Prioridade</t>
        </is>
      </c>
      <c r="AD4" s="4" t="inlineStr">
        <is>
          <t>Obs</t>
        </is>
      </c>
    </row>
    <row r="5">
      <c r="A5" s="5" t="inlineStr">
        <is>
          <t>32</t>
        </is>
      </c>
      <c r="B5" s="5" t="inlineStr">
        <is>
          <t>Karitel</t>
        </is>
      </c>
      <c r="C5" s="5" t="inlineStr">
        <is>
          <t>Módulo 01</t>
        </is>
      </c>
      <c r="D5" s="5" t="inlineStr">
        <is>
          <t>KM1</t>
        </is>
      </c>
      <c r="E5" s="5" t="inlineStr">
        <is>
          <t>CACAU</t>
        </is>
      </c>
      <c r="F5" s="6" t="inlineStr"/>
      <c r="G5" s="7" t="inlineStr"/>
      <c r="H5" s="20" t="n"/>
      <c r="I5" s="9">
        <f>IF($H5="","",DATA_REF-$H5)</f>
        <v/>
      </c>
      <c r="J5" s="9">
        <f>IF($I5="","",MAX(0,$I5-'PARAMETROS'!$B$12))</f>
        <v/>
      </c>
      <c r="K5" s="10">
        <f>IFERROR(INDEX(KC_CURVAS!$C$5:$C$15,MATCH($E5&amp;"|"&amp;$G5,KC_CURVAS!$K$5:$K$15,0)),IFERROR(INDEX(KC_CURVAS!$C$5:$C$15,MATCH($E5&amp;"|",KC_CURVAS!$K$5:$K$15,0)),""))</f>
        <v/>
      </c>
      <c r="L5" s="10">
        <f>IFERROR(INDEX(KC_CURVAS!$D$5:$D$15,MATCH($E5&amp;"|"&amp;$G5,KC_CURVAS!$K$5:$K$15,0)),IFERROR(INDEX(KC_CURVAS!$D$5:$D$15,MATCH($E5&amp;"|",KC_CURVAS!$K$5:$K$15,0)),""))</f>
        <v/>
      </c>
      <c r="M5" s="10">
        <f>IFERROR(INDEX(KC_CURVAS!$E$5:$E$15,MATCH($E5&amp;"|"&amp;$G5,KC_CURVAS!$K$5:$K$15,0)),IFERROR(INDEX(KC_CURVAS!$E$5:$E$15,MATCH($E5&amp;"|",KC_CURVAS!$K$5:$K$15,0)),""))</f>
        <v/>
      </c>
      <c r="N5" s="10">
        <f>IFERROR(INDEX(KC_CURVAS!$F$5:$F$15,MATCH($E5&amp;"|"&amp;$G5,KC_CURVAS!$K$5:$K$15,0)),IFERROR(INDEX(KC_CURVAS!$F$5:$F$15,MATCH($E5&amp;"|",KC_CURVAS!$K$5:$K$15,0)),""))</f>
        <v/>
      </c>
      <c r="O5" s="11">
        <f>IFERROR(INDEX(KC_CURVAS!$G$5:$G$15,MATCH($E5&amp;"|"&amp;$G5,KC_CURVAS!$K$5:$K$15,0)),IFERROR(INDEX(KC_CURVAS!$G$5:$G$15,MATCH($E5&amp;"|",KC_CURVAS!$K$5:$K$15,0)),""))</f>
        <v/>
      </c>
      <c r="P5" s="11">
        <f>IFERROR(INDEX(KC_CURVAS!$H$5:$H$15,MATCH($E5&amp;"|"&amp;$G5,KC_CURVAS!$K$5:$K$15,0)),IFERROR(INDEX(KC_CURVAS!$H$5:$H$15,MATCH($E5&amp;"|",KC_CURVAS!$K$5:$K$15,0)),""))</f>
        <v/>
      </c>
      <c r="Q5" s="11">
        <f>IFERROR(INDEX(KC_CURVAS!$I$5:$I$15,MATCH($E5&amp;"|"&amp;$G5,KC_CURVAS!$K$5:$K$15,0)),IFERROR(INDEX(KC_CURVAS!$I$5:$I$15,MATCH($E5&amp;"|",KC_CURVAS!$K$5:$K$15,0)),""))</f>
        <v/>
      </c>
      <c r="R5" s="12">
        <f>IF(OR($J5="",$K5=""),"PENDENTE",IF($J5&lt;=$K5,$O5,IF($J5&lt;=$K5+$L5,$O5+($P5-$O5)*($J5-$K5)/$L5,IF($J5&lt;=$K5+$L5+$M5,$P5,IF($J5&lt;=$K5+$L5+$M5+$N5,$P5+($Q5-$P5)*($J5-($K5+$L5+$M5))/$N5,$Q5)))))</f>
        <v/>
      </c>
      <c r="S5" s="13">
        <f>ETO_SEM</f>
        <v/>
      </c>
      <c r="T5" s="14">
        <f>IF(OR($R5="",$R5="PENDENTE"),"",$R5*$S5)</f>
        <v/>
      </c>
      <c r="U5" s="13" t="n">
        <v>0</v>
      </c>
      <c r="V5" s="14">
        <f>IF($T5="","",MAX(0,$T5-N($U5)))</f>
        <v/>
      </c>
      <c r="W5" s="14">
        <f>IF($V5="","",$V5/EF_APLIC)</f>
        <v/>
      </c>
      <c r="X5" s="15" t="n">
        <v>138.03</v>
      </c>
      <c r="Y5" s="16">
        <f>IF(OR($W5="",$X5=""),"",$W5*$X5*10)</f>
        <v/>
      </c>
      <c r="Z5" s="17">
        <f>IFERROR(INDEX('PARAMETROS'!$B$16:$B$19,MATCH($D5,'PARAMETROS'!$A$16:$A$19,0)),"")</f>
        <v/>
      </c>
      <c r="AA5" s="16">
        <f>IF(OR($Y5="",$Z5=""),"",$Y5*$Z5)</f>
        <v/>
      </c>
      <c r="AB5" s="18">
        <f>IF($R5="PENDENTE","Definir classe/Kc",IF($W5="","-",IF($W5&gt;0,"Irrigar","Nao irrigar")))</f>
        <v/>
      </c>
      <c r="AC5" s="18">
        <f>IF(OR($W5="",$W5=0),"-",IF($W5&gt;=META_SEM,"Alta",IF($W5&gt;=META_SEM*FRAC_ACOMP,"Media","Baixa")))</f>
        <v/>
      </c>
      <c r="AD5" s="19" t="inlineStr"/>
    </row>
    <row r="6">
      <c r="A6" s="5" t="inlineStr">
        <is>
          <t>25</t>
        </is>
      </c>
      <c r="B6" s="5" t="inlineStr">
        <is>
          <t>Karitel</t>
        </is>
      </c>
      <c r="C6" s="5" t="inlineStr">
        <is>
          <t>Módulo 01</t>
        </is>
      </c>
      <c r="D6" s="5" t="inlineStr">
        <is>
          <t>KM1</t>
        </is>
      </c>
      <c r="E6" s="5" t="inlineStr">
        <is>
          <t>CACAU</t>
        </is>
      </c>
      <c r="F6" s="6" t="inlineStr"/>
      <c r="G6" s="7" t="inlineStr"/>
      <c r="H6" s="20" t="n"/>
      <c r="I6" s="9">
        <f>IF($H6="","",DATA_REF-$H6)</f>
        <v/>
      </c>
      <c r="J6" s="9">
        <f>IF($I6="","",MAX(0,$I6-'PARAMETROS'!$B$12))</f>
        <v/>
      </c>
      <c r="K6" s="10">
        <f>IFERROR(INDEX(KC_CURVAS!$C$5:$C$15,MATCH($E6&amp;"|"&amp;$G6,KC_CURVAS!$K$5:$K$15,0)),IFERROR(INDEX(KC_CURVAS!$C$5:$C$15,MATCH($E6&amp;"|",KC_CURVAS!$K$5:$K$15,0)),""))</f>
        <v/>
      </c>
      <c r="L6" s="10">
        <f>IFERROR(INDEX(KC_CURVAS!$D$5:$D$15,MATCH($E6&amp;"|"&amp;$G6,KC_CURVAS!$K$5:$K$15,0)),IFERROR(INDEX(KC_CURVAS!$D$5:$D$15,MATCH($E6&amp;"|",KC_CURVAS!$K$5:$K$15,0)),""))</f>
        <v/>
      </c>
      <c r="M6" s="10">
        <f>IFERROR(INDEX(KC_CURVAS!$E$5:$E$15,MATCH($E6&amp;"|"&amp;$G6,KC_CURVAS!$K$5:$K$15,0)),IFERROR(INDEX(KC_CURVAS!$E$5:$E$15,MATCH($E6&amp;"|",KC_CURVAS!$K$5:$K$15,0)),""))</f>
        <v/>
      </c>
      <c r="N6" s="10">
        <f>IFERROR(INDEX(KC_CURVAS!$F$5:$F$15,MATCH($E6&amp;"|"&amp;$G6,KC_CURVAS!$K$5:$K$15,0)),IFERROR(INDEX(KC_CURVAS!$F$5:$F$15,MATCH($E6&amp;"|",KC_CURVAS!$K$5:$K$15,0)),""))</f>
        <v/>
      </c>
      <c r="O6" s="11">
        <f>IFERROR(INDEX(KC_CURVAS!$G$5:$G$15,MATCH($E6&amp;"|"&amp;$G6,KC_CURVAS!$K$5:$K$15,0)),IFERROR(INDEX(KC_CURVAS!$G$5:$G$15,MATCH($E6&amp;"|",KC_CURVAS!$K$5:$K$15,0)),""))</f>
        <v/>
      </c>
      <c r="P6" s="11">
        <f>IFERROR(INDEX(KC_CURVAS!$H$5:$H$15,MATCH($E6&amp;"|"&amp;$G6,KC_CURVAS!$K$5:$K$15,0)),IFERROR(INDEX(KC_CURVAS!$H$5:$H$15,MATCH($E6&amp;"|",KC_CURVAS!$K$5:$K$15,0)),""))</f>
        <v/>
      </c>
      <c r="Q6" s="11">
        <f>IFERROR(INDEX(KC_CURVAS!$I$5:$I$15,MATCH($E6&amp;"|"&amp;$G6,KC_CURVAS!$K$5:$K$15,0)),IFERROR(INDEX(KC_CURVAS!$I$5:$I$15,MATCH($E6&amp;"|",KC_CURVAS!$K$5:$K$15,0)),""))</f>
        <v/>
      </c>
      <c r="R6" s="12">
        <f>IF(OR($J6="",$K6=""),"PENDENTE",IF($J6&lt;=$K6,$O6,IF($J6&lt;=$K6+$L6,$O6+($P6-$O6)*($J6-$K6)/$L6,IF($J6&lt;=$K6+$L6+$M6,$P6,IF($J6&lt;=$K6+$L6+$M6+$N6,$P6+($Q6-$P6)*($J6-($K6+$L6+$M6))/$N6,$Q6)))))</f>
        <v/>
      </c>
      <c r="S6" s="13">
        <f>ETO_SEM</f>
        <v/>
      </c>
      <c r="T6" s="14">
        <f>IF(OR($R6="",$R6="PENDENTE"),"",$R6*$S6)</f>
        <v/>
      </c>
      <c r="U6" s="13" t="n">
        <v>0</v>
      </c>
      <c r="V6" s="14">
        <f>IF($T6="","",MAX(0,$T6-N($U6)))</f>
        <v/>
      </c>
      <c r="W6" s="14">
        <f>IF($V6="","",$V6/EF_APLIC)</f>
        <v/>
      </c>
      <c r="X6" s="15" t="n">
        <v>99.7</v>
      </c>
      <c r="Y6" s="16">
        <f>IF(OR($W6="",$X6=""),"",$W6*$X6*10)</f>
        <v/>
      </c>
      <c r="Z6" s="17">
        <f>IFERROR(INDEX('PARAMETROS'!$B$16:$B$19,MATCH($D6,'PARAMETROS'!$A$16:$A$19,0)),"")</f>
        <v/>
      </c>
      <c r="AA6" s="16">
        <f>IF(OR($Y6="",$Z6=""),"",$Y6*$Z6)</f>
        <v/>
      </c>
      <c r="AB6" s="18">
        <f>IF($R6="PENDENTE","Definir classe/Kc",IF($W6="","-",IF($W6&gt;0,"Irrigar","Nao irrigar")))</f>
        <v/>
      </c>
      <c r="AC6" s="18">
        <f>IF(OR($W6="",$W6=0),"-",IF($W6&gt;=META_SEM,"Alta",IF($W6&gt;=META_SEM*FRAC_ACOMP,"Media","Baixa")))</f>
        <v/>
      </c>
      <c r="AD6" s="19" t="inlineStr"/>
    </row>
    <row r="7">
      <c r="A7" s="5" t="inlineStr">
        <is>
          <t>25</t>
        </is>
      </c>
      <c r="B7" s="5" t="inlineStr">
        <is>
          <t>Karitel</t>
        </is>
      </c>
      <c r="C7" s="5" t="inlineStr">
        <is>
          <t>Módulo 01</t>
        </is>
      </c>
      <c r="D7" s="5" t="inlineStr">
        <is>
          <t>KM1</t>
        </is>
      </c>
      <c r="E7" s="5" t="inlineStr">
        <is>
          <t>CACAU</t>
        </is>
      </c>
      <c r="F7" s="6" t="inlineStr"/>
      <c r="G7" s="7" t="inlineStr"/>
      <c r="H7" s="20" t="n"/>
      <c r="I7" s="9">
        <f>IF($H7="","",DATA_REF-$H7)</f>
        <v/>
      </c>
      <c r="J7" s="9">
        <f>IF($I7="","",MAX(0,$I7-'PARAMETROS'!$B$12))</f>
        <v/>
      </c>
      <c r="K7" s="10">
        <f>IFERROR(INDEX(KC_CURVAS!$C$5:$C$15,MATCH($E7&amp;"|"&amp;$G7,KC_CURVAS!$K$5:$K$15,0)),IFERROR(INDEX(KC_CURVAS!$C$5:$C$15,MATCH($E7&amp;"|",KC_CURVAS!$K$5:$K$15,0)),""))</f>
        <v/>
      </c>
      <c r="L7" s="10">
        <f>IFERROR(INDEX(KC_CURVAS!$D$5:$D$15,MATCH($E7&amp;"|"&amp;$G7,KC_CURVAS!$K$5:$K$15,0)),IFERROR(INDEX(KC_CURVAS!$D$5:$D$15,MATCH($E7&amp;"|",KC_CURVAS!$K$5:$K$15,0)),""))</f>
        <v/>
      </c>
      <c r="M7" s="10">
        <f>IFERROR(INDEX(KC_CURVAS!$E$5:$E$15,MATCH($E7&amp;"|"&amp;$G7,KC_CURVAS!$K$5:$K$15,0)),IFERROR(INDEX(KC_CURVAS!$E$5:$E$15,MATCH($E7&amp;"|",KC_CURVAS!$K$5:$K$15,0)),""))</f>
        <v/>
      </c>
      <c r="N7" s="10">
        <f>IFERROR(INDEX(KC_CURVAS!$F$5:$F$15,MATCH($E7&amp;"|"&amp;$G7,KC_CURVAS!$K$5:$K$15,0)),IFERROR(INDEX(KC_CURVAS!$F$5:$F$15,MATCH($E7&amp;"|",KC_CURVAS!$K$5:$K$15,0)),""))</f>
        <v/>
      </c>
      <c r="O7" s="11">
        <f>IFERROR(INDEX(KC_CURVAS!$G$5:$G$15,MATCH($E7&amp;"|"&amp;$G7,KC_CURVAS!$K$5:$K$15,0)),IFERROR(INDEX(KC_CURVAS!$G$5:$G$15,MATCH($E7&amp;"|",KC_CURVAS!$K$5:$K$15,0)),""))</f>
        <v/>
      </c>
      <c r="P7" s="11">
        <f>IFERROR(INDEX(KC_CURVAS!$H$5:$H$15,MATCH($E7&amp;"|"&amp;$G7,KC_CURVAS!$K$5:$K$15,0)),IFERROR(INDEX(KC_CURVAS!$H$5:$H$15,MATCH($E7&amp;"|",KC_CURVAS!$K$5:$K$15,0)),""))</f>
        <v/>
      </c>
      <c r="Q7" s="11">
        <f>IFERROR(INDEX(KC_CURVAS!$I$5:$I$15,MATCH($E7&amp;"|"&amp;$G7,KC_CURVAS!$K$5:$K$15,0)),IFERROR(INDEX(KC_CURVAS!$I$5:$I$15,MATCH($E7&amp;"|",KC_CURVAS!$K$5:$K$15,0)),""))</f>
        <v/>
      </c>
      <c r="R7" s="12">
        <f>IF(OR($J7="",$K7=""),"PENDENTE",IF($J7&lt;=$K7,$O7,IF($J7&lt;=$K7+$L7,$O7+($P7-$O7)*($J7-$K7)/$L7,IF($J7&lt;=$K7+$L7+$M7,$P7,IF($J7&lt;=$K7+$L7+$M7+$N7,$P7+($Q7-$P7)*($J7-($K7+$L7+$M7))/$N7,$Q7)))))</f>
        <v/>
      </c>
      <c r="S7" s="13">
        <f>ETO_SEM</f>
        <v/>
      </c>
      <c r="T7" s="14">
        <f>IF(OR($R7="",$R7="PENDENTE"),"",$R7*$S7)</f>
        <v/>
      </c>
      <c r="U7" s="13" t="n">
        <v>0</v>
      </c>
      <c r="V7" s="14">
        <f>IF($T7="","",MAX(0,$T7-N($U7)))</f>
        <v/>
      </c>
      <c r="W7" s="14">
        <f>IF($V7="","",$V7/EF_APLIC)</f>
        <v/>
      </c>
      <c r="X7" s="15" t="n">
        <v>99.7</v>
      </c>
      <c r="Y7" s="16">
        <f>IF(OR($W7="",$X7=""),"",$W7*$X7*10)</f>
        <v/>
      </c>
      <c r="Z7" s="17">
        <f>IFERROR(INDEX('PARAMETROS'!$B$16:$B$19,MATCH($D7,'PARAMETROS'!$A$16:$A$19,0)),"")</f>
        <v/>
      </c>
      <c r="AA7" s="16">
        <f>IF(OR($Y7="",$Z7=""),"",$Y7*$Z7)</f>
        <v/>
      </c>
      <c r="AB7" s="18">
        <f>IF($R7="PENDENTE","Definir classe/Kc",IF($W7="","-",IF($W7&gt;0,"Irrigar","Nao irrigar")))</f>
        <v/>
      </c>
      <c r="AC7" s="18">
        <f>IF(OR($W7="",$W7=0),"-",IF($W7&gt;=META_SEM,"Alta",IF($W7&gt;=META_SEM*FRAC_ACOMP,"Media","Baixa")))</f>
        <v/>
      </c>
      <c r="AD7" s="19" t="inlineStr"/>
    </row>
    <row r="8">
      <c r="A8" s="5" t="inlineStr">
        <is>
          <t>25</t>
        </is>
      </c>
      <c r="B8" s="5" t="inlineStr">
        <is>
          <t>Karitel</t>
        </is>
      </c>
      <c r="C8" s="5" t="inlineStr">
        <is>
          <t>Módulo 01</t>
        </is>
      </c>
      <c r="D8" s="5" t="inlineStr">
        <is>
          <t>KM1</t>
        </is>
      </c>
      <c r="E8" s="5" t="inlineStr">
        <is>
          <t>CACAU</t>
        </is>
      </c>
      <c r="F8" s="6" t="inlineStr"/>
      <c r="G8" s="7" t="inlineStr"/>
      <c r="H8" s="20" t="n"/>
      <c r="I8" s="9">
        <f>IF($H8="","",DATA_REF-$H8)</f>
        <v/>
      </c>
      <c r="J8" s="9">
        <f>IF($I8="","",MAX(0,$I8-'PARAMETROS'!$B$12))</f>
        <v/>
      </c>
      <c r="K8" s="10">
        <f>IFERROR(INDEX(KC_CURVAS!$C$5:$C$15,MATCH($E8&amp;"|"&amp;$G8,KC_CURVAS!$K$5:$K$15,0)),IFERROR(INDEX(KC_CURVAS!$C$5:$C$15,MATCH($E8&amp;"|",KC_CURVAS!$K$5:$K$15,0)),""))</f>
        <v/>
      </c>
      <c r="L8" s="10">
        <f>IFERROR(INDEX(KC_CURVAS!$D$5:$D$15,MATCH($E8&amp;"|"&amp;$G8,KC_CURVAS!$K$5:$K$15,0)),IFERROR(INDEX(KC_CURVAS!$D$5:$D$15,MATCH($E8&amp;"|",KC_CURVAS!$K$5:$K$15,0)),""))</f>
        <v/>
      </c>
      <c r="M8" s="10">
        <f>IFERROR(INDEX(KC_CURVAS!$E$5:$E$15,MATCH($E8&amp;"|"&amp;$G8,KC_CURVAS!$K$5:$K$15,0)),IFERROR(INDEX(KC_CURVAS!$E$5:$E$15,MATCH($E8&amp;"|",KC_CURVAS!$K$5:$K$15,0)),""))</f>
        <v/>
      </c>
      <c r="N8" s="10">
        <f>IFERROR(INDEX(KC_CURVAS!$F$5:$F$15,MATCH($E8&amp;"|"&amp;$G8,KC_CURVAS!$K$5:$K$15,0)),IFERROR(INDEX(KC_CURVAS!$F$5:$F$15,MATCH($E8&amp;"|",KC_CURVAS!$K$5:$K$15,0)),""))</f>
        <v/>
      </c>
      <c r="O8" s="11">
        <f>IFERROR(INDEX(KC_CURVAS!$G$5:$G$15,MATCH($E8&amp;"|"&amp;$G8,KC_CURVAS!$K$5:$K$15,0)),IFERROR(INDEX(KC_CURVAS!$G$5:$G$15,MATCH($E8&amp;"|",KC_CURVAS!$K$5:$K$15,0)),""))</f>
        <v/>
      </c>
      <c r="P8" s="11">
        <f>IFERROR(INDEX(KC_CURVAS!$H$5:$H$15,MATCH($E8&amp;"|"&amp;$G8,KC_CURVAS!$K$5:$K$15,0)),IFERROR(INDEX(KC_CURVAS!$H$5:$H$15,MATCH($E8&amp;"|",KC_CURVAS!$K$5:$K$15,0)),""))</f>
        <v/>
      </c>
      <c r="Q8" s="11">
        <f>IFERROR(INDEX(KC_CURVAS!$I$5:$I$15,MATCH($E8&amp;"|"&amp;$G8,KC_CURVAS!$K$5:$K$15,0)),IFERROR(INDEX(KC_CURVAS!$I$5:$I$15,MATCH($E8&amp;"|",KC_CURVAS!$K$5:$K$15,0)),""))</f>
        <v/>
      </c>
      <c r="R8" s="12">
        <f>IF(OR($J8="",$K8=""),"PENDENTE",IF($J8&lt;=$K8,$O8,IF($J8&lt;=$K8+$L8,$O8+($P8-$O8)*($J8-$K8)/$L8,IF($J8&lt;=$K8+$L8+$M8,$P8,IF($J8&lt;=$K8+$L8+$M8+$N8,$P8+($Q8-$P8)*($J8-($K8+$L8+$M8))/$N8,$Q8)))))</f>
        <v/>
      </c>
      <c r="S8" s="13">
        <f>ETO_SEM</f>
        <v/>
      </c>
      <c r="T8" s="14">
        <f>IF(OR($R8="",$R8="PENDENTE"),"",$R8*$S8)</f>
        <v/>
      </c>
      <c r="U8" s="13" t="n">
        <v>0</v>
      </c>
      <c r="V8" s="14">
        <f>IF($T8="","",MAX(0,$T8-N($U8)))</f>
        <v/>
      </c>
      <c r="W8" s="14">
        <f>IF($V8="","",$V8/EF_APLIC)</f>
        <v/>
      </c>
      <c r="X8" s="15" t="n">
        <v>99.7</v>
      </c>
      <c r="Y8" s="16">
        <f>IF(OR($W8="",$X8=""),"",$W8*$X8*10)</f>
        <v/>
      </c>
      <c r="Z8" s="17">
        <f>IFERROR(INDEX('PARAMETROS'!$B$16:$B$19,MATCH($D8,'PARAMETROS'!$A$16:$A$19,0)),"")</f>
        <v/>
      </c>
      <c r="AA8" s="16">
        <f>IF(OR($Y8="",$Z8=""),"",$Y8*$Z8)</f>
        <v/>
      </c>
      <c r="AB8" s="18">
        <f>IF($R8="PENDENTE","Definir classe/Kc",IF($W8="","-",IF($W8&gt;0,"Irrigar","Nao irrigar")))</f>
        <v/>
      </c>
      <c r="AC8" s="18">
        <f>IF(OR($W8="",$W8=0),"-",IF($W8&gt;=META_SEM,"Alta",IF($W8&gt;=META_SEM*FRAC_ACOMP,"Media","Baixa")))</f>
        <v/>
      </c>
      <c r="AD8" s="19" t="inlineStr"/>
    </row>
    <row r="9">
      <c r="A9" s="5" t="inlineStr">
        <is>
          <t>25</t>
        </is>
      </c>
      <c r="B9" s="5" t="inlineStr">
        <is>
          <t>Karitel</t>
        </is>
      </c>
      <c r="C9" s="5" t="inlineStr">
        <is>
          <t>Módulo 01</t>
        </is>
      </c>
      <c r="D9" s="5" t="inlineStr">
        <is>
          <t>KM1</t>
        </is>
      </c>
      <c r="E9" s="5" t="inlineStr">
        <is>
          <t>CACAU</t>
        </is>
      </c>
      <c r="F9" s="6" t="inlineStr"/>
      <c r="G9" s="7" t="inlineStr"/>
      <c r="H9" s="20" t="n"/>
      <c r="I9" s="9">
        <f>IF($H9="","",DATA_REF-$H9)</f>
        <v/>
      </c>
      <c r="J9" s="9">
        <f>IF($I9="","",MAX(0,$I9-'PARAMETROS'!$B$12))</f>
        <v/>
      </c>
      <c r="K9" s="10">
        <f>IFERROR(INDEX(KC_CURVAS!$C$5:$C$15,MATCH($E9&amp;"|"&amp;$G9,KC_CURVAS!$K$5:$K$15,0)),IFERROR(INDEX(KC_CURVAS!$C$5:$C$15,MATCH($E9&amp;"|",KC_CURVAS!$K$5:$K$15,0)),""))</f>
        <v/>
      </c>
      <c r="L9" s="10">
        <f>IFERROR(INDEX(KC_CURVAS!$D$5:$D$15,MATCH($E9&amp;"|"&amp;$G9,KC_CURVAS!$K$5:$K$15,0)),IFERROR(INDEX(KC_CURVAS!$D$5:$D$15,MATCH($E9&amp;"|",KC_CURVAS!$K$5:$K$15,0)),""))</f>
        <v/>
      </c>
      <c r="M9" s="10">
        <f>IFERROR(INDEX(KC_CURVAS!$E$5:$E$15,MATCH($E9&amp;"|"&amp;$G9,KC_CURVAS!$K$5:$K$15,0)),IFERROR(INDEX(KC_CURVAS!$E$5:$E$15,MATCH($E9&amp;"|",KC_CURVAS!$K$5:$K$15,0)),""))</f>
        <v/>
      </c>
      <c r="N9" s="10">
        <f>IFERROR(INDEX(KC_CURVAS!$F$5:$F$15,MATCH($E9&amp;"|"&amp;$G9,KC_CURVAS!$K$5:$K$15,0)),IFERROR(INDEX(KC_CURVAS!$F$5:$F$15,MATCH($E9&amp;"|",KC_CURVAS!$K$5:$K$15,0)),""))</f>
        <v/>
      </c>
      <c r="O9" s="11">
        <f>IFERROR(INDEX(KC_CURVAS!$G$5:$G$15,MATCH($E9&amp;"|"&amp;$G9,KC_CURVAS!$K$5:$K$15,0)),IFERROR(INDEX(KC_CURVAS!$G$5:$G$15,MATCH($E9&amp;"|",KC_CURVAS!$K$5:$K$15,0)),""))</f>
        <v/>
      </c>
      <c r="P9" s="11">
        <f>IFERROR(INDEX(KC_CURVAS!$H$5:$H$15,MATCH($E9&amp;"|"&amp;$G9,KC_CURVAS!$K$5:$K$15,0)),IFERROR(INDEX(KC_CURVAS!$H$5:$H$15,MATCH($E9&amp;"|",KC_CURVAS!$K$5:$K$15,0)),""))</f>
        <v/>
      </c>
      <c r="Q9" s="11">
        <f>IFERROR(INDEX(KC_CURVAS!$I$5:$I$15,MATCH($E9&amp;"|"&amp;$G9,KC_CURVAS!$K$5:$K$15,0)),IFERROR(INDEX(KC_CURVAS!$I$5:$I$15,MATCH($E9&amp;"|",KC_CURVAS!$K$5:$K$15,0)),""))</f>
        <v/>
      </c>
      <c r="R9" s="12">
        <f>IF(OR($J9="",$K9=""),"PENDENTE",IF($J9&lt;=$K9,$O9,IF($J9&lt;=$K9+$L9,$O9+($P9-$O9)*($J9-$K9)/$L9,IF($J9&lt;=$K9+$L9+$M9,$P9,IF($J9&lt;=$K9+$L9+$M9+$N9,$P9+($Q9-$P9)*($J9-($K9+$L9+$M9))/$N9,$Q9)))))</f>
        <v/>
      </c>
      <c r="S9" s="13">
        <f>ETO_SEM</f>
        <v/>
      </c>
      <c r="T9" s="14">
        <f>IF(OR($R9="",$R9="PENDENTE"),"",$R9*$S9)</f>
        <v/>
      </c>
      <c r="U9" s="13" t="n">
        <v>0</v>
      </c>
      <c r="V9" s="14">
        <f>IF($T9="","",MAX(0,$T9-N($U9)))</f>
        <v/>
      </c>
      <c r="W9" s="14">
        <f>IF($V9="","",$V9/EF_APLIC)</f>
        <v/>
      </c>
      <c r="X9" s="15" t="n">
        <v>99.7</v>
      </c>
      <c r="Y9" s="16">
        <f>IF(OR($W9="",$X9=""),"",$W9*$X9*10)</f>
        <v/>
      </c>
      <c r="Z9" s="17">
        <f>IFERROR(INDEX('PARAMETROS'!$B$16:$B$19,MATCH($D9,'PARAMETROS'!$A$16:$A$19,0)),"")</f>
        <v/>
      </c>
      <c r="AA9" s="16">
        <f>IF(OR($Y9="",$Z9=""),"",$Y9*$Z9)</f>
        <v/>
      </c>
      <c r="AB9" s="18">
        <f>IF($R9="PENDENTE","Definir classe/Kc",IF($W9="","-",IF($W9&gt;0,"Irrigar","Nao irrigar")))</f>
        <v/>
      </c>
      <c r="AC9" s="18">
        <f>IF(OR($W9="",$W9=0),"-",IF($W9&gt;=META_SEM,"Alta",IF($W9&gt;=META_SEM*FRAC_ACOMP,"Media","Baixa")))</f>
        <v/>
      </c>
      <c r="AD9" s="19" t="inlineStr"/>
    </row>
    <row r="10">
      <c r="A10" s="5" t="inlineStr">
        <is>
          <t>27</t>
        </is>
      </c>
      <c r="B10" s="5" t="inlineStr">
        <is>
          <t>Karitel</t>
        </is>
      </c>
      <c r="C10" s="5" t="inlineStr">
        <is>
          <t>Módulo 01</t>
        </is>
      </c>
      <c r="D10" s="5" t="inlineStr">
        <is>
          <t>KM1</t>
        </is>
      </c>
      <c r="E10" s="5" t="inlineStr">
        <is>
          <t>CACAU</t>
        </is>
      </c>
      <c r="F10" s="6" t="inlineStr"/>
      <c r="G10" s="7" t="inlineStr"/>
      <c r="H10" s="20" t="n"/>
      <c r="I10" s="9">
        <f>IF($H10="","",DATA_REF-$H10)</f>
        <v/>
      </c>
      <c r="J10" s="9">
        <f>IF($I10="","",MAX(0,$I10-'PARAMETROS'!$B$12))</f>
        <v/>
      </c>
      <c r="K10" s="10">
        <f>IFERROR(INDEX(KC_CURVAS!$C$5:$C$15,MATCH($E10&amp;"|"&amp;$G10,KC_CURVAS!$K$5:$K$15,0)),IFERROR(INDEX(KC_CURVAS!$C$5:$C$15,MATCH($E10&amp;"|",KC_CURVAS!$K$5:$K$15,0)),""))</f>
        <v/>
      </c>
      <c r="L10" s="10">
        <f>IFERROR(INDEX(KC_CURVAS!$D$5:$D$15,MATCH($E10&amp;"|"&amp;$G10,KC_CURVAS!$K$5:$K$15,0)),IFERROR(INDEX(KC_CURVAS!$D$5:$D$15,MATCH($E10&amp;"|",KC_CURVAS!$K$5:$K$15,0)),""))</f>
        <v/>
      </c>
      <c r="M10" s="10">
        <f>IFERROR(INDEX(KC_CURVAS!$E$5:$E$15,MATCH($E10&amp;"|"&amp;$G10,KC_CURVAS!$K$5:$K$15,0)),IFERROR(INDEX(KC_CURVAS!$E$5:$E$15,MATCH($E10&amp;"|",KC_CURVAS!$K$5:$K$15,0)),""))</f>
        <v/>
      </c>
      <c r="N10" s="10">
        <f>IFERROR(INDEX(KC_CURVAS!$F$5:$F$15,MATCH($E10&amp;"|"&amp;$G10,KC_CURVAS!$K$5:$K$15,0)),IFERROR(INDEX(KC_CURVAS!$F$5:$F$15,MATCH($E10&amp;"|",KC_CURVAS!$K$5:$K$15,0)),""))</f>
        <v/>
      </c>
      <c r="O10" s="11">
        <f>IFERROR(INDEX(KC_CURVAS!$G$5:$G$15,MATCH($E10&amp;"|"&amp;$G10,KC_CURVAS!$K$5:$K$15,0)),IFERROR(INDEX(KC_CURVAS!$G$5:$G$15,MATCH($E10&amp;"|",KC_CURVAS!$K$5:$K$15,0)),""))</f>
        <v/>
      </c>
      <c r="P10" s="11">
        <f>IFERROR(INDEX(KC_CURVAS!$H$5:$H$15,MATCH($E10&amp;"|"&amp;$G10,KC_CURVAS!$K$5:$K$15,0)),IFERROR(INDEX(KC_CURVAS!$H$5:$H$15,MATCH($E10&amp;"|",KC_CURVAS!$K$5:$K$15,0)),""))</f>
        <v/>
      </c>
      <c r="Q10" s="11">
        <f>IFERROR(INDEX(KC_CURVAS!$I$5:$I$15,MATCH($E10&amp;"|"&amp;$G10,KC_CURVAS!$K$5:$K$15,0)),IFERROR(INDEX(KC_CURVAS!$I$5:$I$15,MATCH($E10&amp;"|",KC_CURVAS!$K$5:$K$15,0)),""))</f>
        <v/>
      </c>
      <c r="R10" s="12">
        <f>IF(OR($J10="",$K10=""),"PENDENTE",IF($J10&lt;=$K10,$O10,IF($J10&lt;=$K10+$L10,$O10+($P10-$O10)*($J10-$K10)/$L10,IF($J10&lt;=$K10+$L10+$M10,$P10,IF($J10&lt;=$K10+$L10+$M10+$N10,$P10+($Q10-$P10)*($J10-($K10+$L10+$M10))/$N10,$Q10)))))</f>
        <v/>
      </c>
      <c r="S10" s="13">
        <f>ETO_SEM</f>
        <v/>
      </c>
      <c r="T10" s="14">
        <f>IF(OR($R10="",$R10="PENDENTE"),"",$R10*$S10)</f>
        <v/>
      </c>
      <c r="U10" s="13" t="n">
        <v>0</v>
      </c>
      <c r="V10" s="14">
        <f>IF($T10="","",MAX(0,$T10-N($U10)))</f>
        <v/>
      </c>
      <c r="W10" s="14">
        <f>IF($V10="","",$V10/EF_APLIC)</f>
        <v/>
      </c>
      <c r="X10" s="15" t="n">
        <v>99.14</v>
      </c>
      <c r="Y10" s="16">
        <f>IF(OR($W10="",$X10=""),"",$W10*$X10*10)</f>
        <v/>
      </c>
      <c r="Z10" s="17">
        <f>IFERROR(INDEX('PARAMETROS'!$B$16:$B$19,MATCH($D10,'PARAMETROS'!$A$16:$A$19,0)),"")</f>
        <v/>
      </c>
      <c r="AA10" s="16">
        <f>IF(OR($Y10="",$Z10=""),"",$Y10*$Z10)</f>
        <v/>
      </c>
      <c r="AB10" s="18">
        <f>IF($R10="PENDENTE","Definir classe/Kc",IF($W10="","-",IF($W10&gt;0,"Irrigar","Nao irrigar")))</f>
        <v/>
      </c>
      <c r="AC10" s="18">
        <f>IF(OR($W10="",$W10=0),"-",IF($W10&gt;=META_SEM,"Alta",IF($W10&gt;=META_SEM*FRAC_ACOMP,"Media","Baixa")))</f>
        <v/>
      </c>
      <c r="AD10" s="19" t="inlineStr"/>
    </row>
    <row r="11">
      <c r="A11" s="5" t="inlineStr">
        <is>
          <t>27</t>
        </is>
      </c>
      <c r="B11" s="5" t="inlineStr">
        <is>
          <t>Karitel</t>
        </is>
      </c>
      <c r="C11" s="5" t="inlineStr">
        <is>
          <t>Módulo 01</t>
        </is>
      </c>
      <c r="D11" s="5" t="inlineStr">
        <is>
          <t>KM1</t>
        </is>
      </c>
      <c r="E11" s="5" t="inlineStr">
        <is>
          <t>CACAU</t>
        </is>
      </c>
      <c r="F11" s="6" t="inlineStr"/>
      <c r="G11" s="7" t="inlineStr"/>
      <c r="H11" s="20" t="n"/>
      <c r="I11" s="9">
        <f>IF($H11="","",DATA_REF-$H11)</f>
        <v/>
      </c>
      <c r="J11" s="9">
        <f>IF($I11="","",MAX(0,$I11-'PARAMETROS'!$B$12))</f>
        <v/>
      </c>
      <c r="K11" s="10">
        <f>IFERROR(INDEX(KC_CURVAS!$C$5:$C$15,MATCH($E11&amp;"|"&amp;$G11,KC_CURVAS!$K$5:$K$15,0)),IFERROR(INDEX(KC_CURVAS!$C$5:$C$15,MATCH($E11&amp;"|",KC_CURVAS!$K$5:$K$15,0)),""))</f>
        <v/>
      </c>
      <c r="L11" s="10">
        <f>IFERROR(INDEX(KC_CURVAS!$D$5:$D$15,MATCH($E11&amp;"|"&amp;$G11,KC_CURVAS!$K$5:$K$15,0)),IFERROR(INDEX(KC_CURVAS!$D$5:$D$15,MATCH($E11&amp;"|",KC_CURVAS!$K$5:$K$15,0)),""))</f>
        <v/>
      </c>
      <c r="M11" s="10">
        <f>IFERROR(INDEX(KC_CURVAS!$E$5:$E$15,MATCH($E11&amp;"|"&amp;$G11,KC_CURVAS!$K$5:$K$15,0)),IFERROR(INDEX(KC_CURVAS!$E$5:$E$15,MATCH($E11&amp;"|",KC_CURVAS!$K$5:$K$15,0)),""))</f>
        <v/>
      </c>
      <c r="N11" s="10">
        <f>IFERROR(INDEX(KC_CURVAS!$F$5:$F$15,MATCH($E11&amp;"|"&amp;$G11,KC_CURVAS!$K$5:$K$15,0)),IFERROR(INDEX(KC_CURVAS!$F$5:$F$15,MATCH($E11&amp;"|",KC_CURVAS!$K$5:$K$15,0)),""))</f>
        <v/>
      </c>
      <c r="O11" s="11">
        <f>IFERROR(INDEX(KC_CURVAS!$G$5:$G$15,MATCH($E11&amp;"|"&amp;$G11,KC_CURVAS!$K$5:$K$15,0)),IFERROR(INDEX(KC_CURVAS!$G$5:$G$15,MATCH($E11&amp;"|",KC_CURVAS!$K$5:$K$15,0)),""))</f>
        <v/>
      </c>
      <c r="P11" s="11">
        <f>IFERROR(INDEX(KC_CURVAS!$H$5:$H$15,MATCH($E11&amp;"|"&amp;$G11,KC_CURVAS!$K$5:$K$15,0)),IFERROR(INDEX(KC_CURVAS!$H$5:$H$15,MATCH($E11&amp;"|",KC_CURVAS!$K$5:$K$15,0)),""))</f>
        <v/>
      </c>
      <c r="Q11" s="11">
        <f>IFERROR(INDEX(KC_CURVAS!$I$5:$I$15,MATCH($E11&amp;"|"&amp;$G11,KC_CURVAS!$K$5:$K$15,0)),IFERROR(INDEX(KC_CURVAS!$I$5:$I$15,MATCH($E11&amp;"|",KC_CURVAS!$K$5:$K$15,0)),""))</f>
        <v/>
      </c>
      <c r="R11" s="12">
        <f>IF(OR($J11="",$K11=""),"PENDENTE",IF($J11&lt;=$K11,$O11,IF($J11&lt;=$K11+$L11,$O11+($P11-$O11)*($J11-$K11)/$L11,IF($J11&lt;=$K11+$L11+$M11,$P11,IF($J11&lt;=$K11+$L11+$M11+$N11,$P11+($Q11-$P11)*($J11-($K11+$L11+$M11))/$N11,$Q11)))))</f>
        <v/>
      </c>
      <c r="S11" s="13">
        <f>ETO_SEM</f>
        <v/>
      </c>
      <c r="T11" s="14">
        <f>IF(OR($R11="",$R11="PENDENTE"),"",$R11*$S11)</f>
        <v/>
      </c>
      <c r="U11" s="13" t="n">
        <v>0</v>
      </c>
      <c r="V11" s="14">
        <f>IF($T11="","",MAX(0,$T11-N($U11)))</f>
        <v/>
      </c>
      <c r="W11" s="14">
        <f>IF($V11="","",$V11/EF_APLIC)</f>
        <v/>
      </c>
      <c r="X11" s="15" t="n">
        <v>99.14</v>
      </c>
      <c r="Y11" s="16">
        <f>IF(OR($W11="",$X11=""),"",$W11*$X11*10)</f>
        <v/>
      </c>
      <c r="Z11" s="17">
        <f>IFERROR(INDEX('PARAMETROS'!$B$16:$B$19,MATCH($D11,'PARAMETROS'!$A$16:$A$19,0)),"")</f>
        <v/>
      </c>
      <c r="AA11" s="16">
        <f>IF(OR($Y11="",$Z11=""),"",$Y11*$Z11)</f>
        <v/>
      </c>
      <c r="AB11" s="18">
        <f>IF($R11="PENDENTE","Definir classe/Kc",IF($W11="","-",IF($W11&gt;0,"Irrigar","Nao irrigar")))</f>
        <v/>
      </c>
      <c r="AC11" s="18">
        <f>IF(OR($W11="",$W11=0),"-",IF($W11&gt;=META_SEM,"Alta",IF($W11&gt;=META_SEM*FRAC_ACOMP,"Media","Baixa")))</f>
        <v/>
      </c>
      <c r="AD11" s="19" t="inlineStr"/>
    </row>
    <row r="12">
      <c r="A12" s="5" t="inlineStr">
        <is>
          <t>27</t>
        </is>
      </c>
      <c r="B12" s="5" t="inlineStr">
        <is>
          <t>Karitel</t>
        </is>
      </c>
      <c r="C12" s="5" t="inlineStr">
        <is>
          <t>Módulo 01</t>
        </is>
      </c>
      <c r="D12" s="5" t="inlineStr">
        <is>
          <t>KM1</t>
        </is>
      </c>
      <c r="E12" s="5" t="inlineStr">
        <is>
          <t>CACAU</t>
        </is>
      </c>
      <c r="F12" s="6" t="inlineStr"/>
      <c r="G12" s="7" t="inlineStr"/>
      <c r="H12" s="20" t="n"/>
      <c r="I12" s="9">
        <f>IF($H12="","",DATA_REF-$H12)</f>
        <v/>
      </c>
      <c r="J12" s="9">
        <f>IF($I12="","",MAX(0,$I12-'PARAMETROS'!$B$12))</f>
        <v/>
      </c>
      <c r="K12" s="10">
        <f>IFERROR(INDEX(KC_CURVAS!$C$5:$C$15,MATCH($E12&amp;"|"&amp;$G12,KC_CURVAS!$K$5:$K$15,0)),IFERROR(INDEX(KC_CURVAS!$C$5:$C$15,MATCH($E12&amp;"|",KC_CURVAS!$K$5:$K$15,0)),""))</f>
        <v/>
      </c>
      <c r="L12" s="10">
        <f>IFERROR(INDEX(KC_CURVAS!$D$5:$D$15,MATCH($E12&amp;"|"&amp;$G12,KC_CURVAS!$K$5:$K$15,0)),IFERROR(INDEX(KC_CURVAS!$D$5:$D$15,MATCH($E12&amp;"|",KC_CURVAS!$K$5:$K$15,0)),""))</f>
        <v/>
      </c>
      <c r="M12" s="10">
        <f>IFERROR(INDEX(KC_CURVAS!$E$5:$E$15,MATCH($E12&amp;"|"&amp;$G12,KC_CURVAS!$K$5:$K$15,0)),IFERROR(INDEX(KC_CURVAS!$E$5:$E$15,MATCH($E12&amp;"|",KC_CURVAS!$K$5:$K$15,0)),""))</f>
        <v/>
      </c>
      <c r="N12" s="10">
        <f>IFERROR(INDEX(KC_CURVAS!$F$5:$F$15,MATCH($E12&amp;"|"&amp;$G12,KC_CURVAS!$K$5:$K$15,0)),IFERROR(INDEX(KC_CURVAS!$F$5:$F$15,MATCH($E12&amp;"|",KC_CURVAS!$K$5:$K$15,0)),""))</f>
        <v/>
      </c>
      <c r="O12" s="11">
        <f>IFERROR(INDEX(KC_CURVAS!$G$5:$G$15,MATCH($E12&amp;"|"&amp;$G12,KC_CURVAS!$K$5:$K$15,0)),IFERROR(INDEX(KC_CURVAS!$G$5:$G$15,MATCH($E12&amp;"|",KC_CURVAS!$K$5:$K$15,0)),""))</f>
        <v/>
      </c>
      <c r="P12" s="11">
        <f>IFERROR(INDEX(KC_CURVAS!$H$5:$H$15,MATCH($E12&amp;"|"&amp;$G12,KC_CURVAS!$K$5:$K$15,0)),IFERROR(INDEX(KC_CURVAS!$H$5:$H$15,MATCH($E12&amp;"|",KC_CURVAS!$K$5:$K$15,0)),""))</f>
        <v/>
      </c>
      <c r="Q12" s="11">
        <f>IFERROR(INDEX(KC_CURVAS!$I$5:$I$15,MATCH($E12&amp;"|"&amp;$G12,KC_CURVAS!$K$5:$K$15,0)),IFERROR(INDEX(KC_CURVAS!$I$5:$I$15,MATCH($E12&amp;"|",KC_CURVAS!$K$5:$K$15,0)),""))</f>
        <v/>
      </c>
      <c r="R12" s="12">
        <f>IF(OR($J12="",$K12=""),"PENDENTE",IF($J12&lt;=$K12,$O12,IF($J12&lt;=$K12+$L12,$O12+($P12-$O12)*($J12-$K12)/$L12,IF($J12&lt;=$K12+$L12+$M12,$P12,IF($J12&lt;=$K12+$L12+$M12+$N12,$P12+($Q12-$P12)*($J12-($K12+$L12+$M12))/$N12,$Q12)))))</f>
        <v/>
      </c>
      <c r="S12" s="13">
        <f>ETO_SEM</f>
        <v/>
      </c>
      <c r="T12" s="14">
        <f>IF(OR($R12="",$R12="PENDENTE"),"",$R12*$S12)</f>
        <v/>
      </c>
      <c r="U12" s="13" t="n">
        <v>0</v>
      </c>
      <c r="V12" s="14">
        <f>IF($T12="","",MAX(0,$T12-N($U12)))</f>
        <v/>
      </c>
      <c r="W12" s="14">
        <f>IF($V12="","",$V12/EF_APLIC)</f>
        <v/>
      </c>
      <c r="X12" s="15" t="n">
        <v>99.14</v>
      </c>
      <c r="Y12" s="16">
        <f>IF(OR($W12="",$X12=""),"",$W12*$X12*10)</f>
        <v/>
      </c>
      <c r="Z12" s="17">
        <f>IFERROR(INDEX('PARAMETROS'!$B$16:$B$19,MATCH($D12,'PARAMETROS'!$A$16:$A$19,0)),"")</f>
        <v/>
      </c>
      <c r="AA12" s="16">
        <f>IF(OR($Y12="",$Z12=""),"",$Y12*$Z12)</f>
        <v/>
      </c>
      <c r="AB12" s="18">
        <f>IF($R12="PENDENTE","Definir classe/Kc",IF($W12="","-",IF($W12&gt;0,"Irrigar","Nao irrigar")))</f>
        <v/>
      </c>
      <c r="AC12" s="18">
        <f>IF(OR($W12="",$W12=0),"-",IF($W12&gt;=META_SEM,"Alta",IF($W12&gt;=META_SEM*FRAC_ACOMP,"Media","Baixa")))</f>
        <v/>
      </c>
      <c r="AD12" s="19" t="inlineStr"/>
    </row>
    <row r="13">
      <c r="A13" s="5" t="inlineStr">
        <is>
          <t>27</t>
        </is>
      </c>
      <c r="B13" s="5" t="inlineStr">
        <is>
          <t>Karitel</t>
        </is>
      </c>
      <c r="C13" s="5" t="inlineStr">
        <is>
          <t>Módulo 01</t>
        </is>
      </c>
      <c r="D13" s="5" t="inlineStr">
        <is>
          <t>KM1</t>
        </is>
      </c>
      <c r="E13" s="5" t="inlineStr">
        <is>
          <t>CACAU</t>
        </is>
      </c>
      <c r="F13" s="6" t="inlineStr"/>
      <c r="G13" s="7" t="inlineStr"/>
      <c r="H13" s="20" t="n"/>
      <c r="I13" s="9">
        <f>IF($H13="","",DATA_REF-$H13)</f>
        <v/>
      </c>
      <c r="J13" s="9">
        <f>IF($I13="","",MAX(0,$I13-'PARAMETROS'!$B$12))</f>
        <v/>
      </c>
      <c r="K13" s="10">
        <f>IFERROR(INDEX(KC_CURVAS!$C$5:$C$15,MATCH($E13&amp;"|"&amp;$G13,KC_CURVAS!$K$5:$K$15,0)),IFERROR(INDEX(KC_CURVAS!$C$5:$C$15,MATCH($E13&amp;"|",KC_CURVAS!$K$5:$K$15,0)),""))</f>
        <v/>
      </c>
      <c r="L13" s="10">
        <f>IFERROR(INDEX(KC_CURVAS!$D$5:$D$15,MATCH($E13&amp;"|"&amp;$G13,KC_CURVAS!$K$5:$K$15,0)),IFERROR(INDEX(KC_CURVAS!$D$5:$D$15,MATCH($E13&amp;"|",KC_CURVAS!$K$5:$K$15,0)),""))</f>
        <v/>
      </c>
      <c r="M13" s="10">
        <f>IFERROR(INDEX(KC_CURVAS!$E$5:$E$15,MATCH($E13&amp;"|"&amp;$G13,KC_CURVAS!$K$5:$K$15,0)),IFERROR(INDEX(KC_CURVAS!$E$5:$E$15,MATCH($E13&amp;"|",KC_CURVAS!$K$5:$K$15,0)),""))</f>
        <v/>
      </c>
      <c r="N13" s="10">
        <f>IFERROR(INDEX(KC_CURVAS!$F$5:$F$15,MATCH($E13&amp;"|"&amp;$G13,KC_CURVAS!$K$5:$K$15,0)),IFERROR(INDEX(KC_CURVAS!$F$5:$F$15,MATCH($E13&amp;"|",KC_CURVAS!$K$5:$K$15,0)),""))</f>
        <v/>
      </c>
      <c r="O13" s="11">
        <f>IFERROR(INDEX(KC_CURVAS!$G$5:$G$15,MATCH($E13&amp;"|"&amp;$G13,KC_CURVAS!$K$5:$K$15,0)),IFERROR(INDEX(KC_CURVAS!$G$5:$G$15,MATCH($E13&amp;"|",KC_CURVAS!$K$5:$K$15,0)),""))</f>
        <v/>
      </c>
      <c r="P13" s="11">
        <f>IFERROR(INDEX(KC_CURVAS!$H$5:$H$15,MATCH($E13&amp;"|"&amp;$G13,KC_CURVAS!$K$5:$K$15,0)),IFERROR(INDEX(KC_CURVAS!$H$5:$H$15,MATCH($E13&amp;"|",KC_CURVAS!$K$5:$K$15,0)),""))</f>
        <v/>
      </c>
      <c r="Q13" s="11">
        <f>IFERROR(INDEX(KC_CURVAS!$I$5:$I$15,MATCH($E13&amp;"|"&amp;$G13,KC_CURVAS!$K$5:$K$15,0)),IFERROR(INDEX(KC_CURVAS!$I$5:$I$15,MATCH($E13&amp;"|",KC_CURVAS!$K$5:$K$15,0)),""))</f>
        <v/>
      </c>
      <c r="R13" s="12">
        <f>IF(OR($J13="",$K13=""),"PENDENTE",IF($J13&lt;=$K13,$O13,IF($J13&lt;=$K13+$L13,$O13+($P13-$O13)*($J13-$K13)/$L13,IF($J13&lt;=$K13+$L13+$M13,$P13,IF($J13&lt;=$K13+$L13+$M13+$N13,$P13+($Q13-$P13)*($J13-($K13+$L13+$M13))/$N13,$Q13)))))</f>
        <v/>
      </c>
      <c r="S13" s="13">
        <f>ETO_SEM</f>
        <v/>
      </c>
      <c r="T13" s="14">
        <f>IF(OR($R13="",$R13="PENDENTE"),"",$R13*$S13)</f>
        <v/>
      </c>
      <c r="U13" s="13" t="n">
        <v>0</v>
      </c>
      <c r="V13" s="14">
        <f>IF($T13="","",MAX(0,$T13-N($U13)))</f>
        <v/>
      </c>
      <c r="W13" s="14">
        <f>IF($V13="","",$V13/EF_APLIC)</f>
        <v/>
      </c>
      <c r="X13" s="15" t="n">
        <v>99.14</v>
      </c>
      <c r="Y13" s="16">
        <f>IF(OR($W13="",$X13=""),"",$W13*$X13*10)</f>
        <v/>
      </c>
      <c r="Z13" s="17">
        <f>IFERROR(INDEX('PARAMETROS'!$B$16:$B$19,MATCH($D13,'PARAMETROS'!$A$16:$A$19,0)),"")</f>
        <v/>
      </c>
      <c r="AA13" s="16">
        <f>IF(OR($Y13="",$Z13=""),"",$Y13*$Z13)</f>
        <v/>
      </c>
      <c r="AB13" s="18">
        <f>IF($R13="PENDENTE","Definir classe/Kc",IF($W13="","-",IF($W13&gt;0,"Irrigar","Nao irrigar")))</f>
        <v/>
      </c>
      <c r="AC13" s="18">
        <f>IF(OR($W13="",$W13=0),"-",IF($W13&gt;=META_SEM,"Alta",IF($W13&gt;=META_SEM*FRAC_ACOMP,"Media","Baixa")))</f>
        <v/>
      </c>
      <c r="AD13" s="19" t="inlineStr"/>
    </row>
    <row r="14">
      <c r="A14" s="5" t="inlineStr">
        <is>
          <t>29</t>
        </is>
      </c>
      <c r="B14" s="5" t="inlineStr">
        <is>
          <t>Karitel</t>
        </is>
      </c>
      <c r="C14" s="5" t="inlineStr">
        <is>
          <t>Módulo 01</t>
        </is>
      </c>
      <c r="D14" s="5" t="inlineStr">
        <is>
          <t>KM1</t>
        </is>
      </c>
      <c r="E14" s="5" t="inlineStr">
        <is>
          <t>CACAU</t>
        </is>
      </c>
      <c r="F14" s="6" t="inlineStr"/>
      <c r="G14" s="7" t="inlineStr"/>
      <c r="H14" s="20" t="n"/>
      <c r="I14" s="9">
        <f>IF($H14="","",DATA_REF-$H14)</f>
        <v/>
      </c>
      <c r="J14" s="9">
        <f>IF($I14="","",MAX(0,$I14-'PARAMETROS'!$B$12))</f>
        <v/>
      </c>
      <c r="K14" s="10">
        <f>IFERROR(INDEX(KC_CURVAS!$C$5:$C$15,MATCH($E14&amp;"|"&amp;$G14,KC_CURVAS!$K$5:$K$15,0)),IFERROR(INDEX(KC_CURVAS!$C$5:$C$15,MATCH($E14&amp;"|",KC_CURVAS!$K$5:$K$15,0)),""))</f>
        <v/>
      </c>
      <c r="L14" s="10">
        <f>IFERROR(INDEX(KC_CURVAS!$D$5:$D$15,MATCH($E14&amp;"|"&amp;$G14,KC_CURVAS!$K$5:$K$15,0)),IFERROR(INDEX(KC_CURVAS!$D$5:$D$15,MATCH($E14&amp;"|",KC_CURVAS!$K$5:$K$15,0)),""))</f>
        <v/>
      </c>
      <c r="M14" s="10">
        <f>IFERROR(INDEX(KC_CURVAS!$E$5:$E$15,MATCH($E14&amp;"|"&amp;$G14,KC_CURVAS!$K$5:$K$15,0)),IFERROR(INDEX(KC_CURVAS!$E$5:$E$15,MATCH($E14&amp;"|",KC_CURVAS!$K$5:$K$15,0)),""))</f>
        <v/>
      </c>
      <c r="N14" s="10">
        <f>IFERROR(INDEX(KC_CURVAS!$F$5:$F$15,MATCH($E14&amp;"|"&amp;$G14,KC_CURVAS!$K$5:$K$15,0)),IFERROR(INDEX(KC_CURVAS!$F$5:$F$15,MATCH($E14&amp;"|",KC_CURVAS!$K$5:$K$15,0)),""))</f>
        <v/>
      </c>
      <c r="O14" s="11">
        <f>IFERROR(INDEX(KC_CURVAS!$G$5:$G$15,MATCH($E14&amp;"|"&amp;$G14,KC_CURVAS!$K$5:$K$15,0)),IFERROR(INDEX(KC_CURVAS!$G$5:$G$15,MATCH($E14&amp;"|",KC_CURVAS!$K$5:$K$15,0)),""))</f>
        <v/>
      </c>
      <c r="P14" s="11">
        <f>IFERROR(INDEX(KC_CURVAS!$H$5:$H$15,MATCH($E14&amp;"|"&amp;$G14,KC_CURVAS!$K$5:$K$15,0)),IFERROR(INDEX(KC_CURVAS!$H$5:$H$15,MATCH($E14&amp;"|",KC_CURVAS!$K$5:$K$15,0)),""))</f>
        <v/>
      </c>
      <c r="Q14" s="11">
        <f>IFERROR(INDEX(KC_CURVAS!$I$5:$I$15,MATCH($E14&amp;"|"&amp;$G14,KC_CURVAS!$K$5:$K$15,0)),IFERROR(INDEX(KC_CURVAS!$I$5:$I$15,MATCH($E14&amp;"|",KC_CURVAS!$K$5:$K$15,0)),""))</f>
        <v/>
      </c>
      <c r="R14" s="12">
        <f>IF(OR($J14="",$K14=""),"PENDENTE",IF($J14&lt;=$K14,$O14,IF($J14&lt;=$K14+$L14,$O14+($P14-$O14)*($J14-$K14)/$L14,IF($J14&lt;=$K14+$L14+$M14,$P14,IF($J14&lt;=$K14+$L14+$M14+$N14,$P14+($Q14-$P14)*($J14-($K14+$L14+$M14))/$N14,$Q14)))))</f>
        <v/>
      </c>
      <c r="S14" s="13">
        <f>ETO_SEM</f>
        <v/>
      </c>
      <c r="T14" s="14">
        <f>IF(OR($R14="",$R14="PENDENTE"),"",$R14*$S14)</f>
        <v/>
      </c>
      <c r="U14" s="13" t="n">
        <v>0</v>
      </c>
      <c r="V14" s="14">
        <f>IF($T14="","",MAX(0,$T14-N($U14)))</f>
        <v/>
      </c>
      <c r="W14" s="14">
        <f>IF($V14="","",$V14/EF_APLIC)</f>
        <v/>
      </c>
      <c r="X14" s="15" t="n">
        <v>78.55</v>
      </c>
      <c r="Y14" s="16">
        <f>IF(OR($W14="",$X14=""),"",$W14*$X14*10)</f>
        <v/>
      </c>
      <c r="Z14" s="17">
        <f>IFERROR(INDEX('PARAMETROS'!$B$16:$B$19,MATCH($D14,'PARAMETROS'!$A$16:$A$19,0)),"")</f>
        <v/>
      </c>
      <c r="AA14" s="16">
        <f>IF(OR($Y14="",$Z14=""),"",$Y14*$Z14)</f>
        <v/>
      </c>
      <c r="AB14" s="18">
        <f>IF($R14="PENDENTE","Definir classe/Kc",IF($W14="","-",IF($W14&gt;0,"Irrigar","Nao irrigar")))</f>
        <v/>
      </c>
      <c r="AC14" s="18">
        <f>IF(OR($W14="",$W14=0),"-",IF($W14&gt;=META_SEM,"Alta",IF($W14&gt;=META_SEM*FRAC_ACOMP,"Media","Baixa")))</f>
        <v/>
      </c>
      <c r="AD14" s="19" t="inlineStr"/>
    </row>
    <row r="15">
      <c r="A15" s="5" t="inlineStr">
        <is>
          <t>29</t>
        </is>
      </c>
      <c r="B15" s="5" t="inlineStr">
        <is>
          <t>Karitel</t>
        </is>
      </c>
      <c r="C15" s="5" t="inlineStr">
        <is>
          <t>Módulo 01</t>
        </is>
      </c>
      <c r="D15" s="5" t="inlineStr">
        <is>
          <t>KM1</t>
        </is>
      </c>
      <c r="E15" s="5" t="inlineStr">
        <is>
          <t>CACAU</t>
        </is>
      </c>
      <c r="F15" s="6" t="inlineStr"/>
      <c r="G15" s="7" t="inlineStr"/>
      <c r="H15" s="20" t="n"/>
      <c r="I15" s="9">
        <f>IF($H15="","",DATA_REF-$H15)</f>
        <v/>
      </c>
      <c r="J15" s="9">
        <f>IF($I15="","",MAX(0,$I15-'PARAMETROS'!$B$12))</f>
        <v/>
      </c>
      <c r="K15" s="10">
        <f>IFERROR(INDEX(KC_CURVAS!$C$5:$C$15,MATCH($E15&amp;"|"&amp;$G15,KC_CURVAS!$K$5:$K$15,0)),IFERROR(INDEX(KC_CURVAS!$C$5:$C$15,MATCH($E15&amp;"|",KC_CURVAS!$K$5:$K$15,0)),""))</f>
        <v/>
      </c>
      <c r="L15" s="10">
        <f>IFERROR(INDEX(KC_CURVAS!$D$5:$D$15,MATCH($E15&amp;"|"&amp;$G15,KC_CURVAS!$K$5:$K$15,0)),IFERROR(INDEX(KC_CURVAS!$D$5:$D$15,MATCH($E15&amp;"|",KC_CURVAS!$K$5:$K$15,0)),""))</f>
        <v/>
      </c>
      <c r="M15" s="10">
        <f>IFERROR(INDEX(KC_CURVAS!$E$5:$E$15,MATCH($E15&amp;"|"&amp;$G15,KC_CURVAS!$K$5:$K$15,0)),IFERROR(INDEX(KC_CURVAS!$E$5:$E$15,MATCH($E15&amp;"|",KC_CURVAS!$K$5:$K$15,0)),""))</f>
        <v/>
      </c>
      <c r="N15" s="10">
        <f>IFERROR(INDEX(KC_CURVAS!$F$5:$F$15,MATCH($E15&amp;"|"&amp;$G15,KC_CURVAS!$K$5:$K$15,0)),IFERROR(INDEX(KC_CURVAS!$F$5:$F$15,MATCH($E15&amp;"|",KC_CURVAS!$K$5:$K$15,0)),""))</f>
        <v/>
      </c>
      <c r="O15" s="11">
        <f>IFERROR(INDEX(KC_CURVAS!$G$5:$G$15,MATCH($E15&amp;"|"&amp;$G15,KC_CURVAS!$K$5:$K$15,0)),IFERROR(INDEX(KC_CURVAS!$G$5:$G$15,MATCH($E15&amp;"|",KC_CURVAS!$K$5:$K$15,0)),""))</f>
        <v/>
      </c>
      <c r="P15" s="11">
        <f>IFERROR(INDEX(KC_CURVAS!$H$5:$H$15,MATCH($E15&amp;"|"&amp;$G15,KC_CURVAS!$K$5:$K$15,0)),IFERROR(INDEX(KC_CURVAS!$H$5:$H$15,MATCH($E15&amp;"|",KC_CURVAS!$K$5:$K$15,0)),""))</f>
        <v/>
      </c>
      <c r="Q15" s="11">
        <f>IFERROR(INDEX(KC_CURVAS!$I$5:$I$15,MATCH($E15&amp;"|"&amp;$G15,KC_CURVAS!$K$5:$K$15,0)),IFERROR(INDEX(KC_CURVAS!$I$5:$I$15,MATCH($E15&amp;"|",KC_CURVAS!$K$5:$K$15,0)),""))</f>
        <v/>
      </c>
      <c r="R15" s="12">
        <f>IF(OR($J15="",$K15=""),"PENDENTE",IF($J15&lt;=$K15,$O15,IF($J15&lt;=$K15+$L15,$O15+($P15-$O15)*($J15-$K15)/$L15,IF($J15&lt;=$K15+$L15+$M15,$P15,IF($J15&lt;=$K15+$L15+$M15+$N15,$P15+($Q15-$P15)*($J15-($K15+$L15+$M15))/$N15,$Q15)))))</f>
        <v/>
      </c>
      <c r="S15" s="13">
        <f>ETO_SEM</f>
        <v/>
      </c>
      <c r="T15" s="14">
        <f>IF(OR($R15="",$R15="PENDENTE"),"",$R15*$S15)</f>
        <v/>
      </c>
      <c r="U15" s="13" t="n">
        <v>0</v>
      </c>
      <c r="V15" s="14">
        <f>IF($T15="","",MAX(0,$T15-N($U15)))</f>
        <v/>
      </c>
      <c r="W15" s="14">
        <f>IF($V15="","",$V15/EF_APLIC)</f>
        <v/>
      </c>
      <c r="X15" s="15" t="n">
        <v>78.55</v>
      </c>
      <c r="Y15" s="16">
        <f>IF(OR($W15="",$X15=""),"",$W15*$X15*10)</f>
        <v/>
      </c>
      <c r="Z15" s="17">
        <f>IFERROR(INDEX('PARAMETROS'!$B$16:$B$19,MATCH($D15,'PARAMETROS'!$A$16:$A$19,0)),"")</f>
        <v/>
      </c>
      <c r="AA15" s="16">
        <f>IF(OR($Y15="",$Z15=""),"",$Y15*$Z15)</f>
        <v/>
      </c>
      <c r="AB15" s="18">
        <f>IF($R15="PENDENTE","Definir classe/Kc",IF($W15="","-",IF($W15&gt;0,"Irrigar","Nao irrigar")))</f>
        <v/>
      </c>
      <c r="AC15" s="18">
        <f>IF(OR($W15="",$W15=0),"-",IF($W15&gt;=META_SEM,"Alta",IF($W15&gt;=META_SEM*FRAC_ACOMP,"Media","Baixa")))</f>
        <v/>
      </c>
      <c r="AD15" s="19" t="inlineStr"/>
    </row>
    <row r="16">
      <c r="A16" s="5" t="inlineStr">
        <is>
          <t>29</t>
        </is>
      </c>
      <c r="B16" s="5" t="inlineStr">
        <is>
          <t>Karitel</t>
        </is>
      </c>
      <c r="C16" s="5" t="inlineStr">
        <is>
          <t>Módulo 01</t>
        </is>
      </c>
      <c r="D16" s="5" t="inlineStr">
        <is>
          <t>KM1</t>
        </is>
      </c>
      <c r="E16" s="5" t="inlineStr">
        <is>
          <t>CACAU</t>
        </is>
      </c>
      <c r="F16" s="6" t="inlineStr"/>
      <c r="G16" s="7" t="inlineStr"/>
      <c r="H16" s="20" t="n"/>
      <c r="I16" s="9">
        <f>IF($H16="","",DATA_REF-$H16)</f>
        <v/>
      </c>
      <c r="J16" s="9">
        <f>IF($I16="","",MAX(0,$I16-'PARAMETROS'!$B$12))</f>
        <v/>
      </c>
      <c r="K16" s="10">
        <f>IFERROR(INDEX(KC_CURVAS!$C$5:$C$15,MATCH($E16&amp;"|"&amp;$G16,KC_CURVAS!$K$5:$K$15,0)),IFERROR(INDEX(KC_CURVAS!$C$5:$C$15,MATCH($E16&amp;"|",KC_CURVAS!$K$5:$K$15,0)),""))</f>
        <v/>
      </c>
      <c r="L16" s="10">
        <f>IFERROR(INDEX(KC_CURVAS!$D$5:$D$15,MATCH($E16&amp;"|"&amp;$G16,KC_CURVAS!$K$5:$K$15,0)),IFERROR(INDEX(KC_CURVAS!$D$5:$D$15,MATCH($E16&amp;"|",KC_CURVAS!$K$5:$K$15,0)),""))</f>
        <v/>
      </c>
      <c r="M16" s="10">
        <f>IFERROR(INDEX(KC_CURVAS!$E$5:$E$15,MATCH($E16&amp;"|"&amp;$G16,KC_CURVAS!$K$5:$K$15,0)),IFERROR(INDEX(KC_CURVAS!$E$5:$E$15,MATCH($E16&amp;"|",KC_CURVAS!$K$5:$K$15,0)),""))</f>
        <v/>
      </c>
      <c r="N16" s="10">
        <f>IFERROR(INDEX(KC_CURVAS!$F$5:$F$15,MATCH($E16&amp;"|"&amp;$G16,KC_CURVAS!$K$5:$K$15,0)),IFERROR(INDEX(KC_CURVAS!$F$5:$F$15,MATCH($E16&amp;"|",KC_CURVAS!$K$5:$K$15,0)),""))</f>
        <v/>
      </c>
      <c r="O16" s="11">
        <f>IFERROR(INDEX(KC_CURVAS!$G$5:$G$15,MATCH($E16&amp;"|"&amp;$G16,KC_CURVAS!$K$5:$K$15,0)),IFERROR(INDEX(KC_CURVAS!$G$5:$G$15,MATCH($E16&amp;"|",KC_CURVAS!$K$5:$K$15,0)),""))</f>
        <v/>
      </c>
      <c r="P16" s="11">
        <f>IFERROR(INDEX(KC_CURVAS!$H$5:$H$15,MATCH($E16&amp;"|"&amp;$G16,KC_CURVAS!$K$5:$K$15,0)),IFERROR(INDEX(KC_CURVAS!$H$5:$H$15,MATCH($E16&amp;"|",KC_CURVAS!$K$5:$K$15,0)),""))</f>
        <v/>
      </c>
      <c r="Q16" s="11">
        <f>IFERROR(INDEX(KC_CURVAS!$I$5:$I$15,MATCH($E16&amp;"|"&amp;$G16,KC_CURVAS!$K$5:$K$15,0)),IFERROR(INDEX(KC_CURVAS!$I$5:$I$15,MATCH($E16&amp;"|",KC_CURVAS!$K$5:$K$15,0)),""))</f>
        <v/>
      </c>
      <c r="R16" s="12">
        <f>IF(OR($J16="",$K16=""),"PENDENTE",IF($J16&lt;=$K16,$O16,IF($J16&lt;=$K16+$L16,$O16+($P16-$O16)*($J16-$K16)/$L16,IF($J16&lt;=$K16+$L16+$M16,$P16,IF($J16&lt;=$K16+$L16+$M16+$N16,$P16+($Q16-$P16)*($J16-($K16+$L16+$M16))/$N16,$Q16)))))</f>
        <v/>
      </c>
      <c r="S16" s="13">
        <f>ETO_SEM</f>
        <v/>
      </c>
      <c r="T16" s="14">
        <f>IF(OR($R16="",$R16="PENDENTE"),"",$R16*$S16)</f>
        <v/>
      </c>
      <c r="U16" s="13" t="n">
        <v>0</v>
      </c>
      <c r="V16" s="14">
        <f>IF($T16="","",MAX(0,$T16-N($U16)))</f>
        <v/>
      </c>
      <c r="W16" s="14">
        <f>IF($V16="","",$V16/EF_APLIC)</f>
        <v/>
      </c>
      <c r="X16" s="15" t="n">
        <v>78.55</v>
      </c>
      <c r="Y16" s="16">
        <f>IF(OR($W16="",$X16=""),"",$W16*$X16*10)</f>
        <v/>
      </c>
      <c r="Z16" s="17">
        <f>IFERROR(INDEX('PARAMETROS'!$B$16:$B$19,MATCH($D16,'PARAMETROS'!$A$16:$A$19,0)),"")</f>
        <v/>
      </c>
      <c r="AA16" s="16">
        <f>IF(OR($Y16="",$Z16=""),"",$Y16*$Z16)</f>
        <v/>
      </c>
      <c r="AB16" s="18">
        <f>IF($R16="PENDENTE","Definir classe/Kc",IF($W16="","-",IF($W16&gt;0,"Irrigar","Nao irrigar")))</f>
        <v/>
      </c>
      <c r="AC16" s="18">
        <f>IF(OR($W16="",$W16=0),"-",IF($W16&gt;=META_SEM,"Alta",IF($W16&gt;=META_SEM*FRAC_ACOMP,"Media","Baixa")))</f>
        <v/>
      </c>
      <c r="AD16" s="19" t="inlineStr"/>
    </row>
    <row r="17">
      <c r="A17" s="5" t="inlineStr">
        <is>
          <t>29</t>
        </is>
      </c>
      <c r="B17" s="5" t="inlineStr">
        <is>
          <t>Karitel</t>
        </is>
      </c>
      <c r="C17" s="5" t="inlineStr">
        <is>
          <t>Módulo 01</t>
        </is>
      </c>
      <c r="D17" s="5" t="inlineStr">
        <is>
          <t>KM1</t>
        </is>
      </c>
      <c r="E17" s="5" t="inlineStr">
        <is>
          <t>CACAU</t>
        </is>
      </c>
      <c r="F17" s="6" t="inlineStr"/>
      <c r="G17" s="7" t="inlineStr"/>
      <c r="H17" s="20" t="n"/>
      <c r="I17" s="9">
        <f>IF($H17="","",DATA_REF-$H17)</f>
        <v/>
      </c>
      <c r="J17" s="9">
        <f>IF($I17="","",MAX(0,$I17-'PARAMETROS'!$B$12))</f>
        <v/>
      </c>
      <c r="K17" s="10">
        <f>IFERROR(INDEX(KC_CURVAS!$C$5:$C$15,MATCH($E17&amp;"|"&amp;$G17,KC_CURVAS!$K$5:$K$15,0)),IFERROR(INDEX(KC_CURVAS!$C$5:$C$15,MATCH($E17&amp;"|",KC_CURVAS!$K$5:$K$15,0)),""))</f>
        <v/>
      </c>
      <c r="L17" s="10">
        <f>IFERROR(INDEX(KC_CURVAS!$D$5:$D$15,MATCH($E17&amp;"|"&amp;$G17,KC_CURVAS!$K$5:$K$15,0)),IFERROR(INDEX(KC_CURVAS!$D$5:$D$15,MATCH($E17&amp;"|",KC_CURVAS!$K$5:$K$15,0)),""))</f>
        <v/>
      </c>
      <c r="M17" s="10">
        <f>IFERROR(INDEX(KC_CURVAS!$E$5:$E$15,MATCH($E17&amp;"|"&amp;$G17,KC_CURVAS!$K$5:$K$15,0)),IFERROR(INDEX(KC_CURVAS!$E$5:$E$15,MATCH($E17&amp;"|",KC_CURVAS!$K$5:$K$15,0)),""))</f>
        <v/>
      </c>
      <c r="N17" s="10">
        <f>IFERROR(INDEX(KC_CURVAS!$F$5:$F$15,MATCH($E17&amp;"|"&amp;$G17,KC_CURVAS!$K$5:$K$15,0)),IFERROR(INDEX(KC_CURVAS!$F$5:$F$15,MATCH($E17&amp;"|",KC_CURVAS!$K$5:$K$15,0)),""))</f>
        <v/>
      </c>
      <c r="O17" s="11">
        <f>IFERROR(INDEX(KC_CURVAS!$G$5:$G$15,MATCH($E17&amp;"|"&amp;$G17,KC_CURVAS!$K$5:$K$15,0)),IFERROR(INDEX(KC_CURVAS!$G$5:$G$15,MATCH($E17&amp;"|",KC_CURVAS!$K$5:$K$15,0)),""))</f>
        <v/>
      </c>
      <c r="P17" s="11">
        <f>IFERROR(INDEX(KC_CURVAS!$H$5:$H$15,MATCH($E17&amp;"|"&amp;$G17,KC_CURVAS!$K$5:$K$15,0)),IFERROR(INDEX(KC_CURVAS!$H$5:$H$15,MATCH($E17&amp;"|",KC_CURVAS!$K$5:$K$15,0)),""))</f>
        <v/>
      </c>
      <c r="Q17" s="11">
        <f>IFERROR(INDEX(KC_CURVAS!$I$5:$I$15,MATCH($E17&amp;"|"&amp;$G17,KC_CURVAS!$K$5:$K$15,0)),IFERROR(INDEX(KC_CURVAS!$I$5:$I$15,MATCH($E17&amp;"|",KC_CURVAS!$K$5:$K$15,0)),""))</f>
        <v/>
      </c>
      <c r="R17" s="12">
        <f>IF(OR($J17="",$K17=""),"PENDENTE",IF($J17&lt;=$K17,$O17,IF($J17&lt;=$K17+$L17,$O17+($P17-$O17)*($J17-$K17)/$L17,IF($J17&lt;=$K17+$L17+$M17,$P17,IF($J17&lt;=$K17+$L17+$M17+$N17,$P17+($Q17-$P17)*($J17-($K17+$L17+$M17))/$N17,$Q17)))))</f>
        <v/>
      </c>
      <c r="S17" s="13">
        <f>ETO_SEM</f>
        <v/>
      </c>
      <c r="T17" s="14">
        <f>IF(OR($R17="",$R17="PENDENTE"),"",$R17*$S17)</f>
        <v/>
      </c>
      <c r="U17" s="13" t="n">
        <v>0</v>
      </c>
      <c r="V17" s="14">
        <f>IF($T17="","",MAX(0,$T17-N($U17)))</f>
        <v/>
      </c>
      <c r="W17" s="14">
        <f>IF($V17="","",$V17/EF_APLIC)</f>
        <v/>
      </c>
      <c r="X17" s="15" t="n">
        <v>78.55</v>
      </c>
      <c r="Y17" s="16">
        <f>IF(OR($W17="",$X17=""),"",$W17*$X17*10)</f>
        <v/>
      </c>
      <c r="Z17" s="17">
        <f>IFERROR(INDEX('PARAMETROS'!$B$16:$B$19,MATCH($D17,'PARAMETROS'!$A$16:$A$19,0)),"")</f>
        <v/>
      </c>
      <c r="AA17" s="16">
        <f>IF(OR($Y17="",$Z17=""),"",$Y17*$Z17)</f>
        <v/>
      </c>
      <c r="AB17" s="18">
        <f>IF($R17="PENDENTE","Definir classe/Kc",IF($W17="","-",IF($W17&gt;0,"Irrigar","Nao irrigar")))</f>
        <v/>
      </c>
      <c r="AC17" s="18">
        <f>IF(OR($W17="",$W17=0),"-",IF($W17&gt;=META_SEM,"Alta",IF($W17&gt;=META_SEM*FRAC_ACOMP,"Media","Baixa")))</f>
        <v/>
      </c>
      <c r="AD17" s="19" t="inlineStr"/>
    </row>
    <row r="19">
      <c r="A19" s="21" t="inlineStr">
        <is>
          <t>Manejo via CLIMA: ETc = Kc x ETo semanal; Nec liquida = ETc - chuva efetiva; Nec bruta = Nec liq / 0,90. Kc automatico pela curva FAO-56 (KC_CURVAS) conforme o DAE. Energia = Volume x CE do setor. Colunas cinza-claro (Lini..Kcend) sao auxiliares do Kc. Editar ETo semanal e chuva a cada semana.</t>
        </is>
      </c>
    </row>
  </sheetData>
  <mergeCells count="1">
    <mergeCell ref="A19:AD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D966"/>
    <outlinePr summaryBelow="1" summaryRight="1"/>
    <pageSetUpPr/>
  </sheetPr>
  <dimension ref="A1:AD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7" customWidth="1" min="4" max="4"/>
    <col width="9" customWidth="1" min="5" max="5"/>
    <col width="15" customWidth="1" min="6" max="6"/>
    <col width="9" customWidth="1" min="7" max="7"/>
    <col width="11" customWidth="1" min="8" max="8"/>
    <col width="6" customWidth="1" min="9" max="9"/>
    <col width="6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1" customWidth="1" min="23" max="23"/>
    <col width="8" customWidth="1" min="24" max="24"/>
    <col width="11" customWidth="1" min="25" max="25"/>
    <col width="10" customWidth="1" min="26" max="26"/>
    <col width="11" customWidth="1" min="27" max="27"/>
    <col width="12" customWidth="1" min="28" max="28"/>
    <col width="11" customWidth="1" min="29" max="29"/>
    <col width="20" customWidth="1" min="30" max="30"/>
  </cols>
  <sheetData>
    <row r="1" ht="20" customHeight="1">
      <c r="A1" s="1" t="inlineStr">
        <is>
          <t>MILHO - demanda via clima</t>
        </is>
      </c>
    </row>
    <row r="2">
      <c r="A2" s="3" t="inlineStr">
        <is>
          <t>Sem registros no mapa atual. Curva MILHO GRAO ja cadastrada em KC_CURVAS.</t>
        </is>
      </c>
    </row>
    <row r="4" ht="30" customHeight="1">
      <c r="A4" s="4" t="inlineStr">
        <is>
          <t>Pivo</t>
        </is>
      </c>
      <c r="B4" s="4" t="inlineStr">
        <is>
          <t>Faz</t>
        </is>
      </c>
      <c r="C4" s="4" t="inlineStr">
        <is>
          <t>Modulo</t>
        </is>
      </c>
      <c r="D4" s="4" t="inlineStr">
        <is>
          <t>Setor</t>
        </is>
      </c>
      <c r="E4" s="4" t="inlineStr">
        <is>
          <t>Cultura</t>
        </is>
      </c>
      <c r="F4" s="4" t="inlineStr">
        <is>
          <t>Variedade</t>
        </is>
      </c>
      <c r="G4" s="4" t="inlineStr">
        <is>
          <t>Classe</t>
        </is>
      </c>
      <c r="H4" s="4" t="inlineStr">
        <is>
          <t>Plantio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Lini</t>
        </is>
      </c>
      <c r="L4" s="4" t="inlineStr">
        <is>
          <t>Ldev</t>
        </is>
      </c>
      <c r="M4" s="4" t="inlineStr">
        <is>
          <t>Lmid</t>
        </is>
      </c>
      <c r="N4" s="4" t="inlineStr">
        <is>
          <t>Llate</t>
        </is>
      </c>
      <c r="O4" s="4" t="inlineStr">
        <is>
          <t>Kcini</t>
        </is>
      </c>
      <c r="P4" s="4" t="inlineStr">
        <is>
          <t>Kcmid</t>
        </is>
      </c>
      <c r="Q4" s="4" t="inlineStr">
        <is>
          <t>Kcend</t>
        </is>
      </c>
      <c r="R4" s="4" t="inlineStr">
        <is>
          <t>Kc (auto)</t>
        </is>
      </c>
      <c r="S4" s="4" t="inlineStr">
        <is>
          <t>ETo sem (mm)</t>
        </is>
      </c>
      <c r="T4" s="4" t="inlineStr">
        <is>
          <t>ETc sem (mm)</t>
        </is>
      </c>
      <c r="U4" s="4" t="inlineStr">
        <is>
          <t>Chuva ef (mm)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Area (ha)</t>
        </is>
      </c>
      <c r="Y4" s="4" t="inlineStr">
        <is>
          <t>Volume (m3)</t>
        </is>
      </c>
      <c r="Z4" s="4" t="inlineStr">
        <is>
          <t>CE (kWh/m3)</t>
        </is>
      </c>
      <c r="AA4" s="4" t="inlineStr">
        <is>
          <t>Energia (kWh)</t>
        </is>
      </c>
      <c r="AB4" s="4" t="inlineStr">
        <is>
          <t>Decisao</t>
        </is>
      </c>
      <c r="AC4" s="4" t="inlineStr">
        <is>
          <t>Prioridade</t>
        </is>
      </c>
      <c r="AD4" s="4" t="inlineStr">
        <is>
          <t>Obs</t>
        </is>
      </c>
    </row>
    <row r="5">
      <c r="A5" s="5" t="inlineStr"/>
      <c r="B5" s="5" t="inlineStr"/>
      <c r="C5" s="5" t="inlineStr"/>
      <c r="D5" s="5" t="inlineStr"/>
      <c r="E5" s="5" t="inlineStr">
        <is>
          <t>MILHO GRÃO</t>
        </is>
      </c>
      <c r="F5" s="6" t="inlineStr"/>
      <c r="G5" s="7" t="inlineStr"/>
      <c r="H5" s="20" t="n"/>
      <c r="I5" s="9">
        <f>IF($H5="","",DATA_REF-$H5)</f>
        <v/>
      </c>
      <c r="J5" s="9">
        <f>IF($I5="","",MAX(0,$I5-'PARAMETROS'!$B$12))</f>
        <v/>
      </c>
      <c r="K5" s="10">
        <f>IFERROR(INDEX(KC_CURVAS!$C$5:$C$15,MATCH($E5&amp;"|"&amp;$G5,KC_CURVAS!$K$5:$K$15,0)),IFERROR(INDEX(KC_CURVAS!$C$5:$C$15,MATCH($E5&amp;"|",KC_CURVAS!$K$5:$K$15,0)),""))</f>
        <v/>
      </c>
      <c r="L5" s="10">
        <f>IFERROR(INDEX(KC_CURVAS!$D$5:$D$15,MATCH($E5&amp;"|"&amp;$G5,KC_CURVAS!$K$5:$K$15,0)),IFERROR(INDEX(KC_CURVAS!$D$5:$D$15,MATCH($E5&amp;"|",KC_CURVAS!$K$5:$K$15,0)),""))</f>
        <v/>
      </c>
      <c r="M5" s="10">
        <f>IFERROR(INDEX(KC_CURVAS!$E$5:$E$15,MATCH($E5&amp;"|"&amp;$G5,KC_CURVAS!$K$5:$K$15,0)),IFERROR(INDEX(KC_CURVAS!$E$5:$E$15,MATCH($E5&amp;"|",KC_CURVAS!$K$5:$K$15,0)),""))</f>
        <v/>
      </c>
      <c r="N5" s="10">
        <f>IFERROR(INDEX(KC_CURVAS!$F$5:$F$15,MATCH($E5&amp;"|"&amp;$G5,KC_CURVAS!$K$5:$K$15,0)),IFERROR(INDEX(KC_CURVAS!$F$5:$F$15,MATCH($E5&amp;"|",KC_CURVAS!$K$5:$K$15,0)),""))</f>
        <v/>
      </c>
      <c r="O5" s="11">
        <f>IFERROR(INDEX(KC_CURVAS!$G$5:$G$15,MATCH($E5&amp;"|"&amp;$G5,KC_CURVAS!$K$5:$K$15,0)),IFERROR(INDEX(KC_CURVAS!$G$5:$G$15,MATCH($E5&amp;"|",KC_CURVAS!$K$5:$K$15,0)),""))</f>
        <v/>
      </c>
      <c r="P5" s="11">
        <f>IFERROR(INDEX(KC_CURVAS!$H$5:$H$15,MATCH($E5&amp;"|"&amp;$G5,KC_CURVAS!$K$5:$K$15,0)),IFERROR(INDEX(KC_CURVAS!$H$5:$H$15,MATCH($E5&amp;"|",KC_CURVAS!$K$5:$K$15,0)),""))</f>
        <v/>
      </c>
      <c r="Q5" s="11">
        <f>IFERROR(INDEX(KC_CURVAS!$I$5:$I$15,MATCH($E5&amp;"|"&amp;$G5,KC_CURVAS!$K$5:$K$15,0)),IFERROR(INDEX(KC_CURVAS!$I$5:$I$15,MATCH($E5&amp;"|",KC_CURVAS!$K$5:$K$15,0)),""))</f>
        <v/>
      </c>
      <c r="R5" s="12">
        <f>IF(OR($J5="",$K5=""),"PENDENTE",IF($J5&lt;=$K5,$O5,IF($J5&lt;=$K5+$L5,$O5+($P5-$O5)*($J5-$K5)/$L5,IF($J5&lt;=$K5+$L5+$M5,$P5,IF($J5&lt;=$K5+$L5+$M5+$N5,$P5+($Q5-$P5)*($J5-($K5+$L5+$M5))/$N5,$Q5)))))</f>
        <v/>
      </c>
      <c r="S5" s="13">
        <f>ETO_SEM</f>
        <v/>
      </c>
      <c r="T5" s="14">
        <f>IF(OR($R5="",$R5="PENDENTE"),"",$R5*$S5)</f>
        <v/>
      </c>
      <c r="U5" s="13" t="n">
        <v>0</v>
      </c>
      <c r="V5" s="14">
        <f>IF($T5="","",MAX(0,$T5-N($U5)))</f>
        <v/>
      </c>
      <c r="W5" s="14">
        <f>IF($V5="","",$V5/EF_APLIC)</f>
        <v/>
      </c>
      <c r="X5" s="15" t="n"/>
      <c r="Y5" s="16">
        <f>IF(OR($W5="",$X5=""),"",$W5*$X5*10)</f>
        <v/>
      </c>
      <c r="Z5" s="17">
        <f>IFERROR(INDEX('PARAMETROS'!$B$16:$B$19,MATCH($D5,'PARAMETROS'!$A$16:$A$19,0)),"")</f>
        <v/>
      </c>
      <c r="AA5" s="16">
        <f>IF(OR($Y5="",$Z5=""),"",$Y5*$Z5)</f>
        <v/>
      </c>
      <c r="AB5" s="18">
        <f>IF($R5="PENDENTE","Definir classe/Kc",IF($W5="","-",IF($W5&gt;0,"Irrigar","Nao irrigar")))</f>
        <v/>
      </c>
      <c r="AC5" s="18">
        <f>IF(OR($W5="",$W5=0),"-",IF($W5&gt;=META_SEM,"Alta",IF($W5&gt;=META_SEM*FRAC_ACOMP,"Media","Baixa")))</f>
        <v/>
      </c>
      <c r="AD5" s="19" t="inlineStr"/>
    </row>
    <row r="7">
      <c r="A7" s="21" t="inlineStr">
        <is>
          <t>Manejo via CLIMA: ETc = Kc x ETo semanal; Nec liquida = ETc - chuva efetiva; Nec bruta = Nec liq / 0,90. Kc automatico pela curva FAO-56 (KC_CURVAS) conforme o DAE. Energia = Volume x CE do setor. Colunas cinza-claro (Lini..Kcend) sao auxiliares do Kc. Editar ETo semanal e chuva a cada semana.</t>
        </is>
      </c>
    </row>
  </sheetData>
  <mergeCells count="1">
    <mergeCell ref="A7:A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P1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7" customWidth="1" min="3" max="3"/>
    <col width="8" customWidth="1" min="4" max="4"/>
    <col width="8" customWidth="1" min="5" max="5"/>
    <col width="9" customWidth="1" min="6" max="6"/>
    <col width="15" customWidth="1" min="7" max="7"/>
    <col width="7" customWidth="1" min="8" max="8"/>
    <col width="10" customWidth="1" min="9" max="9"/>
    <col width="10" customWidth="1" min="10" max="10"/>
    <col width="9" customWidth="1" min="11" max="11"/>
    <col width="12" customWidth="1" min="12" max="12"/>
    <col width="11" customWidth="1" min="13" max="13"/>
    <col width="12" customWidth="1" min="14" max="14"/>
    <col width="11" customWidth="1" min="15" max="15"/>
    <col width="12" customWidth="1" min="16" max="16"/>
  </cols>
  <sheetData>
    <row r="1" ht="20" customHeight="1">
      <c r="A1" s="1" t="inlineStr">
        <is>
          <t>OS IRRIGACAO - ordem de servico e energia gasta</t>
        </is>
      </c>
    </row>
    <row r="2">
      <c r="A2" s="22" t="inlineStr">
        <is>
          <t>Data da OS:</t>
        </is>
      </c>
      <c r="B2" s="20" t="n">
        <v>46300</v>
      </c>
      <c r="C2" s="22" t="inlineStr">
        <is>
          <t>Responsavel:</t>
        </is>
      </c>
      <c r="D2" s="23" t="inlineStr">
        <is>
          <t>Mateus Cotrim</t>
        </is>
      </c>
    </row>
    <row r="4" ht="30" customHeight="1">
      <c r="A4" s="4" t="inlineStr">
        <is>
          <t>#</t>
        </is>
      </c>
      <c r="B4" s="4" t="inlineStr">
        <is>
          <t>Pivo</t>
        </is>
      </c>
      <c r="C4" s="4" t="inlineStr">
        <is>
          <t>Cod L/H</t>
        </is>
      </c>
      <c r="D4" s="4" t="inlineStr">
        <is>
          <t>Modulo</t>
        </is>
      </c>
      <c r="E4" s="4" t="inlineStr">
        <is>
          <t>Setor</t>
        </is>
      </c>
      <c r="F4" s="4" t="inlineStr">
        <is>
          <t>Cultura</t>
        </is>
      </c>
      <c r="G4" s="4" t="inlineStr">
        <is>
          <t>Variedade</t>
        </is>
      </c>
      <c r="H4" s="4" t="inlineStr">
        <is>
          <t>% perc</t>
        </is>
      </c>
      <c r="I4" s="4" t="inlineStr">
        <is>
          <t>Lamina (mm)</t>
        </is>
      </c>
      <c r="J4" s="4" t="inlineStr">
        <is>
          <t>Horas</t>
        </is>
      </c>
      <c r="K4" s="4" t="inlineStr">
        <is>
          <t>Area (ha)</t>
        </is>
      </c>
      <c r="L4" s="4" t="inlineStr">
        <is>
          <t>Volume (m3)</t>
        </is>
      </c>
      <c r="M4" s="4" t="inlineStr">
        <is>
          <t>CE (kWh/m3)</t>
        </is>
      </c>
      <c r="N4" s="4" t="inlineStr">
        <is>
          <t>Energia (kWh)</t>
        </is>
      </c>
      <c r="O4" s="4" t="inlineStr">
        <is>
          <t>Pot (kW)</t>
        </is>
      </c>
      <c r="P4" s="4" t="inlineStr">
        <is>
          <t>Energia pot*h</t>
        </is>
      </c>
    </row>
    <row r="5">
      <c r="A5" s="24" t="n">
        <v>1</v>
      </c>
      <c r="B5" s="5" t="inlineStr">
        <is>
          <t>30</t>
        </is>
      </c>
      <c r="C5" s="7" t="inlineStr">
        <is>
          <t>P30</t>
        </is>
      </c>
      <c r="D5" s="5" t="inlineStr">
        <is>
          <t>Módulo 01</t>
        </is>
      </c>
      <c r="E5" s="5" t="inlineStr">
        <is>
          <t>KM1</t>
        </is>
      </c>
      <c r="F5" s="5" t="inlineStr">
        <is>
          <t>ALGODÃO</t>
        </is>
      </c>
      <c r="G5" s="6" t="inlineStr">
        <is>
          <t>FM 985 GLTP</t>
        </is>
      </c>
      <c r="H5" s="7" t="n"/>
      <c r="I5" s="25">
        <f>IF(OR($C5="",$H5=""),"",IFERROR(INDEX(LAMINA_HORA!$C$5:$V$114,MATCH($C5,LAMINA_HORA!$A$5:$A$114,0),MATCH($H5,LAMINA_HORA!$C$3:$V$3,0)),"?"))</f>
        <v/>
      </c>
      <c r="J5" s="25">
        <f>IF(OR($C5="",$H5=""),"",IFERROR(INDEX(LAMINA_HORA!$W$5:$AP$114,MATCH($C5,LAMINA_HORA!$A$5:$A$114,0),MATCH($H5,LAMINA_HORA!$W$3:$AP$3,0)),"?"))</f>
        <v/>
      </c>
      <c r="K5" s="15" t="n">
        <v>150.01</v>
      </c>
      <c r="L5" s="16">
        <f>IF(OR($I5="",$I5="?",$K5=""),"",$I5*$K5*10)</f>
        <v/>
      </c>
      <c r="M5" s="17">
        <f>IFERROR(INDEX('PARAMETROS'!$B$16:$B$19,MATCH($E5,'PARAMETROS'!$A$16:$A$19,0)),"")</f>
        <v/>
      </c>
      <c r="N5" s="16">
        <f>IF(OR($L5="",$M5=""),"",$L5*$M5)</f>
        <v/>
      </c>
      <c r="O5" s="14">
        <f>IFERROR(INDEX(PIVOS!$I$5:$I$112,MATCH($B5&amp;"",PIVOS!$B$5:$B$112&amp;"",0)),"")</f>
        <v/>
      </c>
      <c r="P5" s="16">
        <f>IF(OR($O5="",$J5="",$J5="?"),"",$O5*$J5)</f>
        <v/>
      </c>
    </row>
    <row r="6">
      <c r="A6" s="24" t="n">
        <v>2</v>
      </c>
      <c r="B6" s="5" t="inlineStr">
        <is>
          <t>31</t>
        </is>
      </c>
      <c r="C6" s="7" t="inlineStr">
        <is>
          <t>P31</t>
        </is>
      </c>
      <c r="D6" s="5" t="inlineStr">
        <is>
          <t>Módulo 01</t>
        </is>
      </c>
      <c r="E6" s="5" t="inlineStr">
        <is>
          <t>KM1</t>
        </is>
      </c>
      <c r="F6" s="5" t="inlineStr">
        <is>
          <t>ALGODÃO</t>
        </is>
      </c>
      <c r="G6" s="6" t="inlineStr">
        <is>
          <t>IMA 5901 B2RF</t>
        </is>
      </c>
      <c r="H6" s="7" t="n"/>
      <c r="I6" s="25">
        <f>IF(OR($C6="",$H6=""),"",IFERROR(INDEX(LAMINA_HORA!$C$5:$V$114,MATCH($C6,LAMINA_HORA!$A$5:$A$114,0),MATCH($H6,LAMINA_HORA!$C$3:$V$3,0)),"?"))</f>
        <v/>
      </c>
      <c r="J6" s="25">
        <f>IF(OR($C6="",$H6=""),"",IFERROR(INDEX(LAMINA_HORA!$W$5:$AP$114,MATCH($C6,LAMINA_HORA!$A$5:$A$114,0),MATCH($H6,LAMINA_HORA!$W$3:$AP$3,0)),"?"))</f>
        <v/>
      </c>
      <c r="K6" s="15" t="n">
        <v>150.01</v>
      </c>
      <c r="L6" s="16">
        <f>IF(OR($I6="",$I6="?",$K6=""),"",$I6*$K6*10)</f>
        <v/>
      </c>
      <c r="M6" s="17">
        <f>IFERROR(INDEX('PARAMETROS'!$B$16:$B$19,MATCH($E6,'PARAMETROS'!$A$16:$A$19,0)),"")</f>
        <v/>
      </c>
      <c r="N6" s="16">
        <f>IF(OR($L6="",$M6=""),"",$L6*$M6)</f>
        <v/>
      </c>
      <c r="O6" s="14">
        <f>IFERROR(INDEX(PIVOS!$I$5:$I$112,MATCH($B6&amp;"",PIVOS!$B$5:$B$112&amp;"",0)),"")</f>
        <v/>
      </c>
      <c r="P6" s="16">
        <f>IF(OR($O6="",$J6="",$J6="?"),"",$O6*$J6)</f>
        <v/>
      </c>
    </row>
    <row r="7">
      <c r="A7" s="24" t="n">
        <v>3</v>
      </c>
      <c r="B7" s="5" t="inlineStr">
        <is>
          <t>32</t>
        </is>
      </c>
      <c r="C7" s="7" t="inlineStr">
        <is>
          <t>P32</t>
        </is>
      </c>
      <c r="D7" s="5" t="inlineStr">
        <is>
          <t>Módulo 01</t>
        </is>
      </c>
      <c r="E7" s="5" t="inlineStr">
        <is>
          <t>KM1</t>
        </is>
      </c>
      <c r="F7" s="5" t="inlineStr">
        <is>
          <t>CACAU</t>
        </is>
      </c>
      <c r="G7" s="6" t="inlineStr"/>
      <c r="H7" s="7" t="n"/>
      <c r="I7" s="25">
        <f>IF(OR($C7="",$H7=""),"",IFERROR(INDEX(LAMINA_HORA!$C$5:$V$114,MATCH($C7,LAMINA_HORA!$A$5:$A$114,0),MATCH($H7,LAMINA_HORA!$C$3:$V$3,0)),"?"))</f>
        <v/>
      </c>
      <c r="J7" s="25">
        <f>IF(OR($C7="",$H7=""),"",IFERROR(INDEX(LAMINA_HORA!$W$5:$AP$114,MATCH($C7,LAMINA_HORA!$A$5:$A$114,0),MATCH($H7,LAMINA_HORA!$W$3:$AP$3,0)),"?"))</f>
        <v/>
      </c>
      <c r="K7" s="15" t="n">
        <v>138.03</v>
      </c>
      <c r="L7" s="16">
        <f>IF(OR($I7="",$I7="?",$K7=""),"",$I7*$K7*10)</f>
        <v/>
      </c>
      <c r="M7" s="17">
        <f>IFERROR(INDEX('PARAMETROS'!$B$16:$B$19,MATCH($E7,'PARAMETROS'!$A$16:$A$19,0)),"")</f>
        <v/>
      </c>
      <c r="N7" s="16">
        <f>IF(OR($L7="",$M7=""),"",$L7*$M7)</f>
        <v/>
      </c>
      <c r="O7" s="14">
        <f>IFERROR(INDEX(PIVOS!$I$5:$I$112,MATCH($B7&amp;"",PIVOS!$B$5:$B$112&amp;"",0)),"")</f>
        <v/>
      </c>
      <c r="P7" s="16">
        <f>IF(OR($O7="",$J7="",$J7="?"),"",$O7*$J7)</f>
        <v/>
      </c>
    </row>
    <row r="8">
      <c r="A8" s="24" t="n">
        <v>4</v>
      </c>
      <c r="B8" s="5" t="inlineStr">
        <is>
          <t>33</t>
        </is>
      </c>
      <c r="C8" s="7" t="inlineStr">
        <is>
          <t>P33</t>
        </is>
      </c>
      <c r="D8" s="5" t="inlineStr">
        <is>
          <t>Módulo 01</t>
        </is>
      </c>
      <c r="E8" s="5" t="inlineStr">
        <is>
          <t>KM1</t>
        </is>
      </c>
      <c r="F8" s="5" t="inlineStr">
        <is>
          <t>ALGODÃO</t>
        </is>
      </c>
      <c r="G8" s="6" t="inlineStr">
        <is>
          <t>FM 985 GLTP</t>
        </is>
      </c>
      <c r="H8" s="7" t="n"/>
      <c r="I8" s="25">
        <f>IF(OR($C8="",$H8=""),"",IFERROR(INDEX(LAMINA_HORA!$C$5:$V$114,MATCH($C8,LAMINA_HORA!$A$5:$A$114,0),MATCH($H8,LAMINA_HORA!$C$3:$V$3,0)),"?"))</f>
        <v/>
      </c>
      <c r="J8" s="25">
        <f>IF(OR($C8="",$H8=""),"",IFERROR(INDEX(LAMINA_HORA!$W$5:$AP$114,MATCH($C8,LAMINA_HORA!$A$5:$A$114,0),MATCH($H8,LAMINA_HORA!$W$3:$AP$3,0)),"?"))</f>
        <v/>
      </c>
      <c r="K8" s="15" t="n">
        <v>137.67</v>
      </c>
      <c r="L8" s="16">
        <f>IF(OR($I8="",$I8="?",$K8=""),"",$I8*$K8*10)</f>
        <v/>
      </c>
      <c r="M8" s="17">
        <f>IFERROR(INDEX('PARAMETROS'!$B$16:$B$19,MATCH($E8,'PARAMETROS'!$A$16:$A$19,0)),"")</f>
        <v/>
      </c>
      <c r="N8" s="16">
        <f>IF(OR($L8="",$M8=""),"",$L8*$M8)</f>
        <v/>
      </c>
      <c r="O8" s="14">
        <f>IFERROR(INDEX(PIVOS!$I$5:$I$112,MATCH($B8&amp;"",PIVOS!$B$5:$B$112&amp;"",0)),"")</f>
        <v/>
      </c>
      <c r="P8" s="16">
        <f>IF(OR($O8="",$J8="",$J8="?"),"",$O8*$J8)</f>
        <v/>
      </c>
    </row>
    <row r="9">
      <c r="A9" s="24" t="n">
        <v>5</v>
      </c>
      <c r="B9" s="5" t="inlineStr">
        <is>
          <t>34</t>
        </is>
      </c>
      <c r="C9" s="7" t="inlineStr">
        <is>
          <t>P34</t>
        </is>
      </c>
      <c r="D9" s="5" t="inlineStr">
        <is>
          <t>Módulo 01</t>
        </is>
      </c>
      <c r="E9" s="5" t="inlineStr">
        <is>
          <t>KM1</t>
        </is>
      </c>
      <c r="F9" s="5" t="inlineStr">
        <is>
          <t>ALGODÃO</t>
        </is>
      </c>
      <c r="G9" s="6" t="inlineStr">
        <is>
          <t>FM 974 GLT</t>
        </is>
      </c>
      <c r="H9" s="7" t="n"/>
      <c r="I9" s="25">
        <f>IF(OR($C9="",$H9=""),"",IFERROR(INDEX(LAMINA_HORA!$C$5:$V$114,MATCH($C9,LAMINA_HORA!$A$5:$A$114,0),MATCH($H9,LAMINA_HORA!$C$3:$V$3,0)),"?"))</f>
        <v/>
      </c>
      <c r="J9" s="25">
        <f>IF(OR($C9="",$H9=""),"",IFERROR(INDEX(LAMINA_HORA!$W$5:$AP$114,MATCH($C9,LAMINA_HORA!$A$5:$A$114,0),MATCH($H9,LAMINA_HORA!$W$3:$AP$3,0)),"?"))</f>
        <v/>
      </c>
      <c r="K9" s="15" t="n">
        <v>150.01</v>
      </c>
      <c r="L9" s="16">
        <f>IF(OR($I9="",$I9="?",$K9=""),"",$I9*$K9*10)</f>
        <v/>
      </c>
      <c r="M9" s="17">
        <f>IFERROR(INDEX('PARAMETROS'!$B$16:$B$19,MATCH($E9,'PARAMETROS'!$A$16:$A$19,0)),"")</f>
        <v/>
      </c>
      <c r="N9" s="16">
        <f>IF(OR($L9="",$M9=""),"",$L9*$M9)</f>
        <v/>
      </c>
      <c r="O9" s="14">
        <f>IFERROR(INDEX(PIVOS!$I$5:$I$112,MATCH($B9&amp;"",PIVOS!$B$5:$B$112&amp;"",0)),"")</f>
        <v/>
      </c>
      <c r="P9" s="16">
        <f>IF(OR($O9="",$J9="",$J9="?"),"",$O9*$J9)</f>
        <v/>
      </c>
    </row>
    <row r="10">
      <c r="A10" s="24" t="n">
        <v>6</v>
      </c>
      <c r="B10" s="5" t="inlineStr">
        <is>
          <t>1</t>
        </is>
      </c>
      <c r="C10" s="7" t="inlineStr">
        <is>
          <t>P1</t>
        </is>
      </c>
      <c r="D10" s="5" t="inlineStr">
        <is>
          <t>Módulo 01</t>
        </is>
      </c>
      <c r="E10" s="5" t="inlineStr">
        <is>
          <t>KM1</t>
        </is>
      </c>
      <c r="F10" s="5" t="inlineStr">
        <is>
          <t>ALGODÃO</t>
        </is>
      </c>
      <c r="G10" s="6" t="inlineStr">
        <is>
          <t>FM 990 STP</t>
        </is>
      </c>
      <c r="H10" s="7" t="n"/>
      <c r="I10" s="25">
        <f>IF(OR($C10="",$H10=""),"",IFERROR(INDEX(LAMINA_HORA!$C$5:$V$114,MATCH($C10,LAMINA_HORA!$A$5:$A$114,0),MATCH($H10,LAMINA_HORA!$C$3:$V$3,0)),"?"))</f>
        <v/>
      </c>
      <c r="J10" s="25">
        <f>IF(OR($C10="",$H10=""),"",IFERROR(INDEX(LAMINA_HORA!$W$5:$AP$114,MATCH($C10,LAMINA_HORA!$A$5:$A$114,0),MATCH($H10,LAMINA_HORA!$W$3:$AP$3,0)),"?"))</f>
        <v/>
      </c>
      <c r="K10" s="15" t="n">
        <v>150.01</v>
      </c>
      <c r="L10" s="16">
        <f>IF(OR($I10="",$I10="?",$K10=""),"",$I10*$K10*10)</f>
        <v/>
      </c>
      <c r="M10" s="17">
        <f>IFERROR(INDEX('PARAMETROS'!$B$16:$B$19,MATCH($E10,'PARAMETROS'!$A$16:$A$19,0)),"")</f>
        <v/>
      </c>
      <c r="N10" s="16">
        <f>IF(OR($L10="",$M10=""),"",$L10*$M10)</f>
        <v/>
      </c>
      <c r="O10" s="14">
        <f>IFERROR(INDEX(PIVOS!$I$5:$I$112,MATCH($B10&amp;"",PIVOS!$B$5:$B$112&amp;"",0)),"")</f>
        <v/>
      </c>
      <c r="P10" s="16">
        <f>IF(OR($O10="",$J10="",$J10="?"),"",$O10*$J10)</f>
        <v/>
      </c>
    </row>
    <row r="11">
      <c r="A11" s="24" t="n">
        <v>7</v>
      </c>
      <c r="B11" s="5" t="inlineStr">
        <is>
          <t>2</t>
        </is>
      </c>
      <c r="C11" s="7" t="inlineStr">
        <is>
          <t>P2</t>
        </is>
      </c>
      <c r="D11" s="5" t="inlineStr">
        <is>
          <t>Módulo 01</t>
        </is>
      </c>
      <c r="E11" s="5" t="inlineStr">
        <is>
          <t>KM1</t>
        </is>
      </c>
      <c r="F11" s="5" t="inlineStr">
        <is>
          <t>ALGODÃO</t>
        </is>
      </c>
      <c r="G11" s="6" t="inlineStr">
        <is>
          <t>FM 933 STP</t>
        </is>
      </c>
      <c r="H11" s="7" t="n"/>
      <c r="I11" s="25">
        <f>IF(OR($C11="",$H11=""),"",IFERROR(INDEX(LAMINA_HORA!$C$5:$V$114,MATCH($C11,LAMINA_HORA!$A$5:$A$114,0),MATCH($H11,LAMINA_HORA!$C$3:$V$3,0)),"?"))</f>
        <v/>
      </c>
      <c r="J11" s="25">
        <f>IF(OR($C11="",$H11=""),"",IFERROR(INDEX(LAMINA_HORA!$W$5:$AP$114,MATCH($C11,LAMINA_HORA!$A$5:$A$114,0),MATCH($H11,LAMINA_HORA!$W$3:$AP$3,0)),"?"))</f>
        <v/>
      </c>
      <c r="K11" s="15" t="n">
        <v>123.72</v>
      </c>
      <c r="L11" s="16">
        <f>IF(OR($I11="",$I11="?",$K11=""),"",$I11*$K11*10)</f>
        <v/>
      </c>
      <c r="M11" s="17">
        <f>IFERROR(INDEX('PARAMETROS'!$B$16:$B$19,MATCH($E11,'PARAMETROS'!$A$16:$A$19,0)),"")</f>
        <v/>
      </c>
      <c r="N11" s="16">
        <f>IF(OR($L11="",$M11=""),"",$L11*$M11)</f>
        <v/>
      </c>
      <c r="O11" s="14">
        <f>IFERROR(INDEX(PIVOS!$I$5:$I$112,MATCH($B11&amp;"",PIVOS!$B$5:$B$112&amp;"",0)),"")</f>
        <v/>
      </c>
      <c r="P11" s="16">
        <f>IF(OR($O11="",$J11="",$J11="?"),"",$O11*$J11)</f>
        <v/>
      </c>
    </row>
    <row r="12">
      <c r="A12" s="24" t="n">
        <v>8</v>
      </c>
      <c r="B12" s="5" t="inlineStr">
        <is>
          <t>3</t>
        </is>
      </c>
      <c r="C12" s="7" t="inlineStr">
        <is>
          <t>P3</t>
        </is>
      </c>
      <c r="D12" s="5" t="inlineStr">
        <is>
          <t>Módulo 01</t>
        </is>
      </c>
      <c r="E12" s="5" t="inlineStr">
        <is>
          <t>KM1</t>
        </is>
      </c>
      <c r="F12" s="5" t="inlineStr">
        <is>
          <t>TABACO</t>
        </is>
      </c>
      <c r="G12" s="6" t="inlineStr"/>
      <c r="H12" s="7" t="n"/>
      <c r="I12" s="25">
        <f>IF(OR($C12="",$H12=""),"",IFERROR(INDEX(LAMINA_HORA!$C$5:$V$114,MATCH($C12,LAMINA_HORA!$A$5:$A$114,0),MATCH($H12,LAMINA_HORA!$C$3:$V$3,0)),"?"))</f>
        <v/>
      </c>
      <c r="J12" s="25">
        <f>IF(OR($C12="",$H12=""),"",IFERROR(INDEX(LAMINA_HORA!$W$5:$AP$114,MATCH($C12,LAMINA_HORA!$A$5:$A$114,0),MATCH($H12,LAMINA_HORA!$W$3:$AP$3,0)),"?"))</f>
        <v/>
      </c>
      <c r="K12" s="15" t="n">
        <v>150.01</v>
      </c>
      <c r="L12" s="16">
        <f>IF(OR($I12="",$I12="?",$K12=""),"",$I12*$K12*10)</f>
        <v/>
      </c>
      <c r="M12" s="17">
        <f>IFERROR(INDEX('PARAMETROS'!$B$16:$B$19,MATCH($E12,'PARAMETROS'!$A$16:$A$19,0)),"")</f>
        <v/>
      </c>
      <c r="N12" s="16">
        <f>IF(OR($L12="",$M12=""),"",$L12*$M12)</f>
        <v/>
      </c>
      <c r="O12" s="14">
        <f>IFERROR(INDEX(PIVOS!$I$5:$I$112,MATCH($B12&amp;"",PIVOS!$B$5:$B$112&amp;"",0)),"")</f>
        <v/>
      </c>
      <c r="P12" s="16">
        <f>IF(OR($O12="",$J12="",$J12="?"),"",$O12*$J12)</f>
        <v/>
      </c>
    </row>
    <row r="13">
      <c r="A13" s="24" t="n">
        <v>9</v>
      </c>
      <c r="B13" s="5" t="inlineStr">
        <is>
          <t>4</t>
        </is>
      </c>
      <c r="C13" s="7" t="inlineStr">
        <is>
          <t>P4</t>
        </is>
      </c>
      <c r="D13" s="5" t="inlineStr">
        <is>
          <t>Módulo 01</t>
        </is>
      </c>
      <c r="E13" s="5" t="inlineStr">
        <is>
          <t>KM1</t>
        </is>
      </c>
      <c r="F13" s="5" t="inlineStr">
        <is>
          <t>TABACO</t>
        </is>
      </c>
      <c r="G13" s="6" t="inlineStr"/>
      <c r="H13" s="7" t="n"/>
      <c r="I13" s="25">
        <f>IF(OR($C13="",$H13=""),"",IFERROR(INDEX(LAMINA_HORA!$C$5:$V$114,MATCH($C13,LAMINA_HORA!$A$5:$A$114,0),MATCH($H13,LAMINA_HORA!$C$3:$V$3,0)),"?"))</f>
        <v/>
      </c>
      <c r="J13" s="25">
        <f>IF(OR($C13="",$H13=""),"",IFERROR(INDEX(LAMINA_HORA!$W$5:$AP$114,MATCH($C13,LAMINA_HORA!$A$5:$A$114,0),MATCH($H13,LAMINA_HORA!$W$3:$AP$3,0)),"?"))</f>
        <v/>
      </c>
      <c r="K13" s="15" t="n">
        <v>62.76</v>
      </c>
      <c r="L13" s="16">
        <f>IF(OR($I13="",$I13="?",$K13=""),"",$I13*$K13*10)</f>
        <v/>
      </c>
      <c r="M13" s="17">
        <f>IFERROR(INDEX('PARAMETROS'!$B$16:$B$19,MATCH($E13,'PARAMETROS'!$A$16:$A$19,0)),"")</f>
        <v/>
      </c>
      <c r="N13" s="16">
        <f>IF(OR($L13="",$M13=""),"",$L13*$M13)</f>
        <v/>
      </c>
      <c r="O13" s="14">
        <f>IFERROR(INDEX(PIVOS!$I$5:$I$112,MATCH($B13&amp;"",PIVOS!$B$5:$B$112&amp;"",0)),"")</f>
        <v/>
      </c>
      <c r="P13" s="16">
        <f>IF(OR($O13="",$J13="",$J13="?"),"",$O13*$J13)</f>
        <v/>
      </c>
    </row>
    <row r="14">
      <c r="A14" s="24" t="n">
        <v>10</v>
      </c>
      <c r="B14" s="5" t="inlineStr">
        <is>
          <t>5</t>
        </is>
      </c>
      <c r="C14" s="7" t="inlineStr">
        <is>
          <t>P5</t>
        </is>
      </c>
      <c r="D14" s="5" t="inlineStr">
        <is>
          <t>Módulo 01</t>
        </is>
      </c>
      <c r="E14" s="5" t="inlineStr">
        <is>
          <t>KM1</t>
        </is>
      </c>
      <c r="F14" s="5" t="inlineStr">
        <is>
          <t>SOJA</t>
        </is>
      </c>
      <c r="G14" s="6" t="inlineStr">
        <is>
          <t>CZ 58B28</t>
        </is>
      </c>
      <c r="H14" s="7" t="n"/>
      <c r="I14" s="25">
        <f>IF(OR($C14="",$H14=""),"",IFERROR(INDEX(LAMINA_HORA!$C$5:$V$114,MATCH($C14,LAMINA_HORA!$A$5:$A$114,0),MATCH($H14,LAMINA_HORA!$C$3:$V$3,0)),"?"))</f>
        <v/>
      </c>
      <c r="J14" s="25">
        <f>IF(OR($C14="",$H14=""),"",IFERROR(INDEX(LAMINA_HORA!$W$5:$AP$114,MATCH($C14,LAMINA_HORA!$A$5:$A$114,0),MATCH($H14,LAMINA_HORA!$W$3:$AP$3,0)),"?"))</f>
        <v/>
      </c>
      <c r="K14" s="15" t="n">
        <v>150.01</v>
      </c>
      <c r="L14" s="16">
        <f>IF(OR($I14="",$I14="?",$K14=""),"",$I14*$K14*10)</f>
        <v/>
      </c>
      <c r="M14" s="17">
        <f>IFERROR(INDEX('PARAMETROS'!$B$16:$B$19,MATCH($E14,'PARAMETROS'!$A$16:$A$19,0)),"")</f>
        <v/>
      </c>
      <c r="N14" s="16">
        <f>IF(OR($L14="",$M14=""),"",$L14*$M14)</f>
        <v/>
      </c>
      <c r="O14" s="14">
        <f>IFERROR(INDEX(PIVOS!$I$5:$I$112,MATCH($B14&amp;"",PIVOS!$B$5:$B$112&amp;"",0)),"")</f>
        <v/>
      </c>
      <c r="P14" s="16">
        <f>IF(OR($O14="",$J14="",$J14="?"),"",$O14*$J14)</f>
        <v/>
      </c>
    </row>
    <row r="15">
      <c r="A15" s="24" t="n">
        <v>11</v>
      </c>
      <c r="B15" s="5" t="inlineStr">
        <is>
          <t>6</t>
        </is>
      </c>
      <c r="C15" s="7" t="inlineStr">
        <is>
          <t>P6</t>
        </is>
      </c>
      <c r="D15" s="5" t="inlineStr">
        <is>
          <t>Módulo 01</t>
        </is>
      </c>
      <c r="E15" s="5" t="inlineStr">
        <is>
          <t>KM1</t>
        </is>
      </c>
      <c r="F15" s="5" t="inlineStr">
        <is>
          <t>ALGODÃO</t>
        </is>
      </c>
      <c r="G15" s="6" t="inlineStr">
        <is>
          <t>DP 2111 B3RF</t>
        </is>
      </c>
      <c r="H15" s="7" t="n"/>
      <c r="I15" s="25">
        <f>IF(OR($C15="",$H15=""),"",IFERROR(INDEX(LAMINA_HORA!$C$5:$V$114,MATCH($C15,LAMINA_HORA!$A$5:$A$114,0),MATCH($H15,LAMINA_HORA!$C$3:$V$3,0)),"?"))</f>
        <v/>
      </c>
      <c r="J15" s="25">
        <f>IF(OR($C15="",$H15=""),"",IFERROR(INDEX(LAMINA_HORA!$W$5:$AP$114,MATCH($C15,LAMINA_HORA!$A$5:$A$114,0),MATCH($H15,LAMINA_HORA!$W$3:$AP$3,0)),"?"))</f>
        <v/>
      </c>
      <c r="K15" s="15" t="n">
        <v>150.01</v>
      </c>
      <c r="L15" s="16">
        <f>IF(OR($I15="",$I15="?",$K15=""),"",$I15*$K15*10)</f>
        <v/>
      </c>
      <c r="M15" s="17">
        <f>IFERROR(INDEX('PARAMETROS'!$B$16:$B$19,MATCH($E15,'PARAMETROS'!$A$16:$A$19,0)),"")</f>
        <v/>
      </c>
      <c r="N15" s="16">
        <f>IF(OR($L15="",$M15=""),"",$L15*$M15)</f>
        <v/>
      </c>
      <c r="O15" s="14">
        <f>IFERROR(INDEX(PIVOS!$I$5:$I$112,MATCH($B15&amp;"",PIVOS!$B$5:$B$112&amp;"",0)),"")</f>
        <v/>
      </c>
      <c r="P15" s="16">
        <f>IF(OR($O15="",$J15="",$J15="?"),"",$O15*$J15)</f>
        <v/>
      </c>
    </row>
    <row r="16">
      <c r="A16" s="24" t="n">
        <v>12</v>
      </c>
      <c r="B16" s="5" t="inlineStr">
        <is>
          <t>15</t>
        </is>
      </c>
      <c r="C16" s="7" t="inlineStr">
        <is>
          <t>P15</t>
        </is>
      </c>
      <c r="D16" s="5" t="inlineStr">
        <is>
          <t>Módulo 01</t>
        </is>
      </c>
      <c r="E16" s="5" t="inlineStr">
        <is>
          <t>KM1</t>
        </is>
      </c>
      <c r="F16" s="5" t="inlineStr">
        <is>
          <t>ALGODÃO</t>
        </is>
      </c>
      <c r="G16" s="6" t="inlineStr">
        <is>
          <t>DP 1949 B3RF</t>
        </is>
      </c>
      <c r="H16" s="7" t="n"/>
      <c r="I16" s="25">
        <f>IF(OR($C16="",$H16=""),"",IFERROR(INDEX(LAMINA_HORA!$C$5:$V$114,MATCH($C16,LAMINA_HORA!$A$5:$A$114,0),MATCH($H16,LAMINA_HORA!$C$3:$V$3,0)),"?"))</f>
        <v/>
      </c>
      <c r="J16" s="25">
        <f>IF(OR($C16="",$H16=""),"",IFERROR(INDEX(LAMINA_HORA!$W$5:$AP$114,MATCH($C16,LAMINA_HORA!$A$5:$A$114,0),MATCH($H16,LAMINA_HORA!$W$3:$AP$3,0)),"?"))</f>
        <v/>
      </c>
      <c r="K16" s="15" t="n">
        <v>150.01</v>
      </c>
      <c r="L16" s="16">
        <f>IF(OR($I16="",$I16="?",$K16=""),"",$I16*$K16*10)</f>
        <v/>
      </c>
      <c r="M16" s="17">
        <f>IFERROR(INDEX('PARAMETROS'!$B$16:$B$19,MATCH($E16,'PARAMETROS'!$A$16:$A$19,0)),"")</f>
        <v/>
      </c>
      <c r="N16" s="16">
        <f>IF(OR($L16="",$M16=""),"",$L16*$M16)</f>
        <v/>
      </c>
      <c r="O16" s="14">
        <f>IFERROR(INDEX(PIVOS!$I$5:$I$112,MATCH($B16&amp;"",PIVOS!$B$5:$B$112&amp;"",0)),"")</f>
        <v/>
      </c>
      <c r="P16" s="16">
        <f>IF(OR($O16="",$J16="",$J16="?"),"",$O16*$J16)</f>
        <v/>
      </c>
    </row>
    <row r="17">
      <c r="A17" s="24" t="n">
        <v>13</v>
      </c>
      <c r="B17" s="5" t="inlineStr">
        <is>
          <t>16</t>
        </is>
      </c>
      <c r="C17" s="7" t="inlineStr">
        <is>
          <t>P16</t>
        </is>
      </c>
      <c r="D17" s="5" t="inlineStr">
        <is>
          <t>Módulo 01</t>
        </is>
      </c>
      <c r="E17" s="5" t="inlineStr">
        <is>
          <t>KM1</t>
        </is>
      </c>
      <c r="F17" s="5" t="inlineStr">
        <is>
          <t>ALGODÃO</t>
        </is>
      </c>
      <c r="G17" s="6" t="inlineStr">
        <is>
          <t>FM 974 GLT</t>
        </is>
      </c>
      <c r="H17" s="7" t="n"/>
      <c r="I17" s="25">
        <f>IF(OR($C17="",$H17=""),"",IFERROR(INDEX(LAMINA_HORA!$C$5:$V$114,MATCH($C17,LAMINA_HORA!$A$5:$A$114,0),MATCH($H17,LAMINA_HORA!$C$3:$V$3,0)),"?"))</f>
        <v/>
      </c>
      <c r="J17" s="25">
        <f>IF(OR($C17="",$H17=""),"",IFERROR(INDEX(LAMINA_HORA!$W$5:$AP$114,MATCH($C17,LAMINA_HORA!$A$5:$A$114,0),MATCH($H17,LAMINA_HORA!$W$3:$AP$3,0)),"?"))</f>
        <v/>
      </c>
      <c r="K17" s="15" t="n">
        <v>150.01</v>
      </c>
      <c r="L17" s="16">
        <f>IF(OR($I17="",$I17="?",$K17=""),"",$I17*$K17*10)</f>
        <v/>
      </c>
      <c r="M17" s="17">
        <f>IFERROR(INDEX('PARAMETROS'!$B$16:$B$19,MATCH($E17,'PARAMETROS'!$A$16:$A$19,0)),"")</f>
        <v/>
      </c>
      <c r="N17" s="16">
        <f>IF(OR($L17="",$M17=""),"",$L17*$M17)</f>
        <v/>
      </c>
      <c r="O17" s="14">
        <f>IFERROR(INDEX(PIVOS!$I$5:$I$112,MATCH($B17&amp;"",PIVOS!$B$5:$B$112&amp;"",0)),"")</f>
        <v/>
      </c>
      <c r="P17" s="16">
        <f>IF(OR($O17="",$J17="",$J17="?"),"",$O17*$J17)</f>
        <v/>
      </c>
    </row>
    <row r="18">
      <c r="A18" s="24" t="n">
        <v>14</v>
      </c>
      <c r="B18" s="5" t="inlineStr">
        <is>
          <t>7</t>
        </is>
      </c>
      <c r="C18" s="7" t="inlineStr">
        <is>
          <t>P7</t>
        </is>
      </c>
      <c r="D18" s="5" t="inlineStr">
        <is>
          <t>Módulo 01</t>
        </is>
      </c>
      <c r="E18" s="5" t="inlineStr">
        <is>
          <t>KM1</t>
        </is>
      </c>
      <c r="F18" s="5" t="inlineStr">
        <is>
          <t>TABACO</t>
        </is>
      </c>
      <c r="G18" s="6" t="inlineStr"/>
      <c r="H18" s="7" t="n"/>
      <c r="I18" s="25">
        <f>IF(OR($C18="",$H18=""),"",IFERROR(INDEX(LAMINA_HORA!$C$5:$V$114,MATCH($C18,LAMINA_HORA!$A$5:$A$114,0),MATCH($H18,LAMINA_HORA!$C$3:$V$3,0)),"?"))</f>
        <v/>
      </c>
      <c r="J18" s="25">
        <f>IF(OR($C18="",$H18=""),"",IFERROR(INDEX(LAMINA_HORA!$W$5:$AP$114,MATCH($C18,LAMINA_HORA!$A$5:$A$114,0),MATCH($H18,LAMINA_HORA!$W$3:$AP$3,0)),"?"))</f>
        <v/>
      </c>
      <c r="K18" s="15" t="n">
        <v>120.13</v>
      </c>
      <c r="L18" s="16">
        <f>IF(OR($I18="",$I18="?",$K18=""),"",$I18*$K18*10)</f>
        <v/>
      </c>
      <c r="M18" s="17">
        <f>IFERROR(INDEX('PARAMETROS'!$B$16:$B$19,MATCH($E18,'PARAMETROS'!$A$16:$A$19,0)),"")</f>
        <v/>
      </c>
      <c r="N18" s="16">
        <f>IF(OR($L18="",$M18=""),"",$L18*$M18)</f>
        <v/>
      </c>
      <c r="O18" s="14">
        <f>IFERROR(INDEX(PIVOS!$I$5:$I$112,MATCH($B18&amp;"",PIVOS!$B$5:$B$112&amp;"",0)),"")</f>
        <v/>
      </c>
      <c r="P18" s="16">
        <f>IF(OR($O18="",$J18="",$J18="?"),"",$O18*$J18)</f>
        <v/>
      </c>
    </row>
    <row r="19">
      <c r="A19" s="24" t="n">
        <v>15</v>
      </c>
      <c r="B19" s="5" t="inlineStr">
        <is>
          <t>8</t>
        </is>
      </c>
      <c r="C19" s="7" t="inlineStr">
        <is>
          <t>P8</t>
        </is>
      </c>
      <c r="D19" s="5" t="inlineStr">
        <is>
          <t>Módulo 01</t>
        </is>
      </c>
      <c r="E19" s="5" t="inlineStr">
        <is>
          <t>KM1</t>
        </is>
      </c>
      <c r="F19" s="5" t="inlineStr">
        <is>
          <t>TABACO</t>
        </is>
      </c>
      <c r="G19" s="6" t="inlineStr"/>
      <c r="H19" s="7" t="n"/>
      <c r="I19" s="25">
        <f>IF(OR($C19="",$H19=""),"",IFERROR(INDEX(LAMINA_HORA!$C$5:$V$114,MATCH($C19,LAMINA_HORA!$A$5:$A$114,0),MATCH($H19,LAMINA_HORA!$C$3:$V$3,0)),"?"))</f>
        <v/>
      </c>
      <c r="J19" s="25">
        <f>IF(OR($C19="",$H19=""),"",IFERROR(INDEX(LAMINA_HORA!$W$5:$AP$114,MATCH($C19,LAMINA_HORA!$A$5:$A$114,0),MATCH($H19,LAMINA_HORA!$W$3:$AP$3,0)),"?"))</f>
        <v/>
      </c>
      <c r="K19" s="15" t="n">
        <v>150.01</v>
      </c>
      <c r="L19" s="16">
        <f>IF(OR($I19="",$I19="?",$K19=""),"",$I19*$K19*10)</f>
        <v/>
      </c>
      <c r="M19" s="17">
        <f>IFERROR(INDEX('PARAMETROS'!$B$16:$B$19,MATCH($E19,'PARAMETROS'!$A$16:$A$19,0)),"")</f>
        <v/>
      </c>
      <c r="N19" s="16">
        <f>IF(OR($L19="",$M19=""),"",$L19*$M19)</f>
        <v/>
      </c>
      <c r="O19" s="14">
        <f>IFERROR(INDEX(PIVOS!$I$5:$I$112,MATCH($B19&amp;"",PIVOS!$B$5:$B$112&amp;"",0)),"")</f>
        <v/>
      </c>
      <c r="P19" s="16">
        <f>IF(OR($O19="",$J19="",$J19="?"),"",$O19*$J19)</f>
        <v/>
      </c>
    </row>
    <row r="20">
      <c r="A20" s="24" t="n">
        <v>16</v>
      </c>
      <c r="B20" s="5" t="inlineStr">
        <is>
          <t>17</t>
        </is>
      </c>
      <c r="C20" s="7" t="inlineStr">
        <is>
          <t>P17</t>
        </is>
      </c>
      <c r="D20" s="5" t="inlineStr">
        <is>
          <t>Módulo 01</t>
        </is>
      </c>
      <c r="E20" s="5" t="inlineStr">
        <is>
          <t>KM1</t>
        </is>
      </c>
      <c r="F20" s="5" t="inlineStr">
        <is>
          <t>ALGODÃO</t>
        </is>
      </c>
      <c r="G20" s="6" t="inlineStr">
        <is>
          <t>DP 1949 B3RF</t>
        </is>
      </c>
      <c r="H20" s="7" t="n"/>
      <c r="I20" s="25">
        <f>IF(OR($C20="",$H20=""),"",IFERROR(INDEX(LAMINA_HORA!$C$5:$V$114,MATCH($C20,LAMINA_HORA!$A$5:$A$114,0),MATCH($H20,LAMINA_HORA!$C$3:$V$3,0)),"?"))</f>
        <v/>
      </c>
      <c r="J20" s="25">
        <f>IF(OR($C20="",$H20=""),"",IFERROR(INDEX(LAMINA_HORA!$W$5:$AP$114,MATCH($C20,LAMINA_HORA!$A$5:$A$114,0),MATCH($H20,LAMINA_HORA!$W$3:$AP$3,0)),"?"))</f>
        <v/>
      </c>
      <c r="K20" s="15" t="n">
        <v>150.01</v>
      </c>
      <c r="L20" s="16">
        <f>IF(OR($I20="",$I20="?",$K20=""),"",$I20*$K20*10)</f>
        <v/>
      </c>
      <c r="M20" s="17">
        <f>IFERROR(INDEX('PARAMETROS'!$B$16:$B$19,MATCH($E20,'PARAMETROS'!$A$16:$A$19,0)),"")</f>
        <v/>
      </c>
      <c r="N20" s="16">
        <f>IF(OR($L20="",$M20=""),"",$L20*$M20)</f>
        <v/>
      </c>
      <c r="O20" s="14">
        <f>IFERROR(INDEX(PIVOS!$I$5:$I$112,MATCH($B20&amp;"",PIVOS!$B$5:$B$112&amp;"",0)),"")</f>
        <v/>
      </c>
      <c r="P20" s="16">
        <f>IF(OR($O20="",$J20="",$J20="?"),"",$O20*$J20)</f>
        <v/>
      </c>
    </row>
    <row r="21">
      <c r="A21" s="24" t="n">
        <v>17</v>
      </c>
      <c r="B21" s="5" t="inlineStr">
        <is>
          <t>18</t>
        </is>
      </c>
      <c r="C21" s="7" t="inlineStr">
        <is>
          <t>P18</t>
        </is>
      </c>
      <c r="D21" s="5" t="inlineStr">
        <is>
          <t>Módulo 01</t>
        </is>
      </c>
      <c r="E21" s="5" t="inlineStr">
        <is>
          <t>KM1</t>
        </is>
      </c>
      <c r="F21" s="5" t="inlineStr">
        <is>
          <t>SOJA</t>
        </is>
      </c>
      <c r="G21" s="6" t="inlineStr"/>
      <c r="H21" s="7" t="n"/>
      <c r="I21" s="25">
        <f>IF(OR($C21="",$H21=""),"",IFERROR(INDEX(LAMINA_HORA!$C$5:$V$114,MATCH($C21,LAMINA_HORA!$A$5:$A$114,0),MATCH($H21,LAMINA_HORA!$C$3:$V$3,0)),"?"))</f>
        <v/>
      </c>
      <c r="J21" s="25">
        <f>IF(OR($C21="",$H21=""),"",IFERROR(INDEX(LAMINA_HORA!$W$5:$AP$114,MATCH($C21,LAMINA_HORA!$A$5:$A$114,0),MATCH($H21,LAMINA_HORA!$W$3:$AP$3,0)),"?"))</f>
        <v/>
      </c>
      <c r="K21" s="15" t="n">
        <v>150.01</v>
      </c>
      <c r="L21" s="16">
        <f>IF(OR($I21="",$I21="?",$K21=""),"",$I21*$K21*10)</f>
        <v/>
      </c>
      <c r="M21" s="17">
        <f>IFERROR(INDEX('PARAMETROS'!$B$16:$B$19,MATCH($E21,'PARAMETROS'!$A$16:$A$19,0)),"")</f>
        <v/>
      </c>
      <c r="N21" s="16">
        <f>IF(OR($L21="",$M21=""),"",$L21*$M21)</f>
        <v/>
      </c>
      <c r="O21" s="14">
        <f>IFERROR(INDEX(PIVOS!$I$5:$I$112,MATCH($B21&amp;"",PIVOS!$B$5:$B$112&amp;"",0)),"")</f>
        <v/>
      </c>
      <c r="P21" s="16">
        <f>IF(OR($O21="",$J21="",$J21="?"),"",$O21*$J21)</f>
        <v/>
      </c>
    </row>
    <row r="22">
      <c r="A22" s="24" t="n">
        <v>18</v>
      </c>
      <c r="B22" s="5" t="inlineStr">
        <is>
          <t>9</t>
        </is>
      </c>
      <c r="C22" s="7" t="inlineStr">
        <is>
          <t>P9</t>
        </is>
      </c>
      <c r="D22" s="5" t="inlineStr">
        <is>
          <t>Módulo 01</t>
        </is>
      </c>
      <c r="E22" s="5" t="inlineStr">
        <is>
          <t>KM1</t>
        </is>
      </c>
      <c r="F22" s="5" t="inlineStr">
        <is>
          <t>SOJA</t>
        </is>
      </c>
      <c r="G22" s="6" t="inlineStr">
        <is>
          <t>CZ 58B28</t>
        </is>
      </c>
      <c r="H22" s="7" t="n"/>
      <c r="I22" s="25">
        <f>IF(OR($C22="",$H22=""),"",IFERROR(INDEX(LAMINA_HORA!$C$5:$V$114,MATCH($C22,LAMINA_HORA!$A$5:$A$114,0),MATCH($H22,LAMINA_HORA!$C$3:$V$3,0)),"?"))</f>
        <v/>
      </c>
      <c r="J22" s="25">
        <f>IF(OR($C22="",$H22=""),"",IFERROR(INDEX(LAMINA_HORA!$W$5:$AP$114,MATCH($C22,LAMINA_HORA!$A$5:$A$114,0),MATCH($H22,LAMINA_HORA!$W$3:$AP$3,0)),"?"))</f>
        <v/>
      </c>
      <c r="K22" s="15" t="n">
        <v>120.13</v>
      </c>
      <c r="L22" s="16">
        <f>IF(OR($I22="",$I22="?",$K22=""),"",$I22*$K22*10)</f>
        <v/>
      </c>
      <c r="M22" s="17">
        <f>IFERROR(INDEX('PARAMETROS'!$B$16:$B$19,MATCH($E22,'PARAMETROS'!$A$16:$A$19,0)),"")</f>
        <v/>
      </c>
      <c r="N22" s="16">
        <f>IF(OR($L22="",$M22=""),"",$L22*$M22)</f>
        <v/>
      </c>
      <c r="O22" s="14">
        <f>IFERROR(INDEX(PIVOS!$I$5:$I$112,MATCH($B22&amp;"",PIVOS!$B$5:$B$112&amp;"",0)),"")</f>
        <v/>
      </c>
      <c r="P22" s="16">
        <f>IF(OR($O22="",$J22="",$J22="?"),"",$O22*$J22)</f>
        <v/>
      </c>
    </row>
    <row r="23">
      <c r="A23" s="24" t="n">
        <v>19</v>
      </c>
      <c r="B23" s="5" t="inlineStr">
        <is>
          <t>10</t>
        </is>
      </c>
      <c r="C23" s="7" t="inlineStr">
        <is>
          <t>P10</t>
        </is>
      </c>
      <c r="D23" s="5" t="inlineStr">
        <is>
          <t>Módulo 01</t>
        </is>
      </c>
      <c r="E23" s="5" t="inlineStr">
        <is>
          <t>KM1</t>
        </is>
      </c>
      <c r="F23" s="5" t="inlineStr">
        <is>
          <t>SOJA</t>
        </is>
      </c>
      <c r="G23" s="6" t="inlineStr">
        <is>
          <t>CZ 58B28</t>
        </is>
      </c>
      <c r="H23" s="7" t="n"/>
      <c r="I23" s="25">
        <f>IF(OR($C23="",$H23=""),"",IFERROR(INDEX(LAMINA_HORA!$C$5:$V$114,MATCH($C23,LAMINA_HORA!$A$5:$A$114,0),MATCH($H23,LAMINA_HORA!$C$3:$V$3,0)),"?"))</f>
        <v/>
      </c>
      <c r="J23" s="25">
        <f>IF(OR($C23="",$H23=""),"",IFERROR(INDEX(LAMINA_HORA!$W$5:$AP$114,MATCH($C23,LAMINA_HORA!$A$5:$A$114,0),MATCH($H23,LAMINA_HORA!$W$3:$AP$3,0)),"?"))</f>
        <v/>
      </c>
      <c r="K23" s="15" t="n">
        <v>150.01</v>
      </c>
      <c r="L23" s="16">
        <f>IF(OR($I23="",$I23="?",$K23=""),"",$I23*$K23*10)</f>
        <v/>
      </c>
      <c r="M23" s="17">
        <f>IFERROR(INDEX('PARAMETROS'!$B$16:$B$19,MATCH($E23,'PARAMETROS'!$A$16:$A$19,0)),"")</f>
        <v/>
      </c>
      <c r="N23" s="16">
        <f>IF(OR($L23="",$M23=""),"",$L23*$M23)</f>
        <v/>
      </c>
      <c r="O23" s="14">
        <f>IFERROR(INDEX(PIVOS!$I$5:$I$112,MATCH($B23&amp;"",PIVOS!$B$5:$B$112&amp;"",0)),"")</f>
        <v/>
      </c>
      <c r="P23" s="16">
        <f>IF(OR($O23="",$J23="",$J23="?"),"",$O23*$J23)</f>
        <v/>
      </c>
    </row>
    <row r="24">
      <c r="A24" s="24" t="n">
        <v>20</v>
      </c>
      <c r="B24" s="5" t="inlineStr">
        <is>
          <t>19</t>
        </is>
      </c>
      <c r="C24" s="7" t="inlineStr">
        <is>
          <t>P19</t>
        </is>
      </c>
      <c r="D24" s="5" t="inlineStr">
        <is>
          <t>Módulo 01</t>
        </is>
      </c>
      <c r="E24" s="5" t="inlineStr">
        <is>
          <t>KM1</t>
        </is>
      </c>
      <c r="F24" s="5" t="inlineStr">
        <is>
          <t>ALGODÃO</t>
        </is>
      </c>
      <c r="G24" s="6" t="inlineStr">
        <is>
          <t>DP 1949 B3RF</t>
        </is>
      </c>
      <c r="H24" s="7" t="n"/>
      <c r="I24" s="25">
        <f>IF(OR($C24="",$H24=""),"",IFERROR(INDEX(LAMINA_HORA!$C$5:$V$114,MATCH($C24,LAMINA_HORA!$A$5:$A$114,0),MATCH($H24,LAMINA_HORA!$C$3:$V$3,0)),"?"))</f>
        <v/>
      </c>
      <c r="J24" s="25">
        <f>IF(OR($C24="",$H24=""),"",IFERROR(INDEX(LAMINA_HORA!$W$5:$AP$114,MATCH($C24,LAMINA_HORA!$A$5:$A$114,0),MATCH($H24,LAMINA_HORA!$W$3:$AP$3,0)),"?"))</f>
        <v/>
      </c>
      <c r="K24" s="15" t="n">
        <v>150.01</v>
      </c>
      <c r="L24" s="16">
        <f>IF(OR($I24="",$I24="?",$K24=""),"",$I24*$K24*10)</f>
        <v/>
      </c>
      <c r="M24" s="17">
        <f>IFERROR(INDEX('PARAMETROS'!$B$16:$B$19,MATCH($E24,'PARAMETROS'!$A$16:$A$19,0)),"")</f>
        <v/>
      </c>
      <c r="N24" s="16">
        <f>IF(OR($L24="",$M24=""),"",$L24*$M24)</f>
        <v/>
      </c>
      <c r="O24" s="14">
        <f>IFERROR(INDEX(PIVOS!$I$5:$I$112,MATCH($B24&amp;"",PIVOS!$B$5:$B$112&amp;"",0)),"")</f>
        <v/>
      </c>
      <c r="P24" s="16">
        <f>IF(OR($O24="",$J24="",$J24="?"),"",$O24*$J24)</f>
        <v/>
      </c>
    </row>
    <row r="25">
      <c r="A25" s="24" t="n">
        <v>21</v>
      </c>
      <c r="B25" s="5" t="inlineStr">
        <is>
          <t>20</t>
        </is>
      </c>
      <c r="C25" s="7" t="inlineStr">
        <is>
          <t>P20</t>
        </is>
      </c>
      <c r="D25" s="5" t="inlineStr">
        <is>
          <t>Módulo 01</t>
        </is>
      </c>
      <c r="E25" s="5" t="inlineStr">
        <is>
          <t>KM1</t>
        </is>
      </c>
      <c r="F25" s="5" t="inlineStr">
        <is>
          <t>ALGODÃO</t>
        </is>
      </c>
      <c r="G25" s="6" t="inlineStr">
        <is>
          <t>FM 974 GLT</t>
        </is>
      </c>
      <c r="H25" s="7" t="n"/>
      <c r="I25" s="25">
        <f>IF(OR($C25="",$H25=""),"",IFERROR(INDEX(LAMINA_HORA!$C$5:$V$114,MATCH($C25,LAMINA_HORA!$A$5:$A$114,0),MATCH($H25,LAMINA_HORA!$C$3:$V$3,0)),"?"))</f>
        <v/>
      </c>
      <c r="J25" s="25">
        <f>IF(OR($C25="",$H25=""),"",IFERROR(INDEX(LAMINA_HORA!$W$5:$AP$114,MATCH($C25,LAMINA_HORA!$A$5:$A$114,0),MATCH($H25,LAMINA_HORA!$W$3:$AP$3,0)),"?"))</f>
        <v/>
      </c>
      <c r="K25" s="15" t="n">
        <v>150.01</v>
      </c>
      <c r="L25" s="16">
        <f>IF(OR($I25="",$I25="?",$K25=""),"",$I25*$K25*10)</f>
        <v/>
      </c>
      <c r="M25" s="17">
        <f>IFERROR(INDEX('PARAMETROS'!$B$16:$B$19,MATCH($E25,'PARAMETROS'!$A$16:$A$19,0)),"")</f>
        <v/>
      </c>
      <c r="N25" s="16">
        <f>IF(OR($L25="",$M25=""),"",$L25*$M25)</f>
        <v/>
      </c>
      <c r="O25" s="14">
        <f>IFERROR(INDEX(PIVOS!$I$5:$I$112,MATCH($B25&amp;"",PIVOS!$B$5:$B$112&amp;"",0)),"")</f>
        <v/>
      </c>
      <c r="P25" s="16">
        <f>IF(OR($O25="",$J25="",$J25="?"),"",$O25*$J25)</f>
        <v/>
      </c>
    </row>
    <row r="26">
      <c r="A26" s="24" t="n">
        <v>22</v>
      </c>
      <c r="B26" s="5" t="inlineStr">
        <is>
          <t>21</t>
        </is>
      </c>
      <c r="C26" s="7" t="inlineStr">
        <is>
          <t>P21</t>
        </is>
      </c>
      <c r="D26" s="5" t="inlineStr">
        <is>
          <t>Módulo 01</t>
        </is>
      </c>
      <c r="E26" s="5" t="inlineStr">
        <is>
          <t>KM1</t>
        </is>
      </c>
      <c r="F26" s="5" t="inlineStr">
        <is>
          <t>ALGODÃO</t>
        </is>
      </c>
      <c r="G26" s="6" t="inlineStr">
        <is>
          <t>DP 1949 B3RF</t>
        </is>
      </c>
      <c r="H26" s="7" t="n"/>
      <c r="I26" s="25">
        <f>IF(OR($C26="",$H26=""),"",IFERROR(INDEX(LAMINA_HORA!$C$5:$V$114,MATCH($C26,LAMINA_HORA!$A$5:$A$114,0),MATCH($H26,LAMINA_HORA!$C$3:$V$3,0)),"?"))</f>
        <v/>
      </c>
      <c r="J26" s="25">
        <f>IF(OR($C26="",$H26=""),"",IFERROR(INDEX(LAMINA_HORA!$W$5:$AP$114,MATCH($C26,LAMINA_HORA!$A$5:$A$114,0),MATCH($H26,LAMINA_HORA!$W$3:$AP$3,0)),"?"))</f>
        <v/>
      </c>
      <c r="K26" s="15" t="n">
        <v>150.01</v>
      </c>
      <c r="L26" s="16">
        <f>IF(OR($I26="",$I26="?",$K26=""),"",$I26*$K26*10)</f>
        <v/>
      </c>
      <c r="M26" s="17">
        <f>IFERROR(INDEX('PARAMETROS'!$B$16:$B$19,MATCH($E26,'PARAMETROS'!$A$16:$A$19,0)),"")</f>
        <v/>
      </c>
      <c r="N26" s="16">
        <f>IF(OR($L26="",$M26=""),"",$L26*$M26)</f>
        <v/>
      </c>
      <c r="O26" s="14">
        <f>IFERROR(INDEX(PIVOS!$I$5:$I$112,MATCH($B26&amp;"",PIVOS!$B$5:$B$112&amp;"",0)),"")</f>
        <v/>
      </c>
      <c r="P26" s="16">
        <f>IF(OR($O26="",$J26="",$J26="?"),"",$O26*$J26)</f>
        <v/>
      </c>
    </row>
    <row r="27">
      <c r="A27" s="24" t="n">
        <v>23</v>
      </c>
      <c r="B27" s="5" t="inlineStr">
        <is>
          <t>22</t>
        </is>
      </c>
      <c r="C27" s="7" t="inlineStr">
        <is>
          <t>P22</t>
        </is>
      </c>
      <c r="D27" s="5" t="inlineStr">
        <is>
          <t>Módulo 01</t>
        </is>
      </c>
      <c r="E27" s="5" t="inlineStr">
        <is>
          <t>KM1</t>
        </is>
      </c>
      <c r="F27" s="5" t="inlineStr">
        <is>
          <t>ALGODÃO</t>
        </is>
      </c>
      <c r="G27" s="6" t="inlineStr">
        <is>
          <t>FM 974 GLT</t>
        </is>
      </c>
      <c r="H27" s="7" t="n"/>
      <c r="I27" s="25">
        <f>IF(OR($C27="",$H27=""),"",IFERROR(INDEX(LAMINA_HORA!$C$5:$V$114,MATCH($C27,LAMINA_HORA!$A$5:$A$114,0),MATCH($H27,LAMINA_HORA!$C$3:$V$3,0)),"?"))</f>
        <v/>
      </c>
      <c r="J27" s="25">
        <f>IF(OR($C27="",$H27=""),"",IFERROR(INDEX(LAMINA_HORA!$W$5:$AP$114,MATCH($C27,LAMINA_HORA!$A$5:$A$114,0),MATCH($H27,LAMINA_HORA!$W$3:$AP$3,0)),"?"))</f>
        <v/>
      </c>
      <c r="K27" s="15" t="n">
        <v>150.01</v>
      </c>
      <c r="L27" s="16">
        <f>IF(OR($I27="",$I27="?",$K27=""),"",$I27*$K27*10)</f>
        <v/>
      </c>
      <c r="M27" s="17">
        <f>IFERROR(INDEX('PARAMETROS'!$B$16:$B$19,MATCH($E27,'PARAMETROS'!$A$16:$A$19,0)),"")</f>
        <v/>
      </c>
      <c r="N27" s="16">
        <f>IF(OR($L27="",$M27=""),"",$L27*$M27)</f>
        <v/>
      </c>
      <c r="O27" s="14">
        <f>IFERROR(INDEX(PIVOS!$I$5:$I$112,MATCH($B27&amp;"",PIVOS!$B$5:$B$112&amp;"",0)),"")</f>
        <v/>
      </c>
      <c r="P27" s="16">
        <f>IF(OR($O27="",$J27="",$J27="?"),"",$O27*$J27)</f>
        <v/>
      </c>
    </row>
    <row r="28">
      <c r="A28" s="24" t="n">
        <v>24</v>
      </c>
      <c r="B28" s="5" t="inlineStr">
        <is>
          <t>11</t>
        </is>
      </c>
      <c r="C28" s="7" t="inlineStr">
        <is>
          <t>P11</t>
        </is>
      </c>
      <c r="D28" s="5" t="inlineStr">
        <is>
          <t>Módulo 01</t>
        </is>
      </c>
      <c r="E28" s="5" t="inlineStr">
        <is>
          <t>KM1</t>
        </is>
      </c>
      <c r="F28" s="5" t="inlineStr">
        <is>
          <t>TABACO</t>
        </is>
      </c>
      <c r="G28" s="6" t="inlineStr"/>
      <c r="H28" s="7" t="n"/>
      <c r="I28" s="25">
        <f>IF(OR($C28="",$H28=""),"",IFERROR(INDEX(LAMINA_HORA!$C$5:$V$114,MATCH($C28,LAMINA_HORA!$A$5:$A$114,0),MATCH($H28,LAMINA_HORA!$C$3:$V$3,0)),"?"))</f>
        <v/>
      </c>
      <c r="J28" s="25">
        <f>IF(OR($C28="",$H28=""),"",IFERROR(INDEX(LAMINA_HORA!$W$5:$AP$114,MATCH($C28,LAMINA_HORA!$A$5:$A$114,0),MATCH($H28,LAMINA_HORA!$W$3:$AP$3,0)),"?"))</f>
        <v/>
      </c>
      <c r="K28" s="15" t="n">
        <v>121.12</v>
      </c>
      <c r="L28" s="16">
        <f>IF(OR($I28="",$I28="?",$K28=""),"",$I28*$K28*10)</f>
        <v/>
      </c>
      <c r="M28" s="17">
        <f>IFERROR(INDEX('PARAMETROS'!$B$16:$B$19,MATCH($E28,'PARAMETROS'!$A$16:$A$19,0)),"")</f>
        <v/>
      </c>
      <c r="N28" s="16">
        <f>IF(OR($L28="",$M28=""),"",$L28*$M28)</f>
        <v/>
      </c>
      <c r="O28" s="14">
        <f>IFERROR(INDEX(PIVOS!$I$5:$I$112,MATCH($B28&amp;"",PIVOS!$B$5:$B$112&amp;"",0)),"")</f>
        <v/>
      </c>
      <c r="P28" s="16">
        <f>IF(OR($O28="",$J28="",$J28="?"),"",$O28*$J28)</f>
        <v/>
      </c>
    </row>
    <row r="29">
      <c r="A29" s="24" t="n">
        <v>25</v>
      </c>
      <c r="B29" s="5" t="inlineStr">
        <is>
          <t>12</t>
        </is>
      </c>
      <c r="C29" s="7" t="inlineStr">
        <is>
          <t>P12</t>
        </is>
      </c>
      <c r="D29" s="5" t="inlineStr">
        <is>
          <t>Módulo 01</t>
        </is>
      </c>
      <c r="E29" s="5" t="inlineStr">
        <is>
          <t>KM1</t>
        </is>
      </c>
      <c r="F29" s="5" t="inlineStr">
        <is>
          <t>SOJA</t>
        </is>
      </c>
      <c r="G29" s="6" t="inlineStr">
        <is>
          <t>M8434 IPRO</t>
        </is>
      </c>
      <c r="H29" s="7" t="n"/>
      <c r="I29" s="25">
        <f>IF(OR($C29="",$H29=""),"",IFERROR(INDEX(LAMINA_HORA!$C$5:$V$114,MATCH($C29,LAMINA_HORA!$A$5:$A$114,0),MATCH($H29,LAMINA_HORA!$C$3:$V$3,0)),"?"))</f>
        <v/>
      </c>
      <c r="J29" s="25">
        <f>IF(OR($C29="",$H29=""),"",IFERROR(INDEX(LAMINA_HORA!$W$5:$AP$114,MATCH($C29,LAMINA_HORA!$A$5:$A$114,0),MATCH($H29,LAMINA_HORA!$W$3:$AP$3,0)),"?"))</f>
        <v/>
      </c>
      <c r="K29" s="15" t="n">
        <v>150.01</v>
      </c>
      <c r="L29" s="16">
        <f>IF(OR($I29="",$I29="?",$K29=""),"",$I29*$K29*10)</f>
        <v/>
      </c>
      <c r="M29" s="17">
        <f>IFERROR(INDEX('PARAMETROS'!$B$16:$B$19,MATCH($E29,'PARAMETROS'!$A$16:$A$19,0)),"")</f>
        <v/>
      </c>
      <c r="N29" s="16">
        <f>IF(OR($L29="",$M29=""),"",$L29*$M29)</f>
        <v/>
      </c>
      <c r="O29" s="14">
        <f>IFERROR(INDEX(PIVOS!$I$5:$I$112,MATCH($B29&amp;"",PIVOS!$B$5:$B$112&amp;"",0)),"")</f>
        <v/>
      </c>
      <c r="P29" s="16">
        <f>IF(OR($O29="",$J29="",$J29="?"),"",$O29*$J29)</f>
        <v/>
      </c>
    </row>
    <row r="30">
      <c r="A30" s="24" t="n">
        <v>26</v>
      </c>
      <c r="B30" s="5" t="inlineStr">
        <is>
          <t>13</t>
        </is>
      </c>
      <c r="C30" s="7" t="inlineStr">
        <is>
          <t>P13</t>
        </is>
      </c>
      <c r="D30" s="5" t="inlineStr">
        <is>
          <t>Módulo 01</t>
        </is>
      </c>
      <c r="E30" s="5" t="inlineStr">
        <is>
          <t>KM1</t>
        </is>
      </c>
      <c r="F30" s="5" t="inlineStr">
        <is>
          <t>SOJA</t>
        </is>
      </c>
      <c r="G30" s="6" t="inlineStr"/>
      <c r="H30" s="7" t="n"/>
      <c r="I30" s="25">
        <f>IF(OR($C30="",$H30=""),"",IFERROR(INDEX(LAMINA_HORA!$C$5:$V$114,MATCH($C30,LAMINA_HORA!$A$5:$A$114,0),MATCH($H30,LAMINA_HORA!$C$3:$V$3,0)),"?"))</f>
        <v/>
      </c>
      <c r="J30" s="25">
        <f>IF(OR($C30="",$H30=""),"",IFERROR(INDEX(LAMINA_HORA!$W$5:$AP$114,MATCH($C30,LAMINA_HORA!$A$5:$A$114,0),MATCH($H30,LAMINA_HORA!$W$3:$AP$3,0)),"?"))</f>
        <v/>
      </c>
      <c r="K30" s="15" t="n">
        <v>71.3</v>
      </c>
      <c r="L30" s="16">
        <f>IF(OR($I30="",$I30="?",$K30=""),"",$I30*$K30*10)</f>
        <v/>
      </c>
      <c r="M30" s="17">
        <f>IFERROR(INDEX('PARAMETROS'!$B$16:$B$19,MATCH($E30,'PARAMETROS'!$A$16:$A$19,0)),"")</f>
        <v/>
      </c>
      <c r="N30" s="16">
        <f>IF(OR($L30="",$M30=""),"",$L30*$M30)</f>
        <v/>
      </c>
      <c r="O30" s="14">
        <f>IFERROR(INDEX(PIVOS!$I$5:$I$112,MATCH($B30&amp;"",PIVOS!$B$5:$B$112&amp;"",0)),"")</f>
        <v/>
      </c>
      <c r="P30" s="16">
        <f>IF(OR($O30="",$J30="",$J30="?"),"",$O30*$J30)</f>
        <v/>
      </c>
    </row>
    <row r="31">
      <c r="A31" s="24" t="n">
        <v>27</v>
      </c>
      <c r="B31" s="5" t="inlineStr">
        <is>
          <t>14</t>
        </is>
      </c>
      <c r="C31" s="7" t="inlineStr">
        <is>
          <t>P14</t>
        </is>
      </c>
      <c r="D31" s="5" t="inlineStr">
        <is>
          <t>Módulo 01</t>
        </is>
      </c>
      <c r="E31" s="5" t="inlineStr">
        <is>
          <t>KM1</t>
        </is>
      </c>
      <c r="F31" s="5" t="inlineStr">
        <is>
          <t>SOJA</t>
        </is>
      </c>
      <c r="G31" s="6" t="inlineStr">
        <is>
          <t>TMG22X77</t>
        </is>
      </c>
      <c r="H31" s="7" t="n"/>
      <c r="I31" s="25">
        <f>IF(OR($C31="",$H31=""),"",IFERROR(INDEX(LAMINA_HORA!$C$5:$V$114,MATCH($C31,LAMINA_HORA!$A$5:$A$114,0),MATCH($H31,LAMINA_HORA!$C$3:$V$3,0)),"?"))</f>
        <v/>
      </c>
      <c r="J31" s="25">
        <f>IF(OR($C31="",$H31=""),"",IFERROR(INDEX(LAMINA_HORA!$W$5:$AP$114,MATCH($C31,LAMINA_HORA!$A$5:$A$114,0),MATCH($H31,LAMINA_HORA!$W$3:$AP$3,0)),"?"))</f>
        <v/>
      </c>
      <c r="K31" s="15" t="n">
        <v>150.01</v>
      </c>
      <c r="L31" s="16">
        <f>IF(OR($I31="",$I31="?",$K31=""),"",$I31*$K31*10)</f>
        <v/>
      </c>
      <c r="M31" s="17">
        <f>IFERROR(INDEX('PARAMETROS'!$B$16:$B$19,MATCH($E31,'PARAMETROS'!$A$16:$A$19,0)),"")</f>
        <v/>
      </c>
      <c r="N31" s="16">
        <f>IF(OR($L31="",$M31=""),"",$L31*$M31)</f>
        <v/>
      </c>
      <c r="O31" s="14">
        <f>IFERROR(INDEX(PIVOS!$I$5:$I$112,MATCH($B31&amp;"",PIVOS!$B$5:$B$112&amp;"",0)),"")</f>
        <v/>
      </c>
      <c r="P31" s="16">
        <f>IF(OR($O31="",$J31="",$J31="?"),"",$O31*$J31)</f>
        <v/>
      </c>
    </row>
    <row r="32">
      <c r="A32" s="24" t="n">
        <v>28</v>
      </c>
      <c r="B32" s="5" t="inlineStr">
        <is>
          <t>23</t>
        </is>
      </c>
      <c r="C32" s="7" t="inlineStr">
        <is>
          <t>P23</t>
        </is>
      </c>
      <c r="D32" s="5" t="inlineStr">
        <is>
          <t>Módulo 01</t>
        </is>
      </c>
      <c r="E32" s="5" t="inlineStr">
        <is>
          <t>KM1</t>
        </is>
      </c>
      <c r="F32" s="5" t="inlineStr">
        <is>
          <t>SOJA</t>
        </is>
      </c>
      <c r="G32" s="6" t="inlineStr">
        <is>
          <t>NEO 761 I2X</t>
        </is>
      </c>
      <c r="H32" s="7" t="n"/>
      <c r="I32" s="25">
        <f>IF(OR($C32="",$H32=""),"",IFERROR(INDEX(LAMINA_HORA!$C$5:$V$114,MATCH($C32,LAMINA_HORA!$A$5:$A$114,0),MATCH($H32,LAMINA_HORA!$C$3:$V$3,0)),"?"))</f>
        <v/>
      </c>
      <c r="J32" s="25">
        <f>IF(OR($C32="",$H32=""),"",IFERROR(INDEX(LAMINA_HORA!$W$5:$AP$114,MATCH($C32,LAMINA_HORA!$A$5:$A$114,0),MATCH($H32,LAMINA_HORA!$W$3:$AP$3,0)),"?"))</f>
        <v/>
      </c>
      <c r="K32" s="15" t="n">
        <v>150.01</v>
      </c>
      <c r="L32" s="16">
        <f>IF(OR($I32="",$I32="?",$K32=""),"",$I32*$K32*10)</f>
        <v/>
      </c>
      <c r="M32" s="17">
        <f>IFERROR(INDEX('PARAMETROS'!$B$16:$B$19,MATCH($E32,'PARAMETROS'!$A$16:$A$19,0)),"")</f>
        <v/>
      </c>
      <c r="N32" s="16">
        <f>IF(OR($L32="",$M32=""),"",$L32*$M32)</f>
        <v/>
      </c>
      <c r="O32" s="14">
        <f>IFERROR(INDEX(PIVOS!$I$5:$I$112,MATCH($B32&amp;"",PIVOS!$B$5:$B$112&amp;"",0)),"")</f>
        <v/>
      </c>
      <c r="P32" s="16">
        <f>IF(OR($O32="",$J32="",$J32="?"),"",$O32*$J32)</f>
        <v/>
      </c>
    </row>
    <row r="33">
      <c r="A33" s="24" t="n">
        <v>29</v>
      </c>
      <c r="B33" s="5" t="inlineStr">
        <is>
          <t>24</t>
        </is>
      </c>
      <c r="C33" s="7" t="inlineStr">
        <is>
          <t>P24</t>
        </is>
      </c>
      <c r="D33" s="5" t="inlineStr">
        <is>
          <t>Módulo 01</t>
        </is>
      </c>
      <c r="E33" s="5" t="inlineStr">
        <is>
          <t>KM1</t>
        </is>
      </c>
      <c r="F33" s="5" t="inlineStr">
        <is>
          <t>ALGODÃO</t>
        </is>
      </c>
      <c r="G33" s="6" t="inlineStr">
        <is>
          <t>FM 974 GLT</t>
        </is>
      </c>
      <c r="H33" s="7" t="n"/>
      <c r="I33" s="25">
        <f>IF(OR($C33="",$H33=""),"",IFERROR(INDEX(LAMINA_HORA!$C$5:$V$114,MATCH($C33,LAMINA_HORA!$A$5:$A$114,0),MATCH($H33,LAMINA_HORA!$C$3:$V$3,0)),"?"))</f>
        <v/>
      </c>
      <c r="J33" s="25">
        <f>IF(OR($C33="",$H33=""),"",IFERROR(INDEX(LAMINA_HORA!$W$5:$AP$114,MATCH($C33,LAMINA_HORA!$A$5:$A$114,0),MATCH($H33,LAMINA_HORA!$W$3:$AP$3,0)),"?"))</f>
        <v/>
      </c>
      <c r="K33" s="15" t="n">
        <v>150.01</v>
      </c>
      <c r="L33" s="16">
        <f>IF(OR($I33="",$I33="?",$K33=""),"",$I33*$K33*10)</f>
        <v/>
      </c>
      <c r="M33" s="17">
        <f>IFERROR(INDEX('PARAMETROS'!$B$16:$B$19,MATCH($E33,'PARAMETROS'!$A$16:$A$19,0)),"")</f>
        <v/>
      </c>
      <c r="N33" s="16">
        <f>IF(OR($L33="",$M33=""),"",$L33*$M33)</f>
        <v/>
      </c>
      <c r="O33" s="14">
        <f>IFERROR(INDEX(PIVOS!$I$5:$I$112,MATCH($B33&amp;"",PIVOS!$B$5:$B$112&amp;"",0)),"")</f>
        <v/>
      </c>
      <c r="P33" s="16">
        <f>IF(OR($O33="",$J33="",$J33="?"),"",$O33*$J33)</f>
        <v/>
      </c>
    </row>
    <row r="34">
      <c r="A34" s="24" t="n">
        <v>30</v>
      </c>
      <c r="B34" s="5" t="inlineStr">
        <is>
          <t>25</t>
        </is>
      </c>
      <c r="C34" s="7" t="inlineStr">
        <is>
          <t>P25</t>
        </is>
      </c>
      <c r="D34" s="5" t="inlineStr">
        <is>
          <t>Módulo 01</t>
        </is>
      </c>
      <c r="E34" s="5" t="inlineStr">
        <is>
          <t>KM1</t>
        </is>
      </c>
      <c r="F34" s="5" t="inlineStr">
        <is>
          <t>CACAU</t>
        </is>
      </c>
      <c r="G34" s="6" t="inlineStr"/>
      <c r="H34" s="7" t="n"/>
      <c r="I34" s="25">
        <f>IF(OR($C34="",$H34=""),"",IFERROR(INDEX(LAMINA_HORA!$C$5:$V$114,MATCH($C34,LAMINA_HORA!$A$5:$A$114,0),MATCH($H34,LAMINA_HORA!$C$3:$V$3,0)),"?"))</f>
        <v/>
      </c>
      <c r="J34" s="25">
        <f>IF(OR($C34="",$H34=""),"",IFERROR(INDEX(LAMINA_HORA!$W$5:$AP$114,MATCH($C34,LAMINA_HORA!$A$5:$A$114,0),MATCH($H34,LAMINA_HORA!$W$3:$AP$3,0)),"?"))</f>
        <v/>
      </c>
      <c r="K34" s="15" t="n">
        <v>99.7</v>
      </c>
      <c r="L34" s="16">
        <f>IF(OR($I34="",$I34="?",$K34=""),"",$I34*$K34*10)</f>
        <v/>
      </c>
      <c r="M34" s="17">
        <f>IFERROR(INDEX('PARAMETROS'!$B$16:$B$19,MATCH($E34,'PARAMETROS'!$A$16:$A$19,0)),"")</f>
        <v/>
      </c>
      <c r="N34" s="16">
        <f>IF(OR($L34="",$M34=""),"",$L34*$M34)</f>
        <v/>
      </c>
      <c r="O34" s="14">
        <f>IFERROR(INDEX(PIVOS!$I$5:$I$112,MATCH($B34&amp;"",PIVOS!$B$5:$B$112&amp;"",0)),"")</f>
        <v/>
      </c>
      <c r="P34" s="16">
        <f>IF(OR($O34="",$J34="",$J34="?"),"",$O34*$J34)</f>
        <v/>
      </c>
    </row>
    <row r="35">
      <c r="A35" s="24" t="n">
        <v>31</v>
      </c>
      <c r="B35" s="5" t="inlineStr">
        <is>
          <t>25</t>
        </is>
      </c>
      <c r="C35" s="7" t="inlineStr">
        <is>
          <t>P25</t>
        </is>
      </c>
      <c r="D35" s="5" t="inlineStr">
        <is>
          <t>Módulo 01</t>
        </is>
      </c>
      <c r="E35" s="5" t="inlineStr">
        <is>
          <t>KM1</t>
        </is>
      </c>
      <c r="F35" s="5" t="inlineStr">
        <is>
          <t>CACAU</t>
        </is>
      </c>
      <c r="G35" s="6" t="inlineStr"/>
      <c r="H35" s="7" t="n"/>
      <c r="I35" s="25">
        <f>IF(OR($C35="",$H35=""),"",IFERROR(INDEX(LAMINA_HORA!$C$5:$V$114,MATCH($C35,LAMINA_HORA!$A$5:$A$114,0),MATCH($H35,LAMINA_HORA!$C$3:$V$3,0)),"?"))</f>
        <v/>
      </c>
      <c r="J35" s="25">
        <f>IF(OR($C35="",$H35=""),"",IFERROR(INDEX(LAMINA_HORA!$W$5:$AP$114,MATCH($C35,LAMINA_HORA!$A$5:$A$114,0),MATCH($H35,LAMINA_HORA!$W$3:$AP$3,0)),"?"))</f>
        <v/>
      </c>
      <c r="K35" s="15" t="n">
        <v>99.7</v>
      </c>
      <c r="L35" s="16">
        <f>IF(OR($I35="",$I35="?",$K35=""),"",$I35*$K35*10)</f>
        <v/>
      </c>
      <c r="M35" s="17">
        <f>IFERROR(INDEX('PARAMETROS'!$B$16:$B$19,MATCH($E35,'PARAMETROS'!$A$16:$A$19,0)),"")</f>
        <v/>
      </c>
      <c r="N35" s="16">
        <f>IF(OR($L35="",$M35=""),"",$L35*$M35)</f>
        <v/>
      </c>
      <c r="O35" s="14">
        <f>IFERROR(INDEX(PIVOS!$I$5:$I$112,MATCH($B35&amp;"",PIVOS!$B$5:$B$112&amp;"",0)),"")</f>
        <v/>
      </c>
      <c r="P35" s="16">
        <f>IF(OR($O35="",$J35="",$J35="?"),"",$O35*$J35)</f>
        <v/>
      </c>
    </row>
    <row r="36">
      <c r="A36" s="24" t="n">
        <v>32</v>
      </c>
      <c r="B36" s="5" t="inlineStr">
        <is>
          <t>25</t>
        </is>
      </c>
      <c r="C36" s="7" t="inlineStr">
        <is>
          <t>P25</t>
        </is>
      </c>
      <c r="D36" s="5" t="inlineStr">
        <is>
          <t>Módulo 01</t>
        </is>
      </c>
      <c r="E36" s="5" t="inlineStr">
        <is>
          <t>KM1</t>
        </is>
      </c>
      <c r="F36" s="5" t="inlineStr">
        <is>
          <t>CACAU</t>
        </is>
      </c>
      <c r="G36" s="6" t="inlineStr"/>
      <c r="H36" s="7" t="n"/>
      <c r="I36" s="25">
        <f>IF(OR($C36="",$H36=""),"",IFERROR(INDEX(LAMINA_HORA!$C$5:$V$114,MATCH($C36,LAMINA_HORA!$A$5:$A$114,0),MATCH($H36,LAMINA_HORA!$C$3:$V$3,0)),"?"))</f>
        <v/>
      </c>
      <c r="J36" s="25">
        <f>IF(OR($C36="",$H36=""),"",IFERROR(INDEX(LAMINA_HORA!$W$5:$AP$114,MATCH($C36,LAMINA_HORA!$A$5:$A$114,0),MATCH($H36,LAMINA_HORA!$W$3:$AP$3,0)),"?"))</f>
        <v/>
      </c>
      <c r="K36" s="15" t="n">
        <v>99.7</v>
      </c>
      <c r="L36" s="16">
        <f>IF(OR($I36="",$I36="?",$K36=""),"",$I36*$K36*10)</f>
        <v/>
      </c>
      <c r="M36" s="17">
        <f>IFERROR(INDEX('PARAMETROS'!$B$16:$B$19,MATCH($E36,'PARAMETROS'!$A$16:$A$19,0)),"")</f>
        <v/>
      </c>
      <c r="N36" s="16">
        <f>IF(OR($L36="",$M36=""),"",$L36*$M36)</f>
        <v/>
      </c>
      <c r="O36" s="14">
        <f>IFERROR(INDEX(PIVOS!$I$5:$I$112,MATCH($B36&amp;"",PIVOS!$B$5:$B$112&amp;"",0)),"")</f>
        <v/>
      </c>
      <c r="P36" s="16">
        <f>IF(OR($O36="",$J36="",$J36="?"),"",$O36*$J36)</f>
        <v/>
      </c>
    </row>
    <row r="37">
      <c r="A37" s="24" t="n">
        <v>33</v>
      </c>
      <c r="B37" s="5" t="inlineStr">
        <is>
          <t>25</t>
        </is>
      </c>
      <c r="C37" s="7" t="inlineStr">
        <is>
          <t>P25</t>
        </is>
      </c>
      <c r="D37" s="5" t="inlineStr">
        <is>
          <t>Módulo 01</t>
        </is>
      </c>
      <c r="E37" s="5" t="inlineStr">
        <is>
          <t>KM1</t>
        </is>
      </c>
      <c r="F37" s="5" t="inlineStr">
        <is>
          <t>CACAU</t>
        </is>
      </c>
      <c r="G37" s="6" t="inlineStr"/>
      <c r="H37" s="7" t="n"/>
      <c r="I37" s="25">
        <f>IF(OR($C37="",$H37=""),"",IFERROR(INDEX(LAMINA_HORA!$C$5:$V$114,MATCH($C37,LAMINA_HORA!$A$5:$A$114,0),MATCH($H37,LAMINA_HORA!$C$3:$V$3,0)),"?"))</f>
        <v/>
      </c>
      <c r="J37" s="25">
        <f>IF(OR($C37="",$H37=""),"",IFERROR(INDEX(LAMINA_HORA!$W$5:$AP$114,MATCH($C37,LAMINA_HORA!$A$5:$A$114,0),MATCH($H37,LAMINA_HORA!$W$3:$AP$3,0)),"?"))</f>
        <v/>
      </c>
      <c r="K37" s="15" t="n">
        <v>99.7</v>
      </c>
      <c r="L37" s="16">
        <f>IF(OR($I37="",$I37="?",$K37=""),"",$I37*$K37*10)</f>
        <v/>
      </c>
      <c r="M37" s="17">
        <f>IFERROR(INDEX('PARAMETROS'!$B$16:$B$19,MATCH($E37,'PARAMETROS'!$A$16:$A$19,0)),"")</f>
        <v/>
      </c>
      <c r="N37" s="16">
        <f>IF(OR($L37="",$M37=""),"",$L37*$M37)</f>
        <v/>
      </c>
      <c r="O37" s="14">
        <f>IFERROR(INDEX(PIVOS!$I$5:$I$112,MATCH($B37&amp;"",PIVOS!$B$5:$B$112&amp;"",0)),"")</f>
        <v/>
      </c>
      <c r="P37" s="16">
        <f>IF(OR($O37="",$J37="",$J37="?"),"",$O37*$J37)</f>
        <v/>
      </c>
    </row>
    <row r="38">
      <c r="A38" s="24" t="n">
        <v>34</v>
      </c>
      <c r="B38" s="5" t="inlineStr">
        <is>
          <t>26</t>
        </is>
      </c>
      <c r="C38" s="7" t="inlineStr">
        <is>
          <t>P26</t>
        </is>
      </c>
      <c r="D38" s="5" t="inlineStr">
        <is>
          <t>Módulo 01</t>
        </is>
      </c>
      <c r="E38" s="5" t="inlineStr">
        <is>
          <t>KM1</t>
        </is>
      </c>
      <c r="F38" s="5" t="inlineStr">
        <is>
          <t>ALGODÃO</t>
        </is>
      </c>
      <c r="G38" s="6" t="inlineStr">
        <is>
          <t>FM 911 GLTP</t>
        </is>
      </c>
      <c r="H38" s="7" t="n"/>
      <c r="I38" s="25">
        <f>IF(OR($C38="",$H38=""),"",IFERROR(INDEX(LAMINA_HORA!$C$5:$V$114,MATCH($C38,LAMINA_HORA!$A$5:$A$114,0),MATCH($H38,LAMINA_HORA!$C$3:$V$3,0)),"?"))</f>
        <v/>
      </c>
      <c r="J38" s="25">
        <f>IF(OR($C38="",$H38=""),"",IFERROR(INDEX(LAMINA_HORA!$W$5:$AP$114,MATCH($C38,LAMINA_HORA!$A$5:$A$114,0),MATCH($H38,LAMINA_HORA!$W$3:$AP$3,0)),"?"))</f>
        <v/>
      </c>
      <c r="K38" s="15" t="n">
        <v>150.01</v>
      </c>
      <c r="L38" s="16">
        <f>IF(OR($I38="",$I38="?",$K38=""),"",$I38*$K38*10)</f>
        <v/>
      </c>
      <c r="M38" s="17">
        <f>IFERROR(INDEX('PARAMETROS'!$B$16:$B$19,MATCH($E38,'PARAMETROS'!$A$16:$A$19,0)),"")</f>
        <v/>
      </c>
      <c r="N38" s="16">
        <f>IF(OR($L38="",$M38=""),"",$L38*$M38)</f>
        <v/>
      </c>
      <c r="O38" s="14">
        <f>IFERROR(INDEX(PIVOS!$I$5:$I$112,MATCH($B38&amp;"",PIVOS!$B$5:$B$112&amp;"",0)),"")</f>
        <v/>
      </c>
      <c r="P38" s="16">
        <f>IF(OR($O38="",$J38="",$J38="?"),"",$O38*$J38)</f>
        <v/>
      </c>
    </row>
    <row r="39">
      <c r="A39" s="24" t="n">
        <v>35</v>
      </c>
      <c r="B39" s="5" t="inlineStr">
        <is>
          <t>27</t>
        </is>
      </c>
      <c r="C39" s="7" t="inlineStr">
        <is>
          <t>P27</t>
        </is>
      </c>
      <c r="D39" s="5" t="inlineStr">
        <is>
          <t>Módulo 01</t>
        </is>
      </c>
      <c r="E39" s="5" t="inlineStr">
        <is>
          <t>KM1</t>
        </is>
      </c>
      <c r="F39" s="5" t="inlineStr">
        <is>
          <t>CACAU</t>
        </is>
      </c>
      <c r="G39" s="6" t="inlineStr"/>
      <c r="H39" s="7" t="n"/>
      <c r="I39" s="25">
        <f>IF(OR($C39="",$H39=""),"",IFERROR(INDEX(LAMINA_HORA!$C$5:$V$114,MATCH($C39,LAMINA_HORA!$A$5:$A$114,0),MATCH($H39,LAMINA_HORA!$C$3:$V$3,0)),"?"))</f>
        <v/>
      </c>
      <c r="J39" s="25">
        <f>IF(OR($C39="",$H39=""),"",IFERROR(INDEX(LAMINA_HORA!$W$5:$AP$114,MATCH($C39,LAMINA_HORA!$A$5:$A$114,0),MATCH($H39,LAMINA_HORA!$W$3:$AP$3,0)),"?"))</f>
        <v/>
      </c>
      <c r="K39" s="15" t="n">
        <v>99.14</v>
      </c>
      <c r="L39" s="16">
        <f>IF(OR($I39="",$I39="?",$K39=""),"",$I39*$K39*10)</f>
        <v/>
      </c>
      <c r="M39" s="17">
        <f>IFERROR(INDEX('PARAMETROS'!$B$16:$B$19,MATCH($E39,'PARAMETROS'!$A$16:$A$19,0)),"")</f>
        <v/>
      </c>
      <c r="N39" s="16">
        <f>IF(OR($L39="",$M39=""),"",$L39*$M39)</f>
        <v/>
      </c>
      <c r="O39" s="14">
        <f>IFERROR(INDEX(PIVOS!$I$5:$I$112,MATCH($B39&amp;"",PIVOS!$B$5:$B$112&amp;"",0)),"")</f>
        <v/>
      </c>
      <c r="P39" s="16">
        <f>IF(OR($O39="",$J39="",$J39="?"),"",$O39*$J39)</f>
        <v/>
      </c>
    </row>
    <row r="40">
      <c r="A40" s="24" t="n">
        <v>36</v>
      </c>
      <c r="B40" s="5" t="inlineStr">
        <is>
          <t>27</t>
        </is>
      </c>
      <c r="C40" s="7" t="inlineStr">
        <is>
          <t>P27</t>
        </is>
      </c>
      <c r="D40" s="5" t="inlineStr">
        <is>
          <t>Módulo 01</t>
        </is>
      </c>
      <c r="E40" s="5" t="inlineStr">
        <is>
          <t>KM1</t>
        </is>
      </c>
      <c r="F40" s="5" t="inlineStr">
        <is>
          <t>CACAU</t>
        </is>
      </c>
      <c r="G40" s="6" t="inlineStr"/>
      <c r="H40" s="7" t="n"/>
      <c r="I40" s="25">
        <f>IF(OR($C40="",$H40=""),"",IFERROR(INDEX(LAMINA_HORA!$C$5:$V$114,MATCH($C40,LAMINA_HORA!$A$5:$A$114,0),MATCH($H40,LAMINA_HORA!$C$3:$V$3,0)),"?"))</f>
        <v/>
      </c>
      <c r="J40" s="25">
        <f>IF(OR($C40="",$H40=""),"",IFERROR(INDEX(LAMINA_HORA!$W$5:$AP$114,MATCH($C40,LAMINA_HORA!$A$5:$A$114,0),MATCH($H40,LAMINA_HORA!$W$3:$AP$3,0)),"?"))</f>
        <v/>
      </c>
      <c r="K40" s="15" t="n">
        <v>99.14</v>
      </c>
      <c r="L40" s="16">
        <f>IF(OR($I40="",$I40="?",$K40=""),"",$I40*$K40*10)</f>
        <v/>
      </c>
      <c r="M40" s="17">
        <f>IFERROR(INDEX('PARAMETROS'!$B$16:$B$19,MATCH($E40,'PARAMETROS'!$A$16:$A$19,0)),"")</f>
        <v/>
      </c>
      <c r="N40" s="16">
        <f>IF(OR($L40="",$M40=""),"",$L40*$M40)</f>
        <v/>
      </c>
      <c r="O40" s="14">
        <f>IFERROR(INDEX(PIVOS!$I$5:$I$112,MATCH($B40&amp;"",PIVOS!$B$5:$B$112&amp;"",0)),"")</f>
        <v/>
      </c>
      <c r="P40" s="16">
        <f>IF(OR($O40="",$J40="",$J40="?"),"",$O40*$J40)</f>
        <v/>
      </c>
    </row>
    <row r="41">
      <c r="A41" s="24" t="n">
        <v>37</v>
      </c>
      <c r="B41" s="5" t="inlineStr">
        <is>
          <t>27</t>
        </is>
      </c>
      <c r="C41" s="7" t="inlineStr">
        <is>
          <t>P27</t>
        </is>
      </c>
      <c r="D41" s="5" t="inlineStr">
        <is>
          <t>Módulo 01</t>
        </is>
      </c>
      <c r="E41" s="5" t="inlineStr">
        <is>
          <t>KM1</t>
        </is>
      </c>
      <c r="F41" s="5" t="inlineStr">
        <is>
          <t>CACAU</t>
        </is>
      </c>
      <c r="G41" s="6" t="inlineStr"/>
      <c r="H41" s="7" t="n"/>
      <c r="I41" s="25">
        <f>IF(OR($C41="",$H41=""),"",IFERROR(INDEX(LAMINA_HORA!$C$5:$V$114,MATCH($C41,LAMINA_HORA!$A$5:$A$114,0),MATCH($H41,LAMINA_HORA!$C$3:$V$3,0)),"?"))</f>
        <v/>
      </c>
      <c r="J41" s="25">
        <f>IF(OR($C41="",$H41=""),"",IFERROR(INDEX(LAMINA_HORA!$W$5:$AP$114,MATCH($C41,LAMINA_HORA!$A$5:$A$114,0),MATCH($H41,LAMINA_HORA!$W$3:$AP$3,0)),"?"))</f>
        <v/>
      </c>
      <c r="K41" s="15" t="n">
        <v>99.14</v>
      </c>
      <c r="L41" s="16">
        <f>IF(OR($I41="",$I41="?",$K41=""),"",$I41*$K41*10)</f>
        <v/>
      </c>
      <c r="M41" s="17">
        <f>IFERROR(INDEX('PARAMETROS'!$B$16:$B$19,MATCH($E41,'PARAMETROS'!$A$16:$A$19,0)),"")</f>
        <v/>
      </c>
      <c r="N41" s="16">
        <f>IF(OR($L41="",$M41=""),"",$L41*$M41)</f>
        <v/>
      </c>
      <c r="O41" s="14">
        <f>IFERROR(INDEX(PIVOS!$I$5:$I$112,MATCH($B41&amp;"",PIVOS!$B$5:$B$112&amp;"",0)),"")</f>
        <v/>
      </c>
      <c r="P41" s="16">
        <f>IF(OR($O41="",$J41="",$J41="?"),"",$O41*$J41)</f>
        <v/>
      </c>
    </row>
    <row r="42">
      <c r="A42" s="24" t="n">
        <v>38</v>
      </c>
      <c r="B42" s="5" t="inlineStr">
        <is>
          <t>27</t>
        </is>
      </c>
      <c r="C42" s="7" t="inlineStr">
        <is>
          <t>P27</t>
        </is>
      </c>
      <c r="D42" s="5" t="inlineStr">
        <is>
          <t>Módulo 01</t>
        </is>
      </c>
      <c r="E42" s="5" t="inlineStr">
        <is>
          <t>KM1</t>
        </is>
      </c>
      <c r="F42" s="5" t="inlineStr">
        <is>
          <t>CACAU</t>
        </is>
      </c>
      <c r="G42" s="6" t="inlineStr"/>
      <c r="H42" s="7" t="n"/>
      <c r="I42" s="25">
        <f>IF(OR($C42="",$H42=""),"",IFERROR(INDEX(LAMINA_HORA!$C$5:$V$114,MATCH($C42,LAMINA_HORA!$A$5:$A$114,0),MATCH($H42,LAMINA_HORA!$C$3:$V$3,0)),"?"))</f>
        <v/>
      </c>
      <c r="J42" s="25">
        <f>IF(OR($C42="",$H42=""),"",IFERROR(INDEX(LAMINA_HORA!$W$5:$AP$114,MATCH($C42,LAMINA_HORA!$A$5:$A$114,0),MATCH($H42,LAMINA_HORA!$W$3:$AP$3,0)),"?"))</f>
        <v/>
      </c>
      <c r="K42" s="15" t="n">
        <v>99.14</v>
      </c>
      <c r="L42" s="16">
        <f>IF(OR($I42="",$I42="?",$K42=""),"",$I42*$K42*10)</f>
        <v/>
      </c>
      <c r="M42" s="17">
        <f>IFERROR(INDEX('PARAMETROS'!$B$16:$B$19,MATCH($E42,'PARAMETROS'!$A$16:$A$19,0)),"")</f>
        <v/>
      </c>
      <c r="N42" s="16">
        <f>IF(OR($L42="",$M42=""),"",$L42*$M42)</f>
        <v/>
      </c>
      <c r="O42" s="14">
        <f>IFERROR(INDEX(PIVOS!$I$5:$I$112,MATCH($B42&amp;"",PIVOS!$B$5:$B$112&amp;"",0)),"")</f>
        <v/>
      </c>
      <c r="P42" s="16">
        <f>IF(OR($O42="",$J42="",$J42="?"),"",$O42*$J42)</f>
        <v/>
      </c>
    </row>
    <row r="43">
      <c r="A43" s="24" t="n">
        <v>39</v>
      </c>
      <c r="B43" s="5" t="inlineStr">
        <is>
          <t>28</t>
        </is>
      </c>
      <c r="C43" s="7" t="inlineStr">
        <is>
          <t>P28</t>
        </is>
      </c>
      <c r="D43" s="5" t="inlineStr">
        <is>
          <t>Módulo 01</t>
        </is>
      </c>
      <c r="E43" s="5" t="inlineStr">
        <is>
          <t>KM1</t>
        </is>
      </c>
      <c r="F43" s="5" t="inlineStr">
        <is>
          <t>SOJA</t>
        </is>
      </c>
      <c r="G43" s="6" t="inlineStr"/>
      <c r="H43" s="7" t="n"/>
      <c r="I43" s="25">
        <f>IF(OR($C43="",$H43=""),"",IFERROR(INDEX(LAMINA_HORA!$C$5:$V$114,MATCH($C43,LAMINA_HORA!$A$5:$A$114,0),MATCH($H43,LAMINA_HORA!$C$3:$V$3,0)),"?"))</f>
        <v/>
      </c>
      <c r="J43" s="25">
        <f>IF(OR($C43="",$H43=""),"",IFERROR(INDEX(LAMINA_HORA!$W$5:$AP$114,MATCH($C43,LAMINA_HORA!$A$5:$A$114,0),MATCH($H43,LAMINA_HORA!$W$3:$AP$3,0)),"?"))</f>
        <v/>
      </c>
      <c r="K43" s="15" t="n">
        <v>132.99</v>
      </c>
      <c r="L43" s="16">
        <f>IF(OR($I43="",$I43="?",$K43=""),"",$I43*$K43*10)</f>
        <v/>
      </c>
      <c r="M43" s="17">
        <f>IFERROR(INDEX('PARAMETROS'!$B$16:$B$19,MATCH($E43,'PARAMETROS'!$A$16:$A$19,0)),"")</f>
        <v/>
      </c>
      <c r="N43" s="16">
        <f>IF(OR($L43="",$M43=""),"",$L43*$M43)</f>
        <v/>
      </c>
      <c r="O43" s="14">
        <f>IFERROR(INDEX(PIVOS!$I$5:$I$112,MATCH($B43&amp;"",PIVOS!$B$5:$B$112&amp;"",0)),"")</f>
        <v/>
      </c>
      <c r="P43" s="16">
        <f>IF(OR($O43="",$J43="",$J43="?"),"",$O43*$J43)</f>
        <v/>
      </c>
    </row>
    <row r="44">
      <c r="A44" s="24" t="n">
        <v>40</v>
      </c>
      <c r="B44" s="5" t="inlineStr">
        <is>
          <t>29</t>
        </is>
      </c>
      <c r="C44" s="7" t="inlineStr">
        <is>
          <t>P29</t>
        </is>
      </c>
      <c r="D44" s="5" t="inlineStr">
        <is>
          <t>Módulo 01</t>
        </is>
      </c>
      <c r="E44" s="5" t="inlineStr">
        <is>
          <t>KM1</t>
        </is>
      </c>
      <c r="F44" s="5" t="inlineStr">
        <is>
          <t>CACAU</t>
        </is>
      </c>
      <c r="G44" s="6" t="inlineStr"/>
      <c r="H44" s="7" t="n"/>
      <c r="I44" s="25">
        <f>IF(OR($C44="",$H44=""),"",IFERROR(INDEX(LAMINA_HORA!$C$5:$V$114,MATCH($C44,LAMINA_HORA!$A$5:$A$114,0),MATCH($H44,LAMINA_HORA!$C$3:$V$3,0)),"?"))</f>
        <v/>
      </c>
      <c r="J44" s="25">
        <f>IF(OR($C44="",$H44=""),"",IFERROR(INDEX(LAMINA_HORA!$W$5:$AP$114,MATCH($C44,LAMINA_HORA!$A$5:$A$114,0),MATCH($H44,LAMINA_HORA!$W$3:$AP$3,0)),"?"))</f>
        <v/>
      </c>
      <c r="K44" s="15" t="n">
        <v>78.55</v>
      </c>
      <c r="L44" s="16">
        <f>IF(OR($I44="",$I44="?",$K44=""),"",$I44*$K44*10)</f>
        <v/>
      </c>
      <c r="M44" s="17">
        <f>IFERROR(INDEX('PARAMETROS'!$B$16:$B$19,MATCH($E44,'PARAMETROS'!$A$16:$A$19,0)),"")</f>
        <v/>
      </c>
      <c r="N44" s="16">
        <f>IF(OR($L44="",$M44=""),"",$L44*$M44)</f>
        <v/>
      </c>
      <c r="O44" s="14">
        <f>IFERROR(INDEX(PIVOS!$I$5:$I$112,MATCH($B44&amp;"",PIVOS!$B$5:$B$112&amp;"",0)),"")</f>
        <v/>
      </c>
      <c r="P44" s="16">
        <f>IF(OR($O44="",$J44="",$J44="?"),"",$O44*$J44)</f>
        <v/>
      </c>
    </row>
    <row r="45">
      <c r="A45" s="24" t="n">
        <v>41</v>
      </c>
      <c r="B45" s="5" t="inlineStr">
        <is>
          <t>29</t>
        </is>
      </c>
      <c r="C45" s="7" t="inlineStr">
        <is>
          <t>P29</t>
        </is>
      </c>
      <c r="D45" s="5" t="inlineStr">
        <is>
          <t>Módulo 01</t>
        </is>
      </c>
      <c r="E45" s="5" t="inlineStr">
        <is>
          <t>KM1</t>
        </is>
      </c>
      <c r="F45" s="5" t="inlineStr">
        <is>
          <t>CACAU</t>
        </is>
      </c>
      <c r="G45" s="6" t="inlineStr"/>
      <c r="H45" s="7" t="n"/>
      <c r="I45" s="25">
        <f>IF(OR($C45="",$H45=""),"",IFERROR(INDEX(LAMINA_HORA!$C$5:$V$114,MATCH($C45,LAMINA_HORA!$A$5:$A$114,0),MATCH($H45,LAMINA_HORA!$C$3:$V$3,0)),"?"))</f>
        <v/>
      </c>
      <c r="J45" s="25">
        <f>IF(OR($C45="",$H45=""),"",IFERROR(INDEX(LAMINA_HORA!$W$5:$AP$114,MATCH($C45,LAMINA_HORA!$A$5:$A$114,0),MATCH($H45,LAMINA_HORA!$W$3:$AP$3,0)),"?"))</f>
        <v/>
      </c>
      <c r="K45" s="15" t="n">
        <v>78.55</v>
      </c>
      <c r="L45" s="16">
        <f>IF(OR($I45="",$I45="?",$K45=""),"",$I45*$K45*10)</f>
        <v/>
      </c>
      <c r="M45" s="17">
        <f>IFERROR(INDEX('PARAMETROS'!$B$16:$B$19,MATCH($E45,'PARAMETROS'!$A$16:$A$19,0)),"")</f>
        <v/>
      </c>
      <c r="N45" s="16">
        <f>IF(OR($L45="",$M45=""),"",$L45*$M45)</f>
        <v/>
      </c>
      <c r="O45" s="14">
        <f>IFERROR(INDEX(PIVOS!$I$5:$I$112,MATCH($B45&amp;"",PIVOS!$B$5:$B$112&amp;"",0)),"")</f>
        <v/>
      </c>
      <c r="P45" s="16">
        <f>IF(OR($O45="",$J45="",$J45="?"),"",$O45*$J45)</f>
        <v/>
      </c>
    </row>
    <row r="46">
      <c r="A46" s="24" t="n">
        <v>42</v>
      </c>
      <c r="B46" s="5" t="inlineStr">
        <is>
          <t>29</t>
        </is>
      </c>
      <c r="C46" s="7" t="inlineStr">
        <is>
          <t>P29</t>
        </is>
      </c>
      <c r="D46" s="5" t="inlineStr">
        <is>
          <t>Módulo 01</t>
        </is>
      </c>
      <c r="E46" s="5" t="inlineStr">
        <is>
          <t>KM1</t>
        </is>
      </c>
      <c r="F46" s="5" t="inlineStr">
        <is>
          <t>CACAU</t>
        </is>
      </c>
      <c r="G46" s="6" t="inlineStr"/>
      <c r="H46" s="7" t="n"/>
      <c r="I46" s="25">
        <f>IF(OR($C46="",$H46=""),"",IFERROR(INDEX(LAMINA_HORA!$C$5:$V$114,MATCH($C46,LAMINA_HORA!$A$5:$A$114,0),MATCH($H46,LAMINA_HORA!$C$3:$V$3,0)),"?"))</f>
        <v/>
      </c>
      <c r="J46" s="25">
        <f>IF(OR($C46="",$H46=""),"",IFERROR(INDEX(LAMINA_HORA!$W$5:$AP$114,MATCH($C46,LAMINA_HORA!$A$5:$A$114,0),MATCH($H46,LAMINA_HORA!$W$3:$AP$3,0)),"?"))</f>
        <v/>
      </c>
      <c r="K46" s="15" t="n">
        <v>78.55</v>
      </c>
      <c r="L46" s="16">
        <f>IF(OR($I46="",$I46="?",$K46=""),"",$I46*$K46*10)</f>
        <v/>
      </c>
      <c r="M46" s="17">
        <f>IFERROR(INDEX('PARAMETROS'!$B$16:$B$19,MATCH($E46,'PARAMETROS'!$A$16:$A$19,0)),"")</f>
        <v/>
      </c>
      <c r="N46" s="16">
        <f>IF(OR($L46="",$M46=""),"",$L46*$M46)</f>
        <v/>
      </c>
      <c r="O46" s="14">
        <f>IFERROR(INDEX(PIVOS!$I$5:$I$112,MATCH($B46&amp;"",PIVOS!$B$5:$B$112&amp;"",0)),"")</f>
        <v/>
      </c>
      <c r="P46" s="16">
        <f>IF(OR($O46="",$J46="",$J46="?"),"",$O46*$J46)</f>
        <v/>
      </c>
    </row>
    <row r="47">
      <c r="A47" s="24" t="n">
        <v>43</v>
      </c>
      <c r="B47" s="5" t="inlineStr">
        <is>
          <t>29</t>
        </is>
      </c>
      <c r="C47" s="7" t="inlineStr">
        <is>
          <t>P29</t>
        </is>
      </c>
      <c r="D47" s="5" t="inlineStr">
        <is>
          <t>Módulo 01</t>
        </is>
      </c>
      <c r="E47" s="5" t="inlineStr">
        <is>
          <t>KM1</t>
        </is>
      </c>
      <c r="F47" s="5" t="inlineStr">
        <is>
          <t>CACAU</t>
        </is>
      </c>
      <c r="G47" s="6" t="inlineStr"/>
      <c r="H47" s="7" t="n"/>
      <c r="I47" s="25">
        <f>IF(OR($C47="",$H47=""),"",IFERROR(INDEX(LAMINA_HORA!$C$5:$V$114,MATCH($C47,LAMINA_HORA!$A$5:$A$114,0),MATCH($H47,LAMINA_HORA!$C$3:$V$3,0)),"?"))</f>
        <v/>
      </c>
      <c r="J47" s="25">
        <f>IF(OR($C47="",$H47=""),"",IFERROR(INDEX(LAMINA_HORA!$W$5:$AP$114,MATCH($C47,LAMINA_HORA!$A$5:$A$114,0),MATCH($H47,LAMINA_HORA!$W$3:$AP$3,0)),"?"))</f>
        <v/>
      </c>
      <c r="K47" s="15" t="n">
        <v>78.55</v>
      </c>
      <c r="L47" s="16">
        <f>IF(OR($I47="",$I47="?",$K47=""),"",$I47*$K47*10)</f>
        <v/>
      </c>
      <c r="M47" s="17">
        <f>IFERROR(INDEX('PARAMETROS'!$B$16:$B$19,MATCH($E47,'PARAMETROS'!$A$16:$A$19,0)),"")</f>
        <v/>
      </c>
      <c r="N47" s="16">
        <f>IF(OR($L47="",$M47=""),"",$L47*$M47)</f>
        <v/>
      </c>
      <c r="O47" s="14">
        <f>IFERROR(INDEX(PIVOS!$I$5:$I$112,MATCH($B47&amp;"",PIVOS!$B$5:$B$112&amp;"",0)),"")</f>
        <v/>
      </c>
      <c r="P47" s="16">
        <f>IF(OR($O47="",$J47="",$J47="?"),"",$O47*$J47)</f>
        <v/>
      </c>
    </row>
    <row r="48">
      <c r="A48" s="24" t="n">
        <v>44</v>
      </c>
      <c r="B48" s="5" t="inlineStr">
        <is>
          <t>39</t>
        </is>
      </c>
      <c r="C48" s="7" t="inlineStr">
        <is>
          <t>P39</t>
        </is>
      </c>
      <c r="D48" s="5" t="inlineStr">
        <is>
          <t>Módulo 02</t>
        </is>
      </c>
      <c r="E48" s="5" t="inlineStr">
        <is>
          <t>KM1</t>
        </is>
      </c>
      <c r="F48" s="5" t="inlineStr">
        <is>
          <t>ALGODÃO</t>
        </is>
      </c>
      <c r="G48" s="6" t="inlineStr">
        <is>
          <t>FM 911 GLTP</t>
        </is>
      </c>
      <c r="H48" s="7" t="n"/>
      <c r="I48" s="25">
        <f>IF(OR($C48="",$H48=""),"",IFERROR(INDEX(LAMINA_HORA!$C$5:$V$114,MATCH($C48,LAMINA_HORA!$A$5:$A$114,0),MATCH($H48,LAMINA_HORA!$C$3:$V$3,0)),"?"))</f>
        <v/>
      </c>
      <c r="J48" s="25">
        <f>IF(OR($C48="",$H48=""),"",IFERROR(INDEX(LAMINA_HORA!$W$5:$AP$114,MATCH($C48,LAMINA_HORA!$A$5:$A$114,0),MATCH($H48,LAMINA_HORA!$W$3:$AP$3,0)),"?"))</f>
        <v/>
      </c>
      <c r="K48" s="15" t="n">
        <v>100.65</v>
      </c>
      <c r="L48" s="16">
        <f>IF(OR($I48="",$I48="?",$K48=""),"",$I48*$K48*10)</f>
        <v/>
      </c>
      <c r="M48" s="17">
        <f>IFERROR(INDEX('PARAMETROS'!$B$16:$B$19,MATCH($E48,'PARAMETROS'!$A$16:$A$19,0)),"")</f>
        <v/>
      </c>
      <c r="N48" s="16">
        <f>IF(OR($L48="",$M48=""),"",$L48*$M48)</f>
        <v/>
      </c>
      <c r="O48" s="14">
        <f>IFERROR(INDEX(PIVOS!$I$5:$I$112,MATCH($B48&amp;"",PIVOS!$B$5:$B$112&amp;"",0)),"")</f>
        <v/>
      </c>
      <c r="P48" s="16">
        <f>IF(OR($O48="",$J48="",$J48="?"),"",$O48*$J48)</f>
        <v/>
      </c>
    </row>
    <row r="49">
      <c r="A49" s="24" t="n">
        <v>45</v>
      </c>
      <c r="B49" s="5" t="inlineStr">
        <is>
          <t>40</t>
        </is>
      </c>
      <c r="C49" s="7" t="inlineStr">
        <is>
          <t>P40</t>
        </is>
      </c>
      <c r="D49" s="5" t="inlineStr">
        <is>
          <t>Módulo 02</t>
        </is>
      </c>
      <c r="E49" s="5" t="inlineStr">
        <is>
          <t>KM1</t>
        </is>
      </c>
      <c r="F49" s="5" t="inlineStr">
        <is>
          <t>SOJA</t>
        </is>
      </c>
      <c r="G49" s="6" t="inlineStr">
        <is>
          <t>NEO 761 I2X</t>
        </is>
      </c>
      <c r="H49" s="7" t="n"/>
      <c r="I49" s="25">
        <f>IF(OR($C49="",$H49=""),"",IFERROR(INDEX(LAMINA_HORA!$C$5:$V$114,MATCH($C49,LAMINA_HORA!$A$5:$A$114,0),MATCH($H49,LAMINA_HORA!$C$3:$V$3,0)),"?"))</f>
        <v/>
      </c>
      <c r="J49" s="25">
        <f>IF(OR($C49="",$H49=""),"",IFERROR(INDEX(LAMINA_HORA!$W$5:$AP$114,MATCH($C49,LAMINA_HORA!$A$5:$A$114,0),MATCH($H49,LAMINA_HORA!$W$3:$AP$3,0)),"?"))</f>
        <v/>
      </c>
      <c r="K49" s="15" t="n">
        <v>150.54</v>
      </c>
      <c r="L49" s="16">
        <f>IF(OR($I49="",$I49="?",$K49=""),"",$I49*$K49*10)</f>
        <v/>
      </c>
      <c r="M49" s="17">
        <f>IFERROR(INDEX('PARAMETROS'!$B$16:$B$19,MATCH($E49,'PARAMETROS'!$A$16:$A$19,0)),"")</f>
        <v/>
      </c>
      <c r="N49" s="16">
        <f>IF(OR($L49="",$M49=""),"",$L49*$M49)</f>
        <v/>
      </c>
      <c r="O49" s="14">
        <f>IFERROR(INDEX(PIVOS!$I$5:$I$112,MATCH($B49&amp;"",PIVOS!$B$5:$B$112&amp;"",0)),"")</f>
        <v/>
      </c>
      <c r="P49" s="16">
        <f>IF(OR($O49="",$J49="",$J49="?"),"",$O49*$J49)</f>
        <v/>
      </c>
    </row>
    <row r="50">
      <c r="A50" s="24" t="n">
        <v>46</v>
      </c>
      <c r="B50" s="5" t="inlineStr">
        <is>
          <t>45</t>
        </is>
      </c>
      <c r="C50" s="7" t="inlineStr">
        <is>
          <t>P45</t>
        </is>
      </c>
      <c r="D50" s="5" t="inlineStr">
        <is>
          <t>Módulo 02</t>
        </is>
      </c>
      <c r="E50" s="5" t="inlineStr">
        <is>
          <t>KM1</t>
        </is>
      </c>
      <c r="F50" s="5" t="inlineStr">
        <is>
          <t>SOJA</t>
        </is>
      </c>
      <c r="G50" s="6" t="inlineStr">
        <is>
          <t>OLIMPO 80I82</t>
        </is>
      </c>
      <c r="H50" s="7" t="n"/>
      <c r="I50" s="25">
        <f>IF(OR($C50="",$H50=""),"",IFERROR(INDEX(LAMINA_HORA!$C$5:$V$114,MATCH($C50,LAMINA_HORA!$A$5:$A$114,0),MATCH($H50,LAMINA_HORA!$C$3:$V$3,0)),"?"))</f>
        <v/>
      </c>
      <c r="J50" s="25">
        <f>IF(OR($C50="",$H50=""),"",IFERROR(INDEX(LAMINA_HORA!$W$5:$AP$114,MATCH($C50,LAMINA_HORA!$A$5:$A$114,0),MATCH($H50,LAMINA_HORA!$W$3:$AP$3,0)),"?"))</f>
        <v/>
      </c>
      <c r="K50" s="15" t="n">
        <v>123.47</v>
      </c>
      <c r="L50" s="16">
        <f>IF(OR($I50="",$I50="?",$K50=""),"",$I50*$K50*10)</f>
        <v/>
      </c>
      <c r="M50" s="17">
        <f>IFERROR(INDEX('PARAMETROS'!$B$16:$B$19,MATCH($E50,'PARAMETROS'!$A$16:$A$19,0)),"")</f>
        <v/>
      </c>
      <c r="N50" s="16">
        <f>IF(OR($L50="",$M50=""),"",$L50*$M50)</f>
        <v/>
      </c>
      <c r="O50" s="14">
        <f>IFERROR(INDEX(PIVOS!$I$5:$I$112,MATCH($B50&amp;"",PIVOS!$B$5:$B$112&amp;"",0)),"")</f>
        <v/>
      </c>
      <c r="P50" s="16">
        <f>IF(OR($O50="",$J50="",$J50="?"),"",$O50*$J50)</f>
        <v/>
      </c>
    </row>
    <row r="51">
      <c r="A51" s="24" t="n">
        <v>47</v>
      </c>
      <c r="B51" s="5" t="inlineStr">
        <is>
          <t>46</t>
        </is>
      </c>
      <c r="C51" s="7" t="inlineStr">
        <is>
          <t>P46</t>
        </is>
      </c>
      <c r="D51" s="5" t="inlineStr">
        <is>
          <t>Módulo 02</t>
        </is>
      </c>
      <c r="E51" s="5" t="inlineStr">
        <is>
          <t>KM1</t>
        </is>
      </c>
      <c r="F51" s="5" t="inlineStr">
        <is>
          <t>SOJA</t>
        </is>
      </c>
      <c r="G51" s="6" t="inlineStr"/>
      <c r="H51" s="7" t="n"/>
      <c r="I51" s="25">
        <f>IF(OR($C51="",$H51=""),"",IFERROR(INDEX(LAMINA_HORA!$C$5:$V$114,MATCH($C51,LAMINA_HORA!$A$5:$A$114,0),MATCH($H51,LAMINA_HORA!$C$3:$V$3,0)),"?"))</f>
        <v/>
      </c>
      <c r="J51" s="25">
        <f>IF(OR($C51="",$H51=""),"",IFERROR(INDEX(LAMINA_HORA!$W$5:$AP$114,MATCH($C51,LAMINA_HORA!$A$5:$A$114,0),MATCH($H51,LAMINA_HORA!$W$3:$AP$3,0)),"?"))</f>
        <v/>
      </c>
      <c r="K51" s="15" t="n">
        <v>159.45</v>
      </c>
      <c r="L51" s="16">
        <f>IF(OR($I51="",$I51="?",$K51=""),"",$I51*$K51*10)</f>
        <v/>
      </c>
      <c r="M51" s="17">
        <f>IFERROR(INDEX('PARAMETROS'!$B$16:$B$19,MATCH($E51,'PARAMETROS'!$A$16:$A$19,0)),"")</f>
        <v/>
      </c>
      <c r="N51" s="16">
        <f>IF(OR($L51="",$M51=""),"",$L51*$M51)</f>
        <v/>
      </c>
      <c r="O51" s="14">
        <f>IFERROR(INDEX(PIVOS!$I$5:$I$112,MATCH($B51&amp;"",PIVOS!$B$5:$B$112&amp;"",0)),"")</f>
        <v/>
      </c>
      <c r="P51" s="16">
        <f>IF(OR($O51="",$J51="",$J51="?"),"",$O51*$J51)</f>
        <v/>
      </c>
    </row>
    <row r="52">
      <c r="A52" s="24" t="n">
        <v>48</v>
      </c>
      <c r="B52" s="5" t="inlineStr">
        <is>
          <t>48</t>
        </is>
      </c>
      <c r="C52" s="7" t="inlineStr">
        <is>
          <t>P48</t>
        </is>
      </c>
      <c r="D52" s="5" t="inlineStr">
        <is>
          <t>Módulo 02</t>
        </is>
      </c>
      <c r="E52" s="5" t="inlineStr">
        <is>
          <t>KM1</t>
        </is>
      </c>
      <c r="F52" s="5" t="inlineStr">
        <is>
          <t>ALGODÃO</t>
        </is>
      </c>
      <c r="G52" s="6" t="inlineStr">
        <is>
          <t>FM 985 GLTP</t>
        </is>
      </c>
      <c r="H52" s="7" t="n"/>
      <c r="I52" s="25">
        <f>IF(OR($C52="",$H52=""),"",IFERROR(INDEX(LAMINA_HORA!$C$5:$V$114,MATCH($C52,LAMINA_HORA!$A$5:$A$114,0),MATCH($H52,LAMINA_HORA!$C$3:$V$3,0)),"?"))</f>
        <v/>
      </c>
      <c r="J52" s="25">
        <f>IF(OR($C52="",$H52=""),"",IFERROR(INDEX(LAMINA_HORA!$W$5:$AP$114,MATCH($C52,LAMINA_HORA!$A$5:$A$114,0),MATCH($H52,LAMINA_HORA!$W$3:$AP$3,0)),"?"))</f>
        <v/>
      </c>
      <c r="K52" s="15" t="n">
        <v>159.45</v>
      </c>
      <c r="L52" s="16">
        <f>IF(OR($I52="",$I52="?",$K52=""),"",$I52*$K52*10)</f>
        <v/>
      </c>
      <c r="M52" s="17">
        <f>IFERROR(INDEX('PARAMETROS'!$B$16:$B$19,MATCH($E52,'PARAMETROS'!$A$16:$A$19,0)),"")</f>
        <v/>
      </c>
      <c r="N52" s="16">
        <f>IF(OR($L52="",$M52=""),"",$L52*$M52)</f>
        <v/>
      </c>
      <c r="O52" s="14">
        <f>IFERROR(INDEX(PIVOS!$I$5:$I$112,MATCH($B52&amp;"",PIVOS!$B$5:$B$112&amp;"",0)),"")</f>
        <v/>
      </c>
      <c r="P52" s="16">
        <f>IF(OR($O52="",$J52="",$J52="?"),"",$O52*$J52)</f>
        <v/>
      </c>
    </row>
    <row r="53">
      <c r="A53" s="24" t="n">
        <v>49</v>
      </c>
      <c r="B53" s="5" t="inlineStr">
        <is>
          <t>49</t>
        </is>
      </c>
      <c r="C53" s="7" t="inlineStr">
        <is>
          <t>P49</t>
        </is>
      </c>
      <c r="D53" s="5" t="inlineStr">
        <is>
          <t>Módulo 02</t>
        </is>
      </c>
      <c r="E53" s="5" t="inlineStr">
        <is>
          <t>KM1</t>
        </is>
      </c>
      <c r="F53" s="5" t="inlineStr">
        <is>
          <t>ALGODÃO</t>
        </is>
      </c>
      <c r="G53" s="6" t="inlineStr">
        <is>
          <t>FM 985 GLTP</t>
        </is>
      </c>
      <c r="H53" s="7" t="n"/>
      <c r="I53" s="25">
        <f>IF(OR($C53="",$H53=""),"",IFERROR(INDEX(LAMINA_HORA!$C$5:$V$114,MATCH($C53,LAMINA_HORA!$A$5:$A$114,0),MATCH($H53,LAMINA_HORA!$C$3:$V$3,0)),"?"))</f>
        <v/>
      </c>
      <c r="J53" s="25">
        <f>IF(OR($C53="",$H53=""),"",IFERROR(INDEX(LAMINA_HORA!$W$5:$AP$114,MATCH($C53,LAMINA_HORA!$A$5:$A$114,0),MATCH($H53,LAMINA_HORA!$W$3:$AP$3,0)),"?"))</f>
        <v/>
      </c>
      <c r="K53" s="15" t="n">
        <v>124.31</v>
      </c>
      <c r="L53" s="16">
        <f>IF(OR($I53="",$I53="?",$K53=""),"",$I53*$K53*10)</f>
        <v/>
      </c>
      <c r="M53" s="17">
        <f>IFERROR(INDEX('PARAMETROS'!$B$16:$B$19,MATCH($E53,'PARAMETROS'!$A$16:$A$19,0)),"")</f>
        <v/>
      </c>
      <c r="N53" s="16">
        <f>IF(OR($L53="",$M53=""),"",$L53*$M53)</f>
        <v/>
      </c>
      <c r="O53" s="14">
        <f>IFERROR(INDEX(PIVOS!$I$5:$I$112,MATCH($B53&amp;"",PIVOS!$B$5:$B$112&amp;"",0)),"")</f>
        <v/>
      </c>
      <c r="P53" s="16">
        <f>IF(OR($O53="",$J53="",$J53="?"),"",$O53*$J53)</f>
        <v/>
      </c>
    </row>
    <row r="54">
      <c r="A54" s="24" t="n">
        <v>50</v>
      </c>
      <c r="B54" s="5" t="inlineStr">
        <is>
          <t>52</t>
        </is>
      </c>
      <c r="C54" s="7" t="inlineStr">
        <is>
          <t>P52</t>
        </is>
      </c>
      <c r="D54" s="5" t="inlineStr">
        <is>
          <t>Módulo 02</t>
        </is>
      </c>
      <c r="E54" s="5" t="inlineStr">
        <is>
          <t>KM2</t>
        </is>
      </c>
      <c r="F54" s="5" t="inlineStr">
        <is>
          <t>SOJA</t>
        </is>
      </c>
      <c r="G54" s="6" t="inlineStr">
        <is>
          <t>OLIMPO 80I82</t>
        </is>
      </c>
      <c r="H54" s="7" t="n"/>
      <c r="I54" s="25">
        <f>IF(OR($C54="",$H54=""),"",IFERROR(INDEX(LAMINA_HORA!$C$5:$V$114,MATCH($C54,LAMINA_HORA!$A$5:$A$114,0),MATCH($H54,LAMINA_HORA!$C$3:$V$3,0)),"?"))</f>
        <v/>
      </c>
      <c r="J54" s="25">
        <f>IF(OR($C54="",$H54=""),"",IFERROR(INDEX(LAMINA_HORA!$W$5:$AP$114,MATCH($C54,LAMINA_HORA!$A$5:$A$114,0),MATCH($H54,LAMINA_HORA!$W$3:$AP$3,0)),"?"))</f>
        <v/>
      </c>
      <c r="K54" s="15" t="n">
        <v>159.45</v>
      </c>
      <c r="L54" s="16">
        <f>IF(OR($I54="",$I54="?",$K54=""),"",$I54*$K54*10)</f>
        <v/>
      </c>
      <c r="M54" s="17">
        <f>IFERROR(INDEX('PARAMETROS'!$B$16:$B$19,MATCH($E54,'PARAMETROS'!$A$16:$A$19,0)),"")</f>
        <v/>
      </c>
      <c r="N54" s="16">
        <f>IF(OR($L54="",$M54=""),"",$L54*$M54)</f>
        <v/>
      </c>
      <c r="O54" s="14">
        <f>IFERROR(INDEX(PIVOS!$I$5:$I$112,MATCH($B54&amp;"",PIVOS!$B$5:$B$112&amp;"",0)),"")</f>
        <v/>
      </c>
      <c r="P54" s="16">
        <f>IF(OR($O54="",$J54="",$J54="?"),"",$O54*$J54)</f>
        <v/>
      </c>
    </row>
    <row r="55">
      <c r="A55" s="24" t="n">
        <v>51</v>
      </c>
      <c r="B55" s="5" t="inlineStr">
        <is>
          <t>73</t>
        </is>
      </c>
      <c r="C55" s="7" t="inlineStr">
        <is>
          <t>P73</t>
        </is>
      </c>
      <c r="D55" s="5" t="inlineStr">
        <is>
          <t>Módulo 02</t>
        </is>
      </c>
      <c r="E55" s="5" t="inlineStr">
        <is>
          <t>KM2</t>
        </is>
      </c>
      <c r="F55" s="5" t="inlineStr">
        <is>
          <t>ALGODÃO</t>
        </is>
      </c>
      <c r="G55" s="6" t="inlineStr">
        <is>
          <t>FM 985 GLTP</t>
        </is>
      </c>
      <c r="H55" s="7" t="n"/>
      <c r="I55" s="25">
        <f>IF(OR($C55="",$H55=""),"",IFERROR(INDEX(LAMINA_HORA!$C$5:$V$114,MATCH($C55,LAMINA_HORA!$A$5:$A$114,0),MATCH($H55,LAMINA_HORA!$C$3:$V$3,0)),"?"))</f>
        <v/>
      </c>
      <c r="J55" s="25">
        <f>IF(OR($C55="",$H55=""),"",IFERROR(INDEX(LAMINA_HORA!$W$5:$AP$114,MATCH($C55,LAMINA_HORA!$A$5:$A$114,0),MATCH($H55,LAMINA_HORA!$W$3:$AP$3,0)),"?"))</f>
        <v/>
      </c>
      <c r="K55" s="15" t="n">
        <v>159.45</v>
      </c>
      <c r="L55" s="16">
        <f>IF(OR($I55="",$I55="?",$K55=""),"",$I55*$K55*10)</f>
        <v/>
      </c>
      <c r="M55" s="17">
        <f>IFERROR(INDEX('PARAMETROS'!$B$16:$B$19,MATCH($E55,'PARAMETROS'!$A$16:$A$19,0)),"")</f>
        <v/>
      </c>
      <c r="N55" s="16">
        <f>IF(OR($L55="",$M55=""),"",$L55*$M55)</f>
        <v/>
      </c>
      <c r="O55" s="14">
        <f>IFERROR(INDEX(PIVOS!$I$5:$I$112,MATCH($B55&amp;"",PIVOS!$B$5:$B$112&amp;"",0)),"")</f>
        <v/>
      </c>
      <c r="P55" s="16">
        <f>IF(OR($O55="",$J55="",$J55="?"),"",$O55*$J55)</f>
        <v/>
      </c>
    </row>
    <row r="56">
      <c r="A56" s="24" t="n">
        <v>52</v>
      </c>
      <c r="B56" s="5" t="inlineStr">
        <is>
          <t>74</t>
        </is>
      </c>
      <c r="C56" s="7" t="inlineStr">
        <is>
          <t>P74</t>
        </is>
      </c>
      <c r="D56" s="5" t="inlineStr">
        <is>
          <t>Módulo 02</t>
        </is>
      </c>
      <c r="E56" s="5" t="inlineStr">
        <is>
          <t>KM2</t>
        </is>
      </c>
      <c r="F56" s="5" t="inlineStr">
        <is>
          <t>SOJA</t>
        </is>
      </c>
      <c r="G56" s="6" t="inlineStr"/>
      <c r="H56" s="7" t="n"/>
      <c r="I56" s="25">
        <f>IF(OR($C56="",$H56=""),"",IFERROR(INDEX(LAMINA_HORA!$C$5:$V$114,MATCH($C56,LAMINA_HORA!$A$5:$A$114,0),MATCH($H56,LAMINA_HORA!$C$3:$V$3,0)),"?"))</f>
        <v/>
      </c>
      <c r="J56" s="25">
        <f>IF(OR($C56="",$H56=""),"",IFERROR(INDEX(LAMINA_HORA!$W$5:$AP$114,MATCH($C56,LAMINA_HORA!$A$5:$A$114,0),MATCH($H56,LAMINA_HORA!$W$3:$AP$3,0)),"?"))</f>
        <v/>
      </c>
      <c r="K56" s="15" t="n">
        <v>159.45</v>
      </c>
      <c r="L56" s="16">
        <f>IF(OR($I56="",$I56="?",$K56=""),"",$I56*$K56*10)</f>
        <v/>
      </c>
      <c r="M56" s="17">
        <f>IFERROR(INDEX('PARAMETROS'!$B$16:$B$19,MATCH($E56,'PARAMETROS'!$A$16:$A$19,0)),"")</f>
        <v/>
      </c>
      <c r="N56" s="16">
        <f>IF(OR($L56="",$M56=""),"",$L56*$M56)</f>
        <v/>
      </c>
      <c r="O56" s="14">
        <f>IFERROR(INDEX(PIVOS!$I$5:$I$112,MATCH($B56&amp;"",PIVOS!$B$5:$B$112&amp;"",0)),"")</f>
        <v/>
      </c>
      <c r="P56" s="16">
        <f>IF(OR($O56="",$J56="",$J56="?"),"",$O56*$J56)</f>
        <v/>
      </c>
    </row>
    <row r="57">
      <c r="A57" s="24" t="n">
        <v>53</v>
      </c>
      <c r="B57" s="5" t="inlineStr">
        <is>
          <t>35</t>
        </is>
      </c>
      <c r="C57" s="7" t="inlineStr">
        <is>
          <t>P35</t>
        </is>
      </c>
      <c r="D57" s="5" t="inlineStr">
        <is>
          <t>Módulo 02</t>
        </is>
      </c>
      <c r="E57" s="5" t="inlineStr">
        <is>
          <t>KM1</t>
        </is>
      </c>
      <c r="F57" s="5" t="inlineStr">
        <is>
          <t>ALGODÃO</t>
        </is>
      </c>
      <c r="G57" s="6" t="inlineStr">
        <is>
          <t>DP 1949 B3RF</t>
        </is>
      </c>
      <c r="H57" s="7" t="n"/>
      <c r="I57" s="25">
        <f>IF(OR($C57="",$H57=""),"",IFERROR(INDEX(LAMINA_HORA!$C$5:$V$114,MATCH($C57,LAMINA_HORA!$A$5:$A$114,0),MATCH($H57,LAMINA_HORA!$C$3:$V$3,0)),"?"))</f>
        <v/>
      </c>
      <c r="J57" s="25">
        <f>IF(OR($C57="",$H57=""),"",IFERROR(INDEX(LAMINA_HORA!$W$5:$AP$114,MATCH($C57,LAMINA_HORA!$A$5:$A$114,0),MATCH($H57,LAMINA_HORA!$W$3:$AP$3,0)),"?"))</f>
        <v/>
      </c>
      <c r="K57" s="15" t="n">
        <v>150.54</v>
      </c>
      <c r="L57" s="16">
        <f>IF(OR($I57="",$I57="?",$K57=""),"",$I57*$K57*10)</f>
        <v/>
      </c>
      <c r="M57" s="17">
        <f>IFERROR(INDEX('PARAMETROS'!$B$16:$B$19,MATCH($E57,'PARAMETROS'!$A$16:$A$19,0)),"")</f>
        <v/>
      </c>
      <c r="N57" s="16">
        <f>IF(OR($L57="",$M57=""),"",$L57*$M57)</f>
        <v/>
      </c>
      <c r="O57" s="14">
        <f>IFERROR(INDEX(PIVOS!$I$5:$I$112,MATCH($B57&amp;"",PIVOS!$B$5:$B$112&amp;"",0)),"")</f>
        <v/>
      </c>
      <c r="P57" s="16">
        <f>IF(OR($O57="",$J57="",$J57="?"),"",$O57*$J57)</f>
        <v/>
      </c>
    </row>
    <row r="58">
      <c r="A58" s="24" t="n">
        <v>54</v>
      </c>
      <c r="B58" s="5" t="inlineStr">
        <is>
          <t>37</t>
        </is>
      </c>
      <c r="C58" s="7" t="inlineStr">
        <is>
          <t>P37</t>
        </is>
      </c>
      <c r="D58" s="5" t="inlineStr">
        <is>
          <t>Módulo 02</t>
        </is>
      </c>
      <c r="E58" s="5" t="inlineStr">
        <is>
          <t>KM1</t>
        </is>
      </c>
      <c r="F58" s="5" t="inlineStr">
        <is>
          <t>TABACO</t>
        </is>
      </c>
      <c r="G58" s="6" t="inlineStr"/>
      <c r="H58" s="7" t="n"/>
      <c r="I58" s="25">
        <f>IF(OR($C58="",$H58=""),"",IFERROR(INDEX(LAMINA_HORA!$C$5:$V$114,MATCH($C58,LAMINA_HORA!$A$5:$A$114,0),MATCH($H58,LAMINA_HORA!$C$3:$V$3,0)),"?"))</f>
        <v/>
      </c>
      <c r="J58" s="25">
        <f>IF(OR($C58="",$H58=""),"",IFERROR(INDEX(LAMINA_HORA!$W$5:$AP$114,MATCH($C58,LAMINA_HORA!$A$5:$A$114,0),MATCH($H58,LAMINA_HORA!$W$3:$AP$3,0)),"?"))</f>
        <v/>
      </c>
      <c r="K58" s="15" t="n">
        <v>72</v>
      </c>
      <c r="L58" s="16">
        <f>IF(OR($I58="",$I58="?",$K58=""),"",$I58*$K58*10)</f>
        <v/>
      </c>
      <c r="M58" s="17">
        <f>IFERROR(INDEX('PARAMETROS'!$B$16:$B$19,MATCH($E58,'PARAMETROS'!$A$16:$A$19,0)),"")</f>
        <v/>
      </c>
      <c r="N58" s="16">
        <f>IF(OR($L58="",$M58=""),"",$L58*$M58)</f>
        <v/>
      </c>
      <c r="O58" s="14">
        <f>IFERROR(INDEX(PIVOS!$I$5:$I$112,MATCH($B58&amp;"",PIVOS!$B$5:$B$112&amp;"",0)),"")</f>
        <v/>
      </c>
      <c r="P58" s="16">
        <f>IF(OR($O58="",$J58="",$J58="?"),"",$O58*$J58)</f>
        <v/>
      </c>
    </row>
    <row r="59">
      <c r="A59" s="24" t="n">
        <v>55</v>
      </c>
      <c r="B59" s="5" t="inlineStr">
        <is>
          <t>38</t>
        </is>
      </c>
      <c r="C59" s="7" t="inlineStr">
        <is>
          <t>P38</t>
        </is>
      </c>
      <c r="D59" s="5" t="inlineStr">
        <is>
          <t>Módulo 02</t>
        </is>
      </c>
      <c r="E59" s="5" t="inlineStr">
        <is>
          <t>KM1</t>
        </is>
      </c>
      <c r="F59" s="5" t="inlineStr">
        <is>
          <t>SOJA</t>
        </is>
      </c>
      <c r="G59" s="6" t="inlineStr">
        <is>
          <t>TMG22X77</t>
        </is>
      </c>
      <c r="H59" s="7" t="n"/>
      <c r="I59" s="25">
        <f>IF(OR($C59="",$H59=""),"",IFERROR(INDEX(LAMINA_HORA!$C$5:$V$114,MATCH($C59,LAMINA_HORA!$A$5:$A$114,0),MATCH($H59,LAMINA_HORA!$C$3:$V$3,0)),"?"))</f>
        <v/>
      </c>
      <c r="J59" s="25">
        <f>IF(OR($C59="",$H59=""),"",IFERROR(INDEX(LAMINA_HORA!$W$5:$AP$114,MATCH($C59,LAMINA_HORA!$A$5:$A$114,0),MATCH($H59,LAMINA_HORA!$W$3:$AP$3,0)),"?"))</f>
        <v/>
      </c>
      <c r="K59" s="15" t="n">
        <v>141</v>
      </c>
      <c r="L59" s="16">
        <f>IF(OR($I59="",$I59="?",$K59=""),"",$I59*$K59*10)</f>
        <v/>
      </c>
      <c r="M59" s="17">
        <f>IFERROR(INDEX('PARAMETROS'!$B$16:$B$19,MATCH($E59,'PARAMETROS'!$A$16:$A$19,0)),"")</f>
        <v/>
      </c>
      <c r="N59" s="16">
        <f>IF(OR($L59="",$M59=""),"",$L59*$M59)</f>
        <v/>
      </c>
      <c r="O59" s="14">
        <f>IFERROR(INDEX(PIVOS!$I$5:$I$112,MATCH($B59&amp;"",PIVOS!$B$5:$B$112&amp;"",0)),"")</f>
        <v/>
      </c>
      <c r="P59" s="16">
        <f>IF(OR($O59="",$J59="",$J59="?"),"",$O59*$J59)</f>
        <v/>
      </c>
    </row>
    <row r="60">
      <c r="A60" s="24" t="n">
        <v>56</v>
      </c>
      <c r="B60" s="5" t="inlineStr">
        <is>
          <t>41</t>
        </is>
      </c>
      <c r="C60" s="7" t="inlineStr">
        <is>
          <t>P41</t>
        </is>
      </c>
      <c r="D60" s="5" t="inlineStr">
        <is>
          <t>Módulo 02</t>
        </is>
      </c>
      <c r="E60" s="5" t="inlineStr">
        <is>
          <t>KM2</t>
        </is>
      </c>
      <c r="F60" s="5" t="inlineStr">
        <is>
          <t>ALGODÃO</t>
        </is>
      </c>
      <c r="G60" s="6" t="inlineStr">
        <is>
          <t>FM 911 GLTP</t>
        </is>
      </c>
      <c r="H60" s="7" t="n"/>
      <c r="I60" s="25">
        <f>IF(OR($C60="",$H60=""),"",IFERROR(INDEX(LAMINA_HORA!$C$5:$V$114,MATCH($C60,LAMINA_HORA!$A$5:$A$114,0),MATCH($H60,LAMINA_HORA!$C$3:$V$3,0)),"?"))</f>
        <v/>
      </c>
      <c r="J60" s="25">
        <f>IF(OR($C60="",$H60=""),"",IFERROR(INDEX(LAMINA_HORA!$W$5:$AP$114,MATCH($C60,LAMINA_HORA!$A$5:$A$114,0),MATCH($H60,LAMINA_HORA!$W$3:$AP$3,0)),"?"))</f>
        <v/>
      </c>
      <c r="K60" s="15" t="n">
        <v>138.55</v>
      </c>
      <c r="L60" s="16">
        <f>IF(OR($I60="",$I60="?",$K60=""),"",$I60*$K60*10)</f>
        <v/>
      </c>
      <c r="M60" s="17">
        <f>IFERROR(INDEX('PARAMETROS'!$B$16:$B$19,MATCH($E60,'PARAMETROS'!$A$16:$A$19,0)),"")</f>
        <v/>
      </c>
      <c r="N60" s="16">
        <f>IF(OR($L60="",$M60=""),"",$L60*$M60)</f>
        <v/>
      </c>
      <c r="O60" s="14">
        <f>IFERROR(INDEX(PIVOS!$I$5:$I$112,MATCH($B60&amp;"",PIVOS!$B$5:$B$112&amp;"",0)),"")</f>
        <v/>
      </c>
      <c r="P60" s="16">
        <f>IF(OR($O60="",$J60="",$J60="?"),"",$O60*$J60)</f>
        <v/>
      </c>
    </row>
    <row r="61">
      <c r="A61" s="24" t="n">
        <v>57</v>
      </c>
      <c r="B61" s="5" t="inlineStr">
        <is>
          <t>42</t>
        </is>
      </c>
      <c r="C61" s="7" t="inlineStr">
        <is>
          <t>P42</t>
        </is>
      </c>
      <c r="D61" s="5" t="inlineStr">
        <is>
          <t>Módulo 02</t>
        </is>
      </c>
      <c r="E61" s="5" t="inlineStr">
        <is>
          <t>KM2</t>
        </is>
      </c>
      <c r="F61" s="5" t="inlineStr">
        <is>
          <t>ALGODÃO</t>
        </is>
      </c>
      <c r="G61" s="6" t="inlineStr">
        <is>
          <t>DP 2111 B3RF</t>
        </is>
      </c>
      <c r="H61" s="7" t="n"/>
      <c r="I61" s="25">
        <f>IF(OR($C61="",$H61=""),"",IFERROR(INDEX(LAMINA_HORA!$C$5:$V$114,MATCH($C61,LAMINA_HORA!$A$5:$A$114,0),MATCH($H61,LAMINA_HORA!$C$3:$V$3,0)),"?"))</f>
        <v/>
      </c>
      <c r="J61" s="25">
        <f>IF(OR($C61="",$H61=""),"",IFERROR(INDEX(LAMINA_HORA!$W$5:$AP$114,MATCH($C61,LAMINA_HORA!$A$5:$A$114,0),MATCH($H61,LAMINA_HORA!$W$3:$AP$3,0)),"?"))</f>
        <v/>
      </c>
      <c r="K61" s="15" t="n">
        <v>100.65</v>
      </c>
      <c r="L61" s="16">
        <f>IF(OR($I61="",$I61="?",$K61=""),"",$I61*$K61*10)</f>
        <v/>
      </c>
      <c r="M61" s="17">
        <f>IFERROR(INDEX('PARAMETROS'!$B$16:$B$19,MATCH($E61,'PARAMETROS'!$A$16:$A$19,0)),"")</f>
        <v/>
      </c>
      <c r="N61" s="16">
        <f>IF(OR($L61="",$M61=""),"",$L61*$M61)</f>
        <v/>
      </c>
      <c r="O61" s="14">
        <f>IFERROR(INDEX(PIVOS!$I$5:$I$112,MATCH($B61&amp;"",PIVOS!$B$5:$B$112&amp;"",0)),"")</f>
        <v/>
      </c>
      <c r="P61" s="16">
        <f>IF(OR($O61="",$J61="",$J61="?"),"",$O61*$J61)</f>
        <v/>
      </c>
    </row>
    <row r="62">
      <c r="A62" s="24" t="n">
        <v>58</v>
      </c>
      <c r="B62" s="5" t="inlineStr">
        <is>
          <t>43</t>
        </is>
      </c>
      <c r="C62" s="7" t="inlineStr">
        <is>
          <t>P43</t>
        </is>
      </c>
      <c r="D62" s="5" t="inlineStr">
        <is>
          <t>Módulo 02</t>
        </is>
      </c>
      <c r="E62" s="5" t="inlineStr">
        <is>
          <t>KM2</t>
        </is>
      </c>
      <c r="F62" s="5" t="inlineStr">
        <is>
          <t>ALGODÃO</t>
        </is>
      </c>
      <c r="G62" s="6" t="inlineStr">
        <is>
          <t>FM 985 GLTP</t>
        </is>
      </c>
      <c r="H62" s="7" t="n"/>
      <c r="I62" s="25">
        <f>IF(OR($C62="",$H62=""),"",IFERROR(INDEX(LAMINA_HORA!$C$5:$V$114,MATCH($C62,LAMINA_HORA!$A$5:$A$114,0),MATCH($H62,LAMINA_HORA!$C$3:$V$3,0)),"?"))</f>
        <v/>
      </c>
      <c r="J62" s="25">
        <f>IF(OR($C62="",$H62=""),"",IFERROR(INDEX(LAMINA_HORA!$W$5:$AP$114,MATCH($C62,LAMINA_HORA!$A$5:$A$114,0),MATCH($H62,LAMINA_HORA!$W$3:$AP$3,0)),"?"))</f>
        <v/>
      </c>
      <c r="K62" s="15" t="n">
        <v>138.55</v>
      </c>
      <c r="L62" s="16">
        <f>IF(OR($I62="",$I62="?",$K62=""),"",$I62*$K62*10)</f>
        <v/>
      </c>
      <c r="M62" s="17">
        <f>IFERROR(INDEX('PARAMETROS'!$B$16:$B$19,MATCH($E62,'PARAMETROS'!$A$16:$A$19,0)),"")</f>
        <v/>
      </c>
      <c r="N62" s="16">
        <f>IF(OR($L62="",$M62=""),"",$L62*$M62)</f>
        <v/>
      </c>
      <c r="O62" s="14">
        <f>IFERROR(INDEX(PIVOS!$I$5:$I$112,MATCH($B62&amp;"",PIVOS!$B$5:$B$112&amp;"",0)),"")</f>
        <v/>
      </c>
      <c r="P62" s="16">
        <f>IF(OR($O62="",$J62="",$J62="?"),"",$O62*$J62)</f>
        <v/>
      </c>
    </row>
    <row r="63">
      <c r="A63" s="24" t="n">
        <v>59</v>
      </c>
      <c r="B63" s="5" t="inlineStr">
        <is>
          <t>53</t>
        </is>
      </c>
      <c r="C63" s="7" t="inlineStr">
        <is>
          <t>P53</t>
        </is>
      </c>
      <c r="D63" s="5" t="inlineStr">
        <is>
          <t>Módulo 03</t>
        </is>
      </c>
      <c r="E63" s="5" t="inlineStr">
        <is>
          <t>KM2</t>
        </is>
      </c>
      <c r="F63" s="5" t="inlineStr">
        <is>
          <t>ALGODÃO</t>
        </is>
      </c>
      <c r="G63" s="6" t="inlineStr">
        <is>
          <t>FM 985 GLTP</t>
        </is>
      </c>
      <c r="H63" s="7" t="n"/>
      <c r="I63" s="25">
        <f>IF(OR($C63="",$H63=""),"",IFERROR(INDEX(LAMINA_HORA!$C$5:$V$114,MATCH($C63,LAMINA_HORA!$A$5:$A$114,0),MATCH($H63,LAMINA_HORA!$C$3:$V$3,0)),"?"))</f>
        <v/>
      </c>
      <c r="J63" s="25">
        <f>IF(OR($C63="",$H63=""),"",IFERROR(INDEX(LAMINA_HORA!$W$5:$AP$114,MATCH($C63,LAMINA_HORA!$A$5:$A$114,0),MATCH($H63,LAMINA_HORA!$W$3:$AP$3,0)),"?"))</f>
        <v/>
      </c>
      <c r="K63" s="15" t="n">
        <v>74.68000000000001</v>
      </c>
      <c r="L63" s="16">
        <f>IF(OR($I63="",$I63="?",$K63=""),"",$I63*$K63*10)</f>
        <v/>
      </c>
      <c r="M63" s="17">
        <f>IFERROR(INDEX('PARAMETROS'!$B$16:$B$19,MATCH($E63,'PARAMETROS'!$A$16:$A$19,0)),"")</f>
        <v/>
      </c>
      <c r="N63" s="16">
        <f>IF(OR($L63="",$M63=""),"",$L63*$M63)</f>
        <v/>
      </c>
      <c r="O63" s="14">
        <f>IFERROR(INDEX(PIVOS!$I$5:$I$112,MATCH($B63&amp;"",PIVOS!$B$5:$B$112&amp;"",0)),"")</f>
        <v/>
      </c>
      <c r="P63" s="16">
        <f>IF(OR($O63="",$J63="",$J63="?"),"",$O63*$J63)</f>
        <v/>
      </c>
    </row>
    <row r="64">
      <c r="A64" s="24" t="n">
        <v>60</v>
      </c>
      <c r="B64" s="5" t="inlineStr">
        <is>
          <t>54</t>
        </is>
      </c>
      <c r="C64" s="7" t="inlineStr">
        <is>
          <t>P54</t>
        </is>
      </c>
      <c r="D64" s="5" t="inlineStr">
        <is>
          <t>Módulo 03</t>
        </is>
      </c>
      <c r="E64" s="5" t="inlineStr">
        <is>
          <t>KM2</t>
        </is>
      </c>
      <c r="F64" s="5" t="inlineStr">
        <is>
          <t>ALGODÃO</t>
        </is>
      </c>
      <c r="G64" s="6" t="inlineStr">
        <is>
          <t>FM 985 GLTP</t>
        </is>
      </c>
      <c r="H64" s="7" t="n"/>
      <c r="I64" s="25">
        <f>IF(OR($C64="",$H64=""),"",IFERROR(INDEX(LAMINA_HORA!$C$5:$V$114,MATCH($C64,LAMINA_HORA!$A$5:$A$114,0),MATCH($H64,LAMINA_HORA!$C$3:$V$3,0)),"?"))</f>
        <v/>
      </c>
      <c r="J64" s="25">
        <f>IF(OR($C64="",$H64=""),"",IFERROR(INDEX(LAMINA_HORA!$W$5:$AP$114,MATCH($C64,LAMINA_HORA!$A$5:$A$114,0),MATCH($H64,LAMINA_HORA!$W$3:$AP$3,0)),"?"))</f>
        <v/>
      </c>
      <c r="K64" s="15" t="n">
        <v>121.22</v>
      </c>
      <c r="L64" s="16">
        <f>IF(OR($I64="",$I64="?",$K64=""),"",$I64*$K64*10)</f>
        <v/>
      </c>
      <c r="M64" s="17">
        <f>IFERROR(INDEX('PARAMETROS'!$B$16:$B$19,MATCH($E64,'PARAMETROS'!$A$16:$A$19,0)),"")</f>
        <v/>
      </c>
      <c r="N64" s="16">
        <f>IF(OR($L64="",$M64=""),"",$L64*$M64)</f>
        <v/>
      </c>
      <c r="O64" s="14">
        <f>IFERROR(INDEX(PIVOS!$I$5:$I$112,MATCH($B64&amp;"",PIVOS!$B$5:$B$112&amp;"",0)),"")</f>
        <v/>
      </c>
      <c r="P64" s="16">
        <f>IF(OR($O64="",$J64="",$J64="?"),"",$O64*$J64)</f>
        <v/>
      </c>
    </row>
    <row r="65">
      <c r="A65" s="24" t="n">
        <v>61</v>
      </c>
      <c r="B65" s="5" t="inlineStr">
        <is>
          <t>55</t>
        </is>
      </c>
      <c r="C65" s="7" t="inlineStr">
        <is>
          <t>P55</t>
        </is>
      </c>
      <c r="D65" s="5" t="inlineStr">
        <is>
          <t>Módulo 03</t>
        </is>
      </c>
      <c r="E65" s="5" t="inlineStr">
        <is>
          <t>KM2</t>
        </is>
      </c>
      <c r="F65" s="5" t="inlineStr">
        <is>
          <t>ALGODÃO</t>
        </is>
      </c>
      <c r="G65" s="6" t="inlineStr">
        <is>
          <t>DP 1949 B3RF</t>
        </is>
      </c>
      <c r="H65" s="7" t="n"/>
      <c r="I65" s="25">
        <f>IF(OR($C65="",$H65=""),"",IFERROR(INDEX(LAMINA_HORA!$C$5:$V$114,MATCH($C65,LAMINA_HORA!$A$5:$A$114,0),MATCH($H65,LAMINA_HORA!$C$3:$V$3,0)),"?"))</f>
        <v/>
      </c>
      <c r="J65" s="25">
        <f>IF(OR($C65="",$H65=""),"",IFERROR(INDEX(LAMINA_HORA!$W$5:$AP$114,MATCH($C65,LAMINA_HORA!$A$5:$A$114,0),MATCH($H65,LAMINA_HORA!$W$3:$AP$3,0)),"?"))</f>
        <v/>
      </c>
      <c r="K65" s="15" t="n">
        <v>151.33</v>
      </c>
      <c r="L65" s="16">
        <f>IF(OR($I65="",$I65="?",$K65=""),"",$I65*$K65*10)</f>
        <v/>
      </c>
      <c r="M65" s="17">
        <f>IFERROR(INDEX('PARAMETROS'!$B$16:$B$19,MATCH($E65,'PARAMETROS'!$A$16:$A$19,0)),"")</f>
        <v/>
      </c>
      <c r="N65" s="16">
        <f>IF(OR($L65="",$M65=""),"",$L65*$M65)</f>
        <v/>
      </c>
      <c r="O65" s="14">
        <f>IFERROR(INDEX(PIVOS!$I$5:$I$112,MATCH($B65&amp;"",PIVOS!$B$5:$B$112&amp;"",0)),"")</f>
        <v/>
      </c>
      <c r="P65" s="16">
        <f>IF(OR($O65="",$J65="",$J65="?"),"",$O65*$J65)</f>
        <v/>
      </c>
    </row>
    <row r="66">
      <c r="A66" s="24" t="n">
        <v>62</v>
      </c>
      <c r="B66" s="5" t="inlineStr">
        <is>
          <t>50</t>
        </is>
      </c>
      <c r="C66" s="7" t="inlineStr">
        <is>
          <t>P50</t>
        </is>
      </c>
      <c r="D66" s="5" t="inlineStr">
        <is>
          <t>Módulo 03</t>
        </is>
      </c>
      <c r="E66" s="5" t="inlineStr">
        <is>
          <t>KM2</t>
        </is>
      </c>
      <c r="F66" s="5" t="inlineStr">
        <is>
          <t>SOJA</t>
        </is>
      </c>
      <c r="G66" s="6" t="inlineStr">
        <is>
          <t>OLIMPO 80I82</t>
        </is>
      </c>
      <c r="H66" s="7" t="n"/>
      <c r="I66" s="25">
        <f>IF(OR($C66="",$H66=""),"",IFERROR(INDEX(LAMINA_HORA!$C$5:$V$114,MATCH($C66,LAMINA_HORA!$A$5:$A$114,0),MATCH($H66,LAMINA_HORA!$C$3:$V$3,0)),"?"))</f>
        <v/>
      </c>
      <c r="J66" s="25">
        <f>IF(OR($C66="",$H66=""),"",IFERROR(INDEX(LAMINA_HORA!$W$5:$AP$114,MATCH($C66,LAMINA_HORA!$A$5:$A$114,0),MATCH($H66,LAMINA_HORA!$W$3:$AP$3,0)),"?"))</f>
        <v/>
      </c>
      <c r="K66" s="15" t="n">
        <v>120.31</v>
      </c>
      <c r="L66" s="16">
        <f>IF(OR($I66="",$I66="?",$K66=""),"",$I66*$K66*10)</f>
        <v/>
      </c>
      <c r="M66" s="17">
        <f>IFERROR(INDEX('PARAMETROS'!$B$16:$B$19,MATCH($E66,'PARAMETROS'!$A$16:$A$19,0)),"")</f>
        <v/>
      </c>
      <c r="N66" s="16">
        <f>IF(OR($L66="",$M66=""),"",$L66*$M66)</f>
        <v/>
      </c>
      <c r="O66" s="14">
        <f>IFERROR(INDEX(PIVOS!$I$5:$I$112,MATCH($B66&amp;"",PIVOS!$B$5:$B$112&amp;"",0)),"")</f>
        <v/>
      </c>
      <c r="P66" s="16">
        <f>IF(OR($O66="",$J66="",$J66="?"),"",$O66*$J66)</f>
        <v/>
      </c>
    </row>
    <row r="67">
      <c r="A67" s="24" t="n">
        <v>63</v>
      </c>
      <c r="B67" s="5" t="inlineStr">
        <is>
          <t>51</t>
        </is>
      </c>
      <c r="C67" s="7" t="inlineStr">
        <is>
          <t>P51</t>
        </is>
      </c>
      <c r="D67" s="5" t="inlineStr">
        <is>
          <t>Módulo 03</t>
        </is>
      </c>
      <c r="E67" s="5" t="inlineStr">
        <is>
          <t>KM2</t>
        </is>
      </c>
      <c r="F67" s="5" t="inlineStr">
        <is>
          <t>ALGODÃO</t>
        </is>
      </c>
      <c r="G67" s="6" t="inlineStr">
        <is>
          <t>DP 2104 B3XF</t>
        </is>
      </c>
      <c r="H67" s="7" t="n"/>
      <c r="I67" s="25">
        <f>IF(OR($C67="",$H67=""),"",IFERROR(INDEX(LAMINA_HORA!$C$5:$V$114,MATCH($C67,LAMINA_HORA!$A$5:$A$114,0),MATCH($H67,LAMINA_HORA!$C$3:$V$3,0)),"?"))</f>
        <v/>
      </c>
      <c r="J67" s="25">
        <f>IF(OR($C67="",$H67=""),"",IFERROR(INDEX(LAMINA_HORA!$W$5:$AP$114,MATCH($C67,LAMINA_HORA!$A$5:$A$114,0),MATCH($H67,LAMINA_HORA!$W$3:$AP$3,0)),"?"))</f>
        <v/>
      </c>
      <c r="K67" s="15" t="n">
        <v>119.34</v>
      </c>
      <c r="L67" s="16">
        <f>IF(OR($I67="",$I67="?",$K67=""),"",$I67*$K67*10)</f>
        <v/>
      </c>
      <c r="M67" s="17">
        <f>IFERROR(INDEX('PARAMETROS'!$B$16:$B$19,MATCH($E67,'PARAMETROS'!$A$16:$A$19,0)),"")</f>
        <v/>
      </c>
      <c r="N67" s="16">
        <f>IF(OR($L67="",$M67=""),"",$L67*$M67)</f>
        <v/>
      </c>
      <c r="O67" s="14">
        <f>IFERROR(INDEX(PIVOS!$I$5:$I$112,MATCH($B67&amp;"",PIVOS!$B$5:$B$112&amp;"",0)),"")</f>
        <v/>
      </c>
      <c r="P67" s="16">
        <f>IF(OR($O67="",$J67="",$J67="?"),"",$O67*$J67)</f>
        <v/>
      </c>
    </row>
    <row r="68">
      <c r="A68" s="24" t="n">
        <v>64</v>
      </c>
      <c r="B68" s="5" t="inlineStr">
        <is>
          <t>56</t>
        </is>
      </c>
      <c r="C68" s="7" t="inlineStr">
        <is>
          <t>P56</t>
        </is>
      </c>
      <c r="D68" s="5" t="inlineStr">
        <is>
          <t>Módulo 03</t>
        </is>
      </c>
      <c r="E68" s="5" t="inlineStr">
        <is>
          <t>KM2</t>
        </is>
      </c>
      <c r="F68" s="5" t="inlineStr">
        <is>
          <t>ALGODÃO</t>
        </is>
      </c>
      <c r="G68" s="6" t="inlineStr">
        <is>
          <t>FM 911 GLTP</t>
        </is>
      </c>
      <c r="H68" s="7" t="n"/>
      <c r="I68" s="25">
        <f>IF(OR($C68="",$H68=""),"",IFERROR(INDEX(LAMINA_HORA!$C$5:$V$114,MATCH($C68,LAMINA_HORA!$A$5:$A$114,0),MATCH($H68,LAMINA_HORA!$C$3:$V$3,0)),"?"))</f>
        <v/>
      </c>
      <c r="J68" s="25">
        <f>IF(OR($C68="",$H68=""),"",IFERROR(INDEX(LAMINA_HORA!$W$5:$AP$114,MATCH($C68,LAMINA_HORA!$A$5:$A$114,0),MATCH($H68,LAMINA_HORA!$W$3:$AP$3,0)),"?"))</f>
        <v/>
      </c>
      <c r="K68" s="15" t="n">
        <v>151.2</v>
      </c>
      <c r="L68" s="16">
        <f>IF(OR($I68="",$I68="?",$K68=""),"",$I68*$K68*10)</f>
        <v/>
      </c>
      <c r="M68" s="17">
        <f>IFERROR(INDEX('PARAMETROS'!$B$16:$B$19,MATCH($E68,'PARAMETROS'!$A$16:$A$19,0)),"")</f>
        <v/>
      </c>
      <c r="N68" s="16">
        <f>IF(OR($L68="",$M68=""),"",$L68*$M68)</f>
        <v/>
      </c>
      <c r="O68" s="14">
        <f>IFERROR(INDEX(PIVOS!$I$5:$I$112,MATCH($B68&amp;"",PIVOS!$B$5:$B$112&amp;"",0)),"")</f>
        <v/>
      </c>
      <c r="P68" s="16">
        <f>IF(OR($O68="",$J68="",$J68="?"),"",$O68*$J68)</f>
        <v/>
      </c>
    </row>
    <row r="69">
      <c r="A69" s="24" t="n">
        <v>65</v>
      </c>
      <c r="B69" s="5" t="inlineStr">
        <is>
          <t>57</t>
        </is>
      </c>
      <c r="C69" s="7" t="inlineStr">
        <is>
          <t>P57</t>
        </is>
      </c>
      <c r="D69" s="5" t="inlineStr">
        <is>
          <t>Módulo 03</t>
        </is>
      </c>
      <c r="E69" s="5" t="inlineStr">
        <is>
          <t>KM2</t>
        </is>
      </c>
      <c r="F69" s="5" t="inlineStr">
        <is>
          <t>ALGODÃO</t>
        </is>
      </c>
      <c r="G69" s="6" t="inlineStr">
        <is>
          <t>FM 911 GLTP</t>
        </is>
      </c>
      <c r="H69" s="7" t="n"/>
      <c r="I69" s="25">
        <f>IF(OR($C69="",$H69=""),"",IFERROR(INDEX(LAMINA_HORA!$C$5:$V$114,MATCH($C69,LAMINA_HORA!$A$5:$A$114,0),MATCH($H69,LAMINA_HORA!$C$3:$V$3,0)),"?"))</f>
        <v/>
      </c>
      <c r="J69" s="25">
        <f>IF(OR($C69="",$H69=""),"",IFERROR(INDEX(LAMINA_HORA!$W$5:$AP$114,MATCH($C69,LAMINA_HORA!$A$5:$A$114,0),MATCH($H69,LAMINA_HORA!$W$3:$AP$3,0)),"?"))</f>
        <v/>
      </c>
      <c r="K69" s="15" t="n">
        <v>150</v>
      </c>
      <c r="L69" s="16">
        <f>IF(OR($I69="",$I69="?",$K69=""),"",$I69*$K69*10)</f>
        <v/>
      </c>
      <c r="M69" s="17">
        <f>IFERROR(INDEX('PARAMETROS'!$B$16:$B$19,MATCH($E69,'PARAMETROS'!$A$16:$A$19,0)),"")</f>
        <v/>
      </c>
      <c r="N69" s="16">
        <f>IF(OR($L69="",$M69=""),"",$L69*$M69)</f>
        <v/>
      </c>
      <c r="O69" s="14">
        <f>IFERROR(INDEX(PIVOS!$I$5:$I$112,MATCH($B69&amp;"",PIVOS!$B$5:$B$112&amp;"",0)),"")</f>
        <v/>
      </c>
      <c r="P69" s="16">
        <f>IF(OR($O69="",$J69="",$J69="?"),"",$O69*$J69)</f>
        <v/>
      </c>
    </row>
    <row r="70">
      <c r="A70" s="24" t="n">
        <v>66</v>
      </c>
      <c r="B70" s="5" t="inlineStr">
        <is>
          <t>58</t>
        </is>
      </c>
      <c r="C70" s="7" t="inlineStr">
        <is>
          <t>P58</t>
        </is>
      </c>
      <c r="D70" s="5" t="inlineStr">
        <is>
          <t>Módulo 03</t>
        </is>
      </c>
      <c r="E70" s="5" t="inlineStr">
        <is>
          <t>KM2</t>
        </is>
      </c>
      <c r="F70" s="5" t="inlineStr">
        <is>
          <t>ALGODÃO</t>
        </is>
      </c>
      <c r="G70" s="6" t="inlineStr">
        <is>
          <t>DP 2111 B3RF</t>
        </is>
      </c>
      <c r="H70" s="7" t="n"/>
      <c r="I70" s="25">
        <f>IF(OR($C70="",$H70=""),"",IFERROR(INDEX(LAMINA_HORA!$C$5:$V$114,MATCH($C70,LAMINA_HORA!$A$5:$A$114,0),MATCH($H70,LAMINA_HORA!$C$3:$V$3,0)),"?"))</f>
        <v/>
      </c>
      <c r="J70" s="25">
        <f>IF(OR($C70="",$H70=""),"",IFERROR(INDEX(LAMINA_HORA!$W$5:$AP$114,MATCH($C70,LAMINA_HORA!$A$5:$A$114,0),MATCH($H70,LAMINA_HORA!$W$3:$AP$3,0)),"?"))</f>
        <v/>
      </c>
      <c r="K70" s="15" t="n">
        <v>150</v>
      </c>
      <c r="L70" s="16">
        <f>IF(OR($I70="",$I70="?",$K70=""),"",$I70*$K70*10)</f>
        <v/>
      </c>
      <c r="M70" s="17">
        <f>IFERROR(INDEX('PARAMETROS'!$B$16:$B$19,MATCH($E70,'PARAMETROS'!$A$16:$A$19,0)),"")</f>
        <v/>
      </c>
      <c r="N70" s="16">
        <f>IF(OR($L70="",$M70=""),"",$L70*$M70)</f>
        <v/>
      </c>
      <c r="O70" s="14">
        <f>IFERROR(INDEX(PIVOS!$I$5:$I$112,MATCH($B70&amp;"",PIVOS!$B$5:$B$112&amp;"",0)),"")</f>
        <v/>
      </c>
      <c r="P70" s="16">
        <f>IF(OR($O70="",$J70="",$J70="?"),"",$O70*$J70)</f>
        <v/>
      </c>
    </row>
    <row r="71">
      <c r="A71" s="24" t="n">
        <v>67</v>
      </c>
      <c r="B71" s="5" t="inlineStr">
        <is>
          <t>59</t>
        </is>
      </c>
      <c r="C71" s="7" t="inlineStr">
        <is>
          <t>P59</t>
        </is>
      </c>
      <c r="D71" s="5" t="inlineStr">
        <is>
          <t>Módulo 03</t>
        </is>
      </c>
      <c r="E71" s="5" t="inlineStr">
        <is>
          <t>KM2</t>
        </is>
      </c>
      <c r="F71" s="5" t="inlineStr">
        <is>
          <t>ALGODÃO</t>
        </is>
      </c>
      <c r="G71" s="6" t="inlineStr">
        <is>
          <t>FM 911 GLTP</t>
        </is>
      </c>
      <c r="H71" s="7" t="n"/>
      <c r="I71" s="25">
        <f>IF(OR($C71="",$H71=""),"",IFERROR(INDEX(LAMINA_HORA!$C$5:$V$114,MATCH($C71,LAMINA_HORA!$A$5:$A$114,0),MATCH($H71,LAMINA_HORA!$C$3:$V$3,0)),"?"))</f>
        <v/>
      </c>
      <c r="J71" s="25">
        <f>IF(OR($C71="",$H71=""),"",IFERROR(INDEX(LAMINA_HORA!$W$5:$AP$114,MATCH($C71,LAMINA_HORA!$A$5:$A$114,0),MATCH($H71,LAMINA_HORA!$W$3:$AP$3,0)),"?"))</f>
        <v/>
      </c>
      <c r="K71" s="15" t="n">
        <v>143</v>
      </c>
      <c r="L71" s="16">
        <f>IF(OR($I71="",$I71="?",$K71=""),"",$I71*$K71*10)</f>
        <v/>
      </c>
      <c r="M71" s="17">
        <f>IFERROR(INDEX('PARAMETROS'!$B$16:$B$19,MATCH($E71,'PARAMETROS'!$A$16:$A$19,0)),"")</f>
        <v/>
      </c>
      <c r="N71" s="16">
        <f>IF(OR($L71="",$M71=""),"",$L71*$M71)</f>
        <v/>
      </c>
      <c r="O71" s="14">
        <f>IFERROR(INDEX(PIVOS!$I$5:$I$112,MATCH($B71&amp;"",PIVOS!$B$5:$B$112&amp;"",0)),"")</f>
        <v/>
      </c>
      <c r="P71" s="16">
        <f>IF(OR($O71="",$J71="",$J71="?"),"",$O71*$J71)</f>
        <v/>
      </c>
    </row>
    <row r="72">
      <c r="A72" s="24" t="n">
        <v>68</v>
      </c>
      <c r="B72" s="5" t="inlineStr">
        <is>
          <t>60</t>
        </is>
      </c>
      <c r="C72" s="7" t="inlineStr">
        <is>
          <t>P60</t>
        </is>
      </c>
      <c r="D72" s="5" t="inlineStr">
        <is>
          <t>Módulo 03</t>
        </is>
      </c>
      <c r="E72" s="5" t="inlineStr">
        <is>
          <t>KM2</t>
        </is>
      </c>
      <c r="F72" s="5" t="inlineStr">
        <is>
          <t>ALGODÃO</t>
        </is>
      </c>
      <c r="G72" s="6" t="inlineStr">
        <is>
          <t>DP 1949 B3RF</t>
        </is>
      </c>
      <c r="H72" s="7" t="n"/>
      <c r="I72" s="25">
        <f>IF(OR($C72="",$H72=""),"",IFERROR(INDEX(LAMINA_HORA!$C$5:$V$114,MATCH($C72,LAMINA_HORA!$A$5:$A$114,0),MATCH($H72,LAMINA_HORA!$C$3:$V$3,0)),"?"))</f>
        <v/>
      </c>
      <c r="J72" s="25">
        <f>IF(OR($C72="",$H72=""),"",IFERROR(INDEX(LAMINA_HORA!$W$5:$AP$114,MATCH($C72,LAMINA_HORA!$A$5:$A$114,0),MATCH($H72,LAMINA_HORA!$W$3:$AP$3,0)),"?"))</f>
        <v/>
      </c>
      <c r="K72" s="15" t="n">
        <v>150</v>
      </c>
      <c r="L72" s="16">
        <f>IF(OR($I72="",$I72="?",$K72=""),"",$I72*$K72*10)</f>
        <v/>
      </c>
      <c r="M72" s="17">
        <f>IFERROR(INDEX('PARAMETROS'!$B$16:$B$19,MATCH($E72,'PARAMETROS'!$A$16:$A$19,0)),"")</f>
        <v/>
      </c>
      <c r="N72" s="16">
        <f>IF(OR($L72="",$M72=""),"",$L72*$M72)</f>
        <v/>
      </c>
      <c r="O72" s="14">
        <f>IFERROR(INDEX(PIVOS!$I$5:$I$112,MATCH($B72&amp;"",PIVOS!$B$5:$B$112&amp;"",0)),"")</f>
        <v/>
      </c>
      <c r="P72" s="16">
        <f>IF(OR($O72="",$J72="",$J72="?"),"",$O72*$J72)</f>
        <v/>
      </c>
    </row>
    <row r="73">
      <c r="A73" s="24" t="n">
        <v>69</v>
      </c>
      <c r="B73" s="5" t="inlineStr">
        <is>
          <t>66</t>
        </is>
      </c>
      <c r="C73" s="7" t="inlineStr">
        <is>
          <t>P66</t>
        </is>
      </c>
      <c r="D73" s="5" t="inlineStr">
        <is>
          <t>Módulo 03</t>
        </is>
      </c>
      <c r="E73" s="5" t="inlineStr">
        <is>
          <t>KM2</t>
        </is>
      </c>
      <c r="F73" s="5" t="inlineStr">
        <is>
          <t>ALGODÃO</t>
        </is>
      </c>
      <c r="G73" s="6" t="inlineStr">
        <is>
          <t>DP 1949 B3RF</t>
        </is>
      </c>
      <c r="H73" s="7" t="n"/>
      <c r="I73" s="25">
        <f>IF(OR($C73="",$H73=""),"",IFERROR(INDEX(LAMINA_HORA!$C$5:$V$114,MATCH($C73,LAMINA_HORA!$A$5:$A$114,0),MATCH($H73,LAMINA_HORA!$C$3:$V$3,0)),"?"))</f>
        <v/>
      </c>
      <c r="J73" s="25">
        <f>IF(OR($C73="",$H73=""),"",IFERROR(INDEX(LAMINA_HORA!$W$5:$AP$114,MATCH($C73,LAMINA_HORA!$A$5:$A$114,0),MATCH($H73,LAMINA_HORA!$W$3:$AP$3,0)),"?"))</f>
        <v/>
      </c>
      <c r="K73" s="15" t="n">
        <v>100</v>
      </c>
      <c r="L73" s="16">
        <f>IF(OR($I73="",$I73="?",$K73=""),"",$I73*$K73*10)</f>
        <v/>
      </c>
      <c r="M73" s="17">
        <f>IFERROR(INDEX('PARAMETROS'!$B$16:$B$19,MATCH($E73,'PARAMETROS'!$A$16:$A$19,0)),"")</f>
        <v/>
      </c>
      <c r="N73" s="16">
        <f>IF(OR($L73="",$M73=""),"",$L73*$M73)</f>
        <v/>
      </c>
      <c r="O73" s="14">
        <f>IFERROR(INDEX(PIVOS!$I$5:$I$112,MATCH($B73&amp;"",PIVOS!$B$5:$B$112&amp;"",0)),"")</f>
        <v/>
      </c>
      <c r="P73" s="16">
        <f>IF(OR($O73="",$J73="",$J73="?"),"",$O73*$J73)</f>
        <v/>
      </c>
    </row>
    <row r="74">
      <c r="A74" s="24" t="n">
        <v>70</v>
      </c>
      <c r="B74" s="5" t="inlineStr">
        <is>
          <t>61</t>
        </is>
      </c>
      <c r="C74" s="7" t="inlineStr">
        <is>
          <t>P61</t>
        </is>
      </c>
      <c r="D74" s="5" t="inlineStr">
        <is>
          <t>Módulo 03</t>
        </is>
      </c>
      <c r="E74" s="5" t="inlineStr">
        <is>
          <t>KM2</t>
        </is>
      </c>
      <c r="F74" s="5" t="inlineStr">
        <is>
          <t>ALGODÃO</t>
        </is>
      </c>
      <c r="G74" s="6" t="inlineStr">
        <is>
          <t>FM 911 GLTP</t>
        </is>
      </c>
      <c r="H74" s="7" t="n"/>
      <c r="I74" s="25">
        <f>IF(OR($C74="",$H74=""),"",IFERROR(INDEX(LAMINA_HORA!$C$5:$V$114,MATCH($C74,LAMINA_HORA!$A$5:$A$114,0),MATCH($H74,LAMINA_HORA!$C$3:$V$3,0)),"?"))</f>
        <v/>
      </c>
      <c r="J74" s="25">
        <f>IF(OR($C74="",$H74=""),"",IFERROR(INDEX(LAMINA_HORA!$W$5:$AP$114,MATCH($C74,LAMINA_HORA!$A$5:$A$114,0),MATCH($H74,LAMINA_HORA!$W$3:$AP$3,0)),"?"))</f>
        <v/>
      </c>
      <c r="K74" s="15" t="n">
        <v>145</v>
      </c>
      <c r="L74" s="16">
        <f>IF(OR($I74="",$I74="?",$K74=""),"",$I74*$K74*10)</f>
        <v/>
      </c>
      <c r="M74" s="17">
        <f>IFERROR(INDEX('PARAMETROS'!$B$16:$B$19,MATCH($E74,'PARAMETROS'!$A$16:$A$19,0)),"")</f>
        <v/>
      </c>
      <c r="N74" s="16">
        <f>IF(OR($L74="",$M74=""),"",$L74*$M74)</f>
        <v/>
      </c>
      <c r="O74" s="14">
        <f>IFERROR(INDEX(PIVOS!$I$5:$I$112,MATCH($B74&amp;"",PIVOS!$B$5:$B$112&amp;"",0)),"")</f>
        <v/>
      </c>
      <c r="P74" s="16">
        <f>IF(OR($O74="",$J74="",$J74="?"),"",$O74*$J74)</f>
        <v/>
      </c>
    </row>
    <row r="75">
      <c r="A75" s="24" t="n">
        <v>71</v>
      </c>
      <c r="B75" s="5" t="inlineStr">
        <is>
          <t>62</t>
        </is>
      </c>
      <c r="C75" s="7" t="inlineStr">
        <is>
          <t>P62</t>
        </is>
      </c>
      <c r="D75" s="5" t="inlineStr">
        <is>
          <t>Módulo 03</t>
        </is>
      </c>
      <c r="E75" s="5" t="inlineStr">
        <is>
          <t>KM2</t>
        </is>
      </c>
      <c r="F75" s="5" t="inlineStr">
        <is>
          <t>ALGODÃO</t>
        </is>
      </c>
      <c r="G75" s="6" t="inlineStr">
        <is>
          <t>FM 974 GLT</t>
        </is>
      </c>
      <c r="H75" s="7" t="n"/>
      <c r="I75" s="25">
        <f>IF(OR($C75="",$H75=""),"",IFERROR(INDEX(LAMINA_HORA!$C$5:$V$114,MATCH($C75,LAMINA_HORA!$A$5:$A$114,0),MATCH($H75,LAMINA_HORA!$C$3:$V$3,0)),"?"))</f>
        <v/>
      </c>
      <c r="J75" s="25">
        <f>IF(OR($C75="",$H75=""),"",IFERROR(INDEX(LAMINA_HORA!$W$5:$AP$114,MATCH($C75,LAMINA_HORA!$A$5:$A$114,0),MATCH($H75,LAMINA_HORA!$W$3:$AP$3,0)),"?"))</f>
        <v/>
      </c>
      <c r="K75" s="15" t="n">
        <v>140</v>
      </c>
      <c r="L75" s="16">
        <f>IF(OR($I75="",$I75="?",$K75=""),"",$I75*$K75*10)</f>
        <v/>
      </c>
      <c r="M75" s="17">
        <f>IFERROR(INDEX('PARAMETROS'!$B$16:$B$19,MATCH($E75,'PARAMETROS'!$A$16:$A$19,0)),"")</f>
        <v/>
      </c>
      <c r="N75" s="16">
        <f>IF(OR($L75="",$M75=""),"",$L75*$M75)</f>
        <v/>
      </c>
      <c r="O75" s="14">
        <f>IFERROR(INDEX(PIVOS!$I$5:$I$112,MATCH($B75&amp;"",PIVOS!$B$5:$B$112&amp;"",0)),"")</f>
        <v/>
      </c>
      <c r="P75" s="16">
        <f>IF(OR($O75="",$J75="",$J75="?"),"",$O75*$J75)</f>
        <v/>
      </c>
    </row>
    <row r="76">
      <c r="A76" s="24" t="n">
        <v>72</v>
      </c>
      <c r="B76" s="5" t="inlineStr">
        <is>
          <t>67</t>
        </is>
      </c>
      <c r="C76" s="7" t="inlineStr">
        <is>
          <t>P67</t>
        </is>
      </c>
      <c r="D76" s="5" t="inlineStr">
        <is>
          <t>Módulo 03</t>
        </is>
      </c>
      <c r="E76" s="5" t="inlineStr">
        <is>
          <t>KM2</t>
        </is>
      </c>
      <c r="F76" s="5" t="inlineStr">
        <is>
          <t>ALGODÃO</t>
        </is>
      </c>
      <c r="G76" s="6" t="inlineStr">
        <is>
          <t>FM 979 STP</t>
        </is>
      </c>
      <c r="H76" s="7" t="n"/>
      <c r="I76" s="25">
        <f>IF(OR($C76="",$H76=""),"",IFERROR(INDEX(LAMINA_HORA!$C$5:$V$114,MATCH($C76,LAMINA_HORA!$A$5:$A$114,0),MATCH($H76,LAMINA_HORA!$C$3:$V$3,0)),"?"))</f>
        <v/>
      </c>
      <c r="J76" s="25">
        <f>IF(OR($C76="",$H76=""),"",IFERROR(INDEX(LAMINA_HORA!$W$5:$AP$114,MATCH($C76,LAMINA_HORA!$A$5:$A$114,0),MATCH($H76,LAMINA_HORA!$W$3:$AP$3,0)),"?"))</f>
        <v/>
      </c>
      <c r="K76" s="15" t="n">
        <v>80</v>
      </c>
      <c r="L76" s="16">
        <f>IF(OR($I76="",$I76="?",$K76=""),"",$I76*$K76*10)</f>
        <v/>
      </c>
      <c r="M76" s="17">
        <f>IFERROR(INDEX('PARAMETROS'!$B$16:$B$19,MATCH($E76,'PARAMETROS'!$A$16:$A$19,0)),"")</f>
        <v/>
      </c>
      <c r="N76" s="16">
        <f>IF(OR($L76="",$M76=""),"",$L76*$M76)</f>
        <v/>
      </c>
      <c r="O76" s="14">
        <f>IFERROR(INDEX(PIVOS!$I$5:$I$112,MATCH($B76&amp;"",PIVOS!$B$5:$B$112&amp;"",0)),"")</f>
        <v/>
      </c>
      <c r="P76" s="16">
        <f>IF(OR($O76="",$J76="",$J76="?"),"",$O76*$J76)</f>
        <v/>
      </c>
    </row>
    <row r="77">
      <c r="A77" s="24" t="n">
        <v>73</v>
      </c>
      <c r="B77" s="5" t="inlineStr">
        <is>
          <t>68</t>
        </is>
      </c>
      <c r="C77" s="7" t="inlineStr">
        <is>
          <t>P68</t>
        </is>
      </c>
      <c r="D77" s="5" t="inlineStr">
        <is>
          <t>Módulo 03</t>
        </is>
      </c>
      <c r="E77" s="5" t="inlineStr">
        <is>
          <t>KM2</t>
        </is>
      </c>
      <c r="F77" s="5" t="inlineStr">
        <is>
          <t>ALGODÃO</t>
        </is>
      </c>
      <c r="G77" s="6" t="inlineStr">
        <is>
          <t>FM 911 GLTP</t>
        </is>
      </c>
      <c r="H77" s="7" t="n"/>
      <c r="I77" s="25">
        <f>IF(OR($C77="",$H77=""),"",IFERROR(INDEX(LAMINA_HORA!$C$5:$V$114,MATCH($C77,LAMINA_HORA!$A$5:$A$114,0),MATCH($H77,LAMINA_HORA!$C$3:$V$3,0)),"?"))</f>
        <v/>
      </c>
      <c r="J77" s="25">
        <f>IF(OR($C77="",$H77=""),"",IFERROR(INDEX(LAMINA_HORA!$W$5:$AP$114,MATCH($C77,LAMINA_HORA!$A$5:$A$114,0),MATCH($H77,LAMINA_HORA!$W$3:$AP$3,0)),"?"))</f>
        <v/>
      </c>
      <c r="K77" s="15" t="n">
        <v>80</v>
      </c>
      <c r="L77" s="16">
        <f>IF(OR($I77="",$I77="?",$K77=""),"",$I77*$K77*10)</f>
        <v/>
      </c>
      <c r="M77" s="17">
        <f>IFERROR(INDEX('PARAMETROS'!$B$16:$B$19,MATCH($E77,'PARAMETROS'!$A$16:$A$19,0)),"")</f>
        <v/>
      </c>
      <c r="N77" s="16">
        <f>IF(OR($L77="",$M77=""),"",$L77*$M77)</f>
        <v/>
      </c>
      <c r="O77" s="14">
        <f>IFERROR(INDEX(PIVOS!$I$5:$I$112,MATCH($B77&amp;"",PIVOS!$B$5:$B$112&amp;"",0)),"")</f>
        <v/>
      </c>
      <c r="P77" s="16">
        <f>IF(OR($O77="",$J77="",$J77="?"),"",$O77*$J77)</f>
        <v/>
      </c>
    </row>
    <row r="78">
      <c r="A78" s="24" t="n">
        <v>74</v>
      </c>
      <c r="B78" s="5" t="inlineStr">
        <is>
          <t>69</t>
        </is>
      </c>
      <c r="C78" s="7" t="inlineStr">
        <is>
          <t>P69</t>
        </is>
      </c>
      <c r="D78" s="5" t="inlineStr">
        <is>
          <t>Módulo 03</t>
        </is>
      </c>
      <c r="E78" s="5" t="inlineStr">
        <is>
          <t>KM2</t>
        </is>
      </c>
      <c r="F78" s="5" t="inlineStr">
        <is>
          <t>ALGODÃO</t>
        </is>
      </c>
      <c r="G78" s="6" t="inlineStr">
        <is>
          <t>DP 1949 B3RF</t>
        </is>
      </c>
      <c r="H78" s="7" t="n"/>
      <c r="I78" s="25">
        <f>IF(OR($C78="",$H78=""),"",IFERROR(INDEX(LAMINA_HORA!$C$5:$V$114,MATCH($C78,LAMINA_HORA!$A$5:$A$114,0),MATCH($H78,LAMINA_HORA!$C$3:$V$3,0)),"?"))</f>
        <v/>
      </c>
      <c r="J78" s="25">
        <f>IF(OR($C78="",$H78=""),"",IFERROR(INDEX(LAMINA_HORA!$W$5:$AP$114,MATCH($C78,LAMINA_HORA!$A$5:$A$114,0),MATCH($H78,LAMINA_HORA!$W$3:$AP$3,0)),"?"))</f>
        <v/>
      </c>
      <c r="K78" s="15" t="n">
        <v>80</v>
      </c>
      <c r="L78" s="16">
        <f>IF(OR($I78="",$I78="?",$K78=""),"",$I78*$K78*10)</f>
        <v/>
      </c>
      <c r="M78" s="17">
        <f>IFERROR(INDEX('PARAMETROS'!$B$16:$B$19,MATCH($E78,'PARAMETROS'!$A$16:$A$19,0)),"")</f>
        <v/>
      </c>
      <c r="N78" s="16">
        <f>IF(OR($L78="",$M78=""),"",$L78*$M78)</f>
        <v/>
      </c>
      <c r="O78" s="14">
        <f>IFERROR(INDEX(PIVOS!$I$5:$I$112,MATCH($B78&amp;"",PIVOS!$B$5:$B$112&amp;"",0)),"")</f>
        <v/>
      </c>
      <c r="P78" s="16">
        <f>IF(OR($O78="",$J78="",$J78="?"),"",$O78*$J78)</f>
        <v/>
      </c>
    </row>
    <row r="79">
      <c r="A79" s="24" t="n">
        <v>75</v>
      </c>
      <c r="B79" s="5" t="inlineStr">
        <is>
          <t>70</t>
        </is>
      </c>
      <c r="C79" s="7" t="inlineStr">
        <is>
          <t>P70</t>
        </is>
      </c>
      <c r="D79" s="5" t="inlineStr">
        <is>
          <t>Módulo 03</t>
        </is>
      </c>
      <c r="E79" s="5" t="inlineStr">
        <is>
          <t>KM2</t>
        </is>
      </c>
      <c r="F79" s="5" t="inlineStr">
        <is>
          <t>ALGODÃO</t>
        </is>
      </c>
      <c r="G79" s="6" t="inlineStr">
        <is>
          <t>FM 911 GLTP</t>
        </is>
      </c>
      <c r="H79" s="7" t="n"/>
      <c r="I79" s="25">
        <f>IF(OR($C79="",$H79=""),"",IFERROR(INDEX(LAMINA_HORA!$C$5:$V$114,MATCH($C79,LAMINA_HORA!$A$5:$A$114,0),MATCH($H79,LAMINA_HORA!$C$3:$V$3,0)),"?"))</f>
        <v/>
      </c>
      <c r="J79" s="25">
        <f>IF(OR($C79="",$H79=""),"",IFERROR(INDEX(LAMINA_HORA!$W$5:$AP$114,MATCH($C79,LAMINA_HORA!$A$5:$A$114,0),MATCH($H79,LAMINA_HORA!$W$3:$AP$3,0)),"?"))</f>
        <v/>
      </c>
      <c r="K79" s="15" t="n">
        <v>150</v>
      </c>
      <c r="L79" s="16">
        <f>IF(OR($I79="",$I79="?",$K79=""),"",$I79*$K79*10)</f>
        <v/>
      </c>
      <c r="M79" s="17">
        <f>IFERROR(INDEX('PARAMETROS'!$B$16:$B$19,MATCH($E79,'PARAMETROS'!$A$16:$A$19,0)),"")</f>
        <v/>
      </c>
      <c r="N79" s="16">
        <f>IF(OR($L79="",$M79=""),"",$L79*$M79)</f>
        <v/>
      </c>
      <c r="O79" s="14">
        <f>IFERROR(INDEX(PIVOS!$I$5:$I$112,MATCH($B79&amp;"",PIVOS!$B$5:$B$112&amp;"",0)),"")</f>
        <v/>
      </c>
      <c r="P79" s="16">
        <f>IF(OR($O79="",$J79="",$J79="?"),"",$O79*$J79)</f>
        <v/>
      </c>
    </row>
    <row r="80">
      <c r="A80" s="24" t="n">
        <v>76</v>
      </c>
      <c r="B80" s="5" t="inlineStr">
        <is>
          <t>71</t>
        </is>
      </c>
      <c r="C80" s="7" t="inlineStr">
        <is>
          <t>P71</t>
        </is>
      </c>
      <c r="D80" s="5" t="inlineStr">
        <is>
          <t>Módulo 03</t>
        </is>
      </c>
      <c r="E80" s="5" t="inlineStr">
        <is>
          <t>KM2</t>
        </is>
      </c>
      <c r="F80" s="5" t="inlineStr">
        <is>
          <t>SOJA</t>
        </is>
      </c>
      <c r="G80" s="6" t="inlineStr"/>
      <c r="H80" s="7" t="n"/>
      <c r="I80" s="25">
        <f>IF(OR($C80="",$H80=""),"",IFERROR(INDEX(LAMINA_HORA!$C$5:$V$114,MATCH($C80,LAMINA_HORA!$A$5:$A$114,0),MATCH($H80,LAMINA_HORA!$C$3:$V$3,0)),"?"))</f>
        <v/>
      </c>
      <c r="J80" s="25">
        <f>IF(OR($C80="",$H80=""),"",IFERROR(INDEX(LAMINA_HORA!$W$5:$AP$114,MATCH($C80,LAMINA_HORA!$A$5:$A$114,0),MATCH($H80,LAMINA_HORA!$W$3:$AP$3,0)),"?"))</f>
        <v/>
      </c>
      <c r="K80" s="15" t="n">
        <v>40</v>
      </c>
      <c r="L80" s="16">
        <f>IF(OR($I80="",$I80="?",$K80=""),"",$I80*$K80*10)</f>
        <v/>
      </c>
      <c r="M80" s="17">
        <f>IFERROR(INDEX('PARAMETROS'!$B$16:$B$19,MATCH($E80,'PARAMETROS'!$A$16:$A$19,0)),"")</f>
        <v/>
      </c>
      <c r="N80" s="16">
        <f>IF(OR($L80="",$M80=""),"",$L80*$M80)</f>
        <v/>
      </c>
      <c r="O80" s="14">
        <f>IFERROR(INDEX(PIVOS!$I$5:$I$112,MATCH($B80&amp;"",PIVOS!$B$5:$B$112&amp;"",0)),"")</f>
        <v/>
      </c>
      <c r="P80" s="16">
        <f>IF(OR($O80="",$J80="",$J80="?"),"",$O80*$J80)</f>
        <v/>
      </c>
    </row>
    <row r="81">
      <c r="A81" s="24" t="n">
        <v>77</v>
      </c>
      <c r="B81" s="5" t="inlineStr">
        <is>
          <t>71</t>
        </is>
      </c>
      <c r="C81" s="7" t="inlineStr">
        <is>
          <t>P71</t>
        </is>
      </c>
      <c r="D81" s="5" t="inlineStr">
        <is>
          <t>Módulo 03</t>
        </is>
      </c>
      <c r="E81" s="5" t="inlineStr">
        <is>
          <t>KM2</t>
        </is>
      </c>
      <c r="F81" s="5" t="inlineStr">
        <is>
          <t>SOJA</t>
        </is>
      </c>
      <c r="G81" s="6" t="inlineStr"/>
      <c r="H81" s="7" t="n"/>
      <c r="I81" s="25">
        <f>IF(OR($C81="",$H81=""),"",IFERROR(INDEX(LAMINA_HORA!$C$5:$V$114,MATCH($C81,LAMINA_HORA!$A$5:$A$114,0),MATCH($H81,LAMINA_HORA!$C$3:$V$3,0)),"?"))</f>
        <v/>
      </c>
      <c r="J81" s="25">
        <f>IF(OR($C81="",$H81=""),"",IFERROR(INDEX(LAMINA_HORA!$W$5:$AP$114,MATCH($C81,LAMINA_HORA!$A$5:$A$114,0),MATCH($H81,LAMINA_HORA!$W$3:$AP$3,0)),"?"))</f>
        <v/>
      </c>
      <c r="K81" s="15" t="n">
        <v>40</v>
      </c>
      <c r="L81" s="16">
        <f>IF(OR($I81="",$I81="?",$K81=""),"",$I81*$K81*10)</f>
        <v/>
      </c>
      <c r="M81" s="17">
        <f>IFERROR(INDEX('PARAMETROS'!$B$16:$B$19,MATCH($E81,'PARAMETROS'!$A$16:$A$19,0)),"")</f>
        <v/>
      </c>
      <c r="N81" s="16">
        <f>IF(OR($L81="",$M81=""),"",$L81*$M81)</f>
        <v/>
      </c>
      <c r="O81" s="14">
        <f>IFERROR(INDEX(PIVOS!$I$5:$I$112,MATCH($B81&amp;"",PIVOS!$B$5:$B$112&amp;"",0)),"")</f>
        <v/>
      </c>
      <c r="P81" s="16">
        <f>IF(OR($O81="",$J81="",$J81="?"),"",$O81*$J81)</f>
        <v/>
      </c>
    </row>
    <row r="82">
      <c r="A82" s="24" t="n">
        <v>78</v>
      </c>
      <c r="B82" s="5" t="inlineStr">
        <is>
          <t>72</t>
        </is>
      </c>
      <c r="C82" s="7" t="inlineStr">
        <is>
          <t>P72</t>
        </is>
      </c>
      <c r="D82" s="5" t="inlineStr">
        <is>
          <t>Módulo 03</t>
        </is>
      </c>
      <c r="E82" s="5" t="inlineStr">
        <is>
          <t>KM2</t>
        </is>
      </c>
      <c r="F82" s="5" t="inlineStr">
        <is>
          <t>ALGODÃO</t>
        </is>
      </c>
      <c r="G82" s="6" t="inlineStr">
        <is>
          <t>DP 2111 B3RF</t>
        </is>
      </c>
      <c r="H82" s="7" t="n"/>
      <c r="I82" s="25">
        <f>IF(OR($C82="",$H82=""),"",IFERROR(INDEX(LAMINA_HORA!$C$5:$V$114,MATCH($C82,LAMINA_HORA!$A$5:$A$114,0),MATCH($H82,LAMINA_HORA!$C$3:$V$3,0)),"?"))</f>
        <v/>
      </c>
      <c r="J82" s="25">
        <f>IF(OR($C82="",$H82=""),"",IFERROR(INDEX(LAMINA_HORA!$W$5:$AP$114,MATCH($C82,LAMINA_HORA!$A$5:$A$114,0),MATCH($H82,LAMINA_HORA!$W$3:$AP$3,0)),"?"))</f>
        <v/>
      </c>
      <c r="K82" s="15" t="n">
        <v>125</v>
      </c>
      <c r="L82" s="16">
        <f>IF(OR($I82="",$I82="?",$K82=""),"",$I82*$K82*10)</f>
        <v/>
      </c>
      <c r="M82" s="17">
        <f>IFERROR(INDEX('PARAMETROS'!$B$16:$B$19,MATCH($E82,'PARAMETROS'!$A$16:$A$19,0)),"")</f>
        <v/>
      </c>
      <c r="N82" s="16">
        <f>IF(OR($L82="",$M82=""),"",$L82*$M82)</f>
        <v/>
      </c>
      <c r="O82" s="14">
        <f>IFERROR(INDEX(PIVOS!$I$5:$I$112,MATCH($B82&amp;"",PIVOS!$B$5:$B$112&amp;"",0)),"")</f>
        <v/>
      </c>
      <c r="P82" s="16">
        <f>IF(OR($O82="",$J82="",$J82="?"),"",$O82*$J82)</f>
        <v/>
      </c>
    </row>
    <row r="83">
      <c r="A83" s="24" t="n">
        <v>79</v>
      </c>
      <c r="B83" s="5" t="inlineStr">
        <is>
          <t>63</t>
        </is>
      </c>
      <c r="C83" s="7" t="inlineStr">
        <is>
          <t>P63</t>
        </is>
      </c>
      <c r="D83" s="5" t="inlineStr">
        <is>
          <t>Módulo 03</t>
        </is>
      </c>
      <c r="E83" s="5" t="inlineStr">
        <is>
          <t>KM2</t>
        </is>
      </c>
      <c r="F83" s="5" t="inlineStr">
        <is>
          <t>ALGODÃO</t>
        </is>
      </c>
      <c r="G83" s="6" t="inlineStr">
        <is>
          <t>FM 985 GLTP</t>
        </is>
      </c>
      <c r="H83" s="7" t="n"/>
      <c r="I83" s="25">
        <f>IF(OR($C83="",$H83=""),"",IFERROR(INDEX(LAMINA_HORA!$C$5:$V$114,MATCH($C83,LAMINA_HORA!$A$5:$A$114,0),MATCH($H83,LAMINA_HORA!$C$3:$V$3,0)),"?"))</f>
        <v/>
      </c>
      <c r="J83" s="25">
        <f>IF(OR($C83="",$H83=""),"",IFERROR(INDEX(LAMINA_HORA!$W$5:$AP$114,MATCH($C83,LAMINA_HORA!$A$5:$A$114,0),MATCH($H83,LAMINA_HORA!$W$3:$AP$3,0)),"?"))</f>
        <v/>
      </c>
      <c r="K83" s="15" t="n">
        <v>80.15000000000001</v>
      </c>
      <c r="L83" s="16">
        <f>IF(OR($I83="",$I83="?",$K83=""),"",$I83*$K83*10)</f>
        <v/>
      </c>
      <c r="M83" s="17">
        <f>IFERROR(INDEX('PARAMETROS'!$B$16:$B$19,MATCH($E83,'PARAMETROS'!$A$16:$A$19,0)),"")</f>
        <v/>
      </c>
      <c r="N83" s="16">
        <f>IF(OR($L83="",$M83=""),"",$L83*$M83)</f>
        <v/>
      </c>
      <c r="O83" s="14">
        <f>IFERROR(INDEX(PIVOS!$I$5:$I$112,MATCH($B83&amp;"",PIVOS!$B$5:$B$112&amp;"",0)),"")</f>
        <v/>
      </c>
      <c r="P83" s="16">
        <f>IF(OR($O83="",$J83="",$J83="?"),"",$O83*$J83)</f>
        <v/>
      </c>
    </row>
    <row r="84">
      <c r="A84" s="24" t="n">
        <v>80</v>
      </c>
      <c r="B84" s="5" t="inlineStr">
        <is>
          <t>64</t>
        </is>
      </c>
      <c r="C84" s="7" t="inlineStr">
        <is>
          <t>P64</t>
        </is>
      </c>
      <c r="D84" s="5" t="inlineStr">
        <is>
          <t>Módulo 03</t>
        </is>
      </c>
      <c r="E84" s="5" t="inlineStr">
        <is>
          <t>KM2</t>
        </is>
      </c>
      <c r="F84" s="5" t="inlineStr">
        <is>
          <t>ALGODÃO</t>
        </is>
      </c>
      <c r="G84" s="6" t="inlineStr">
        <is>
          <t>FM 985 GLTP</t>
        </is>
      </c>
      <c r="H84" s="7" t="n"/>
      <c r="I84" s="25">
        <f>IF(OR($C84="",$H84=""),"",IFERROR(INDEX(LAMINA_HORA!$C$5:$V$114,MATCH($C84,LAMINA_HORA!$A$5:$A$114,0),MATCH($H84,LAMINA_HORA!$C$3:$V$3,0)),"?"))</f>
        <v/>
      </c>
      <c r="J84" s="25">
        <f>IF(OR($C84="",$H84=""),"",IFERROR(INDEX(LAMINA_HORA!$W$5:$AP$114,MATCH($C84,LAMINA_HORA!$A$5:$A$114,0),MATCH($H84,LAMINA_HORA!$W$3:$AP$3,0)),"?"))</f>
        <v/>
      </c>
      <c r="K84" s="15" t="n">
        <v>80.15000000000001</v>
      </c>
      <c r="L84" s="16">
        <f>IF(OR($I84="",$I84="?",$K84=""),"",$I84*$K84*10)</f>
        <v/>
      </c>
      <c r="M84" s="17">
        <f>IFERROR(INDEX('PARAMETROS'!$B$16:$B$19,MATCH($E84,'PARAMETROS'!$A$16:$A$19,0)),"")</f>
        <v/>
      </c>
      <c r="N84" s="16">
        <f>IF(OR($L84="",$M84=""),"",$L84*$M84)</f>
        <v/>
      </c>
      <c r="O84" s="14">
        <f>IFERROR(INDEX(PIVOS!$I$5:$I$112,MATCH($B84&amp;"",PIVOS!$B$5:$B$112&amp;"",0)),"")</f>
        <v/>
      </c>
      <c r="P84" s="16">
        <f>IF(OR($O84="",$J84="",$J84="?"),"",$O84*$J84)</f>
        <v/>
      </c>
    </row>
    <row r="85">
      <c r="A85" s="24" t="n">
        <v>81</v>
      </c>
      <c r="B85" s="5" t="inlineStr">
        <is>
          <t>65</t>
        </is>
      </c>
      <c r="C85" s="7" t="inlineStr">
        <is>
          <t>P65</t>
        </is>
      </c>
      <c r="D85" s="5" t="inlineStr">
        <is>
          <t>Módulo 03</t>
        </is>
      </c>
      <c r="E85" s="5" t="inlineStr">
        <is>
          <t>KM2</t>
        </is>
      </c>
      <c r="F85" s="5" t="inlineStr">
        <is>
          <t>ALGODÃO</t>
        </is>
      </c>
      <c r="G85" s="6" t="inlineStr">
        <is>
          <t>FM 985 GLTP</t>
        </is>
      </c>
      <c r="H85" s="7" t="n"/>
      <c r="I85" s="25">
        <f>IF(OR($C85="",$H85=""),"",IFERROR(INDEX(LAMINA_HORA!$C$5:$V$114,MATCH($C85,LAMINA_HORA!$A$5:$A$114,0),MATCH($H85,LAMINA_HORA!$C$3:$V$3,0)),"?"))</f>
        <v/>
      </c>
      <c r="J85" s="25">
        <f>IF(OR($C85="",$H85=""),"",IFERROR(INDEX(LAMINA_HORA!$W$5:$AP$114,MATCH($C85,LAMINA_HORA!$A$5:$A$114,0),MATCH($H85,LAMINA_HORA!$W$3:$AP$3,0)),"?"))</f>
        <v/>
      </c>
      <c r="K85" s="15" t="n">
        <v>150</v>
      </c>
      <c r="L85" s="16">
        <f>IF(OR($I85="",$I85="?",$K85=""),"",$I85*$K85*10)</f>
        <v/>
      </c>
      <c r="M85" s="17">
        <f>IFERROR(INDEX('PARAMETROS'!$B$16:$B$19,MATCH($E85,'PARAMETROS'!$A$16:$A$19,0)),"")</f>
        <v/>
      </c>
      <c r="N85" s="16">
        <f>IF(OR($L85="",$M85=""),"",$L85*$M85)</f>
        <v/>
      </c>
      <c r="O85" s="14">
        <f>IFERROR(INDEX(PIVOS!$I$5:$I$112,MATCH($B85&amp;"",PIVOS!$B$5:$B$112&amp;"",0)),"")</f>
        <v/>
      </c>
      <c r="P85" s="16">
        <f>IF(OR($O85="",$J85="",$J85="?"),"",$O85*$J85)</f>
        <v/>
      </c>
    </row>
    <row r="86">
      <c r="A86" s="24" t="n">
        <v>82</v>
      </c>
      <c r="B86" s="5" t="inlineStr">
        <is>
          <t>109</t>
        </is>
      </c>
      <c r="C86" s="7" t="inlineStr">
        <is>
          <t>P109</t>
        </is>
      </c>
      <c r="D86" s="5" t="inlineStr">
        <is>
          <t>Módulo 01</t>
        </is>
      </c>
      <c r="E86" s="5" t="inlineStr">
        <is>
          <t>RDM2</t>
        </is>
      </c>
      <c r="F86" s="5" t="inlineStr">
        <is>
          <t>ALGODÃO</t>
        </is>
      </c>
      <c r="G86" s="6" t="inlineStr">
        <is>
          <t>FM 985 GLTP</t>
        </is>
      </c>
      <c r="H86" s="7" t="n"/>
      <c r="I86" s="25">
        <f>IF(OR($C86="",$H86=""),"",IFERROR(INDEX(LAMINA_HORA!$C$5:$V$114,MATCH($C86,LAMINA_HORA!$A$5:$A$114,0),MATCH($H86,LAMINA_HORA!$C$3:$V$3,0)),"?"))</f>
        <v/>
      </c>
      <c r="J86" s="25">
        <f>IF(OR($C86="",$H86=""),"",IFERROR(INDEX(LAMINA_HORA!$W$5:$AP$114,MATCH($C86,LAMINA_HORA!$A$5:$A$114,0),MATCH($H86,LAMINA_HORA!$W$3:$AP$3,0)),"?"))</f>
        <v/>
      </c>
      <c r="K86" s="15" t="n">
        <v>102.01</v>
      </c>
      <c r="L86" s="16">
        <f>IF(OR($I86="",$I86="?",$K86=""),"",$I86*$K86*10)</f>
        <v/>
      </c>
      <c r="M86" s="17">
        <f>IFERROR(INDEX('PARAMETROS'!$B$16:$B$19,MATCH($E86,'PARAMETROS'!$A$16:$A$19,0)),"")</f>
        <v/>
      </c>
      <c r="N86" s="16">
        <f>IF(OR($L86="",$M86=""),"",$L86*$M86)</f>
        <v/>
      </c>
      <c r="O86" s="14">
        <f>IFERROR(INDEX(PIVOS!$I$5:$I$112,MATCH($B86&amp;"",PIVOS!$B$5:$B$112&amp;"",0)),"")</f>
        <v/>
      </c>
      <c r="P86" s="16">
        <f>IF(OR($O86="",$J86="",$J86="?"),"",$O86*$J86)</f>
        <v/>
      </c>
    </row>
    <row r="87">
      <c r="A87" s="24" t="n">
        <v>83</v>
      </c>
      <c r="B87" s="5" t="inlineStr">
        <is>
          <t>106</t>
        </is>
      </c>
      <c r="C87" s="7" t="inlineStr">
        <is>
          <t>P106</t>
        </is>
      </c>
      <c r="D87" s="5" t="inlineStr">
        <is>
          <t>Módulo 01</t>
        </is>
      </c>
      <c r="E87" s="5" t="inlineStr">
        <is>
          <t>RDM2</t>
        </is>
      </c>
      <c r="F87" s="5" t="inlineStr">
        <is>
          <t>ALGODÃO</t>
        </is>
      </c>
      <c r="G87" s="6" t="inlineStr">
        <is>
          <t>DP 2252 B3XF</t>
        </is>
      </c>
      <c r="H87" s="7" t="n"/>
      <c r="I87" s="25">
        <f>IF(OR($C87="",$H87=""),"",IFERROR(INDEX(LAMINA_HORA!$C$5:$V$114,MATCH($C87,LAMINA_HORA!$A$5:$A$114,0),MATCH($H87,LAMINA_HORA!$C$3:$V$3,0)),"?"))</f>
        <v/>
      </c>
      <c r="J87" s="25">
        <f>IF(OR($C87="",$H87=""),"",IFERROR(INDEX(LAMINA_HORA!$W$5:$AP$114,MATCH($C87,LAMINA_HORA!$A$5:$A$114,0),MATCH($H87,LAMINA_HORA!$W$3:$AP$3,0)),"?"))</f>
        <v/>
      </c>
      <c r="K87" s="15" t="n">
        <v>102.01</v>
      </c>
      <c r="L87" s="16">
        <f>IF(OR($I87="",$I87="?",$K87=""),"",$I87*$K87*10)</f>
        <v/>
      </c>
      <c r="M87" s="17">
        <f>IFERROR(INDEX('PARAMETROS'!$B$16:$B$19,MATCH($E87,'PARAMETROS'!$A$16:$A$19,0)),"")</f>
        <v/>
      </c>
      <c r="N87" s="16">
        <f>IF(OR($L87="",$M87=""),"",$L87*$M87)</f>
        <v/>
      </c>
      <c r="O87" s="14">
        <f>IFERROR(INDEX(PIVOS!$I$5:$I$112,MATCH($B87&amp;"",PIVOS!$B$5:$B$112&amp;"",0)),"")</f>
        <v/>
      </c>
      <c r="P87" s="16">
        <f>IF(OR($O87="",$J87="",$J87="?"),"",$O87*$J87)</f>
        <v/>
      </c>
    </row>
    <row r="88">
      <c r="A88" s="24" t="n">
        <v>84</v>
      </c>
      <c r="B88" s="5" t="inlineStr">
        <is>
          <t>108</t>
        </is>
      </c>
      <c r="C88" s="7" t="inlineStr">
        <is>
          <t>P108</t>
        </is>
      </c>
      <c r="D88" s="5" t="inlineStr">
        <is>
          <t>Módulo 01</t>
        </is>
      </c>
      <c r="E88" s="5" t="inlineStr">
        <is>
          <t>RDM2</t>
        </is>
      </c>
      <c r="F88" s="5" t="inlineStr">
        <is>
          <t>ALGODÃO</t>
        </is>
      </c>
      <c r="G88" s="6" t="inlineStr">
        <is>
          <t>FM 985 GLTP</t>
        </is>
      </c>
      <c r="H88" s="7" t="n"/>
      <c r="I88" s="25">
        <f>IF(OR($C88="",$H88=""),"",IFERROR(INDEX(LAMINA_HORA!$C$5:$V$114,MATCH($C88,LAMINA_HORA!$A$5:$A$114,0),MATCH($H88,LAMINA_HORA!$C$3:$V$3,0)),"?"))</f>
        <v/>
      </c>
      <c r="J88" s="25">
        <f>IF(OR($C88="",$H88=""),"",IFERROR(INDEX(LAMINA_HORA!$W$5:$AP$114,MATCH($C88,LAMINA_HORA!$A$5:$A$114,0),MATCH($H88,LAMINA_HORA!$W$3:$AP$3,0)),"?"))</f>
        <v/>
      </c>
      <c r="K88" s="15" t="n">
        <v>102.01</v>
      </c>
      <c r="L88" s="16">
        <f>IF(OR($I88="",$I88="?",$K88=""),"",$I88*$K88*10)</f>
        <v/>
      </c>
      <c r="M88" s="17">
        <f>IFERROR(INDEX('PARAMETROS'!$B$16:$B$19,MATCH($E88,'PARAMETROS'!$A$16:$A$19,0)),"")</f>
        <v/>
      </c>
      <c r="N88" s="16">
        <f>IF(OR($L88="",$M88=""),"",$L88*$M88)</f>
        <v/>
      </c>
      <c r="O88" s="14">
        <f>IFERROR(INDEX(PIVOS!$I$5:$I$112,MATCH($B88&amp;"",PIVOS!$B$5:$B$112&amp;"",0)),"")</f>
        <v/>
      </c>
      <c r="P88" s="16">
        <f>IF(OR($O88="",$J88="",$J88="?"),"",$O88*$J88)</f>
        <v/>
      </c>
    </row>
    <row r="89">
      <c r="A89" s="24" t="n">
        <v>85</v>
      </c>
      <c r="B89" s="5" t="inlineStr">
        <is>
          <t>105</t>
        </is>
      </c>
      <c r="C89" s="7" t="inlineStr">
        <is>
          <t>P105</t>
        </is>
      </c>
      <c r="D89" s="5" t="inlineStr">
        <is>
          <t>Módulo 01</t>
        </is>
      </c>
      <c r="E89" s="5" t="inlineStr">
        <is>
          <t>RDM2</t>
        </is>
      </c>
      <c r="F89" s="5" t="inlineStr">
        <is>
          <t>ALGODÃO</t>
        </is>
      </c>
      <c r="G89" s="6" t="inlineStr">
        <is>
          <t>FM 974 GLT</t>
        </is>
      </c>
      <c r="H89" s="7" t="n"/>
      <c r="I89" s="25">
        <f>IF(OR($C89="",$H89=""),"",IFERROR(INDEX(LAMINA_HORA!$C$5:$V$114,MATCH($C89,LAMINA_HORA!$A$5:$A$114,0),MATCH($H89,LAMINA_HORA!$C$3:$V$3,0)),"?"))</f>
        <v/>
      </c>
      <c r="J89" s="25">
        <f>IF(OR($C89="",$H89=""),"",IFERROR(INDEX(LAMINA_HORA!$W$5:$AP$114,MATCH($C89,LAMINA_HORA!$A$5:$A$114,0),MATCH($H89,LAMINA_HORA!$W$3:$AP$3,0)),"?"))</f>
        <v/>
      </c>
      <c r="K89" s="15" t="n">
        <v>102.01</v>
      </c>
      <c r="L89" s="16">
        <f>IF(OR($I89="",$I89="?",$K89=""),"",$I89*$K89*10)</f>
        <v/>
      </c>
      <c r="M89" s="17">
        <f>IFERROR(INDEX('PARAMETROS'!$B$16:$B$19,MATCH($E89,'PARAMETROS'!$A$16:$A$19,0)),"")</f>
        <v/>
      </c>
      <c r="N89" s="16">
        <f>IF(OR($L89="",$M89=""),"",$L89*$M89)</f>
        <v/>
      </c>
      <c r="O89" s="14">
        <f>IFERROR(INDEX(PIVOS!$I$5:$I$112,MATCH($B89&amp;"",PIVOS!$B$5:$B$112&amp;"",0)),"")</f>
        <v/>
      </c>
      <c r="P89" s="16">
        <f>IF(OR($O89="",$J89="",$J89="?"),"",$O89*$J89)</f>
        <v/>
      </c>
    </row>
    <row r="90">
      <c r="A90" s="24" t="n">
        <v>86</v>
      </c>
      <c r="B90" s="5" t="inlineStr">
        <is>
          <t>107</t>
        </is>
      </c>
      <c r="C90" s="7" t="inlineStr">
        <is>
          <t>P107</t>
        </is>
      </c>
      <c r="D90" s="5" t="inlineStr">
        <is>
          <t>Módulo 01</t>
        </is>
      </c>
      <c r="E90" s="5" t="inlineStr">
        <is>
          <t>RDM2</t>
        </is>
      </c>
      <c r="F90" s="5" t="inlineStr">
        <is>
          <t>ALGODÃO</t>
        </is>
      </c>
      <c r="G90" s="6" t="inlineStr">
        <is>
          <t>FM 974 GLT</t>
        </is>
      </c>
      <c r="H90" s="7" t="n"/>
      <c r="I90" s="25">
        <f>IF(OR($C90="",$H90=""),"",IFERROR(INDEX(LAMINA_HORA!$C$5:$V$114,MATCH($C90,LAMINA_HORA!$A$5:$A$114,0),MATCH($H90,LAMINA_HORA!$C$3:$V$3,0)),"?"))</f>
        <v/>
      </c>
      <c r="J90" s="25">
        <f>IF(OR($C90="",$H90=""),"",IFERROR(INDEX(LAMINA_HORA!$W$5:$AP$114,MATCH($C90,LAMINA_HORA!$A$5:$A$114,0),MATCH($H90,LAMINA_HORA!$W$3:$AP$3,0)),"?"))</f>
        <v/>
      </c>
      <c r="K90" s="15" t="n">
        <v>102.01</v>
      </c>
      <c r="L90" s="16">
        <f>IF(OR($I90="",$I90="?",$K90=""),"",$I90*$K90*10)</f>
        <v/>
      </c>
      <c r="M90" s="17">
        <f>IFERROR(INDEX('PARAMETROS'!$B$16:$B$19,MATCH($E90,'PARAMETROS'!$A$16:$A$19,0)),"")</f>
        <v/>
      </c>
      <c r="N90" s="16">
        <f>IF(OR($L90="",$M90=""),"",$L90*$M90)</f>
        <v/>
      </c>
      <c r="O90" s="14">
        <f>IFERROR(INDEX(PIVOS!$I$5:$I$112,MATCH($B90&amp;"",PIVOS!$B$5:$B$112&amp;"",0)),"")</f>
        <v/>
      </c>
      <c r="P90" s="16">
        <f>IF(OR($O90="",$J90="",$J90="?"),"",$O90*$J90)</f>
        <v/>
      </c>
    </row>
    <row r="91">
      <c r="A91" s="24" t="n">
        <v>87</v>
      </c>
      <c r="B91" s="5" t="inlineStr">
        <is>
          <t>101</t>
        </is>
      </c>
      <c r="C91" s="7" t="inlineStr">
        <is>
          <t>P101</t>
        </is>
      </c>
      <c r="D91" s="5" t="inlineStr">
        <is>
          <t>Módulo 01</t>
        </is>
      </c>
      <c r="E91" s="5" t="inlineStr">
        <is>
          <t>RDM1</t>
        </is>
      </c>
      <c r="F91" s="5" t="inlineStr">
        <is>
          <t>SOJA</t>
        </is>
      </c>
      <c r="G91" s="6" t="inlineStr">
        <is>
          <t>NEO 761 I2X</t>
        </is>
      </c>
      <c r="H91" s="7" t="n"/>
      <c r="I91" s="25">
        <f>IF(OR($C91="",$H91=""),"",IFERROR(INDEX(LAMINA_HORA!$C$5:$V$114,MATCH($C91,LAMINA_HORA!$A$5:$A$114,0),MATCH($H91,LAMINA_HORA!$C$3:$V$3,0)),"?"))</f>
        <v/>
      </c>
      <c r="J91" s="25">
        <f>IF(OR($C91="",$H91=""),"",IFERROR(INDEX(LAMINA_HORA!$W$5:$AP$114,MATCH($C91,LAMINA_HORA!$A$5:$A$114,0),MATCH($H91,LAMINA_HORA!$W$3:$AP$3,0)),"?"))</f>
        <v/>
      </c>
      <c r="K91" s="15" t="n">
        <v>116.2</v>
      </c>
      <c r="L91" s="16">
        <f>IF(OR($I91="",$I91="?",$K91=""),"",$I91*$K91*10)</f>
        <v/>
      </c>
      <c r="M91" s="17">
        <f>IFERROR(INDEX('PARAMETROS'!$B$16:$B$19,MATCH($E91,'PARAMETROS'!$A$16:$A$19,0)),"")</f>
        <v/>
      </c>
      <c r="N91" s="16">
        <f>IF(OR($L91="",$M91=""),"",$L91*$M91)</f>
        <v/>
      </c>
      <c r="O91" s="14">
        <f>IFERROR(INDEX(PIVOS!$I$5:$I$112,MATCH($B91&amp;"",PIVOS!$B$5:$B$112&amp;"",0)),"")</f>
        <v/>
      </c>
      <c r="P91" s="16">
        <f>IF(OR($O91="",$J91="",$J91="?"),"",$O91*$J91)</f>
        <v/>
      </c>
    </row>
    <row r="92">
      <c r="A92" s="24" t="n">
        <v>88</v>
      </c>
      <c r="B92" s="5" t="inlineStr">
        <is>
          <t>102</t>
        </is>
      </c>
      <c r="C92" s="7" t="inlineStr">
        <is>
          <t>P102</t>
        </is>
      </c>
      <c r="D92" s="5" t="inlineStr">
        <is>
          <t>Módulo 01</t>
        </is>
      </c>
      <c r="E92" s="5" t="inlineStr">
        <is>
          <t>RDM1</t>
        </is>
      </c>
      <c r="F92" s="5" t="inlineStr">
        <is>
          <t>ALGODÃO</t>
        </is>
      </c>
      <c r="G92" s="6" t="inlineStr">
        <is>
          <t>FM 974 GLT</t>
        </is>
      </c>
      <c r="H92" s="7" t="n"/>
      <c r="I92" s="25">
        <f>IF(OR($C92="",$H92=""),"",IFERROR(INDEX(LAMINA_HORA!$C$5:$V$114,MATCH($C92,LAMINA_HORA!$A$5:$A$114,0),MATCH($H92,LAMINA_HORA!$C$3:$V$3,0)),"?"))</f>
        <v/>
      </c>
      <c r="J92" s="25">
        <f>IF(OR($C92="",$H92=""),"",IFERROR(INDEX(LAMINA_HORA!$W$5:$AP$114,MATCH($C92,LAMINA_HORA!$A$5:$A$114,0),MATCH($H92,LAMINA_HORA!$W$3:$AP$3,0)),"?"))</f>
        <v/>
      </c>
      <c r="K92" s="15" t="n">
        <v>102.19</v>
      </c>
      <c r="L92" s="16">
        <f>IF(OR($I92="",$I92="?",$K92=""),"",$I92*$K92*10)</f>
        <v/>
      </c>
      <c r="M92" s="17">
        <f>IFERROR(INDEX('PARAMETROS'!$B$16:$B$19,MATCH($E92,'PARAMETROS'!$A$16:$A$19,0)),"")</f>
        <v/>
      </c>
      <c r="N92" s="16">
        <f>IF(OR($L92="",$M92=""),"",$L92*$M92)</f>
        <v/>
      </c>
      <c r="O92" s="14">
        <f>IFERROR(INDEX(PIVOS!$I$5:$I$112,MATCH($B92&amp;"",PIVOS!$B$5:$B$112&amp;"",0)),"")</f>
        <v/>
      </c>
      <c r="P92" s="16">
        <f>IF(OR($O92="",$J92="",$J92="?"),"",$O92*$J92)</f>
        <v/>
      </c>
    </row>
    <row r="93">
      <c r="A93" s="24" t="n">
        <v>89</v>
      </c>
      <c r="B93" s="5" t="inlineStr">
        <is>
          <t>103</t>
        </is>
      </c>
      <c r="C93" s="7" t="inlineStr">
        <is>
          <t>P103</t>
        </is>
      </c>
      <c r="D93" s="5" t="inlineStr">
        <is>
          <t>Módulo 01</t>
        </is>
      </c>
      <c r="E93" s="5" t="inlineStr">
        <is>
          <t>RDM1</t>
        </is>
      </c>
      <c r="F93" s="5" t="inlineStr">
        <is>
          <t>ALGODÃO</t>
        </is>
      </c>
      <c r="G93" s="6" t="inlineStr">
        <is>
          <t>FM 974 GLT</t>
        </is>
      </c>
      <c r="H93" s="7" t="n"/>
      <c r="I93" s="25">
        <f>IF(OR($C93="",$H93=""),"",IFERROR(INDEX(LAMINA_HORA!$C$5:$V$114,MATCH($C93,LAMINA_HORA!$A$5:$A$114,0),MATCH($H93,LAMINA_HORA!$C$3:$V$3,0)),"?"))</f>
        <v/>
      </c>
      <c r="J93" s="25">
        <f>IF(OR($C93="",$H93=""),"",IFERROR(INDEX(LAMINA_HORA!$W$5:$AP$114,MATCH($C93,LAMINA_HORA!$A$5:$A$114,0),MATCH($H93,LAMINA_HORA!$W$3:$AP$3,0)),"?"))</f>
        <v/>
      </c>
      <c r="K93" s="15" t="n">
        <v>102.01</v>
      </c>
      <c r="L93" s="16">
        <f>IF(OR($I93="",$I93="?",$K93=""),"",$I93*$K93*10)</f>
        <v/>
      </c>
      <c r="M93" s="17">
        <f>IFERROR(INDEX('PARAMETROS'!$B$16:$B$19,MATCH($E93,'PARAMETROS'!$A$16:$A$19,0)),"")</f>
        <v/>
      </c>
      <c r="N93" s="16">
        <f>IF(OR($L93="",$M93=""),"",$L93*$M93)</f>
        <v/>
      </c>
      <c r="O93" s="14">
        <f>IFERROR(INDEX(PIVOS!$I$5:$I$112,MATCH($B93&amp;"",PIVOS!$B$5:$B$112&amp;"",0)),"")</f>
        <v/>
      </c>
      <c r="P93" s="16">
        <f>IF(OR($O93="",$J93="",$J93="?"),"",$O93*$J93)</f>
        <v/>
      </c>
    </row>
    <row r="94">
      <c r="A94" s="24" t="n">
        <v>90</v>
      </c>
      <c r="B94" s="5" t="inlineStr">
        <is>
          <t>104</t>
        </is>
      </c>
      <c r="C94" s="7" t="inlineStr">
        <is>
          <t>P104</t>
        </is>
      </c>
      <c r="D94" s="5" t="inlineStr">
        <is>
          <t>Módulo 01</t>
        </is>
      </c>
      <c r="E94" s="5" t="inlineStr">
        <is>
          <t>RDM1</t>
        </is>
      </c>
      <c r="F94" s="5" t="inlineStr">
        <is>
          <t>ALGODÃO</t>
        </is>
      </c>
      <c r="G94" s="6" t="inlineStr">
        <is>
          <t>FM 985 GLTP</t>
        </is>
      </c>
      <c r="H94" s="7" t="n"/>
      <c r="I94" s="25">
        <f>IF(OR($C94="",$H94=""),"",IFERROR(INDEX(LAMINA_HORA!$C$5:$V$114,MATCH($C94,LAMINA_HORA!$A$5:$A$114,0),MATCH($H94,LAMINA_HORA!$C$3:$V$3,0)),"?"))</f>
        <v/>
      </c>
      <c r="J94" s="25">
        <f>IF(OR($C94="",$H94=""),"",IFERROR(INDEX(LAMINA_HORA!$W$5:$AP$114,MATCH($C94,LAMINA_HORA!$A$5:$A$114,0),MATCH($H94,LAMINA_HORA!$W$3:$AP$3,0)),"?"))</f>
        <v/>
      </c>
      <c r="K94" s="15" t="n">
        <v>102.01</v>
      </c>
      <c r="L94" s="16">
        <f>IF(OR($I94="",$I94="?",$K94=""),"",$I94*$K94*10)</f>
        <v/>
      </c>
      <c r="M94" s="17">
        <f>IFERROR(INDEX('PARAMETROS'!$B$16:$B$19,MATCH($E94,'PARAMETROS'!$A$16:$A$19,0)),"")</f>
        <v/>
      </c>
      <c r="N94" s="16">
        <f>IF(OR($L94="",$M94=""),"",$L94*$M94)</f>
        <v/>
      </c>
      <c r="O94" s="14">
        <f>IFERROR(INDEX(PIVOS!$I$5:$I$112,MATCH($B94&amp;"",PIVOS!$B$5:$B$112&amp;"",0)),"")</f>
        <v/>
      </c>
      <c r="P94" s="16">
        <f>IF(OR($O94="",$J94="",$J94="?"),"",$O94*$J94)</f>
        <v/>
      </c>
    </row>
    <row r="95">
      <c r="A95" s="24" t="n">
        <v>91</v>
      </c>
      <c r="B95" s="5" t="inlineStr">
        <is>
          <t>110</t>
        </is>
      </c>
      <c r="C95" s="7" t="inlineStr">
        <is>
          <t>P110</t>
        </is>
      </c>
      <c r="D95" s="5" t="inlineStr">
        <is>
          <t>Módulo 01</t>
        </is>
      </c>
      <c r="E95" s="5" t="inlineStr">
        <is>
          <t>RDM1</t>
        </is>
      </c>
      <c r="F95" s="5" t="inlineStr">
        <is>
          <t>ALGODÃO</t>
        </is>
      </c>
      <c r="G95" s="6" t="inlineStr">
        <is>
          <t>FM 985 GLTP</t>
        </is>
      </c>
      <c r="H95" s="7" t="n"/>
      <c r="I95" s="25">
        <f>IF(OR($C95="",$H95=""),"",IFERROR(INDEX(LAMINA_HORA!$C$5:$V$114,MATCH($C95,LAMINA_HORA!$A$5:$A$114,0),MATCH($H95,LAMINA_HORA!$C$3:$V$3,0)),"?"))</f>
        <v/>
      </c>
      <c r="J95" s="25">
        <f>IF(OR($C95="",$H95=""),"",IFERROR(INDEX(LAMINA_HORA!$W$5:$AP$114,MATCH($C95,LAMINA_HORA!$A$5:$A$114,0),MATCH($H95,LAMINA_HORA!$W$3:$AP$3,0)),"?"))</f>
        <v/>
      </c>
      <c r="K95" s="15" t="n">
        <v>102.19</v>
      </c>
      <c r="L95" s="16">
        <f>IF(OR($I95="",$I95="?",$K95=""),"",$I95*$K95*10)</f>
        <v/>
      </c>
      <c r="M95" s="17">
        <f>IFERROR(INDEX('PARAMETROS'!$B$16:$B$19,MATCH($E95,'PARAMETROS'!$A$16:$A$19,0)),"")</f>
        <v/>
      </c>
      <c r="N95" s="16">
        <f>IF(OR($L95="",$M95=""),"",$L95*$M95)</f>
        <v/>
      </c>
      <c r="O95" s="14">
        <f>IFERROR(INDEX(PIVOS!$I$5:$I$112,MATCH($B95&amp;"",PIVOS!$B$5:$B$112&amp;"",0)),"")</f>
        <v/>
      </c>
      <c r="P95" s="16">
        <f>IF(OR($O95="",$J95="",$J95="?"),"",$O95*$J95)</f>
        <v/>
      </c>
    </row>
    <row r="96">
      <c r="A96" s="24" t="n">
        <v>92</v>
      </c>
      <c r="B96" s="5" t="inlineStr">
        <is>
          <t>112</t>
        </is>
      </c>
      <c r="C96" s="7" t="inlineStr">
        <is>
          <t>P112</t>
        </is>
      </c>
      <c r="D96" s="5" t="inlineStr">
        <is>
          <t>Módulo 02</t>
        </is>
      </c>
      <c r="E96" s="5" t="inlineStr">
        <is>
          <t>RDM2</t>
        </is>
      </c>
      <c r="F96" s="5" t="inlineStr">
        <is>
          <t>ALGODÃO</t>
        </is>
      </c>
      <c r="G96" s="6" t="inlineStr">
        <is>
          <t>FM 911 GLTP</t>
        </is>
      </c>
      <c r="H96" s="7" t="n"/>
      <c r="I96" s="25">
        <f>IF(OR($C96="",$H96=""),"",IFERROR(INDEX(LAMINA_HORA!$C$5:$V$114,MATCH($C96,LAMINA_HORA!$A$5:$A$114,0),MATCH($H96,LAMINA_HORA!$C$3:$V$3,0)),"?"))</f>
        <v/>
      </c>
      <c r="J96" s="25">
        <f>IF(OR($C96="",$H96=""),"",IFERROR(INDEX(LAMINA_HORA!$W$5:$AP$114,MATCH($C96,LAMINA_HORA!$A$5:$A$114,0),MATCH($H96,LAMINA_HORA!$W$3:$AP$3,0)),"?"))</f>
        <v/>
      </c>
      <c r="K96" s="15" t="n">
        <v>150.34</v>
      </c>
      <c r="L96" s="16">
        <f>IF(OR($I96="",$I96="?",$K96=""),"",$I96*$K96*10)</f>
        <v/>
      </c>
      <c r="M96" s="17">
        <f>IFERROR(INDEX('PARAMETROS'!$B$16:$B$19,MATCH($E96,'PARAMETROS'!$A$16:$A$19,0)),"")</f>
        <v/>
      </c>
      <c r="N96" s="16">
        <f>IF(OR($L96="",$M96=""),"",$L96*$M96)</f>
        <v/>
      </c>
      <c r="O96" s="14">
        <f>IFERROR(INDEX(PIVOS!$I$5:$I$112,MATCH($B96&amp;"",PIVOS!$B$5:$B$112&amp;"",0)),"")</f>
        <v/>
      </c>
      <c r="P96" s="16">
        <f>IF(OR($O96="",$J96="",$J96="?"),"",$O96*$J96)</f>
        <v/>
      </c>
    </row>
    <row r="97">
      <c r="A97" s="24" t="n">
        <v>93</v>
      </c>
      <c r="B97" s="5" t="inlineStr">
        <is>
          <t>113</t>
        </is>
      </c>
      <c r="C97" s="7" t="inlineStr">
        <is>
          <t>P113</t>
        </is>
      </c>
      <c r="D97" s="5" t="inlineStr">
        <is>
          <t>Módulo 02</t>
        </is>
      </c>
      <c r="E97" s="5" t="inlineStr">
        <is>
          <t>RDM2</t>
        </is>
      </c>
      <c r="F97" s="5" t="inlineStr">
        <is>
          <t>ALGODÃO</t>
        </is>
      </c>
      <c r="G97" s="6" t="inlineStr">
        <is>
          <t>DP 1949 B3RF</t>
        </is>
      </c>
      <c r="H97" s="7" t="n"/>
      <c r="I97" s="25">
        <f>IF(OR($C97="",$H97=""),"",IFERROR(INDEX(LAMINA_HORA!$C$5:$V$114,MATCH($C97,LAMINA_HORA!$A$5:$A$114,0),MATCH($H97,LAMINA_HORA!$C$3:$V$3,0)),"?"))</f>
        <v/>
      </c>
      <c r="J97" s="25">
        <f>IF(OR($C97="",$H97=""),"",IFERROR(INDEX(LAMINA_HORA!$W$5:$AP$114,MATCH($C97,LAMINA_HORA!$A$5:$A$114,0),MATCH($H97,LAMINA_HORA!$W$3:$AP$3,0)),"?"))</f>
        <v/>
      </c>
      <c r="K97" s="15" t="n">
        <v>150.14</v>
      </c>
      <c r="L97" s="16">
        <f>IF(OR($I97="",$I97="?",$K97=""),"",$I97*$K97*10)</f>
        <v/>
      </c>
      <c r="M97" s="17">
        <f>IFERROR(INDEX('PARAMETROS'!$B$16:$B$19,MATCH($E97,'PARAMETROS'!$A$16:$A$19,0)),"")</f>
        <v/>
      </c>
      <c r="N97" s="16">
        <f>IF(OR($L97="",$M97=""),"",$L97*$M97)</f>
        <v/>
      </c>
      <c r="O97" s="14">
        <f>IFERROR(INDEX(PIVOS!$I$5:$I$112,MATCH($B97&amp;"",PIVOS!$B$5:$B$112&amp;"",0)),"")</f>
        <v/>
      </c>
      <c r="P97" s="16">
        <f>IF(OR($O97="",$J97="",$J97="?"),"",$O97*$J97)</f>
        <v/>
      </c>
    </row>
    <row r="98">
      <c r="A98" s="24" t="n">
        <v>94</v>
      </c>
      <c r="B98" s="5" t="inlineStr">
        <is>
          <t>114</t>
        </is>
      </c>
      <c r="C98" s="7" t="inlineStr">
        <is>
          <t>P114</t>
        </is>
      </c>
      <c r="D98" s="5" t="inlineStr">
        <is>
          <t>Módulo 02</t>
        </is>
      </c>
      <c r="E98" s="5" t="inlineStr">
        <is>
          <t>RDM2</t>
        </is>
      </c>
      <c r="F98" s="5" t="inlineStr">
        <is>
          <t>ALGODÃO</t>
        </is>
      </c>
      <c r="G98" s="6" t="inlineStr">
        <is>
          <t>FM 911 GLTP</t>
        </is>
      </c>
      <c r="H98" s="7" t="n"/>
      <c r="I98" s="25">
        <f>IF(OR($C98="",$H98=""),"",IFERROR(INDEX(LAMINA_HORA!$C$5:$V$114,MATCH($C98,LAMINA_HORA!$A$5:$A$114,0),MATCH($H98,LAMINA_HORA!$C$3:$V$3,0)),"?"))</f>
        <v/>
      </c>
      <c r="J98" s="25">
        <f>IF(OR($C98="",$H98=""),"",IFERROR(INDEX(LAMINA_HORA!$W$5:$AP$114,MATCH($C98,LAMINA_HORA!$A$5:$A$114,0),MATCH($H98,LAMINA_HORA!$W$3:$AP$3,0)),"?"))</f>
        <v/>
      </c>
      <c r="K98" s="15" t="n">
        <v>120.13</v>
      </c>
      <c r="L98" s="16">
        <f>IF(OR($I98="",$I98="?",$K98=""),"",$I98*$K98*10)</f>
        <v/>
      </c>
      <c r="M98" s="17">
        <f>IFERROR(INDEX('PARAMETROS'!$B$16:$B$19,MATCH($E98,'PARAMETROS'!$A$16:$A$19,0)),"")</f>
        <v/>
      </c>
      <c r="N98" s="16">
        <f>IF(OR($L98="",$M98=""),"",$L98*$M98)</f>
        <v/>
      </c>
      <c r="O98" s="14">
        <f>IFERROR(INDEX(PIVOS!$I$5:$I$112,MATCH($B98&amp;"",PIVOS!$B$5:$B$112&amp;"",0)),"")</f>
        <v/>
      </c>
      <c r="P98" s="16">
        <f>IF(OR($O98="",$J98="",$J98="?"),"",$O98*$J98)</f>
        <v/>
      </c>
    </row>
    <row r="99">
      <c r="A99" s="24" t="n">
        <v>95</v>
      </c>
      <c r="B99" s="5" t="inlineStr">
        <is>
          <t>115</t>
        </is>
      </c>
      <c r="C99" s="7" t="inlineStr">
        <is>
          <t>P115</t>
        </is>
      </c>
      <c r="D99" s="5" t="inlineStr">
        <is>
          <t>Módulo 02</t>
        </is>
      </c>
      <c r="E99" s="5" t="inlineStr">
        <is>
          <t>RDM2</t>
        </is>
      </c>
      <c r="F99" s="5" t="inlineStr">
        <is>
          <t>ALGODÃO</t>
        </is>
      </c>
      <c r="G99" s="6" t="inlineStr">
        <is>
          <t>DP 1949 B3RF</t>
        </is>
      </c>
      <c r="H99" s="7" t="n"/>
      <c r="I99" s="25">
        <f>IF(OR($C99="",$H99=""),"",IFERROR(INDEX(LAMINA_HORA!$C$5:$V$114,MATCH($C99,LAMINA_HORA!$A$5:$A$114,0),MATCH($H99,LAMINA_HORA!$C$3:$V$3,0)),"?"))</f>
        <v/>
      </c>
      <c r="J99" s="25">
        <f>IF(OR($C99="",$H99=""),"",IFERROR(INDEX(LAMINA_HORA!$W$5:$AP$114,MATCH($C99,LAMINA_HORA!$A$5:$A$114,0),MATCH($H99,LAMINA_HORA!$W$3:$AP$3,0)),"?"))</f>
        <v/>
      </c>
      <c r="K99" s="15" t="n">
        <v>150.34</v>
      </c>
      <c r="L99" s="16">
        <f>IF(OR($I99="",$I99="?",$K99=""),"",$I99*$K99*10)</f>
        <v/>
      </c>
      <c r="M99" s="17">
        <f>IFERROR(INDEX('PARAMETROS'!$B$16:$B$19,MATCH($E99,'PARAMETROS'!$A$16:$A$19,0)),"")</f>
        <v/>
      </c>
      <c r="N99" s="16">
        <f>IF(OR($L99="",$M99=""),"",$L99*$M99)</f>
        <v/>
      </c>
      <c r="O99" s="14">
        <f>IFERROR(INDEX(PIVOS!$I$5:$I$112,MATCH($B99&amp;"",PIVOS!$B$5:$B$112&amp;"",0)),"")</f>
        <v/>
      </c>
      <c r="P99" s="16">
        <f>IF(OR($O99="",$J99="",$J99="?"),"",$O99*$J99)</f>
        <v/>
      </c>
    </row>
    <row r="100">
      <c r="A100" s="24" t="n">
        <v>96</v>
      </c>
      <c r="B100" s="5" t="inlineStr">
        <is>
          <t>131</t>
        </is>
      </c>
      <c r="C100" s="7" t="inlineStr">
        <is>
          <t>P131</t>
        </is>
      </c>
      <c r="D100" s="5" t="inlineStr">
        <is>
          <t>Módulo 02</t>
        </is>
      </c>
      <c r="E100" s="5" t="inlineStr">
        <is>
          <t>RDM2</t>
        </is>
      </c>
      <c r="F100" s="5" t="inlineStr">
        <is>
          <t>ALGODÃO</t>
        </is>
      </c>
      <c r="G100" s="6" t="inlineStr">
        <is>
          <t>FM 985 GLTP</t>
        </is>
      </c>
      <c r="H100" s="7" t="n"/>
      <c r="I100" s="25">
        <f>IF(OR($C100="",$H100=""),"",IFERROR(INDEX(LAMINA_HORA!$C$5:$V$114,MATCH($C100,LAMINA_HORA!$A$5:$A$114,0),MATCH($H100,LAMINA_HORA!$C$3:$V$3,0)),"?"))</f>
        <v/>
      </c>
      <c r="J100" s="25">
        <f>IF(OR($C100="",$H100=""),"",IFERROR(INDEX(LAMINA_HORA!$W$5:$AP$114,MATCH($C100,LAMINA_HORA!$A$5:$A$114,0),MATCH($H100,LAMINA_HORA!$W$3:$AP$3,0)),"?"))</f>
        <v/>
      </c>
      <c r="K100" s="15" t="n">
        <v>101.12</v>
      </c>
      <c r="L100" s="16">
        <f>IF(OR($I100="",$I100="?",$K100=""),"",$I100*$K100*10)</f>
        <v/>
      </c>
      <c r="M100" s="17">
        <f>IFERROR(INDEX('PARAMETROS'!$B$16:$B$19,MATCH($E100,'PARAMETROS'!$A$16:$A$19,0)),"")</f>
        <v/>
      </c>
      <c r="N100" s="16">
        <f>IF(OR($L100="",$M100=""),"",$L100*$M100)</f>
        <v/>
      </c>
      <c r="O100" s="14">
        <f>IFERROR(INDEX(PIVOS!$I$5:$I$112,MATCH($B100&amp;"",PIVOS!$B$5:$B$112&amp;"",0)),"")</f>
        <v/>
      </c>
      <c r="P100" s="16">
        <f>IF(OR($O100="",$J100="",$J100="?"),"",$O100*$J100)</f>
        <v/>
      </c>
    </row>
    <row r="101">
      <c r="A101" s="24" t="n">
        <v>97</v>
      </c>
      <c r="B101" s="5" t="inlineStr">
        <is>
          <t>132</t>
        </is>
      </c>
      <c r="C101" s="7" t="inlineStr">
        <is>
          <t>P132</t>
        </is>
      </c>
      <c r="D101" s="5" t="inlineStr">
        <is>
          <t>Módulo 02</t>
        </is>
      </c>
      <c r="E101" s="5" t="inlineStr">
        <is>
          <t>RDM2</t>
        </is>
      </c>
      <c r="F101" s="5" t="inlineStr">
        <is>
          <t>ALGODÃO</t>
        </is>
      </c>
      <c r="G101" s="6" t="inlineStr">
        <is>
          <t>FM 985 GLTP</t>
        </is>
      </c>
      <c r="H101" s="7" t="n"/>
      <c r="I101" s="25">
        <f>IF(OR($C101="",$H101=""),"",IFERROR(INDEX(LAMINA_HORA!$C$5:$V$114,MATCH($C101,LAMINA_HORA!$A$5:$A$114,0),MATCH($H101,LAMINA_HORA!$C$3:$V$3,0)),"?"))</f>
        <v/>
      </c>
      <c r="J101" s="25">
        <f>IF(OR($C101="",$H101=""),"",IFERROR(INDEX(LAMINA_HORA!$W$5:$AP$114,MATCH($C101,LAMINA_HORA!$A$5:$A$114,0),MATCH($H101,LAMINA_HORA!$W$3:$AP$3,0)),"?"))</f>
        <v/>
      </c>
      <c r="K101" s="15" t="n">
        <v>101.12</v>
      </c>
      <c r="L101" s="16">
        <f>IF(OR($I101="",$I101="?",$K101=""),"",$I101*$K101*10)</f>
        <v/>
      </c>
      <c r="M101" s="17">
        <f>IFERROR(INDEX('PARAMETROS'!$B$16:$B$19,MATCH($E101,'PARAMETROS'!$A$16:$A$19,0)),"")</f>
        <v/>
      </c>
      <c r="N101" s="16">
        <f>IF(OR($L101="",$M101=""),"",$L101*$M101)</f>
        <v/>
      </c>
      <c r="O101" s="14">
        <f>IFERROR(INDEX(PIVOS!$I$5:$I$112,MATCH($B101&amp;"",PIVOS!$B$5:$B$112&amp;"",0)),"")</f>
        <v/>
      </c>
      <c r="P101" s="16">
        <f>IF(OR($O101="",$J101="",$J101="?"),"",$O101*$J101)</f>
        <v/>
      </c>
    </row>
    <row r="102">
      <c r="A102" s="24" t="n">
        <v>98</v>
      </c>
      <c r="B102" s="5" t="inlineStr">
        <is>
          <t>116</t>
        </is>
      </c>
      <c r="C102" s="7" t="inlineStr">
        <is>
          <t>P116</t>
        </is>
      </c>
      <c r="D102" s="5" t="inlineStr">
        <is>
          <t>Módulo 02</t>
        </is>
      </c>
      <c r="E102" s="5" t="inlineStr">
        <is>
          <t>RDM2</t>
        </is>
      </c>
      <c r="F102" s="5" t="inlineStr">
        <is>
          <t>ALGODÃO</t>
        </is>
      </c>
      <c r="G102" s="6" t="inlineStr">
        <is>
          <t>DP 2111 B3RF</t>
        </is>
      </c>
      <c r="H102" s="7" t="n"/>
      <c r="I102" s="25">
        <f>IF(OR($C102="",$H102=""),"",IFERROR(INDEX(LAMINA_HORA!$C$5:$V$114,MATCH($C102,LAMINA_HORA!$A$5:$A$114,0),MATCH($H102,LAMINA_HORA!$C$3:$V$3,0)),"?"))</f>
        <v/>
      </c>
      <c r="J102" s="25">
        <f>IF(OR($C102="",$H102=""),"",IFERROR(INDEX(LAMINA_HORA!$W$5:$AP$114,MATCH($C102,LAMINA_HORA!$A$5:$A$114,0),MATCH($H102,LAMINA_HORA!$W$3:$AP$3,0)),"?"))</f>
        <v/>
      </c>
      <c r="K102" s="15" t="n">
        <v>150.34</v>
      </c>
      <c r="L102" s="16">
        <f>IF(OR($I102="",$I102="?",$K102=""),"",$I102*$K102*10)</f>
        <v/>
      </c>
      <c r="M102" s="17">
        <f>IFERROR(INDEX('PARAMETROS'!$B$16:$B$19,MATCH($E102,'PARAMETROS'!$A$16:$A$19,0)),"")</f>
        <v/>
      </c>
      <c r="N102" s="16">
        <f>IF(OR($L102="",$M102=""),"",$L102*$M102)</f>
        <v/>
      </c>
      <c r="O102" s="14">
        <f>IFERROR(INDEX(PIVOS!$I$5:$I$112,MATCH($B102&amp;"",PIVOS!$B$5:$B$112&amp;"",0)),"")</f>
        <v/>
      </c>
      <c r="P102" s="16">
        <f>IF(OR($O102="",$J102="",$J102="?"),"",$O102*$J102)</f>
        <v/>
      </c>
    </row>
    <row r="103">
      <c r="A103" s="24" t="n">
        <v>99</v>
      </c>
      <c r="B103" s="5" t="inlineStr">
        <is>
          <t>117</t>
        </is>
      </c>
      <c r="C103" s="7" t="inlineStr">
        <is>
          <t>P117</t>
        </is>
      </c>
      <c r="D103" s="5" t="inlineStr">
        <is>
          <t>Módulo 02</t>
        </is>
      </c>
      <c r="E103" s="5" t="inlineStr">
        <is>
          <t>RDM2</t>
        </is>
      </c>
      <c r="F103" s="5" t="inlineStr">
        <is>
          <t>ALGODÃO</t>
        </is>
      </c>
      <c r="G103" s="6" t="inlineStr">
        <is>
          <t>FM 974 GLT</t>
        </is>
      </c>
      <c r="H103" s="7" t="n"/>
      <c r="I103" s="25">
        <f>IF(OR($C103="",$H103=""),"",IFERROR(INDEX(LAMINA_HORA!$C$5:$V$114,MATCH($C103,LAMINA_HORA!$A$5:$A$114,0),MATCH($H103,LAMINA_HORA!$C$3:$V$3,0)),"?"))</f>
        <v/>
      </c>
      <c r="J103" s="25">
        <f>IF(OR($C103="",$H103=""),"",IFERROR(INDEX(LAMINA_HORA!$W$5:$AP$114,MATCH($C103,LAMINA_HORA!$A$5:$A$114,0),MATCH($H103,LAMINA_HORA!$W$3:$AP$3,0)),"?"))</f>
        <v/>
      </c>
      <c r="K103" s="15" t="n">
        <v>150.34</v>
      </c>
      <c r="L103" s="16">
        <f>IF(OR($I103="",$I103="?",$K103=""),"",$I103*$K103*10)</f>
        <v/>
      </c>
      <c r="M103" s="17">
        <f>IFERROR(INDEX('PARAMETROS'!$B$16:$B$19,MATCH($E103,'PARAMETROS'!$A$16:$A$19,0)),"")</f>
        <v/>
      </c>
      <c r="N103" s="16">
        <f>IF(OR($L103="",$M103=""),"",$L103*$M103)</f>
        <v/>
      </c>
      <c r="O103" s="14">
        <f>IFERROR(INDEX(PIVOS!$I$5:$I$112,MATCH($B103&amp;"",PIVOS!$B$5:$B$112&amp;"",0)),"")</f>
        <v/>
      </c>
      <c r="P103" s="16">
        <f>IF(OR($O103="",$J103="",$J103="?"),"",$O103*$J103)</f>
        <v/>
      </c>
    </row>
    <row r="104">
      <c r="A104" s="24" t="n">
        <v>100</v>
      </c>
      <c r="B104" s="5" t="inlineStr">
        <is>
          <t>118</t>
        </is>
      </c>
      <c r="C104" s="7" t="inlineStr">
        <is>
          <t>P118</t>
        </is>
      </c>
      <c r="D104" s="5" t="inlineStr">
        <is>
          <t>Módulo 02</t>
        </is>
      </c>
      <c r="E104" s="5" t="inlineStr">
        <is>
          <t>RDM2</t>
        </is>
      </c>
      <c r="F104" s="5" t="inlineStr">
        <is>
          <t>TABACO</t>
        </is>
      </c>
      <c r="G104" s="6" t="inlineStr"/>
      <c r="H104" s="7" t="n"/>
      <c r="I104" s="25">
        <f>IF(OR($C104="",$H104=""),"",IFERROR(INDEX(LAMINA_HORA!$C$5:$V$114,MATCH($C104,LAMINA_HORA!$A$5:$A$114,0),MATCH($H104,LAMINA_HORA!$C$3:$V$3,0)),"?"))</f>
        <v/>
      </c>
      <c r="J104" s="25">
        <f>IF(OR($C104="",$H104=""),"",IFERROR(INDEX(LAMINA_HORA!$W$5:$AP$114,MATCH($C104,LAMINA_HORA!$A$5:$A$114,0),MATCH($H104,LAMINA_HORA!$W$3:$AP$3,0)),"?"))</f>
        <v/>
      </c>
      <c r="K104" s="15" t="n">
        <v>150.14</v>
      </c>
      <c r="L104" s="16">
        <f>IF(OR($I104="",$I104="?",$K104=""),"",$I104*$K104*10)</f>
        <v/>
      </c>
      <c r="M104" s="17">
        <f>IFERROR(INDEX('PARAMETROS'!$B$16:$B$19,MATCH($E104,'PARAMETROS'!$A$16:$A$19,0)),"")</f>
        <v/>
      </c>
      <c r="N104" s="16">
        <f>IF(OR($L104="",$M104=""),"",$L104*$M104)</f>
        <v/>
      </c>
      <c r="O104" s="14">
        <f>IFERROR(INDEX(PIVOS!$I$5:$I$112,MATCH($B104&amp;"",PIVOS!$B$5:$B$112&amp;"",0)),"")</f>
        <v/>
      </c>
      <c r="P104" s="16">
        <f>IF(OR($O104="",$J104="",$J104="?"),"",$O104*$J104)</f>
        <v/>
      </c>
    </row>
    <row r="105">
      <c r="A105" s="24" t="n">
        <v>101</v>
      </c>
      <c r="B105" s="5" t="inlineStr">
        <is>
          <t>119</t>
        </is>
      </c>
      <c r="C105" s="7" t="inlineStr">
        <is>
          <t>P119</t>
        </is>
      </c>
      <c r="D105" s="5" t="inlineStr">
        <is>
          <t>Módulo 02</t>
        </is>
      </c>
      <c r="E105" s="5" t="inlineStr">
        <is>
          <t>RDM2</t>
        </is>
      </c>
      <c r="F105" s="5" t="inlineStr">
        <is>
          <t>TABACO</t>
        </is>
      </c>
      <c r="G105" s="6" t="inlineStr"/>
      <c r="H105" s="7" t="n"/>
      <c r="I105" s="25">
        <f>IF(OR($C105="",$H105=""),"",IFERROR(INDEX(LAMINA_HORA!$C$5:$V$114,MATCH($C105,LAMINA_HORA!$A$5:$A$114,0),MATCH($H105,LAMINA_HORA!$C$3:$V$3,0)),"?"))</f>
        <v/>
      </c>
      <c r="J105" s="25">
        <f>IF(OR($C105="",$H105=""),"",IFERROR(INDEX(LAMINA_HORA!$W$5:$AP$114,MATCH($C105,LAMINA_HORA!$A$5:$A$114,0),MATCH($H105,LAMINA_HORA!$W$3:$AP$3,0)),"?"))</f>
        <v/>
      </c>
      <c r="K105" s="15" t="n">
        <v>150.34</v>
      </c>
      <c r="L105" s="16">
        <f>IF(OR($I105="",$I105="?",$K105=""),"",$I105*$K105*10)</f>
        <v/>
      </c>
      <c r="M105" s="17">
        <f>IFERROR(INDEX('PARAMETROS'!$B$16:$B$19,MATCH($E105,'PARAMETROS'!$A$16:$A$19,0)),"")</f>
        <v/>
      </c>
      <c r="N105" s="16">
        <f>IF(OR($L105="",$M105=""),"",$L105*$M105)</f>
        <v/>
      </c>
      <c r="O105" s="14">
        <f>IFERROR(INDEX(PIVOS!$I$5:$I$112,MATCH($B105&amp;"",PIVOS!$B$5:$B$112&amp;"",0)),"")</f>
        <v/>
      </c>
      <c r="P105" s="16">
        <f>IF(OR($O105="",$J105="",$J105="?"),"",$O105*$J105)</f>
        <v/>
      </c>
    </row>
    <row r="106">
      <c r="A106" s="24" t="n">
        <v>102</v>
      </c>
      <c r="B106" s="5" t="inlineStr">
        <is>
          <t>128</t>
        </is>
      </c>
      <c r="C106" s="7" t="inlineStr">
        <is>
          <t>P128</t>
        </is>
      </c>
      <c r="D106" s="5" t="inlineStr">
        <is>
          <t>Módulo 02</t>
        </is>
      </c>
      <c r="E106" s="5" t="inlineStr">
        <is>
          <t>RDM2</t>
        </is>
      </c>
      <c r="F106" s="5" t="inlineStr">
        <is>
          <t>TABACO</t>
        </is>
      </c>
      <c r="G106" s="6" t="inlineStr"/>
      <c r="H106" s="7" t="n"/>
      <c r="I106" s="25">
        <f>IF(OR($C106="",$H106=""),"",IFERROR(INDEX(LAMINA_HORA!$C$5:$V$114,MATCH($C106,LAMINA_HORA!$A$5:$A$114,0),MATCH($H106,LAMINA_HORA!$C$3:$V$3,0)),"?"))</f>
        <v/>
      </c>
      <c r="J106" s="25">
        <f>IF(OR($C106="",$H106=""),"",IFERROR(INDEX(LAMINA_HORA!$W$5:$AP$114,MATCH($C106,LAMINA_HORA!$A$5:$A$114,0),MATCH($H106,LAMINA_HORA!$W$3:$AP$3,0)),"?"))</f>
        <v/>
      </c>
      <c r="K106" s="15" t="n">
        <v>140.57</v>
      </c>
      <c r="L106" s="16">
        <f>IF(OR($I106="",$I106="?",$K106=""),"",$I106*$K106*10)</f>
        <v/>
      </c>
      <c r="M106" s="17">
        <f>IFERROR(INDEX('PARAMETROS'!$B$16:$B$19,MATCH($E106,'PARAMETROS'!$A$16:$A$19,0)),"")</f>
        <v/>
      </c>
      <c r="N106" s="16">
        <f>IF(OR($L106="",$M106=""),"",$L106*$M106)</f>
        <v/>
      </c>
      <c r="O106" s="14">
        <f>IFERROR(INDEX(PIVOS!$I$5:$I$112,MATCH($B106&amp;"",PIVOS!$B$5:$B$112&amp;"",0)),"")</f>
        <v/>
      </c>
      <c r="P106" s="16">
        <f>IF(OR($O106="",$J106="",$J106="?"),"",$O106*$J106)</f>
        <v/>
      </c>
    </row>
    <row r="107">
      <c r="A107" s="24" t="n">
        <v>103</v>
      </c>
      <c r="B107" s="5" t="inlineStr">
        <is>
          <t>129</t>
        </is>
      </c>
      <c r="C107" s="7" t="inlineStr">
        <is>
          <t>P129</t>
        </is>
      </c>
      <c r="D107" s="5" t="inlineStr">
        <is>
          <t>Módulo 02</t>
        </is>
      </c>
      <c r="E107" s="5" t="inlineStr">
        <is>
          <t>RDM2</t>
        </is>
      </c>
      <c r="F107" s="5" t="inlineStr">
        <is>
          <t>SOJA SEQUEIRO</t>
        </is>
      </c>
      <c r="G107" s="6" t="inlineStr"/>
      <c r="H107" s="7" t="n"/>
      <c r="I107" s="25">
        <f>IF(OR($C107="",$H107=""),"",IFERROR(INDEX(LAMINA_HORA!$C$5:$V$114,MATCH($C107,LAMINA_HORA!$A$5:$A$114,0),MATCH($H107,LAMINA_HORA!$C$3:$V$3,0)),"?"))</f>
        <v/>
      </c>
      <c r="J107" s="25">
        <f>IF(OR($C107="",$H107=""),"",IFERROR(INDEX(LAMINA_HORA!$W$5:$AP$114,MATCH($C107,LAMINA_HORA!$A$5:$A$114,0),MATCH($H107,LAMINA_HORA!$W$3:$AP$3,0)),"?"))</f>
        <v/>
      </c>
      <c r="K107" s="15" t="n">
        <v>102.43</v>
      </c>
      <c r="L107" s="16">
        <f>IF(OR($I107="",$I107="?",$K107=""),"",$I107*$K107*10)</f>
        <v/>
      </c>
      <c r="M107" s="17">
        <f>IFERROR(INDEX('PARAMETROS'!$B$16:$B$19,MATCH($E107,'PARAMETROS'!$A$16:$A$19,0)),"")</f>
        <v/>
      </c>
      <c r="N107" s="16">
        <f>IF(OR($L107="",$M107=""),"",$L107*$M107)</f>
        <v/>
      </c>
      <c r="O107" s="14">
        <f>IFERROR(INDEX(PIVOS!$I$5:$I$112,MATCH($B107&amp;"",PIVOS!$B$5:$B$112&amp;"",0)),"")</f>
        <v/>
      </c>
      <c r="P107" s="16">
        <f>IF(OR($O107="",$J107="",$J107="?"),"",$O107*$J107)</f>
        <v/>
      </c>
    </row>
    <row r="108">
      <c r="A108" s="24" t="n">
        <v>104</v>
      </c>
      <c r="B108" s="5" t="inlineStr">
        <is>
          <t>130</t>
        </is>
      </c>
      <c r="C108" s="7" t="inlineStr">
        <is>
          <t>P130</t>
        </is>
      </c>
      <c r="D108" s="5" t="inlineStr">
        <is>
          <t>Módulo 02</t>
        </is>
      </c>
      <c r="E108" s="5" t="inlineStr">
        <is>
          <t>RDM2</t>
        </is>
      </c>
      <c r="F108" s="5" t="inlineStr">
        <is>
          <t>SOJA</t>
        </is>
      </c>
      <c r="G108" s="6" t="inlineStr">
        <is>
          <t>OLIMPO 80I82RS</t>
        </is>
      </c>
      <c r="H108" s="7" t="n"/>
      <c r="I108" s="25">
        <f>IF(OR($C108="",$H108=""),"",IFERROR(INDEX(LAMINA_HORA!$C$5:$V$114,MATCH($C108,LAMINA_HORA!$A$5:$A$114,0),MATCH($H108,LAMINA_HORA!$C$3:$V$3,0)),"?"))</f>
        <v/>
      </c>
      <c r="J108" s="25">
        <f>IF(OR($C108="",$H108=""),"",IFERROR(INDEX(LAMINA_HORA!$W$5:$AP$114,MATCH($C108,LAMINA_HORA!$A$5:$A$114,0),MATCH($H108,LAMINA_HORA!$W$3:$AP$3,0)),"?"))</f>
        <v/>
      </c>
      <c r="K108" s="15" t="n">
        <v>150.14</v>
      </c>
      <c r="L108" s="16">
        <f>IF(OR($I108="",$I108="?",$K108=""),"",$I108*$K108*10)</f>
        <v/>
      </c>
      <c r="M108" s="17">
        <f>IFERROR(INDEX('PARAMETROS'!$B$16:$B$19,MATCH($E108,'PARAMETROS'!$A$16:$A$19,0)),"")</f>
        <v/>
      </c>
      <c r="N108" s="16">
        <f>IF(OR($L108="",$M108=""),"",$L108*$M108)</f>
        <v/>
      </c>
      <c r="O108" s="14">
        <f>IFERROR(INDEX(PIVOS!$I$5:$I$112,MATCH($B108&amp;"",PIVOS!$B$5:$B$112&amp;"",0)),"")</f>
        <v/>
      </c>
      <c r="P108" s="16">
        <f>IF(OR($O108="",$J108="",$J108="?"),"",$O108*$J108)</f>
        <v/>
      </c>
    </row>
    <row r="109">
      <c r="A109" s="24" t="n">
        <v>105</v>
      </c>
      <c r="B109" s="5" t="inlineStr">
        <is>
          <t>120</t>
        </is>
      </c>
      <c r="C109" s="7" t="inlineStr">
        <is>
          <t>P120</t>
        </is>
      </c>
      <c r="D109" s="5" t="inlineStr">
        <is>
          <t>Módulo 02</t>
        </is>
      </c>
      <c r="E109" s="5" t="inlineStr">
        <is>
          <t>RDM2</t>
        </is>
      </c>
      <c r="F109" s="5" t="inlineStr">
        <is>
          <t>TABACO</t>
        </is>
      </c>
      <c r="G109" s="6" t="inlineStr"/>
      <c r="H109" s="7" t="n"/>
      <c r="I109" s="25">
        <f>IF(OR($C109="",$H109=""),"",IFERROR(INDEX(LAMINA_HORA!$C$5:$V$114,MATCH($C109,LAMINA_HORA!$A$5:$A$114,0),MATCH($H109,LAMINA_HORA!$C$3:$V$3,0)),"?"))</f>
        <v/>
      </c>
      <c r="J109" s="25">
        <f>IF(OR($C109="",$H109=""),"",IFERROR(INDEX(LAMINA_HORA!$W$5:$AP$114,MATCH($C109,LAMINA_HORA!$A$5:$A$114,0),MATCH($H109,LAMINA_HORA!$W$3:$AP$3,0)),"?"))</f>
        <v/>
      </c>
      <c r="K109" s="15" t="n">
        <v>150.34</v>
      </c>
      <c r="L109" s="16">
        <f>IF(OR($I109="",$I109="?",$K109=""),"",$I109*$K109*10)</f>
        <v/>
      </c>
      <c r="M109" s="17">
        <f>IFERROR(INDEX('PARAMETROS'!$B$16:$B$19,MATCH($E109,'PARAMETROS'!$A$16:$A$19,0)),"")</f>
        <v/>
      </c>
      <c r="N109" s="16">
        <f>IF(OR($L109="",$M109=""),"",$L109*$M109)</f>
        <v/>
      </c>
      <c r="O109" s="14">
        <f>IFERROR(INDEX(PIVOS!$I$5:$I$112,MATCH($B109&amp;"",PIVOS!$B$5:$B$112&amp;"",0)),"")</f>
        <v/>
      </c>
      <c r="P109" s="16">
        <f>IF(OR($O109="",$J109="",$J109="?"),"",$O109*$J109)</f>
        <v/>
      </c>
    </row>
    <row r="110">
      <c r="A110" s="24" t="n">
        <v>106</v>
      </c>
      <c r="B110" s="5" t="inlineStr">
        <is>
          <t>121</t>
        </is>
      </c>
      <c r="C110" s="7" t="inlineStr">
        <is>
          <t>P121</t>
        </is>
      </c>
      <c r="D110" s="5" t="inlineStr">
        <is>
          <t>Módulo 02</t>
        </is>
      </c>
      <c r="E110" s="5" t="inlineStr">
        <is>
          <t>RDM2</t>
        </is>
      </c>
      <c r="F110" s="5" t="inlineStr">
        <is>
          <t>TABACO</t>
        </is>
      </c>
      <c r="G110" s="6" t="inlineStr"/>
      <c r="H110" s="7" t="n"/>
      <c r="I110" s="25">
        <f>IF(OR($C110="",$H110=""),"",IFERROR(INDEX(LAMINA_HORA!$C$5:$V$114,MATCH($C110,LAMINA_HORA!$A$5:$A$114,0),MATCH($H110,LAMINA_HORA!$C$3:$V$3,0)),"?"))</f>
        <v/>
      </c>
      <c r="J110" s="25">
        <f>IF(OR($C110="",$H110=""),"",IFERROR(INDEX(LAMINA_HORA!$W$5:$AP$114,MATCH($C110,LAMINA_HORA!$A$5:$A$114,0),MATCH($H110,LAMINA_HORA!$W$3:$AP$3,0)),"?"))</f>
        <v/>
      </c>
      <c r="K110" s="15" t="n">
        <v>150.34</v>
      </c>
      <c r="L110" s="16">
        <f>IF(OR($I110="",$I110="?",$K110=""),"",$I110*$K110*10)</f>
        <v/>
      </c>
      <c r="M110" s="17">
        <f>IFERROR(INDEX('PARAMETROS'!$B$16:$B$19,MATCH($E110,'PARAMETROS'!$A$16:$A$19,0)),"")</f>
        <v/>
      </c>
      <c r="N110" s="16">
        <f>IF(OR($L110="",$M110=""),"",$L110*$M110)</f>
        <v/>
      </c>
      <c r="O110" s="14">
        <f>IFERROR(INDEX(PIVOS!$I$5:$I$112,MATCH($B110&amp;"",PIVOS!$B$5:$B$112&amp;"",0)),"")</f>
        <v/>
      </c>
      <c r="P110" s="16">
        <f>IF(OR($O110="",$J110="",$J110="?"),"",$O110*$J110)</f>
        <v/>
      </c>
    </row>
    <row r="111">
      <c r="A111" s="24" t="n">
        <v>107</v>
      </c>
      <c r="B111" s="5" t="inlineStr">
        <is>
          <t>122</t>
        </is>
      </c>
      <c r="C111" s="7" t="inlineStr">
        <is>
          <t>P122</t>
        </is>
      </c>
      <c r="D111" s="5" t="inlineStr">
        <is>
          <t>Módulo 02</t>
        </is>
      </c>
      <c r="E111" s="5" t="inlineStr">
        <is>
          <t>RDM2</t>
        </is>
      </c>
      <c r="F111" s="5" t="inlineStr">
        <is>
          <t>ALGODÃO</t>
        </is>
      </c>
      <c r="G111" s="6" t="inlineStr">
        <is>
          <t>DP 1949 B3RF</t>
        </is>
      </c>
      <c r="H111" s="7" t="n"/>
      <c r="I111" s="25">
        <f>IF(OR($C111="",$H111=""),"",IFERROR(INDEX(LAMINA_HORA!$C$5:$V$114,MATCH($C111,LAMINA_HORA!$A$5:$A$114,0),MATCH($H111,LAMINA_HORA!$C$3:$V$3,0)),"?"))</f>
        <v/>
      </c>
      <c r="J111" s="25">
        <f>IF(OR($C111="",$H111=""),"",IFERROR(INDEX(LAMINA_HORA!$W$5:$AP$114,MATCH($C111,LAMINA_HORA!$A$5:$A$114,0),MATCH($H111,LAMINA_HORA!$W$3:$AP$3,0)),"?"))</f>
        <v/>
      </c>
      <c r="K111" s="15" t="n">
        <v>150.14</v>
      </c>
      <c r="L111" s="16">
        <f>IF(OR($I111="",$I111="?",$K111=""),"",$I111*$K111*10)</f>
        <v/>
      </c>
      <c r="M111" s="17">
        <f>IFERROR(INDEX('PARAMETROS'!$B$16:$B$19,MATCH($E111,'PARAMETROS'!$A$16:$A$19,0)),"")</f>
        <v/>
      </c>
      <c r="N111" s="16">
        <f>IF(OR($L111="",$M111=""),"",$L111*$M111)</f>
        <v/>
      </c>
      <c r="O111" s="14">
        <f>IFERROR(INDEX(PIVOS!$I$5:$I$112,MATCH($B111&amp;"",PIVOS!$B$5:$B$112&amp;"",0)),"")</f>
        <v/>
      </c>
      <c r="P111" s="16">
        <f>IF(OR($O111="",$J111="",$J111="?"),"",$O111*$J111)</f>
        <v/>
      </c>
    </row>
    <row r="112">
      <c r="A112" s="24" t="n">
        <v>108</v>
      </c>
      <c r="B112" s="5" t="inlineStr">
        <is>
          <t>123</t>
        </is>
      </c>
      <c r="C112" s="7" t="inlineStr">
        <is>
          <t>P123</t>
        </is>
      </c>
      <c r="D112" s="5" t="inlineStr">
        <is>
          <t>Módulo 02</t>
        </is>
      </c>
      <c r="E112" s="5" t="inlineStr">
        <is>
          <t>RDM2</t>
        </is>
      </c>
      <c r="F112" s="5" t="inlineStr">
        <is>
          <t>ALGODÃO</t>
        </is>
      </c>
      <c r="G112" s="6" t="inlineStr">
        <is>
          <t>DP 1949 B3RF</t>
        </is>
      </c>
      <c r="H112" s="7" t="n"/>
      <c r="I112" s="25">
        <f>IF(OR($C112="",$H112=""),"",IFERROR(INDEX(LAMINA_HORA!$C$5:$V$114,MATCH($C112,LAMINA_HORA!$A$5:$A$114,0),MATCH($H112,LAMINA_HORA!$C$3:$V$3,0)),"?"))</f>
        <v/>
      </c>
      <c r="J112" s="25">
        <f>IF(OR($C112="",$H112=""),"",IFERROR(INDEX(LAMINA_HORA!$W$5:$AP$114,MATCH($C112,LAMINA_HORA!$A$5:$A$114,0),MATCH($H112,LAMINA_HORA!$W$3:$AP$3,0)),"?"))</f>
        <v/>
      </c>
      <c r="K112" s="15" t="n">
        <v>150.34</v>
      </c>
      <c r="L112" s="16">
        <f>IF(OR($I112="",$I112="?",$K112=""),"",$I112*$K112*10)</f>
        <v/>
      </c>
      <c r="M112" s="17">
        <f>IFERROR(INDEX('PARAMETROS'!$B$16:$B$19,MATCH($E112,'PARAMETROS'!$A$16:$A$19,0)),"")</f>
        <v/>
      </c>
      <c r="N112" s="16">
        <f>IF(OR($L112="",$M112=""),"",$L112*$M112)</f>
        <v/>
      </c>
      <c r="O112" s="14">
        <f>IFERROR(INDEX(PIVOS!$I$5:$I$112,MATCH($B112&amp;"",PIVOS!$B$5:$B$112&amp;"",0)),"")</f>
        <v/>
      </c>
      <c r="P112" s="16">
        <f>IF(OR($O112="",$J112="",$J112="?"),"",$O112*$J112)</f>
        <v/>
      </c>
    </row>
    <row r="113">
      <c r="A113" s="24" t="n">
        <v>109</v>
      </c>
      <c r="B113" s="5" t="inlineStr">
        <is>
          <t>124</t>
        </is>
      </c>
      <c r="C113" s="7" t="inlineStr">
        <is>
          <t>P124</t>
        </is>
      </c>
      <c r="D113" s="5" t="inlineStr">
        <is>
          <t>Módulo 02</t>
        </is>
      </c>
      <c r="E113" s="5" t="inlineStr">
        <is>
          <t>RDM2</t>
        </is>
      </c>
      <c r="F113" s="5" t="inlineStr">
        <is>
          <t>TABACO</t>
        </is>
      </c>
      <c r="G113" s="6" t="inlineStr"/>
      <c r="H113" s="7" t="n"/>
      <c r="I113" s="25">
        <f>IF(OR($C113="",$H113=""),"",IFERROR(INDEX(LAMINA_HORA!$C$5:$V$114,MATCH($C113,LAMINA_HORA!$A$5:$A$114,0),MATCH($H113,LAMINA_HORA!$C$3:$V$3,0)),"?"))</f>
        <v/>
      </c>
      <c r="J113" s="25">
        <f>IF(OR($C113="",$H113=""),"",IFERROR(INDEX(LAMINA_HORA!$W$5:$AP$114,MATCH($C113,LAMINA_HORA!$A$5:$A$114,0),MATCH($H113,LAMINA_HORA!$W$3:$AP$3,0)),"?"))</f>
        <v/>
      </c>
      <c r="K113" s="15" t="n">
        <v>150.14</v>
      </c>
      <c r="L113" s="16">
        <f>IF(OR($I113="",$I113="?",$K113=""),"",$I113*$K113*10)</f>
        <v/>
      </c>
      <c r="M113" s="17">
        <f>IFERROR(INDEX('PARAMETROS'!$B$16:$B$19,MATCH($E113,'PARAMETROS'!$A$16:$A$19,0)),"")</f>
        <v/>
      </c>
      <c r="N113" s="16">
        <f>IF(OR($L113="",$M113=""),"",$L113*$M113)</f>
        <v/>
      </c>
      <c r="O113" s="14">
        <f>IFERROR(INDEX(PIVOS!$I$5:$I$112,MATCH($B113&amp;"",PIVOS!$B$5:$B$112&amp;"",0)),"")</f>
        <v/>
      </c>
      <c r="P113" s="16">
        <f>IF(OR($O113="",$J113="",$J113="?"),"",$O113*$J113)</f>
        <v/>
      </c>
    </row>
    <row r="114">
      <c r="A114" s="24" t="n">
        <v>110</v>
      </c>
      <c r="B114" s="5" t="inlineStr">
        <is>
          <t>125</t>
        </is>
      </c>
      <c r="C114" s="7" t="inlineStr">
        <is>
          <t>P125</t>
        </is>
      </c>
      <c r="D114" s="5" t="inlineStr">
        <is>
          <t>Módulo 02</t>
        </is>
      </c>
      <c r="E114" s="5" t="inlineStr">
        <is>
          <t>RDM2</t>
        </is>
      </c>
      <c r="F114" s="5" t="inlineStr">
        <is>
          <t>SOJA SEQUEIRO</t>
        </is>
      </c>
      <c r="G114" s="6" t="inlineStr"/>
      <c r="H114" s="7" t="n"/>
      <c r="I114" s="25">
        <f>IF(OR($C114="",$H114=""),"",IFERROR(INDEX(LAMINA_HORA!$C$5:$V$114,MATCH($C114,LAMINA_HORA!$A$5:$A$114,0),MATCH($H114,LAMINA_HORA!$C$3:$V$3,0)),"?"))</f>
        <v/>
      </c>
      <c r="J114" s="25">
        <f>IF(OR($C114="",$H114=""),"",IFERROR(INDEX(LAMINA_HORA!$W$5:$AP$114,MATCH($C114,LAMINA_HORA!$A$5:$A$114,0),MATCH($H114,LAMINA_HORA!$W$3:$AP$3,0)),"?"))</f>
        <v/>
      </c>
      <c r="K114" s="15" t="n">
        <v>100.79</v>
      </c>
      <c r="L114" s="16">
        <f>IF(OR($I114="",$I114="?",$K114=""),"",$I114*$K114*10)</f>
        <v/>
      </c>
      <c r="M114" s="17">
        <f>IFERROR(INDEX('PARAMETROS'!$B$16:$B$19,MATCH($E114,'PARAMETROS'!$A$16:$A$19,0)),"")</f>
        <v/>
      </c>
      <c r="N114" s="16">
        <f>IF(OR($L114="",$M114=""),"",$L114*$M114)</f>
        <v/>
      </c>
      <c r="O114" s="14">
        <f>IFERROR(INDEX(PIVOS!$I$5:$I$112,MATCH($B114&amp;"",PIVOS!$B$5:$B$112&amp;"",0)),"")</f>
        <v/>
      </c>
      <c r="P114" s="16">
        <f>IF(OR($O114="",$J114="",$J114="?"),"",$O114*$J114)</f>
        <v/>
      </c>
    </row>
    <row r="115">
      <c r="A115" s="24" t="n">
        <v>111</v>
      </c>
      <c r="B115" s="5" t="inlineStr">
        <is>
          <t>126</t>
        </is>
      </c>
      <c r="C115" s="7" t="inlineStr">
        <is>
          <t>P126</t>
        </is>
      </c>
      <c r="D115" s="5" t="inlineStr">
        <is>
          <t>Módulo 02</t>
        </is>
      </c>
      <c r="E115" s="5" t="inlineStr">
        <is>
          <t>RDM2</t>
        </is>
      </c>
      <c r="F115" s="5" t="inlineStr">
        <is>
          <t>TABACO</t>
        </is>
      </c>
      <c r="G115" s="6" t="inlineStr"/>
      <c r="H115" s="7" t="n"/>
      <c r="I115" s="25">
        <f>IF(OR($C115="",$H115=""),"",IFERROR(INDEX(LAMINA_HORA!$C$5:$V$114,MATCH($C115,LAMINA_HORA!$A$5:$A$114,0),MATCH($H115,LAMINA_HORA!$C$3:$V$3,0)),"?"))</f>
        <v/>
      </c>
      <c r="J115" s="25">
        <f>IF(OR($C115="",$H115=""),"",IFERROR(INDEX(LAMINA_HORA!$W$5:$AP$114,MATCH($C115,LAMINA_HORA!$A$5:$A$114,0),MATCH($H115,LAMINA_HORA!$W$3:$AP$3,0)),"?"))</f>
        <v/>
      </c>
      <c r="K115" s="15" t="n">
        <v>140.57</v>
      </c>
      <c r="L115" s="16">
        <f>IF(OR($I115="",$I115="?",$K115=""),"",$I115*$K115*10)</f>
        <v/>
      </c>
      <c r="M115" s="17">
        <f>IFERROR(INDEX('PARAMETROS'!$B$16:$B$19,MATCH($E115,'PARAMETROS'!$A$16:$A$19,0)),"")</f>
        <v/>
      </c>
      <c r="N115" s="16">
        <f>IF(OR($L115="",$M115=""),"",$L115*$M115)</f>
        <v/>
      </c>
      <c r="O115" s="14">
        <f>IFERROR(INDEX(PIVOS!$I$5:$I$112,MATCH($B115&amp;"",PIVOS!$B$5:$B$112&amp;"",0)),"")</f>
        <v/>
      </c>
      <c r="P115" s="16">
        <f>IF(OR($O115="",$J115="",$J115="?"),"",$O115*$J115)</f>
        <v/>
      </c>
    </row>
    <row r="116">
      <c r="A116" s="24" t="n">
        <v>112</v>
      </c>
      <c r="B116" s="5" t="inlineStr">
        <is>
          <t>127</t>
        </is>
      </c>
      <c r="C116" s="7" t="inlineStr">
        <is>
          <t>P127</t>
        </is>
      </c>
      <c r="D116" s="5" t="inlineStr">
        <is>
          <t>Módulo 02</t>
        </is>
      </c>
      <c r="E116" s="5" t="inlineStr">
        <is>
          <t>RDM2</t>
        </is>
      </c>
      <c r="F116" s="5" t="inlineStr">
        <is>
          <t>SOJA SEQUEIRO</t>
        </is>
      </c>
      <c r="G116" s="6" t="inlineStr"/>
      <c r="H116" s="7" t="n"/>
      <c r="I116" s="25">
        <f>IF(OR($C116="",$H116=""),"",IFERROR(INDEX(LAMINA_HORA!$C$5:$V$114,MATCH($C116,LAMINA_HORA!$A$5:$A$114,0),MATCH($H116,LAMINA_HORA!$C$3:$V$3,0)),"?"))</f>
        <v/>
      </c>
      <c r="J116" s="25">
        <f>IF(OR($C116="",$H116=""),"",IFERROR(INDEX(LAMINA_HORA!$W$5:$AP$114,MATCH($C116,LAMINA_HORA!$A$5:$A$114,0),MATCH($H116,LAMINA_HORA!$W$3:$AP$3,0)),"?"))</f>
        <v/>
      </c>
      <c r="K116" s="15" t="n">
        <v>102.43</v>
      </c>
      <c r="L116" s="16">
        <f>IF(OR($I116="",$I116="?",$K116=""),"",$I116*$K116*10)</f>
        <v/>
      </c>
      <c r="M116" s="17">
        <f>IFERROR(INDEX('PARAMETROS'!$B$16:$B$19,MATCH($E116,'PARAMETROS'!$A$16:$A$19,0)),"")</f>
        <v/>
      </c>
      <c r="N116" s="16">
        <f>IF(OR($L116="",$M116=""),"",$L116*$M116)</f>
        <v/>
      </c>
      <c r="O116" s="14">
        <f>IFERROR(INDEX(PIVOS!$I$5:$I$112,MATCH($B116&amp;"",PIVOS!$B$5:$B$112&amp;"",0)),"")</f>
        <v/>
      </c>
      <c r="P116" s="16">
        <f>IF(OR($O116="",$J116="",$J116="?"),"",$O116*$J116)</f>
        <v/>
      </c>
    </row>
    <row r="117">
      <c r="A117" s="24" t="n">
        <v>113</v>
      </c>
      <c r="B117" s="5" t="inlineStr">
        <is>
          <t>133</t>
        </is>
      </c>
      <c r="C117" s="7" t="inlineStr">
        <is>
          <t>P133</t>
        </is>
      </c>
      <c r="D117" s="5" t="inlineStr">
        <is>
          <t>Módulo 02</t>
        </is>
      </c>
      <c r="E117" s="5" t="inlineStr">
        <is>
          <t>RDM2</t>
        </is>
      </c>
      <c r="F117" s="5" t="inlineStr">
        <is>
          <t>SOJA SEQUEIRO</t>
        </is>
      </c>
      <c r="G117" s="6" t="inlineStr"/>
      <c r="H117" s="7" t="n"/>
      <c r="I117" s="25">
        <f>IF(OR($C117="",$H117=""),"",IFERROR(INDEX(LAMINA_HORA!$C$5:$V$114,MATCH($C117,LAMINA_HORA!$A$5:$A$114,0),MATCH($H117,LAMINA_HORA!$C$3:$V$3,0)),"?"))</f>
        <v/>
      </c>
      <c r="J117" s="25">
        <f>IF(OR($C117="",$H117=""),"",IFERROR(INDEX(LAMINA_HORA!$W$5:$AP$114,MATCH($C117,LAMINA_HORA!$A$5:$A$114,0),MATCH($H117,LAMINA_HORA!$W$3:$AP$3,0)),"?"))</f>
        <v/>
      </c>
      <c r="K117" s="15" t="n">
        <v>101.12</v>
      </c>
      <c r="L117" s="16">
        <f>IF(OR($I117="",$I117="?",$K117=""),"",$I117*$K117*10)</f>
        <v/>
      </c>
      <c r="M117" s="17">
        <f>IFERROR(INDEX('PARAMETROS'!$B$16:$B$19,MATCH($E117,'PARAMETROS'!$A$16:$A$19,0)),"")</f>
        <v/>
      </c>
      <c r="N117" s="16">
        <f>IF(OR($L117="",$M117=""),"",$L117*$M117)</f>
        <v/>
      </c>
      <c r="O117" s="14">
        <f>IFERROR(INDEX(PIVOS!$I$5:$I$112,MATCH($B117&amp;"",PIVOS!$B$5:$B$112&amp;"",0)),"")</f>
        <v/>
      </c>
      <c r="P117" s="16">
        <f>IF(OR($O117="",$J117="",$J117="?"),"",$O117*$J117)</f>
        <v/>
      </c>
    </row>
    <row r="118">
      <c r="A118" s="3" t="inlineStr"/>
    </row>
    <row r="119">
      <c r="K119" s="26" t="inlineStr">
        <is>
          <t>TOTAL OS:</t>
        </is>
      </c>
      <c r="L119" s="27">
        <f>SUM($L$5:$L$117)</f>
        <v/>
      </c>
      <c r="M119" s="28" t="inlineStr">
        <is>
          <t>Vol(m3) / Energia(kWh):</t>
        </is>
      </c>
      <c r="N119" s="29">
        <f>SUM($N$5:$N$117)</f>
        <v/>
      </c>
      <c r="O119" s="28" t="inlineStr">
        <is>
          <t>kWh -&gt;</t>
        </is>
      </c>
    </row>
    <row r="121">
      <c r="A121" s="19" t="inlineStr">
        <is>
          <t>Energia (kWh) da OS = soma de Volume x CE do setor. Coluna 'Energia pot*h' (potencia x horas) e uma segunda estimativa (so pressurizacao) p/ comparar - NAO somar as duas. Preencher o % de cada pivo que entra na OS; lamina, horas, volume e energia calculam sozinhos.</t>
        </is>
      </c>
      <c r="B121" s="30" t="n"/>
      <c r="C121" s="30" t="n"/>
      <c r="D121" s="30" t="n"/>
      <c r="E121" s="30" t="n"/>
      <c r="F121" s="30" t="n"/>
      <c r="G121" s="30" t="n"/>
      <c r="H121" s="30" t="n"/>
      <c r="I121" s="30" t="n"/>
      <c r="J121" s="30" t="n"/>
      <c r="K121" s="30" t="n"/>
      <c r="L121" s="30" t="n"/>
      <c r="M121" s="30" t="n"/>
      <c r="N121" s="30" t="n"/>
      <c r="O121" s="30" t="n"/>
      <c r="P121" s="31" t="n"/>
    </row>
  </sheetData>
  <mergeCells count="1">
    <mergeCell ref="A121:P1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/>
  </sheetPr>
  <dimension ref="A1:M1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1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13" customWidth="1" min="10" max="10"/>
    <col width="13" customWidth="1" min="11" max="11"/>
    <col width="13" customWidth="1" min="12" max="12"/>
    <col width="26" customWidth="1" min="13" max="13"/>
  </cols>
  <sheetData>
    <row r="1" ht="20" customHeight="1">
      <c r="A1" s="1" t="inlineStr">
        <is>
          <t>PIVOS - cadastro + consumo especifico (CE) por pivo</t>
        </is>
      </c>
    </row>
    <row r="2">
      <c r="A2" s="2" t="inlineStr">
        <is>
          <t>CE pressurizacao = Potencia(kW) / Vazao(m3/h). CE cadeia = por setor de energia (PARAMETROS). CE adotado usa a cadeia.</t>
        </is>
      </c>
    </row>
    <row r="4" ht="30" customHeight="1">
      <c r="A4" s="4" t="inlineStr">
        <is>
          <t>Pivo</t>
        </is>
      </c>
      <c r="B4" s="4" t="inlineStr">
        <is>
          <t>N</t>
        </is>
      </c>
      <c r="C4" s="4" t="inlineStr">
        <is>
          <t>Faz</t>
        </is>
      </c>
      <c r="D4" s="4" t="inlineStr">
        <is>
          <t>Modulo</t>
        </is>
      </c>
      <c r="E4" s="4" t="inlineStr">
        <is>
          <t>Setor</t>
        </is>
      </c>
      <c r="F4" s="4" t="inlineStr">
        <is>
          <t>Area (ha)</t>
        </is>
      </c>
      <c r="G4" s="4" t="inlineStr">
        <is>
          <t>Vazao (m3/h)</t>
        </is>
      </c>
      <c r="H4" s="4" t="inlineStr">
        <is>
          <t>Pot (cv)</t>
        </is>
      </c>
      <c r="I4" s="4" t="inlineStr">
        <is>
          <t>Pot (kW)</t>
        </is>
      </c>
      <c r="J4" s="4" t="inlineStr">
        <is>
          <t>CE press (kWh/m3)</t>
        </is>
      </c>
      <c r="K4" s="4" t="inlineStr">
        <is>
          <t>CE cadeia (kWh/m3)</t>
        </is>
      </c>
      <c r="L4" s="4" t="inlineStr">
        <is>
          <t>CE adotado</t>
        </is>
      </c>
      <c r="M4" s="4" t="inlineStr">
        <is>
          <t>Observacao</t>
        </is>
      </c>
    </row>
    <row r="5">
      <c r="A5" s="5" t="inlineStr">
        <is>
          <t>Pivô 01</t>
        </is>
      </c>
      <c r="B5" s="24" t="inlineStr">
        <is>
          <t>1</t>
        </is>
      </c>
      <c r="C5" s="5" t="inlineStr">
        <is>
          <t>Karitel</t>
        </is>
      </c>
      <c r="D5" s="5" t="inlineStr">
        <is>
          <t>Módulo 01</t>
        </is>
      </c>
      <c r="E5" s="5" t="inlineStr">
        <is>
          <t>KM1</t>
        </is>
      </c>
      <c r="F5" s="15" t="n">
        <v>150.01</v>
      </c>
      <c r="G5" s="15" t="n">
        <v>714.33</v>
      </c>
      <c r="H5" s="32" t="n">
        <v>200</v>
      </c>
      <c r="I5" s="33" t="n">
        <v>149.1399744</v>
      </c>
      <c r="J5" s="34">
        <f>IF(OR($I5="",$G5="",$G5=0),"",$I5/$G5)</f>
        <v/>
      </c>
      <c r="K5" s="17">
        <f>IFERROR(INDEX('PARAMETROS'!$B$16:$B$19,MATCH($E5,'PARAMETROS'!$A$16:$A$19,0)),"")</f>
        <v/>
      </c>
      <c r="L5" s="17">
        <f>IF($K5&lt;&gt;"",$K5,$J5)</f>
        <v/>
      </c>
      <c r="M5" s="19" t="inlineStr"/>
    </row>
    <row r="6">
      <c r="A6" s="5" t="inlineStr">
        <is>
          <t>Pivô 02</t>
        </is>
      </c>
      <c r="B6" s="24" t="inlineStr">
        <is>
          <t>2</t>
        </is>
      </c>
      <c r="C6" s="5" t="inlineStr">
        <is>
          <t>Karitel</t>
        </is>
      </c>
      <c r="D6" s="5" t="inlineStr">
        <is>
          <t>Módulo 01</t>
        </is>
      </c>
      <c r="E6" s="5" t="inlineStr">
        <is>
          <t>KM1</t>
        </is>
      </c>
      <c r="F6" s="15" t="n">
        <v>123.72</v>
      </c>
      <c r="G6" s="15" t="n">
        <v>523.8</v>
      </c>
      <c r="H6" s="32" t="n">
        <v>200</v>
      </c>
      <c r="I6" s="33" t="n">
        <v>149.1399744</v>
      </c>
      <c r="J6" s="34">
        <f>IF(OR($I6="",$G6="",$G6=0),"",$I6/$G6)</f>
        <v/>
      </c>
      <c r="K6" s="17">
        <f>IFERROR(INDEX('PARAMETROS'!$B$16:$B$19,MATCH($E6,'PARAMETROS'!$A$16:$A$19,0)),"")</f>
        <v/>
      </c>
      <c r="L6" s="17">
        <f>IF($K6&lt;&gt;"",$K6,$J6)</f>
        <v/>
      </c>
      <c r="M6" s="19" t="inlineStr"/>
    </row>
    <row r="7">
      <c r="A7" s="5" t="inlineStr">
        <is>
          <t>Pivô 03</t>
        </is>
      </c>
      <c r="B7" s="24" t="inlineStr">
        <is>
          <t>3</t>
        </is>
      </c>
      <c r="C7" s="5" t="inlineStr">
        <is>
          <t>Karitel</t>
        </is>
      </c>
      <c r="D7" s="5" t="inlineStr">
        <is>
          <t>Módulo 01</t>
        </is>
      </c>
      <c r="E7" s="5" t="inlineStr">
        <is>
          <t>KM1</t>
        </is>
      </c>
      <c r="F7" s="15" t="n">
        <v>150.01</v>
      </c>
      <c r="G7" s="15" t="n">
        <v>714.33</v>
      </c>
      <c r="H7" s="32" t="n">
        <v>200</v>
      </c>
      <c r="I7" s="33" t="n">
        <v>149.1399744</v>
      </c>
      <c r="J7" s="34">
        <f>IF(OR($I7="",$G7="",$G7=0),"",$I7/$G7)</f>
        <v/>
      </c>
      <c r="K7" s="17">
        <f>IFERROR(INDEX('PARAMETROS'!$B$16:$B$19,MATCH($E7,'PARAMETROS'!$A$16:$A$19,0)),"")</f>
        <v/>
      </c>
      <c r="L7" s="17">
        <f>IF($K7&lt;&gt;"",$K7,$J7)</f>
        <v/>
      </c>
      <c r="M7" s="19" t="inlineStr"/>
    </row>
    <row r="8">
      <c r="A8" s="5" t="inlineStr">
        <is>
          <t>Pivô 04</t>
        </is>
      </c>
      <c r="B8" s="24" t="inlineStr">
        <is>
          <t>4</t>
        </is>
      </c>
      <c r="C8" s="5" t="inlineStr">
        <is>
          <t>Karitel</t>
        </is>
      </c>
      <c r="D8" s="5" t="inlineStr">
        <is>
          <t>Módulo 01</t>
        </is>
      </c>
      <c r="E8" s="5" t="inlineStr">
        <is>
          <t>KM1</t>
        </is>
      </c>
      <c r="F8" s="15" t="n">
        <v>62.76</v>
      </c>
      <c r="G8" s="15" t="n">
        <v>290</v>
      </c>
      <c r="H8" s="32" t="n">
        <v>40</v>
      </c>
      <c r="I8" s="33" t="n">
        <v>29.82799488</v>
      </c>
      <c r="J8" s="34">
        <f>IF(OR($I8="",$G8="",$G8=0),"",$I8/$G8)</f>
        <v/>
      </c>
      <c r="K8" s="17">
        <f>IFERROR(INDEX('PARAMETROS'!$B$16:$B$19,MATCH($E8,'PARAMETROS'!$A$16:$A$19,0)),"")</f>
        <v/>
      </c>
      <c r="L8" s="17">
        <f>IF($K8&lt;&gt;"",$K8,$J8)</f>
        <v/>
      </c>
      <c r="M8" s="19" t="inlineStr"/>
    </row>
    <row r="9">
      <c r="A9" s="5" t="inlineStr">
        <is>
          <t>Pivô 05</t>
        </is>
      </c>
      <c r="B9" s="24" t="inlineStr">
        <is>
          <t>5</t>
        </is>
      </c>
      <c r="C9" s="5" t="inlineStr">
        <is>
          <t>Karitel</t>
        </is>
      </c>
      <c r="D9" s="5" t="inlineStr">
        <is>
          <t>Módulo 01</t>
        </is>
      </c>
      <c r="E9" s="5" t="inlineStr">
        <is>
          <t>KM1</t>
        </is>
      </c>
      <c r="F9" s="15" t="n">
        <v>150.01</v>
      </c>
      <c r="G9" s="15" t="n">
        <v>692.9</v>
      </c>
      <c r="H9" s="32" t="n">
        <v>250</v>
      </c>
      <c r="I9" s="33" t="n">
        <v>186.424968</v>
      </c>
      <c r="J9" s="34">
        <f>IF(OR($I9="",$G9="",$G9=0),"",$I9/$G9)</f>
        <v/>
      </c>
      <c r="K9" s="17">
        <f>IFERROR(INDEX('PARAMETROS'!$B$16:$B$19,MATCH($E9,'PARAMETROS'!$A$16:$A$19,0)),"")</f>
        <v/>
      </c>
      <c r="L9" s="17">
        <f>IF($K9&lt;&gt;"",$K9,$J9)</f>
        <v/>
      </c>
      <c r="M9" s="19" t="inlineStr"/>
    </row>
    <row r="10">
      <c r="A10" s="5" t="inlineStr">
        <is>
          <t>Pivô 06</t>
        </is>
      </c>
      <c r="B10" s="24" t="inlineStr">
        <is>
          <t>6</t>
        </is>
      </c>
      <c r="C10" s="5" t="inlineStr">
        <is>
          <t>Karitel</t>
        </is>
      </c>
      <c r="D10" s="5" t="inlineStr">
        <is>
          <t>Módulo 01</t>
        </is>
      </c>
      <c r="E10" s="5" t="inlineStr">
        <is>
          <t>KM1</t>
        </is>
      </c>
      <c r="F10" s="15" t="n">
        <v>150.01</v>
      </c>
      <c r="G10" s="15" t="n">
        <v>641</v>
      </c>
      <c r="H10" s="32" t="n">
        <v>250</v>
      </c>
      <c r="I10" s="33" t="n">
        <v>186.424968</v>
      </c>
      <c r="J10" s="34">
        <f>IF(OR($I10="",$G10="",$G10=0),"",$I10/$G10)</f>
        <v/>
      </c>
      <c r="K10" s="17">
        <f>IFERROR(INDEX('PARAMETROS'!$B$16:$B$19,MATCH($E10,'PARAMETROS'!$A$16:$A$19,0)),"")</f>
        <v/>
      </c>
      <c r="L10" s="17">
        <f>IF($K10&lt;&gt;"",$K10,$J10)</f>
        <v/>
      </c>
      <c r="M10" s="19" t="inlineStr"/>
    </row>
    <row r="11">
      <c r="A11" s="5" t="inlineStr">
        <is>
          <t>Pivô 07</t>
        </is>
      </c>
      <c r="B11" s="24" t="inlineStr">
        <is>
          <t>7</t>
        </is>
      </c>
      <c r="C11" s="5" t="inlineStr">
        <is>
          <t>Karitel</t>
        </is>
      </c>
      <c r="D11" s="5" t="inlineStr">
        <is>
          <t>Módulo 01</t>
        </is>
      </c>
      <c r="E11" s="5" t="inlineStr">
        <is>
          <t>KM1</t>
        </is>
      </c>
      <c r="F11" s="15" t="n">
        <v>120.13</v>
      </c>
      <c r="G11" s="15" t="n">
        <v>572.05</v>
      </c>
      <c r="H11" s="32" t="n">
        <v>250</v>
      </c>
      <c r="I11" s="33" t="n">
        <v>186.424968</v>
      </c>
      <c r="J11" s="34">
        <f>IF(OR($I11="",$G11="",$G11=0),"",$I11/$G11)</f>
        <v/>
      </c>
      <c r="K11" s="17">
        <f>IFERROR(INDEX('PARAMETROS'!$B$16:$B$19,MATCH($E11,'PARAMETROS'!$A$16:$A$19,0)),"")</f>
        <v/>
      </c>
      <c r="L11" s="17">
        <f>IF($K11&lt;&gt;"",$K11,$J11)</f>
        <v/>
      </c>
      <c r="M11" s="19" t="inlineStr"/>
    </row>
    <row r="12">
      <c r="A12" s="5" t="inlineStr">
        <is>
          <t>Pivô 08</t>
        </is>
      </c>
      <c r="B12" s="24" t="inlineStr">
        <is>
          <t>8</t>
        </is>
      </c>
      <c r="C12" s="5" t="inlineStr">
        <is>
          <t>Karitel</t>
        </is>
      </c>
      <c r="D12" s="5" t="inlineStr">
        <is>
          <t>Módulo 01</t>
        </is>
      </c>
      <c r="E12" s="5" t="inlineStr">
        <is>
          <t>KM1</t>
        </is>
      </c>
      <c r="F12" s="15" t="n">
        <v>150.01</v>
      </c>
      <c r="G12" s="15" t="n">
        <v>714.33</v>
      </c>
      <c r="H12" s="32" t="n">
        <v>250</v>
      </c>
      <c r="I12" s="33" t="n">
        <v>186.424968</v>
      </c>
      <c r="J12" s="34">
        <f>IF(OR($I12="",$G12="",$G12=0),"",$I12/$G12)</f>
        <v/>
      </c>
      <c r="K12" s="17">
        <f>IFERROR(INDEX('PARAMETROS'!$B$16:$B$19,MATCH($E12,'PARAMETROS'!$A$16:$A$19,0)),"")</f>
        <v/>
      </c>
      <c r="L12" s="17">
        <f>IF($K12&lt;&gt;"",$K12,$J12)</f>
        <v/>
      </c>
      <c r="M12" s="19" t="inlineStr"/>
    </row>
    <row r="13">
      <c r="A13" s="5" t="inlineStr">
        <is>
          <t>Pivô 09</t>
        </is>
      </c>
      <c r="B13" s="24" t="inlineStr">
        <is>
          <t>9</t>
        </is>
      </c>
      <c r="C13" s="5" t="inlineStr">
        <is>
          <t>Karitel</t>
        </is>
      </c>
      <c r="D13" s="5" t="inlineStr">
        <is>
          <t>Módulo 01</t>
        </is>
      </c>
      <c r="E13" s="5" t="inlineStr">
        <is>
          <t>KM1</t>
        </is>
      </c>
      <c r="F13" s="15" t="n">
        <v>120.13</v>
      </c>
      <c r="G13" s="15" t="n">
        <v>572.5</v>
      </c>
      <c r="H13" s="32" t="n">
        <v>200</v>
      </c>
      <c r="I13" s="33" t="n">
        <v>149.1399744</v>
      </c>
      <c r="J13" s="34">
        <f>IF(OR($I13="",$G13="",$G13=0),"",$I13/$G13)</f>
        <v/>
      </c>
      <c r="K13" s="17">
        <f>IFERROR(INDEX('PARAMETROS'!$B$16:$B$19,MATCH($E13,'PARAMETROS'!$A$16:$A$19,0)),"")</f>
        <v/>
      </c>
      <c r="L13" s="17">
        <f>IF($K13&lt;&gt;"",$K13,$J13)</f>
        <v/>
      </c>
      <c r="M13" s="19" t="inlineStr"/>
    </row>
    <row r="14">
      <c r="A14" s="5" t="inlineStr">
        <is>
          <t>Pivô 10</t>
        </is>
      </c>
      <c r="B14" s="24" t="inlineStr">
        <is>
          <t>10</t>
        </is>
      </c>
      <c r="C14" s="5" t="inlineStr">
        <is>
          <t>Karitel</t>
        </is>
      </c>
      <c r="D14" s="5" t="inlineStr">
        <is>
          <t>Módulo 01</t>
        </is>
      </c>
      <c r="E14" s="5" t="inlineStr">
        <is>
          <t>KM1</t>
        </is>
      </c>
      <c r="F14" s="15" t="n">
        <v>150.01</v>
      </c>
      <c r="G14" s="15" t="n">
        <v>714.33</v>
      </c>
      <c r="H14" s="32" t="n">
        <v>250</v>
      </c>
      <c r="I14" s="33" t="n">
        <v>186.424968</v>
      </c>
      <c r="J14" s="34">
        <f>IF(OR($I14="",$G14="",$G14=0),"",$I14/$G14)</f>
        <v/>
      </c>
      <c r="K14" s="17">
        <f>IFERROR(INDEX('PARAMETROS'!$B$16:$B$19,MATCH($E14,'PARAMETROS'!$A$16:$A$19,0)),"")</f>
        <v/>
      </c>
      <c r="L14" s="17">
        <f>IF($K14&lt;&gt;"",$K14,$J14)</f>
        <v/>
      </c>
      <c r="M14" s="19" t="inlineStr"/>
    </row>
    <row r="15">
      <c r="A15" s="5" t="inlineStr">
        <is>
          <t>Pivô 11</t>
        </is>
      </c>
      <c r="B15" s="24" t="inlineStr">
        <is>
          <t>11</t>
        </is>
      </c>
      <c r="C15" s="5" t="inlineStr">
        <is>
          <t>Karitel</t>
        </is>
      </c>
      <c r="D15" s="5" t="inlineStr">
        <is>
          <t>Módulo 01</t>
        </is>
      </c>
      <c r="E15" s="5" t="inlineStr">
        <is>
          <t>KM1</t>
        </is>
      </c>
      <c r="F15" s="15" t="n">
        <v>121.12</v>
      </c>
      <c r="G15" s="15" t="n">
        <v>547.92</v>
      </c>
      <c r="H15" s="32" t="n">
        <v>200</v>
      </c>
      <c r="I15" s="33" t="n">
        <v>149.1399744</v>
      </c>
      <c r="J15" s="34">
        <f>IF(OR($I15="",$G15="",$G15=0),"",$I15/$G15)</f>
        <v/>
      </c>
      <c r="K15" s="17">
        <f>IFERROR(INDEX('PARAMETROS'!$B$16:$B$19,MATCH($E15,'PARAMETROS'!$A$16:$A$19,0)),"")</f>
        <v/>
      </c>
      <c r="L15" s="17">
        <f>IF($K15&lt;&gt;"",$K15,$J15)</f>
        <v/>
      </c>
      <c r="M15" s="19" t="inlineStr"/>
    </row>
    <row r="16">
      <c r="A16" s="5" t="inlineStr">
        <is>
          <t>Pivô 12</t>
        </is>
      </c>
      <c r="B16" s="24" t="inlineStr">
        <is>
          <t>12</t>
        </is>
      </c>
      <c r="C16" s="5" t="inlineStr">
        <is>
          <t>Karitel</t>
        </is>
      </c>
      <c r="D16" s="5" t="inlineStr">
        <is>
          <t>Módulo 01</t>
        </is>
      </c>
      <c r="E16" s="5" t="inlineStr">
        <is>
          <t>KM1</t>
        </is>
      </c>
      <c r="F16" s="15" t="n">
        <v>150.01</v>
      </c>
      <c r="G16" s="15" t="n">
        <v>714.33</v>
      </c>
      <c r="H16" s="32" t="n">
        <v>250</v>
      </c>
      <c r="I16" s="33" t="n">
        <v>186.424968</v>
      </c>
      <c r="J16" s="34">
        <f>IF(OR($I16="",$G16="",$G16=0),"",$I16/$G16)</f>
        <v/>
      </c>
      <c r="K16" s="17">
        <f>IFERROR(INDEX('PARAMETROS'!$B$16:$B$19,MATCH($E16,'PARAMETROS'!$A$16:$A$19,0)),"")</f>
        <v/>
      </c>
      <c r="L16" s="17">
        <f>IF($K16&lt;&gt;"",$K16,$J16)</f>
        <v/>
      </c>
      <c r="M16" s="19" t="inlineStr"/>
    </row>
    <row r="17">
      <c r="A17" s="5" t="inlineStr">
        <is>
          <t>Pivô 13</t>
        </is>
      </c>
      <c r="B17" s="24" t="inlineStr">
        <is>
          <t>13</t>
        </is>
      </c>
      <c r="C17" s="5" t="inlineStr">
        <is>
          <t>Karitel</t>
        </is>
      </c>
      <c r="D17" s="5" t="inlineStr">
        <is>
          <t>Módulo 01</t>
        </is>
      </c>
      <c r="E17" s="5" t="inlineStr">
        <is>
          <t>KM1</t>
        </is>
      </c>
      <c r="F17" s="15" t="n">
        <v>71.3</v>
      </c>
      <c r="G17" s="15" t="n">
        <v>339.52</v>
      </c>
      <c r="H17" s="32" t="n">
        <v>75</v>
      </c>
      <c r="I17" s="33" t="n">
        <v>111.9</v>
      </c>
      <c r="J17" s="34">
        <f>IF(OR($I17="",$G17="",$G17=0),"",$I17/$G17)</f>
        <v/>
      </c>
      <c r="K17" s="17">
        <f>IFERROR(INDEX('PARAMETROS'!$B$16:$B$19,MATCH($E17,'PARAMETROS'!$A$16:$A$19,0)),"")</f>
        <v/>
      </c>
      <c r="L17" s="17">
        <f>IF($K17&lt;&gt;"",$K17,$J17)</f>
        <v/>
      </c>
      <c r="M17" s="19" t="inlineStr"/>
    </row>
    <row r="18">
      <c r="A18" s="5" t="inlineStr">
        <is>
          <t>Pivô 14</t>
        </is>
      </c>
      <c r="B18" s="24" t="inlineStr">
        <is>
          <t>14</t>
        </is>
      </c>
      <c r="C18" s="5" t="inlineStr">
        <is>
          <t>Karitel</t>
        </is>
      </c>
      <c r="D18" s="5" t="inlineStr">
        <is>
          <t>Módulo 01</t>
        </is>
      </c>
      <c r="E18" s="5" t="inlineStr">
        <is>
          <t>KM1</t>
        </is>
      </c>
      <c r="F18" s="15" t="n">
        <v>150.01</v>
      </c>
      <c r="G18" s="15" t="n">
        <v>614.33</v>
      </c>
      <c r="H18" s="32" t="n">
        <v>75</v>
      </c>
      <c r="I18" s="33" t="n">
        <v>55.9274904</v>
      </c>
      <c r="J18" s="34">
        <f>IF(OR($I18="",$G18="",$G18=0),"",$I18/$G18)</f>
        <v/>
      </c>
      <c r="K18" s="17">
        <f>IFERROR(INDEX('PARAMETROS'!$B$16:$B$19,MATCH($E18,'PARAMETROS'!$A$16:$A$19,0)),"")</f>
        <v/>
      </c>
      <c r="L18" s="17">
        <f>IF($K18&lt;&gt;"",$K18,$J18)</f>
        <v/>
      </c>
      <c r="M18" s="19" t="inlineStr"/>
    </row>
    <row r="19">
      <c r="A19" s="5" t="inlineStr">
        <is>
          <t>Pivô 15</t>
        </is>
      </c>
      <c r="B19" s="24" t="inlineStr">
        <is>
          <t>15</t>
        </is>
      </c>
      <c r="C19" s="5" t="inlineStr">
        <is>
          <t>Karitel</t>
        </is>
      </c>
      <c r="D19" s="5" t="inlineStr">
        <is>
          <t>Módulo 01</t>
        </is>
      </c>
      <c r="E19" s="5" t="inlineStr">
        <is>
          <t>KM1</t>
        </is>
      </c>
      <c r="F19" s="15" t="n">
        <v>150.01</v>
      </c>
      <c r="G19" s="15" t="n">
        <v>714.33</v>
      </c>
      <c r="H19" s="32" t="n">
        <v>200</v>
      </c>
      <c r="I19" s="33" t="n">
        <v>149.1399744</v>
      </c>
      <c r="J19" s="34">
        <f>IF(OR($I19="",$G19="",$G19=0),"",$I19/$G19)</f>
        <v/>
      </c>
      <c r="K19" s="17">
        <f>IFERROR(INDEX('PARAMETROS'!$B$16:$B$19,MATCH($E19,'PARAMETROS'!$A$16:$A$19,0)),"")</f>
        <v/>
      </c>
      <c r="L19" s="17">
        <f>IF($K19&lt;&gt;"",$K19,$J19)</f>
        <v/>
      </c>
      <c r="M19" s="19" t="inlineStr"/>
    </row>
    <row r="20">
      <c r="A20" s="5" t="inlineStr">
        <is>
          <t>Pivô 16</t>
        </is>
      </c>
      <c r="B20" s="24" t="inlineStr">
        <is>
          <t>16</t>
        </is>
      </c>
      <c r="C20" s="5" t="inlineStr">
        <is>
          <t>Karitel</t>
        </is>
      </c>
      <c r="D20" s="5" t="inlineStr">
        <is>
          <t>Módulo 01</t>
        </is>
      </c>
      <c r="E20" s="5" t="inlineStr">
        <is>
          <t>KM1</t>
        </is>
      </c>
      <c r="F20" s="15" t="n">
        <v>150.01</v>
      </c>
      <c r="G20" s="15" t="n">
        <v>714.33</v>
      </c>
      <c r="H20" s="32" t="n">
        <v>250</v>
      </c>
      <c r="I20" s="33" t="n">
        <v>186.424968</v>
      </c>
      <c r="J20" s="34">
        <f>IF(OR($I20="",$G20="",$G20=0),"",$I20/$G20)</f>
        <v/>
      </c>
      <c r="K20" s="17">
        <f>IFERROR(INDEX('PARAMETROS'!$B$16:$B$19,MATCH($E20,'PARAMETROS'!$A$16:$A$19,0)),"")</f>
        <v/>
      </c>
      <c r="L20" s="17">
        <f>IF($K20&lt;&gt;"",$K20,$J20)</f>
        <v/>
      </c>
      <c r="M20" s="19" t="inlineStr"/>
    </row>
    <row r="21">
      <c r="A21" s="5" t="inlineStr">
        <is>
          <t>Pivô 17</t>
        </is>
      </c>
      <c r="B21" s="24" t="inlineStr">
        <is>
          <t>17</t>
        </is>
      </c>
      <c r="C21" s="5" t="inlineStr">
        <is>
          <t>Karitel</t>
        </is>
      </c>
      <c r="D21" s="5" t="inlineStr">
        <is>
          <t>Módulo 01</t>
        </is>
      </c>
      <c r="E21" s="5" t="inlineStr">
        <is>
          <t>KM1</t>
        </is>
      </c>
      <c r="F21" s="15" t="n">
        <v>150.01</v>
      </c>
      <c r="G21" s="15" t="n">
        <v>714.33</v>
      </c>
      <c r="H21" s="32" t="n">
        <v>200</v>
      </c>
      <c r="I21" s="33" t="n">
        <v>149.1399744</v>
      </c>
      <c r="J21" s="34">
        <f>IF(OR($I21="",$G21="",$G21=0),"",$I21/$G21)</f>
        <v/>
      </c>
      <c r="K21" s="17">
        <f>IFERROR(INDEX('PARAMETROS'!$B$16:$B$19,MATCH($E21,'PARAMETROS'!$A$16:$A$19,0)),"")</f>
        <v/>
      </c>
      <c r="L21" s="17">
        <f>IF($K21&lt;&gt;"",$K21,$J21)</f>
        <v/>
      </c>
      <c r="M21" s="19" t="inlineStr"/>
    </row>
    <row r="22">
      <c r="A22" s="5" t="inlineStr">
        <is>
          <t>Pivô 18</t>
        </is>
      </c>
      <c r="B22" s="24" t="inlineStr">
        <is>
          <t>18</t>
        </is>
      </c>
      <c r="C22" s="5" t="inlineStr">
        <is>
          <t>Karitel</t>
        </is>
      </c>
      <c r="D22" s="5" t="inlineStr">
        <is>
          <t>Módulo 01</t>
        </is>
      </c>
      <c r="E22" s="5" t="inlineStr">
        <is>
          <t>KM1</t>
        </is>
      </c>
      <c r="F22" s="15" t="n">
        <v>150.01</v>
      </c>
      <c r="G22" s="15" t="n">
        <v>714.33</v>
      </c>
      <c r="H22" s="32" t="n">
        <v>200</v>
      </c>
      <c r="I22" s="33" t="n">
        <v>149.1399744</v>
      </c>
      <c r="J22" s="34">
        <f>IF(OR($I22="",$G22="",$G22=0),"",$I22/$G22)</f>
        <v/>
      </c>
      <c r="K22" s="17">
        <f>IFERROR(INDEX('PARAMETROS'!$B$16:$B$19,MATCH($E22,'PARAMETROS'!$A$16:$A$19,0)),"")</f>
        <v/>
      </c>
      <c r="L22" s="17">
        <f>IF($K22&lt;&gt;"",$K22,$J22)</f>
        <v/>
      </c>
      <c r="M22" s="19" t="inlineStr"/>
    </row>
    <row r="23">
      <c r="A23" s="5" t="inlineStr">
        <is>
          <t>Pivô 19</t>
        </is>
      </c>
      <c r="B23" s="24" t="inlineStr">
        <is>
          <t>19</t>
        </is>
      </c>
      <c r="C23" s="5" t="inlineStr">
        <is>
          <t>Karitel</t>
        </is>
      </c>
      <c r="D23" s="5" t="inlineStr">
        <is>
          <t>Módulo 01</t>
        </is>
      </c>
      <c r="E23" s="5" t="inlineStr">
        <is>
          <t>KM1</t>
        </is>
      </c>
      <c r="F23" s="15" t="n">
        <v>150.01</v>
      </c>
      <c r="G23" s="15" t="n">
        <v>714.33</v>
      </c>
      <c r="H23" s="32" t="n">
        <v>200</v>
      </c>
      <c r="I23" s="33" t="n">
        <v>149.1399744</v>
      </c>
      <c r="J23" s="34">
        <f>IF(OR($I23="",$G23="",$G23=0),"",$I23/$G23)</f>
        <v/>
      </c>
      <c r="K23" s="17">
        <f>IFERROR(INDEX('PARAMETROS'!$B$16:$B$19,MATCH($E23,'PARAMETROS'!$A$16:$A$19,0)),"")</f>
        <v/>
      </c>
      <c r="L23" s="17">
        <f>IF($K23&lt;&gt;"",$K23,$J23)</f>
        <v/>
      </c>
      <c r="M23" s="19" t="inlineStr"/>
    </row>
    <row r="24">
      <c r="A24" s="5" t="inlineStr">
        <is>
          <t>Pivô 20</t>
        </is>
      </c>
      <c r="B24" s="24" t="inlineStr">
        <is>
          <t>20</t>
        </is>
      </c>
      <c r="C24" s="5" t="inlineStr">
        <is>
          <t>Karitel</t>
        </is>
      </c>
      <c r="D24" s="5" t="inlineStr">
        <is>
          <t>Módulo 01</t>
        </is>
      </c>
      <c r="E24" s="5" t="inlineStr">
        <is>
          <t>KM1</t>
        </is>
      </c>
      <c r="F24" s="15" t="n">
        <v>150.01</v>
      </c>
      <c r="G24" s="15" t="n">
        <v>714.33</v>
      </c>
      <c r="H24" s="32" t="n">
        <v>100</v>
      </c>
      <c r="I24" s="33" t="n">
        <v>74.5699872</v>
      </c>
      <c r="J24" s="34">
        <f>IF(OR($I24="",$G24="",$G24=0),"",$I24/$G24)</f>
        <v/>
      </c>
      <c r="K24" s="17">
        <f>IFERROR(INDEX('PARAMETROS'!$B$16:$B$19,MATCH($E24,'PARAMETROS'!$A$16:$A$19,0)),"")</f>
        <v/>
      </c>
      <c r="L24" s="17">
        <f>IF($K24&lt;&gt;"",$K24,$J24)</f>
        <v/>
      </c>
      <c r="M24" s="19" t="inlineStr"/>
    </row>
    <row r="25">
      <c r="A25" s="5" t="inlineStr">
        <is>
          <t>Pivô 21</t>
        </is>
      </c>
      <c r="B25" s="24" t="inlineStr">
        <is>
          <t>21</t>
        </is>
      </c>
      <c r="C25" s="5" t="inlineStr">
        <is>
          <t>Karitel</t>
        </is>
      </c>
      <c r="D25" s="5" t="inlineStr">
        <is>
          <t>Módulo 01</t>
        </is>
      </c>
      <c r="E25" s="5" t="inlineStr">
        <is>
          <t>KM1</t>
        </is>
      </c>
      <c r="F25" s="15" t="n">
        <v>150.01</v>
      </c>
      <c r="G25" s="15" t="n">
        <v>714.33</v>
      </c>
      <c r="H25" s="32" t="n">
        <v>200</v>
      </c>
      <c r="I25" s="33" t="n">
        <v>149.1399744</v>
      </c>
      <c r="J25" s="34">
        <f>IF(OR($I25="",$G25="",$G25=0),"",$I25/$G25)</f>
        <v/>
      </c>
      <c r="K25" s="17">
        <f>IFERROR(INDEX('PARAMETROS'!$B$16:$B$19,MATCH($E25,'PARAMETROS'!$A$16:$A$19,0)),"")</f>
        <v/>
      </c>
      <c r="L25" s="17">
        <f>IF($K25&lt;&gt;"",$K25,$J25)</f>
        <v/>
      </c>
      <c r="M25" s="19" t="inlineStr"/>
    </row>
    <row r="26">
      <c r="A26" s="5" t="inlineStr">
        <is>
          <t>Pivô 22</t>
        </is>
      </c>
      <c r="B26" s="24" t="inlineStr">
        <is>
          <t>22</t>
        </is>
      </c>
      <c r="C26" s="5" t="inlineStr">
        <is>
          <t>Karitel</t>
        </is>
      </c>
      <c r="D26" s="5" t="inlineStr">
        <is>
          <t>Módulo 01</t>
        </is>
      </c>
      <c r="E26" s="5" t="inlineStr">
        <is>
          <t>KM1</t>
        </is>
      </c>
      <c r="F26" s="15" t="n">
        <v>150.01</v>
      </c>
      <c r="G26" s="15" t="n">
        <v>714.33</v>
      </c>
      <c r="H26" s="32" t="n">
        <v>200</v>
      </c>
      <c r="I26" s="33" t="n">
        <v>149.1399744</v>
      </c>
      <c r="J26" s="34">
        <f>IF(OR($I26="",$G26="",$G26=0),"",$I26/$G26)</f>
        <v/>
      </c>
      <c r="K26" s="17">
        <f>IFERROR(INDEX('PARAMETROS'!$B$16:$B$19,MATCH($E26,'PARAMETROS'!$A$16:$A$19,0)),"")</f>
        <v/>
      </c>
      <c r="L26" s="17">
        <f>IF($K26&lt;&gt;"",$K26,$J26)</f>
        <v/>
      </c>
      <c r="M26" s="19" t="inlineStr"/>
    </row>
    <row r="27">
      <c r="A27" s="5" t="inlineStr">
        <is>
          <t>Pivô 23</t>
        </is>
      </c>
      <c r="B27" s="24" t="inlineStr">
        <is>
          <t>23</t>
        </is>
      </c>
      <c r="C27" s="5" t="inlineStr">
        <is>
          <t>Karitel</t>
        </is>
      </c>
      <c r="D27" s="5" t="inlineStr">
        <is>
          <t>Módulo 01</t>
        </is>
      </c>
      <c r="E27" s="5" t="inlineStr">
        <is>
          <t>KM1</t>
        </is>
      </c>
      <c r="F27" s="15" t="n">
        <v>150.01</v>
      </c>
      <c r="G27" s="15" t="n">
        <v>602.63</v>
      </c>
      <c r="H27" s="32" t="n">
        <v>200</v>
      </c>
      <c r="I27" s="33" t="n">
        <v>149.1399744</v>
      </c>
      <c r="J27" s="34">
        <f>IF(OR($I27="",$G27="",$G27=0),"",$I27/$G27)</f>
        <v/>
      </c>
      <c r="K27" s="17">
        <f>IFERROR(INDEX('PARAMETROS'!$B$16:$B$19,MATCH($E27,'PARAMETROS'!$A$16:$A$19,0)),"")</f>
        <v/>
      </c>
      <c r="L27" s="17">
        <f>IF($K27&lt;&gt;"",$K27,$J27)</f>
        <v/>
      </c>
      <c r="M27" s="19" t="inlineStr"/>
    </row>
    <row r="28">
      <c r="A28" s="5" t="inlineStr">
        <is>
          <t>Pivô 24</t>
        </is>
      </c>
      <c r="B28" s="24" t="inlineStr">
        <is>
          <t>24</t>
        </is>
      </c>
      <c r="C28" s="5" t="inlineStr">
        <is>
          <t>Karitel</t>
        </is>
      </c>
      <c r="D28" s="5" t="inlineStr">
        <is>
          <t>Módulo 01</t>
        </is>
      </c>
      <c r="E28" s="5" t="inlineStr">
        <is>
          <t>KM1</t>
        </is>
      </c>
      <c r="F28" s="15" t="n">
        <v>150.01</v>
      </c>
      <c r="G28" s="15" t="n">
        <v>714.33</v>
      </c>
      <c r="H28" s="32" t="n">
        <v>250</v>
      </c>
      <c r="I28" s="33" t="n">
        <v>186.424968</v>
      </c>
      <c r="J28" s="34">
        <f>IF(OR($I28="",$G28="",$G28=0),"",$I28/$G28)</f>
        <v/>
      </c>
      <c r="K28" s="17">
        <f>IFERROR(INDEX('PARAMETROS'!$B$16:$B$19,MATCH($E28,'PARAMETROS'!$A$16:$A$19,0)),"")</f>
        <v/>
      </c>
      <c r="L28" s="17">
        <f>IF($K28&lt;&gt;"",$K28,$J28)</f>
        <v/>
      </c>
      <c r="M28" s="19" t="inlineStr"/>
    </row>
    <row r="29">
      <c r="A29" s="5" t="inlineStr">
        <is>
          <t>Pivô 25</t>
        </is>
      </c>
      <c r="B29" s="24" t="inlineStr">
        <is>
          <t>25</t>
        </is>
      </c>
      <c r="C29" s="5" t="inlineStr">
        <is>
          <t>Karitel</t>
        </is>
      </c>
      <c r="D29" s="5" t="inlineStr">
        <is>
          <t>Módulo 01</t>
        </is>
      </c>
      <c r="E29" s="5" t="inlineStr">
        <is>
          <t>KM1</t>
        </is>
      </c>
      <c r="F29" s="15" t="n">
        <v>99.7</v>
      </c>
      <c r="G29" s="15" t="n">
        <v>474.76</v>
      </c>
      <c r="H29" s="32" t="n">
        <v>100</v>
      </c>
      <c r="I29" s="33" t="n">
        <v>74.5699872</v>
      </c>
      <c r="J29" s="34">
        <f>IF(OR($I29="",$G29="",$G29=0),"",$I29/$G29)</f>
        <v/>
      </c>
      <c r="K29" s="17">
        <f>IFERROR(INDEX('PARAMETROS'!$B$16:$B$19,MATCH($E29,'PARAMETROS'!$A$16:$A$19,0)),"")</f>
        <v/>
      </c>
      <c r="L29" s="17">
        <f>IF($K29&lt;&gt;"",$K29,$J29)</f>
        <v/>
      </c>
      <c r="M29" s="19" t="inlineStr"/>
    </row>
    <row r="30">
      <c r="A30" s="5" t="inlineStr">
        <is>
          <t>Pivô 26</t>
        </is>
      </c>
      <c r="B30" s="24" t="inlineStr">
        <is>
          <t>26</t>
        </is>
      </c>
      <c r="C30" s="5" t="inlineStr">
        <is>
          <t>Karitel</t>
        </is>
      </c>
      <c r="D30" s="5" t="inlineStr">
        <is>
          <t>Módulo 01</t>
        </is>
      </c>
      <c r="E30" s="5" t="inlineStr">
        <is>
          <t>KM1</t>
        </is>
      </c>
      <c r="F30" s="15" t="n">
        <v>150.01</v>
      </c>
      <c r="G30" s="15" t="n">
        <v>650.04</v>
      </c>
      <c r="H30" s="32" t="n">
        <v>250</v>
      </c>
      <c r="I30" s="33" t="n">
        <v>186.424968</v>
      </c>
      <c r="J30" s="34">
        <f>IF(OR($I30="",$G30="",$G30=0),"",$I30/$G30)</f>
        <v/>
      </c>
      <c r="K30" s="17">
        <f>IFERROR(INDEX('PARAMETROS'!$B$16:$B$19,MATCH($E30,'PARAMETROS'!$A$16:$A$19,0)),"")</f>
        <v/>
      </c>
      <c r="L30" s="17">
        <f>IF($K30&lt;&gt;"",$K30,$J30)</f>
        <v/>
      </c>
      <c r="M30" s="19" t="inlineStr"/>
    </row>
    <row r="31">
      <c r="A31" s="5" t="inlineStr">
        <is>
          <t>Pivô 27</t>
        </is>
      </c>
      <c r="B31" s="24" t="inlineStr">
        <is>
          <t>27</t>
        </is>
      </c>
      <c r="C31" s="5" t="inlineStr">
        <is>
          <t>Karitel</t>
        </is>
      </c>
      <c r="D31" s="5" t="inlineStr">
        <is>
          <t>Módulo 01</t>
        </is>
      </c>
      <c r="E31" s="5" t="inlineStr">
        <is>
          <t>KM1</t>
        </is>
      </c>
      <c r="F31" s="15" t="n">
        <v>99.14</v>
      </c>
      <c r="G31" s="15" t="n">
        <v>472.1</v>
      </c>
      <c r="H31" s="32" t="n">
        <v>100</v>
      </c>
      <c r="I31" s="33" t="n">
        <v>74.5699872</v>
      </c>
      <c r="J31" s="34">
        <f>IF(OR($I31="",$G31="",$G31=0),"",$I31/$G31)</f>
        <v/>
      </c>
      <c r="K31" s="17">
        <f>IFERROR(INDEX('PARAMETROS'!$B$16:$B$19,MATCH($E31,'PARAMETROS'!$A$16:$A$19,0)),"")</f>
        <v/>
      </c>
      <c r="L31" s="17">
        <f>IF($K31&lt;&gt;"",$K31,$J31)</f>
        <v/>
      </c>
      <c r="M31" s="19" t="inlineStr"/>
    </row>
    <row r="32">
      <c r="A32" s="5" t="inlineStr">
        <is>
          <t>Pivô 28</t>
        </is>
      </c>
      <c r="B32" s="24" t="inlineStr">
        <is>
          <t>28</t>
        </is>
      </c>
      <c r="C32" s="5" t="inlineStr">
        <is>
          <t>Karitel</t>
        </is>
      </c>
      <c r="D32" s="5" t="inlineStr">
        <is>
          <t>Módulo 01</t>
        </is>
      </c>
      <c r="E32" s="5" t="inlineStr">
        <is>
          <t>KM1</t>
        </is>
      </c>
      <c r="F32" s="15" t="n">
        <v>132.99</v>
      </c>
      <c r="G32" s="15" t="n">
        <v>633.29</v>
      </c>
      <c r="H32" s="32" t="n">
        <v>200</v>
      </c>
      <c r="I32" s="33" t="n">
        <v>149.1399744</v>
      </c>
      <c r="J32" s="34">
        <f>IF(OR($I32="",$G32="",$G32=0),"",$I32/$G32)</f>
        <v/>
      </c>
      <c r="K32" s="17">
        <f>IFERROR(INDEX('PARAMETROS'!$B$16:$B$19,MATCH($E32,'PARAMETROS'!$A$16:$A$19,0)),"")</f>
        <v/>
      </c>
      <c r="L32" s="17">
        <f>IF($K32&lt;&gt;"",$K32,$J32)</f>
        <v/>
      </c>
      <c r="M32" s="19" t="inlineStr"/>
    </row>
    <row r="33">
      <c r="A33" s="5" t="inlineStr">
        <is>
          <t>Pivô 29</t>
        </is>
      </c>
      <c r="B33" s="24" t="inlineStr">
        <is>
          <t>29</t>
        </is>
      </c>
      <c r="C33" s="5" t="inlineStr">
        <is>
          <t>Karitel</t>
        </is>
      </c>
      <c r="D33" s="5" t="inlineStr">
        <is>
          <t>Módulo 01</t>
        </is>
      </c>
      <c r="E33" s="5" t="inlineStr">
        <is>
          <t>KM1</t>
        </is>
      </c>
      <c r="F33" s="15" t="n">
        <v>78.55</v>
      </c>
      <c r="G33" s="15" t="n">
        <v>374.05</v>
      </c>
      <c r="H33" s="32" t="n">
        <v>100</v>
      </c>
      <c r="I33" s="33" t="n">
        <v>74.5699872</v>
      </c>
      <c r="J33" s="34">
        <f>IF(OR($I33="",$G33="",$G33=0),"",$I33/$G33)</f>
        <v/>
      </c>
      <c r="K33" s="17">
        <f>IFERROR(INDEX('PARAMETROS'!$B$16:$B$19,MATCH($E33,'PARAMETROS'!$A$16:$A$19,0)),"")</f>
        <v/>
      </c>
      <c r="L33" s="17">
        <f>IF($K33&lt;&gt;"",$K33,$J33)</f>
        <v/>
      </c>
      <c r="M33" s="19" t="inlineStr"/>
    </row>
    <row r="34">
      <c r="A34" s="5" t="inlineStr">
        <is>
          <t>Pivô 30</t>
        </is>
      </c>
      <c r="B34" s="24" t="inlineStr">
        <is>
          <t>30</t>
        </is>
      </c>
      <c r="C34" s="5" t="inlineStr">
        <is>
          <t>Karitel</t>
        </is>
      </c>
      <c r="D34" s="5" t="inlineStr">
        <is>
          <t>Módulo 01</t>
        </is>
      </c>
      <c r="E34" s="5" t="inlineStr">
        <is>
          <t>KM1</t>
        </is>
      </c>
      <c r="F34" s="15" t="n">
        <v>150.01</v>
      </c>
      <c r="G34" s="15" t="n">
        <v>664.33</v>
      </c>
      <c r="H34" s="32" t="n">
        <v>121.74</v>
      </c>
      <c r="I34" s="33" t="n">
        <v>90.78150241728</v>
      </c>
      <c r="J34" s="34">
        <f>IF(OR($I34="",$G34="",$G34=0),"",$I34/$G34)</f>
        <v/>
      </c>
      <c r="K34" s="17">
        <f>IFERROR(INDEX('PARAMETROS'!$B$16:$B$19,MATCH($E34,'PARAMETROS'!$A$16:$A$19,0)),"")</f>
        <v/>
      </c>
      <c r="L34" s="17">
        <f>IF($K34&lt;&gt;"",$K34,$J34)</f>
        <v/>
      </c>
      <c r="M34" s="19" t="inlineStr"/>
    </row>
    <row r="35">
      <c r="A35" s="5" t="inlineStr">
        <is>
          <t>Pivô 31</t>
        </is>
      </c>
      <c r="B35" s="24" t="inlineStr">
        <is>
          <t>31</t>
        </is>
      </c>
      <c r="C35" s="5" t="inlineStr">
        <is>
          <t>Karitel</t>
        </is>
      </c>
      <c r="D35" s="5" t="inlineStr">
        <is>
          <t>Módulo 01</t>
        </is>
      </c>
      <c r="E35" s="5" t="inlineStr">
        <is>
          <t>KM1</t>
        </is>
      </c>
      <c r="F35" s="15" t="n">
        <v>150.01</v>
      </c>
      <c r="G35" s="15" t="n">
        <v>645.04</v>
      </c>
      <c r="H35" s="32" t="n">
        <v>125</v>
      </c>
      <c r="I35" s="33" t="n">
        <v>93.212484</v>
      </c>
      <c r="J35" s="34">
        <f>IF(OR($I35="",$G35="",$G35=0),"",$I35/$G35)</f>
        <v/>
      </c>
      <c r="K35" s="17">
        <f>IFERROR(INDEX('PARAMETROS'!$B$16:$B$19,MATCH($E35,'PARAMETROS'!$A$16:$A$19,0)),"")</f>
        <v/>
      </c>
      <c r="L35" s="17">
        <f>IF($K35&lt;&gt;"",$K35,$J35)</f>
        <v/>
      </c>
      <c r="M35" s="19" t="inlineStr"/>
    </row>
    <row r="36">
      <c r="A36" s="5" t="inlineStr">
        <is>
          <t>Pivô 32</t>
        </is>
      </c>
      <c r="B36" s="24" t="inlineStr">
        <is>
          <t>32</t>
        </is>
      </c>
      <c r="C36" s="5" t="inlineStr">
        <is>
          <t>Karitel</t>
        </is>
      </c>
      <c r="D36" s="5" t="inlineStr">
        <is>
          <t>Módulo 01</t>
        </is>
      </c>
      <c r="E36" s="5" t="inlineStr">
        <is>
          <t>KM1</t>
        </is>
      </c>
      <c r="F36" s="15" t="n">
        <v>138.03</v>
      </c>
      <c r="G36" s="15" t="n">
        <v>657.29</v>
      </c>
      <c r="H36" s="32" t="n">
        <v>125</v>
      </c>
      <c r="I36" s="33" t="n">
        <v>93.212484</v>
      </c>
      <c r="J36" s="34">
        <f>IF(OR($I36="",$G36="",$G36=0),"",$I36/$G36)</f>
        <v/>
      </c>
      <c r="K36" s="17">
        <f>IFERROR(INDEX('PARAMETROS'!$B$16:$B$19,MATCH($E36,'PARAMETROS'!$A$16:$A$19,0)),"")</f>
        <v/>
      </c>
      <c r="L36" s="17">
        <f>IF($K36&lt;&gt;"",$K36,$J36)</f>
        <v/>
      </c>
      <c r="M36" s="19" t="inlineStr"/>
    </row>
    <row r="37">
      <c r="A37" s="5" t="inlineStr">
        <is>
          <t>Pivô 33</t>
        </is>
      </c>
      <c r="B37" s="24" t="inlineStr">
        <is>
          <t>33</t>
        </is>
      </c>
      <c r="C37" s="5" t="inlineStr">
        <is>
          <t>Karitel</t>
        </is>
      </c>
      <c r="D37" s="5" t="inlineStr">
        <is>
          <t>Módulo 01</t>
        </is>
      </c>
      <c r="E37" s="5" t="inlineStr">
        <is>
          <t>KM1</t>
        </is>
      </c>
      <c r="F37" s="15" t="n">
        <v>137.67</v>
      </c>
      <c r="G37" s="15" t="n">
        <v>590.01</v>
      </c>
      <c r="H37" s="32" t="n">
        <v>147</v>
      </c>
      <c r="I37" s="33" t="n">
        <v>109.617881184</v>
      </c>
      <c r="J37" s="34">
        <f>IF(OR($I37="",$G37="",$G37=0),"",$I37/$G37)</f>
        <v/>
      </c>
      <c r="K37" s="17">
        <f>IFERROR(INDEX('PARAMETROS'!$B$16:$B$19,MATCH($E37,'PARAMETROS'!$A$16:$A$19,0)),"")</f>
        <v/>
      </c>
      <c r="L37" s="17">
        <f>IF($K37&lt;&gt;"",$K37,$J37)</f>
        <v/>
      </c>
      <c r="M37" s="19" t="inlineStr"/>
    </row>
    <row r="38">
      <c r="A38" s="5" t="inlineStr">
        <is>
          <t>Pivô 34</t>
        </is>
      </c>
      <c r="B38" s="24" t="inlineStr">
        <is>
          <t>34</t>
        </is>
      </c>
      <c r="C38" s="5" t="inlineStr">
        <is>
          <t>Karitel</t>
        </is>
      </c>
      <c r="D38" s="5" t="inlineStr">
        <is>
          <t>Módulo 01</t>
        </is>
      </c>
      <c r="E38" s="5" t="inlineStr">
        <is>
          <t>KM1</t>
        </is>
      </c>
      <c r="F38" s="15" t="n">
        <v>150.01</v>
      </c>
      <c r="G38" s="15" t="n">
        <v>714.33</v>
      </c>
      <c r="H38" s="32" t="n">
        <v>150</v>
      </c>
      <c r="I38" s="33" t="n">
        <v>111.8549808</v>
      </c>
      <c r="J38" s="34">
        <f>IF(OR($I38="",$G38="",$G38=0),"",$I38/$G38)</f>
        <v/>
      </c>
      <c r="K38" s="17">
        <f>IFERROR(INDEX('PARAMETROS'!$B$16:$B$19,MATCH($E38,'PARAMETROS'!$A$16:$A$19,0)),"")</f>
        <v/>
      </c>
      <c r="L38" s="17">
        <f>IF($K38&lt;&gt;"",$K38,$J38)</f>
        <v/>
      </c>
      <c r="M38" s="19" t="inlineStr"/>
    </row>
    <row r="39">
      <c r="A39" s="5" t="inlineStr">
        <is>
          <t>Pivô 75</t>
        </is>
      </c>
      <c r="B39" s="24" t="inlineStr">
        <is>
          <t>75</t>
        </is>
      </c>
      <c r="C39" s="5" t="inlineStr">
        <is>
          <t>Karitel</t>
        </is>
      </c>
      <c r="D39" s="5" t="inlineStr">
        <is>
          <t>Módulo 01</t>
        </is>
      </c>
      <c r="E39" s="7" t="inlineStr"/>
      <c r="F39" s="15" t="n">
        <v>82</v>
      </c>
      <c r="G39" s="15" t="n"/>
      <c r="H39" s="32" t="n"/>
      <c r="I39" s="33" t="n"/>
      <c r="J39" s="34">
        <f>IF(OR($I39="",$G39="",$G39=0),"",$I39/$G39)</f>
        <v/>
      </c>
      <c r="K39" s="17">
        <f>IFERROR(INDEX('PARAMETROS'!$B$16:$B$19,MATCH($E39,'PARAMETROS'!$A$16:$A$19,0)),"")</f>
        <v/>
      </c>
      <c r="L39" s="17">
        <f>IF($K39&lt;&gt;"",$K39,$J39)</f>
        <v/>
      </c>
      <c r="M39" s="19" t="inlineStr"/>
    </row>
    <row r="40">
      <c r="A40" s="5" t="inlineStr">
        <is>
          <t>Pivô 76</t>
        </is>
      </c>
      <c r="B40" s="24" t="inlineStr">
        <is>
          <t>76</t>
        </is>
      </c>
      <c r="C40" s="5" t="inlineStr">
        <is>
          <t>Karitel</t>
        </is>
      </c>
      <c r="D40" s="5" t="inlineStr">
        <is>
          <t>Módulo 01</t>
        </is>
      </c>
      <c r="E40" s="7" t="inlineStr"/>
      <c r="F40" s="15" t="n">
        <v>75</v>
      </c>
      <c r="G40" s="15" t="n"/>
      <c r="H40" s="32" t="n"/>
      <c r="I40" s="33" t="n"/>
      <c r="J40" s="34">
        <f>IF(OR($I40="",$G40="",$G40=0),"",$I40/$G40)</f>
        <v/>
      </c>
      <c r="K40" s="17">
        <f>IFERROR(INDEX('PARAMETROS'!$B$16:$B$19,MATCH($E40,'PARAMETROS'!$A$16:$A$19,0)),"")</f>
        <v/>
      </c>
      <c r="L40" s="17">
        <f>IF($K40&lt;&gt;"",$K40,$J40)</f>
        <v/>
      </c>
      <c r="M40" s="19" t="inlineStr"/>
    </row>
    <row r="41">
      <c r="A41" s="5" t="inlineStr">
        <is>
          <t>Pivô 35</t>
        </is>
      </c>
      <c r="B41" s="24" t="inlineStr">
        <is>
          <t>35</t>
        </is>
      </c>
      <c r="C41" s="5" t="inlineStr">
        <is>
          <t>Karitel</t>
        </is>
      </c>
      <c r="D41" s="5" t="inlineStr">
        <is>
          <t>Módulo 02</t>
        </is>
      </c>
      <c r="E41" s="5" t="inlineStr">
        <is>
          <t>KM1</t>
        </is>
      </c>
      <c r="F41" s="15" t="n">
        <v>150.54</v>
      </c>
      <c r="G41" s="15" t="n">
        <v>641.6799999999999</v>
      </c>
      <c r="H41" s="32" t="n">
        <v>235</v>
      </c>
      <c r="I41" s="33" t="n">
        <v>175.23946992</v>
      </c>
      <c r="J41" s="34">
        <f>IF(OR($I41="",$G41="",$G41=0),"",$I41/$G41)</f>
        <v/>
      </c>
      <c r="K41" s="17">
        <f>IFERROR(INDEX('PARAMETROS'!$B$16:$B$19,MATCH($E41,'PARAMETROS'!$A$16:$A$19,0)),"")</f>
        <v/>
      </c>
      <c r="L41" s="17">
        <f>IF($K41&lt;&gt;"",$K41,$J41)</f>
        <v/>
      </c>
      <c r="M41" s="19" t="inlineStr"/>
    </row>
    <row r="42">
      <c r="A42" s="5" t="inlineStr">
        <is>
          <t>Pivô 36</t>
        </is>
      </c>
      <c r="B42" s="24" t="inlineStr">
        <is>
          <t>36</t>
        </is>
      </c>
      <c r="C42" s="5" t="inlineStr">
        <is>
          <t>Karitel</t>
        </is>
      </c>
      <c r="D42" s="5" t="inlineStr">
        <is>
          <t>Módulo 02</t>
        </is>
      </c>
      <c r="E42" s="5" t="inlineStr">
        <is>
          <t>KM1</t>
        </is>
      </c>
      <c r="F42" s="15" t="n">
        <v>150.54</v>
      </c>
      <c r="G42" s="15" t="n">
        <v>716.86</v>
      </c>
      <c r="H42" s="32" t="n">
        <v>220</v>
      </c>
      <c r="I42" s="33" t="n">
        <v>164.05397184</v>
      </c>
      <c r="J42" s="34">
        <f>IF(OR($I42="",$G42="",$G42=0),"",$I42/$G42)</f>
        <v/>
      </c>
      <c r="K42" s="17">
        <f>IFERROR(INDEX('PARAMETROS'!$B$16:$B$19,MATCH($E42,'PARAMETROS'!$A$16:$A$19,0)),"")</f>
        <v/>
      </c>
      <c r="L42" s="17">
        <f>IF($K42&lt;&gt;"",$K42,$J42)</f>
        <v/>
      </c>
      <c r="M42" s="19" t="inlineStr"/>
    </row>
    <row r="43">
      <c r="A43" s="5" t="inlineStr">
        <is>
          <t>Pivô 37</t>
        </is>
      </c>
      <c r="B43" s="24" t="inlineStr">
        <is>
          <t>37</t>
        </is>
      </c>
      <c r="C43" s="5" t="inlineStr">
        <is>
          <t>Karitel</t>
        </is>
      </c>
      <c r="D43" s="5" t="inlineStr">
        <is>
          <t>Módulo 02</t>
        </is>
      </c>
      <c r="E43" s="5" t="inlineStr">
        <is>
          <t>KM1</t>
        </is>
      </c>
      <c r="F43" s="15" t="n">
        <v>72</v>
      </c>
      <c r="G43" s="15" t="n">
        <v>517.97</v>
      </c>
      <c r="H43" s="32" t="n">
        <v>150</v>
      </c>
      <c r="I43" s="33" t="n">
        <v>111.8549808</v>
      </c>
      <c r="J43" s="34">
        <f>IF(OR($I43="",$G43="",$G43=0),"",$I43/$G43)</f>
        <v/>
      </c>
      <c r="K43" s="17">
        <f>IFERROR(INDEX('PARAMETROS'!$B$16:$B$19,MATCH($E43,'PARAMETROS'!$A$16:$A$19,0)),"")</f>
        <v/>
      </c>
      <c r="L43" s="17">
        <f>IF($K43&lt;&gt;"",$K43,$J43)</f>
        <v/>
      </c>
      <c r="M43" s="19" t="inlineStr"/>
    </row>
    <row r="44">
      <c r="A44" s="5" t="inlineStr">
        <is>
          <t>Pivô 38</t>
        </is>
      </c>
      <c r="B44" s="24" t="inlineStr">
        <is>
          <t>38</t>
        </is>
      </c>
      <c r="C44" s="5" t="inlineStr">
        <is>
          <t>Karitel</t>
        </is>
      </c>
      <c r="D44" s="5" t="inlineStr">
        <is>
          <t>Módulo 02</t>
        </is>
      </c>
      <c r="E44" s="5" t="inlineStr">
        <is>
          <t>KM1</t>
        </is>
      </c>
      <c r="F44" s="15" t="n">
        <v>141</v>
      </c>
      <c r="G44" s="15" t="n">
        <v>716.86</v>
      </c>
      <c r="H44" s="32" t="n">
        <v>221</v>
      </c>
      <c r="I44" s="33" t="n">
        <v>164.799671712</v>
      </c>
      <c r="J44" s="34">
        <f>IF(OR($I44="",$G44="",$G44=0),"",$I44/$G44)</f>
        <v/>
      </c>
      <c r="K44" s="17">
        <f>IFERROR(INDEX('PARAMETROS'!$B$16:$B$19,MATCH($E44,'PARAMETROS'!$A$16:$A$19,0)),"")</f>
        <v/>
      </c>
      <c r="L44" s="17">
        <f>IF($K44&lt;&gt;"",$K44,$J44)</f>
        <v/>
      </c>
      <c r="M44" s="19" t="inlineStr"/>
    </row>
    <row r="45">
      <c r="A45" s="5" t="inlineStr">
        <is>
          <t>Pivô 39</t>
        </is>
      </c>
      <c r="B45" s="24" t="inlineStr">
        <is>
          <t>39</t>
        </is>
      </c>
      <c r="C45" s="5" t="inlineStr">
        <is>
          <t>Karitel</t>
        </is>
      </c>
      <c r="D45" s="5" t="inlineStr">
        <is>
          <t>Módulo 02</t>
        </is>
      </c>
      <c r="E45" s="5" t="inlineStr">
        <is>
          <t>KM1</t>
        </is>
      </c>
      <c r="F45" s="15" t="n">
        <v>100.65</v>
      </c>
      <c r="G45" s="15" t="n">
        <v>479.29</v>
      </c>
      <c r="H45" s="32" t="n">
        <v>150</v>
      </c>
      <c r="I45" s="33" t="n">
        <v>111.8549808</v>
      </c>
      <c r="J45" s="34">
        <f>IF(OR($I45="",$G45="",$G45=0),"",$I45/$G45)</f>
        <v/>
      </c>
      <c r="K45" s="17">
        <f>IFERROR(INDEX('PARAMETROS'!$B$16:$B$19,MATCH($E45,'PARAMETROS'!$A$16:$A$19,0)),"")</f>
        <v/>
      </c>
      <c r="L45" s="17">
        <f>IF($K45&lt;&gt;"",$K45,$J45)</f>
        <v/>
      </c>
      <c r="M45" s="19" t="inlineStr"/>
    </row>
    <row r="46">
      <c r="A46" s="5" t="inlineStr">
        <is>
          <t>Pivô 40</t>
        </is>
      </c>
      <c r="B46" s="24" t="inlineStr">
        <is>
          <t>40</t>
        </is>
      </c>
      <c r="C46" s="5" t="inlineStr">
        <is>
          <t>Karitel</t>
        </is>
      </c>
      <c r="D46" s="5" t="inlineStr">
        <is>
          <t>Módulo 02</t>
        </is>
      </c>
      <c r="E46" s="5" t="inlineStr">
        <is>
          <t>KM1</t>
        </is>
      </c>
      <c r="F46" s="15" t="n">
        <v>150.54</v>
      </c>
      <c r="G46" s="15" t="n">
        <v>716.86</v>
      </c>
      <c r="H46" s="32" t="n">
        <v>215</v>
      </c>
      <c r="I46" s="33" t="n">
        <v>160.32547248</v>
      </c>
      <c r="J46" s="34">
        <f>IF(OR($I46="",$G46="",$G46=0),"",$I46/$G46)</f>
        <v/>
      </c>
      <c r="K46" s="17">
        <f>IFERROR(INDEX('PARAMETROS'!$B$16:$B$19,MATCH($E46,'PARAMETROS'!$A$16:$A$19,0)),"")</f>
        <v/>
      </c>
      <c r="L46" s="17">
        <f>IF($K46&lt;&gt;"",$K46,$J46)</f>
        <v/>
      </c>
      <c r="M46" s="19" t="inlineStr"/>
    </row>
    <row r="47">
      <c r="A47" s="5" t="inlineStr">
        <is>
          <t>Pivô 41</t>
        </is>
      </c>
      <c r="B47" s="24" t="inlineStr">
        <is>
          <t>41</t>
        </is>
      </c>
      <c r="C47" s="5" t="inlineStr">
        <is>
          <t>Karitel</t>
        </is>
      </c>
      <c r="D47" s="5" t="inlineStr">
        <is>
          <t>Módulo 02</t>
        </is>
      </c>
      <c r="E47" s="5" t="inlineStr">
        <is>
          <t>KM2</t>
        </is>
      </c>
      <c r="F47" s="15" t="n">
        <v>138.55</v>
      </c>
      <c r="G47" s="15" t="n">
        <v>659.74</v>
      </c>
      <c r="H47" s="32" t="n">
        <v>199</v>
      </c>
      <c r="I47" s="33" t="n">
        <v>148.394274528</v>
      </c>
      <c r="J47" s="34">
        <f>IF(OR($I47="",$G47="",$G47=0),"",$I47/$G47)</f>
        <v/>
      </c>
      <c r="K47" s="17">
        <f>IFERROR(INDEX('PARAMETROS'!$B$16:$B$19,MATCH($E47,'PARAMETROS'!$A$16:$A$19,0)),"")</f>
        <v/>
      </c>
      <c r="L47" s="17">
        <f>IF($K47&lt;&gt;"",$K47,$J47)</f>
        <v/>
      </c>
      <c r="M47" s="19" t="inlineStr"/>
    </row>
    <row r="48">
      <c r="A48" s="5" t="inlineStr">
        <is>
          <t>Pivô 42</t>
        </is>
      </c>
      <c r="B48" s="24" t="inlineStr">
        <is>
          <t>42</t>
        </is>
      </c>
      <c r="C48" s="5" t="inlineStr">
        <is>
          <t>Karitel</t>
        </is>
      </c>
      <c r="D48" s="5" t="inlineStr">
        <is>
          <t>Módulo 02</t>
        </is>
      </c>
      <c r="E48" s="5" t="inlineStr">
        <is>
          <t>KM2</t>
        </is>
      </c>
      <c r="F48" s="15" t="n">
        <v>100.65</v>
      </c>
      <c r="G48" s="15" t="n">
        <v>479.29</v>
      </c>
      <c r="H48" s="32" t="n">
        <v>150</v>
      </c>
      <c r="I48" s="33" t="n">
        <v>111.8549808</v>
      </c>
      <c r="J48" s="34">
        <f>IF(OR($I48="",$G48="",$G48=0),"",$I48/$G48)</f>
        <v/>
      </c>
      <c r="K48" s="17">
        <f>IFERROR(INDEX('PARAMETROS'!$B$16:$B$19,MATCH($E48,'PARAMETROS'!$A$16:$A$19,0)),"")</f>
        <v/>
      </c>
      <c r="L48" s="17">
        <f>IF($K48&lt;&gt;"",$K48,$J48)</f>
        <v/>
      </c>
      <c r="M48" s="19" t="inlineStr"/>
    </row>
    <row r="49">
      <c r="A49" s="5" t="inlineStr">
        <is>
          <t>Pivô 43</t>
        </is>
      </c>
      <c r="B49" s="24" t="inlineStr">
        <is>
          <t>43</t>
        </is>
      </c>
      <c r="C49" s="5" t="inlineStr">
        <is>
          <t>Karitel</t>
        </is>
      </c>
      <c r="D49" s="5" t="inlineStr">
        <is>
          <t>Módulo 02</t>
        </is>
      </c>
      <c r="E49" s="5" t="inlineStr">
        <is>
          <t>KM2</t>
        </is>
      </c>
      <c r="F49" s="15" t="n">
        <v>138.55</v>
      </c>
      <c r="G49" s="15" t="n">
        <v>659.74</v>
      </c>
      <c r="H49" s="32" t="n">
        <v>199</v>
      </c>
      <c r="I49" s="33" t="n">
        <v>148.394274528</v>
      </c>
      <c r="J49" s="34">
        <f>IF(OR($I49="",$G49="",$G49=0),"",$I49/$G49)</f>
        <v/>
      </c>
      <c r="K49" s="17">
        <f>IFERROR(INDEX('PARAMETROS'!$B$16:$B$19,MATCH($E49,'PARAMETROS'!$A$16:$A$19,0)),"")</f>
        <v/>
      </c>
      <c r="L49" s="17">
        <f>IF($K49&lt;&gt;"",$K49,$J49)</f>
        <v/>
      </c>
      <c r="M49" s="19" t="inlineStr"/>
    </row>
    <row r="50">
      <c r="A50" s="5" t="inlineStr">
        <is>
          <t>Pivô 45</t>
        </is>
      </c>
      <c r="B50" s="24" t="inlineStr">
        <is>
          <t>45</t>
        </is>
      </c>
      <c r="C50" s="5" t="inlineStr">
        <is>
          <t>Karitel</t>
        </is>
      </c>
      <c r="D50" s="5" t="inlineStr">
        <is>
          <t>Módulo 02</t>
        </is>
      </c>
      <c r="E50" s="5" t="inlineStr">
        <is>
          <t>KM1</t>
        </is>
      </c>
      <c r="F50" s="15" t="n">
        <v>123.47</v>
      </c>
      <c r="G50" s="15" t="n">
        <v>587.9299999999999</v>
      </c>
      <c r="H50" s="32" t="n">
        <v>219</v>
      </c>
      <c r="I50" s="33" t="n">
        <v>163.308271968</v>
      </c>
      <c r="J50" s="34">
        <f>IF(OR($I50="",$G50="",$G50=0),"",$I50/$G50)</f>
        <v/>
      </c>
      <c r="K50" s="17">
        <f>IFERROR(INDEX('PARAMETROS'!$B$16:$B$19,MATCH($E50,'PARAMETROS'!$A$16:$A$19,0)),"")</f>
        <v/>
      </c>
      <c r="L50" s="17">
        <f>IF($K50&lt;&gt;"",$K50,$J50)</f>
        <v/>
      </c>
      <c r="M50" s="19" t="inlineStr"/>
    </row>
    <row r="51">
      <c r="A51" s="5" t="inlineStr">
        <is>
          <t>Pivô 46</t>
        </is>
      </c>
      <c r="B51" s="24" t="inlineStr">
        <is>
          <t>46</t>
        </is>
      </c>
      <c r="C51" s="5" t="inlineStr">
        <is>
          <t>Karitel</t>
        </is>
      </c>
      <c r="D51" s="5" t="inlineStr">
        <is>
          <t>Módulo 02</t>
        </is>
      </c>
      <c r="E51" s="5" t="inlineStr">
        <is>
          <t>KM1</t>
        </is>
      </c>
      <c r="F51" s="15" t="n">
        <v>159.45</v>
      </c>
      <c r="G51" s="15" t="n">
        <v>759.3</v>
      </c>
      <c r="H51" s="32" t="n">
        <v>242</v>
      </c>
      <c r="I51" s="33" t="n">
        <v>180.459369024</v>
      </c>
      <c r="J51" s="34">
        <f>IF(OR($I51="",$G51="",$G51=0),"",$I51/$G51)</f>
        <v/>
      </c>
      <c r="K51" s="17">
        <f>IFERROR(INDEX('PARAMETROS'!$B$16:$B$19,MATCH($E51,'PARAMETROS'!$A$16:$A$19,0)),"")</f>
        <v/>
      </c>
      <c r="L51" s="17">
        <f>IF($K51&lt;&gt;"",$K51,$J51)</f>
        <v/>
      </c>
      <c r="M51" s="19" t="inlineStr"/>
    </row>
    <row r="52">
      <c r="A52" s="5" t="inlineStr">
        <is>
          <t>Pivô 47</t>
        </is>
      </c>
      <c r="B52" s="24" t="inlineStr">
        <is>
          <t>47</t>
        </is>
      </c>
      <c r="C52" s="5" t="inlineStr">
        <is>
          <t>Karitel</t>
        </is>
      </c>
      <c r="D52" s="5" t="inlineStr">
        <is>
          <t>Módulo 02</t>
        </is>
      </c>
      <c r="E52" s="5" t="inlineStr">
        <is>
          <t>KM1</t>
        </is>
      </c>
      <c r="F52" s="15" t="n">
        <v>159.45</v>
      </c>
      <c r="G52" s="15" t="n">
        <v>721.34</v>
      </c>
      <c r="H52" s="32" t="n">
        <v>300</v>
      </c>
      <c r="I52" s="33" t="n">
        <v>223.7099616</v>
      </c>
      <c r="J52" s="34">
        <f>IF(OR($I52="",$G52="",$G52=0),"",$I52/$G52)</f>
        <v/>
      </c>
      <c r="K52" s="17">
        <f>IFERROR(INDEX('PARAMETROS'!$B$16:$B$19,MATCH($E52,'PARAMETROS'!$A$16:$A$19,0)),"")</f>
        <v/>
      </c>
      <c r="L52" s="17">
        <f>IF($K52&lt;&gt;"",$K52,$J52)</f>
        <v/>
      </c>
      <c r="M52" s="19" t="inlineStr"/>
    </row>
    <row r="53">
      <c r="A53" s="5" t="inlineStr">
        <is>
          <t>Pivô 48</t>
        </is>
      </c>
      <c r="B53" s="24" t="inlineStr">
        <is>
          <t>48</t>
        </is>
      </c>
      <c r="C53" s="5" t="inlineStr">
        <is>
          <t>Karitel</t>
        </is>
      </c>
      <c r="D53" s="5" t="inlineStr">
        <is>
          <t>Módulo 02</t>
        </is>
      </c>
      <c r="E53" s="5" t="inlineStr">
        <is>
          <t>KM1</t>
        </is>
      </c>
      <c r="F53" s="15" t="n">
        <v>159.45</v>
      </c>
      <c r="G53" s="15" t="n">
        <v>759.3</v>
      </c>
      <c r="H53" s="32" t="n">
        <v>211</v>
      </c>
      <c r="I53" s="33" t="n">
        <v>157.342672992</v>
      </c>
      <c r="J53" s="34">
        <f>IF(OR($I53="",$G53="",$G53=0),"",$I53/$G53)</f>
        <v/>
      </c>
      <c r="K53" s="17">
        <f>IFERROR(INDEX('PARAMETROS'!$B$16:$B$19,MATCH($E53,'PARAMETROS'!$A$16:$A$19,0)),"")</f>
        <v/>
      </c>
      <c r="L53" s="17">
        <f>IF($K53&lt;&gt;"",$K53,$J53)</f>
        <v/>
      </c>
      <c r="M53" s="19" t="inlineStr"/>
    </row>
    <row r="54">
      <c r="A54" s="5" t="inlineStr">
        <is>
          <t>Pivô 49</t>
        </is>
      </c>
      <c r="B54" s="24" t="inlineStr">
        <is>
          <t>49</t>
        </is>
      </c>
      <c r="C54" s="5" t="inlineStr">
        <is>
          <t>Karitel</t>
        </is>
      </c>
      <c r="D54" s="5" t="inlineStr">
        <is>
          <t>Módulo 02</t>
        </is>
      </c>
      <c r="E54" s="5" t="inlineStr">
        <is>
          <t>KM1</t>
        </is>
      </c>
      <c r="F54" s="15" t="n">
        <v>124.31</v>
      </c>
      <c r="G54" s="15" t="n">
        <v>591.97</v>
      </c>
      <c r="H54" s="32" t="n">
        <v>197</v>
      </c>
      <c r="I54" s="33" t="n">
        <v>146.902874784</v>
      </c>
      <c r="J54" s="34">
        <f>IF(OR($I54="",$G54="",$G54=0),"",$I54/$G54)</f>
        <v/>
      </c>
      <c r="K54" s="17">
        <f>IFERROR(INDEX('PARAMETROS'!$B$16:$B$19,MATCH($E54,'PARAMETROS'!$A$16:$A$19,0)),"")</f>
        <v/>
      </c>
      <c r="L54" s="17">
        <f>IF($K54&lt;&gt;"",$K54,$J54)</f>
        <v/>
      </c>
      <c r="M54" s="19" t="inlineStr"/>
    </row>
    <row r="55">
      <c r="A55" s="5" t="inlineStr">
        <is>
          <t>Pivô 52</t>
        </is>
      </c>
      <c r="B55" s="24" t="inlineStr">
        <is>
          <t>52</t>
        </is>
      </c>
      <c r="C55" s="5" t="inlineStr">
        <is>
          <t>Karitel</t>
        </is>
      </c>
      <c r="D55" s="5" t="inlineStr">
        <is>
          <t>Módulo 02</t>
        </is>
      </c>
      <c r="E55" s="5" t="inlineStr">
        <is>
          <t>KM2</t>
        </is>
      </c>
      <c r="F55" s="15" t="n">
        <v>159.45</v>
      </c>
      <c r="G55" s="15" t="n">
        <v>759.3</v>
      </c>
      <c r="H55" s="32" t="n">
        <v>252</v>
      </c>
      <c r="I55" s="33" t="n">
        <v>187.916367744</v>
      </c>
      <c r="J55" s="34">
        <f>IF(OR($I55="",$G55="",$G55=0),"",$I55/$G55)</f>
        <v/>
      </c>
      <c r="K55" s="17">
        <f>IFERROR(INDEX('PARAMETROS'!$B$16:$B$19,MATCH($E55,'PARAMETROS'!$A$16:$A$19,0)),"")</f>
        <v/>
      </c>
      <c r="L55" s="17">
        <f>IF($K55&lt;&gt;"",$K55,$J55)</f>
        <v/>
      </c>
      <c r="M55" s="19" t="inlineStr"/>
    </row>
    <row r="56">
      <c r="A56" s="5" t="inlineStr">
        <is>
          <t>Pivô 73</t>
        </is>
      </c>
      <c r="B56" s="24" t="inlineStr">
        <is>
          <t>73</t>
        </is>
      </c>
      <c r="C56" s="5" t="inlineStr">
        <is>
          <t>Karitel</t>
        </is>
      </c>
      <c r="D56" s="5" t="inlineStr">
        <is>
          <t>Módulo 02</t>
        </is>
      </c>
      <c r="E56" s="5" t="inlineStr">
        <is>
          <t>KM2</t>
        </is>
      </c>
      <c r="F56" s="15" t="n">
        <v>159.45</v>
      </c>
      <c r="G56" s="15" t="n">
        <v>683.37</v>
      </c>
      <c r="H56" s="32" t="n">
        <v>300</v>
      </c>
      <c r="I56" s="33" t="n">
        <v>223.7099616</v>
      </c>
      <c r="J56" s="34">
        <f>IF(OR($I56="",$G56="",$G56=0),"",$I56/$G56)</f>
        <v/>
      </c>
      <c r="K56" s="17">
        <f>IFERROR(INDEX('PARAMETROS'!$B$16:$B$19,MATCH($E56,'PARAMETROS'!$A$16:$A$19,0)),"")</f>
        <v/>
      </c>
      <c r="L56" s="17">
        <f>IF($K56&lt;&gt;"",$K56,$J56)</f>
        <v/>
      </c>
      <c r="M56" s="19" t="inlineStr"/>
    </row>
    <row r="57">
      <c r="A57" s="5" t="inlineStr">
        <is>
          <t>Pivô 74</t>
        </is>
      </c>
      <c r="B57" s="24" t="inlineStr">
        <is>
          <t>74</t>
        </is>
      </c>
      <c r="C57" s="5" t="inlineStr">
        <is>
          <t>Karitel</t>
        </is>
      </c>
      <c r="D57" s="5" t="inlineStr">
        <is>
          <t>Módulo 02</t>
        </is>
      </c>
      <c r="E57" s="5" t="inlineStr">
        <is>
          <t>KM2</t>
        </is>
      </c>
      <c r="F57" s="15" t="n">
        <v>159.45</v>
      </c>
      <c r="G57" s="15" t="n">
        <v>759.3</v>
      </c>
      <c r="H57" s="32" t="n">
        <v>300</v>
      </c>
      <c r="I57" s="33" t="n">
        <v>223.7099616</v>
      </c>
      <c r="J57" s="34">
        <f>IF(OR($I57="",$G57="",$G57=0),"",$I57/$G57)</f>
        <v/>
      </c>
      <c r="K57" s="17">
        <f>IFERROR(INDEX('PARAMETROS'!$B$16:$B$19,MATCH($E57,'PARAMETROS'!$A$16:$A$19,0)),"")</f>
        <v/>
      </c>
      <c r="L57" s="17">
        <f>IF($K57&lt;&gt;"",$K57,$J57)</f>
        <v/>
      </c>
      <c r="M57" s="19" t="inlineStr"/>
    </row>
    <row r="58">
      <c r="A58" s="5" t="inlineStr">
        <is>
          <t>Pivô 44</t>
        </is>
      </c>
      <c r="B58" s="24" t="inlineStr">
        <is>
          <t>44</t>
        </is>
      </c>
      <c r="C58" s="5" t="inlineStr">
        <is>
          <t>Karitel</t>
        </is>
      </c>
      <c r="D58" s="5" t="inlineStr">
        <is>
          <t>Módulo 03</t>
        </is>
      </c>
      <c r="E58" s="5" t="inlineStr">
        <is>
          <t>KM2</t>
        </is>
      </c>
      <c r="F58" s="15" t="n">
        <v>74.68000000000001</v>
      </c>
      <c r="G58" s="15" t="n">
        <v>550.14</v>
      </c>
      <c r="H58" s="32" t="n">
        <v>75</v>
      </c>
      <c r="I58" s="33" t="n">
        <v>55.9274904</v>
      </c>
      <c r="J58" s="34">
        <f>IF(OR($I58="",$G58="",$G58=0),"",$I58/$G58)</f>
        <v/>
      </c>
      <c r="K58" s="17">
        <f>IFERROR(INDEX('PARAMETROS'!$B$16:$B$19,MATCH($E58,'PARAMETROS'!$A$16:$A$19,0)),"")</f>
        <v/>
      </c>
      <c r="L58" s="17">
        <f>IF($K58&lt;&gt;"",$K58,$J58)</f>
        <v/>
      </c>
      <c r="M58" s="19" t="inlineStr"/>
    </row>
    <row r="59">
      <c r="A59" s="5" t="inlineStr">
        <is>
          <t>Pivô 50</t>
        </is>
      </c>
      <c r="B59" s="24" t="inlineStr">
        <is>
          <t>50</t>
        </is>
      </c>
      <c r="C59" s="5" t="inlineStr">
        <is>
          <t>Karitel</t>
        </is>
      </c>
      <c r="D59" s="5" t="inlineStr">
        <is>
          <t>Módulo 03</t>
        </is>
      </c>
      <c r="E59" s="5" t="inlineStr">
        <is>
          <t>KM2</t>
        </is>
      </c>
      <c r="F59" s="15" t="n">
        <v>120.31</v>
      </c>
      <c r="G59" s="15" t="n">
        <v>572.9</v>
      </c>
      <c r="H59" s="32" t="n">
        <v>150</v>
      </c>
      <c r="I59" s="33" t="n">
        <v>111.8549808</v>
      </c>
      <c r="J59" s="34">
        <f>IF(OR($I59="",$G59="",$G59=0),"",$I59/$G59)</f>
        <v/>
      </c>
      <c r="K59" s="17">
        <f>IFERROR(INDEX('PARAMETROS'!$B$16:$B$19,MATCH($E59,'PARAMETROS'!$A$16:$A$19,0)),"")</f>
        <v/>
      </c>
      <c r="L59" s="17">
        <f>IF($K59&lt;&gt;"",$K59,$J59)</f>
        <v/>
      </c>
      <c r="M59" s="19" t="inlineStr"/>
    </row>
    <row r="60">
      <c r="A60" s="5" t="inlineStr">
        <is>
          <t>Pivô 51</t>
        </is>
      </c>
      <c r="B60" s="24" t="inlineStr">
        <is>
          <t>51</t>
        </is>
      </c>
      <c r="C60" s="5" t="inlineStr">
        <is>
          <t>Karitel</t>
        </is>
      </c>
      <c r="D60" s="5" t="inlineStr">
        <is>
          <t>Módulo 03</t>
        </is>
      </c>
      <c r="E60" s="5" t="inlineStr">
        <is>
          <t>KM2</t>
        </is>
      </c>
      <c r="F60" s="15" t="n">
        <v>119.34</v>
      </c>
      <c r="G60" s="15" t="n">
        <v>550.14</v>
      </c>
      <c r="H60" s="32" t="n">
        <v>150</v>
      </c>
      <c r="I60" s="33" t="n">
        <v>111.8549808</v>
      </c>
      <c r="J60" s="34">
        <f>IF(OR($I60="",$G60="",$G60=0),"",$I60/$G60)</f>
        <v/>
      </c>
      <c r="K60" s="17">
        <f>IFERROR(INDEX('PARAMETROS'!$B$16:$B$19,MATCH($E60,'PARAMETROS'!$A$16:$A$19,0)),"")</f>
        <v/>
      </c>
      <c r="L60" s="17">
        <f>IF($K60&lt;&gt;"",$K60,$J60)</f>
        <v/>
      </c>
      <c r="M60" s="19" t="inlineStr"/>
    </row>
    <row r="61">
      <c r="A61" s="5" t="inlineStr">
        <is>
          <t>Pivô 53</t>
        </is>
      </c>
      <c r="B61" s="24" t="inlineStr">
        <is>
          <t>53</t>
        </is>
      </c>
      <c r="C61" s="5" t="inlineStr">
        <is>
          <t>Karitel</t>
        </is>
      </c>
      <c r="D61" s="5" t="inlineStr">
        <is>
          <t>Módulo 03</t>
        </is>
      </c>
      <c r="E61" s="5" t="inlineStr">
        <is>
          <t>KM2</t>
        </is>
      </c>
      <c r="F61" s="15" t="n">
        <v>74.68000000000001</v>
      </c>
      <c r="G61" s="15" t="n">
        <v>550.14</v>
      </c>
      <c r="H61" s="32" t="n">
        <v>75</v>
      </c>
      <c r="I61" s="33" t="n">
        <v>55.9274904</v>
      </c>
      <c r="J61" s="34">
        <f>IF(OR($I61="",$G61="",$G61=0),"",$I61/$G61)</f>
        <v/>
      </c>
      <c r="K61" s="17">
        <f>IFERROR(INDEX('PARAMETROS'!$B$16:$B$19,MATCH($E61,'PARAMETROS'!$A$16:$A$19,0)),"")</f>
        <v/>
      </c>
      <c r="L61" s="17">
        <f>IF($K61&lt;&gt;"",$K61,$J61)</f>
        <v/>
      </c>
      <c r="M61" s="19" t="inlineStr"/>
    </row>
    <row r="62">
      <c r="A62" s="5" t="inlineStr">
        <is>
          <t>Pivô 54</t>
        </is>
      </c>
      <c r="B62" s="24" t="inlineStr">
        <is>
          <t>54</t>
        </is>
      </c>
      <c r="C62" s="5" t="inlineStr">
        <is>
          <t>Karitel</t>
        </is>
      </c>
      <c r="D62" s="5" t="inlineStr">
        <is>
          <t>Módulo 03</t>
        </is>
      </c>
      <c r="E62" s="5" t="inlineStr">
        <is>
          <t>KM2</t>
        </is>
      </c>
      <c r="F62" s="15" t="n">
        <v>121.22</v>
      </c>
      <c r="G62" s="15" t="n">
        <v>577.24</v>
      </c>
      <c r="H62" s="32" t="n">
        <v>150</v>
      </c>
      <c r="I62" s="33" t="n">
        <v>111.8549808</v>
      </c>
      <c r="J62" s="34">
        <f>IF(OR($I62="",$G62="",$G62=0),"",$I62/$G62)</f>
        <v/>
      </c>
      <c r="K62" s="17">
        <f>IFERROR(INDEX('PARAMETROS'!$B$16:$B$19,MATCH($E62,'PARAMETROS'!$A$16:$A$19,0)),"")</f>
        <v/>
      </c>
      <c r="L62" s="17">
        <f>IF($K62&lt;&gt;"",$K62,$J62)</f>
        <v/>
      </c>
      <c r="M62" s="19" t="inlineStr"/>
    </row>
    <row r="63">
      <c r="A63" s="5" t="inlineStr">
        <is>
          <t>Pivô 55</t>
        </is>
      </c>
      <c r="B63" s="24" t="inlineStr">
        <is>
          <t>55</t>
        </is>
      </c>
      <c r="C63" s="5" t="inlineStr">
        <is>
          <t>Karitel</t>
        </is>
      </c>
      <c r="D63" s="5" t="inlineStr">
        <is>
          <t>Módulo 03</t>
        </is>
      </c>
      <c r="E63" s="5" t="inlineStr">
        <is>
          <t>KM2</t>
        </is>
      </c>
      <c r="F63" s="15" t="n">
        <v>151.33</v>
      </c>
      <c r="G63" s="15" t="n">
        <v>720.62</v>
      </c>
      <c r="H63" s="32" t="n">
        <v>300</v>
      </c>
      <c r="I63" s="33" t="n">
        <v>223.7099616</v>
      </c>
      <c r="J63" s="34">
        <f>IF(OR($I63="",$G63="",$G63=0),"",$I63/$G63)</f>
        <v/>
      </c>
      <c r="K63" s="17">
        <f>IFERROR(INDEX('PARAMETROS'!$B$16:$B$19,MATCH($E63,'PARAMETROS'!$A$16:$A$19,0)),"")</f>
        <v/>
      </c>
      <c r="L63" s="17">
        <f>IF($K63&lt;&gt;"",$K63,$J63)</f>
        <v/>
      </c>
      <c r="M63" s="19" t="inlineStr"/>
    </row>
    <row r="64">
      <c r="A64" s="5" t="inlineStr">
        <is>
          <t>Pivô 56</t>
        </is>
      </c>
      <c r="B64" s="24" t="inlineStr">
        <is>
          <t>56</t>
        </is>
      </c>
      <c r="C64" s="5" t="inlineStr">
        <is>
          <t>Karitel</t>
        </is>
      </c>
      <c r="D64" s="5" t="inlineStr">
        <is>
          <t>Módulo 03</t>
        </is>
      </c>
      <c r="E64" s="5" t="inlineStr">
        <is>
          <t>KM2</t>
        </is>
      </c>
      <c r="F64" s="15" t="n">
        <v>151.2</v>
      </c>
      <c r="G64" s="15" t="n">
        <v>720</v>
      </c>
      <c r="H64" s="32" t="n">
        <v>150</v>
      </c>
      <c r="I64" s="33" t="n">
        <v>111.8549808</v>
      </c>
      <c r="J64" s="34">
        <f>IF(OR($I64="",$G64="",$G64=0),"",$I64/$G64)</f>
        <v/>
      </c>
      <c r="K64" s="17">
        <f>IFERROR(INDEX('PARAMETROS'!$B$16:$B$19,MATCH($E64,'PARAMETROS'!$A$16:$A$19,0)),"")</f>
        <v/>
      </c>
      <c r="L64" s="17">
        <f>IF($K64&lt;&gt;"",$K64,$J64)</f>
        <v/>
      </c>
      <c r="M64" s="19" t="inlineStr"/>
    </row>
    <row r="65">
      <c r="A65" s="5" t="inlineStr">
        <is>
          <t>Pivô 57</t>
        </is>
      </c>
      <c r="B65" s="24" t="inlineStr">
        <is>
          <t>57</t>
        </is>
      </c>
      <c r="C65" s="5" t="inlineStr">
        <is>
          <t>Karitel</t>
        </is>
      </c>
      <c r="D65" s="5" t="inlineStr">
        <is>
          <t>Módulo 03</t>
        </is>
      </c>
      <c r="E65" s="5" t="inlineStr">
        <is>
          <t>KM2</t>
        </is>
      </c>
      <c r="F65" s="15" t="n">
        <v>150.24</v>
      </c>
      <c r="G65" s="15" t="n">
        <v>715.4299999999999</v>
      </c>
      <c r="H65" s="32" t="n">
        <v>200</v>
      </c>
      <c r="I65" s="33" t="n">
        <v>149.1399744</v>
      </c>
      <c r="J65" s="34">
        <f>IF(OR($I65="",$G65="",$G65=0),"",$I65/$G65)</f>
        <v/>
      </c>
      <c r="K65" s="17">
        <f>IFERROR(INDEX('PARAMETROS'!$B$16:$B$19,MATCH($E65,'PARAMETROS'!$A$16:$A$19,0)),"")</f>
        <v/>
      </c>
      <c r="L65" s="17">
        <f>IF($K65&lt;&gt;"",$K65,$J65)</f>
        <v/>
      </c>
      <c r="M65" s="19" t="inlineStr"/>
    </row>
    <row r="66">
      <c r="A66" s="5" t="inlineStr">
        <is>
          <t>Pivô 58</t>
        </is>
      </c>
      <c r="B66" s="24" t="inlineStr">
        <is>
          <t>58</t>
        </is>
      </c>
      <c r="C66" s="5" t="inlineStr">
        <is>
          <t>Karitel</t>
        </is>
      </c>
      <c r="D66" s="5" t="inlineStr">
        <is>
          <t>Módulo 03</t>
        </is>
      </c>
      <c r="E66" s="5" t="inlineStr">
        <is>
          <t>KM2</t>
        </is>
      </c>
      <c r="F66" s="15" t="n">
        <v>150.24</v>
      </c>
      <c r="G66" s="15" t="n">
        <v>715.4299999999999</v>
      </c>
      <c r="H66" s="32" t="n">
        <v>150</v>
      </c>
      <c r="I66" s="33" t="n">
        <v>111.8549808</v>
      </c>
      <c r="J66" s="34">
        <f>IF(OR($I66="",$G66="",$G66=0),"",$I66/$G66)</f>
        <v/>
      </c>
      <c r="K66" s="17">
        <f>IFERROR(INDEX('PARAMETROS'!$B$16:$B$19,MATCH($E66,'PARAMETROS'!$A$16:$A$19,0)),"")</f>
        <v/>
      </c>
      <c r="L66" s="17">
        <f>IF($K66&lt;&gt;"",$K66,$J66)</f>
        <v/>
      </c>
      <c r="M66" s="19" t="inlineStr"/>
    </row>
    <row r="67">
      <c r="A67" s="5" t="inlineStr">
        <is>
          <t>Pivô 59</t>
        </is>
      </c>
      <c r="B67" s="24" t="inlineStr">
        <is>
          <t>59</t>
        </is>
      </c>
      <c r="C67" s="5" t="inlineStr">
        <is>
          <t>Karitel</t>
        </is>
      </c>
      <c r="D67" s="5" t="inlineStr">
        <is>
          <t>Módulo 03</t>
        </is>
      </c>
      <c r="E67" s="5" t="inlineStr">
        <is>
          <t>KM2</t>
        </is>
      </c>
      <c r="F67" s="15" t="n">
        <v>144.4</v>
      </c>
      <c r="G67" s="15" t="n">
        <v>687.62</v>
      </c>
      <c r="H67" s="32" t="n">
        <v>175</v>
      </c>
      <c r="I67" s="33" t="n">
        <v>130.4974776</v>
      </c>
      <c r="J67" s="34">
        <f>IF(OR($I67="",$G67="",$G67=0),"",$I67/$G67)</f>
        <v/>
      </c>
      <c r="K67" s="17">
        <f>IFERROR(INDEX('PARAMETROS'!$B$16:$B$19,MATCH($E67,'PARAMETROS'!$A$16:$A$19,0)),"")</f>
        <v/>
      </c>
      <c r="L67" s="17">
        <f>IF($K67&lt;&gt;"",$K67,$J67)</f>
        <v/>
      </c>
      <c r="M67" s="19" t="inlineStr"/>
    </row>
    <row r="68">
      <c r="A68" s="5" t="inlineStr">
        <is>
          <t>Pivô 60</t>
        </is>
      </c>
      <c r="B68" s="24" t="inlineStr">
        <is>
          <t>60</t>
        </is>
      </c>
      <c r="C68" s="5" t="inlineStr">
        <is>
          <t>Karitel</t>
        </is>
      </c>
      <c r="D68" s="5" t="inlineStr">
        <is>
          <t>Módulo 03</t>
        </is>
      </c>
      <c r="E68" s="5" t="inlineStr">
        <is>
          <t>KM2</t>
        </is>
      </c>
      <c r="F68" s="15" t="n">
        <v>150.24</v>
      </c>
      <c r="G68" s="15" t="n">
        <v>701.12</v>
      </c>
      <c r="H68" s="32" t="n">
        <v>175</v>
      </c>
      <c r="I68" s="33" t="n">
        <v>130.4974776</v>
      </c>
      <c r="J68" s="34">
        <f>IF(OR($I68="",$G68="",$G68=0),"",$I68/$G68)</f>
        <v/>
      </c>
      <c r="K68" s="17">
        <f>IFERROR(INDEX('PARAMETROS'!$B$16:$B$19,MATCH($E68,'PARAMETROS'!$A$16:$A$19,0)),"")</f>
        <v/>
      </c>
      <c r="L68" s="17">
        <f>IF($K68&lt;&gt;"",$K68,$J68)</f>
        <v/>
      </c>
      <c r="M68" s="19" t="inlineStr"/>
    </row>
    <row r="69">
      <c r="A69" s="5" t="inlineStr">
        <is>
          <t>Pivô 61</t>
        </is>
      </c>
      <c r="B69" s="24" t="inlineStr">
        <is>
          <t>61</t>
        </is>
      </c>
      <c r="C69" s="5" t="inlineStr">
        <is>
          <t>Karitel</t>
        </is>
      </c>
      <c r="D69" s="5" t="inlineStr">
        <is>
          <t>Módulo 03</t>
        </is>
      </c>
      <c r="E69" s="5" t="inlineStr">
        <is>
          <t>KM2</t>
        </is>
      </c>
      <c r="F69" s="15" t="n">
        <v>145.71</v>
      </c>
      <c r="G69" s="15" t="n">
        <v>693.86</v>
      </c>
      <c r="H69" s="32" t="n">
        <v>175</v>
      </c>
      <c r="I69" s="33" t="n">
        <v>130.4974776</v>
      </c>
      <c r="J69" s="34">
        <f>IF(OR($I69="",$G69="",$G69=0),"",$I69/$G69)</f>
        <v/>
      </c>
      <c r="K69" s="17">
        <f>IFERROR(INDEX('PARAMETROS'!$B$16:$B$19,MATCH($E69,'PARAMETROS'!$A$16:$A$19,0)),"")</f>
        <v/>
      </c>
      <c r="L69" s="17">
        <f>IF($K69&lt;&gt;"",$K69,$J69)</f>
        <v/>
      </c>
      <c r="M69" s="19" t="inlineStr"/>
    </row>
    <row r="70">
      <c r="A70" s="5" t="inlineStr">
        <is>
          <t>Pivô 62</t>
        </is>
      </c>
      <c r="B70" s="24" t="inlineStr">
        <is>
          <t>62</t>
        </is>
      </c>
      <c r="C70" s="5" t="inlineStr">
        <is>
          <t>Karitel</t>
        </is>
      </c>
      <c r="D70" s="5" t="inlineStr">
        <is>
          <t>Módulo 03</t>
        </is>
      </c>
      <c r="E70" s="5" t="inlineStr">
        <is>
          <t>KM2</t>
        </is>
      </c>
      <c r="F70" s="15" t="n">
        <v>140.89</v>
      </c>
      <c r="G70" s="15" t="n">
        <v>670.9</v>
      </c>
      <c r="H70" s="32" t="n">
        <v>175</v>
      </c>
      <c r="I70" s="33" t="n">
        <v>130.4974776</v>
      </c>
      <c r="J70" s="34">
        <f>IF(OR($I70="",$G70="",$G70=0),"",$I70/$G70)</f>
        <v/>
      </c>
      <c r="K70" s="17">
        <f>IFERROR(INDEX('PARAMETROS'!$B$16:$B$19,MATCH($E70,'PARAMETROS'!$A$16:$A$19,0)),"")</f>
        <v/>
      </c>
      <c r="L70" s="17">
        <f>IF($K70&lt;&gt;"",$K70,$J70)</f>
        <v/>
      </c>
      <c r="M70" s="19" t="inlineStr"/>
    </row>
    <row r="71">
      <c r="A71" s="5" t="inlineStr">
        <is>
          <t>Pivô 63</t>
        </is>
      </c>
      <c r="B71" s="24" t="inlineStr">
        <is>
          <t>63</t>
        </is>
      </c>
      <c r="C71" s="5" t="inlineStr">
        <is>
          <t>Karitel</t>
        </is>
      </c>
      <c r="D71" s="5" t="inlineStr">
        <is>
          <t>Módulo 03</t>
        </is>
      </c>
      <c r="E71" s="5" t="inlineStr">
        <is>
          <t>KM2</t>
        </is>
      </c>
      <c r="F71" s="15" t="n">
        <v>80.15000000000001</v>
      </c>
      <c r="G71" s="15" t="n">
        <v>383.71</v>
      </c>
      <c r="H71" s="32" t="n">
        <v>100</v>
      </c>
      <c r="I71" s="33" t="n">
        <v>74.5699872</v>
      </c>
      <c r="J71" s="34">
        <f>IF(OR($I71="",$G71="",$G71=0),"",$I71/$G71)</f>
        <v/>
      </c>
      <c r="K71" s="17">
        <f>IFERROR(INDEX('PARAMETROS'!$B$16:$B$19,MATCH($E71,'PARAMETROS'!$A$16:$A$19,0)),"")</f>
        <v/>
      </c>
      <c r="L71" s="17">
        <f>IF($K71&lt;&gt;"",$K71,$J71)</f>
        <v/>
      </c>
      <c r="M71" s="19" t="inlineStr"/>
    </row>
    <row r="72">
      <c r="A72" s="5" t="inlineStr">
        <is>
          <t>Pivô 64</t>
        </is>
      </c>
      <c r="B72" s="24" t="inlineStr">
        <is>
          <t>64</t>
        </is>
      </c>
      <c r="C72" s="5" t="inlineStr">
        <is>
          <t>Karitel</t>
        </is>
      </c>
      <c r="D72" s="5" t="inlineStr">
        <is>
          <t>Módulo 03</t>
        </is>
      </c>
      <c r="E72" s="5" t="inlineStr">
        <is>
          <t>KM2</t>
        </is>
      </c>
      <c r="F72" s="15" t="n">
        <v>80.15000000000001</v>
      </c>
      <c r="G72" s="15" t="n">
        <v>383.71</v>
      </c>
      <c r="H72" s="32" t="n">
        <v>75</v>
      </c>
      <c r="I72" s="33" t="n">
        <v>55.9274904</v>
      </c>
      <c r="J72" s="34">
        <f>IF(OR($I72="",$G72="",$G72=0),"",$I72/$G72)</f>
        <v/>
      </c>
      <c r="K72" s="17">
        <f>IFERROR(INDEX('PARAMETROS'!$B$16:$B$19,MATCH($E72,'PARAMETROS'!$A$16:$A$19,0)),"")</f>
        <v/>
      </c>
      <c r="L72" s="17">
        <f>IF($K72&lt;&gt;"",$K72,$J72)</f>
        <v/>
      </c>
      <c r="M72" s="19" t="inlineStr"/>
    </row>
    <row r="73">
      <c r="A73" s="5" t="inlineStr">
        <is>
          <t>Pivô 65</t>
        </is>
      </c>
      <c r="B73" s="24" t="inlineStr">
        <is>
          <t>65</t>
        </is>
      </c>
      <c r="C73" s="5" t="inlineStr">
        <is>
          <t>Karitel</t>
        </is>
      </c>
      <c r="D73" s="5" t="inlineStr">
        <is>
          <t>Módulo 03</t>
        </is>
      </c>
      <c r="E73" s="5" t="inlineStr">
        <is>
          <t>KM2</t>
        </is>
      </c>
      <c r="F73" s="15" t="n">
        <v>150.24</v>
      </c>
      <c r="G73" s="15" t="n">
        <v>692.3</v>
      </c>
      <c r="H73" s="32" t="n">
        <v>200</v>
      </c>
      <c r="I73" s="33" t="n">
        <v>149.1399744</v>
      </c>
      <c r="J73" s="34">
        <f>IF(OR($I73="",$G73="",$G73=0),"",$I73/$G73)</f>
        <v/>
      </c>
      <c r="K73" s="17">
        <f>IFERROR(INDEX('PARAMETROS'!$B$16:$B$19,MATCH($E73,'PARAMETROS'!$A$16:$A$19,0)),"")</f>
        <v/>
      </c>
      <c r="L73" s="17">
        <f>IF($K73&lt;&gt;"",$K73,$J73)</f>
        <v/>
      </c>
      <c r="M73" s="19" t="inlineStr"/>
    </row>
    <row r="74">
      <c r="A74" s="5" t="inlineStr">
        <is>
          <t>Pivô 66</t>
        </is>
      </c>
      <c r="B74" s="24" t="inlineStr">
        <is>
          <t>66</t>
        </is>
      </c>
      <c r="C74" s="5" t="inlineStr">
        <is>
          <t>Karitel</t>
        </is>
      </c>
      <c r="D74" s="5" t="inlineStr">
        <is>
          <t>Módulo 03</t>
        </is>
      </c>
      <c r="E74" s="5" t="inlineStr">
        <is>
          <t>KM2</t>
        </is>
      </c>
      <c r="F74" s="15" t="n">
        <v>100.86</v>
      </c>
      <c r="G74" s="15" t="n">
        <v>480.29</v>
      </c>
      <c r="H74" s="32" t="n">
        <v>175</v>
      </c>
      <c r="I74" s="33" t="n">
        <v>130.4974776</v>
      </c>
      <c r="J74" s="34">
        <f>IF(OR($I74="",$G74="",$G74=0),"",$I74/$G74)</f>
        <v/>
      </c>
      <c r="K74" s="17">
        <f>IFERROR(INDEX('PARAMETROS'!$B$16:$B$19,MATCH($E74,'PARAMETROS'!$A$16:$A$19,0)),"")</f>
        <v/>
      </c>
      <c r="L74" s="17">
        <f>IF($K74&lt;&gt;"",$K74,$J74)</f>
        <v/>
      </c>
      <c r="M74" s="19" t="inlineStr"/>
    </row>
    <row r="75">
      <c r="A75" s="5" t="inlineStr">
        <is>
          <t>Pivô 67</t>
        </is>
      </c>
      <c r="B75" s="24" t="inlineStr">
        <is>
          <t>67</t>
        </is>
      </c>
      <c r="C75" s="5" t="inlineStr">
        <is>
          <t>Karitel</t>
        </is>
      </c>
      <c r="D75" s="5" t="inlineStr">
        <is>
          <t>Módulo 03</t>
        </is>
      </c>
      <c r="E75" s="5" t="inlineStr">
        <is>
          <t>KM2</t>
        </is>
      </c>
      <c r="F75" s="15" t="n">
        <v>80.25</v>
      </c>
      <c r="G75" s="15" t="n">
        <v>382.14</v>
      </c>
      <c r="H75" s="32" t="n">
        <v>175</v>
      </c>
      <c r="I75" s="33" t="n">
        <v>130.4974776</v>
      </c>
      <c r="J75" s="34">
        <f>IF(OR($I75="",$G75="",$G75=0),"",$I75/$G75)</f>
        <v/>
      </c>
      <c r="K75" s="17">
        <f>IFERROR(INDEX('PARAMETROS'!$B$16:$B$19,MATCH($E75,'PARAMETROS'!$A$16:$A$19,0)),"")</f>
        <v/>
      </c>
      <c r="L75" s="17">
        <f>IF($K75&lt;&gt;"",$K75,$J75)</f>
        <v/>
      </c>
      <c r="M75" s="19" t="inlineStr"/>
    </row>
    <row r="76">
      <c r="A76" s="5" t="inlineStr">
        <is>
          <t>Pivô 68</t>
        </is>
      </c>
      <c r="B76" s="24" t="inlineStr">
        <is>
          <t>68</t>
        </is>
      </c>
      <c r="C76" s="5" t="inlineStr">
        <is>
          <t>Karitel</t>
        </is>
      </c>
      <c r="D76" s="5" t="inlineStr">
        <is>
          <t>Módulo 03</t>
        </is>
      </c>
      <c r="E76" s="5" t="inlineStr">
        <is>
          <t>KM2</t>
        </is>
      </c>
      <c r="F76" s="15" t="n">
        <v>80.25</v>
      </c>
      <c r="G76" s="15" t="n">
        <v>382.14</v>
      </c>
      <c r="H76" s="32" t="n">
        <v>175</v>
      </c>
      <c r="I76" s="33" t="n">
        <v>130.4974776</v>
      </c>
      <c r="J76" s="34">
        <f>IF(OR($I76="",$G76="",$G76=0),"",$I76/$G76)</f>
        <v/>
      </c>
      <c r="K76" s="17">
        <f>IFERROR(INDEX('PARAMETROS'!$B$16:$B$19,MATCH($E76,'PARAMETROS'!$A$16:$A$19,0)),"")</f>
        <v/>
      </c>
      <c r="L76" s="17">
        <f>IF($K76&lt;&gt;"",$K76,$J76)</f>
        <v/>
      </c>
      <c r="M76" s="19" t="inlineStr"/>
    </row>
    <row r="77">
      <c r="A77" s="5" t="inlineStr">
        <is>
          <t>Pivô 69</t>
        </is>
      </c>
      <c r="B77" s="24" t="inlineStr">
        <is>
          <t>69</t>
        </is>
      </c>
      <c r="C77" s="5" t="inlineStr">
        <is>
          <t>Karitel</t>
        </is>
      </c>
      <c r="D77" s="5" t="inlineStr">
        <is>
          <t>Módulo 03</t>
        </is>
      </c>
      <c r="E77" s="5" t="inlineStr">
        <is>
          <t>KM2</t>
        </is>
      </c>
      <c r="F77" s="15" t="n">
        <v>80.25</v>
      </c>
      <c r="G77" s="15" t="n">
        <v>382.14</v>
      </c>
      <c r="H77" s="32" t="n">
        <v>175</v>
      </c>
      <c r="I77" s="33" t="n">
        <v>130.4974776</v>
      </c>
      <c r="J77" s="34">
        <f>IF(OR($I77="",$G77="",$G77=0),"",$I77/$G77)</f>
        <v/>
      </c>
      <c r="K77" s="17">
        <f>IFERROR(INDEX('PARAMETROS'!$B$16:$B$19,MATCH($E77,'PARAMETROS'!$A$16:$A$19,0)),"")</f>
        <v/>
      </c>
      <c r="L77" s="17">
        <f>IF($K77&lt;&gt;"",$K77,$J77)</f>
        <v/>
      </c>
      <c r="M77" s="19" t="inlineStr"/>
    </row>
    <row r="78">
      <c r="A78" s="5" t="inlineStr">
        <is>
          <t>Pivô 70</t>
        </is>
      </c>
      <c r="B78" s="24" t="inlineStr">
        <is>
          <t>70</t>
        </is>
      </c>
      <c r="C78" s="5" t="inlineStr">
        <is>
          <t>Karitel</t>
        </is>
      </c>
      <c r="D78" s="5" t="inlineStr">
        <is>
          <t>Módulo 03</t>
        </is>
      </c>
      <c r="E78" s="5" t="inlineStr">
        <is>
          <t>KM2</t>
        </is>
      </c>
      <c r="F78" s="15" t="n">
        <v>150.24</v>
      </c>
      <c r="G78" s="15" t="n">
        <v>715.4299999999999</v>
      </c>
      <c r="H78" s="32" t="n">
        <v>175</v>
      </c>
      <c r="I78" s="33" t="n">
        <v>130.4974776</v>
      </c>
      <c r="J78" s="34">
        <f>IF(OR($I78="",$G78="",$G78=0),"",$I78/$G78)</f>
        <v/>
      </c>
      <c r="K78" s="17">
        <f>IFERROR(INDEX('PARAMETROS'!$B$16:$B$19,MATCH($E78,'PARAMETROS'!$A$16:$A$19,0)),"")</f>
        <v/>
      </c>
      <c r="L78" s="17">
        <f>IF($K78&lt;&gt;"",$K78,$J78)</f>
        <v/>
      </c>
      <c r="M78" s="19" t="inlineStr"/>
    </row>
    <row r="79">
      <c r="A79" s="5" t="inlineStr">
        <is>
          <t>Pivô 71</t>
        </is>
      </c>
      <c r="B79" s="24" t="inlineStr">
        <is>
          <t>71</t>
        </is>
      </c>
      <c r="C79" s="5" t="inlineStr">
        <is>
          <t>Karitel</t>
        </is>
      </c>
      <c r="D79" s="5" t="inlineStr">
        <is>
          <t>Módulo 03</t>
        </is>
      </c>
      <c r="E79" s="5" t="inlineStr">
        <is>
          <t>KM2</t>
        </is>
      </c>
      <c r="F79" s="15" t="n">
        <v>40.23</v>
      </c>
      <c r="G79" s="15" t="n">
        <v>191.57</v>
      </c>
      <c r="H79" s="32" t="n">
        <v>40</v>
      </c>
      <c r="I79" s="33" t="n">
        <v>29.82799488</v>
      </c>
      <c r="J79" s="34">
        <f>IF(OR($I79="",$G79="",$G79=0),"",$I79/$G79)</f>
        <v/>
      </c>
      <c r="K79" s="17">
        <f>IFERROR(INDEX('PARAMETROS'!$B$16:$B$19,MATCH($E79,'PARAMETROS'!$A$16:$A$19,0)),"")</f>
        <v/>
      </c>
      <c r="L79" s="17">
        <f>IF($K79&lt;&gt;"",$K79,$J79)</f>
        <v/>
      </c>
      <c r="M79" s="19" t="inlineStr"/>
    </row>
    <row r="80">
      <c r="A80" s="5" t="inlineStr">
        <is>
          <t>Pivô 72</t>
        </is>
      </c>
      <c r="B80" s="24" t="inlineStr">
        <is>
          <t>72</t>
        </is>
      </c>
      <c r="C80" s="5" t="inlineStr">
        <is>
          <t>Karitel</t>
        </is>
      </c>
      <c r="D80" s="5" t="inlineStr">
        <is>
          <t>Módulo 03</t>
        </is>
      </c>
      <c r="E80" s="5" t="inlineStr">
        <is>
          <t>KM2</t>
        </is>
      </c>
      <c r="F80" s="15" t="n">
        <v>125.51</v>
      </c>
      <c r="G80" s="15" t="n">
        <v>597.67</v>
      </c>
      <c r="H80" s="32" t="n">
        <v>175</v>
      </c>
      <c r="I80" s="33" t="n">
        <v>130.4974776</v>
      </c>
      <c r="J80" s="34">
        <f>IF(OR($I80="",$G80="",$G80=0),"",$I80/$G80)</f>
        <v/>
      </c>
      <c r="K80" s="17">
        <f>IFERROR(INDEX('PARAMETROS'!$B$16:$B$19,MATCH($E80,'PARAMETROS'!$A$16:$A$19,0)),"")</f>
        <v/>
      </c>
      <c r="L80" s="17">
        <f>IF($K80&lt;&gt;"",$K80,$J80)</f>
        <v/>
      </c>
      <c r="M80" s="19" t="inlineStr"/>
    </row>
    <row r="81">
      <c r="A81" s="5" t="inlineStr">
        <is>
          <t>Pivô 101</t>
        </is>
      </c>
      <c r="B81" s="24" t="inlineStr">
        <is>
          <t>101</t>
        </is>
      </c>
      <c r="C81" s="5" t="inlineStr">
        <is>
          <t>RDM</t>
        </is>
      </c>
      <c r="D81" s="5" t="inlineStr">
        <is>
          <t>Módulo 01</t>
        </is>
      </c>
      <c r="E81" s="5" t="inlineStr">
        <is>
          <t>RDM1</t>
        </is>
      </c>
      <c r="F81" s="15" t="n">
        <v>116.2</v>
      </c>
      <c r="G81" s="15" t="n">
        <v>552.48</v>
      </c>
      <c r="H81" s="32" t="n">
        <v>150</v>
      </c>
      <c r="I81" s="33" t="n">
        <v>111.8549808</v>
      </c>
      <c r="J81" s="34">
        <f>IF(OR($I81="",$G81="",$G81=0),"",$I81/$G81)</f>
        <v/>
      </c>
      <c r="K81" s="17">
        <f>IFERROR(INDEX('PARAMETROS'!$B$16:$B$19,MATCH($E81,'PARAMETROS'!$A$16:$A$19,0)),"")</f>
        <v/>
      </c>
      <c r="L81" s="17">
        <f>IF($K81&lt;&gt;"",$K81,$J81)</f>
        <v/>
      </c>
      <c r="M81" s="19" t="inlineStr"/>
    </row>
    <row r="82">
      <c r="A82" s="5" t="inlineStr">
        <is>
          <t>Pivô 102</t>
        </is>
      </c>
      <c r="B82" s="24" t="inlineStr">
        <is>
          <t>102</t>
        </is>
      </c>
      <c r="C82" s="5" t="inlineStr">
        <is>
          <t>RDM</t>
        </is>
      </c>
      <c r="D82" s="5" t="inlineStr">
        <is>
          <t>Módulo 01</t>
        </is>
      </c>
      <c r="E82" s="5" t="inlineStr">
        <is>
          <t>RDM1</t>
        </is>
      </c>
      <c r="F82" s="15" t="n">
        <v>102.19</v>
      </c>
      <c r="G82" s="15" t="n">
        <v>486.62</v>
      </c>
      <c r="H82" s="32" t="n">
        <v>125</v>
      </c>
      <c r="I82" s="33" t="n">
        <v>93.212484</v>
      </c>
      <c r="J82" s="34">
        <f>IF(OR($I82="",$G82="",$G82=0),"",$I82/$G82)</f>
        <v/>
      </c>
      <c r="K82" s="17">
        <f>IFERROR(INDEX('PARAMETROS'!$B$16:$B$19,MATCH($E82,'PARAMETROS'!$A$16:$A$19,0)),"")</f>
        <v/>
      </c>
      <c r="L82" s="17">
        <f>IF($K82&lt;&gt;"",$K82,$J82)</f>
        <v/>
      </c>
      <c r="M82" s="19" t="inlineStr"/>
    </row>
    <row r="83">
      <c r="A83" s="5" t="inlineStr">
        <is>
          <t>Pivô 103</t>
        </is>
      </c>
      <c r="B83" s="24" t="inlineStr">
        <is>
          <t>103</t>
        </is>
      </c>
      <c r="C83" s="5" t="inlineStr">
        <is>
          <t>RDM</t>
        </is>
      </c>
      <c r="D83" s="5" t="inlineStr">
        <is>
          <t>Módulo 01</t>
        </is>
      </c>
      <c r="E83" s="5" t="inlineStr">
        <is>
          <t>RDM1</t>
        </is>
      </c>
      <c r="F83" s="15" t="n">
        <v>102.01</v>
      </c>
      <c r="G83" s="15" t="n">
        <v>485.76</v>
      </c>
      <c r="H83" s="32" t="n">
        <v>100</v>
      </c>
      <c r="I83" s="33" t="n">
        <v>74.5699872</v>
      </c>
      <c r="J83" s="34">
        <f>IF(OR($I83="",$G83="",$G83=0),"",$I83/$G83)</f>
        <v/>
      </c>
      <c r="K83" s="17">
        <f>IFERROR(INDEX('PARAMETROS'!$B$16:$B$19,MATCH($E83,'PARAMETROS'!$A$16:$A$19,0)),"")</f>
        <v/>
      </c>
      <c r="L83" s="17">
        <f>IF($K83&lt;&gt;"",$K83,$J83)</f>
        <v/>
      </c>
      <c r="M83" s="19" t="inlineStr"/>
    </row>
    <row r="84">
      <c r="A84" s="5" t="inlineStr">
        <is>
          <t>Pivô 104</t>
        </is>
      </c>
      <c r="B84" s="24" t="inlineStr">
        <is>
          <t>104</t>
        </is>
      </c>
      <c r="C84" s="5" t="inlineStr">
        <is>
          <t>RDM</t>
        </is>
      </c>
      <c r="D84" s="5" t="inlineStr">
        <is>
          <t>Módulo 01</t>
        </is>
      </c>
      <c r="E84" s="5" t="inlineStr">
        <is>
          <t>RDM1</t>
        </is>
      </c>
      <c r="F84" s="15" t="n">
        <v>102.01</v>
      </c>
      <c r="G84" s="15" t="n">
        <v>485.76</v>
      </c>
      <c r="H84" s="32" t="n">
        <v>100</v>
      </c>
      <c r="I84" s="33" t="n">
        <v>74.5699872</v>
      </c>
      <c r="J84" s="34">
        <f>IF(OR($I84="",$G84="",$G84=0),"",$I84/$G84)</f>
        <v/>
      </c>
      <c r="K84" s="17">
        <f>IFERROR(INDEX('PARAMETROS'!$B$16:$B$19,MATCH($E84,'PARAMETROS'!$A$16:$A$19,0)),"")</f>
        <v/>
      </c>
      <c r="L84" s="17">
        <f>IF($K84&lt;&gt;"",$K84,$J84)</f>
        <v/>
      </c>
      <c r="M84" s="19" t="inlineStr"/>
    </row>
    <row r="85">
      <c r="A85" s="5" t="inlineStr">
        <is>
          <t>Pivô 105</t>
        </is>
      </c>
      <c r="B85" s="24" t="inlineStr">
        <is>
          <t>105</t>
        </is>
      </c>
      <c r="C85" s="5" t="inlineStr">
        <is>
          <t>RDM</t>
        </is>
      </c>
      <c r="D85" s="5" t="inlineStr">
        <is>
          <t>Módulo 01</t>
        </is>
      </c>
      <c r="E85" s="5" t="inlineStr">
        <is>
          <t>RDM2</t>
        </is>
      </c>
      <c r="F85" s="15" t="n">
        <v>102.01</v>
      </c>
      <c r="G85" s="15" t="n">
        <v>485.76</v>
      </c>
      <c r="H85" s="32" t="n">
        <v>100</v>
      </c>
      <c r="I85" s="33" t="n">
        <v>74.5699872</v>
      </c>
      <c r="J85" s="34">
        <f>IF(OR($I85="",$G85="",$G85=0),"",$I85/$G85)</f>
        <v/>
      </c>
      <c r="K85" s="17">
        <f>IFERROR(INDEX('PARAMETROS'!$B$16:$B$19,MATCH($E85,'PARAMETROS'!$A$16:$A$19,0)),"")</f>
        <v/>
      </c>
      <c r="L85" s="17">
        <f>IF($K85&lt;&gt;"",$K85,$J85)</f>
        <v/>
      </c>
      <c r="M85" s="19" t="inlineStr"/>
    </row>
    <row r="86">
      <c r="A86" s="5" t="inlineStr">
        <is>
          <t>Pivô 106</t>
        </is>
      </c>
      <c r="B86" s="24" t="inlineStr">
        <is>
          <t>106</t>
        </is>
      </c>
      <c r="C86" s="5" t="inlineStr">
        <is>
          <t>RDM</t>
        </is>
      </c>
      <c r="D86" s="5" t="inlineStr">
        <is>
          <t>Módulo 01</t>
        </is>
      </c>
      <c r="E86" s="5" t="inlineStr">
        <is>
          <t>RDM2</t>
        </is>
      </c>
      <c r="F86" s="15" t="n">
        <v>102.01</v>
      </c>
      <c r="G86" s="15" t="n">
        <v>485.76</v>
      </c>
      <c r="H86" s="32" t="n">
        <v>100</v>
      </c>
      <c r="I86" s="33" t="n">
        <v>74.5699872</v>
      </c>
      <c r="J86" s="34">
        <f>IF(OR($I86="",$G86="",$G86=0),"",$I86/$G86)</f>
        <v/>
      </c>
      <c r="K86" s="17">
        <f>IFERROR(INDEX('PARAMETROS'!$B$16:$B$19,MATCH($E86,'PARAMETROS'!$A$16:$A$19,0)),"")</f>
        <v/>
      </c>
      <c r="L86" s="17">
        <f>IF($K86&lt;&gt;"",$K86,$J86)</f>
        <v/>
      </c>
      <c r="M86" s="19" t="inlineStr"/>
    </row>
    <row r="87">
      <c r="A87" s="5" t="inlineStr">
        <is>
          <t>Pivô 107</t>
        </is>
      </c>
      <c r="B87" s="24" t="inlineStr">
        <is>
          <t>107</t>
        </is>
      </c>
      <c r="C87" s="5" t="inlineStr">
        <is>
          <t>RDM</t>
        </is>
      </c>
      <c r="D87" s="5" t="inlineStr">
        <is>
          <t>Módulo 01</t>
        </is>
      </c>
      <c r="E87" s="5" t="inlineStr">
        <is>
          <t>RDM2</t>
        </is>
      </c>
      <c r="F87" s="15" t="n">
        <v>102.01</v>
      </c>
      <c r="G87" s="15" t="n">
        <v>485.76</v>
      </c>
      <c r="H87" s="32" t="n">
        <v>125</v>
      </c>
      <c r="I87" s="33" t="n">
        <v>93.212484</v>
      </c>
      <c r="J87" s="34">
        <f>IF(OR($I87="",$G87="",$G87=0),"",$I87/$G87)</f>
        <v/>
      </c>
      <c r="K87" s="17">
        <f>IFERROR(INDEX('PARAMETROS'!$B$16:$B$19,MATCH($E87,'PARAMETROS'!$A$16:$A$19,0)),"")</f>
        <v/>
      </c>
      <c r="L87" s="17">
        <f>IF($K87&lt;&gt;"",$K87,$J87)</f>
        <v/>
      </c>
      <c r="M87" s="19" t="inlineStr"/>
    </row>
    <row r="88">
      <c r="A88" s="5" t="inlineStr">
        <is>
          <t>Pivô 108</t>
        </is>
      </c>
      <c r="B88" s="24" t="inlineStr">
        <is>
          <t>108</t>
        </is>
      </c>
      <c r="C88" s="5" t="inlineStr">
        <is>
          <t>RDM</t>
        </is>
      </c>
      <c r="D88" s="5" t="inlineStr">
        <is>
          <t>Módulo 01</t>
        </is>
      </c>
      <c r="E88" s="5" t="inlineStr">
        <is>
          <t>RDM2</t>
        </is>
      </c>
      <c r="F88" s="15" t="n">
        <v>102.01</v>
      </c>
      <c r="G88" s="15" t="n">
        <v>485.76</v>
      </c>
      <c r="H88" s="32" t="n">
        <v>100</v>
      </c>
      <c r="I88" s="33" t="n">
        <v>74.5699872</v>
      </c>
      <c r="J88" s="34">
        <f>IF(OR($I88="",$G88="",$G88=0),"",$I88/$G88)</f>
        <v/>
      </c>
      <c r="K88" s="17">
        <f>IFERROR(INDEX('PARAMETROS'!$B$16:$B$19,MATCH($E88,'PARAMETROS'!$A$16:$A$19,0)),"")</f>
        <v/>
      </c>
      <c r="L88" s="17">
        <f>IF($K88&lt;&gt;"",$K88,$J88)</f>
        <v/>
      </c>
      <c r="M88" s="19" t="inlineStr"/>
    </row>
    <row r="89">
      <c r="A89" s="5" t="inlineStr">
        <is>
          <t>Pivô 109</t>
        </is>
      </c>
      <c r="B89" s="24" t="inlineStr">
        <is>
          <t>109</t>
        </is>
      </c>
      <c r="C89" s="5" t="inlineStr">
        <is>
          <t>RDM</t>
        </is>
      </c>
      <c r="D89" s="5" t="inlineStr">
        <is>
          <t>Módulo 01</t>
        </is>
      </c>
      <c r="E89" s="5" t="inlineStr">
        <is>
          <t>RDM2</t>
        </is>
      </c>
      <c r="F89" s="15" t="n">
        <v>102.01</v>
      </c>
      <c r="G89" s="15" t="n">
        <v>485.76</v>
      </c>
      <c r="H89" s="32" t="n">
        <v>125</v>
      </c>
      <c r="I89" s="33" t="n">
        <v>93.212484</v>
      </c>
      <c r="J89" s="34">
        <f>IF(OR($I89="",$G89="",$G89=0),"",$I89/$G89)</f>
        <v/>
      </c>
      <c r="K89" s="17">
        <f>IFERROR(INDEX('PARAMETROS'!$B$16:$B$19,MATCH($E89,'PARAMETROS'!$A$16:$A$19,0)),"")</f>
        <v/>
      </c>
      <c r="L89" s="17">
        <f>IF($K89&lt;&gt;"",$K89,$J89)</f>
        <v/>
      </c>
      <c r="M89" s="19" t="inlineStr"/>
    </row>
    <row r="90">
      <c r="A90" s="5" t="inlineStr">
        <is>
          <t>Pivô 110</t>
        </is>
      </c>
      <c r="B90" s="24" t="inlineStr">
        <is>
          <t>110</t>
        </is>
      </c>
      <c r="C90" s="5" t="inlineStr">
        <is>
          <t>RDM</t>
        </is>
      </c>
      <c r="D90" s="5" t="inlineStr">
        <is>
          <t>Módulo 01</t>
        </is>
      </c>
      <c r="E90" s="5" t="inlineStr">
        <is>
          <t>RDM1</t>
        </is>
      </c>
      <c r="F90" s="15" t="n">
        <v>102.19</v>
      </c>
      <c r="G90" s="15" t="n">
        <v>485.62</v>
      </c>
      <c r="H90" s="32" t="n">
        <v>125</v>
      </c>
      <c r="I90" s="33" t="n">
        <v>93.212484</v>
      </c>
      <c r="J90" s="34">
        <f>IF(OR($I90="",$G90="",$G90=0),"",$I90/$G90)</f>
        <v/>
      </c>
      <c r="K90" s="17">
        <f>IFERROR(INDEX('PARAMETROS'!$B$16:$B$19,MATCH($E90,'PARAMETROS'!$A$16:$A$19,0)),"")</f>
        <v/>
      </c>
      <c r="L90" s="17">
        <f>IF($K90&lt;&gt;"",$K90,$J90)</f>
        <v/>
      </c>
      <c r="M90" s="19" t="inlineStr"/>
    </row>
    <row r="91">
      <c r="A91" s="5" t="inlineStr">
        <is>
          <t>Pivô 112</t>
        </is>
      </c>
      <c r="B91" s="24" t="inlineStr">
        <is>
          <t>112</t>
        </is>
      </c>
      <c r="C91" s="5" t="inlineStr">
        <is>
          <t>RDM</t>
        </is>
      </c>
      <c r="D91" s="5" t="inlineStr">
        <is>
          <t>Módulo 02</t>
        </is>
      </c>
      <c r="E91" s="5" t="inlineStr">
        <is>
          <t>RDM2</t>
        </is>
      </c>
      <c r="F91" s="15" t="n">
        <v>150.34</v>
      </c>
      <c r="G91" s="15" t="n">
        <v>715.9</v>
      </c>
      <c r="H91" s="32" t="n">
        <v>175</v>
      </c>
      <c r="I91" s="33" t="n">
        <v>130.4974776</v>
      </c>
      <c r="J91" s="34">
        <f>IF(OR($I91="",$G91="",$G91=0),"",$I91/$G91)</f>
        <v/>
      </c>
      <c r="K91" s="17">
        <f>IFERROR(INDEX('PARAMETROS'!$B$16:$B$19,MATCH($E91,'PARAMETROS'!$A$16:$A$19,0)),"")</f>
        <v/>
      </c>
      <c r="L91" s="17">
        <f>IF($K91&lt;&gt;"",$K91,$J91)</f>
        <v/>
      </c>
      <c r="M91" s="19" t="inlineStr"/>
    </row>
    <row r="92">
      <c r="A92" s="5" t="inlineStr">
        <is>
          <t>Pivô 113</t>
        </is>
      </c>
      <c r="B92" s="24" t="inlineStr">
        <is>
          <t>113</t>
        </is>
      </c>
      <c r="C92" s="5" t="inlineStr">
        <is>
          <t>RDM</t>
        </is>
      </c>
      <c r="D92" s="5" t="inlineStr">
        <is>
          <t>Módulo 02</t>
        </is>
      </c>
      <c r="E92" s="5" t="inlineStr">
        <is>
          <t>RDM2</t>
        </is>
      </c>
      <c r="F92" s="15" t="n">
        <v>150.14</v>
      </c>
      <c r="G92" s="15" t="n">
        <v>714.95</v>
      </c>
      <c r="H92" s="32" t="n">
        <v>175</v>
      </c>
      <c r="I92" s="33" t="n">
        <v>130.4974776</v>
      </c>
      <c r="J92" s="34">
        <f>IF(OR($I92="",$G92="",$G92=0),"",$I92/$G92)</f>
        <v/>
      </c>
      <c r="K92" s="17">
        <f>IFERROR(INDEX('PARAMETROS'!$B$16:$B$19,MATCH($E92,'PARAMETROS'!$A$16:$A$19,0)),"")</f>
        <v/>
      </c>
      <c r="L92" s="17">
        <f>IF($K92&lt;&gt;"",$K92,$J92)</f>
        <v/>
      </c>
      <c r="M92" s="19" t="inlineStr"/>
    </row>
    <row r="93">
      <c r="A93" s="5" t="inlineStr">
        <is>
          <t>Pivô 114</t>
        </is>
      </c>
      <c r="B93" s="24" t="inlineStr">
        <is>
          <t>114</t>
        </is>
      </c>
      <c r="C93" s="5" t="inlineStr">
        <is>
          <t>RDM</t>
        </is>
      </c>
      <c r="D93" s="5" t="inlineStr">
        <is>
          <t>Módulo 02</t>
        </is>
      </c>
      <c r="E93" s="5" t="inlineStr">
        <is>
          <t>RDM2</t>
        </is>
      </c>
      <c r="F93" s="15" t="n">
        <v>120.13</v>
      </c>
      <c r="G93" s="15" t="n">
        <v>572.05</v>
      </c>
      <c r="H93" s="32" t="n">
        <v>150</v>
      </c>
      <c r="I93" s="33" t="n">
        <v>111.8549808</v>
      </c>
      <c r="J93" s="34">
        <f>IF(OR($I93="",$G93="",$G93=0),"",$I93/$G93)</f>
        <v/>
      </c>
      <c r="K93" s="17">
        <f>IFERROR(INDEX('PARAMETROS'!$B$16:$B$19,MATCH($E93,'PARAMETROS'!$A$16:$A$19,0)),"")</f>
        <v/>
      </c>
      <c r="L93" s="17">
        <f>IF($K93&lt;&gt;"",$K93,$J93)</f>
        <v/>
      </c>
      <c r="M93" s="19" t="inlineStr"/>
    </row>
    <row r="94">
      <c r="A94" s="5" t="inlineStr">
        <is>
          <t>Pivô 115</t>
        </is>
      </c>
      <c r="B94" s="24" t="inlineStr">
        <is>
          <t>115</t>
        </is>
      </c>
      <c r="C94" s="5" t="inlineStr">
        <is>
          <t>RDM</t>
        </is>
      </c>
      <c r="D94" s="5" t="inlineStr">
        <is>
          <t>Módulo 02</t>
        </is>
      </c>
      <c r="E94" s="5" t="inlineStr">
        <is>
          <t>RDM2</t>
        </is>
      </c>
      <c r="F94" s="15" t="n">
        <v>150.34</v>
      </c>
      <c r="G94" s="15" t="n">
        <v>715.9</v>
      </c>
      <c r="H94" s="32" t="n">
        <v>175</v>
      </c>
      <c r="I94" s="33" t="n">
        <v>130.4974776</v>
      </c>
      <c r="J94" s="34">
        <f>IF(OR($I94="",$G94="",$G94=0),"",$I94/$G94)</f>
        <v/>
      </c>
      <c r="K94" s="17">
        <f>IFERROR(INDEX('PARAMETROS'!$B$16:$B$19,MATCH($E94,'PARAMETROS'!$A$16:$A$19,0)),"")</f>
        <v/>
      </c>
      <c r="L94" s="17">
        <f>IF($K94&lt;&gt;"",$K94,$J94)</f>
        <v/>
      </c>
      <c r="M94" s="19" t="inlineStr"/>
    </row>
    <row r="95">
      <c r="A95" s="5" t="inlineStr">
        <is>
          <t>Pivô 116</t>
        </is>
      </c>
      <c r="B95" s="24" t="inlineStr">
        <is>
          <t>116</t>
        </is>
      </c>
      <c r="C95" s="5" t="inlineStr">
        <is>
          <t>RDM</t>
        </is>
      </c>
      <c r="D95" s="5" t="inlineStr">
        <is>
          <t>Módulo 02</t>
        </is>
      </c>
      <c r="E95" s="5" t="inlineStr">
        <is>
          <t>RDM2</t>
        </is>
      </c>
      <c r="F95" s="15" t="n">
        <v>150.34</v>
      </c>
      <c r="G95" s="15" t="n">
        <v>701.59</v>
      </c>
      <c r="H95" s="32" t="n">
        <v>175</v>
      </c>
      <c r="I95" s="33" t="n">
        <v>130.4974776</v>
      </c>
      <c r="J95" s="34">
        <f>IF(OR($I95="",$G95="",$G95=0),"",$I95/$G95)</f>
        <v/>
      </c>
      <c r="K95" s="17">
        <f>IFERROR(INDEX('PARAMETROS'!$B$16:$B$19,MATCH($E95,'PARAMETROS'!$A$16:$A$19,0)),"")</f>
        <v/>
      </c>
      <c r="L95" s="17">
        <f>IF($K95&lt;&gt;"",$K95,$J95)</f>
        <v/>
      </c>
      <c r="M95" s="19" t="inlineStr"/>
    </row>
    <row r="96">
      <c r="A96" s="5" t="inlineStr">
        <is>
          <t>Pivô 117</t>
        </is>
      </c>
      <c r="B96" s="24" t="inlineStr">
        <is>
          <t>117</t>
        </is>
      </c>
      <c r="C96" s="5" t="inlineStr">
        <is>
          <t>RDM</t>
        </is>
      </c>
      <c r="D96" s="5" t="inlineStr">
        <is>
          <t>Módulo 02</t>
        </is>
      </c>
      <c r="E96" s="5" t="inlineStr">
        <is>
          <t>RDM2</t>
        </is>
      </c>
      <c r="F96" s="15" t="n">
        <v>150.34</v>
      </c>
      <c r="G96" s="15" t="n">
        <v>715.9</v>
      </c>
      <c r="H96" s="32" t="n">
        <v>175</v>
      </c>
      <c r="I96" s="33" t="n">
        <v>130.4974776</v>
      </c>
      <c r="J96" s="34">
        <f>IF(OR($I96="",$G96="",$G96=0),"",$I96/$G96)</f>
        <v/>
      </c>
      <c r="K96" s="17">
        <f>IFERROR(INDEX('PARAMETROS'!$B$16:$B$19,MATCH($E96,'PARAMETROS'!$A$16:$A$19,0)),"")</f>
        <v/>
      </c>
      <c r="L96" s="17">
        <f>IF($K96&lt;&gt;"",$K96,$J96)</f>
        <v/>
      </c>
      <c r="M96" s="19" t="inlineStr"/>
    </row>
    <row r="97">
      <c r="A97" s="5" t="inlineStr">
        <is>
          <t>Pivô 118</t>
        </is>
      </c>
      <c r="B97" s="24" t="inlineStr">
        <is>
          <t>118</t>
        </is>
      </c>
      <c r="C97" s="5" t="inlineStr">
        <is>
          <t>RDM</t>
        </is>
      </c>
      <c r="D97" s="5" t="inlineStr">
        <is>
          <t>Módulo 02</t>
        </is>
      </c>
      <c r="E97" s="5" t="inlineStr">
        <is>
          <t>RDM2</t>
        </is>
      </c>
      <c r="F97" s="15" t="n">
        <v>150.14</v>
      </c>
      <c r="G97" s="15" t="n">
        <v>694.9299999999999</v>
      </c>
      <c r="H97" s="32" t="n">
        <v>175</v>
      </c>
      <c r="I97" s="33" t="n">
        <v>130.4974776</v>
      </c>
      <c r="J97" s="34">
        <f>IF(OR($I97="",$G97="",$G97=0),"",$I97/$G97)</f>
        <v/>
      </c>
      <c r="K97" s="17">
        <f>IFERROR(INDEX('PARAMETROS'!$B$16:$B$19,MATCH($E97,'PARAMETROS'!$A$16:$A$19,0)),"")</f>
        <v/>
      </c>
      <c r="L97" s="17">
        <f>IF($K97&lt;&gt;"",$K97,$J97)</f>
        <v/>
      </c>
      <c r="M97" s="19" t="inlineStr"/>
    </row>
    <row r="98">
      <c r="A98" s="5" t="inlineStr">
        <is>
          <t>Pivô 119</t>
        </is>
      </c>
      <c r="B98" s="24" t="inlineStr">
        <is>
          <t>119</t>
        </is>
      </c>
      <c r="C98" s="5" t="inlineStr">
        <is>
          <t>RDM</t>
        </is>
      </c>
      <c r="D98" s="5" t="inlineStr">
        <is>
          <t>Módulo 02</t>
        </is>
      </c>
      <c r="E98" s="5" t="inlineStr">
        <is>
          <t>RDM2</t>
        </is>
      </c>
      <c r="F98" s="15" t="n">
        <v>150.34</v>
      </c>
      <c r="G98" s="15" t="n">
        <v>715.9</v>
      </c>
      <c r="H98" s="32" t="n">
        <v>200</v>
      </c>
      <c r="I98" s="33" t="n">
        <v>149.1399744</v>
      </c>
      <c r="J98" s="34">
        <f>IF(OR($I98="",$G98="",$G98=0),"",$I98/$G98)</f>
        <v/>
      </c>
      <c r="K98" s="17">
        <f>IFERROR(INDEX('PARAMETROS'!$B$16:$B$19,MATCH($E98,'PARAMETROS'!$A$16:$A$19,0)),"")</f>
        <v/>
      </c>
      <c r="L98" s="17">
        <f>IF($K98&lt;&gt;"",$K98,$J98)</f>
        <v/>
      </c>
      <c r="M98" s="19" t="inlineStr"/>
    </row>
    <row r="99">
      <c r="A99" s="5" t="inlineStr">
        <is>
          <t>Pivô 120</t>
        </is>
      </c>
      <c r="B99" s="24" t="inlineStr">
        <is>
          <t>120</t>
        </is>
      </c>
      <c r="C99" s="5" t="inlineStr">
        <is>
          <t>RDM</t>
        </is>
      </c>
      <c r="D99" s="5" t="inlineStr">
        <is>
          <t>Módulo 02</t>
        </is>
      </c>
      <c r="E99" s="5" t="inlineStr">
        <is>
          <t>RDM2</t>
        </is>
      </c>
      <c r="F99" s="15" t="n">
        <v>150.34</v>
      </c>
      <c r="G99" s="15" t="n">
        <v>715.9</v>
      </c>
      <c r="H99" s="32" t="n">
        <v>200</v>
      </c>
      <c r="I99" s="33" t="n">
        <v>149.1399744</v>
      </c>
      <c r="J99" s="34">
        <f>IF(OR($I99="",$G99="",$G99=0),"",$I99/$G99)</f>
        <v/>
      </c>
      <c r="K99" s="17">
        <f>IFERROR(INDEX('PARAMETROS'!$B$16:$B$19,MATCH($E99,'PARAMETROS'!$A$16:$A$19,0)),"")</f>
        <v/>
      </c>
      <c r="L99" s="17">
        <f>IF($K99&lt;&gt;"",$K99,$J99)</f>
        <v/>
      </c>
      <c r="M99" s="19" t="inlineStr"/>
    </row>
    <row r="100">
      <c r="A100" s="5" t="inlineStr">
        <is>
          <t>Pivô 121</t>
        </is>
      </c>
      <c r="B100" s="24" t="inlineStr">
        <is>
          <t>121</t>
        </is>
      </c>
      <c r="C100" s="5" t="inlineStr">
        <is>
          <t>RDM</t>
        </is>
      </c>
      <c r="D100" s="5" t="inlineStr">
        <is>
          <t>Módulo 02</t>
        </is>
      </c>
      <c r="E100" s="5" t="inlineStr">
        <is>
          <t>RDM2</t>
        </is>
      </c>
      <c r="F100" s="15" t="n">
        <v>150.34</v>
      </c>
      <c r="G100" s="15" t="n">
        <v>715.9</v>
      </c>
      <c r="H100" s="32" t="n">
        <v>175</v>
      </c>
      <c r="I100" s="33" t="n">
        <v>130.4974776</v>
      </c>
      <c r="J100" s="34">
        <f>IF(OR($I100="",$G100="",$G100=0),"",$I100/$G100)</f>
        <v/>
      </c>
      <c r="K100" s="17">
        <f>IFERROR(INDEX('PARAMETROS'!$B$16:$B$19,MATCH($E100,'PARAMETROS'!$A$16:$A$19,0)),"")</f>
        <v/>
      </c>
      <c r="L100" s="17">
        <f>IF($K100&lt;&gt;"",$K100,$J100)</f>
        <v/>
      </c>
      <c r="M100" s="19" t="inlineStr"/>
    </row>
    <row r="101">
      <c r="A101" s="5" t="inlineStr">
        <is>
          <t>Pivô 122</t>
        </is>
      </c>
      <c r="B101" s="24" t="inlineStr">
        <is>
          <t>122</t>
        </is>
      </c>
      <c r="C101" s="5" t="inlineStr">
        <is>
          <t>RDM</t>
        </is>
      </c>
      <c r="D101" s="5" t="inlineStr">
        <is>
          <t>Módulo 02</t>
        </is>
      </c>
      <c r="E101" s="5" t="inlineStr">
        <is>
          <t>RDM2</t>
        </is>
      </c>
      <c r="F101" s="15" t="n">
        <v>150.14</v>
      </c>
      <c r="G101" s="15" t="n">
        <v>714.95</v>
      </c>
      <c r="H101" s="32" t="n">
        <v>200</v>
      </c>
      <c r="I101" s="33" t="n">
        <v>149.1399744</v>
      </c>
      <c r="J101" s="34">
        <f>IF(OR($I101="",$G101="",$G101=0),"",$I101/$G101)</f>
        <v/>
      </c>
      <c r="K101" s="17">
        <f>IFERROR(INDEX('PARAMETROS'!$B$16:$B$19,MATCH($E101,'PARAMETROS'!$A$16:$A$19,0)),"")</f>
        <v/>
      </c>
      <c r="L101" s="17">
        <f>IF($K101&lt;&gt;"",$K101,$J101)</f>
        <v/>
      </c>
      <c r="M101" s="19" t="inlineStr"/>
    </row>
    <row r="102">
      <c r="A102" s="5" t="inlineStr">
        <is>
          <t>Pivô 123</t>
        </is>
      </c>
      <c r="B102" s="24" t="inlineStr">
        <is>
          <t>123</t>
        </is>
      </c>
      <c r="C102" s="5" t="inlineStr">
        <is>
          <t>RDM</t>
        </is>
      </c>
      <c r="D102" s="5" t="inlineStr">
        <is>
          <t>Módulo 02</t>
        </is>
      </c>
      <c r="E102" s="5" t="inlineStr">
        <is>
          <t>RDM2</t>
        </is>
      </c>
      <c r="F102" s="15" t="n">
        <v>150.34</v>
      </c>
      <c r="G102" s="15" t="n">
        <v>715.9</v>
      </c>
      <c r="H102" s="32" t="n">
        <v>175</v>
      </c>
      <c r="I102" s="33" t="n">
        <v>130.4974776</v>
      </c>
      <c r="J102" s="34">
        <f>IF(OR($I102="",$G102="",$G102=0),"",$I102/$G102)</f>
        <v/>
      </c>
      <c r="K102" s="17">
        <f>IFERROR(INDEX('PARAMETROS'!$B$16:$B$19,MATCH($E102,'PARAMETROS'!$A$16:$A$19,0)),"")</f>
        <v/>
      </c>
      <c r="L102" s="17">
        <f>IF($K102&lt;&gt;"",$K102,$J102)</f>
        <v/>
      </c>
      <c r="M102" s="19" t="inlineStr"/>
    </row>
    <row r="103">
      <c r="A103" s="5" t="inlineStr">
        <is>
          <t>Pivô 124</t>
        </is>
      </c>
      <c r="B103" s="24" t="inlineStr">
        <is>
          <t>124</t>
        </is>
      </c>
      <c r="C103" s="5" t="inlineStr">
        <is>
          <t>RDM</t>
        </is>
      </c>
      <c r="D103" s="5" t="inlineStr">
        <is>
          <t>Módulo 02</t>
        </is>
      </c>
      <c r="E103" s="5" t="inlineStr">
        <is>
          <t>RDM2</t>
        </is>
      </c>
      <c r="F103" s="15" t="n">
        <v>150.14</v>
      </c>
      <c r="G103" s="15" t="n">
        <v>700.65</v>
      </c>
      <c r="H103" s="32" t="n">
        <v>175</v>
      </c>
      <c r="I103" s="33" t="n">
        <v>130.4974776</v>
      </c>
      <c r="J103" s="34">
        <f>IF(OR($I103="",$G103="",$G103=0),"",$I103/$G103)</f>
        <v/>
      </c>
      <c r="K103" s="17">
        <f>IFERROR(INDEX('PARAMETROS'!$B$16:$B$19,MATCH($E103,'PARAMETROS'!$A$16:$A$19,0)),"")</f>
        <v/>
      </c>
      <c r="L103" s="17">
        <f>IF($K103&lt;&gt;"",$K103,$J103)</f>
        <v/>
      </c>
      <c r="M103" s="19" t="inlineStr"/>
    </row>
    <row r="104">
      <c r="A104" s="5" t="inlineStr">
        <is>
          <t>Pivô 125</t>
        </is>
      </c>
      <c r="B104" s="24" t="inlineStr">
        <is>
          <t>125</t>
        </is>
      </c>
      <c r="C104" s="5" t="inlineStr">
        <is>
          <t>RDM</t>
        </is>
      </c>
      <c r="D104" s="5" t="inlineStr">
        <is>
          <t>Módulo 02</t>
        </is>
      </c>
      <c r="E104" s="5" t="inlineStr">
        <is>
          <t>RDM2</t>
        </is>
      </c>
      <c r="F104" s="15" t="n">
        <v>100.79</v>
      </c>
      <c r="G104" s="15" t="n">
        <v>479.95</v>
      </c>
      <c r="H104" s="32" t="n">
        <v>175</v>
      </c>
      <c r="I104" s="33" t="n">
        <v>130.4974776</v>
      </c>
      <c r="J104" s="34">
        <f>IF(OR($I104="",$G104="",$G104=0),"",$I104/$G104)</f>
        <v/>
      </c>
      <c r="K104" s="17">
        <f>IFERROR(INDEX('PARAMETROS'!$B$16:$B$19,MATCH($E104,'PARAMETROS'!$A$16:$A$19,0)),"")</f>
        <v/>
      </c>
      <c r="L104" s="17">
        <f>IF($K104&lt;&gt;"",$K104,$J104)</f>
        <v/>
      </c>
      <c r="M104" s="19" t="inlineStr"/>
    </row>
    <row r="105">
      <c r="A105" s="5" t="inlineStr">
        <is>
          <t>Pivô 126</t>
        </is>
      </c>
      <c r="B105" s="24" t="inlineStr">
        <is>
          <t>126</t>
        </is>
      </c>
      <c r="C105" s="5" t="inlineStr">
        <is>
          <t>RDM</t>
        </is>
      </c>
      <c r="D105" s="5" t="inlineStr">
        <is>
          <t>Módulo 02</t>
        </is>
      </c>
      <c r="E105" s="5" t="inlineStr">
        <is>
          <t>RDM2</t>
        </is>
      </c>
      <c r="F105" s="15" t="n">
        <v>140.57</v>
      </c>
      <c r="G105" s="15" t="n">
        <v>669.39</v>
      </c>
      <c r="H105" s="32" t="n">
        <v>175</v>
      </c>
      <c r="I105" s="33" t="n">
        <v>130.4974776</v>
      </c>
      <c r="J105" s="34">
        <f>IF(OR($I105="",$G105="",$G105=0),"",$I105/$G105)</f>
        <v/>
      </c>
      <c r="K105" s="17">
        <f>IFERROR(INDEX('PARAMETROS'!$B$16:$B$19,MATCH($E105,'PARAMETROS'!$A$16:$A$19,0)),"")</f>
        <v/>
      </c>
      <c r="L105" s="17">
        <f>IF($K105&lt;&gt;"",$K105,$J105)</f>
        <v/>
      </c>
      <c r="M105" s="19" t="inlineStr"/>
    </row>
    <row r="106">
      <c r="A106" s="5" t="inlineStr">
        <is>
          <t>Pivô 127</t>
        </is>
      </c>
      <c r="B106" s="24" t="inlineStr">
        <is>
          <t>127</t>
        </is>
      </c>
      <c r="C106" s="5" t="inlineStr">
        <is>
          <t>RDM</t>
        </is>
      </c>
      <c r="D106" s="5" t="inlineStr">
        <is>
          <t>Módulo 02</t>
        </is>
      </c>
      <c r="E106" s="5" t="inlineStr">
        <is>
          <t>RDM2</t>
        </is>
      </c>
      <c r="F106" s="15" t="n">
        <v>102.43</v>
      </c>
      <c r="G106" s="15" t="n">
        <v>487.76</v>
      </c>
      <c r="H106" s="32" t="n">
        <v>200</v>
      </c>
      <c r="I106" s="33" t="n">
        <v>149.1399744</v>
      </c>
      <c r="J106" s="34">
        <f>IF(OR($I106="",$G106="",$G106=0),"",$I106/$G106)</f>
        <v/>
      </c>
      <c r="K106" s="17">
        <f>IFERROR(INDEX('PARAMETROS'!$B$16:$B$19,MATCH($E106,'PARAMETROS'!$A$16:$A$19,0)),"")</f>
        <v/>
      </c>
      <c r="L106" s="17">
        <f>IF($K106&lt;&gt;"",$K106,$J106)</f>
        <v/>
      </c>
      <c r="M106" s="19" t="inlineStr"/>
    </row>
    <row r="107">
      <c r="A107" s="5" t="inlineStr">
        <is>
          <t>Pivô 128</t>
        </is>
      </c>
      <c r="B107" s="24" t="inlineStr">
        <is>
          <t>128</t>
        </is>
      </c>
      <c r="C107" s="5" t="inlineStr">
        <is>
          <t>RDM</t>
        </is>
      </c>
      <c r="D107" s="5" t="inlineStr">
        <is>
          <t>Módulo 02</t>
        </is>
      </c>
      <c r="E107" s="5" t="inlineStr">
        <is>
          <t>RDM2</t>
        </is>
      </c>
      <c r="F107" s="15" t="n">
        <v>140.57</v>
      </c>
      <c r="G107" s="15" t="n">
        <v>669.39</v>
      </c>
      <c r="H107" s="32" t="n">
        <v>175</v>
      </c>
      <c r="I107" s="33" t="n">
        <v>130.4974776</v>
      </c>
      <c r="J107" s="34">
        <f>IF(OR($I107="",$G107="",$G107=0),"",$I107/$G107)</f>
        <v/>
      </c>
      <c r="K107" s="17">
        <f>IFERROR(INDEX('PARAMETROS'!$B$16:$B$19,MATCH($E107,'PARAMETROS'!$A$16:$A$19,0)),"")</f>
        <v/>
      </c>
      <c r="L107" s="17">
        <f>IF($K107&lt;&gt;"",$K107,$J107)</f>
        <v/>
      </c>
      <c r="M107" s="19" t="inlineStr"/>
    </row>
    <row r="108">
      <c r="A108" s="5" t="inlineStr">
        <is>
          <t>Pivô 129</t>
        </is>
      </c>
      <c r="B108" s="24" t="inlineStr">
        <is>
          <t>129</t>
        </is>
      </c>
      <c r="C108" s="5" t="inlineStr">
        <is>
          <t>RDM</t>
        </is>
      </c>
      <c r="D108" s="5" t="inlineStr">
        <is>
          <t>Módulo 02</t>
        </is>
      </c>
      <c r="E108" s="5" t="inlineStr">
        <is>
          <t>RDM2</t>
        </is>
      </c>
      <c r="F108" s="15" t="n">
        <v>102.43</v>
      </c>
      <c r="G108" s="15" t="n">
        <v>487.76</v>
      </c>
      <c r="H108" s="32" t="n">
        <v>200</v>
      </c>
      <c r="I108" s="33" t="n">
        <v>149.1399744</v>
      </c>
      <c r="J108" s="34">
        <f>IF(OR($I108="",$G108="",$G108=0),"",$I108/$G108)</f>
        <v/>
      </c>
      <c r="K108" s="17">
        <f>IFERROR(INDEX('PARAMETROS'!$B$16:$B$19,MATCH($E108,'PARAMETROS'!$A$16:$A$19,0)),"")</f>
        <v/>
      </c>
      <c r="L108" s="17">
        <f>IF($K108&lt;&gt;"",$K108,$J108)</f>
        <v/>
      </c>
      <c r="M108" s="19" t="inlineStr"/>
    </row>
    <row r="109">
      <c r="A109" s="5" t="inlineStr">
        <is>
          <t>Pivô 130</t>
        </is>
      </c>
      <c r="B109" s="24" t="inlineStr">
        <is>
          <t>130</t>
        </is>
      </c>
      <c r="C109" s="5" t="inlineStr">
        <is>
          <t>RDM</t>
        </is>
      </c>
      <c r="D109" s="5" t="inlineStr">
        <is>
          <t>Módulo 02</t>
        </is>
      </c>
      <c r="E109" s="5" t="inlineStr">
        <is>
          <t>RDM2</t>
        </is>
      </c>
      <c r="F109" s="15" t="n">
        <v>150.14</v>
      </c>
      <c r="G109" s="15" t="n">
        <v>714.95</v>
      </c>
      <c r="H109" s="32" t="n">
        <v>200</v>
      </c>
      <c r="I109" s="33" t="n">
        <v>149.1399744</v>
      </c>
      <c r="J109" s="34">
        <f>IF(OR($I109="",$G109="",$G109=0),"",$I109/$G109)</f>
        <v/>
      </c>
      <c r="K109" s="17">
        <f>IFERROR(INDEX('PARAMETROS'!$B$16:$B$19,MATCH($E109,'PARAMETROS'!$A$16:$A$19,0)),"")</f>
        <v/>
      </c>
      <c r="L109" s="17">
        <f>IF($K109&lt;&gt;"",$K109,$J109)</f>
        <v/>
      </c>
      <c r="M109" s="19" t="inlineStr"/>
    </row>
    <row r="110">
      <c r="A110" s="5" t="inlineStr">
        <is>
          <t>Pivô 131</t>
        </is>
      </c>
      <c r="B110" s="24" t="inlineStr">
        <is>
          <t>131</t>
        </is>
      </c>
      <c r="C110" s="5" t="inlineStr">
        <is>
          <t>RDM</t>
        </is>
      </c>
      <c r="D110" s="5" t="inlineStr">
        <is>
          <t>Módulo 02</t>
        </is>
      </c>
      <c r="E110" s="5" t="inlineStr">
        <is>
          <t>RDM2</t>
        </is>
      </c>
      <c r="F110" s="15" t="n">
        <v>100.1</v>
      </c>
      <c r="G110" s="15" t="n">
        <v>762.67</v>
      </c>
      <c r="H110" s="32" t="n">
        <v>200</v>
      </c>
      <c r="I110" s="33" t="n">
        <v>149.1399744</v>
      </c>
      <c r="J110" s="34">
        <f>IF(OR($I110="",$G110="",$G110=0),"",$I110/$G110)</f>
        <v/>
      </c>
      <c r="K110" s="17">
        <f>IFERROR(INDEX('PARAMETROS'!$B$16:$B$19,MATCH($E110,'PARAMETROS'!$A$16:$A$19,0)),"")</f>
        <v/>
      </c>
      <c r="L110" s="17">
        <f>IF($K110&lt;&gt;"",$K110,$J110)</f>
        <v/>
      </c>
      <c r="M110" s="19" t="inlineStr"/>
    </row>
    <row r="111">
      <c r="A111" s="5" t="inlineStr">
        <is>
          <t>Pivô 132</t>
        </is>
      </c>
      <c r="B111" s="24" t="inlineStr">
        <is>
          <t>132</t>
        </is>
      </c>
      <c r="C111" s="5" t="inlineStr">
        <is>
          <t>RDM</t>
        </is>
      </c>
      <c r="D111" s="5" t="inlineStr">
        <is>
          <t>Módulo 02</t>
        </is>
      </c>
      <c r="E111" s="5" t="inlineStr">
        <is>
          <t>RDM2</t>
        </is>
      </c>
      <c r="F111" s="15" t="n">
        <v>100.1</v>
      </c>
      <c r="G111" s="15" t="n">
        <v>762.67</v>
      </c>
      <c r="H111" s="32" t="n">
        <v>200</v>
      </c>
      <c r="I111" s="33" t="n">
        <v>149.1399744</v>
      </c>
      <c r="J111" s="34">
        <f>IF(OR($I111="",$G111="",$G111=0),"",$I111/$G111)</f>
        <v/>
      </c>
      <c r="K111" s="17">
        <f>IFERROR(INDEX('PARAMETROS'!$B$16:$B$19,MATCH($E111,'PARAMETROS'!$A$16:$A$19,0)),"")</f>
        <v/>
      </c>
      <c r="L111" s="17">
        <f>IF($K111&lt;&gt;"",$K111,$J111)</f>
        <v/>
      </c>
      <c r="M111" s="19" t="inlineStr"/>
    </row>
    <row r="112">
      <c r="A112" s="5" t="inlineStr">
        <is>
          <t>Pivô 133</t>
        </is>
      </c>
      <c r="B112" s="24" t="inlineStr">
        <is>
          <t>133</t>
        </is>
      </c>
      <c r="C112" s="5" t="inlineStr">
        <is>
          <t>RDM</t>
        </is>
      </c>
      <c r="D112" s="5" t="inlineStr">
        <is>
          <t>Módulo 02</t>
        </is>
      </c>
      <c r="E112" s="5" t="inlineStr">
        <is>
          <t>RDM2</t>
        </is>
      </c>
      <c r="F112" s="15" t="n">
        <v>101.12</v>
      </c>
      <c r="G112" s="15" t="n">
        <v>481.52</v>
      </c>
      <c r="H112" s="32" t="n">
        <v>200</v>
      </c>
      <c r="I112" s="33" t="n">
        <v>149.1399744</v>
      </c>
      <c r="J112" s="34">
        <f>IF(OR($I112="",$G112="",$G112=0),"",$I112/$G112)</f>
        <v/>
      </c>
      <c r="K112" s="17">
        <f>IFERROR(INDEX('PARAMETROS'!$B$16:$B$19,MATCH($E112,'PARAMETROS'!$A$16:$A$19,0)),"")</f>
        <v/>
      </c>
      <c r="L112" s="17">
        <f>IF($K112&lt;&gt;"",$K112,$J112)</f>
        <v/>
      </c>
      <c r="M112" s="19" t="inlineStr"/>
    </row>
    <row r="114">
      <c r="A114" s="19" t="inlineStr">
        <is>
          <t>CE pressurizacao usa so a potencia do pivo (nao inclui captacao/elevatoria). CE cadeia (setor) inclui a cadeia e e a usada para custo/energia. Setor ligado ao pivo pelo numero (mapa de cultura); onde faltou, preencher.</t>
        </is>
      </c>
      <c r="B114" s="30" t="n"/>
      <c r="C114" s="30" t="n"/>
      <c r="D114" s="30" t="n"/>
      <c r="E114" s="30" t="n"/>
      <c r="F114" s="30" t="n"/>
      <c r="G114" s="30" t="n"/>
      <c r="H114" s="30" t="n"/>
      <c r="I114" s="30" t="n"/>
      <c r="J114" s="30" t="n"/>
      <c r="K114" s="30" t="n"/>
      <c r="L114" s="30" t="n"/>
      <c r="M114" s="31" t="n"/>
    </row>
  </sheetData>
  <mergeCells count="1">
    <mergeCell ref="A114:M1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Consulta da PROGRAMACAO/OS (INDEX/MATCH). Percentimetro = regulagem de movimento.</t>
        </is>
      </c>
    </row>
    <row r="3">
      <c r="A3" s="35" t="inlineStr">
        <is>
          <t>(indices MATCH)</t>
        </is>
      </c>
      <c r="C3" s="35" t="n">
        <v>100</v>
      </c>
      <c r="D3" s="35" t="n">
        <v>95</v>
      </c>
      <c r="E3" s="35" t="n">
        <v>90</v>
      </c>
      <c r="F3" s="35" t="n">
        <v>85</v>
      </c>
      <c r="G3" s="35" t="n">
        <v>80</v>
      </c>
      <c r="H3" s="35" t="n">
        <v>75</v>
      </c>
      <c r="I3" s="35" t="n">
        <v>70</v>
      </c>
      <c r="J3" s="35" t="n">
        <v>65</v>
      </c>
      <c r="K3" s="35" t="n">
        <v>60</v>
      </c>
      <c r="L3" s="35" t="n">
        <v>55</v>
      </c>
      <c r="M3" s="35" t="n">
        <v>50</v>
      </c>
      <c r="N3" s="35" t="n">
        <v>45</v>
      </c>
      <c r="O3" s="35" t="n">
        <v>40</v>
      </c>
      <c r="P3" s="35" t="n">
        <v>35</v>
      </c>
      <c r="Q3" s="35" t="n">
        <v>30</v>
      </c>
      <c r="R3" s="35" t="n">
        <v>25</v>
      </c>
      <c r="S3" s="35" t="n">
        <v>20</v>
      </c>
      <c r="T3" s="35" t="n">
        <v>15</v>
      </c>
      <c r="U3" s="35" t="n">
        <v>10</v>
      </c>
      <c r="V3" s="35" t="n">
        <v>5</v>
      </c>
      <c r="W3" s="35" t="n">
        <v>100</v>
      </c>
      <c r="X3" s="35" t="n">
        <v>95</v>
      </c>
      <c r="Y3" s="35" t="n">
        <v>90</v>
      </c>
      <c r="Z3" s="35" t="n">
        <v>85</v>
      </c>
      <c r="AA3" s="35" t="n">
        <v>80</v>
      </c>
      <c r="AB3" s="35" t="n">
        <v>75</v>
      </c>
      <c r="AC3" s="35" t="n">
        <v>70</v>
      </c>
      <c r="AD3" s="35" t="n">
        <v>65</v>
      </c>
      <c r="AE3" s="35" t="n">
        <v>60</v>
      </c>
      <c r="AF3" s="35" t="n">
        <v>55</v>
      </c>
      <c r="AG3" s="35" t="n">
        <v>50</v>
      </c>
      <c r="AH3" s="35" t="n">
        <v>45</v>
      </c>
      <c r="AI3" s="35" t="n">
        <v>40</v>
      </c>
      <c r="AJ3" s="35" t="n">
        <v>35</v>
      </c>
      <c r="AK3" s="35" t="n">
        <v>30</v>
      </c>
      <c r="AL3" s="35" t="n">
        <v>25</v>
      </c>
      <c r="AM3" s="35" t="n">
        <v>20</v>
      </c>
      <c r="AN3" s="35" t="n">
        <v>15</v>
      </c>
      <c r="AO3" s="35" t="n">
        <v>10</v>
      </c>
      <c r="AP3" s="35" t="n">
        <v>5</v>
      </c>
    </row>
    <row r="4" ht="30" customHeight="1">
      <c r="A4" s="4" t="inlineStr">
        <is>
          <t>Cod</t>
        </is>
      </c>
      <c r="B4" s="4" t="inlineStr">
        <is>
          <t>Fazenda</t>
        </is>
      </c>
      <c r="C4" s="4" t="inlineStr">
        <is>
          <t>L 100%</t>
        </is>
      </c>
      <c r="D4" s="4" t="inlineStr">
        <is>
          <t>L 95%</t>
        </is>
      </c>
      <c r="E4" s="4" t="inlineStr">
        <is>
          <t>L 90%</t>
        </is>
      </c>
      <c r="F4" s="4" t="inlineStr">
        <is>
          <t>L 85%</t>
        </is>
      </c>
      <c r="G4" s="4" t="inlineStr">
        <is>
          <t>L 80%</t>
        </is>
      </c>
      <c r="H4" s="4" t="inlineStr">
        <is>
          <t>L 75%</t>
        </is>
      </c>
      <c r="I4" s="4" t="inlineStr">
        <is>
          <t>L 70%</t>
        </is>
      </c>
      <c r="J4" s="4" t="inlineStr">
        <is>
          <t>L 65%</t>
        </is>
      </c>
      <c r="K4" s="4" t="inlineStr">
        <is>
          <t>L 60%</t>
        </is>
      </c>
      <c r="L4" s="4" t="inlineStr">
        <is>
          <t>L 55%</t>
        </is>
      </c>
      <c r="M4" s="4" t="inlineStr">
        <is>
          <t>L 50%</t>
        </is>
      </c>
      <c r="N4" s="4" t="inlineStr">
        <is>
          <t>L 45%</t>
        </is>
      </c>
      <c r="O4" s="4" t="inlineStr">
        <is>
          <t>L 40%</t>
        </is>
      </c>
      <c r="P4" s="4" t="inlineStr">
        <is>
          <t>L 35%</t>
        </is>
      </c>
      <c r="Q4" s="4" t="inlineStr">
        <is>
          <t>L 30%</t>
        </is>
      </c>
      <c r="R4" s="4" t="inlineStr">
        <is>
          <t>L 25%</t>
        </is>
      </c>
      <c r="S4" s="4" t="inlineStr">
        <is>
          <t>L 20%</t>
        </is>
      </c>
      <c r="T4" s="4" t="inlineStr">
        <is>
          <t>L 15%</t>
        </is>
      </c>
      <c r="U4" s="4" t="inlineStr">
        <is>
          <t>L 10%</t>
        </is>
      </c>
      <c r="V4" s="4" t="inlineStr">
        <is>
          <t>L 5%</t>
        </is>
      </c>
      <c r="W4" s="36" t="inlineStr">
        <is>
          <t>H 100%</t>
        </is>
      </c>
      <c r="X4" s="36" t="inlineStr">
        <is>
          <t>H 95%</t>
        </is>
      </c>
      <c r="Y4" s="36" t="inlineStr">
        <is>
          <t>H 90%</t>
        </is>
      </c>
      <c r="Z4" s="36" t="inlineStr">
        <is>
          <t>H 85%</t>
        </is>
      </c>
      <c r="AA4" s="36" t="inlineStr">
        <is>
          <t>H 80%</t>
        </is>
      </c>
      <c r="AB4" s="36" t="inlineStr">
        <is>
          <t>H 75%</t>
        </is>
      </c>
      <c r="AC4" s="36" t="inlineStr">
        <is>
          <t>H 70%</t>
        </is>
      </c>
      <c r="AD4" s="36" t="inlineStr">
        <is>
          <t>H 65%</t>
        </is>
      </c>
      <c r="AE4" s="36" t="inlineStr">
        <is>
          <t>H 60%</t>
        </is>
      </c>
      <c r="AF4" s="36" t="inlineStr">
        <is>
          <t>H 55%</t>
        </is>
      </c>
      <c r="AG4" s="36" t="inlineStr">
        <is>
          <t>H 50%</t>
        </is>
      </c>
      <c r="AH4" s="36" t="inlineStr">
        <is>
          <t>H 45%</t>
        </is>
      </c>
      <c r="AI4" s="36" t="inlineStr">
        <is>
          <t>H 40%</t>
        </is>
      </c>
      <c r="AJ4" s="36" t="inlineStr">
        <is>
          <t>H 35%</t>
        </is>
      </c>
      <c r="AK4" s="36" t="inlineStr">
        <is>
          <t>H 30%</t>
        </is>
      </c>
      <c r="AL4" s="36" t="inlineStr">
        <is>
          <t>H 25%</t>
        </is>
      </c>
      <c r="AM4" s="36" t="inlineStr">
        <is>
          <t>H 20%</t>
        </is>
      </c>
      <c r="AN4" s="36" t="inlineStr">
        <is>
          <t>H 15%</t>
        </is>
      </c>
      <c r="AO4" s="36" t="inlineStr">
        <is>
          <t>H 10%</t>
        </is>
      </c>
      <c r="AP4" s="36" t="inlineStr">
        <is>
          <t>H 5%</t>
        </is>
      </c>
    </row>
    <row r="5">
      <c r="A5" s="5" t="inlineStr">
        <is>
          <t>PA</t>
        </is>
      </c>
      <c r="B5" s="5" t="inlineStr">
        <is>
          <t>Karitel</t>
        </is>
      </c>
      <c r="C5" s="37" t="n">
        <v>6.06</v>
      </c>
      <c r="D5" s="37" t="n">
        <v>6.378947368421053</v>
      </c>
      <c r="E5" s="37" t="n">
        <v>6.733333333333333</v>
      </c>
      <c r="F5" s="37" t="n">
        <v>7.129411764705882</v>
      </c>
      <c r="G5" s="37" t="n">
        <v>7.574999999999999</v>
      </c>
      <c r="H5" s="37" t="n">
        <v>8.08</v>
      </c>
      <c r="I5" s="37" t="n">
        <v>8.657142857142857</v>
      </c>
      <c r="J5" s="37" t="n">
        <v>9.323076923076922</v>
      </c>
      <c r="K5" s="37" t="n">
        <v>10.1</v>
      </c>
      <c r="L5" s="37" t="n">
        <v>11.01818181818182</v>
      </c>
      <c r="M5" s="37" t="n">
        <v>12.12</v>
      </c>
      <c r="N5" s="37" t="n">
        <v>13.46666666666667</v>
      </c>
      <c r="O5" s="37" t="n">
        <v>15.15</v>
      </c>
      <c r="P5" s="37" t="n">
        <v>17.31428571428571</v>
      </c>
      <c r="Q5" s="37" t="n">
        <v>20.2</v>
      </c>
      <c r="R5" s="37" t="n">
        <v>24.24</v>
      </c>
      <c r="S5" s="37" t="n">
        <v>30.3</v>
      </c>
      <c r="T5" s="37" t="n">
        <v>40.4</v>
      </c>
      <c r="U5" s="37" t="n">
        <v>60.59999999999999</v>
      </c>
      <c r="V5" s="37" t="n">
        <v>121.2</v>
      </c>
      <c r="W5" s="37" t="n">
        <v>13.54</v>
      </c>
      <c r="X5" s="37" t="n">
        <v>14.25263157894737</v>
      </c>
      <c r="Y5" s="37" t="n">
        <v>15.04444444444444</v>
      </c>
      <c r="Z5" s="37" t="n">
        <v>15.92941176470588</v>
      </c>
      <c r="AA5" s="37" t="n">
        <v>16.925</v>
      </c>
      <c r="AB5" s="37" t="n">
        <v>18.05333333333333</v>
      </c>
      <c r="AC5" s="37" t="n">
        <v>19.34285714285714</v>
      </c>
      <c r="AD5" s="37" t="n">
        <v>20.83076923076923</v>
      </c>
      <c r="AE5" s="37" t="n">
        <v>22.56666666666667</v>
      </c>
      <c r="AF5" s="37" t="n">
        <v>24.61818181818181</v>
      </c>
      <c r="AG5" s="37" t="n">
        <v>27.08</v>
      </c>
      <c r="AH5" s="37" t="n">
        <v>30.08888888888889</v>
      </c>
      <c r="AI5" s="37" t="n">
        <v>33.84999999999999</v>
      </c>
      <c r="AJ5" s="37" t="n">
        <v>38.68571428571428</v>
      </c>
      <c r="AK5" s="37" t="n">
        <v>45.13333333333333</v>
      </c>
      <c r="AL5" s="37" t="n">
        <v>54.16</v>
      </c>
      <c r="AM5" s="37" t="n">
        <v>67.69999999999999</v>
      </c>
      <c r="AN5" s="37" t="n">
        <v>90.26666666666667</v>
      </c>
      <c r="AO5" s="37" t="n">
        <v>135.4</v>
      </c>
      <c r="AP5" s="37" t="n">
        <v>270.8</v>
      </c>
    </row>
    <row r="6">
      <c r="A6" s="5" t="inlineStr">
        <is>
          <t>PB</t>
        </is>
      </c>
      <c r="B6" s="5" t="inlineStr">
        <is>
          <t>Karitel</t>
        </is>
      </c>
      <c r="C6" s="37" t="n">
        <v>6.06</v>
      </c>
      <c r="D6" s="37" t="n">
        <v>6.378947368421053</v>
      </c>
      <c r="E6" s="37" t="n">
        <v>6.733333333333333</v>
      </c>
      <c r="F6" s="37" t="n">
        <v>7.129411764705882</v>
      </c>
      <c r="G6" s="37" t="n">
        <v>7.574999999999999</v>
      </c>
      <c r="H6" s="37" t="n">
        <v>8.08</v>
      </c>
      <c r="I6" s="37" t="n">
        <v>8.657142857142857</v>
      </c>
      <c r="J6" s="37" t="n">
        <v>9.323076923076922</v>
      </c>
      <c r="K6" s="37" t="n">
        <v>10.1</v>
      </c>
      <c r="L6" s="37" t="n">
        <v>11.01818181818182</v>
      </c>
      <c r="M6" s="37" t="n">
        <v>12.12</v>
      </c>
      <c r="N6" s="37" t="n">
        <v>13.46666666666667</v>
      </c>
      <c r="O6" s="37" t="n">
        <v>15.15</v>
      </c>
      <c r="P6" s="37" t="n">
        <v>17.31428571428571</v>
      </c>
      <c r="Q6" s="37" t="n">
        <v>20.2</v>
      </c>
      <c r="R6" s="37" t="n">
        <v>24.24</v>
      </c>
      <c r="S6" s="37" t="n">
        <v>30.3</v>
      </c>
      <c r="T6" s="37" t="n">
        <v>40.4</v>
      </c>
      <c r="U6" s="37" t="n">
        <v>60.59999999999999</v>
      </c>
      <c r="V6" s="37" t="n">
        <v>121.2</v>
      </c>
      <c r="W6" s="37" t="n">
        <v>13.54</v>
      </c>
      <c r="X6" s="37" t="n">
        <v>14.25263157894737</v>
      </c>
      <c r="Y6" s="37" t="n">
        <v>15.04444444444444</v>
      </c>
      <c r="Z6" s="37" t="n">
        <v>15.92941176470588</v>
      </c>
      <c r="AA6" s="37" t="n">
        <v>16.925</v>
      </c>
      <c r="AB6" s="37" t="n">
        <v>18.05333333333333</v>
      </c>
      <c r="AC6" s="37" t="n">
        <v>19.34285714285714</v>
      </c>
      <c r="AD6" s="37" t="n">
        <v>20.83076923076923</v>
      </c>
      <c r="AE6" s="37" t="n">
        <v>22.56666666666667</v>
      </c>
      <c r="AF6" s="37" t="n">
        <v>24.61818181818181</v>
      </c>
      <c r="AG6" s="37" t="n">
        <v>27.08</v>
      </c>
      <c r="AH6" s="37" t="n">
        <v>30.08888888888889</v>
      </c>
      <c r="AI6" s="37" t="n">
        <v>33.84999999999999</v>
      </c>
      <c r="AJ6" s="37" t="n">
        <v>38.68571428571428</v>
      </c>
      <c r="AK6" s="37" t="n">
        <v>45.13333333333333</v>
      </c>
      <c r="AL6" s="37" t="n">
        <v>54.16</v>
      </c>
      <c r="AM6" s="37" t="n">
        <v>67.69999999999999</v>
      </c>
      <c r="AN6" s="37" t="n">
        <v>90.26666666666667</v>
      </c>
      <c r="AO6" s="37" t="n">
        <v>135.4</v>
      </c>
      <c r="AP6" s="37" t="n">
        <v>270.8</v>
      </c>
    </row>
    <row r="7">
      <c r="A7" s="5" t="inlineStr">
        <is>
          <t>P1</t>
        </is>
      </c>
      <c r="B7" s="5" t="inlineStr">
        <is>
          <t>Karitel</t>
        </is>
      </c>
      <c r="C7" s="37" t="n">
        <v>5.61</v>
      </c>
      <c r="D7" s="37" t="n">
        <v>5.905263157894738</v>
      </c>
      <c r="E7" s="37" t="n">
        <v>6.233333333333333</v>
      </c>
      <c r="F7" s="37" t="n">
        <v>6.600000000000001</v>
      </c>
      <c r="G7" s="37" t="n">
        <v>7.0125</v>
      </c>
      <c r="H7" s="37" t="n">
        <v>7.48</v>
      </c>
      <c r="I7" s="37" t="n">
        <v>8.014285714285716</v>
      </c>
      <c r="J7" s="37" t="n">
        <v>8.63076923076923</v>
      </c>
      <c r="K7" s="37" t="n">
        <v>9.350000000000001</v>
      </c>
      <c r="L7" s="37" t="n">
        <v>10.2</v>
      </c>
      <c r="M7" s="37" t="n">
        <v>11.22</v>
      </c>
      <c r="N7" s="37" t="n">
        <v>12.46666666666667</v>
      </c>
      <c r="O7" s="37" t="n">
        <v>14.025</v>
      </c>
      <c r="P7" s="37" t="n">
        <v>16.02857142857143</v>
      </c>
      <c r="Q7" s="37" t="n">
        <v>18.7</v>
      </c>
      <c r="R7" s="37" t="n">
        <v>22.44</v>
      </c>
      <c r="S7" s="37" t="n">
        <v>28.05</v>
      </c>
      <c r="T7" s="37" t="n">
        <v>37.40000000000001</v>
      </c>
      <c r="U7" s="37" t="n">
        <v>56.1</v>
      </c>
      <c r="V7" s="37" t="n">
        <v>112.2</v>
      </c>
      <c r="W7" s="37" t="n">
        <v>15.11</v>
      </c>
      <c r="X7" s="37" t="n">
        <v>15.90526315789474</v>
      </c>
      <c r="Y7" s="37" t="n">
        <v>16.78888888888889</v>
      </c>
      <c r="Z7" s="37" t="n">
        <v>17.77647058823529</v>
      </c>
      <c r="AA7" s="37" t="n">
        <v>18.8875</v>
      </c>
      <c r="AB7" s="37" t="n">
        <v>20.14666666666666</v>
      </c>
      <c r="AC7" s="37" t="n">
        <v>21.58571428571429</v>
      </c>
      <c r="AD7" s="37" t="n">
        <v>23.24615384615385</v>
      </c>
      <c r="AE7" s="37" t="n">
        <v>25.18333333333333</v>
      </c>
      <c r="AF7" s="37" t="n">
        <v>27.47272727272727</v>
      </c>
      <c r="AG7" s="37" t="n">
        <v>30.22</v>
      </c>
      <c r="AH7" s="37" t="n">
        <v>33.57777777777778</v>
      </c>
      <c r="AI7" s="37" t="n">
        <v>37.775</v>
      </c>
      <c r="AJ7" s="37" t="n">
        <v>43.17142857142857</v>
      </c>
      <c r="AK7" s="37" t="n">
        <v>50.36666666666667</v>
      </c>
      <c r="AL7" s="37" t="n">
        <v>60.44</v>
      </c>
      <c r="AM7" s="37" t="n">
        <v>75.55</v>
      </c>
      <c r="AN7" s="37" t="n">
        <v>100.7333333333333</v>
      </c>
      <c r="AO7" s="37" t="n">
        <v>151.1</v>
      </c>
      <c r="AP7" s="37" t="n">
        <v>302.2</v>
      </c>
    </row>
    <row r="8">
      <c r="A8" s="5" t="inlineStr">
        <is>
          <t>P2</t>
        </is>
      </c>
      <c r="B8" s="5" t="inlineStr">
        <is>
          <t>Karitel</t>
        </is>
      </c>
      <c r="C8" s="37" t="n">
        <v>5.15</v>
      </c>
      <c r="D8" s="37" t="n">
        <v>5.421052631578948</v>
      </c>
      <c r="E8" s="37" t="n">
        <v>5.722222222222222</v>
      </c>
      <c r="F8" s="37" t="n">
        <v>6.058823529411765</v>
      </c>
      <c r="G8" s="37" t="n">
        <v>6.4375</v>
      </c>
      <c r="H8" s="37" t="n">
        <v>6.866666666666667</v>
      </c>
      <c r="I8" s="37" t="n">
        <v>7.357142857142859</v>
      </c>
      <c r="J8" s="37" t="n">
        <v>7.923076923076923</v>
      </c>
      <c r="K8" s="37" t="n">
        <v>8.583333333333334</v>
      </c>
      <c r="L8" s="37" t="n">
        <v>9.363636363636363</v>
      </c>
      <c r="M8" s="37" t="n">
        <v>10.3</v>
      </c>
      <c r="N8" s="37" t="n">
        <v>11.44444444444444</v>
      </c>
      <c r="O8" s="37" t="n">
        <v>12.875</v>
      </c>
      <c r="P8" s="37" t="n">
        <v>14.71428571428572</v>
      </c>
      <c r="Q8" s="37" t="n">
        <v>17.16666666666667</v>
      </c>
      <c r="R8" s="37" t="n">
        <v>20.6</v>
      </c>
      <c r="S8" s="37" t="n">
        <v>25.75</v>
      </c>
      <c r="T8" s="37" t="n">
        <v>34.33333333333334</v>
      </c>
      <c r="U8" s="37" t="n">
        <v>51.5</v>
      </c>
      <c r="V8" s="37" t="n">
        <v>103</v>
      </c>
      <c r="W8" s="37" t="n">
        <v>13.56</v>
      </c>
      <c r="X8" s="37" t="n">
        <v>14.27368421052632</v>
      </c>
      <c r="Y8" s="37" t="n">
        <v>15.06666666666667</v>
      </c>
      <c r="Z8" s="37" t="n">
        <v>15.95294117647059</v>
      </c>
      <c r="AA8" s="37" t="n">
        <v>16.95</v>
      </c>
      <c r="AB8" s="37" t="n">
        <v>18.08</v>
      </c>
      <c r="AC8" s="37" t="n">
        <v>19.37142857142857</v>
      </c>
      <c r="AD8" s="37" t="n">
        <v>20.86153846153846</v>
      </c>
      <c r="AE8" s="37" t="n">
        <v>22.6</v>
      </c>
      <c r="AF8" s="37" t="n">
        <v>24.65454545454545</v>
      </c>
      <c r="AG8" s="37" t="n">
        <v>27.12</v>
      </c>
      <c r="AH8" s="37" t="n">
        <v>30.13333333333333</v>
      </c>
      <c r="AI8" s="37" t="n">
        <v>33.9</v>
      </c>
      <c r="AJ8" s="37" t="n">
        <v>38.74285714285715</v>
      </c>
      <c r="AK8" s="37" t="n">
        <v>45.2</v>
      </c>
      <c r="AL8" s="37" t="n">
        <v>54.24</v>
      </c>
      <c r="AM8" s="37" t="n">
        <v>67.8</v>
      </c>
      <c r="AN8" s="37" t="n">
        <v>90.40000000000001</v>
      </c>
      <c r="AO8" s="37" t="n">
        <v>135.6</v>
      </c>
      <c r="AP8" s="37" t="n">
        <v>271.2</v>
      </c>
    </row>
    <row r="9">
      <c r="A9" s="5" t="inlineStr">
        <is>
          <t>P3</t>
        </is>
      </c>
      <c r="B9" s="5" t="inlineStr">
        <is>
          <t>Karitel</t>
        </is>
      </c>
      <c r="C9" s="37" t="n">
        <v>6.105</v>
      </c>
      <c r="D9" s="37" t="n">
        <v>6.426315789473685</v>
      </c>
      <c r="E9" s="37" t="n">
        <v>6.783333333333333</v>
      </c>
      <c r="F9" s="37" t="n">
        <v>7.182352941176472</v>
      </c>
      <c r="G9" s="37" t="n">
        <v>7.631250000000001</v>
      </c>
      <c r="H9" s="37" t="n">
        <v>8.140000000000001</v>
      </c>
      <c r="I9" s="37" t="n">
        <v>8.721428571428573</v>
      </c>
      <c r="J9" s="37" t="n">
        <v>9.392307692307693</v>
      </c>
      <c r="K9" s="37" t="n">
        <v>10.175</v>
      </c>
      <c r="L9" s="37" t="n">
        <v>11.1</v>
      </c>
      <c r="M9" s="37" t="n">
        <v>12.21</v>
      </c>
      <c r="N9" s="37" t="n">
        <v>13.56666666666667</v>
      </c>
      <c r="O9" s="37" t="n">
        <v>15.2625</v>
      </c>
      <c r="P9" s="37" t="n">
        <v>17.44285714285715</v>
      </c>
      <c r="Q9" s="37" t="n">
        <v>20.35</v>
      </c>
      <c r="R9" s="37" t="n">
        <v>24.42</v>
      </c>
      <c r="S9" s="37" t="n">
        <v>30.525</v>
      </c>
      <c r="T9" s="37" t="n">
        <v>40.7</v>
      </c>
      <c r="U9" s="37" t="n">
        <v>61.05</v>
      </c>
      <c r="V9" s="37" t="n">
        <v>122.1</v>
      </c>
      <c r="W9" s="37" t="n">
        <v>15.11</v>
      </c>
      <c r="X9" s="37" t="n">
        <v>15.90526315789474</v>
      </c>
      <c r="Y9" s="37" t="n">
        <v>16.78888888888889</v>
      </c>
      <c r="Z9" s="37" t="n">
        <v>17.77647058823529</v>
      </c>
      <c r="AA9" s="37" t="n">
        <v>18.8875</v>
      </c>
      <c r="AB9" s="37" t="n">
        <v>20.14666666666666</v>
      </c>
      <c r="AC9" s="37" t="n">
        <v>21.58571428571429</v>
      </c>
      <c r="AD9" s="37" t="n">
        <v>23.24615384615385</v>
      </c>
      <c r="AE9" s="37" t="n">
        <v>25.18333333333333</v>
      </c>
      <c r="AF9" s="37" t="n">
        <v>27.47272727272727</v>
      </c>
      <c r="AG9" s="37" t="n">
        <v>30.22</v>
      </c>
      <c r="AH9" s="37" t="n">
        <v>33.57777777777778</v>
      </c>
      <c r="AI9" s="37" t="n">
        <v>37.775</v>
      </c>
      <c r="AJ9" s="37" t="n">
        <v>43.17142857142857</v>
      </c>
      <c r="AK9" s="37" t="n">
        <v>50.36666666666667</v>
      </c>
      <c r="AL9" s="37" t="n">
        <v>60.44</v>
      </c>
      <c r="AM9" s="37" t="n">
        <v>75.55</v>
      </c>
      <c r="AN9" s="37" t="n">
        <v>100.7333333333333</v>
      </c>
      <c r="AO9" s="37" t="n">
        <v>151.1</v>
      </c>
      <c r="AP9" s="37" t="n">
        <v>302.2</v>
      </c>
    </row>
    <row r="10">
      <c r="A10" s="5" t="inlineStr">
        <is>
          <t>P4</t>
        </is>
      </c>
      <c r="B10" s="5" t="inlineStr">
        <is>
          <t>Karitel</t>
        </is>
      </c>
      <c r="C10" s="37" t="n">
        <v>3.78</v>
      </c>
      <c r="D10" s="37" t="n">
        <v>3.978947368421053</v>
      </c>
      <c r="E10" s="37" t="n">
        <v>4.199999999999999</v>
      </c>
      <c r="F10" s="37" t="n">
        <v>4.447058823529412</v>
      </c>
      <c r="G10" s="37" t="n">
        <v>4.725</v>
      </c>
      <c r="H10" s="37" t="n">
        <v>5.04</v>
      </c>
      <c r="I10" s="37" t="n">
        <v>5.4</v>
      </c>
      <c r="J10" s="37" t="n">
        <v>5.815384615384615</v>
      </c>
      <c r="K10" s="37" t="n">
        <v>6.3</v>
      </c>
      <c r="L10" s="37" t="n">
        <v>6.872727272727272</v>
      </c>
      <c r="M10" s="37" t="n">
        <v>7.56</v>
      </c>
      <c r="N10" s="37" t="n">
        <v>8.399999999999999</v>
      </c>
      <c r="O10" s="37" t="n">
        <v>9.449999999999999</v>
      </c>
      <c r="P10" s="37" t="n">
        <v>10.8</v>
      </c>
      <c r="Q10" s="37" t="n">
        <v>12.6</v>
      </c>
      <c r="R10" s="37" t="n">
        <v>15.12</v>
      </c>
      <c r="S10" s="37" t="n">
        <v>18.9</v>
      </c>
      <c r="T10" s="37" t="n">
        <v>25.2</v>
      </c>
      <c r="U10" s="37" t="n">
        <v>37.8</v>
      </c>
      <c r="V10" s="37" t="n">
        <v>75.59999999999999</v>
      </c>
      <c r="W10" s="37" t="n">
        <v>9.859999999999999</v>
      </c>
      <c r="X10" s="37" t="n">
        <v>10.37894736842105</v>
      </c>
      <c r="Y10" s="37" t="n">
        <v>10.95555555555555</v>
      </c>
      <c r="Z10" s="37" t="n">
        <v>11.6</v>
      </c>
      <c r="AA10" s="37" t="n">
        <v>12.325</v>
      </c>
      <c r="AB10" s="37" t="n">
        <v>13.14666666666667</v>
      </c>
      <c r="AC10" s="37" t="n">
        <v>14.08571428571429</v>
      </c>
      <c r="AD10" s="37" t="n">
        <v>15.16923076923077</v>
      </c>
      <c r="AE10" s="37" t="n">
        <v>16.43333333333333</v>
      </c>
      <c r="AF10" s="37" t="n">
        <v>17.92727272727273</v>
      </c>
      <c r="AG10" s="37" t="n">
        <v>19.72</v>
      </c>
      <c r="AH10" s="37" t="n">
        <v>21.91111111111111</v>
      </c>
      <c r="AI10" s="37" t="n">
        <v>24.65</v>
      </c>
      <c r="AJ10" s="37" t="n">
        <v>28.17142857142857</v>
      </c>
      <c r="AK10" s="37" t="n">
        <v>32.86666666666667</v>
      </c>
      <c r="AL10" s="37" t="n">
        <v>39.44</v>
      </c>
      <c r="AM10" s="37" t="n">
        <v>49.3</v>
      </c>
      <c r="AN10" s="37" t="n">
        <v>65.73333333333333</v>
      </c>
      <c r="AO10" s="37" t="n">
        <v>98.59999999999999</v>
      </c>
      <c r="AP10" s="37" t="n">
        <v>197.2</v>
      </c>
    </row>
    <row r="11">
      <c r="A11" s="5" t="inlineStr">
        <is>
          <t>P5</t>
        </is>
      </c>
      <c r="B11" s="5" t="inlineStr">
        <is>
          <t>Karitel</t>
        </is>
      </c>
      <c r="C11" s="37" t="n">
        <v>5.82</v>
      </c>
      <c r="D11" s="37" t="n">
        <v>6.126315789473685</v>
      </c>
      <c r="E11" s="37" t="n">
        <v>6.466666666666667</v>
      </c>
      <c r="F11" s="37" t="n">
        <v>6.847058823529412</v>
      </c>
      <c r="G11" s="37" t="n">
        <v>7.275</v>
      </c>
      <c r="H11" s="37" t="n">
        <v>7.760000000000001</v>
      </c>
      <c r="I11" s="37" t="n">
        <v>8.314285714285715</v>
      </c>
      <c r="J11" s="37" t="n">
        <v>8.953846153846154</v>
      </c>
      <c r="K11" s="37" t="n">
        <v>9.700000000000001</v>
      </c>
      <c r="L11" s="37" t="n">
        <v>10.58181818181818</v>
      </c>
      <c r="M11" s="37" t="n">
        <v>11.64</v>
      </c>
      <c r="N11" s="37" t="n">
        <v>12.93333333333333</v>
      </c>
      <c r="O11" s="37" t="n">
        <v>14.55</v>
      </c>
      <c r="P11" s="37" t="n">
        <v>16.62857142857143</v>
      </c>
      <c r="Q11" s="37" t="n">
        <v>19.4</v>
      </c>
      <c r="R11" s="37" t="n">
        <v>23.28</v>
      </c>
      <c r="S11" s="37" t="n">
        <v>29.1</v>
      </c>
      <c r="T11" s="37" t="n">
        <v>38.8</v>
      </c>
      <c r="U11" s="37" t="n">
        <v>58.2</v>
      </c>
      <c r="V11" s="37" t="n">
        <v>116.4</v>
      </c>
      <c r="W11" s="37" t="n">
        <v>15.11</v>
      </c>
      <c r="X11" s="37" t="n">
        <v>15.90526315789474</v>
      </c>
      <c r="Y11" s="37" t="n">
        <v>16.78888888888889</v>
      </c>
      <c r="Z11" s="37" t="n">
        <v>17.77647058823529</v>
      </c>
      <c r="AA11" s="37" t="n">
        <v>18.8875</v>
      </c>
      <c r="AB11" s="37" t="n">
        <v>20.14666666666666</v>
      </c>
      <c r="AC11" s="37" t="n">
        <v>21.58571428571429</v>
      </c>
      <c r="AD11" s="37" t="n">
        <v>23.24615384615385</v>
      </c>
      <c r="AE11" s="37" t="n">
        <v>25.18333333333333</v>
      </c>
      <c r="AF11" s="37" t="n">
        <v>27.47272727272727</v>
      </c>
      <c r="AG11" s="37" t="n">
        <v>30.22</v>
      </c>
      <c r="AH11" s="37" t="n">
        <v>33.57777777777778</v>
      </c>
      <c r="AI11" s="37" t="n">
        <v>37.775</v>
      </c>
      <c r="AJ11" s="37" t="n">
        <v>43.17142857142857</v>
      </c>
      <c r="AK11" s="37" t="n">
        <v>50.36666666666667</v>
      </c>
      <c r="AL11" s="37" t="n">
        <v>60.44</v>
      </c>
      <c r="AM11" s="37" t="n">
        <v>75.55</v>
      </c>
      <c r="AN11" s="37" t="n">
        <v>100.7333333333333</v>
      </c>
      <c r="AO11" s="37" t="n">
        <v>151.1</v>
      </c>
      <c r="AP11" s="37" t="n">
        <v>302.2</v>
      </c>
    </row>
    <row r="12">
      <c r="A12" s="5" t="inlineStr">
        <is>
          <t>P6</t>
        </is>
      </c>
      <c r="B12" s="5" t="inlineStr">
        <is>
          <t>Karitel</t>
        </is>
      </c>
      <c r="C12" s="37" t="n">
        <v>6.12</v>
      </c>
      <c r="D12" s="37" t="n">
        <v>6.442105263157895</v>
      </c>
      <c r="E12" s="37" t="n">
        <v>6.8</v>
      </c>
      <c r="F12" s="37" t="n">
        <v>7.2</v>
      </c>
      <c r="G12" s="37" t="n">
        <v>7.649999999999999</v>
      </c>
      <c r="H12" s="37" t="n">
        <v>8.16</v>
      </c>
      <c r="I12" s="37" t="n">
        <v>8.742857142857144</v>
      </c>
      <c r="J12" s="37" t="n">
        <v>9.415384615384616</v>
      </c>
      <c r="K12" s="37" t="n">
        <v>10.2</v>
      </c>
      <c r="L12" s="37" t="n">
        <v>11.12727272727273</v>
      </c>
      <c r="M12" s="37" t="n">
        <v>12.24</v>
      </c>
      <c r="N12" s="37" t="n">
        <v>13.6</v>
      </c>
      <c r="O12" s="37" t="n">
        <v>15.3</v>
      </c>
      <c r="P12" s="37" t="n">
        <v>17.48571428571429</v>
      </c>
      <c r="Q12" s="37" t="n">
        <v>20.4</v>
      </c>
      <c r="R12" s="37" t="n">
        <v>24.48</v>
      </c>
      <c r="S12" s="37" t="n">
        <v>30.6</v>
      </c>
      <c r="T12" s="37" t="n">
        <v>40.8</v>
      </c>
      <c r="U12" s="37" t="n">
        <v>61.2</v>
      </c>
      <c r="V12" s="37" t="n">
        <v>122.4</v>
      </c>
      <c r="W12" s="37" t="n">
        <v>15.11</v>
      </c>
      <c r="X12" s="37" t="n">
        <v>15.90526315789474</v>
      </c>
      <c r="Y12" s="37" t="n">
        <v>16.78888888888889</v>
      </c>
      <c r="Z12" s="37" t="n">
        <v>17.77647058823529</v>
      </c>
      <c r="AA12" s="37" t="n">
        <v>18.8875</v>
      </c>
      <c r="AB12" s="37" t="n">
        <v>20.14666666666666</v>
      </c>
      <c r="AC12" s="37" t="n">
        <v>21.58571428571429</v>
      </c>
      <c r="AD12" s="37" t="n">
        <v>23.24615384615385</v>
      </c>
      <c r="AE12" s="37" t="n">
        <v>25.18333333333333</v>
      </c>
      <c r="AF12" s="37" t="n">
        <v>27.47272727272727</v>
      </c>
      <c r="AG12" s="37" t="n">
        <v>30.22</v>
      </c>
      <c r="AH12" s="37" t="n">
        <v>33.57777777777778</v>
      </c>
      <c r="AI12" s="37" t="n">
        <v>37.775</v>
      </c>
      <c r="AJ12" s="37" t="n">
        <v>43.17142857142857</v>
      </c>
      <c r="AK12" s="37" t="n">
        <v>50.36666666666667</v>
      </c>
      <c r="AL12" s="37" t="n">
        <v>60.44</v>
      </c>
      <c r="AM12" s="37" t="n">
        <v>75.55</v>
      </c>
      <c r="AN12" s="37" t="n">
        <v>100.7333333333333</v>
      </c>
      <c r="AO12" s="37" t="n">
        <v>151.1</v>
      </c>
      <c r="AP12" s="37" t="n">
        <v>302.2</v>
      </c>
    </row>
    <row r="13">
      <c r="A13" s="5" t="inlineStr">
        <is>
          <t>P7</t>
        </is>
      </c>
      <c r="B13" s="5" t="inlineStr">
        <is>
          <t>Karitel</t>
        </is>
      </c>
      <c r="C13" s="37" t="n">
        <v>5.76</v>
      </c>
      <c r="D13" s="37" t="n">
        <v>6.063157894736842</v>
      </c>
      <c r="E13" s="37" t="n">
        <v>6.399999999999999</v>
      </c>
      <c r="F13" s="37" t="n">
        <v>6.776470588235294</v>
      </c>
      <c r="G13" s="37" t="n">
        <v>7.199999999999999</v>
      </c>
      <c r="H13" s="37" t="n">
        <v>7.68</v>
      </c>
      <c r="I13" s="37" t="n">
        <v>8.22857142857143</v>
      </c>
      <c r="J13" s="37" t="n">
        <v>8.86153846153846</v>
      </c>
      <c r="K13" s="37" t="n">
        <v>9.6</v>
      </c>
      <c r="L13" s="37" t="n">
        <v>10.47272727272727</v>
      </c>
      <c r="M13" s="37" t="n">
        <v>11.52</v>
      </c>
      <c r="N13" s="37" t="n">
        <v>12.8</v>
      </c>
      <c r="O13" s="37" t="n">
        <v>14.4</v>
      </c>
      <c r="P13" s="37" t="n">
        <v>16.45714285714286</v>
      </c>
      <c r="Q13" s="37" t="n">
        <v>19.2</v>
      </c>
      <c r="R13" s="37" t="n">
        <v>23.04</v>
      </c>
      <c r="S13" s="37" t="n">
        <v>28.8</v>
      </c>
      <c r="T13" s="37" t="n">
        <v>38.4</v>
      </c>
      <c r="U13" s="37" t="n">
        <v>57.59999999999999</v>
      </c>
      <c r="V13" s="37" t="n">
        <v>115.2</v>
      </c>
      <c r="W13" s="37" t="n">
        <v>13.26</v>
      </c>
      <c r="X13" s="37" t="n">
        <v>13.95789473684211</v>
      </c>
      <c r="Y13" s="37" t="n">
        <v>14.73333333333333</v>
      </c>
      <c r="Z13" s="37" t="n">
        <v>15.6</v>
      </c>
      <c r="AA13" s="37" t="n">
        <v>16.575</v>
      </c>
      <c r="AB13" s="37" t="n">
        <v>17.68</v>
      </c>
      <c r="AC13" s="37" t="n">
        <v>18.94285714285714</v>
      </c>
      <c r="AD13" s="37" t="n">
        <v>20.4</v>
      </c>
      <c r="AE13" s="37" t="n">
        <v>22.1</v>
      </c>
      <c r="AF13" s="37" t="n">
        <v>24.10909090909091</v>
      </c>
      <c r="AG13" s="37" t="n">
        <v>26.52</v>
      </c>
      <c r="AH13" s="37" t="n">
        <v>29.46666666666667</v>
      </c>
      <c r="AI13" s="37" t="n">
        <v>33.15</v>
      </c>
      <c r="AJ13" s="37" t="n">
        <v>37.88571428571429</v>
      </c>
      <c r="AK13" s="37" t="n">
        <v>44.2</v>
      </c>
      <c r="AL13" s="37" t="n">
        <v>53.04</v>
      </c>
      <c r="AM13" s="37" t="n">
        <v>66.3</v>
      </c>
      <c r="AN13" s="37" t="n">
        <v>88.40000000000001</v>
      </c>
      <c r="AO13" s="37" t="n">
        <v>132.6</v>
      </c>
      <c r="AP13" s="37" t="n">
        <v>265.2</v>
      </c>
    </row>
    <row r="14">
      <c r="A14" s="5" t="inlineStr">
        <is>
          <t>P8</t>
        </is>
      </c>
      <c r="B14" s="5" t="inlineStr">
        <is>
          <t>Karitel</t>
        </is>
      </c>
      <c r="C14" s="37" t="n">
        <v>6.58</v>
      </c>
      <c r="D14" s="37" t="n">
        <v>6.926315789473684</v>
      </c>
      <c r="E14" s="37" t="n">
        <v>7.311111111111111</v>
      </c>
      <c r="F14" s="37" t="n">
        <v>7.741176470588235</v>
      </c>
      <c r="G14" s="37" t="n">
        <v>8.225</v>
      </c>
      <c r="H14" s="37" t="n">
        <v>8.773333333333333</v>
      </c>
      <c r="I14" s="37" t="n">
        <v>9.4</v>
      </c>
      <c r="J14" s="37" t="n">
        <v>10.12307692307692</v>
      </c>
      <c r="K14" s="37" t="n">
        <v>10.96666666666667</v>
      </c>
      <c r="L14" s="37" t="n">
        <v>11.96363636363636</v>
      </c>
      <c r="M14" s="37" t="n">
        <v>13.16</v>
      </c>
      <c r="N14" s="37" t="n">
        <v>14.62222222222222</v>
      </c>
      <c r="O14" s="37" t="n">
        <v>16.45</v>
      </c>
      <c r="P14" s="37" t="n">
        <v>18.8</v>
      </c>
      <c r="Q14" s="37" t="n">
        <v>21.93333333333333</v>
      </c>
      <c r="R14" s="37" t="n">
        <v>26.32</v>
      </c>
      <c r="S14" s="37" t="n">
        <v>32.9</v>
      </c>
      <c r="T14" s="37" t="n">
        <v>43.86666666666667</v>
      </c>
      <c r="U14" s="37" t="n">
        <v>65.8</v>
      </c>
      <c r="V14" s="37" t="n">
        <v>131.6</v>
      </c>
      <c r="W14" s="37" t="n">
        <v>15.11</v>
      </c>
      <c r="X14" s="37" t="n">
        <v>15.90526315789474</v>
      </c>
      <c r="Y14" s="37" t="n">
        <v>16.78888888888889</v>
      </c>
      <c r="Z14" s="37" t="n">
        <v>17.77647058823529</v>
      </c>
      <c r="AA14" s="37" t="n">
        <v>18.8875</v>
      </c>
      <c r="AB14" s="37" t="n">
        <v>20.14666666666666</v>
      </c>
      <c r="AC14" s="37" t="n">
        <v>21.58571428571429</v>
      </c>
      <c r="AD14" s="37" t="n">
        <v>23.24615384615385</v>
      </c>
      <c r="AE14" s="37" t="n">
        <v>25.18333333333333</v>
      </c>
      <c r="AF14" s="37" t="n">
        <v>27.47272727272727</v>
      </c>
      <c r="AG14" s="37" t="n">
        <v>30.22</v>
      </c>
      <c r="AH14" s="37" t="n">
        <v>33.57777777777778</v>
      </c>
      <c r="AI14" s="37" t="n">
        <v>37.775</v>
      </c>
      <c r="AJ14" s="37" t="n">
        <v>43.17142857142857</v>
      </c>
      <c r="AK14" s="37" t="n">
        <v>50.36666666666667</v>
      </c>
      <c r="AL14" s="37" t="n">
        <v>60.44</v>
      </c>
      <c r="AM14" s="37" t="n">
        <v>75.55</v>
      </c>
      <c r="AN14" s="37" t="n">
        <v>100.7333333333333</v>
      </c>
      <c r="AO14" s="37" t="n">
        <v>151.1</v>
      </c>
      <c r="AP14" s="37" t="n">
        <v>302.2</v>
      </c>
    </row>
    <row r="15">
      <c r="A15" s="5" t="inlineStr">
        <is>
          <t>P9</t>
        </is>
      </c>
      <c r="B15" s="5" t="inlineStr">
        <is>
          <t>Karitel</t>
        </is>
      </c>
      <c r="C15" s="37" t="n">
        <v>5.82</v>
      </c>
      <c r="D15" s="37" t="n">
        <v>6.126315789473685</v>
      </c>
      <c r="E15" s="37" t="n">
        <v>6.466666666666667</v>
      </c>
      <c r="F15" s="37" t="n">
        <v>6.847058823529412</v>
      </c>
      <c r="G15" s="37" t="n">
        <v>7.275</v>
      </c>
      <c r="H15" s="37" t="n">
        <v>7.760000000000001</v>
      </c>
      <c r="I15" s="37" t="n">
        <v>8.314285714285715</v>
      </c>
      <c r="J15" s="37" t="n">
        <v>8.953846153846154</v>
      </c>
      <c r="K15" s="37" t="n">
        <v>9.700000000000001</v>
      </c>
      <c r="L15" s="37" t="n">
        <v>10.58181818181818</v>
      </c>
      <c r="M15" s="37" t="n">
        <v>11.64</v>
      </c>
      <c r="N15" s="37" t="n">
        <v>12.93333333333333</v>
      </c>
      <c r="O15" s="37" t="n">
        <v>14.55</v>
      </c>
      <c r="P15" s="37" t="n">
        <v>16.62857142857143</v>
      </c>
      <c r="Q15" s="37" t="n">
        <v>19.4</v>
      </c>
      <c r="R15" s="37" t="n">
        <v>23.28</v>
      </c>
      <c r="S15" s="37" t="n">
        <v>29.1</v>
      </c>
      <c r="T15" s="37" t="n">
        <v>38.8</v>
      </c>
      <c r="U15" s="37" t="n">
        <v>58.2</v>
      </c>
      <c r="V15" s="37" t="n">
        <v>116.4</v>
      </c>
      <c r="W15" s="37" t="n">
        <v>13.26</v>
      </c>
      <c r="X15" s="37" t="n">
        <v>13.95789473684211</v>
      </c>
      <c r="Y15" s="37" t="n">
        <v>14.73333333333333</v>
      </c>
      <c r="Z15" s="37" t="n">
        <v>15.6</v>
      </c>
      <c r="AA15" s="37" t="n">
        <v>16.575</v>
      </c>
      <c r="AB15" s="37" t="n">
        <v>17.68</v>
      </c>
      <c r="AC15" s="37" t="n">
        <v>18.94285714285714</v>
      </c>
      <c r="AD15" s="37" t="n">
        <v>20.4</v>
      </c>
      <c r="AE15" s="37" t="n">
        <v>22.1</v>
      </c>
      <c r="AF15" s="37" t="n">
        <v>24.10909090909091</v>
      </c>
      <c r="AG15" s="37" t="n">
        <v>26.52</v>
      </c>
      <c r="AH15" s="37" t="n">
        <v>29.46666666666667</v>
      </c>
      <c r="AI15" s="37" t="n">
        <v>33.15</v>
      </c>
      <c r="AJ15" s="37" t="n">
        <v>37.88571428571429</v>
      </c>
      <c r="AK15" s="37" t="n">
        <v>44.2</v>
      </c>
      <c r="AL15" s="37" t="n">
        <v>53.04</v>
      </c>
      <c r="AM15" s="37" t="n">
        <v>66.3</v>
      </c>
      <c r="AN15" s="37" t="n">
        <v>88.40000000000001</v>
      </c>
      <c r="AO15" s="37" t="n">
        <v>132.6</v>
      </c>
      <c r="AP15" s="37" t="n">
        <v>265.2</v>
      </c>
    </row>
    <row r="16">
      <c r="A16" s="5" t="inlineStr">
        <is>
          <t>P10</t>
        </is>
      </c>
      <c r="B16" s="5" t="inlineStr">
        <is>
          <t>Karitel</t>
        </is>
      </c>
      <c r="C16" s="37" t="n">
        <v>5.83</v>
      </c>
      <c r="D16" s="37" t="n">
        <v>6.136842105263158</v>
      </c>
      <c r="E16" s="37" t="n">
        <v>6.477777777777778</v>
      </c>
      <c r="F16" s="37" t="n">
        <v>6.858823529411765</v>
      </c>
      <c r="G16" s="37" t="n">
        <v>7.2875</v>
      </c>
      <c r="H16" s="37" t="n">
        <v>7.773333333333333</v>
      </c>
      <c r="I16" s="37" t="n">
        <v>8.328571428571429</v>
      </c>
      <c r="J16" s="37" t="n">
        <v>8.969230769230769</v>
      </c>
      <c r="K16" s="37" t="n">
        <v>9.716666666666667</v>
      </c>
      <c r="L16" s="37" t="n">
        <v>10.6</v>
      </c>
      <c r="M16" s="37" t="n">
        <v>11.66</v>
      </c>
      <c r="N16" s="37" t="n">
        <v>12.95555555555556</v>
      </c>
      <c r="O16" s="37" t="n">
        <v>14.575</v>
      </c>
      <c r="P16" s="37" t="n">
        <v>16.65714285714286</v>
      </c>
      <c r="Q16" s="37" t="n">
        <v>19.43333333333333</v>
      </c>
      <c r="R16" s="37" t="n">
        <v>23.32</v>
      </c>
      <c r="S16" s="37" t="n">
        <v>29.15</v>
      </c>
      <c r="T16" s="37" t="n">
        <v>38.86666666666667</v>
      </c>
      <c r="U16" s="37" t="n">
        <v>58.3</v>
      </c>
      <c r="V16" s="37" t="n">
        <v>116.6</v>
      </c>
      <c r="W16" s="37" t="n">
        <v>15.11</v>
      </c>
      <c r="X16" s="37" t="n">
        <v>15.90526315789474</v>
      </c>
      <c r="Y16" s="37" t="n">
        <v>16.78888888888889</v>
      </c>
      <c r="Z16" s="37" t="n">
        <v>17.77647058823529</v>
      </c>
      <c r="AA16" s="37" t="n">
        <v>18.8875</v>
      </c>
      <c r="AB16" s="37" t="n">
        <v>20.14666666666666</v>
      </c>
      <c r="AC16" s="37" t="n">
        <v>21.58571428571429</v>
      </c>
      <c r="AD16" s="37" t="n">
        <v>23.24615384615385</v>
      </c>
      <c r="AE16" s="37" t="n">
        <v>25.18333333333333</v>
      </c>
      <c r="AF16" s="37" t="n">
        <v>27.47272727272727</v>
      </c>
      <c r="AG16" s="37" t="n">
        <v>30.22</v>
      </c>
      <c r="AH16" s="37" t="n">
        <v>33.57777777777778</v>
      </c>
      <c r="AI16" s="37" t="n">
        <v>37.775</v>
      </c>
      <c r="AJ16" s="37" t="n">
        <v>43.17142857142857</v>
      </c>
      <c r="AK16" s="37" t="n">
        <v>50.36666666666667</v>
      </c>
      <c r="AL16" s="37" t="n">
        <v>60.44</v>
      </c>
      <c r="AM16" s="37" t="n">
        <v>75.55</v>
      </c>
      <c r="AN16" s="37" t="n">
        <v>100.7333333333333</v>
      </c>
      <c r="AO16" s="37" t="n">
        <v>151.1</v>
      </c>
      <c r="AP16" s="37" t="n">
        <v>302.2</v>
      </c>
    </row>
    <row r="17">
      <c r="A17" s="5" t="inlineStr">
        <is>
          <t>P11</t>
        </is>
      </c>
      <c r="B17" s="5" t="inlineStr">
        <is>
          <t>Karitel</t>
        </is>
      </c>
      <c r="C17" s="37" t="n">
        <v>5.82</v>
      </c>
      <c r="D17" s="37" t="n">
        <v>6.126315789473685</v>
      </c>
      <c r="E17" s="37" t="n">
        <v>6.466666666666667</v>
      </c>
      <c r="F17" s="37" t="n">
        <v>6.847058823529412</v>
      </c>
      <c r="G17" s="37" t="n">
        <v>7.275</v>
      </c>
      <c r="H17" s="37" t="n">
        <v>7.760000000000001</v>
      </c>
      <c r="I17" s="37" t="n">
        <v>8.314285714285715</v>
      </c>
      <c r="J17" s="37" t="n">
        <v>8.953846153846154</v>
      </c>
      <c r="K17" s="37" t="n">
        <v>9.700000000000001</v>
      </c>
      <c r="L17" s="37" t="n">
        <v>10.58181818181818</v>
      </c>
      <c r="M17" s="37" t="n">
        <v>11.64</v>
      </c>
      <c r="N17" s="37" t="n">
        <v>12.93333333333333</v>
      </c>
      <c r="O17" s="37" t="n">
        <v>14.55</v>
      </c>
      <c r="P17" s="37" t="n">
        <v>16.62857142857143</v>
      </c>
      <c r="Q17" s="37" t="n">
        <v>19.4</v>
      </c>
      <c r="R17" s="37" t="n">
        <v>23.28</v>
      </c>
      <c r="S17" s="37" t="n">
        <v>29.1</v>
      </c>
      <c r="T17" s="37" t="n">
        <v>38.8</v>
      </c>
      <c r="U17" s="37" t="n">
        <v>58.2</v>
      </c>
      <c r="V17" s="37" t="n">
        <v>116.4</v>
      </c>
      <c r="W17" s="37" t="n">
        <v>13.57</v>
      </c>
      <c r="X17" s="37" t="n">
        <v>14.28421052631579</v>
      </c>
      <c r="Y17" s="37" t="n">
        <v>15.07777777777778</v>
      </c>
      <c r="Z17" s="37" t="n">
        <v>15.96470588235294</v>
      </c>
      <c r="AA17" s="37" t="n">
        <v>16.9625</v>
      </c>
      <c r="AB17" s="37" t="n">
        <v>18.09333333333333</v>
      </c>
      <c r="AC17" s="37" t="n">
        <v>19.38571428571429</v>
      </c>
      <c r="AD17" s="37" t="n">
        <v>20.87692307692308</v>
      </c>
      <c r="AE17" s="37" t="n">
        <v>22.61666666666667</v>
      </c>
      <c r="AF17" s="37" t="n">
        <v>24.67272727272727</v>
      </c>
      <c r="AG17" s="37" t="n">
        <v>27.14</v>
      </c>
      <c r="AH17" s="37" t="n">
        <v>30.15555555555556</v>
      </c>
      <c r="AI17" s="37" t="n">
        <v>33.925</v>
      </c>
      <c r="AJ17" s="37" t="n">
        <v>38.77142857142857</v>
      </c>
      <c r="AK17" s="37" t="n">
        <v>45.23333333333333</v>
      </c>
      <c r="AL17" s="37" t="n">
        <v>54.28</v>
      </c>
      <c r="AM17" s="37" t="n">
        <v>67.84999999999999</v>
      </c>
      <c r="AN17" s="37" t="n">
        <v>90.46666666666667</v>
      </c>
      <c r="AO17" s="37" t="n">
        <v>135.7</v>
      </c>
      <c r="AP17" s="37" t="n">
        <v>271.4</v>
      </c>
    </row>
    <row r="18">
      <c r="A18" s="5" t="inlineStr">
        <is>
          <t>P12</t>
        </is>
      </c>
      <c r="B18" s="5" t="inlineStr">
        <is>
          <t>Karitel</t>
        </is>
      </c>
      <c r="C18" s="37" t="n">
        <v>6.54</v>
      </c>
      <c r="D18" s="37" t="n">
        <v>6.88421052631579</v>
      </c>
      <c r="E18" s="37" t="n">
        <v>7.266666666666667</v>
      </c>
      <c r="F18" s="37" t="n">
        <v>7.694117647058824</v>
      </c>
      <c r="G18" s="37" t="n">
        <v>8.174999999999999</v>
      </c>
      <c r="H18" s="37" t="n">
        <v>8.720000000000001</v>
      </c>
      <c r="I18" s="37" t="n">
        <v>9.342857142857143</v>
      </c>
      <c r="J18" s="37" t="n">
        <v>10.06153846153846</v>
      </c>
      <c r="K18" s="37" t="n">
        <v>10.9</v>
      </c>
      <c r="L18" s="37" t="n">
        <v>11.89090909090909</v>
      </c>
      <c r="M18" s="37" t="n">
        <v>13.08</v>
      </c>
      <c r="N18" s="37" t="n">
        <v>14.53333333333333</v>
      </c>
      <c r="O18" s="37" t="n">
        <v>16.35</v>
      </c>
      <c r="P18" s="37" t="n">
        <v>18.68571428571429</v>
      </c>
      <c r="Q18" s="37" t="n">
        <v>21.8</v>
      </c>
      <c r="R18" s="37" t="n">
        <v>26.16</v>
      </c>
      <c r="S18" s="37" t="n">
        <v>32.7</v>
      </c>
      <c r="T18" s="37" t="n">
        <v>43.6</v>
      </c>
      <c r="U18" s="37" t="n">
        <v>65.39999999999999</v>
      </c>
      <c r="V18" s="37" t="n">
        <v>130.8</v>
      </c>
      <c r="W18" s="37" t="n">
        <v>15.11</v>
      </c>
      <c r="X18" s="37" t="n">
        <v>15.90526315789474</v>
      </c>
      <c r="Y18" s="37" t="n">
        <v>16.78888888888889</v>
      </c>
      <c r="Z18" s="37" t="n">
        <v>17.77647058823529</v>
      </c>
      <c r="AA18" s="37" t="n">
        <v>18.8875</v>
      </c>
      <c r="AB18" s="37" t="n">
        <v>20.14666666666666</v>
      </c>
      <c r="AC18" s="37" t="n">
        <v>21.58571428571429</v>
      </c>
      <c r="AD18" s="37" t="n">
        <v>23.24615384615385</v>
      </c>
      <c r="AE18" s="37" t="n">
        <v>25.18333333333333</v>
      </c>
      <c r="AF18" s="37" t="n">
        <v>27.47272727272727</v>
      </c>
      <c r="AG18" s="37" t="n">
        <v>30.22</v>
      </c>
      <c r="AH18" s="37" t="n">
        <v>33.57777777777778</v>
      </c>
      <c r="AI18" s="37" t="n">
        <v>37.775</v>
      </c>
      <c r="AJ18" s="37" t="n">
        <v>43.17142857142857</v>
      </c>
      <c r="AK18" s="37" t="n">
        <v>50.36666666666667</v>
      </c>
      <c r="AL18" s="37" t="n">
        <v>60.44</v>
      </c>
      <c r="AM18" s="37" t="n">
        <v>75.55</v>
      </c>
      <c r="AN18" s="37" t="n">
        <v>100.7333333333333</v>
      </c>
      <c r="AO18" s="37" t="n">
        <v>151.1</v>
      </c>
      <c r="AP18" s="37" t="n">
        <v>302.2</v>
      </c>
    </row>
    <row r="19">
      <c r="A19" s="5" t="inlineStr">
        <is>
          <t>P13</t>
        </is>
      </c>
      <c r="B19" s="5" t="inlineStr">
        <is>
          <t>Karitel</t>
        </is>
      </c>
      <c r="C19" s="37" t="n">
        <v>4.62</v>
      </c>
      <c r="D19" s="37" t="n">
        <v>4.863157894736842</v>
      </c>
      <c r="E19" s="37" t="n">
        <v>5.133333333333334</v>
      </c>
      <c r="F19" s="37" t="n">
        <v>5.435294117647059</v>
      </c>
      <c r="G19" s="37" t="n">
        <v>5.774999999999999</v>
      </c>
      <c r="H19" s="37" t="n">
        <v>6.16</v>
      </c>
      <c r="I19" s="37" t="n">
        <v>6.600000000000001</v>
      </c>
      <c r="J19" s="37" t="n">
        <v>7.107692307692307</v>
      </c>
      <c r="K19" s="37" t="n">
        <v>7.7</v>
      </c>
      <c r="L19" s="37" t="n">
        <v>8.4</v>
      </c>
      <c r="M19" s="37" t="n">
        <v>9.24</v>
      </c>
      <c r="N19" s="37" t="n">
        <v>10.26666666666667</v>
      </c>
      <c r="O19" s="37" t="n">
        <v>11.55</v>
      </c>
      <c r="P19" s="37" t="n">
        <v>13.2</v>
      </c>
      <c r="Q19" s="37" t="n">
        <v>15.4</v>
      </c>
      <c r="R19" s="37" t="n">
        <v>18.48</v>
      </c>
      <c r="S19" s="37" t="n">
        <v>23.1</v>
      </c>
      <c r="T19" s="37" t="n">
        <v>30.8</v>
      </c>
      <c r="U19" s="37" t="n">
        <v>46.2</v>
      </c>
      <c r="V19" s="37" t="n">
        <v>92.39999999999999</v>
      </c>
      <c r="W19" s="37" t="n">
        <v>10.02</v>
      </c>
      <c r="X19" s="37" t="n">
        <v>10.54736842105263</v>
      </c>
      <c r="Y19" s="37" t="n">
        <v>11.13333333333333</v>
      </c>
      <c r="Z19" s="37" t="n">
        <v>11.78823529411765</v>
      </c>
      <c r="AA19" s="37" t="n">
        <v>12.525</v>
      </c>
      <c r="AB19" s="37" t="n">
        <v>13.36</v>
      </c>
      <c r="AC19" s="37" t="n">
        <v>14.31428571428571</v>
      </c>
      <c r="AD19" s="37" t="n">
        <v>15.41538461538461</v>
      </c>
      <c r="AE19" s="37" t="n">
        <v>16.7</v>
      </c>
      <c r="AF19" s="37" t="n">
        <v>18.21818181818182</v>
      </c>
      <c r="AG19" s="37" t="n">
        <v>20.04</v>
      </c>
      <c r="AH19" s="37" t="n">
        <v>22.26666666666667</v>
      </c>
      <c r="AI19" s="37" t="n">
        <v>25.05</v>
      </c>
      <c r="AJ19" s="37" t="n">
        <v>28.62857142857143</v>
      </c>
      <c r="AK19" s="37" t="n">
        <v>33.4</v>
      </c>
      <c r="AL19" s="37" t="n">
        <v>40.08</v>
      </c>
      <c r="AM19" s="37" t="n">
        <v>50.09999999999999</v>
      </c>
      <c r="AN19" s="37" t="n">
        <v>66.8</v>
      </c>
      <c r="AO19" s="37" t="n">
        <v>100.2</v>
      </c>
      <c r="AP19" s="37" t="n">
        <v>200.4</v>
      </c>
    </row>
    <row r="20">
      <c r="A20" s="5" t="inlineStr">
        <is>
          <t>P14</t>
        </is>
      </c>
      <c r="B20" s="5" t="inlineStr">
        <is>
          <t>Karitel</t>
        </is>
      </c>
      <c r="C20" s="37" t="n">
        <v>6.3</v>
      </c>
      <c r="D20" s="37" t="n">
        <v>6.631578947368421</v>
      </c>
      <c r="E20" s="37" t="n">
        <v>7</v>
      </c>
      <c r="F20" s="37" t="n">
        <v>7.411764705882353</v>
      </c>
      <c r="G20" s="37" t="n">
        <v>7.874999999999999</v>
      </c>
      <c r="H20" s="37" t="n">
        <v>8.4</v>
      </c>
      <c r="I20" s="37" t="n">
        <v>9</v>
      </c>
      <c r="J20" s="37" t="n">
        <v>9.692307692307692</v>
      </c>
      <c r="K20" s="37" t="n">
        <v>10.5</v>
      </c>
      <c r="L20" s="37" t="n">
        <v>11.45454545454545</v>
      </c>
      <c r="M20" s="37" t="n">
        <v>12.6</v>
      </c>
      <c r="N20" s="37" t="n">
        <v>14</v>
      </c>
      <c r="O20" s="37" t="n">
        <v>15.75</v>
      </c>
      <c r="P20" s="37" t="n">
        <v>18</v>
      </c>
      <c r="Q20" s="37" t="n">
        <v>21</v>
      </c>
      <c r="R20" s="37" t="n">
        <v>25.2</v>
      </c>
      <c r="S20" s="37" t="n">
        <v>31.5</v>
      </c>
      <c r="T20" s="37" t="n">
        <v>42</v>
      </c>
      <c r="U20" s="37" t="n">
        <v>62.99999999999999</v>
      </c>
      <c r="V20" s="37" t="n">
        <v>126</v>
      </c>
      <c r="W20" s="37" t="n">
        <v>15.11</v>
      </c>
      <c r="X20" s="37" t="n">
        <v>15.90526315789474</v>
      </c>
      <c r="Y20" s="37" t="n">
        <v>16.78888888888889</v>
      </c>
      <c r="Z20" s="37" t="n">
        <v>17.77647058823529</v>
      </c>
      <c r="AA20" s="37" t="n">
        <v>18.8875</v>
      </c>
      <c r="AB20" s="37" t="n">
        <v>20.14666666666666</v>
      </c>
      <c r="AC20" s="37" t="n">
        <v>21.58571428571429</v>
      </c>
      <c r="AD20" s="37" t="n">
        <v>23.24615384615385</v>
      </c>
      <c r="AE20" s="37" t="n">
        <v>25.18333333333333</v>
      </c>
      <c r="AF20" s="37" t="n">
        <v>27.47272727272727</v>
      </c>
      <c r="AG20" s="37" t="n">
        <v>30.22</v>
      </c>
      <c r="AH20" s="37" t="n">
        <v>33.57777777777778</v>
      </c>
      <c r="AI20" s="37" t="n">
        <v>37.775</v>
      </c>
      <c r="AJ20" s="37" t="n">
        <v>43.17142857142857</v>
      </c>
      <c r="AK20" s="37" t="n">
        <v>50.36666666666667</v>
      </c>
      <c r="AL20" s="37" t="n">
        <v>60.44</v>
      </c>
      <c r="AM20" s="37" t="n">
        <v>75.55</v>
      </c>
      <c r="AN20" s="37" t="n">
        <v>100.7333333333333</v>
      </c>
      <c r="AO20" s="37" t="n">
        <v>151.1</v>
      </c>
      <c r="AP20" s="37" t="n">
        <v>302.2</v>
      </c>
    </row>
    <row r="21">
      <c r="A21" s="5" t="inlineStr">
        <is>
          <t>P15</t>
        </is>
      </c>
      <c r="B21" s="5" t="inlineStr">
        <is>
          <t>Karitel</t>
        </is>
      </c>
      <c r="C21" s="37" t="n">
        <v>7.205</v>
      </c>
      <c r="D21" s="37" t="n">
        <v>7.58421052631579</v>
      </c>
      <c r="E21" s="37" t="n">
        <v>8.005555555555555</v>
      </c>
      <c r="F21" s="37" t="n">
        <v>8.476470588235294</v>
      </c>
      <c r="G21" s="37" t="n">
        <v>9.00625</v>
      </c>
      <c r="H21" s="37" t="n">
        <v>9.606666666666667</v>
      </c>
      <c r="I21" s="37" t="n">
        <v>10.29285714285714</v>
      </c>
      <c r="J21" s="37" t="n">
        <v>11.08461538461538</v>
      </c>
      <c r="K21" s="37" t="n">
        <v>12.00833333333333</v>
      </c>
      <c r="L21" s="37" t="n">
        <v>13.1</v>
      </c>
      <c r="M21" s="37" t="n">
        <v>14.41</v>
      </c>
      <c r="N21" s="37" t="n">
        <v>16.01111111111111</v>
      </c>
      <c r="O21" s="37" t="n">
        <v>18.0125</v>
      </c>
      <c r="P21" s="37" t="n">
        <v>20.58571428571429</v>
      </c>
      <c r="Q21" s="37" t="n">
        <v>24.01666666666667</v>
      </c>
      <c r="R21" s="37" t="n">
        <v>28.82</v>
      </c>
      <c r="S21" s="37" t="n">
        <v>36.025</v>
      </c>
      <c r="T21" s="37" t="n">
        <v>48.03333333333334</v>
      </c>
      <c r="U21" s="37" t="n">
        <v>72.05</v>
      </c>
      <c r="V21" s="37" t="n">
        <v>144.1</v>
      </c>
      <c r="W21" s="37" t="n">
        <v>15.11</v>
      </c>
      <c r="X21" s="37" t="n">
        <v>15.90526315789474</v>
      </c>
      <c r="Y21" s="37" t="n">
        <v>16.78888888888889</v>
      </c>
      <c r="Z21" s="37" t="n">
        <v>17.77647058823529</v>
      </c>
      <c r="AA21" s="37" t="n">
        <v>18.8875</v>
      </c>
      <c r="AB21" s="37" t="n">
        <v>20.14666666666666</v>
      </c>
      <c r="AC21" s="37" t="n">
        <v>21.58571428571429</v>
      </c>
      <c r="AD21" s="37" t="n">
        <v>23.24615384615385</v>
      </c>
      <c r="AE21" s="37" t="n">
        <v>25.18333333333333</v>
      </c>
      <c r="AF21" s="37" t="n">
        <v>27.47272727272727</v>
      </c>
      <c r="AG21" s="37" t="n">
        <v>30.22</v>
      </c>
      <c r="AH21" s="37" t="n">
        <v>33.57777777777778</v>
      </c>
      <c r="AI21" s="37" t="n">
        <v>37.775</v>
      </c>
      <c r="AJ21" s="37" t="n">
        <v>43.17142857142857</v>
      </c>
      <c r="AK21" s="37" t="n">
        <v>50.36666666666667</v>
      </c>
      <c r="AL21" s="37" t="n">
        <v>60.44</v>
      </c>
      <c r="AM21" s="37" t="n">
        <v>75.55</v>
      </c>
      <c r="AN21" s="37" t="n">
        <v>100.7333333333333</v>
      </c>
      <c r="AO21" s="37" t="n">
        <v>151.1</v>
      </c>
      <c r="AP21" s="37" t="n">
        <v>302.2</v>
      </c>
    </row>
    <row r="22">
      <c r="A22" s="5" t="inlineStr">
        <is>
          <t>P16</t>
        </is>
      </c>
      <c r="B22" s="5" t="inlineStr">
        <is>
          <t>Karitel</t>
        </is>
      </c>
      <c r="C22" s="37" t="n">
        <v>7.19</v>
      </c>
      <c r="D22" s="37" t="n">
        <v>7.56842105263158</v>
      </c>
      <c r="E22" s="37" t="n">
        <v>7.988888888888889</v>
      </c>
      <c r="F22" s="37" t="n">
        <v>8.458823529411765</v>
      </c>
      <c r="G22" s="37" t="n">
        <v>8.987500000000001</v>
      </c>
      <c r="H22" s="37" t="n">
        <v>9.586666666666668</v>
      </c>
      <c r="I22" s="37" t="n">
        <v>10.27142857142857</v>
      </c>
      <c r="J22" s="37" t="n">
        <v>11.06153846153846</v>
      </c>
      <c r="K22" s="37" t="n">
        <v>11.98333333333333</v>
      </c>
      <c r="L22" s="37" t="n">
        <v>13.07272727272727</v>
      </c>
      <c r="M22" s="37" t="n">
        <v>14.38</v>
      </c>
      <c r="N22" s="37" t="n">
        <v>15.97777777777778</v>
      </c>
      <c r="O22" s="37" t="n">
        <v>17.975</v>
      </c>
      <c r="P22" s="37" t="n">
        <v>20.54285714285714</v>
      </c>
      <c r="Q22" s="37" t="n">
        <v>23.96666666666667</v>
      </c>
      <c r="R22" s="37" t="n">
        <v>28.76</v>
      </c>
      <c r="S22" s="37" t="n">
        <v>35.95</v>
      </c>
      <c r="T22" s="37" t="n">
        <v>47.93333333333334</v>
      </c>
      <c r="U22" s="37" t="n">
        <v>71.90000000000001</v>
      </c>
      <c r="V22" s="37" t="n">
        <v>143.8</v>
      </c>
      <c r="W22" s="37" t="n">
        <v>15.11</v>
      </c>
      <c r="X22" s="37" t="n">
        <v>15.90526315789474</v>
      </c>
      <c r="Y22" s="37" t="n">
        <v>16.78888888888889</v>
      </c>
      <c r="Z22" s="37" t="n">
        <v>17.77647058823529</v>
      </c>
      <c r="AA22" s="37" t="n">
        <v>18.8875</v>
      </c>
      <c r="AB22" s="37" t="n">
        <v>20.14666666666666</v>
      </c>
      <c r="AC22" s="37" t="n">
        <v>21.58571428571429</v>
      </c>
      <c r="AD22" s="37" t="n">
        <v>23.24615384615385</v>
      </c>
      <c r="AE22" s="37" t="n">
        <v>25.18333333333333</v>
      </c>
      <c r="AF22" s="37" t="n">
        <v>27.47272727272727</v>
      </c>
      <c r="AG22" s="37" t="n">
        <v>30.22</v>
      </c>
      <c r="AH22" s="37" t="n">
        <v>33.57777777777778</v>
      </c>
      <c r="AI22" s="37" t="n">
        <v>37.775</v>
      </c>
      <c r="AJ22" s="37" t="n">
        <v>43.17142857142857</v>
      </c>
      <c r="AK22" s="37" t="n">
        <v>50.36666666666667</v>
      </c>
      <c r="AL22" s="37" t="n">
        <v>60.44</v>
      </c>
      <c r="AM22" s="37" t="n">
        <v>75.55</v>
      </c>
      <c r="AN22" s="37" t="n">
        <v>100.7333333333333</v>
      </c>
      <c r="AO22" s="37" t="n">
        <v>151.1</v>
      </c>
      <c r="AP22" s="37" t="n">
        <v>302.2</v>
      </c>
    </row>
    <row r="23">
      <c r="A23" s="5" t="inlineStr">
        <is>
          <t>P17</t>
        </is>
      </c>
      <c r="B23" s="5" t="inlineStr">
        <is>
          <t>Karitel</t>
        </is>
      </c>
      <c r="C23" s="37" t="n">
        <v>5.94</v>
      </c>
      <c r="D23" s="37" t="n">
        <v>6.252631578947369</v>
      </c>
      <c r="E23" s="37" t="n">
        <v>6.600000000000001</v>
      </c>
      <c r="F23" s="37" t="n">
        <v>6.988235294117648</v>
      </c>
      <c r="G23" s="37" t="n">
        <v>7.425</v>
      </c>
      <c r="H23" s="37" t="n">
        <v>7.920000000000001</v>
      </c>
      <c r="I23" s="37" t="n">
        <v>8.485714285714288</v>
      </c>
      <c r="J23" s="37" t="n">
        <v>9.138461538461538</v>
      </c>
      <c r="K23" s="37" t="n">
        <v>9.9</v>
      </c>
      <c r="L23" s="37" t="n">
        <v>10.8</v>
      </c>
      <c r="M23" s="37" t="n">
        <v>11.88</v>
      </c>
      <c r="N23" s="37" t="n">
        <v>13.2</v>
      </c>
      <c r="O23" s="37" t="n">
        <v>14.85</v>
      </c>
      <c r="P23" s="37" t="n">
        <v>16.97142857142858</v>
      </c>
      <c r="Q23" s="37" t="n">
        <v>19.8</v>
      </c>
      <c r="R23" s="37" t="n">
        <v>23.76</v>
      </c>
      <c r="S23" s="37" t="n">
        <v>29.7</v>
      </c>
      <c r="T23" s="37" t="n">
        <v>39.6</v>
      </c>
      <c r="U23" s="37" t="n">
        <v>59.4</v>
      </c>
      <c r="V23" s="37" t="n">
        <v>118.8</v>
      </c>
      <c r="W23" s="37" t="n">
        <v>15.11</v>
      </c>
      <c r="X23" s="37" t="n">
        <v>15.90526315789474</v>
      </c>
      <c r="Y23" s="37" t="n">
        <v>16.78888888888889</v>
      </c>
      <c r="Z23" s="37" t="n">
        <v>17.77647058823529</v>
      </c>
      <c r="AA23" s="37" t="n">
        <v>18.8875</v>
      </c>
      <c r="AB23" s="37" t="n">
        <v>20.14666666666666</v>
      </c>
      <c r="AC23" s="37" t="n">
        <v>21.58571428571429</v>
      </c>
      <c r="AD23" s="37" t="n">
        <v>23.24615384615385</v>
      </c>
      <c r="AE23" s="37" t="n">
        <v>25.18333333333333</v>
      </c>
      <c r="AF23" s="37" t="n">
        <v>27.47272727272727</v>
      </c>
      <c r="AG23" s="37" t="n">
        <v>30.22</v>
      </c>
      <c r="AH23" s="37" t="n">
        <v>33.57777777777778</v>
      </c>
      <c r="AI23" s="37" t="n">
        <v>37.775</v>
      </c>
      <c r="AJ23" s="37" t="n">
        <v>43.17142857142857</v>
      </c>
      <c r="AK23" s="37" t="n">
        <v>50.36666666666667</v>
      </c>
      <c r="AL23" s="37" t="n">
        <v>60.44</v>
      </c>
      <c r="AM23" s="37" t="n">
        <v>75.55</v>
      </c>
      <c r="AN23" s="37" t="n">
        <v>100.7333333333333</v>
      </c>
      <c r="AO23" s="37" t="n">
        <v>151.1</v>
      </c>
      <c r="AP23" s="37" t="n">
        <v>302.2</v>
      </c>
    </row>
    <row r="24">
      <c r="A24" s="5" t="inlineStr">
        <is>
          <t>P18</t>
        </is>
      </c>
      <c r="B24" s="5" t="inlineStr">
        <is>
          <t>Karitel</t>
        </is>
      </c>
      <c r="C24" s="37" t="n">
        <v>6.58</v>
      </c>
      <c r="D24" s="37" t="n">
        <v>6.926315789473684</v>
      </c>
      <c r="E24" s="37" t="n">
        <v>7.311111111111111</v>
      </c>
      <c r="F24" s="37" t="n">
        <v>7.741176470588235</v>
      </c>
      <c r="G24" s="37" t="n">
        <v>8.225</v>
      </c>
      <c r="H24" s="37" t="n">
        <v>8.773333333333333</v>
      </c>
      <c r="I24" s="37" t="n">
        <v>9.4</v>
      </c>
      <c r="J24" s="37" t="n">
        <v>10.12307692307692</v>
      </c>
      <c r="K24" s="37" t="n">
        <v>10.96666666666667</v>
      </c>
      <c r="L24" s="37" t="n">
        <v>11.96363636363636</v>
      </c>
      <c r="M24" s="37" t="n">
        <v>13.16</v>
      </c>
      <c r="N24" s="37" t="n">
        <v>14.62222222222222</v>
      </c>
      <c r="O24" s="37" t="n">
        <v>16.45</v>
      </c>
      <c r="P24" s="37" t="n">
        <v>18.8</v>
      </c>
      <c r="Q24" s="37" t="n">
        <v>21.93333333333333</v>
      </c>
      <c r="R24" s="37" t="n">
        <v>26.32</v>
      </c>
      <c r="S24" s="37" t="n">
        <v>32.9</v>
      </c>
      <c r="T24" s="37" t="n">
        <v>43.86666666666667</v>
      </c>
      <c r="U24" s="37" t="n">
        <v>65.8</v>
      </c>
      <c r="V24" s="37" t="n">
        <v>131.6</v>
      </c>
      <c r="W24" s="37" t="n">
        <v>15.11</v>
      </c>
      <c r="X24" s="37" t="n">
        <v>15.90526315789474</v>
      </c>
      <c r="Y24" s="37" t="n">
        <v>16.78888888888889</v>
      </c>
      <c r="Z24" s="37" t="n">
        <v>17.77647058823529</v>
      </c>
      <c r="AA24" s="37" t="n">
        <v>18.8875</v>
      </c>
      <c r="AB24" s="37" t="n">
        <v>20.14666666666666</v>
      </c>
      <c r="AC24" s="37" t="n">
        <v>21.58571428571429</v>
      </c>
      <c r="AD24" s="37" t="n">
        <v>23.24615384615385</v>
      </c>
      <c r="AE24" s="37" t="n">
        <v>25.18333333333333</v>
      </c>
      <c r="AF24" s="37" t="n">
        <v>27.47272727272727</v>
      </c>
      <c r="AG24" s="37" t="n">
        <v>30.22</v>
      </c>
      <c r="AH24" s="37" t="n">
        <v>33.57777777777778</v>
      </c>
      <c r="AI24" s="37" t="n">
        <v>37.775</v>
      </c>
      <c r="AJ24" s="37" t="n">
        <v>43.17142857142857</v>
      </c>
      <c r="AK24" s="37" t="n">
        <v>50.36666666666667</v>
      </c>
      <c r="AL24" s="37" t="n">
        <v>60.44</v>
      </c>
      <c r="AM24" s="37" t="n">
        <v>75.55</v>
      </c>
      <c r="AN24" s="37" t="n">
        <v>100.7333333333333</v>
      </c>
      <c r="AO24" s="37" t="n">
        <v>151.1</v>
      </c>
      <c r="AP24" s="37" t="n">
        <v>302.2</v>
      </c>
    </row>
    <row r="25">
      <c r="A25" s="5" t="inlineStr">
        <is>
          <t>P19</t>
        </is>
      </c>
      <c r="B25" s="5" t="inlineStr">
        <is>
          <t>Karitel</t>
        </is>
      </c>
      <c r="C25" s="37" t="n">
        <v>6.3</v>
      </c>
      <c r="D25" s="37" t="n">
        <v>6.631578947368421</v>
      </c>
      <c r="E25" s="37" t="n">
        <v>7</v>
      </c>
      <c r="F25" s="37" t="n">
        <v>7.411764705882353</v>
      </c>
      <c r="G25" s="37" t="n">
        <v>7.874999999999999</v>
      </c>
      <c r="H25" s="37" t="n">
        <v>8.4</v>
      </c>
      <c r="I25" s="37" t="n">
        <v>9</v>
      </c>
      <c r="J25" s="37" t="n">
        <v>9.692307692307692</v>
      </c>
      <c r="K25" s="37" t="n">
        <v>10.5</v>
      </c>
      <c r="L25" s="37" t="n">
        <v>11.45454545454545</v>
      </c>
      <c r="M25" s="37" t="n">
        <v>12.6</v>
      </c>
      <c r="N25" s="37" t="n">
        <v>14</v>
      </c>
      <c r="O25" s="37" t="n">
        <v>15.75</v>
      </c>
      <c r="P25" s="37" t="n">
        <v>18</v>
      </c>
      <c r="Q25" s="37" t="n">
        <v>21</v>
      </c>
      <c r="R25" s="37" t="n">
        <v>25.2</v>
      </c>
      <c r="S25" s="37" t="n">
        <v>31.5</v>
      </c>
      <c r="T25" s="37" t="n">
        <v>42</v>
      </c>
      <c r="U25" s="37" t="n">
        <v>62.99999999999999</v>
      </c>
      <c r="V25" s="37" t="n">
        <v>126</v>
      </c>
      <c r="W25" s="37" t="n">
        <v>15.11</v>
      </c>
      <c r="X25" s="37" t="n">
        <v>15.90526315789474</v>
      </c>
      <c r="Y25" s="37" t="n">
        <v>16.78888888888889</v>
      </c>
      <c r="Z25" s="37" t="n">
        <v>17.77647058823529</v>
      </c>
      <c r="AA25" s="37" t="n">
        <v>18.8875</v>
      </c>
      <c r="AB25" s="37" t="n">
        <v>20.14666666666666</v>
      </c>
      <c r="AC25" s="37" t="n">
        <v>21.58571428571429</v>
      </c>
      <c r="AD25" s="37" t="n">
        <v>23.24615384615385</v>
      </c>
      <c r="AE25" s="37" t="n">
        <v>25.18333333333333</v>
      </c>
      <c r="AF25" s="37" t="n">
        <v>27.47272727272727</v>
      </c>
      <c r="AG25" s="37" t="n">
        <v>30.22</v>
      </c>
      <c r="AH25" s="37" t="n">
        <v>33.57777777777778</v>
      </c>
      <c r="AI25" s="37" t="n">
        <v>37.775</v>
      </c>
      <c r="AJ25" s="37" t="n">
        <v>43.17142857142857</v>
      </c>
      <c r="AK25" s="37" t="n">
        <v>50.36666666666667</v>
      </c>
      <c r="AL25" s="37" t="n">
        <v>60.44</v>
      </c>
      <c r="AM25" s="37" t="n">
        <v>75.55</v>
      </c>
      <c r="AN25" s="37" t="n">
        <v>100.7333333333333</v>
      </c>
      <c r="AO25" s="37" t="n">
        <v>151.1</v>
      </c>
      <c r="AP25" s="37" t="n">
        <v>302.2</v>
      </c>
    </row>
    <row r="26">
      <c r="A26" s="5" t="inlineStr">
        <is>
          <t>P20</t>
        </is>
      </c>
      <c r="B26" s="5" t="inlineStr">
        <is>
          <t>Karitel</t>
        </is>
      </c>
      <c r="C26" s="37" t="n">
        <v>7.21</v>
      </c>
      <c r="D26" s="37" t="n">
        <v>7.589473684210526</v>
      </c>
      <c r="E26" s="37" t="n">
        <v>8.011111111111111</v>
      </c>
      <c r="F26" s="37" t="n">
        <v>8.482352941176471</v>
      </c>
      <c r="G26" s="37" t="n">
        <v>9.012499999999999</v>
      </c>
      <c r="H26" s="37" t="n">
        <v>9.613333333333333</v>
      </c>
      <c r="I26" s="37" t="n">
        <v>10.3</v>
      </c>
      <c r="J26" s="37" t="n">
        <v>11.09230769230769</v>
      </c>
      <c r="K26" s="37" t="n">
        <v>12.01666666666667</v>
      </c>
      <c r="L26" s="37" t="n">
        <v>13.10909090909091</v>
      </c>
      <c r="M26" s="37" t="n">
        <v>14.42</v>
      </c>
      <c r="N26" s="37" t="n">
        <v>16.02222222222222</v>
      </c>
      <c r="O26" s="37" t="n">
        <v>18.025</v>
      </c>
      <c r="P26" s="37" t="n">
        <v>20.6</v>
      </c>
      <c r="Q26" s="37" t="n">
        <v>24.03333333333333</v>
      </c>
      <c r="R26" s="37" t="n">
        <v>28.84</v>
      </c>
      <c r="S26" s="37" t="n">
        <v>36.05</v>
      </c>
      <c r="T26" s="37" t="n">
        <v>48.06666666666667</v>
      </c>
      <c r="U26" s="37" t="n">
        <v>72.09999999999999</v>
      </c>
      <c r="V26" s="37" t="n">
        <v>144.2</v>
      </c>
      <c r="W26" s="37" t="n">
        <v>15.11</v>
      </c>
      <c r="X26" s="37" t="n">
        <v>15.90526315789474</v>
      </c>
      <c r="Y26" s="37" t="n">
        <v>16.78888888888889</v>
      </c>
      <c r="Z26" s="37" t="n">
        <v>17.77647058823529</v>
      </c>
      <c r="AA26" s="37" t="n">
        <v>18.8875</v>
      </c>
      <c r="AB26" s="37" t="n">
        <v>20.14666666666666</v>
      </c>
      <c r="AC26" s="37" t="n">
        <v>21.58571428571429</v>
      </c>
      <c r="AD26" s="37" t="n">
        <v>23.24615384615385</v>
      </c>
      <c r="AE26" s="37" t="n">
        <v>25.18333333333333</v>
      </c>
      <c r="AF26" s="37" t="n">
        <v>27.47272727272727</v>
      </c>
      <c r="AG26" s="37" t="n">
        <v>30.22</v>
      </c>
      <c r="AH26" s="37" t="n">
        <v>33.57777777777778</v>
      </c>
      <c r="AI26" s="37" t="n">
        <v>37.775</v>
      </c>
      <c r="AJ26" s="37" t="n">
        <v>43.17142857142857</v>
      </c>
      <c r="AK26" s="37" t="n">
        <v>50.36666666666667</v>
      </c>
      <c r="AL26" s="37" t="n">
        <v>60.44</v>
      </c>
      <c r="AM26" s="37" t="n">
        <v>75.55</v>
      </c>
      <c r="AN26" s="37" t="n">
        <v>100.7333333333333</v>
      </c>
      <c r="AO26" s="37" t="n">
        <v>151.1</v>
      </c>
      <c r="AP26" s="37" t="n">
        <v>302.2</v>
      </c>
    </row>
    <row r="27">
      <c r="A27" s="5" t="inlineStr">
        <is>
          <t>P21</t>
        </is>
      </c>
      <c r="B27" s="5" t="inlineStr">
        <is>
          <t>Karitel</t>
        </is>
      </c>
      <c r="C27" s="37" t="n">
        <v>6.93</v>
      </c>
      <c r="D27" s="37" t="n">
        <v>7.294736842105263</v>
      </c>
      <c r="E27" s="37" t="n">
        <v>7.699999999999999</v>
      </c>
      <c r="F27" s="37" t="n">
        <v>8.152941176470588</v>
      </c>
      <c r="G27" s="37" t="n">
        <v>8.6625</v>
      </c>
      <c r="H27" s="37" t="n">
        <v>9.24</v>
      </c>
      <c r="I27" s="37" t="n">
        <v>9.9</v>
      </c>
      <c r="J27" s="37" t="n">
        <v>10.66153846153846</v>
      </c>
      <c r="K27" s="37" t="n">
        <v>11.55</v>
      </c>
      <c r="L27" s="37" t="n">
        <v>12.6</v>
      </c>
      <c r="M27" s="37" t="n">
        <v>13.86</v>
      </c>
      <c r="N27" s="37" t="n">
        <v>15.4</v>
      </c>
      <c r="O27" s="37" t="n">
        <v>17.325</v>
      </c>
      <c r="P27" s="37" t="n">
        <v>19.8</v>
      </c>
      <c r="Q27" s="37" t="n">
        <v>23.1</v>
      </c>
      <c r="R27" s="37" t="n">
        <v>27.72</v>
      </c>
      <c r="S27" s="37" t="n">
        <v>34.65</v>
      </c>
      <c r="T27" s="37" t="n">
        <v>46.2</v>
      </c>
      <c r="U27" s="37" t="n">
        <v>69.3</v>
      </c>
      <c r="V27" s="37" t="n">
        <v>138.6</v>
      </c>
      <c r="W27" s="37" t="n">
        <v>15.11</v>
      </c>
      <c r="X27" s="37" t="n">
        <v>15.90526315789474</v>
      </c>
      <c r="Y27" s="37" t="n">
        <v>16.78888888888889</v>
      </c>
      <c r="Z27" s="37" t="n">
        <v>17.77647058823529</v>
      </c>
      <c r="AA27" s="37" t="n">
        <v>18.8875</v>
      </c>
      <c r="AB27" s="37" t="n">
        <v>20.14666666666666</v>
      </c>
      <c r="AC27" s="37" t="n">
        <v>21.58571428571429</v>
      </c>
      <c r="AD27" s="37" t="n">
        <v>23.24615384615385</v>
      </c>
      <c r="AE27" s="37" t="n">
        <v>25.18333333333333</v>
      </c>
      <c r="AF27" s="37" t="n">
        <v>27.47272727272727</v>
      </c>
      <c r="AG27" s="37" t="n">
        <v>30.22</v>
      </c>
      <c r="AH27" s="37" t="n">
        <v>33.57777777777778</v>
      </c>
      <c r="AI27" s="37" t="n">
        <v>37.775</v>
      </c>
      <c r="AJ27" s="37" t="n">
        <v>43.17142857142857</v>
      </c>
      <c r="AK27" s="37" t="n">
        <v>50.36666666666667</v>
      </c>
      <c r="AL27" s="37" t="n">
        <v>60.44</v>
      </c>
      <c r="AM27" s="37" t="n">
        <v>75.55</v>
      </c>
      <c r="AN27" s="37" t="n">
        <v>100.7333333333333</v>
      </c>
      <c r="AO27" s="37" t="n">
        <v>151.1</v>
      </c>
      <c r="AP27" s="37" t="n">
        <v>302.2</v>
      </c>
    </row>
    <row r="28">
      <c r="A28" s="5" t="inlineStr">
        <is>
          <t>P22</t>
        </is>
      </c>
      <c r="B28" s="5" t="inlineStr">
        <is>
          <t>Karitel</t>
        </is>
      </c>
      <c r="C28" s="37" t="n">
        <v>4.62</v>
      </c>
      <c r="D28" s="37" t="n">
        <v>4.863157894736842</v>
      </c>
      <c r="E28" s="37" t="n">
        <v>5.133333333333334</v>
      </c>
      <c r="F28" s="37" t="n">
        <v>5.435294117647059</v>
      </c>
      <c r="G28" s="37" t="n">
        <v>5.774999999999999</v>
      </c>
      <c r="H28" s="37" t="n">
        <v>6.16</v>
      </c>
      <c r="I28" s="37" t="n">
        <v>6.600000000000001</v>
      </c>
      <c r="J28" s="37" t="n">
        <v>7.107692307692307</v>
      </c>
      <c r="K28" s="37" t="n">
        <v>7.7</v>
      </c>
      <c r="L28" s="37" t="n">
        <v>8.4</v>
      </c>
      <c r="M28" s="37" t="n">
        <v>9.24</v>
      </c>
      <c r="N28" s="37" t="n">
        <v>10.26666666666667</v>
      </c>
      <c r="O28" s="37" t="n">
        <v>11.55</v>
      </c>
      <c r="P28" s="37" t="n">
        <v>13.2</v>
      </c>
      <c r="Q28" s="37" t="n">
        <v>15.4</v>
      </c>
      <c r="R28" s="37" t="n">
        <v>18.48</v>
      </c>
      <c r="S28" s="37" t="n">
        <v>23.1</v>
      </c>
      <c r="T28" s="37" t="n">
        <v>30.8</v>
      </c>
      <c r="U28" s="37" t="n">
        <v>46.2</v>
      </c>
      <c r="V28" s="37" t="n">
        <v>92.39999999999999</v>
      </c>
      <c r="W28" s="37" t="n">
        <v>15.11</v>
      </c>
      <c r="X28" s="37" t="n">
        <v>15.90526315789474</v>
      </c>
      <c r="Y28" s="37" t="n">
        <v>16.78888888888889</v>
      </c>
      <c r="Z28" s="37" t="n">
        <v>17.77647058823529</v>
      </c>
      <c r="AA28" s="37" t="n">
        <v>18.8875</v>
      </c>
      <c r="AB28" s="37" t="n">
        <v>20.14666666666666</v>
      </c>
      <c r="AC28" s="37" t="n">
        <v>21.58571428571429</v>
      </c>
      <c r="AD28" s="37" t="n">
        <v>23.24615384615385</v>
      </c>
      <c r="AE28" s="37" t="n">
        <v>25.18333333333333</v>
      </c>
      <c r="AF28" s="37" t="n">
        <v>27.47272727272727</v>
      </c>
      <c r="AG28" s="37" t="n">
        <v>30.22</v>
      </c>
      <c r="AH28" s="37" t="n">
        <v>33.57777777777778</v>
      </c>
      <c r="AI28" s="37" t="n">
        <v>37.775</v>
      </c>
      <c r="AJ28" s="37" t="n">
        <v>43.17142857142857</v>
      </c>
      <c r="AK28" s="37" t="n">
        <v>50.36666666666667</v>
      </c>
      <c r="AL28" s="37" t="n">
        <v>60.44</v>
      </c>
      <c r="AM28" s="37" t="n">
        <v>75.55</v>
      </c>
      <c r="AN28" s="37" t="n">
        <v>100.7333333333333</v>
      </c>
      <c r="AO28" s="37" t="n">
        <v>151.1</v>
      </c>
      <c r="AP28" s="37" t="n">
        <v>302.2</v>
      </c>
    </row>
    <row r="29">
      <c r="A29" s="5" t="inlineStr">
        <is>
          <t>P23</t>
        </is>
      </c>
      <c r="B29" s="5" t="inlineStr">
        <is>
          <t>Karitel</t>
        </is>
      </c>
      <c r="C29" s="37" t="n">
        <v>5.7</v>
      </c>
      <c r="D29" s="37" t="n">
        <v>6.000000000000001</v>
      </c>
      <c r="E29" s="37" t="n">
        <v>6.333333333333333</v>
      </c>
      <c r="F29" s="37" t="n">
        <v>6.705882352941177</v>
      </c>
      <c r="G29" s="37" t="n">
        <v>7.125</v>
      </c>
      <c r="H29" s="37" t="n">
        <v>7.600000000000001</v>
      </c>
      <c r="I29" s="37" t="n">
        <v>8.142857142857144</v>
      </c>
      <c r="J29" s="37" t="n">
        <v>8.76923076923077</v>
      </c>
      <c r="K29" s="37" t="n">
        <v>9.5</v>
      </c>
      <c r="L29" s="37" t="n">
        <v>10.36363636363636</v>
      </c>
      <c r="M29" s="37" t="n">
        <v>11.4</v>
      </c>
      <c r="N29" s="37" t="n">
        <v>12.66666666666667</v>
      </c>
      <c r="O29" s="37" t="n">
        <v>14.25</v>
      </c>
      <c r="P29" s="37" t="n">
        <v>16.28571428571429</v>
      </c>
      <c r="Q29" s="37" t="n">
        <v>19</v>
      </c>
      <c r="R29" s="37" t="n">
        <v>22.8</v>
      </c>
      <c r="S29" s="37" t="n">
        <v>28.5</v>
      </c>
      <c r="T29" s="37" t="n">
        <v>38</v>
      </c>
      <c r="U29" s="37" t="n">
        <v>57</v>
      </c>
      <c r="V29" s="37" t="n">
        <v>114</v>
      </c>
      <c r="W29" s="37" t="n">
        <v>15.11</v>
      </c>
      <c r="X29" s="37" t="n">
        <v>15.90526315789474</v>
      </c>
      <c r="Y29" s="37" t="n">
        <v>16.78888888888889</v>
      </c>
      <c r="Z29" s="37" t="n">
        <v>17.77647058823529</v>
      </c>
      <c r="AA29" s="37" t="n">
        <v>18.8875</v>
      </c>
      <c r="AB29" s="37" t="n">
        <v>20.14666666666666</v>
      </c>
      <c r="AC29" s="37" t="n">
        <v>21.58571428571429</v>
      </c>
      <c r="AD29" s="37" t="n">
        <v>23.24615384615385</v>
      </c>
      <c r="AE29" s="37" t="n">
        <v>25.18333333333333</v>
      </c>
      <c r="AF29" s="37" t="n">
        <v>27.47272727272727</v>
      </c>
      <c r="AG29" s="37" t="n">
        <v>30.22</v>
      </c>
      <c r="AH29" s="37" t="n">
        <v>33.57777777777778</v>
      </c>
      <c r="AI29" s="37" t="n">
        <v>37.775</v>
      </c>
      <c r="AJ29" s="37" t="n">
        <v>43.17142857142857</v>
      </c>
      <c r="AK29" s="37" t="n">
        <v>50.36666666666667</v>
      </c>
      <c r="AL29" s="37" t="n">
        <v>60.44</v>
      </c>
      <c r="AM29" s="37" t="n">
        <v>75.55</v>
      </c>
      <c r="AN29" s="37" t="n">
        <v>100.7333333333333</v>
      </c>
      <c r="AO29" s="37" t="n">
        <v>151.1</v>
      </c>
      <c r="AP29" s="37" t="n">
        <v>302.2</v>
      </c>
    </row>
    <row r="30">
      <c r="A30" s="5" t="inlineStr">
        <is>
          <t>P24</t>
        </is>
      </c>
      <c r="B30" s="5" t="inlineStr">
        <is>
          <t>Karitel</t>
        </is>
      </c>
      <c r="C30" s="37" t="n">
        <v>6.79</v>
      </c>
      <c r="D30" s="37" t="n">
        <v>7.147368421052632</v>
      </c>
      <c r="E30" s="37" t="n">
        <v>7.544444444444444</v>
      </c>
      <c r="F30" s="37" t="n">
        <v>7.988235294117647</v>
      </c>
      <c r="G30" s="37" t="n">
        <v>8.487499999999999</v>
      </c>
      <c r="H30" s="37" t="n">
        <v>9.053333333333333</v>
      </c>
      <c r="I30" s="37" t="n">
        <v>9.700000000000001</v>
      </c>
      <c r="J30" s="37" t="n">
        <v>10.44615384615385</v>
      </c>
      <c r="K30" s="37" t="n">
        <v>11.31666666666667</v>
      </c>
      <c r="L30" s="37" t="n">
        <v>12.34545454545454</v>
      </c>
      <c r="M30" s="37" t="n">
        <v>13.58</v>
      </c>
      <c r="N30" s="37" t="n">
        <v>15.08888888888889</v>
      </c>
      <c r="O30" s="37" t="n">
        <v>16.975</v>
      </c>
      <c r="P30" s="37" t="n">
        <v>19.4</v>
      </c>
      <c r="Q30" s="37" t="n">
        <v>22.63333333333333</v>
      </c>
      <c r="R30" s="37" t="n">
        <v>27.16</v>
      </c>
      <c r="S30" s="37" t="n">
        <v>33.95</v>
      </c>
      <c r="T30" s="37" t="n">
        <v>45.26666666666667</v>
      </c>
      <c r="U30" s="37" t="n">
        <v>67.89999999999999</v>
      </c>
      <c r="V30" s="37" t="n">
        <v>135.8</v>
      </c>
      <c r="W30" s="37" t="n">
        <v>15.11</v>
      </c>
      <c r="X30" s="37" t="n">
        <v>15.90526315789474</v>
      </c>
      <c r="Y30" s="37" t="n">
        <v>16.78888888888889</v>
      </c>
      <c r="Z30" s="37" t="n">
        <v>17.77647058823529</v>
      </c>
      <c r="AA30" s="37" t="n">
        <v>18.8875</v>
      </c>
      <c r="AB30" s="37" t="n">
        <v>20.14666666666666</v>
      </c>
      <c r="AC30" s="37" t="n">
        <v>21.58571428571429</v>
      </c>
      <c r="AD30" s="37" t="n">
        <v>23.24615384615385</v>
      </c>
      <c r="AE30" s="37" t="n">
        <v>25.18333333333333</v>
      </c>
      <c r="AF30" s="37" t="n">
        <v>27.47272727272727</v>
      </c>
      <c r="AG30" s="37" t="n">
        <v>30.22</v>
      </c>
      <c r="AH30" s="37" t="n">
        <v>33.57777777777778</v>
      </c>
      <c r="AI30" s="37" t="n">
        <v>37.775</v>
      </c>
      <c r="AJ30" s="37" t="n">
        <v>43.17142857142857</v>
      </c>
      <c r="AK30" s="37" t="n">
        <v>50.36666666666667</v>
      </c>
      <c r="AL30" s="37" t="n">
        <v>60.44</v>
      </c>
      <c r="AM30" s="37" t="n">
        <v>75.55</v>
      </c>
      <c r="AN30" s="37" t="n">
        <v>100.7333333333333</v>
      </c>
      <c r="AO30" s="37" t="n">
        <v>151.1</v>
      </c>
      <c r="AP30" s="37" t="n">
        <v>302.2</v>
      </c>
    </row>
    <row r="31">
      <c r="A31" s="5" t="inlineStr">
        <is>
          <t>P25</t>
        </is>
      </c>
      <c r="B31" s="5" t="inlineStr">
        <is>
          <t>Karitel</t>
        </is>
      </c>
      <c r="C31" s="37" t="n">
        <v>5.8</v>
      </c>
      <c r="D31" s="37" t="n">
        <v>6.105263157894737</v>
      </c>
      <c r="E31" s="37" t="n">
        <v>6.444444444444444</v>
      </c>
      <c r="F31" s="37" t="n">
        <v>6.823529411764706</v>
      </c>
      <c r="G31" s="37" t="n">
        <v>7.249999999999999</v>
      </c>
      <c r="H31" s="37" t="n">
        <v>7.733333333333333</v>
      </c>
      <c r="I31" s="37" t="n">
        <v>8.285714285714286</v>
      </c>
      <c r="J31" s="37" t="n">
        <v>8.923076923076923</v>
      </c>
      <c r="K31" s="37" t="n">
        <v>9.666666666666666</v>
      </c>
      <c r="L31" s="37" t="n">
        <v>10.54545454545454</v>
      </c>
      <c r="M31" s="37" t="n">
        <v>11.6</v>
      </c>
      <c r="N31" s="37" t="n">
        <v>12.88888888888889</v>
      </c>
      <c r="O31" s="37" t="n">
        <v>14.5</v>
      </c>
      <c r="P31" s="37" t="n">
        <v>16.57142857142857</v>
      </c>
      <c r="Q31" s="37" t="n">
        <v>19.33333333333333</v>
      </c>
      <c r="R31" s="37" t="n">
        <v>23.2</v>
      </c>
      <c r="S31" s="37" t="n">
        <v>29</v>
      </c>
      <c r="T31" s="37" t="n">
        <v>38.66666666666666</v>
      </c>
      <c r="U31" s="37" t="n">
        <v>57.99999999999999</v>
      </c>
      <c r="V31" s="37" t="n">
        <v>116</v>
      </c>
      <c r="W31" s="37" t="n">
        <v>12.17</v>
      </c>
      <c r="X31" s="37" t="n">
        <v>12.81052631578947</v>
      </c>
      <c r="Y31" s="37" t="n">
        <v>13.52222222222222</v>
      </c>
      <c r="Z31" s="37" t="n">
        <v>14.31764705882353</v>
      </c>
      <c r="AA31" s="37" t="n">
        <v>15.2125</v>
      </c>
      <c r="AB31" s="37" t="n">
        <v>16.22666666666667</v>
      </c>
      <c r="AC31" s="37" t="n">
        <v>17.38571428571429</v>
      </c>
      <c r="AD31" s="37" t="n">
        <v>18.72307692307692</v>
      </c>
      <c r="AE31" s="37" t="n">
        <v>20.28333333333333</v>
      </c>
      <c r="AF31" s="37" t="n">
        <v>22.12727272727273</v>
      </c>
      <c r="AG31" s="37" t="n">
        <v>24.34</v>
      </c>
      <c r="AH31" s="37" t="n">
        <v>27.04444444444444</v>
      </c>
      <c r="AI31" s="37" t="n">
        <v>30.425</v>
      </c>
      <c r="AJ31" s="37" t="n">
        <v>34.77142857142857</v>
      </c>
      <c r="AK31" s="37" t="n">
        <v>40.56666666666667</v>
      </c>
      <c r="AL31" s="37" t="n">
        <v>48.68</v>
      </c>
      <c r="AM31" s="37" t="n">
        <v>60.84999999999999</v>
      </c>
      <c r="AN31" s="37" t="n">
        <v>81.13333333333334</v>
      </c>
      <c r="AO31" s="37" t="n">
        <v>121.7</v>
      </c>
      <c r="AP31" s="37" t="n">
        <v>243.4</v>
      </c>
    </row>
    <row r="32">
      <c r="A32" s="5" t="inlineStr">
        <is>
          <t>P26</t>
        </is>
      </c>
      <c r="B32" s="5" t="inlineStr">
        <is>
          <t>Karitel</t>
        </is>
      </c>
      <c r="C32" s="37" t="n">
        <v>5.46</v>
      </c>
      <c r="D32" s="37" t="n">
        <v>5.747368421052632</v>
      </c>
      <c r="E32" s="37" t="n">
        <v>6.066666666666666</v>
      </c>
      <c r="F32" s="37" t="n">
        <v>6.423529411764706</v>
      </c>
      <c r="G32" s="37" t="n">
        <v>6.824999999999999</v>
      </c>
      <c r="H32" s="37" t="n">
        <v>7.28</v>
      </c>
      <c r="I32" s="37" t="n">
        <v>7.800000000000001</v>
      </c>
      <c r="J32" s="37" t="n">
        <v>8.4</v>
      </c>
      <c r="K32" s="37" t="n">
        <v>9.1</v>
      </c>
      <c r="L32" s="37" t="n">
        <v>9.927272727272726</v>
      </c>
      <c r="M32" s="37" t="n">
        <v>10.92</v>
      </c>
      <c r="N32" s="37" t="n">
        <v>12.13333333333333</v>
      </c>
      <c r="O32" s="37" t="n">
        <v>13.65</v>
      </c>
      <c r="P32" s="37" t="n">
        <v>15.6</v>
      </c>
      <c r="Q32" s="37" t="n">
        <v>18.2</v>
      </c>
      <c r="R32" s="37" t="n">
        <v>21.84</v>
      </c>
      <c r="S32" s="37" t="n">
        <v>27.3</v>
      </c>
      <c r="T32" s="37" t="n">
        <v>36.4</v>
      </c>
      <c r="U32" s="37" t="n">
        <v>54.59999999999999</v>
      </c>
      <c r="V32" s="37" t="n">
        <v>109.2</v>
      </c>
      <c r="W32" s="37" t="n">
        <v>15.11</v>
      </c>
      <c r="X32" s="37" t="n">
        <v>15.90526315789474</v>
      </c>
      <c r="Y32" s="37" t="n">
        <v>16.78888888888889</v>
      </c>
      <c r="Z32" s="37" t="n">
        <v>17.77647058823529</v>
      </c>
      <c r="AA32" s="37" t="n">
        <v>18.8875</v>
      </c>
      <c r="AB32" s="37" t="n">
        <v>20.14666666666666</v>
      </c>
      <c r="AC32" s="37" t="n">
        <v>21.58571428571429</v>
      </c>
      <c r="AD32" s="37" t="n">
        <v>23.24615384615385</v>
      </c>
      <c r="AE32" s="37" t="n">
        <v>25.18333333333333</v>
      </c>
      <c r="AF32" s="37" t="n">
        <v>27.47272727272727</v>
      </c>
      <c r="AG32" s="37" t="n">
        <v>30.22</v>
      </c>
      <c r="AH32" s="37" t="n">
        <v>33.57777777777778</v>
      </c>
      <c r="AI32" s="37" t="n">
        <v>37.775</v>
      </c>
      <c r="AJ32" s="37" t="n">
        <v>43.17142857142857</v>
      </c>
      <c r="AK32" s="37" t="n">
        <v>50.36666666666667</v>
      </c>
      <c r="AL32" s="37" t="n">
        <v>60.44</v>
      </c>
      <c r="AM32" s="37" t="n">
        <v>75.55</v>
      </c>
      <c r="AN32" s="37" t="n">
        <v>100.7333333333333</v>
      </c>
      <c r="AO32" s="37" t="n">
        <v>151.1</v>
      </c>
      <c r="AP32" s="37" t="n">
        <v>302.2</v>
      </c>
    </row>
    <row r="33">
      <c r="A33" s="5" t="inlineStr">
        <is>
          <t>P27</t>
        </is>
      </c>
      <c r="B33" s="5" t="inlineStr">
        <is>
          <t>Karitel</t>
        </is>
      </c>
      <c r="C33" s="37" t="n">
        <v>4.4</v>
      </c>
      <c r="D33" s="37" t="n">
        <v>4.631578947368421</v>
      </c>
      <c r="E33" s="37" t="n">
        <v>4.888888888888889</v>
      </c>
      <c r="F33" s="37" t="n">
        <v>5.176470588235294</v>
      </c>
      <c r="G33" s="37" t="n">
        <v>5.5</v>
      </c>
      <c r="H33" s="37" t="n">
        <v>5.866666666666667</v>
      </c>
      <c r="I33" s="37" t="n">
        <v>6.285714285714286</v>
      </c>
      <c r="J33" s="37" t="n">
        <v>6.769230769230769</v>
      </c>
      <c r="K33" s="37" t="n">
        <v>7.333333333333334</v>
      </c>
      <c r="L33" s="37" t="n">
        <v>8</v>
      </c>
      <c r="M33" s="37" t="n">
        <v>8.800000000000001</v>
      </c>
      <c r="N33" s="37" t="n">
        <v>9.777777777777779</v>
      </c>
      <c r="O33" s="37" t="n">
        <v>11</v>
      </c>
      <c r="P33" s="37" t="n">
        <v>12.57142857142857</v>
      </c>
      <c r="Q33" s="37" t="n">
        <v>14.66666666666667</v>
      </c>
      <c r="R33" s="37" t="n">
        <v>17.6</v>
      </c>
      <c r="S33" s="37" t="n">
        <v>22</v>
      </c>
      <c r="T33" s="37" t="n">
        <v>29.33333333333334</v>
      </c>
      <c r="U33" s="37" t="n">
        <v>44</v>
      </c>
      <c r="V33" s="37" t="n">
        <v>88</v>
      </c>
      <c r="W33" s="37" t="n">
        <v>12.17</v>
      </c>
      <c r="X33" s="37" t="n">
        <v>12.81052631578947</v>
      </c>
      <c r="Y33" s="37" t="n">
        <v>13.52222222222222</v>
      </c>
      <c r="Z33" s="37" t="n">
        <v>14.31764705882353</v>
      </c>
      <c r="AA33" s="37" t="n">
        <v>15.2125</v>
      </c>
      <c r="AB33" s="37" t="n">
        <v>16.22666666666667</v>
      </c>
      <c r="AC33" s="37" t="n">
        <v>17.38571428571429</v>
      </c>
      <c r="AD33" s="37" t="n">
        <v>18.72307692307692</v>
      </c>
      <c r="AE33" s="37" t="n">
        <v>20.28333333333333</v>
      </c>
      <c r="AF33" s="37" t="n">
        <v>22.12727272727273</v>
      </c>
      <c r="AG33" s="37" t="n">
        <v>24.34</v>
      </c>
      <c r="AH33" s="37" t="n">
        <v>27.04444444444444</v>
      </c>
      <c r="AI33" s="37" t="n">
        <v>30.425</v>
      </c>
      <c r="AJ33" s="37" t="n">
        <v>34.77142857142857</v>
      </c>
      <c r="AK33" s="37" t="n">
        <v>40.56666666666667</v>
      </c>
      <c r="AL33" s="37" t="n">
        <v>48.68</v>
      </c>
      <c r="AM33" s="37" t="n">
        <v>60.84999999999999</v>
      </c>
      <c r="AN33" s="37" t="n">
        <v>81.13333333333334</v>
      </c>
      <c r="AO33" s="37" t="n">
        <v>121.7</v>
      </c>
      <c r="AP33" s="37" t="n">
        <v>243.4</v>
      </c>
    </row>
    <row r="34">
      <c r="A34" s="5" t="inlineStr">
        <is>
          <t>P28</t>
        </is>
      </c>
      <c r="B34" s="5" t="inlineStr">
        <is>
          <t>Karitel</t>
        </is>
      </c>
      <c r="C34" s="37" t="n">
        <v>6.435</v>
      </c>
      <c r="D34" s="37" t="n">
        <v>6.773684210526316</v>
      </c>
      <c r="E34" s="37" t="n">
        <v>7.149999999999999</v>
      </c>
      <c r="F34" s="37" t="n">
        <v>7.570588235294117</v>
      </c>
      <c r="G34" s="37" t="n">
        <v>8.043749999999999</v>
      </c>
      <c r="H34" s="37" t="n">
        <v>8.58</v>
      </c>
      <c r="I34" s="37" t="n">
        <v>9.192857142857143</v>
      </c>
      <c r="J34" s="37" t="n">
        <v>9.899999999999999</v>
      </c>
      <c r="K34" s="37" t="n">
        <v>10.725</v>
      </c>
      <c r="L34" s="37" t="n">
        <v>11.7</v>
      </c>
      <c r="M34" s="37" t="n">
        <v>12.87</v>
      </c>
      <c r="N34" s="37" t="n">
        <v>14.3</v>
      </c>
      <c r="O34" s="37" t="n">
        <v>16.0875</v>
      </c>
      <c r="P34" s="37" t="n">
        <v>18.38571428571429</v>
      </c>
      <c r="Q34" s="37" t="n">
        <v>21.45</v>
      </c>
      <c r="R34" s="37" t="n">
        <v>25.74</v>
      </c>
      <c r="S34" s="37" t="n">
        <v>32.175</v>
      </c>
      <c r="T34" s="37" t="n">
        <v>42.9</v>
      </c>
      <c r="U34" s="37" t="n">
        <v>64.34999999999999</v>
      </c>
      <c r="V34" s="37" t="n">
        <v>128.7</v>
      </c>
      <c r="W34" s="37" t="n">
        <v>14.13</v>
      </c>
      <c r="X34" s="37" t="n">
        <v>14.87368421052632</v>
      </c>
      <c r="Y34" s="37" t="n">
        <v>15.7</v>
      </c>
      <c r="Z34" s="37" t="n">
        <v>16.62352941176471</v>
      </c>
      <c r="AA34" s="37" t="n">
        <v>17.6625</v>
      </c>
      <c r="AB34" s="37" t="n">
        <v>18.84</v>
      </c>
      <c r="AC34" s="37" t="n">
        <v>20.18571428571429</v>
      </c>
      <c r="AD34" s="37" t="n">
        <v>21.73846153846154</v>
      </c>
      <c r="AE34" s="37" t="n">
        <v>23.55</v>
      </c>
      <c r="AF34" s="37" t="n">
        <v>25.69090909090909</v>
      </c>
      <c r="AG34" s="37" t="n">
        <v>28.26</v>
      </c>
      <c r="AH34" s="37" t="n">
        <v>31.4</v>
      </c>
      <c r="AI34" s="37" t="n">
        <v>35.325</v>
      </c>
      <c r="AJ34" s="37" t="n">
        <v>40.37142857142857</v>
      </c>
      <c r="AK34" s="37" t="n">
        <v>47.1</v>
      </c>
      <c r="AL34" s="37" t="n">
        <v>56.52</v>
      </c>
      <c r="AM34" s="37" t="n">
        <v>70.65000000000001</v>
      </c>
      <c r="AN34" s="37" t="n">
        <v>94.2</v>
      </c>
      <c r="AO34" s="37" t="n">
        <v>141.3</v>
      </c>
      <c r="AP34" s="37" t="n">
        <v>282.6</v>
      </c>
    </row>
    <row r="35">
      <c r="A35" s="5" t="inlineStr">
        <is>
          <t>P29</t>
        </is>
      </c>
      <c r="B35" s="5" t="inlineStr">
        <is>
          <t>Karitel</t>
        </is>
      </c>
      <c r="C35" s="37" t="n">
        <v>5.14</v>
      </c>
      <c r="D35" s="37" t="n">
        <v>5.410526315789474</v>
      </c>
      <c r="E35" s="37" t="n">
        <v>5.71111111111111</v>
      </c>
      <c r="F35" s="37" t="n">
        <v>6.047058823529412</v>
      </c>
      <c r="G35" s="37" t="n">
        <v>6.424999999999999</v>
      </c>
      <c r="H35" s="37" t="n">
        <v>6.853333333333333</v>
      </c>
      <c r="I35" s="37" t="n">
        <v>7.342857142857143</v>
      </c>
      <c r="J35" s="37" t="n">
        <v>7.907692307692307</v>
      </c>
      <c r="K35" s="37" t="n">
        <v>8.566666666666666</v>
      </c>
      <c r="L35" s="37" t="n">
        <v>9.345454545454544</v>
      </c>
      <c r="M35" s="37" t="n">
        <v>10.28</v>
      </c>
      <c r="N35" s="37" t="n">
        <v>11.42222222222222</v>
      </c>
      <c r="O35" s="37" t="n">
        <v>12.85</v>
      </c>
      <c r="P35" s="37" t="n">
        <v>14.68571428571429</v>
      </c>
      <c r="Q35" s="37" t="n">
        <v>17.13333333333333</v>
      </c>
      <c r="R35" s="37" t="n">
        <v>20.56</v>
      </c>
      <c r="S35" s="37" t="n">
        <v>25.7</v>
      </c>
      <c r="T35" s="37" t="n">
        <v>34.26666666666667</v>
      </c>
      <c r="U35" s="37" t="n">
        <v>51.39999999999999</v>
      </c>
      <c r="V35" s="37" t="n">
        <v>102.8</v>
      </c>
      <c r="W35" s="37" t="n">
        <v>10.79</v>
      </c>
      <c r="X35" s="37" t="n">
        <v>11.35789473684211</v>
      </c>
      <c r="Y35" s="37" t="n">
        <v>11.98888888888889</v>
      </c>
      <c r="Z35" s="37" t="n">
        <v>12.69411764705882</v>
      </c>
      <c r="AA35" s="37" t="n">
        <v>13.4875</v>
      </c>
      <c r="AB35" s="37" t="n">
        <v>14.38666666666666</v>
      </c>
      <c r="AC35" s="37" t="n">
        <v>15.41428571428571</v>
      </c>
      <c r="AD35" s="37" t="n">
        <v>16.6</v>
      </c>
      <c r="AE35" s="37" t="n">
        <v>17.98333333333333</v>
      </c>
      <c r="AF35" s="37" t="n">
        <v>19.61818181818181</v>
      </c>
      <c r="AG35" s="37" t="n">
        <v>21.58</v>
      </c>
      <c r="AH35" s="37" t="n">
        <v>23.97777777777777</v>
      </c>
      <c r="AI35" s="37" t="n">
        <v>26.975</v>
      </c>
      <c r="AJ35" s="37" t="n">
        <v>30.82857142857143</v>
      </c>
      <c r="AK35" s="37" t="n">
        <v>35.96666666666667</v>
      </c>
      <c r="AL35" s="37" t="n">
        <v>43.16</v>
      </c>
      <c r="AM35" s="37" t="n">
        <v>53.95</v>
      </c>
      <c r="AN35" s="37" t="n">
        <v>71.93333333333334</v>
      </c>
      <c r="AO35" s="37" t="n">
        <v>107.9</v>
      </c>
      <c r="AP35" s="37" t="n">
        <v>215.8</v>
      </c>
    </row>
    <row r="36">
      <c r="A36" s="5" t="inlineStr">
        <is>
          <t>P30</t>
        </is>
      </c>
      <c r="B36" s="5" t="inlineStr">
        <is>
          <t>Karitel</t>
        </is>
      </c>
      <c r="C36" s="37" t="n">
        <v>6.36</v>
      </c>
      <c r="D36" s="37" t="n">
        <v>6.694736842105264</v>
      </c>
      <c r="E36" s="37" t="n">
        <v>7.066666666666666</v>
      </c>
      <c r="F36" s="37" t="n">
        <v>7.482352941176472</v>
      </c>
      <c r="G36" s="37" t="n">
        <v>7.95</v>
      </c>
      <c r="H36" s="37" t="n">
        <v>8.48</v>
      </c>
      <c r="I36" s="37" t="n">
        <v>9.085714285714287</v>
      </c>
      <c r="J36" s="37" t="n">
        <v>9.784615384615385</v>
      </c>
      <c r="K36" s="37" t="n">
        <v>10.6</v>
      </c>
      <c r="L36" s="37" t="n">
        <v>11.56363636363636</v>
      </c>
      <c r="M36" s="37" t="n">
        <v>12.72</v>
      </c>
      <c r="N36" s="37" t="n">
        <v>14.13333333333333</v>
      </c>
      <c r="O36" s="37" t="n">
        <v>15.9</v>
      </c>
      <c r="P36" s="37" t="n">
        <v>18.17142857142857</v>
      </c>
      <c r="Q36" s="37" t="n">
        <v>21.2</v>
      </c>
      <c r="R36" s="37" t="n">
        <v>25.44</v>
      </c>
      <c r="S36" s="37" t="n">
        <v>31.8</v>
      </c>
      <c r="T36" s="37" t="n">
        <v>42.40000000000001</v>
      </c>
      <c r="U36" s="37" t="n">
        <v>63.6</v>
      </c>
      <c r="V36" s="37" t="n">
        <v>127.2</v>
      </c>
      <c r="W36" s="37" t="n">
        <v>15.11</v>
      </c>
      <c r="X36" s="37" t="n">
        <v>15.90526315789474</v>
      </c>
      <c r="Y36" s="37" t="n">
        <v>16.78888888888889</v>
      </c>
      <c r="Z36" s="37" t="n">
        <v>17.77647058823529</v>
      </c>
      <c r="AA36" s="37" t="n">
        <v>18.8875</v>
      </c>
      <c r="AB36" s="37" t="n">
        <v>20.14666666666666</v>
      </c>
      <c r="AC36" s="37" t="n">
        <v>21.58571428571429</v>
      </c>
      <c r="AD36" s="37" t="n">
        <v>23.24615384615385</v>
      </c>
      <c r="AE36" s="37" t="n">
        <v>25.18333333333333</v>
      </c>
      <c r="AF36" s="37" t="n">
        <v>27.47272727272727</v>
      </c>
      <c r="AG36" s="37" t="n">
        <v>30.22</v>
      </c>
      <c r="AH36" s="37" t="n">
        <v>33.57777777777778</v>
      </c>
      <c r="AI36" s="37" t="n">
        <v>37.775</v>
      </c>
      <c r="AJ36" s="37" t="n">
        <v>43.17142857142857</v>
      </c>
      <c r="AK36" s="37" t="n">
        <v>50.36666666666667</v>
      </c>
      <c r="AL36" s="37" t="n">
        <v>60.44</v>
      </c>
      <c r="AM36" s="37" t="n">
        <v>75.55</v>
      </c>
      <c r="AN36" s="37" t="n">
        <v>100.7333333333333</v>
      </c>
      <c r="AO36" s="37" t="n">
        <v>151.1</v>
      </c>
      <c r="AP36" s="37" t="n">
        <v>302.2</v>
      </c>
    </row>
    <row r="37">
      <c r="A37" s="5" t="inlineStr">
        <is>
          <t>P31</t>
        </is>
      </c>
      <c r="B37" s="5" t="inlineStr">
        <is>
          <t>Karitel</t>
        </is>
      </c>
      <c r="C37" s="37" t="n">
        <v>6.42</v>
      </c>
      <c r="D37" s="37" t="n">
        <v>6.757894736842106</v>
      </c>
      <c r="E37" s="37" t="n">
        <v>7.133333333333333</v>
      </c>
      <c r="F37" s="37" t="n">
        <v>7.552941176470588</v>
      </c>
      <c r="G37" s="37" t="n">
        <v>8.024999999999999</v>
      </c>
      <c r="H37" s="37" t="n">
        <v>8.56</v>
      </c>
      <c r="I37" s="37" t="n">
        <v>9.171428571428573</v>
      </c>
      <c r="J37" s="37" t="n">
        <v>9.876923076923077</v>
      </c>
      <c r="K37" s="37" t="n">
        <v>10.7</v>
      </c>
      <c r="L37" s="37" t="n">
        <v>11.67272727272727</v>
      </c>
      <c r="M37" s="37" t="n">
        <v>12.84</v>
      </c>
      <c r="N37" s="37" t="n">
        <v>14.26666666666667</v>
      </c>
      <c r="O37" s="37" t="n">
        <v>16.05</v>
      </c>
      <c r="P37" s="37" t="n">
        <v>18.34285714285715</v>
      </c>
      <c r="Q37" s="37" t="n">
        <v>21.4</v>
      </c>
      <c r="R37" s="37" t="n">
        <v>25.68</v>
      </c>
      <c r="S37" s="37" t="n">
        <v>32.09999999999999</v>
      </c>
      <c r="T37" s="37" t="n">
        <v>42.8</v>
      </c>
      <c r="U37" s="37" t="n">
        <v>64.19999999999999</v>
      </c>
      <c r="V37" s="37" t="n">
        <v>128.4</v>
      </c>
      <c r="W37" s="37" t="n">
        <v>15.11</v>
      </c>
      <c r="X37" s="37" t="n">
        <v>15.90526315789474</v>
      </c>
      <c r="Y37" s="37" t="n">
        <v>16.78888888888889</v>
      </c>
      <c r="Z37" s="37" t="n">
        <v>17.77647058823529</v>
      </c>
      <c r="AA37" s="37" t="n">
        <v>18.8875</v>
      </c>
      <c r="AB37" s="37" t="n">
        <v>20.14666666666666</v>
      </c>
      <c r="AC37" s="37" t="n">
        <v>21.58571428571429</v>
      </c>
      <c r="AD37" s="37" t="n">
        <v>23.24615384615385</v>
      </c>
      <c r="AE37" s="37" t="n">
        <v>25.18333333333333</v>
      </c>
      <c r="AF37" s="37" t="n">
        <v>27.47272727272727</v>
      </c>
      <c r="AG37" s="37" t="n">
        <v>30.22</v>
      </c>
      <c r="AH37" s="37" t="n">
        <v>33.57777777777778</v>
      </c>
      <c r="AI37" s="37" t="n">
        <v>37.775</v>
      </c>
      <c r="AJ37" s="37" t="n">
        <v>43.17142857142857</v>
      </c>
      <c r="AK37" s="37" t="n">
        <v>50.36666666666667</v>
      </c>
      <c r="AL37" s="37" t="n">
        <v>60.44</v>
      </c>
      <c r="AM37" s="37" t="n">
        <v>75.55</v>
      </c>
      <c r="AN37" s="37" t="n">
        <v>100.7333333333333</v>
      </c>
      <c r="AO37" s="37" t="n">
        <v>151.1</v>
      </c>
      <c r="AP37" s="37" t="n">
        <v>302.2</v>
      </c>
    </row>
    <row r="38">
      <c r="A38" s="5" t="inlineStr">
        <is>
          <t>P32</t>
        </is>
      </c>
      <c r="B38" s="5" t="inlineStr">
        <is>
          <t>Karitel</t>
        </is>
      </c>
      <c r="C38" s="37" t="n">
        <v>6.695</v>
      </c>
      <c r="D38" s="37" t="n">
        <v>7.047368421052632</v>
      </c>
      <c r="E38" s="37" t="n">
        <v>7.438888888888889</v>
      </c>
      <c r="F38" s="37" t="n">
        <v>7.876470588235295</v>
      </c>
      <c r="G38" s="37" t="n">
        <v>8.36875</v>
      </c>
      <c r="H38" s="37" t="n">
        <v>8.926666666666668</v>
      </c>
      <c r="I38" s="37" t="n">
        <v>9.564285714285715</v>
      </c>
      <c r="J38" s="37" t="n">
        <v>10.3</v>
      </c>
      <c r="K38" s="37" t="n">
        <v>11.15833333333333</v>
      </c>
      <c r="L38" s="37" t="n">
        <v>12.17272727272727</v>
      </c>
      <c r="M38" s="37" t="n">
        <v>13.39</v>
      </c>
      <c r="N38" s="37" t="n">
        <v>14.87777777777778</v>
      </c>
      <c r="O38" s="37" t="n">
        <v>16.7375</v>
      </c>
      <c r="P38" s="37" t="n">
        <v>19.12857142857143</v>
      </c>
      <c r="Q38" s="37" t="n">
        <v>22.31666666666667</v>
      </c>
      <c r="R38" s="37" t="n">
        <v>26.78</v>
      </c>
      <c r="S38" s="37" t="n">
        <v>33.475</v>
      </c>
      <c r="T38" s="37" t="n">
        <v>44.63333333333334</v>
      </c>
      <c r="U38" s="37" t="n">
        <v>66.95</v>
      </c>
      <c r="V38" s="37" t="n">
        <v>133.9</v>
      </c>
      <c r="W38" s="37" t="n">
        <v>14.5</v>
      </c>
      <c r="X38" s="37" t="n">
        <v>15.26315789473684</v>
      </c>
      <c r="Y38" s="37" t="n">
        <v>16.11111111111111</v>
      </c>
      <c r="Z38" s="37" t="n">
        <v>17.05882352941176</v>
      </c>
      <c r="AA38" s="37" t="n">
        <v>18.125</v>
      </c>
      <c r="AB38" s="37" t="n">
        <v>19.33333333333333</v>
      </c>
      <c r="AC38" s="37" t="n">
        <v>20.71428571428572</v>
      </c>
      <c r="AD38" s="37" t="n">
        <v>22.30769230769231</v>
      </c>
      <c r="AE38" s="37" t="n">
        <v>24.16666666666667</v>
      </c>
      <c r="AF38" s="37" t="n">
        <v>26.36363636363636</v>
      </c>
      <c r="AG38" s="37" t="n">
        <v>29</v>
      </c>
      <c r="AH38" s="37" t="n">
        <v>32.22222222222221</v>
      </c>
      <c r="AI38" s="37" t="n">
        <v>36.25</v>
      </c>
      <c r="AJ38" s="37" t="n">
        <v>41.42857142857142</v>
      </c>
      <c r="AK38" s="37" t="n">
        <v>48.33333333333334</v>
      </c>
      <c r="AL38" s="37" t="n">
        <v>57.99999999999999</v>
      </c>
      <c r="AM38" s="37" t="n">
        <v>72.5</v>
      </c>
      <c r="AN38" s="37" t="n">
        <v>96.66666666666664</v>
      </c>
      <c r="AO38" s="37" t="n">
        <v>145</v>
      </c>
      <c r="AP38" s="37" t="n">
        <v>289.9999999999999</v>
      </c>
    </row>
    <row r="39">
      <c r="A39" s="5" t="inlineStr">
        <is>
          <t>P33</t>
        </is>
      </c>
      <c r="B39" s="5" t="inlineStr">
        <is>
          <t>Karitel</t>
        </is>
      </c>
      <c r="C39" s="37" t="n">
        <v>6</v>
      </c>
      <c r="D39" s="37" t="n">
        <v>6.315789473684211</v>
      </c>
      <c r="E39" s="37" t="n">
        <v>6.666666666666666</v>
      </c>
      <c r="F39" s="37" t="n">
        <v>7.058823529411764</v>
      </c>
      <c r="G39" s="37" t="n">
        <v>7.5</v>
      </c>
      <c r="H39" s="37" t="n">
        <v>8</v>
      </c>
      <c r="I39" s="37" t="n">
        <v>8.571428571428571</v>
      </c>
      <c r="J39" s="37" t="n">
        <v>9.23076923076923</v>
      </c>
      <c r="K39" s="37" t="n">
        <v>10</v>
      </c>
      <c r="L39" s="37" t="n">
        <v>10.90909090909091</v>
      </c>
      <c r="M39" s="37" t="n">
        <v>12</v>
      </c>
      <c r="N39" s="37" t="n">
        <v>13.33333333333333</v>
      </c>
      <c r="O39" s="37" t="n">
        <v>15</v>
      </c>
      <c r="P39" s="37" t="n">
        <v>17.14285714285714</v>
      </c>
      <c r="Q39" s="37" t="n">
        <v>20</v>
      </c>
      <c r="R39" s="37" t="n">
        <v>24</v>
      </c>
      <c r="S39" s="37" t="n">
        <v>30</v>
      </c>
      <c r="T39" s="37" t="n">
        <v>40</v>
      </c>
      <c r="U39" s="37" t="n">
        <v>60</v>
      </c>
      <c r="V39" s="37" t="n">
        <v>120</v>
      </c>
      <c r="W39" s="37" t="n">
        <v>14.18</v>
      </c>
      <c r="X39" s="37" t="n">
        <v>14.92631578947369</v>
      </c>
      <c r="Y39" s="37" t="n">
        <v>15.75555555555555</v>
      </c>
      <c r="Z39" s="37" t="n">
        <v>16.68235294117647</v>
      </c>
      <c r="AA39" s="37" t="n">
        <v>17.725</v>
      </c>
      <c r="AB39" s="37" t="n">
        <v>18.90666666666667</v>
      </c>
      <c r="AC39" s="37" t="n">
        <v>20.25714285714286</v>
      </c>
      <c r="AD39" s="37" t="n">
        <v>21.81538461538461</v>
      </c>
      <c r="AE39" s="37" t="n">
        <v>23.63333333333333</v>
      </c>
      <c r="AF39" s="37" t="n">
        <v>25.78181818181818</v>
      </c>
      <c r="AG39" s="37" t="n">
        <v>28.36</v>
      </c>
      <c r="AH39" s="37" t="n">
        <v>31.51111111111111</v>
      </c>
      <c r="AI39" s="37" t="n">
        <v>35.45</v>
      </c>
      <c r="AJ39" s="37" t="n">
        <v>40.51428571428572</v>
      </c>
      <c r="AK39" s="37" t="n">
        <v>47.26666666666667</v>
      </c>
      <c r="AL39" s="37" t="n">
        <v>56.72000000000001</v>
      </c>
      <c r="AM39" s="37" t="n">
        <v>70.89999999999999</v>
      </c>
      <c r="AN39" s="37" t="n">
        <v>94.53333333333335</v>
      </c>
      <c r="AO39" s="37" t="n">
        <v>141.8</v>
      </c>
      <c r="AP39" s="37" t="n">
        <v>283.6</v>
      </c>
    </row>
    <row r="40">
      <c r="A40" s="5" t="inlineStr">
        <is>
          <t>P34</t>
        </is>
      </c>
      <c r="B40" s="5" t="inlineStr">
        <is>
          <t>Karitel</t>
        </is>
      </c>
      <c r="C40" s="37" t="n">
        <v>6.72</v>
      </c>
      <c r="D40" s="37" t="n">
        <v>7.073684210526316</v>
      </c>
      <c r="E40" s="37" t="n">
        <v>7.466666666666666</v>
      </c>
      <c r="F40" s="37" t="n">
        <v>7.905882352941177</v>
      </c>
      <c r="G40" s="37" t="n">
        <v>8.399999999999999</v>
      </c>
      <c r="H40" s="37" t="n">
        <v>8.959999999999999</v>
      </c>
      <c r="I40" s="37" t="n">
        <v>9.6</v>
      </c>
      <c r="J40" s="37" t="n">
        <v>10.33846153846154</v>
      </c>
      <c r="K40" s="37" t="n">
        <v>11.2</v>
      </c>
      <c r="L40" s="37" t="n">
        <v>12.21818181818182</v>
      </c>
      <c r="M40" s="37" t="n">
        <v>13.44</v>
      </c>
      <c r="N40" s="37" t="n">
        <v>14.93333333333333</v>
      </c>
      <c r="O40" s="37" t="n">
        <v>16.8</v>
      </c>
      <c r="P40" s="37" t="n">
        <v>19.2</v>
      </c>
      <c r="Q40" s="37" t="n">
        <v>22.4</v>
      </c>
      <c r="R40" s="37" t="n">
        <v>26.88</v>
      </c>
      <c r="S40" s="37" t="n">
        <v>33.59999999999999</v>
      </c>
      <c r="T40" s="37" t="n">
        <v>44.8</v>
      </c>
      <c r="U40" s="37" t="n">
        <v>67.19999999999999</v>
      </c>
      <c r="V40" s="37" t="n">
        <v>134.4</v>
      </c>
      <c r="W40" s="37" t="n">
        <v>15.11</v>
      </c>
      <c r="X40" s="37" t="n">
        <v>15.90526315789474</v>
      </c>
      <c r="Y40" s="37" t="n">
        <v>16.78888888888889</v>
      </c>
      <c r="Z40" s="37" t="n">
        <v>17.77647058823529</v>
      </c>
      <c r="AA40" s="37" t="n">
        <v>18.8875</v>
      </c>
      <c r="AB40" s="37" t="n">
        <v>20.14666666666666</v>
      </c>
      <c r="AC40" s="37" t="n">
        <v>21.58571428571429</v>
      </c>
      <c r="AD40" s="37" t="n">
        <v>23.24615384615385</v>
      </c>
      <c r="AE40" s="37" t="n">
        <v>25.18333333333333</v>
      </c>
      <c r="AF40" s="37" t="n">
        <v>27.47272727272727</v>
      </c>
      <c r="AG40" s="37" t="n">
        <v>30.22</v>
      </c>
      <c r="AH40" s="37" t="n">
        <v>33.57777777777778</v>
      </c>
      <c r="AI40" s="37" t="n">
        <v>37.775</v>
      </c>
      <c r="AJ40" s="37" t="n">
        <v>43.17142857142857</v>
      </c>
      <c r="AK40" s="37" t="n">
        <v>50.36666666666667</v>
      </c>
      <c r="AL40" s="37" t="n">
        <v>60.44</v>
      </c>
      <c r="AM40" s="37" t="n">
        <v>75.55</v>
      </c>
      <c r="AN40" s="37" t="n">
        <v>100.7333333333333</v>
      </c>
      <c r="AO40" s="37" t="n">
        <v>151.1</v>
      </c>
      <c r="AP40" s="37" t="n">
        <v>302.2</v>
      </c>
    </row>
    <row r="41">
      <c r="A41" s="5" t="inlineStr">
        <is>
          <t>P35</t>
        </is>
      </c>
      <c r="B41" s="5" t="inlineStr">
        <is>
          <t>Karitel</t>
        </is>
      </c>
      <c r="C41" s="37" t="n">
        <v>7.08</v>
      </c>
      <c r="D41" s="37" t="n">
        <v>7.452631578947368</v>
      </c>
      <c r="E41" s="37" t="n">
        <v>7.866666666666666</v>
      </c>
      <c r="F41" s="37" t="n">
        <v>8.329411764705883</v>
      </c>
      <c r="G41" s="37" t="n">
        <v>8.85</v>
      </c>
      <c r="H41" s="37" t="n">
        <v>9.44</v>
      </c>
      <c r="I41" s="37" t="n">
        <v>10.11428571428572</v>
      </c>
      <c r="J41" s="37" t="n">
        <v>10.89230769230769</v>
      </c>
      <c r="K41" s="37" t="n">
        <v>11.8</v>
      </c>
      <c r="L41" s="37" t="n">
        <v>12.87272727272727</v>
      </c>
      <c r="M41" s="37" t="n">
        <v>14.16</v>
      </c>
      <c r="N41" s="37" t="n">
        <v>15.73333333333333</v>
      </c>
      <c r="O41" s="37" t="n">
        <v>17.7</v>
      </c>
      <c r="P41" s="37" t="n">
        <v>20.22857142857143</v>
      </c>
      <c r="Q41" s="37" t="n">
        <v>23.6</v>
      </c>
      <c r="R41" s="37" t="n">
        <v>28.32</v>
      </c>
      <c r="S41" s="37" t="n">
        <v>35.4</v>
      </c>
      <c r="T41" s="37" t="n">
        <v>47.2</v>
      </c>
      <c r="U41" s="37" t="n">
        <v>70.8</v>
      </c>
      <c r="V41" s="37" t="n">
        <v>141.6</v>
      </c>
      <c r="W41" s="37" t="n">
        <v>15.58</v>
      </c>
      <c r="X41" s="37" t="n">
        <v>16.4</v>
      </c>
      <c r="Y41" s="37" t="n">
        <v>17.31111111111111</v>
      </c>
      <c r="Z41" s="37" t="n">
        <v>18.32941176470588</v>
      </c>
      <c r="AA41" s="37" t="n">
        <v>19.475</v>
      </c>
      <c r="AB41" s="37" t="n">
        <v>20.77333333333333</v>
      </c>
      <c r="AC41" s="37" t="n">
        <v>22.25714285714286</v>
      </c>
      <c r="AD41" s="37" t="n">
        <v>23.96923076923077</v>
      </c>
      <c r="AE41" s="37" t="n">
        <v>25.96666666666667</v>
      </c>
      <c r="AF41" s="37" t="n">
        <v>28.32727272727272</v>
      </c>
      <c r="AG41" s="37" t="n">
        <v>31.16</v>
      </c>
      <c r="AH41" s="37" t="n">
        <v>34.62222222222222</v>
      </c>
      <c r="AI41" s="37" t="n">
        <v>38.95</v>
      </c>
      <c r="AJ41" s="37" t="n">
        <v>44.51428571428572</v>
      </c>
      <c r="AK41" s="37" t="n">
        <v>51.93333333333334</v>
      </c>
      <c r="AL41" s="37" t="n">
        <v>62.32</v>
      </c>
      <c r="AM41" s="37" t="n">
        <v>77.89999999999999</v>
      </c>
      <c r="AN41" s="37" t="n">
        <v>103.8666666666667</v>
      </c>
      <c r="AO41" s="37" t="n">
        <v>155.8</v>
      </c>
      <c r="AP41" s="37" t="n">
        <v>311.6</v>
      </c>
    </row>
    <row r="42">
      <c r="A42" s="5" t="inlineStr">
        <is>
          <t>P36</t>
        </is>
      </c>
      <c r="B42" s="5" t="inlineStr">
        <is>
          <t>Karitel</t>
        </is>
      </c>
      <c r="C42" s="37" t="n">
        <v>7.14</v>
      </c>
      <c r="D42" s="37" t="n">
        <v>7.515789473684211</v>
      </c>
      <c r="E42" s="37" t="n">
        <v>7.933333333333333</v>
      </c>
      <c r="F42" s="37" t="n">
        <v>8.4</v>
      </c>
      <c r="G42" s="37" t="n">
        <v>8.924999999999999</v>
      </c>
      <c r="H42" s="37" t="n">
        <v>9.52</v>
      </c>
      <c r="I42" s="37" t="n">
        <v>10.2</v>
      </c>
      <c r="J42" s="37" t="n">
        <v>10.98461538461538</v>
      </c>
      <c r="K42" s="37" t="n">
        <v>11.9</v>
      </c>
      <c r="L42" s="37" t="n">
        <v>12.98181818181818</v>
      </c>
      <c r="M42" s="37" t="n">
        <v>14.28</v>
      </c>
      <c r="N42" s="37" t="n">
        <v>15.86666666666667</v>
      </c>
      <c r="O42" s="37" t="n">
        <v>17.85</v>
      </c>
      <c r="P42" s="37" t="n">
        <v>20.4</v>
      </c>
      <c r="Q42" s="37" t="n">
        <v>23.8</v>
      </c>
      <c r="R42" s="37" t="n">
        <v>28.56</v>
      </c>
      <c r="S42" s="37" t="n">
        <v>35.7</v>
      </c>
      <c r="T42" s="37" t="n">
        <v>47.6</v>
      </c>
      <c r="U42" s="37" t="n">
        <v>71.39999999999999</v>
      </c>
      <c r="V42" s="37" t="n">
        <v>142.8</v>
      </c>
      <c r="W42" s="37" t="n">
        <v>15.58</v>
      </c>
      <c r="X42" s="37" t="n">
        <v>16.4</v>
      </c>
      <c r="Y42" s="37" t="n">
        <v>17.31111111111111</v>
      </c>
      <c r="Z42" s="37" t="n">
        <v>18.32941176470588</v>
      </c>
      <c r="AA42" s="37" t="n">
        <v>19.475</v>
      </c>
      <c r="AB42" s="37" t="n">
        <v>20.77333333333333</v>
      </c>
      <c r="AC42" s="37" t="n">
        <v>22.25714285714286</v>
      </c>
      <c r="AD42" s="37" t="n">
        <v>23.96923076923077</v>
      </c>
      <c r="AE42" s="37" t="n">
        <v>25.96666666666667</v>
      </c>
      <c r="AF42" s="37" t="n">
        <v>28.32727272727272</v>
      </c>
      <c r="AG42" s="37" t="n">
        <v>31.16</v>
      </c>
      <c r="AH42" s="37" t="n">
        <v>34.62222222222222</v>
      </c>
      <c r="AI42" s="37" t="n">
        <v>38.95</v>
      </c>
      <c r="AJ42" s="37" t="n">
        <v>44.51428571428572</v>
      </c>
      <c r="AK42" s="37" t="n">
        <v>51.93333333333334</v>
      </c>
      <c r="AL42" s="37" t="n">
        <v>62.32</v>
      </c>
      <c r="AM42" s="37" t="n">
        <v>77.89999999999999</v>
      </c>
      <c r="AN42" s="37" t="n">
        <v>103.8666666666667</v>
      </c>
      <c r="AO42" s="37" t="n">
        <v>155.8</v>
      </c>
      <c r="AP42" s="37" t="n">
        <v>311.6</v>
      </c>
    </row>
    <row r="43">
      <c r="A43" s="5" t="inlineStr">
        <is>
          <t>P37</t>
        </is>
      </c>
      <c r="B43" s="5" t="inlineStr">
        <is>
          <t>Karitel</t>
        </is>
      </c>
      <c r="C43" s="37" t="n">
        <v>8.640000000000001</v>
      </c>
      <c r="D43" s="37" t="n">
        <v>9.094736842105265</v>
      </c>
      <c r="E43" s="37" t="n">
        <v>9.6</v>
      </c>
      <c r="F43" s="37" t="n">
        <v>10.16470588235294</v>
      </c>
      <c r="G43" s="37" t="n">
        <v>10.8</v>
      </c>
      <c r="H43" s="37" t="n">
        <v>12.12631578947369</v>
      </c>
      <c r="I43" s="37" t="n">
        <v>12.34285714285715</v>
      </c>
      <c r="J43" s="37" t="n">
        <v>13.29230769230769</v>
      </c>
      <c r="K43" s="37" t="n">
        <v>14.4</v>
      </c>
      <c r="L43" s="37" t="n">
        <v>15.70909090909091</v>
      </c>
      <c r="M43" s="37" t="n">
        <v>17.28</v>
      </c>
      <c r="N43" s="37" t="n">
        <v>19.2</v>
      </c>
      <c r="O43" s="37" t="n">
        <v>21.6</v>
      </c>
      <c r="P43" s="37" t="n">
        <v>24.68571428571429</v>
      </c>
      <c r="Q43" s="37" t="n">
        <v>28.8</v>
      </c>
      <c r="R43" s="37" t="n">
        <v>34.56</v>
      </c>
      <c r="S43" s="37" t="n">
        <v>43.2</v>
      </c>
      <c r="T43" s="37" t="n">
        <v>57.60000000000001</v>
      </c>
      <c r="U43" s="37" t="n">
        <v>86.40000000000001</v>
      </c>
      <c r="V43" s="37" t="n">
        <v>172.8</v>
      </c>
      <c r="W43" s="37" t="n">
        <v>10.61</v>
      </c>
      <c r="X43" s="37" t="n">
        <v>11.16842105263158</v>
      </c>
      <c r="Y43" s="37" t="n">
        <v>11.78888888888889</v>
      </c>
      <c r="Z43" s="37" t="n">
        <v>12.48235294117647</v>
      </c>
      <c r="AA43" s="37" t="n">
        <v>13.2625</v>
      </c>
      <c r="AB43" s="37" t="n">
        <v>14.14666666666667</v>
      </c>
      <c r="AC43" s="37" t="n">
        <v>15.15714285714286</v>
      </c>
      <c r="AD43" s="37" t="n">
        <v>16.32307692307692</v>
      </c>
      <c r="AE43" s="37" t="n">
        <v>17.68333333333333</v>
      </c>
      <c r="AF43" s="37" t="n">
        <v>19.29090909090909</v>
      </c>
      <c r="AG43" s="37" t="n">
        <v>21.22</v>
      </c>
      <c r="AH43" s="37" t="n">
        <v>23.57777777777778</v>
      </c>
      <c r="AI43" s="37" t="n">
        <v>26.525</v>
      </c>
      <c r="AJ43" s="37" t="n">
        <v>30.31428571428571</v>
      </c>
      <c r="AK43" s="37" t="n">
        <v>35.36666666666667</v>
      </c>
      <c r="AL43" s="37" t="n">
        <v>42.44</v>
      </c>
      <c r="AM43" s="37" t="n">
        <v>53.05</v>
      </c>
      <c r="AN43" s="37" t="n">
        <v>70.73333333333333</v>
      </c>
      <c r="AO43" s="37" t="n">
        <v>106.1</v>
      </c>
      <c r="AP43" s="37" t="n">
        <v>212.2</v>
      </c>
    </row>
    <row r="44">
      <c r="A44" s="5" t="inlineStr">
        <is>
          <t>P38</t>
        </is>
      </c>
      <c r="B44" s="5" t="inlineStr">
        <is>
          <t>Karitel</t>
        </is>
      </c>
      <c r="C44" s="37" t="n">
        <v>7.91</v>
      </c>
      <c r="D44" s="37" t="n">
        <v>8.326315789473684</v>
      </c>
      <c r="E44" s="37" t="n">
        <v>8.78888888888889</v>
      </c>
      <c r="F44" s="37" t="n">
        <v>9.305882352941177</v>
      </c>
      <c r="G44" s="37" t="n">
        <v>9.887499999999999</v>
      </c>
      <c r="H44" s="37" t="n">
        <v>10.54666666666667</v>
      </c>
      <c r="I44" s="37" t="n">
        <v>11.3</v>
      </c>
      <c r="J44" s="37" t="n">
        <v>12.16923076923077</v>
      </c>
      <c r="K44" s="37" t="n">
        <v>13.18333333333333</v>
      </c>
      <c r="L44" s="37" t="n">
        <v>14.38181818181818</v>
      </c>
      <c r="M44" s="37" t="n">
        <v>15.82</v>
      </c>
      <c r="N44" s="37" t="n">
        <v>17.57777777777778</v>
      </c>
      <c r="O44" s="37" t="n">
        <v>19.775</v>
      </c>
      <c r="P44" s="37" t="n">
        <v>22.6</v>
      </c>
      <c r="Q44" s="37" t="n">
        <v>26.36666666666667</v>
      </c>
      <c r="R44" s="37" t="n">
        <v>31.64</v>
      </c>
      <c r="S44" s="37" t="n">
        <v>39.55</v>
      </c>
      <c r="T44" s="37" t="n">
        <v>52.73333333333333</v>
      </c>
      <c r="U44" s="37" t="n">
        <v>79.09999999999999</v>
      </c>
      <c r="V44" s="37" t="n">
        <v>158.2</v>
      </c>
      <c r="W44" s="37" t="n">
        <v>14.5</v>
      </c>
      <c r="X44" s="37" t="n">
        <v>15.26315789473684</v>
      </c>
      <c r="Y44" s="37" t="n">
        <v>16.11111111111111</v>
      </c>
      <c r="Z44" s="37" t="n">
        <v>17.05882352941176</v>
      </c>
      <c r="AA44" s="37" t="n">
        <v>18.125</v>
      </c>
      <c r="AB44" s="37" t="n">
        <v>19.33333333333333</v>
      </c>
      <c r="AC44" s="37" t="n">
        <v>20.71428571428572</v>
      </c>
      <c r="AD44" s="37" t="n">
        <v>22.30769230769231</v>
      </c>
      <c r="AE44" s="37" t="n">
        <v>24.16666666666667</v>
      </c>
      <c r="AF44" s="37" t="n">
        <v>26.36363636363636</v>
      </c>
      <c r="AG44" s="37" t="n">
        <v>29</v>
      </c>
      <c r="AH44" s="37" t="n">
        <v>32.22222222222221</v>
      </c>
      <c r="AI44" s="37" t="n">
        <v>36.25</v>
      </c>
      <c r="AJ44" s="37" t="n">
        <v>41.42857142857142</v>
      </c>
      <c r="AK44" s="37" t="n">
        <v>48.33333333333334</v>
      </c>
      <c r="AL44" s="37" t="n">
        <v>57.99999999999999</v>
      </c>
      <c r="AM44" s="37" t="n">
        <v>72.5</v>
      </c>
      <c r="AN44" s="37" t="n">
        <v>96.66666666666664</v>
      </c>
      <c r="AO44" s="37" t="n">
        <v>145</v>
      </c>
      <c r="AP44" s="37" t="n">
        <v>289.9999999999999</v>
      </c>
    </row>
    <row r="45">
      <c r="A45" s="5" t="inlineStr">
        <is>
          <t>P39</t>
        </is>
      </c>
      <c r="B45" s="5" t="inlineStr">
        <is>
          <t>Karitel</t>
        </is>
      </c>
      <c r="C45" s="37" t="n">
        <v>5.76</v>
      </c>
      <c r="D45" s="37" t="n">
        <v>6.063157894736842</v>
      </c>
      <c r="E45" s="37" t="n">
        <v>6.399999999999999</v>
      </c>
      <c r="F45" s="37" t="n">
        <v>6.776470588235294</v>
      </c>
      <c r="G45" s="37" t="n">
        <v>7.199999999999999</v>
      </c>
      <c r="H45" s="37" t="n">
        <v>7.68</v>
      </c>
      <c r="I45" s="37" t="n">
        <v>8.22857142857143</v>
      </c>
      <c r="J45" s="37" t="n">
        <v>8.86153846153846</v>
      </c>
      <c r="K45" s="37" t="n">
        <v>9.6</v>
      </c>
      <c r="L45" s="37" t="n">
        <v>10.47272727272727</v>
      </c>
      <c r="M45" s="37" t="n">
        <v>11.52</v>
      </c>
      <c r="N45" s="37" t="n">
        <v>12.8</v>
      </c>
      <c r="O45" s="37" t="n">
        <v>14.4</v>
      </c>
      <c r="P45" s="37" t="n">
        <v>16.45714285714286</v>
      </c>
      <c r="Q45" s="37" t="n">
        <v>19.2</v>
      </c>
      <c r="R45" s="37" t="n">
        <v>23.04</v>
      </c>
      <c r="S45" s="37" t="n">
        <v>28.8</v>
      </c>
      <c r="T45" s="37" t="n">
        <v>38.4</v>
      </c>
      <c r="U45" s="37" t="n">
        <v>57.59999999999999</v>
      </c>
      <c r="V45" s="37" t="n">
        <v>115.2</v>
      </c>
      <c r="W45" s="37" t="n">
        <v>12.62</v>
      </c>
      <c r="X45" s="37" t="n">
        <v>13.28421052631579</v>
      </c>
      <c r="Y45" s="37" t="n">
        <v>14.02222222222222</v>
      </c>
      <c r="Z45" s="37" t="n">
        <v>14.84705882352941</v>
      </c>
      <c r="AA45" s="37" t="n">
        <v>15.775</v>
      </c>
      <c r="AB45" s="37" t="n">
        <v>16.82666666666666</v>
      </c>
      <c r="AC45" s="37" t="n">
        <v>18.02857142857143</v>
      </c>
      <c r="AD45" s="37" t="n">
        <v>19.41538461538461</v>
      </c>
      <c r="AE45" s="37" t="n">
        <v>21.03333333333333</v>
      </c>
      <c r="AF45" s="37" t="n">
        <v>22.94545454545454</v>
      </c>
      <c r="AG45" s="37" t="n">
        <v>25.24</v>
      </c>
      <c r="AH45" s="37" t="n">
        <v>28.04444444444444</v>
      </c>
      <c r="AI45" s="37" t="n">
        <v>31.55</v>
      </c>
      <c r="AJ45" s="37" t="n">
        <v>36.05714285714286</v>
      </c>
      <c r="AK45" s="37" t="n">
        <v>42.06666666666666</v>
      </c>
      <c r="AL45" s="37" t="n">
        <v>50.48</v>
      </c>
      <c r="AM45" s="37" t="n">
        <v>63.09999999999999</v>
      </c>
      <c r="AN45" s="37" t="n">
        <v>84.13333333333333</v>
      </c>
      <c r="AO45" s="37" t="n">
        <v>126.2</v>
      </c>
      <c r="AP45" s="37" t="n">
        <v>252.4</v>
      </c>
    </row>
    <row r="46">
      <c r="A46" s="5" t="inlineStr">
        <is>
          <t>P40</t>
        </is>
      </c>
      <c r="B46" s="5" t="inlineStr">
        <is>
          <t>Karitel</t>
        </is>
      </c>
      <c r="C46" s="37" t="n">
        <v>7</v>
      </c>
      <c r="D46" s="37" t="n">
        <v>7.36842105263158</v>
      </c>
      <c r="E46" s="37" t="n">
        <v>7.777777777777778</v>
      </c>
      <c r="F46" s="37" t="n">
        <v>8.23529411764706</v>
      </c>
      <c r="G46" s="37" t="n">
        <v>8.75</v>
      </c>
      <c r="H46" s="37" t="n">
        <v>9.333333333333334</v>
      </c>
      <c r="I46" s="37" t="n">
        <v>10</v>
      </c>
      <c r="J46" s="37" t="n">
        <v>10.76923076923077</v>
      </c>
      <c r="K46" s="37" t="n">
        <v>11.66666666666667</v>
      </c>
      <c r="L46" s="37" t="n">
        <v>12.72727272727273</v>
      </c>
      <c r="M46" s="37" t="n">
        <v>14</v>
      </c>
      <c r="N46" s="37" t="n">
        <v>15.55555555555556</v>
      </c>
      <c r="O46" s="37" t="n">
        <v>17.5</v>
      </c>
      <c r="P46" s="37" t="n">
        <v>20</v>
      </c>
      <c r="Q46" s="37" t="n">
        <v>23.33333333333334</v>
      </c>
      <c r="R46" s="37" t="n">
        <v>28</v>
      </c>
      <c r="S46" s="37" t="n">
        <v>35</v>
      </c>
      <c r="T46" s="37" t="n">
        <v>46.66666666666667</v>
      </c>
      <c r="U46" s="37" t="n">
        <v>70</v>
      </c>
      <c r="V46" s="37" t="n">
        <v>140</v>
      </c>
      <c r="W46" s="37" t="n">
        <v>15.58</v>
      </c>
      <c r="X46" s="37" t="n">
        <v>16.4</v>
      </c>
      <c r="Y46" s="37" t="n">
        <v>17.31111111111111</v>
      </c>
      <c r="Z46" s="37" t="n">
        <v>18.32941176470588</v>
      </c>
      <c r="AA46" s="37" t="n">
        <v>19.475</v>
      </c>
      <c r="AB46" s="37" t="n">
        <v>20.77333333333333</v>
      </c>
      <c r="AC46" s="37" t="n">
        <v>22.25714285714286</v>
      </c>
      <c r="AD46" s="37" t="n">
        <v>23.96923076923077</v>
      </c>
      <c r="AE46" s="37" t="n">
        <v>25.96666666666667</v>
      </c>
      <c r="AF46" s="37" t="n">
        <v>28.32727272727272</v>
      </c>
      <c r="AG46" s="37" t="n">
        <v>31.16</v>
      </c>
      <c r="AH46" s="37" t="n">
        <v>34.62222222222222</v>
      </c>
      <c r="AI46" s="37" t="n">
        <v>38.95</v>
      </c>
      <c r="AJ46" s="37" t="n">
        <v>44.51428571428572</v>
      </c>
      <c r="AK46" s="37" t="n">
        <v>51.93333333333334</v>
      </c>
      <c r="AL46" s="37" t="n">
        <v>62.32</v>
      </c>
      <c r="AM46" s="37" t="n">
        <v>77.89999999999999</v>
      </c>
      <c r="AN46" s="37" t="n">
        <v>103.8666666666667</v>
      </c>
      <c r="AO46" s="37" t="n">
        <v>155.8</v>
      </c>
      <c r="AP46" s="37" t="n">
        <v>311.6</v>
      </c>
    </row>
    <row r="47">
      <c r="A47" s="5" t="inlineStr">
        <is>
          <t>P41</t>
        </is>
      </c>
      <c r="B47" s="5" t="inlineStr">
        <is>
          <t>Karitel</t>
        </is>
      </c>
      <c r="C47" s="37" t="n">
        <v>6.51</v>
      </c>
      <c r="D47" s="37" t="n">
        <v>6.852631578947369</v>
      </c>
      <c r="E47" s="37" t="n">
        <v>7.233333333333333</v>
      </c>
      <c r="F47" s="37" t="n">
        <v>7.658823529411765</v>
      </c>
      <c r="G47" s="37" t="n">
        <v>8.137499999999999</v>
      </c>
      <c r="H47" s="37" t="n">
        <v>8.68</v>
      </c>
      <c r="I47" s="37" t="n">
        <v>9.300000000000001</v>
      </c>
      <c r="J47" s="37" t="n">
        <v>10.01538461538462</v>
      </c>
      <c r="K47" s="37" t="n">
        <v>10.85</v>
      </c>
      <c r="L47" s="37" t="n">
        <v>11.83636363636363</v>
      </c>
      <c r="M47" s="37" t="n">
        <v>13.02</v>
      </c>
      <c r="N47" s="37" t="n">
        <v>14.46666666666667</v>
      </c>
      <c r="O47" s="37" t="n">
        <v>16.275</v>
      </c>
      <c r="P47" s="37" t="n">
        <v>18.6</v>
      </c>
      <c r="Q47" s="37" t="n">
        <v>21.7</v>
      </c>
      <c r="R47" s="37" t="n">
        <v>26.04</v>
      </c>
      <c r="S47" s="37" t="n">
        <v>32.55</v>
      </c>
      <c r="T47" s="37" t="n">
        <v>43.4</v>
      </c>
      <c r="U47" s="37" t="n">
        <v>65.09999999999999</v>
      </c>
      <c r="V47" s="37" t="n">
        <v>130.2</v>
      </c>
      <c r="W47" s="37" t="n">
        <v>14.92</v>
      </c>
      <c r="X47" s="37" t="n">
        <v>15.70526315789474</v>
      </c>
      <c r="Y47" s="37" t="n">
        <v>16.57777777777778</v>
      </c>
      <c r="Z47" s="37" t="n">
        <v>17.55294117647059</v>
      </c>
      <c r="AA47" s="37" t="n">
        <v>18.65</v>
      </c>
      <c r="AB47" s="37" t="n">
        <v>19.89333333333333</v>
      </c>
      <c r="AC47" s="37" t="n">
        <v>21.31428571428572</v>
      </c>
      <c r="AD47" s="37" t="n">
        <v>22.95384615384615</v>
      </c>
      <c r="AE47" s="37" t="n">
        <v>24.86666666666667</v>
      </c>
      <c r="AF47" s="37" t="n">
        <v>27.12727272727273</v>
      </c>
      <c r="AG47" s="37" t="n">
        <v>29.84</v>
      </c>
      <c r="AH47" s="37" t="n">
        <v>33.15555555555555</v>
      </c>
      <c r="AI47" s="37" t="n">
        <v>37.3</v>
      </c>
      <c r="AJ47" s="37" t="n">
        <v>42.62857142857143</v>
      </c>
      <c r="AK47" s="37" t="n">
        <v>49.73333333333333</v>
      </c>
      <c r="AL47" s="37" t="n">
        <v>59.67999999999999</v>
      </c>
      <c r="AM47" s="37" t="n">
        <v>74.59999999999999</v>
      </c>
      <c r="AN47" s="37" t="n">
        <v>99.46666666666665</v>
      </c>
      <c r="AO47" s="37" t="n">
        <v>149.2</v>
      </c>
      <c r="AP47" s="37" t="n">
        <v>298.3999999999999</v>
      </c>
    </row>
    <row r="48">
      <c r="A48" s="5" t="inlineStr">
        <is>
          <t>P42</t>
        </is>
      </c>
      <c r="B48" s="5" t="inlineStr">
        <is>
          <t>Karitel</t>
        </is>
      </c>
      <c r="C48" s="37" t="n">
        <v>6</v>
      </c>
      <c r="D48" s="37" t="n">
        <v>6.315789473684211</v>
      </c>
      <c r="E48" s="37" t="n">
        <v>6.666666666666666</v>
      </c>
      <c r="F48" s="37" t="n">
        <v>7.058823529411764</v>
      </c>
      <c r="G48" s="37" t="n">
        <v>7.5</v>
      </c>
      <c r="H48" s="37" t="n">
        <v>8</v>
      </c>
      <c r="I48" s="37" t="n">
        <v>8.571428571428571</v>
      </c>
      <c r="J48" s="37" t="n">
        <v>9.23076923076923</v>
      </c>
      <c r="K48" s="37" t="n">
        <v>10</v>
      </c>
      <c r="L48" s="37" t="n">
        <v>10.90909090909091</v>
      </c>
      <c r="M48" s="37" t="n">
        <v>12</v>
      </c>
      <c r="N48" s="37" t="n">
        <v>13.33333333333333</v>
      </c>
      <c r="O48" s="37" t="n">
        <v>15</v>
      </c>
      <c r="P48" s="37" t="n">
        <v>17.14285714285714</v>
      </c>
      <c r="Q48" s="37" t="n">
        <v>20</v>
      </c>
      <c r="R48" s="37" t="n">
        <v>24</v>
      </c>
      <c r="S48" s="37" t="n">
        <v>30</v>
      </c>
      <c r="T48" s="37" t="n">
        <v>40</v>
      </c>
      <c r="U48" s="37" t="n">
        <v>60</v>
      </c>
      <c r="V48" s="37" t="n">
        <v>120</v>
      </c>
      <c r="W48" s="37" t="n">
        <v>12.62</v>
      </c>
      <c r="X48" s="37" t="n">
        <v>13.28421052631579</v>
      </c>
      <c r="Y48" s="37" t="n">
        <v>14.02222222222222</v>
      </c>
      <c r="Z48" s="37" t="n">
        <v>14.84705882352941</v>
      </c>
      <c r="AA48" s="37" t="n">
        <v>15.775</v>
      </c>
      <c r="AB48" s="37" t="n">
        <v>16.82666666666666</v>
      </c>
      <c r="AC48" s="37" t="n">
        <v>18.02857142857143</v>
      </c>
      <c r="AD48" s="37" t="n">
        <v>19.41538461538461</v>
      </c>
      <c r="AE48" s="37" t="n">
        <v>21.03333333333333</v>
      </c>
      <c r="AF48" s="37" t="n">
        <v>22.94545454545454</v>
      </c>
      <c r="AG48" s="37" t="n">
        <v>25.24</v>
      </c>
      <c r="AH48" s="37" t="n">
        <v>28.04444444444444</v>
      </c>
      <c r="AI48" s="37" t="n">
        <v>31.55</v>
      </c>
      <c r="AJ48" s="37" t="n">
        <v>36.05714285714286</v>
      </c>
      <c r="AK48" s="37" t="n">
        <v>42.06666666666666</v>
      </c>
      <c r="AL48" s="37" t="n">
        <v>50.48</v>
      </c>
      <c r="AM48" s="37" t="n">
        <v>63.09999999999999</v>
      </c>
      <c r="AN48" s="37" t="n">
        <v>84.13333333333333</v>
      </c>
      <c r="AO48" s="37" t="n">
        <v>126.2</v>
      </c>
      <c r="AP48" s="37" t="n">
        <v>252.4</v>
      </c>
    </row>
    <row r="49">
      <c r="A49" s="5" t="inlineStr">
        <is>
          <t>P43</t>
        </is>
      </c>
      <c r="B49" s="5" t="inlineStr">
        <is>
          <t>Karitel</t>
        </is>
      </c>
      <c r="C49" s="37" t="n">
        <v>6.58</v>
      </c>
      <c r="D49" s="37" t="n">
        <v>6.926315789473684</v>
      </c>
      <c r="E49" s="37" t="n">
        <v>7.311111111111111</v>
      </c>
      <c r="F49" s="37" t="n">
        <v>7.741176470588235</v>
      </c>
      <c r="G49" s="37" t="n">
        <v>8.225</v>
      </c>
      <c r="H49" s="37" t="n">
        <v>8.773333333333333</v>
      </c>
      <c r="I49" s="37" t="n">
        <v>9.4</v>
      </c>
      <c r="J49" s="37" t="n">
        <v>10.12307692307692</v>
      </c>
      <c r="K49" s="37" t="n">
        <v>10.96666666666667</v>
      </c>
      <c r="L49" s="37" t="n">
        <v>11.96363636363636</v>
      </c>
      <c r="M49" s="37" t="n">
        <v>13.16</v>
      </c>
      <c r="N49" s="37" t="n">
        <v>14.62222222222222</v>
      </c>
      <c r="O49" s="37" t="n">
        <v>16.45</v>
      </c>
      <c r="P49" s="37" t="n">
        <v>18.8</v>
      </c>
      <c r="Q49" s="37" t="n">
        <v>21.93333333333333</v>
      </c>
      <c r="R49" s="37" t="n">
        <v>26.32</v>
      </c>
      <c r="S49" s="37" t="n">
        <v>32.9</v>
      </c>
      <c r="T49" s="37" t="n">
        <v>43.86666666666667</v>
      </c>
      <c r="U49" s="37" t="n">
        <v>65.8</v>
      </c>
      <c r="V49" s="37" t="n">
        <v>131.6</v>
      </c>
      <c r="W49" s="37" t="n">
        <v>14.92</v>
      </c>
      <c r="X49" s="37" t="n">
        <v>15.70526315789474</v>
      </c>
      <c r="Y49" s="37" t="n">
        <v>16.57777777777778</v>
      </c>
      <c r="Z49" s="37" t="n">
        <v>17.55294117647059</v>
      </c>
      <c r="AA49" s="37" t="n">
        <v>18.65</v>
      </c>
      <c r="AB49" s="37" t="n">
        <v>19.89333333333333</v>
      </c>
      <c r="AC49" s="37" t="n">
        <v>21.31428571428572</v>
      </c>
      <c r="AD49" s="37" t="n">
        <v>22.95384615384615</v>
      </c>
      <c r="AE49" s="37" t="n">
        <v>24.86666666666667</v>
      </c>
      <c r="AF49" s="37" t="n">
        <v>27.12727272727273</v>
      </c>
      <c r="AG49" s="37" t="n">
        <v>29.84</v>
      </c>
      <c r="AH49" s="37" t="n">
        <v>33.15555555555555</v>
      </c>
      <c r="AI49" s="37" t="n">
        <v>37.3</v>
      </c>
      <c r="AJ49" s="37" t="n">
        <v>42.62857142857143</v>
      </c>
      <c r="AK49" s="37" t="n">
        <v>49.73333333333333</v>
      </c>
      <c r="AL49" s="37" t="n">
        <v>59.67999999999999</v>
      </c>
      <c r="AM49" s="37" t="n">
        <v>74.59999999999999</v>
      </c>
      <c r="AN49" s="37" t="n">
        <v>99.46666666666665</v>
      </c>
      <c r="AO49" s="37" t="n">
        <v>149.2</v>
      </c>
      <c r="AP49" s="37" t="n">
        <v>298.3999999999999</v>
      </c>
    </row>
    <row r="50">
      <c r="A50" s="5" t="inlineStr">
        <is>
          <t>P44</t>
        </is>
      </c>
      <c r="B50" s="5" t="inlineStr">
        <is>
          <t>Karitel</t>
        </is>
      </c>
      <c r="C50" s="37" t="n">
        <v>5.8</v>
      </c>
      <c r="D50" s="37" t="n">
        <v>6.105263157894737</v>
      </c>
      <c r="E50" s="37" t="n">
        <v>6.444444444444444</v>
      </c>
      <c r="F50" s="37" t="n">
        <v>6.823529411764706</v>
      </c>
      <c r="G50" s="37" t="n">
        <v>7.249999999999999</v>
      </c>
      <c r="H50" s="37" t="n">
        <v>7.733333333333333</v>
      </c>
      <c r="I50" s="37" t="n">
        <v>8.285714285714286</v>
      </c>
      <c r="J50" s="37" t="n">
        <v>8.923076923076923</v>
      </c>
      <c r="K50" s="37" t="n">
        <v>9.666666666666666</v>
      </c>
      <c r="L50" s="37" t="n">
        <v>10.54545454545454</v>
      </c>
      <c r="M50" s="37" t="n">
        <v>11.6</v>
      </c>
      <c r="N50" s="37" t="n">
        <v>12.88888888888889</v>
      </c>
      <c r="O50" s="37" t="n">
        <v>14.5</v>
      </c>
      <c r="P50" s="37" t="n">
        <v>16.57142857142857</v>
      </c>
      <c r="Q50" s="37" t="n">
        <v>19.33333333333333</v>
      </c>
      <c r="R50" s="37" t="n">
        <v>23.2</v>
      </c>
      <c r="S50" s="37" t="n">
        <v>29</v>
      </c>
      <c r="T50" s="37" t="n">
        <v>38.66666666666666</v>
      </c>
      <c r="U50" s="37" t="n">
        <v>57.99999999999999</v>
      </c>
      <c r="V50" s="37" t="n">
        <v>116</v>
      </c>
      <c r="W50" s="37" t="n">
        <v>11.06</v>
      </c>
      <c r="X50" s="37" t="n">
        <v>11.6421052631579</v>
      </c>
      <c r="Y50" s="37" t="n">
        <v>12.28888888888889</v>
      </c>
      <c r="Z50" s="37" t="n">
        <v>13.01176470588235</v>
      </c>
      <c r="AA50" s="37" t="n">
        <v>13.825</v>
      </c>
      <c r="AB50" s="37" t="n">
        <v>14.74666666666667</v>
      </c>
      <c r="AC50" s="37" t="n">
        <v>15.8</v>
      </c>
      <c r="AD50" s="37" t="n">
        <v>17.01538461538462</v>
      </c>
      <c r="AE50" s="37" t="n">
        <v>18.43333333333333</v>
      </c>
      <c r="AF50" s="37" t="n">
        <v>20.10909090909091</v>
      </c>
      <c r="AG50" s="37" t="n">
        <v>22.12</v>
      </c>
      <c r="AH50" s="37" t="n">
        <v>24.57777777777778</v>
      </c>
      <c r="AI50" s="37" t="n">
        <v>27.65</v>
      </c>
      <c r="AJ50" s="37" t="n">
        <v>31.6</v>
      </c>
      <c r="AK50" s="37" t="n">
        <v>36.86666666666667</v>
      </c>
      <c r="AL50" s="37" t="n">
        <v>44.24</v>
      </c>
      <c r="AM50" s="37" t="n">
        <v>55.3</v>
      </c>
      <c r="AN50" s="37" t="n">
        <v>73.73333333333333</v>
      </c>
      <c r="AO50" s="37" t="n">
        <v>110.6</v>
      </c>
      <c r="AP50" s="37" t="n">
        <v>221.2</v>
      </c>
    </row>
    <row r="51">
      <c r="A51" s="5" t="inlineStr">
        <is>
          <t>P45</t>
        </is>
      </c>
      <c r="B51" s="5" t="inlineStr">
        <is>
          <t>Karitel</t>
        </is>
      </c>
      <c r="C51" s="37" t="n">
        <v>6.49</v>
      </c>
      <c r="D51" s="37" t="n">
        <v>6.831578947368421</v>
      </c>
      <c r="E51" s="37" t="n">
        <v>7.211111111111111</v>
      </c>
      <c r="F51" s="37" t="n">
        <v>7.635294117647059</v>
      </c>
      <c r="G51" s="37" t="n">
        <v>8.112499999999999</v>
      </c>
      <c r="H51" s="37" t="n">
        <v>8.653333333333334</v>
      </c>
      <c r="I51" s="37" t="n">
        <v>9.271428571428572</v>
      </c>
      <c r="J51" s="37" t="n">
        <v>9.984615384615385</v>
      </c>
      <c r="K51" s="37" t="n">
        <v>10.81666666666667</v>
      </c>
      <c r="L51" s="37" t="n">
        <v>11.8</v>
      </c>
      <c r="M51" s="37" t="n">
        <v>12.98</v>
      </c>
      <c r="N51" s="37" t="n">
        <v>14.42222222222222</v>
      </c>
      <c r="O51" s="37" t="n">
        <v>16.225</v>
      </c>
      <c r="P51" s="37" t="n">
        <v>18.54285714285714</v>
      </c>
      <c r="Q51" s="37" t="n">
        <v>21.63333333333334</v>
      </c>
      <c r="R51" s="37" t="n">
        <v>25.96</v>
      </c>
      <c r="S51" s="37" t="n">
        <v>32.45</v>
      </c>
      <c r="T51" s="37" t="n">
        <v>43.26666666666667</v>
      </c>
      <c r="U51" s="37" t="n">
        <v>64.89999999999999</v>
      </c>
      <c r="V51" s="37" t="n">
        <v>129.8</v>
      </c>
      <c r="W51" s="37" t="n">
        <v>14.05</v>
      </c>
      <c r="X51" s="37" t="n">
        <v>14.78947368421053</v>
      </c>
      <c r="Y51" s="37" t="n">
        <v>15.61111111111111</v>
      </c>
      <c r="Z51" s="37" t="n">
        <v>16.52941176470588</v>
      </c>
      <c r="AA51" s="37" t="n">
        <v>17.5625</v>
      </c>
      <c r="AB51" s="37" t="n">
        <v>18.73333333333333</v>
      </c>
      <c r="AC51" s="37" t="n">
        <v>20.07142857142857</v>
      </c>
      <c r="AD51" s="37" t="n">
        <v>21.61538461538462</v>
      </c>
      <c r="AE51" s="37" t="n">
        <v>23.41666666666667</v>
      </c>
      <c r="AF51" s="37" t="n">
        <v>25.54545454545454</v>
      </c>
      <c r="AG51" s="37" t="n">
        <v>28.1</v>
      </c>
      <c r="AH51" s="37" t="n">
        <v>31.22222222222222</v>
      </c>
      <c r="AI51" s="37" t="n">
        <v>35.125</v>
      </c>
      <c r="AJ51" s="37" t="n">
        <v>40.14285714285715</v>
      </c>
      <c r="AK51" s="37" t="n">
        <v>46.83333333333334</v>
      </c>
      <c r="AL51" s="37" t="n">
        <v>56.2</v>
      </c>
      <c r="AM51" s="37" t="n">
        <v>70.25</v>
      </c>
      <c r="AN51" s="37" t="n">
        <v>93.66666666666667</v>
      </c>
      <c r="AO51" s="37" t="n">
        <v>140.5</v>
      </c>
      <c r="AP51" s="37" t="n">
        <v>281</v>
      </c>
    </row>
    <row r="52">
      <c r="A52" s="5" t="inlineStr">
        <is>
          <t>P46</t>
        </is>
      </c>
      <c r="B52" s="5" t="inlineStr">
        <is>
          <t>Karitel</t>
        </is>
      </c>
      <c r="C52" s="37" t="n">
        <v>6.37</v>
      </c>
      <c r="D52" s="37" t="n">
        <v>6.705263157894738</v>
      </c>
      <c r="E52" s="37" t="n">
        <v>7.077777777777778</v>
      </c>
      <c r="F52" s="37" t="n">
        <v>7.494117647058824</v>
      </c>
      <c r="G52" s="37" t="n">
        <v>7.962499999999999</v>
      </c>
      <c r="H52" s="37" t="n">
        <v>8.493333333333334</v>
      </c>
      <c r="I52" s="37" t="n">
        <v>9.100000000000001</v>
      </c>
      <c r="J52" s="37" t="n">
        <v>9.800000000000001</v>
      </c>
      <c r="K52" s="37" t="n">
        <v>10.61666666666667</v>
      </c>
      <c r="L52" s="37" t="n">
        <v>11.58181818181818</v>
      </c>
      <c r="M52" s="37" t="n">
        <v>12.74</v>
      </c>
      <c r="N52" s="37" t="n">
        <v>14.15555555555556</v>
      </c>
      <c r="O52" s="37" t="n">
        <v>15.925</v>
      </c>
      <c r="P52" s="37" t="n">
        <v>18.2</v>
      </c>
      <c r="Q52" s="37" t="n">
        <v>21.23333333333333</v>
      </c>
      <c r="R52" s="37" t="n">
        <v>25.48</v>
      </c>
      <c r="S52" s="37" t="n">
        <v>31.85</v>
      </c>
      <c r="T52" s="37" t="n">
        <v>42.46666666666667</v>
      </c>
      <c r="U52" s="37" t="n">
        <v>63.7</v>
      </c>
      <c r="V52" s="37" t="n">
        <v>127.4</v>
      </c>
      <c r="W52" s="37" t="n">
        <v>16.05</v>
      </c>
      <c r="X52" s="37" t="n">
        <v>16.89473684210526</v>
      </c>
      <c r="Y52" s="37" t="n">
        <v>17.83333333333333</v>
      </c>
      <c r="Z52" s="37" t="n">
        <v>18.88235294117647</v>
      </c>
      <c r="AA52" s="37" t="n">
        <v>20.0625</v>
      </c>
      <c r="AB52" s="37" t="n">
        <v>21.4</v>
      </c>
      <c r="AC52" s="37" t="n">
        <v>22.92857142857143</v>
      </c>
      <c r="AD52" s="37" t="n">
        <v>24.69230769230769</v>
      </c>
      <c r="AE52" s="37" t="n">
        <v>26.75</v>
      </c>
      <c r="AF52" s="37" t="n">
        <v>29.18181818181818</v>
      </c>
      <c r="AG52" s="37" t="n">
        <v>32.1</v>
      </c>
      <c r="AH52" s="37" t="n">
        <v>35.66666666666666</v>
      </c>
      <c r="AI52" s="37" t="n">
        <v>40.125</v>
      </c>
      <c r="AJ52" s="37" t="n">
        <v>45.85714285714286</v>
      </c>
      <c r="AK52" s="37" t="n">
        <v>53.50000000000001</v>
      </c>
      <c r="AL52" s="37" t="n">
        <v>64.2</v>
      </c>
      <c r="AM52" s="37" t="n">
        <v>80.25</v>
      </c>
      <c r="AN52" s="37" t="n">
        <v>107</v>
      </c>
      <c r="AO52" s="37" t="n">
        <v>160.5</v>
      </c>
      <c r="AP52" s="37" t="n">
        <v>321</v>
      </c>
    </row>
    <row r="53">
      <c r="A53" s="5" t="inlineStr">
        <is>
          <t>P47</t>
        </is>
      </c>
      <c r="B53" s="5" t="inlineStr">
        <is>
          <t>Karitel</t>
        </is>
      </c>
      <c r="C53" s="37" t="n">
        <v>7.07</v>
      </c>
      <c r="D53" s="37" t="n">
        <v>7.442105263157895</v>
      </c>
      <c r="E53" s="37" t="n">
        <v>7.855555555555556</v>
      </c>
      <c r="F53" s="37" t="n">
        <v>8.31764705882353</v>
      </c>
      <c r="G53" s="37" t="n">
        <v>8.8375</v>
      </c>
      <c r="H53" s="37" t="n">
        <v>9.426666666666668</v>
      </c>
      <c r="I53" s="37" t="n">
        <v>10.1</v>
      </c>
      <c r="J53" s="37" t="n">
        <v>10.87692307692308</v>
      </c>
      <c r="K53" s="37" t="n">
        <v>11.78333333333333</v>
      </c>
      <c r="L53" s="37" t="n">
        <v>12.85454545454545</v>
      </c>
      <c r="M53" s="37" t="n">
        <v>14.14</v>
      </c>
      <c r="N53" s="37" t="n">
        <v>15.71111111111111</v>
      </c>
      <c r="O53" s="37" t="n">
        <v>17.675</v>
      </c>
      <c r="P53" s="37" t="n">
        <v>20.2</v>
      </c>
      <c r="Q53" s="37" t="n">
        <v>23.56666666666667</v>
      </c>
      <c r="R53" s="37" t="n">
        <v>28.28</v>
      </c>
      <c r="S53" s="37" t="n">
        <v>35.35</v>
      </c>
      <c r="T53" s="37" t="n">
        <v>47.13333333333334</v>
      </c>
      <c r="U53" s="37" t="n">
        <v>70.7</v>
      </c>
      <c r="V53" s="37" t="n">
        <v>141.4</v>
      </c>
      <c r="W53" s="37" t="n">
        <v>16.05</v>
      </c>
      <c r="X53" s="37" t="n">
        <v>16.89473684210526</v>
      </c>
      <c r="Y53" s="37" t="n">
        <v>17.83333333333333</v>
      </c>
      <c r="Z53" s="37" t="n">
        <v>18.88235294117647</v>
      </c>
      <c r="AA53" s="37" t="n">
        <v>20.0625</v>
      </c>
      <c r="AB53" s="37" t="n">
        <v>21.4</v>
      </c>
      <c r="AC53" s="37" t="n">
        <v>22.92857142857143</v>
      </c>
      <c r="AD53" s="37" t="n">
        <v>24.69230769230769</v>
      </c>
      <c r="AE53" s="37" t="n">
        <v>26.75</v>
      </c>
      <c r="AF53" s="37" t="n">
        <v>29.18181818181818</v>
      </c>
      <c r="AG53" s="37" t="n">
        <v>32.1</v>
      </c>
      <c r="AH53" s="37" t="n">
        <v>35.66666666666666</v>
      </c>
      <c r="AI53" s="37" t="n">
        <v>40.125</v>
      </c>
      <c r="AJ53" s="37" t="n">
        <v>45.85714285714286</v>
      </c>
      <c r="AK53" s="37" t="n">
        <v>53.50000000000001</v>
      </c>
      <c r="AL53" s="37" t="n">
        <v>64.2</v>
      </c>
      <c r="AM53" s="37" t="n">
        <v>80.25</v>
      </c>
      <c r="AN53" s="37" t="n">
        <v>107</v>
      </c>
      <c r="AO53" s="37" t="n">
        <v>160.5</v>
      </c>
      <c r="AP53" s="37" t="n">
        <v>321</v>
      </c>
    </row>
    <row r="54">
      <c r="A54" s="5" t="inlineStr">
        <is>
          <t>P48</t>
        </is>
      </c>
      <c r="B54" s="5" t="inlineStr">
        <is>
          <t>Karitel</t>
        </is>
      </c>
      <c r="C54" s="37" t="n">
        <v>6.8</v>
      </c>
      <c r="D54" s="37" t="n">
        <v>7.157894736842105</v>
      </c>
      <c r="E54" s="37" t="n">
        <v>7.555555555555555</v>
      </c>
      <c r="F54" s="37" t="n">
        <v>8</v>
      </c>
      <c r="G54" s="37" t="n">
        <v>8.5</v>
      </c>
      <c r="H54" s="37" t="n">
        <v>9.066666666666666</v>
      </c>
      <c r="I54" s="37" t="n">
        <v>9.714285714285715</v>
      </c>
      <c r="J54" s="37" t="n">
        <v>10.46153846153846</v>
      </c>
      <c r="K54" s="37" t="n">
        <v>11.33333333333333</v>
      </c>
      <c r="L54" s="37" t="n">
        <v>12.36363636363636</v>
      </c>
      <c r="M54" s="37" t="n">
        <v>13.6</v>
      </c>
      <c r="N54" s="37" t="n">
        <v>15.11111111111111</v>
      </c>
      <c r="O54" s="37" t="n">
        <v>17</v>
      </c>
      <c r="P54" s="37" t="n">
        <v>19.42857142857143</v>
      </c>
      <c r="Q54" s="37" t="n">
        <v>22.66666666666667</v>
      </c>
      <c r="R54" s="37" t="n">
        <v>27.2</v>
      </c>
      <c r="S54" s="37" t="n">
        <v>34</v>
      </c>
      <c r="T54" s="37" t="n">
        <v>45.33333333333334</v>
      </c>
      <c r="U54" s="37" t="n">
        <v>68</v>
      </c>
      <c r="V54" s="37" t="n">
        <v>136</v>
      </c>
      <c r="W54" s="37" t="n">
        <v>16.05</v>
      </c>
      <c r="X54" s="37" t="n">
        <v>16.89473684210526</v>
      </c>
      <c r="Y54" s="37" t="n">
        <v>17.83333333333333</v>
      </c>
      <c r="Z54" s="37" t="n">
        <v>18.88235294117647</v>
      </c>
      <c r="AA54" s="37" t="n">
        <v>20.0625</v>
      </c>
      <c r="AB54" s="37" t="n">
        <v>21.4</v>
      </c>
      <c r="AC54" s="37" t="n">
        <v>22.92857142857143</v>
      </c>
      <c r="AD54" s="37" t="n">
        <v>24.69230769230769</v>
      </c>
      <c r="AE54" s="37" t="n">
        <v>26.75</v>
      </c>
      <c r="AF54" s="37" t="n">
        <v>29.18181818181818</v>
      </c>
      <c r="AG54" s="37" t="n">
        <v>32.1</v>
      </c>
      <c r="AH54" s="37" t="n">
        <v>35.66666666666666</v>
      </c>
      <c r="AI54" s="37" t="n">
        <v>40.125</v>
      </c>
      <c r="AJ54" s="37" t="n">
        <v>45.85714285714286</v>
      </c>
      <c r="AK54" s="37" t="n">
        <v>53.50000000000001</v>
      </c>
      <c r="AL54" s="37" t="n">
        <v>64.2</v>
      </c>
      <c r="AM54" s="37" t="n">
        <v>80.25</v>
      </c>
      <c r="AN54" s="37" t="n">
        <v>107</v>
      </c>
      <c r="AO54" s="37" t="n">
        <v>160.5</v>
      </c>
      <c r="AP54" s="37" t="n">
        <v>321</v>
      </c>
    </row>
    <row r="55">
      <c r="A55" s="5" t="inlineStr">
        <is>
          <t>P49</t>
        </is>
      </c>
      <c r="B55" s="5" t="inlineStr">
        <is>
          <t>Karitel</t>
        </is>
      </c>
      <c r="C55" s="37" t="n">
        <v>6.72</v>
      </c>
      <c r="D55" s="37" t="n">
        <v>7.073684210526316</v>
      </c>
      <c r="E55" s="37" t="n">
        <v>7.466666666666666</v>
      </c>
      <c r="F55" s="37" t="n">
        <v>7.905882352941177</v>
      </c>
      <c r="G55" s="37" t="n">
        <v>8.399999999999999</v>
      </c>
      <c r="H55" s="37" t="n">
        <v>8.959999999999999</v>
      </c>
      <c r="I55" s="37" t="n">
        <v>9.6</v>
      </c>
      <c r="J55" s="37" t="n">
        <v>10.33846153846154</v>
      </c>
      <c r="K55" s="37" t="n">
        <v>11.2</v>
      </c>
      <c r="L55" s="37" t="n">
        <v>12.21818181818182</v>
      </c>
      <c r="M55" s="37" t="n">
        <v>13.44</v>
      </c>
      <c r="N55" s="37" t="n">
        <v>14.93333333333333</v>
      </c>
      <c r="O55" s="37" t="n">
        <v>16.8</v>
      </c>
      <c r="P55" s="37" t="n">
        <v>19.2</v>
      </c>
      <c r="Q55" s="37" t="n">
        <v>22.4</v>
      </c>
      <c r="R55" s="37" t="n">
        <v>26.88</v>
      </c>
      <c r="S55" s="37" t="n">
        <v>33.59999999999999</v>
      </c>
      <c r="T55" s="37" t="n">
        <v>44.8</v>
      </c>
      <c r="U55" s="37" t="n">
        <v>67.19999999999999</v>
      </c>
      <c r="V55" s="37" t="n">
        <v>134.4</v>
      </c>
      <c r="W55" s="37" t="n">
        <v>14.1</v>
      </c>
      <c r="X55" s="37" t="n">
        <v>14.8421052631579</v>
      </c>
      <c r="Y55" s="37" t="n">
        <v>15.66666666666667</v>
      </c>
      <c r="Z55" s="37" t="n">
        <v>16.58823529411765</v>
      </c>
      <c r="AA55" s="37" t="n">
        <v>17.625</v>
      </c>
      <c r="AB55" s="37" t="n">
        <v>18.8</v>
      </c>
      <c r="AC55" s="37" t="n">
        <v>20.14285714285714</v>
      </c>
      <c r="AD55" s="37" t="n">
        <v>21.69230769230769</v>
      </c>
      <c r="AE55" s="37" t="n">
        <v>23.5</v>
      </c>
      <c r="AF55" s="37" t="n">
        <v>25.63636363636363</v>
      </c>
      <c r="AG55" s="37" t="n">
        <v>28.2</v>
      </c>
      <c r="AH55" s="37" t="n">
        <v>31.33333333333333</v>
      </c>
      <c r="AI55" s="37" t="n">
        <v>35.25</v>
      </c>
      <c r="AJ55" s="37" t="n">
        <v>40.28571428571428</v>
      </c>
      <c r="AK55" s="37" t="n">
        <v>47</v>
      </c>
      <c r="AL55" s="37" t="n">
        <v>56.39999999999999</v>
      </c>
      <c r="AM55" s="37" t="n">
        <v>70.5</v>
      </c>
      <c r="AN55" s="37" t="n">
        <v>93.99999999999999</v>
      </c>
      <c r="AO55" s="37" t="n">
        <v>141</v>
      </c>
      <c r="AP55" s="37" t="n">
        <v>281.9999999999999</v>
      </c>
    </row>
    <row r="56">
      <c r="A56" s="5" t="inlineStr">
        <is>
          <t>P50</t>
        </is>
      </c>
      <c r="B56" s="5" t="inlineStr">
        <is>
          <t>Karitel</t>
        </is>
      </c>
      <c r="C56" s="37" t="n">
        <v>6.18</v>
      </c>
      <c r="D56" s="37" t="n">
        <v>6.505263157894737</v>
      </c>
      <c r="E56" s="37" t="n">
        <v>6.866666666666666</v>
      </c>
      <c r="F56" s="37" t="n">
        <v>7.270588235294118</v>
      </c>
      <c r="G56" s="37" t="n">
        <v>7.725</v>
      </c>
      <c r="H56" s="37" t="n">
        <v>8.24</v>
      </c>
      <c r="I56" s="37" t="n">
        <v>8.828571428571429</v>
      </c>
      <c r="J56" s="37" t="n">
        <v>9.507692307692308</v>
      </c>
      <c r="K56" s="37" t="n">
        <v>10.3</v>
      </c>
      <c r="L56" s="37" t="n">
        <v>11.23636363636363</v>
      </c>
      <c r="M56" s="37" t="n">
        <v>12.36</v>
      </c>
      <c r="N56" s="37" t="n">
        <v>13.73333333333333</v>
      </c>
      <c r="O56" s="37" t="n">
        <v>15.45</v>
      </c>
      <c r="P56" s="37" t="n">
        <v>17.65714285714286</v>
      </c>
      <c r="Q56" s="37" t="n">
        <v>20.6</v>
      </c>
      <c r="R56" s="37" t="n">
        <v>24.72</v>
      </c>
      <c r="S56" s="37" t="n">
        <v>30.9</v>
      </c>
      <c r="T56" s="37" t="n">
        <v>41.2</v>
      </c>
      <c r="U56" s="37" t="n">
        <v>61.8</v>
      </c>
      <c r="V56" s="37" t="n">
        <v>123.6</v>
      </c>
      <c r="W56" s="37" t="n">
        <v>13.26</v>
      </c>
      <c r="X56" s="37" t="n">
        <v>13.95789473684211</v>
      </c>
      <c r="Y56" s="37" t="n">
        <v>14.73333333333333</v>
      </c>
      <c r="Z56" s="37" t="n">
        <v>15.6</v>
      </c>
      <c r="AA56" s="37" t="n">
        <v>16.575</v>
      </c>
      <c r="AB56" s="37" t="n">
        <v>17.68</v>
      </c>
      <c r="AC56" s="37" t="n">
        <v>18.94285714285714</v>
      </c>
      <c r="AD56" s="37" t="n">
        <v>20.4</v>
      </c>
      <c r="AE56" s="37" t="n">
        <v>22.1</v>
      </c>
      <c r="AF56" s="37" t="n">
        <v>24.10909090909091</v>
      </c>
      <c r="AG56" s="37" t="n">
        <v>26.52</v>
      </c>
      <c r="AH56" s="37" t="n">
        <v>29.46666666666667</v>
      </c>
      <c r="AI56" s="37" t="n">
        <v>33.15</v>
      </c>
      <c r="AJ56" s="37" t="n">
        <v>37.88571428571429</v>
      </c>
      <c r="AK56" s="37" t="n">
        <v>44.2</v>
      </c>
      <c r="AL56" s="37" t="n">
        <v>53.04</v>
      </c>
      <c r="AM56" s="37" t="n">
        <v>66.3</v>
      </c>
      <c r="AN56" s="37" t="n">
        <v>88.40000000000001</v>
      </c>
      <c r="AO56" s="37" t="n">
        <v>132.6</v>
      </c>
      <c r="AP56" s="37" t="n">
        <v>265.2</v>
      </c>
    </row>
    <row r="57">
      <c r="A57" s="5" t="inlineStr">
        <is>
          <t>P51</t>
        </is>
      </c>
      <c r="B57" s="5" t="inlineStr">
        <is>
          <t>Karitel</t>
        </is>
      </c>
      <c r="C57" s="37" t="n">
        <v>5.995</v>
      </c>
      <c r="D57" s="37" t="n">
        <v>6.310526315789474</v>
      </c>
      <c r="E57" s="37" t="n">
        <v>6.661111111111111</v>
      </c>
      <c r="F57" s="37" t="n">
        <v>7.052941176470589</v>
      </c>
      <c r="G57" s="37" t="n">
        <v>7.493749999999999</v>
      </c>
      <c r="H57" s="37" t="n">
        <v>7.993333333333333</v>
      </c>
      <c r="I57" s="37" t="n">
        <v>8.564285714285715</v>
      </c>
      <c r="J57" s="37" t="n">
        <v>9.223076923076922</v>
      </c>
      <c r="K57" s="37" t="n">
        <v>9.991666666666667</v>
      </c>
      <c r="L57" s="37" t="n">
        <v>10.9</v>
      </c>
      <c r="M57" s="37" t="n">
        <v>11.99</v>
      </c>
      <c r="N57" s="37" t="n">
        <v>13.32222222222222</v>
      </c>
      <c r="O57" s="37" t="n">
        <v>14.9875</v>
      </c>
      <c r="P57" s="37" t="n">
        <v>17.12857142857143</v>
      </c>
      <c r="Q57" s="37" t="n">
        <v>19.98333333333333</v>
      </c>
      <c r="R57" s="37" t="n">
        <v>23.98</v>
      </c>
      <c r="S57" s="37" t="n">
        <v>29.975</v>
      </c>
      <c r="T57" s="37" t="n">
        <v>39.96666666666667</v>
      </c>
      <c r="U57" s="37" t="n">
        <v>59.95</v>
      </c>
      <c r="V57" s="37" t="n">
        <v>119.9</v>
      </c>
      <c r="W57" s="37" t="n">
        <v>13.26</v>
      </c>
      <c r="X57" s="37" t="n">
        <v>13.95789473684211</v>
      </c>
      <c r="Y57" s="37" t="n">
        <v>14.73333333333333</v>
      </c>
      <c r="Z57" s="37" t="n">
        <v>15.6</v>
      </c>
      <c r="AA57" s="37" t="n">
        <v>16.575</v>
      </c>
      <c r="AB57" s="37" t="n">
        <v>17.68</v>
      </c>
      <c r="AC57" s="37" t="n">
        <v>18.94285714285714</v>
      </c>
      <c r="AD57" s="37" t="n">
        <v>20.4</v>
      </c>
      <c r="AE57" s="37" t="n">
        <v>22.1</v>
      </c>
      <c r="AF57" s="37" t="n">
        <v>24.10909090909091</v>
      </c>
      <c r="AG57" s="37" t="n">
        <v>26.52</v>
      </c>
      <c r="AH57" s="37" t="n">
        <v>29.46666666666667</v>
      </c>
      <c r="AI57" s="37" t="n">
        <v>33.15</v>
      </c>
      <c r="AJ57" s="37" t="n">
        <v>37.88571428571429</v>
      </c>
      <c r="AK57" s="37" t="n">
        <v>44.2</v>
      </c>
      <c r="AL57" s="37" t="n">
        <v>53.04</v>
      </c>
      <c r="AM57" s="37" t="n">
        <v>66.3</v>
      </c>
      <c r="AN57" s="37" t="n">
        <v>88.40000000000001</v>
      </c>
      <c r="AO57" s="37" t="n">
        <v>132.6</v>
      </c>
      <c r="AP57" s="37" t="n">
        <v>265.2</v>
      </c>
    </row>
    <row r="58">
      <c r="A58" s="5" t="inlineStr">
        <is>
          <t>P52</t>
        </is>
      </c>
      <c r="B58" s="5" t="inlineStr">
        <is>
          <t>Karitel</t>
        </is>
      </c>
      <c r="C58" s="37" t="n">
        <v>6.435</v>
      </c>
      <c r="D58" s="37" t="n">
        <v>6.773684210526316</v>
      </c>
      <c r="E58" s="37" t="n">
        <v>7.149999999999999</v>
      </c>
      <c r="F58" s="37" t="n">
        <v>7.570588235294117</v>
      </c>
      <c r="G58" s="37" t="n">
        <v>8.043749999999999</v>
      </c>
      <c r="H58" s="37" t="n">
        <v>8.58</v>
      </c>
      <c r="I58" s="37" t="n">
        <v>9.192857142857143</v>
      </c>
      <c r="J58" s="37" t="n">
        <v>9.899999999999999</v>
      </c>
      <c r="K58" s="37" t="n">
        <v>10.725</v>
      </c>
      <c r="L58" s="37" t="n">
        <v>11.7</v>
      </c>
      <c r="M58" s="37" t="n">
        <v>12.87</v>
      </c>
      <c r="N58" s="37" t="n">
        <v>14.3</v>
      </c>
      <c r="O58" s="37" t="n">
        <v>16.0875</v>
      </c>
      <c r="P58" s="37" t="n">
        <v>18.38571428571429</v>
      </c>
      <c r="Q58" s="37" t="n">
        <v>21.45</v>
      </c>
      <c r="R58" s="37" t="n">
        <v>25.74</v>
      </c>
      <c r="S58" s="37" t="n">
        <v>32.175</v>
      </c>
      <c r="T58" s="37" t="n">
        <v>42.9</v>
      </c>
      <c r="U58" s="37" t="n">
        <v>64.34999999999999</v>
      </c>
      <c r="V58" s="37" t="n">
        <v>128.7</v>
      </c>
      <c r="W58" s="37" t="n">
        <v>16.05</v>
      </c>
      <c r="X58" s="37" t="n">
        <v>16.89473684210526</v>
      </c>
      <c r="Y58" s="37" t="n">
        <v>17.83333333333333</v>
      </c>
      <c r="Z58" s="37" t="n">
        <v>18.88235294117647</v>
      </c>
      <c r="AA58" s="37" t="n">
        <v>20.0625</v>
      </c>
      <c r="AB58" s="37" t="n">
        <v>21.4</v>
      </c>
      <c r="AC58" s="37" t="n">
        <v>22.92857142857143</v>
      </c>
      <c r="AD58" s="37" t="n">
        <v>24.69230769230769</v>
      </c>
      <c r="AE58" s="37" t="n">
        <v>26.75</v>
      </c>
      <c r="AF58" s="37" t="n">
        <v>29.18181818181818</v>
      </c>
      <c r="AG58" s="37" t="n">
        <v>32.1</v>
      </c>
      <c r="AH58" s="37" t="n">
        <v>35.66666666666666</v>
      </c>
      <c r="AI58" s="37" t="n">
        <v>40.125</v>
      </c>
      <c r="AJ58" s="37" t="n">
        <v>45.85714285714286</v>
      </c>
      <c r="AK58" s="37" t="n">
        <v>53.50000000000001</v>
      </c>
      <c r="AL58" s="37" t="n">
        <v>64.2</v>
      </c>
      <c r="AM58" s="37" t="n">
        <v>80.25</v>
      </c>
      <c r="AN58" s="37" t="n">
        <v>107</v>
      </c>
      <c r="AO58" s="37" t="n">
        <v>160.5</v>
      </c>
      <c r="AP58" s="37" t="n">
        <v>321</v>
      </c>
    </row>
    <row r="59">
      <c r="A59" s="5" t="inlineStr">
        <is>
          <t>P53</t>
        </is>
      </c>
      <c r="B59" s="5" t="inlineStr">
        <is>
          <t>Karitel</t>
        </is>
      </c>
      <c r="C59" s="37" t="n">
        <v>5.04</v>
      </c>
      <c r="D59" s="37" t="n">
        <v>5.305263157894737</v>
      </c>
      <c r="E59" s="37" t="n">
        <v>5.6</v>
      </c>
      <c r="F59" s="37" t="n">
        <v>5.929411764705883</v>
      </c>
      <c r="G59" s="37" t="n">
        <v>6.3</v>
      </c>
      <c r="H59" s="37" t="n">
        <v>6.72</v>
      </c>
      <c r="I59" s="37" t="n">
        <v>7.2</v>
      </c>
      <c r="J59" s="37" t="n">
        <v>7.753846153846154</v>
      </c>
      <c r="K59" s="37" t="n">
        <v>8.4</v>
      </c>
      <c r="L59" s="37" t="n">
        <v>9.163636363636362</v>
      </c>
      <c r="M59" s="37" t="n">
        <v>10.08</v>
      </c>
      <c r="N59" s="37" t="n">
        <v>11.2</v>
      </c>
      <c r="O59" s="37" t="n">
        <v>12.6</v>
      </c>
      <c r="P59" s="37" t="n">
        <v>14.4</v>
      </c>
      <c r="Q59" s="37" t="n">
        <v>16.8</v>
      </c>
      <c r="R59" s="37" t="n">
        <v>20.16</v>
      </c>
      <c r="S59" s="37" t="n">
        <v>25.2</v>
      </c>
      <c r="T59" s="37" t="n">
        <v>33.6</v>
      </c>
      <c r="U59" s="37" t="n">
        <v>50.4</v>
      </c>
      <c r="V59" s="37" t="n">
        <v>100.8</v>
      </c>
      <c r="W59" s="37" t="n">
        <v>10.94</v>
      </c>
      <c r="X59" s="37" t="n">
        <v>11.51578947368421</v>
      </c>
      <c r="Y59" s="37" t="n">
        <v>12.15555555555556</v>
      </c>
      <c r="Z59" s="37" t="n">
        <v>12.87058823529412</v>
      </c>
      <c r="AA59" s="37" t="n">
        <v>13.675</v>
      </c>
      <c r="AB59" s="37" t="n">
        <v>14.58666666666667</v>
      </c>
      <c r="AC59" s="37" t="n">
        <v>15.62857142857143</v>
      </c>
      <c r="AD59" s="37" t="n">
        <v>16.83076923076923</v>
      </c>
      <c r="AE59" s="37" t="n">
        <v>18.23333333333333</v>
      </c>
      <c r="AF59" s="37" t="n">
        <v>19.89090909090909</v>
      </c>
      <c r="AG59" s="37" t="n">
        <v>21.88</v>
      </c>
      <c r="AH59" s="37" t="n">
        <v>24.31111111111111</v>
      </c>
      <c r="AI59" s="37" t="n">
        <v>27.35</v>
      </c>
      <c r="AJ59" s="37" t="n">
        <v>31.25714285714286</v>
      </c>
      <c r="AK59" s="37" t="n">
        <v>36.46666666666667</v>
      </c>
      <c r="AL59" s="37" t="n">
        <v>43.76</v>
      </c>
      <c r="AM59" s="37" t="n">
        <v>54.7</v>
      </c>
      <c r="AN59" s="37" t="n">
        <v>72.93333333333334</v>
      </c>
      <c r="AO59" s="37" t="n">
        <v>109.4</v>
      </c>
      <c r="AP59" s="37" t="n">
        <v>218.8</v>
      </c>
    </row>
    <row r="60">
      <c r="A60" s="5" t="inlineStr">
        <is>
          <t>P54</t>
        </is>
      </c>
      <c r="B60" s="5" t="inlineStr">
        <is>
          <t>Karitel</t>
        </is>
      </c>
      <c r="C60" s="37" t="n">
        <v>5.9</v>
      </c>
      <c r="D60" s="37" t="n">
        <v>6.210526315789474</v>
      </c>
      <c r="E60" s="37" t="n">
        <v>6.555555555555555</v>
      </c>
      <c r="F60" s="37" t="n">
        <v>6.941176470588236</v>
      </c>
      <c r="G60" s="37" t="n">
        <v>7.375</v>
      </c>
      <c r="H60" s="37" t="n">
        <v>7.866666666666667</v>
      </c>
      <c r="I60" s="37" t="n">
        <v>8.428571428571429</v>
      </c>
      <c r="J60" s="37" t="n">
        <v>9.076923076923077</v>
      </c>
      <c r="K60" s="37" t="n">
        <v>9.833333333333334</v>
      </c>
      <c r="L60" s="37" t="n">
        <v>10.72727272727273</v>
      </c>
      <c r="M60" s="37" t="n">
        <v>11.8</v>
      </c>
      <c r="N60" s="37" t="n">
        <v>13.11111111111111</v>
      </c>
      <c r="O60" s="37" t="n">
        <v>14.75</v>
      </c>
      <c r="P60" s="37" t="n">
        <v>16.85714285714286</v>
      </c>
      <c r="Q60" s="37" t="n">
        <v>19.66666666666667</v>
      </c>
      <c r="R60" s="37" t="n">
        <v>23.6</v>
      </c>
      <c r="S60" s="37" t="n">
        <v>29.5</v>
      </c>
      <c r="T60" s="37" t="n">
        <v>39.33333333333334</v>
      </c>
      <c r="U60" s="37" t="n">
        <v>59</v>
      </c>
      <c r="V60" s="37" t="n">
        <v>118</v>
      </c>
      <c r="W60" s="37" t="n">
        <v>13.57</v>
      </c>
      <c r="X60" s="37" t="n">
        <v>14.28421052631579</v>
      </c>
      <c r="Y60" s="37" t="n">
        <v>15.07777777777778</v>
      </c>
      <c r="Z60" s="37" t="n">
        <v>15.96470588235294</v>
      </c>
      <c r="AA60" s="37" t="n">
        <v>16.9625</v>
      </c>
      <c r="AB60" s="37" t="n">
        <v>18.09333333333333</v>
      </c>
      <c r="AC60" s="37" t="n">
        <v>19.38571428571429</v>
      </c>
      <c r="AD60" s="37" t="n">
        <v>20.87692307692308</v>
      </c>
      <c r="AE60" s="37" t="n">
        <v>22.61666666666667</v>
      </c>
      <c r="AF60" s="37" t="n">
        <v>24.67272727272727</v>
      </c>
      <c r="AG60" s="37" t="n">
        <v>27.14</v>
      </c>
      <c r="AH60" s="37" t="n">
        <v>30.15555555555556</v>
      </c>
      <c r="AI60" s="37" t="n">
        <v>33.925</v>
      </c>
      <c r="AJ60" s="37" t="n">
        <v>38.77142857142857</v>
      </c>
      <c r="AK60" s="37" t="n">
        <v>45.23333333333333</v>
      </c>
      <c r="AL60" s="37" t="n">
        <v>54.28</v>
      </c>
      <c r="AM60" s="37" t="n">
        <v>67.84999999999999</v>
      </c>
      <c r="AN60" s="37" t="n">
        <v>90.46666666666667</v>
      </c>
      <c r="AO60" s="37" t="n">
        <v>135.7</v>
      </c>
      <c r="AP60" s="37" t="n">
        <v>271.4</v>
      </c>
    </row>
    <row r="61">
      <c r="A61" s="5" t="inlineStr">
        <is>
          <t>P55</t>
        </is>
      </c>
      <c r="B61" s="5" t="inlineStr">
        <is>
          <t>Karitel</t>
        </is>
      </c>
      <c r="C61" s="37" t="n">
        <v>6.42</v>
      </c>
      <c r="D61" s="37" t="n">
        <v>6.757894736842106</v>
      </c>
      <c r="E61" s="37" t="n">
        <v>7.133333333333333</v>
      </c>
      <c r="F61" s="37" t="n">
        <v>7.552941176470588</v>
      </c>
      <c r="G61" s="37" t="n">
        <v>8.024999999999999</v>
      </c>
      <c r="H61" s="37" t="n">
        <v>8.56</v>
      </c>
      <c r="I61" s="37" t="n">
        <v>9.171428571428573</v>
      </c>
      <c r="J61" s="37" t="n">
        <v>9.876923076923077</v>
      </c>
      <c r="K61" s="37" t="n">
        <v>10.7</v>
      </c>
      <c r="L61" s="37" t="n">
        <v>11.67272727272727</v>
      </c>
      <c r="M61" s="37" t="n">
        <v>12.84</v>
      </c>
      <c r="N61" s="37" t="n">
        <v>14.26666666666667</v>
      </c>
      <c r="O61" s="37" t="n">
        <v>16.05</v>
      </c>
      <c r="P61" s="37" t="n">
        <v>18.34285714285715</v>
      </c>
      <c r="Q61" s="37" t="n">
        <v>21.4</v>
      </c>
      <c r="R61" s="37" t="n">
        <v>25.68</v>
      </c>
      <c r="S61" s="37" t="n">
        <v>32.09999999999999</v>
      </c>
      <c r="T61" s="37" t="n">
        <v>42.8</v>
      </c>
      <c r="U61" s="37" t="n">
        <v>64.19999999999999</v>
      </c>
      <c r="V61" s="37" t="n">
        <v>128.4</v>
      </c>
      <c r="W61" s="37" t="n">
        <v>15.11</v>
      </c>
      <c r="X61" s="37" t="n">
        <v>15.90526315789474</v>
      </c>
      <c r="Y61" s="37" t="n">
        <v>16.78888888888889</v>
      </c>
      <c r="Z61" s="37" t="n">
        <v>17.77647058823529</v>
      </c>
      <c r="AA61" s="37" t="n">
        <v>18.8875</v>
      </c>
      <c r="AB61" s="37" t="n">
        <v>20.14666666666666</v>
      </c>
      <c r="AC61" s="37" t="n">
        <v>21.58571428571429</v>
      </c>
      <c r="AD61" s="37" t="n">
        <v>23.24615384615385</v>
      </c>
      <c r="AE61" s="37" t="n">
        <v>25.18333333333333</v>
      </c>
      <c r="AF61" s="37" t="n">
        <v>27.47272727272727</v>
      </c>
      <c r="AG61" s="37" t="n">
        <v>30.22</v>
      </c>
      <c r="AH61" s="37" t="n">
        <v>33.57777777777778</v>
      </c>
      <c r="AI61" s="37" t="n">
        <v>37.775</v>
      </c>
      <c r="AJ61" s="37" t="n">
        <v>43.17142857142857</v>
      </c>
      <c r="AK61" s="37" t="n">
        <v>50.36666666666667</v>
      </c>
      <c r="AL61" s="37" t="n">
        <v>60.44</v>
      </c>
      <c r="AM61" s="37" t="n">
        <v>75.55</v>
      </c>
      <c r="AN61" s="37" t="n">
        <v>100.7333333333333</v>
      </c>
      <c r="AO61" s="37" t="n">
        <v>151.1</v>
      </c>
      <c r="AP61" s="37" t="n">
        <v>302.2</v>
      </c>
    </row>
    <row r="62">
      <c r="A62" s="5" t="inlineStr">
        <is>
          <t>P56</t>
        </is>
      </c>
      <c r="B62" s="5" t="inlineStr">
        <is>
          <t>Karitel</t>
        </is>
      </c>
      <c r="C62" s="37" t="n">
        <v>5.775</v>
      </c>
      <c r="D62" s="37" t="n">
        <v>6.078947368421053</v>
      </c>
      <c r="E62" s="37" t="n">
        <v>6.416666666666667</v>
      </c>
      <c r="F62" s="37" t="n">
        <v>6.794117647058824</v>
      </c>
      <c r="G62" s="37" t="n">
        <v>7.21875</v>
      </c>
      <c r="H62" s="37" t="n">
        <v>7.7</v>
      </c>
      <c r="I62" s="37" t="n">
        <v>8.250000000000002</v>
      </c>
      <c r="J62" s="37" t="n">
        <v>8.884615384615385</v>
      </c>
      <c r="K62" s="37" t="n">
        <v>9.625000000000002</v>
      </c>
      <c r="L62" s="37" t="n">
        <v>10.5</v>
      </c>
      <c r="M62" s="37" t="n">
        <v>11.55</v>
      </c>
      <c r="N62" s="37" t="n">
        <v>12.83333333333333</v>
      </c>
      <c r="O62" s="37" t="n">
        <v>14.4375</v>
      </c>
      <c r="P62" s="37" t="n">
        <v>16.5</v>
      </c>
      <c r="Q62" s="37" t="n">
        <v>19.25</v>
      </c>
      <c r="R62" s="37" t="n">
        <v>23.1</v>
      </c>
      <c r="S62" s="37" t="n">
        <v>28.875</v>
      </c>
      <c r="T62" s="37" t="n">
        <v>38.50000000000001</v>
      </c>
      <c r="U62" s="37" t="n">
        <v>57.75</v>
      </c>
      <c r="V62" s="37" t="n">
        <v>115.5</v>
      </c>
      <c r="W62" s="37" t="n">
        <v>15.57</v>
      </c>
      <c r="X62" s="37" t="n">
        <v>16.38947368421053</v>
      </c>
      <c r="Y62" s="37" t="n">
        <v>17.3</v>
      </c>
      <c r="Z62" s="37" t="n">
        <v>18.31764705882353</v>
      </c>
      <c r="AA62" s="37" t="n">
        <v>19.4625</v>
      </c>
      <c r="AB62" s="37" t="n">
        <v>20.76</v>
      </c>
      <c r="AC62" s="37" t="n">
        <v>22.24285714285714</v>
      </c>
      <c r="AD62" s="37" t="n">
        <v>23.95384615384615</v>
      </c>
      <c r="AE62" s="37" t="n">
        <v>25.95</v>
      </c>
      <c r="AF62" s="37" t="n">
        <v>28.30909090909091</v>
      </c>
      <c r="AG62" s="37" t="n">
        <v>31.14</v>
      </c>
      <c r="AH62" s="37" t="n">
        <v>34.6</v>
      </c>
      <c r="AI62" s="37" t="n">
        <v>38.925</v>
      </c>
      <c r="AJ62" s="37" t="n">
        <v>44.48571428571429</v>
      </c>
      <c r="AK62" s="37" t="n">
        <v>51.90000000000001</v>
      </c>
      <c r="AL62" s="37" t="n">
        <v>62.28</v>
      </c>
      <c r="AM62" s="37" t="n">
        <v>77.84999999999999</v>
      </c>
      <c r="AN62" s="37" t="n">
        <v>103.8</v>
      </c>
      <c r="AO62" s="37" t="n">
        <v>155.7</v>
      </c>
      <c r="AP62" s="37" t="n">
        <v>311.4</v>
      </c>
    </row>
    <row r="63">
      <c r="A63" s="5" t="inlineStr">
        <is>
          <t>P57</t>
        </is>
      </c>
      <c r="B63" s="5" t="inlineStr">
        <is>
          <t>Karitel</t>
        </is>
      </c>
      <c r="C63" s="37" t="n">
        <v>6.65</v>
      </c>
      <c r="D63" s="37" t="n">
        <v>7.000000000000001</v>
      </c>
      <c r="E63" s="37" t="n">
        <v>7.388888888888889</v>
      </c>
      <c r="F63" s="37" t="n">
        <v>7.823529411764707</v>
      </c>
      <c r="G63" s="37" t="n">
        <v>8.3125</v>
      </c>
      <c r="H63" s="37" t="n">
        <v>8.866666666666667</v>
      </c>
      <c r="I63" s="37" t="n">
        <v>9.500000000000002</v>
      </c>
      <c r="J63" s="37" t="n">
        <v>10.23076923076923</v>
      </c>
      <c r="K63" s="37" t="n">
        <v>11.08333333333333</v>
      </c>
      <c r="L63" s="37" t="n">
        <v>12.09090909090909</v>
      </c>
      <c r="M63" s="37" t="n">
        <v>13.3</v>
      </c>
      <c r="N63" s="37" t="n">
        <v>14.77777777777778</v>
      </c>
      <c r="O63" s="37" t="n">
        <v>16.625</v>
      </c>
      <c r="P63" s="37" t="n">
        <v>19</v>
      </c>
      <c r="Q63" s="37" t="n">
        <v>22.16666666666667</v>
      </c>
      <c r="R63" s="37" t="n">
        <v>26.6</v>
      </c>
      <c r="S63" s="37" t="n">
        <v>33.25</v>
      </c>
      <c r="T63" s="37" t="n">
        <v>44.33333333333334</v>
      </c>
      <c r="U63" s="37" t="n">
        <v>66.5</v>
      </c>
      <c r="V63" s="37" t="n">
        <v>133</v>
      </c>
      <c r="W63" s="37" t="n">
        <v>15.11</v>
      </c>
      <c r="X63" s="37" t="n">
        <v>15.90526315789474</v>
      </c>
      <c r="Y63" s="37" t="n">
        <v>16.78888888888889</v>
      </c>
      <c r="Z63" s="37" t="n">
        <v>17.77647058823529</v>
      </c>
      <c r="AA63" s="37" t="n">
        <v>18.8875</v>
      </c>
      <c r="AB63" s="37" t="n">
        <v>20.14666666666666</v>
      </c>
      <c r="AC63" s="37" t="n">
        <v>21.58571428571429</v>
      </c>
      <c r="AD63" s="37" t="n">
        <v>23.24615384615385</v>
      </c>
      <c r="AE63" s="37" t="n">
        <v>25.18333333333333</v>
      </c>
      <c r="AF63" s="37" t="n">
        <v>27.47272727272727</v>
      </c>
      <c r="AG63" s="37" t="n">
        <v>30.22</v>
      </c>
      <c r="AH63" s="37" t="n">
        <v>33.57777777777778</v>
      </c>
      <c r="AI63" s="37" t="n">
        <v>37.775</v>
      </c>
      <c r="AJ63" s="37" t="n">
        <v>43.17142857142857</v>
      </c>
      <c r="AK63" s="37" t="n">
        <v>50.36666666666667</v>
      </c>
      <c r="AL63" s="37" t="n">
        <v>60.44</v>
      </c>
      <c r="AM63" s="37" t="n">
        <v>75.55</v>
      </c>
      <c r="AN63" s="37" t="n">
        <v>100.7333333333333</v>
      </c>
      <c r="AO63" s="37" t="n">
        <v>151.1</v>
      </c>
      <c r="AP63" s="37" t="n">
        <v>302.2</v>
      </c>
    </row>
    <row r="64">
      <c r="A64" s="5" t="inlineStr">
        <is>
          <t>P58</t>
        </is>
      </c>
      <c r="B64" s="5" t="inlineStr">
        <is>
          <t>Karitel</t>
        </is>
      </c>
      <c r="C64" s="37" t="n">
        <v>6.65</v>
      </c>
      <c r="D64" s="37" t="n">
        <v>7.000000000000001</v>
      </c>
      <c r="E64" s="37" t="n">
        <v>7.388888888888889</v>
      </c>
      <c r="F64" s="37" t="n">
        <v>7.823529411764707</v>
      </c>
      <c r="G64" s="37" t="n">
        <v>8.3125</v>
      </c>
      <c r="H64" s="37" t="n">
        <v>8.866666666666667</v>
      </c>
      <c r="I64" s="37" t="n">
        <v>9.500000000000002</v>
      </c>
      <c r="J64" s="37" t="n">
        <v>10.23076923076923</v>
      </c>
      <c r="K64" s="37" t="n">
        <v>11.08333333333333</v>
      </c>
      <c r="L64" s="37" t="n">
        <v>12.09090909090909</v>
      </c>
      <c r="M64" s="37" t="n">
        <v>13.3</v>
      </c>
      <c r="N64" s="37" t="n">
        <v>14.77777777777778</v>
      </c>
      <c r="O64" s="37" t="n">
        <v>16.625</v>
      </c>
      <c r="P64" s="37" t="n">
        <v>19</v>
      </c>
      <c r="Q64" s="37" t="n">
        <v>22.16666666666667</v>
      </c>
      <c r="R64" s="37" t="n">
        <v>26.6</v>
      </c>
      <c r="S64" s="37" t="n">
        <v>33.25</v>
      </c>
      <c r="T64" s="37" t="n">
        <v>44.33333333333334</v>
      </c>
      <c r="U64" s="37" t="n">
        <v>66.5</v>
      </c>
      <c r="V64" s="37" t="n">
        <v>133</v>
      </c>
      <c r="W64" s="37" t="n">
        <v>15.11</v>
      </c>
      <c r="X64" s="37" t="n">
        <v>15.90526315789474</v>
      </c>
      <c r="Y64" s="37" t="n">
        <v>16.78888888888889</v>
      </c>
      <c r="Z64" s="37" t="n">
        <v>17.77647058823529</v>
      </c>
      <c r="AA64" s="37" t="n">
        <v>18.8875</v>
      </c>
      <c r="AB64" s="37" t="n">
        <v>20.14666666666666</v>
      </c>
      <c r="AC64" s="37" t="n">
        <v>21.58571428571429</v>
      </c>
      <c r="AD64" s="37" t="n">
        <v>23.24615384615385</v>
      </c>
      <c r="AE64" s="37" t="n">
        <v>25.18333333333333</v>
      </c>
      <c r="AF64" s="37" t="n">
        <v>27.47272727272727</v>
      </c>
      <c r="AG64" s="37" t="n">
        <v>30.22</v>
      </c>
      <c r="AH64" s="37" t="n">
        <v>33.57777777777778</v>
      </c>
      <c r="AI64" s="37" t="n">
        <v>37.775</v>
      </c>
      <c r="AJ64" s="37" t="n">
        <v>43.17142857142857</v>
      </c>
      <c r="AK64" s="37" t="n">
        <v>50.36666666666667</v>
      </c>
      <c r="AL64" s="37" t="n">
        <v>60.44</v>
      </c>
      <c r="AM64" s="37" t="n">
        <v>75.55</v>
      </c>
      <c r="AN64" s="37" t="n">
        <v>100.7333333333333</v>
      </c>
      <c r="AO64" s="37" t="n">
        <v>151.1</v>
      </c>
      <c r="AP64" s="37" t="n">
        <v>302.2</v>
      </c>
    </row>
    <row r="65">
      <c r="A65" s="5" t="inlineStr">
        <is>
          <t>P59</t>
        </is>
      </c>
      <c r="B65" s="5" t="inlineStr">
        <is>
          <t>Karitel</t>
        </is>
      </c>
      <c r="C65" s="37" t="n">
        <v>6.16</v>
      </c>
      <c r="D65" s="37" t="n">
        <v>6.48421052631579</v>
      </c>
      <c r="E65" s="37" t="n">
        <v>6.844444444444444</v>
      </c>
      <c r="F65" s="37" t="n">
        <v>7.247058823529412</v>
      </c>
      <c r="G65" s="37" t="n">
        <v>7.7</v>
      </c>
      <c r="H65" s="37" t="n">
        <v>8.213333333333333</v>
      </c>
      <c r="I65" s="37" t="n">
        <v>8.800000000000001</v>
      </c>
      <c r="J65" s="37" t="n">
        <v>9.476923076923077</v>
      </c>
      <c r="K65" s="37" t="n">
        <v>10.26666666666667</v>
      </c>
      <c r="L65" s="37" t="n">
        <v>11.2</v>
      </c>
      <c r="M65" s="37" t="n">
        <v>12.32</v>
      </c>
      <c r="N65" s="37" t="n">
        <v>13.68888888888889</v>
      </c>
      <c r="O65" s="37" t="n">
        <v>15.4</v>
      </c>
      <c r="P65" s="37" t="n">
        <v>17.6</v>
      </c>
      <c r="Q65" s="37" t="n">
        <v>20.53333333333333</v>
      </c>
      <c r="R65" s="37" t="n">
        <v>24.64</v>
      </c>
      <c r="S65" s="37" t="n">
        <v>30.8</v>
      </c>
      <c r="T65" s="37" t="n">
        <v>41.06666666666667</v>
      </c>
      <c r="U65" s="37" t="n">
        <v>61.6</v>
      </c>
      <c r="V65" s="37" t="n">
        <v>123.2</v>
      </c>
      <c r="W65" s="37" t="n">
        <v>14.8</v>
      </c>
      <c r="X65" s="37" t="n">
        <v>15.57894736842105</v>
      </c>
      <c r="Y65" s="37" t="n">
        <v>16.44444444444445</v>
      </c>
      <c r="Z65" s="37" t="n">
        <v>17.41176470588236</v>
      </c>
      <c r="AA65" s="37" t="n">
        <v>18.5</v>
      </c>
      <c r="AB65" s="37" t="n">
        <v>19.73333333333333</v>
      </c>
      <c r="AC65" s="37" t="n">
        <v>21.14285714285715</v>
      </c>
      <c r="AD65" s="37" t="n">
        <v>22.76923076923077</v>
      </c>
      <c r="AE65" s="37" t="n">
        <v>24.66666666666667</v>
      </c>
      <c r="AF65" s="37" t="n">
        <v>26.90909090909091</v>
      </c>
      <c r="AG65" s="37" t="n">
        <v>29.6</v>
      </c>
      <c r="AH65" s="37" t="n">
        <v>32.88888888888889</v>
      </c>
      <c r="AI65" s="37" t="n">
        <v>37</v>
      </c>
      <c r="AJ65" s="37" t="n">
        <v>42.28571428571428</v>
      </c>
      <c r="AK65" s="37" t="n">
        <v>49.33333333333334</v>
      </c>
      <c r="AL65" s="37" t="n">
        <v>59.2</v>
      </c>
      <c r="AM65" s="37" t="n">
        <v>74</v>
      </c>
      <c r="AN65" s="37" t="n">
        <v>98.66666666666666</v>
      </c>
      <c r="AO65" s="37" t="n">
        <v>148</v>
      </c>
      <c r="AP65" s="37" t="n">
        <v>295.9999999999999</v>
      </c>
    </row>
    <row r="66">
      <c r="A66" s="5" t="inlineStr">
        <is>
          <t>P60</t>
        </is>
      </c>
      <c r="B66" s="5" t="inlineStr">
        <is>
          <t>Karitel</t>
        </is>
      </c>
      <c r="C66" s="37" t="n">
        <v>6.37</v>
      </c>
      <c r="D66" s="37" t="n">
        <v>6.705263157894738</v>
      </c>
      <c r="E66" s="37" t="n">
        <v>7.077777777777778</v>
      </c>
      <c r="F66" s="37" t="n">
        <v>7.494117647058824</v>
      </c>
      <c r="G66" s="37" t="n">
        <v>7.962499999999999</v>
      </c>
      <c r="H66" s="37" t="n">
        <v>8.493333333333334</v>
      </c>
      <c r="I66" s="37" t="n">
        <v>9.100000000000001</v>
      </c>
      <c r="J66" s="37" t="n">
        <v>9.800000000000001</v>
      </c>
      <c r="K66" s="37" t="n">
        <v>10.61666666666667</v>
      </c>
      <c r="L66" s="37" t="n">
        <v>11.58181818181818</v>
      </c>
      <c r="M66" s="37" t="n">
        <v>12.74</v>
      </c>
      <c r="N66" s="37" t="n">
        <v>14.15555555555556</v>
      </c>
      <c r="O66" s="37" t="n">
        <v>15.925</v>
      </c>
      <c r="P66" s="37" t="n">
        <v>18.2</v>
      </c>
      <c r="Q66" s="37" t="n">
        <v>21.23333333333333</v>
      </c>
      <c r="R66" s="37" t="n">
        <v>25.48</v>
      </c>
      <c r="S66" s="37" t="n">
        <v>31.85</v>
      </c>
      <c r="T66" s="37" t="n">
        <v>42.46666666666667</v>
      </c>
      <c r="U66" s="37" t="n">
        <v>63.7</v>
      </c>
      <c r="V66" s="37" t="n">
        <v>127.4</v>
      </c>
      <c r="W66" s="37" t="n">
        <v>15.11</v>
      </c>
      <c r="X66" s="37" t="n">
        <v>15.90526315789474</v>
      </c>
      <c r="Y66" s="37" t="n">
        <v>16.78888888888889</v>
      </c>
      <c r="Z66" s="37" t="n">
        <v>17.77647058823529</v>
      </c>
      <c r="AA66" s="37" t="n">
        <v>18.8875</v>
      </c>
      <c r="AB66" s="37" t="n">
        <v>20.14666666666666</v>
      </c>
      <c r="AC66" s="37" t="n">
        <v>21.58571428571429</v>
      </c>
      <c r="AD66" s="37" t="n">
        <v>23.24615384615385</v>
      </c>
      <c r="AE66" s="37" t="n">
        <v>25.18333333333333</v>
      </c>
      <c r="AF66" s="37" t="n">
        <v>27.47272727272727</v>
      </c>
      <c r="AG66" s="37" t="n">
        <v>30.22</v>
      </c>
      <c r="AH66" s="37" t="n">
        <v>33.57777777777778</v>
      </c>
      <c r="AI66" s="37" t="n">
        <v>37.775</v>
      </c>
      <c r="AJ66" s="37" t="n">
        <v>43.17142857142857</v>
      </c>
      <c r="AK66" s="37" t="n">
        <v>50.36666666666667</v>
      </c>
      <c r="AL66" s="37" t="n">
        <v>60.44</v>
      </c>
      <c r="AM66" s="37" t="n">
        <v>75.55</v>
      </c>
      <c r="AN66" s="37" t="n">
        <v>100.7333333333333</v>
      </c>
      <c r="AO66" s="37" t="n">
        <v>151.1</v>
      </c>
      <c r="AP66" s="37" t="n">
        <v>302.2</v>
      </c>
    </row>
    <row r="67">
      <c r="A67" s="5" t="inlineStr">
        <is>
          <t>P61</t>
        </is>
      </c>
      <c r="B67" s="5" t="inlineStr">
        <is>
          <t>Karitel</t>
        </is>
      </c>
      <c r="C67" s="37" t="n">
        <v>6.23</v>
      </c>
      <c r="D67" s="37" t="n">
        <v>6.557894736842106</v>
      </c>
      <c r="E67" s="37" t="n">
        <v>6.922222222222222</v>
      </c>
      <c r="F67" s="37" t="n">
        <v>7.329411764705883</v>
      </c>
      <c r="G67" s="37" t="n">
        <v>7.787500000000001</v>
      </c>
      <c r="H67" s="37" t="n">
        <v>8.306666666666667</v>
      </c>
      <c r="I67" s="37" t="n">
        <v>8.9</v>
      </c>
      <c r="J67" s="37" t="n">
        <v>9.584615384615384</v>
      </c>
      <c r="K67" s="37" t="n">
        <v>10.38333333333333</v>
      </c>
      <c r="L67" s="37" t="n">
        <v>11.32727272727273</v>
      </c>
      <c r="M67" s="37" t="n">
        <v>12.46</v>
      </c>
      <c r="N67" s="37" t="n">
        <v>13.84444444444444</v>
      </c>
      <c r="O67" s="37" t="n">
        <v>15.575</v>
      </c>
      <c r="P67" s="37" t="n">
        <v>17.8</v>
      </c>
      <c r="Q67" s="37" t="n">
        <v>20.76666666666667</v>
      </c>
      <c r="R67" s="37" t="n">
        <v>24.92</v>
      </c>
      <c r="S67" s="37" t="n">
        <v>31.15</v>
      </c>
      <c r="T67" s="37" t="n">
        <v>41.53333333333334</v>
      </c>
      <c r="U67" s="37" t="n">
        <v>62.3</v>
      </c>
      <c r="V67" s="37" t="n">
        <v>124.6</v>
      </c>
      <c r="W67" s="37" t="n">
        <v>14.8</v>
      </c>
      <c r="X67" s="37" t="n">
        <v>15.57894736842105</v>
      </c>
      <c r="Y67" s="37" t="n">
        <v>16.44444444444445</v>
      </c>
      <c r="Z67" s="37" t="n">
        <v>17.41176470588236</v>
      </c>
      <c r="AA67" s="37" t="n">
        <v>18.5</v>
      </c>
      <c r="AB67" s="37" t="n">
        <v>19.73333333333333</v>
      </c>
      <c r="AC67" s="37" t="n">
        <v>21.14285714285715</v>
      </c>
      <c r="AD67" s="37" t="n">
        <v>22.76923076923077</v>
      </c>
      <c r="AE67" s="37" t="n">
        <v>24.66666666666667</v>
      </c>
      <c r="AF67" s="37" t="n">
        <v>26.90909090909091</v>
      </c>
      <c r="AG67" s="37" t="n">
        <v>29.6</v>
      </c>
      <c r="AH67" s="37" t="n">
        <v>32.88888888888889</v>
      </c>
      <c r="AI67" s="37" t="n">
        <v>37</v>
      </c>
      <c r="AJ67" s="37" t="n">
        <v>42.28571428571428</v>
      </c>
      <c r="AK67" s="37" t="n">
        <v>49.33333333333334</v>
      </c>
      <c r="AL67" s="37" t="n">
        <v>59.2</v>
      </c>
      <c r="AM67" s="37" t="n">
        <v>74</v>
      </c>
      <c r="AN67" s="37" t="n">
        <v>98.66666666666666</v>
      </c>
      <c r="AO67" s="37" t="n">
        <v>148</v>
      </c>
      <c r="AP67" s="37" t="n">
        <v>295.9999999999999</v>
      </c>
    </row>
    <row r="68">
      <c r="A68" s="5" t="inlineStr">
        <is>
          <t>P62</t>
        </is>
      </c>
      <c r="B68" s="5" t="inlineStr">
        <is>
          <t>Karitel</t>
        </is>
      </c>
      <c r="C68" s="37" t="n">
        <v>6.435</v>
      </c>
      <c r="D68" s="37" t="n">
        <v>6.773684210526316</v>
      </c>
      <c r="E68" s="37" t="n">
        <v>7.149999999999999</v>
      </c>
      <c r="F68" s="37" t="n">
        <v>7.570588235294117</v>
      </c>
      <c r="G68" s="37" t="n">
        <v>8.043749999999999</v>
      </c>
      <c r="H68" s="37" t="n">
        <v>8.58</v>
      </c>
      <c r="I68" s="37" t="n">
        <v>9.192857142857143</v>
      </c>
      <c r="J68" s="37" t="n">
        <v>9.899999999999999</v>
      </c>
      <c r="K68" s="37" t="n">
        <v>10.725</v>
      </c>
      <c r="L68" s="37" t="n">
        <v>11.7</v>
      </c>
      <c r="M68" s="37" t="n">
        <v>12.87</v>
      </c>
      <c r="N68" s="37" t="n">
        <v>14.3</v>
      </c>
      <c r="O68" s="37" t="n">
        <v>16.0875</v>
      </c>
      <c r="P68" s="37" t="n">
        <v>18.38571428571429</v>
      </c>
      <c r="Q68" s="37" t="n">
        <v>21.45</v>
      </c>
      <c r="R68" s="37" t="n">
        <v>25.74</v>
      </c>
      <c r="S68" s="37" t="n">
        <v>32.175</v>
      </c>
      <c r="T68" s="37" t="n">
        <v>42.9</v>
      </c>
      <c r="U68" s="37" t="n">
        <v>64.34999999999999</v>
      </c>
      <c r="V68" s="37" t="n">
        <v>128.7</v>
      </c>
      <c r="W68" s="37" t="n">
        <v>14.65</v>
      </c>
      <c r="X68" s="37" t="n">
        <v>15.42105263157895</v>
      </c>
      <c r="Y68" s="37" t="n">
        <v>16.27777777777778</v>
      </c>
      <c r="Z68" s="37" t="n">
        <v>17.23529411764706</v>
      </c>
      <c r="AA68" s="37" t="n">
        <v>18.3125</v>
      </c>
      <c r="AB68" s="37" t="n">
        <v>19.53333333333333</v>
      </c>
      <c r="AC68" s="37" t="n">
        <v>20.92857142857143</v>
      </c>
      <c r="AD68" s="37" t="n">
        <v>22.53846153846154</v>
      </c>
      <c r="AE68" s="37" t="n">
        <v>24.41666666666667</v>
      </c>
      <c r="AF68" s="37" t="n">
        <v>26.63636363636363</v>
      </c>
      <c r="AG68" s="37" t="n">
        <v>29.3</v>
      </c>
      <c r="AH68" s="37" t="n">
        <v>32.55555555555555</v>
      </c>
      <c r="AI68" s="37" t="n">
        <v>36.625</v>
      </c>
      <c r="AJ68" s="37" t="n">
        <v>41.85714285714285</v>
      </c>
      <c r="AK68" s="37" t="n">
        <v>48.83333333333334</v>
      </c>
      <c r="AL68" s="37" t="n">
        <v>58.59999999999999</v>
      </c>
      <c r="AM68" s="37" t="n">
        <v>73.25</v>
      </c>
      <c r="AN68" s="37" t="n">
        <v>97.66666666666666</v>
      </c>
      <c r="AO68" s="37" t="n">
        <v>146.5</v>
      </c>
      <c r="AP68" s="37" t="n">
        <v>292.9999999999999</v>
      </c>
    </row>
    <row r="69">
      <c r="A69" s="5" t="inlineStr">
        <is>
          <t>P63</t>
        </is>
      </c>
      <c r="B69" s="5" t="inlineStr">
        <is>
          <t>Karitel</t>
        </is>
      </c>
      <c r="C69" s="37" t="n">
        <v>3.535</v>
      </c>
      <c r="D69" s="37" t="n">
        <v>3.721052631578948</v>
      </c>
      <c r="E69" s="37" t="n">
        <v>3.927777777777778</v>
      </c>
      <c r="F69" s="37" t="n">
        <v>4.158823529411765</v>
      </c>
      <c r="G69" s="37" t="n">
        <v>4.41875</v>
      </c>
      <c r="H69" s="37" t="n">
        <v>4.713333333333334</v>
      </c>
      <c r="I69" s="37" t="n">
        <v>5.050000000000001</v>
      </c>
      <c r="J69" s="37" t="n">
        <v>5.438461538461539</v>
      </c>
      <c r="K69" s="37" t="n">
        <v>5.891666666666667</v>
      </c>
      <c r="L69" s="37" t="n">
        <v>6.427272727272727</v>
      </c>
      <c r="M69" s="37" t="n">
        <v>7.07</v>
      </c>
      <c r="N69" s="37" t="n">
        <v>7.855555555555556</v>
      </c>
      <c r="O69" s="37" t="n">
        <v>8.8375</v>
      </c>
      <c r="P69" s="37" t="n">
        <v>10.1</v>
      </c>
      <c r="Q69" s="37" t="n">
        <v>11.78333333333333</v>
      </c>
      <c r="R69" s="37" t="n">
        <v>14.14</v>
      </c>
      <c r="S69" s="37" t="n">
        <v>17.675</v>
      </c>
      <c r="T69" s="37" t="n">
        <v>23.56666666666667</v>
      </c>
      <c r="U69" s="37" t="n">
        <v>35.35</v>
      </c>
      <c r="V69" s="37" t="n">
        <v>70.7</v>
      </c>
      <c r="W69" s="37" t="n">
        <v>7.33</v>
      </c>
      <c r="X69" s="37" t="n">
        <v>7.715789473684211</v>
      </c>
      <c r="Y69" s="37" t="n">
        <v>8.144444444444444</v>
      </c>
      <c r="Z69" s="37" t="n">
        <v>8.623529411764705</v>
      </c>
      <c r="AA69" s="37" t="n">
        <v>9.1625</v>
      </c>
      <c r="AB69" s="37" t="n">
        <v>9.773333333333333</v>
      </c>
      <c r="AC69" s="37" t="n">
        <v>10.47142857142857</v>
      </c>
      <c r="AD69" s="37" t="n">
        <v>11.27692307692308</v>
      </c>
      <c r="AE69" s="37" t="n">
        <v>12.21666666666667</v>
      </c>
      <c r="AF69" s="37" t="n">
        <v>13.32727272727273</v>
      </c>
      <c r="AG69" s="37" t="n">
        <v>14.66</v>
      </c>
      <c r="AH69" s="37" t="n">
        <v>16.28888888888889</v>
      </c>
      <c r="AI69" s="37" t="n">
        <v>18.325</v>
      </c>
      <c r="AJ69" s="37" t="n">
        <v>20.94285714285714</v>
      </c>
      <c r="AK69" s="37" t="n">
        <v>24.43333333333333</v>
      </c>
      <c r="AL69" s="37" t="n">
        <v>29.32</v>
      </c>
      <c r="AM69" s="37" t="n">
        <v>36.65</v>
      </c>
      <c r="AN69" s="37" t="n">
        <v>48.86666666666666</v>
      </c>
      <c r="AO69" s="37" t="n">
        <v>73.3</v>
      </c>
      <c r="AP69" s="37" t="n">
        <v>146.6</v>
      </c>
    </row>
    <row r="70">
      <c r="A70" s="5" t="inlineStr">
        <is>
          <t>P64</t>
        </is>
      </c>
      <c r="B70" s="5" t="inlineStr">
        <is>
          <t>Karitel</t>
        </is>
      </c>
      <c r="C70" s="37" t="n">
        <v>5.25</v>
      </c>
      <c r="D70" s="37" t="n">
        <v>5.526315789473684</v>
      </c>
      <c r="E70" s="37" t="n">
        <v>5.833333333333333</v>
      </c>
      <c r="F70" s="37" t="n">
        <v>6.176470588235294</v>
      </c>
      <c r="G70" s="37" t="n">
        <v>6.5625</v>
      </c>
      <c r="H70" s="37" t="n">
        <v>7</v>
      </c>
      <c r="I70" s="37" t="n">
        <v>7.500000000000001</v>
      </c>
      <c r="J70" s="37" t="n">
        <v>8.076923076923077</v>
      </c>
      <c r="K70" s="37" t="n">
        <v>8.75</v>
      </c>
      <c r="L70" s="37" t="n">
        <v>9.545454545454545</v>
      </c>
      <c r="M70" s="37" t="n">
        <v>10.5</v>
      </c>
      <c r="N70" s="37" t="n">
        <v>11.66666666666667</v>
      </c>
      <c r="O70" s="37" t="n">
        <v>13.125</v>
      </c>
      <c r="P70" s="37" t="n">
        <v>15</v>
      </c>
      <c r="Q70" s="37" t="n">
        <v>17.5</v>
      </c>
      <c r="R70" s="37" t="n">
        <v>21</v>
      </c>
      <c r="S70" s="37" t="n">
        <v>26.25</v>
      </c>
      <c r="T70" s="37" t="n">
        <v>35</v>
      </c>
      <c r="U70" s="37" t="n">
        <v>52.5</v>
      </c>
      <c r="V70" s="37" t="n">
        <v>105</v>
      </c>
      <c r="W70" s="37" t="n">
        <v>11.22</v>
      </c>
      <c r="X70" s="37" t="n">
        <v>11.81052631578948</v>
      </c>
      <c r="Y70" s="37" t="n">
        <v>12.46666666666667</v>
      </c>
      <c r="Z70" s="37" t="n">
        <v>13.2</v>
      </c>
      <c r="AA70" s="37" t="n">
        <v>14.025</v>
      </c>
      <c r="AB70" s="37" t="n">
        <v>14.96</v>
      </c>
      <c r="AC70" s="37" t="n">
        <v>16.02857142857143</v>
      </c>
      <c r="AD70" s="37" t="n">
        <v>17.26153846153846</v>
      </c>
      <c r="AE70" s="37" t="n">
        <v>18.7</v>
      </c>
      <c r="AF70" s="37" t="n">
        <v>20.4</v>
      </c>
      <c r="AG70" s="37" t="n">
        <v>22.44</v>
      </c>
      <c r="AH70" s="37" t="n">
        <v>24.93333333333333</v>
      </c>
      <c r="AI70" s="37" t="n">
        <v>28.05</v>
      </c>
      <c r="AJ70" s="37" t="n">
        <v>32.05714285714286</v>
      </c>
      <c r="AK70" s="37" t="n">
        <v>37.40000000000001</v>
      </c>
      <c r="AL70" s="37" t="n">
        <v>44.88000000000001</v>
      </c>
      <c r="AM70" s="37" t="n">
        <v>56.1</v>
      </c>
      <c r="AN70" s="37" t="n">
        <v>74.80000000000003</v>
      </c>
      <c r="AO70" s="37" t="n">
        <v>112.2</v>
      </c>
      <c r="AP70" s="37" t="n">
        <v>224.4000000000001</v>
      </c>
    </row>
    <row r="71">
      <c r="A71" s="5" t="inlineStr">
        <is>
          <t>P65</t>
        </is>
      </c>
      <c r="B71" s="5" t="inlineStr">
        <is>
          <t>Karitel</t>
        </is>
      </c>
      <c r="C71" s="37" t="n">
        <v>7.14</v>
      </c>
      <c r="D71" s="37" t="n">
        <v>7.515789473684211</v>
      </c>
      <c r="E71" s="37" t="n">
        <v>7.933333333333333</v>
      </c>
      <c r="F71" s="37" t="n">
        <v>8.4</v>
      </c>
      <c r="G71" s="37" t="n">
        <v>8.924999999999999</v>
      </c>
      <c r="H71" s="37" t="n">
        <v>9.52</v>
      </c>
      <c r="I71" s="37" t="n">
        <v>10.2</v>
      </c>
      <c r="J71" s="37" t="n">
        <v>10.98461538461538</v>
      </c>
      <c r="K71" s="37" t="n">
        <v>11.9</v>
      </c>
      <c r="L71" s="37" t="n">
        <v>12.98181818181818</v>
      </c>
      <c r="M71" s="37" t="n">
        <v>14.28</v>
      </c>
      <c r="N71" s="37" t="n">
        <v>15.86666666666667</v>
      </c>
      <c r="O71" s="37" t="n">
        <v>17.85</v>
      </c>
      <c r="P71" s="37" t="n">
        <v>20.4</v>
      </c>
      <c r="Q71" s="37" t="n">
        <v>23.8</v>
      </c>
      <c r="R71" s="37" t="n">
        <v>28.56</v>
      </c>
      <c r="S71" s="37" t="n">
        <v>35.7</v>
      </c>
      <c r="T71" s="37" t="n">
        <v>47.6</v>
      </c>
      <c r="U71" s="37" t="n">
        <v>71.39999999999999</v>
      </c>
      <c r="V71" s="37" t="n">
        <v>142.8</v>
      </c>
      <c r="W71" s="37" t="n">
        <v>15.47</v>
      </c>
      <c r="X71" s="37" t="n">
        <v>16.28421052631579</v>
      </c>
      <c r="Y71" s="37" t="n">
        <v>17.18888888888889</v>
      </c>
      <c r="Z71" s="37" t="n">
        <v>18.2</v>
      </c>
      <c r="AA71" s="37" t="n">
        <v>19.3375</v>
      </c>
      <c r="AB71" s="37" t="n">
        <v>20.62666666666667</v>
      </c>
      <c r="AC71" s="37" t="n">
        <v>22.1</v>
      </c>
      <c r="AD71" s="37" t="n">
        <v>23.8</v>
      </c>
      <c r="AE71" s="37" t="n">
        <v>25.78333333333333</v>
      </c>
      <c r="AF71" s="37" t="n">
        <v>28.12727272727273</v>
      </c>
      <c r="AG71" s="37" t="n">
        <v>30.94</v>
      </c>
      <c r="AH71" s="37" t="n">
        <v>34.37777777777778</v>
      </c>
      <c r="AI71" s="37" t="n">
        <v>38.675</v>
      </c>
      <c r="AJ71" s="37" t="n">
        <v>44.2</v>
      </c>
      <c r="AK71" s="37" t="n">
        <v>51.56666666666667</v>
      </c>
      <c r="AL71" s="37" t="n">
        <v>61.88</v>
      </c>
      <c r="AM71" s="37" t="n">
        <v>77.34999999999999</v>
      </c>
      <c r="AN71" s="37" t="n">
        <v>103.1333333333333</v>
      </c>
      <c r="AO71" s="37" t="n">
        <v>154.7</v>
      </c>
      <c r="AP71" s="37" t="n">
        <v>309.4</v>
      </c>
    </row>
    <row r="72">
      <c r="A72" s="5" t="inlineStr">
        <is>
          <t>P66</t>
        </is>
      </c>
      <c r="B72" s="5" t="inlineStr">
        <is>
          <t>Karitel</t>
        </is>
      </c>
      <c r="C72" s="37" t="n">
        <v>5.665</v>
      </c>
      <c r="D72" s="37" t="n">
        <v>5.963157894736843</v>
      </c>
      <c r="E72" s="37" t="n">
        <v>6.294444444444444</v>
      </c>
      <c r="F72" s="37" t="n">
        <v>6.664705882352941</v>
      </c>
      <c r="G72" s="37" t="n">
        <v>7.08125</v>
      </c>
      <c r="H72" s="37" t="n">
        <v>7.553333333333334</v>
      </c>
      <c r="I72" s="37" t="n">
        <v>8.092857142857143</v>
      </c>
      <c r="J72" s="37" t="n">
        <v>8.715384615384615</v>
      </c>
      <c r="K72" s="37" t="n">
        <v>9.441666666666666</v>
      </c>
      <c r="L72" s="37" t="n">
        <v>10.3</v>
      </c>
      <c r="M72" s="37" t="n">
        <v>11.33</v>
      </c>
      <c r="N72" s="37" t="n">
        <v>12.58888888888889</v>
      </c>
      <c r="O72" s="37" t="n">
        <v>14.1625</v>
      </c>
      <c r="P72" s="37" t="n">
        <v>16.18571428571429</v>
      </c>
      <c r="Q72" s="37" t="n">
        <v>18.88333333333333</v>
      </c>
      <c r="R72" s="37" t="n">
        <v>22.66</v>
      </c>
      <c r="S72" s="37" t="n">
        <v>28.325</v>
      </c>
      <c r="T72" s="37" t="n">
        <v>37.76666666666667</v>
      </c>
      <c r="U72" s="37" t="n">
        <v>56.65</v>
      </c>
      <c r="V72" s="37" t="n">
        <v>113.3</v>
      </c>
      <c r="W72" s="37" t="n">
        <v>12.33</v>
      </c>
      <c r="X72" s="37" t="n">
        <v>12.97894736842105</v>
      </c>
      <c r="Y72" s="37" t="n">
        <v>13.7</v>
      </c>
      <c r="Z72" s="37" t="n">
        <v>14.50588235294118</v>
      </c>
      <c r="AA72" s="37" t="n">
        <v>15.4125</v>
      </c>
      <c r="AB72" s="37" t="n">
        <v>16.44</v>
      </c>
      <c r="AC72" s="37" t="n">
        <v>17.61428571428571</v>
      </c>
      <c r="AD72" s="37" t="n">
        <v>18.96923076923077</v>
      </c>
      <c r="AE72" s="37" t="n">
        <v>20.55</v>
      </c>
      <c r="AF72" s="37" t="n">
        <v>22.41818181818182</v>
      </c>
      <c r="AG72" s="37" t="n">
        <v>24.66</v>
      </c>
      <c r="AH72" s="37" t="n">
        <v>27.4</v>
      </c>
      <c r="AI72" s="37" t="n">
        <v>30.825</v>
      </c>
      <c r="AJ72" s="37" t="n">
        <v>35.22857142857143</v>
      </c>
      <c r="AK72" s="37" t="n">
        <v>41.1</v>
      </c>
      <c r="AL72" s="37" t="n">
        <v>49.31999999999999</v>
      </c>
      <c r="AM72" s="37" t="n">
        <v>61.65</v>
      </c>
      <c r="AN72" s="37" t="n">
        <v>82.19999999999999</v>
      </c>
      <c r="AO72" s="37" t="n">
        <v>123.3</v>
      </c>
      <c r="AP72" s="37" t="n">
        <v>246.6</v>
      </c>
    </row>
    <row r="73">
      <c r="A73" s="5" t="inlineStr">
        <is>
          <t>P67</t>
        </is>
      </c>
      <c r="B73" s="5" t="inlineStr">
        <is>
          <t>Karitel</t>
        </is>
      </c>
      <c r="C73" s="37" t="n">
        <v>4.85</v>
      </c>
      <c r="D73" s="37" t="n">
        <v>5.105263157894736</v>
      </c>
      <c r="E73" s="37" t="n">
        <v>5.388888888888888</v>
      </c>
      <c r="F73" s="37" t="n">
        <v>5.705882352941177</v>
      </c>
      <c r="G73" s="37" t="n">
        <v>6.062499999999999</v>
      </c>
      <c r="H73" s="37" t="n">
        <v>6.466666666666666</v>
      </c>
      <c r="I73" s="37" t="n">
        <v>6.928571428571429</v>
      </c>
      <c r="J73" s="37" t="n">
        <v>7.461538461538461</v>
      </c>
      <c r="K73" s="37" t="n">
        <v>8.083333333333334</v>
      </c>
      <c r="L73" s="37" t="n">
        <v>8.818181818181817</v>
      </c>
      <c r="M73" s="37" t="n">
        <v>9.699999999999999</v>
      </c>
      <c r="N73" s="37" t="n">
        <v>10.77777777777778</v>
      </c>
      <c r="O73" s="37" t="n">
        <v>12.125</v>
      </c>
      <c r="P73" s="37" t="n">
        <v>13.85714285714286</v>
      </c>
      <c r="Q73" s="37" t="n">
        <v>16.16666666666667</v>
      </c>
      <c r="R73" s="37" t="n">
        <v>19.4</v>
      </c>
      <c r="S73" s="37" t="n">
        <v>24.25</v>
      </c>
      <c r="T73" s="37" t="n">
        <v>32.33333333333334</v>
      </c>
      <c r="U73" s="37" t="n">
        <v>48.49999999999999</v>
      </c>
      <c r="V73" s="37" t="n">
        <v>96.99999999999999</v>
      </c>
      <c r="W73" s="37" t="n">
        <v>10.94</v>
      </c>
      <c r="X73" s="37" t="n">
        <v>11.51578947368421</v>
      </c>
      <c r="Y73" s="37" t="n">
        <v>12.15555555555556</v>
      </c>
      <c r="Z73" s="37" t="n">
        <v>12.87058823529412</v>
      </c>
      <c r="AA73" s="37" t="n">
        <v>13.675</v>
      </c>
      <c r="AB73" s="37" t="n">
        <v>14.58666666666667</v>
      </c>
      <c r="AC73" s="37" t="n">
        <v>15.62857142857143</v>
      </c>
      <c r="AD73" s="37" t="n">
        <v>16.83076923076923</v>
      </c>
      <c r="AE73" s="37" t="n">
        <v>18.23333333333333</v>
      </c>
      <c r="AF73" s="37" t="n">
        <v>19.89090909090909</v>
      </c>
      <c r="AG73" s="37" t="n">
        <v>21.88</v>
      </c>
      <c r="AH73" s="37" t="n">
        <v>24.31111111111111</v>
      </c>
      <c r="AI73" s="37" t="n">
        <v>27.35</v>
      </c>
      <c r="AJ73" s="37" t="n">
        <v>31.25714285714286</v>
      </c>
      <c r="AK73" s="37" t="n">
        <v>36.46666666666667</v>
      </c>
      <c r="AL73" s="37" t="n">
        <v>43.76</v>
      </c>
      <c r="AM73" s="37" t="n">
        <v>54.7</v>
      </c>
      <c r="AN73" s="37" t="n">
        <v>72.93333333333334</v>
      </c>
      <c r="AO73" s="37" t="n">
        <v>109.4</v>
      </c>
      <c r="AP73" s="37" t="n">
        <v>218.8</v>
      </c>
    </row>
    <row r="74">
      <c r="A74" s="5" t="inlineStr">
        <is>
          <t>P68</t>
        </is>
      </c>
      <c r="B74" s="5" t="inlineStr">
        <is>
          <t>Karitel</t>
        </is>
      </c>
      <c r="C74" s="37" t="n">
        <v>5</v>
      </c>
      <c r="D74" s="37" t="n">
        <v>5.263157894736842</v>
      </c>
      <c r="E74" s="37" t="n">
        <v>5.555555555555555</v>
      </c>
      <c r="F74" s="37" t="n">
        <v>5.882352941176471</v>
      </c>
      <c r="G74" s="37" t="n">
        <v>6.25</v>
      </c>
      <c r="H74" s="37" t="n">
        <v>6.666666666666667</v>
      </c>
      <c r="I74" s="37" t="n">
        <v>7.142857142857143</v>
      </c>
      <c r="J74" s="37" t="n">
        <v>7.692307692307692</v>
      </c>
      <c r="K74" s="37" t="n">
        <v>8.333333333333334</v>
      </c>
      <c r="L74" s="37" t="n">
        <v>9.09090909090909</v>
      </c>
      <c r="M74" s="37" t="n">
        <v>10</v>
      </c>
      <c r="N74" s="37" t="n">
        <v>11.11111111111111</v>
      </c>
      <c r="O74" s="37" t="n">
        <v>12.5</v>
      </c>
      <c r="P74" s="37" t="n">
        <v>14.28571428571429</v>
      </c>
      <c r="Q74" s="37" t="n">
        <v>16.66666666666667</v>
      </c>
      <c r="R74" s="37" t="n">
        <v>20</v>
      </c>
      <c r="S74" s="37" t="n">
        <v>25</v>
      </c>
      <c r="T74" s="37" t="n">
        <v>33.33333333333334</v>
      </c>
      <c r="U74" s="37" t="n">
        <v>50</v>
      </c>
      <c r="V74" s="37" t="n">
        <v>100</v>
      </c>
      <c r="W74" s="37" t="n">
        <v>10.94</v>
      </c>
      <c r="X74" s="37" t="n">
        <v>11.51578947368421</v>
      </c>
      <c r="Y74" s="37" t="n">
        <v>12.15555555555556</v>
      </c>
      <c r="Z74" s="37" t="n">
        <v>12.87058823529412</v>
      </c>
      <c r="AA74" s="37" t="n">
        <v>13.675</v>
      </c>
      <c r="AB74" s="37" t="n">
        <v>14.58666666666667</v>
      </c>
      <c r="AC74" s="37" t="n">
        <v>15.62857142857143</v>
      </c>
      <c r="AD74" s="37" t="n">
        <v>16.83076923076923</v>
      </c>
      <c r="AE74" s="37" t="n">
        <v>18.23333333333333</v>
      </c>
      <c r="AF74" s="37" t="n">
        <v>19.89090909090909</v>
      </c>
      <c r="AG74" s="37" t="n">
        <v>21.88</v>
      </c>
      <c r="AH74" s="37" t="n">
        <v>24.31111111111111</v>
      </c>
      <c r="AI74" s="37" t="n">
        <v>27.35</v>
      </c>
      <c r="AJ74" s="37" t="n">
        <v>31.25714285714286</v>
      </c>
      <c r="AK74" s="37" t="n">
        <v>36.46666666666667</v>
      </c>
      <c r="AL74" s="37" t="n">
        <v>43.76</v>
      </c>
      <c r="AM74" s="37" t="n">
        <v>54.7</v>
      </c>
      <c r="AN74" s="37" t="n">
        <v>72.93333333333334</v>
      </c>
      <c r="AO74" s="37" t="n">
        <v>109.4</v>
      </c>
      <c r="AP74" s="37" t="n">
        <v>218.8</v>
      </c>
    </row>
    <row r="75">
      <c r="A75" s="5" t="inlineStr">
        <is>
          <t>P69</t>
        </is>
      </c>
      <c r="B75" s="5" t="inlineStr">
        <is>
          <t>Karitel</t>
        </is>
      </c>
      <c r="C75" s="37" t="n">
        <v>4.45</v>
      </c>
      <c r="D75" s="37" t="n">
        <v>4.68421052631579</v>
      </c>
      <c r="E75" s="37" t="n">
        <v>4.944444444444445</v>
      </c>
      <c r="F75" s="37" t="n">
        <v>5.235294117647059</v>
      </c>
      <c r="G75" s="37" t="n">
        <v>5.5625</v>
      </c>
      <c r="H75" s="37" t="n">
        <v>5.933333333333334</v>
      </c>
      <c r="I75" s="37" t="n">
        <v>6.357142857142858</v>
      </c>
      <c r="J75" s="37" t="n">
        <v>6.846153846153846</v>
      </c>
      <c r="K75" s="37" t="n">
        <v>7.416666666666667</v>
      </c>
      <c r="L75" s="37" t="n">
        <v>8.09090909090909</v>
      </c>
      <c r="M75" s="37" t="n">
        <v>8.9</v>
      </c>
      <c r="N75" s="37" t="n">
        <v>9.888888888888889</v>
      </c>
      <c r="O75" s="37" t="n">
        <v>11.125</v>
      </c>
      <c r="P75" s="37" t="n">
        <v>12.71428571428572</v>
      </c>
      <c r="Q75" s="37" t="n">
        <v>14.83333333333333</v>
      </c>
      <c r="R75" s="37" t="n">
        <v>17.8</v>
      </c>
      <c r="S75" s="37" t="n">
        <v>22.25</v>
      </c>
      <c r="T75" s="37" t="n">
        <v>29.66666666666667</v>
      </c>
      <c r="U75" s="37" t="n">
        <v>44.5</v>
      </c>
      <c r="V75" s="37" t="n">
        <v>89</v>
      </c>
      <c r="W75" s="37" t="n">
        <v>10.94</v>
      </c>
      <c r="X75" s="37" t="n">
        <v>11.51578947368421</v>
      </c>
      <c r="Y75" s="37" t="n">
        <v>12.15555555555556</v>
      </c>
      <c r="Z75" s="37" t="n">
        <v>12.87058823529412</v>
      </c>
      <c r="AA75" s="37" t="n">
        <v>13.675</v>
      </c>
      <c r="AB75" s="37" t="n">
        <v>14.58666666666667</v>
      </c>
      <c r="AC75" s="37" t="n">
        <v>15.62857142857143</v>
      </c>
      <c r="AD75" s="37" t="n">
        <v>16.83076923076923</v>
      </c>
      <c r="AE75" s="37" t="n">
        <v>18.23333333333333</v>
      </c>
      <c r="AF75" s="37" t="n">
        <v>19.89090909090909</v>
      </c>
      <c r="AG75" s="37" t="n">
        <v>21.88</v>
      </c>
      <c r="AH75" s="37" t="n">
        <v>24.31111111111111</v>
      </c>
      <c r="AI75" s="37" t="n">
        <v>27.35</v>
      </c>
      <c r="AJ75" s="37" t="n">
        <v>31.25714285714286</v>
      </c>
      <c r="AK75" s="37" t="n">
        <v>36.46666666666667</v>
      </c>
      <c r="AL75" s="37" t="n">
        <v>43.76</v>
      </c>
      <c r="AM75" s="37" t="n">
        <v>54.7</v>
      </c>
      <c r="AN75" s="37" t="n">
        <v>72.93333333333334</v>
      </c>
      <c r="AO75" s="37" t="n">
        <v>109.4</v>
      </c>
      <c r="AP75" s="37" t="n">
        <v>218.8</v>
      </c>
    </row>
    <row r="76">
      <c r="A76" s="5" t="inlineStr">
        <is>
          <t>P70</t>
        </is>
      </c>
      <c r="B76" s="5" t="inlineStr">
        <is>
          <t>Karitel</t>
        </is>
      </c>
      <c r="C76" s="37" t="n">
        <v>6.93</v>
      </c>
      <c r="D76" s="37" t="n">
        <v>7.294736842105263</v>
      </c>
      <c r="E76" s="37" t="n">
        <v>7.699999999999999</v>
      </c>
      <c r="F76" s="37" t="n">
        <v>8.152941176470588</v>
      </c>
      <c r="G76" s="37" t="n">
        <v>8.6625</v>
      </c>
      <c r="H76" s="37" t="n">
        <v>9.24</v>
      </c>
      <c r="I76" s="37" t="n">
        <v>9.9</v>
      </c>
      <c r="J76" s="37" t="n">
        <v>10.66153846153846</v>
      </c>
      <c r="K76" s="37" t="n">
        <v>11.55</v>
      </c>
      <c r="L76" s="37" t="n">
        <v>12.6</v>
      </c>
      <c r="M76" s="37" t="n">
        <v>13.86</v>
      </c>
      <c r="N76" s="37" t="n">
        <v>15.4</v>
      </c>
      <c r="O76" s="37" t="n">
        <v>17.325</v>
      </c>
      <c r="P76" s="37" t="n">
        <v>19.8</v>
      </c>
      <c r="Q76" s="37" t="n">
        <v>23.1</v>
      </c>
      <c r="R76" s="37" t="n">
        <v>27.72</v>
      </c>
      <c r="S76" s="37" t="n">
        <v>34.65</v>
      </c>
      <c r="T76" s="37" t="n">
        <v>46.2</v>
      </c>
      <c r="U76" s="37" t="n">
        <v>69.3</v>
      </c>
      <c r="V76" s="37" t="n">
        <v>138.6</v>
      </c>
      <c r="W76" s="37" t="n">
        <v>15.11</v>
      </c>
      <c r="X76" s="37" t="n">
        <v>15.90526315789474</v>
      </c>
      <c r="Y76" s="37" t="n">
        <v>16.78888888888889</v>
      </c>
      <c r="Z76" s="37" t="n">
        <v>17.77647058823529</v>
      </c>
      <c r="AA76" s="37" t="n">
        <v>18.8875</v>
      </c>
      <c r="AB76" s="37" t="n">
        <v>20.14666666666666</v>
      </c>
      <c r="AC76" s="37" t="n">
        <v>21.58571428571429</v>
      </c>
      <c r="AD76" s="37" t="n">
        <v>23.24615384615385</v>
      </c>
      <c r="AE76" s="37" t="n">
        <v>25.18333333333333</v>
      </c>
      <c r="AF76" s="37" t="n">
        <v>27.47272727272727</v>
      </c>
      <c r="AG76" s="37" t="n">
        <v>30.22</v>
      </c>
      <c r="AH76" s="37" t="n">
        <v>33.57777777777778</v>
      </c>
      <c r="AI76" s="37" t="n">
        <v>37.775</v>
      </c>
      <c r="AJ76" s="37" t="n">
        <v>43.17142857142857</v>
      </c>
      <c r="AK76" s="37" t="n">
        <v>50.36666666666667</v>
      </c>
      <c r="AL76" s="37" t="n">
        <v>60.44</v>
      </c>
      <c r="AM76" s="37" t="n">
        <v>75.55</v>
      </c>
      <c r="AN76" s="37" t="n">
        <v>100.7333333333333</v>
      </c>
      <c r="AO76" s="37" t="n">
        <v>151.1</v>
      </c>
      <c r="AP76" s="37" t="n">
        <v>302.2</v>
      </c>
    </row>
    <row r="77">
      <c r="A77" s="5" t="inlineStr">
        <is>
          <t>P71</t>
        </is>
      </c>
      <c r="B77" s="5" t="inlineStr">
        <is>
          <t>Karitel</t>
        </is>
      </c>
      <c r="C77" s="37" t="n">
        <v>4.85</v>
      </c>
      <c r="D77" s="37" t="n">
        <v>5.105263157894736</v>
      </c>
      <c r="E77" s="37" t="n">
        <v>5.388888888888888</v>
      </c>
      <c r="F77" s="37" t="n">
        <v>5.705882352941177</v>
      </c>
      <c r="G77" s="37" t="n">
        <v>6.062499999999999</v>
      </c>
      <c r="H77" s="37" t="n">
        <v>6.466666666666666</v>
      </c>
      <c r="I77" s="37" t="n">
        <v>6.928571428571429</v>
      </c>
      <c r="J77" s="37" t="n">
        <v>7.461538461538461</v>
      </c>
      <c r="K77" s="37" t="n">
        <v>8.083333333333334</v>
      </c>
      <c r="L77" s="37" t="n">
        <v>8.818181818181817</v>
      </c>
      <c r="M77" s="37" t="n">
        <v>9.699999999999999</v>
      </c>
      <c r="N77" s="37" t="n">
        <v>10.77777777777778</v>
      </c>
      <c r="O77" s="37" t="n">
        <v>12.125</v>
      </c>
      <c r="P77" s="37" t="n">
        <v>13.85714285714286</v>
      </c>
      <c r="Q77" s="37" t="n">
        <v>16.16666666666667</v>
      </c>
      <c r="R77" s="37" t="n">
        <v>19.4</v>
      </c>
      <c r="S77" s="37" t="n">
        <v>24.25</v>
      </c>
      <c r="T77" s="37" t="n">
        <v>32.33333333333334</v>
      </c>
      <c r="U77" s="37" t="n">
        <v>48.49999999999999</v>
      </c>
      <c r="V77" s="37" t="n">
        <v>96.99999999999999</v>
      </c>
      <c r="W77" s="37" t="n">
        <v>7.39</v>
      </c>
      <c r="X77" s="37" t="n">
        <v>7.778947368421052</v>
      </c>
      <c r="Y77" s="37" t="n">
        <v>8.21111111111111</v>
      </c>
      <c r="Z77" s="37" t="n">
        <v>8.694117647058823</v>
      </c>
      <c r="AA77" s="37" t="n">
        <v>9.237499999999999</v>
      </c>
      <c r="AB77" s="37" t="n">
        <v>9.853333333333333</v>
      </c>
      <c r="AC77" s="37" t="n">
        <v>10.55714285714286</v>
      </c>
      <c r="AD77" s="37" t="n">
        <v>11.36923076923077</v>
      </c>
      <c r="AE77" s="37" t="n">
        <v>12.31666666666667</v>
      </c>
      <c r="AF77" s="37" t="n">
        <v>13.43636363636363</v>
      </c>
      <c r="AG77" s="37" t="n">
        <v>14.78</v>
      </c>
      <c r="AH77" s="37" t="n">
        <v>16.42222222222222</v>
      </c>
      <c r="AI77" s="37" t="n">
        <v>18.475</v>
      </c>
      <c r="AJ77" s="37" t="n">
        <v>21.11428571428571</v>
      </c>
      <c r="AK77" s="37" t="n">
        <v>24.63333333333333</v>
      </c>
      <c r="AL77" s="37" t="n">
        <v>29.56</v>
      </c>
      <c r="AM77" s="37" t="n">
        <v>36.95</v>
      </c>
      <c r="AN77" s="37" t="n">
        <v>49.26666666666667</v>
      </c>
      <c r="AO77" s="37" t="n">
        <v>73.89999999999999</v>
      </c>
      <c r="AP77" s="37" t="n">
        <v>147.8</v>
      </c>
    </row>
    <row r="78">
      <c r="A78" s="5" t="inlineStr">
        <is>
          <t>P72</t>
        </is>
      </c>
      <c r="B78" s="5" t="inlineStr">
        <is>
          <t>Karitel</t>
        </is>
      </c>
      <c r="C78" s="37" t="n">
        <v>6.12</v>
      </c>
      <c r="D78" s="37" t="n">
        <v>6.442105263157895</v>
      </c>
      <c r="E78" s="37" t="n">
        <v>6.8</v>
      </c>
      <c r="F78" s="37" t="n">
        <v>7.2</v>
      </c>
      <c r="G78" s="37" t="n">
        <v>7.649999999999999</v>
      </c>
      <c r="H78" s="37" t="n">
        <v>8.16</v>
      </c>
      <c r="I78" s="37" t="n">
        <v>8.742857142857144</v>
      </c>
      <c r="J78" s="37" t="n">
        <v>9.415384615384616</v>
      </c>
      <c r="K78" s="37" t="n">
        <v>10.2</v>
      </c>
      <c r="L78" s="37" t="n">
        <v>11.12727272727273</v>
      </c>
      <c r="M78" s="37" t="n">
        <v>12.24</v>
      </c>
      <c r="N78" s="37" t="n">
        <v>13.6</v>
      </c>
      <c r="O78" s="37" t="n">
        <v>15.3</v>
      </c>
      <c r="P78" s="37" t="n">
        <v>17.48571428571429</v>
      </c>
      <c r="Q78" s="37" t="n">
        <v>20.4</v>
      </c>
      <c r="R78" s="37" t="n">
        <v>24.48</v>
      </c>
      <c r="S78" s="37" t="n">
        <v>30.6</v>
      </c>
      <c r="T78" s="37" t="n">
        <v>40.8</v>
      </c>
      <c r="U78" s="37" t="n">
        <v>61.2</v>
      </c>
      <c r="V78" s="37" t="n">
        <v>122.4</v>
      </c>
      <c r="W78" s="37" t="n">
        <v>13.88</v>
      </c>
      <c r="X78" s="37" t="n">
        <v>14.61052631578947</v>
      </c>
      <c r="Y78" s="37" t="n">
        <v>15.42222222222222</v>
      </c>
      <c r="Z78" s="37" t="n">
        <v>16.32941176470588</v>
      </c>
      <c r="AA78" s="37" t="n">
        <v>17.35</v>
      </c>
      <c r="AB78" s="37" t="n">
        <v>18.50666666666667</v>
      </c>
      <c r="AC78" s="37" t="n">
        <v>19.82857142857143</v>
      </c>
      <c r="AD78" s="37" t="n">
        <v>21.35384615384615</v>
      </c>
      <c r="AE78" s="37" t="n">
        <v>23.13333333333334</v>
      </c>
      <c r="AF78" s="37" t="n">
        <v>25.23636363636363</v>
      </c>
      <c r="AG78" s="37" t="n">
        <v>27.76</v>
      </c>
      <c r="AH78" s="37" t="n">
        <v>30.84444444444444</v>
      </c>
      <c r="AI78" s="37" t="n">
        <v>34.7</v>
      </c>
      <c r="AJ78" s="37" t="n">
        <v>39.65714285714286</v>
      </c>
      <c r="AK78" s="37" t="n">
        <v>46.26666666666667</v>
      </c>
      <c r="AL78" s="37" t="n">
        <v>55.52</v>
      </c>
      <c r="AM78" s="37" t="n">
        <v>69.40000000000001</v>
      </c>
      <c r="AN78" s="37" t="n">
        <v>92.53333333333333</v>
      </c>
      <c r="AO78" s="37" t="n">
        <v>138.8</v>
      </c>
      <c r="AP78" s="37" t="n">
        <v>277.6</v>
      </c>
    </row>
    <row r="79">
      <c r="A79" s="5" t="inlineStr">
        <is>
          <t>P73</t>
        </is>
      </c>
      <c r="B79" s="5" t="inlineStr">
        <is>
          <t>Karitel</t>
        </is>
      </c>
      <c r="C79" s="37" t="n">
        <v>6.76</v>
      </c>
      <c r="D79" s="37" t="n">
        <v>7.11578947368421</v>
      </c>
      <c r="E79" s="37" t="n">
        <v>7.511111111111111</v>
      </c>
      <c r="F79" s="37" t="n">
        <v>7.952941176470588</v>
      </c>
      <c r="G79" s="37" t="n">
        <v>8.449999999999999</v>
      </c>
      <c r="H79" s="37" t="n">
        <v>9.013333333333334</v>
      </c>
      <c r="I79" s="37" t="n">
        <v>9.657142857142857</v>
      </c>
      <c r="J79" s="37" t="n">
        <v>10.4</v>
      </c>
      <c r="K79" s="37" t="n">
        <v>11.26666666666667</v>
      </c>
      <c r="L79" s="37" t="n">
        <v>12.29090909090909</v>
      </c>
      <c r="M79" s="37" t="n">
        <v>13.52</v>
      </c>
      <c r="N79" s="37" t="n">
        <v>15.02222222222222</v>
      </c>
      <c r="O79" s="37" t="n">
        <v>16.9</v>
      </c>
      <c r="P79" s="37" t="n">
        <v>19.31428571428571</v>
      </c>
      <c r="Q79" s="37" t="n">
        <v>22.53333333333333</v>
      </c>
      <c r="R79" s="37" t="n">
        <v>27.04</v>
      </c>
      <c r="S79" s="37" t="n">
        <v>33.8</v>
      </c>
      <c r="T79" s="37" t="n">
        <v>45.06666666666667</v>
      </c>
      <c r="U79" s="37" t="n">
        <v>67.59999999999999</v>
      </c>
      <c r="V79" s="37" t="n">
        <v>135.2</v>
      </c>
      <c r="W79" s="37" t="n">
        <v>16.05</v>
      </c>
      <c r="X79" s="37" t="n">
        <v>16.89473684210526</v>
      </c>
      <c r="Y79" s="37" t="n">
        <v>17.83333333333333</v>
      </c>
      <c r="Z79" s="37" t="n">
        <v>18.88235294117647</v>
      </c>
      <c r="AA79" s="37" t="n">
        <v>20.0625</v>
      </c>
      <c r="AB79" s="37" t="n">
        <v>21.4</v>
      </c>
      <c r="AC79" s="37" t="n">
        <v>22.92857142857143</v>
      </c>
      <c r="AD79" s="37" t="n">
        <v>24.69230769230769</v>
      </c>
      <c r="AE79" s="37" t="n">
        <v>26.75</v>
      </c>
      <c r="AF79" s="37" t="n">
        <v>29.18181818181818</v>
      </c>
      <c r="AG79" s="37" t="n">
        <v>32.1</v>
      </c>
      <c r="AH79" s="37" t="n">
        <v>35.66666666666666</v>
      </c>
      <c r="AI79" s="37" t="n">
        <v>40.125</v>
      </c>
      <c r="AJ79" s="37" t="n">
        <v>45.85714285714286</v>
      </c>
      <c r="AK79" s="37" t="n">
        <v>53.50000000000001</v>
      </c>
      <c r="AL79" s="37" t="n">
        <v>64.2</v>
      </c>
      <c r="AM79" s="37" t="n">
        <v>80.25</v>
      </c>
      <c r="AN79" s="37" t="n">
        <v>107</v>
      </c>
      <c r="AO79" s="37" t="n">
        <v>160.5</v>
      </c>
      <c r="AP79" s="37" t="n">
        <v>321</v>
      </c>
    </row>
    <row r="80">
      <c r="A80" s="5" t="inlineStr">
        <is>
          <t>P74</t>
        </is>
      </c>
      <c r="B80" s="5" t="inlineStr">
        <is>
          <t>Karitel</t>
        </is>
      </c>
      <c r="C80" s="37" t="n">
        <v>6.76</v>
      </c>
      <c r="D80" s="37" t="n">
        <v>7.11578947368421</v>
      </c>
      <c r="E80" s="37" t="n">
        <v>7.511111111111111</v>
      </c>
      <c r="F80" s="37" t="n">
        <v>7.952941176470588</v>
      </c>
      <c r="G80" s="37" t="n">
        <v>8.449999999999999</v>
      </c>
      <c r="H80" s="37" t="n">
        <v>9.013333333333334</v>
      </c>
      <c r="I80" s="37" t="n">
        <v>9.657142857142857</v>
      </c>
      <c r="J80" s="37" t="n">
        <v>10.4</v>
      </c>
      <c r="K80" s="37" t="n">
        <v>11.26666666666667</v>
      </c>
      <c r="L80" s="37" t="n">
        <v>12.29090909090909</v>
      </c>
      <c r="M80" s="37" t="n">
        <v>13.52</v>
      </c>
      <c r="N80" s="37" t="n">
        <v>15.02222222222222</v>
      </c>
      <c r="O80" s="37" t="n">
        <v>16.9</v>
      </c>
      <c r="P80" s="37" t="n">
        <v>19.31428571428571</v>
      </c>
      <c r="Q80" s="37" t="n">
        <v>22.53333333333333</v>
      </c>
      <c r="R80" s="37" t="n">
        <v>27.04</v>
      </c>
      <c r="S80" s="37" t="n">
        <v>33.8</v>
      </c>
      <c r="T80" s="37" t="n">
        <v>45.06666666666667</v>
      </c>
      <c r="U80" s="37" t="n">
        <v>67.59999999999999</v>
      </c>
      <c r="V80" s="37" t="n">
        <v>135.2</v>
      </c>
      <c r="W80" s="37" t="n">
        <v>16.05</v>
      </c>
      <c r="X80" s="37" t="n">
        <v>16.89473684210526</v>
      </c>
      <c r="Y80" s="37" t="n">
        <v>17.83333333333333</v>
      </c>
      <c r="Z80" s="37" t="n">
        <v>18.88235294117647</v>
      </c>
      <c r="AA80" s="37" t="n">
        <v>20.0625</v>
      </c>
      <c r="AB80" s="37" t="n">
        <v>21.4</v>
      </c>
      <c r="AC80" s="37" t="n">
        <v>22.92857142857143</v>
      </c>
      <c r="AD80" s="37" t="n">
        <v>24.69230769230769</v>
      </c>
      <c r="AE80" s="37" t="n">
        <v>26.75</v>
      </c>
      <c r="AF80" s="37" t="n">
        <v>29.18181818181818</v>
      </c>
      <c r="AG80" s="37" t="n">
        <v>32.1</v>
      </c>
      <c r="AH80" s="37" t="n">
        <v>35.66666666666666</v>
      </c>
      <c r="AI80" s="37" t="n">
        <v>40.125</v>
      </c>
      <c r="AJ80" s="37" t="n">
        <v>45.85714285714286</v>
      </c>
      <c r="AK80" s="37" t="n">
        <v>53.50000000000001</v>
      </c>
      <c r="AL80" s="37" t="n">
        <v>64.2</v>
      </c>
      <c r="AM80" s="37" t="n">
        <v>80.25</v>
      </c>
      <c r="AN80" s="37" t="n">
        <v>107</v>
      </c>
      <c r="AO80" s="37" t="n">
        <v>160.5</v>
      </c>
      <c r="AP80" s="37" t="n">
        <v>321</v>
      </c>
    </row>
    <row r="81">
      <c r="A81" s="5" t="inlineStr">
        <is>
          <t>P75</t>
        </is>
      </c>
      <c r="B81" s="5" t="inlineStr">
        <is>
          <t>Karitel</t>
        </is>
      </c>
      <c r="C81" s="37" t="n">
        <v>5.75</v>
      </c>
      <c r="D81" s="37" t="n">
        <v>6.052631578947369</v>
      </c>
      <c r="E81" s="37" t="n">
        <v>6.388888888888888</v>
      </c>
      <c r="F81" s="37" t="n">
        <v>6.764705882352941</v>
      </c>
      <c r="G81" s="37" t="n">
        <v>7.1875</v>
      </c>
      <c r="H81" s="37" t="n">
        <v>7.666666666666667</v>
      </c>
      <c r="I81" s="37" t="n">
        <v>8.214285714285715</v>
      </c>
      <c r="J81" s="37" t="n">
        <v>8.846153846153847</v>
      </c>
      <c r="K81" s="37" t="n">
        <v>9.583333333333334</v>
      </c>
      <c r="L81" s="37" t="n">
        <v>10.45454545454545</v>
      </c>
      <c r="M81" s="37" t="n">
        <v>11.5</v>
      </c>
      <c r="N81" s="37" t="n">
        <v>12.77777777777778</v>
      </c>
      <c r="O81" s="37" t="n">
        <v>14.375</v>
      </c>
      <c r="P81" s="37" t="n">
        <v>16.42857142857143</v>
      </c>
      <c r="Q81" s="37" t="n">
        <v>19.16666666666667</v>
      </c>
      <c r="R81" s="37" t="n">
        <v>23</v>
      </c>
      <c r="S81" s="37" t="n">
        <v>28.75</v>
      </c>
      <c r="T81" s="37" t="n">
        <v>38.33333333333334</v>
      </c>
      <c r="U81" s="37" t="n">
        <v>57.5</v>
      </c>
      <c r="V81" s="37" t="n">
        <v>115</v>
      </c>
      <c r="W81" s="37" t="n">
        <v>11.2</v>
      </c>
      <c r="X81" s="37" t="n">
        <v>11.78947368421053</v>
      </c>
      <c r="Y81" s="37" t="n">
        <v>12.44444444444444</v>
      </c>
      <c r="Z81" s="37" t="n">
        <v>13.17647058823529</v>
      </c>
      <c r="AA81" s="37" t="n">
        <v>14</v>
      </c>
      <c r="AB81" s="37" t="n">
        <v>14.93333333333333</v>
      </c>
      <c r="AC81" s="37" t="n">
        <v>16</v>
      </c>
      <c r="AD81" s="37" t="n">
        <v>17.23076923076923</v>
      </c>
      <c r="AE81" s="37" t="n">
        <v>18.66666666666667</v>
      </c>
      <c r="AF81" s="37" t="n">
        <v>20.36363636363636</v>
      </c>
      <c r="AG81" s="37" t="n">
        <v>22.4</v>
      </c>
      <c r="AH81" s="37" t="n">
        <v>24.88888888888889</v>
      </c>
      <c r="AI81" s="37" t="n">
        <v>28</v>
      </c>
      <c r="AJ81" s="37" t="n">
        <v>32</v>
      </c>
      <c r="AK81" s="37" t="n">
        <v>37.33333333333334</v>
      </c>
      <c r="AL81" s="37" t="n">
        <v>44.8</v>
      </c>
      <c r="AM81" s="37" t="n">
        <v>55.99999999999999</v>
      </c>
      <c r="AN81" s="37" t="n">
        <v>74.66666666666667</v>
      </c>
      <c r="AO81" s="37" t="n">
        <v>112</v>
      </c>
      <c r="AP81" s="37" t="n">
        <v>224</v>
      </c>
    </row>
    <row r="82">
      <c r="A82" s="5" t="inlineStr">
        <is>
          <t>P76</t>
        </is>
      </c>
      <c r="B82" s="5" t="inlineStr">
        <is>
          <t>Karitel</t>
        </is>
      </c>
      <c r="C82" s="37" t="n">
        <v>3.8</v>
      </c>
      <c r="D82" s="37" t="n">
        <v>4</v>
      </c>
      <c r="E82" s="37" t="n">
        <v>4.222222222222222</v>
      </c>
      <c r="F82" s="37" t="n">
        <v>4.470588235294118</v>
      </c>
      <c r="G82" s="37" t="n">
        <v>4.749999999999999</v>
      </c>
      <c r="H82" s="37" t="n">
        <v>5.066666666666666</v>
      </c>
      <c r="I82" s="37" t="n">
        <v>5.428571428571429</v>
      </c>
      <c r="J82" s="37" t="n">
        <v>5.846153846153846</v>
      </c>
      <c r="K82" s="37" t="n">
        <v>6.333333333333333</v>
      </c>
      <c r="L82" s="37" t="n">
        <v>6.909090909090908</v>
      </c>
      <c r="M82" s="37" t="n">
        <v>7.6</v>
      </c>
      <c r="N82" s="37" t="n">
        <v>8.444444444444445</v>
      </c>
      <c r="O82" s="37" t="n">
        <v>9.499999999999998</v>
      </c>
      <c r="P82" s="37" t="n">
        <v>10.85714285714286</v>
      </c>
      <c r="Q82" s="37" t="n">
        <v>12.66666666666667</v>
      </c>
      <c r="R82" s="37" t="n">
        <v>15.2</v>
      </c>
      <c r="S82" s="37" t="n">
        <v>19</v>
      </c>
      <c r="T82" s="37" t="n">
        <v>25.33333333333333</v>
      </c>
      <c r="U82" s="37" t="n">
        <v>37.99999999999999</v>
      </c>
      <c r="V82" s="37" t="n">
        <v>75.99999999999999</v>
      </c>
      <c r="W82" s="37" t="n">
        <v>7.9</v>
      </c>
      <c r="X82" s="37" t="n">
        <v>8.315789473684211</v>
      </c>
      <c r="Y82" s="37" t="n">
        <v>8.777777777777779</v>
      </c>
      <c r="Z82" s="37" t="n">
        <v>9.294117647058824</v>
      </c>
      <c r="AA82" s="37" t="n">
        <v>9.875</v>
      </c>
      <c r="AB82" s="37" t="n">
        <v>10.53333333333333</v>
      </c>
      <c r="AC82" s="37" t="n">
        <v>11.28571428571429</v>
      </c>
      <c r="AD82" s="37" t="n">
        <v>12.15384615384615</v>
      </c>
      <c r="AE82" s="37" t="n">
        <v>13.16666666666667</v>
      </c>
      <c r="AF82" s="37" t="n">
        <v>14.36363636363636</v>
      </c>
      <c r="AG82" s="37" t="n">
        <v>15.8</v>
      </c>
      <c r="AH82" s="37" t="n">
        <v>17.55555555555556</v>
      </c>
      <c r="AI82" s="37" t="n">
        <v>19.75</v>
      </c>
      <c r="AJ82" s="37" t="n">
        <v>22.57142857142858</v>
      </c>
      <c r="AK82" s="37" t="n">
        <v>26.33333333333334</v>
      </c>
      <c r="AL82" s="37" t="n">
        <v>31.6</v>
      </c>
      <c r="AM82" s="37" t="n">
        <v>39.5</v>
      </c>
      <c r="AN82" s="37" t="n">
        <v>52.66666666666668</v>
      </c>
      <c r="AO82" s="37" t="n">
        <v>79</v>
      </c>
      <c r="AP82" s="37" t="n">
        <v>158</v>
      </c>
    </row>
    <row r="83">
      <c r="A83" s="5" t="inlineStr">
        <is>
          <t>P101</t>
        </is>
      </c>
      <c r="B83" s="5" t="inlineStr">
        <is>
          <t>RDM</t>
        </is>
      </c>
      <c r="C83" s="37" t="n">
        <v>5.28</v>
      </c>
      <c r="D83" s="37" t="n">
        <v>5.557894736842106</v>
      </c>
      <c r="E83" s="37" t="n">
        <v>5.866666666666667</v>
      </c>
      <c r="F83" s="37" t="n">
        <v>6.211764705882353</v>
      </c>
      <c r="G83" s="37" t="n">
        <v>6.6</v>
      </c>
      <c r="H83" s="37" t="n">
        <v>7.04</v>
      </c>
      <c r="I83" s="37" t="n">
        <v>7.542857142857144</v>
      </c>
      <c r="J83" s="37" t="n">
        <v>8.123076923076923</v>
      </c>
      <c r="K83" s="37" t="n">
        <v>8.800000000000001</v>
      </c>
      <c r="L83" s="37" t="n">
        <v>9.6</v>
      </c>
      <c r="M83" s="37" t="n">
        <v>10.56</v>
      </c>
      <c r="N83" s="37" t="n">
        <v>11.73333333333333</v>
      </c>
      <c r="O83" s="37" t="n">
        <v>13.2</v>
      </c>
      <c r="P83" s="37" t="n">
        <v>15.08571428571429</v>
      </c>
      <c r="Q83" s="37" t="n">
        <v>17.6</v>
      </c>
      <c r="R83" s="37" t="n">
        <v>21.12</v>
      </c>
      <c r="S83" s="37" t="n">
        <v>26.4</v>
      </c>
      <c r="T83" s="37" t="n">
        <v>35.2</v>
      </c>
      <c r="U83" s="37" t="n">
        <v>52.8</v>
      </c>
      <c r="V83" s="37" t="n">
        <v>105.6</v>
      </c>
      <c r="W83" s="37" t="n">
        <v>13.26</v>
      </c>
      <c r="X83" s="37" t="n">
        <v>13.95789473684211</v>
      </c>
      <c r="Y83" s="37" t="n">
        <v>14.73333333333333</v>
      </c>
      <c r="Z83" s="37" t="n">
        <v>15.6</v>
      </c>
      <c r="AA83" s="37" t="n">
        <v>16.575</v>
      </c>
      <c r="AB83" s="37" t="n">
        <v>17.68</v>
      </c>
      <c r="AC83" s="37" t="n">
        <v>18.94285714285714</v>
      </c>
      <c r="AD83" s="37" t="n">
        <v>20.4</v>
      </c>
      <c r="AE83" s="37" t="n">
        <v>22.1</v>
      </c>
      <c r="AF83" s="37" t="n">
        <v>24.10909090909091</v>
      </c>
      <c r="AG83" s="37" t="n">
        <v>26.52</v>
      </c>
      <c r="AH83" s="37" t="n">
        <v>29.46666666666667</v>
      </c>
      <c r="AI83" s="37" t="n">
        <v>33.15</v>
      </c>
      <c r="AJ83" s="37" t="n">
        <v>37.88571428571429</v>
      </c>
      <c r="AK83" s="37" t="n">
        <v>44.2</v>
      </c>
      <c r="AL83" s="37" t="n">
        <v>53.04</v>
      </c>
      <c r="AM83" s="37" t="n">
        <v>66.3</v>
      </c>
      <c r="AN83" s="37" t="n">
        <v>88.40000000000001</v>
      </c>
      <c r="AO83" s="37" t="n">
        <v>132.6</v>
      </c>
      <c r="AP83" s="37" t="n">
        <v>265.2</v>
      </c>
    </row>
    <row r="84">
      <c r="A84" s="5" t="inlineStr">
        <is>
          <t>P102</t>
        </is>
      </c>
      <c r="B84" s="5" t="inlineStr">
        <is>
          <t>RDM</t>
        </is>
      </c>
      <c r="C84" s="37" t="n">
        <v>5.445</v>
      </c>
      <c r="D84" s="37" t="n">
        <v>5.731578947368422</v>
      </c>
      <c r="E84" s="37" t="n">
        <v>6.05</v>
      </c>
      <c r="F84" s="37" t="n">
        <v>6.405882352941177</v>
      </c>
      <c r="G84" s="37" t="n">
        <v>6.80625</v>
      </c>
      <c r="H84" s="37" t="n">
        <v>7.260000000000001</v>
      </c>
      <c r="I84" s="37" t="n">
        <v>7.778571428571429</v>
      </c>
      <c r="J84" s="37" t="n">
        <v>8.376923076923077</v>
      </c>
      <c r="K84" s="37" t="n">
        <v>9.075000000000001</v>
      </c>
      <c r="L84" s="37" t="n">
        <v>9.9</v>
      </c>
      <c r="M84" s="37" t="n">
        <v>10.89</v>
      </c>
      <c r="N84" s="37" t="n">
        <v>12.1</v>
      </c>
      <c r="O84" s="37" t="n">
        <v>13.6125</v>
      </c>
      <c r="P84" s="37" t="n">
        <v>15.55714285714286</v>
      </c>
      <c r="Q84" s="37" t="n">
        <v>18.15</v>
      </c>
      <c r="R84" s="37" t="n">
        <v>21.78</v>
      </c>
      <c r="S84" s="37" t="n">
        <v>27.225</v>
      </c>
      <c r="T84" s="37" t="n">
        <v>36.3</v>
      </c>
      <c r="U84" s="37" t="n">
        <v>54.45</v>
      </c>
      <c r="V84" s="37" t="n">
        <v>108.9</v>
      </c>
      <c r="W84" s="37" t="n">
        <v>12.18</v>
      </c>
      <c r="X84" s="37" t="n">
        <v>12.82105263157895</v>
      </c>
      <c r="Y84" s="37" t="n">
        <v>13.53333333333333</v>
      </c>
      <c r="Z84" s="37" t="n">
        <v>14.32941176470588</v>
      </c>
      <c r="AA84" s="37" t="n">
        <v>15.225</v>
      </c>
      <c r="AB84" s="37" t="n">
        <v>16.24</v>
      </c>
      <c r="AC84" s="37" t="n">
        <v>17.4</v>
      </c>
      <c r="AD84" s="37" t="n">
        <v>18.73846153846154</v>
      </c>
      <c r="AE84" s="37" t="n">
        <v>20.3</v>
      </c>
      <c r="AF84" s="37" t="n">
        <v>22.14545454545454</v>
      </c>
      <c r="AG84" s="37" t="n">
        <v>24.36</v>
      </c>
      <c r="AH84" s="37" t="n">
        <v>27.06666666666667</v>
      </c>
      <c r="AI84" s="37" t="n">
        <v>30.45</v>
      </c>
      <c r="AJ84" s="37" t="n">
        <v>34.8</v>
      </c>
      <c r="AK84" s="37" t="n">
        <v>40.6</v>
      </c>
      <c r="AL84" s="37" t="n">
        <v>48.72</v>
      </c>
      <c r="AM84" s="37" t="n">
        <v>60.9</v>
      </c>
      <c r="AN84" s="37" t="n">
        <v>81.2</v>
      </c>
      <c r="AO84" s="37" t="n">
        <v>121.8</v>
      </c>
      <c r="AP84" s="37" t="n">
        <v>243.6</v>
      </c>
    </row>
    <row r="85">
      <c r="A85" s="5" t="inlineStr">
        <is>
          <t>P103</t>
        </is>
      </c>
      <c r="B85" s="5" t="inlineStr">
        <is>
          <t>RDM</t>
        </is>
      </c>
      <c r="C85" s="37" t="n">
        <v>5.06</v>
      </c>
      <c r="D85" s="37" t="n">
        <v>5.326315789473684</v>
      </c>
      <c r="E85" s="37" t="n">
        <v>5.622222222222222</v>
      </c>
      <c r="F85" s="37" t="n">
        <v>5.952941176470588</v>
      </c>
      <c r="G85" s="37" t="n">
        <v>6.324999999999999</v>
      </c>
      <c r="H85" s="37" t="n">
        <v>6.746666666666666</v>
      </c>
      <c r="I85" s="37" t="n">
        <v>7.228571428571429</v>
      </c>
      <c r="J85" s="37" t="n">
        <v>7.784615384615384</v>
      </c>
      <c r="K85" s="37" t="n">
        <v>8.433333333333334</v>
      </c>
      <c r="L85" s="37" t="n">
        <v>9.199999999999999</v>
      </c>
      <c r="M85" s="37" t="n">
        <v>10.12</v>
      </c>
      <c r="N85" s="37" t="n">
        <v>11.24444444444444</v>
      </c>
      <c r="O85" s="37" t="n">
        <v>12.65</v>
      </c>
      <c r="P85" s="37" t="n">
        <v>14.45714285714286</v>
      </c>
      <c r="Q85" s="37" t="n">
        <v>16.86666666666667</v>
      </c>
      <c r="R85" s="37" t="n">
        <v>20.24</v>
      </c>
      <c r="S85" s="37" t="n">
        <v>25.3</v>
      </c>
      <c r="T85" s="37" t="n">
        <v>33.73333333333333</v>
      </c>
      <c r="U85" s="37" t="n">
        <v>50.59999999999999</v>
      </c>
      <c r="V85" s="37" t="n">
        <v>101.2</v>
      </c>
      <c r="W85" s="37" t="n">
        <v>12.18</v>
      </c>
      <c r="X85" s="37" t="n">
        <v>12.82105263157895</v>
      </c>
      <c r="Y85" s="37" t="n">
        <v>13.53333333333333</v>
      </c>
      <c r="Z85" s="37" t="n">
        <v>14.32941176470588</v>
      </c>
      <c r="AA85" s="37" t="n">
        <v>15.225</v>
      </c>
      <c r="AB85" s="37" t="n">
        <v>16.24</v>
      </c>
      <c r="AC85" s="37" t="n">
        <v>17.4</v>
      </c>
      <c r="AD85" s="37" t="n">
        <v>18.73846153846154</v>
      </c>
      <c r="AE85" s="37" t="n">
        <v>20.3</v>
      </c>
      <c r="AF85" s="37" t="n">
        <v>22.14545454545454</v>
      </c>
      <c r="AG85" s="37" t="n">
        <v>24.36</v>
      </c>
      <c r="AH85" s="37" t="n">
        <v>27.06666666666667</v>
      </c>
      <c r="AI85" s="37" t="n">
        <v>30.45</v>
      </c>
      <c r="AJ85" s="37" t="n">
        <v>34.8</v>
      </c>
      <c r="AK85" s="37" t="n">
        <v>40.6</v>
      </c>
      <c r="AL85" s="37" t="n">
        <v>48.72</v>
      </c>
      <c r="AM85" s="37" t="n">
        <v>60.9</v>
      </c>
      <c r="AN85" s="37" t="n">
        <v>81.2</v>
      </c>
      <c r="AO85" s="37" t="n">
        <v>121.8</v>
      </c>
      <c r="AP85" s="37" t="n">
        <v>243.6</v>
      </c>
    </row>
    <row r="86">
      <c r="A86" s="5" t="inlineStr">
        <is>
          <t>P104</t>
        </is>
      </c>
      <c r="B86" s="5" t="inlineStr">
        <is>
          <t>RDM</t>
        </is>
      </c>
      <c r="C86" s="37" t="n">
        <v>5.005</v>
      </c>
      <c r="D86" s="37" t="n">
        <v>5.268421052631579</v>
      </c>
      <c r="E86" s="37" t="n">
        <v>5.561111111111111</v>
      </c>
      <c r="F86" s="37" t="n">
        <v>5.888235294117647</v>
      </c>
      <c r="G86" s="37" t="n">
        <v>6.25625</v>
      </c>
      <c r="H86" s="37" t="n">
        <v>6.673333333333333</v>
      </c>
      <c r="I86" s="37" t="n">
        <v>7.15</v>
      </c>
      <c r="J86" s="37" t="n">
        <v>7.699999999999999</v>
      </c>
      <c r="K86" s="37" t="n">
        <v>8.341666666666667</v>
      </c>
      <c r="L86" s="37" t="n">
        <v>9.1</v>
      </c>
      <c r="M86" s="37" t="n">
        <v>10.01</v>
      </c>
      <c r="N86" s="37" t="n">
        <v>11.12222222222222</v>
      </c>
      <c r="O86" s="37" t="n">
        <v>12.5125</v>
      </c>
      <c r="P86" s="37" t="n">
        <v>14.3</v>
      </c>
      <c r="Q86" s="37" t="n">
        <v>16.68333333333333</v>
      </c>
      <c r="R86" s="37" t="n">
        <v>20.02</v>
      </c>
      <c r="S86" s="37" t="n">
        <v>25.025</v>
      </c>
      <c r="T86" s="37" t="n">
        <v>33.36666666666667</v>
      </c>
      <c r="U86" s="37" t="n">
        <v>50.05</v>
      </c>
      <c r="V86" s="37" t="n">
        <v>100.1</v>
      </c>
      <c r="W86" s="37" t="n">
        <v>12.18</v>
      </c>
      <c r="X86" s="37" t="n">
        <v>12.82105263157895</v>
      </c>
      <c r="Y86" s="37" t="n">
        <v>13.53333333333333</v>
      </c>
      <c r="Z86" s="37" t="n">
        <v>14.3294117647059</v>
      </c>
      <c r="AA86" s="37" t="n">
        <v>15.225</v>
      </c>
      <c r="AB86" s="37" t="n">
        <v>16.24</v>
      </c>
      <c r="AC86" s="37" t="n">
        <v>17.4</v>
      </c>
      <c r="AD86" s="37" t="n">
        <v>18.73846153846154</v>
      </c>
      <c r="AE86" s="37" t="n">
        <v>20.3</v>
      </c>
      <c r="AF86" s="37" t="n">
        <v>22.14545454545454</v>
      </c>
      <c r="AG86" s="37" t="n">
        <v>24.36</v>
      </c>
      <c r="AH86" s="37" t="n">
        <v>27.06666666666667</v>
      </c>
      <c r="AI86" s="37" t="n">
        <v>30.45</v>
      </c>
      <c r="AJ86" s="37" t="n">
        <v>34.8</v>
      </c>
      <c r="AK86" s="37" t="n">
        <v>40.6</v>
      </c>
      <c r="AL86" s="37" t="n">
        <v>48.72</v>
      </c>
      <c r="AM86" s="37" t="n">
        <v>60.9</v>
      </c>
      <c r="AN86" s="37" t="n">
        <v>81.2</v>
      </c>
      <c r="AO86" s="37" t="n">
        <v>121.8</v>
      </c>
      <c r="AP86" s="37" t="n">
        <v>243.6</v>
      </c>
    </row>
    <row r="87">
      <c r="A87" s="5" t="inlineStr">
        <is>
          <t>P105</t>
        </is>
      </c>
      <c r="B87" s="5" t="inlineStr">
        <is>
          <t>RDM</t>
        </is>
      </c>
      <c r="C87" s="37" t="n">
        <v>5.225</v>
      </c>
      <c r="D87" s="37" t="n">
        <v>5.5</v>
      </c>
      <c r="E87" s="37" t="n">
        <v>5.805555555555555</v>
      </c>
      <c r="F87" s="37" t="n">
        <v>6.147058823529411</v>
      </c>
      <c r="G87" s="37" t="n">
        <v>6.531249999999999</v>
      </c>
      <c r="H87" s="37" t="n">
        <v>6.966666666666666</v>
      </c>
      <c r="I87" s="37" t="n">
        <v>7.464285714285714</v>
      </c>
      <c r="J87" s="37" t="n">
        <v>8.038461538461538</v>
      </c>
      <c r="K87" s="37" t="n">
        <v>8.708333333333334</v>
      </c>
      <c r="L87" s="37" t="n">
        <v>9.499999999999998</v>
      </c>
      <c r="M87" s="37" t="n">
        <v>10.45</v>
      </c>
      <c r="N87" s="37" t="n">
        <v>11.61111111111111</v>
      </c>
      <c r="O87" s="37" t="n">
        <v>13.0625</v>
      </c>
      <c r="P87" s="37" t="n">
        <v>14.92857142857143</v>
      </c>
      <c r="Q87" s="37" t="n">
        <v>17.41666666666667</v>
      </c>
      <c r="R87" s="37" t="n">
        <v>20.9</v>
      </c>
      <c r="S87" s="37" t="n">
        <v>26.125</v>
      </c>
      <c r="T87" s="37" t="n">
        <v>34.83333333333334</v>
      </c>
      <c r="U87" s="37" t="n">
        <v>52.24999999999999</v>
      </c>
      <c r="V87" s="37" t="n">
        <v>104.5</v>
      </c>
      <c r="W87" s="37" t="n">
        <v>12.18</v>
      </c>
      <c r="X87" s="37" t="n">
        <v>12.82105263157895</v>
      </c>
      <c r="Y87" s="37" t="n">
        <v>13.53333333333333</v>
      </c>
      <c r="Z87" s="37" t="n">
        <v>14.32941176470588</v>
      </c>
      <c r="AA87" s="37" t="n">
        <v>15.225</v>
      </c>
      <c r="AB87" s="37" t="n">
        <v>16.24</v>
      </c>
      <c r="AC87" s="37" t="n">
        <v>17.4</v>
      </c>
      <c r="AD87" s="37" t="n">
        <v>18.73846153846154</v>
      </c>
      <c r="AE87" s="37" t="n">
        <v>20.3</v>
      </c>
      <c r="AF87" s="37" t="n">
        <v>22.14545454545454</v>
      </c>
      <c r="AG87" s="37" t="n">
        <v>24.36</v>
      </c>
      <c r="AH87" s="37" t="n">
        <v>27.06666666666667</v>
      </c>
      <c r="AI87" s="37" t="n">
        <v>30.45</v>
      </c>
      <c r="AJ87" s="37" t="n">
        <v>34.8</v>
      </c>
      <c r="AK87" s="37" t="n">
        <v>40.6</v>
      </c>
      <c r="AL87" s="37" t="n">
        <v>48.72</v>
      </c>
      <c r="AM87" s="37" t="n">
        <v>60.9</v>
      </c>
      <c r="AN87" s="37" t="n">
        <v>81.2</v>
      </c>
      <c r="AO87" s="37" t="n">
        <v>121.8</v>
      </c>
      <c r="AP87" s="37" t="n">
        <v>243.6</v>
      </c>
    </row>
    <row r="88">
      <c r="A88" s="5" t="inlineStr">
        <is>
          <t>P106</t>
        </is>
      </c>
      <c r="B88" s="5" t="inlineStr">
        <is>
          <t>RDM</t>
        </is>
      </c>
      <c r="C88" s="37" t="n">
        <v>5.34</v>
      </c>
      <c r="D88" s="37" t="n">
        <v>5.621052631578947</v>
      </c>
      <c r="E88" s="37" t="n">
        <v>5.933333333333333</v>
      </c>
      <c r="F88" s="37" t="n">
        <v>6.28235294117647</v>
      </c>
      <c r="G88" s="37" t="n">
        <v>6.675</v>
      </c>
      <c r="H88" s="37" t="n">
        <v>7.12</v>
      </c>
      <c r="I88" s="37" t="n">
        <v>7.628571428571429</v>
      </c>
      <c r="J88" s="37" t="n">
        <v>8.215384615384615</v>
      </c>
      <c r="K88" s="37" t="n">
        <v>8.9</v>
      </c>
      <c r="L88" s="37" t="n">
        <v>9.709090909090907</v>
      </c>
      <c r="M88" s="37" t="n">
        <v>10.68</v>
      </c>
      <c r="N88" s="37" t="n">
        <v>11.86666666666667</v>
      </c>
      <c r="O88" s="37" t="n">
        <v>13.35</v>
      </c>
      <c r="P88" s="37" t="n">
        <v>15.25714285714286</v>
      </c>
      <c r="Q88" s="37" t="n">
        <v>17.8</v>
      </c>
      <c r="R88" s="37" t="n">
        <v>21.36</v>
      </c>
      <c r="S88" s="37" t="n">
        <v>26.7</v>
      </c>
      <c r="T88" s="37" t="n">
        <v>35.6</v>
      </c>
      <c r="U88" s="37" t="n">
        <v>53.4</v>
      </c>
      <c r="V88" s="37" t="n">
        <v>106.8</v>
      </c>
      <c r="W88" s="37" t="n">
        <v>12.18</v>
      </c>
      <c r="X88" s="37" t="n">
        <v>12.82105263157895</v>
      </c>
      <c r="Y88" s="37" t="n">
        <v>13.53333333333333</v>
      </c>
      <c r="Z88" s="37" t="n">
        <v>14.32941176470588</v>
      </c>
      <c r="AA88" s="37" t="n">
        <v>15.225</v>
      </c>
      <c r="AB88" s="37" t="n">
        <v>16.24</v>
      </c>
      <c r="AC88" s="37" t="n">
        <v>17.4</v>
      </c>
      <c r="AD88" s="37" t="n">
        <v>18.73846153846154</v>
      </c>
      <c r="AE88" s="37" t="n">
        <v>20.3</v>
      </c>
      <c r="AF88" s="37" t="n">
        <v>22.14545454545454</v>
      </c>
      <c r="AG88" s="37" t="n">
        <v>24.36</v>
      </c>
      <c r="AH88" s="37" t="n">
        <v>27.06666666666667</v>
      </c>
      <c r="AI88" s="37" t="n">
        <v>30.45</v>
      </c>
      <c r="AJ88" s="37" t="n">
        <v>34.8</v>
      </c>
      <c r="AK88" s="37" t="n">
        <v>40.6</v>
      </c>
      <c r="AL88" s="37" t="n">
        <v>48.72</v>
      </c>
      <c r="AM88" s="37" t="n">
        <v>60.9</v>
      </c>
      <c r="AN88" s="37" t="n">
        <v>81.2</v>
      </c>
      <c r="AO88" s="37" t="n">
        <v>121.8</v>
      </c>
      <c r="AP88" s="37" t="n">
        <v>243.6</v>
      </c>
    </row>
    <row r="89">
      <c r="A89" s="5" t="inlineStr">
        <is>
          <t>P107</t>
        </is>
      </c>
      <c r="B89" s="5" t="inlineStr">
        <is>
          <t>RDM</t>
        </is>
      </c>
      <c r="C89" s="37" t="n">
        <v>5.225</v>
      </c>
      <c r="D89" s="37" t="n">
        <v>5.5</v>
      </c>
      <c r="E89" s="37" t="n">
        <v>5.805555555555555</v>
      </c>
      <c r="F89" s="37" t="n">
        <v>6.147058823529411</v>
      </c>
      <c r="G89" s="37" t="n">
        <v>6.531249999999999</v>
      </c>
      <c r="H89" s="37" t="n">
        <v>6.966666666666666</v>
      </c>
      <c r="I89" s="37" t="n">
        <v>7.464285714285714</v>
      </c>
      <c r="J89" s="37" t="n">
        <v>8.038461538461538</v>
      </c>
      <c r="K89" s="37" t="n">
        <v>8.708333333333334</v>
      </c>
      <c r="L89" s="37" t="n">
        <v>9.499999999999998</v>
      </c>
      <c r="M89" s="37" t="n">
        <v>10.45</v>
      </c>
      <c r="N89" s="37" t="n">
        <v>11.61111111111111</v>
      </c>
      <c r="O89" s="37" t="n">
        <v>13.0625</v>
      </c>
      <c r="P89" s="37" t="n">
        <v>14.92857142857143</v>
      </c>
      <c r="Q89" s="37" t="n">
        <v>17.41666666666667</v>
      </c>
      <c r="R89" s="37" t="n">
        <v>20.9</v>
      </c>
      <c r="S89" s="37" t="n">
        <v>26.125</v>
      </c>
      <c r="T89" s="37" t="n">
        <v>34.83333333333334</v>
      </c>
      <c r="U89" s="37" t="n">
        <v>52.24999999999999</v>
      </c>
      <c r="V89" s="37" t="n">
        <v>104.5</v>
      </c>
      <c r="W89" s="37" t="n">
        <v>12.18</v>
      </c>
      <c r="X89" s="37" t="n">
        <v>12.82105263157895</v>
      </c>
      <c r="Y89" s="37" t="n">
        <v>13.53333333333333</v>
      </c>
      <c r="Z89" s="37" t="n">
        <v>14.32941176470588</v>
      </c>
      <c r="AA89" s="37" t="n">
        <v>15.225</v>
      </c>
      <c r="AB89" s="37" t="n">
        <v>16.24</v>
      </c>
      <c r="AC89" s="37" t="n">
        <v>17.4</v>
      </c>
      <c r="AD89" s="37" t="n">
        <v>18.73846153846154</v>
      </c>
      <c r="AE89" s="37" t="n">
        <v>20.3</v>
      </c>
      <c r="AF89" s="37" t="n">
        <v>22.14545454545454</v>
      </c>
      <c r="AG89" s="37" t="n">
        <v>24.36</v>
      </c>
      <c r="AH89" s="37" t="n">
        <v>27.06666666666667</v>
      </c>
      <c r="AI89" s="37" t="n">
        <v>30.45</v>
      </c>
      <c r="AJ89" s="37" t="n">
        <v>34.8</v>
      </c>
      <c r="AK89" s="37" t="n">
        <v>40.6</v>
      </c>
      <c r="AL89" s="37" t="n">
        <v>48.72</v>
      </c>
      <c r="AM89" s="37" t="n">
        <v>60.9</v>
      </c>
      <c r="AN89" s="37" t="n">
        <v>81.2</v>
      </c>
      <c r="AO89" s="37" t="n">
        <v>121.8</v>
      </c>
      <c r="AP89" s="37" t="n">
        <v>243.6</v>
      </c>
    </row>
    <row r="90">
      <c r="A90" s="5" t="inlineStr">
        <is>
          <t>P108</t>
        </is>
      </c>
      <c r="B90" s="5" t="inlineStr">
        <is>
          <t>RDM</t>
        </is>
      </c>
      <c r="C90" s="37" t="n">
        <v>5.5</v>
      </c>
      <c r="D90" s="37" t="n">
        <v>5.789473684210527</v>
      </c>
      <c r="E90" s="37" t="n">
        <v>6.111111111111111</v>
      </c>
      <c r="F90" s="37" t="n">
        <v>6.470588235294118</v>
      </c>
      <c r="G90" s="37" t="n">
        <v>6.875</v>
      </c>
      <c r="H90" s="37" t="n">
        <v>7.333333333333333</v>
      </c>
      <c r="I90" s="37" t="n">
        <v>7.857142857142858</v>
      </c>
      <c r="J90" s="37" t="n">
        <v>8.461538461538462</v>
      </c>
      <c r="K90" s="37" t="n">
        <v>9.166666666666668</v>
      </c>
      <c r="L90" s="37" t="n">
        <v>10</v>
      </c>
      <c r="M90" s="37" t="n">
        <v>11</v>
      </c>
      <c r="N90" s="37" t="n">
        <v>12.22222222222222</v>
      </c>
      <c r="O90" s="37" t="n">
        <v>13.75</v>
      </c>
      <c r="P90" s="37" t="n">
        <v>15.71428571428572</v>
      </c>
      <c r="Q90" s="37" t="n">
        <v>18.33333333333334</v>
      </c>
      <c r="R90" s="37" t="n">
        <v>22</v>
      </c>
      <c r="S90" s="37" t="n">
        <v>27.5</v>
      </c>
      <c r="T90" s="37" t="n">
        <v>36.66666666666667</v>
      </c>
      <c r="U90" s="37" t="n">
        <v>55</v>
      </c>
      <c r="V90" s="37" t="n">
        <v>110</v>
      </c>
      <c r="W90" s="37" t="n">
        <v>12.18</v>
      </c>
      <c r="X90" s="37" t="n">
        <v>12.82105263157895</v>
      </c>
      <c r="Y90" s="37" t="n">
        <v>13.53333333333333</v>
      </c>
      <c r="Z90" s="37" t="n">
        <v>14.32941176470588</v>
      </c>
      <c r="AA90" s="37" t="n">
        <v>15.225</v>
      </c>
      <c r="AB90" s="37" t="n">
        <v>16.24</v>
      </c>
      <c r="AC90" s="37" t="n">
        <v>17.4</v>
      </c>
      <c r="AD90" s="37" t="n">
        <v>18.73846153846154</v>
      </c>
      <c r="AE90" s="37" t="n">
        <v>20.3</v>
      </c>
      <c r="AF90" s="37" t="n">
        <v>22.14545454545454</v>
      </c>
      <c r="AG90" s="37" t="n">
        <v>24.36</v>
      </c>
      <c r="AH90" s="37" t="n">
        <v>27.06666666666667</v>
      </c>
      <c r="AI90" s="37" t="n">
        <v>30.45</v>
      </c>
      <c r="AJ90" s="37" t="n">
        <v>34.8</v>
      </c>
      <c r="AK90" s="37" t="n">
        <v>40.6</v>
      </c>
      <c r="AL90" s="37" t="n">
        <v>48.72</v>
      </c>
      <c r="AM90" s="37" t="n">
        <v>60.9</v>
      </c>
      <c r="AN90" s="37" t="n">
        <v>81.2</v>
      </c>
      <c r="AO90" s="37" t="n">
        <v>121.8</v>
      </c>
      <c r="AP90" s="37" t="n">
        <v>243.6</v>
      </c>
    </row>
    <row r="91">
      <c r="A91" s="5" t="inlineStr">
        <is>
          <t>P109</t>
        </is>
      </c>
      <c r="B91" s="5" t="inlineStr">
        <is>
          <t>RDM</t>
        </is>
      </c>
      <c r="C91" s="37" t="n">
        <v>5.83</v>
      </c>
      <c r="D91" s="37" t="n">
        <v>6.136842105263158</v>
      </c>
      <c r="E91" s="37" t="n">
        <v>6.477777777777778</v>
      </c>
      <c r="F91" s="37" t="n">
        <v>6.858823529411765</v>
      </c>
      <c r="G91" s="37" t="n">
        <v>7.2875</v>
      </c>
      <c r="H91" s="37" t="n">
        <v>7.773333333333333</v>
      </c>
      <c r="I91" s="37" t="n">
        <v>8.328571428571429</v>
      </c>
      <c r="J91" s="37" t="n">
        <v>8.969230769230769</v>
      </c>
      <c r="K91" s="37" t="n">
        <v>9.716666666666667</v>
      </c>
      <c r="L91" s="37" t="n">
        <v>10.6</v>
      </c>
      <c r="M91" s="37" t="n">
        <v>11.66</v>
      </c>
      <c r="N91" s="37" t="n">
        <v>12.95555555555556</v>
      </c>
      <c r="O91" s="37" t="n">
        <v>14.575</v>
      </c>
      <c r="P91" s="37" t="n">
        <v>16.65714285714286</v>
      </c>
      <c r="Q91" s="37" t="n">
        <v>19.43333333333333</v>
      </c>
      <c r="R91" s="37" t="n">
        <v>23.32</v>
      </c>
      <c r="S91" s="37" t="n">
        <v>29.15</v>
      </c>
      <c r="T91" s="37" t="n">
        <v>38.86666666666667</v>
      </c>
      <c r="U91" s="37" t="n">
        <v>58.3</v>
      </c>
      <c r="V91" s="37" t="n">
        <v>116.6</v>
      </c>
      <c r="W91" s="37" t="n">
        <v>12.18</v>
      </c>
      <c r="X91" s="37" t="n">
        <v>12.82105263157895</v>
      </c>
      <c r="Y91" s="37" t="n">
        <v>13.5333333333333</v>
      </c>
      <c r="Z91" s="37" t="n">
        <v>14.32941176470588</v>
      </c>
      <c r="AA91" s="37" t="n">
        <v>15.225</v>
      </c>
      <c r="AB91" s="37" t="n">
        <v>16.24</v>
      </c>
      <c r="AC91" s="37" t="n">
        <v>17.4</v>
      </c>
      <c r="AD91" s="37" t="n">
        <v>18.73846153846154</v>
      </c>
      <c r="AE91" s="37" t="n">
        <v>20.3</v>
      </c>
      <c r="AF91" s="37" t="n">
        <v>22.14545454545454</v>
      </c>
      <c r="AG91" s="37" t="n">
        <v>24.36</v>
      </c>
      <c r="AH91" s="37" t="n">
        <v>27.06666666666667</v>
      </c>
      <c r="AI91" s="37" t="n">
        <v>30.45</v>
      </c>
      <c r="AJ91" s="37" t="n">
        <v>34.8</v>
      </c>
      <c r="AK91" s="37" t="n">
        <v>40.6</v>
      </c>
      <c r="AL91" s="37" t="n">
        <v>48.72</v>
      </c>
      <c r="AM91" s="37" t="n">
        <v>60.9</v>
      </c>
      <c r="AN91" s="37" t="n">
        <v>81.2</v>
      </c>
      <c r="AO91" s="37" t="n">
        <v>121.8</v>
      </c>
      <c r="AP91" s="37" t="n">
        <v>243.6</v>
      </c>
    </row>
    <row r="92">
      <c r="A92" s="5" t="inlineStr">
        <is>
          <t>P110</t>
        </is>
      </c>
      <c r="B92" s="5" t="inlineStr">
        <is>
          <t>RDM</t>
        </is>
      </c>
      <c r="C92" s="37" t="n">
        <v>5.4</v>
      </c>
      <c r="D92" s="37" t="n">
        <v>5.68421052631579</v>
      </c>
      <c r="E92" s="37" t="n">
        <v>6</v>
      </c>
      <c r="F92" s="37" t="n">
        <v>6.352941176470589</v>
      </c>
      <c r="G92" s="37" t="n">
        <v>6.75</v>
      </c>
      <c r="H92" s="37" t="n">
        <v>7.2</v>
      </c>
      <c r="I92" s="37" t="n">
        <v>7.714285714285715</v>
      </c>
      <c r="J92" s="37" t="n">
        <v>8.307692307692308</v>
      </c>
      <c r="K92" s="37" t="n">
        <v>9.000000000000002</v>
      </c>
      <c r="L92" s="37" t="n">
        <v>9.818181818181818</v>
      </c>
      <c r="M92" s="37" t="n">
        <v>10.8</v>
      </c>
      <c r="N92" s="37" t="n">
        <v>12</v>
      </c>
      <c r="O92" s="37" t="n">
        <v>13.5</v>
      </c>
      <c r="P92" s="37" t="n">
        <v>15.42857142857143</v>
      </c>
      <c r="Q92" s="37" t="n">
        <v>18</v>
      </c>
      <c r="R92" s="37" t="n">
        <v>21.6</v>
      </c>
      <c r="S92" s="37" t="n">
        <v>27</v>
      </c>
      <c r="T92" s="37" t="n">
        <v>36.00000000000001</v>
      </c>
      <c r="U92" s="37" t="n">
        <v>54</v>
      </c>
      <c r="V92" s="37" t="n">
        <v>108</v>
      </c>
      <c r="W92" s="37" t="n">
        <v>12.18</v>
      </c>
      <c r="X92" s="37" t="n">
        <v>12.82105263157895</v>
      </c>
      <c r="Y92" s="37" t="n">
        <v>13.53333333333333</v>
      </c>
      <c r="Z92" s="37" t="n">
        <v>14.32941176470588</v>
      </c>
      <c r="AA92" s="37" t="n">
        <v>15.225</v>
      </c>
      <c r="AB92" s="37" t="n">
        <v>16.24</v>
      </c>
      <c r="AC92" s="37" t="n">
        <v>17.4</v>
      </c>
      <c r="AD92" s="37" t="n">
        <v>18.73846153846154</v>
      </c>
      <c r="AE92" s="37" t="n">
        <v>20.3</v>
      </c>
      <c r="AF92" s="37" t="n">
        <v>22.14545454545454</v>
      </c>
      <c r="AG92" s="37" t="n">
        <v>24.36</v>
      </c>
      <c r="AH92" s="37" t="n">
        <v>27.0666666666667</v>
      </c>
      <c r="AI92" s="37" t="n">
        <v>30.45</v>
      </c>
      <c r="AJ92" s="37" t="n">
        <v>34.8</v>
      </c>
      <c r="AK92" s="37" t="n">
        <v>40.6</v>
      </c>
      <c r="AL92" s="37" t="n">
        <v>48.72</v>
      </c>
      <c r="AM92" s="37" t="n">
        <v>60.9</v>
      </c>
      <c r="AN92" s="37" t="n">
        <v>81.2</v>
      </c>
      <c r="AO92" s="37" t="n">
        <v>121.8</v>
      </c>
      <c r="AP92" s="37" t="n">
        <v>243.6</v>
      </c>
    </row>
    <row r="93">
      <c r="A93" s="5" t="inlineStr">
        <is>
          <t>P112</t>
        </is>
      </c>
      <c r="B93" s="5" t="inlineStr">
        <is>
          <t>RDM</t>
        </is>
      </c>
      <c r="C93" s="37" t="n">
        <v>6.16</v>
      </c>
      <c r="D93" s="37" t="n">
        <v>6.48421052631579</v>
      </c>
      <c r="E93" s="37" t="n">
        <v>6.844444444444444</v>
      </c>
      <c r="F93" s="37" t="n">
        <v>7.247058823529412</v>
      </c>
      <c r="G93" s="37" t="n">
        <v>7.7</v>
      </c>
      <c r="H93" s="37" t="n">
        <v>8.213333333333333</v>
      </c>
      <c r="I93" s="37" t="n">
        <v>8.800000000000001</v>
      </c>
      <c r="J93" s="37" t="n">
        <v>9.476923076923077</v>
      </c>
      <c r="K93" s="37" t="n">
        <v>10.26666666666667</v>
      </c>
      <c r="L93" s="37" t="n">
        <v>11.2</v>
      </c>
      <c r="M93" s="37" t="n">
        <v>12.32</v>
      </c>
      <c r="N93" s="37" t="n">
        <v>13.68888888888889</v>
      </c>
      <c r="O93" s="37" t="n">
        <v>15.4</v>
      </c>
      <c r="P93" s="37" t="n">
        <v>17.6</v>
      </c>
      <c r="Q93" s="37" t="n">
        <v>20.53333333333333</v>
      </c>
      <c r="R93" s="37" t="n">
        <v>24.64</v>
      </c>
      <c r="S93" s="37" t="n">
        <v>30.8</v>
      </c>
      <c r="T93" s="37" t="n">
        <v>41.06666666666667</v>
      </c>
      <c r="U93" s="37" t="n">
        <v>61.6</v>
      </c>
      <c r="V93" s="37" t="n">
        <v>123.2</v>
      </c>
      <c r="W93" s="37" t="n">
        <v>15.26</v>
      </c>
      <c r="X93" s="37" t="n">
        <v>16.06315789473684</v>
      </c>
      <c r="Y93" s="37" t="n">
        <v>16.95555555555556</v>
      </c>
      <c r="Z93" s="37" t="n">
        <v>17.95294117647059</v>
      </c>
      <c r="AA93" s="37" t="n">
        <v>19.075</v>
      </c>
      <c r="AB93" s="37" t="n">
        <v>20.34666666666667</v>
      </c>
      <c r="AC93" s="37" t="n">
        <v>21.8</v>
      </c>
      <c r="AD93" s="37" t="n">
        <v>23.47692307692308</v>
      </c>
      <c r="AE93" s="37" t="n">
        <v>25.43333333333333</v>
      </c>
      <c r="AF93" s="37" t="n">
        <v>27.74545454545454</v>
      </c>
      <c r="AG93" s="37" t="n">
        <v>30.52</v>
      </c>
      <c r="AH93" s="37" t="n">
        <v>33.91111111111111</v>
      </c>
      <c r="AI93" s="37" t="n">
        <v>38.15</v>
      </c>
      <c r="AJ93" s="37" t="n">
        <v>43.6</v>
      </c>
      <c r="AK93" s="37" t="n">
        <v>50.86666666666667</v>
      </c>
      <c r="AL93" s="37" t="n">
        <v>61.04</v>
      </c>
      <c r="AM93" s="37" t="n">
        <v>76.3</v>
      </c>
      <c r="AN93" s="37" t="n">
        <v>101.7333333333333</v>
      </c>
      <c r="AO93" s="37" t="n">
        <v>152.6</v>
      </c>
      <c r="AP93" s="37" t="n">
        <v>305.2</v>
      </c>
    </row>
    <row r="94">
      <c r="A94" s="5" t="inlineStr">
        <is>
          <t>P113</t>
        </is>
      </c>
      <c r="B94" s="5" t="inlineStr">
        <is>
          <t>RDM</t>
        </is>
      </c>
      <c r="C94" s="37" t="n">
        <v>6.23</v>
      </c>
      <c r="D94" s="37" t="n">
        <v>6.557894736842106</v>
      </c>
      <c r="E94" s="37" t="n">
        <v>6.922222222222222</v>
      </c>
      <c r="F94" s="37" t="n">
        <v>7.329411764705883</v>
      </c>
      <c r="G94" s="37" t="n">
        <v>7.787500000000001</v>
      </c>
      <c r="H94" s="37" t="n">
        <v>8.306666666666667</v>
      </c>
      <c r="I94" s="37" t="n">
        <v>8.9</v>
      </c>
      <c r="J94" s="37" t="n">
        <v>9.584615384615384</v>
      </c>
      <c r="K94" s="37" t="n">
        <v>10.38333333333333</v>
      </c>
      <c r="L94" s="37" t="n">
        <v>11.32727272727273</v>
      </c>
      <c r="M94" s="37" t="n">
        <v>12.46</v>
      </c>
      <c r="N94" s="37" t="n">
        <v>13.84444444444444</v>
      </c>
      <c r="O94" s="37" t="n">
        <v>15.575</v>
      </c>
      <c r="P94" s="37" t="n">
        <v>17.8</v>
      </c>
      <c r="Q94" s="37" t="n">
        <v>20.76666666666667</v>
      </c>
      <c r="R94" s="37" t="n">
        <v>24.92</v>
      </c>
      <c r="S94" s="37" t="n">
        <v>31.15</v>
      </c>
      <c r="T94" s="37" t="n">
        <v>41.53333333333334</v>
      </c>
      <c r="U94" s="37" t="n">
        <v>62.3</v>
      </c>
      <c r="V94" s="37" t="n">
        <v>124.6</v>
      </c>
      <c r="W94" s="37" t="n">
        <v>15.25</v>
      </c>
      <c r="X94" s="37" t="n">
        <v>16.05263157894737</v>
      </c>
      <c r="Y94" s="37" t="n">
        <v>16.94444444444444</v>
      </c>
      <c r="Z94" s="37" t="n">
        <v>17.94117647058824</v>
      </c>
      <c r="AA94" s="37" t="n">
        <v>19.0625</v>
      </c>
      <c r="AB94" s="37" t="n">
        <v>20.33333333333333</v>
      </c>
      <c r="AC94" s="37" t="n">
        <v>21.78571428571429</v>
      </c>
      <c r="AD94" s="37" t="n">
        <v>23.46153846153846</v>
      </c>
      <c r="AE94" s="37" t="n">
        <v>25.41666666666667</v>
      </c>
      <c r="AF94" s="37" t="n">
        <v>27.72727272727273</v>
      </c>
      <c r="AG94" s="37" t="n">
        <v>30.5</v>
      </c>
      <c r="AH94" s="37" t="n">
        <v>33.88888888888889</v>
      </c>
      <c r="AI94" s="37" t="n">
        <v>38.125</v>
      </c>
      <c r="AJ94" s="37" t="n">
        <v>43.57142857142858</v>
      </c>
      <c r="AK94" s="37" t="n">
        <v>50.83333333333334</v>
      </c>
      <c r="AL94" s="37" t="n">
        <v>61</v>
      </c>
      <c r="AM94" s="37" t="n">
        <v>76.25</v>
      </c>
      <c r="AN94" s="37" t="n">
        <v>101.6666666666667</v>
      </c>
      <c r="AO94" s="37" t="n">
        <v>152.5</v>
      </c>
      <c r="AP94" s="37" t="n">
        <v>305</v>
      </c>
    </row>
    <row r="95">
      <c r="A95" s="5" t="inlineStr">
        <is>
          <t>P114</t>
        </is>
      </c>
      <c r="B95" s="5" t="inlineStr">
        <is>
          <t>RDM</t>
        </is>
      </c>
      <c r="C95" s="37" t="n">
        <v>5.76</v>
      </c>
      <c r="D95" s="37" t="n">
        <v>6.063157894736842</v>
      </c>
      <c r="E95" s="37" t="n">
        <v>6.399999999999999</v>
      </c>
      <c r="F95" s="37" t="n">
        <v>6.776470588235294</v>
      </c>
      <c r="G95" s="37" t="n">
        <v>7.199999999999999</v>
      </c>
      <c r="H95" s="37" t="n">
        <v>7.68</v>
      </c>
      <c r="I95" s="37" t="n">
        <v>8.22857142857143</v>
      </c>
      <c r="J95" s="37" t="n">
        <v>8.86153846153846</v>
      </c>
      <c r="K95" s="37" t="n">
        <v>9.6</v>
      </c>
      <c r="L95" s="37" t="n">
        <v>10.47272727272727</v>
      </c>
      <c r="M95" s="37" t="n">
        <v>11.52</v>
      </c>
      <c r="N95" s="37" t="n">
        <v>12.8</v>
      </c>
      <c r="O95" s="37" t="n">
        <v>14.4</v>
      </c>
      <c r="P95" s="37" t="n">
        <v>16.45714285714286</v>
      </c>
      <c r="Q95" s="37" t="n">
        <v>19.2</v>
      </c>
      <c r="R95" s="37" t="n">
        <v>23.04</v>
      </c>
      <c r="S95" s="37" t="n">
        <v>28.8</v>
      </c>
      <c r="T95" s="37" t="n">
        <v>38.4</v>
      </c>
      <c r="U95" s="37" t="n">
        <v>57.59999999999999</v>
      </c>
      <c r="V95" s="37" t="n">
        <v>115.2</v>
      </c>
      <c r="W95" s="37" t="n">
        <v>13.26</v>
      </c>
      <c r="X95" s="37" t="n">
        <v>13.95789473684211</v>
      </c>
      <c r="Y95" s="37" t="n">
        <v>14.73333333333333</v>
      </c>
      <c r="Z95" s="37" t="n">
        <v>15.6</v>
      </c>
      <c r="AA95" s="37" t="n">
        <v>16.575</v>
      </c>
      <c r="AB95" s="37" t="n">
        <v>17.68</v>
      </c>
      <c r="AC95" s="37" t="n">
        <v>18.94285714285714</v>
      </c>
      <c r="AD95" s="37" t="n">
        <v>20.4</v>
      </c>
      <c r="AE95" s="37" t="n">
        <v>22.1</v>
      </c>
      <c r="AF95" s="37" t="n">
        <v>24.10909090909091</v>
      </c>
      <c r="AG95" s="37" t="n">
        <v>26.52</v>
      </c>
      <c r="AH95" s="37" t="n">
        <v>29.46666666666667</v>
      </c>
      <c r="AI95" s="37" t="n">
        <v>33.15</v>
      </c>
      <c r="AJ95" s="37" t="n">
        <v>37.88571428571429</v>
      </c>
      <c r="AK95" s="37" t="n">
        <v>44.2</v>
      </c>
      <c r="AL95" s="37" t="n">
        <v>53.04</v>
      </c>
      <c r="AM95" s="37" t="n">
        <v>66.3</v>
      </c>
      <c r="AN95" s="37" t="n">
        <v>88.40000000000001</v>
      </c>
      <c r="AO95" s="37" t="n">
        <v>132.6</v>
      </c>
      <c r="AP95" s="37" t="n">
        <v>265.2</v>
      </c>
    </row>
    <row r="96">
      <c r="A96" s="5" t="inlineStr">
        <is>
          <t>P115</t>
        </is>
      </c>
      <c r="B96" s="5" t="inlineStr">
        <is>
          <t>RDM</t>
        </is>
      </c>
      <c r="C96" s="37" t="n">
        <v>6.65</v>
      </c>
      <c r="D96" s="37" t="n">
        <v>7.000000000000001</v>
      </c>
      <c r="E96" s="37" t="n">
        <v>7.388888888888889</v>
      </c>
      <c r="F96" s="37" t="n">
        <v>7.823529411764707</v>
      </c>
      <c r="G96" s="37" t="n">
        <v>8.3125</v>
      </c>
      <c r="H96" s="37" t="n">
        <v>8.866666666666667</v>
      </c>
      <c r="I96" s="37" t="n">
        <v>9.500000000000002</v>
      </c>
      <c r="J96" s="37" t="n">
        <v>10.23076923076923</v>
      </c>
      <c r="K96" s="37" t="n">
        <v>11.08333333333333</v>
      </c>
      <c r="L96" s="37" t="n">
        <v>12.09090909090909</v>
      </c>
      <c r="M96" s="37" t="n">
        <v>13.3</v>
      </c>
      <c r="N96" s="37" t="n">
        <v>14.77777777777778</v>
      </c>
      <c r="O96" s="37" t="n">
        <v>16.625</v>
      </c>
      <c r="P96" s="37" t="n">
        <v>19</v>
      </c>
      <c r="Q96" s="37" t="n">
        <v>22.16666666666667</v>
      </c>
      <c r="R96" s="37" t="n">
        <v>26.6</v>
      </c>
      <c r="S96" s="37" t="n">
        <v>33.25</v>
      </c>
      <c r="T96" s="37" t="n">
        <v>44.33333333333334</v>
      </c>
      <c r="U96" s="37" t="n">
        <v>66.5</v>
      </c>
      <c r="V96" s="37" t="n">
        <v>133</v>
      </c>
      <c r="W96" s="37" t="n">
        <v>15.26</v>
      </c>
      <c r="X96" s="37" t="n">
        <v>16.06315789473684</v>
      </c>
      <c r="Y96" s="37" t="n">
        <v>16.95555555555556</v>
      </c>
      <c r="Z96" s="37" t="n">
        <v>17.95294117647059</v>
      </c>
      <c r="AA96" s="37" t="n">
        <v>19.075</v>
      </c>
      <c r="AB96" s="37" t="n">
        <v>20.34666666666667</v>
      </c>
      <c r="AC96" s="37" t="n">
        <v>21.8</v>
      </c>
      <c r="AD96" s="37" t="n">
        <v>23.47692307692308</v>
      </c>
      <c r="AE96" s="37" t="n">
        <v>25.43333333333333</v>
      </c>
      <c r="AF96" s="37" t="n">
        <v>27.74545454545454</v>
      </c>
      <c r="AG96" s="37" t="n">
        <v>30.52</v>
      </c>
      <c r="AH96" s="37" t="n">
        <v>33.91111111111111</v>
      </c>
      <c r="AI96" s="37" t="n">
        <v>38.15</v>
      </c>
      <c r="AJ96" s="37" t="n">
        <v>43.6</v>
      </c>
      <c r="AK96" s="37" t="n">
        <v>50.86666666666667</v>
      </c>
      <c r="AL96" s="37" t="n">
        <v>61.04</v>
      </c>
      <c r="AM96" s="37" t="n">
        <v>76.3</v>
      </c>
      <c r="AN96" s="37" t="n">
        <v>101.7333333333333</v>
      </c>
      <c r="AO96" s="37" t="n">
        <v>152.6</v>
      </c>
      <c r="AP96" s="37" t="n">
        <v>305.2</v>
      </c>
    </row>
    <row r="97">
      <c r="A97" s="5" t="inlineStr">
        <is>
          <t>P116</t>
        </is>
      </c>
      <c r="B97" s="5" t="inlineStr">
        <is>
          <t>RDM</t>
        </is>
      </c>
      <c r="C97" s="37" t="n">
        <v>6.93</v>
      </c>
      <c r="D97" s="37" t="n">
        <v>7.294736842105263</v>
      </c>
      <c r="E97" s="37" t="n">
        <v>7.699999999999999</v>
      </c>
      <c r="F97" s="37" t="n">
        <v>8.152941176470588</v>
      </c>
      <c r="G97" s="37" t="n">
        <v>8.6625</v>
      </c>
      <c r="H97" s="37" t="n">
        <v>9.24</v>
      </c>
      <c r="I97" s="37" t="n">
        <v>9.9</v>
      </c>
      <c r="J97" s="37" t="n">
        <v>10.66153846153846</v>
      </c>
      <c r="K97" s="37" t="n">
        <v>11.55</v>
      </c>
      <c r="L97" s="37" t="n">
        <v>12.6</v>
      </c>
      <c r="M97" s="37" t="n">
        <v>13.86</v>
      </c>
      <c r="N97" s="37" t="n">
        <v>15.4</v>
      </c>
      <c r="O97" s="37" t="n">
        <v>17.325</v>
      </c>
      <c r="P97" s="37" t="n">
        <v>19.8</v>
      </c>
      <c r="Q97" s="37" t="n">
        <v>23.1</v>
      </c>
      <c r="R97" s="37" t="n">
        <v>27.72</v>
      </c>
      <c r="S97" s="37" t="n">
        <v>34.65</v>
      </c>
      <c r="T97" s="37" t="n">
        <v>46.2</v>
      </c>
      <c r="U97" s="37" t="n">
        <v>69.3</v>
      </c>
      <c r="V97" s="37" t="n">
        <v>138.6</v>
      </c>
      <c r="W97" s="37" t="n">
        <v>15.26</v>
      </c>
      <c r="X97" s="37" t="n">
        <v>16.06315789473684</v>
      </c>
      <c r="Y97" s="37" t="n">
        <v>16.95555555555556</v>
      </c>
      <c r="Z97" s="37" t="n">
        <v>17.95294117647059</v>
      </c>
      <c r="AA97" s="37" t="n">
        <v>19.075</v>
      </c>
      <c r="AB97" s="37" t="n">
        <v>20.34666666666667</v>
      </c>
      <c r="AC97" s="37" t="n">
        <v>21.8</v>
      </c>
      <c r="AD97" s="37" t="n">
        <v>23.47692307692308</v>
      </c>
      <c r="AE97" s="37" t="n">
        <v>25.43333333333333</v>
      </c>
      <c r="AF97" s="37" t="n">
        <v>27.74545454545454</v>
      </c>
      <c r="AG97" s="37" t="n">
        <v>30.52</v>
      </c>
      <c r="AH97" s="37" t="n">
        <v>33.91111111111111</v>
      </c>
      <c r="AI97" s="37" t="n">
        <v>38.15</v>
      </c>
      <c r="AJ97" s="37" t="n">
        <v>43.6</v>
      </c>
      <c r="AK97" s="37" t="n">
        <v>50.86666666666667</v>
      </c>
      <c r="AL97" s="37" t="n">
        <v>61.04</v>
      </c>
      <c r="AM97" s="37" t="n">
        <v>76.3</v>
      </c>
      <c r="AN97" s="37" t="n">
        <v>101.7333333333333</v>
      </c>
      <c r="AO97" s="37" t="n">
        <v>152.6</v>
      </c>
      <c r="AP97" s="37" t="n">
        <v>305.2</v>
      </c>
    </row>
    <row r="98">
      <c r="A98" s="5" t="inlineStr">
        <is>
          <t>P117</t>
        </is>
      </c>
      <c r="B98" s="5" t="inlineStr">
        <is>
          <t>RDM</t>
        </is>
      </c>
      <c r="C98" s="37" t="n">
        <v>6.44</v>
      </c>
      <c r="D98" s="37" t="n">
        <v>6.778947368421053</v>
      </c>
      <c r="E98" s="37" t="n">
        <v>7.155555555555556</v>
      </c>
      <c r="F98" s="37" t="n">
        <v>7.576470588235295</v>
      </c>
      <c r="G98" s="37" t="n">
        <v>8.050000000000001</v>
      </c>
      <c r="H98" s="37" t="n">
        <v>8.586666666666668</v>
      </c>
      <c r="I98" s="37" t="n">
        <v>9.200000000000001</v>
      </c>
      <c r="J98" s="37" t="n">
        <v>9.907692307692308</v>
      </c>
      <c r="K98" s="37" t="n">
        <v>10.73333333333333</v>
      </c>
      <c r="L98" s="37" t="n">
        <v>11.70909090909091</v>
      </c>
      <c r="M98" s="37" t="n">
        <v>12.88</v>
      </c>
      <c r="N98" s="37" t="n">
        <v>14.31111111111111</v>
      </c>
      <c r="O98" s="37" t="n">
        <v>16.1</v>
      </c>
      <c r="P98" s="37" t="n">
        <v>18.4</v>
      </c>
      <c r="Q98" s="37" t="n">
        <v>21.46666666666667</v>
      </c>
      <c r="R98" s="37" t="n">
        <v>25.76</v>
      </c>
      <c r="S98" s="37" t="n">
        <v>32.2</v>
      </c>
      <c r="T98" s="37" t="n">
        <v>42.93333333333334</v>
      </c>
      <c r="U98" s="37" t="n">
        <v>64.40000000000001</v>
      </c>
      <c r="V98" s="37" t="n">
        <v>128.8</v>
      </c>
      <c r="W98" s="37" t="n">
        <v>15.26</v>
      </c>
      <c r="X98" s="37" t="n">
        <v>16.06315789473684</v>
      </c>
      <c r="Y98" s="37" t="n">
        <v>16.95555555555556</v>
      </c>
      <c r="Z98" s="37" t="n">
        <v>17.95294117647059</v>
      </c>
      <c r="AA98" s="37" t="n">
        <v>19.075</v>
      </c>
      <c r="AB98" s="37" t="n">
        <v>20.34666666666667</v>
      </c>
      <c r="AC98" s="37" t="n">
        <v>21.8</v>
      </c>
      <c r="AD98" s="37" t="n">
        <v>23.47692307692308</v>
      </c>
      <c r="AE98" s="37" t="n">
        <v>25.43333333333333</v>
      </c>
      <c r="AF98" s="37" t="n">
        <v>27.74545454545454</v>
      </c>
      <c r="AG98" s="37" t="n">
        <v>30.52</v>
      </c>
      <c r="AH98" s="37" t="n">
        <v>33.91111111111111</v>
      </c>
      <c r="AI98" s="37" t="n">
        <v>38.15</v>
      </c>
      <c r="AJ98" s="37" t="n">
        <v>43.6</v>
      </c>
      <c r="AK98" s="37" t="n">
        <v>50.86666666666667</v>
      </c>
      <c r="AL98" s="37" t="n">
        <v>61.04</v>
      </c>
      <c r="AM98" s="37" t="n">
        <v>76.3</v>
      </c>
      <c r="AN98" s="37" t="n">
        <v>101.7333333333333</v>
      </c>
      <c r="AO98" s="37" t="n">
        <v>152.6</v>
      </c>
      <c r="AP98" s="37" t="n">
        <v>305.2</v>
      </c>
    </row>
    <row r="99">
      <c r="A99" s="5" t="inlineStr">
        <is>
          <t>P118</t>
        </is>
      </c>
      <c r="B99" s="5" t="inlineStr">
        <is>
          <t>RDM</t>
        </is>
      </c>
      <c r="C99" s="37" t="n">
        <v>6.93</v>
      </c>
      <c r="D99" s="37" t="n">
        <v>7.294736842105263</v>
      </c>
      <c r="E99" s="37" t="n">
        <v>7.699999999999999</v>
      </c>
      <c r="F99" s="37" t="n">
        <v>8.152941176470588</v>
      </c>
      <c r="G99" s="37" t="n">
        <v>8.6625</v>
      </c>
      <c r="H99" s="37" t="n">
        <v>9.24</v>
      </c>
      <c r="I99" s="37" t="n">
        <v>9.9</v>
      </c>
      <c r="J99" s="37" t="n">
        <v>10.66153846153846</v>
      </c>
      <c r="K99" s="37" t="n">
        <v>11.55</v>
      </c>
      <c r="L99" s="37" t="n">
        <v>12.6</v>
      </c>
      <c r="M99" s="37" t="n">
        <v>13.86</v>
      </c>
      <c r="N99" s="37" t="n">
        <v>15.4</v>
      </c>
      <c r="O99" s="37" t="n">
        <v>17.325</v>
      </c>
      <c r="P99" s="37" t="n">
        <v>19.8</v>
      </c>
      <c r="Q99" s="37" t="n">
        <v>23.1</v>
      </c>
      <c r="R99" s="37" t="n">
        <v>27.72</v>
      </c>
      <c r="S99" s="37" t="n">
        <v>34.65</v>
      </c>
      <c r="T99" s="37" t="n">
        <v>46.2</v>
      </c>
      <c r="U99" s="37" t="n">
        <v>69.3</v>
      </c>
      <c r="V99" s="37" t="n">
        <v>138.6</v>
      </c>
      <c r="W99" s="37" t="n">
        <v>15.25</v>
      </c>
      <c r="X99" s="37" t="n">
        <v>16.05263157894737</v>
      </c>
      <c r="Y99" s="37" t="n">
        <v>16.94444444444444</v>
      </c>
      <c r="Z99" s="37" t="n">
        <v>17.94117647058824</v>
      </c>
      <c r="AA99" s="37" t="n">
        <v>19.0625</v>
      </c>
      <c r="AB99" s="37" t="n">
        <v>20.33333333333333</v>
      </c>
      <c r="AC99" s="37" t="n">
        <v>21.78571428571429</v>
      </c>
      <c r="AD99" s="37" t="n">
        <v>23.46153846153846</v>
      </c>
      <c r="AE99" s="37" t="n">
        <v>25.41666666666667</v>
      </c>
      <c r="AF99" s="37" t="n">
        <v>27.72727272727273</v>
      </c>
      <c r="AG99" s="37" t="n">
        <v>30.5</v>
      </c>
      <c r="AH99" s="37" t="n">
        <v>33.88888888888889</v>
      </c>
      <c r="AI99" s="37" t="n">
        <v>38.125</v>
      </c>
      <c r="AJ99" s="37" t="n">
        <v>43.57142857142858</v>
      </c>
      <c r="AK99" s="37" t="n">
        <v>50.83333333333334</v>
      </c>
      <c r="AL99" s="37" t="n">
        <v>61</v>
      </c>
      <c r="AM99" s="37" t="n">
        <v>76.25</v>
      </c>
      <c r="AN99" s="37" t="n">
        <v>101.6666666666667</v>
      </c>
      <c r="AO99" s="37" t="n">
        <v>152.5</v>
      </c>
      <c r="AP99" s="37" t="n">
        <v>305</v>
      </c>
    </row>
    <row r="100">
      <c r="A100" s="5" t="inlineStr">
        <is>
          <t>P119</t>
        </is>
      </c>
      <c r="B100" s="5" t="inlineStr">
        <is>
          <t>RDM</t>
        </is>
      </c>
      <c r="C100" s="37" t="n">
        <v>6.79</v>
      </c>
      <c r="D100" s="37" t="n">
        <v>7.147368421052632</v>
      </c>
      <c r="E100" s="37" t="n">
        <v>7.544444444444444</v>
      </c>
      <c r="F100" s="37" t="n">
        <v>7.988235294117647</v>
      </c>
      <c r="G100" s="37" t="n">
        <v>8.487499999999999</v>
      </c>
      <c r="H100" s="37" t="n">
        <v>9.053333333333333</v>
      </c>
      <c r="I100" s="37" t="n">
        <v>9.700000000000001</v>
      </c>
      <c r="J100" s="37" t="n">
        <v>10.44615384615385</v>
      </c>
      <c r="K100" s="37" t="n">
        <v>11.31666666666667</v>
      </c>
      <c r="L100" s="37" t="n">
        <v>12.34545454545454</v>
      </c>
      <c r="M100" s="37" t="n">
        <v>13.58</v>
      </c>
      <c r="N100" s="37" t="n">
        <v>15.08888888888889</v>
      </c>
      <c r="O100" s="37" t="n">
        <v>16.975</v>
      </c>
      <c r="P100" s="37" t="n">
        <v>19.4</v>
      </c>
      <c r="Q100" s="37" t="n">
        <v>22.63333333333333</v>
      </c>
      <c r="R100" s="37" t="n">
        <v>27.16</v>
      </c>
      <c r="S100" s="37" t="n">
        <v>33.95</v>
      </c>
      <c r="T100" s="37" t="n">
        <v>45.26666666666667</v>
      </c>
      <c r="U100" s="37" t="n">
        <v>67.89999999999999</v>
      </c>
      <c r="V100" s="37" t="n">
        <v>135.8</v>
      </c>
      <c r="W100" s="37" t="n">
        <v>15.26</v>
      </c>
      <c r="X100" s="37" t="n">
        <v>16.06315789473684</v>
      </c>
      <c r="Y100" s="37" t="n">
        <v>16.95555555555556</v>
      </c>
      <c r="Z100" s="37" t="n">
        <v>17.95294117647059</v>
      </c>
      <c r="AA100" s="37" t="n">
        <v>19.075</v>
      </c>
      <c r="AB100" s="37" t="n">
        <v>20.34666666666667</v>
      </c>
      <c r="AC100" s="37" t="n">
        <v>21.8</v>
      </c>
      <c r="AD100" s="37" t="n">
        <v>23.47692307692308</v>
      </c>
      <c r="AE100" s="37" t="n">
        <v>25.43333333333333</v>
      </c>
      <c r="AF100" s="37" t="n">
        <v>27.74545454545454</v>
      </c>
      <c r="AG100" s="37" t="n">
        <v>30.52</v>
      </c>
      <c r="AH100" s="37" t="n">
        <v>33.91111111111111</v>
      </c>
      <c r="AI100" s="37" t="n">
        <v>38.15</v>
      </c>
      <c r="AJ100" s="37" t="n">
        <v>43.6</v>
      </c>
      <c r="AK100" s="37" t="n">
        <v>50.86666666666667</v>
      </c>
      <c r="AL100" s="37" t="n">
        <v>61.04</v>
      </c>
      <c r="AM100" s="37" t="n">
        <v>76.3</v>
      </c>
      <c r="AN100" s="37" t="n">
        <v>101.7333333333333</v>
      </c>
      <c r="AO100" s="37" t="n">
        <v>152.6</v>
      </c>
      <c r="AP100" s="37" t="n">
        <v>305.2</v>
      </c>
    </row>
    <row r="101">
      <c r="A101" s="5" t="inlineStr">
        <is>
          <t>P120</t>
        </is>
      </c>
      <c r="B101" s="5" t="inlineStr">
        <is>
          <t>RDM</t>
        </is>
      </c>
      <c r="C101" s="37" t="n">
        <v>6.79</v>
      </c>
      <c r="D101" s="37" t="n">
        <v>7.147368421052632</v>
      </c>
      <c r="E101" s="37" t="n">
        <v>7.544444444444444</v>
      </c>
      <c r="F101" s="37" t="n">
        <v>7.988235294117647</v>
      </c>
      <c r="G101" s="37" t="n">
        <v>8.487499999999999</v>
      </c>
      <c r="H101" s="37" t="n">
        <v>9.053333333333333</v>
      </c>
      <c r="I101" s="37" t="n">
        <v>9.700000000000001</v>
      </c>
      <c r="J101" s="37" t="n">
        <v>10.44615384615385</v>
      </c>
      <c r="K101" s="37" t="n">
        <v>11.31666666666667</v>
      </c>
      <c r="L101" s="37" t="n">
        <v>12.34545454545454</v>
      </c>
      <c r="M101" s="37" t="n">
        <v>13.58</v>
      </c>
      <c r="N101" s="37" t="n">
        <v>15.08888888888889</v>
      </c>
      <c r="O101" s="37" t="n">
        <v>16.975</v>
      </c>
      <c r="P101" s="37" t="n">
        <v>19.4</v>
      </c>
      <c r="Q101" s="37" t="n">
        <v>22.63333333333333</v>
      </c>
      <c r="R101" s="37" t="n">
        <v>27.16</v>
      </c>
      <c r="S101" s="37" t="n">
        <v>33.95</v>
      </c>
      <c r="T101" s="37" t="n">
        <v>45.26666666666667</v>
      </c>
      <c r="U101" s="37" t="n">
        <v>67.89999999999999</v>
      </c>
      <c r="V101" s="37" t="n">
        <v>135.8</v>
      </c>
      <c r="W101" s="37" t="n">
        <v>15.26</v>
      </c>
      <c r="X101" s="37" t="n">
        <v>16.06315789473684</v>
      </c>
      <c r="Y101" s="37" t="n">
        <v>16.95555555555556</v>
      </c>
      <c r="Z101" s="37" t="n">
        <v>17.95294117647059</v>
      </c>
      <c r="AA101" s="37" t="n">
        <v>19.075</v>
      </c>
      <c r="AB101" s="37" t="n">
        <v>20.34666666666667</v>
      </c>
      <c r="AC101" s="37" t="n">
        <v>21.8</v>
      </c>
      <c r="AD101" s="37" t="n">
        <v>23.47692307692308</v>
      </c>
      <c r="AE101" s="37" t="n">
        <v>25.43333333333333</v>
      </c>
      <c r="AF101" s="37" t="n">
        <v>27.74545454545454</v>
      </c>
      <c r="AG101" s="37" t="n">
        <v>30.52</v>
      </c>
      <c r="AH101" s="37" t="n">
        <v>33.91111111111111</v>
      </c>
      <c r="AI101" s="37" t="n">
        <v>38.15</v>
      </c>
      <c r="AJ101" s="37" t="n">
        <v>43.6</v>
      </c>
      <c r="AK101" s="37" t="n">
        <v>50.86666666666667</v>
      </c>
      <c r="AL101" s="37" t="n">
        <v>61.04</v>
      </c>
      <c r="AM101" s="37" t="n">
        <v>76.3</v>
      </c>
      <c r="AN101" s="37" t="n">
        <v>101.7333333333333</v>
      </c>
      <c r="AO101" s="37" t="n">
        <v>152.6</v>
      </c>
      <c r="AP101" s="37" t="n">
        <v>305.2</v>
      </c>
    </row>
    <row r="102">
      <c r="A102" s="5" t="inlineStr">
        <is>
          <t>P121</t>
        </is>
      </c>
      <c r="B102" s="5" t="inlineStr">
        <is>
          <t>RDM</t>
        </is>
      </c>
      <c r="C102" s="37" t="n">
        <v>6.65</v>
      </c>
      <c r="D102" s="37" t="n">
        <v>7.000000000000001</v>
      </c>
      <c r="E102" s="37" t="n">
        <v>7.388888888888889</v>
      </c>
      <c r="F102" s="37" t="n">
        <v>7.823529411764707</v>
      </c>
      <c r="G102" s="37" t="n">
        <v>8.3125</v>
      </c>
      <c r="H102" s="37" t="n">
        <v>8.866666666666667</v>
      </c>
      <c r="I102" s="37" t="n">
        <v>9.500000000000002</v>
      </c>
      <c r="J102" s="37" t="n">
        <v>10.23076923076923</v>
      </c>
      <c r="K102" s="37" t="n">
        <v>11.08333333333333</v>
      </c>
      <c r="L102" s="37" t="n">
        <v>12.09090909090909</v>
      </c>
      <c r="M102" s="37" t="n">
        <v>13.3</v>
      </c>
      <c r="N102" s="37" t="n">
        <v>14.77777777777778</v>
      </c>
      <c r="O102" s="37" t="n">
        <v>16.625</v>
      </c>
      <c r="P102" s="37" t="n">
        <v>19</v>
      </c>
      <c r="Q102" s="37" t="n">
        <v>22.16666666666667</v>
      </c>
      <c r="R102" s="37" t="n">
        <v>26.6</v>
      </c>
      <c r="S102" s="37" t="n">
        <v>33.25</v>
      </c>
      <c r="T102" s="37" t="n">
        <v>44.33333333333334</v>
      </c>
      <c r="U102" s="37" t="n">
        <v>66.5</v>
      </c>
      <c r="V102" s="37" t="n">
        <v>133</v>
      </c>
      <c r="W102" s="37" t="n">
        <v>15.26</v>
      </c>
      <c r="X102" s="37" t="n">
        <v>16.06315789473684</v>
      </c>
      <c r="Y102" s="37" t="n">
        <v>16.95555555555556</v>
      </c>
      <c r="Z102" s="37" t="n">
        <v>17.95294117647059</v>
      </c>
      <c r="AA102" s="37" t="n">
        <v>19.075</v>
      </c>
      <c r="AB102" s="37" t="n">
        <v>20.34666666666667</v>
      </c>
      <c r="AC102" s="37" t="n">
        <v>21.8</v>
      </c>
      <c r="AD102" s="37" t="n">
        <v>23.47692307692308</v>
      </c>
      <c r="AE102" s="37" t="n">
        <v>25.43333333333333</v>
      </c>
      <c r="AF102" s="37" t="n">
        <v>27.74545454545454</v>
      </c>
      <c r="AG102" s="37" t="n">
        <v>30.52</v>
      </c>
      <c r="AH102" s="37" t="n">
        <v>33.91111111111111</v>
      </c>
      <c r="AI102" s="37" t="n">
        <v>38.15</v>
      </c>
      <c r="AJ102" s="37" t="n">
        <v>43.6</v>
      </c>
      <c r="AK102" s="37" t="n">
        <v>50.86666666666667</v>
      </c>
      <c r="AL102" s="37" t="n">
        <v>61.04</v>
      </c>
      <c r="AM102" s="37" t="n">
        <v>76.3</v>
      </c>
      <c r="AN102" s="37" t="n">
        <v>101.7333333333333</v>
      </c>
      <c r="AO102" s="37" t="n">
        <v>152.6</v>
      </c>
      <c r="AP102" s="37" t="n">
        <v>305.2</v>
      </c>
    </row>
    <row r="103">
      <c r="A103" s="5" t="inlineStr">
        <is>
          <t>P122</t>
        </is>
      </c>
      <c r="B103" s="5" t="inlineStr">
        <is>
          <t>RDM</t>
        </is>
      </c>
      <c r="C103" s="37" t="n">
        <v>6.37</v>
      </c>
      <c r="D103" s="37" t="n">
        <v>6.705263157894738</v>
      </c>
      <c r="E103" s="37" t="n">
        <v>7.077777777777778</v>
      </c>
      <c r="F103" s="37" t="n">
        <v>7.494117647058824</v>
      </c>
      <c r="G103" s="37" t="n">
        <v>7.962499999999999</v>
      </c>
      <c r="H103" s="37" t="n">
        <v>8.493333333333334</v>
      </c>
      <c r="I103" s="37" t="n">
        <v>9.100000000000001</v>
      </c>
      <c r="J103" s="37" t="n">
        <v>9.800000000000001</v>
      </c>
      <c r="K103" s="37" t="n">
        <v>10.61666666666667</v>
      </c>
      <c r="L103" s="37" t="n">
        <v>11.58181818181818</v>
      </c>
      <c r="M103" s="37" t="n">
        <v>12.74</v>
      </c>
      <c r="N103" s="37" t="n">
        <v>14.15555555555556</v>
      </c>
      <c r="O103" s="37" t="n">
        <v>15.925</v>
      </c>
      <c r="P103" s="37" t="n">
        <v>18.2</v>
      </c>
      <c r="Q103" s="37" t="n">
        <v>21.23333333333333</v>
      </c>
      <c r="R103" s="37" t="n">
        <v>25.48</v>
      </c>
      <c r="S103" s="37" t="n">
        <v>31.85</v>
      </c>
      <c r="T103" s="37" t="n">
        <v>42.46666666666667</v>
      </c>
      <c r="U103" s="37" t="n">
        <v>63.7</v>
      </c>
      <c r="V103" s="37" t="n">
        <v>127.4</v>
      </c>
      <c r="W103" s="37" t="n">
        <v>15.25</v>
      </c>
      <c r="X103" s="37" t="n">
        <v>16.05263157894737</v>
      </c>
      <c r="Y103" s="37" t="n">
        <v>16.94444444444444</v>
      </c>
      <c r="Z103" s="37" t="n">
        <v>17.94117647058824</v>
      </c>
      <c r="AA103" s="37" t="n">
        <v>19.0625</v>
      </c>
      <c r="AB103" s="37" t="n">
        <v>20.33333333333333</v>
      </c>
      <c r="AC103" s="37" t="n">
        <v>21.78571428571429</v>
      </c>
      <c r="AD103" s="37" t="n">
        <v>23.46153846153846</v>
      </c>
      <c r="AE103" s="37" t="n">
        <v>25.41666666666667</v>
      </c>
      <c r="AF103" s="37" t="n">
        <v>27.72727272727273</v>
      </c>
      <c r="AG103" s="37" t="n">
        <v>30.5</v>
      </c>
      <c r="AH103" s="37" t="n">
        <v>33.88888888888889</v>
      </c>
      <c r="AI103" s="37" t="n">
        <v>38.125</v>
      </c>
      <c r="AJ103" s="37" t="n">
        <v>43.57142857142858</v>
      </c>
      <c r="AK103" s="37" t="n">
        <v>50.83333333333334</v>
      </c>
      <c r="AL103" s="37" t="n">
        <v>61</v>
      </c>
      <c r="AM103" s="37" t="n">
        <v>76.25</v>
      </c>
      <c r="AN103" s="37" t="n">
        <v>101.6666666666667</v>
      </c>
      <c r="AO103" s="37" t="n">
        <v>152.5</v>
      </c>
      <c r="AP103" s="37" t="n">
        <v>305</v>
      </c>
    </row>
    <row r="104">
      <c r="A104" s="5" t="inlineStr">
        <is>
          <t>P123</t>
        </is>
      </c>
      <c r="B104" s="5" t="inlineStr">
        <is>
          <t>RDM</t>
        </is>
      </c>
      <c r="C104" s="37" t="n">
        <v>6.65</v>
      </c>
      <c r="D104" s="37" t="n">
        <v>7.000000000000001</v>
      </c>
      <c r="E104" s="37" t="n">
        <v>7.388888888888889</v>
      </c>
      <c r="F104" s="37" t="n">
        <v>7.823529411764707</v>
      </c>
      <c r="G104" s="37" t="n">
        <v>8.3125</v>
      </c>
      <c r="H104" s="37" t="n">
        <v>8.866666666666667</v>
      </c>
      <c r="I104" s="37" t="n">
        <v>9.500000000000002</v>
      </c>
      <c r="J104" s="37" t="n">
        <v>10.23076923076923</v>
      </c>
      <c r="K104" s="37" t="n">
        <v>11.08333333333333</v>
      </c>
      <c r="L104" s="37" t="n">
        <v>12.09090909090909</v>
      </c>
      <c r="M104" s="37" t="n">
        <v>13.3</v>
      </c>
      <c r="N104" s="37" t="n">
        <v>14.77777777777778</v>
      </c>
      <c r="O104" s="37" t="n">
        <v>16.625</v>
      </c>
      <c r="P104" s="37" t="n">
        <v>19</v>
      </c>
      <c r="Q104" s="37" t="n">
        <v>22.16666666666667</v>
      </c>
      <c r="R104" s="37" t="n">
        <v>26.6</v>
      </c>
      <c r="S104" s="37" t="n">
        <v>33.25</v>
      </c>
      <c r="T104" s="37" t="n">
        <v>44.33333333333334</v>
      </c>
      <c r="U104" s="37" t="n">
        <v>66.5</v>
      </c>
      <c r="V104" s="37" t="n">
        <v>133</v>
      </c>
      <c r="W104" s="37" t="n">
        <v>15.26</v>
      </c>
      <c r="X104" s="37" t="n">
        <v>16.06315789473684</v>
      </c>
      <c r="Y104" s="37" t="n">
        <v>16.95555555555556</v>
      </c>
      <c r="Z104" s="37" t="n">
        <v>17.95294117647059</v>
      </c>
      <c r="AA104" s="37" t="n">
        <v>19.075</v>
      </c>
      <c r="AB104" s="37" t="n">
        <v>20.34666666666667</v>
      </c>
      <c r="AC104" s="37" t="n">
        <v>21.8</v>
      </c>
      <c r="AD104" s="37" t="n">
        <v>23.47692307692308</v>
      </c>
      <c r="AE104" s="37" t="n">
        <v>25.43333333333333</v>
      </c>
      <c r="AF104" s="37" t="n">
        <v>27.74545454545454</v>
      </c>
      <c r="AG104" s="37" t="n">
        <v>30.52</v>
      </c>
      <c r="AH104" s="37" t="n">
        <v>33.91111111111111</v>
      </c>
      <c r="AI104" s="37" t="n">
        <v>38.15</v>
      </c>
      <c r="AJ104" s="37" t="n">
        <v>43.6</v>
      </c>
      <c r="AK104" s="37" t="n">
        <v>50.86666666666667</v>
      </c>
      <c r="AL104" s="37" t="n">
        <v>61.04</v>
      </c>
      <c r="AM104" s="37" t="n">
        <v>76.3</v>
      </c>
      <c r="AN104" s="37" t="n">
        <v>101.7333333333333</v>
      </c>
      <c r="AO104" s="37" t="n">
        <v>152.6</v>
      </c>
      <c r="AP104" s="37" t="n">
        <v>305.2</v>
      </c>
    </row>
    <row r="105">
      <c r="A105" s="5" t="inlineStr">
        <is>
          <t>P124</t>
        </is>
      </c>
      <c r="B105" s="5" t="inlineStr">
        <is>
          <t>RDM</t>
        </is>
      </c>
      <c r="C105" s="37" t="n">
        <v>6.3</v>
      </c>
      <c r="D105" s="37" t="n">
        <v>6.631578947368421</v>
      </c>
      <c r="E105" s="37" t="n">
        <v>7</v>
      </c>
      <c r="F105" s="37" t="n">
        <v>7.411764705882353</v>
      </c>
      <c r="G105" s="37" t="n">
        <v>7.874999999999999</v>
      </c>
      <c r="H105" s="37" t="n">
        <v>8.4</v>
      </c>
      <c r="I105" s="37" t="n">
        <v>9</v>
      </c>
      <c r="J105" s="37" t="n">
        <v>9.692307692307692</v>
      </c>
      <c r="K105" s="37" t="n">
        <v>10.5</v>
      </c>
      <c r="L105" s="37" t="n">
        <v>11.45454545454545</v>
      </c>
      <c r="M105" s="37" t="n">
        <v>12.6</v>
      </c>
      <c r="N105" s="37" t="n">
        <v>14</v>
      </c>
      <c r="O105" s="37" t="n">
        <v>15.75</v>
      </c>
      <c r="P105" s="37" t="n">
        <v>18</v>
      </c>
      <c r="Q105" s="37" t="n">
        <v>21</v>
      </c>
      <c r="R105" s="37" t="n">
        <v>25.2</v>
      </c>
      <c r="S105" s="37" t="n">
        <v>31.5</v>
      </c>
      <c r="T105" s="37" t="n">
        <v>42</v>
      </c>
      <c r="U105" s="37" t="n">
        <v>62.99999999999999</v>
      </c>
      <c r="V105" s="37" t="n">
        <v>126</v>
      </c>
      <c r="W105" s="37" t="n">
        <v>15.25</v>
      </c>
      <c r="X105" s="37" t="n">
        <v>16.05263157894737</v>
      </c>
      <c r="Y105" s="37" t="n">
        <v>16.94444444444444</v>
      </c>
      <c r="Z105" s="37" t="n">
        <v>17.94117647058824</v>
      </c>
      <c r="AA105" s="37" t="n">
        <v>19.0625</v>
      </c>
      <c r="AB105" s="37" t="n">
        <v>20.33333333333333</v>
      </c>
      <c r="AC105" s="37" t="n">
        <v>21.78571428571429</v>
      </c>
      <c r="AD105" s="37" t="n">
        <v>23.46153846153846</v>
      </c>
      <c r="AE105" s="37" t="n">
        <v>25.41666666666667</v>
      </c>
      <c r="AF105" s="37" t="n">
        <v>27.72727272727273</v>
      </c>
      <c r="AG105" s="37" t="n">
        <v>30.5</v>
      </c>
      <c r="AH105" s="37" t="n">
        <v>33.88888888888889</v>
      </c>
      <c r="AI105" s="37" t="n">
        <v>38.125</v>
      </c>
      <c r="AJ105" s="37" t="n">
        <v>43.57142857142858</v>
      </c>
      <c r="AK105" s="37" t="n">
        <v>50.83333333333334</v>
      </c>
      <c r="AL105" s="37" t="n">
        <v>61</v>
      </c>
      <c r="AM105" s="37" t="n">
        <v>76.25</v>
      </c>
      <c r="AN105" s="37" t="n">
        <v>101.6666666666667</v>
      </c>
      <c r="AO105" s="37" t="n">
        <v>152.5</v>
      </c>
      <c r="AP105" s="37" t="n">
        <v>305</v>
      </c>
    </row>
    <row r="106">
      <c r="A106" s="5" t="inlineStr">
        <is>
          <t>P125</t>
        </is>
      </c>
      <c r="B106" s="5" t="inlineStr">
        <is>
          <t>RDM</t>
        </is>
      </c>
      <c r="C106" s="37" t="n">
        <v>5.39</v>
      </c>
      <c r="D106" s="37" t="n">
        <v>5.673684210526316</v>
      </c>
      <c r="E106" s="37" t="n">
        <v>5.988888888888888</v>
      </c>
      <c r="F106" s="37" t="n">
        <v>6.341176470588235</v>
      </c>
      <c r="G106" s="37" t="n">
        <v>6.737499999999999</v>
      </c>
      <c r="H106" s="37" t="n">
        <v>7.186666666666667</v>
      </c>
      <c r="I106" s="37" t="n">
        <v>7.7</v>
      </c>
      <c r="J106" s="37" t="n">
        <v>8.292307692307691</v>
      </c>
      <c r="K106" s="37" t="n">
        <v>8.983333333333333</v>
      </c>
      <c r="L106" s="37" t="n">
        <v>9.799999999999999</v>
      </c>
      <c r="M106" s="37" t="n">
        <v>10.78</v>
      </c>
      <c r="N106" s="37" t="n">
        <v>11.97777777777778</v>
      </c>
      <c r="O106" s="37" t="n">
        <v>13.475</v>
      </c>
      <c r="P106" s="37" t="n">
        <v>15.4</v>
      </c>
      <c r="Q106" s="37" t="n">
        <v>17.96666666666667</v>
      </c>
      <c r="R106" s="37" t="n">
        <v>21.56</v>
      </c>
      <c r="S106" s="37" t="n">
        <v>26.95</v>
      </c>
      <c r="T106" s="37" t="n">
        <v>35.93333333333333</v>
      </c>
      <c r="U106" s="37" t="n">
        <v>53.89999999999999</v>
      </c>
      <c r="V106" s="37" t="n">
        <v>107.8</v>
      </c>
      <c r="W106" s="37" t="n">
        <v>12.33</v>
      </c>
      <c r="X106" s="37" t="n">
        <v>12.97894736842105</v>
      </c>
      <c r="Y106" s="37" t="n">
        <v>13.7</v>
      </c>
      <c r="Z106" s="37" t="n">
        <v>14.50588235294118</v>
      </c>
      <c r="AA106" s="37" t="n">
        <v>15.4125</v>
      </c>
      <c r="AB106" s="37" t="n">
        <v>16.44</v>
      </c>
      <c r="AC106" s="37" t="n">
        <v>17.61428571428571</v>
      </c>
      <c r="AD106" s="37" t="n">
        <v>18.96923076923077</v>
      </c>
      <c r="AE106" s="37" t="n">
        <v>20.55</v>
      </c>
      <c r="AF106" s="37" t="n">
        <v>22.41818181818182</v>
      </c>
      <c r="AG106" s="37" t="n">
        <v>24.66</v>
      </c>
      <c r="AH106" s="37" t="n">
        <v>27.4</v>
      </c>
      <c r="AI106" s="37" t="n">
        <v>30.825</v>
      </c>
      <c r="AJ106" s="37" t="n">
        <v>35.22857142857143</v>
      </c>
      <c r="AK106" s="37" t="n">
        <v>41.1</v>
      </c>
      <c r="AL106" s="37" t="n">
        <v>49.32</v>
      </c>
      <c r="AM106" s="37" t="n">
        <v>61.65</v>
      </c>
      <c r="AN106" s="37" t="n">
        <v>82.2</v>
      </c>
      <c r="AO106" s="37" t="n">
        <v>123.3</v>
      </c>
      <c r="AP106" s="37" t="n">
        <v>246.6</v>
      </c>
    </row>
    <row r="107">
      <c r="A107" s="5" t="inlineStr">
        <is>
          <t>P126</t>
        </is>
      </c>
      <c r="B107" s="5" t="inlineStr">
        <is>
          <t>RDM</t>
        </is>
      </c>
      <c r="C107" s="37" t="n">
        <v>6.11</v>
      </c>
      <c r="D107" s="37" t="n">
        <v>6.431578947368422</v>
      </c>
      <c r="E107" s="37" t="n">
        <v>6.788888888888889</v>
      </c>
      <c r="F107" s="37" t="n">
        <v>7.188235294117647</v>
      </c>
      <c r="G107" s="37" t="n">
        <v>7.6375</v>
      </c>
      <c r="H107" s="37" t="n">
        <v>8.146666666666667</v>
      </c>
      <c r="I107" s="37" t="n">
        <v>8.72857142857143</v>
      </c>
      <c r="J107" s="37" t="n">
        <v>9.4</v>
      </c>
      <c r="K107" s="37" t="n">
        <v>10.18333333333333</v>
      </c>
      <c r="L107" s="37" t="n">
        <v>11.10909090909091</v>
      </c>
      <c r="M107" s="37" t="n">
        <v>12.22</v>
      </c>
      <c r="N107" s="37" t="n">
        <v>13.57777777777778</v>
      </c>
      <c r="O107" s="37" t="n">
        <v>15.275</v>
      </c>
      <c r="P107" s="37" t="n">
        <v>17.45714285714286</v>
      </c>
      <c r="Q107" s="37" t="n">
        <v>20.36666666666667</v>
      </c>
      <c r="R107" s="37" t="n">
        <v>24.44</v>
      </c>
      <c r="S107" s="37" t="n">
        <v>30.55</v>
      </c>
      <c r="T107" s="37" t="n">
        <v>40.73333333333333</v>
      </c>
      <c r="U107" s="37" t="n">
        <v>61.1</v>
      </c>
      <c r="V107" s="37" t="n">
        <v>122.2</v>
      </c>
      <c r="W107" s="37" t="n">
        <v>14.64</v>
      </c>
      <c r="X107" s="37" t="n">
        <v>15.41052631578948</v>
      </c>
      <c r="Y107" s="37" t="n">
        <v>16.26666666666667</v>
      </c>
      <c r="Z107" s="37" t="n">
        <v>17.22352941176471</v>
      </c>
      <c r="AA107" s="37" t="n">
        <v>18.3</v>
      </c>
      <c r="AB107" s="37" t="n">
        <v>19.52</v>
      </c>
      <c r="AC107" s="37" t="n">
        <v>20.91428571428572</v>
      </c>
      <c r="AD107" s="37" t="n">
        <v>22.52307692307692</v>
      </c>
      <c r="AE107" s="37" t="n">
        <v>24.4</v>
      </c>
      <c r="AF107" s="37" t="n">
        <v>26.61818181818182</v>
      </c>
      <c r="AG107" s="37" t="n">
        <v>29.28</v>
      </c>
      <c r="AH107" s="37" t="n">
        <v>32.53333333333333</v>
      </c>
      <c r="AI107" s="37" t="n">
        <v>36.6</v>
      </c>
      <c r="AJ107" s="37" t="n">
        <v>41.82857142857144</v>
      </c>
      <c r="AK107" s="37" t="n">
        <v>48.8</v>
      </c>
      <c r="AL107" s="37" t="n">
        <v>58.56</v>
      </c>
      <c r="AM107" s="37" t="n">
        <v>73.2</v>
      </c>
      <c r="AN107" s="37" t="n">
        <v>97.60000000000001</v>
      </c>
      <c r="AO107" s="37" t="n">
        <v>146.4</v>
      </c>
      <c r="AP107" s="37" t="n">
        <v>292.8</v>
      </c>
    </row>
    <row r="108">
      <c r="A108" s="5" t="inlineStr">
        <is>
          <t>P127</t>
        </is>
      </c>
      <c r="B108" s="5" t="inlineStr">
        <is>
          <t>RDM</t>
        </is>
      </c>
      <c r="C108" s="37" t="n">
        <v>5.3</v>
      </c>
      <c r="D108" s="37" t="n">
        <v>5.578947368421053</v>
      </c>
      <c r="E108" s="37" t="n">
        <v>5.888888888888888</v>
      </c>
      <c r="F108" s="37" t="n">
        <v>6.235294117647059</v>
      </c>
      <c r="G108" s="37" t="n">
        <v>6.624999999999999</v>
      </c>
      <c r="H108" s="37" t="n">
        <v>7.066666666666666</v>
      </c>
      <c r="I108" s="37" t="n">
        <v>7.571428571428572</v>
      </c>
      <c r="J108" s="37" t="n">
        <v>8.153846153846153</v>
      </c>
      <c r="K108" s="37" t="n">
        <v>8.833333333333334</v>
      </c>
      <c r="L108" s="37" t="n">
        <v>9.636363636363635</v>
      </c>
      <c r="M108" s="37" t="n">
        <v>10.6</v>
      </c>
      <c r="N108" s="37" t="n">
        <v>11.77777777777778</v>
      </c>
      <c r="O108" s="37" t="n">
        <v>13.25</v>
      </c>
      <c r="P108" s="37" t="n">
        <v>15.14285714285714</v>
      </c>
      <c r="Q108" s="37" t="n">
        <v>17.66666666666667</v>
      </c>
      <c r="R108" s="37" t="n">
        <v>21.2</v>
      </c>
      <c r="S108" s="37" t="n">
        <v>26.5</v>
      </c>
      <c r="T108" s="37" t="n">
        <v>35.33333333333334</v>
      </c>
      <c r="U108" s="37" t="n">
        <v>52.99999999999999</v>
      </c>
      <c r="V108" s="37" t="n">
        <v>106</v>
      </c>
      <c r="W108" s="37" t="n">
        <v>12.33</v>
      </c>
      <c r="X108" s="37" t="n">
        <v>12.97894736842105</v>
      </c>
      <c r="Y108" s="37" t="n">
        <v>13.7</v>
      </c>
      <c r="Z108" s="37" t="n">
        <v>14.50588235294118</v>
      </c>
      <c r="AA108" s="37" t="n">
        <v>15.4125</v>
      </c>
      <c r="AB108" s="37" t="n">
        <v>16.44</v>
      </c>
      <c r="AC108" s="37" t="n">
        <v>17.61428571428571</v>
      </c>
      <c r="AD108" s="37" t="n">
        <v>18.96923076923077</v>
      </c>
      <c r="AE108" s="37" t="n">
        <v>20.55</v>
      </c>
      <c r="AF108" s="37" t="n">
        <v>22.41818181818182</v>
      </c>
      <c r="AG108" s="37" t="n">
        <v>24.66</v>
      </c>
      <c r="AH108" s="37" t="n">
        <v>27.4</v>
      </c>
      <c r="AI108" s="37" t="n">
        <v>30.825</v>
      </c>
      <c r="AJ108" s="37" t="n">
        <v>35.22857142857143</v>
      </c>
      <c r="AK108" s="37" t="n">
        <v>41.1</v>
      </c>
      <c r="AL108" s="37" t="n">
        <v>49.32</v>
      </c>
      <c r="AM108" s="37" t="n">
        <v>61.65</v>
      </c>
      <c r="AN108" s="37" t="n">
        <v>82.2</v>
      </c>
      <c r="AO108" s="37" t="n">
        <v>123.3</v>
      </c>
      <c r="AP108" s="37" t="n">
        <v>246.6</v>
      </c>
    </row>
    <row r="109">
      <c r="A109" s="5" t="inlineStr">
        <is>
          <t>P128</t>
        </is>
      </c>
      <c r="B109" s="5" t="inlineStr">
        <is>
          <t>RDM</t>
        </is>
      </c>
      <c r="C109" s="37" t="n">
        <v>5.72</v>
      </c>
      <c r="D109" s="37" t="n">
        <v>6.021052631578947</v>
      </c>
      <c r="E109" s="37" t="n">
        <v>6.355555555555555</v>
      </c>
      <c r="F109" s="37" t="n">
        <v>6.729411764705882</v>
      </c>
      <c r="G109" s="37" t="n">
        <v>7.149999999999999</v>
      </c>
      <c r="H109" s="37" t="n">
        <v>7.626666666666666</v>
      </c>
      <c r="I109" s="37" t="n">
        <v>8.171428571428571</v>
      </c>
      <c r="J109" s="37" t="n">
        <v>8.799999999999999</v>
      </c>
      <c r="K109" s="37" t="n">
        <v>9.533333333333333</v>
      </c>
      <c r="L109" s="37" t="n">
        <v>10.4</v>
      </c>
      <c r="M109" s="37" t="n">
        <v>11.44</v>
      </c>
      <c r="N109" s="37" t="n">
        <v>12.71111111111111</v>
      </c>
      <c r="O109" s="37" t="n">
        <v>14.3</v>
      </c>
      <c r="P109" s="37" t="n">
        <v>16.34285714285714</v>
      </c>
      <c r="Q109" s="37" t="n">
        <v>19.06666666666667</v>
      </c>
      <c r="R109" s="37" t="n">
        <v>22.88</v>
      </c>
      <c r="S109" s="37" t="n">
        <v>28.6</v>
      </c>
      <c r="T109" s="37" t="n">
        <v>38.13333333333333</v>
      </c>
      <c r="U109" s="37" t="n">
        <v>57.2</v>
      </c>
      <c r="V109" s="37" t="n">
        <v>114.4</v>
      </c>
      <c r="W109" s="37" t="n">
        <v>14.64</v>
      </c>
      <c r="X109" s="37" t="n">
        <v>15.41052631578948</v>
      </c>
      <c r="Y109" s="37" t="n">
        <v>16.26666666666667</v>
      </c>
      <c r="Z109" s="37" t="n">
        <v>17.22352941176471</v>
      </c>
      <c r="AA109" s="37" t="n">
        <v>18.3</v>
      </c>
      <c r="AB109" s="37" t="n">
        <v>19.52</v>
      </c>
      <c r="AC109" s="37" t="n">
        <v>20.91428571428572</v>
      </c>
      <c r="AD109" s="37" t="n">
        <v>22.52307692307692</v>
      </c>
      <c r="AE109" s="37" t="n">
        <v>24.4</v>
      </c>
      <c r="AF109" s="37" t="n">
        <v>26.61818181818182</v>
      </c>
      <c r="AG109" s="37" t="n">
        <v>29.28</v>
      </c>
      <c r="AH109" s="37" t="n">
        <v>32.53333333333333</v>
      </c>
      <c r="AI109" s="37" t="n">
        <v>36.6</v>
      </c>
      <c r="AJ109" s="37" t="n">
        <v>41.82857142857144</v>
      </c>
      <c r="AK109" s="37" t="n">
        <v>48.8</v>
      </c>
      <c r="AL109" s="37" t="n">
        <v>58.56</v>
      </c>
      <c r="AM109" s="37" t="n">
        <v>73.2</v>
      </c>
      <c r="AN109" s="37" t="n">
        <v>97.60000000000001</v>
      </c>
      <c r="AO109" s="37" t="n">
        <v>146.4</v>
      </c>
      <c r="AP109" s="37" t="n">
        <v>292.8</v>
      </c>
    </row>
    <row r="110">
      <c r="A110" s="5" t="inlineStr">
        <is>
          <t>P129</t>
        </is>
      </c>
      <c r="B110" s="5" t="inlineStr">
        <is>
          <t>RDM</t>
        </is>
      </c>
      <c r="C110" s="37" t="n">
        <v>5.55</v>
      </c>
      <c r="D110" s="37" t="n">
        <v>5.842105263157895</v>
      </c>
      <c r="E110" s="37" t="n">
        <v>6.166666666666666</v>
      </c>
      <c r="F110" s="37" t="n">
        <v>6.529411764705882</v>
      </c>
      <c r="G110" s="37" t="n">
        <v>6.937499999999999</v>
      </c>
      <c r="H110" s="37" t="n">
        <v>7.399999999999999</v>
      </c>
      <c r="I110" s="37" t="n">
        <v>7.928571428571429</v>
      </c>
      <c r="J110" s="37" t="n">
        <v>8.538461538461538</v>
      </c>
      <c r="K110" s="37" t="n">
        <v>9.25</v>
      </c>
      <c r="L110" s="37" t="n">
        <v>10.09090909090909</v>
      </c>
      <c r="M110" s="37" t="n">
        <v>11.1</v>
      </c>
      <c r="N110" s="37" t="n">
        <v>12.33333333333333</v>
      </c>
      <c r="O110" s="37" t="n">
        <v>13.875</v>
      </c>
      <c r="P110" s="37" t="n">
        <v>15.85714285714286</v>
      </c>
      <c r="Q110" s="37" t="n">
        <v>18.5</v>
      </c>
      <c r="R110" s="37" t="n">
        <v>22.2</v>
      </c>
      <c r="S110" s="37" t="n">
        <v>27.75</v>
      </c>
      <c r="T110" s="37" t="n">
        <v>37</v>
      </c>
      <c r="U110" s="37" t="n">
        <v>55.49999999999999</v>
      </c>
      <c r="V110" s="37" t="n">
        <v>111</v>
      </c>
      <c r="W110" s="37" t="n">
        <v>12.33</v>
      </c>
      <c r="X110" s="37" t="n">
        <v>12.97894736842105</v>
      </c>
      <c r="Y110" s="37" t="n">
        <v>13.7</v>
      </c>
      <c r="Z110" s="37" t="n">
        <v>14.50588235294118</v>
      </c>
      <c r="AA110" s="37" t="n">
        <v>15.4125</v>
      </c>
      <c r="AB110" s="37" t="n">
        <v>16.44</v>
      </c>
      <c r="AC110" s="37" t="n">
        <v>17.61428571428571</v>
      </c>
      <c r="AD110" s="37" t="n">
        <v>18.96923076923077</v>
      </c>
      <c r="AE110" s="37" t="n">
        <v>20.55</v>
      </c>
      <c r="AF110" s="37" t="n">
        <v>22.41818181818182</v>
      </c>
      <c r="AG110" s="37" t="n">
        <v>24.66</v>
      </c>
      <c r="AH110" s="37" t="n">
        <v>27.4</v>
      </c>
      <c r="AI110" s="37" t="n">
        <v>30.825</v>
      </c>
      <c r="AJ110" s="37" t="n">
        <v>35.22857142857143</v>
      </c>
      <c r="AK110" s="37" t="n">
        <v>41.1</v>
      </c>
      <c r="AL110" s="37" t="n">
        <v>49.32</v>
      </c>
      <c r="AM110" s="37" t="n">
        <v>61.65</v>
      </c>
      <c r="AN110" s="37" t="n">
        <v>82.2</v>
      </c>
      <c r="AO110" s="37" t="n">
        <v>123.3</v>
      </c>
      <c r="AP110" s="37" t="n">
        <v>246.6</v>
      </c>
    </row>
    <row r="111">
      <c r="A111" s="5" t="inlineStr">
        <is>
          <t>P130</t>
        </is>
      </c>
      <c r="B111" s="5" t="inlineStr">
        <is>
          <t>RDM</t>
        </is>
      </c>
      <c r="C111" s="37" t="n">
        <v>6.44</v>
      </c>
      <c r="D111" s="37" t="n">
        <v>6.778947368421053</v>
      </c>
      <c r="E111" s="37" t="n">
        <v>7.155555555555556</v>
      </c>
      <c r="F111" s="37" t="n">
        <v>7.576470588235295</v>
      </c>
      <c r="G111" s="37" t="n">
        <v>8.050000000000001</v>
      </c>
      <c r="H111" s="37" t="n">
        <v>8.586666666666668</v>
      </c>
      <c r="I111" s="37" t="n">
        <v>9.200000000000001</v>
      </c>
      <c r="J111" s="37" t="n">
        <v>9.907692307692308</v>
      </c>
      <c r="K111" s="37" t="n">
        <v>10.73333333333333</v>
      </c>
      <c r="L111" s="37" t="n">
        <v>11.70909090909091</v>
      </c>
      <c r="M111" s="37" t="n">
        <v>12.88</v>
      </c>
      <c r="N111" s="37" t="n">
        <v>14.31111111111111</v>
      </c>
      <c r="O111" s="37" t="n">
        <v>16.1</v>
      </c>
      <c r="P111" s="37" t="n">
        <v>18.4</v>
      </c>
      <c r="Q111" s="37" t="n">
        <v>21.46666666666667</v>
      </c>
      <c r="R111" s="37" t="n">
        <v>25.76</v>
      </c>
      <c r="S111" s="37" t="n">
        <v>32.2</v>
      </c>
      <c r="T111" s="37" t="n">
        <v>42.93333333333334</v>
      </c>
      <c r="U111" s="37" t="n">
        <v>64.40000000000001</v>
      </c>
      <c r="V111" s="37" t="n">
        <v>128.8</v>
      </c>
      <c r="W111" s="37" t="n">
        <v>15.25</v>
      </c>
      <c r="X111" s="37" t="n">
        <v>16.05263157894737</v>
      </c>
      <c r="Y111" s="37" t="n">
        <v>16.94444444444444</v>
      </c>
      <c r="Z111" s="37" t="n">
        <v>17.94117647058824</v>
      </c>
      <c r="AA111" s="37" t="n">
        <v>19.0625</v>
      </c>
      <c r="AB111" s="37" t="n">
        <v>20.33333333333333</v>
      </c>
      <c r="AC111" s="37" t="n">
        <v>21.78571428571429</v>
      </c>
      <c r="AD111" s="37" t="n">
        <v>23.46153846153846</v>
      </c>
      <c r="AE111" s="37" t="n">
        <v>25.41666666666667</v>
      </c>
      <c r="AF111" s="37" t="n">
        <v>27.72727272727273</v>
      </c>
      <c r="AG111" s="37" t="n">
        <v>30.5</v>
      </c>
      <c r="AH111" s="37" t="n">
        <v>33.88888888888889</v>
      </c>
      <c r="AI111" s="37" t="n">
        <v>38.125</v>
      </c>
      <c r="AJ111" s="37" t="n">
        <v>43.57142857142858</v>
      </c>
      <c r="AK111" s="37" t="n">
        <v>50.83333333333334</v>
      </c>
      <c r="AL111" s="37" t="n">
        <v>61</v>
      </c>
      <c r="AM111" s="37" t="n">
        <v>76.25</v>
      </c>
      <c r="AN111" s="37" t="n">
        <v>101.6666666666667</v>
      </c>
      <c r="AO111" s="37" t="n">
        <v>152.5</v>
      </c>
      <c r="AP111" s="37" t="n">
        <v>305</v>
      </c>
    </row>
    <row r="112">
      <c r="A112" s="5" t="inlineStr">
        <is>
          <t>P131</t>
        </is>
      </c>
      <c r="B112" s="5" t="inlineStr">
        <is>
          <t>RDM</t>
        </is>
      </c>
      <c r="C112" s="37" t="n">
        <v>8.16</v>
      </c>
      <c r="D112" s="37" t="n">
        <v>8.589473684210526</v>
      </c>
      <c r="E112" s="37" t="n">
        <v>9.066666666666666</v>
      </c>
      <c r="F112" s="37" t="n">
        <v>9.6</v>
      </c>
      <c r="G112" s="37" t="n">
        <v>10.2</v>
      </c>
      <c r="H112" s="37" t="n">
        <v>10.88</v>
      </c>
      <c r="I112" s="37" t="n">
        <v>11.65714285714286</v>
      </c>
      <c r="J112" s="37" t="n">
        <v>12.55384615384615</v>
      </c>
      <c r="K112" s="37" t="n">
        <v>13.6</v>
      </c>
      <c r="L112" s="37" t="n">
        <v>14.83636363636364</v>
      </c>
      <c r="M112" s="37" t="n">
        <v>16.32</v>
      </c>
      <c r="N112" s="37" t="n">
        <v>18.13333333333333</v>
      </c>
      <c r="O112" s="37" t="n">
        <v>20.4</v>
      </c>
      <c r="P112" s="37" t="n">
        <v>23.31428571428572</v>
      </c>
      <c r="Q112" s="37" t="n">
        <v>27.2</v>
      </c>
      <c r="R112" s="37" t="n">
        <v>32.64</v>
      </c>
      <c r="S112" s="37" t="n">
        <v>40.8</v>
      </c>
      <c r="T112" s="37" t="n">
        <v>54.40000000000001</v>
      </c>
      <c r="U112" s="37" t="n">
        <v>81.59999999999999</v>
      </c>
      <c r="V112" s="37" t="n">
        <v>163.2</v>
      </c>
      <c r="W112" s="37" t="n">
        <v>10.52</v>
      </c>
      <c r="X112" s="37" t="n">
        <v>11.07368421052632</v>
      </c>
      <c r="Y112" s="37" t="n">
        <v>11.68888888888889</v>
      </c>
      <c r="Z112" s="37" t="n">
        <v>12.37647058823529</v>
      </c>
      <c r="AA112" s="37" t="n">
        <v>13.15</v>
      </c>
      <c r="AB112" s="37" t="n">
        <v>14.02666666666667</v>
      </c>
      <c r="AC112" s="37" t="n">
        <v>15.02857142857143</v>
      </c>
      <c r="AD112" s="37" t="n">
        <v>16.18461538461538</v>
      </c>
      <c r="AE112" s="37" t="n">
        <v>17.53333333333333</v>
      </c>
      <c r="AF112" s="37" t="n">
        <v>19.12727272727273</v>
      </c>
      <c r="AG112" s="37" t="n">
        <v>21.04</v>
      </c>
      <c r="AH112" s="37" t="n">
        <v>23.37777777777778</v>
      </c>
      <c r="AI112" s="37" t="n">
        <v>26.3</v>
      </c>
      <c r="AJ112" s="37" t="n">
        <v>30.05714285714286</v>
      </c>
      <c r="AK112" s="37" t="n">
        <v>35.06666666666667</v>
      </c>
      <c r="AL112" s="37" t="n">
        <v>42.08</v>
      </c>
      <c r="AM112" s="37" t="n">
        <v>52.59999999999999</v>
      </c>
      <c r="AN112" s="37" t="n">
        <v>70.13333333333334</v>
      </c>
      <c r="AO112" s="37" t="n">
        <v>105.2</v>
      </c>
      <c r="AP112" s="37" t="n">
        <v>210.4</v>
      </c>
    </row>
    <row r="113">
      <c r="A113" s="5" t="inlineStr">
        <is>
          <t>P132</t>
        </is>
      </c>
      <c r="B113" s="5" t="inlineStr">
        <is>
          <t>RDM</t>
        </is>
      </c>
      <c r="C113" s="37" t="n">
        <v>7.68</v>
      </c>
      <c r="D113" s="37" t="n">
        <v>8.08421052631579</v>
      </c>
      <c r="E113" s="37" t="n">
        <v>8.533333333333333</v>
      </c>
      <c r="F113" s="37" t="n">
        <v>9.035294117647059</v>
      </c>
      <c r="G113" s="37" t="n">
        <v>9.6</v>
      </c>
      <c r="H113" s="37" t="n">
        <v>10.24</v>
      </c>
      <c r="I113" s="37" t="n">
        <v>10.97142857142857</v>
      </c>
      <c r="J113" s="37" t="n">
        <v>11.81538461538461</v>
      </c>
      <c r="K113" s="37" t="n">
        <v>12.8</v>
      </c>
      <c r="L113" s="37" t="n">
        <v>13.96363636363636</v>
      </c>
      <c r="M113" s="37" t="n">
        <v>15.36</v>
      </c>
      <c r="N113" s="37" t="n">
        <v>17.06666666666667</v>
      </c>
      <c r="O113" s="37" t="n">
        <v>19.2</v>
      </c>
      <c r="P113" s="37" t="n">
        <v>21.94285714285714</v>
      </c>
      <c r="Q113" s="37" t="n">
        <v>25.6</v>
      </c>
      <c r="R113" s="37" t="n">
        <v>30.72</v>
      </c>
      <c r="S113" s="37" t="n">
        <v>38.4</v>
      </c>
      <c r="T113" s="37" t="n">
        <v>51.2</v>
      </c>
      <c r="U113" s="37" t="n">
        <v>76.8</v>
      </c>
      <c r="V113" s="37" t="n">
        <v>153.6</v>
      </c>
      <c r="W113" s="37" t="n">
        <v>10.52</v>
      </c>
      <c r="X113" s="37" t="n">
        <v>11.07368421052632</v>
      </c>
      <c r="Y113" s="37" t="n">
        <v>11.68888888888889</v>
      </c>
      <c r="Z113" s="37" t="n">
        <v>12.37647058823529</v>
      </c>
      <c r="AA113" s="37" t="n">
        <v>13.15</v>
      </c>
      <c r="AB113" s="37" t="n">
        <v>14.02666666666667</v>
      </c>
      <c r="AC113" s="37" t="n">
        <v>15.02857142857143</v>
      </c>
      <c r="AD113" s="37" t="n">
        <v>16.18461538461538</v>
      </c>
      <c r="AE113" s="37" t="n">
        <v>17.53333333333333</v>
      </c>
      <c r="AF113" s="37" t="n">
        <v>19.12727272727273</v>
      </c>
      <c r="AG113" s="37" t="n">
        <v>21.04</v>
      </c>
      <c r="AH113" s="37" t="n">
        <v>23.37777777777778</v>
      </c>
      <c r="AI113" s="37" t="n">
        <v>26.3</v>
      </c>
      <c r="AJ113" s="37" t="n">
        <v>30.05714285714286</v>
      </c>
      <c r="AK113" s="37" t="n">
        <v>35.06666666666667</v>
      </c>
      <c r="AL113" s="37" t="n">
        <v>42.08</v>
      </c>
      <c r="AM113" s="37" t="n">
        <v>52.59999999999999</v>
      </c>
      <c r="AN113" s="37" t="n">
        <v>70.13333333333334</v>
      </c>
      <c r="AO113" s="37" t="n">
        <v>105.2</v>
      </c>
      <c r="AP113" s="37" t="n">
        <v>210.4</v>
      </c>
    </row>
    <row r="114">
      <c r="A114" s="5" t="inlineStr">
        <is>
          <t>P133</t>
        </is>
      </c>
      <c r="B114" s="5" t="inlineStr">
        <is>
          <t>RDM</t>
        </is>
      </c>
      <c r="C114" s="37" t="n">
        <v>5.445</v>
      </c>
      <c r="D114" s="37" t="n">
        <v>5.731578947368422</v>
      </c>
      <c r="E114" s="37" t="n">
        <v>6.05</v>
      </c>
      <c r="F114" s="37" t="n">
        <v>6.405882352941177</v>
      </c>
      <c r="G114" s="37" t="n">
        <v>6.80625</v>
      </c>
      <c r="H114" s="37" t="n">
        <v>7.260000000000001</v>
      </c>
      <c r="I114" s="37" t="n">
        <v>7.778571428571429</v>
      </c>
      <c r="J114" s="37" t="n">
        <v>8.376923076923077</v>
      </c>
      <c r="K114" s="37" t="n">
        <v>9.075000000000001</v>
      </c>
      <c r="L114" s="37" t="n">
        <v>9.9</v>
      </c>
      <c r="M114" s="37" t="n">
        <v>10.89</v>
      </c>
      <c r="N114" s="37" t="n">
        <v>12.1</v>
      </c>
      <c r="O114" s="37" t="n">
        <v>13.6125</v>
      </c>
      <c r="P114" s="37" t="n">
        <v>15.55714285714286</v>
      </c>
      <c r="Q114" s="37" t="n">
        <v>18.15</v>
      </c>
      <c r="R114" s="37" t="n">
        <v>21.78</v>
      </c>
      <c r="S114" s="37" t="n">
        <v>27.225</v>
      </c>
      <c r="T114" s="37" t="n">
        <v>36.3</v>
      </c>
      <c r="U114" s="37" t="n">
        <v>54.45</v>
      </c>
      <c r="V114" s="37" t="n">
        <v>108.9</v>
      </c>
      <c r="W114" s="37" t="n">
        <v>12.17</v>
      </c>
      <c r="X114" s="37" t="n">
        <v>12.81052631578947</v>
      </c>
      <c r="Y114" s="37" t="n">
        <v>13.52222222222222</v>
      </c>
      <c r="Z114" s="37" t="n">
        <v>14.31764705882353</v>
      </c>
      <c r="AA114" s="37" t="n">
        <v>15.2125</v>
      </c>
      <c r="AB114" s="37" t="n">
        <v>16.22666666666667</v>
      </c>
      <c r="AC114" s="37" t="n">
        <v>17.38571428571429</v>
      </c>
      <c r="AD114" s="37" t="n">
        <v>18.72307692307692</v>
      </c>
      <c r="AE114" s="37" t="n">
        <v>20.28333333333333</v>
      </c>
      <c r="AF114" s="37" t="n">
        <v>22.12727272727273</v>
      </c>
      <c r="AG114" s="37" t="n">
        <v>24.34</v>
      </c>
      <c r="AH114" s="37" t="n">
        <v>27.04444444444444</v>
      </c>
      <c r="AI114" s="37" t="n">
        <v>30.425</v>
      </c>
      <c r="AJ114" s="37" t="n">
        <v>34.77142857142857</v>
      </c>
      <c r="AK114" s="37" t="n">
        <v>40.56666666666667</v>
      </c>
      <c r="AL114" s="37" t="n">
        <v>48.68</v>
      </c>
      <c r="AM114" s="37" t="n">
        <v>60.84999999999999</v>
      </c>
      <c r="AN114" s="37" t="n">
        <v>81.13333333333334</v>
      </c>
      <c r="AO114" s="37" t="n">
        <v>121.7</v>
      </c>
      <c r="AP114" s="37" t="n">
        <v>243.4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J1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6" customWidth="1" min="4" max="4"/>
    <col width="13" customWidth="1" min="5" max="5"/>
    <col width="12" customWidth="1" min="6" max="6"/>
    <col width="13" customWidth="1" min="7" max="7"/>
    <col width="10" customWidth="1" min="8" max="8"/>
    <col width="12" customWidth="1" min="9" max="9"/>
    <col width="22" customWidth="1" min="10" max="10"/>
  </cols>
  <sheetData>
    <row r="1" ht="20" customHeight="1">
      <c r="A1" s="1" t="inlineStr">
        <is>
          <t>DISPONIBILIDADE HIDRICA - bombas/captacoes (importado)</t>
        </is>
      </c>
    </row>
    <row r="2">
      <c r="A2" s="2" t="inlineStr">
        <is>
          <t>Vazao disp = SE SIM: vazao x 0,90; SE NAO: 0.</t>
        </is>
      </c>
    </row>
    <row r="4" ht="30" customHeight="1">
      <c r="A4" s="4" t="inlineStr">
        <is>
          <t>Estrutura</t>
        </is>
      </c>
      <c r="B4" s="4" t="inlineStr">
        <is>
          <t>Bomba</t>
        </is>
      </c>
      <c r="C4" s="4" t="inlineStr">
        <is>
          <t>Modulo</t>
        </is>
      </c>
      <c r="D4" s="4" t="inlineStr">
        <is>
          <t>Faz</t>
        </is>
      </c>
      <c r="E4" s="4" t="inlineStr">
        <is>
          <t>Vazao nom (m3/h)</t>
        </is>
      </c>
      <c r="F4" s="4" t="inlineStr">
        <is>
          <t>Disp? (SIM/NAO)</t>
        </is>
      </c>
      <c r="G4" s="4" t="inlineStr">
        <is>
          <t>Vazao disp (m3/h)</t>
        </is>
      </c>
      <c r="H4" s="4" t="inlineStr">
        <is>
          <t>Pot (kW)</t>
        </is>
      </c>
      <c r="I4" s="4" t="inlineStr">
        <is>
          <t>Situacao</t>
        </is>
      </c>
      <c r="J4" s="4" t="inlineStr">
        <is>
          <t>Obs</t>
        </is>
      </c>
    </row>
    <row r="5">
      <c r="A5" s="6" t="inlineStr">
        <is>
          <t>Primavera 01</t>
        </is>
      </c>
      <c r="B5" s="5" t="inlineStr">
        <is>
          <t>B1</t>
        </is>
      </c>
      <c r="C5" s="5" t="inlineStr">
        <is>
          <t>Módulo 01</t>
        </is>
      </c>
      <c r="D5" s="5" t="inlineStr">
        <is>
          <t>Kar</t>
        </is>
      </c>
      <c r="E5" s="15" t="n">
        <v>803</v>
      </c>
      <c r="F5" s="7" t="inlineStr">
        <is>
          <t>SIM</t>
        </is>
      </c>
      <c r="G5" s="16">
        <f>IF(OR($E5="",$F5=""),"",IF(UPPER($F5)="SIM",$E5*FATOR_HID,0))</f>
        <v/>
      </c>
      <c r="H5" s="33" t="n">
        <v>184</v>
      </c>
      <c r="I5" s="7" t="inlineStr">
        <is>
          <t>Disponivel</t>
        </is>
      </c>
      <c r="J5" s="19" t="inlineStr"/>
    </row>
    <row r="6">
      <c r="A6" s="6" t="inlineStr">
        <is>
          <t>Primavera 01</t>
        </is>
      </c>
      <c r="B6" s="5" t="inlineStr">
        <is>
          <t>B2</t>
        </is>
      </c>
      <c r="C6" s="5" t="inlineStr">
        <is>
          <t>Módulo 01</t>
        </is>
      </c>
      <c r="D6" s="5" t="inlineStr">
        <is>
          <t>Kar</t>
        </is>
      </c>
      <c r="E6" s="15" t="n">
        <v>803</v>
      </c>
      <c r="F6" s="7" t="inlineStr">
        <is>
          <t>SIM</t>
        </is>
      </c>
      <c r="G6" s="16">
        <f>IF(OR($E6="",$F6=""),"",IF(UPPER($F6)="SIM",$E6*FATOR_HID,0))</f>
        <v/>
      </c>
      <c r="H6" s="33" t="n">
        <v>184</v>
      </c>
      <c r="I6" s="7" t="inlineStr">
        <is>
          <t>Disponivel</t>
        </is>
      </c>
      <c r="J6" s="19" t="inlineStr"/>
    </row>
    <row r="7">
      <c r="A7" s="6" t="inlineStr">
        <is>
          <t>Primavera 01</t>
        </is>
      </c>
      <c r="B7" s="5" t="inlineStr">
        <is>
          <t>B3</t>
        </is>
      </c>
      <c r="C7" s="5" t="inlineStr">
        <is>
          <t>Módulo 01</t>
        </is>
      </c>
      <c r="D7" s="5" t="inlineStr">
        <is>
          <t>Kar</t>
        </is>
      </c>
      <c r="E7" s="15" t="n">
        <v>803</v>
      </c>
      <c r="F7" s="7" t="inlineStr">
        <is>
          <t>SIM</t>
        </is>
      </c>
      <c r="G7" s="16">
        <f>IF(OR($E7="",$F7=""),"",IF(UPPER($F7)="SIM",$E7*FATOR_HID,0))</f>
        <v/>
      </c>
      <c r="H7" s="33" t="n">
        <v>184</v>
      </c>
      <c r="I7" s="7" t="inlineStr">
        <is>
          <t>Disponivel</t>
        </is>
      </c>
      <c r="J7" s="19" t="inlineStr"/>
    </row>
    <row r="8">
      <c r="A8" s="6" t="inlineStr">
        <is>
          <t>Primavera 02</t>
        </is>
      </c>
      <c r="B8" s="5" t="inlineStr">
        <is>
          <t>B1</t>
        </is>
      </c>
      <c r="C8" s="5" t="inlineStr">
        <is>
          <t>Módulo 01</t>
        </is>
      </c>
      <c r="D8" s="5" t="inlineStr">
        <is>
          <t>Kar</t>
        </is>
      </c>
      <c r="E8" s="15" t="n">
        <v>786</v>
      </c>
      <c r="F8" s="7" t="inlineStr">
        <is>
          <t>SIM</t>
        </is>
      </c>
      <c r="G8" s="16">
        <f>IF(OR($E8="",$F8=""),"",IF(UPPER($F8)="SIM",$E8*FATOR_HID,0))</f>
        <v/>
      </c>
      <c r="H8" s="33" t="n">
        <v>184</v>
      </c>
      <c r="I8" s="7" t="inlineStr">
        <is>
          <t>Disponivel</t>
        </is>
      </c>
      <c r="J8" s="19" t="inlineStr"/>
    </row>
    <row r="9">
      <c r="A9" s="6" t="inlineStr">
        <is>
          <t>Primavera 02</t>
        </is>
      </c>
      <c r="B9" s="5" t="inlineStr">
        <is>
          <t>B2</t>
        </is>
      </c>
      <c r="C9" s="5" t="inlineStr">
        <is>
          <t>Módulo 01</t>
        </is>
      </c>
      <c r="D9" s="5" t="inlineStr">
        <is>
          <t>Kar</t>
        </is>
      </c>
      <c r="E9" s="15" t="n">
        <v>786</v>
      </c>
      <c r="F9" s="7" t="inlineStr">
        <is>
          <t>SIM</t>
        </is>
      </c>
      <c r="G9" s="16">
        <f>IF(OR($E9="",$F9=""),"",IF(UPPER($F9)="SIM",$E9*FATOR_HID,0))</f>
        <v/>
      </c>
      <c r="H9" s="33" t="n">
        <v>184</v>
      </c>
      <c r="I9" s="7" t="inlineStr">
        <is>
          <t>Disponivel</t>
        </is>
      </c>
      <c r="J9" s="19" t="inlineStr"/>
    </row>
    <row r="10">
      <c r="A10" s="6" t="inlineStr">
        <is>
          <t>Primavera 02</t>
        </is>
      </c>
      <c r="B10" s="5" t="inlineStr">
        <is>
          <t>B3</t>
        </is>
      </c>
      <c r="C10" s="5" t="inlineStr">
        <is>
          <t>Módulo 01</t>
        </is>
      </c>
      <c r="D10" s="5" t="inlineStr">
        <is>
          <t>Kar</t>
        </is>
      </c>
      <c r="E10" s="15" t="n">
        <v>786</v>
      </c>
      <c r="F10" s="7" t="inlineStr">
        <is>
          <t>SIM</t>
        </is>
      </c>
      <c r="G10" s="16">
        <f>IF(OR($E10="",$F10=""),"",IF(UPPER($F10)="SIM",$E10*FATOR_HID,0))</f>
        <v/>
      </c>
      <c r="H10" s="33" t="n">
        <v>184</v>
      </c>
      <c r="I10" s="7" t="inlineStr">
        <is>
          <t>Disponivel</t>
        </is>
      </c>
      <c r="J10" s="19" t="inlineStr"/>
    </row>
    <row r="11">
      <c r="A11" s="6" t="inlineStr">
        <is>
          <t>Primavera 02</t>
        </is>
      </c>
      <c r="B11" s="5" t="inlineStr">
        <is>
          <t>B4</t>
        </is>
      </c>
      <c r="C11" s="5" t="inlineStr">
        <is>
          <t>Módulo 01</t>
        </is>
      </c>
      <c r="D11" s="5" t="inlineStr">
        <is>
          <t>Kar</t>
        </is>
      </c>
      <c r="E11" s="15" t="n">
        <v>786</v>
      </c>
      <c r="F11" s="7" t="inlineStr">
        <is>
          <t>SIM</t>
        </is>
      </c>
      <c r="G11" s="16">
        <f>IF(OR($E11="",$F11=""),"",IF(UPPER($F11)="SIM",$E11*FATOR_HID,0))</f>
        <v/>
      </c>
      <c r="H11" s="33" t="n">
        <v>184</v>
      </c>
      <c r="I11" s="7" t="inlineStr">
        <is>
          <t>Disponivel</t>
        </is>
      </c>
      <c r="J11" s="19" t="inlineStr"/>
    </row>
    <row r="12">
      <c r="A12" s="6" t="inlineStr">
        <is>
          <t>Primavera 02</t>
        </is>
      </c>
      <c r="B12" s="5" t="inlineStr">
        <is>
          <t>B5</t>
        </is>
      </c>
      <c r="C12" s="5" t="inlineStr">
        <is>
          <t>Módulo 01</t>
        </is>
      </c>
      <c r="D12" s="5" t="inlineStr">
        <is>
          <t>Kar</t>
        </is>
      </c>
      <c r="E12" s="15" t="n">
        <v>786</v>
      </c>
      <c r="F12" s="7" t="inlineStr">
        <is>
          <t>SIM</t>
        </is>
      </c>
      <c r="G12" s="16">
        <f>IF(OR($E12="",$F12=""),"",IF(UPPER($F12)="SIM",$E12*FATOR_HID,0))</f>
        <v/>
      </c>
      <c r="H12" s="33" t="n">
        <v>184</v>
      </c>
      <c r="I12" s="7" t="inlineStr">
        <is>
          <t>Disponivel</t>
        </is>
      </c>
      <c r="J12" s="19" t="inlineStr"/>
    </row>
    <row r="13">
      <c r="A13" s="6" t="inlineStr">
        <is>
          <t>Bom Nome</t>
        </is>
      </c>
      <c r="B13" s="5" t="inlineStr">
        <is>
          <t>B1</t>
        </is>
      </c>
      <c r="C13" s="5" t="inlineStr">
        <is>
          <t>Módulo 01</t>
        </is>
      </c>
      <c r="D13" s="5" t="inlineStr">
        <is>
          <t>Kar</t>
        </is>
      </c>
      <c r="E13" s="15" t="n">
        <v>560</v>
      </c>
      <c r="F13" s="7" t="inlineStr">
        <is>
          <t>SIM</t>
        </is>
      </c>
      <c r="G13" s="16">
        <f>IF(OR($E13="",$F13=""),"",IF(UPPER($F13)="SIM",$E13*FATOR_HID,0))</f>
        <v/>
      </c>
      <c r="H13" s="33" t="n">
        <v>184</v>
      </c>
      <c r="I13" s="7" t="inlineStr">
        <is>
          <t>Disponivel</t>
        </is>
      </c>
      <c r="J13" s="19" t="inlineStr"/>
    </row>
    <row r="14">
      <c r="A14" s="6" t="inlineStr">
        <is>
          <t>Bom Nome</t>
        </is>
      </c>
      <c r="B14" s="5" t="inlineStr">
        <is>
          <t>B2</t>
        </is>
      </c>
      <c r="C14" s="5" t="inlineStr">
        <is>
          <t>Módulo 01</t>
        </is>
      </c>
      <c r="D14" s="5" t="inlineStr">
        <is>
          <t>Kar</t>
        </is>
      </c>
      <c r="E14" s="15" t="n">
        <v>560</v>
      </c>
      <c r="F14" s="7" t="inlineStr">
        <is>
          <t>SIM</t>
        </is>
      </c>
      <c r="G14" s="16">
        <f>IF(OR($E14="",$F14=""),"",IF(UPPER($F14)="SIM",$E14*FATOR_HID,0))</f>
        <v/>
      </c>
      <c r="H14" s="33" t="n">
        <v>184</v>
      </c>
      <c r="I14" s="7" t="inlineStr">
        <is>
          <t>Disponivel</t>
        </is>
      </c>
      <c r="J14" s="19" t="inlineStr"/>
    </row>
    <row r="15">
      <c r="A15" s="6" t="inlineStr">
        <is>
          <t>Bom Nome</t>
        </is>
      </c>
      <c r="B15" s="5" t="inlineStr">
        <is>
          <t>B3</t>
        </is>
      </c>
      <c r="C15" s="5" t="inlineStr">
        <is>
          <t>Módulo 01</t>
        </is>
      </c>
      <c r="D15" s="5" t="inlineStr">
        <is>
          <t>Kar</t>
        </is>
      </c>
      <c r="E15" s="15" t="n">
        <v>560</v>
      </c>
      <c r="F15" s="7" t="inlineStr">
        <is>
          <t>SIM</t>
        </is>
      </c>
      <c r="G15" s="16">
        <f>IF(OR($E15="",$F15=""),"",IF(UPPER($F15)="SIM",$E15*FATOR_HID,0))</f>
        <v/>
      </c>
      <c r="H15" s="33" t="n">
        <v>184</v>
      </c>
      <c r="I15" s="7" t="inlineStr">
        <is>
          <t>Disponivel</t>
        </is>
      </c>
      <c r="J15" s="19" t="inlineStr"/>
    </row>
    <row r="16">
      <c r="A16" s="6" t="inlineStr">
        <is>
          <t>Bom Nome</t>
        </is>
      </c>
      <c r="B16" s="5" t="inlineStr">
        <is>
          <t>B4</t>
        </is>
      </c>
      <c r="C16" s="5" t="inlineStr">
        <is>
          <t>Módulo 01</t>
        </is>
      </c>
      <c r="D16" s="5" t="inlineStr">
        <is>
          <t>Kar</t>
        </is>
      </c>
      <c r="E16" s="15" t="n">
        <v>560</v>
      </c>
      <c r="F16" s="7" t="inlineStr">
        <is>
          <t>SIM</t>
        </is>
      </c>
      <c r="G16" s="16">
        <f>IF(OR($E16="",$F16=""),"",IF(UPPER($F16)="SIM",$E16*FATOR_HID,0))</f>
        <v/>
      </c>
      <c r="H16" s="33" t="n">
        <v>184</v>
      </c>
      <c r="I16" s="7" t="inlineStr">
        <is>
          <t>Disponivel</t>
        </is>
      </c>
      <c r="J16" s="19" t="inlineStr"/>
    </row>
    <row r="17">
      <c r="A17" s="6" t="inlineStr">
        <is>
          <t>Bom Nome</t>
        </is>
      </c>
      <c r="B17" s="5" t="inlineStr">
        <is>
          <t>B5</t>
        </is>
      </c>
      <c r="C17" s="5" t="inlineStr">
        <is>
          <t>Módulo 01</t>
        </is>
      </c>
      <c r="D17" s="5" t="inlineStr">
        <is>
          <t>Kar</t>
        </is>
      </c>
      <c r="E17" s="15" t="n">
        <v>560</v>
      </c>
      <c r="F17" s="7" t="inlineStr">
        <is>
          <t>SIM</t>
        </is>
      </c>
      <c r="G17" s="16">
        <f>IF(OR($E17="",$F17=""),"",IF(UPPER($F17)="SIM",$E17*FATOR_HID,0))</f>
        <v/>
      </c>
      <c r="H17" s="33" t="n">
        <v>184</v>
      </c>
      <c r="I17" s="7" t="inlineStr">
        <is>
          <t>Disponivel</t>
        </is>
      </c>
      <c r="J17" s="19" t="inlineStr"/>
    </row>
    <row r="18">
      <c r="A18" s="6" t="inlineStr">
        <is>
          <t>Bom Nome</t>
        </is>
      </c>
      <c r="B18" s="5" t="inlineStr">
        <is>
          <t>B6</t>
        </is>
      </c>
      <c r="C18" s="5" t="inlineStr">
        <is>
          <t>Módulo 01</t>
        </is>
      </c>
      <c r="D18" s="5" t="inlineStr">
        <is>
          <t>Kar</t>
        </is>
      </c>
      <c r="E18" s="15" t="n">
        <v>560</v>
      </c>
      <c r="F18" s="7" t="inlineStr">
        <is>
          <t>SIM</t>
        </is>
      </c>
      <c r="G18" s="16">
        <f>IF(OR($E18="",$F18=""),"",IF(UPPER($F18)="SIM",$E18*FATOR_HID,0))</f>
        <v/>
      </c>
      <c r="H18" s="33" t="n">
        <v>184</v>
      </c>
      <c r="I18" s="7" t="inlineStr">
        <is>
          <t>Disponivel</t>
        </is>
      </c>
      <c r="J18" s="19" t="inlineStr"/>
    </row>
    <row r="19">
      <c r="A19" s="6" t="inlineStr">
        <is>
          <t>Bom Nome</t>
        </is>
      </c>
      <c r="B19" s="5" t="inlineStr">
        <is>
          <t>B7</t>
        </is>
      </c>
      <c r="C19" s="5" t="inlineStr">
        <is>
          <t>Módulo 01</t>
        </is>
      </c>
      <c r="D19" s="5" t="inlineStr">
        <is>
          <t>Kar</t>
        </is>
      </c>
      <c r="E19" s="15" t="n">
        <v>560</v>
      </c>
      <c r="F19" s="7" t="inlineStr">
        <is>
          <t>SIM</t>
        </is>
      </c>
      <c r="G19" s="16">
        <f>IF(OR($E19="",$F19=""),"",IF(UPPER($F19)="SIM",$E19*FATOR_HID,0))</f>
        <v/>
      </c>
      <c r="H19" s="33" t="n">
        <v>184</v>
      </c>
      <c r="I19" s="7" t="inlineStr">
        <is>
          <t>Disponivel</t>
        </is>
      </c>
      <c r="J19" s="19" t="inlineStr"/>
    </row>
    <row r="20">
      <c r="A20" s="6" t="inlineStr">
        <is>
          <t>Bom Nome</t>
        </is>
      </c>
      <c r="B20" s="5" t="inlineStr">
        <is>
          <t>B8</t>
        </is>
      </c>
      <c r="C20" s="5" t="inlineStr">
        <is>
          <t>Módulo 01</t>
        </is>
      </c>
      <c r="D20" s="5" t="inlineStr">
        <is>
          <t>Kar</t>
        </is>
      </c>
      <c r="E20" s="15" t="n">
        <v>560</v>
      </c>
      <c r="F20" s="7" t="inlineStr">
        <is>
          <t>SIM</t>
        </is>
      </c>
      <c r="G20" s="16">
        <f>IF(OR($E20="",$F20=""),"",IF(UPPER($F20)="SIM",$E20*FATOR_HID,0))</f>
        <v/>
      </c>
      <c r="H20" s="33" t="n">
        <v>184</v>
      </c>
      <c r="I20" s="7" t="inlineStr">
        <is>
          <t>Disponivel</t>
        </is>
      </c>
      <c r="J20" s="19" t="inlineStr"/>
    </row>
    <row r="21">
      <c r="A21" s="6" t="inlineStr">
        <is>
          <t>Bom Nome</t>
        </is>
      </c>
      <c r="B21" s="5" t="inlineStr">
        <is>
          <t>B9</t>
        </is>
      </c>
      <c r="C21" s="5" t="inlineStr">
        <is>
          <t>Módulo 01</t>
        </is>
      </c>
      <c r="D21" s="5" t="inlineStr">
        <is>
          <t>Kar</t>
        </is>
      </c>
      <c r="E21" s="15" t="n">
        <v>560</v>
      </c>
      <c r="F21" s="7" t="inlineStr">
        <is>
          <t>SIM</t>
        </is>
      </c>
      <c r="G21" s="16">
        <f>IF(OR($E21="",$F21=""),"",IF(UPPER($F21)="SIM",$E21*FATOR_HID,0))</f>
        <v/>
      </c>
      <c r="H21" s="33" t="n">
        <v>184</v>
      </c>
      <c r="I21" s="7" t="inlineStr">
        <is>
          <t>Disponivel</t>
        </is>
      </c>
      <c r="J21" s="19" t="inlineStr"/>
    </row>
    <row r="22">
      <c r="A22" s="6" t="inlineStr">
        <is>
          <t>Bom Nome</t>
        </is>
      </c>
      <c r="B22" s="5" t="inlineStr">
        <is>
          <t>B10</t>
        </is>
      </c>
      <c r="C22" s="5" t="inlineStr">
        <is>
          <t>Módulo 01</t>
        </is>
      </c>
      <c r="D22" s="5" t="inlineStr">
        <is>
          <t>Kar</t>
        </is>
      </c>
      <c r="E22" s="15" t="n">
        <v>560</v>
      </c>
      <c r="F22" s="7" t="inlineStr">
        <is>
          <t>SIM</t>
        </is>
      </c>
      <c r="G22" s="16">
        <f>IF(OR($E22="",$F22=""),"",IF(UPPER($F22)="SIM",$E22*FATOR_HID,0))</f>
        <v/>
      </c>
      <c r="H22" s="33" t="n">
        <v>184</v>
      </c>
      <c r="I22" s="7" t="inlineStr">
        <is>
          <t>Disponivel</t>
        </is>
      </c>
      <c r="J22" s="19" t="inlineStr"/>
    </row>
    <row r="23">
      <c r="A23" s="6" t="inlineStr">
        <is>
          <t>Bom Nome</t>
        </is>
      </c>
      <c r="B23" s="5" t="inlineStr">
        <is>
          <t>B11</t>
        </is>
      </c>
      <c r="C23" s="5" t="inlineStr">
        <is>
          <t>Módulo 01</t>
        </is>
      </c>
      <c r="D23" s="5" t="inlineStr">
        <is>
          <t>Kar</t>
        </is>
      </c>
      <c r="E23" s="15" t="n">
        <v>560</v>
      </c>
      <c r="F23" s="7" t="inlineStr">
        <is>
          <t>SIM</t>
        </is>
      </c>
      <c r="G23" s="16">
        <f>IF(OR($E23="",$F23=""),"",IF(UPPER($F23)="SIM",$E23*FATOR_HID,0))</f>
        <v/>
      </c>
      <c r="H23" s="33" t="n">
        <v>184</v>
      </c>
      <c r="I23" s="7" t="inlineStr">
        <is>
          <t>Disponivel</t>
        </is>
      </c>
      <c r="J23" s="19" t="inlineStr"/>
    </row>
    <row r="24">
      <c r="A24" s="6" t="inlineStr">
        <is>
          <t>Bom Nome</t>
        </is>
      </c>
      <c r="B24" s="5" t="inlineStr">
        <is>
          <t>B12</t>
        </is>
      </c>
      <c r="C24" s="5" t="inlineStr">
        <is>
          <t>Módulo 01</t>
        </is>
      </c>
      <c r="D24" s="5" t="inlineStr">
        <is>
          <t>Kar</t>
        </is>
      </c>
      <c r="E24" s="15" t="n">
        <v>560</v>
      </c>
      <c r="F24" s="7" t="inlineStr">
        <is>
          <t>SIM</t>
        </is>
      </c>
      <c r="G24" s="16">
        <f>IF(OR($E24="",$F24=""),"",IF(UPPER($F24)="SIM",$E24*FATOR_HID,0))</f>
        <v/>
      </c>
      <c r="H24" s="33" t="n">
        <v>184</v>
      </c>
      <c r="I24" s="7" t="inlineStr">
        <is>
          <t>Disponivel</t>
        </is>
      </c>
      <c r="J24" s="19" t="inlineStr"/>
    </row>
    <row r="25">
      <c r="A25" s="6" t="inlineStr">
        <is>
          <t>Garfo</t>
        </is>
      </c>
      <c r="B25" s="5" t="inlineStr">
        <is>
          <t>B1</t>
        </is>
      </c>
      <c r="C25" s="5" t="inlineStr">
        <is>
          <t>Módulo 02</t>
        </is>
      </c>
      <c r="D25" s="5" t="inlineStr">
        <is>
          <t>Kar</t>
        </is>
      </c>
      <c r="E25" s="15" t="n">
        <v>650</v>
      </c>
      <c r="F25" s="7" t="inlineStr">
        <is>
          <t>SIM</t>
        </is>
      </c>
      <c r="G25" s="16">
        <f>IF(OR($E25="",$F25=""),"",IF(UPPER($F25)="SIM",$E25*FATOR_HID,0))</f>
        <v/>
      </c>
      <c r="H25" s="33" t="n">
        <v>184</v>
      </c>
      <c r="I25" s="7" t="inlineStr">
        <is>
          <t>Disponivel</t>
        </is>
      </c>
      <c r="J25" s="19" t="inlineStr"/>
    </row>
    <row r="26">
      <c r="A26" s="6" t="inlineStr">
        <is>
          <t>Garfo</t>
        </is>
      </c>
      <c r="B26" s="5" t="inlineStr">
        <is>
          <t>B2</t>
        </is>
      </c>
      <c r="C26" s="5" t="inlineStr">
        <is>
          <t>Módulo 02</t>
        </is>
      </c>
      <c r="D26" s="5" t="inlineStr">
        <is>
          <t>Kar</t>
        </is>
      </c>
      <c r="E26" s="15" t="n">
        <v>650</v>
      </c>
      <c r="F26" s="7" t="inlineStr">
        <is>
          <t>SIM</t>
        </is>
      </c>
      <c r="G26" s="16">
        <f>IF(OR($E26="",$F26=""),"",IF(UPPER($F26)="SIM",$E26*FATOR_HID,0))</f>
        <v/>
      </c>
      <c r="H26" s="33" t="n">
        <v>184</v>
      </c>
      <c r="I26" s="7" t="inlineStr">
        <is>
          <t>Disponivel</t>
        </is>
      </c>
      <c r="J26" s="19" t="inlineStr"/>
    </row>
    <row r="27">
      <c r="A27" s="6" t="inlineStr">
        <is>
          <t>Garfo</t>
        </is>
      </c>
      <c r="B27" s="5" t="inlineStr">
        <is>
          <t>B3</t>
        </is>
      </c>
      <c r="C27" s="5" t="inlineStr">
        <is>
          <t>Módulo 02</t>
        </is>
      </c>
      <c r="D27" s="5" t="inlineStr">
        <is>
          <t>Kar</t>
        </is>
      </c>
      <c r="E27" s="15" t="n">
        <v>650</v>
      </c>
      <c r="F27" s="7" t="inlineStr">
        <is>
          <t>SIM</t>
        </is>
      </c>
      <c r="G27" s="16">
        <f>IF(OR($E27="",$F27=""),"",IF(UPPER($F27)="SIM",$E27*FATOR_HID,0))</f>
        <v/>
      </c>
      <c r="H27" s="33" t="n">
        <v>184</v>
      </c>
      <c r="I27" s="7" t="inlineStr">
        <is>
          <t>Disponivel</t>
        </is>
      </c>
      <c r="J27" s="19" t="inlineStr"/>
    </row>
    <row r="28">
      <c r="A28" s="6" t="inlineStr">
        <is>
          <t>Garfo</t>
        </is>
      </c>
      <c r="B28" s="5" t="inlineStr">
        <is>
          <t>B4</t>
        </is>
      </c>
      <c r="C28" s="5" t="inlineStr">
        <is>
          <t>Módulo 02</t>
        </is>
      </c>
      <c r="D28" s="5" t="inlineStr">
        <is>
          <t>Kar</t>
        </is>
      </c>
      <c r="E28" s="15" t="n">
        <v>650</v>
      </c>
      <c r="F28" s="7" t="inlineStr">
        <is>
          <t>SIM</t>
        </is>
      </c>
      <c r="G28" s="16">
        <f>IF(OR($E28="",$F28=""),"",IF(UPPER($F28)="SIM",$E28*FATOR_HID,0))</f>
        <v/>
      </c>
      <c r="H28" s="33" t="n">
        <v>184</v>
      </c>
      <c r="I28" s="7" t="inlineStr">
        <is>
          <t>Disponivel</t>
        </is>
      </c>
      <c r="J28" s="19" t="inlineStr"/>
    </row>
    <row r="29">
      <c r="A29" s="6" t="inlineStr">
        <is>
          <t>Garfo</t>
        </is>
      </c>
      <c r="B29" s="5" t="inlineStr">
        <is>
          <t>B5</t>
        </is>
      </c>
      <c r="C29" s="5" t="inlineStr">
        <is>
          <t>Módulo 02</t>
        </is>
      </c>
      <c r="D29" s="5" t="inlineStr">
        <is>
          <t>Kar</t>
        </is>
      </c>
      <c r="E29" s="15" t="n">
        <v>650</v>
      </c>
      <c r="F29" s="7" t="inlineStr">
        <is>
          <t>SIM</t>
        </is>
      </c>
      <c r="G29" s="16">
        <f>IF(OR($E29="",$F29=""),"",IF(UPPER($F29)="SIM",$E29*FATOR_HID,0))</f>
        <v/>
      </c>
      <c r="H29" s="33" t="n">
        <v>184</v>
      </c>
      <c r="I29" s="7" t="inlineStr">
        <is>
          <t>Disponivel</t>
        </is>
      </c>
      <c r="J29" s="19" t="inlineStr"/>
    </row>
    <row r="30">
      <c r="A30" s="6" t="inlineStr">
        <is>
          <t>Garfo</t>
        </is>
      </c>
      <c r="B30" s="5" t="inlineStr">
        <is>
          <t>B6</t>
        </is>
      </c>
      <c r="C30" s="5" t="inlineStr">
        <is>
          <t>Módulo 02</t>
        </is>
      </c>
      <c r="D30" s="5" t="inlineStr">
        <is>
          <t>Kar</t>
        </is>
      </c>
      <c r="E30" s="15" t="n">
        <v>650</v>
      </c>
      <c r="F30" s="7" t="inlineStr">
        <is>
          <t>SIM</t>
        </is>
      </c>
      <c r="G30" s="16">
        <f>IF(OR($E30="",$F30=""),"",IF(UPPER($F30)="SIM",$E30*FATOR_HID,0))</f>
        <v/>
      </c>
      <c r="H30" s="33" t="n">
        <v>184</v>
      </c>
      <c r="I30" s="7" t="inlineStr">
        <is>
          <t>Disponivel</t>
        </is>
      </c>
      <c r="J30" s="19" t="inlineStr"/>
    </row>
    <row r="31">
      <c r="A31" s="6" t="inlineStr">
        <is>
          <t>Garfo</t>
        </is>
      </c>
      <c r="B31" s="5" t="inlineStr">
        <is>
          <t>B7</t>
        </is>
      </c>
      <c r="C31" s="5" t="inlineStr">
        <is>
          <t>Módulo 02</t>
        </is>
      </c>
      <c r="D31" s="5" t="inlineStr">
        <is>
          <t>Kar</t>
        </is>
      </c>
      <c r="E31" s="15" t="n">
        <v>650</v>
      </c>
      <c r="F31" s="7" t="inlineStr">
        <is>
          <t>SIM</t>
        </is>
      </c>
      <c r="G31" s="16">
        <f>IF(OR($E31="",$F31=""),"",IF(UPPER($F31)="SIM",$E31*FATOR_HID,0))</f>
        <v/>
      </c>
      <c r="H31" s="33" t="n">
        <v>184</v>
      </c>
      <c r="I31" s="7" t="inlineStr">
        <is>
          <t>Disponivel</t>
        </is>
      </c>
      <c r="J31" s="19" t="inlineStr"/>
    </row>
    <row r="32">
      <c r="A32" s="6" t="inlineStr">
        <is>
          <t>Garfo</t>
        </is>
      </c>
      <c r="B32" s="5" t="inlineStr">
        <is>
          <t>B8</t>
        </is>
      </c>
      <c r="C32" s="5" t="inlineStr">
        <is>
          <t>Módulo 02</t>
        </is>
      </c>
      <c r="D32" s="5" t="inlineStr">
        <is>
          <t>Kar</t>
        </is>
      </c>
      <c r="E32" s="15" t="n">
        <v>650</v>
      </c>
      <c r="F32" s="7" t="inlineStr">
        <is>
          <t>SIM</t>
        </is>
      </c>
      <c r="G32" s="16">
        <f>IF(OR($E32="",$F32=""),"",IF(UPPER($F32)="SIM",$E32*FATOR_HID,0))</f>
        <v/>
      </c>
      <c r="H32" s="33" t="n">
        <v>184</v>
      </c>
      <c r="I32" s="7" t="inlineStr">
        <is>
          <t>Disponivel</t>
        </is>
      </c>
      <c r="J32" s="19" t="inlineStr"/>
    </row>
    <row r="33">
      <c r="A33" s="6" t="inlineStr">
        <is>
          <t>Garfo</t>
        </is>
      </c>
      <c r="B33" s="5" t="inlineStr">
        <is>
          <t>B9</t>
        </is>
      </c>
      <c r="C33" s="5" t="inlineStr">
        <is>
          <t>Módulo 02</t>
        </is>
      </c>
      <c r="D33" s="5" t="inlineStr">
        <is>
          <t>Kar</t>
        </is>
      </c>
      <c r="E33" s="15" t="n">
        <v>650</v>
      </c>
      <c r="F33" s="7" t="inlineStr">
        <is>
          <t>SIM</t>
        </is>
      </c>
      <c r="G33" s="16">
        <f>IF(OR($E33="",$F33=""),"",IF(UPPER($F33)="SIM",$E33*FATOR_HID,0))</f>
        <v/>
      </c>
      <c r="H33" s="33" t="n">
        <v>184</v>
      </c>
      <c r="I33" s="7" t="inlineStr">
        <is>
          <t>Disponivel</t>
        </is>
      </c>
      <c r="J33" s="19" t="inlineStr"/>
    </row>
    <row r="34">
      <c r="A34" s="6" t="inlineStr">
        <is>
          <t>Garfo</t>
        </is>
      </c>
      <c r="B34" s="5" t="inlineStr">
        <is>
          <t>B10</t>
        </is>
      </c>
      <c r="C34" s="5" t="inlineStr">
        <is>
          <t>Módulo 02</t>
        </is>
      </c>
      <c r="D34" s="5" t="inlineStr">
        <is>
          <t>Kar</t>
        </is>
      </c>
      <c r="E34" s="15" t="n">
        <v>650</v>
      </c>
      <c r="F34" s="7" t="inlineStr">
        <is>
          <t>SIM</t>
        </is>
      </c>
      <c r="G34" s="16">
        <f>IF(OR($E34="",$F34=""),"",IF(UPPER($F34)="SIM",$E34*FATOR_HID,0))</f>
        <v/>
      </c>
      <c r="H34" s="33" t="n">
        <v>184</v>
      </c>
      <c r="I34" s="7" t="inlineStr">
        <is>
          <t>Disponivel</t>
        </is>
      </c>
      <c r="J34" s="19" t="inlineStr"/>
    </row>
    <row r="35">
      <c r="A35" s="6" t="inlineStr">
        <is>
          <t>Karitel</t>
        </is>
      </c>
      <c r="B35" s="5" t="inlineStr">
        <is>
          <t>B1</t>
        </is>
      </c>
      <c r="C35" s="5" t="inlineStr">
        <is>
          <t>Módulo 02</t>
        </is>
      </c>
      <c r="D35" s="5" t="inlineStr">
        <is>
          <t>Kar</t>
        </is>
      </c>
      <c r="E35" s="15" t="n">
        <v>650</v>
      </c>
      <c r="F35" s="7" t="inlineStr">
        <is>
          <t>SIM</t>
        </is>
      </c>
      <c r="G35" s="16">
        <f>IF(OR($E35="",$F35=""),"",IF(UPPER($F35)="SIM",$E35*FATOR_HID,0))</f>
        <v/>
      </c>
      <c r="H35" s="33" t="n">
        <v>184</v>
      </c>
      <c r="I35" s="7" t="inlineStr">
        <is>
          <t>Disponivel</t>
        </is>
      </c>
      <c r="J35" s="19" t="inlineStr"/>
    </row>
    <row r="36">
      <c r="A36" s="6" t="inlineStr">
        <is>
          <t>Karitel</t>
        </is>
      </c>
      <c r="B36" s="5" t="inlineStr">
        <is>
          <t>B2</t>
        </is>
      </c>
      <c r="C36" s="5" t="inlineStr">
        <is>
          <t>Módulo 02</t>
        </is>
      </c>
      <c r="D36" s="5" t="inlineStr">
        <is>
          <t>Kar</t>
        </is>
      </c>
      <c r="E36" s="15" t="n">
        <v>650</v>
      </c>
      <c r="F36" s="7" t="inlineStr">
        <is>
          <t>SIM</t>
        </is>
      </c>
      <c r="G36" s="16">
        <f>IF(OR($E36="",$F36=""),"",IF(UPPER($F36)="SIM",$E36*FATOR_HID,0))</f>
        <v/>
      </c>
      <c r="H36" s="33" t="n">
        <v>184</v>
      </c>
      <c r="I36" s="7" t="inlineStr">
        <is>
          <t>Disponivel</t>
        </is>
      </c>
      <c r="J36" s="19" t="inlineStr"/>
    </row>
    <row r="37">
      <c r="A37" s="6" t="inlineStr">
        <is>
          <t>Karitel</t>
        </is>
      </c>
      <c r="B37" s="5" t="inlineStr">
        <is>
          <t>B3</t>
        </is>
      </c>
      <c r="C37" s="5" t="inlineStr">
        <is>
          <t>Módulo 02</t>
        </is>
      </c>
      <c r="D37" s="5" t="inlineStr">
        <is>
          <t>Kar</t>
        </is>
      </c>
      <c r="E37" s="15" t="n">
        <v>650</v>
      </c>
      <c r="F37" s="7" t="inlineStr">
        <is>
          <t>SIM</t>
        </is>
      </c>
      <c r="G37" s="16">
        <f>IF(OR($E37="",$F37=""),"",IF(UPPER($F37)="SIM",$E37*FATOR_HID,0))</f>
        <v/>
      </c>
      <c r="H37" s="33" t="n">
        <v>184</v>
      </c>
      <c r="I37" s="7" t="inlineStr">
        <is>
          <t>Disponivel</t>
        </is>
      </c>
      <c r="J37" s="19" t="inlineStr"/>
    </row>
    <row r="38">
      <c r="A38" s="6" t="inlineStr">
        <is>
          <t>Karitel</t>
        </is>
      </c>
      <c r="B38" s="5" t="inlineStr">
        <is>
          <t>B4</t>
        </is>
      </c>
      <c r="C38" s="5" t="inlineStr">
        <is>
          <t>Módulo 02</t>
        </is>
      </c>
      <c r="D38" s="5" t="inlineStr">
        <is>
          <t>Kar</t>
        </is>
      </c>
      <c r="E38" s="15" t="n">
        <v>650</v>
      </c>
      <c r="F38" s="7" t="inlineStr">
        <is>
          <t>SIM</t>
        </is>
      </c>
      <c r="G38" s="16">
        <f>IF(OR($E38="",$F38=""),"",IF(UPPER($F38)="SIM",$E38*FATOR_HID,0))</f>
        <v/>
      </c>
      <c r="H38" s="33" t="n">
        <v>184</v>
      </c>
      <c r="I38" s="7" t="inlineStr">
        <is>
          <t>Disponivel</t>
        </is>
      </c>
      <c r="J38" s="19" t="inlineStr"/>
    </row>
    <row r="39">
      <c r="A39" s="6" t="inlineStr">
        <is>
          <t>Karitel</t>
        </is>
      </c>
      <c r="B39" s="5" t="inlineStr">
        <is>
          <t>B5</t>
        </is>
      </c>
      <c r="C39" s="5" t="inlineStr">
        <is>
          <t>Módulo 02</t>
        </is>
      </c>
      <c r="D39" s="5" t="inlineStr">
        <is>
          <t>Kar</t>
        </is>
      </c>
      <c r="E39" s="15" t="n">
        <v>650</v>
      </c>
      <c r="F39" s="7" t="inlineStr">
        <is>
          <t>SIM</t>
        </is>
      </c>
      <c r="G39" s="16">
        <f>IF(OR($E39="",$F39=""),"",IF(UPPER($F39)="SIM",$E39*FATOR_HID,0))</f>
        <v/>
      </c>
      <c r="H39" s="33" t="n">
        <v>184</v>
      </c>
      <c r="I39" s="7" t="inlineStr">
        <is>
          <t>Disponivel</t>
        </is>
      </c>
      <c r="J39" s="19" t="inlineStr"/>
    </row>
    <row r="40">
      <c r="A40" s="6" t="inlineStr">
        <is>
          <t>Karitel</t>
        </is>
      </c>
      <c r="B40" s="5" t="inlineStr">
        <is>
          <t>B6</t>
        </is>
      </c>
      <c r="C40" s="5" t="inlineStr">
        <is>
          <t>Módulo 02</t>
        </is>
      </c>
      <c r="D40" s="5" t="inlineStr">
        <is>
          <t>Kar</t>
        </is>
      </c>
      <c r="E40" s="15" t="n">
        <v>650</v>
      </c>
      <c r="F40" s="7" t="inlineStr">
        <is>
          <t>SIM</t>
        </is>
      </c>
      <c r="G40" s="16">
        <f>IF(OR($E40="",$F40=""),"",IF(UPPER($F40)="SIM",$E40*FATOR_HID,0))</f>
        <v/>
      </c>
      <c r="H40" s="33" t="n">
        <v>184</v>
      </c>
      <c r="I40" s="7" t="inlineStr">
        <is>
          <t>Disponivel</t>
        </is>
      </c>
      <c r="J40" s="19" t="inlineStr"/>
    </row>
    <row r="41">
      <c r="A41" s="6" t="inlineStr">
        <is>
          <t>Karitel</t>
        </is>
      </c>
      <c r="B41" s="5" t="inlineStr">
        <is>
          <t>B7</t>
        </is>
      </c>
      <c r="C41" s="5" t="inlineStr">
        <is>
          <t>Módulo 02</t>
        </is>
      </c>
      <c r="D41" s="5" t="inlineStr">
        <is>
          <t>Kar</t>
        </is>
      </c>
      <c r="E41" s="15" t="n">
        <v>650</v>
      </c>
      <c r="F41" s="7" t="inlineStr">
        <is>
          <t>SIM</t>
        </is>
      </c>
      <c r="G41" s="16">
        <f>IF(OR($E41="",$F41=""),"",IF(UPPER($F41)="SIM",$E41*FATOR_HID,0))</f>
        <v/>
      </c>
      <c r="H41" s="33" t="n">
        <v>184</v>
      </c>
      <c r="I41" s="7" t="inlineStr">
        <is>
          <t>Disponivel</t>
        </is>
      </c>
      <c r="J41" s="19" t="inlineStr"/>
    </row>
    <row r="42">
      <c r="A42" s="6" t="inlineStr">
        <is>
          <t>Karitel</t>
        </is>
      </c>
      <c r="B42" s="5" t="inlineStr">
        <is>
          <t>B8</t>
        </is>
      </c>
      <c r="C42" s="5" t="inlineStr">
        <is>
          <t>Módulo 02</t>
        </is>
      </c>
      <c r="D42" s="5" t="inlineStr">
        <is>
          <t>Kar</t>
        </is>
      </c>
      <c r="E42" s="15" t="n">
        <v>650</v>
      </c>
      <c r="F42" s="7" t="inlineStr">
        <is>
          <t>SIM</t>
        </is>
      </c>
      <c r="G42" s="16">
        <f>IF(OR($E42="",$F42=""),"",IF(UPPER($F42)="SIM",$E42*FATOR_HID,0))</f>
        <v/>
      </c>
      <c r="H42" s="33" t="n">
        <v>184</v>
      </c>
      <c r="I42" s="7" t="inlineStr">
        <is>
          <t>Disponivel</t>
        </is>
      </c>
      <c r="J42" s="19" t="inlineStr"/>
    </row>
    <row r="43">
      <c r="A43" s="6" t="inlineStr">
        <is>
          <t>Karitel</t>
        </is>
      </c>
      <c r="B43" s="5" t="inlineStr">
        <is>
          <t>B9</t>
        </is>
      </c>
      <c r="C43" s="5" t="inlineStr">
        <is>
          <t>Módulo 02</t>
        </is>
      </c>
      <c r="D43" s="5" t="inlineStr">
        <is>
          <t>Kar</t>
        </is>
      </c>
      <c r="E43" s="15" t="n">
        <v>650</v>
      </c>
      <c r="F43" s="7" t="inlineStr">
        <is>
          <t>SIM</t>
        </is>
      </c>
      <c r="G43" s="16">
        <f>IF(OR($E43="",$F43=""),"",IF(UPPER($F43)="SIM",$E43*FATOR_HID,0))</f>
        <v/>
      </c>
      <c r="H43" s="33" t="n">
        <v>184</v>
      </c>
      <c r="I43" s="7" t="inlineStr">
        <is>
          <t>Disponivel</t>
        </is>
      </c>
      <c r="J43" s="19" t="inlineStr"/>
    </row>
    <row r="44">
      <c r="A44" s="6" t="inlineStr">
        <is>
          <t>Karitel</t>
        </is>
      </c>
      <c r="B44" s="5" t="inlineStr">
        <is>
          <t>B10</t>
        </is>
      </c>
      <c r="C44" s="5" t="inlineStr">
        <is>
          <t>Módulo 02</t>
        </is>
      </c>
      <c r="D44" s="5" t="inlineStr">
        <is>
          <t>Kar</t>
        </is>
      </c>
      <c r="E44" s="15" t="n">
        <v>650</v>
      </c>
      <c r="F44" s="7" t="inlineStr">
        <is>
          <t>SIM</t>
        </is>
      </c>
      <c r="G44" s="16">
        <f>IF(OR($E44="",$F44=""),"",IF(UPPER($F44)="SIM",$E44*FATOR_HID,0))</f>
        <v/>
      </c>
      <c r="H44" s="33" t="n">
        <v>184</v>
      </c>
      <c r="I44" s="7" t="inlineStr">
        <is>
          <t>Disponivel</t>
        </is>
      </c>
      <c r="J44" s="19" t="inlineStr"/>
    </row>
    <row r="45">
      <c r="A45" s="6" t="inlineStr">
        <is>
          <t>Primavera 03</t>
        </is>
      </c>
      <c r="B45" s="5" t="inlineStr">
        <is>
          <t>B1</t>
        </is>
      </c>
      <c r="C45" s="5" t="inlineStr">
        <is>
          <t>Módulo 01</t>
        </is>
      </c>
      <c r="D45" s="5" t="inlineStr">
        <is>
          <t>Kar</t>
        </is>
      </c>
      <c r="E45" s="15" t="n">
        <v>900</v>
      </c>
      <c r="F45" s="7" t="inlineStr">
        <is>
          <t>SIM</t>
        </is>
      </c>
      <c r="G45" s="16">
        <f>IF(OR($E45="",$F45=""),"",IF(UPPER($F45)="SIM",$E45*FATOR_HID,0))</f>
        <v/>
      </c>
      <c r="H45" s="33" t="n">
        <v>147</v>
      </c>
      <c r="I45" s="7" t="inlineStr">
        <is>
          <t>Disponivel</t>
        </is>
      </c>
      <c r="J45" s="19" t="inlineStr"/>
    </row>
    <row r="46">
      <c r="A46" s="6" t="inlineStr">
        <is>
          <t>Primavera 03</t>
        </is>
      </c>
      <c r="B46" s="5" t="inlineStr">
        <is>
          <t>B2</t>
        </is>
      </c>
      <c r="C46" s="5" t="inlineStr">
        <is>
          <t>Módulo 01</t>
        </is>
      </c>
      <c r="D46" s="5" t="inlineStr">
        <is>
          <t>Kar</t>
        </is>
      </c>
      <c r="E46" s="15" t="n">
        <v>900</v>
      </c>
      <c r="F46" s="7" t="inlineStr">
        <is>
          <t>SIM</t>
        </is>
      </c>
      <c r="G46" s="16">
        <f>IF(OR($E46="",$F46=""),"",IF(UPPER($F46)="SIM",$E46*FATOR_HID,0))</f>
        <v/>
      </c>
      <c r="H46" s="33" t="n">
        <v>147</v>
      </c>
      <c r="I46" s="7" t="inlineStr">
        <is>
          <t>Disponivel</t>
        </is>
      </c>
      <c r="J46" s="19" t="inlineStr"/>
    </row>
    <row r="47">
      <c r="A47" s="6" t="inlineStr">
        <is>
          <t>Primavera 03</t>
        </is>
      </c>
      <c r="B47" s="5" t="inlineStr">
        <is>
          <t>B3</t>
        </is>
      </c>
      <c r="C47" s="5" t="inlineStr">
        <is>
          <t>Módulo 01</t>
        </is>
      </c>
      <c r="D47" s="5" t="inlineStr">
        <is>
          <t>Kar</t>
        </is>
      </c>
      <c r="E47" s="15" t="n">
        <v>900</v>
      </c>
      <c r="F47" s="7" t="inlineStr">
        <is>
          <t>SIM</t>
        </is>
      </c>
      <c r="G47" s="16">
        <f>IF(OR($E47="",$F47=""),"",IF(UPPER($F47)="SIM",$E47*FATOR_HID,0))</f>
        <v/>
      </c>
      <c r="H47" s="33" t="n">
        <v>147</v>
      </c>
      <c r="I47" s="7" t="inlineStr">
        <is>
          <t>Disponivel</t>
        </is>
      </c>
      <c r="J47" s="19" t="inlineStr"/>
    </row>
    <row r="48">
      <c r="A48" s="6" t="inlineStr">
        <is>
          <t>Primavera 03</t>
        </is>
      </c>
      <c r="B48" s="5" t="inlineStr">
        <is>
          <t>B4</t>
        </is>
      </c>
      <c r="C48" s="5" t="inlineStr">
        <is>
          <t>Módulo 01</t>
        </is>
      </c>
      <c r="D48" s="5" t="inlineStr">
        <is>
          <t>Kar</t>
        </is>
      </c>
      <c r="E48" s="15" t="n">
        <v>900</v>
      </c>
      <c r="F48" s="7" t="inlineStr">
        <is>
          <t>SIM</t>
        </is>
      </c>
      <c r="G48" s="16">
        <f>IF(OR($E48="",$F48=""),"",IF(UPPER($F48)="SIM",$E48*FATOR_HID,0))</f>
        <v/>
      </c>
      <c r="H48" s="33" t="n">
        <v>147</v>
      </c>
      <c r="I48" s="7" t="inlineStr">
        <is>
          <t>Disponivel</t>
        </is>
      </c>
      <c r="J48" s="19" t="inlineStr"/>
    </row>
    <row r="49">
      <c r="A49" s="6" t="inlineStr">
        <is>
          <t>Primavera 03</t>
        </is>
      </c>
      <c r="B49" s="5" t="inlineStr">
        <is>
          <t>B5</t>
        </is>
      </c>
      <c r="C49" s="5" t="inlineStr">
        <is>
          <t>Módulo 01</t>
        </is>
      </c>
      <c r="D49" s="5" t="inlineStr">
        <is>
          <t>Kar</t>
        </is>
      </c>
      <c r="E49" s="15" t="n">
        <v>900</v>
      </c>
      <c r="F49" s="7" t="inlineStr">
        <is>
          <t>SIM</t>
        </is>
      </c>
      <c r="G49" s="16">
        <f>IF(OR($E49="",$F49=""),"",IF(UPPER($F49)="SIM",$E49*FATOR_HID,0))</f>
        <v/>
      </c>
      <c r="H49" s="33" t="n">
        <v>147</v>
      </c>
      <c r="I49" s="7" t="inlineStr">
        <is>
          <t>Disponivel</t>
        </is>
      </c>
      <c r="J49" s="19" t="inlineStr"/>
    </row>
    <row r="50">
      <c r="A50" s="6" t="inlineStr">
        <is>
          <t>Primavera 03</t>
        </is>
      </c>
      <c r="B50" s="5" t="inlineStr">
        <is>
          <t>B6</t>
        </is>
      </c>
      <c r="C50" s="5" t="inlineStr">
        <is>
          <t>Módulo 01</t>
        </is>
      </c>
      <c r="D50" s="5" t="inlineStr">
        <is>
          <t>Kar</t>
        </is>
      </c>
      <c r="E50" s="15" t="n">
        <v>900</v>
      </c>
      <c r="F50" s="7" t="inlineStr">
        <is>
          <t>SIM</t>
        </is>
      </c>
      <c r="G50" s="16">
        <f>IF(OR($E50="",$F50=""),"",IF(UPPER($F50)="SIM",$E50*FATOR_HID,0))</f>
        <v/>
      </c>
      <c r="H50" s="33" t="n">
        <v>147</v>
      </c>
      <c r="I50" s="7" t="inlineStr">
        <is>
          <t>Disponivel</t>
        </is>
      </c>
      <c r="J50" s="19" t="inlineStr"/>
    </row>
    <row r="51">
      <c r="A51" s="6" t="inlineStr">
        <is>
          <t>Primavera 03</t>
        </is>
      </c>
      <c r="B51" s="5" t="inlineStr">
        <is>
          <t>B7</t>
        </is>
      </c>
      <c r="C51" s="5" t="inlineStr">
        <is>
          <t>Módulo 01</t>
        </is>
      </c>
      <c r="D51" s="5" t="inlineStr">
        <is>
          <t>Kar</t>
        </is>
      </c>
      <c r="E51" s="15" t="n">
        <v>900</v>
      </c>
      <c r="F51" s="7" t="inlineStr">
        <is>
          <t>SIM</t>
        </is>
      </c>
      <c r="G51" s="16">
        <f>IF(OR($E51="",$F51=""),"",IF(UPPER($F51)="SIM",$E51*FATOR_HID,0))</f>
        <v/>
      </c>
      <c r="H51" s="33" t="n">
        <v>147</v>
      </c>
      <c r="I51" s="7" t="inlineStr">
        <is>
          <t>Disponivel</t>
        </is>
      </c>
      <c r="J51" s="19" t="inlineStr"/>
    </row>
    <row r="52">
      <c r="A52" s="6" t="inlineStr">
        <is>
          <t>Unificada 4/5</t>
        </is>
      </c>
      <c r="B52" s="5" t="inlineStr">
        <is>
          <t>B2</t>
        </is>
      </c>
      <c r="C52" s="5" t="inlineStr">
        <is>
          <t>Módulo 01</t>
        </is>
      </c>
      <c r="D52" s="5" t="inlineStr">
        <is>
          <t>Kar</t>
        </is>
      </c>
      <c r="E52" s="15" t="n">
        <v>930</v>
      </c>
      <c r="F52" s="7" t="inlineStr">
        <is>
          <t>SIM</t>
        </is>
      </c>
      <c r="G52" s="16">
        <f>IF(OR($E52="",$F52=""),"",IF(UPPER($F52)="SIM",$E52*FATOR_HID,0))</f>
        <v/>
      </c>
      <c r="H52" s="33" t="n">
        <v>368</v>
      </c>
      <c r="I52" s="7" t="inlineStr">
        <is>
          <t>Disponivel</t>
        </is>
      </c>
      <c r="J52" s="19" t="inlineStr"/>
    </row>
    <row r="53">
      <c r="A53" s="6" t="inlineStr">
        <is>
          <t>Unificada 4/5</t>
        </is>
      </c>
      <c r="B53" s="5" t="inlineStr">
        <is>
          <t>B4</t>
        </is>
      </c>
      <c r="C53" s="5" t="inlineStr">
        <is>
          <t>Módulo 01</t>
        </is>
      </c>
      <c r="D53" s="5" t="inlineStr">
        <is>
          <t>Kar</t>
        </is>
      </c>
      <c r="E53" s="15" t="n">
        <v>930</v>
      </c>
      <c r="F53" s="7" t="inlineStr">
        <is>
          <t>SIM</t>
        </is>
      </c>
      <c r="G53" s="16">
        <f>IF(OR($E53="",$F53=""),"",IF(UPPER($F53)="SIM",$E53*FATOR_HID,0))</f>
        <v/>
      </c>
      <c r="H53" s="33" t="n">
        <v>368</v>
      </c>
      <c r="I53" s="7" t="inlineStr">
        <is>
          <t>Disponivel</t>
        </is>
      </c>
      <c r="J53" s="19" t="inlineStr"/>
    </row>
    <row r="54">
      <c r="A54" s="6" t="inlineStr">
        <is>
          <t>Unificada 4/5</t>
        </is>
      </c>
      <c r="B54" s="5" t="inlineStr">
        <is>
          <t>B6</t>
        </is>
      </c>
      <c r="C54" s="5" t="inlineStr">
        <is>
          <t>Módulo 01</t>
        </is>
      </c>
      <c r="D54" s="5" t="inlineStr">
        <is>
          <t>Kar</t>
        </is>
      </c>
      <c r="E54" s="15" t="n">
        <v>930</v>
      </c>
      <c r="F54" s="7" t="inlineStr">
        <is>
          <t>SIM</t>
        </is>
      </c>
      <c r="G54" s="16">
        <f>IF(OR($E54="",$F54=""),"",IF(UPPER($F54)="SIM",$E54*FATOR_HID,0))</f>
        <v/>
      </c>
      <c r="H54" s="33" t="n">
        <v>368</v>
      </c>
      <c r="I54" s="7" t="inlineStr">
        <is>
          <t>Disponivel</t>
        </is>
      </c>
      <c r="J54" s="19" t="inlineStr"/>
    </row>
    <row r="55">
      <c r="A55" s="6" t="inlineStr">
        <is>
          <t>Unificada 4/5</t>
        </is>
      </c>
      <c r="B55" s="5" t="inlineStr">
        <is>
          <t>B8</t>
        </is>
      </c>
      <c r="C55" s="5" t="inlineStr">
        <is>
          <t>Módulo 01</t>
        </is>
      </c>
      <c r="D55" s="5" t="inlineStr">
        <is>
          <t>Kar</t>
        </is>
      </c>
      <c r="E55" s="15" t="n">
        <v>930</v>
      </c>
      <c r="F55" s="7" t="inlineStr">
        <is>
          <t>SIM</t>
        </is>
      </c>
      <c r="G55" s="16">
        <f>IF(OR($E55="",$F55=""),"",IF(UPPER($F55)="SIM",$E55*FATOR_HID,0))</f>
        <v/>
      </c>
      <c r="H55" s="33" t="n">
        <v>368</v>
      </c>
      <c r="I55" s="7" t="inlineStr">
        <is>
          <t>Disponivel</t>
        </is>
      </c>
      <c r="J55" s="19" t="inlineStr"/>
    </row>
    <row r="56">
      <c r="A56" s="6" t="inlineStr">
        <is>
          <t>Unificada 4/5</t>
        </is>
      </c>
      <c r="B56" s="5" t="inlineStr">
        <is>
          <t>B10</t>
        </is>
      </c>
      <c r="C56" s="5" t="inlineStr">
        <is>
          <t>Módulo 01</t>
        </is>
      </c>
      <c r="D56" s="5" t="inlineStr">
        <is>
          <t>Kar</t>
        </is>
      </c>
      <c r="E56" s="15" t="n">
        <v>930</v>
      </c>
      <c r="F56" s="7" t="inlineStr">
        <is>
          <t>SIM</t>
        </is>
      </c>
      <c r="G56" s="16">
        <f>IF(OR($E56="",$F56=""),"",IF(UPPER($F56)="SIM",$E56*FATOR_HID,0))</f>
        <v/>
      </c>
      <c r="H56" s="33" t="n">
        <v>368</v>
      </c>
      <c r="I56" s="7" t="inlineStr">
        <is>
          <t>Disponivel</t>
        </is>
      </c>
      <c r="J56" s="19" t="inlineStr"/>
    </row>
    <row r="57">
      <c r="A57" s="6" t="inlineStr">
        <is>
          <t>Unificada 4/5</t>
        </is>
      </c>
      <c r="B57" s="5" t="inlineStr">
        <is>
          <t>B12</t>
        </is>
      </c>
      <c r="C57" s="5" t="inlineStr">
        <is>
          <t>Módulo 01</t>
        </is>
      </c>
      <c r="D57" s="5" t="inlineStr">
        <is>
          <t>Kar</t>
        </is>
      </c>
      <c r="E57" s="15" t="n">
        <v>930</v>
      </c>
      <c r="F57" s="7" t="inlineStr">
        <is>
          <t>SIM</t>
        </is>
      </c>
      <c r="G57" s="16">
        <f>IF(OR($E57="",$F57=""),"",IF(UPPER($F57)="SIM",$E57*FATOR_HID,0))</f>
        <v/>
      </c>
      <c r="H57" s="33" t="n">
        <v>368</v>
      </c>
      <c r="I57" s="7" t="inlineStr">
        <is>
          <t>Disponivel</t>
        </is>
      </c>
      <c r="J57" s="19" t="inlineStr"/>
    </row>
    <row r="58">
      <c r="A58" s="6" t="inlineStr">
        <is>
          <t>Unificada 4/5</t>
        </is>
      </c>
      <c r="B58" s="5" t="inlineStr">
        <is>
          <t>B14</t>
        </is>
      </c>
      <c r="C58" s="5" t="inlineStr">
        <is>
          <t>Módulo 01</t>
        </is>
      </c>
      <c r="D58" s="5" t="inlineStr">
        <is>
          <t>Kar</t>
        </is>
      </c>
      <c r="E58" s="15" t="n">
        <v>930</v>
      </c>
      <c r="F58" s="7" t="inlineStr">
        <is>
          <t>SIM</t>
        </is>
      </c>
      <c r="G58" s="16">
        <f>IF(OR($E58="",$F58=""),"",IF(UPPER($F58)="SIM",$E58*FATOR_HID,0))</f>
        <v/>
      </c>
      <c r="H58" s="33" t="n">
        <v>368</v>
      </c>
      <c r="I58" s="7" t="inlineStr">
        <is>
          <t>Disponivel</t>
        </is>
      </c>
      <c r="J58" s="19" t="inlineStr"/>
    </row>
    <row r="59">
      <c r="A59" s="6" t="inlineStr">
        <is>
          <t>Unificada 4/5</t>
        </is>
      </c>
      <c r="B59" s="5" t="inlineStr">
        <is>
          <t>B16</t>
        </is>
      </c>
      <c r="C59" s="5" t="inlineStr">
        <is>
          <t>Módulo 01</t>
        </is>
      </c>
      <c r="D59" s="5" t="inlineStr">
        <is>
          <t>Kar</t>
        </is>
      </c>
      <c r="E59" s="15" t="n">
        <v>930</v>
      </c>
      <c r="F59" s="7" t="inlineStr">
        <is>
          <t>SIM</t>
        </is>
      </c>
      <c r="G59" s="16">
        <f>IF(OR($E59="",$F59=""),"",IF(UPPER($F59)="SIM",$E59*FATOR_HID,0))</f>
        <v/>
      </c>
      <c r="H59" s="33" t="n">
        <v>368</v>
      </c>
      <c r="I59" s="7" t="inlineStr">
        <is>
          <t>Disponivel</t>
        </is>
      </c>
      <c r="J59" s="19" t="inlineStr"/>
    </row>
    <row r="60">
      <c r="A60" s="6" t="inlineStr">
        <is>
          <t>Unificada 4/5</t>
        </is>
      </c>
      <c r="B60" s="5" t="inlineStr">
        <is>
          <t>B18</t>
        </is>
      </c>
      <c r="C60" s="5" t="inlineStr">
        <is>
          <t>Módulo 01</t>
        </is>
      </c>
      <c r="D60" s="5" t="inlineStr">
        <is>
          <t>Kar</t>
        </is>
      </c>
      <c r="E60" s="15" t="n">
        <v>930</v>
      </c>
      <c r="F60" s="7" t="inlineStr">
        <is>
          <t>SIM</t>
        </is>
      </c>
      <c r="G60" s="16">
        <f>IF(OR($E60="",$F60=""),"",IF(UPPER($F60)="SIM",$E60*FATOR_HID,0))</f>
        <v/>
      </c>
      <c r="H60" s="33" t="n">
        <v>368</v>
      </c>
      <c r="I60" s="7" t="inlineStr">
        <is>
          <t>Disponivel</t>
        </is>
      </c>
      <c r="J60" s="19" t="inlineStr"/>
    </row>
    <row r="61">
      <c r="A61" s="6" t="inlineStr">
        <is>
          <t>Unificada 4/5</t>
        </is>
      </c>
      <c r="B61" s="5" t="inlineStr">
        <is>
          <t>B20</t>
        </is>
      </c>
      <c r="C61" s="5" t="inlineStr">
        <is>
          <t>Módulo 01</t>
        </is>
      </c>
      <c r="D61" s="5" t="inlineStr">
        <is>
          <t>Kar</t>
        </is>
      </c>
      <c r="E61" s="15" t="n">
        <v>930</v>
      </c>
      <c r="F61" s="7" t="inlineStr">
        <is>
          <t>SIM</t>
        </is>
      </c>
      <c r="G61" s="16">
        <f>IF(OR($E61="",$F61=""),"",IF(UPPER($F61)="SIM",$E61*FATOR_HID,0))</f>
        <v/>
      </c>
      <c r="H61" s="33" t="n">
        <v>368</v>
      </c>
      <c r="I61" s="7" t="inlineStr">
        <is>
          <t>Disponivel</t>
        </is>
      </c>
      <c r="J61" s="19" t="inlineStr"/>
    </row>
    <row r="62">
      <c r="A62" s="6" t="inlineStr">
        <is>
          <t>Unificada 4/5</t>
        </is>
      </c>
      <c r="B62" s="5" t="inlineStr">
        <is>
          <t>B22</t>
        </is>
      </c>
      <c r="C62" s="5" t="inlineStr">
        <is>
          <t>Módulo 01</t>
        </is>
      </c>
      <c r="D62" s="5" t="inlineStr">
        <is>
          <t>Kar</t>
        </is>
      </c>
      <c r="E62" s="15" t="n">
        <v>930</v>
      </c>
      <c r="F62" s="7" t="inlineStr">
        <is>
          <t>SIM</t>
        </is>
      </c>
      <c r="G62" s="16">
        <f>IF(OR($E62="",$F62=""),"",IF(UPPER($F62)="SIM",$E62*FATOR_HID,0))</f>
        <v/>
      </c>
      <c r="H62" s="33" t="n">
        <v>368</v>
      </c>
      <c r="I62" s="7" t="inlineStr">
        <is>
          <t>Disponivel</t>
        </is>
      </c>
      <c r="J62" s="19" t="inlineStr"/>
    </row>
    <row r="63">
      <c r="A63" s="6" t="inlineStr">
        <is>
          <t>Unificada 4/5</t>
        </is>
      </c>
      <c r="B63" s="5" t="inlineStr">
        <is>
          <t>B24</t>
        </is>
      </c>
      <c r="C63" s="5" t="inlineStr">
        <is>
          <t>Módulo 01</t>
        </is>
      </c>
      <c r="D63" s="5" t="inlineStr">
        <is>
          <t>Kar</t>
        </is>
      </c>
      <c r="E63" s="15" t="n">
        <v>930</v>
      </c>
      <c r="F63" s="7" t="inlineStr">
        <is>
          <t>SIM</t>
        </is>
      </c>
      <c r="G63" s="16">
        <f>IF(OR($E63="",$F63=""),"",IF(UPPER($F63)="SIM",$E63*FATOR_HID,0))</f>
        <v/>
      </c>
      <c r="H63" s="33" t="n">
        <v>368</v>
      </c>
      <c r="I63" s="7" t="inlineStr">
        <is>
          <t>Disponivel</t>
        </is>
      </c>
      <c r="J63" s="19" t="inlineStr"/>
    </row>
    <row r="64">
      <c r="A64" s="6" t="inlineStr">
        <is>
          <t>Unificada 4/5</t>
        </is>
      </c>
      <c r="B64" s="5" t="inlineStr">
        <is>
          <t>B26</t>
        </is>
      </c>
      <c r="C64" s="5" t="inlineStr">
        <is>
          <t>Módulo 01</t>
        </is>
      </c>
      <c r="D64" s="5" t="inlineStr">
        <is>
          <t>Kar</t>
        </is>
      </c>
      <c r="E64" s="15" t="n">
        <v>930</v>
      </c>
      <c r="F64" s="7" t="inlineStr">
        <is>
          <t>SIM</t>
        </is>
      </c>
      <c r="G64" s="16">
        <f>IF(OR($E64="",$F64=""),"",IF(UPPER($F64)="SIM",$E64*FATOR_HID,0))</f>
        <v/>
      </c>
      <c r="H64" s="33" t="n">
        <v>368</v>
      </c>
      <c r="I64" s="7" t="inlineStr">
        <is>
          <t>Disponivel</t>
        </is>
      </c>
      <c r="J64" s="19" t="inlineStr"/>
    </row>
    <row r="65">
      <c r="A65" s="6" t="inlineStr">
        <is>
          <t>Unificada 4/5</t>
        </is>
      </c>
      <c r="B65" s="5" t="inlineStr">
        <is>
          <t>B28</t>
        </is>
      </c>
      <c r="C65" s="5" t="inlineStr">
        <is>
          <t>Módulo 01</t>
        </is>
      </c>
      <c r="D65" s="5" t="inlineStr">
        <is>
          <t>Kar</t>
        </is>
      </c>
      <c r="E65" s="15" t="n">
        <v>930</v>
      </c>
      <c r="F65" s="7" t="inlineStr">
        <is>
          <t>SIM</t>
        </is>
      </c>
      <c r="G65" s="16">
        <f>IF(OR($E65="",$F65=""),"",IF(UPPER($F65)="SIM",$E65*FATOR_HID,0))</f>
        <v/>
      </c>
      <c r="H65" s="33" t="n">
        <v>368</v>
      </c>
      <c r="I65" s="7" t="inlineStr">
        <is>
          <t>Disponivel</t>
        </is>
      </c>
      <c r="J65" s="19" t="inlineStr"/>
    </row>
    <row r="66">
      <c r="A66" s="6" t="inlineStr">
        <is>
          <t>Elevatória G e K</t>
        </is>
      </c>
      <c r="B66" s="5" t="inlineStr">
        <is>
          <t>B1</t>
        </is>
      </c>
      <c r="C66" s="5" t="inlineStr">
        <is>
          <t>Módulo 02</t>
        </is>
      </c>
      <c r="D66" s="5" t="inlineStr">
        <is>
          <t>Kar</t>
        </is>
      </c>
      <c r="E66" s="15" t="n">
        <v>542</v>
      </c>
      <c r="F66" s="7" t="inlineStr">
        <is>
          <t>SIM</t>
        </is>
      </c>
      <c r="G66" s="16">
        <f>IF(OR($E66="",$F66=""),"",IF(UPPER($F66)="SIM",$E66*FATOR_HID,0))</f>
        <v/>
      </c>
      <c r="H66" s="33" t="n">
        <v>184</v>
      </c>
      <c r="I66" s="7" t="inlineStr">
        <is>
          <t>Disponivel</t>
        </is>
      </c>
      <c r="J66" s="19" t="inlineStr"/>
    </row>
    <row r="67">
      <c r="A67" s="6" t="inlineStr">
        <is>
          <t>Elevatória G e K</t>
        </is>
      </c>
      <c r="B67" s="5" t="inlineStr">
        <is>
          <t>B2</t>
        </is>
      </c>
      <c r="C67" s="5" t="inlineStr">
        <is>
          <t>Módulo 02</t>
        </is>
      </c>
      <c r="D67" s="5" t="inlineStr">
        <is>
          <t>Kar</t>
        </is>
      </c>
      <c r="E67" s="15" t="n">
        <v>542</v>
      </c>
      <c r="F67" s="7" t="inlineStr">
        <is>
          <t>SIM</t>
        </is>
      </c>
      <c r="G67" s="16">
        <f>IF(OR($E67="",$F67=""),"",IF(UPPER($F67)="SIM",$E67*FATOR_HID,0))</f>
        <v/>
      </c>
      <c r="H67" s="33" t="n">
        <v>184</v>
      </c>
      <c r="I67" s="7" t="inlineStr">
        <is>
          <t>Disponivel</t>
        </is>
      </c>
      <c r="J67" s="19" t="inlineStr"/>
    </row>
    <row r="68">
      <c r="A68" s="6" t="inlineStr">
        <is>
          <t>Elevatória G e K</t>
        </is>
      </c>
      <c r="B68" s="5" t="inlineStr">
        <is>
          <t>B3</t>
        </is>
      </c>
      <c r="C68" s="5" t="inlineStr">
        <is>
          <t>Módulo 02</t>
        </is>
      </c>
      <c r="D68" s="5" t="inlineStr">
        <is>
          <t>Kar</t>
        </is>
      </c>
      <c r="E68" s="15" t="n">
        <v>542</v>
      </c>
      <c r="F68" s="7" t="inlineStr">
        <is>
          <t>SIM</t>
        </is>
      </c>
      <c r="G68" s="16">
        <f>IF(OR($E68="",$F68=""),"",IF(UPPER($F68)="SIM",$E68*FATOR_HID,0))</f>
        <v/>
      </c>
      <c r="H68" s="33" t="n">
        <v>184</v>
      </c>
      <c r="I68" s="7" t="inlineStr">
        <is>
          <t>Disponivel</t>
        </is>
      </c>
      <c r="J68" s="19" t="inlineStr"/>
    </row>
    <row r="69">
      <c r="A69" s="6" t="inlineStr">
        <is>
          <t>Elevatória G e K</t>
        </is>
      </c>
      <c r="B69" s="5" t="inlineStr">
        <is>
          <t>B4</t>
        </is>
      </c>
      <c r="C69" s="5" t="inlineStr">
        <is>
          <t>Módulo 02</t>
        </is>
      </c>
      <c r="D69" s="5" t="inlineStr">
        <is>
          <t>Kar</t>
        </is>
      </c>
      <c r="E69" s="15" t="n">
        <v>542</v>
      </c>
      <c r="F69" s="7" t="inlineStr">
        <is>
          <t>SIM</t>
        </is>
      </c>
      <c r="G69" s="16">
        <f>IF(OR($E69="",$F69=""),"",IF(UPPER($F69)="SIM",$E69*FATOR_HID,0))</f>
        <v/>
      </c>
      <c r="H69" s="33" t="n">
        <v>184</v>
      </c>
      <c r="I69" s="7" t="inlineStr">
        <is>
          <t>Disponivel</t>
        </is>
      </c>
      <c r="J69" s="19" t="inlineStr"/>
    </row>
    <row r="70">
      <c r="A70" s="6" t="inlineStr">
        <is>
          <t>Elevatória G e K</t>
        </is>
      </c>
      <c r="B70" s="5" t="inlineStr">
        <is>
          <t>B5</t>
        </is>
      </c>
      <c r="C70" s="5" t="inlineStr">
        <is>
          <t>Módulo 02</t>
        </is>
      </c>
      <c r="D70" s="5" t="inlineStr">
        <is>
          <t>Kar</t>
        </is>
      </c>
      <c r="E70" s="15" t="n">
        <v>542</v>
      </c>
      <c r="F70" s="7" t="inlineStr">
        <is>
          <t>SIM</t>
        </is>
      </c>
      <c r="G70" s="16">
        <f>IF(OR($E70="",$F70=""),"",IF(UPPER($F70)="SIM",$E70*FATOR_HID,0))</f>
        <v/>
      </c>
      <c r="H70" s="33" t="n">
        <v>184</v>
      </c>
      <c r="I70" s="7" t="inlineStr">
        <is>
          <t>Disponivel</t>
        </is>
      </c>
      <c r="J70" s="19" t="inlineStr"/>
    </row>
    <row r="71">
      <c r="A71" s="6" t="inlineStr">
        <is>
          <t>Elevatória G e K</t>
        </is>
      </c>
      <c r="B71" s="5" t="inlineStr">
        <is>
          <t>B6</t>
        </is>
      </c>
      <c r="C71" s="5" t="inlineStr">
        <is>
          <t>Módulo 02</t>
        </is>
      </c>
      <c r="D71" s="5" t="inlineStr">
        <is>
          <t>Kar</t>
        </is>
      </c>
      <c r="E71" s="15" t="n">
        <v>542</v>
      </c>
      <c r="F71" s="7" t="inlineStr">
        <is>
          <t>SIM</t>
        </is>
      </c>
      <c r="G71" s="16">
        <f>IF(OR($E71="",$F71=""),"",IF(UPPER($F71)="SIM",$E71*FATOR_HID,0))</f>
        <v/>
      </c>
      <c r="H71" s="33" t="n">
        <v>184</v>
      </c>
      <c r="I71" s="7" t="inlineStr">
        <is>
          <t>Disponivel</t>
        </is>
      </c>
      <c r="J71" s="19" t="inlineStr"/>
    </row>
    <row r="72">
      <c r="A72" s="6" t="inlineStr">
        <is>
          <t>Elevatória G e K</t>
        </is>
      </c>
      <c r="B72" s="5" t="inlineStr">
        <is>
          <t>B7</t>
        </is>
      </c>
      <c r="C72" s="5" t="inlineStr">
        <is>
          <t>Módulo 02</t>
        </is>
      </c>
      <c r="D72" s="5" t="inlineStr">
        <is>
          <t>Kar</t>
        </is>
      </c>
      <c r="E72" s="15" t="n">
        <v>542</v>
      </c>
      <c r="F72" s="7" t="inlineStr">
        <is>
          <t>SIM</t>
        </is>
      </c>
      <c r="G72" s="16">
        <f>IF(OR($E72="",$F72=""),"",IF(UPPER($F72)="SIM",$E72*FATOR_HID,0))</f>
        <v/>
      </c>
      <c r="H72" s="33" t="n">
        <v>184</v>
      </c>
      <c r="I72" s="7" t="inlineStr">
        <is>
          <t>Disponivel</t>
        </is>
      </c>
      <c r="J72" s="19" t="inlineStr"/>
    </row>
    <row r="73">
      <c r="A73" s="6" t="inlineStr">
        <is>
          <t>Elevatória G e K</t>
        </is>
      </c>
      <c r="B73" s="5" t="inlineStr">
        <is>
          <t>B8</t>
        </is>
      </c>
      <c r="C73" s="5" t="inlineStr">
        <is>
          <t>Módulo 02</t>
        </is>
      </c>
      <c r="D73" s="5" t="inlineStr">
        <is>
          <t>Kar</t>
        </is>
      </c>
      <c r="E73" s="15" t="n">
        <v>542</v>
      </c>
      <c r="F73" s="7" t="inlineStr">
        <is>
          <t>SIM</t>
        </is>
      </c>
      <c r="G73" s="16">
        <f>IF(OR($E73="",$F73=""),"",IF(UPPER($F73)="SIM",$E73*FATOR_HID,0))</f>
        <v/>
      </c>
      <c r="H73" s="33" t="n">
        <v>184</v>
      </c>
      <c r="I73" s="7" t="inlineStr">
        <is>
          <t>Disponivel</t>
        </is>
      </c>
      <c r="J73" s="19" t="inlineStr"/>
    </row>
    <row r="74">
      <c r="A74" s="6" t="inlineStr">
        <is>
          <t>Elevatória G e K</t>
        </is>
      </c>
      <c r="B74" s="5" t="inlineStr">
        <is>
          <t>B9</t>
        </is>
      </c>
      <c r="C74" s="5" t="inlineStr">
        <is>
          <t>Módulo 02</t>
        </is>
      </c>
      <c r="D74" s="5" t="inlineStr">
        <is>
          <t>Kar</t>
        </is>
      </c>
      <c r="E74" s="15" t="n">
        <v>542</v>
      </c>
      <c r="F74" s="7" t="inlineStr">
        <is>
          <t>SIM</t>
        </is>
      </c>
      <c r="G74" s="16">
        <f>IF(OR($E74="",$F74=""),"",IF(UPPER($F74)="SIM",$E74*FATOR_HID,0))</f>
        <v/>
      </c>
      <c r="H74" s="33" t="n">
        <v>184</v>
      </c>
      <c r="I74" s="7" t="inlineStr">
        <is>
          <t>Disponivel</t>
        </is>
      </c>
      <c r="J74" s="19" t="inlineStr"/>
    </row>
    <row r="75">
      <c r="A75" s="6" t="inlineStr">
        <is>
          <t>Elevatória G e K</t>
        </is>
      </c>
      <c r="B75" s="5" t="inlineStr">
        <is>
          <t>B10</t>
        </is>
      </c>
      <c r="C75" s="5" t="inlineStr">
        <is>
          <t>Módulo 02</t>
        </is>
      </c>
      <c r="D75" s="5" t="inlineStr">
        <is>
          <t>Kar</t>
        </is>
      </c>
      <c r="E75" s="15" t="n">
        <v>542</v>
      </c>
      <c r="F75" s="7" t="inlineStr">
        <is>
          <t>SIM</t>
        </is>
      </c>
      <c r="G75" s="16">
        <f>IF(OR($E75="",$F75=""),"",IF(UPPER($F75)="SIM",$E75*FATOR_HID,0))</f>
        <v/>
      </c>
      <c r="H75" s="33" t="n">
        <v>184</v>
      </c>
      <c r="I75" s="7" t="inlineStr">
        <is>
          <t>Disponivel</t>
        </is>
      </c>
      <c r="J75" s="19" t="inlineStr"/>
    </row>
    <row r="76">
      <c r="A76" s="6" t="inlineStr">
        <is>
          <t>Elevatória G e K</t>
        </is>
      </c>
      <c r="B76" s="5" t="inlineStr">
        <is>
          <t>B11</t>
        </is>
      </c>
      <c r="C76" s="5" t="inlineStr">
        <is>
          <t>Módulo 02</t>
        </is>
      </c>
      <c r="D76" s="5" t="inlineStr">
        <is>
          <t>Kar</t>
        </is>
      </c>
      <c r="E76" s="15" t="n">
        <v>542</v>
      </c>
      <c r="F76" s="7" t="inlineStr">
        <is>
          <t>SIM</t>
        </is>
      </c>
      <c r="G76" s="16">
        <f>IF(OR($E76="",$F76=""),"",IF(UPPER($F76)="SIM",$E76*FATOR_HID,0))</f>
        <v/>
      </c>
      <c r="H76" s="33" t="n">
        <v>184</v>
      </c>
      <c r="I76" s="7" t="inlineStr">
        <is>
          <t>Disponivel</t>
        </is>
      </c>
      <c r="J76" s="19" t="inlineStr"/>
    </row>
    <row r="77">
      <c r="A77" s="6" t="inlineStr">
        <is>
          <t>Elevatória G e K</t>
        </is>
      </c>
      <c r="B77" s="5" t="inlineStr">
        <is>
          <t>B12</t>
        </is>
      </c>
      <c r="C77" s="5" t="inlineStr">
        <is>
          <t>Módulo 02</t>
        </is>
      </c>
      <c r="D77" s="5" t="inlineStr">
        <is>
          <t>Kar</t>
        </is>
      </c>
      <c r="E77" s="15" t="n">
        <v>542</v>
      </c>
      <c r="F77" s="7" t="inlineStr">
        <is>
          <t>SIM</t>
        </is>
      </c>
      <c r="G77" s="16">
        <f>IF(OR($E77="",$F77=""),"",IF(UPPER($F77)="SIM",$E77*FATOR_HID,0))</f>
        <v/>
      </c>
      <c r="H77" s="33" t="n">
        <v>184</v>
      </c>
      <c r="I77" s="7" t="inlineStr">
        <is>
          <t>Disponivel</t>
        </is>
      </c>
      <c r="J77" s="19" t="inlineStr"/>
    </row>
    <row r="78">
      <c r="A78" s="6" t="inlineStr">
        <is>
          <t>Elevatória G e K</t>
        </is>
      </c>
      <c r="B78" s="5" t="inlineStr">
        <is>
          <t>B13</t>
        </is>
      </c>
      <c r="C78" s="5" t="inlineStr">
        <is>
          <t>Módulo 02</t>
        </is>
      </c>
      <c r="D78" s="5" t="inlineStr">
        <is>
          <t>Kar</t>
        </is>
      </c>
      <c r="E78" s="15" t="n">
        <v>542</v>
      </c>
      <c r="F78" s="7" t="inlineStr">
        <is>
          <t>SIM</t>
        </is>
      </c>
      <c r="G78" s="16">
        <f>IF(OR($E78="",$F78=""),"",IF(UPPER($F78)="SIM",$E78*FATOR_HID,0))</f>
        <v/>
      </c>
      <c r="H78" s="33" t="n">
        <v>184</v>
      </c>
      <c r="I78" s="7" t="inlineStr">
        <is>
          <t>Disponivel</t>
        </is>
      </c>
      <c r="J78" s="19" t="inlineStr"/>
    </row>
    <row r="79">
      <c r="A79" s="6" t="inlineStr">
        <is>
          <t>Elevatória G e K</t>
        </is>
      </c>
      <c r="B79" s="5" t="inlineStr">
        <is>
          <t>B14</t>
        </is>
      </c>
      <c r="C79" s="5" t="inlineStr">
        <is>
          <t>Módulo 02</t>
        </is>
      </c>
      <c r="D79" s="5" t="inlineStr">
        <is>
          <t>Kar</t>
        </is>
      </c>
      <c r="E79" s="15" t="n">
        <v>542</v>
      </c>
      <c r="F79" s="7" t="inlineStr">
        <is>
          <t>SIM</t>
        </is>
      </c>
      <c r="G79" s="16">
        <f>IF(OR($E79="",$F79=""),"",IF(UPPER($F79)="SIM",$E79*FATOR_HID,0))</f>
        <v/>
      </c>
      <c r="H79" s="33" t="n">
        <v>184</v>
      </c>
      <c r="I79" s="7" t="inlineStr">
        <is>
          <t>Disponivel</t>
        </is>
      </c>
      <c r="J79" s="19" t="inlineStr"/>
    </row>
    <row r="80">
      <c r="A80" s="6" t="inlineStr">
        <is>
          <t>Elevatória G e K</t>
        </is>
      </c>
      <c r="B80" s="5" t="inlineStr">
        <is>
          <t>B15</t>
        </is>
      </c>
      <c r="C80" s="5" t="inlineStr">
        <is>
          <t>Módulo 02</t>
        </is>
      </c>
      <c r="D80" s="5" t="inlineStr">
        <is>
          <t>Kar</t>
        </is>
      </c>
      <c r="E80" s="15" t="n">
        <v>542</v>
      </c>
      <c r="F80" s="7" t="inlineStr">
        <is>
          <t>SIM</t>
        </is>
      </c>
      <c r="G80" s="16">
        <f>IF(OR($E80="",$F80=""),"",IF(UPPER($F80)="SIM",$E80*FATOR_HID,0))</f>
        <v/>
      </c>
      <c r="H80" s="33" t="n">
        <v>184</v>
      </c>
      <c r="I80" s="7" t="inlineStr">
        <is>
          <t>Disponivel</t>
        </is>
      </c>
      <c r="J80" s="19" t="inlineStr"/>
    </row>
    <row r="81">
      <c r="A81" s="6" t="inlineStr">
        <is>
          <t>Elevatória G e K</t>
        </is>
      </c>
      <c r="B81" s="5" t="inlineStr">
        <is>
          <t>B16</t>
        </is>
      </c>
      <c r="C81" s="5" t="inlineStr">
        <is>
          <t>Módulo 02</t>
        </is>
      </c>
      <c r="D81" s="5" t="inlineStr">
        <is>
          <t>Kar</t>
        </is>
      </c>
      <c r="E81" s="15" t="n">
        <v>542</v>
      </c>
      <c r="F81" s="7" t="inlineStr">
        <is>
          <t>SIM</t>
        </is>
      </c>
      <c r="G81" s="16">
        <f>IF(OR($E81="",$F81=""),"",IF(UPPER($F81)="SIM",$E81*FATOR_HID,0))</f>
        <v/>
      </c>
      <c r="H81" s="33" t="n">
        <v>184</v>
      </c>
      <c r="I81" s="7" t="inlineStr">
        <is>
          <t>Disponivel</t>
        </is>
      </c>
      <c r="J81" s="19" t="inlineStr"/>
    </row>
    <row r="82">
      <c r="A82" s="6" t="inlineStr">
        <is>
          <t>Elevatória G e K</t>
        </is>
      </c>
      <c r="B82" s="5" t="inlineStr">
        <is>
          <t>B17</t>
        </is>
      </c>
      <c r="C82" s="5" t="inlineStr">
        <is>
          <t>Módulo 02</t>
        </is>
      </c>
      <c r="D82" s="5" t="inlineStr">
        <is>
          <t>Kar</t>
        </is>
      </c>
      <c r="E82" s="15" t="n">
        <v>542</v>
      </c>
      <c r="F82" s="7" t="inlineStr">
        <is>
          <t>SIM</t>
        </is>
      </c>
      <c r="G82" s="16">
        <f>IF(OR($E82="",$F82=""),"",IF(UPPER($F82)="SIM",$E82*FATOR_HID,0))</f>
        <v/>
      </c>
      <c r="H82" s="33" t="n">
        <v>184</v>
      </c>
      <c r="I82" s="7" t="inlineStr">
        <is>
          <t>Disponivel</t>
        </is>
      </c>
      <c r="J82" s="19" t="inlineStr"/>
    </row>
    <row r="83">
      <c r="A83" s="6" t="inlineStr">
        <is>
          <t>Elevatória G e K</t>
        </is>
      </c>
      <c r="B83" s="5" t="inlineStr">
        <is>
          <t>B18</t>
        </is>
      </c>
      <c r="C83" s="5" t="inlineStr">
        <is>
          <t>Módulo 02</t>
        </is>
      </c>
      <c r="D83" s="5" t="inlineStr">
        <is>
          <t>Kar</t>
        </is>
      </c>
      <c r="E83" s="15" t="n">
        <v>542</v>
      </c>
      <c r="F83" s="7" t="inlineStr">
        <is>
          <t>SIM</t>
        </is>
      </c>
      <c r="G83" s="16">
        <f>IF(OR($E83="",$F83=""),"",IF(UPPER($F83)="SIM",$E83*FATOR_HID,0))</f>
        <v/>
      </c>
      <c r="H83" s="33" t="n">
        <v>184</v>
      </c>
      <c r="I83" s="7" t="inlineStr">
        <is>
          <t>Disponivel</t>
        </is>
      </c>
      <c r="J83" s="19" t="inlineStr"/>
    </row>
    <row r="84">
      <c r="A84" s="6" t="inlineStr">
        <is>
          <t>Elevatória G e K</t>
        </is>
      </c>
      <c r="B84" s="5" t="inlineStr">
        <is>
          <t>B19</t>
        </is>
      </c>
      <c r="C84" s="5" t="inlineStr">
        <is>
          <t>Módulo 02</t>
        </is>
      </c>
      <c r="D84" s="5" t="inlineStr">
        <is>
          <t>Kar</t>
        </is>
      </c>
      <c r="E84" s="15" t="n">
        <v>542</v>
      </c>
      <c r="F84" s="7" t="inlineStr">
        <is>
          <t>SIM</t>
        </is>
      </c>
      <c r="G84" s="16">
        <f>IF(OR($E84="",$F84=""),"",IF(UPPER($F84)="SIM",$E84*FATOR_HID,0))</f>
        <v/>
      </c>
      <c r="H84" s="33" t="n">
        <v>184</v>
      </c>
      <c r="I84" s="7" t="inlineStr">
        <is>
          <t>Disponivel</t>
        </is>
      </c>
      <c r="J84" s="19" t="inlineStr"/>
    </row>
    <row r="85">
      <c r="A85" s="6" t="inlineStr">
        <is>
          <t>Elevatória G e K</t>
        </is>
      </c>
      <c r="B85" s="5" t="inlineStr">
        <is>
          <t>B20</t>
        </is>
      </c>
      <c r="C85" s="5" t="inlineStr">
        <is>
          <t>Módulo 02</t>
        </is>
      </c>
      <c r="D85" s="5" t="inlineStr">
        <is>
          <t>Kar</t>
        </is>
      </c>
      <c r="E85" s="15" t="n">
        <v>542</v>
      </c>
      <c r="F85" s="7" t="inlineStr">
        <is>
          <t>SIM</t>
        </is>
      </c>
      <c r="G85" s="16">
        <f>IF(OR($E85="",$F85=""),"",IF(UPPER($F85)="SIM",$E85*FATOR_HID,0))</f>
        <v/>
      </c>
      <c r="H85" s="33" t="n">
        <v>184</v>
      </c>
      <c r="I85" s="7" t="inlineStr">
        <is>
          <t>Disponivel</t>
        </is>
      </c>
      <c r="J85" s="19" t="inlineStr"/>
    </row>
    <row r="86">
      <c r="A86" s="6" t="inlineStr">
        <is>
          <t>Elevatória G e K</t>
        </is>
      </c>
      <c r="B86" s="5" t="inlineStr">
        <is>
          <t>B21</t>
        </is>
      </c>
      <c r="C86" s="5" t="inlineStr">
        <is>
          <t>Módulo 02</t>
        </is>
      </c>
      <c r="D86" s="5" t="inlineStr">
        <is>
          <t>Kar</t>
        </is>
      </c>
      <c r="E86" s="15" t="n">
        <v>542</v>
      </c>
      <c r="F86" s="7" t="inlineStr">
        <is>
          <t>SIM</t>
        </is>
      </c>
      <c r="G86" s="16">
        <f>IF(OR($E86="",$F86=""),"",IF(UPPER($F86)="SIM",$E86*FATOR_HID,0))</f>
        <v/>
      </c>
      <c r="H86" s="33" t="n">
        <v>184</v>
      </c>
      <c r="I86" s="7" t="inlineStr">
        <is>
          <t>Disponivel</t>
        </is>
      </c>
      <c r="J86" s="19" t="inlineStr"/>
    </row>
    <row r="87">
      <c r="A87" s="6" t="inlineStr">
        <is>
          <t>Elevatória G e K</t>
        </is>
      </c>
      <c r="B87" s="5" t="inlineStr">
        <is>
          <t>B22</t>
        </is>
      </c>
      <c r="C87" s="5" t="inlineStr">
        <is>
          <t>Módulo 02</t>
        </is>
      </c>
      <c r="D87" s="5" t="inlineStr">
        <is>
          <t>Kar</t>
        </is>
      </c>
      <c r="E87" s="15" t="n">
        <v>542</v>
      </c>
      <c r="F87" s="7" t="inlineStr">
        <is>
          <t>SIM</t>
        </is>
      </c>
      <c r="G87" s="16">
        <f>IF(OR($E87="",$F87=""),"",IF(UPPER($F87)="SIM",$E87*FATOR_HID,0))</f>
        <v/>
      </c>
      <c r="H87" s="33" t="n">
        <v>184</v>
      </c>
      <c r="I87" s="7" t="inlineStr">
        <is>
          <t>Disponivel</t>
        </is>
      </c>
      <c r="J87" s="19" t="inlineStr"/>
    </row>
    <row r="88">
      <c r="A88" s="6" t="inlineStr">
        <is>
          <t>Elevatória G e K</t>
        </is>
      </c>
      <c r="B88" s="5" t="inlineStr">
        <is>
          <t>B23</t>
        </is>
      </c>
      <c r="C88" s="5" t="inlineStr">
        <is>
          <t>Módulo 02</t>
        </is>
      </c>
      <c r="D88" s="5" t="inlineStr">
        <is>
          <t>Kar</t>
        </is>
      </c>
      <c r="E88" s="15" t="n">
        <v>542</v>
      </c>
      <c r="F88" s="7" t="inlineStr">
        <is>
          <t>SIM</t>
        </is>
      </c>
      <c r="G88" s="16">
        <f>IF(OR($E88="",$F88=""),"",IF(UPPER($F88)="SIM",$E88*FATOR_HID,0))</f>
        <v/>
      </c>
      <c r="H88" s="33" t="n">
        <v>184</v>
      </c>
      <c r="I88" s="7" t="inlineStr">
        <is>
          <t>Disponivel</t>
        </is>
      </c>
      <c r="J88" s="19" t="inlineStr"/>
    </row>
    <row r="89">
      <c r="A89" s="6" t="inlineStr">
        <is>
          <t>Elevatória G e K</t>
        </is>
      </c>
      <c r="B89" s="5" t="inlineStr">
        <is>
          <t>B24</t>
        </is>
      </c>
      <c r="C89" s="5" t="inlineStr">
        <is>
          <t>Módulo 02</t>
        </is>
      </c>
      <c r="D89" s="5" t="inlineStr">
        <is>
          <t>Kar</t>
        </is>
      </c>
      <c r="E89" s="15" t="n">
        <v>542</v>
      </c>
      <c r="F89" s="7" t="inlineStr">
        <is>
          <t>SIM</t>
        </is>
      </c>
      <c r="G89" s="16">
        <f>IF(OR($E89="",$F89=""),"",IF(UPPER($F89)="SIM",$E89*FATOR_HID,0))</f>
        <v/>
      </c>
      <c r="H89" s="33" t="n">
        <v>184</v>
      </c>
      <c r="I89" s="7" t="inlineStr">
        <is>
          <t>Disponivel</t>
        </is>
      </c>
      <c r="J89" s="19" t="inlineStr"/>
    </row>
    <row r="90">
      <c r="A90" s="6" t="inlineStr">
        <is>
          <t>R12 - Transposição</t>
        </is>
      </c>
      <c r="B90" s="5" t="inlineStr">
        <is>
          <t>B1</t>
        </is>
      </c>
      <c r="C90" s="5" t="inlineStr">
        <is>
          <t>Módulo 02</t>
        </is>
      </c>
      <c r="D90" s="5" t="inlineStr">
        <is>
          <t>Kar</t>
        </is>
      </c>
      <c r="E90" s="15" t="n">
        <v>700</v>
      </c>
      <c r="F90" s="7" t="inlineStr">
        <is>
          <t>SIM</t>
        </is>
      </c>
      <c r="G90" s="16">
        <f>IF(OR($E90="",$F90=""),"",IF(UPPER($F90)="SIM",$E90*FATOR_HID,0))</f>
        <v/>
      </c>
      <c r="H90" s="33" t="n">
        <v>74.5699872</v>
      </c>
      <c r="I90" s="7" t="inlineStr">
        <is>
          <t>Disponivel</t>
        </is>
      </c>
      <c r="J90" s="19" t="inlineStr"/>
    </row>
    <row r="91">
      <c r="A91" s="6" t="inlineStr">
        <is>
          <t>R12 - Transposição</t>
        </is>
      </c>
      <c r="B91" s="5" t="inlineStr">
        <is>
          <t>B2</t>
        </is>
      </c>
      <c r="C91" s="5" t="inlineStr">
        <is>
          <t>Módulo 02</t>
        </is>
      </c>
      <c r="D91" s="5" t="inlineStr">
        <is>
          <t>Kar</t>
        </is>
      </c>
      <c r="E91" s="15" t="n">
        <v>700</v>
      </c>
      <c r="F91" s="7" t="inlineStr">
        <is>
          <t>SIM</t>
        </is>
      </c>
      <c r="G91" s="16">
        <f>IF(OR($E91="",$F91=""),"",IF(UPPER($F91)="SIM",$E91*FATOR_HID,0))</f>
        <v/>
      </c>
      <c r="H91" s="33" t="n">
        <v>74.5699872</v>
      </c>
      <c r="I91" s="7" t="inlineStr">
        <is>
          <t>Disponivel</t>
        </is>
      </c>
      <c r="J91" s="19" t="inlineStr"/>
    </row>
    <row r="92">
      <c r="A92" s="6" t="inlineStr">
        <is>
          <t>R12 - Transposição</t>
        </is>
      </c>
      <c r="B92" s="5" t="inlineStr">
        <is>
          <t>B3</t>
        </is>
      </c>
      <c r="C92" s="5" t="inlineStr">
        <is>
          <t>Módulo 02</t>
        </is>
      </c>
      <c r="D92" s="5" t="inlineStr">
        <is>
          <t>Kar</t>
        </is>
      </c>
      <c r="E92" s="15" t="n">
        <v>700</v>
      </c>
      <c r="F92" s="7" t="inlineStr">
        <is>
          <t>SIM</t>
        </is>
      </c>
      <c r="G92" s="16">
        <f>IF(OR($E92="",$F92=""),"",IF(UPPER($F92)="SIM",$E92*FATOR_HID,0))</f>
        <v/>
      </c>
      <c r="H92" s="33" t="n">
        <v>74.5699872</v>
      </c>
      <c r="I92" s="7" t="inlineStr">
        <is>
          <t>Disponivel</t>
        </is>
      </c>
      <c r="J92" s="19" t="inlineStr"/>
    </row>
    <row r="93">
      <c r="A93" s="6" t="inlineStr">
        <is>
          <t>Balça - M2/M1</t>
        </is>
      </c>
      <c r="B93" s="5" t="inlineStr">
        <is>
          <t>B1/B2</t>
        </is>
      </c>
      <c r="C93" s="5" t="inlineStr">
        <is>
          <t>Módulo 02</t>
        </is>
      </c>
      <c r="D93" s="5" t="inlineStr">
        <is>
          <t>Kar</t>
        </is>
      </c>
      <c r="E93" s="15" t="n">
        <v>6500</v>
      </c>
      <c r="F93" s="7" t="inlineStr">
        <is>
          <t>SIM</t>
        </is>
      </c>
      <c r="G93" s="16">
        <f>IF(OR($E93="",$F93=""),"",IF(UPPER($F93)="SIM",$E93*FATOR_HID,0))</f>
        <v/>
      </c>
      <c r="H93" s="33" t="n">
        <v>223.7099616</v>
      </c>
      <c r="I93" s="7" t="inlineStr">
        <is>
          <t>Disponivel</t>
        </is>
      </c>
      <c r="J93" s="19" t="inlineStr"/>
    </row>
    <row r="94">
      <c r="A94" s="6" t="inlineStr">
        <is>
          <t>Balça - R16</t>
        </is>
      </c>
      <c r="B94" s="5" t="inlineStr">
        <is>
          <t>B1/B2</t>
        </is>
      </c>
      <c r="C94" s="5" t="inlineStr">
        <is>
          <t>Módulo 02</t>
        </is>
      </c>
      <c r="D94" s="5" t="inlineStr">
        <is>
          <t>Kar</t>
        </is>
      </c>
      <c r="E94" s="15" t="n">
        <v>3500</v>
      </c>
      <c r="F94" s="7" t="inlineStr">
        <is>
          <t>SIM</t>
        </is>
      </c>
      <c r="G94" s="16">
        <f>IF(OR($E94="",$F94=""),"",IF(UPPER($F94)="SIM",$E94*FATOR_HID,0))</f>
        <v/>
      </c>
      <c r="H94" s="33" t="n">
        <v>111.8549808</v>
      </c>
      <c r="I94" s="7" t="inlineStr">
        <is>
          <t>Disponivel</t>
        </is>
      </c>
      <c r="J94" s="19" t="inlineStr"/>
    </row>
    <row r="95">
      <c r="A95" s="6" t="inlineStr">
        <is>
          <t>PRM 01</t>
        </is>
      </c>
      <c r="B95" s="5" t="inlineStr">
        <is>
          <t>B1</t>
        </is>
      </c>
      <c r="C95" s="5" t="inlineStr">
        <is>
          <t>Módulo 01</t>
        </is>
      </c>
      <c r="D95" s="5" t="inlineStr">
        <is>
          <t>Rdm</t>
        </is>
      </c>
      <c r="E95" s="15" t="n">
        <v>600</v>
      </c>
      <c r="F95" s="7" t="inlineStr">
        <is>
          <t>SIM</t>
        </is>
      </c>
      <c r="G95" s="16">
        <f>IF(OR($E95="",$F95=""),"",IF(UPPER($F95)="SIM",$E95*FATOR_HID,0))</f>
        <v/>
      </c>
      <c r="H95" s="33" t="n">
        <v>208.79596416</v>
      </c>
      <c r="I95" s="7" t="inlineStr">
        <is>
          <t>Disponivel</t>
        </is>
      </c>
      <c r="J95" s="19" t="inlineStr"/>
    </row>
    <row r="96">
      <c r="A96" s="6" t="inlineStr">
        <is>
          <t>PRM 02</t>
        </is>
      </c>
      <c r="B96" s="5" t="inlineStr">
        <is>
          <t>B1</t>
        </is>
      </c>
      <c r="C96" s="5" t="inlineStr">
        <is>
          <t>Módulo 01</t>
        </is>
      </c>
      <c r="D96" s="5" t="inlineStr">
        <is>
          <t>Rdm</t>
        </is>
      </c>
      <c r="E96" s="15" t="n">
        <v>500</v>
      </c>
      <c r="F96" s="7" t="inlineStr">
        <is>
          <t>SIM</t>
        </is>
      </c>
      <c r="G96" s="16">
        <f>IF(OR($E96="",$F96=""),"",IF(UPPER($F96)="SIM",$E96*FATOR_HID,0))</f>
        <v/>
      </c>
      <c r="H96" s="33" t="n">
        <v>208.79596416</v>
      </c>
      <c r="I96" s="7" t="inlineStr">
        <is>
          <t>Disponivel</t>
        </is>
      </c>
      <c r="J96" s="19" t="inlineStr"/>
    </row>
    <row r="97">
      <c r="A97" s="6" t="inlineStr">
        <is>
          <t>PRM 03</t>
        </is>
      </c>
      <c r="B97" s="5" t="inlineStr">
        <is>
          <t>B1</t>
        </is>
      </c>
      <c r="C97" s="5" t="inlineStr">
        <is>
          <t>Módulo 01</t>
        </is>
      </c>
      <c r="D97" s="5" t="inlineStr">
        <is>
          <t>Rdm</t>
        </is>
      </c>
      <c r="E97" s="15" t="n">
        <v>500</v>
      </c>
      <c r="F97" s="7" t="inlineStr">
        <is>
          <t>SIM</t>
        </is>
      </c>
      <c r="G97" s="16">
        <f>IF(OR($E97="",$F97=""),"",IF(UPPER($F97)="SIM",$E97*FATOR_HID,0))</f>
        <v/>
      </c>
      <c r="H97" s="33" t="n">
        <v>208.79596416</v>
      </c>
      <c r="I97" s="7" t="inlineStr">
        <is>
          <t>Disponivel</t>
        </is>
      </c>
      <c r="J97" s="19" t="inlineStr"/>
    </row>
    <row r="98">
      <c r="A98" s="6" t="inlineStr">
        <is>
          <t>PRM 04</t>
        </is>
      </c>
      <c r="B98" s="5" t="inlineStr">
        <is>
          <t>B1</t>
        </is>
      </c>
      <c r="C98" s="5" t="inlineStr">
        <is>
          <t>Módulo 01</t>
        </is>
      </c>
      <c r="D98" s="5" t="inlineStr">
        <is>
          <t>Rdm</t>
        </is>
      </c>
      <c r="E98" s="15" t="n">
        <v>500</v>
      </c>
      <c r="F98" s="7" t="inlineStr">
        <is>
          <t>SIM</t>
        </is>
      </c>
      <c r="G98" s="16">
        <f>IF(OR($E98="",$F98=""),"",IF(UPPER($F98)="SIM",$E98*FATOR_HID,0))</f>
        <v/>
      </c>
      <c r="H98" s="33" t="n">
        <v>208.79596416</v>
      </c>
      <c r="I98" s="7" t="inlineStr">
        <is>
          <t>Disponivel</t>
        </is>
      </c>
      <c r="J98" s="19" t="inlineStr"/>
    </row>
    <row r="99">
      <c r="A99" s="6" t="inlineStr">
        <is>
          <t>PRM 05</t>
        </is>
      </c>
      <c r="B99" s="5" t="inlineStr">
        <is>
          <t>B1</t>
        </is>
      </c>
      <c r="C99" s="5" t="inlineStr">
        <is>
          <t>Módulo 01</t>
        </is>
      </c>
      <c r="D99" s="5" t="inlineStr">
        <is>
          <t>Rdm</t>
        </is>
      </c>
      <c r="E99" s="15" t="n">
        <v>135</v>
      </c>
      <c r="F99" s="7" t="inlineStr">
        <is>
          <t>SIM</t>
        </is>
      </c>
      <c r="G99" s="16">
        <f>IF(OR($E99="",$F99=""),"",IF(UPPER($F99)="SIM",$E99*FATOR_HID,0))</f>
        <v/>
      </c>
      <c r="H99" s="33" t="n">
        <v>85.75548528</v>
      </c>
      <c r="I99" s="7" t="inlineStr">
        <is>
          <t>Disponivel</t>
        </is>
      </c>
      <c r="J99" s="19" t="inlineStr"/>
    </row>
    <row r="100">
      <c r="A100" s="6" t="inlineStr">
        <is>
          <t>PRM 06</t>
        </is>
      </c>
      <c r="B100" s="5" t="inlineStr">
        <is>
          <t>B1</t>
        </is>
      </c>
      <c r="C100" s="5" t="inlineStr">
        <is>
          <t>Módulo 01</t>
        </is>
      </c>
      <c r="D100" s="5" t="inlineStr">
        <is>
          <t>Rdm</t>
        </is>
      </c>
      <c r="E100" s="15" t="n">
        <v>395</v>
      </c>
      <c r="F100" s="7" t="inlineStr">
        <is>
          <t>SIM</t>
        </is>
      </c>
      <c r="G100" s="16">
        <f>IF(OR($E100="",$F100=""),"",IF(UPPER($F100)="SIM",$E100*FATOR_HID,0))</f>
        <v/>
      </c>
      <c r="H100" s="33" t="n">
        <v>208.79596416</v>
      </c>
      <c r="I100" s="7" t="inlineStr">
        <is>
          <t>Disponivel</t>
        </is>
      </c>
      <c r="J100" s="19" t="inlineStr"/>
    </row>
    <row r="101">
      <c r="A101" s="6" t="inlineStr">
        <is>
          <t>PRM 07</t>
        </is>
      </c>
      <c r="B101" s="5" t="inlineStr">
        <is>
          <t>B1</t>
        </is>
      </c>
      <c r="C101" s="5" t="inlineStr">
        <is>
          <t>Módulo 02</t>
        </is>
      </c>
      <c r="D101" s="5" t="inlineStr">
        <is>
          <t>Rdm</t>
        </is>
      </c>
      <c r="E101" s="15" t="n">
        <v>233</v>
      </c>
      <c r="F101" s="7" t="inlineStr">
        <is>
          <t>SIM</t>
        </is>
      </c>
      <c r="G101" s="16">
        <f>IF(OR($E101="",$F101=""),"",IF(UPPER($F101)="SIM",$E101*FATOR_HID,0))</f>
        <v/>
      </c>
      <c r="H101" s="33" t="n">
        <v>96.94098336</v>
      </c>
      <c r="I101" s="7" t="inlineStr">
        <is>
          <t>Disponivel</t>
        </is>
      </c>
      <c r="J101" s="19" t="inlineStr"/>
    </row>
    <row r="102">
      <c r="A102" s="6" t="inlineStr">
        <is>
          <t>PRM 08</t>
        </is>
      </c>
      <c r="B102" s="5" t="inlineStr">
        <is>
          <t>B1</t>
        </is>
      </c>
      <c r="C102" s="5" t="inlineStr">
        <is>
          <t>Módulo 02</t>
        </is>
      </c>
      <c r="D102" s="5" t="inlineStr">
        <is>
          <t>Rdm</t>
        </is>
      </c>
      <c r="E102" s="15" t="n">
        <v>390</v>
      </c>
      <c r="F102" s="7" t="inlineStr">
        <is>
          <t>SIM</t>
        </is>
      </c>
      <c r="G102" s="16">
        <f>IF(OR($E102="",$F102=""),"",IF(UPPER($F102)="SIM",$E102*FATOR_HID,0))</f>
        <v/>
      </c>
      <c r="H102" s="33" t="n">
        <v>208.79596416</v>
      </c>
      <c r="I102" s="7" t="inlineStr">
        <is>
          <t>Disponivel</t>
        </is>
      </c>
      <c r="J102" s="19" t="inlineStr"/>
    </row>
    <row r="103">
      <c r="A103" s="6" t="inlineStr">
        <is>
          <t>PRM 09</t>
        </is>
      </c>
      <c r="B103" s="5" t="inlineStr">
        <is>
          <t>B1</t>
        </is>
      </c>
      <c r="C103" s="5" t="inlineStr">
        <is>
          <t>Módulo 02</t>
        </is>
      </c>
      <c r="D103" s="5" t="inlineStr">
        <is>
          <t>Rdm</t>
        </is>
      </c>
      <c r="E103" s="15" t="n">
        <v>300</v>
      </c>
      <c r="F103" s="7" t="inlineStr">
        <is>
          <t>SIM</t>
        </is>
      </c>
      <c r="G103" s="16">
        <f>IF(OR($E103="",$F103=""),"",IF(UPPER($F103)="SIM",$E103*FATOR_HID,0))</f>
        <v/>
      </c>
      <c r="H103" s="33" t="n">
        <v>208.79596416</v>
      </c>
      <c r="I103" s="7" t="inlineStr">
        <is>
          <t>Disponivel</t>
        </is>
      </c>
      <c r="J103" s="19" t="inlineStr"/>
    </row>
    <row r="104">
      <c r="A104" s="6" t="inlineStr">
        <is>
          <t>PRM 10</t>
        </is>
      </c>
      <c r="B104" s="5" t="inlineStr">
        <is>
          <t>B1</t>
        </is>
      </c>
      <c r="C104" s="5" t="inlineStr">
        <is>
          <t>Módulo 02</t>
        </is>
      </c>
      <c r="D104" s="5" t="inlineStr">
        <is>
          <t>Rdm</t>
        </is>
      </c>
      <c r="E104" s="15" t="n">
        <v>190</v>
      </c>
      <c r="F104" s="7" t="inlineStr">
        <is>
          <t>SIM</t>
        </is>
      </c>
      <c r="G104" s="16">
        <f>IF(OR($E104="",$F104=""),"",IF(UPPER($F104)="SIM",$E104*FATOR_HID,0))</f>
        <v/>
      </c>
      <c r="H104" s="33" t="n">
        <v>208.79596416</v>
      </c>
      <c r="I104" s="7" t="inlineStr">
        <is>
          <t>Disponivel</t>
        </is>
      </c>
      <c r="J104" s="19" t="inlineStr"/>
    </row>
    <row r="105">
      <c r="A105" s="6" t="inlineStr">
        <is>
          <t>PRM 11</t>
        </is>
      </c>
      <c r="B105" s="5" t="inlineStr">
        <is>
          <t>B1</t>
        </is>
      </c>
      <c r="C105" s="5" t="inlineStr">
        <is>
          <t>Módulo 02</t>
        </is>
      </c>
      <c r="D105" s="5" t="inlineStr">
        <is>
          <t>Rdm</t>
        </is>
      </c>
      <c r="E105" s="15" t="n">
        <v>650</v>
      </c>
      <c r="F105" s="7" t="inlineStr">
        <is>
          <t>SIM</t>
        </is>
      </c>
      <c r="G105" s="16">
        <f>IF(OR($E105="",$F105=""),"",IF(UPPER($F105)="SIM",$E105*FATOR_HID,0))</f>
        <v/>
      </c>
      <c r="H105" s="33" t="n">
        <v>208.79596416</v>
      </c>
      <c r="I105" s="7" t="inlineStr">
        <is>
          <t>Disponivel</t>
        </is>
      </c>
      <c r="J105" s="19" t="inlineStr"/>
    </row>
    <row r="106">
      <c r="A106" s="6" t="inlineStr">
        <is>
          <t>PRM 12</t>
        </is>
      </c>
      <c r="B106" s="5" t="inlineStr">
        <is>
          <t>B1</t>
        </is>
      </c>
      <c r="C106" s="5" t="inlineStr">
        <is>
          <t>Módulo 02</t>
        </is>
      </c>
      <c r="D106" s="5" t="inlineStr">
        <is>
          <t>Rdm</t>
        </is>
      </c>
      <c r="E106" s="15" t="n">
        <v>350</v>
      </c>
      <c r="F106" s="7" t="inlineStr">
        <is>
          <t>SIM</t>
        </is>
      </c>
      <c r="G106" s="16">
        <f>IF(OR($E106="",$F106=""),"",IF(UPPER($F106)="SIM",$E106*FATOR_HID,0))</f>
        <v/>
      </c>
      <c r="H106" s="33" t="n">
        <v>208.79596416</v>
      </c>
      <c r="I106" s="7" t="inlineStr">
        <is>
          <t>Disponivel</t>
        </is>
      </c>
      <c r="J106" s="19" t="inlineStr"/>
    </row>
    <row r="107">
      <c r="A107" s="6" t="inlineStr">
        <is>
          <t>PRM 13</t>
        </is>
      </c>
      <c r="B107" s="5" t="inlineStr">
        <is>
          <t>B1</t>
        </is>
      </c>
      <c r="C107" s="5" t="inlineStr">
        <is>
          <t>Módulo 02</t>
        </is>
      </c>
      <c r="D107" s="5" t="inlineStr">
        <is>
          <t>Rdm</t>
        </is>
      </c>
      <c r="E107" s="15" t="n">
        <v>410</v>
      </c>
      <c r="F107" s="7" t="inlineStr">
        <is>
          <t>SIM</t>
        </is>
      </c>
      <c r="G107" s="16">
        <f>IF(OR($E107="",$F107=""),"",IF(UPPER($F107)="SIM",$E107*FATOR_HID,0))</f>
        <v/>
      </c>
      <c r="H107" s="33" t="n">
        <v>208.79596416</v>
      </c>
      <c r="I107" s="7" t="inlineStr">
        <is>
          <t>Disponivel</t>
        </is>
      </c>
      <c r="J107" s="19" t="inlineStr"/>
    </row>
    <row r="108">
      <c r="A108" s="6" t="inlineStr">
        <is>
          <t>PRM 19</t>
        </is>
      </c>
      <c r="B108" s="5" t="inlineStr">
        <is>
          <t>B1</t>
        </is>
      </c>
      <c r="C108" s="5" t="inlineStr">
        <is>
          <t>Módulo 02</t>
        </is>
      </c>
      <c r="D108" s="5" t="inlineStr">
        <is>
          <t>Rdm</t>
        </is>
      </c>
      <c r="E108" s="15" t="n">
        <v>500</v>
      </c>
      <c r="F108" s="7" t="inlineStr">
        <is>
          <t>SIM</t>
        </is>
      </c>
      <c r="G108" s="16">
        <f>IF(OR($E108="",$F108=""),"",IF(UPPER($F108)="SIM",$E108*FATOR_HID,0))</f>
        <v/>
      </c>
      <c r="H108" s="33" t="n">
        <v>208.79596416</v>
      </c>
      <c r="I108" s="7" t="inlineStr">
        <is>
          <t>Disponivel</t>
        </is>
      </c>
      <c r="J108" s="19" t="inlineStr"/>
    </row>
    <row r="109">
      <c r="A109" s="6" t="inlineStr">
        <is>
          <t>PK 10</t>
        </is>
      </c>
      <c r="B109" s="5" t="inlineStr">
        <is>
          <t>B1</t>
        </is>
      </c>
      <c r="C109" s="5" t="inlineStr">
        <is>
          <t>Módulo 03</t>
        </is>
      </c>
      <c r="D109" s="5" t="inlineStr">
        <is>
          <t>Kar</t>
        </is>
      </c>
      <c r="E109" s="15" t="n">
        <v>280</v>
      </c>
      <c r="F109" s="7" t="inlineStr">
        <is>
          <t>SIM</t>
        </is>
      </c>
      <c r="G109" s="16">
        <f>IF(OR($E109="",$F109=""),"",IF(UPPER($F109)="SIM",$E109*FATOR_HID,0))</f>
        <v/>
      </c>
      <c r="H109" s="33" t="n">
        <v>208.79596416</v>
      </c>
      <c r="I109" s="7" t="inlineStr">
        <is>
          <t>Disponivel</t>
        </is>
      </c>
      <c r="J109" s="19" t="inlineStr"/>
    </row>
    <row r="110">
      <c r="A110" s="6" t="inlineStr">
        <is>
          <t>PK 11</t>
        </is>
      </c>
      <c r="B110" s="5" t="inlineStr">
        <is>
          <t>B1</t>
        </is>
      </c>
      <c r="C110" s="5" t="inlineStr">
        <is>
          <t>Módulo 03</t>
        </is>
      </c>
      <c r="D110" s="5" t="inlineStr">
        <is>
          <t>Kar</t>
        </is>
      </c>
      <c r="E110" s="15" t="n"/>
      <c r="F110" s="7" t="inlineStr">
        <is>
          <t>SIM</t>
        </is>
      </c>
      <c r="G110" s="16">
        <f>IF(OR($E110="",$F110=""),"",IF(UPPER($F110)="SIM",$E110*FATOR_HID,0))</f>
        <v/>
      </c>
      <c r="H110" s="33" t="n">
        <v>208.79596416</v>
      </c>
      <c r="I110" s="7" t="inlineStr">
        <is>
          <t>Disponivel</t>
        </is>
      </c>
      <c r="J110" s="19" t="inlineStr"/>
    </row>
    <row r="111">
      <c r="A111" s="6" t="inlineStr">
        <is>
          <t>PK 12</t>
        </is>
      </c>
      <c r="B111" s="5" t="inlineStr">
        <is>
          <t>B1</t>
        </is>
      </c>
      <c r="C111" s="5" t="inlineStr">
        <is>
          <t>Módulo 03</t>
        </is>
      </c>
      <c r="D111" s="5" t="inlineStr">
        <is>
          <t>Kar</t>
        </is>
      </c>
      <c r="E111" s="15" t="n">
        <v>374</v>
      </c>
      <c r="F111" s="7" t="inlineStr">
        <is>
          <t>SIM</t>
        </is>
      </c>
      <c r="G111" s="16">
        <f>IF(OR($E111="",$F111=""),"",IF(UPPER($F111)="SIM",$E111*FATOR_HID,0))</f>
        <v/>
      </c>
      <c r="H111" s="33" t="n">
        <v>246.08095776</v>
      </c>
      <c r="I111" s="7" t="inlineStr">
        <is>
          <t>Disponivel</t>
        </is>
      </c>
      <c r="J111" s="19" t="inlineStr"/>
    </row>
    <row r="112">
      <c r="A112" s="6" t="inlineStr">
        <is>
          <t>PK 13</t>
        </is>
      </c>
      <c r="B112" s="5" t="inlineStr">
        <is>
          <t>B1</t>
        </is>
      </c>
      <c r="C112" s="5" t="inlineStr">
        <is>
          <t>Módulo 03</t>
        </is>
      </c>
      <c r="D112" s="5" t="inlineStr">
        <is>
          <t>Kar</t>
        </is>
      </c>
      <c r="E112" s="15" t="n">
        <v>394.5</v>
      </c>
      <c r="F112" s="7" t="inlineStr">
        <is>
          <t>SIM</t>
        </is>
      </c>
      <c r="G112" s="16">
        <f>IF(OR($E112="",$F112=""),"",IF(UPPER($F112)="SIM",$E112*FATOR_HID,0))</f>
        <v/>
      </c>
      <c r="H112" s="33" t="n">
        <v>246.08095776</v>
      </c>
      <c r="I112" s="7" t="inlineStr">
        <is>
          <t>Disponivel</t>
        </is>
      </c>
      <c r="J112" s="19" t="inlineStr"/>
    </row>
    <row r="113">
      <c r="A113" s="6" t="inlineStr">
        <is>
          <t>PK 14</t>
        </is>
      </c>
      <c r="B113" s="5" t="inlineStr">
        <is>
          <t>B1</t>
        </is>
      </c>
      <c r="C113" s="5" t="inlineStr">
        <is>
          <t>Módulo 03</t>
        </is>
      </c>
      <c r="D113" s="5" t="inlineStr">
        <is>
          <t>Kar</t>
        </is>
      </c>
      <c r="E113" s="15" t="n">
        <v>366</v>
      </c>
      <c r="F113" s="7" t="inlineStr">
        <is>
          <t>SIM</t>
        </is>
      </c>
      <c r="G113" s="16">
        <f>IF(OR($E113="",$F113=""),"",IF(UPPER($F113)="SIM",$E113*FATOR_HID,0))</f>
        <v/>
      </c>
      <c r="H113" s="33" t="n">
        <v>208.79596416</v>
      </c>
      <c r="I113" s="7" t="inlineStr">
        <is>
          <t>Disponivel</t>
        </is>
      </c>
      <c r="J113" s="19" t="inlineStr"/>
    </row>
    <row r="114">
      <c r="A114" s="6" t="inlineStr">
        <is>
          <t>PK 15</t>
        </is>
      </c>
      <c r="B114" s="5" t="inlineStr">
        <is>
          <t>B1</t>
        </is>
      </c>
      <c r="C114" s="5" t="inlineStr">
        <is>
          <t>Módulo 03</t>
        </is>
      </c>
      <c r="D114" s="5" t="inlineStr">
        <is>
          <t>Kar</t>
        </is>
      </c>
      <c r="E114" s="15" t="n">
        <v>205</v>
      </c>
      <c r="F114" s="7" t="inlineStr">
        <is>
          <t>SIM</t>
        </is>
      </c>
      <c r="G114" s="16">
        <f>IF(OR($E114="",$F114=""),"",IF(UPPER($F114)="SIM",$E114*FATOR_HID,0))</f>
        <v/>
      </c>
      <c r="H114" s="33" t="n">
        <v>134.22597696</v>
      </c>
      <c r="I114" s="7" t="inlineStr">
        <is>
          <t>Disponivel</t>
        </is>
      </c>
      <c r="J114" s="19" t="inlineStr"/>
    </row>
    <row r="115">
      <c r="A115" s="6" t="inlineStr">
        <is>
          <t>PK 16</t>
        </is>
      </c>
      <c r="B115" s="5" t="inlineStr">
        <is>
          <t>B1</t>
        </is>
      </c>
      <c r="C115" s="5" t="inlineStr">
        <is>
          <t>Módulo 03</t>
        </is>
      </c>
      <c r="D115" s="5" t="inlineStr">
        <is>
          <t>Kar</t>
        </is>
      </c>
      <c r="E115" s="15" t="n">
        <v>242</v>
      </c>
      <c r="F115" s="7" t="inlineStr">
        <is>
          <t>SIM</t>
        </is>
      </c>
      <c r="G115" s="16">
        <f>IF(OR($E115="",$F115=""),"",IF(UPPER($F115)="SIM",$E115*FATOR_HID,0))</f>
        <v/>
      </c>
      <c r="H115" s="33" t="n">
        <v>134.22597696</v>
      </c>
      <c r="I115" s="7" t="inlineStr">
        <is>
          <t>Disponivel</t>
        </is>
      </c>
      <c r="J115" s="19" t="inlineStr"/>
    </row>
    <row r="117">
      <c r="A117" s="19" t="inlineStr">
        <is>
          <t>Um 'NAO' nao prova defeito - registrar motivo. Nao somar captacao+elevatoria+pressurizacao como entradas independentes.</t>
        </is>
      </c>
      <c r="B117" s="30" t="n"/>
      <c r="C117" s="30" t="n"/>
      <c r="D117" s="30" t="n"/>
      <c r="E117" s="30" t="n"/>
      <c r="F117" s="30" t="n"/>
      <c r="G117" s="30" t="n"/>
      <c r="H117" s="30" t="n"/>
      <c r="I117" s="30" t="n"/>
      <c r="J117" s="31" t="n"/>
    </row>
  </sheetData>
  <mergeCells count="1">
    <mergeCell ref="A117:J11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6E43"/>
    <outlinePr summaryBelow="1" summaryRight="1"/>
    <pageSetUpPr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26" customWidth="1" min="3" max="3"/>
    <col width="11" customWidth="1" min="4" max="4"/>
    <col width="14" customWidth="1" min="5" max="5"/>
    <col width="12" customWidth="1" min="6" max="6"/>
    <col width="13" customWidth="1" min="7" max="7"/>
    <col width="24" customWidth="1" min="8" max="8"/>
  </cols>
  <sheetData>
    <row r="1" ht="20" customHeight="1">
      <c r="A1" s="1" t="inlineStr">
        <is>
          <t>RESERVATORIOS - capacidade e vazao (importado)</t>
        </is>
      </c>
    </row>
    <row r="2">
      <c r="A2" s="2" t="inlineStr">
        <is>
          <t>Volume atual = leitura de campo.</t>
        </is>
      </c>
    </row>
    <row r="4" ht="30" customHeight="1">
      <c r="A4" s="4" t="inlineStr">
        <is>
          <t>Reserv</t>
        </is>
      </c>
      <c r="B4" s="4" t="inlineStr">
        <is>
          <t>Modulo</t>
        </is>
      </c>
      <c r="C4" s="4" t="inlineStr">
        <is>
          <t>Pivos abastecidos</t>
        </is>
      </c>
      <c r="D4" s="4" t="inlineStr">
        <is>
          <t>Ha irrig</t>
        </is>
      </c>
      <c r="E4" s="4" t="inlineStr">
        <is>
          <t>Capacidade (m3)</t>
        </is>
      </c>
      <c r="F4" s="4" t="inlineStr">
        <is>
          <t>Vazao (m3/h)</t>
        </is>
      </c>
      <c r="G4" s="4" t="inlineStr">
        <is>
          <t>Autonomia (h)</t>
        </is>
      </c>
      <c r="H4" s="4" t="inlineStr">
        <is>
          <t>Obs</t>
        </is>
      </c>
    </row>
    <row r="5">
      <c r="A5" s="5" t="inlineStr">
        <is>
          <t>R0</t>
        </is>
      </c>
      <c r="B5" s="5" t="inlineStr">
        <is>
          <t>Módulo 01</t>
        </is>
      </c>
      <c r="C5" s="6" t="inlineStr">
        <is>
          <t>01 - 02 - 03 - 04</t>
        </is>
      </c>
      <c r="D5" s="15" t="n">
        <v>486.5</v>
      </c>
      <c r="E5" s="32" t="n">
        <v>19153</v>
      </c>
      <c r="F5" s="15" t="n">
        <v>2242.46</v>
      </c>
      <c r="G5" s="33" t="n">
        <v>8.541066507317856</v>
      </c>
      <c r="H5" s="19" t="inlineStr"/>
    </row>
    <row r="6">
      <c r="A6" s="5" t="inlineStr">
        <is>
          <t>R1</t>
        </is>
      </c>
      <c r="B6" s="5" t="inlineStr">
        <is>
          <t>Módulo 01</t>
        </is>
      </c>
      <c r="C6" s="6" t="inlineStr">
        <is>
          <t>05 - 06 - 15 - 16</t>
        </is>
      </c>
      <c r="D6" s="15" t="n">
        <v>600.04</v>
      </c>
      <c r="E6" s="32" t="n">
        <v>19153</v>
      </c>
      <c r="F6" s="15" t="n">
        <v>2762.56</v>
      </c>
      <c r="G6" s="33" t="n">
        <v>6.933062087339279</v>
      </c>
      <c r="H6" s="19" t="inlineStr"/>
    </row>
    <row r="7">
      <c r="A7" s="5" t="inlineStr">
        <is>
          <t>R2</t>
        </is>
      </c>
      <c r="B7" s="5" t="inlineStr">
        <is>
          <t>Módulo 01</t>
        </is>
      </c>
      <c r="C7" s="6" t="inlineStr">
        <is>
          <t>07 - 08 - 17 - 18</t>
        </is>
      </c>
      <c r="D7" s="15" t="n">
        <v>570.16</v>
      </c>
      <c r="E7" s="32" t="n">
        <v>35575.25</v>
      </c>
      <c r="F7" s="15" t="n">
        <v>2715.04</v>
      </c>
      <c r="G7" s="33" t="n">
        <v>13.10302978961636</v>
      </c>
      <c r="H7" s="19" t="inlineStr"/>
    </row>
    <row r="8">
      <c r="A8" s="5" t="inlineStr">
        <is>
          <t>R3</t>
        </is>
      </c>
      <c r="B8" s="5" t="inlineStr">
        <is>
          <t>Módulo 01</t>
        </is>
      </c>
      <c r="C8" s="6" t="inlineStr">
        <is>
          <t>09 - 10 - 19 - 20</t>
        </is>
      </c>
      <c r="D8" s="15" t="n">
        <v>570.16</v>
      </c>
      <c r="E8" s="32" t="n">
        <v>54073</v>
      </c>
      <c r="F8" s="15" t="n">
        <v>2715.49</v>
      </c>
      <c r="G8" s="33" t="n">
        <v>19.91279658551495</v>
      </c>
      <c r="H8" s="19" t="inlineStr"/>
    </row>
    <row r="9">
      <c r="A9" s="5" t="inlineStr">
        <is>
          <t>R4</t>
        </is>
      </c>
      <c r="B9" s="5" t="inlineStr">
        <is>
          <t>Módulo 01</t>
        </is>
      </c>
      <c r="C9" s="6" t="inlineStr">
        <is>
          <t>21 - 22</t>
        </is>
      </c>
      <c r="D9" s="15" t="n">
        <v>300.02</v>
      </c>
      <c r="E9" s="32" t="n">
        <v>19060.98</v>
      </c>
      <c r="F9" s="15" t="n">
        <v>1428.66</v>
      </c>
      <c r="G9" s="33" t="n">
        <v>13.3418588047541</v>
      </c>
      <c r="H9" s="19" t="inlineStr"/>
    </row>
    <row r="10">
      <c r="A10" s="5" t="inlineStr">
        <is>
          <t>R5</t>
        </is>
      </c>
      <c r="B10" s="5" t="inlineStr">
        <is>
          <t>Módulo 01</t>
        </is>
      </c>
      <c r="C10" s="6" t="inlineStr">
        <is>
          <t>11 - 12   13</t>
        </is>
      </c>
      <c r="D10" s="15" t="n">
        <v>342.43</v>
      </c>
      <c r="E10" s="32" t="n">
        <v>20006</v>
      </c>
      <c r="F10" s="15" t="n">
        <v>1601.77</v>
      </c>
      <c r="G10" s="33" t="n">
        <v>12.48993301160591</v>
      </c>
      <c r="H10" s="19" t="inlineStr"/>
    </row>
    <row r="11">
      <c r="A11" s="5" t="inlineStr">
        <is>
          <t>R6</t>
        </is>
      </c>
      <c r="B11" s="5" t="inlineStr">
        <is>
          <t>Módulo 01</t>
        </is>
      </c>
      <c r="C11" s="6" t="inlineStr">
        <is>
          <t>14 - 23 - 24</t>
        </is>
      </c>
      <c r="D11" s="15" t="n">
        <v>450.03</v>
      </c>
      <c r="E11" s="32" t="n">
        <v>17398</v>
      </c>
      <c r="F11" s="15" t="n">
        <v>1931.29</v>
      </c>
      <c r="G11" s="33" t="n">
        <v>9.008486555618266</v>
      </c>
      <c r="H11" s="19" t="inlineStr"/>
    </row>
    <row r="12">
      <c r="A12" s="5" t="inlineStr">
        <is>
          <t>R7</t>
        </is>
      </c>
      <c r="B12" s="5" t="inlineStr">
        <is>
          <t>Módulo 01</t>
        </is>
      </c>
      <c r="C12" s="6" t="inlineStr">
        <is>
          <t>25 - 26 - 27 - 28 - 29</t>
        </is>
      </c>
      <c r="D12" s="15" t="n">
        <v>560.39</v>
      </c>
      <c r="E12" s="32" t="n">
        <v>74924</v>
      </c>
      <c r="F12" s="15" t="n">
        <v>2604.24</v>
      </c>
      <c r="G12" s="33" t="n">
        <v>28.77000583663564</v>
      </c>
      <c r="H12" s="19" t="inlineStr"/>
    </row>
    <row r="13">
      <c r="A13" s="5" t="inlineStr">
        <is>
          <t>C3Z3</t>
        </is>
      </c>
      <c r="B13" s="5" t="inlineStr">
        <is>
          <t>Módulo 01</t>
        </is>
      </c>
      <c r="C13" s="6" t="inlineStr">
        <is>
          <t>30 - 31 - 32 - 33 - 34</t>
        </is>
      </c>
      <c r="D13" s="15" t="n">
        <v>725.7299999999999</v>
      </c>
      <c r="E13" s="32" t="n"/>
      <c r="F13" s="15" t="n">
        <v>3271</v>
      </c>
      <c r="G13" s="33" t="n">
        <v>22.90553347600122</v>
      </c>
      <c r="H13" s="19" t="inlineStr"/>
    </row>
    <row r="14">
      <c r="A14" s="5" t="inlineStr">
        <is>
          <t>R8</t>
        </is>
      </c>
      <c r="B14" s="5" t="inlineStr">
        <is>
          <t>Módulo 02</t>
        </is>
      </c>
      <c r="C14" s="6" t="inlineStr">
        <is>
          <t>35 - 36 - 37 - 38</t>
        </is>
      </c>
      <c r="D14" s="15" t="n">
        <v>514.0799999999999</v>
      </c>
      <c r="E14" s="32" t="n">
        <v>43203</v>
      </c>
      <c r="F14" s="15" t="n">
        <v>2593.37</v>
      </c>
      <c r="G14" s="33" t="n">
        <v>16.65901895988617</v>
      </c>
      <c r="H14" s="19" t="inlineStr"/>
    </row>
    <row r="15">
      <c r="A15" s="5" t="inlineStr">
        <is>
          <t>R9</t>
        </is>
      </c>
      <c r="B15" s="5" t="inlineStr">
        <is>
          <t>Módulo 02</t>
        </is>
      </c>
      <c r="C15" s="6" t="inlineStr">
        <is>
          <t>41 - 42 - 43</t>
        </is>
      </c>
      <c r="D15" s="15" t="n">
        <v>377.75</v>
      </c>
      <c r="E15" s="32" t="n">
        <v>27135</v>
      </c>
      <c r="F15" s="15" t="n">
        <v>1798.77</v>
      </c>
      <c r="G15" s="33" t="n">
        <v>15.0853082940009</v>
      </c>
      <c r="H15" s="19" t="inlineStr"/>
    </row>
    <row r="16">
      <c r="A16" s="5" t="inlineStr">
        <is>
          <t>R10</t>
        </is>
      </c>
      <c r="B16" s="5" t="inlineStr">
        <is>
          <t>Módulo 02</t>
        </is>
      </c>
      <c r="C16" s="6" t="inlineStr">
        <is>
          <t>39 - 40</t>
        </is>
      </c>
      <c r="D16" s="15" t="n">
        <v>251.19</v>
      </c>
      <c r="E16" s="32" t="n">
        <v>18060</v>
      </c>
      <c r="F16" s="15" t="n">
        <v>1196.15</v>
      </c>
      <c r="G16" s="33" t="n">
        <v>15.09844083099946</v>
      </c>
      <c r="H16" s="19" t="inlineStr"/>
    </row>
    <row r="17">
      <c r="A17" s="5" t="inlineStr">
        <is>
          <t>R11</t>
        </is>
      </c>
      <c r="B17" s="5" t="inlineStr">
        <is>
          <t>Módulo 02</t>
        </is>
      </c>
      <c r="C17" s="6" t="inlineStr">
        <is>
          <t>45 - 46 - 47 - 48 - 49</t>
        </is>
      </c>
      <c r="D17" s="15" t="n">
        <v>762.1099999999999</v>
      </c>
      <c r="E17" s="32" t="n">
        <v>62246</v>
      </c>
      <c r="F17" s="15" t="n">
        <v>3591.21</v>
      </c>
      <c r="G17" s="33" t="n">
        <v>17.33287666274041</v>
      </c>
      <c r="H17" s="19" t="inlineStr"/>
    </row>
    <row r="18">
      <c r="A18" s="5" t="inlineStr">
        <is>
          <t>R12</t>
        </is>
      </c>
      <c r="B18" s="5" t="inlineStr">
        <is>
          <t>Módulo 02</t>
        </is>
      </c>
      <c r="C18" s="6" t="inlineStr">
        <is>
          <t>52 - 73 - 74</t>
        </is>
      </c>
      <c r="D18" s="15" t="n">
        <v>1131.66</v>
      </c>
      <c r="E18" s="32" t="n">
        <v>79396</v>
      </c>
      <c r="F18" s="15" t="n">
        <v>1990.76</v>
      </c>
      <c r="G18" s="33" t="n">
        <v>39.88225602282545</v>
      </c>
      <c r="H18" s="19" t="inlineStr"/>
    </row>
    <row r="19">
      <c r="A19" s="5" t="inlineStr">
        <is>
          <t>R13</t>
        </is>
      </c>
      <c r="B19" s="5" t="inlineStr">
        <is>
          <t>Módulo 03</t>
        </is>
      </c>
      <c r="C19" s="6" t="inlineStr">
        <is>
          <t>44 - 53 - 54 - 55</t>
        </is>
      </c>
      <c r="D19" s="15" t="n">
        <v>437.8000000000001</v>
      </c>
      <c r="E19" s="32" t="n">
        <v>82650</v>
      </c>
      <c r="F19" s="15" t="n">
        <v>2261.11</v>
      </c>
      <c r="G19" s="33" t="n">
        <v>36.55284351491083</v>
      </c>
      <c r="H19" s="19" t="inlineStr"/>
    </row>
    <row r="20">
      <c r="A20" s="5" t="inlineStr">
        <is>
          <t>R14</t>
        </is>
      </c>
      <c r="B20" s="5" t="inlineStr">
        <is>
          <t>Módulo 03</t>
        </is>
      </c>
      <c r="C20" s="6" t="inlineStr">
        <is>
          <t>50 - 51 - 56</t>
        </is>
      </c>
      <c r="D20" s="15" t="n">
        <v>440.12</v>
      </c>
      <c r="E20" s="32" t="n"/>
      <c r="F20" s="15" t="n">
        <v>2019.91</v>
      </c>
      <c r="G20" s="33" t="n">
        <v>40.91766464842492</v>
      </c>
      <c r="H20" s="19" t="inlineStr"/>
    </row>
    <row r="21">
      <c r="A21" s="5" t="inlineStr">
        <is>
          <t>R15</t>
        </is>
      </c>
      <c r="B21" s="5" t="inlineStr">
        <is>
          <t>Módulo 03</t>
        </is>
      </c>
      <c r="C21" s="6" t="inlineStr">
        <is>
          <t>57 - 58 - 59 - 60 - 66</t>
        </is>
      </c>
      <c r="D21" s="15" t="n">
        <v>695.98</v>
      </c>
      <c r="E21" s="32" t="n"/>
      <c r="F21" s="15" t="n">
        <v>3299.89</v>
      </c>
      <c r="G21" s="33" t="n"/>
      <c r="H21" s="19" t="inlineStr"/>
    </row>
    <row r="22">
      <c r="A22" s="5" t="inlineStr">
        <is>
          <t>R16</t>
        </is>
      </c>
      <c r="B22" s="5" t="inlineStr">
        <is>
          <t>Módulo 03</t>
        </is>
      </c>
      <c r="C22" s="6" t="inlineStr">
        <is>
          <t>61 - 62 - 67 - 68</t>
        </is>
      </c>
      <c r="D22" s="15" t="n">
        <v>447.1</v>
      </c>
      <c r="E22" s="32" t="n"/>
      <c r="F22" s="15" t="n">
        <v>2129.04</v>
      </c>
      <c r="G22" s="33" t="n"/>
      <c r="H22" s="19" t="inlineStr"/>
    </row>
    <row r="23">
      <c r="A23" s="5" t="inlineStr">
        <is>
          <t>R17</t>
        </is>
      </c>
      <c r="B23" s="5" t="inlineStr">
        <is>
          <t>Módulo 03</t>
        </is>
      </c>
      <c r="C23" s="6" t="inlineStr">
        <is>
          <t>69 - 70 - 71 - 72</t>
        </is>
      </c>
      <c r="D23" s="15" t="n">
        <v>396.26</v>
      </c>
      <c r="E23" s="32" t="n"/>
      <c r="F23" s="15" t="n">
        <v>1886.81</v>
      </c>
      <c r="G23" s="33" t="n"/>
      <c r="H23" s="19" t="inlineStr"/>
    </row>
    <row r="24">
      <c r="A24" s="5" t="inlineStr">
        <is>
          <t>RM1</t>
        </is>
      </c>
      <c r="B24" s="5" t="inlineStr">
        <is>
          <t>Módulo 01</t>
        </is>
      </c>
      <c r="C24" s="6" t="inlineStr">
        <is>
          <t>109</t>
        </is>
      </c>
      <c r="D24" s="15" t="n">
        <v>102.1</v>
      </c>
      <c r="E24" s="32" t="n"/>
      <c r="F24" s="15" t="n">
        <v>382.14</v>
      </c>
      <c r="G24" s="33" t="n"/>
      <c r="H24" s="19" t="inlineStr"/>
    </row>
    <row r="25">
      <c r="A25" s="5" t="inlineStr">
        <is>
          <t>RM2</t>
        </is>
      </c>
      <c r="B25" s="5" t="inlineStr">
        <is>
          <t>Módulo 01</t>
        </is>
      </c>
      <c r="C25" s="6" t="inlineStr">
        <is>
          <t>106 - 108</t>
        </is>
      </c>
      <c r="D25" s="15" t="n">
        <v>221.14</v>
      </c>
      <c r="E25" s="32" t="n"/>
      <c r="F25" s="15" t="n">
        <v>1053.04</v>
      </c>
      <c r="G25" s="33" t="n"/>
      <c r="H25" s="19" t="inlineStr"/>
    </row>
    <row r="26">
      <c r="A26" s="5" t="inlineStr">
        <is>
          <t>RM3</t>
        </is>
      </c>
      <c r="B26" s="5" t="inlineStr">
        <is>
          <t>Módulo 01</t>
        </is>
      </c>
      <c r="C26" s="6" t="inlineStr">
        <is>
          <t>105 - 107</t>
        </is>
      </c>
      <c r="D26" s="15" t="n">
        <v>246.57</v>
      </c>
      <c r="E26" s="32" t="n"/>
      <c r="F26" s="15" t="n">
        <v>1174.15</v>
      </c>
      <c r="G26" s="33" t="n"/>
      <c r="H26" s="19" t="inlineStr"/>
    </row>
    <row r="27">
      <c r="A27" s="5" t="inlineStr">
        <is>
          <t>RM4</t>
        </is>
      </c>
      <c r="B27" s="5" t="inlineStr">
        <is>
          <t>Módulo 01</t>
        </is>
      </c>
      <c r="C27" s="6" t="inlineStr">
        <is>
          <t>101 - 102 - 103 - 104 - 110</t>
        </is>
      </c>
      <c r="D27" s="15" t="n">
        <v>675.37</v>
      </c>
      <c r="E27" s="32" t="n"/>
      <c r="F27" s="15" t="n">
        <v>3201.74</v>
      </c>
      <c r="G27" s="33" t="n"/>
      <c r="H27" s="19" t="inlineStr"/>
    </row>
    <row r="28">
      <c r="A28" s="5" t="inlineStr">
        <is>
          <t>RM5</t>
        </is>
      </c>
      <c r="B28" s="5" t="inlineStr">
        <is>
          <t>Módulo 02</t>
        </is>
      </c>
      <c r="C28" s="6" t="inlineStr">
        <is>
          <t>112 - 113 - 114 - 115 - 131 - 132</t>
        </is>
      </c>
      <c r="D28" s="15" t="n">
        <v>432.18</v>
      </c>
      <c r="E28" s="32" t="n"/>
      <c r="F28" s="15" t="n">
        <v>2057.15</v>
      </c>
      <c r="G28" s="33" t="n"/>
      <c r="H28" s="19" t="inlineStr"/>
    </row>
    <row r="29">
      <c r="A29" s="5" t="inlineStr">
        <is>
          <t>RM6</t>
        </is>
      </c>
      <c r="B29" s="5" t="inlineStr">
        <is>
          <t>Módulo 02</t>
        </is>
      </c>
      <c r="C29" s="6" t="inlineStr">
        <is>
          <t>116 - 117 - 118 - 119  128 - 129  - 130</t>
        </is>
      </c>
      <c r="D29" s="15" t="n">
        <v>708.9</v>
      </c>
      <c r="E29" s="32" t="n"/>
      <c r="F29" s="15" t="n">
        <v>4077.29</v>
      </c>
      <c r="G29" s="33" t="n"/>
      <c r="H29" s="19" t="inlineStr"/>
    </row>
    <row r="30">
      <c r="A30" s="5" t="inlineStr">
        <is>
          <t>RM7</t>
        </is>
      </c>
      <c r="B30" s="5" t="inlineStr">
        <is>
          <t>Módulo 02</t>
        </is>
      </c>
      <c r="C30" s="6" t="inlineStr">
        <is>
          <t>120 - 121 - 122 - 123  124 - 125 - 126 - 127 - 133</t>
        </is>
      </c>
      <c r="D30" s="15" t="n">
        <v>1080.98</v>
      </c>
      <c r="E30" s="32" t="n"/>
      <c r="F30" s="15" t="n">
        <v>5126.490000000001</v>
      </c>
      <c r="G30" s="33" t="n"/>
      <c r="H30" s="19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9D08E"/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2" customWidth="1" min="4" max="4"/>
    <col width="34" customWidth="1" min="5" max="5"/>
  </cols>
  <sheetData>
    <row r="1" ht="20" customHeight="1">
      <c r="A1" s="1" t="inlineStr">
        <is>
          <t>VARIEDADES (informado pelo planejador)</t>
        </is>
      </c>
    </row>
    <row r="2">
      <c r="A2" s="2" t="inlineStr">
        <is>
          <t>Nao sao dados de fabricante. Revisavel.</t>
        </is>
      </c>
    </row>
    <row r="4">
      <c r="A4" s="38" t="inlineStr">
        <is>
          <t>SOJA</t>
        </is>
      </c>
    </row>
    <row r="5" ht="30" customHeight="1">
      <c r="A5" s="4" t="inlineStr">
        <is>
          <t>Variedade</t>
        </is>
      </c>
      <c r="B5" s="4" t="inlineStr">
        <is>
          <t>GRM</t>
        </is>
      </c>
      <c r="C5" s="4" t="inlineStr">
        <is>
          <t>Ocupacao (d)</t>
        </is>
      </c>
      <c r="D5" s="4" t="inlineStr">
        <is>
          <t>Classe (deriv.)</t>
        </is>
      </c>
      <c r="E5" s="4" t="inlineStr">
        <is>
          <t>Obs</t>
        </is>
      </c>
    </row>
    <row r="6">
      <c r="A6" s="39" t="inlineStr">
        <is>
          <t>CZ 37B07 I2X</t>
        </is>
      </c>
      <c r="B6" s="40" t="n">
        <v>7</v>
      </c>
      <c r="C6" s="41" t="n">
        <v>108</v>
      </c>
      <c r="D6" s="42" t="inlineStr">
        <is>
          <t>PRECOCE</t>
        </is>
      </c>
      <c r="E6" s="19" t="inlineStr"/>
    </row>
    <row r="7">
      <c r="A7" s="39" t="inlineStr">
        <is>
          <t>COMBATE IPRO</t>
        </is>
      </c>
      <c r="B7" s="40" t="n">
        <v>7.4</v>
      </c>
      <c r="C7" s="41" t="n">
        <v>114</v>
      </c>
      <c r="D7" s="42" t="inlineStr">
        <is>
          <t>PRECOCE</t>
        </is>
      </c>
      <c r="E7" s="19" t="inlineStr"/>
    </row>
    <row r="8">
      <c r="A8" s="39" t="inlineStr">
        <is>
          <t>ATAQUE I2X</t>
        </is>
      </c>
      <c r="B8" s="40" t="n">
        <v>8.199999999999999</v>
      </c>
      <c r="C8" s="41" t="n">
        <v>140</v>
      </c>
      <c r="D8" s="42" t="inlineStr">
        <is>
          <t>TARDIA</t>
        </is>
      </c>
      <c r="E8" s="19" t="inlineStr"/>
    </row>
    <row r="9">
      <c r="A9" s="39" t="inlineStr">
        <is>
          <t>NEO 761 I2X</t>
        </is>
      </c>
      <c r="B9" s="40" t="n">
        <v>7.6</v>
      </c>
      <c r="C9" s="41" t="n">
        <v>116</v>
      </c>
      <c r="D9" s="42" t="inlineStr">
        <is>
          <t>PRECOCE</t>
        </is>
      </c>
      <c r="E9" s="19" t="inlineStr"/>
    </row>
    <row r="10">
      <c r="A10" s="39" t="inlineStr">
        <is>
          <t>BMX Olimpo IPRO</t>
        </is>
      </c>
      <c r="B10" s="40" t="n">
        <v>7.7</v>
      </c>
      <c r="C10" s="41" t="n">
        <v>122</v>
      </c>
      <c r="D10" s="42" t="inlineStr">
        <is>
          <t>MÉDIA</t>
        </is>
      </c>
      <c r="E10" s="19" t="inlineStr"/>
    </row>
    <row r="11">
      <c r="A11" s="39" t="inlineStr">
        <is>
          <t>NEO 690 I2X</t>
        </is>
      </c>
      <c r="B11" s="40" t="n">
        <v>6.9</v>
      </c>
      <c r="C11" s="41" t="n">
        <v>108</v>
      </c>
      <c r="D11" s="42" t="inlineStr">
        <is>
          <t>PRECOCE</t>
        </is>
      </c>
      <c r="E11" s="19" t="inlineStr"/>
    </row>
    <row r="12">
      <c r="A12" s="39" t="inlineStr">
        <is>
          <t>CZ 48B18 IPRO</t>
        </is>
      </c>
      <c r="B12" s="40" t="n">
        <v>8.1</v>
      </c>
      <c r="C12" s="41" t="n">
        <v>125</v>
      </c>
      <c r="D12" s="42" t="inlineStr">
        <is>
          <t>MÉDIA</t>
        </is>
      </c>
      <c r="E12" s="19" t="inlineStr"/>
    </row>
    <row r="13">
      <c r="A13" s="39" t="inlineStr">
        <is>
          <t>M8434 12X</t>
        </is>
      </c>
      <c r="B13" s="40" t="n">
        <v>8.4</v>
      </c>
      <c r="C13" s="41" t="n">
        <v>130</v>
      </c>
      <c r="D13" s="42" t="inlineStr">
        <is>
          <t>MÉDIA</t>
        </is>
      </c>
      <c r="E13" s="19" t="inlineStr"/>
    </row>
    <row r="14">
      <c r="A14" s="39" t="inlineStr">
        <is>
          <t>CZ 58B10 I2X</t>
        </is>
      </c>
      <c r="B14" s="40" t="n">
        <v>8.1</v>
      </c>
      <c r="C14" s="41" t="n">
        <v>125</v>
      </c>
      <c r="D14" s="42" t="inlineStr">
        <is>
          <t>MÉDIA</t>
        </is>
      </c>
      <c r="E14" s="19" t="inlineStr"/>
    </row>
    <row r="15">
      <c r="A15" s="39" t="inlineStr">
        <is>
          <t>COMPLETA IPRO</t>
        </is>
      </c>
      <c r="B15" s="40" t="n">
        <v>7.9</v>
      </c>
      <c r="C15" s="41" t="n">
        <v>120</v>
      </c>
      <c r="D15" s="42" t="inlineStr">
        <is>
          <t>MÉDIA</t>
        </is>
      </c>
      <c r="E15" s="19" t="inlineStr"/>
    </row>
    <row r="16">
      <c r="A16" s="39" t="inlineStr">
        <is>
          <t>MURALHA IPRO</t>
        </is>
      </c>
      <c r="B16" s="40" t="n">
        <v>8.199999999999999</v>
      </c>
      <c r="C16" s="41" t="n">
        <v>125</v>
      </c>
      <c r="D16" s="42" t="inlineStr">
        <is>
          <t>MÉDIA</t>
        </is>
      </c>
      <c r="E16" s="19" t="inlineStr"/>
    </row>
    <row r="17">
      <c r="A17" s="39" t="inlineStr">
        <is>
          <t>BMX DOMINIO IPRO</t>
        </is>
      </c>
      <c r="B17" s="40" t="n">
        <v>8.4</v>
      </c>
      <c r="C17" s="41" t="n">
        <v>130</v>
      </c>
      <c r="D17" s="42" t="inlineStr">
        <is>
          <t>MÉDIA</t>
        </is>
      </c>
      <c r="E17" s="19" t="inlineStr"/>
    </row>
    <row r="18">
      <c r="A18" s="39" t="inlineStr">
        <is>
          <t>GUEPARDO</t>
        </is>
      </c>
      <c r="B18" s="40" t="n">
        <v>6.7</v>
      </c>
      <c r="C18" s="41" t="n">
        <v>105</v>
      </c>
      <c r="D18" s="42" t="inlineStr">
        <is>
          <t>PRECOCE</t>
        </is>
      </c>
      <c r="E18" s="19" t="inlineStr"/>
    </row>
    <row r="19">
      <c r="A19" s="39" t="inlineStr">
        <is>
          <t>NEO 780 CE</t>
        </is>
      </c>
      <c r="B19" s="40" t="n">
        <v>7.8</v>
      </c>
      <c r="C19" s="41" t="n">
        <v>120</v>
      </c>
      <c r="D19" s="42" t="inlineStr">
        <is>
          <t>MÉDIA</t>
        </is>
      </c>
      <c r="E19" s="19" t="inlineStr"/>
    </row>
    <row r="20">
      <c r="A20" s="39" t="inlineStr">
        <is>
          <t>ST 76KA72</t>
        </is>
      </c>
      <c r="B20" s="40" t="n">
        <v>7.6</v>
      </c>
      <c r="C20" s="41" t="n">
        <v>116</v>
      </c>
      <c r="D20" s="42" t="inlineStr">
        <is>
          <t>PRECOCE</t>
        </is>
      </c>
      <c r="E20" s="19" t="inlineStr"/>
    </row>
    <row r="21">
      <c r="A21" s="39" t="inlineStr">
        <is>
          <t>SPARTA I2X</t>
        </is>
      </c>
      <c r="B21" s="40" t="n">
        <v>7.7</v>
      </c>
      <c r="C21" s="41" t="n">
        <v>120</v>
      </c>
      <c r="D21" s="42" t="inlineStr">
        <is>
          <t>MÉDIA</t>
        </is>
      </c>
      <c r="E21" s="19" t="inlineStr"/>
    </row>
    <row r="22">
      <c r="A22" s="39" t="inlineStr">
        <is>
          <t>NEO 811 I2X</t>
        </is>
      </c>
      <c r="B22" s="40" t="n">
        <v>8.1</v>
      </c>
      <c r="C22" s="41" t="n">
        <v>125</v>
      </c>
      <c r="D22" s="42" t="inlineStr">
        <is>
          <t>MÉDIA</t>
        </is>
      </c>
      <c r="E22" s="19" t="inlineStr"/>
    </row>
    <row r="24">
      <c r="A24" s="38" t="inlineStr">
        <is>
          <t>ALGODAO</t>
        </is>
      </c>
    </row>
    <row r="25" ht="30" customHeight="1">
      <c r="A25" s="4" t="inlineStr">
        <is>
          <t>Variedade</t>
        </is>
      </c>
      <c r="B25" s="4" t="inlineStr">
        <is>
          <t>Classe</t>
        </is>
      </c>
      <c r="C25" s="4" t="inlineStr">
        <is>
          <t>Ocupacao (d)</t>
        </is>
      </c>
      <c r="D25" s="4" t="inlineStr"/>
      <c r="E25" s="4" t="inlineStr"/>
    </row>
    <row r="26">
      <c r="A26" s="39" t="inlineStr">
        <is>
          <t>DP 1949 B3RF</t>
        </is>
      </c>
      <c r="B26" s="42" t="inlineStr">
        <is>
          <t>Medio</t>
        </is>
      </c>
      <c r="C26" s="41" t="n">
        <v>195</v>
      </c>
    </row>
    <row r="27">
      <c r="A27" s="39" t="inlineStr">
        <is>
          <t>FM 911 GLTP</t>
        </is>
      </c>
      <c r="B27" s="42" t="inlineStr">
        <is>
          <t>Precoce</t>
        </is>
      </c>
      <c r="C27" s="41" t="n">
        <v>180</v>
      </c>
    </row>
    <row r="28">
      <c r="A28" s="39" t="inlineStr">
        <is>
          <t>FM 974 GLT</t>
        </is>
      </c>
      <c r="B28" s="42" t="inlineStr">
        <is>
          <t>Medio</t>
        </is>
      </c>
      <c r="C28" s="41" t="n">
        <v>195</v>
      </c>
    </row>
    <row r="29">
      <c r="A29" s="39" t="inlineStr">
        <is>
          <t>FM 985 GLTP</t>
        </is>
      </c>
      <c r="B29" s="42" t="inlineStr">
        <is>
          <t>Tardio</t>
        </is>
      </c>
      <c r="C29" s="41" t="n">
        <v>210</v>
      </c>
    </row>
    <row r="30">
      <c r="A30" s="39" t="inlineStr">
        <is>
          <t>FM 990 STP</t>
        </is>
      </c>
      <c r="B30" s="42" t="inlineStr">
        <is>
          <t>Tardio</t>
        </is>
      </c>
      <c r="C30" s="41" t="n">
        <v>210</v>
      </c>
    </row>
    <row r="31">
      <c r="A31" s="39" t="inlineStr">
        <is>
          <t>TMG 33 B3RF</t>
        </is>
      </c>
      <c r="B31" s="42" t="inlineStr">
        <is>
          <t>Precoce</t>
        </is>
      </c>
      <c r="C31" s="41" t="n">
        <v>180</v>
      </c>
    </row>
    <row r="32">
      <c r="A32" s="39" t="inlineStr">
        <is>
          <t>DP 2111 B3RF</t>
        </is>
      </c>
      <c r="B32" s="42" t="inlineStr">
        <is>
          <t>Precoce</t>
        </is>
      </c>
      <c r="C32" s="41" t="n">
        <v>180</v>
      </c>
    </row>
    <row r="33">
      <c r="A33" s="39" t="inlineStr">
        <is>
          <t>IMA 5901 B2RF</t>
        </is>
      </c>
      <c r="B33" s="42" t="inlineStr">
        <is>
          <t>Medio</t>
        </is>
      </c>
      <c r="C33" s="41" t="n">
        <v>195</v>
      </c>
    </row>
    <row r="34">
      <c r="A34" s="39" t="inlineStr">
        <is>
          <t>DP 2176 B3RF</t>
        </is>
      </c>
      <c r="B34" s="42" t="inlineStr">
        <is>
          <t>Tardio</t>
        </is>
      </c>
      <c r="C34" s="41" t="n">
        <v>210</v>
      </c>
    </row>
    <row r="35">
      <c r="A35" s="39" t="inlineStr">
        <is>
          <t>FM 933 STP</t>
        </is>
      </c>
      <c r="B35" s="42" t="inlineStr">
        <is>
          <t>Medio</t>
        </is>
      </c>
      <c r="C35" s="41" t="n">
        <v>195</v>
      </c>
    </row>
    <row r="36">
      <c r="A36" s="39" t="inlineStr">
        <is>
          <t>TAURA B3XF</t>
        </is>
      </c>
      <c r="B36" s="42" t="inlineStr">
        <is>
          <t>Precoce</t>
        </is>
      </c>
      <c r="C36" s="41" t="n">
        <v>180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8" customWidth="1" min="8" max="8"/>
    <col width="8" customWidth="1" min="9" max="9"/>
    <col width="8" customWidth="1" min="10" max="10"/>
    <col width="20" customWidth="1" min="11" max="11"/>
  </cols>
  <sheetData>
    <row r="1" ht="20" customHeight="1">
      <c r="A1" s="1" t="inlineStr">
        <is>
          <t>KC_CURVAS - Kc FAO-56 por cultura e classe</t>
        </is>
      </c>
    </row>
    <row r="2">
      <c r="A2" s="2" t="inlineStr">
        <is>
          <t>Motor do Kc. Kc varia com o DAE (curva por fases). Editavel.</t>
        </is>
      </c>
    </row>
    <row r="4" ht="30" customHeight="1">
      <c r="A4" s="4" t="inlineStr">
        <is>
          <t>Cultura</t>
        </is>
      </c>
      <c r="B4" s="4" t="inlineStr">
        <is>
          <t>Classe</t>
        </is>
      </c>
      <c r="C4" s="4" t="inlineStr">
        <is>
          <t>L_ini</t>
        </is>
      </c>
      <c r="D4" s="4" t="inlineStr">
        <is>
          <t>L_dev</t>
        </is>
      </c>
      <c r="E4" s="4" t="inlineStr">
        <is>
          <t>L_mid</t>
        </is>
      </c>
      <c r="F4" s="4" t="inlineStr">
        <is>
          <t>L_late</t>
        </is>
      </c>
      <c r="G4" s="4" t="inlineStr">
        <is>
          <t>Kc_ini</t>
        </is>
      </c>
      <c r="H4" s="4" t="inlineStr">
        <is>
          <t>Kc_mid</t>
        </is>
      </c>
      <c r="I4" s="4" t="inlineStr">
        <is>
          <t>Kc_end</t>
        </is>
      </c>
      <c r="J4" s="4" t="inlineStr">
        <is>
          <t>Total(d)</t>
        </is>
      </c>
      <c r="K4" s="4" t="inlineStr">
        <is>
          <t>Chave</t>
        </is>
      </c>
    </row>
    <row r="5">
      <c r="A5" s="39" t="inlineStr">
        <is>
          <t>ALGODÃO</t>
        </is>
      </c>
      <c r="B5" s="42" t="inlineStr">
        <is>
          <t>PRECOCE</t>
        </is>
      </c>
      <c r="C5" s="41" t="n">
        <v>25</v>
      </c>
      <c r="D5" s="41" t="n">
        <v>40</v>
      </c>
      <c r="E5" s="41" t="n">
        <v>55</v>
      </c>
      <c r="F5" s="41" t="n">
        <v>40</v>
      </c>
      <c r="G5" s="43" t="n">
        <v>0.35</v>
      </c>
      <c r="H5" s="43" t="n">
        <v>1.2</v>
      </c>
      <c r="I5" s="43" t="n">
        <v>0.55</v>
      </c>
      <c r="J5" s="41" t="n">
        <v>160</v>
      </c>
      <c r="K5" s="24">
        <f>A5&amp;"|"&amp;B5</f>
        <v/>
      </c>
    </row>
    <row r="6">
      <c r="A6" s="39" t="inlineStr">
        <is>
          <t>ALGODÃO</t>
        </is>
      </c>
      <c r="B6" s="42" t="inlineStr">
        <is>
          <t>MÉDIO</t>
        </is>
      </c>
      <c r="C6" s="41" t="n">
        <v>30</v>
      </c>
      <c r="D6" s="41" t="n">
        <v>45</v>
      </c>
      <c r="E6" s="41" t="n">
        <v>55</v>
      </c>
      <c r="F6" s="41" t="n">
        <v>40</v>
      </c>
      <c r="G6" s="43" t="n">
        <v>0.35</v>
      </c>
      <c r="H6" s="43" t="n">
        <v>1.2</v>
      </c>
      <c r="I6" s="43" t="n">
        <v>0.55</v>
      </c>
      <c r="J6" s="41" t="n">
        <v>170</v>
      </c>
      <c r="K6" s="24">
        <f>A6&amp;"|"&amp;B6</f>
        <v/>
      </c>
    </row>
    <row r="7">
      <c r="A7" s="39" t="inlineStr">
        <is>
          <t>ALGODÃO</t>
        </is>
      </c>
      <c r="B7" s="42" t="inlineStr">
        <is>
          <t>TARDIO</t>
        </is>
      </c>
      <c r="C7" s="41" t="n">
        <v>30</v>
      </c>
      <c r="D7" s="41" t="n">
        <v>50</v>
      </c>
      <c r="E7" s="41" t="n">
        <v>65</v>
      </c>
      <c r="F7" s="41" t="n">
        <v>40</v>
      </c>
      <c r="G7" s="43" t="n">
        <v>0.35</v>
      </c>
      <c r="H7" s="43" t="n">
        <v>1.2</v>
      </c>
      <c r="I7" s="43" t="n">
        <v>0.6</v>
      </c>
      <c r="J7" s="41" t="n">
        <v>185</v>
      </c>
      <c r="K7" s="24">
        <f>A7&amp;"|"&amp;B7</f>
        <v/>
      </c>
    </row>
    <row r="8">
      <c r="A8" s="39" t="inlineStr">
        <is>
          <t>SOJA</t>
        </is>
      </c>
      <c r="B8" s="42" t="inlineStr">
        <is>
          <t>PRECOCE</t>
        </is>
      </c>
      <c r="C8" s="41" t="n">
        <v>15</v>
      </c>
      <c r="D8" s="41" t="n">
        <v>25</v>
      </c>
      <c r="E8" s="41" t="n">
        <v>50</v>
      </c>
      <c r="F8" s="41" t="n">
        <v>25</v>
      </c>
      <c r="G8" s="43" t="n">
        <v>0.4</v>
      </c>
      <c r="H8" s="43" t="n">
        <v>1.15</v>
      </c>
      <c r="I8" s="43" t="n">
        <v>0.5</v>
      </c>
      <c r="J8" s="41" t="n">
        <v>115</v>
      </c>
      <c r="K8" s="24">
        <f>A8&amp;"|"&amp;B8</f>
        <v/>
      </c>
    </row>
    <row r="9">
      <c r="A9" s="39" t="inlineStr">
        <is>
          <t>SOJA</t>
        </is>
      </c>
      <c r="B9" s="42" t="inlineStr">
        <is>
          <t>MÉDIA</t>
        </is>
      </c>
      <c r="C9" s="41" t="n">
        <v>20</v>
      </c>
      <c r="D9" s="41" t="n">
        <v>30</v>
      </c>
      <c r="E9" s="41" t="n">
        <v>55</v>
      </c>
      <c r="F9" s="41" t="n">
        <v>23</v>
      </c>
      <c r="G9" s="43" t="n">
        <v>0.4</v>
      </c>
      <c r="H9" s="43" t="n">
        <v>1.15</v>
      </c>
      <c r="I9" s="43" t="n">
        <v>0.5</v>
      </c>
      <c r="J9" s="41" t="n">
        <v>128</v>
      </c>
      <c r="K9" s="24">
        <f>A9&amp;"|"&amp;B9</f>
        <v/>
      </c>
    </row>
    <row r="10">
      <c r="A10" s="39" t="inlineStr">
        <is>
          <t>SOJA</t>
        </is>
      </c>
      <c r="B10" s="42" t="inlineStr">
        <is>
          <t>TARDIA</t>
        </is>
      </c>
      <c r="C10" s="41" t="n">
        <v>20</v>
      </c>
      <c r="D10" s="41" t="n">
        <v>35</v>
      </c>
      <c r="E10" s="41" t="n">
        <v>60</v>
      </c>
      <c r="F10" s="41" t="n">
        <v>28</v>
      </c>
      <c r="G10" s="43" t="n">
        <v>0.4</v>
      </c>
      <c r="H10" s="43" t="n">
        <v>1.15</v>
      </c>
      <c r="I10" s="43" t="n">
        <v>0.5</v>
      </c>
      <c r="J10" s="41" t="n">
        <v>143</v>
      </c>
      <c r="K10" s="24">
        <f>A10&amp;"|"&amp;B10</f>
        <v/>
      </c>
    </row>
    <row r="11">
      <c r="A11" s="39" t="inlineStr">
        <is>
          <t>SOJA SEQUEIRO</t>
        </is>
      </c>
      <c r="B11" s="42" t="inlineStr">
        <is>
          <t>PRECOCE</t>
        </is>
      </c>
      <c r="C11" s="41" t="n">
        <v>15</v>
      </c>
      <c r="D11" s="41" t="n">
        <v>25</v>
      </c>
      <c r="E11" s="41" t="n">
        <v>50</v>
      </c>
      <c r="F11" s="41" t="n">
        <v>25</v>
      </c>
      <c r="G11" s="43" t="n">
        <v>0.4</v>
      </c>
      <c r="H11" s="43" t="n">
        <v>1.15</v>
      </c>
      <c r="I11" s="43" t="n">
        <v>0.5</v>
      </c>
      <c r="J11" s="41" t="n">
        <v>115</v>
      </c>
      <c r="K11" s="24">
        <f>A11&amp;"|"&amp;B11</f>
        <v/>
      </c>
    </row>
    <row r="12">
      <c r="A12" s="39" t="inlineStr">
        <is>
          <t>SOJA SEQUEIRO</t>
        </is>
      </c>
      <c r="B12" s="42" t="inlineStr">
        <is>
          <t>MÉDIA</t>
        </is>
      </c>
      <c r="C12" s="41" t="n">
        <v>20</v>
      </c>
      <c r="D12" s="41" t="n">
        <v>30</v>
      </c>
      <c r="E12" s="41" t="n">
        <v>55</v>
      </c>
      <c r="F12" s="41" t="n">
        <v>23</v>
      </c>
      <c r="G12" s="43" t="n">
        <v>0.4</v>
      </c>
      <c r="H12" s="43" t="n">
        <v>1.15</v>
      </c>
      <c r="I12" s="43" t="n">
        <v>0.5</v>
      </c>
      <c r="J12" s="41" t="n">
        <v>128</v>
      </c>
      <c r="K12" s="24">
        <f>A12&amp;"|"&amp;B12</f>
        <v/>
      </c>
    </row>
    <row r="13">
      <c r="A13" s="39" t="inlineStr">
        <is>
          <t>SOJA SEQUEIRO</t>
        </is>
      </c>
      <c r="B13" s="42" t="inlineStr">
        <is>
          <t>TARDIA</t>
        </is>
      </c>
      <c r="C13" s="41" t="n">
        <v>20</v>
      </c>
      <c r="D13" s="41" t="n">
        <v>35</v>
      </c>
      <c r="E13" s="41" t="n">
        <v>60</v>
      </c>
      <c r="F13" s="41" t="n">
        <v>28</v>
      </c>
      <c r="G13" s="43" t="n">
        <v>0.4</v>
      </c>
      <c r="H13" s="43" t="n">
        <v>1.15</v>
      </c>
      <c r="I13" s="43" t="n">
        <v>0.5</v>
      </c>
      <c r="J13" s="41" t="n">
        <v>143</v>
      </c>
      <c r="K13" s="24">
        <f>A13&amp;"|"&amp;B13</f>
        <v/>
      </c>
    </row>
    <row r="14">
      <c r="A14" s="39" t="inlineStr">
        <is>
          <t>TABACO</t>
        </is>
      </c>
      <c r="B14" s="42" t="inlineStr"/>
      <c r="C14" s="41" t="n">
        <v>10</v>
      </c>
      <c r="D14" s="41" t="n">
        <v>25</v>
      </c>
      <c r="E14" s="41" t="n">
        <v>30</v>
      </c>
      <c r="F14" s="41" t="n">
        <v>25</v>
      </c>
      <c r="G14" s="43" t="n">
        <v>0.35</v>
      </c>
      <c r="H14" s="43" t="n">
        <v>1.15</v>
      </c>
      <c r="I14" s="43" t="n">
        <v>0.8</v>
      </c>
      <c r="J14" s="41" t="n">
        <v>90</v>
      </c>
      <c r="K14" s="24">
        <f>A14&amp;"|"&amp;B14</f>
        <v/>
      </c>
    </row>
    <row r="15">
      <c r="A15" s="39" t="inlineStr">
        <is>
          <t>MILHO GRÃO</t>
        </is>
      </c>
      <c r="B15" s="42" t="inlineStr"/>
      <c r="C15" s="41" t="n">
        <v>25</v>
      </c>
      <c r="D15" s="41" t="n">
        <v>40</v>
      </c>
      <c r="E15" s="41" t="n">
        <v>45</v>
      </c>
      <c r="F15" s="41" t="n">
        <v>20</v>
      </c>
      <c r="G15" s="43" t="n">
        <v>0.3</v>
      </c>
      <c r="H15" s="43" t="n">
        <v>1.2</v>
      </c>
      <c r="I15" s="43" t="n">
        <v>0.6</v>
      </c>
      <c r="J15" s="41" t="n">
        <v>130</v>
      </c>
      <c r="K15" s="24">
        <f>A15&amp;"|"&amp;B15</f>
        <v/>
      </c>
    </row>
    <row r="17">
      <c r="A17" s="19" t="inlineStr">
        <is>
          <t>CACAU nao tem curva propria aqui -&gt; Kc fica PENDENTE (nao copiar de outra cultura). Tabaco/milho usam a curva unica da cultura.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1" t="n"/>
    </row>
  </sheetData>
  <mergeCells count="1">
    <mergeCell ref="A17:K1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42" customWidth="1" min="4" max="4"/>
  </cols>
  <sheetData>
    <row r="1" ht="20" customHeight="1">
      <c r="A1" s="1" t="inlineStr">
        <is>
          <t>RESUMO - manejo via clima e energia</t>
        </is>
      </c>
    </row>
    <row r="4" ht="30" customHeight="1">
      <c r="A4" s="4" t="inlineStr">
        <is>
          <t>Indicador</t>
        </is>
      </c>
      <c r="B4" s="4" t="inlineStr">
        <is>
          <t>Valor</t>
        </is>
      </c>
      <c r="C4" s="4" t="inlineStr">
        <is>
          <t>Unid</t>
        </is>
      </c>
      <c r="D4" s="4" t="inlineStr">
        <is>
          <t>Observacao</t>
        </is>
      </c>
    </row>
    <row r="5">
      <c r="A5" s="44" t="inlineStr">
        <is>
          <t>Parcelas 'Irrigar' (MANEJO)</t>
        </is>
      </c>
      <c r="B5" s="15">
        <f>COUNTIF(MANEJO!$Z$5:$Z$200,"Irrigar")</f>
        <v/>
      </c>
      <c r="C5" s="45" t="inlineStr">
        <is>
          <t>un</t>
        </is>
      </c>
      <c r="D5" s="19" t="inlineStr"/>
    </row>
    <row r="6">
      <c r="A6" s="44" t="inlineStr">
        <is>
          <t>Parcelas 'Definir classe/Kc'</t>
        </is>
      </c>
      <c r="B6" s="15">
        <f>COUNTIF(MANEJO!$Z$5:$Z$200,"Definir classe/Kc")</f>
        <v/>
      </c>
      <c r="C6" s="45" t="inlineStr">
        <is>
          <t>un</t>
        </is>
      </c>
      <c r="D6" s="19" t="inlineStr">
        <is>
          <t>Falta classe/Kc</t>
        </is>
      </c>
    </row>
    <row r="7">
      <c r="A7" s="44" t="inlineStr">
        <is>
          <t>Nec. bruta total (mm)</t>
        </is>
      </c>
      <c r="B7" s="15">
        <f>SUM(MANEJO!$V$5:$V$200)</f>
        <v/>
      </c>
      <c r="C7" s="45" t="inlineStr">
        <is>
          <t>mm</t>
        </is>
      </c>
      <c r="D7" s="19" t="inlineStr">
        <is>
          <t>Soma; ponderar por area p/ media</t>
        </is>
      </c>
    </row>
    <row r="8">
      <c r="A8" s="44" t="inlineStr">
        <is>
          <t>Volume total necessario (m3)</t>
        </is>
      </c>
      <c r="B8" s="15">
        <f>SUM(MANEJO!$X$5:$X$200)</f>
        <v/>
      </c>
      <c r="C8" s="45" t="inlineStr">
        <is>
          <t>m3</t>
        </is>
      </c>
      <c r="D8" s="19" t="inlineStr"/>
    </row>
    <row r="9">
      <c r="A9" s="44" t="inlineStr">
        <is>
          <t>Energia estimada (kWh)</t>
        </is>
      </c>
      <c r="B9" s="15">
        <f>SUM(MANEJO!$Y$5:$Y$200)</f>
        <v/>
      </c>
      <c r="C9" s="45" t="inlineStr">
        <is>
          <t>kWh</t>
        </is>
      </c>
      <c r="D9" s="19" t="inlineStr">
        <is>
          <t>Volume x CE do setor</t>
        </is>
      </c>
    </row>
    <row r="10">
      <c r="A10" s="44" t="inlineStr">
        <is>
          <t>Energia da OS atual (kWh)</t>
        </is>
      </c>
      <c r="B10" s="15">
        <f>SUM('OS IRRIGACAO'!$N$5:$N$200)</f>
        <v/>
      </c>
      <c r="C10" s="45" t="inlineStr">
        <is>
          <t>kWh</t>
        </is>
      </c>
      <c r="D10" s="19" t="inlineStr">
        <is>
          <t>Ver aba OS IRRIGACAO</t>
        </is>
      </c>
    </row>
    <row r="11">
      <c r="A11" s="44" t="inlineStr">
        <is>
          <t>Pivos cadastrados</t>
        </is>
      </c>
      <c r="B11" s="15">
        <f>COUNTA(PIVOS!$A$5:$A$112)</f>
        <v/>
      </c>
      <c r="C11" s="45" t="inlineStr">
        <is>
          <t>un</t>
        </is>
      </c>
      <c r="D11" s="19" t="inlineStr"/>
    </row>
    <row r="12">
      <c r="A12" s="44" t="inlineStr">
        <is>
          <t>CE press. media (kWh/m3)</t>
        </is>
      </c>
      <c r="B12" s="15">
        <f>IFERROR(AVERAGE(PIVOS!$J$5:$J$112),"")</f>
        <v/>
      </c>
      <c r="C12" s="45" t="inlineStr">
        <is>
          <t>kWh/m3</t>
        </is>
      </c>
      <c r="D12" s="19" t="inlineStr">
        <is>
          <t>Pressurizacao dos pivos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0B050"/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0" customWidth="1" min="4" max="4"/>
    <col width="10" customWidth="1" min="5" max="5"/>
    <col width="30" customWidth="1" min="6" max="6"/>
  </cols>
  <sheetData>
    <row r="1" ht="20" customHeight="1">
      <c r="A1" s="1" t="inlineStr">
        <is>
          <t>VALIDACAO - conferencias</t>
        </is>
      </c>
    </row>
    <row r="2">
      <c r="A2" s="2" t="inlineStr">
        <is>
          <t>Formulas vivas.</t>
        </is>
      </c>
    </row>
    <row r="4" ht="30" customHeight="1">
      <c r="A4" s="4" t="inlineStr">
        <is>
          <t>Verificacao</t>
        </is>
      </c>
      <c r="B4" s="4" t="inlineStr">
        <is>
          <t>Calculado</t>
        </is>
      </c>
      <c r="C4" s="4" t="inlineStr">
        <is>
          <t>Esperado</t>
        </is>
      </c>
      <c r="D4" s="4" t="inlineStr">
        <is>
          <t>Dif</t>
        </is>
      </c>
      <c r="E4" s="4" t="inlineStr">
        <is>
          <t>Status</t>
        </is>
      </c>
      <c r="F4" s="4" t="inlineStr">
        <is>
          <t>Nota</t>
        </is>
      </c>
    </row>
    <row r="5">
      <c r="A5" s="44" t="inlineStr">
        <is>
          <t>Lam bruta: 30/0,90</t>
        </is>
      </c>
      <c r="B5" s="34">
        <f>30/EF_APLIC</f>
        <v/>
      </c>
      <c r="C5" s="46" t="n">
        <v>33.333333</v>
      </c>
      <c r="D5" s="47">
        <f>$B5-$C5</f>
        <v/>
      </c>
      <c r="E5" s="18">
        <f>IF(ABS($B5-$C5)&lt;0.01,"OK","VER")</f>
        <v/>
      </c>
      <c r="F5" s="19" t="inlineStr">
        <is>
          <t>33,33 mm</t>
        </is>
      </c>
    </row>
    <row r="6">
      <c r="A6" s="44" t="inlineStr">
        <is>
          <t>30 bruto-&gt;liq</t>
        </is>
      </c>
      <c r="B6" s="34">
        <f>30*EF_APLIC</f>
        <v/>
      </c>
      <c r="C6" s="46" t="n">
        <v>27</v>
      </c>
      <c r="D6" s="47">
        <f>$B6-$C6</f>
        <v/>
      </c>
      <c r="E6" s="18">
        <f>IF(ABS($B6-$C6)&lt;0.01,"OK","VER")</f>
        <v/>
      </c>
      <c r="F6" s="19" t="inlineStr">
        <is>
          <t>27 mm</t>
        </is>
      </c>
    </row>
    <row r="7">
      <c r="A7" s="44" t="inlineStr">
        <is>
          <t>Vazao disp 650*0,90</t>
        </is>
      </c>
      <c r="B7" s="14">
        <f>650*FATOR_HID</f>
        <v/>
      </c>
      <c r="C7" s="48" t="n">
        <v>585</v>
      </c>
      <c r="D7" s="47">
        <f>$B7-$C7</f>
        <v/>
      </c>
      <c r="E7" s="18">
        <f>IF(ABS($B7-$C7)&lt;0.01,"OK","VER")</f>
        <v/>
      </c>
      <c r="F7" s="19" t="inlineStr">
        <is>
          <t>585 m3/h</t>
        </is>
      </c>
    </row>
    <row r="8">
      <c r="A8" s="44" t="inlineStr">
        <is>
          <t>CE press exemplo 149,14/714,33</t>
        </is>
      </c>
      <c r="B8" s="34">
        <f>149.1399744/714.33</f>
        <v/>
      </c>
      <c r="C8" s="46" t="n">
        <v>0.2088</v>
      </c>
      <c r="D8" s="47">
        <f>$B8-$C8</f>
        <v/>
      </c>
      <c r="E8" s="18">
        <f>IF(ABS($B8-$C8)&lt;0.01,"OK","VER")</f>
        <v/>
      </c>
      <c r="F8" s="19" t="inlineStr">
        <is>
          <t>kW/vazao</t>
        </is>
      </c>
    </row>
    <row r="9">
      <c r="A9" s="44" t="inlineStr">
        <is>
          <t>Energia: vol 10000 x CE 1,08</t>
        </is>
      </c>
      <c r="B9" s="16">
        <f>10000*1.08</f>
        <v/>
      </c>
      <c r="C9" s="49" t="n">
        <v>10800</v>
      </c>
      <c r="D9" s="47">
        <f>$B9-$C9</f>
        <v/>
      </c>
      <c r="E9" s="18">
        <f>IF(ABS($B9-$C9)&lt;0.01,"OK","VER")</f>
        <v/>
      </c>
      <c r="F9" s="19" t="inlineStr">
        <is>
          <t>vol x CE cadeia</t>
        </is>
      </c>
    </row>
    <row r="10">
      <c r="A10" s="44" t="inlineStr">
        <is>
          <t>Kc algodao medio no mid (DAE=100)</t>
        </is>
      </c>
      <c r="B10" s="17">
        <f>0.35+(1.2-0.35)*0</f>
        <v/>
      </c>
      <c r="C10" s="50" t="n">
        <v>0.35</v>
      </c>
      <c r="D10" s="47">
        <f>$B10-$C10</f>
        <v/>
      </c>
      <c r="E10" s="18">
        <f>IF(ABS($B10-$C10)&lt;0.01,"OK","VER")</f>
        <v/>
      </c>
      <c r="F10" s="19" t="inlineStr">
        <is>
          <t>checagem manual simplificada</t>
        </is>
      </c>
    </row>
    <row r="11">
      <c r="A11" s="44" t="inlineStr">
        <is>
          <t>Kc algodao MEDIO mid (DAE=100 -&gt; 1,20)</t>
        </is>
      </c>
      <c r="B11" s="17">
        <f>IF(100&lt;=30,0.35,IF(100&lt;=75,0,IF(100&lt;=130,1.2,0)))</f>
        <v/>
      </c>
      <c r="C11" s="50" t="n">
        <v>1.2</v>
      </c>
      <c r="D11" s="47">
        <f>$B11-$C11</f>
        <v/>
      </c>
      <c r="E11" s="18">
        <f>IF(ABS($B11-$C11)&lt;0.01,"OK","VER")</f>
        <v/>
      </c>
      <c r="F11" s="19" t="inlineStr">
        <is>
          <t>mid=Kc_mid</t>
        </is>
      </c>
    </row>
    <row r="13">
      <c r="A13" s="51" t="inlineStr">
        <is>
          <t>RESULTADO</t>
        </is>
      </c>
      <c r="B13" s="52">
        <f>IF(COUNTIF($E$5:$E$11,"VER")=0,"TODAS OK","VER ITENS")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  <col width="58" customWidth="1" min="4" max="4"/>
  </cols>
  <sheetData>
    <row r="1" ht="20" customHeight="1">
      <c r="A1" s="1" t="inlineStr">
        <is>
          <t>PARAMETROS - ajustes globais</t>
        </is>
      </c>
    </row>
    <row r="2">
      <c r="A2" s="2" t="inlineStr">
        <is>
          <t>Fonte unica. Manejo via CLIMA (sem CAD/solo).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Origem / observacao</t>
        </is>
      </c>
    </row>
    <row r="5">
      <c r="A5" s="44" t="inlineStr">
        <is>
          <t>Eficiencia de aplicacao</t>
        </is>
      </c>
      <c r="B5" s="53" t="n">
        <v>0.9</v>
      </c>
      <c r="C5" s="45" t="inlineStr">
        <is>
          <t>fracao</t>
        </is>
      </c>
      <c r="D5" s="19" t="inlineStr">
        <is>
          <t>Centralizado. NAO usar 0,85.</t>
        </is>
      </c>
    </row>
    <row r="6">
      <c r="A6" s="44" t="inlineStr">
        <is>
          <t>Fator hidraulico (capacidade)</t>
        </is>
      </c>
      <c r="B6" s="53" t="n">
        <v>0.9</v>
      </c>
      <c r="C6" s="45" t="inlineStr">
        <is>
          <t>fracao</t>
        </is>
      </c>
      <c r="D6" s="19" t="inlineStr">
        <is>
          <t>Independente da eficiencia. 1x sobre a vazao.</t>
        </is>
      </c>
    </row>
    <row r="7">
      <c r="A7" s="44" t="inlineStr">
        <is>
          <t>Meta operacional semanal</t>
        </is>
      </c>
      <c r="B7" s="54" t="n">
        <v>30</v>
      </c>
      <c r="C7" s="45" t="inlineStr">
        <is>
          <t>mm</t>
        </is>
      </c>
      <c r="D7" s="19" t="inlineStr">
        <is>
          <t>Alternativa a ETc. Editavel.</t>
        </is>
      </c>
    </row>
    <row r="8">
      <c r="A8" s="44" t="inlineStr">
        <is>
          <t>Gatilho de acompanhamento</t>
        </is>
      </c>
      <c r="B8" s="53" t="n">
        <v>0.8</v>
      </c>
      <c r="C8" s="45" t="inlineStr">
        <is>
          <t>fracao</t>
        </is>
      </c>
      <c r="D8" s="19" t="inlineStr">
        <is>
          <t>Fracao da necessidade p/ reavaliar.</t>
        </is>
      </c>
    </row>
    <row r="9">
      <c r="A9" s="44" t="inlineStr">
        <is>
          <t>Data de referencia (fixa)</t>
        </is>
      </c>
      <c r="B9" s="55" t="n">
        <v>46300</v>
      </c>
      <c r="C9" s="45" t="inlineStr">
        <is>
          <t>data</t>
        </is>
      </c>
      <c r="D9" s="19" t="inlineStr">
        <is>
          <t>Base de DAP/DAE.</t>
        </is>
      </c>
    </row>
    <row r="10">
      <c r="A10" s="44" t="inlineStr">
        <is>
          <t>ETo semanal padrao (mm)</t>
        </is>
      </c>
      <c r="B10" s="54" t="n">
        <v>35</v>
      </c>
      <c r="C10" s="45" t="inlineStr">
        <is>
          <t>mm/sem</t>
        </is>
      </c>
      <c r="D10" s="19" t="inlineStr">
        <is>
          <t>Usada pelas abas de cultura/MANEJO. Editar a cada semana.</t>
        </is>
      </c>
    </row>
    <row r="11">
      <c r="A11" s="44" t="inlineStr">
        <is>
          <t>cv -&gt; kW (fator)</t>
        </is>
      </c>
      <c r="B11" s="53" t="n">
        <v>0.7457</v>
      </c>
      <c r="C11" s="45" t="inlineStr">
        <is>
          <t>kW/cv</t>
        </is>
      </c>
      <c r="D11" s="19" t="inlineStr">
        <is>
          <t>Conversao mecanica (sem rendimento do motor).</t>
        </is>
      </c>
    </row>
    <row r="12">
      <c r="A12" s="44" t="inlineStr">
        <is>
          <t>Emergencia apos plantio (dias)</t>
        </is>
      </c>
      <c r="B12" s="54" t="n">
        <v>5</v>
      </c>
      <c r="C12" s="45" t="inlineStr">
        <is>
          <t>dias</t>
        </is>
      </c>
      <c r="D12" s="19" t="inlineStr">
        <is>
          <t>DAE = DAP - este valor (FAO-56 local).</t>
        </is>
      </c>
    </row>
    <row r="14">
      <c r="A14" s="38" t="inlineStr">
        <is>
          <t>CE por setor de energia (kWh/m3) - cadeia completa (captacao+elevatoria+pressurizacao).</t>
        </is>
      </c>
      <c r="B14" s="30" t="n"/>
      <c r="C14" s="30" t="n"/>
      <c r="D14" s="31" t="n"/>
    </row>
    <row r="15" ht="30" customHeight="1">
      <c r="A15" s="4" t="inlineStr">
        <is>
          <t>Setor</t>
        </is>
      </c>
      <c r="B15" s="4" t="inlineStr">
        <is>
          <t>CE cadeia (kWh/m3)</t>
        </is>
      </c>
      <c r="C15" s="4" t="inlineStr"/>
      <c r="D15" s="4" t="inlineStr">
        <is>
          <t>Origem</t>
        </is>
      </c>
    </row>
    <row r="16">
      <c r="A16" s="18" t="inlineStr">
        <is>
          <t>KM1</t>
        </is>
      </c>
      <c r="B16" s="53" t="n">
        <v>1.08</v>
      </c>
      <c r="D16" s="19" t="inlineStr">
        <is>
          <t>MANEJO_ALGODAO</t>
        </is>
      </c>
    </row>
    <row r="17">
      <c r="A17" s="18" t="inlineStr">
        <is>
          <t>KM2</t>
        </is>
      </c>
      <c r="B17" s="53" t="n">
        <v>0.95</v>
      </c>
      <c r="D17" s="19" t="inlineStr">
        <is>
          <t>MANEJO_ALGODAO</t>
        </is>
      </c>
    </row>
    <row r="18">
      <c r="A18" s="18" t="inlineStr">
        <is>
          <t>RDM1</t>
        </is>
      </c>
      <c r="B18" s="53" t="n">
        <v>0.82</v>
      </c>
      <c r="D18" s="19" t="inlineStr">
        <is>
          <t>MANEJO_ALGODAO (KM1/KM2/RDM). RDM1/RDM2 = ref RDM 0,82 - conferir split.</t>
        </is>
      </c>
    </row>
    <row r="19">
      <c r="A19" s="18" t="inlineStr">
        <is>
          <t>RDM2</t>
        </is>
      </c>
      <c r="B19" s="53" t="n">
        <v>0.82</v>
      </c>
      <c r="D19" s="19" t="inlineStr">
        <is>
          <t>MANEJO_ALGODAO</t>
        </is>
      </c>
    </row>
  </sheetData>
  <mergeCells count="1"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28" customWidth="1" min="3" max="3"/>
    <col width="44" customWidth="1" min="4" max="4"/>
  </cols>
  <sheetData>
    <row r="1" ht="20" customHeight="1">
      <c r="A1" s="1" t="inlineStr">
        <is>
          <t>FONTES - rastreabilidade</t>
        </is>
      </c>
    </row>
    <row r="2">
      <c r="A2" s="2" t="inlineStr">
        <is>
          <t>Dados originais preservados; 'Energia (kwh)' dos arquivos = potencia kW (cv x 0,7457).</t>
        </is>
      </c>
    </row>
    <row r="4" ht="30" customHeight="1">
      <c r="A4" s="4" t="inlineStr">
        <is>
          <t>#</t>
        </is>
      </c>
      <c r="B4" s="4" t="inlineStr">
        <is>
          <t>Arquivo</t>
        </is>
      </c>
      <c r="C4" s="4" t="inlineStr">
        <is>
          <t>Aba</t>
        </is>
      </c>
      <c r="D4" s="4" t="inlineStr">
        <is>
          <t>Conteudo</t>
        </is>
      </c>
    </row>
    <row r="5">
      <c r="A5" s="18" t="n">
        <v>1</v>
      </c>
      <c r="B5" s="56" t="inlineStr">
        <is>
          <t>LAMINA E HORA PIVOS.xlsx</t>
        </is>
      </c>
      <c r="C5" s="57" t="inlineStr">
        <is>
          <t>Karitel/RDM</t>
        </is>
      </c>
      <c r="D5" s="19" t="inlineStr">
        <is>
          <t>Lamina e horas por percentimetro -&gt; LAMINA_HORA</t>
        </is>
      </c>
    </row>
    <row r="6">
      <c r="A6" s="18" t="n">
        <v>2</v>
      </c>
      <c r="B6" s="56" t="inlineStr">
        <is>
          <t>informacoes pivos e reservatorios.xlsx</t>
        </is>
      </c>
      <c r="C6" s="57" t="inlineStr">
        <is>
          <t>Infor_Pivos</t>
        </is>
      </c>
      <c r="D6" s="19" t="inlineStr">
        <is>
          <t>108 pivos (area, vazao, potencia) -&gt; PIVOS</t>
        </is>
      </c>
    </row>
    <row r="7">
      <c r="A7" s="18" t="n">
        <v>3</v>
      </c>
      <c r="B7" s="56" t="inlineStr">
        <is>
          <t>informacoes pivos e reservatorios.xlsx</t>
        </is>
      </c>
      <c r="C7" s="57" t="inlineStr">
        <is>
          <t>Reservatorios / Captacoes</t>
        </is>
      </c>
      <c r="D7" s="19" t="inlineStr">
        <is>
          <t>-&gt; RESERVATORIOS / DISPONIBILIDADE HIDRICA</t>
        </is>
      </c>
    </row>
    <row r="8">
      <c r="A8" s="18" t="n">
        <v>4</v>
      </c>
      <c r="B8" s="56" t="inlineStr">
        <is>
          <t>Soja 26-27 sequencia vs.3.xlsx</t>
        </is>
      </c>
      <c r="C8" s="57" t="inlineStr">
        <is>
          <t>VERSAO 3</t>
        </is>
      </c>
      <c r="D8" s="19" t="inlineStr">
        <is>
          <t>Plantio 26/27 -&gt; SOJA / MANEJO</t>
        </is>
      </c>
    </row>
    <row r="9">
      <c r="A9" s="18" t="n">
        <v>5</v>
      </c>
      <c r="B9" s="56" t="inlineStr">
        <is>
          <t>MANEJO_ALGODAO.xlsx</t>
        </is>
      </c>
      <c r="C9" s="57" t="inlineStr">
        <is>
          <t>PARAMETROS</t>
        </is>
      </c>
      <c r="D9" s="19" t="inlineStr">
        <is>
          <t>Mapa cultura-por-pivo + setor energia + CE por setor</t>
        </is>
      </c>
    </row>
    <row r="10">
      <c r="A10" s="18" t="n">
        <v>6</v>
      </c>
      <c r="B10" s="56" t="inlineStr">
        <is>
          <t>MANEJO_ALGODAO.xlsx</t>
        </is>
      </c>
      <c r="C10" s="57" t="inlineStr">
        <is>
          <t>KC_CURVAS</t>
        </is>
      </c>
      <c r="D10" s="19" t="inlineStr">
        <is>
          <t>Curvas Kc FAO-56 -&gt; KC_CURVAS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50" customWidth="1" min="3" max="3"/>
  </cols>
  <sheetData>
    <row r="1" ht="20" customHeight="1">
      <c r="A1" s="1" t="inlineStr">
        <is>
          <t>PENDENCIAS</t>
        </is>
      </c>
    </row>
    <row r="2">
      <c r="A2" s="2" t="inlineStr">
        <is>
          <t>Verde = resolvido.</t>
        </is>
      </c>
    </row>
    <row r="4" ht="30" customHeight="1">
      <c r="A4" s="4" t="inlineStr">
        <is>
          <t>#</t>
        </is>
      </c>
      <c r="B4" s="4" t="inlineStr">
        <is>
          <t>Item</t>
        </is>
      </c>
      <c r="C4" s="4" t="inlineStr">
        <is>
          <t>Situacao</t>
        </is>
      </c>
    </row>
    <row r="5">
      <c r="A5" s="18" t="n">
        <v>1</v>
      </c>
      <c r="B5" s="58" t="inlineStr">
        <is>
          <t>RESOLVIDO: CE (kWh/m3) por pivo</t>
        </is>
      </c>
      <c r="C5" s="59" t="inlineStr">
        <is>
          <t>OK - PIVOS (pressurizacao) + CE cadeia por setor</t>
        </is>
      </c>
    </row>
    <row r="6">
      <c r="A6" s="18" t="n">
        <v>2</v>
      </c>
      <c r="B6" s="58" t="inlineStr">
        <is>
          <t>RESOLVIDO: Kc automatico por cultura</t>
        </is>
      </c>
      <c r="C6" s="59" t="inlineStr">
        <is>
          <t>OK - KC_CURVAS (FAO-56) nas abas de cultura/MANEJO</t>
        </is>
      </c>
    </row>
    <row r="7">
      <c r="A7" s="18" t="n">
        <v>3</v>
      </c>
      <c r="B7" s="58" t="inlineStr">
        <is>
          <t>RESOLVIDO: energia por OS</t>
        </is>
      </c>
      <c r="C7" s="59" t="inlineStr">
        <is>
          <t>OK - aba OS IRRIGACAO (Volume x CE)</t>
        </is>
      </c>
    </row>
    <row r="8">
      <c r="A8" s="18" t="n">
        <v>4</v>
      </c>
      <c r="B8" s="58" t="inlineStr">
        <is>
          <t>RESOLVIDO: manejo via clima (ETo-&gt;ETc)</t>
        </is>
      </c>
      <c r="C8" s="59" t="inlineStr">
        <is>
          <t>OK - sem CAD/solo, conforme pedido</t>
        </is>
      </c>
    </row>
    <row r="9">
      <c r="A9" s="18" t="n">
        <v>5</v>
      </c>
      <c r="B9" s="58" t="inlineStr">
        <is>
          <t>RESOLVIDO: cultura por pivo + plantio</t>
        </is>
      </c>
      <c r="C9" s="59" t="inlineStr">
        <is>
          <t>OK - mapa importado (MANEJO_ALGODAO)</t>
        </is>
      </c>
    </row>
    <row r="10">
      <c r="A10" s="18" t="n">
        <v>6</v>
      </c>
      <c r="B10" s="60" t="inlineStr">
        <is>
          <t>Datas de plantio algodao/tabaco/cacau</t>
        </is>
      </c>
      <c r="C10" s="19" t="inlineStr">
        <is>
          <t>snapshot 25/26 - atualizar para safra vigente</t>
        </is>
      </c>
    </row>
    <row r="11">
      <c r="A11" s="18" t="n">
        <v>7</v>
      </c>
      <c r="B11" s="60" t="inlineStr">
        <is>
          <t>Curva Kc do CACAU</t>
        </is>
      </c>
      <c r="C11" s="19" t="inlineStr">
        <is>
          <t>sem curva propria -&gt; cadastrar em KC_CURVAS</t>
        </is>
      </c>
    </row>
    <row r="12">
      <c r="A12" s="18" t="n">
        <v>8</v>
      </c>
      <c r="B12" s="60" t="inlineStr">
        <is>
          <t>CE de cadeia RDM1 x RDM2</t>
        </is>
      </c>
      <c r="C12" s="19" t="inlineStr">
        <is>
          <t>ambos 0,82 (ref). Confirmar split real</t>
        </is>
      </c>
    </row>
    <row r="13">
      <c r="A13" s="18" t="n">
        <v>9</v>
      </c>
      <c r="B13" s="60" t="inlineStr">
        <is>
          <t>Tarifas de energia (R$/kWh)</t>
        </is>
      </c>
      <c r="C13" s="19" t="inlineStr">
        <is>
          <t>pendente p/ converter energia em R$ (custo)</t>
        </is>
      </c>
    </row>
    <row r="14">
      <c r="A14" s="18" t="n">
        <v>10</v>
      </c>
      <c r="B14" s="60" t="inlineStr">
        <is>
          <t>Chuva efetiva / ETo semanal</t>
        </is>
      </c>
      <c r="C14" s="19" t="inlineStr">
        <is>
          <t>entrada semanal pelo operador (previsao != medido)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2026-10-05T16:23:00Z</dcterms:created>
  <dcterms:modified xsi:type="dcterms:W3CDTF">2026-10-05T16:23:00Z</dcterms:modified>
</cp:coreProperties>
</file>