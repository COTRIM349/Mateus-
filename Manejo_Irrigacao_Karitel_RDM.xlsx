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MANEJO" sheetId="2" state="visible" r:id="rId2"/>
    <sheet name="ETO_DIARIO" sheetId="3" state="visible" r:id="rId3"/>
    <sheet name="CURVAS_KC" sheetId="4" state="visible" r:id="rId4"/>
    <sheet name="LAMINA_HORA" sheetId="5" state="visible" r:id="rId5"/>
    <sheet name="PARAMETROS" sheetId="6" state="visible" r:id="rId6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v5 (enxuta, por modulo)</t>
        </is>
      </c>
    </row>
    <row r="2">
      <c r="A2" s="2" t="inlineStr">
        <is>
          <t>Apenas manejo: clima (ETo diaria) + Kc (curvas reais) + lamina.</t>
        </is>
      </c>
    </row>
    <row r="4" ht="34" customHeight="1">
      <c r="B4" s="3" t="inlineStr">
        <is>
          <t>PASSO 1:  Atualize a aba ETO_DIARIO todo dia: ETo (mm) e chuva (mm) do dia.</t>
        </is>
      </c>
    </row>
    <row r="5" ht="34" customHeight="1">
      <c r="B5" s="3" t="inlineStr">
        <is>
          <t>PASSO 2:  Abra a aba MANEJO (por modulo). Veja a coluna Decisao: IRRIGAR / Acompanhar / Aguardar.</t>
        </is>
      </c>
    </row>
    <row r="6" ht="34" customHeight="1">
      <c r="B6" s="3" t="inlineStr">
        <is>
          <t>PASSO 3:  Nas parcelas IRRIGAR, digite o % (percentimetro). A planilha mostra a Lamina (mm) e as Horas.</t>
        </is>
      </c>
    </row>
    <row r="7" ht="34" customHeight="1">
      <c r="B7" s="3" t="inlineStr">
        <is>
          <t>COMO CALCULA:  ETc = Kc(DAP) x ETo acumulada desde a ultima irrigacao. Nec. liquida = ETc - chuva. Nec. bruta = /0,90.</t>
        </is>
      </c>
    </row>
    <row r="8" ht="34" customHeight="1">
      <c r="B8" s="3" t="inlineStr">
        <is>
          <t>Kc:  Curvas reais de consumo (CURVAS_KC): algodao diario (precoce/medio/tardio); soja/milho/tabaco por fase (linear). Por DAP.</t>
        </is>
      </c>
    </row>
    <row r="9" ht="34" customHeight="1">
      <c r="B9" s="3" t="inlineStr">
        <is>
          <t>MODULOS:  M1: pivo 1-34 + 75,76 | M2: casa R8-R12 | M3: casa R13-R18 | RDM: 101-133.</t>
        </is>
      </c>
    </row>
    <row r="10" ht="34" customHeight="1">
      <c r="B10" s="3" t="inlineStr">
        <is>
          <t>CORES:  Amarelo=digitar; verde=importado; cinza=calculado; vermelho=pendencia.</t>
        </is>
      </c>
    </row>
    <row r="11" ht="34" customHeight="1">
      <c r="B11" s="3" t="inlineStr">
        <is>
          <t>PENDENCIAS:  Cacau sem curva de Kc; variedades de soja/algodao fora da lista usam a classe padrao (editavel na coluna Classe).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V14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14" customWidth="1" min="4" max="4"/>
    <col width="8" customWidth="1" min="5" max="5"/>
    <col width="7" customWidth="1" min="6" max="6"/>
    <col width="11" customWidth="1" min="7" max="7"/>
    <col width="6" customWidth="1" min="8" max="8"/>
    <col width="6" customWidth="1" min="9" max="9"/>
    <col width="11" customWidth="1" min="10" max="10"/>
    <col width="9" customWidth="1" min="11" max="11"/>
    <col width="9" customWidth="1" min="12" max="12"/>
    <col width="9" customWidth="1" min="13" max="13"/>
    <col width="8" customWidth="1" min="14" max="14"/>
    <col width="9" customWidth="1" min="15" max="15"/>
    <col width="7" customWidth="1" min="16" max="16"/>
    <col width="10" customWidth="1" min="17" max="17"/>
    <col width="7" customWidth="1" min="18" max="18"/>
    <col width="11" customWidth="1" min="19" max="19"/>
    <col width="10" customWidth="1" min="20" max="20"/>
    <col hidden="1" width="11" customWidth="1" min="21" max="21"/>
    <col width="6" customWidth="1" min="22" max="22"/>
  </cols>
  <sheetData>
    <row r="1" ht="20" customHeight="1">
      <c r="A1" s="1" t="inlineStr">
        <is>
          <t>MANEJO 26/27 - por modulo (clima + Kc + lamina)</t>
        </is>
      </c>
    </row>
    <row r="2">
      <c r="A2" s="2" t="inlineStr">
        <is>
          <t>ETc = Kc(DAP) x ETo acumulada (desde a ultima irrigacao). Irriga quando a necessidade atinge o alvo (PARAMETROS). Atualize ETO_DIARIO todo dia.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Cultura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Plantio</t>
        </is>
      </c>
      <c r="H4" s="4" t="inlineStr">
        <is>
          <t>DAP</t>
        </is>
      </c>
      <c r="I4" s="4" t="inlineStr">
        <is>
          <t>Kc</t>
        </is>
      </c>
      <c r="J4" s="4" t="inlineStr">
        <is>
          <t>Ult.irrig</t>
        </is>
      </c>
      <c r="K4" s="4" t="inlineStr">
        <is>
          <t>ETo acum</t>
        </is>
      </c>
      <c r="L4" s="4" t="inlineStr">
        <is>
          <t>Chuva acum</t>
        </is>
      </c>
      <c r="M4" s="4" t="inlineStr">
        <is>
          <t>ETc acum</t>
        </is>
      </c>
      <c r="N4" s="4" t="inlineStr">
        <is>
          <t>Nec liq</t>
        </is>
      </c>
      <c r="O4" s="4" t="inlineStr">
        <is>
          <t>Nec bruta</t>
        </is>
      </c>
      <c r="P4" s="4" t="inlineStr">
        <is>
          <t>% aplic</t>
        </is>
      </c>
      <c r="Q4" s="4" t="inlineStr">
        <is>
          <t>Lamina(mm)</t>
        </is>
      </c>
      <c r="R4" s="4" t="inlineStr">
        <is>
          <t>Horas</t>
        </is>
      </c>
      <c r="S4" s="4" t="inlineStr">
        <is>
          <t>Decisao</t>
        </is>
      </c>
      <c r="T4" s="4" t="inlineStr">
        <is>
          <t>Prioridade</t>
        </is>
      </c>
      <c r="U4" s="4" t="inlineStr">
        <is>
          <t>ColKc</t>
        </is>
      </c>
      <c r="V4" s="4" t="inlineStr">
        <is>
          <t>Cod</t>
        </is>
      </c>
    </row>
    <row r="5">
      <c r="A5" s="5" t="inlineStr">
        <is>
          <t>Modulo 1  -  57 pivos</t>
        </is>
      </c>
    </row>
    <row r="6">
      <c r="A6" s="6" t="inlineStr">
        <is>
          <t>Pivô 01</t>
        </is>
      </c>
      <c r="B6" s="6" t="inlineStr">
        <is>
          <t>R0</t>
        </is>
      </c>
      <c r="C6" s="6" t="inlineStr">
        <is>
          <t>ALGODÃO</t>
        </is>
      </c>
      <c r="D6" s="7" t="inlineStr">
        <is>
          <t>IMA 5901 B2RF</t>
        </is>
      </c>
      <c r="E6" s="8" t="inlineStr">
        <is>
          <t>MEDIO</t>
        </is>
      </c>
      <c r="F6" s="9" t="n">
        <v>150</v>
      </c>
      <c r="G6" s="10" t="n">
        <v>46403</v>
      </c>
      <c r="H6" s="11">
        <f>IF($G6="","",IF($G6&gt;DATA_REF,"",DATA_REF-$G6))</f>
        <v/>
      </c>
      <c r="I6" s="12">
        <f>IF($U6="","PENDENTE",IF($H6="","(nao plantado)",IFERROR(INDEX(CURVAS_KC!$B$5:$I$224,MATCH(MIN(MAX($H6,1),220),CURVAS_KC!$A$5:$A$224,0),MATCH($U6,CURVAS_KC!$B$4:$I$4,0)),"PENDENTE")))</f>
        <v/>
      </c>
      <c r="J6" s="13">
        <f>IF($G6="","",$G6)</f>
        <v/>
      </c>
      <c r="K6" s="14">
        <f>IF($J6="","",SUMIFS(ETO_DIARIO!$B$5:$B$404,ETO_DIARIO!$A$5:$A$404,"&gt;"&amp;$J6,ETO_DIARIO!$A$5:$A$404,"&lt;="&amp;DATA_REF))</f>
        <v/>
      </c>
      <c r="L6" s="14">
        <f>IF($J6="","",SUMIFS(ETO_DIARIO!$C$5:$C$404,ETO_DIARIO!$A$5:$A$404,"&gt;"&amp;$J6,ETO_DIARIO!$A$5:$A$404,"&lt;="&amp;DATA_REF))</f>
        <v/>
      </c>
      <c r="M6" s="14">
        <f>IF(OR($I6="",$I6="PENDENTE",$I6="(nao plantado)",$K6=""),"",$I6*$K6)</f>
        <v/>
      </c>
      <c r="N6" s="14">
        <f>IF($M6="","",MAX(0,$M6-N($L6)))</f>
        <v/>
      </c>
      <c r="O6" s="14">
        <f>IF($N6="","",$N6/EF_APLIC)</f>
        <v/>
      </c>
      <c r="P6" s="8" t="n"/>
      <c r="Q6" s="15">
        <f>IF(OR($V6="",$P6=""),"",IFERROR(INDEX(LAMINA_HORA!$C$5:$V$114,MATCH($V6,LAMINA_HORA!$A$5:$A$114,0),MATCH($P6,LAMINA_HORA!$C$3:$V$3,0)),"?"))</f>
        <v/>
      </c>
      <c r="R6" s="15">
        <f>IF(OR($V6="",$P6=""),"",IFERROR(INDEX(LAMINA_HORA!$W$5:$AP$114,MATCH($V6,LAMINA_HORA!$A$5:$A$114,0),MATCH($P6,LAMINA_HORA!$W$3:$AP$3,0)),"?"))</f>
        <v/>
      </c>
      <c r="S6" s="16">
        <f>IF($I6="PENDENTE","Definir Kc/classe",IF($I6="(nao plantado)","Aguardar plantio",IF($N6="","-",IF($N6&gt;=TURNO,"IRRIGAR",IF($N6&gt;=TURNO*FRAC_ACOMP,"Acompanhar","Aguardar")))))</f>
        <v/>
      </c>
      <c r="T6" s="16">
        <f>IF(OR($N6="",$N6=0),"-",IF($N6&gt;=2*TURNO,"Alta",IF($N6&gt;=TURNO,"Media","Baixa")))</f>
        <v/>
      </c>
      <c r="U6" s="17" t="inlineStr">
        <is>
          <t>ALG_MEDIO</t>
        </is>
      </c>
      <c r="V6" s="8" t="inlineStr">
        <is>
          <t>P1</t>
        </is>
      </c>
    </row>
    <row r="7">
      <c r="A7" s="6" t="inlineStr">
        <is>
          <t>Pivô 01</t>
        </is>
      </c>
      <c r="B7" s="6" t="inlineStr">
        <is>
          <t>R0</t>
        </is>
      </c>
      <c r="C7" s="6" t="inlineStr">
        <is>
          <t>CACAU</t>
        </is>
      </c>
      <c r="D7" s="7" t="inlineStr">
        <is>
          <t>PS1319/FA13/CCN51</t>
        </is>
      </c>
      <c r="E7" s="8" t="inlineStr"/>
      <c r="F7" s="9" t="n">
        <v>47.5</v>
      </c>
      <c r="G7" s="10" t="n">
        <v>45901</v>
      </c>
      <c r="H7" s="11">
        <f>IF($G7="","",IF($G7&gt;DATA_REF,"",DATA_REF-$G7))</f>
        <v/>
      </c>
      <c r="I7" s="12">
        <f>IF($U7="","PENDENTE",IF($H7="","(nao plantado)",IFERROR(INDEX(CURVAS_KC!$B$5:$I$224,MATCH(MIN(MAX($H7,1),220),CURVAS_KC!$A$5:$A$224,0),MATCH($U7,CURVAS_KC!$B$4:$I$4,0)),"PENDENTE")))</f>
        <v/>
      </c>
      <c r="J7" s="13">
        <f>IF($G7="","",$G7)</f>
        <v/>
      </c>
      <c r="K7" s="14">
        <f>IF($J7="","",SUMIFS(ETO_DIARIO!$B$5:$B$404,ETO_DIARIO!$A$5:$A$404,"&gt;"&amp;$J7,ETO_DIARIO!$A$5:$A$404,"&lt;="&amp;DATA_REF))</f>
        <v/>
      </c>
      <c r="L7" s="14">
        <f>IF($J7="","",SUMIFS(ETO_DIARIO!$C$5:$C$404,ETO_DIARIO!$A$5:$A$404,"&gt;"&amp;$J7,ETO_DIARIO!$A$5:$A$404,"&lt;="&amp;DATA_REF))</f>
        <v/>
      </c>
      <c r="M7" s="14">
        <f>IF(OR($I7="",$I7="PENDENTE",$I7="(nao plantado)",$K7=""),"",$I7*$K7)</f>
        <v/>
      </c>
      <c r="N7" s="14">
        <f>IF($M7="","",MAX(0,$M7-N($L7)))</f>
        <v/>
      </c>
      <c r="O7" s="14">
        <f>IF($N7="","",$N7/EF_APLIC)</f>
        <v/>
      </c>
      <c r="P7" s="8" t="n"/>
      <c r="Q7" s="15">
        <f>IF(OR($V7="",$P7=""),"",IFERROR(INDEX(LAMINA_HORA!$C$5:$V$114,MATCH($V7,LAMINA_HORA!$A$5:$A$114,0),MATCH($P7,LAMINA_HORA!$C$3:$V$3,0)),"?"))</f>
        <v/>
      </c>
      <c r="R7" s="15">
        <f>IF(OR($V7="",$P7=""),"",IFERROR(INDEX(LAMINA_HORA!$W$5:$AP$114,MATCH($V7,LAMINA_HORA!$A$5:$A$114,0),MATCH($P7,LAMINA_HORA!$W$3:$AP$3,0)),"?"))</f>
        <v/>
      </c>
      <c r="S7" s="16">
        <f>IF($I7="PENDENTE","Definir Kc/classe",IF($I7="(nao plantado)","Aguardar plantio",IF($N7="","-",IF($N7&gt;=TURNO,"IRRIGAR",IF($N7&gt;=TURNO*FRAC_ACOMP,"Acompanhar","Aguardar")))))</f>
        <v/>
      </c>
      <c r="T7" s="16">
        <f>IF(OR($N7="",$N7=0),"-",IF($N7&gt;=2*TURNO,"Alta",IF($N7&gt;=TURNO,"Media","Baixa")))</f>
        <v/>
      </c>
      <c r="U7" s="17" t="inlineStr"/>
      <c r="V7" s="8" t="inlineStr">
        <is>
          <t>P1</t>
        </is>
      </c>
    </row>
    <row r="8">
      <c r="A8" s="6" t="inlineStr">
        <is>
          <t>Pivô 01</t>
        </is>
      </c>
      <c r="B8" s="6" t="inlineStr">
        <is>
          <t>R0</t>
        </is>
      </c>
      <c r="C8" s="6" t="inlineStr">
        <is>
          <t>SOJA</t>
        </is>
      </c>
      <c r="D8" s="7" t="inlineStr">
        <is>
          <t>BMX DOMINIO IPRO</t>
        </is>
      </c>
      <c r="E8" s="8" t="inlineStr">
        <is>
          <t>MEDIA</t>
        </is>
      </c>
      <c r="F8" s="9" t="n">
        <v>70</v>
      </c>
      <c r="G8" s="10" t="n">
        <v>46327</v>
      </c>
      <c r="H8" s="11">
        <f>IF($G8="","",IF($G8&gt;DATA_REF,"",DATA_REF-$G8))</f>
        <v/>
      </c>
      <c r="I8" s="12">
        <f>IF($U8="","PENDENTE",IF($H8="","(nao plantado)",IFERROR(INDEX(CURVAS_KC!$B$5:$I$224,MATCH(MIN(MAX($H8,1),220),CURVAS_KC!$A$5:$A$224,0),MATCH($U8,CURVAS_KC!$B$4:$I$4,0)),"PENDENTE")))</f>
        <v/>
      </c>
      <c r="J8" s="13">
        <f>IF($G8="","",$G8)</f>
        <v/>
      </c>
      <c r="K8" s="14">
        <f>IF($J8="","",SUMIFS(ETO_DIARIO!$B$5:$B$404,ETO_DIARIO!$A$5:$A$404,"&gt;"&amp;$J8,ETO_DIARIO!$A$5:$A$404,"&lt;="&amp;DATA_REF))</f>
        <v/>
      </c>
      <c r="L8" s="14">
        <f>IF($J8="","",SUMIFS(ETO_DIARIO!$C$5:$C$404,ETO_DIARIO!$A$5:$A$404,"&gt;"&amp;$J8,ETO_DIARIO!$A$5:$A$404,"&lt;="&amp;DATA_REF))</f>
        <v/>
      </c>
      <c r="M8" s="14">
        <f>IF(OR($I8="",$I8="PENDENTE",$I8="(nao plantado)",$K8=""),"",$I8*$K8)</f>
        <v/>
      </c>
      <c r="N8" s="14">
        <f>IF($M8="","",MAX(0,$M8-N($L8)))</f>
        <v/>
      </c>
      <c r="O8" s="14">
        <f>IF($N8="","",$N8/EF_APLIC)</f>
        <v/>
      </c>
      <c r="P8" s="8" t="n"/>
      <c r="Q8" s="15">
        <f>IF(OR($V8="",$P8=""),"",IFERROR(INDEX(LAMINA_HORA!$C$5:$V$114,MATCH($V8,LAMINA_HORA!$A$5:$A$114,0),MATCH($P8,LAMINA_HORA!$C$3:$V$3,0)),"?"))</f>
        <v/>
      </c>
      <c r="R8" s="15">
        <f>IF(OR($V8="",$P8=""),"",IFERROR(INDEX(LAMINA_HORA!$W$5:$AP$114,MATCH($V8,LAMINA_HORA!$A$5:$A$114,0),MATCH($P8,LAMINA_HORA!$W$3:$AP$3,0)),"?"))</f>
        <v/>
      </c>
      <c r="S8" s="16">
        <f>IF($I8="PENDENTE","Definir Kc/classe",IF($I8="(nao plantado)","Aguardar plantio",IF($N8="","-",IF($N8&gt;=TURNO,"IRRIGAR",IF($N8&gt;=TURNO*FRAC_ACOMP,"Acompanhar","Aguardar")))))</f>
        <v/>
      </c>
      <c r="T8" s="16">
        <f>IF(OR($N8="",$N8=0),"-",IF($N8&gt;=2*TURNO,"Alta",IF($N8&gt;=TURNO,"Media","Baixa")))</f>
        <v/>
      </c>
      <c r="U8" s="17" t="inlineStr">
        <is>
          <t>SOJA_MEDIA</t>
        </is>
      </c>
      <c r="V8" s="8" t="inlineStr">
        <is>
          <t>P1</t>
        </is>
      </c>
    </row>
    <row r="9">
      <c r="A9" s="6" t="inlineStr">
        <is>
          <t>Pivô 01</t>
        </is>
      </c>
      <c r="B9" s="6" t="inlineStr">
        <is>
          <t>R0</t>
        </is>
      </c>
      <c r="C9" s="6" t="inlineStr">
        <is>
          <t>SOJA</t>
        </is>
      </c>
      <c r="D9" s="7" t="inlineStr">
        <is>
          <t>BMX DOMINIO IPRO</t>
        </is>
      </c>
      <c r="E9" s="8" t="inlineStr">
        <is>
          <t>MEDIA</t>
        </is>
      </c>
      <c r="F9" s="9" t="n">
        <v>71</v>
      </c>
      <c r="G9" s="10" t="n">
        <v>46331</v>
      </c>
      <c r="H9" s="11">
        <f>IF($G9="","",IF($G9&gt;DATA_REF,"",DATA_REF-$G9))</f>
        <v/>
      </c>
      <c r="I9" s="12">
        <f>IF($U9="","PENDENTE",IF($H9="","(nao plantado)",IFERROR(INDEX(CURVAS_KC!$B$5:$I$224,MATCH(MIN(MAX($H9,1),220),CURVAS_KC!$A$5:$A$224,0),MATCH($U9,CURVAS_KC!$B$4:$I$4,0)),"PENDENTE")))</f>
        <v/>
      </c>
      <c r="J9" s="13">
        <f>IF($G9="","",$G9)</f>
        <v/>
      </c>
      <c r="K9" s="14">
        <f>IF($J9="","",SUMIFS(ETO_DIARIO!$B$5:$B$404,ETO_DIARIO!$A$5:$A$404,"&gt;"&amp;$J9,ETO_DIARIO!$A$5:$A$404,"&lt;="&amp;DATA_REF))</f>
        <v/>
      </c>
      <c r="L9" s="14">
        <f>IF($J9="","",SUMIFS(ETO_DIARIO!$C$5:$C$404,ETO_DIARIO!$A$5:$A$404,"&gt;"&amp;$J9,ETO_DIARIO!$A$5:$A$404,"&lt;="&amp;DATA_REF))</f>
        <v/>
      </c>
      <c r="M9" s="14">
        <f>IF(OR($I9="",$I9="PENDENTE",$I9="(nao plantado)",$K9=""),"",$I9*$K9)</f>
        <v/>
      </c>
      <c r="N9" s="14">
        <f>IF($M9="","",MAX(0,$M9-N($L9)))</f>
        <v/>
      </c>
      <c r="O9" s="14">
        <f>IF($N9="","",$N9/EF_APLIC)</f>
        <v/>
      </c>
      <c r="P9" s="8" t="n"/>
      <c r="Q9" s="15">
        <f>IF(OR($V9="",$P9=""),"",IFERROR(INDEX(LAMINA_HORA!$C$5:$V$114,MATCH($V9,LAMINA_HORA!$A$5:$A$114,0),MATCH($P9,LAMINA_HORA!$C$3:$V$3,0)),"?"))</f>
        <v/>
      </c>
      <c r="R9" s="15">
        <f>IF(OR($V9="",$P9=""),"",IFERROR(INDEX(LAMINA_HORA!$W$5:$AP$114,MATCH($V9,LAMINA_HORA!$A$5:$A$114,0),MATCH($P9,LAMINA_HORA!$W$3:$AP$3,0)),"?"))</f>
        <v/>
      </c>
      <c r="S9" s="16">
        <f>IF($I9="PENDENTE","Definir Kc/classe",IF($I9="(nao plantado)","Aguardar plantio",IF($N9="","-",IF($N9&gt;=TURNO,"IRRIGAR",IF($N9&gt;=TURNO*FRAC_ACOMP,"Acompanhar","Aguardar")))))</f>
        <v/>
      </c>
      <c r="T9" s="16">
        <f>IF(OR($N9="",$N9=0),"-",IF($N9&gt;=2*TURNO,"Alta",IF($N9&gt;=TURNO,"Media","Baixa")))</f>
        <v/>
      </c>
      <c r="U9" s="17" t="inlineStr">
        <is>
          <t>SOJA_MEDIA</t>
        </is>
      </c>
      <c r="V9" s="8" t="inlineStr">
        <is>
          <t>P1</t>
        </is>
      </c>
    </row>
    <row r="10">
      <c r="A10" s="6" t="inlineStr">
        <is>
          <t>Pivô 02</t>
        </is>
      </c>
      <c r="B10" s="6" t="inlineStr">
        <is>
          <t>R0</t>
        </is>
      </c>
      <c r="C10" s="6" t="inlineStr">
        <is>
          <t>SOJA</t>
        </is>
      </c>
      <c r="D10" s="7" t="inlineStr">
        <is>
          <t>CZ 37B07 I2X</t>
        </is>
      </c>
      <c r="E10" s="8" t="inlineStr">
        <is>
          <t>PRECOCE</t>
        </is>
      </c>
      <c r="F10" s="9" t="n">
        <v>124</v>
      </c>
      <c r="G10" s="10" t="n">
        <v>46287</v>
      </c>
      <c r="H10" s="11">
        <f>IF($G10="","",IF($G10&gt;DATA_REF,"",DATA_REF-$G10))</f>
        <v/>
      </c>
      <c r="I10" s="12">
        <f>IF($U10="","PENDENTE",IF($H10="","(nao plantado)",IFERROR(INDEX(CURVAS_KC!$B$5:$I$224,MATCH(MIN(MAX($H10,1),220),CURVAS_KC!$A$5:$A$224,0),MATCH($U10,CURVAS_KC!$B$4:$I$4,0)),"PENDENTE")))</f>
        <v/>
      </c>
      <c r="J10" s="13">
        <f>IF($G10="","",$G10)</f>
        <v/>
      </c>
      <c r="K10" s="14">
        <f>IF($J10="","",SUMIFS(ETO_DIARIO!$B$5:$B$404,ETO_DIARIO!$A$5:$A$404,"&gt;"&amp;$J10,ETO_DIARIO!$A$5:$A$404,"&lt;="&amp;DATA_REF))</f>
        <v/>
      </c>
      <c r="L10" s="14">
        <f>IF($J10="","",SUMIFS(ETO_DIARIO!$C$5:$C$404,ETO_DIARIO!$A$5:$A$404,"&gt;"&amp;$J10,ETO_DIARIO!$A$5:$A$404,"&lt;="&amp;DATA_REF))</f>
        <v/>
      </c>
      <c r="M10" s="14">
        <f>IF(OR($I10="",$I10="PENDENTE",$I10="(nao plantado)",$K10=""),"",$I10*$K10)</f>
        <v/>
      </c>
      <c r="N10" s="14">
        <f>IF($M10="","",MAX(0,$M10-N($L10)))</f>
        <v/>
      </c>
      <c r="O10" s="14">
        <f>IF($N10="","",$N10/EF_APLIC)</f>
        <v/>
      </c>
      <c r="P10" s="8" t="n"/>
      <c r="Q10" s="15">
        <f>IF(OR($V10="",$P10=""),"",IFERROR(INDEX(LAMINA_HORA!$C$5:$V$114,MATCH($V10,LAMINA_HORA!$A$5:$A$114,0),MATCH($P10,LAMINA_HORA!$C$3:$V$3,0)),"?"))</f>
        <v/>
      </c>
      <c r="R10" s="15">
        <f>IF(OR($V10="",$P10=""),"",IFERROR(INDEX(LAMINA_HORA!$W$5:$AP$114,MATCH($V10,LAMINA_HORA!$A$5:$A$114,0),MATCH($P10,LAMINA_HORA!$W$3:$AP$3,0)),"?"))</f>
        <v/>
      </c>
      <c r="S10" s="16">
        <f>IF($I10="PENDENTE","Definir Kc/classe",IF($I10="(nao plantado)","Aguardar plantio",IF($N10="","-",IF($N10&gt;=TURNO,"IRRIGAR",IF($N10&gt;=TURNO*FRAC_ACOMP,"Acompanhar","Aguardar")))))</f>
        <v/>
      </c>
      <c r="T10" s="16">
        <f>IF(OR($N10="",$N10=0),"-",IF($N10&gt;=2*TURNO,"Alta",IF($N10&gt;=TURNO,"Media","Baixa")))</f>
        <v/>
      </c>
      <c r="U10" s="17" t="inlineStr">
        <is>
          <t>SOJA_PRECOCE</t>
        </is>
      </c>
      <c r="V10" s="8" t="inlineStr">
        <is>
          <t>P2</t>
        </is>
      </c>
    </row>
    <row r="11">
      <c r="A11" s="6" t="inlineStr">
        <is>
          <t>Pivô 02</t>
        </is>
      </c>
      <c r="B11" s="6" t="inlineStr">
        <is>
          <t>R0</t>
        </is>
      </c>
      <c r="C11" s="6" t="inlineStr">
        <is>
          <t>CACAU</t>
        </is>
      </c>
      <c r="D11" s="7" t="inlineStr">
        <is>
          <t>PS1319/FA13/CCN51</t>
        </is>
      </c>
      <c r="E11" s="8" t="inlineStr"/>
      <c r="F11" s="9" t="n">
        <v>131.5</v>
      </c>
      <c r="G11" s="10" t="n">
        <v>45901</v>
      </c>
      <c r="H11" s="11">
        <f>IF($G11="","",IF($G11&gt;DATA_REF,"",DATA_REF-$G11))</f>
        <v/>
      </c>
      <c r="I11" s="12">
        <f>IF($U11="","PENDENTE",IF($H11="","(nao plantado)",IFERROR(INDEX(CURVAS_KC!$B$5:$I$224,MATCH(MIN(MAX($H11,1),220),CURVAS_KC!$A$5:$A$224,0),MATCH($U11,CURVAS_KC!$B$4:$I$4,0)),"PENDENTE")))</f>
        <v/>
      </c>
      <c r="J11" s="13">
        <f>IF($G11="","",$G11)</f>
        <v/>
      </c>
      <c r="K11" s="14">
        <f>IF($J11="","",SUMIFS(ETO_DIARIO!$B$5:$B$404,ETO_DIARIO!$A$5:$A$404,"&gt;"&amp;$J11,ETO_DIARIO!$A$5:$A$404,"&lt;="&amp;DATA_REF))</f>
        <v/>
      </c>
      <c r="L11" s="14">
        <f>IF($J11="","",SUMIFS(ETO_DIARIO!$C$5:$C$404,ETO_DIARIO!$A$5:$A$404,"&gt;"&amp;$J11,ETO_DIARIO!$A$5:$A$404,"&lt;="&amp;DATA_REF))</f>
        <v/>
      </c>
      <c r="M11" s="14">
        <f>IF(OR($I11="",$I11="PENDENTE",$I11="(nao plantado)",$K11=""),"",$I11*$K11)</f>
        <v/>
      </c>
      <c r="N11" s="14">
        <f>IF($M11="","",MAX(0,$M11-N($L11)))</f>
        <v/>
      </c>
      <c r="O11" s="14">
        <f>IF($N11="","",$N11/EF_APLIC)</f>
        <v/>
      </c>
      <c r="P11" s="8" t="n"/>
      <c r="Q11" s="15">
        <f>IF(OR($V11="",$P11=""),"",IFERROR(INDEX(LAMINA_HORA!$C$5:$V$114,MATCH($V11,LAMINA_HORA!$A$5:$A$114,0),MATCH($P11,LAMINA_HORA!$C$3:$V$3,0)),"?"))</f>
        <v/>
      </c>
      <c r="R11" s="15">
        <f>IF(OR($V11="",$P11=""),"",IFERROR(INDEX(LAMINA_HORA!$W$5:$AP$114,MATCH($V11,LAMINA_HORA!$A$5:$A$114,0),MATCH($P11,LAMINA_HORA!$W$3:$AP$3,0)),"?"))</f>
        <v/>
      </c>
      <c r="S11" s="16">
        <f>IF($I11="PENDENTE","Definir Kc/classe",IF($I11="(nao plantado)","Aguardar plantio",IF($N11="","-",IF($N11&gt;=TURNO,"IRRIGAR",IF($N11&gt;=TURNO*FRAC_ACOMP,"Acompanhar","Aguardar")))))</f>
        <v/>
      </c>
      <c r="T11" s="16">
        <f>IF(OR($N11="",$N11=0),"-",IF($N11&gt;=2*TURNO,"Alta",IF($N11&gt;=TURNO,"Media","Baixa")))</f>
        <v/>
      </c>
      <c r="U11" s="17" t="inlineStr"/>
      <c r="V11" s="8" t="inlineStr">
        <is>
          <t>P2</t>
        </is>
      </c>
    </row>
    <row r="12">
      <c r="A12" s="6" t="inlineStr">
        <is>
          <t>Pivô 02</t>
        </is>
      </c>
      <c r="B12" s="6" t="inlineStr">
        <is>
          <t>R0</t>
        </is>
      </c>
      <c r="C12" s="6" t="inlineStr">
        <is>
          <t>SOJA</t>
        </is>
      </c>
      <c r="D12" s="7" t="inlineStr">
        <is>
          <t>BMX DOMINIO IPRO</t>
        </is>
      </c>
      <c r="E12" s="8" t="inlineStr">
        <is>
          <t>MEDIA</t>
        </is>
      </c>
      <c r="F12" s="9" t="n">
        <v>134</v>
      </c>
      <c r="G12" s="10" t="n">
        <v>46327</v>
      </c>
      <c r="H12" s="11">
        <f>IF($G12="","",IF($G12&gt;DATA_REF,"",DATA_REF-$G12))</f>
        <v/>
      </c>
      <c r="I12" s="12">
        <f>IF($U12="","PENDENTE",IF($H12="","(nao plantado)",IFERROR(INDEX(CURVAS_KC!$B$5:$I$224,MATCH(MIN(MAX($H12,1),220),CURVAS_KC!$A$5:$A$224,0),MATCH($U12,CURVAS_KC!$B$4:$I$4,0)),"PENDENTE")))</f>
        <v/>
      </c>
      <c r="J12" s="13">
        <f>IF($G12="","",$G12)</f>
        <v/>
      </c>
      <c r="K12" s="14">
        <f>IF($J12="","",SUMIFS(ETO_DIARIO!$B$5:$B$404,ETO_DIARIO!$A$5:$A$404,"&gt;"&amp;$J12,ETO_DIARIO!$A$5:$A$404,"&lt;="&amp;DATA_REF))</f>
        <v/>
      </c>
      <c r="L12" s="14">
        <f>IF($J12="","",SUMIFS(ETO_DIARIO!$C$5:$C$404,ETO_DIARIO!$A$5:$A$404,"&gt;"&amp;$J12,ETO_DIARIO!$A$5:$A$404,"&lt;="&amp;DATA_REF))</f>
        <v/>
      </c>
      <c r="M12" s="14">
        <f>IF(OR($I12="",$I12="PENDENTE",$I12="(nao plantado)",$K12=""),"",$I12*$K12)</f>
        <v/>
      </c>
      <c r="N12" s="14">
        <f>IF($M12="","",MAX(0,$M12-N($L12)))</f>
        <v/>
      </c>
      <c r="O12" s="14">
        <f>IF($N12="","",$N12/EF_APLIC)</f>
        <v/>
      </c>
      <c r="P12" s="8" t="n"/>
      <c r="Q12" s="15">
        <f>IF(OR($V12="",$P12=""),"",IFERROR(INDEX(LAMINA_HORA!$C$5:$V$114,MATCH($V12,LAMINA_HORA!$A$5:$A$114,0),MATCH($P12,LAMINA_HORA!$C$3:$V$3,0)),"?"))</f>
        <v/>
      </c>
      <c r="R12" s="15">
        <f>IF(OR($V12="",$P12=""),"",IFERROR(INDEX(LAMINA_HORA!$W$5:$AP$114,MATCH($V12,LAMINA_HORA!$A$5:$A$114,0),MATCH($P12,LAMINA_HORA!$W$3:$AP$3,0)),"?"))</f>
        <v/>
      </c>
      <c r="S12" s="16">
        <f>IF($I12="PENDENTE","Definir Kc/classe",IF($I12="(nao plantado)","Aguardar plantio",IF($N12="","-",IF($N12&gt;=TURNO,"IRRIGAR",IF($N12&gt;=TURNO*FRAC_ACOMP,"Acompanhar","Aguardar")))))</f>
        <v/>
      </c>
      <c r="T12" s="16">
        <f>IF(OR($N12="",$N12=0),"-",IF($N12&gt;=2*TURNO,"Alta",IF($N12&gt;=TURNO,"Media","Baixa")))</f>
        <v/>
      </c>
      <c r="U12" s="17" t="inlineStr">
        <is>
          <t>SOJA_MEDIA</t>
        </is>
      </c>
      <c r="V12" s="8" t="inlineStr">
        <is>
          <t>P2</t>
        </is>
      </c>
    </row>
    <row r="13">
      <c r="A13" s="6" t="inlineStr">
        <is>
          <t>Pivô 02</t>
        </is>
      </c>
      <c r="B13" s="6" t="inlineStr">
        <is>
          <t>R0</t>
        </is>
      </c>
      <c r="C13" s="6" t="inlineStr">
        <is>
          <t>SOJA</t>
        </is>
      </c>
      <c r="D13" s="7" t="inlineStr">
        <is>
          <t>BMX DOMINIO IPRO</t>
        </is>
      </c>
      <c r="E13" s="8" t="inlineStr">
        <is>
          <t>MEDIA</t>
        </is>
      </c>
      <c r="F13" s="9" t="n">
        <v>38</v>
      </c>
      <c r="G13" s="10" t="n">
        <v>46331</v>
      </c>
      <c r="H13" s="11">
        <f>IF($G13="","",IF($G13&gt;DATA_REF,"",DATA_REF-$G13))</f>
        <v/>
      </c>
      <c r="I13" s="12">
        <f>IF($U13="","PENDENTE",IF($H13="","(nao plantado)",IFERROR(INDEX(CURVAS_KC!$B$5:$I$224,MATCH(MIN(MAX($H13,1),220),CURVAS_KC!$A$5:$A$224,0),MATCH($U13,CURVAS_KC!$B$4:$I$4,0)),"PENDENTE")))</f>
        <v/>
      </c>
      <c r="J13" s="13">
        <f>IF($G13="","",$G13)</f>
        <v/>
      </c>
      <c r="K13" s="14">
        <f>IF($J13="","",SUMIFS(ETO_DIARIO!$B$5:$B$404,ETO_DIARIO!$A$5:$A$404,"&gt;"&amp;$J13,ETO_DIARIO!$A$5:$A$404,"&lt;="&amp;DATA_REF))</f>
        <v/>
      </c>
      <c r="L13" s="14">
        <f>IF($J13="","",SUMIFS(ETO_DIARIO!$C$5:$C$404,ETO_DIARIO!$A$5:$A$404,"&gt;"&amp;$J13,ETO_DIARIO!$A$5:$A$404,"&lt;="&amp;DATA_REF))</f>
        <v/>
      </c>
      <c r="M13" s="14">
        <f>IF(OR($I13="",$I13="PENDENTE",$I13="(nao plantado)",$K13=""),"",$I13*$K13)</f>
        <v/>
      </c>
      <c r="N13" s="14">
        <f>IF($M13="","",MAX(0,$M13-N($L13)))</f>
        <v/>
      </c>
      <c r="O13" s="14">
        <f>IF($N13="","",$N13/EF_APLIC)</f>
        <v/>
      </c>
      <c r="P13" s="8" t="n"/>
      <c r="Q13" s="15">
        <f>IF(OR($V13="",$P13=""),"",IFERROR(INDEX(LAMINA_HORA!$C$5:$V$114,MATCH($V13,LAMINA_HORA!$A$5:$A$114,0),MATCH($P13,LAMINA_HORA!$C$3:$V$3,0)),"?"))</f>
        <v/>
      </c>
      <c r="R13" s="15">
        <f>IF(OR($V13="",$P13=""),"",IFERROR(INDEX(LAMINA_HORA!$W$5:$AP$114,MATCH($V13,LAMINA_HORA!$A$5:$A$114,0),MATCH($P13,LAMINA_HORA!$W$3:$AP$3,0)),"?"))</f>
        <v/>
      </c>
      <c r="S13" s="16">
        <f>IF($I13="PENDENTE","Definir Kc/classe",IF($I13="(nao plantado)","Aguardar plantio",IF($N13="","-",IF($N13&gt;=TURNO,"IRRIGAR",IF($N13&gt;=TURNO*FRAC_ACOMP,"Acompanhar","Aguardar")))))</f>
        <v/>
      </c>
      <c r="T13" s="16">
        <f>IF(OR($N13="",$N13=0),"-",IF($N13&gt;=2*TURNO,"Alta",IF($N13&gt;=TURNO,"Media","Baixa")))</f>
        <v/>
      </c>
      <c r="U13" s="17" t="inlineStr">
        <is>
          <t>SOJA_MEDIA</t>
        </is>
      </c>
      <c r="V13" s="8" t="inlineStr">
        <is>
          <t>P2</t>
        </is>
      </c>
    </row>
    <row r="14">
      <c r="A14" s="6" t="inlineStr">
        <is>
          <t>Pivô 03</t>
        </is>
      </c>
      <c r="B14" s="6" t="inlineStr">
        <is>
          <t>R0</t>
        </is>
      </c>
      <c r="C14" s="6" t="inlineStr">
        <is>
          <t>SOJA</t>
        </is>
      </c>
      <c r="D14" s="7" t="inlineStr">
        <is>
          <t>COMBATE IPRO</t>
        </is>
      </c>
      <c r="E14" s="8" t="inlineStr">
        <is>
          <t>PRECOCE</t>
        </is>
      </c>
      <c r="F14" s="9" t="n">
        <v>150</v>
      </c>
      <c r="G14" s="10" t="n">
        <v>46288</v>
      </c>
      <c r="H14" s="11">
        <f>IF($G14="","",IF($G14&gt;DATA_REF,"",DATA_REF-$G14))</f>
        <v/>
      </c>
      <c r="I14" s="12">
        <f>IF($U14="","PENDENTE",IF($H14="","(nao plantado)",IFERROR(INDEX(CURVAS_KC!$B$5:$I$224,MATCH(MIN(MAX($H14,1),220),CURVAS_KC!$A$5:$A$224,0),MATCH($U14,CURVAS_KC!$B$4:$I$4,0)),"PENDENTE")))</f>
        <v/>
      </c>
      <c r="J14" s="13">
        <f>IF($G14="","",$G14)</f>
        <v/>
      </c>
      <c r="K14" s="14">
        <f>IF($J14="","",SUMIFS(ETO_DIARIO!$B$5:$B$404,ETO_DIARIO!$A$5:$A$404,"&gt;"&amp;$J14,ETO_DIARIO!$A$5:$A$404,"&lt;="&amp;DATA_REF))</f>
        <v/>
      </c>
      <c r="L14" s="14">
        <f>IF($J14="","",SUMIFS(ETO_DIARIO!$C$5:$C$404,ETO_DIARIO!$A$5:$A$404,"&gt;"&amp;$J14,ETO_DIARIO!$A$5:$A$404,"&lt;="&amp;DATA_REF))</f>
        <v/>
      </c>
      <c r="M14" s="14">
        <f>IF(OR($I14="",$I14="PENDENTE",$I14="(nao plantado)",$K14=""),"",$I14*$K14)</f>
        <v/>
      </c>
      <c r="N14" s="14">
        <f>IF($M14="","",MAX(0,$M14-N($L14)))</f>
        <v/>
      </c>
      <c r="O14" s="14">
        <f>IF($N14="","",$N14/EF_APLIC)</f>
        <v/>
      </c>
      <c r="P14" s="8" t="n"/>
      <c r="Q14" s="15">
        <f>IF(OR($V14="",$P14=""),"",IFERROR(INDEX(LAMINA_HORA!$C$5:$V$114,MATCH($V14,LAMINA_HORA!$A$5:$A$114,0),MATCH($P14,LAMINA_HORA!$C$3:$V$3,0)),"?"))</f>
        <v/>
      </c>
      <c r="R14" s="15">
        <f>IF(OR($V14="",$P14=""),"",IFERROR(INDEX(LAMINA_HORA!$W$5:$AP$114,MATCH($V14,LAMINA_HORA!$A$5:$A$114,0),MATCH($P14,LAMINA_HORA!$W$3:$AP$3,0)),"?"))</f>
        <v/>
      </c>
      <c r="S14" s="16">
        <f>IF($I14="PENDENTE","Definir Kc/classe",IF($I14="(nao plantado)","Aguardar plantio",IF($N14="","-",IF($N14&gt;=TURNO,"IRRIGAR",IF($N14&gt;=TURNO*FRAC_ACOMP,"Acompanhar","Aguardar")))))</f>
        <v/>
      </c>
      <c r="T14" s="16">
        <f>IF(OR($N14="",$N14=0),"-",IF($N14&gt;=2*TURNO,"Alta",IF($N14&gt;=TURNO,"Media","Baixa")))</f>
        <v/>
      </c>
      <c r="U14" s="17" t="inlineStr">
        <is>
          <t>SOJA_PRECOCE</t>
        </is>
      </c>
      <c r="V14" s="8" t="inlineStr">
        <is>
          <t>P3</t>
        </is>
      </c>
    </row>
    <row r="15">
      <c r="A15" s="6" t="inlineStr">
        <is>
          <t>Pivô 03</t>
        </is>
      </c>
      <c r="B15" s="6" t="inlineStr">
        <is>
          <t>R0</t>
        </is>
      </c>
      <c r="C15" s="6" t="inlineStr">
        <is>
          <t>CACAU</t>
        </is>
      </c>
      <c r="D15" s="7" t="inlineStr">
        <is>
          <t>PS1319/FA13/CCN51</t>
        </is>
      </c>
      <c r="E15" s="8" t="inlineStr"/>
      <c r="F15" s="9" t="n">
        <v>82.8</v>
      </c>
      <c r="G15" s="10" t="n">
        <v>45901</v>
      </c>
      <c r="H15" s="11">
        <f>IF($G15="","",IF($G15&gt;DATA_REF,"",DATA_REF-$G15))</f>
        <v/>
      </c>
      <c r="I15" s="12">
        <f>IF($U15="","PENDENTE",IF($H15="","(nao plantado)",IFERROR(INDEX(CURVAS_KC!$B$5:$I$224,MATCH(MIN(MAX($H15,1),220),CURVAS_KC!$A$5:$A$224,0),MATCH($U15,CURVAS_KC!$B$4:$I$4,0)),"PENDENTE")))</f>
        <v/>
      </c>
      <c r="J15" s="13">
        <f>IF($G15="","",$G15)</f>
        <v/>
      </c>
      <c r="K15" s="14">
        <f>IF($J15="","",SUMIFS(ETO_DIARIO!$B$5:$B$404,ETO_DIARIO!$A$5:$A$404,"&gt;"&amp;$J15,ETO_DIARIO!$A$5:$A$404,"&lt;="&amp;DATA_REF))</f>
        <v/>
      </c>
      <c r="L15" s="14">
        <f>IF($J15="","",SUMIFS(ETO_DIARIO!$C$5:$C$404,ETO_DIARIO!$A$5:$A$404,"&gt;"&amp;$J15,ETO_DIARIO!$A$5:$A$404,"&lt;="&amp;DATA_REF))</f>
        <v/>
      </c>
      <c r="M15" s="14">
        <f>IF(OR($I15="",$I15="PENDENTE",$I15="(nao plantado)",$K15=""),"",$I15*$K15)</f>
        <v/>
      </c>
      <c r="N15" s="14">
        <f>IF($M15="","",MAX(0,$M15-N($L15)))</f>
        <v/>
      </c>
      <c r="O15" s="14">
        <f>IF($N15="","",$N15/EF_APLIC)</f>
        <v/>
      </c>
      <c r="P15" s="8" t="n"/>
      <c r="Q15" s="15">
        <f>IF(OR($V15="",$P15=""),"",IFERROR(INDEX(LAMINA_HORA!$C$5:$V$114,MATCH($V15,LAMINA_HORA!$A$5:$A$114,0),MATCH($P15,LAMINA_HORA!$C$3:$V$3,0)),"?"))</f>
        <v/>
      </c>
      <c r="R15" s="15">
        <f>IF(OR($V15="",$P15=""),"",IFERROR(INDEX(LAMINA_HORA!$W$5:$AP$114,MATCH($V15,LAMINA_HORA!$A$5:$A$114,0),MATCH($P15,LAMINA_HORA!$W$3:$AP$3,0)),"?"))</f>
        <v/>
      </c>
      <c r="S15" s="16">
        <f>IF($I15="PENDENTE","Definir Kc/classe",IF($I15="(nao plantado)","Aguardar plantio",IF($N15="","-",IF($N15&gt;=TURNO,"IRRIGAR",IF($N15&gt;=TURNO*FRAC_ACOMP,"Acompanhar","Aguardar")))))</f>
        <v/>
      </c>
      <c r="T15" s="16">
        <f>IF(OR($N15="",$N15=0),"-",IF($N15&gt;=2*TURNO,"Alta",IF($N15&gt;=TURNO,"Media","Baixa")))</f>
        <v/>
      </c>
      <c r="U15" s="17" t="inlineStr"/>
      <c r="V15" s="8" t="inlineStr">
        <is>
          <t>P3</t>
        </is>
      </c>
    </row>
    <row r="16">
      <c r="A16" s="6" t="inlineStr">
        <is>
          <t>Pivô 03</t>
        </is>
      </c>
      <c r="B16" s="6" t="inlineStr">
        <is>
          <t>R0</t>
        </is>
      </c>
      <c r="C16" s="6" t="inlineStr">
        <is>
          <t>SOJA</t>
        </is>
      </c>
      <c r="D16" s="7" t="inlineStr">
        <is>
          <t>MURALHA IPRO</t>
        </is>
      </c>
      <c r="E16" s="8" t="inlineStr">
        <is>
          <t>MEDIA</t>
        </is>
      </c>
      <c r="F16" s="9" t="n">
        <v>77</v>
      </c>
      <c r="G16" s="10" t="n">
        <v>46328</v>
      </c>
      <c r="H16" s="11">
        <f>IF($G16="","",IF($G16&gt;DATA_REF,"",DATA_REF-$G16))</f>
        <v/>
      </c>
      <c r="I16" s="12">
        <f>IF($U16="","PENDENTE",IF($H16="","(nao plantado)",IFERROR(INDEX(CURVAS_KC!$B$5:$I$224,MATCH(MIN(MAX($H16,1),220),CURVAS_KC!$A$5:$A$224,0),MATCH($U16,CURVAS_KC!$B$4:$I$4,0)),"PENDENTE")))</f>
        <v/>
      </c>
      <c r="J16" s="13">
        <f>IF($G16="","",$G16)</f>
        <v/>
      </c>
      <c r="K16" s="14">
        <f>IF($J16="","",SUMIFS(ETO_DIARIO!$B$5:$B$404,ETO_DIARIO!$A$5:$A$404,"&gt;"&amp;$J16,ETO_DIARIO!$A$5:$A$404,"&lt;="&amp;DATA_REF))</f>
        <v/>
      </c>
      <c r="L16" s="14">
        <f>IF($J16="","",SUMIFS(ETO_DIARIO!$C$5:$C$404,ETO_DIARIO!$A$5:$A$404,"&gt;"&amp;$J16,ETO_DIARIO!$A$5:$A$404,"&lt;="&amp;DATA_REF))</f>
        <v/>
      </c>
      <c r="M16" s="14">
        <f>IF(OR($I16="",$I16="PENDENTE",$I16="(nao plantado)",$K16=""),"",$I16*$K16)</f>
        <v/>
      </c>
      <c r="N16" s="14">
        <f>IF($M16="","",MAX(0,$M16-N($L16)))</f>
        <v/>
      </c>
      <c r="O16" s="14">
        <f>IF($N16="","",$N16/EF_APLIC)</f>
        <v/>
      </c>
      <c r="P16" s="8" t="n"/>
      <c r="Q16" s="15">
        <f>IF(OR($V16="",$P16=""),"",IFERROR(INDEX(LAMINA_HORA!$C$5:$V$114,MATCH($V16,LAMINA_HORA!$A$5:$A$114,0),MATCH($P16,LAMINA_HORA!$C$3:$V$3,0)),"?"))</f>
        <v/>
      </c>
      <c r="R16" s="15">
        <f>IF(OR($V16="",$P16=""),"",IFERROR(INDEX(LAMINA_HORA!$W$5:$AP$114,MATCH($V16,LAMINA_HORA!$A$5:$A$114,0),MATCH($P16,LAMINA_HORA!$W$3:$AP$3,0)),"?"))</f>
        <v/>
      </c>
      <c r="S16" s="16">
        <f>IF($I16="PENDENTE","Definir Kc/classe",IF($I16="(nao plantado)","Aguardar plantio",IF($N16="","-",IF($N16&gt;=TURNO,"IRRIGAR",IF($N16&gt;=TURNO*FRAC_ACOMP,"Acompanhar","Aguardar")))))</f>
        <v/>
      </c>
      <c r="T16" s="16">
        <f>IF(OR($N16="",$N16=0),"-",IF($N16&gt;=2*TURNO,"Alta",IF($N16&gt;=TURNO,"Media","Baixa")))</f>
        <v/>
      </c>
      <c r="U16" s="17" t="inlineStr">
        <is>
          <t>SOJA_MEDIA</t>
        </is>
      </c>
      <c r="V16" s="8" t="inlineStr">
        <is>
          <t>P3</t>
        </is>
      </c>
    </row>
    <row r="17">
      <c r="A17" s="6" t="inlineStr">
        <is>
          <t>Pivô 03</t>
        </is>
      </c>
      <c r="B17" s="6" t="inlineStr">
        <is>
          <t>R0</t>
        </is>
      </c>
      <c r="C17" s="6" t="inlineStr">
        <is>
          <t>SOJA</t>
        </is>
      </c>
      <c r="D17" s="7" t="inlineStr">
        <is>
          <t>BMX DOMINIO IPRO</t>
        </is>
      </c>
      <c r="E17" s="8" t="inlineStr">
        <is>
          <t>MEDIA</t>
        </is>
      </c>
      <c r="F17" s="9" t="n">
        <v>162</v>
      </c>
      <c r="G17" s="10" t="n">
        <v>46332</v>
      </c>
      <c r="H17" s="11">
        <f>IF($G17="","",IF($G17&gt;DATA_REF,"",DATA_REF-$G17))</f>
        <v/>
      </c>
      <c r="I17" s="12">
        <f>IF($U17="","PENDENTE",IF($H17="","(nao plantado)",IFERROR(INDEX(CURVAS_KC!$B$5:$I$224,MATCH(MIN(MAX($H17,1),220),CURVAS_KC!$A$5:$A$224,0),MATCH($U17,CURVAS_KC!$B$4:$I$4,0)),"PENDENTE")))</f>
        <v/>
      </c>
      <c r="J17" s="13">
        <f>IF($G17="","",$G17)</f>
        <v/>
      </c>
      <c r="K17" s="14">
        <f>IF($J17="","",SUMIFS(ETO_DIARIO!$B$5:$B$404,ETO_DIARIO!$A$5:$A$404,"&gt;"&amp;$J17,ETO_DIARIO!$A$5:$A$404,"&lt;="&amp;DATA_REF))</f>
        <v/>
      </c>
      <c r="L17" s="14">
        <f>IF($J17="","",SUMIFS(ETO_DIARIO!$C$5:$C$404,ETO_DIARIO!$A$5:$A$404,"&gt;"&amp;$J17,ETO_DIARIO!$A$5:$A$404,"&lt;="&amp;DATA_REF))</f>
        <v/>
      </c>
      <c r="M17" s="14">
        <f>IF(OR($I17="",$I17="PENDENTE",$I17="(nao plantado)",$K17=""),"",$I17*$K17)</f>
        <v/>
      </c>
      <c r="N17" s="14">
        <f>IF($M17="","",MAX(0,$M17-N($L17)))</f>
        <v/>
      </c>
      <c r="O17" s="14">
        <f>IF($N17="","",$N17/EF_APLIC)</f>
        <v/>
      </c>
      <c r="P17" s="8" t="n"/>
      <c r="Q17" s="15">
        <f>IF(OR($V17="",$P17=""),"",IFERROR(INDEX(LAMINA_HORA!$C$5:$V$114,MATCH($V17,LAMINA_HORA!$A$5:$A$114,0),MATCH($P17,LAMINA_HORA!$C$3:$V$3,0)),"?"))</f>
        <v/>
      </c>
      <c r="R17" s="15">
        <f>IF(OR($V17="",$P17=""),"",IFERROR(INDEX(LAMINA_HORA!$W$5:$AP$114,MATCH($V17,LAMINA_HORA!$A$5:$A$114,0),MATCH($P17,LAMINA_HORA!$W$3:$AP$3,0)),"?"))</f>
        <v/>
      </c>
      <c r="S17" s="16">
        <f>IF($I17="PENDENTE","Definir Kc/classe",IF($I17="(nao plantado)","Aguardar plantio",IF($N17="","-",IF($N17&gt;=TURNO,"IRRIGAR",IF($N17&gt;=TURNO*FRAC_ACOMP,"Acompanhar","Aguardar")))))</f>
        <v/>
      </c>
      <c r="T17" s="16">
        <f>IF(OR($N17="",$N17=0),"-",IF($N17&gt;=2*TURNO,"Alta",IF($N17&gt;=TURNO,"Media","Baixa")))</f>
        <v/>
      </c>
      <c r="U17" s="17" t="inlineStr">
        <is>
          <t>SOJA_MEDIA</t>
        </is>
      </c>
      <c r="V17" s="8" t="inlineStr">
        <is>
          <t>P3</t>
        </is>
      </c>
    </row>
    <row r="18">
      <c r="A18" s="6" t="inlineStr">
        <is>
          <t>Pivô 04</t>
        </is>
      </c>
      <c r="B18" s="6" t="inlineStr">
        <is>
          <t>R0</t>
        </is>
      </c>
      <c r="C18" s="6" t="inlineStr">
        <is>
          <t>SOJA</t>
        </is>
      </c>
      <c r="D18" s="7" t="inlineStr">
        <is>
          <t>COMBATE IPRO</t>
        </is>
      </c>
      <c r="E18" s="8" t="inlineStr">
        <is>
          <t>PRECOCE</t>
        </is>
      </c>
      <c r="F18" s="9" t="n">
        <v>63</v>
      </c>
      <c r="G18" s="10" t="n">
        <v>46288</v>
      </c>
      <c r="H18" s="11">
        <f>IF($G18="","",IF($G18&gt;DATA_REF,"",DATA_REF-$G18))</f>
        <v/>
      </c>
      <c r="I18" s="12">
        <f>IF($U18="","PENDENTE",IF($H18="","(nao plantado)",IFERROR(INDEX(CURVAS_KC!$B$5:$I$224,MATCH(MIN(MAX($H18,1),220),CURVAS_KC!$A$5:$A$224,0),MATCH($U18,CURVAS_KC!$B$4:$I$4,0)),"PENDENTE")))</f>
        <v/>
      </c>
      <c r="J18" s="13">
        <f>IF($G18="","",$G18)</f>
        <v/>
      </c>
      <c r="K18" s="14">
        <f>IF($J18="","",SUMIFS(ETO_DIARIO!$B$5:$B$404,ETO_DIARIO!$A$5:$A$404,"&gt;"&amp;$J18,ETO_DIARIO!$A$5:$A$404,"&lt;="&amp;DATA_REF))</f>
        <v/>
      </c>
      <c r="L18" s="14">
        <f>IF($J18="","",SUMIFS(ETO_DIARIO!$C$5:$C$404,ETO_DIARIO!$A$5:$A$404,"&gt;"&amp;$J18,ETO_DIARIO!$A$5:$A$404,"&lt;="&amp;DATA_REF))</f>
        <v/>
      </c>
      <c r="M18" s="14">
        <f>IF(OR($I18="",$I18="PENDENTE",$I18="(nao plantado)",$K18=""),"",$I18*$K18)</f>
        <v/>
      </c>
      <c r="N18" s="14">
        <f>IF($M18="","",MAX(0,$M18-N($L18)))</f>
        <v/>
      </c>
      <c r="O18" s="14">
        <f>IF($N18="","",$N18/EF_APLIC)</f>
        <v/>
      </c>
      <c r="P18" s="8" t="n"/>
      <c r="Q18" s="15">
        <f>IF(OR($V18="",$P18=""),"",IFERROR(INDEX(LAMINA_HORA!$C$5:$V$114,MATCH($V18,LAMINA_HORA!$A$5:$A$114,0),MATCH($P18,LAMINA_HORA!$C$3:$V$3,0)),"?"))</f>
        <v/>
      </c>
      <c r="R18" s="15">
        <f>IF(OR($V18="",$P18=""),"",IFERROR(INDEX(LAMINA_HORA!$W$5:$AP$114,MATCH($V18,LAMINA_HORA!$A$5:$A$114,0),MATCH($P18,LAMINA_HORA!$W$3:$AP$3,0)),"?"))</f>
        <v/>
      </c>
      <c r="S18" s="16">
        <f>IF($I18="PENDENTE","Definir Kc/classe",IF($I18="(nao plantado)","Aguardar plantio",IF($N18="","-",IF($N18&gt;=TURNO,"IRRIGAR",IF($N18&gt;=TURNO*FRAC_ACOMP,"Acompanhar","Aguardar")))))</f>
        <v/>
      </c>
      <c r="T18" s="16">
        <f>IF(OR($N18="",$N18=0),"-",IF($N18&gt;=2*TURNO,"Alta",IF($N18&gt;=TURNO,"Media","Baixa")))</f>
        <v/>
      </c>
      <c r="U18" s="17" t="inlineStr">
        <is>
          <t>SOJA_PRECOCE</t>
        </is>
      </c>
      <c r="V18" s="8" t="inlineStr">
        <is>
          <t>P4</t>
        </is>
      </c>
    </row>
    <row r="19">
      <c r="A19" s="6" t="inlineStr">
        <is>
          <t>Pivô 04</t>
        </is>
      </c>
      <c r="B19" s="6" t="inlineStr">
        <is>
          <t>R0</t>
        </is>
      </c>
      <c r="C19" s="6" t="inlineStr">
        <is>
          <t>SOJA</t>
        </is>
      </c>
      <c r="D19" s="7" t="inlineStr">
        <is>
          <t>BMX DOMINIO IPRO</t>
        </is>
      </c>
      <c r="E19" s="8" t="inlineStr">
        <is>
          <t>MEDIA</t>
        </is>
      </c>
      <c r="F19" s="9" t="n">
        <v>240</v>
      </c>
      <c r="G19" s="10" t="n">
        <v>46332</v>
      </c>
      <c r="H19" s="11">
        <f>IF($G19="","",IF($G19&gt;DATA_REF,"",DATA_REF-$G19))</f>
        <v/>
      </c>
      <c r="I19" s="12">
        <f>IF($U19="","PENDENTE",IF($H19="","(nao plantado)",IFERROR(INDEX(CURVAS_KC!$B$5:$I$224,MATCH(MIN(MAX($H19,1),220),CURVAS_KC!$A$5:$A$224,0),MATCH($U19,CURVAS_KC!$B$4:$I$4,0)),"PENDENTE")))</f>
        <v/>
      </c>
      <c r="J19" s="13">
        <f>IF($G19="","",$G19)</f>
        <v/>
      </c>
      <c r="K19" s="14">
        <f>IF($J19="","",SUMIFS(ETO_DIARIO!$B$5:$B$404,ETO_DIARIO!$A$5:$A$404,"&gt;"&amp;$J19,ETO_DIARIO!$A$5:$A$404,"&lt;="&amp;DATA_REF))</f>
        <v/>
      </c>
      <c r="L19" s="14">
        <f>IF($J19="","",SUMIFS(ETO_DIARIO!$C$5:$C$404,ETO_DIARIO!$A$5:$A$404,"&gt;"&amp;$J19,ETO_DIARIO!$A$5:$A$404,"&lt;="&amp;DATA_REF))</f>
        <v/>
      </c>
      <c r="M19" s="14">
        <f>IF(OR($I19="",$I19="PENDENTE",$I19="(nao plantado)",$K19=""),"",$I19*$K19)</f>
        <v/>
      </c>
      <c r="N19" s="14">
        <f>IF($M19="","",MAX(0,$M19-N($L19)))</f>
        <v/>
      </c>
      <c r="O19" s="14">
        <f>IF($N19="","",$N19/EF_APLIC)</f>
        <v/>
      </c>
      <c r="P19" s="8" t="n"/>
      <c r="Q19" s="15">
        <f>IF(OR($V19="",$P19=""),"",IFERROR(INDEX(LAMINA_HORA!$C$5:$V$114,MATCH($V19,LAMINA_HORA!$A$5:$A$114,0),MATCH($P19,LAMINA_HORA!$C$3:$V$3,0)),"?"))</f>
        <v/>
      </c>
      <c r="R19" s="15">
        <f>IF(OR($V19="",$P19=""),"",IFERROR(INDEX(LAMINA_HORA!$W$5:$AP$114,MATCH($V19,LAMINA_HORA!$A$5:$A$114,0),MATCH($P19,LAMINA_HORA!$W$3:$AP$3,0)),"?"))</f>
        <v/>
      </c>
      <c r="S19" s="16">
        <f>IF($I19="PENDENTE","Definir Kc/classe",IF($I19="(nao plantado)","Aguardar plantio",IF($N19="","-",IF($N19&gt;=TURNO,"IRRIGAR",IF($N19&gt;=TURNO*FRAC_ACOMP,"Acompanhar","Aguardar")))))</f>
        <v/>
      </c>
      <c r="T19" s="16">
        <f>IF(OR($N19="",$N19=0),"-",IF($N19&gt;=2*TURNO,"Alta",IF($N19&gt;=TURNO,"Media","Baixa")))</f>
        <v/>
      </c>
      <c r="U19" s="17" t="inlineStr">
        <is>
          <t>SOJA_MEDIA</t>
        </is>
      </c>
      <c r="V19" s="8" t="inlineStr">
        <is>
          <t>P4</t>
        </is>
      </c>
    </row>
    <row r="20">
      <c r="A20" s="6" t="inlineStr">
        <is>
          <t>Pivô 05</t>
        </is>
      </c>
      <c r="B20" s="6" t="inlineStr">
        <is>
          <t>R1</t>
        </is>
      </c>
      <c r="C20" s="6" t="inlineStr">
        <is>
          <t>SOJA</t>
        </is>
      </c>
      <c r="D20" s="7" t="inlineStr">
        <is>
          <t>COMBATE IPRO</t>
        </is>
      </c>
      <c r="E20" s="8" t="inlineStr">
        <is>
          <t>PRECOCE</t>
        </is>
      </c>
      <c r="F20" s="9" t="n">
        <v>150</v>
      </c>
      <c r="G20" s="10" t="n">
        <v>46289</v>
      </c>
      <c r="H20" s="11">
        <f>IF($G20="","",IF($G20&gt;DATA_REF,"",DATA_REF-$G20))</f>
        <v/>
      </c>
      <c r="I20" s="12">
        <f>IF($U20="","PENDENTE",IF($H20="","(nao plantado)",IFERROR(INDEX(CURVAS_KC!$B$5:$I$224,MATCH(MIN(MAX($H20,1),220),CURVAS_KC!$A$5:$A$224,0),MATCH($U20,CURVAS_KC!$B$4:$I$4,0)),"PENDENTE")))</f>
        <v/>
      </c>
      <c r="J20" s="13">
        <f>IF($G20="","",$G20)</f>
        <v/>
      </c>
      <c r="K20" s="14">
        <f>IF($J20="","",SUMIFS(ETO_DIARIO!$B$5:$B$404,ETO_DIARIO!$A$5:$A$404,"&gt;"&amp;$J20,ETO_DIARIO!$A$5:$A$404,"&lt;="&amp;DATA_REF))</f>
        <v/>
      </c>
      <c r="L20" s="14">
        <f>IF($J20="","",SUMIFS(ETO_DIARIO!$C$5:$C$404,ETO_DIARIO!$A$5:$A$404,"&gt;"&amp;$J20,ETO_DIARIO!$A$5:$A$404,"&lt;="&amp;DATA_REF))</f>
        <v/>
      </c>
      <c r="M20" s="14">
        <f>IF(OR($I20="",$I20="PENDENTE",$I20="(nao plantado)",$K20=""),"",$I20*$K20)</f>
        <v/>
      </c>
      <c r="N20" s="14">
        <f>IF($M20="","",MAX(0,$M20-N($L20)))</f>
        <v/>
      </c>
      <c r="O20" s="14">
        <f>IF($N20="","",$N20/EF_APLIC)</f>
        <v/>
      </c>
      <c r="P20" s="8" t="n"/>
      <c r="Q20" s="15">
        <f>IF(OR($V20="",$P20=""),"",IFERROR(INDEX(LAMINA_HORA!$C$5:$V$114,MATCH($V20,LAMINA_HORA!$A$5:$A$114,0),MATCH($P20,LAMINA_HORA!$C$3:$V$3,0)),"?"))</f>
        <v/>
      </c>
      <c r="R20" s="15">
        <f>IF(OR($V20="",$P20=""),"",IFERROR(INDEX(LAMINA_HORA!$W$5:$AP$114,MATCH($V20,LAMINA_HORA!$A$5:$A$114,0),MATCH($P20,LAMINA_HORA!$W$3:$AP$3,0)),"?"))</f>
        <v/>
      </c>
      <c r="S20" s="16">
        <f>IF($I20="PENDENTE","Definir Kc/classe",IF($I20="(nao plantado)","Aguardar plantio",IF($N20="","-",IF($N20&gt;=TURNO,"IRRIGAR",IF($N20&gt;=TURNO*FRAC_ACOMP,"Acompanhar","Aguardar")))))</f>
        <v/>
      </c>
      <c r="T20" s="16">
        <f>IF(OR($N20="",$N20=0),"-",IF($N20&gt;=2*TURNO,"Alta",IF($N20&gt;=TURNO,"Media","Baixa")))</f>
        <v/>
      </c>
      <c r="U20" s="17" t="inlineStr">
        <is>
          <t>SOJA_PRECOCE</t>
        </is>
      </c>
      <c r="V20" s="8" t="inlineStr">
        <is>
          <t>P5</t>
        </is>
      </c>
    </row>
    <row r="21">
      <c r="A21" s="6" t="inlineStr">
        <is>
          <t>Pivô 05</t>
        </is>
      </c>
      <c r="B21" s="6" t="inlineStr">
        <is>
          <t>R1</t>
        </is>
      </c>
      <c r="C21" s="6" t="inlineStr">
        <is>
          <t>SOJA</t>
        </is>
      </c>
      <c r="D21" s="7" t="inlineStr">
        <is>
          <t>BMX DOMINIO IPRO</t>
        </is>
      </c>
      <c r="E21" s="8" t="inlineStr">
        <is>
          <t>MEDIA</t>
        </is>
      </c>
      <c r="F21" s="9" t="n">
        <v>37</v>
      </c>
      <c r="G21" s="10" t="n">
        <v>46332</v>
      </c>
      <c r="H21" s="11">
        <f>IF($G21="","",IF($G21&gt;DATA_REF,"",DATA_REF-$G21))</f>
        <v/>
      </c>
      <c r="I21" s="12">
        <f>IF($U21="","PENDENTE",IF($H21="","(nao plantado)",IFERROR(INDEX(CURVAS_KC!$B$5:$I$224,MATCH(MIN(MAX($H21,1),220),CURVAS_KC!$A$5:$A$224,0),MATCH($U21,CURVAS_KC!$B$4:$I$4,0)),"PENDENTE")))</f>
        <v/>
      </c>
      <c r="J21" s="13">
        <f>IF($G21="","",$G21)</f>
        <v/>
      </c>
      <c r="K21" s="14">
        <f>IF($J21="","",SUMIFS(ETO_DIARIO!$B$5:$B$404,ETO_DIARIO!$A$5:$A$404,"&gt;"&amp;$J21,ETO_DIARIO!$A$5:$A$404,"&lt;="&amp;DATA_REF))</f>
        <v/>
      </c>
      <c r="L21" s="14">
        <f>IF($J21="","",SUMIFS(ETO_DIARIO!$C$5:$C$404,ETO_DIARIO!$A$5:$A$404,"&gt;"&amp;$J21,ETO_DIARIO!$A$5:$A$404,"&lt;="&amp;DATA_REF))</f>
        <v/>
      </c>
      <c r="M21" s="14">
        <f>IF(OR($I21="",$I21="PENDENTE",$I21="(nao plantado)",$K21=""),"",$I21*$K21)</f>
        <v/>
      </c>
      <c r="N21" s="14">
        <f>IF($M21="","",MAX(0,$M21-N($L21)))</f>
        <v/>
      </c>
      <c r="O21" s="14">
        <f>IF($N21="","",$N21/EF_APLIC)</f>
        <v/>
      </c>
      <c r="P21" s="8" t="n"/>
      <c r="Q21" s="15">
        <f>IF(OR($V21="",$P21=""),"",IFERROR(INDEX(LAMINA_HORA!$C$5:$V$114,MATCH($V21,LAMINA_HORA!$A$5:$A$114,0),MATCH($P21,LAMINA_HORA!$C$3:$V$3,0)),"?"))</f>
        <v/>
      </c>
      <c r="R21" s="15">
        <f>IF(OR($V21="",$P21=""),"",IFERROR(INDEX(LAMINA_HORA!$W$5:$AP$114,MATCH($V21,LAMINA_HORA!$A$5:$A$114,0),MATCH($P21,LAMINA_HORA!$W$3:$AP$3,0)),"?"))</f>
        <v/>
      </c>
      <c r="S21" s="16">
        <f>IF($I21="PENDENTE","Definir Kc/classe",IF($I21="(nao plantado)","Aguardar plantio",IF($N21="","-",IF($N21&gt;=TURNO,"IRRIGAR",IF($N21&gt;=TURNO*FRAC_ACOMP,"Acompanhar","Aguardar")))))</f>
        <v/>
      </c>
      <c r="T21" s="16">
        <f>IF(OR($N21="",$N21=0),"-",IF($N21&gt;=2*TURNO,"Alta",IF($N21&gt;=TURNO,"Media","Baixa")))</f>
        <v/>
      </c>
      <c r="U21" s="17" t="inlineStr">
        <is>
          <t>SOJA_MEDIA</t>
        </is>
      </c>
      <c r="V21" s="8" t="inlineStr">
        <is>
          <t>P5</t>
        </is>
      </c>
    </row>
    <row r="22">
      <c r="A22" s="6" t="inlineStr">
        <is>
          <t>Pivô 06</t>
        </is>
      </c>
      <c r="B22" s="6" t="inlineStr">
        <is>
          <t>R1</t>
        </is>
      </c>
      <c r="C22" s="6" t="inlineStr">
        <is>
          <t>SOJA</t>
        </is>
      </c>
      <c r="D22" s="7" t="inlineStr">
        <is>
          <t>COMBATE IPRO</t>
        </is>
      </c>
      <c r="E22" s="8" t="inlineStr">
        <is>
          <t>PRECOCE</t>
        </is>
      </c>
      <c r="F22" s="9" t="n">
        <v>150</v>
      </c>
      <c r="G22" s="10" t="n">
        <v>46289</v>
      </c>
      <c r="H22" s="11">
        <f>IF($G22="","",IF($G22&gt;DATA_REF,"",DATA_REF-$G22))</f>
        <v/>
      </c>
      <c r="I22" s="12">
        <f>IF($U22="","PENDENTE",IF($H22="","(nao plantado)",IFERROR(INDEX(CURVAS_KC!$B$5:$I$224,MATCH(MIN(MAX($H22,1),220),CURVAS_KC!$A$5:$A$224,0),MATCH($U22,CURVAS_KC!$B$4:$I$4,0)),"PENDENTE")))</f>
        <v/>
      </c>
      <c r="J22" s="13">
        <f>IF($G22="","",$G22)</f>
        <v/>
      </c>
      <c r="K22" s="14">
        <f>IF($J22="","",SUMIFS(ETO_DIARIO!$B$5:$B$404,ETO_DIARIO!$A$5:$A$404,"&gt;"&amp;$J22,ETO_DIARIO!$A$5:$A$404,"&lt;="&amp;DATA_REF))</f>
        <v/>
      </c>
      <c r="L22" s="14">
        <f>IF($J22="","",SUMIFS(ETO_DIARIO!$C$5:$C$404,ETO_DIARIO!$A$5:$A$404,"&gt;"&amp;$J22,ETO_DIARIO!$A$5:$A$404,"&lt;="&amp;DATA_REF))</f>
        <v/>
      </c>
      <c r="M22" s="14">
        <f>IF(OR($I22="",$I22="PENDENTE",$I22="(nao plantado)",$K22=""),"",$I22*$K22)</f>
        <v/>
      </c>
      <c r="N22" s="14">
        <f>IF($M22="","",MAX(0,$M22-N($L22)))</f>
        <v/>
      </c>
      <c r="O22" s="14">
        <f>IF($N22="","",$N22/EF_APLIC)</f>
        <v/>
      </c>
      <c r="P22" s="8" t="n"/>
      <c r="Q22" s="15">
        <f>IF(OR($V22="",$P22=""),"",IFERROR(INDEX(LAMINA_HORA!$C$5:$V$114,MATCH($V22,LAMINA_HORA!$A$5:$A$114,0),MATCH($P22,LAMINA_HORA!$C$3:$V$3,0)),"?"))</f>
        <v/>
      </c>
      <c r="R22" s="15">
        <f>IF(OR($V22="",$P22=""),"",IFERROR(INDEX(LAMINA_HORA!$W$5:$AP$114,MATCH($V22,LAMINA_HORA!$A$5:$A$114,0),MATCH($P22,LAMINA_HORA!$W$3:$AP$3,0)),"?"))</f>
        <v/>
      </c>
      <c r="S22" s="16">
        <f>IF($I22="PENDENTE","Definir Kc/classe",IF($I22="(nao plantado)","Aguardar plantio",IF($N22="","-",IF($N22&gt;=TURNO,"IRRIGAR",IF($N22&gt;=TURNO*FRAC_ACOMP,"Acompanhar","Aguardar")))))</f>
        <v/>
      </c>
      <c r="T22" s="16">
        <f>IF(OR($N22="",$N22=0),"-",IF($N22&gt;=2*TURNO,"Alta",IF($N22&gt;=TURNO,"Media","Baixa")))</f>
        <v/>
      </c>
      <c r="U22" s="17" t="inlineStr">
        <is>
          <t>SOJA_PRECOCE</t>
        </is>
      </c>
      <c r="V22" s="8" t="inlineStr">
        <is>
          <t>P6</t>
        </is>
      </c>
    </row>
    <row r="23">
      <c r="A23" s="6" t="inlineStr">
        <is>
          <t>Pivô 07</t>
        </is>
      </c>
      <c r="B23" s="6" t="inlineStr">
        <is>
          <t>R2</t>
        </is>
      </c>
      <c r="C23" s="6" t="inlineStr">
        <is>
          <t>ALGODÃO</t>
        </is>
      </c>
      <c r="D23" s="7" t="inlineStr">
        <is>
          <t>IMA 5901 B2RF</t>
        </is>
      </c>
      <c r="E23" s="8" t="inlineStr">
        <is>
          <t>MEDIO</t>
        </is>
      </c>
      <c r="F23" s="9" t="n">
        <v>120</v>
      </c>
      <c r="G23" s="10" t="n">
        <v>46351</v>
      </c>
      <c r="H23" s="11">
        <f>IF($G23="","",IF($G23&gt;DATA_REF,"",DATA_REF-$G23))</f>
        <v/>
      </c>
      <c r="I23" s="12">
        <f>IF($U23="","PENDENTE",IF($H23="","(nao plantado)",IFERROR(INDEX(CURVAS_KC!$B$5:$I$224,MATCH(MIN(MAX($H23,1),220),CURVAS_KC!$A$5:$A$224,0),MATCH($U23,CURVAS_KC!$B$4:$I$4,0)),"PENDENTE")))</f>
        <v/>
      </c>
      <c r="J23" s="13">
        <f>IF($G23="","",$G23)</f>
        <v/>
      </c>
      <c r="K23" s="14">
        <f>IF($J23="","",SUMIFS(ETO_DIARIO!$B$5:$B$404,ETO_DIARIO!$A$5:$A$404,"&gt;"&amp;$J23,ETO_DIARIO!$A$5:$A$404,"&lt;="&amp;DATA_REF))</f>
        <v/>
      </c>
      <c r="L23" s="14">
        <f>IF($J23="","",SUMIFS(ETO_DIARIO!$C$5:$C$404,ETO_DIARIO!$A$5:$A$404,"&gt;"&amp;$J23,ETO_DIARIO!$A$5:$A$404,"&lt;="&amp;DATA_REF))</f>
        <v/>
      </c>
      <c r="M23" s="14">
        <f>IF(OR($I23="",$I23="PENDENTE",$I23="(nao plantado)",$K23=""),"",$I23*$K23)</f>
        <v/>
      </c>
      <c r="N23" s="14">
        <f>IF($M23="","",MAX(0,$M23-N($L23)))</f>
        <v/>
      </c>
      <c r="O23" s="14">
        <f>IF($N23="","",$N23/EF_APLIC)</f>
        <v/>
      </c>
      <c r="P23" s="8" t="n"/>
      <c r="Q23" s="15">
        <f>IF(OR($V23="",$P23=""),"",IFERROR(INDEX(LAMINA_HORA!$C$5:$V$114,MATCH($V23,LAMINA_HORA!$A$5:$A$114,0),MATCH($P23,LAMINA_HORA!$C$3:$V$3,0)),"?"))</f>
        <v/>
      </c>
      <c r="R23" s="15">
        <f>IF(OR($V23="",$P23=""),"",IFERROR(INDEX(LAMINA_HORA!$W$5:$AP$114,MATCH($V23,LAMINA_HORA!$A$5:$A$114,0),MATCH($P23,LAMINA_HORA!$W$3:$AP$3,0)),"?"))</f>
        <v/>
      </c>
      <c r="S23" s="16">
        <f>IF($I23="PENDENTE","Definir Kc/classe",IF($I23="(nao plantado)","Aguardar plantio",IF($N23="","-",IF($N23&gt;=TURNO,"IRRIGAR",IF($N23&gt;=TURNO*FRAC_ACOMP,"Acompanhar","Aguardar")))))</f>
        <v/>
      </c>
      <c r="T23" s="16">
        <f>IF(OR($N23="",$N23=0),"-",IF($N23&gt;=2*TURNO,"Alta",IF($N23&gt;=TURNO,"Media","Baixa")))</f>
        <v/>
      </c>
      <c r="U23" s="17" t="inlineStr">
        <is>
          <t>ALG_MEDIO</t>
        </is>
      </c>
      <c r="V23" s="8" t="inlineStr">
        <is>
          <t>P7</t>
        </is>
      </c>
    </row>
    <row r="24">
      <c r="A24" s="6" t="inlineStr">
        <is>
          <t>Pivô 08</t>
        </is>
      </c>
      <c r="B24" s="6" t="inlineStr">
        <is>
          <t>R2</t>
        </is>
      </c>
      <c r="C24" s="6" t="inlineStr">
        <is>
          <t>ALGODÃO</t>
        </is>
      </c>
      <c r="D24" s="7" t="inlineStr">
        <is>
          <t>IMA 5901 B2RF</t>
        </is>
      </c>
      <c r="E24" s="8" t="inlineStr">
        <is>
          <t>MEDIO</t>
        </is>
      </c>
      <c r="F24" s="9" t="n">
        <v>150</v>
      </c>
      <c r="G24" s="10" t="n">
        <v>46351</v>
      </c>
      <c r="H24" s="11">
        <f>IF($G24="","",IF($G24&gt;DATA_REF,"",DATA_REF-$G24))</f>
        <v/>
      </c>
      <c r="I24" s="12">
        <f>IF($U24="","PENDENTE",IF($H24="","(nao plantado)",IFERROR(INDEX(CURVAS_KC!$B$5:$I$224,MATCH(MIN(MAX($H24,1),220),CURVAS_KC!$A$5:$A$224,0),MATCH($U24,CURVAS_KC!$B$4:$I$4,0)),"PENDENTE")))</f>
        <v/>
      </c>
      <c r="J24" s="13">
        <f>IF($G24="","",$G24)</f>
        <v/>
      </c>
      <c r="K24" s="14">
        <f>IF($J24="","",SUMIFS(ETO_DIARIO!$B$5:$B$404,ETO_DIARIO!$A$5:$A$404,"&gt;"&amp;$J24,ETO_DIARIO!$A$5:$A$404,"&lt;="&amp;DATA_REF))</f>
        <v/>
      </c>
      <c r="L24" s="14">
        <f>IF($J24="","",SUMIFS(ETO_DIARIO!$C$5:$C$404,ETO_DIARIO!$A$5:$A$404,"&gt;"&amp;$J24,ETO_DIARIO!$A$5:$A$404,"&lt;="&amp;DATA_REF))</f>
        <v/>
      </c>
      <c r="M24" s="14">
        <f>IF(OR($I24="",$I24="PENDENTE",$I24="(nao plantado)",$K24=""),"",$I24*$K24)</f>
        <v/>
      </c>
      <c r="N24" s="14">
        <f>IF($M24="","",MAX(0,$M24-N($L24)))</f>
        <v/>
      </c>
      <c r="O24" s="14">
        <f>IF($N24="","",$N24/EF_APLIC)</f>
        <v/>
      </c>
      <c r="P24" s="8" t="n"/>
      <c r="Q24" s="15">
        <f>IF(OR($V24="",$P24=""),"",IFERROR(INDEX(LAMINA_HORA!$C$5:$V$114,MATCH($V24,LAMINA_HORA!$A$5:$A$114,0),MATCH($P24,LAMINA_HORA!$C$3:$V$3,0)),"?"))</f>
        <v/>
      </c>
      <c r="R24" s="15">
        <f>IF(OR($V24="",$P24=""),"",IFERROR(INDEX(LAMINA_HORA!$W$5:$AP$114,MATCH($V24,LAMINA_HORA!$A$5:$A$114,0),MATCH($P24,LAMINA_HORA!$W$3:$AP$3,0)),"?"))</f>
        <v/>
      </c>
      <c r="S24" s="16">
        <f>IF($I24="PENDENTE","Definir Kc/classe",IF($I24="(nao plantado)","Aguardar plantio",IF($N24="","-",IF($N24&gt;=TURNO,"IRRIGAR",IF($N24&gt;=TURNO*FRAC_ACOMP,"Acompanhar","Aguardar")))))</f>
        <v/>
      </c>
      <c r="T24" s="16">
        <f>IF(OR($N24="",$N24=0),"-",IF($N24&gt;=2*TURNO,"Alta",IF($N24&gt;=TURNO,"Media","Baixa")))</f>
        <v/>
      </c>
      <c r="U24" s="17" t="inlineStr">
        <is>
          <t>ALG_MEDIO</t>
        </is>
      </c>
      <c r="V24" s="8" t="inlineStr">
        <is>
          <t>P8</t>
        </is>
      </c>
    </row>
    <row r="25">
      <c r="A25" s="6" t="inlineStr">
        <is>
          <t>Pivô 09</t>
        </is>
      </c>
      <c r="B25" s="6" t="inlineStr">
        <is>
          <t>R3</t>
        </is>
      </c>
      <c r="C25" s="6" t="inlineStr">
        <is>
          <t>ALGODÃO</t>
        </is>
      </c>
      <c r="D25" s="7" t="inlineStr">
        <is>
          <t>IMA 5901 B2RF</t>
        </is>
      </c>
      <c r="E25" s="8" t="inlineStr">
        <is>
          <t>MEDIO</t>
        </is>
      </c>
      <c r="F25" s="9" t="n">
        <v>120</v>
      </c>
      <c r="G25" s="10" t="n">
        <v>46352</v>
      </c>
      <c r="H25" s="11">
        <f>IF($G25="","",IF($G25&gt;DATA_REF,"",DATA_REF-$G25))</f>
        <v/>
      </c>
      <c r="I25" s="12">
        <f>IF($U25="","PENDENTE",IF($H25="","(nao plantado)",IFERROR(INDEX(CURVAS_KC!$B$5:$I$224,MATCH(MIN(MAX($H25,1),220),CURVAS_KC!$A$5:$A$224,0),MATCH($U25,CURVAS_KC!$B$4:$I$4,0)),"PENDENTE")))</f>
        <v/>
      </c>
      <c r="J25" s="13">
        <f>IF($G25="","",$G25)</f>
        <v/>
      </c>
      <c r="K25" s="14">
        <f>IF($J25="","",SUMIFS(ETO_DIARIO!$B$5:$B$404,ETO_DIARIO!$A$5:$A$404,"&gt;"&amp;$J25,ETO_DIARIO!$A$5:$A$404,"&lt;="&amp;DATA_REF))</f>
        <v/>
      </c>
      <c r="L25" s="14">
        <f>IF($J25="","",SUMIFS(ETO_DIARIO!$C$5:$C$404,ETO_DIARIO!$A$5:$A$404,"&gt;"&amp;$J25,ETO_DIARIO!$A$5:$A$404,"&lt;="&amp;DATA_REF))</f>
        <v/>
      </c>
      <c r="M25" s="14">
        <f>IF(OR($I25="",$I25="PENDENTE",$I25="(nao plantado)",$K25=""),"",$I25*$K25)</f>
        <v/>
      </c>
      <c r="N25" s="14">
        <f>IF($M25="","",MAX(0,$M25-N($L25)))</f>
        <v/>
      </c>
      <c r="O25" s="14">
        <f>IF($N25="","",$N25/EF_APLIC)</f>
        <v/>
      </c>
      <c r="P25" s="8" t="n"/>
      <c r="Q25" s="15">
        <f>IF(OR($V25="",$P25=""),"",IFERROR(INDEX(LAMINA_HORA!$C$5:$V$114,MATCH($V25,LAMINA_HORA!$A$5:$A$114,0),MATCH($P25,LAMINA_HORA!$C$3:$V$3,0)),"?"))</f>
        <v/>
      </c>
      <c r="R25" s="15">
        <f>IF(OR($V25="",$P25=""),"",IFERROR(INDEX(LAMINA_HORA!$W$5:$AP$114,MATCH($V25,LAMINA_HORA!$A$5:$A$114,0),MATCH($P25,LAMINA_HORA!$W$3:$AP$3,0)),"?"))</f>
        <v/>
      </c>
      <c r="S25" s="16">
        <f>IF($I25="PENDENTE","Definir Kc/classe",IF($I25="(nao plantado)","Aguardar plantio",IF($N25="","-",IF($N25&gt;=TURNO,"IRRIGAR",IF($N25&gt;=TURNO*FRAC_ACOMP,"Acompanhar","Aguardar")))))</f>
        <v/>
      </c>
      <c r="T25" s="16">
        <f>IF(OR($N25="",$N25=0),"-",IF($N25&gt;=2*TURNO,"Alta",IF($N25&gt;=TURNO,"Media","Baixa")))</f>
        <v/>
      </c>
      <c r="U25" s="17" t="inlineStr">
        <is>
          <t>ALG_MEDIO</t>
        </is>
      </c>
      <c r="V25" s="8" t="inlineStr">
        <is>
          <t>P9</t>
        </is>
      </c>
    </row>
    <row r="26">
      <c r="A26" s="6" t="inlineStr">
        <is>
          <t>Pivô 10</t>
        </is>
      </c>
      <c r="B26" s="6" t="inlineStr">
        <is>
          <t>R3</t>
        </is>
      </c>
      <c r="C26" s="6" t="inlineStr">
        <is>
          <t>ALGODÃO</t>
        </is>
      </c>
      <c r="D26" s="7" t="inlineStr">
        <is>
          <t>IMA 5901 B2RF</t>
        </is>
      </c>
      <c r="E26" s="8" t="inlineStr">
        <is>
          <t>MEDIO</t>
        </is>
      </c>
      <c r="F26" s="9" t="n">
        <v>150</v>
      </c>
      <c r="G26" s="10" t="n">
        <v>46352</v>
      </c>
      <c r="H26" s="11">
        <f>IF($G26="","",IF($G26&gt;DATA_REF,"",DATA_REF-$G26))</f>
        <v/>
      </c>
      <c r="I26" s="12">
        <f>IF($U26="","PENDENTE",IF($H26="","(nao plantado)",IFERROR(INDEX(CURVAS_KC!$B$5:$I$224,MATCH(MIN(MAX($H26,1),220),CURVAS_KC!$A$5:$A$224,0),MATCH($U26,CURVAS_KC!$B$4:$I$4,0)),"PENDENTE")))</f>
        <v/>
      </c>
      <c r="J26" s="13">
        <f>IF($G26="","",$G26)</f>
        <v/>
      </c>
      <c r="K26" s="14">
        <f>IF($J26="","",SUMIFS(ETO_DIARIO!$B$5:$B$404,ETO_DIARIO!$A$5:$A$404,"&gt;"&amp;$J26,ETO_DIARIO!$A$5:$A$404,"&lt;="&amp;DATA_REF))</f>
        <v/>
      </c>
      <c r="L26" s="14">
        <f>IF($J26="","",SUMIFS(ETO_DIARIO!$C$5:$C$404,ETO_DIARIO!$A$5:$A$404,"&gt;"&amp;$J26,ETO_DIARIO!$A$5:$A$404,"&lt;="&amp;DATA_REF))</f>
        <v/>
      </c>
      <c r="M26" s="14">
        <f>IF(OR($I26="",$I26="PENDENTE",$I26="(nao plantado)",$K26=""),"",$I26*$K26)</f>
        <v/>
      </c>
      <c r="N26" s="14">
        <f>IF($M26="","",MAX(0,$M26-N($L26)))</f>
        <v/>
      </c>
      <c r="O26" s="14">
        <f>IF($N26="","",$N26/EF_APLIC)</f>
        <v/>
      </c>
      <c r="P26" s="8" t="n"/>
      <c r="Q26" s="15">
        <f>IF(OR($V26="",$P26=""),"",IFERROR(INDEX(LAMINA_HORA!$C$5:$V$114,MATCH($V26,LAMINA_HORA!$A$5:$A$114,0),MATCH($P26,LAMINA_HORA!$C$3:$V$3,0)),"?"))</f>
        <v/>
      </c>
      <c r="R26" s="15">
        <f>IF(OR($V26="",$P26=""),"",IFERROR(INDEX(LAMINA_HORA!$W$5:$AP$114,MATCH($V26,LAMINA_HORA!$A$5:$A$114,0),MATCH($P26,LAMINA_HORA!$W$3:$AP$3,0)),"?"))</f>
        <v/>
      </c>
      <c r="S26" s="16">
        <f>IF($I26="PENDENTE","Definir Kc/classe",IF($I26="(nao plantado)","Aguardar plantio",IF($N26="","-",IF($N26&gt;=TURNO,"IRRIGAR",IF($N26&gt;=TURNO*FRAC_ACOMP,"Acompanhar","Aguardar")))))</f>
        <v/>
      </c>
      <c r="T26" s="16">
        <f>IF(OR($N26="",$N26=0),"-",IF($N26&gt;=2*TURNO,"Alta",IF($N26&gt;=TURNO,"Media","Baixa")))</f>
        <v/>
      </c>
      <c r="U26" s="17" t="inlineStr">
        <is>
          <t>ALG_MEDIO</t>
        </is>
      </c>
      <c r="V26" s="8" t="inlineStr">
        <is>
          <t>P10</t>
        </is>
      </c>
    </row>
    <row r="27">
      <c r="A27" s="6" t="inlineStr">
        <is>
          <t>Pivô 10</t>
        </is>
      </c>
      <c r="B27" s="6" t="inlineStr">
        <is>
          <t>R3</t>
        </is>
      </c>
      <c r="C27" s="6" t="inlineStr">
        <is>
          <t>SOJA</t>
        </is>
      </c>
      <c r="D27" s="7" t="inlineStr">
        <is>
          <t>ATAQUE I2X</t>
        </is>
      </c>
      <c r="E27" s="8" t="inlineStr">
        <is>
          <t>TARDIA</t>
        </is>
      </c>
      <c r="F27" s="9" t="n">
        <v>13</v>
      </c>
      <c r="G27" s="10" t="n">
        <v>46327</v>
      </c>
      <c r="H27" s="11">
        <f>IF($G27="","",IF($G27&gt;DATA_REF,"",DATA_REF-$G27))</f>
        <v/>
      </c>
      <c r="I27" s="12">
        <f>IF($U27="","PENDENTE",IF($H27="","(nao plantado)",IFERROR(INDEX(CURVAS_KC!$B$5:$I$224,MATCH(MIN(MAX($H27,1),220),CURVAS_KC!$A$5:$A$224,0),MATCH($U27,CURVAS_KC!$B$4:$I$4,0)),"PENDENTE")))</f>
        <v/>
      </c>
      <c r="J27" s="13">
        <f>IF($G27="","",$G27)</f>
        <v/>
      </c>
      <c r="K27" s="14">
        <f>IF($J27="","",SUMIFS(ETO_DIARIO!$B$5:$B$404,ETO_DIARIO!$A$5:$A$404,"&gt;"&amp;$J27,ETO_DIARIO!$A$5:$A$404,"&lt;="&amp;DATA_REF))</f>
        <v/>
      </c>
      <c r="L27" s="14">
        <f>IF($J27="","",SUMIFS(ETO_DIARIO!$C$5:$C$404,ETO_DIARIO!$A$5:$A$404,"&gt;"&amp;$J27,ETO_DIARIO!$A$5:$A$404,"&lt;="&amp;DATA_REF))</f>
        <v/>
      </c>
      <c r="M27" s="14">
        <f>IF(OR($I27="",$I27="PENDENTE",$I27="(nao plantado)",$K27=""),"",$I27*$K27)</f>
        <v/>
      </c>
      <c r="N27" s="14">
        <f>IF($M27="","",MAX(0,$M27-N($L27)))</f>
        <v/>
      </c>
      <c r="O27" s="14">
        <f>IF($N27="","",$N27/EF_APLIC)</f>
        <v/>
      </c>
      <c r="P27" s="8" t="n"/>
      <c r="Q27" s="15">
        <f>IF(OR($V27="",$P27=""),"",IFERROR(INDEX(LAMINA_HORA!$C$5:$V$114,MATCH($V27,LAMINA_HORA!$A$5:$A$114,0),MATCH($P27,LAMINA_HORA!$C$3:$V$3,0)),"?"))</f>
        <v/>
      </c>
      <c r="R27" s="15">
        <f>IF(OR($V27="",$P27=""),"",IFERROR(INDEX(LAMINA_HORA!$W$5:$AP$114,MATCH($V27,LAMINA_HORA!$A$5:$A$114,0),MATCH($P27,LAMINA_HORA!$W$3:$AP$3,0)),"?"))</f>
        <v/>
      </c>
      <c r="S27" s="16">
        <f>IF($I27="PENDENTE","Definir Kc/classe",IF($I27="(nao plantado)","Aguardar plantio",IF($N27="","-",IF($N27&gt;=TURNO,"IRRIGAR",IF($N27&gt;=TURNO*FRAC_ACOMP,"Acompanhar","Aguardar")))))</f>
        <v/>
      </c>
      <c r="T27" s="16">
        <f>IF(OR($N27="",$N27=0),"-",IF($N27&gt;=2*TURNO,"Alta",IF($N27&gt;=TURNO,"Media","Baixa")))</f>
        <v/>
      </c>
      <c r="U27" s="17" t="inlineStr">
        <is>
          <t>SOJA_TARDIA</t>
        </is>
      </c>
      <c r="V27" s="8" t="inlineStr">
        <is>
          <t>P10</t>
        </is>
      </c>
    </row>
    <row r="28">
      <c r="A28" s="6" t="inlineStr">
        <is>
          <t>Pivô 10</t>
        </is>
      </c>
      <c r="B28" s="6" t="inlineStr">
        <is>
          <t>R3</t>
        </is>
      </c>
      <c r="C28" s="6" t="inlineStr">
        <is>
          <t>SOJA</t>
        </is>
      </c>
      <c r="D28" s="7" t="inlineStr">
        <is>
          <t>ATAQUE I2X</t>
        </is>
      </c>
      <c r="E28" s="8" t="inlineStr">
        <is>
          <t>TARDIA</t>
        </is>
      </c>
      <c r="F28" s="9" t="n">
        <v>13</v>
      </c>
      <c r="G28" s="10" t="n">
        <v>46327</v>
      </c>
      <c r="H28" s="11">
        <f>IF($G28="","",IF($G28&gt;DATA_REF,"",DATA_REF-$G28))</f>
        <v/>
      </c>
      <c r="I28" s="12">
        <f>IF($U28="","PENDENTE",IF($H28="","(nao plantado)",IFERROR(INDEX(CURVAS_KC!$B$5:$I$224,MATCH(MIN(MAX($H28,1),220),CURVAS_KC!$A$5:$A$224,0),MATCH($U28,CURVAS_KC!$B$4:$I$4,0)),"PENDENTE")))</f>
        <v/>
      </c>
      <c r="J28" s="13">
        <f>IF($G28="","",$G28)</f>
        <v/>
      </c>
      <c r="K28" s="14">
        <f>IF($J28="","",SUMIFS(ETO_DIARIO!$B$5:$B$404,ETO_DIARIO!$A$5:$A$404,"&gt;"&amp;$J28,ETO_DIARIO!$A$5:$A$404,"&lt;="&amp;DATA_REF))</f>
        <v/>
      </c>
      <c r="L28" s="14">
        <f>IF($J28="","",SUMIFS(ETO_DIARIO!$C$5:$C$404,ETO_DIARIO!$A$5:$A$404,"&gt;"&amp;$J28,ETO_DIARIO!$A$5:$A$404,"&lt;="&amp;DATA_REF))</f>
        <v/>
      </c>
      <c r="M28" s="14">
        <f>IF(OR($I28="",$I28="PENDENTE",$I28="(nao plantado)",$K28=""),"",$I28*$K28)</f>
        <v/>
      </c>
      <c r="N28" s="14">
        <f>IF($M28="","",MAX(0,$M28-N($L28)))</f>
        <v/>
      </c>
      <c r="O28" s="14">
        <f>IF($N28="","",$N28/EF_APLIC)</f>
        <v/>
      </c>
      <c r="P28" s="8" t="n"/>
      <c r="Q28" s="15">
        <f>IF(OR($V28="",$P28=""),"",IFERROR(INDEX(LAMINA_HORA!$C$5:$V$114,MATCH($V28,LAMINA_HORA!$A$5:$A$114,0),MATCH($P28,LAMINA_HORA!$C$3:$V$3,0)),"?"))</f>
        <v/>
      </c>
      <c r="R28" s="15">
        <f>IF(OR($V28="",$P28=""),"",IFERROR(INDEX(LAMINA_HORA!$W$5:$AP$114,MATCH($V28,LAMINA_HORA!$A$5:$A$114,0),MATCH($P28,LAMINA_HORA!$W$3:$AP$3,0)),"?"))</f>
        <v/>
      </c>
      <c r="S28" s="16">
        <f>IF($I28="PENDENTE","Definir Kc/classe",IF($I28="(nao plantado)","Aguardar plantio",IF($N28="","-",IF($N28&gt;=TURNO,"IRRIGAR",IF($N28&gt;=TURNO*FRAC_ACOMP,"Acompanhar","Aguardar")))))</f>
        <v/>
      </c>
      <c r="T28" s="16">
        <f>IF(OR($N28="",$N28=0),"-",IF($N28&gt;=2*TURNO,"Alta",IF($N28&gt;=TURNO,"Media","Baixa")))</f>
        <v/>
      </c>
      <c r="U28" s="17" t="inlineStr">
        <is>
          <t>SOJA_TARDIA</t>
        </is>
      </c>
      <c r="V28" s="8" t="inlineStr">
        <is>
          <t>P10</t>
        </is>
      </c>
    </row>
    <row r="29">
      <c r="A29" s="6" t="inlineStr">
        <is>
          <t>Pivô 11</t>
        </is>
      </c>
      <c r="B29" s="6" t="inlineStr">
        <is>
          <t>R5</t>
        </is>
      </c>
      <c r="C29" s="6" t="inlineStr">
        <is>
          <t>ALGODÃO</t>
        </is>
      </c>
      <c r="D29" s="7" t="inlineStr">
        <is>
          <t>IMA 5901 B2RF</t>
        </is>
      </c>
      <c r="E29" s="8" t="inlineStr">
        <is>
          <t>MEDIO</t>
        </is>
      </c>
      <c r="F29" s="9" t="n">
        <v>121</v>
      </c>
      <c r="G29" s="10" t="n">
        <v>46353</v>
      </c>
      <c r="H29" s="11">
        <f>IF($G29="","",IF($G29&gt;DATA_REF,"",DATA_REF-$G29))</f>
        <v/>
      </c>
      <c r="I29" s="12">
        <f>IF($U29="","PENDENTE",IF($H29="","(nao plantado)",IFERROR(INDEX(CURVAS_KC!$B$5:$I$224,MATCH(MIN(MAX($H29,1),220),CURVAS_KC!$A$5:$A$224,0),MATCH($U29,CURVAS_KC!$B$4:$I$4,0)),"PENDENTE")))</f>
        <v/>
      </c>
      <c r="J29" s="13">
        <f>IF($G29="","",$G29)</f>
        <v/>
      </c>
      <c r="K29" s="14">
        <f>IF($J29="","",SUMIFS(ETO_DIARIO!$B$5:$B$404,ETO_DIARIO!$A$5:$A$404,"&gt;"&amp;$J29,ETO_DIARIO!$A$5:$A$404,"&lt;="&amp;DATA_REF))</f>
        <v/>
      </c>
      <c r="L29" s="14">
        <f>IF($J29="","",SUMIFS(ETO_DIARIO!$C$5:$C$404,ETO_DIARIO!$A$5:$A$404,"&gt;"&amp;$J29,ETO_DIARIO!$A$5:$A$404,"&lt;="&amp;DATA_REF))</f>
        <v/>
      </c>
      <c r="M29" s="14">
        <f>IF(OR($I29="",$I29="PENDENTE",$I29="(nao plantado)",$K29=""),"",$I29*$K29)</f>
        <v/>
      </c>
      <c r="N29" s="14">
        <f>IF($M29="","",MAX(0,$M29-N($L29)))</f>
        <v/>
      </c>
      <c r="O29" s="14">
        <f>IF($N29="","",$N29/EF_APLIC)</f>
        <v/>
      </c>
      <c r="P29" s="8" t="n"/>
      <c r="Q29" s="15">
        <f>IF(OR($V29="",$P29=""),"",IFERROR(INDEX(LAMINA_HORA!$C$5:$V$114,MATCH($V29,LAMINA_HORA!$A$5:$A$114,0),MATCH($P29,LAMINA_HORA!$C$3:$V$3,0)),"?"))</f>
        <v/>
      </c>
      <c r="R29" s="15">
        <f>IF(OR($V29="",$P29=""),"",IFERROR(INDEX(LAMINA_HORA!$W$5:$AP$114,MATCH($V29,LAMINA_HORA!$A$5:$A$114,0),MATCH($P29,LAMINA_HORA!$W$3:$AP$3,0)),"?"))</f>
        <v/>
      </c>
      <c r="S29" s="16">
        <f>IF($I29="PENDENTE","Definir Kc/classe",IF($I29="(nao plantado)","Aguardar plantio",IF($N29="","-",IF($N29&gt;=TURNO,"IRRIGAR",IF($N29&gt;=TURNO*FRAC_ACOMP,"Acompanhar","Aguardar")))))</f>
        <v/>
      </c>
      <c r="T29" s="16">
        <f>IF(OR($N29="",$N29=0),"-",IF($N29&gt;=2*TURNO,"Alta",IF($N29&gt;=TURNO,"Media","Baixa")))</f>
        <v/>
      </c>
      <c r="U29" s="17" t="inlineStr">
        <is>
          <t>ALG_MEDIO</t>
        </is>
      </c>
      <c r="V29" s="8" t="inlineStr">
        <is>
          <t>P11</t>
        </is>
      </c>
    </row>
    <row r="30">
      <c r="A30" s="6" t="inlineStr">
        <is>
          <t>Pivô 11</t>
        </is>
      </c>
      <c r="B30" s="6" t="inlineStr">
        <is>
          <t>R5</t>
        </is>
      </c>
      <c r="C30" s="6" t="inlineStr">
        <is>
          <t>SOJA</t>
        </is>
      </c>
      <c r="D30" s="7" t="inlineStr">
        <is>
          <t>BMX DOMINIO IPRO</t>
        </is>
      </c>
      <c r="E30" s="8" t="inlineStr">
        <is>
          <t>MEDIA</t>
        </is>
      </c>
      <c r="F30" s="9" t="n">
        <v>75</v>
      </c>
      <c r="G30" s="10" t="n">
        <v>46328</v>
      </c>
      <c r="H30" s="11">
        <f>IF($G30="","",IF($G30&gt;DATA_REF,"",DATA_REF-$G30))</f>
        <v/>
      </c>
      <c r="I30" s="12">
        <f>IF($U30="","PENDENTE",IF($H30="","(nao plantado)",IFERROR(INDEX(CURVAS_KC!$B$5:$I$224,MATCH(MIN(MAX($H30,1),220),CURVAS_KC!$A$5:$A$224,0),MATCH($U30,CURVAS_KC!$B$4:$I$4,0)),"PENDENTE")))</f>
        <v/>
      </c>
      <c r="J30" s="13">
        <f>IF($G30="","",$G30)</f>
        <v/>
      </c>
      <c r="K30" s="14">
        <f>IF($J30="","",SUMIFS(ETO_DIARIO!$B$5:$B$404,ETO_DIARIO!$A$5:$A$404,"&gt;"&amp;$J30,ETO_DIARIO!$A$5:$A$404,"&lt;="&amp;DATA_REF))</f>
        <v/>
      </c>
      <c r="L30" s="14">
        <f>IF($J30="","",SUMIFS(ETO_DIARIO!$C$5:$C$404,ETO_DIARIO!$A$5:$A$404,"&gt;"&amp;$J30,ETO_DIARIO!$A$5:$A$404,"&lt;="&amp;DATA_REF))</f>
        <v/>
      </c>
      <c r="M30" s="14">
        <f>IF(OR($I30="",$I30="PENDENTE",$I30="(nao plantado)",$K30=""),"",$I30*$K30)</f>
        <v/>
      </c>
      <c r="N30" s="14">
        <f>IF($M30="","",MAX(0,$M30-N($L30)))</f>
        <v/>
      </c>
      <c r="O30" s="14">
        <f>IF($N30="","",$N30/EF_APLIC)</f>
        <v/>
      </c>
      <c r="P30" s="8" t="n"/>
      <c r="Q30" s="15">
        <f>IF(OR($V30="",$P30=""),"",IFERROR(INDEX(LAMINA_HORA!$C$5:$V$114,MATCH($V30,LAMINA_HORA!$A$5:$A$114,0),MATCH($P30,LAMINA_HORA!$C$3:$V$3,0)),"?"))</f>
        <v/>
      </c>
      <c r="R30" s="15">
        <f>IF(OR($V30="",$P30=""),"",IFERROR(INDEX(LAMINA_HORA!$W$5:$AP$114,MATCH($V30,LAMINA_HORA!$A$5:$A$114,0),MATCH($P30,LAMINA_HORA!$W$3:$AP$3,0)),"?"))</f>
        <v/>
      </c>
      <c r="S30" s="16">
        <f>IF($I30="PENDENTE","Definir Kc/classe",IF($I30="(nao plantado)","Aguardar plantio",IF($N30="","-",IF($N30&gt;=TURNO,"IRRIGAR",IF($N30&gt;=TURNO*FRAC_ACOMP,"Acompanhar","Aguardar")))))</f>
        <v/>
      </c>
      <c r="T30" s="16">
        <f>IF(OR($N30="",$N30=0),"-",IF($N30&gt;=2*TURNO,"Alta",IF($N30&gt;=TURNO,"Media","Baixa")))</f>
        <v/>
      </c>
      <c r="U30" s="17" t="inlineStr">
        <is>
          <t>SOJA_MEDIA</t>
        </is>
      </c>
      <c r="V30" s="8" t="inlineStr">
        <is>
          <t>P11</t>
        </is>
      </c>
    </row>
    <row r="31">
      <c r="A31" s="6" t="inlineStr">
        <is>
          <t>Pivô 12</t>
        </is>
      </c>
      <c r="B31" s="6" t="inlineStr">
        <is>
          <t>R5</t>
        </is>
      </c>
      <c r="C31" s="6" t="inlineStr">
        <is>
          <t>SOJA</t>
        </is>
      </c>
      <c r="D31" s="7" t="inlineStr">
        <is>
          <t>COMBATE IPRO</t>
        </is>
      </c>
      <c r="E31" s="8" t="inlineStr">
        <is>
          <t>PRECOCE</t>
        </is>
      </c>
      <c r="F31" s="9" t="n">
        <v>150</v>
      </c>
      <c r="G31" s="10" t="n">
        <v>46304</v>
      </c>
      <c r="H31" s="11">
        <f>IF($G31="","",IF($G31&gt;DATA_REF,"",DATA_REF-$G31))</f>
        <v/>
      </c>
      <c r="I31" s="12">
        <f>IF($U31="","PENDENTE",IF($H31="","(nao plantado)",IFERROR(INDEX(CURVAS_KC!$B$5:$I$224,MATCH(MIN(MAX($H31,1),220),CURVAS_KC!$A$5:$A$224,0),MATCH($U31,CURVAS_KC!$B$4:$I$4,0)),"PENDENTE")))</f>
        <v/>
      </c>
      <c r="J31" s="13">
        <f>IF($G31="","",$G31)</f>
        <v/>
      </c>
      <c r="K31" s="14">
        <f>IF($J31="","",SUMIFS(ETO_DIARIO!$B$5:$B$404,ETO_DIARIO!$A$5:$A$404,"&gt;"&amp;$J31,ETO_DIARIO!$A$5:$A$404,"&lt;="&amp;DATA_REF))</f>
        <v/>
      </c>
      <c r="L31" s="14">
        <f>IF($J31="","",SUMIFS(ETO_DIARIO!$C$5:$C$404,ETO_DIARIO!$A$5:$A$404,"&gt;"&amp;$J31,ETO_DIARIO!$A$5:$A$404,"&lt;="&amp;DATA_REF))</f>
        <v/>
      </c>
      <c r="M31" s="14">
        <f>IF(OR($I31="",$I31="PENDENTE",$I31="(nao plantado)",$K31=""),"",$I31*$K31)</f>
        <v/>
      </c>
      <c r="N31" s="14">
        <f>IF($M31="","",MAX(0,$M31-N($L31)))</f>
        <v/>
      </c>
      <c r="O31" s="14">
        <f>IF($N31="","",$N31/EF_APLIC)</f>
        <v/>
      </c>
      <c r="P31" s="8" t="n"/>
      <c r="Q31" s="15">
        <f>IF(OR($V31="",$P31=""),"",IFERROR(INDEX(LAMINA_HORA!$C$5:$V$114,MATCH($V31,LAMINA_HORA!$A$5:$A$114,0),MATCH($P31,LAMINA_HORA!$C$3:$V$3,0)),"?"))</f>
        <v/>
      </c>
      <c r="R31" s="15">
        <f>IF(OR($V31="",$P31=""),"",IFERROR(INDEX(LAMINA_HORA!$W$5:$AP$114,MATCH($V31,LAMINA_HORA!$A$5:$A$114,0),MATCH($P31,LAMINA_HORA!$W$3:$AP$3,0)),"?"))</f>
        <v/>
      </c>
      <c r="S31" s="16">
        <f>IF($I31="PENDENTE","Definir Kc/classe",IF($I31="(nao plantado)","Aguardar plantio",IF($N31="","-",IF($N31&gt;=TURNO,"IRRIGAR",IF($N31&gt;=TURNO*FRAC_ACOMP,"Acompanhar","Aguardar")))))</f>
        <v/>
      </c>
      <c r="T31" s="16">
        <f>IF(OR($N31="",$N31=0),"-",IF($N31&gt;=2*TURNO,"Alta",IF($N31&gt;=TURNO,"Media","Baixa")))</f>
        <v/>
      </c>
      <c r="U31" s="17" t="inlineStr">
        <is>
          <t>SOJA_PRECOCE</t>
        </is>
      </c>
      <c r="V31" s="8" t="inlineStr">
        <is>
          <t>P12</t>
        </is>
      </c>
    </row>
    <row r="32">
      <c r="A32" s="6" t="inlineStr">
        <is>
          <t>Pivô 13</t>
        </is>
      </c>
      <c r="B32" s="6" t="inlineStr">
        <is>
          <t>R5</t>
        </is>
      </c>
      <c r="C32" s="6" t="inlineStr">
        <is>
          <t>SOJA</t>
        </is>
      </c>
      <c r="D32" s="7" t="inlineStr">
        <is>
          <t>COMBATE IPRO</t>
        </is>
      </c>
      <c r="E32" s="8" t="inlineStr">
        <is>
          <t>PRECOCE</t>
        </is>
      </c>
      <c r="F32" s="9" t="n">
        <v>71</v>
      </c>
      <c r="G32" s="10" t="n">
        <v>46304</v>
      </c>
      <c r="H32" s="11">
        <f>IF($G32="","",IF($G32&gt;DATA_REF,"",DATA_REF-$G32))</f>
        <v/>
      </c>
      <c r="I32" s="12">
        <f>IF($U32="","PENDENTE",IF($H32="","(nao plantado)",IFERROR(INDEX(CURVAS_KC!$B$5:$I$224,MATCH(MIN(MAX($H32,1),220),CURVAS_KC!$A$5:$A$224,0),MATCH($U32,CURVAS_KC!$B$4:$I$4,0)),"PENDENTE")))</f>
        <v/>
      </c>
      <c r="J32" s="13">
        <f>IF($G32="","",$G32)</f>
        <v/>
      </c>
      <c r="K32" s="14">
        <f>IF($J32="","",SUMIFS(ETO_DIARIO!$B$5:$B$404,ETO_DIARIO!$A$5:$A$404,"&gt;"&amp;$J32,ETO_DIARIO!$A$5:$A$404,"&lt;="&amp;DATA_REF))</f>
        <v/>
      </c>
      <c r="L32" s="14">
        <f>IF($J32="","",SUMIFS(ETO_DIARIO!$C$5:$C$404,ETO_DIARIO!$A$5:$A$404,"&gt;"&amp;$J32,ETO_DIARIO!$A$5:$A$404,"&lt;="&amp;DATA_REF))</f>
        <v/>
      </c>
      <c r="M32" s="14">
        <f>IF(OR($I32="",$I32="PENDENTE",$I32="(nao plantado)",$K32=""),"",$I32*$K32)</f>
        <v/>
      </c>
      <c r="N32" s="14">
        <f>IF($M32="","",MAX(0,$M32-N($L32)))</f>
        <v/>
      </c>
      <c r="O32" s="14">
        <f>IF($N32="","",$N32/EF_APLIC)</f>
        <v/>
      </c>
      <c r="P32" s="8" t="n"/>
      <c r="Q32" s="15">
        <f>IF(OR($V32="",$P32=""),"",IFERROR(INDEX(LAMINA_HORA!$C$5:$V$114,MATCH($V32,LAMINA_HORA!$A$5:$A$114,0),MATCH($P32,LAMINA_HORA!$C$3:$V$3,0)),"?"))</f>
        <v/>
      </c>
      <c r="R32" s="15">
        <f>IF(OR($V32="",$P32=""),"",IFERROR(INDEX(LAMINA_HORA!$W$5:$AP$114,MATCH($V32,LAMINA_HORA!$A$5:$A$114,0),MATCH($P32,LAMINA_HORA!$W$3:$AP$3,0)),"?"))</f>
        <v/>
      </c>
      <c r="S32" s="16">
        <f>IF($I32="PENDENTE","Definir Kc/classe",IF($I32="(nao plantado)","Aguardar plantio",IF($N32="","-",IF($N32&gt;=TURNO,"IRRIGAR",IF($N32&gt;=TURNO*FRAC_ACOMP,"Acompanhar","Aguardar")))))</f>
        <v/>
      </c>
      <c r="T32" s="16">
        <f>IF(OR($N32="",$N32=0),"-",IF($N32&gt;=2*TURNO,"Alta",IF($N32&gt;=TURNO,"Media","Baixa")))</f>
        <v/>
      </c>
      <c r="U32" s="17" t="inlineStr">
        <is>
          <t>SOJA_PRECOCE</t>
        </is>
      </c>
      <c r="V32" s="8" t="inlineStr">
        <is>
          <t>P13</t>
        </is>
      </c>
    </row>
    <row r="33">
      <c r="A33" s="6" t="inlineStr">
        <is>
          <t>Pivô 14</t>
        </is>
      </c>
      <c r="B33" s="6" t="inlineStr">
        <is>
          <t>R6</t>
        </is>
      </c>
      <c r="C33" s="6" t="inlineStr">
        <is>
          <t>SOJA</t>
        </is>
      </c>
      <c r="D33" s="7" t="inlineStr">
        <is>
          <t>COMBATE IPRO</t>
        </is>
      </c>
      <c r="E33" s="8" t="inlineStr">
        <is>
          <t>PRECOCE</t>
        </is>
      </c>
      <c r="F33" s="9" t="n">
        <v>150</v>
      </c>
      <c r="G33" s="10" t="n">
        <v>46319</v>
      </c>
      <c r="H33" s="11">
        <f>IF($G33="","",IF($G33&gt;DATA_REF,"",DATA_REF-$G33))</f>
        <v/>
      </c>
      <c r="I33" s="12">
        <f>IF($U33="","PENDENTE",IF($H33="","(nao plantado)",IFERROR(INDEX(CURVAS_KC!$B$5:$I$224,MATCH(MIN(MAX($H33,1),220),CURVAS_KC!$A$5:$A$224,0),MATCH($U33,CURVAS_KC!$B$4:$I$4,0)),"PENDENTE")))</f>
        <v/>
      </c>
      <c r="J33" s="13">
        <f>IF($G33="","",$G33)</f>
        <v/>
      </c>
      <c r="K33" s="14">
        <f>IF($J33="","",SUMIFS(ETO_DIARIO!$B$5:$B$404,ETO_DIARIO!$A$5:$A$404,"&gt;"&amp;$J33,ETO_DIARIO!$A$5:$A$404,"&lt;="&amp;DATA_REF))</f>
        <v/>
      </c>
      <c r="L33" s="14">
        <f>IF($J33="","",SUMIFS(ETO_DIARIO!$C$5:$C$404,ETO_DIARIO!$A$5:$A$404,"&gt;"&amp;$J33,ETO_DIARIO!$A$5:$A$404,"&lt;="&amp;DATA_REF))</f>
        <v/>
      </c>
      <c r="M33" s="14">
        <f>IF(OR($I33="",$I33="PENDENTE",$I33="(nao plantado)",$K33=""),"",$I33*$K33)</f>
        <v/>
      </c>
      <c r="N33" s="14">
        <f>IF($M33="","",MAX(0,$M33-N($L33)))</f>
        <v/>
      </c>
      <c r="O33" s="14">
        <f>IF($N33="","",$N33/EF_APLIC)</f>
        <v/>
      </c>
      <c r="P33" s="8" t="n"/>
      <c r="Q33" s="15">
        <f>IF(OR($V33="",$P33=""),"",IFERROR(INDEX(LAMINA_HORA!$C$5:$V$114,MATCH($V33,LAMINA_HORA!$A$5:$A$114,0),MATCH($P33,LAMINA_HORA!$C$3:$V$3,0)),"?"))</f>
        <v/>
      </c>
      <c r="R33" s="15">
        <f>IF(OR($V33="",$P33=""),"",IFERROR(INDEX(LAMINA_HORA!$W$5:$AP$114,MATCH($V33,LAMINA_HORA!$A$5:$A$114,0),MATCH($P33,LAMINA_HORA!$W$3:$AP$3,0)),"?"))</f>
        <v/>
      </c>
      <c r="S33" s="16">
        <f>IF($I33="PENDENTE","Definir Kc/classe",IF($I33="(nao plantado)","Aguardar plantio",IF($N33="","-",IF($N33&gt;=TURNO,"IRRIGAR",IF($N33&gt;=TURNO*FRAC_ACOMP,"Acompanhar","Aguardar")))))</f>
        <v/>
      </c>
      <c r="T33" s="16">
        <f>IF(OR($N33="",$N33=0),"-",IF($N33&gt;=2*TURNO,"Alta",IF($N33&gt;=TURNO,"Media","Baixa")))</f>
        <v/>
      </c>
      <c r="U33" s="17" t="inlineStr">
        <is>
          <t>SOJA_PRECOCE</t>
        </is>
      </c>
      <c r="V33" s="8" t="inlineStr">
        <is>
          <t>P14</t>
        </is>
      </c>
    </row>
    <row r="34">
      <c r="A34" s="6" t="inlineStr">
        <is>
          <t>Pivô 15</t>
        </is>
      </c>
      <c r="B34" s="6" t="inlineStr">
        <is>
          <t>R1</t>
        </is>
      </c>
      <c r="C34" s="6" t="inlineStr">
        <is>
          <t>SOJA</t>
        </is>
      </c>
      <c r="D34" s="7" t="inlineStr">
        <is>
          <t>CZ 37B07 I2X</t>
        </is>
      </c>
      <c r="E34" s="8" t="inlineStr">
        <is>
          <t>PRECOCE</t>
        </is>
      </c>
      <c r="F34" s="9" t="n">
        <v>150</v>
      </c>
      <c r="G34" s="10" t="n">
        <v>46297</v>
      </c>
      <c r="H34" s="11">
        <f>IF($G34="","",IF($G34&gt;DATA_REF,"",DATA_REF-$G34))</f>
        <v/>
      </c>
      <c r="I34" s="12">
        <f>IF($U34="","PENDENTE",IF($H34="","(nao plantado)",IFERROR(INDEX(CURVAS_KC!$B$5:$I$224,MATCH(MIN(MAX($H34,1),220),CURVAS_KC!$A$5:$A$224,0),MATCH($U34,CURVAS_KC!$B$4:$I$4,0)),"PENDENTE")))</f>
        <v/>
      </c>
      <c r="J34" s="13">
        <f>IF($G34="","",$G34)</f>
        <v/>
      </c>
      <c r="K34" s="14">
        <f>IF($J34="","",SUMIFS(ETO_DIARIO!$B$5:$B$404,ETO_DIARIO!$A$5:$A$404,"&gt;"&amp;$J34,ETO_DIARIO!$A$5:$A$404,"&lt;="&amp;DATA_REF))</f>
        <v/>
      </c>
      <c r="L34" s="14">
        <f>IF($J34="","",SUMIFS(ETO_DIARIO!$C$5:$C$404,ETO_DIARIO!$A$5:$A$404,"&gt;"&amp;$J34,ETO_DIARIO!$A$5:$A$404,"&lt;="&amp;DATA_REF))</f>
        <v/>
      </c>
      <c r="M34" s="14">
        <f>IF(OR($I34="",$I34="PENDENTE",$I34="(nao plantado)",$K34=""),"",$I34*$K34)</f>
        <v/>
      </c>
      <c r="N34" s="14">
        <f>IF($M34="","",MAX(0,$M34-N($L34)))</f>
        <v/>
      </c>
      <c r="O34" s="14">
        <f>IF($N34="","",$N34/EF_APLIC)</f>
        <v/>
      </c>
      <c r="P34" s="8" t="n"/>
      <c r="Q34" s="15">
        <f>IF(OR($V34="",$P34=""),"",IFERROR(INDEX(LAMINA_HORA!$C$5:$V$114,MATCH($V34,LAMINA_HORA!$A$5:$A$114,0),MATCH($P34,LAMINA_HORA!$C$3:$V$3,0)),"?"))</f>
        <v/>
      </c>
      <c r="R34" s="15">
        <f>IF(OR($V34="",$P34=""),"",IFERROR(INDEX(LAMINA_HORA!$W$5:$AP$114,MATCH($V34,LAMINA_HORA!$A$5:$A$114,0),MATCH($P34,LAMINA_HORA!$W$3:$AP$3,0)),"?"))</f>
        <v/>
      </c>
      <c r="S34" s="16">
        <f>IF($I34="PENDENTE","Definir Kc/classe",IF($I34="(nao plantado)","Aguardar plantio",IF($N34="","-",IF($N34&gt;=TURNO,"IRRIGAR",IF($N34&gt;=TURNO*FRAC_ACOMP,"Acompanhar","Aguardar")))))</f>
        <v/>
      </c>
      <c r="T34" s="16">
        <f>IF(OR($N34="",$N34=0),"-",IF($N34&gt;=2*TURNO,"Alta",IF($N34&gt;=TURNO,"Media","Baixa")))</f>
        <v/>
      </c>
      <c r="U34" s="17" t="inlineStr">
        <is>
          <t>SOJA_PRECOCE</t>
        </is>
      </c>
      <c r="V34" s="8" t="inlineStr">
        <is>
          <t>P15</t>
        </is>
      </c>
    </row>
    <row r="35">
      <c r="A35" s="6" t="inlineStr">
        <is>
          <t>Pivô 16</t>
        </is>
      </c>
      <c r="B35" s="6" t="inlineStr">
        <is>
          <t>R1</t>
        </is>
      </c>
      <c r="C35" s="6" t="inlineStr">
        <is>
          <t>SOJA</t>
        </is>
      </c>
      <c r="D35" s="7" t="inlineStr">
        <is>
          <t>ATAQUE I2X</t>
        </is>
      </c>
      <c r="E35" s="8" t="inlineStr">
        <is>
          <t>TARDIA</t>
        </is>
      </c>
      <c r="F35" s="9" t="n">
        <v>150</v>
      </c>
      <c r="G35" s="10" t="n">
        <v>46311</v>
      </c>
      <c r="H35" s="11">
        <f>IF($G35="","",IF($G35&gt;DATA_REF,"",DATA_REF-$G35))</f>
        <v/>
      </c>
      <c r="I35" s="12">
        <f>IF($U35="","PENDENTE",IF($H35="","(nao plantado)",IFERROR(INDEX(CURVAS_KC!$B$5:$I$224,MATCH(MIN(MAX($H35,1),220),CURVAS_KC!$A$5:$A$224,0),MATCH($U35,CURVAS_KC!$B$4:$I$4,0)),"PENDENTE")))</f>
        <v/>
      </c>
      <c r="J35" s="13">
        <f>IF($G35="","",$G35)</f>
        <v/>
      </c>
      <c r="K35" s="14">
        <f>IF($J35="","",SUMIFS(ETO_DIARIO!$B$5:$B$404,ETO_DIARIO!$A$5:$A$404,"&gt;"&amp;$J35,ETO_DIARIO!$A$5:$A$404,"&lt;="&amp;DATA_REF))</f>
        <v/>
      </c>
      <c r="L35" s="14">
        <f>IF($J35="","",SUMIFS(ETO_DIARIO!$C$5:$C$404,ETO_DIARIO!$A$5:$A$404,"&gt;"&amp;$J35,ETO_DIARIO!$A$5:$A$404,"&lt;="&amp;DATA_REF))</f>
        <v/>
      </c>
      <c r="M35" s="14">
        <f>IF(OR($I35="",$I35="PENDENTE",$I35="(nao plantado)",$K35=""),"",$I35*$K35)</f>
        <v/>
      </c>
      <c r="N35" s="14">
        <f>IF($M35="","",MAX(0,$M35-N($L35)))</f>
        <v/>
      </c>
      <c r="O35" s="14">
        <f>IF($N35="","",$N35/EF_APLIC)</f>
        <v/>
      </c>
      <c r="P35" s="8" t="n"/>
      <c r="Q35" s="15">
        <f>IF(OR($V35="",$P35=""),"",IFERROR(INDEX(LAMINA_HORA!$C$5:$V$114,MATCH($V35,LAMINA_HORA!$A$5:$A$114,0),MATCH($P35,LAMINA_HORA!$C$3:$V$3,0)),"?"))</f>
        <v/>
      </c>
      <c r="R35" s="15">
        <f>IF(OR($V35="",$P35=""),"",IFERROR(INDEX(LAMINA_HORA!$W$5:$AP$114,MATCH($V35,LAMINA_HORA!$A$5:$A$114,0),MATCH($P35,LAMINA_HORA!$W$3:$AP$3,0)),"?"))</f>
        <v/>
      </c>
      <c r="S35" s="16">
        <f>IF($I35="PENDENTE","Definir Kc/classe",IF($I35="(nao plantado)","Aguardar plantio",IF($N35="","-",IF($N35&gt;=TURNO,"IRRIGAR",IF($N35&gt;=TURNO*FRAC_ACOMP,"Acompanhar","Aguardar")))))</f>
        <v/>
      </c>
      <c r="T35" s="16">
        <f>IF(OR($N35="",$N35=0),"-",IF($N35&gt;=2*TURNO,"Alta",IF($N35&gt;=TURNO,"Media","Baixa")))</f>
        <v/>
      </c>
      <c r="U35" s="17" t="inlineStr">
        <is>
          <t>SOJA_TARDIA</t>
        </is>
      </c>
      <c r="V35" s="8" t="inlineStr">
        <is>
          <t>P16</t>
        </is>
      </c>
    </row>
    <row r="36">
      <c r="A36" s="6" t="inlineStr">
        <is>
          <t>Pivô 17</t>
        </is>
      </c>
      <c r="B36" s="6" t="inlineStr">
        <is>
          <t>R2</t>
        </is>
      </c>
      <c r="C36" s="6" t="inlineStr">
        <is>
          <t>SOJA</t>
        </is>
      </c>
      <c r="D36" s="7" t="inlineStr">
        <is>
          <t>CZ 37B07 I2X</t>
        </is>
      </c>
      <c r="E36" s="8" t="inlineStr">
        <is>
          <t>PRECOCE</t>
        </is>
      </c>
      <c r="F36" s="9" t="n">
        <v>150</v>
      </c>
      <c r="G36" s="10" t="n">
        <v>46297</v>
      </c>
      <c r="H36" s="11">
        <f>IF($G36="","",IF($G36&gt;DATA_REF,"",DATA_REF-$G36))</f>
        <v/>
      </c>
      <c r="I36" s="12">
        <f>IF($U36="","PENDENTE",IF($H36="","(nao plantado)",IFERROR(INDEX(CURVAS_KC!$B$5:$I$224,MATCH(MIN(MAX($H36,1),220),CURVAS_KC!$A$5:$A$224,0),MATCH($U36,CURVAS_KC!$B$4:$I$4,0)),"PENDENTE")))</f>
        <v/>
      </c>
      <c r="J36" s="13">
        <f>IF($G36="","",$G36)</f>
        <v/>
      </c>
      <c r="K36" s="14">
        <f>IF($J36="","",SUMIFS(ETO_DIARIO!$B$5:$B$404,ETO_DIARIO!$A$5:$A$404,"&gt;"&amp;$J36,ETO_DIARIO!$A$5:$A$404,"&lt;="&amp;DATA_REF))</f>
        <v/>
      </c>
      <c r="L36" s="14">
        <f>IF($J36="","",SUMIFS(ETO_DIARIO!$C$5:$C$404,ETO_DIARIO!$A$5:$A$404,"&gt;"&amp;$J36,ETO_DIARIO!$A$5:$A$404,"&lt;="&amp;DATA_REF))</f>
        <v/>
      </c>
      <c r="M36" s="14">
        <f>IF(OR($I36="",$I36="PENDENTE",$I36="(nao plantado)",$K36=""),"",$I36*$K36)</f>
        <v/>
      </c>
      <c r="N36" s="14">
        <f>IF($M36="","",MAX(0,$M36-N($L36)))</f>
        <v/>
      </c>
      <c r="O36" s="14">
        <f>IF($N36="","",$N36/EF_APLIC)</f>
        <v/>
      </c>
      <c r="P36" s="8" t="n"/>
      <c r="Q36" s="15">
        <f>IF(OR($V36="",$P36=""),"",IFERROR(INDEX(LAMINA_HORA!$C$5:$V$114,MATCH($V36,LAMINA_HORA!$A$5:$A$114,0),MATCH($P36,LAMINA_HORA!$C$3:$V$3,0)),"?"))</f>
        <v/>
      </c>
      <c r="R36" s="15">
        <f>IF(OR($V36="",$P36=""),"",IFERROR(INDEX(LAMINA_HORA!$W$5:$AP$114,MATCH($V36,LAMINA_HORA!$A$5:$A$114,0),MATCH($P36,LAMINA_HORA!$W$3:$AP$3,0)),"?"))</f>
        <v/>
      </c>
      <c r="S36" s="16">
        <f>IF($I36="PENDENTE","Definir Kc/classe",IF($I36="(nao plantado)","Aguardar plantio",IF($N36="","-",IF($N36&gt;=TURNO,"IRRIGAR",IF($N36&gt;=TURNO*FRAC_ACOMP,"Acompanhar","Aguardar")))))</f>
        <v/>
      </c>
      <c r="T36" s="16">
        <f>IF(OR($N36="",$N36=0),"-",IF($N36&gt;=2*TURNO,"Alta",IF($N36&gt;=TURNO,"Media","Baixa")))</f>
        <v/>
      </c>
      <c r="U36" s="17" t="inlineStr">
        <is>
          <t>SOJA_PRECOCE</t>
        </is>
      </c>
      <c r="V36" s="8" t="inlineStr">
        <is>
          <t>P17</t>
        </is>
      </c>
    </row>
    <row r="37">
      <c r="A37" s="6" t="inlineStr">
        <is>
          <t>Pivô 18</t>
        </is>
      </c>
      <c r="B37" s="6" t="inlineStr">
        <is>
          <t>R2</t>
        </is>
      </c>
      <c r="C37" s="6" t="inlineStr">
        <is>
          <t>ALGODÃO</t>
        </is>
      </c>
      <c r="D37" s="7" t="inlineStr">
        <is>
          <t>IMA 3764 B2RF</t>
        </is>
      </c>
      <c r="E37" s="8" t="inlineStr">
        <is>
          <t>MEDIO</t>
        </is>
      </c>
      <c r="F37" s="9" t="n">
        <v>150</v>
      </c>
      <c r="G37" s="10" t="n">
        <v>46416</v>
      </c>
      <c r="H37" s="11">
        <f>IF($G37="","",IF($G37&gt;DATA_REF,"",DATA_REF-$G37))</f>
        <v/>
      </c>
      <c r="I37" s="12">
        <f>IF($U37="","PENDENTE",IF($H37="","(nao plantado)",IFERROR(INDEX(CURVAS_KC!$B$5:$I$224,MATCH(MIN(MAX($H37,1),220),CURVAS_KC!$A$5:$A$224,0),MATCH($U37,CURVAS_KC!$B$4:$I$4,0)),"PENDENTE")))</f>
        <v/>
      </c>
      <c r="J37" s="13">
        <f>IF($G37="","",$G37)</f>
        <v/>
      </c>
      <c r="K37" s="14">
        <f>IF($J37="","",SUMIFS(ETO_DIARIO!$B$5:$B$404,ETO_DIARIO!$A$5:$A$404,"&gt;"&amp;$J37,ETO_DIARIO!$A$5:$A$404,"&lt;="&amp;DATA_REF))</f>
        <v/>
      </c>
      <c r="L37" s="14">
        <f>IF($J37="","",SUMIFS(ETO_DIARIO!$C$5:$C$404,ETO_DIARIO!$A$5:$A$404,"&gt;"&amp;$J37,ETO_DIARIO!$A$5:$A$404,"&lt;="&amp;DATA_REF))</f>
        <v/>
      </c>
      <c r="M37" s="14">
        <f>IF(OR($I37="",$I37="PENDENTE",$I37="(nao plantado)",$K37=""),"",$I37*$K37)</f>
        <v/>
      </c>
      <c r="N37" s="14">
        <f>IF($M37="","",MAX(0,$M37-N($L37)))</f>
        <v/>
      </c>
      <c r="O37" s="14">
        <f>IF($N37="","",$N37/EF_APLIC)</f>
        <v/>
      </c>
      <c r="P37" s="8" t="n"/>
      <c r="Q37" s="15">
        <f>IF(OR($V37="",$P37=""),"",IFERROR(INDEX(LAMINA_HORA!$C$5:$V$114,MATCH($V37,LAMINA_HORA!$A$5:$A$114,0),MATCH($P37,LAMINA_HORA!$C$3:$V$3,0)),"?"))</f>
        <v/>
      </c>
      <c r="R37" s="15">
        <f>IF(OR($V37="",$P37=""),"",IFERROR(INDEX(LAMINA_HORA!$W$5:$AP$114,MATCH($V37,LAMINA_HORA!$A$5:$A$114,0),MATCH($P37,LAMINA_HORA!$W$3:$AP$3,0)),"?"))</f>
        <v/>
      </c>
      <c r="S37" s="16">
        <f>IF($I37="PENDENTE","Definir Kc/classe",IF($I37="(nao plantado)","Aguardar plantio",IF($N37="","-",IF($N37&gt;=TURNO,"IRRIGAR",IF($N37&gt;=TURNO*FRAC_ACOMP,"Acompanhar","Aguardar")))))</f>
        <v/>
      </c>
      <c r="T37" s="16">
        <f>IF(OR($N37="",$N37=0),"-",IF($N37&gt;=2*TURNO,"Alta",IF($N37&gt;=TURNO,"Media","Baixa")))</f>
        <v/>
      </c>
      <c r="U37" s="17" t="inlineStr">
        <is>
          <t>ALG_MEDIO</t>
        </is>
      </c>
      <c r="V37" s="8" t="inlineStr">
        <is>
          <t>P18</t>
        </is>
      </c>
    </row>
    <row r="38">
      <c r="A38" s="6" t="inlineStr">
        <is>
          <t>Pivô 19</t>
        </is>
      </c>
      <c r="B38" s="6" t="inlineStr">
        <is>
          <t>R3</t>
        </is>
      </c>
      <c r="C38" s="6" t="inlineStr">
        <is>
          <t>SOJA</t>
        </is>
      </c>
      <c r="D38" s="7" t="inlineStr">
        <is>
          <t>NEO 761 I2X</t>
        </is>
      </c>
      <c r="E38" s="8" t="inlineStr">
        <is>
          <t>PRECOCE</t>
        </is>
      </c>
      <c r="F38" s="9" t="n">
        <v>150</v>
      </c>
      <c r="G38" s="10" t="n">
        <v>46298</v>
      </c>
      <c r="H38" s="11">
        <f>IF($G38="","",IF($G38&gt;DATA_REF,"",DATA_REF-$G38))</f>
        <v/>
      </c>
      <c r="I38" s="12">
        <f>IF($U38="","PENDENTE",IF($H38="","(nao plantado)",IFERROR(INDEX(CURVAS_KC!$B$5:$I$224,MATCH(MIN(MAX($H38,1),220),CURVAS_KC!$A$5:$A$224,0),MATCH($U38,CURVAS_KC!$B$4:$I$4,0)),"PENDENTE")))</f>
        <v/>
      </c>
      <c r="J38" s="13">
        <f>IF($G38="","",$G38)</f>
        <v/>
      </c>
      <c r="K38" s="14">
        <f>IF($J38="","",SUMIFS(ETO_DIARIO!$B$5:$B$404,ETO_DIARIO!$A$5:$A$404,"&gt;"&amp;$J38,ETO_DIARIO!$A$5:$A$404,"&lt;="&amp;DATA_REF))</f>
        <v/>
      </c>
      <c r="L38" s="14">
        <f>IF($J38="","",SUMIFS(ETO_DIARIO!$C$5:$C$404,ETO_DIARIO!$A$5:$A$404,"&gt;"&amp;$J38,ETO_DIARIO!$A$5:$A$404,"&lt;="&amp;DATA_REF))</f>
        <v/>
      </c>
      <c r="M38" s="14">
        <f>IF(OR($I38="",$I38="PENDENTE",$I38="(nao plantado)",$K38=""),"",$I38*$K38)</f>
        <v/>
      </c>
      <c r="N38" s="14">
        <f>IF($M38="","",MAX(0,$M38-N($L38)))</f>
        <v/>
      </c>
      <c r="O38" s="14">
        <f>IF($N38="","",$N38/EF_APLIC)</f>
        <v/>
      </c>
      <c r="P38" s="8" t="n"/>
      <c r="Q38" s="15">
        <f>IF(OR($V38="",$P38=""),"",IFERROR(INDEX(LAMINA_HORA!$C$5:$V$114,MATCH($V38,LAMINA_HORA!$A$5:$A$114,0),MATCH($P38,LAMINA_HORA!$C$3:$V$3,0)),"?"))</f>
        <v/>
      </c>
      <c r="R38" s="15">
        <f>IF(OR($V38="",$P38=""),"",IFERROR(INDEX(LAMINA_HORA!$W$5:$AP$114,MATCH($V38,LAMINA_HORA!$A$5:$A$114,0),MATCH($P38,LAMINA_HORA!$W$3:$AP$3,0)),"?"))</f>
        <v/>
      </c>
      <c r="S38" s="16">
        <f>IF($I38="PENDENTE","Definir Kc/classe",IF($I38="(nao plantado)","Aguardar plantio",IF($N38="","-",IF($N38&gt;=TURNO,"IRRIGAR",IF($N38&gt;=TURNO*FRAC_ACOMP,"Acompanhar","Aguardar")))))</f>
        <v/>
      </c>
      <c r="T38" s="16">
        <f>IF(OR($N38="",$N38=0),"-",IF($N38&gt;=2*TURNO,"Alta",IF($N38&gt;=TURNO,"Media","Baixa")))</f>
        <v/>
      </c>
      <c r="U38" s="17" t="inlineStr">
        <is>
          <t>SOJA_PRECOCE</t>
        </is>
      </c>
      <c r="V38" s="8" t="inlineStr">
        <is>
          <t>P19</t>
        </is>
      </c>
    </row>
    <row r="39">
      <c r="A39" s="6" t="inlineStr">
        <is>
          <t>Pivô 20</t>
        </is>
      </c>
      <c r="B39" s="6" t="inlineStr">
        <is>
          <t>R3</t>
        </is>
      </c>
      <c r="C39" s="6" t="inlineStr">
        <is>
          <t>SOJA</t>
        </is>
      </c>
      <c r="D39" s="7" t="inlineStr">
        <is>
          <t>NEO 761 I2X</t>
        </is>
      </c>
      <c r="E39" s="8" t="inlineStr">
        <is>
          <t>PRECOCE</t>
        </is>
      </c>
      <c r="F39" s="9" t="n">
        <v>150</v>
      </c>
      <c r="G39" s="10" t="n">
        <v>46299</v>
      </c>
      <c r="H39" s="11">
        <f>IF($G39="","",IF($G39&gt;DATA_REF,"",DATA_REF-$G39))</f>
        <v/>
      </c>
      <c r="I39" s="12">
        <f>IF($U39="","PENDENTE",IF($H39="","(nao plantado)",IFERROR(INDEX(CURVAS_KC!$B$5:$I$224,MATCH(MIN(MAX($H39,1),220),CURVAS_KC!$A$5:$A$224,0),MATCH($U39,CURVAS_KC!$B$4:$I$4,0)),"PENDENTE")))</f>
        <v/>
      </c>
      <c r="J39" s="13">
        <f>IF($G39="","",$G39)</f>
        <v/>
      </c>
      <c r="K39" s="14">
        <f>IF($J39="","",SUMIFS(ETO_DIARIO!$B$5:$B$404,ETO_DIARIO!$A$5:$A$404,"&gt;"&amp;$J39,ETO_DIARIO!$A$5:$A$404,"&lt;="&amp;DATA_REF))</f>
        <v/>
      </c>
      <c r="L39" s="14">
        <f>IF($J39="","",SUMIFS(ETO_DIARIO!$C$5:$C$404,ETO_DIARIO!$A$5:$A$404,"&gt;"&amp;$J39,ETO_DIARIO!$A$5:$A$404,"&lt;="&amp;DATA_REF))</f>
        <v/>
      </c>
      <c r="M39" s="14">
        <f>IF(OR($I39="",$I39="PENDENTE",$I39="(nao plantado)",$K39=""),"",$I39*$K39)</f>
        <v/>
      </c>
      <c r="N39" s="14">
        <f>IF($M39="","",MAX(0,$M39-N($L39)))</f>
        <v/>
      </c>
      <c r="O39" s="14">
        <f>IF($N39="","",$N39/EF_APLIC)</f>
        <v/>
      </c>
      <c r="P39" s="8" t="n"/>
      <c r="Q39" s="15">
        <f>IF(OR($V39="",$P39=""),"",IFERROR(INDEX(LAMINA_HORA!$C$5:$V$114,MATCH($V39,LAMINA_HORA!$A$5:$A$114,0),MATCH($P39,LAMINA_HORA!$C$3:$V$3,0)),"?"))</f>
        <v/>
      </c>
      <c r="R39" s="15">
        <f>IF(OR($V39="",$P39=""),"",IFERROR(INDEX(LAMINA_HORA!$W$5:$AP$114,MATCH($V39,LAMINA_HORA!$A$5:$A$114,0),MATCH($P39,LAMINA_HORA!$W$3:$AP$3,0)),"?"))</f>
        <v/>
      </c>
      <c r="S39" s="16">
        <f>IF($I39="PENDENTE","Definir Kc/classe",IF($I39="(nao plantado)","Aguardar plantio",IF($N39="","-",IF($N39&gt;=TURNO,"IRRIGAR",IF($N39&gt;=TURNO*FRAC_ACOMP,"Acompanhar","Aguardar")))))</f>
        <v/>
      </c>
      <c r="T39" s="16">
        <f>IF(OR($N39="",$N39=0),"-",IF($N39&gt;=2*TURNO,"Alta",IF($N39&gt;=TURNO,"Media","Baixa")))</f>
        <v/>
      </c>
      <c r="U39" s="17" t="inlineStr">
        <is>
          <t>SOJA_PRECOCE</t>
        </is>
      </c>
      <c r="V39" s="8" t="inlineStr">
        <is>
          <t>P20</t>
        </is>
      </c>
    </row>
    <row r="40">
      <c r="A40" s="6" t="inlineStr">
        <is>
          <t>Pivô 21</t>
        </is>
      </c>
      <c r="B40" s="6" t="inlineStr">
        <is>
          <t>R4</t>
        </is>
      </c>
      <c r="C40" s="6" t="inlineStr">
        <is>
          <t>SOJA</t>
        </is>
      </c>
      <c r="D40" s="7" t="inlineStr">
        <is>
          <t>NEO 761 I2X</t>
        </is>
      </c>
      <c r="E40" s="8" t="inlineStr">
        <is>
          <t>PRECOCE</t>
        </is>
      </c>
      <c r="F40" s="9" t="n">
        <v>150</v>
      </c>
      <c r="G40" s="10" t="n">
        <v>46298</v>
      </c>
      <c r="H40" s="11">
        <f>IF($G40="","",IF($G40&gt;DATA_REF,"",DATA_REF-$G40))</f>
        <v/>
      </c>
      <c r="I40" s="12">
        <f>IF($U40="","PENDENTE",IF($H40="","(nao plantado)",IFERROR(INDEX(CURVAS_KC!$B$5:$I$224,MATCH(MIN(MAX($H40,1),220),CURVAS_KC!$A$5:$A$224,0),MATCH($U40,CURVAS_KC!$B$4:$I$4,0)),"PENDENTE")))</f>
        <v/>
      </c>
      <c r="J40" s="13">
        <f>IF($G40="","",$G40)</f>
        <v/>
      </c>
      <c r="K40" s="14">
        <f>IF($J40="","",SUMIFS(ETO_DIARIO!$B$5:$B$404,ETO_DIARIO!$A$5:$A$404,"&gt;"&amp;$J40,ETO_DIARIO!$A$5:$A$404,"&lt;="&amp;DATA_REF))</f>
        <v/>
      </c>
      <c r="L40" s="14">
        <f>IF($J40="","",SUMIFS(ETO_DIARIO!$C$5:$C$404,ETO_DIARIO!$A$5:$A$404,"&gt;"&amp;$J40,ETO_DIARIO!$A$5:$A$404,"&lt;="&amp;DATA_REF))</f>
        <v/>
      </c>
      <c r="M40" s="14">
        <f>IF(OR($I40="",$I40="PENDENTE",$I40="(nao plantado)",$K40=""),"",$I40*$K40)</f>
        <v/>
      </c>
      <c r="N40" s="14">
        <f>IF($M40="","",MAX(0,$M40-N($L40)))</f>
        <v/>
      </c>
      <c r="O40" s="14">
        <f>IF($N40="","",$N40/EF_APLIC)</f>
        <v/>
      </c>
      <c r="P40" s="8" t="n"/>
      <c r="Q40" s="15">
        <f>IF(OR($V40="",$P40=""),"",IFERROR(INDEX(LAMINA_HORA!$C$5:$V$114,MATCH($V40,LAMINA_HORA!$A$5:$A$114,0),MATCH($P40,LAMINA_HORA!$C$3:$V$3,0)),"?"))</f>
        <v/>
      </c>
      <c r="R40" s="15">
        <f>IF(OR($V40="",$P40=""),"",IFERROR(INDEX(LAMINA_HORA!$W$5:$AP$114,MATCH($V40,LAMINA_HORA!$A$5:$A$114,0),MATCH($P40,LAMINA_HORA!$W$3:$AP$3,0)),"?"))</f>
        <v/>
      </c>
      <c r="S40" s="16">
        <f>IF($I40="PENDENTE","Definir Kc/classe",IF($I40="(nao plantado)","Aguardar plantio",IF($N40="","-",IF($N40&gt;=TURNO,"IRRIGAR",IF($N40&gt;=TURNO*FRAC_ACOMP,"Acompanhar","Aguardar")))))</f>
        <v/>
      </c>
      <c r="T40" s="16">
        <f>IF(OR($N40="",$N40=0),"-",IF($N40&gt;=2*TURNO,"Alta",IF($N40&gt;=TURNO,"Media","Baixa")))</f>
        <v/>
      </c>
      <c r="U40" s="17" t="inlineStr">
        <is>
          <t>SOJA_PRECOCE</t>
        </is>
      </c>
      <c r="V40" s="8" t="inlineStr">
        <is>
          <t>P21</t>
        </is>
      </c>
    </row>
    <row r="41">
      <c r="A41" s="6" t="inlineStr">
        <is>
          <t>Pivô 21</t>
        </is>
      </c>
      <c r="B41" s="6" t="inlineStr">
        <is>
          <t>R4</t>
        </is>
      </c>
      <c r="C41" s="6" t="inlineStr">
        <is>
          <t>SOJA</t>
        </is>
      </c>
      <c r="D41" s="7" t="inlineStr">
        <is>
          <t>BMX DOMINIO IPRO</t>
        </is>
      </c>
      <c r="E41" s="8" t="inlineStr">
        <is>
          <t>MEDIA</t>
        </is>
      </c>
      <c r="F41" s="9" t="n">
        <v>213</v>
      </c>
      <c r="G41" s="10" t="n">
        <v>46329</v>
      </c>
      <c r="H41" s="11">
        <f>IF($G41="","",IF($G41&gt;DATA_REF,"",DATA_REF-$G41))</f>
        <v/>
      </c>
      <c r="I41" s="12">
        <f>IF($U41="","PENDENTE",IF($H41="","(nao plantado)",IFERROR(INDEX(CURVAS_KC!$B$5:$I$224,MATCH(MIN(MAX($H41,1),220),CURVAS_KC!$A$5:$A$224,0),MATCH($U41,CURVAS_KC!$B$4:$I$4,0)),"PENDENTE")))</f>
        <v/>
      </c>
      <c r="J41" s="13">
        <f>IF($G41="","",$G41)</f>
        <v/>
      </c>
      <c r="K41" s="14">
        <f>IF($J41="","",SUMIFS(ETO_DIARIO!$B$5:$B$404,ETO_DIARIO!$A$5:$A$404,"&gt;"&amp;$J41,ETO_DIARIO!$A$5:$A$404,"&lt;="&amp;DATA_REF))</f>
        <v/>
      </c>
      <c r="L41" s="14">
        <f>IF($J41="","",SUMIFS(ETO_DIARIO!$C$5:$C$404,ETO_DIARIO!$A$5:$A$404,"&gt;"&amp;$J41,ETO_DIARIO!$A$5:$A$404,"&lt;="&amp;DATA_REF))</f>
        <v/>
      </c>
      <c r="M41" s="14">
        <f>IF(OR($I41="",$I41="PENDENTE",$I41="(nao plantado)",$K41=""),"",$I41*$K41)</f>
        <v/>
      </c>
      <c r="N41" s="14">
        <f>IF($M41="","",MAX(0,$M41-N($L41)))</f>
        <v/>
      </c>
      <c r="O41" s="14">
        <f>IF($N41="","",$N41/EF_APLIC)</f>
        <v/>
      </c>
      <c r="P41" s="8" t="n"/>
      <c r="Q41" s="15">
        <f>IF(OR($V41="",$P41=""),"",IFERROR(INDEX(LAMINA_HORA!$C$5:$V$114,MATCH($V41,LAMINA_HORA!$A$5:$A$114,0),MATCH($P41,LAMINA_HORA!$C$3:$V$3,0)),"?"))</f>
        <v/>
      </c>
      <c r="R41" s="15">
        <f>IF(OR($V41="",$P41=""),"",IFERROR(INDEX(LAMINA_HORA!$W$5:$AP$114,MATCH($V41,LAMINA_HORA!$A$5:$A$114,0),MATCH($P41,LAMINA_HORA!$W$3:$AP$3,0)),"?"))</f>
        <v/>
      </c>
      <c r="S41" s="16">
        <f>IF($I41="PENDENTE","Definir Kc/classe",IF($I41="(nao plantado)","Aguardar plantio",IF($N41="","-",IF($N41&gt;=TURNO,"IRRIGAR",IF($N41&gt;=TURNO*FRAC_ACOMP,"Acompanhar","Aguardar")))))</f>
        <v/>
      </c>
      <c r="T41" s="16">
        <f>IF(OR($N41="",$N41=0),"-",IF($N41&gt;=2*TURNO,"Alta",IF($N41&gt;=TURNO,"Media","Baixa")))</f>
        <v/>
      </c>
      <c r="U41" s="17" t="inlineStr">
        <is>
          <t>SOJA_MEDIA</t>
        </is>
      </c>
      <c r="V41" s="8" t="inlineStr">
        <is>
          <t>P21</t>
        </is>
      </c>
    </row>
    <row r="42">
      <c r="A42" s="6" t="inlineStr">
        <is>
          <t>Pivô 22</t>
        </is>
      </c>
      <c r="B42" s="6" t="inlineStr">
        <is>
          <t>R4</t>
        </is>
      </c>
      <c r="C42" s="6" t="inlineStr">
        <is>
          <t>SOJA</t>
        </is>
      </c>
      <c r="D42" s="7" t="inlineStr">
        <is>
          <t>NEO 761 I2X</t>
        </is>
      </c>
      <c r="E42" s="8" t="inlineStr">
        <is>
          <t>PRECOCE</t>
        </is>
      </c>
      <c r="F42" s="9" t="n">
        <v>150</v>
      </c>
      <c r="G42" s="10" t="n">
        <v>46299</v>
      </c>
      <c r="H42" s="11">
        <f>IF($G42="","",IF($G42&gt;DATA_REF,"",DATA_REF-$G42))</f>
        <v/>
      </c>
      <c r="I42" s="12">
        <f>IF($U42="","PENDENTE",IF($H42="","(nao plantado)",IFERROR(INDEX(CURVAS_KC!$B$5:$I$224,MATCH(MIN(MAX($H42,1),220),CURVAS_KC!$A$5:$A$224,0),MATCH($U42,CURVAS_KC!$B$4:$I$4,0)),"PENDENTE")))</f>
        <v/>
      </c>
      <c r="J42" s="13">
        <f>IF($G42="","",$G42)</f>
        <v/>
      </c>
      <c r="K42" s="14">
        <f>IF($J42="","",SUMIFS(ETO_DIARIO!$B$5:$B$404,ETO_DIARIO!$A$5:$A$404,"&gt;"&amp;$J42,ETO_DIARIO!$A$5:$A$404,"&lt;="&amp;DATA_REF))</f>
        <v/>
      </c>
      <c r="L42" s="14">
        <f>IF($J42="","",SUMIFS(ETO_DIARIO!$C$5:$C$404,ETO_DIARIO!$A$5:$A$404,"&gt;"&amp;$J42,ETO_DIARIO!$A$5:$A$404,"&lt;="&amp;DATA_REF))</f>
        <v/>
      </c>
      <c r="M42" s="14">
        <f>IF(OR($I42="",$I42="PENDENTE",$I42="(nao plantado)",$K42=""),"",$I42*$K42)</f>
        <v/>
      </c>
      <c r="N42" s="14">
        <f>IF($M42="","",MAX(0,$M42-N($L42)))</f>
        <v/>
      </c>
      <c r="O42" s="14">
        <f>IF($N42="","",$N42/EF_APLIC)</f>
        <v/>
      </c>
      <c r="P42" s="8" t="n"/>
      <c r="Q42" s="15">
        <f>IF(OR($V42="",$P42=""),"",IFERROR(INDEX(LAMINA_HORA!$C$5:$V$114,MATCH($V42,LAMINA_HORA!$A$5:$A$114,0),MATCH($P42,LAMINA_HORA!$C$3:$V$3,0)),"?"))</f>
        <v/>
      </c>
      <c r="R42" s="15">
        <f>IF(OR($V42="",$P42=""),"",IFERROR(INDEX(LAMINA_HORA!$W$5:$AP$114,MATCH($V42,LAMINA_HORA!$A$5:$A$114,0),MATCH($P42,LAMINA_HORA!$W$3:$AP$3,0)),"?"))</f>
        <v/>
      </c>
      <c r="S42" s="16">
        <f>IF($I42="PENDENTE","Definir Kc/classe",IF($I42="(nao plantado)","Aguardar plantio",IF($N42="","-",IF($N42&gt;=TURNO,"IRRIGAR",IF($N42&gt;=TURNO*FRAC_ACOMP,"Acompanhar","Aguardar")))))</f>
        <v/>
      </c>
      <c r="T42" s="16">
        <f>IF(OR($N42="",$N42=0),"-",IF($N42&gt;=2*TURNO,"Alta",IF($N42&gt;=TURNO,"Media","Baixa")))</f>
        <v/>
      </c>
      <c r="U42" s="17" t="inlineStr">
        <is>
          <t>SOJA_PRECOCE</t>
        </is>
      </c>
      <c r="V42" s="8" t="inlineStr">
        <is>
          <t>P22</t>
        </is>
      </c>
    </row>
    <row r="43">
      <c r="A43" s="6" t="inlineStr">
        <is>
          <t>Pivô 22</t>
        </is>
      </c>
      <c r="B43" s="6" t="inlineStr">
        <is>
          <t>R4</t>
        </is>
      </c>
      <c r="C43" s="6" t="inlineStr">
        <is>
          <t>SOJA</t>
        </is>
      </c>
      <c r="D43" s="7" t="inlineStr">
        <is>
          <t>BMX DOMINIO IPRO</t>
        </is>
      </c>
      <c r="E43" s="8" t="inlineStr">
        <is>
          <t>MEDIA</t>
        </is>
      </c>
      <c r="F43" s="9" t="n">
        <v>110</v>
      </c>
      <c r="G43" s="10" t="n">
        <v>46329</v>
      </c>
      <c r="H43" s="11">
        <f>IF($G43="","",IF($G43&gt;DATA_REF,"",DATA_REF-$G43))</f>
        <v/>
      </c>
      <c r="I43" s="12">
        <f>IF($U43="","PENDENTE",IF($H43="","(nao plantado)",IFERROR(INDEX(CURVAS_KC!$B$5:$I$224,MATCH(MIN(MAX($H43,1),220),CURVAS_KC!$A$5:$A$224,0),MATCH($U43,CURVAS_KC!$B$4:$I$4,0)),"PENDENTE")))</f>
        <v/>
      </c>
      <c r="J43" s="13">
        <f>IF($G43="","",$G43)</f>
        <v/>
      </c>
      <c r="K43" s="14">
        <f>IF($J43="","",SUMIFS(ETO_DIARIO!$B$5:$B$404,ETO_DIARIO!$A$5:$A$404,"&gt;"&amp;$J43,ETO_DIARIO!$A$5:$A$404,"&lt;="&amp;DATA_REF))</f>
        <v/>
      </c>
      <c r="L43" s="14">
        <f>IF($J43="","",SUMIFS(ETO_DIARIO!$C$5:$C$404,ETO_DIARIO!$A$5:$A$404,"&gt;"&amp;$J43,ETO_DIARIO!$A$5:$A$404,"&lt;="&amp;DATA_REF))</f>
        <v/>
      </c>
      <c r="M43" s="14">
        <f>IF(OR($I43="",$I43="PENDENTE",$I43="(nao plantado)",$K43=""),"",$I43*$K43)</f>
        <v/>
      </c>
      <c r="N43" s="14">
        <f>IF($M43="","",MAX(0,$M43-N($L43)))</f>
        <v/>
      </c>
      <c r="O43" s="14">
        <f>IF($N43="","",$N43/EF_APLIC)</f>
        <v/>
      </c>
      <c r="P43" s="8" t="n"/>
      <c r="Q43" s="15">
        <f>IF(OR($V43="",$P43=""),"",IFERROR(INDEX(LAMINA_HORA!$C$5:$V$114,MATCH($V43,LAMINA_HORA!$A$5:$A$114,0),MATCH($P43,LAMINA_HORA!$C$3:$V$3,0)),"?"))</f>
        <v/>
      </c>
      <c r="R43" s="15">
        <f>IF(OR($V43="",$P43=""),"",IFERROR(INDEX(LAMINA_HORA!$W$5:$AP$114,MATCH($V43,LAMINA_HORA!$A$5:$A$114,0),MATCH($P43,LAMINA_HORA!$W$3:$AP$3,0)),"?"))</f>
        <v/>
      </c>
      <c r="S43" s="16">
        <f>IF($I43="PENDENTE","Definir Kc/classe",IF($I43="(nao plantado)","Aguardar plantio",IF($N43="","-",IF($N43&gt;=TURNO,"IRRIGAR",IF($N43&gt;=TURNO*FRAC_ACOMP,"Acompanhar","Aguardar")))))</f>
        <v/>
      </c>
      <c r="T43" s="16">
        <f>IF(OR($N43="",$N43=0),"-",IF($N43&gt;=2*TURNO,"Alta",IF($N43&gt;=TURNO,"Media","Baixa")))</f>
        <v/>
      </c>
      <c r="U43" s="17" t="inlineStr">
        <is>
          <t>SOJA_MEDIA</t>
        </is>
      </c>
      <c r="V43" s="8" t="inlineStr">
        <is>
          <t>P22</t>
        </is>
      </c>
    </row>
    <row r="44">
      <c r="A44" s="6" t="inlineStr">
        <is>
          <t>Pivô 23</t>
        </is>
      </c>
      <c r="B44" s="6" t="inlineStr">
        <is>
          <t>R6</t>
        </is>
      </c>
      <c r="C44" s="6" t="inlineStr">
        <is>
          <t>ALGODÃO</t>
        </is>
      </c>
      <c r="D44" s="7" t="inlineStr">
        <is>
          <t>FM 974 GLT</t>
        </is>
      </c>
      <c r="E44" s="8" t="inlineStr">
        <is>
          <t>MEDIO</t>
        </is>
      </c>
      <c r="F44" s="9" t="n">
        <v>150</v>
      </c>
      <c r="G44" s="10" t="n">
        <v>46353</v>
      </c>
      <c r="H44" s="11">
        <f>IF($G44="","",IF($G44&gt;DATA_REF,"",DATA_REF-$G44))</f>
        <v/>
      </c>
      <c r="I44" s="12">
        <f>IF($U44="","PENDENTE",IF($H44="","(nao plantado)",IFERROR(INDEX(CURVAS_KC!$B$5:$I$224,MATCH(MIN(MAX($H44,1),220),CURVAS_KC!$A$5:$A$224,0),MATCH($U44,CURVAS_KC!$B$4:$I$4,0)),"PENDENTE")))</f>
        <v/>
      </c>
      <c r="J44" s="13">
        <f>IF($G44="","",$G44)</f>
        <v/>
      </c>
      <c r="K44" s="14">
        <f>IF($J44="","",SUMIFS(ETO_DIARIO!$B$5:$B$404,ETO_DIARIO!$A$5:$A$404,"&gt;"&amp;$J44,ETO_DIARIO!$A$5:$A$404,"&lt;="&amp;DATA_REF))</f>
        <v/>
      </c>
      <c r="L44" s="14">
        <f>IF($J44="","",SUMIFS(ETO_DIARIO!$C$5:$C$404,ETO_DIARIO!$A$5:$A$404,"&gt;"&amp;$J44,ETO_DIARIO!$A$5:$A$404,"&lt;="&amp;DATA_REF))</f>
        <v/>
      </c>
      <c r="M44" s="14">
        <f>IF(OR($I44="",$I44="PENDENTE",$I44="(nao plantado)",$K44=""),"",$I44*$K44)</f>
        <v/>
      </c>
      <c r="N44" s="14">
        <f>IF($M44="","",MAX(0,$M44-N($L44)))</f>
        <v/>
      </c>
      <c r="O44" s="14">
        <f>IF($N44="","",$N44/EF_APLIC)</f>
        <v/>
      </c>
      <c r="P44" s="8" t="n"/>
      <c r="Q44" s="15">
        <f>IF(OR($V44="",$P44=""),"",IFERROR(INDEX(LAMINA_HORA!$C$5:$V$114,MATCH($V44,LAMINA_HORA!$A$5:$A$114,0),MATCH($P44,LAMINA_HORA!$C$3:$V$3,0)),"?"))</f>
        <v/>
      </c>
      <c r="R44" s="15">
        <f>IF(OR($V44="",$P44=""),"",IFERROR(INDEX(LAMINA_HORA!$W$5:$AP$114,MATCH($V44,LAMINA_HORA!$A$5:$A$114,0),MATCH($P44,LAMINA_HORA!$W$3:$AP$3,0)),"?"))</f>
        <v/>
      </c>
      <c r="S44" s="16">
        <f>IF($I44="PENDENTE","Definir Kc/classe",IF($I44="(nao plantado)","Aguardar plantio",IF($N44="","-",IF($N44&gt;=TURNO,"IRRIGAR",IF($N44&gt;=TURNO*FRAC_ACOMP,"Acompanhar","Aguardar")))))</f>
        <v/>
      </c>
      <c r="T44" s="16">
        <f>IF(OR($N44="",$N44=0),"-",IF($N44&gt;=2*TURNO,"Alta",IF($N44&gt;=TURNO,"Media","Baixa")))</f>
        <v/>
      </c>
      <c r="U44" s="17" t="inlineStr">
        <is>
          <t>ALG_MEDIO</t>
        </is>
      </c>
      <c r="V44" s="8" t="inlineStr">
        <is>
          <t>P23</t>
        </is>
      </c>
    </row>
    <row r="45">
      <c r="A45" s="6" t="inlineStr">
        <is>
          <t>Pivô 23</t>
        </is>
      </c>
      <c r="B45" s="6" t="inlineStr">
        <is>
          <t>R6</t>
        </is>
      </c>
      <c r="C45" s="6" t="inlineStr">
        <is>
          <t>SOJA</t>
        </is>
      </c>
      <c r="D45" s="7" t="inlineStr">
        <is>
          <t>BMX DOMINIO IPRO</t>
        </is>
      </c>
      <c r="E45" s="8" t="inlineStr">
        <is>
          <t>MEDIA</t>
        </is>
      </c>
      <c r="F45" s="9" t="n">
        <v>40</v>
      </c>
      <c r="G45" s="10" t="n">
        <v>46329</v>
      </c>
      <c r="H45" s="11">
        <f>IF($G45="","",IF($G45&gt;DATA_REF,"",DATA_REF-$G45))</f>
        <v/>
      </c>
      <c r="I45" s="12">
        <f>IF($U45="","PENDENTE",IF($H45="","(nao plantado)",IFERROR(INDEX(CURVAS_KC!$B$5:$I$224,MATCH(MIN(MAX($H45,1),220),CURVAS_KC!$A$5:$A$224,0),MATCH($U45,CURVAS_KC!$B$4:$I$4,0)),"PENDENTE")))</f>
        <v/>
      </c>
      <c r="J45" s="13">
        <f>IF($G45="","",$G45)</f>
        <v/>
      </c>
      <c r="K45" s="14">
        <f>IF($J45="","",SUMIFS(ETO_DIARIO!$B$5:$B$404,ETO_DIARIO!$A$5:$A$404,"&gt;"&amp;$J45,ETO_DIARIO!$A$5:$A$404,"&lt;="&amp;DATA_REF))</f>
        <v/>
      </c>
      <c r="L45" s="14">
        <f>IF($J45="","",SUMIFS(ETO_DIARIO!$C$5:$C$404,ETO_DIARIO!$A$5:$A$404,"&gt;"&amp;$J45,ETO_DIARIO!$A$5:$A$404,"&lt;="&amp;DATA_REF))</f>
        <v/>
      </c>
      <c r="M45" s="14">
        <f>IF(OR($I45="",$I45="PENDENTE",$I45="(nao plantado)",$K45=""),"",$I45*$K45)</f>
        <v/>
      </c>
      <c r="N45" s="14">
        <f>IF($M45="","",MAX(0,$M45-N($L45)))</f>
        <v/>
      </c>
      <c r="O45" s="14">
        <f>IF($N45="","",$N45/EF_APLIC)</f>
        <v/>
      </c>
      <c r="P45" s="8" t="n"/>
      <c r="Q45" s="15">
        <f>IF(OR($V45="",$P45=""),"",IFERROR(INDEX(LAMINA_HORA!$C$5:$V$114,MATCH($V45,LAMINA_HORA!$A$5:$A$114,0),MATCH($P45,LAMINA_HORA!$C$3:$V$3,0)),"?"))</f>
        <v/>
      </c>
      <c r="R45" s="15">
        <f>IF(OR($V45="",$P45=""),"",IFERROR(INDEX(LAMINA_HORA!$W$5:$AP$114,MATCH($V45,LAMINA_HORA!$A$5:$A$114,0),MATCH($P45,LAMINA_HORA!$W$3:$AP$3,0)),"?"))</f>
        <v/>
      </c>
      <c r="S45" s="16">
        <f>IF($I45="PENDENTE","Definir Kc/classe",IF($I45="(nao plantado)","Aguardar plantio",IF($N45="","-",IF($N45&gt;=TURNO,"IRRIGAR",IF($N45&gt;=TURNO*FRAC_ACOMP,"Acompanhar","Aguardar")))))</f>
        <v/>
      </c>
      <c r="T45" s="16">
        <f>IF(OR($N45="",$N45=0),"-",IF($N45&gt;=2*TURNO,"Alta",IF($N45&gt;=TURNO,"Media","Baixa")))</f>
        <v/>
      </c>
      <c r="U45" s="17" t="inlineStr">
        <is>
          <t>SOJA_MEDIA</t>
        </is>
      </c>
      <c r="V45" s="8" t="inlineStr">
        <is>
          <t>P23</t>
        </is>
      </c>
    </row>
    <row r="46">
      <c r="A46" s="6" t="inlineStr">
        <is>
          <t>Pivô 24</t>
        </is>
      </c>
      <c r="B46" s="6" t="inlineStr">
        <is>
          <t>R6</t>
        </is>
      </c>
      <c r="C46" s="6" t="inlineStr">
        <is>
          <t>SOJA</t>
        </is>
      </c>
      <c r="D46" s="7" t="inlineStr">
        <is>
          <t>BMX Olimpo IPRO</t>
        </is>
      </c>
      <c r="E46" s="8" t="inlineStr">
        <is>
          <t>MEDIA</t>
        </is>
      </c>
      <c r="F46" s="9" t="n">
        <v>150</v>
      </c>
      <c r="G46" s="10" t="n">
        <v>46300</v>
      </c>
      <c r="H46" s="11">
        <f>IF($G46="","",IF($G46&gt;DATA_REF,"",DATA_REF-$G46))</f>
        <v/>
      </c>
      <c r="I46" s="12">
        <f>IF($U46="","PENDENTE",IF($H46="","(nao plantado)",IFERROR(INDEX(CURVAS_KC!$B$5:$I$224,MATCH(MIN(MAX($H46,1),220),CURVAS_KC!$A$5:$A$224,0),MATCH($U46,CURVAS_KC!$B$4:$I$4,0)),"PENDENTE")))</f>
        <v/>
      </c>
      <c r="J46" s="13">
        <f>IF($G46="","",$G46)</f>
        <v/>
      </c>
      <c r="K46" s="14">
        <f>IF($J46="","",SUMIFS(ETO_DIARIO!$B$5:$B$404,ETO_DIARIO!$A$5:$A$404,"&gt;"&amp;$J46,ETO_DIARIO!$A$5:$A$404,"&lt;="&amp;DATA_REF))</f>
        <v/>
      </c>
      <c r="L46" s="14">
        <f>IF($J46="","",SUMIFS(ETO_DIARIO!$C$5:$C$404,ETO_DIARIO!$A$5:$A$404,"&gt;"&amp;$J46,ETO_DIARIO!$A$5:$A$404,"&lt;="&amp;DATA_REF))</f>
        <v/>
      </c>
      <c r="M46" s="14">
        <f>IF(OR($I46="",$I46="PENDENTE",$I46="(nao plantado)",$K46=""),"",$I46*$K46)</f>
        <v/>
      </c>
      <c r="N46" s="14">
        <f>IF($M46="","",MAX(0,$M46-N($L46)))</f>
        <v/>
      </c>
      <c r="O46" s="14">
        <f>IF($N46="","",$N46/EF_APLIC)</f>
        <v/>
      </c>
      <c r="P46" s="8" t="n"/>
      <c r="Q46" s="15">
        <f>IF(OR($V46="",$P46=""),"",IFERROR(INDEX(LAMINA_HORA!$C$5:$V$114,MATCH($V46,LAMINA_HORA!$A$5:$A$114,0),MATCH($P46,LAMINA_HORA!$C$3:$V$3,0)),"?"))</f>
        <v/>
      </c>
      <c r="R46" s="15">
        <f>IF(OR($V46="",$P46=""),"",IFERROR(INDEX(LAMINA_HORA!$W$5:$AP$114,MATCH($V46,LAMINA_HORA!$A$5:$A$114,0),MATCH($P46,LAMINA_HORA!$W$3:$AP$3,0)),"?"))</f>
        <v/>
      </c>
      <c r="S46" s="16">
        <f>IF($I46="PENDENTE","Definir Kc/classe",IF($I46="(nao plantado)","Aguardar plantio",IF($N46="","-",IF($N46&gt;=TURNO,"IRRIGAR",IF($N46&gt;=TURNO*FRAC_ACOMP,"Acompanhar","Aguardar")))))</f>
        <v/>
      </c>
      <c r="T46" s="16">
        <f>IF(OR($N46="",$N46=0),"-",IF($N46&gt;=2*TURNO,"Alta",IF($N46&gt;=TURNO,"Media","Baixa")))</f>
        <v/>
      </c>
      <c r="U46" s="17" t="inlineStr">
        <is>
          <t>SOJA_MEDIA</t>
        </is>
      </c>
      <c r="V46" s="8" t="inlineStr">
        <is>
          <t>P24</t>
        </is>
      </c>
    </row>
    <row r="47">
      <c r="A47" s="6" t="inlineStr">
        <is>
          <t>Pivô 24</t>
        </is>
      </c>
      <c r="B47" s="6" t="inlineStr">
        <is>
          <t>R6</t>
        </is>
      </c>
      <c r="C47" s="6" t="inlineStr">
        <is>
          <t>SOJA</t>
        </is>
      </c>
      <c r="D47" s="7" t="inlineStr">
        <is>
          <t>BMX DOMINIO IPRO</t>
        </is>
      </c>
      <c r="E47" s="8" t="inlineStr">
        <is>
          <t>MEDIA</t>
        </is>
      </c>
      <c r="F47" s="9" t="n">
        <v>59</v>
      </c>
      <c r="G47" s="10" t="n">
        <v>46330</v>
      </c>
      <c r="H47" s="11">
        <f>IF($G47="","",IF($G47&gt;DATA_REF,"",DATA_REF-$G47))</f>
        <v/>
      </c>
      <c r="I47" s="12">
        <f>IF($U47="","PENDENTE",IF($H47="","(nao plantado)",IFERROR(INDEX(CURVAS_KC!$B$5:$I$224,MATCH(MIN(MAX($H47,1),220),CURVAS_KC!$A$5:$A$224,0),MATCH($U47,CURVAS_KC!$B$4:$I$4,0)),"PENDENTE")))</f>
        <v/>
      </c>
      <c r="J47" s="13">
        <f>IF($G47="","",$G47)</f>
        <v/>
      </c>
      <c r="K47" s="14">
        <f>IF($J47="","",SUMIFS(ETO_DIARIO!$B$5:$B$404,ETO_DIARIO!$A$5:$A$404,"&gt;"&amp;$J47,ETO_DIARIO!$A$5:$A$404,"&lt;="&amp;DATA_REF))</f>
        <v/>
      </c>
      <c r="L47" s="14">
        <f>IF($J47="","",SUMIFS(ETO_DIARIO!$C$5:$C$404,ETO_DIARIO!$A$5:$A$404,"&gt;"&amp;$J47,ETO_DIARIO!$A$5:$A$404,"&lt;="&amp;DATA_REF))</f>
        <v/>
      </c>
      <c r="M47" s="14">
        <f>IF(OR($I47="",$I47="PENDENTE",$I47="(nao plantado)",$K47=""),"",$I47*$K47)</f>
        <v/>
      </c>
      <c r="N47" s="14">
        <f>IF($M47="","",MAX(0,$M47-N($L47)))</f>
        <v/>
      </c>
      <c r="O47" s="14">
        <f>IF($N47="","",$N47/EF_APLIC)</f>
        <v/>
      </c>
      <c r="P47" s="8" t="n"/>
      <c r="Q47" s="15">
        <f>IF(OR($V47="",$P47=""),"",IFERROR(INDEX(LAMINA_HORA!$C$5:$V$114,MATCH($V47,LAMINA_HORA!$A$5:$A$114,0),MATCH($P47,LAMINA_HORA!$C$3:$V$3,0)),"?"))</f>
        <v/>
      </c>
      <c r="R47" s="15">
        <f>IF(OR($V47="",$P47=""),"",IFERROR(INDEX(LAMINA_HORA!$W$5:$AP$114,MATCH($V47,LAMINA_HORA!$A$5:$A$114,0),MATCH($P47,LAMINA_HORA!$W$3:$AP$3,0)),"?"))</f>
        <v/>
      </c>
      <c r="S47" s="16">
        <f>IF($I47="PENDENTE","Definir Kc/classe",IF($I47="(nao plantado)","Aguardar plantio",IF($N47="","-",IF($N47&gt;=TURNO,"IRRIGAR",IF($N47&gt;=TURNO*FRAC_ACOMP,"Acompanhar","Aguardar")))))</f>
        <v/>
      </c>
      <c r="T47" s="16">
        <f>IF(OR($N47="",$N47=0),"-",IF($N47&gt;=2*TURNO,"Alta",IF($N47&gt;=TURNO,"Media","Baixa")))</f>
        <v/>
      </c>
      <c r="U47" s="17" t="inlineStr">
        <is>
          <t>SOJA_MEDIA</t>
        </is>
      </c>
      <c r="V47" s="8" t="inlineStr">
        <is>
          <t>P24</t>
        </is>
      </c>
    </row>
    <row r="48">
      <c r="A48" s="6" t="inlineStr">
        <is>
          <t>Pivô 25</t>
        </is>
      </c>
      <c r="B48" s="6" t="inlineStr">
        <is>
          <t>R7</t>
        </is>
      </c>
      <c r="C48" s="6" t="inlineStr">
        <is>
          <t>CACAU</t>
        </is>
      </c>
      <c r="D48" s="7" t="inlineStr">
        <is>
          <t>PS1319/FA13/CCN51</t>
        </is>
      </c>
      <c r="E48" s="8" t="inlineStr"/>
      <c r="F48" s="9" t="n">
        <v>100</v>
      </c>
      <c r="G48" s="10" t="n">
        <v>45901</v>
      </c>
      <c r="H48" s="11">
        <f>IF($G48="","",IF($G48&gt;DATA_REF,"",DATA_REF-$G48))</f>
        <v/>
      </c>
      <c r="I48" s="12">
        <f>IF($U48="","PENDENTE",IF($H48="","(nao plantado)",IFERROR(INDEX(CURVAS_KC!$B$5:$I$224,MATCH(MIN(MAX($H48,1),220),CURVAS_KC!$A$5:$A$224,0),MATCH($U48,CURVAS_KC!$B$4:$I$4,0)),"PENDENTE")))</f>
        <v/>
      </c>
      <c r="J48" s="13">
        <f>IF($G48="","",$G48)</f>
        <v/>
      </c>
      <c r="K48" s="14">
        <f>IF($J48="","",SUMIFS(ETO_DIARIO!$B$5:$B$404,ETO_DIARIO!$A$5:$A$404,"&gt;"&amp;$J48,ETO_DIARIO!$A$5:$A$404,"&lt;="&amp;DATA_REF))</f>
        <v/>
      </c>
      <c r="L48" s="14">
        <f>IF($J48="","",SUMIFS(ETO_DIARIO!$C$5:$C$404,ETO_DIARIO!$A$5:$A$404,"&gt;"&amp;$J48,ETO_DIARIO!$A$5:$A$404,"&lt;="&amp;DATA_REF))</f>
        <v/>
      </c>
      <c r="M48" s="14">
        <f>IF(OR($I48="",$I48="PENDENTE",$I48="(nao plantado)",$K48=""),"",$I48*$K48)</f>
        <v/>
      </c>
      <c r="N48" s="14">
        <f>IF($M48="","",MAX(0,$M48-N($L48)))</f>
        <v/>
      </c>
      <c r="O48" s="14">
        <f>IF($N48="","",$N48/EF_APLIC)</f>
        <v/>
      </c>
      <c r="P48" s="8" t="n"/>
      <c r="Q48" s="15">
        <f>IF(OR($V48="",$P48=""),"",IFERROR(INDEX(LAMINA_HORA!$C$5:$V$114,MATCH($V48,LAMINA_HORA!$A$5:$A$114,0),MATCH($P48,LAMINA_HORA!$C$3:$V$3,0)),"?"))</f>
        <v/>
      </c>
      <c r="R48" s="15">
        <f>IF(OR($V48="",$P48=""),"",IFERROR(INDEX(LAMINA_HORA!$W$5:$AP$114,MATCH($V48,LAMINA_HORA!$A$5:$A$114,0),MATCH($P48,LAMINA_HORA!$W$3:$AP$3,0)),"?"))</f>
        <v/>
      </c>
      <c r="S48" s="16">
        <f>IF($I48="PENDENTE","Definir Kc/classe",IF($I48="(nao plantado)","Aguardar plantio",IF($N48="","-",IF($N48&gt;=TURNO,"IRRIGAR",IF($N48&gt;=TURNO*FRAC_ACOMP,"Acompanhar","Aguardar")))))</f>
        <v/>
      </c>
      <c r="T48" s="16">
        <f>IF(OR($N48="",$N48=0),"-",IF($N48&gt;=2*TURNO,"Alta",IF($N48&gt;=TURNO,"Media","Baixa")))</f>
        <v/>
      </c>
      <c r="U48" s="17" t="inlineStr"/>
      <c r="V48" s="8" t="inlineStr">
        <is>
          <t>P25</t>
        </is>
      </c>
    </row>
    <row r="49">
      <c r="A49" s="6" t="inlineStr">
        <is>
          <t>Pivô 25</t>
        </is>
      </c>
      <c r="B49" s="6" t="inlineStr">
        <is>
          <t>R7</t>
        </is>
      </c>
      <c r="C49" s="6" t="inlineStr">
        <is>
          <t>SOJA</t>
        </is>
      </c>
      <c r="D49" s="7" t="inlineStr">
        <is>
          <t>BMX DOMINIO IPRO</t>
        </is>
      </c>
      <c r="E49" s="8" t="inlineStr">
        <is>
          <t>MEDIA</t>
        </is>
      </c>
      <c r="F49" s="9" t="n">
        <v>171</v>
      </c>
      <c r="G49" s="10" t="n">
        <v>46330</v>
      </c>
      <c r="H49" s="11">
        <f>IF($G49="","",IF($G49&gt;DATA_REF,"",DATA_REF-$G49))</f>
        <v/>
      </c>
      <c r="I49" s="12">
        <f>IF($U49="","PENDENTE",IF($H49="","(nao plantado)",IFERROR(INDEX(CURVAS_KC!$B$5:$I$224,MATCH(MIN(MAX($H49,1),220),CURVAS_KC!$A$5:$A$224,0),MATCH($U49,CURVAS_KC!$B$4:$I$4,0)),"PENDENTE")))</f>
        <v/>
      </c>
      <c r="J49" s="13">
        <f>IF($G49="","",$G49)</f>
        <v/>
      </c>
      <c r="K49" s="14">
        <f>IF($J49="","",SUMIFS(ETO_DIARIO!$B$5:$B$404,ETO_DIARIO!$A$5:$A$404,"&gt;"&amp;$J49,ETO_DIARIO!$A$5:$A$404,"&lt;="&amp;DATA_REF))</f>
        <v/>
      </c>
      <c r="L49" s="14">
        <f>IF($J49="","",SUMIFS(ETO_DIARIO!$C$5:$C$404,ETO_DIARIO!$A$5:$A$404,"&gt;"&amp;$J49,ETO_DIARIO!$A$5:$A$404,"&lt;="&amp;DATA_REF))</f>
        <v/>
      </c>
      <c r="M49" s="14">
        <f>IF(OR($I49="",$I49="PENDENTE",$I49="(nao plantado)",$K49=""),"",$I49*$K49)</f>
        <v/>
      </c>
      <c r="N49" s="14">
        <f>IF($M49="","",MAX(0,$M49-N($L49)))</f>
        <v/>
      </c>
      <c r="O49" s="14">
        <f>IF($N49="","",$N49/EF_APLIC)</f>
        <v/>
      </c>
      <c r="P49" s="8" t="n"/>
      <c r="Q49" s="15">
        <f>IF(OR($V49="",$P49=""),"",IFERROR(INDEX(LAMINA_HORA!$C$5:$V$114,MATCH($V49,LAMINA_HORA!$A$5:$A$114,0),MATCH($P49,LAMINA_HORA!$C$3:$V$3,0)),"?"))</f>
        <v/>
      </c>
      <c r="R49" s="15">
        <f>IF(OR($V49="",$P49=""),"",IFERROR(INDEX(LAMINA_HORA!$W$5:$AP$114,MATCH($V49,LAMINA_HORA!$A$5:$A$114,0),MATCH($P49,LAMINA_HORA!$W$3:$AP$3,0)),"?"))</f>
        <v/>
      </c>
      <c r="S49" s="16">
        <f>IF($I49="PENDENTE","Definir Kc/classe",IF($I49="(nao plantado)","Aguardar plantio",IF($N49="","-",IF($N49&gt;=TURNO,"IRRIGAR",IF($N49&gt;=TURNO*FRAC_ACOMP,"Acompanhar","Aguardar")))))</f>
        <v/>
      </c>
      <c r="T49" s="16">
        <f>IF(OR($N49="",$N49=0),"-",IF($N49&gt;=2*TURNO,"Alta",IF($N49&gt;=TURNO,"Media","Baixa")))</f>
        <v/>
      </c>
      <c r="U49" s="17" t="inlineStr">
        <is>
          <t>SOJA_MEDIA</t>
        </is>
      </c>
      <c r="V49" s="8" t="inlineStr">
        <is>
          <t>P25</t>
        </is>
      </c>
    </row>
    <row r="50">
      <c r="A50" s="6" t="inlineStr">
        <is>
          <t>Pivô 25</t>
        </is>
      </c>
      <c r="B50" s="6" t="inlineStr">
        <is>
          <t>R7</t>
        </is>
      </c>
      <c r="C50" s="6" t="inlineStr">
        <is>
          <t>SOJA</t>
        </is>
      </c>
      <c r="D50" s="7" t="inlineStr">
        <is>
          <t>BMX DOMINIO IPRO</t>
        </is>
      </c>
      <c r="E50" s="8" t="inlineStr">
        <is>
          <t>MEDIA</t>
        </is>
      </c>
      <c r="F50" s="9" t="n">
        <v>171</v>
      </c>
      <c r="G50" s="10" t="n">
        <v>46330</v>
      </c>
      <c r="H50" s="11">
        <f>IF($G50="","",IF($G50&gt;DATA_REF,"",DATA_REF-$G50))</f>
        <v/>
      </c>
      <c r="I50" s="12">
        <f>IF($U50="","PENDENTE",IF($H50="","(nao plantado)",IFERROR(INDEX(CURVAS_KC!$B$5:$I$224,MATCH(MIN(MAX($H50,1),220),CURVAS_KC!$A$5:$A$224,0),MATCH($U50,CURVAS_KC!$B$4:$I$4,0)),"PENDENTE")))</f>
        <v/>
      </c>
      <c r="J50" s="13">
        <f>IF($G50="","",$G50)</f>
        <v/>
      </c>
      <c r="K50" s="14">
        <f>IF($J50="","",SUMIFS(ETO_DIARIO!$B$5:$B$404,ETO_DIARIO!$A$5:$A$404,"&gt;"&amp;$J50,ETO_DIARIO!$A$5:$A$404,"&lt;="&amp;DATA_REF))</f>
        <v/>
      </c>
      <c r="L50" s="14">
        <f>IF($J50="","",SUMIFS(ETO_DIARIO!$C$5:$C$404,ETO_DIARIO!$A$5:$A$404,"&gt;"&amp;$J50,ETO_DIARIO!$A$5:$A$404,"&lt;="&amp;DATA_REF))</f>
        <v/>
      </c>
      <c r="M50" s="14">
        <f>IF(OR($I50="",$I50="PENDENTE",$I50="(nao plantado)",$K50=""),"",$I50*$K50)</f>
        <v/>
      </c>
      <c r="N50" s="14">
        <f>IF($M50="","",MAX(0,$M50-N($L50)))</f>
        <v/>
      </c>
      <c r="O50" s="14">
        <f>IF($N50="","",$N50/EF_APLIC)</f>
        <v/>
      </c>
      <c r="P50" s="8" t="n"/>
      <c r="Q50" s="15">
        <f>IF(OR($V50="",$P50=""),"",IFERROR(INDEX(LAMINA_HORA!$C$5:$V$114,MATCH($V50,LAMINA_HORA!$A$5:$A$114,0),MATCH($P50,LAMINA_HORA!$C$3:$V$3,0)),"?"))</f>
        <v/>
      </c>
      <c r="R50" s="15">
        <f>IF(OR($V50="",$P50=""),"",IFERROR(INDEX(LAMINA_HORA!$W$5:$AP$114,MATCH($V50,LAMINA_HORA!$A$5:$A$114,0),MATCH($P50,LAMINA_HORA!$W$3:$AP$3,0)),"?"))</f>
        <v/>
      </c>
      <c r="S50" s="16">
        <f>IF($I50="PENDENTE","Definir Kc/classe",IF($I50="(nao plantado)","Aguardar plantio",IF($N50="","-",IF($N50&gt;=TURNO,"IRRIGAR",IF($N50&gt;=TURNO*FRAC_ACOMP,"Acompanhar","Aguardar")))))</f>
        <v/>
      </c>
      <c r="T50" s="16">
        <f>IF(OR($N50="",$N50=0),"-",IF($N50&gt;=2*TURNO,"Alta",IF($N50&gt;=TURNO,"Media","Baixa")))</f>
        <v/>
      </c>
      <c r="U50" s="17" t="inlineStr">
        <is>
          <t>SOJA_MEDIA</t>
        </is>
      </c>
      <c r="V50" s="8" t="inlineStr">
        <is>
          <t>P25</t>
        </is>
      </c>
    </row>
    <row r="51">
      <c r="A51" s="6" t="inlineStr">
        <is>
          <t>Pivô 26</t>
        </is>
      </c>
      <c r="B51" s="6" t="inlineStr">
        <is>
          <t>R7</t>
        </is>
      </c>
      <c r="C51" s="6" t="inlineStr">
        <is>
          <t>SOJA</t>
        </is>
      </c>
      <c r="D51" s="7" t="inlineStr">
        <is>
          <t>ST 76KA72</t>
        </is>
      </c>
      <c r="E51" s="8" t="inlineStr">
        <is>
          <t>PRECOCE</t>
        </is>
      </c>
      <c r="F51" s="9" t="n">
        <v>150</v>
      </c>
      <c r="G51" s="10" t="n">
        <v>46302</v>
      </c>
      <c r="H51" s="11">
        <f>IF($G51="","",IF($G51&gt;DATA_REF,"",DATA_REF-$G51))</f>
        <v/>
      </c>
      <c r="I51" s="12">
        <f>IF($U51="","PENDENTE",IF($H51="","(nao plantado)",IFERROR(INDEX(CURVAS_KC!$B$5:$I$224,MATCH(MIN(MAX($H51,1),220),CURVAS_KC!$A$5:$A$224,0),MATCH($U51,CURVAS_KC!$B$4:$I$4,0)),"PENDENTE")))</f>
        <v/>
      </c>
      <c r="J51" s="13">
        <f>IF($G51="","",$G51)</f>
        <v/>
      </c>
      <c r="K51" s="14">
        <f>IF($J51="","",SUMIFS(ETO_DIARIO!$B$5:$B$404,ETO_DIARIO!$A$5:$A$404,"&gt;"&amp;$J51,ETO_DIARIO!$A$5:$A$404,"&lt;="&amp;DATA_REF))</f>
        <v/>
      </c>
      <c r="L51" s="14">
        <f>IF($J51="","",SUMIFS(ETO_DIARIO!$C$5:$C$404,ETO_DIARIO!$A$5:$A$404,"&gt;"&amp;$J51,ETO_DIARIO!$A$5:$A$404,"&lt;="&amp;DATA_REF))</f>
        <v/>
      </c>
      <c r="M51" s="14">
        <f>IF(OR($I51="",$I51="PENDENTE",$I51="(nao plantado)",$K51=""),"",$I51*$K51)</f>
        <v/>
      </c>
      <c r="N51" s="14">
        <f>IF($M51="","",MAX(0,$M51-N($L51)))</f>
        <v/>
      </c>
      <c r="O51" s="14">
        <f>IF($N51="","",$N51/EF_APLIC)</f>
        <v/>
      </c>
      <c r="P51" s="8" t="n"/>
      <c r="Q51" s="15">
        <f>IF(OR($V51="",$P51=""),"",IFERROR(INDEX(LAMINA_HORA!$C$5:$V$114,MATCH($V51,LAMINA_HORA!$A$5:$A$114,0),MATCH($P51,LAMINA_HORA!$C$3:$V$3,0)),"?"))</f>
        <v/>
      </c>
      <c r="R51" s="15">
        <f>IF(OR($V51="",$P51=""),"",IFERROR(INDEX(LAMINA_HORA!$W$5:$AP$114,MATCH($V51,LAMINA_HORA!$A$5:$A$114,0),MATCH($P51,LAMINA_HORA!$W$3:$AP$3,0)),"?"))</f>
        <v/>
      </c>
      <c r="S51" s="16">
        <f>IF($I51="PENDENTE","Definir Kc/classe",IF($I51="(nao plantado)","Aguardar plantio",IF($N51="","-",IF($N51&gt;=TURNO,"IRRIGAR",IF($N51&gt;=TURNO*FRAC_ACOMP,"Acompanhar","Aguardar")))))</f>
        <v/>
      </c>
      <c r="T51" s="16">
        <f>IF(OR($N51="",$N51=0),"-",IF($N51&gt;=2*TURNO,"Alta",IF($N51&gt;=TURNO,"Media","Baixa")))</f>
        <v/>
      </c>
      <c r="U51" s="17" t="inlineStr">
        <is>
          <t>SOJA_PRECOCE</t>
        </is>
      </c>
      <c r="V51" s="8" t="inlineStr">
        <is>
          <t>P26</t>
        </is>
      </c>
    </row>
    <row r="52">
      <c r="A52" s="6" t="inlineStr">
        <is>
          <t>Pivô 27</t>
        </is>
      </c>
      <c r="B52" s="6" t="inlineStr">
        <is>
          <t>R7</t>
        </is>
      </c>
      <c r="C52" s="6" t="inlineStr">
        <is>
          <t>CACAU</t>
        </is>
      </c>
      <c r="D52" s="7" t="inlineStr">
        <is>
          <t>PS1319/FA13/CCN51</t>
        </is>
      </c>
      <c r="E52" s="8" t="inlineStr"/>
      <c r="F52" s="9" t="n">
        <v>100</v>
      </c>
      <c r="G52" s="10" t="n">
        <v>45901</v>
      </c>
      <c r="H52" s="11">
        <f>IF($G52="","",IF($G52&gt;DATA_REF,"",DATA_REF-$G52))</f>
        <v/>
      </c>
      <c r="I52" s="12">
        <f>IF($U52="","PENDENTE",IF($H52="","(nao plantado)",IFERROR(INDEX(CURVAS_KC!$B$5:$I$224,MATCH(MIN(MAX($H52,1),220),CURVAS_KC!$A$5:$A$224,0),MATCH($U52,CURVAS_KC!$B$4:$I$4,0)),"PENDENTE")))</f>
        <v/>
      </c>
      <c r="J52" s="13">
        <f>IF($G52="","",$G52)</f>
        <v/>
      </c>
      <c r="K52" s="14">
        <f>IF($J52="","",SUMIFS(ETO_DIARIO!$B$5:$B$404,ETO_DIARIO!$A$5:$A$404,"&gt;"&amp;$J52,ETO_DIARIO!$A$5:$A$404,"&lt;="&amp;DATA_REF))</f>
        <v/>
      </c>
      <c r="L52" s="14">
        <f>IF($J52="","",SUMIFS(ETO_DIARIO!$C$5:$C$404,ETO_DIARIO!$A$5:$A$404,"&gt;"&amp;$J52,ETO_DIARIO!$A$5:$A$404,"&lt;="&amp;DATA_REF))</f>
        <v/>
      </c>
      <c r="M52" s="14">
        <f>IF(OR($I52="",$I52="PENDENTE",$I52="(nao plantado)",$K52=""),"",$I52*$K52)</f>
        <v/>
      </c>
      <c r="N52" s="14">
        <f>IF($M52="","",MAX(0,$M52-N($L52)))</f>
        <v/>
      </c>
      <c r="O52" s="14">
        <f>IF($N52="","",$N52/EF_APLIC)</f>
        <v/>
      </c>
      <c r="P52" s="8" t="n"/>
      <c r="Q52" s="15">
        <f>IF(OR($V52="",$P52=""),"",IFERROR(INDEX(LAMINA_HORA!$C$5:$V$114,MATCH($V52,LAMINA_HORA!$A$5:$A$114,0),MATCH($P52,LAMINA_HORA!$C$3:$V$3,0)),"?"))</f>
        <v/>
      </c>
      <c r="R52" s="15">
        <f>IF(OR($V52="",$P52=""),"",IFERROR(INDEX(LAMINA_HORA!$W$5:$AP$114,MATCH($V52,LAMINA_HORA!$A$5:$A$114,0),MATCH($P52,LAMINA_HORA!$W$3:$AP$3,0)),"?"))</f>
        <v/>
      </c>
      <c r="S52" s="16">
        <f>IF($I52="PENDENTE","Definir Kc/classe",IF($I52="(nao plantado)","Aguardar plantio",IF($N52="","-",IF($N52&gt;=TURNO,"IRRIGAR",IF($N52&gt;=TURNO*FRAC_ACOMP,"Acompanhar","Aguardar")))))</f>
        <v/>
      </c>
      <c r="T52" s="16">
        <f>IF(OR($N52="",$N52=0),"-",IF($N52&gt;=2*TURNO,"Alta",IF($N52&gt;=TURNO,"Media","Baixa")))</f>
        <v/>
      </c>
      <c r="U52" s="17" t="inlineStr"/>
      <c r="V52" s="8" t="inlineStr">
        <is>
          <t>P27</t>
        </is>
      </c>
    </row>
    <row r="53">
      <c r="A53" s="6" t="inlineStr">
        <is>
          <t>Pivô 27</t>
        </is>
      </c>
      <c r="B53" s="6" t="inlineStr">
        <is>
          <t>R7</t>
        </is>
      </c>
      <c r="C53" s="6" t="inlineStr">
        <is>
          <t>SOJA</t>
        </is>
      </c>
      <c r="D53" s="7" t="inlineStr">
        <is>
          <t>BMX DOMINIO IPRO</t>
        </is>
      </c>
      <c r="E53" s="8" t="inlineStr">
        <is>
          <t>MEDIA</t>
        </is>
      </c>
      <c r="F53" s="9" t="n">
        <v>313</v>
      </c>
      <c r="G53" s="10" t="n">
        <v>46330</v>
      </c>
      <c r="H53" s="11">
        <f>IF($G53="","",IF($G53&gt;DATA_REF,"",DATA_REF-$G53))</f>
        <v/>
      </c>
      <c r="I53" s="12">
        <f>IF($U53="","PENDENTE",IF($H53="","(nao plantado)",IFERROR(INDEX(CURVAS_KC!$B$5:$I$224,MATCH(MIN(MAX($H53,1),220),CURVAS_KC!$A$5:$A$224,0),MATCH($U53,CURVAS_KC!$B$4:$I$4,0)),"PENDENTE")))</f>
        <v/>
      </c>
      <c r="J53" s="13">
        <f>IF($G53="","",$G53)</f>
        <v/>
      </c>
      <c r="K53" s="14">
        <f>IF($J53="","",SUMIFS(ETO_DIARIO!$B$5:$B$404,ETO_DIARIO!$A$5:$A$404,"&gt;"&amp;$J53,ETO_DIARIO!$A$5:$A$404,"&lt;="&amp;DATA_REF))</f>
        <v/>
      </c>
      <c r="L53" s="14">
        <f>IF($J53="","",SUMIFS(ETO_DIARIO!$C$5:$C$404,ETO_DIARIO!$A$5:$A$404,"&gt;"&amp;$J53,ETO_DIARIO!$A$5:$A$404,"&lt;="&amp;DATA_REF))</f>
        <v/>
      </c>
      <c r="M53" s="14">
        <f>IF(OR($I53="",$I53="PENDENTE",$I53="(nao plantado)",$K53=""),"",$I53*$K53)</f>
        <v/>
      </c>
      <c r="N53" s="14">
        <f>IF($M53="","",MAX(0,$M53-N($L53)))</f>
        <v/>
      </c>
      <c r="O53" s="14">
        <f>IF($N53="","",$N53/EF_APLIC)</f>
        <v/>
      </c>
      <c r="P53" s="8" t="n"/>
      <c r="Q53" s="15">
        <f>IF(OR($V53="",$P53=""),"",IFERROR(INDEX(LAMINA_HORA!$C$5:$V$114,MATCH($V53,LAMINA_HORA!$A$5:$A$114,0),MATCH($P53,LAMINA_HORA!$C$3:$V$3,0)),"?"))</f>
        <v/>
      </c>
      <c r="R53" s="15">
        <f>IF(OR($V53="",$P53=""),"",IFERROR(INDEX(LAMINA_HORA!$W$5:$AP$114,MATCH($V53,LAMINA_HORA!$A$5:$A$114,0),MATCH($P53,LAMINA_HORA!$W$3:$AP$3,0)),"?"))</f>
        <v/>
      </c>
      <c r="S53" s="16">
        <f>IF($I53="PENDENTE","Definir Kc/classe",IF($I53="(nao plantado)","Aguardar plantio",IF($N53="","-",IF($N53&gt;=TURNO,"IRRIGAR",IF($N53&gt;=TURNO*FRAC_ACOMP,"Acompanhar","Aguardar")))))</f>
        <v/>
      </c>
      <c r="T53" s="16">
        <f>IF(OR($N53="",$N53=0),"-",IF($N53&gt;=2*TURNO,"Alta",IF($N53&gt;=TURNO,"Media","Baixa")))</f>
        <v/>
      </c>
      <c r="U53" s="17" t="inlineStr">
        <is>
          <t>SOJA_MEDIA</t>
        </is>
      </c>
      <c r="V53" s="8" t="inlineStr">
        <is>
          <t>P27</t>
        </is>
      </c>
    </row>
    <row r="54">
      <c r="A54" s="6" t="inlineStr">
        <is>
          <t>Pivô 28</t>
        </is>
      </c>
      <c r="B54" s="6" t="inlineStr">
        <is>
          <t>R7</t>
        </is>
      </c>
      <c r="C54" s="6" t="inlineStr">
        <is>
          <t>CACAU</t>
        </is>
      </c>
      <c r="D54" s="7" t="inlineStr">
        <is>
          <t>PS1319/FA13/CCN51</t>
        </is>
      </c>
      <c r="E54" s="8" t="inlineStr"/>
      <c r="F54" s="9" t="n">
        <v>133</v>
      </c>
      <c r="G54" s="10" t="n">
        <v>46196</v>
      </c>
      <c r="H54" s="11">
        <f>IF($G54="","",IF($G54&gt;DATA_REF,"",DATA_REF-$G54))</f>
        <v/>
      </c>
      <c r="I54" s="12">
        <f>IF($U54="","PENDENTE",IF($H54="","(nao plantado)",IFERROR(INDEX(CURVAS_KC!$B$5:$I$224,MATCH(MIN(MAX($H54,1),220),CURVAS_KC!$A$5:$A$224,0),MATCH($U54,CURVAS_KC!$B$4:$I$4,0)),"PENDENTE")))</f>
        <v/>
      </c>
      <c r="J54" s="13">
        <f>IF($G54="","",$G54)</f>
        <v/>
      </c>
      <c r="K54" s="14">
        <f>IF($J54="","",SUMIFS(ETO_DIARIO!$B$5:$B$404,ETO_DIARIO!$A$5:$A$404,"&gt;"&amp;$J54,ETO_DIARIO!$A$5:$A$404,"&lt;="&amp;DATA_REF))</f>
        <v/>
      </c>
      <c r="L54" s="14">
        <f>IF($J54="","",SUMIFS(ETO_DIARIO!$C$5:$C$404,ETO_DIARIO!$A$5:$A$404,"&gt;"&amp;$J54,ETO_DIARIO!$A$5:$A$404,"&lt;="&amp;DATA_REF))</f>
        <v/>
      </c>
      <c r="M54" s="14">
        <f>IF(OR($I54="",$I54="PENDENTE",$I54="(nao plantado)",$K54=""),"",$I54*$K54)</f>
        <v/>
      </c>
      <c r="N54" s="14">
        <f>IF($M54="","",MAX(0,$M54-N($L54)))</f>
        <v/>
      </c>
      <c r="O54" s="14">
        <f>IF($N54="","",$N54/EF_APLIC)</f>
        <v/>
      </c>
      <c r="P54" s="8" t="n"/>
      <c r="Q54" s="15">
        <f>IF(OR($V54="",$P54=""),"",IFERROR(INDEX(LAMINA_HORA!$C$5:$V$114,MATCH($V54,LAMINA_HORA!$A$5:$A$114,0),MATCH($P54,LAMINA_HORA!$C$3:$V$3,0)),"?"))</f>
        <v/>
      </c>
      <c r="R54" s="15">
        <f>IF(OR($V54="",$P54=""),"",IFERROR(INDEX(LAMINA_HORA!$W$5:$AP$114,MATCH($V54,LAMINA_HORA!$A$5:$A$114,0),MATCH($P54,LAMINA_HORA!$W$3:$AP$3,0)),"?"))</f>
        <v/>
      </c>
      <c r="S54" s="16">
        <f>IF($I54="PENDENTE","Definir Kc/classe",IF($I54="(nao plantado)","Aguardar plantio",IF($N54="","-",IF($N54&gt;=TURNO,"IRRIGAR",IF($N54&gt;=TURNO*FRAC_ACOMP,"Acompanhar","Aguardar")))))</f>
        <v/>
      </c>
      <c r="T54" s="16">
        <f>IF(OR($N54="",$N54=0),"-",IF($N54&gt;=2*TURNO,"Alta",IF($N54&gt;=TURNO,"Media","Baixa")))</f>
        <v/>
      </c>
      <c r="U54" s="17" t="inlineStr"/>
      <c r="V54" s="8" t="inlineStr">
        <is>
          <t>P28</t>
        </is>
      </c>
    </row>
    <row r="55">
      <c r="A55" s="6" t="inlineStr">
        <is>
          <t>Pivô 29</t>
        </is>
      </c>
      <c r="B55" s="6" t="inlineStr">
        <is>
          <t>R7</t>
        </is>
      </c>
      <c r="C55" s="6" t="inlineStr">
        <is>
          <t>CACAU</t>
        </is>
      </c>
      <c r="D55" s="7" t="inlineStr">
        <is>
          <t>PS1319/FA13/CCN51</t>
        </is>
      </c>
      <c r="E55" s="8" t="inlineStr"/>
      <c r="F55" s="9" t="n">
        <v>80</v>
      </c>
      <c r="G55" s="10" t="n">
        <v>45901</v>
      </c>
      <c r="H55" s="11">
        <f>IF($G55="","",IF($G55&gt;DATA_REF,"",DATA_REF-$G55))</f>
        <v/>
      </c>
      <c r="I55" s="12">
        <f>IF($U55="","PENDENTE",IF($H55="","(nao plantado)",IFERROR(INDEX(CURVAS_KC!$B$5:$I$224,MATCH(MIN(MAX($H55,1),220),CURVAS_KC!$A$5:$A$224,0),MATCH($U55,CURVAS_KC!$B$4:$I$4,0)),"PENDENTE")))</f>
        <v/>
      </c>
      <c r="J55" s="13">
        <f>IF($G55="","",$G55)</f>
        <v/>
      </c>
      <c r="K55" s="14">
        <f>IF($J55="","",SUMIFS(ETO_DIARIO!$B$5:$B$404,ETO_DIARIO!$A$5:$A$404,"&gt;"&amp;$J55,ETO_DIARIO!$A$5:$A$404,"&lt;="&amp;DATA_REF))</f>
        <v/>
      </c>
      <c r="L55" s="14">
        <f>IF($J55="","",SUMIFS(ETO_DIARIO!$C$5:$C$404,ETO_DIARIO!$A$5:$A$404,"&gt;"&amp;$J55,ETO_DIARIO!$A$5:$A$404,"&lt;="&amp;DATA_REF))</f>
        <v/>
      </c>
      <c r="M55" s="14">
        <f>IF(OR($I55="",$I55="PENDENTE",$I55="(nao plantado)",$K55=""),"",$I55*$K55)</f>
        <v/>
      </c>
      <c r="N55" s="14">
        <f>IF($M55="","",MAX(0,$M55-N($L55)))</f>
        <v/>
      </c>
      <c r="O55" s="14">
        <f>IF($N55="","",$N55/EF_APLIC)</f>
        <v/>
      </c>
      <c r="P55" s="8" t="n"/>
      <c r="Q55" s="15">
        <f>IF(OR($V55="",$P55=""),"",IFERROR(INDEX(LAMINA_HORA!$C$5:$V$114,MATCH($V55,LAMINA_HORA!$A$5:$A$114,0),MATCH($P55,LAMINA_HORA!$C$3:$V$3,0)),"?"))</f>
        <v/>
      </c>
      <c r="R55" s="15">
        <f>IF(OR($V55="",$P55=""),"",IFERROR(INDEX(LAMINA_HORA!$W$5:$AP$114,MATCH($V55,LAMINA_HORA!$A$5:$A$114,0),MATCH($P55,LAMINA_HORA!$W$3:$AP$3,0)),"?"))</f>
        <v/>
      </c>
      <c r="S55" s="16">
        <f>IF($I55="PENDENTE","Definir Kc/classe",IF($I55="(nao plantado)","Aguardar plantio",IF($N55="","-",IF($N55&gt;=TURNO,"IRRIGAR",IF($N55&gt;=TURNO*FRAC_ACOMP,"Acompanhar","Aguardar")))))</f>
        <v/>
      </c>
      <c r="T55" s="16">
        <f>IF(OR($N55="",$N55=0),"-",IF($N55&gt;=2*TURNO,"Alta",IF($N55&gt;=TURNO,"Media","Baixa")))</f>
        <v/>
      </c>
      <c r="U55" s="17" t="inlineStr"/>
      <c r="V55" s="8" t="inlineStr">
        <is>
          <t>P29</t>
        </is>
      </c>
    </row>
    <row r="56">
      <c r="A56" s="6" t="inlineStr">
        <is>
          <t>Pivô 30</t>
        </is>
      </c>
      <c r="B56" s="6" t="inlineStr">
        <is>
          <t>C3Z3/R7</t>
        </is>
      </c>
      <c r="C56" s="6" t="inlineStr">
        <is>
          <t>CACAU</t>
        </is>
      </c>
      <c r="D56" s="7" t="inlineStr">
        <is>
          <t>PS1319/FA13/CCN51</t>
        </is>
      </c>
      <c r="E56" s="8" t="inlineStr"/>
      <c r="F56" s="9" t="n">
        <v>150</v>
      </c>
      <c r="G56" s="10" t="n">
        <v>46447</v>
      </c>
      <c r="H56" s="11">
        <f>IF($G56="","",IF($G56&gt;DATA_REF,"",DATA_REF-$G56))</f>
        <v/>
      </c>
      <c r="I56" s="12">
        <f>IF($U56="","PENDENTE",IF($H56="","(nao plantado)",IFERROR(INDEX(CURVAS_KC!$B$5:$I$224,MATCH(MIN(MAX($H56,1),220),CURVAS_KC!$A$5:$A$224,0),MATCH($U56,CURVAS_KC!$B$4:$I$4,0)),"PENDENTE")))</f>
        <v/>
      </c>
      <c r="J56" s="13">
        <f>IF($G56="","",$G56)</f>
        <v/>
      </c>
      <c r="K56" s="14">
        <f>IF($J56="","",SUMIFS(ETO_DIARIO!$B$5:$B$404,ETO_DIARIO!$A$5:$A$404,"&gt;"&amp;$J56,ETO_DIARIO!$A$5:$A$404,"&lt;="&amp;DATA_REF))</f>
        <v/>
      </c>
      <c r="L56" s="14">
        <f>IF($J56="","",SUMIFS(ETO_DIARIO!$C$5:$C$404,ETO_DIARIO!$A$5:$A$404,"&gt;"&amp;$J56,ETO_DIARIO!$A$5:$A$404,"&lt;="&amp;DATA_REF))</f>
        <v/>
      </c>
      <c r="M56" s="14">
        <f>IF(OR($I56="",$I56="PENDENTE",$I56="(nao plantado)",$K56=""),"",$I56*$K56)</f>
        <v/>
      </c>
      <c r="N56" s="14">
        <f>IF($M56="","",MAX(0,$M56-N($L56)))</f>
        <v/>
      </c>
      <c r="O56" s="14">
        <f>IF($N56="","",$N56/EF_APLIC)</f>
        <v/>
      </c>
      <c r="P56" s="8" t="n"/>
      <c r="Q56" s="15">
        <f>IF(OR($V56="",$P56=""),"",IFERROR(INDEX(LAMINA_HORA!$C$5:$V$114,MATCH($V56,LAMINA_HORA!$A$5:$A$114,0),MATCH($P56,LAMINA_HORA!$C$3:$V$3,0)),"?"))</f>
        <v/>
      </c>
      <c r="R56" s="15">
        <f>IF(OR($V56="",$P56=""),"",IFERROR(INDEX(LAMINA_HORA!$W$5:$AP$114,MATCH($V56,LAMINA_HORA!$A$5:$A$114,0),MATCH($P56,LAMINA_HORA!$W$3:$AP$3,0)),"?"))</f>
        <v/>
      </c>
      <c r="S56" s="16">
        <f>IF($I56="PENDENTE","Definir Kc/classe",IF($I56="(nao plantado)","Aguardar plantio",IF($N56="","-",IF($N56&gt;=TURNO,"IRRIGAR",IF($N56&gt;=TURNO*FRAC_ACOMP,"Acompanhar","Aguardar")))))</f>
        <v/>
      </c>
      <c r="T56" s="16">
        <f>IF(OR($N56="",$N56=0),"-",IF($N56&gt;=2*TURNO,"Alta",IF($N56&gt;=TURNO,"Media","Baixa")))</f>
        <v/>
      </c>
      <c r="U56" s="17" t="inlineStr"/>
      <c r="V56" s="8" t="inlineStr">
        <is>
          <t>P30</t>
        </is>
      </c>
    </row>
    <row r="57">
      <c r="A57" s="6" t="inlineStr">
        <is>
          <t>Pivô 31</t>
        </is>
      </c>
      <c r="B57" s="6" t="inlineStr">
        <is>
          <t>C3Z3/R7</t>
        </is>
      </c>
      <c r="C57" s="6" t="inlineStr">
        <is>
          <t>CACAU</t>
        </is>
      </c>
      <c r="D57" s="7" t="inlineStr">
        <is>
          <t>PS1319/FA13/CCN51</t>
        </is>
      </c>
      <c r="E57" s="8" t="inlineStr"/>
      <c r="F57" s="9" t="n">
        <v>150</v>
      </c>
      <c r="G57" s="10" t="n">
        <v>46357</v>
      </c>
      <c r="H57" s="11">
        <f>IF($G57="","",IF($G57&gt;DATA_REF,"",DATA_REF-$G57))</f>
        <v/>
      </c>
      <c r="I57" s="12">
        <f>IF($U57="","PENDENTE",IF($H57="","(nao plantado)",IFERROR(INDEX(CURVAS_KC!$B$5:$I$224,MATCH(MIN(MAX($H57,1),220),CURVAS_KC!$A$5:$A$224,0),MATCH($U57,CURVAS_KC!$B$4:$I$4,0)),"PENDENTE")))</f>
        <v/>
      </c>
      <c r="J57" s="13">
        <f>IF($G57="","",$G57)</f>
        <v/>
      </c>
      <c r="K57" s="14">
        <f>IF($J57="","",SUMIFS(ETO_DIARIO!$B$5:$B$404,ETO_DIARIO!$A$5:$A$404,"&gt;"&amp;$J57,ETO_DIARIO!$A$5:$A$404,"&lt;="&amp;DATA_REF))</f>
        <v/>
      </c>
      <c r="L57" s="14">
        <f>IF($J57="","",SUMIFS(ETO_DIARIO!$C$5:$C$404,ETO_DIARIO!$A$5:$A$404,"&gt;"&amp;$J57,ETO_DIARIO!$A$5:$A$404,"&lt;="&amp;DATA_REF))</f>
        <v/>
      </c>
      <c r="M57" s="14">
        <f>IF(OR($I57="",$I57="PENDENTE",$I57="(nao plantado)",$K57=""),"",$I57*$K57)</f>
        <v/>
      </c>
      <c r="N57" s="14">
        <f>IF($M57="","",MAX(0,$M57-N($L57)))</f>
        <v/>
      </c>
      <c r="O57" s="14">
        <f>IF($N57="","",$N57/EF_APLIC)</f>
        <v/>
      </c>
      <c r="P57" s="8" t="n"/>
      <c r="Q57" s="15">
        <f>IF(OR($V57="",$P57=""),"",IFERROR(INDEX(LAMINA_HORA!$C$5:$V$114,MATCH($V57,LAMINA_HORA!$A$5:$A$114,0),MATCH($P57,LAMINA_HORA!$C$3:$V$3,0)),"?"))</f>
        <v/>
      </c>
      <c r="R57" s="15">
        <f>IF(OR($V57="",$P57=""),"",IFERROR(INDEX(LAMINA_HORA!$W$5:$AP$114,MATCH($V57,LAMINA_HORA!$A$5:$A$114,0),MATCH($P57,LAMINA_HORA!$W$3:$AP$3,0)),"?"))</f>
        <v/>
      </c>
      <c r="S57" s="16">
        <f>IF($I57="PENDENTE","Definir Kc/classe",IF($I57="(nao plantado)","Aguardar plantio",IF($N57="","-",IF($N57&gt;=TURNO,"IRRIGAR",IF($N57&gt;=TURNO*FRAC_ACOMP,"Acompanhar","Aguardar")))))</f>
        <v/>
      </c>
      <c r="T57" s="16">
        <f>IF(OR($N57="",$N57=0),"-",IF($N57&gt;=2*TURNO,"Alta",IF($N57&gt;=TURNO,"Media","Baixa")))</f>
        <v/>
      </c>
      <c r="U57" s="17" t="inlineStr"/>
      <c r="V57" s="8" t="inlineStr">
        <is>
          <t>P31</t>
        </is>
      </c>
    </row>
    <row r="58">
      <c r="A58" s="6" t="inlineStr">
        <is>
          <t>Pivô 32</t>
        </is>
      </c>
      <c r="B58" s="6" t="inlineStr">
        <is>
          <t>C3Z3/R7</t>
        </is>
      </c>
      <c r="C58" s="6" t="inlineStr">
        <is>
          <t>CACAU</t>
        </is>
      </c>
      <c r="D58" s="7" t="inlineStr">
        <is>
          <t>PS1319/FA13/CCN51</t>
        </is>
      </c>
      <c r="E58" s="8" t="inlineStr"/>
      <c r="F58" s="9" t="n">
        <v>133</v>
      </c>
      <c r="G58" s="10" t="n">
        <v>45923</v>
      </c>
      <c r="H58" s="11">
        <f>IF($G58="","",IF($G58&gt;DATA_REF,"",DATA_REF-$G58))</f>
        <v/>
      </c>
      <c r="I58" s="12">
        <f>IF($U58="","PENDENTE",IF($H58="","(nao plantado)",IFERROR(INDEX(CURVAS_KC!$B$5:$I$224,MATCH(MIN(MAX($H58,1),220),CURVAS_KC!$A$5:$A$224,0),MATCH($U58,CURVAS_KC!$B$4:$I$4,0)),"PENDENTE")))</f>
        <v/>
      </c>
      <c r="J58" s="13">
        <f>IF($G58="","",$G58)</f>
        <v/>
      </c>
      <c r="K58" s="14">
        <f>IF($J58="","",SUMIFS(ETO_DIARIO!$B$5:$B$404,ETO_DIARIO!$A$5:$A$404,"&gt;"&amp;$J58,ETO_DIARIO!$A$5:$A$404,"&lt;="&amp;DATA_REF))</f>
        <v/>
      </c>
      <c r="L58" s="14">
        <f>IF($J58="","",SUMIFS(ETO_DIARIO!$C$5:$C$404,ETO_DIARIO!$A$5:$A$404,"&gt;"&amp;$J58,ETO_DIARIO!$A$5:$A$404,"&lt;="&amp;DATA_REF))</f>
        <v/>
      </c>
      <c r="M58" s="14">
        <f>IF(OR($I58="",$I58="PENDENTE",$I58="(nao plantado)",$K58=""),"",$I58*$K58)</f>
        <v/>
      </c>
      <c r="N58" s="14">
        <f>IF($M58="","",MAX(0,$M58-N($L58)))</f>
        <v/>
      </c>
      <c r="O58" s="14">
        <f>IF($N58="","",$N58/EF_APLIC)</f>
        <v/>
      </c>
      <c r="P58" s="8" t="n"/>
      <c r="Q58" s="15">
        <f>IF(OR($V58="",$P58=""),"",IFERROR(INDEX(LAMINA_HORA!$C$5:$V$114,MATCH($V58,LAMINA_HORA!$A$5:$A$114,0),MATCH($P58,LAMINA_HORA!$C$3:$V$3,0)),"?"))</f>
        <v/>
      </c>
      <c r="R58" s="15">
        <f>IF(OR($V58="",$P58=""),"",IFERROR(INDEX(LAMINA_HORA!$W$5:$AP$114,MATCH($V58,LAMINA_HORA!$A$5:$A$114,0),MATCH($P58,LAMINA_HORA!$W$3:$AP$3,0)),"?"))</f>
        <v/>
      </c>
      <c r="S58" s="16">
        <f>IF($I58="PENDENTE","Definir Kc/classe",IF($I58="(nao plantado)","Aguardar plantio",IF($N58="","-",IF($N58&gt;=TURNO,"IRRIGAR",IF($N58&gt;=TURNO*FRAC_ACOMP,"Acompanhar","Aguardar")))))</f>
        <v/>
      </c>
      <c r="T58" s="16">
        <f>IF(OR($N58="",$N58=0),"-",IF($N58&gt;=2*TURNO,"Alta",IF($N58&gt;=TURNO,"Media","Baixa")))</f>
        <v/>
      </c>
      <c r="U58" s="17" t="inlineStr"/>
      <c r="V58" s="8" t="inlineStr">
        <is>
          <t>P32</t>
        </is>
      </c>
    </row>
    <row r="59">
      <c r="A59" s="6" t="inlineStr">
        <is>
          <t>Pivô 33</t>
        </is>
      </c>
      <c r="B59" s="6" t="inlineStr">
        <is>
          <t>C3Z3/R7</t>
        </is>
      </c>
      <c r="C59" s="6" t="inlineStr">
        <is>
          <t>SOJA</t>
        </is>
      </c>
      <c r="D59" s="7" t="inlineStr">
        <is>
          <t>ATAQUE I2X</t>
        </is>
      </c>
      <c r="E59" s="8" t="inlineStr">
        <is>
          <t>TARDIA</t>
        </is>
      </c>
      <c r="F59" s="9" t="n">
        <v>138</v>
      </c>
      <c r="G59" s="10" t="n">
        <v>46302</v>
      </c>
      <c r="H59" s="11">
        <f>IF($G59="","",IF($G59&gt;DATA_REF,"",DATA_REF-$G59))</f>
        <v/>
      </c>
      <c r="I59" s="12">
        <f>IF($U59="","PENDENTE",IF($H59="","(nao plantado)",IFERROR(INDEX(CURVAS_KC!$B$5:$I$224,MATCH(MIN(MAX($H59,1),220),CURVAS_KC!$A$5:$A$224,0),MATCH($U59,CURVAS_KC!$B$4:$I$4,0)),"PENDENTE")))</f>
        <v/>
      </c>
      <c r="J59" s="13">
        <f>IF($G59="","",$G59)</f>
        <v/>
      </c>
      <c r="K59" s="14">
        <f>IF($J59="","",SUMIFS(ETO_DIARIO!$B$5:$B$404,ETO_DIARIO!$A$5:$A$404,"&gt;"&amp;$J59,ETO_DIARIO!$A$5:$A$404,"&lt;="&amp;DATA_REF))</f>
        <v/>
      </c>
      <c r="L59" s="14">
        <f>IF($J59="","",SUMIFS(ETO_DIARIO!$C$5:$C$404,ETO_DIARIO!$A$5:$A$404,"&gt;"&amp;$J59,ETO_DIARIO!$A$5:$A$404,"&lt;="&amp;DATA_REF))</f>
        <v/>
      </c>
      <c r="M59" s="14">
        <f>IF(OR($I59="",$I59="PENDENTE",$I59="(nao plantado)",$K59=""),"",$I59*$K59)</f>
        <v/>
      </c>
      <c r="N59" s="14">
        <f>IF($M59="","",MAX(0,$M59-N($L59)))</f>
        <v/>
      </c>
      <c r="O59" s="14">
        <f>IF($N59="","",$N59/EF_APLIC)</f>
        <v/>
      </c>
      <c r="P59" s="8" t="n"/>
      <c r="Q59" s="15">
        <f>IF(OR($V59="",$P59=""),"",IFERROR(INDEX(LAMINA_HORA!$C$5:$V$114,MATCH($V59,LAMINA_HORA!$A$5:$A$114,0),MATCH($P59,LAMINA_HORA!$C$3:$V$3,0)),"?"))</f>
        <v/>
      </c>
      <c r="R59" s="15">
        <f>IF(OR($V59="",$P59=""),"",IFERROR(INDEX(LAMINA_HORA!$W$5:$AP$114,MATCH($V59,LAMINA_HORA!$A$5:$A$114,0),MATCH($P59,LAMINA_HORA!$W$3:$AP$3,0)),"?"))</f>
        <v/>
      </c>
      <c r="S59" s="16">
        <f>IF($I59="PENDENTE","Definir Kc/classe",IF($I59="(nao plantado)","Aguardar plantio",IF($N59="","-",IF($N59&gt;=TURNO,"IRRIGAR",IF($N59&gt;=TURNO*FRAC_ACOMP,"Acompanhar","Aguardar")))))</f>
        <v/>
      </c>
      <c r="T59" s="16">
        <f>IF(OR($N59="",$N59=0),"-",IF($N59&gt;=2*TURNO,"Alta",IF($N59&gt;=TURNO,"Media","Baixa")))</f>
        <v/>
      </c>
      <c r="U59" s="17" t="inlineStr">
        <is>
          <t>SOJA_TARDIA</t>
        </is>
      </c>
      <c r="V59" s="8" t="inlineStr">
        <is>
          <t>P33</t>
        </is>
      </c>
    </row>
    <row r="60">
      <c r="A60" s="6" t="inlineStr">
        <is>
          <t>Pivô 34</t>
        </is>
      </c>
      <c r="B60" s="6" t="inlineStr">
        <is>
          <t>C3Z3/R7</t>
        </is>
      </c>
      <c r="C60" s="6" t="inlineStr">
        <is>
          <t>CACAU</t>
        </is>
      </c>
      <c r="D60" s="7" t="inlineStr">
        <is>
          <t>PS1319/FA13/CCN51</t>
        </is>
      </c>
      <c r="E60" s="8" t="inlineStr"/>
      <c r="F60" s="9" t="n">
        <v>150</v>
      </c>
      <c r="G60" s="10" t="n">
        <v>46326</v>
      </c>
      <c r="H60" s="11">
        <f>IF($G60="","",IF($G60&gt;DATA_REF,"",DATA_REF-$G60))</f>
        <v/>
      </c>
      <c r="I60" s="12">
        <f>IF($U60="","PENDENTE",IF($H60="","(nao plantado)",IFERROR(INDEX(CURVAS_KC!$B$5:$I$224,MATCH(MIN(MAX($H60,1),220),CURVAS_KC!$A$5:$A$224,0),MATCH($U60,CURVAS_KC!$B$4:$I$4,0)),"PENDENTE")))</f>
        <v/>
      </c>
      <c r="J60" s="13">
        <f>IF($G60="","",$G60)</f>
        <v/>
      </c>
      <c r="K60" s="14">
        <f>IF($J60="","",SUMIFS(ETO_DIARIO!$B$5:$B$404,ETO_DIARIO!$A$5:$A$404,"&gt;"&amp;$J60,ETO_DIARIO!$A$5:$A$404,"&lt;="&amp;DATA_REF))</f>
        <v/>
      </c>
      <c r="L60" s="14">
        <f>IF($J60="","",SUMIFS(ETO_DIARIO!$C$5:$C$404,ETO_DIARIO!$A$5:$A$404,"&gt;"&amp;$J60,ETO_DIARIO!$A$5:$A$404,"&lt;="&amp;DATA_REF))</f>
        <v/>
      </c>
      <c r="M60" s="14">
        <f>IF(OR($I60="",$I60="PENDENTE",$I60="(nao plantado)",$K60=""),"",$I60*$K60)</f>
        <v/>
      </c>
      <c r="N60" s="14">
        <f>IF($M60="","",MAX(0,$M60-N($L60)))</f>
        <v/>
      </c>
      <c r="O60" s="14">
        <f>IF($N60="","",$N60/EF_APLIC)</f>
        <v/>
      </c>
      <c r="P60" s="8" t="n"/>
      <c r="Q60" s="15">
        <f>IF(OR($V60="",$P60=""),"",IFERROR(INDEX(LAMINA_HORA!$C$5:$V$114,MATCH($V60,LAMINA_HORA!$A$5:$A$114,0),MATCH($P60,LAMINA_HORA!$C$3:$V$3,0)),"?"))</f>
        <v/>
      </c>
      <c r="R60" s="15">
        <f>IF(OR($V60="",$P60=""),"",IFERROR(INDEX(LAMINA_HORA!$W$5:$AP$114,MATCH($V60,LAMINA_HORA!$A$5:$A$114,0),MATCH($P60,LAMINA_HORA!$W$3:$AP$3,0)),"?"))</f>
        <v/>
      </c>
      <c r="S60" s="16">
        <f>IF($I60="PENDENTE","Definir Kc/classe",IF($I60="(nao plantado)","Aguardar plantio",IF($N60="","-",IF($N60&gt;=TURNO,"IRRIGAR",IF($N60&gt;=TURNO*FRAC_ACOMP,"Acompanhar","Aguardar")))))</f>
        <v/>
      </c>
      <c r="T60" s="16">
        <f>IF(OR($N60="",$N60=0),"-",IF($N60&gt;=2*TURNO,"Alta",IF($N60&gt;=TURNO,"Media","Baixa")))</f>
        <v/>
      </c>
      <c r="U60" s="17" t="inlineStr"/>
      <c r="V60" s="8" t="inlineStr">
        <is>
          <t>P34</t>
        </is>
      </c>
    </row>
    <row r="61">
      <c r="A61" s="6" t="inlineStr">
        <is>
          <t>Pivô 75</t>
        </is>
      </c>
      <c r="B61" s="6" t="inlineStr">
        <is>
          <t>C3Z3/R7</t>
        </is>
      </c>
      <c r="C61" s="6" t="inlineStr">
        <is>
          <t>CACAU</t>
        </is>
      </c>
      <c r="D61" s="7" t="inlineStr">
        <is>
          <t>PS1319/FA13/CCN51</t>
        </is>
      </c>
      <c r="E61" s="8" t="inlineStr"/>
      <c r="F61" s="9" t="n">
        <v>9</v>
      </c>
      <c r="G61" s="10" t="n">
        <v>45923</v>
      </c>
      <c r="H61" s="11">
        <f>IF($G61="","",IF($G61&gt;DATA_REF,"",DATA_REF-$G61))</f>
        <v/>
      </c>
      <c r="I61" s="12">
        <f>IF($U61="","PENDENTE",IF($H61="","(nao plantado)",IFERROR(INDEX(CURVAS_KC!$B$5:$I$224,MATCH(MIN(MAX($H61,1),220),CURVAS_KC!$A$5:$A$224,0),MATCH($U61,CURVAS_KC!$B$4:$I$4,0)),"PENDENTE")))</f>
        <v/>
      </c>
      <c r="J61" s="13">
        <f>IF($G61="","",$G61)</f>
        <v/>
      </c>
      <c r="K61" s="14">
        <f>IF($J61="","",SUMIFS(ETO_DIARIO!$B$5:$B$404,ETO_DIARIO!$A$5:$A$404,"&gt;"&amp;$J61,ETO_DIARIO!$A$5:$A$404,"&lt;="&amp;DATA_REF))</f>
        <v/>
      </c>
      <c r="L61" s="14">
        <f>IF($J61="","",SUMIFS(ETO_DIARIO!$C$5:$C$404,ETO_DIARIO!$A$5:$A$404,"&gt;"&amp;$J61,ETO_DIARIO!$A$5:$A$404,"&lt;="&amp;DATA_REF))</f>
        <v/>
      </c>
      <c r="M61" s="14">
        <f>IF(OR($I61="",$I61="PENDENTE",$I61="(nao plantado)",$K61=""),"",$I61*$K61)</f>
        <v/>
      </c>
      <c r="N61" s="14">
        <f>IF($M61="","",MAX(0,$M61-N($L61)))</f>
        <v/>
      </c>
      <c r="O61" s="14">
        <f>IF($N61="","",$N61/EF_APLIC)</f>
        <v/>
      </c>
      <c r="P61" s="8" t="n"/>
      <c r="Q61" s="15">
        <f>IF(OR($V61="",$P61=""),"",IFERROR(INDEX(LAMINA_HORA!$C$5:$V$114,MATCH($V61,LAMINA_HORA!$A$5:$A$114,0),MATCH($P61,LAMINA_HORA!$C$3:$V$3,0)),"?"))</f>
        <v/>
      </c>
      <c r="R61" s="15">
        <f>IF(OR($V61="",$P61=""),"",IFERROR(INDEX(LAMINA_HORA!$W$5:$AP$114,MATCH($V61,LAMINA_HORA!$A$5:$A$114,0),MATCH($P61,LAMINA_HORA!$W$3:$AP$3,0)),"?"))</f>
        <v/>
      </c>
      <c r="S61" s="16">
        <f>IF($I61="PENDENTE","Definir Kc/classe",IF($I61="(nao plantado)","Aguardar plantio",IF($N61="","-",IF($N61&gt;=TURNO,"IRRIGAR",IF($N61&gt;=TURNO*FRAC_ACOMP,"Acompanhar","Aguardar")))))</f>
        <v/>
      </c>
      <c r="T61" s="16">
        <f>IF(OR($N61="",$N61=0),"-",IF($N61&gt;=2*TURNO,"Alta",IF($N61&gt;=TURNO,"Media","Baixa")))</f>
        <v/>
      </c>
      <c r="U61" s="17" t="inlineStr"/>
      <c r="V61" s="8" t="inlineStr">
        <is>
          <t>P75</t>
        </is>
      </c>
    </row>
    <row r="62">
      <c r="A62" s="6" t="inlineStr">
        <is>
          <t>Pivô 76</t>
        </is>
      </c>
      <c r="B62" s="6" t="inlineStr">
        <is>
          <t>C3Z3/R7</t>
        </is>
      </c>
      <c r="C62" s="6" t="inlineStr">
        <is>
          <t>CACAU</t>
        </is>
      </c>
      <c r="D62" s="7" t="inlineStr">
        <is>
          <t>PS1319/FA13/CCN51</t>
        </is>
      </c>
      <c r="E62" s="8" t="inlineStr"/>
      <c r="F62" s="9" t="n">
        <v>84</v>
      </c>
      <c r="G62" s="10" t="n">
        <v>45923</v>
      </c>
      <c r="H62" s="11">
        <f>IF($G62="","",IF($G62&gt;DATA_REF,"",DATA_REF-$G62))</f>
        <v/>
      </c>
      <c r="I62" s="12">
        <f>IF($U62="","PENDENTE",IF($H62="","(nao plantado)",IFERROR(INDEX(CURVAS_KC!$B$5:$I$224,MATCH(MIN(MAX($H62,1),220),CURVAS_KC!$A$5:$A$224,0),MATCH($U62,CURVAS_KC!$B$4:$I$4,0)),"PENDENTE")))</f>
        <v/>
      </c>
      <c r="J62" s="13">
        <f>IF($G62="","",$G62)</f>
        <v/>
      </c>
      <c r="K62" s="14">
        <f>IF($J62="","",SUMIFS(ETO_DIARIO!$B$5:$B$404,ETO_DIARIO!$A$5:$A$404,"&gt;"&amp;$J62,ETO_DIARIO!$A$5:$A$404,"&lt;="&amp;DATA_REF))</f>
        <v/>
      </c>
      <c r="L62" s="14">
        <f>IF($J62="","",SUMIFS(ETO_DIARIO!$C$5:$C$404,ETO_DIARIO!$A$5:$A$404,"&gt;"&amp;$J62,ETO_DIARIO!$A$5:$A$404,"&lt;="&amp;DATA_REF))</f>
        <v/>
      </c>
      <c r="M62" s="14">
        <f>IF(OR($I62="",$I62="PENDENTE",$I62="(nao plantado)",$K62=""),"",$I62*$K62)</f>
        <v/>
      </c>
      <c r="N62" s="14">
        <f>IF($M62="","",MAX(0,$M62-N($L62)))</f>
        <v/>
      </c>
      <c r="O62" s="14">
        <f>IF($N62="","",$N62/EF_APLIC)</f>
        <v/>
      </c>
      <c r="P62" s="8" t="n"/>
      <c r="Q62" s="15">
        <f>IF(OR($V62="",$P62=""),"",IFERROR(INDEX(LAMINA_HORA!$C$5:$V$114,MATCH($V62,LAMINA_HORA!$A$5:$A$114,0),MATCH($P62,LAMINA_HORA!$C$3:$V$3,0)),"?"))</f>
        <v/>
      </c>
      <c r="R62" s="15">
        <f>IF(OR($V62="",$P62=""),"",IFERROR(INDEX(LAMINA_HORA!$W$5:$AP$114,MATCH($V62,LAMINA_HORA!$A$5:$A$114,0),MATCH($P62,LAMINA_HORA!$W$3:$AP$3,0)),"?"))</f>
        <v/>
      </c>
      <c r="S62" s="16">
        <f>IF($I62="PENDENTE","Definir Kc/classe",IF($I62="(nao plantado)","Aguardar plantio",IF($N62="","-",IF($N62&gt;=TURNO,"IRRIGAR",IF($N62&gt;=TURNO*FRAC_ACOMP,"Acompanhar","Aguardar")))))</f>
        <v/>
      </c>
      <c r="T62" s="16">
        <f>IF(OR($N62="",$N62=0),"-",IF($N62&gt;=2*TURNO,"Alta",IF($N62&gt;=TURNO,"Media","Baixa")))</f>
        <v/>
      </c>
      <c r="U62" s="17" t="inlineStr"/>
      <c r="V62" s="8" t="inlineStr">
        <is>
          <t>P76</t>
        </is>
      </c>
    </row>
    <row r="64">
      <c r="A64" s="5" t="inlineStr">
        <is>
          <t>Modulo 2  -  17 pivos</t>
        </is>
      </c>
    </row>
    <row r="65">
      <c r="A65" s="6" t="inlineStr">
        <is>
          <t>Pivô 35</t>
        </is>
      </c>
      <c r="B65" s="6" t="inlineStr">
        <is>
          <t>R8</t>
        </is>
      </c>
      <c r="C65" s="6" t="inlineStr">
        <is>
          <t>SOJA</t>
        </is>
      </c>
      <c r="D65" s="7" t="inlineStr">
        <is>
          <t>COMPLETA IPRO</t>
        </is>
      </c>
      <c r="E65" s="8" t="inlineStr">
        <is>
          <t>MEDIA</t>
        </is>
      </c>
      <c r="F65" s="9" t="n">
        <v>150</v>
      </c>
      <c r="G65" s="10" t="n">
        <v>46303</v>
      </c>
      <c r="H65" s="11">
        <f>IF($G65="","",IF($G65&gt;DATA_REF,"",DATA_REF-$G65))</f>
        <v/>
      </c>
      <c r="I65" s="12">
        <f>IF($U65="","PENDENTE",IF($H65="","(nao plantado)",IFERROR(INDEX(CURVAS_KC!$B$5:$I$224,MATCH(MIN(MAX($H65,1),220),CURVAS_KC!$A$5:$A$224,0),MATCH($U65,CURVAS_KC!$B$4:$I$4,0)),"PENDENTE")))</f>
        <v/>
      </c>
      <c r="J65" s="13">
        <f>IF($G65="","",$G65)</f>
        <v/>
      </c>
      <c r="K65" s="14">
        <f>IF($J65="","",SUMIFS(ETO_DIARIO!$B$5:$B$404,ETO_DIARIO!$A$5:$A$404,"&gt;"&amp;$J65,ETO_DIARIO!$A$5:$A$404,"&lt;="&amp;DATA_REF))</f>
        <v/>
      </c>
      <c r="L65" s="14">
        <f>IF($J65="","",SUMIFS(ETO_DIARIO!$C$5:$C$404,ETO_DIARIO!$A$5:$A$404,"&gt;"&amp;$J65,ETO_DIARIO!$A$5:$A$404,"&lt;="&amp;DATA_REF))</f>
        <v/>
      </c>
      <c r="M65" s="14">
        <f>IF(OR($I65="",$I65="PENDENTE",$I65="(nao plantado)",$K65=""),"",$I65*$K65)</f>
        <v/>
      </c>
      <c r="N65" s="14">
        <f>IF($M65="","",MAX(0,$M65-N($L65)))</f>
        <v/>
      </c>
      <c r="O65" s="14">
        <f>IF($N65="","",$N65/EF_APLIC)</f>
        <v/>
      </c>
      <c r="P65" s="8" t="n"/>
      <c r="Q65" s="15">
        <f>IF(OR($V65="",$P65=""),"",IFERROR(INDEX(LAMINA_HORA!$C$5:$V$114,MATCH($V65,LAMINA_HORA!$A$5:$A$114,0),MATCH($P65,LAMINA_HORA!$C$3:$V$3,0)),"?"))</f>
        <v/>
      </c>
      <c r="R65" s="15">
        <f>IF(OR($V65="",$P65=""),"",IFERROR(INDEX(LAMINA_HORA!$W$5:$AP$114,MATCH($V65,LAMINA_HORA!$A$5:$A$114,0),MATCH($P65,LAMINA_HORA!$W$3:$AP$3,0)),"?"))</f>
        <v/>
      </c>
      <c r="S65" s="16">
        <f>IF($I65="PENDENTE","Definir Kc/classe",IF($I65="(nao plantado)","Aguardar plantio",IF($N65="","-",IF($N65&gt;=TURNO,"IRRIGAR",IF($N65&gt;=TURNO*FRAC_ACOMP,"Acompanhar","Aguardar")))))</f>
        <v/>
      </c>
      <c r="T65" s="16">
        <f>IF(OR($N65="",$N65=0),"-",IF($N65&gt;=2*TURNO,"Alta",IF($N65&gt;=TURNO,"Media","Baixa")))</f>
        <v/>
      </c>
      <c r="U65" s="17" t="inlineStr">
        <is>
          <t>SOJA_MEDIA</t>
        </is>
      </c>
      <c r="V65" s="8" t="inlineStr">
        <is>
          <t>P35</t>
        </is>
      </c>
    </row>
    <row r="66">
      <c r="A66" s="6" t="inlineStr">
        <is>
          <t>Pivô 36</t>
        </is>
      </c>
      <c r="B66" s="6" t="inlineStr">
        <is>
          <t>R8</t>
        </is>
      </c>
      <c r="C66" s="6" t="inlineStr">
        <is>
          <t>SOJA</t>
        </is>
      </c>
      <c r="D66" s="7" t="inlineStr">
        <is>
          <t>COMPLETA IPRO</t>
        </is>
      </c>
      <c r="E66" s="8" t="inlineStr">
        <is>
          <t>MEDIA</t>
        </is>
      </c>
      <c r="F66" s="9" t="n">
        <v>150</v>
      </c>
      <c r="G66" s="10" t="n">
        <v>46303</v>
      </c>
      <c r="H66" s="11">
        <f>IF($G66="","",IF($G66&gt;DATA_REF,"",DATA_REF-$G66))</f>
        <v/>
      </c>
      <c r="I66" s="12">
        <f>IF($U66="","PENDENTE",IF($H66="","(nao plantado)",IFERROR(INDEX(CURVAS_KC!$B$5:$I$224,MATCH(MIN(MAX($H66,1),220),CURVAS_KC!$A$5:$A$224,0),MATCH($U66,CURVAS_KC!$B$4:$I$4,0)),"PENDENTE")))</f>
        <v/>
      </c>
      <c r="J66" s="13">
        <f>IF($G66="","",$G66)</f>
        <v/>
      </c>
      <c r="K66" s="14">
        <f>IF($J66="","",SUMIFS(ETO_DIARIO!$B$5:$B$404,ETO_DIARIO!$A$5:$A$404,"&gt;"&amp;$J66,ETO_DIARIO!$A$5:$A$404,"&lt;="&amp;DATA_REF))</f>
        <v/>
      </c>
      <c r="L66" s="14">
        <f>IF($J66="","",SUMIFS(ETO_DIARIO!$C$5:$C$404,ETO_DIARIO!$A$5:$A$404,"&gt;"&amp;$J66,ETO_DIARIO!$A$5:$A$404,"&lt;="&amp;DATA_REF))</f>
        <v/>
      </c>
      <c r="M66" s="14">
        <f>IF(OR($I66="",$I66="PENDENTE",$I66="(nao plantado)",$K66=""),"",$I66*$K66)</f>
        <v/>
      </c>
      <c r="N66" s="14">
        <f>IF($M66="","",MAX(0,$M66-N($L66)))</f>
        <v/>
      </c>
      <c r="O66" s="14">
        <f>IF($N66="","",$N66/EF_APLIC)</f>
        <v/>
      </c>
      <c r="P66" s="8" t="n"/>
      <c r="Q66" s="15">
        <f>IF(OR($V66="",$P66=""),"",IFERROR(INDEX(LAMINA_HORA!$C$5:$V$114,MATCH($V66,LAMINA_HORA!$A$5:$A$114,0),MATCH($P66,LAMINA_HORA!$C$3:$V$3,0)),"?"))</f>
        <v/>
      </c>
      <c r="R66" s="15">
        <f>IF(OR($V66="",$P66=""),"",IFERROR(INDEX(LAMINA_HORA!$W$5:$AP$114,MATCH($V66,LAMINA_HORA!$A$5:$A$114,0),MATCH($P66,LAMINA_HORA!$W$3:$AP$3,0)),"?"))</f>
        <v/>
      </c>
      <c r="S66" s="16">
        <f>IF($I66="PENDENTE","Definir Kc/classe",IF($I66="(nao plantado)","Aguardar plantio",IF($N66="","-",IF($N66&gt;=TURNO,"IRRIGAR",IF($N66&gt;=TURNO*FRAC_ACOMP,"Acompanhar","Aguardar")))))</f>
        <v/>
      </c>
      <c r="T66" s="16">
        <f>IF(OR($N66="",$N66=0),"-",IF($N66&gt;=2*TURNO,"Alta",IF($N66&gt;=TURNO,"Media","Baixa")))</f>
        <v/>
      </c>
      <c r="U66" s="17" t="inlineStr">
        <is>
          <t>SOJA_MEDIA</t>
        </is>
      </c>
      <c r="V66" s="8" t="inlineStr">
        <is>
          <t>P36</t>
        </is>
      </c>
    </row>
    <row r="67">
      <c r="A67" s="6" t="inlineStr">
        <is>
          <t>Pivô 37</t>
        </is>
      </c>
      <c r="B67" s="6" t="inlineStr">
        <is>
          <t>R8</t>
        </is>
      </c>
      <c r="C67" s="6" t="inlineStr">
        <is>
          <t>SOJA</t>
        </is>
      </c>
      <c r="D67" s="7" t="inlineStr">
        <is>
          <t>COMPLETA IPRO</t>
        </is>
      </c>
      <c r="E67" s="8" t="inlineStr">
        <is>
          <t>MEDIA</t>
        </is>
      </c>
      <c r="F67" s="9" t="n">
        <v>72</v>
      </c>
      <c r="G67" s="10" t="n">
        <v>46304</v>
      </c>
      <c r="H67" s="11">
        <f>IF($G67="","",IF($G67&gt;DATA_REF,"",DATA_REF-$G67))</f>
        <v/>
      </c>
      <c r="I67" s="12">
        <f>IF($U67="","PENDENTE",IF($H67="","(nao plantado)",IFERROR(INDEX(CURVAS_KC!$B$5:$I$224,MATCH(MIN(MAX($H67,1),220),CURVAS_KC!$A$5:$A$224,0),MATCH($U67,CURVAS_KC!$B$4:$I$4,0)),"PENDENTE")))</f>
        <v/>
      </c>
      <c r="J67" s="13">
        <f>IF($G67="","",$G67)</f>
        <v/>
      </c>
      <c r="K67" s="14">
        <f>IF($J67="","",SUMIFS(ETO_DIARIO!$B$5:$B$404,ETO_DIARIO!$A$5:$A$404,"&gt;"&amp;$J67,ETO_DIARIO!$A$5:$A$404,"&lt;="&amp;DATA_REF))</f>
        <v/>
      </c>
      <c r="L67" s="14">
        <f>IF($J67="","",SUMIFS(ETO_DIARIO!$C$5:$C$404,ETO_DIARIO!$A$5:$A$404,"&gt;"&amp;$J67,ETO_DIARIO!$A$5:$A$404,"&lt;="&amp;DATA_REF))</f>
        <v/>
      </c>
      <c r="M67" s="14">
        <f>IF(OR($I67="",$I67="PENDENTE",$I67="(nao plantado)",$K67=""),"",$I67*$K67)</f>
        <v/>
      </c>
      <c r="N67" s="14">
        <f>IF($M67="","",MAX(0,$M67-N($L67)))</f>
        <v/>
      </c>
      <c r="O67" s="14">
        <f>IF($N67="","",$N67/EF_APLIC)</f>
        <v/>
      </c>
      <c r="P67" s="8" t="n"/>
      <c r="Q67" s="15">
        <f>IF(OR($V67="",$P67=""),"",IFERROR(INDEX(LAMINA_HORA!$C$5:$V$114,MATCH($V67,LAMINA_HORA!$A$5:$A$114,0),MATCH($P67,LAMINA_HORA!$C$3:$V$3,0)),"?"))</f>
        <v/>
      </c>
      <c r="R67" s="15">
        <f>IF(OR($V67="",$P67=""),"",IFERROR(INDEX(LAMINA_HORA!$W$5:$AP$114,MATCH($V67,LAMINA_HORA!$A$5:$A$114,0),MATCH($P67,LAMINA_HORA!$W$3:$AP$3,0)),"?"))</f>
        <v/>
      </c>
      <c r="S67" s="16">
        <f>IF($I67="PENDENTE","Definir Kc/classe",IF($I67="(nao plantado)","Aguardar plantio",IF($N67="","-",IF($N67&gt;=TURNO,"IRRIGAR",IF($N67&gt;=TURNO*FRAC_ACOMP,"Acompanhar","Aguardar")))))</f>
        <v/>
      </c>
      <c r="T67" s="16">
        <f>IF(OR($N67="",$N67=0),"-",IF($N67&gt;=2*TURNO,"Alta",IF($N67&gt;=TURNO,"Media","Baixa")))</f>
        <v/>
      </c>
      <c r="U67" s="17" t="inlineStr">
        <is>
          <t>SOJA_MEDIA</t>
        </is>
      </c>
      <c r="V67" s="8" t="inlineStr">
        <is>
          <t>P37</t>
        </is>
      </c>
    </row>
    <row r="68">
      <c r="A68" s="6" t="inlineStr">
        <is>
          <t>Pivô 38</t>
        </is>
      </c>
      <c r="B68" s="6" t="inlineStr">
        <is>
          <t>R8</t>
        </is>
      </c>
      <c r="C68" s="6" t="inlineStr">
        <is>
          <t>SOJA</t>
        </is>
      </c>
      <c r="D68" s="7" t="inlineStr">
        <is>
          <t>COMPLETA IPRO</t>
        </is>
      </c>
      <c r="E68" s="8" t="inlineStr">
        <is>
          <t>MEDIA</t>
        </is>
      </c>
      <c r="F68" s="9" t="n">
        <v>141</v>
      </c>
      <c r="G68" s="10" t="n">
        <v>46304</v>
      </c>
      <c r="H68" s="11">
        <f>IF($G68="","",IF($G68&gt;DATA_REF,"",DATA_REF-$G68))</f>
        <v/>
      </c>
      <c r="I68" s="12">
        <f>IF($U68="","PENDENTE",IF($H68="","(nao plantado)",IFERROR(INDEX(CURVAS_KC!$B$5:$I$224,MATCH(MIN(MAX($H68,1),220),CURVAS_KC!$A$5:$A$224,0),MATCH($U68,CURVAS_KC!$B$4:$I$4,0)),"PENDENTE")))</f>
        <v/>
      </c>
      <c r="J68" s="13">
        <f>IF($G68="","",$G68)</f>
        <v/>
      </c>
      <c r="K68" s="14">
        <f>IF($J68="","",SUMIFS(ETO_DIARIO!$B$5:$B$404,ETO_DIARIO!$A$5:$A$404,"&gt;"&amp;$J68,ETO_DIARIO!$A$5:$A$404,"&lt;="&amp;DATA_REF))</f>
        <v/>
      </c>
      <c r="L68" s="14">
        <f>IF($J68="","",SUMIFS(ETO_DIARIO!$C$5:$C$404,ETO_DIARIO!$A$5:$A$404,"&gt;"&amp;$J68,ETO_DIARIO!$A$5:$A$404,"&lt;="&amp;DATA_REF))</f>
        <v/>
      </c>
      <c r="M68" s="14">
        <f>IF(OR($I68="",$I68="PENDENTE",$I68="(nao plantado)",$K68=""),"",$I68*$K68)</f>
        <v/>
      </c>
      <c r="N68" s="14">
        <f>IF($M68="","",MAX(0,$M68-N($L68)))</f>
        <v/>
      </c>
      <c r="O68" s="14">
        <f>IF($N68="","",$N68/EF_APLIC)</f>
        <v/>
      </c>
      <c r="P68" s="8" t="n"/>
      <c r="Q68" s="15">
        <f>IF(OR($V68="",$P68=""),"",IFERROR(INDEX(LAMINA_HORA!$C$5:$V$114,MATCH($V68,LAMINA_HORA!$A$5:$A$114,0),MATCH($P68,LAMINA_HORA!$C$3:$V$3,0)),"?"))</f>
        <v/>
      </c>
      <c r="R68" s="15">
        <f>IF(OR($V68="",$P68=""),"",IFERROR(INDEX(LAMINA_HORA!$W$5:$AP$114,MATCH($V68,LAMINA_HORA!$A$5:$A$114,0),MATCH($P68,LAMINA_HORA!$W$3:$AP$3,0)),"?"))</f>
        <v/>
      </c>
      <c r="S68" s="16">
        <f>IF($I68="PENDENTE","Definir Kc/classe",IF($I68="(nao plantado)","Aguardar plantio",IF($N68="","-",IF($N68&gt;=TURNO,"IRRIGAR",IF($N68&gt;=TURNO*FRAC_ACOMP,"Acompanhar","Aguardar")))))</f>
        <v/>
      </c>
      <c r="T68" s="16">
        <f>IF(OR($N68="",$N68=0),"-",IF($N68&gt;=2*TURNO,"Alta",IF($N68&gt;=TURNO,"Media","Baixa")))</f>
        <v/>
      </c>
      <c r="U68" s="17" t="inlineStr">
        <is>
          <t>SOJA_MEDIA</t>
        </is>
      </c>
      <c r="V68" s="8" t="inlineStr">
        <is>
          <t>P38</t>
        </is>
      </c>
    </row>
    <row r="69">
      <c r="A69" s="6" t="inlineStr">
        <is>
          <t>Pivô 39</t>
        </is>
      </c>
      <c r="B69" s="6" t="inlineStr">
        <is>
          <t>R10</t>
        </is>
      </c>
      <c r="C69" s="6" t="inlineStr">
        <is>
          <t>ALGODÃO</t>
        </is>
      </c>
      <c r="D69" s="7" t="inlineStr">
        <is>
          <t>FM 979 STP/IMA 303 B3XF/DP 2335 B3XF/IMA 712 B3XF/GA 912 B3XF/IMA 497 B3XF</t>
        </is>
      </c>
      <c r="E69" s="8" t="inlineStr">
        <is>
          <t>MEDIO</t>
        </is>
      </c>
      <c r="F69" s="9" t="n">
        <v>100</v>
      </c>
      <c r="G69" s="10" t="n">
        <v>46360</v>
      </c>
      <c r="H69" s="11">
        <f>IF($G69="","",IF($G69&gt;DATA_REF,"",DATA_REF-$G69))</f>
        <v/>
      </c>
      <c r="I69" s="12">
        <f>IF($U69="","PENDENTE",IF($H69="","(nao plantado)",IFERROR(INDEX(CURVAS_KC!$B$5:$I$224,MATCH(MIN(MAX($H69,1),220),CURVAS_KC!$A$5:$A$224,0),MATCH($U69,CURVAS_KC!$B$4:$I$4,0)),"PENDENTE")))</f>
        <v/>
      </c>
      <c r="J69" s="13">
        <f>IF($G69="","",$G69)</f>
        <v/>
      </c>
      <c r="K69" s="14">
        <f>IF($J69="","",SUMIFS(ETO_DIARIO!$B$5:$B$404,ETO_DIARIO!$A$5:$A$404,"&gt;"&amp;$J69,ETO_DIARIO!$A$5:$A$404,"&lt;="&amp;DATA_REF))</f>
        <v/>
      </c>
      <c r="L69" s="14">
        <f>IF($J69="","",SUMIFS(ETO_DIARIO!$C$5:$C$404,ETO_DIARIO!$A$5:$A$404,"&gt;"&amp;$J69,ETO_DIARIO!$A$5:$A$404,"&lt;="&amp;DATA_REF))</f>
        <v/>
      </c>
      <c r="M69" s="14">
        <f>IF(OR($I69="",$I69="PENDENTE",$I69="(nao plantado)",$K69=""),"",$I69*$K69)</f>
        <v/>
      </c>
      <c r="N69" s="14">
        <f>IF($M69="","",MAX(0,$M69-N($L69)))</f>
        <v/>
      </c>
      <c r="O69" s="14">
        <f>IF($N69="","",$N69/EF_APLIC)</f>
        <v/>
      </c>
      <c r="P69" s="8" t="n"/>
      <c r="Q69" s="15">
        <f>IF(OR($V69="",$P69=""),"",IFERROR(INDEX(LAMINA_HORA!$C$5:$V$114,MATCH($V69,LAMINA_HORA!$A$5:$A$114,0),MATCH($P69,LAMINA_HORA!$C$3:$V$3,0)),"?"))</f>
        <v/>
      </c>
      <c r="R69" s="15">
        <f>IF(OR($V69="",$P69=""),"",IFERROR(INDEX(LAMINA_HORA!$W$5:$AP$114,MATCH($V69,LAMINA_HORA!$A$5:$A$114,0),MATCH($P69,LAMINA_HORA!$W$3:$AP$3,0)),"?"))</f>
        <v/>
      </c>
      <c r="S69" s="16">
        <f>IF($I69="PENDENTE","Definir Kc/classe",IF($I69="(nao plantado)","Aguardar plantio",IF($N69="","-",IF($N69&gt;=TURNO,"IRRIGAR",IF($N69&gt;=TURNO*FRAC_ACOMP,"Acompanhar","Aguardar")))))</f>
        <v/>
      </c>
      <c r="T69" s="16">
        <f>IF(OR($N69="",$N69=0),"-",IF($N69&gt;=2*TURNO,"Alta",IF($N69&gt;=TURNO,"Media","Baixa")))</f>
        <v/>
      </c>
      <c r="U69" s="17" t="inlineStr">
        <is>
          <t>ALG_MEDIO</t>
        </is>
      </c>
      <c r="V69" s="8" t="inlineStr">
        <is>
          <t>P39</t>
        </is>
      </c>
    </row>
    <row r="70">
      <c r="A70" s="6" t="inlineStr">
        <is>
          <t>Pivô 40</t>
        </is>
      </c>
      <c r="B70" s="6" t="inlineStr">
        <is>
          <t>R10</t>
        </is>
      </c>
      <c r="C70" s="6" t="inlineStr">
        <is>
          <t>SOJA</t>
        </is>
      </c>
      <c r="D70" s="7" t="inlineStr">
        <is>
          <t>BMX Olimpo IPRO</t>
        </is>
      </c>
      <c r="E70" s="8" t="inlineStr">
        <is>
          <t>MEDIA</t>
        </is>
      </c>
      <c r="F70" s="9" t="n">
        <v>150</v>
      </c>
      <c r="G70" s="10" t="n">
        <v>46305</v>
      </c>
      <c r="H70" s="11">
        <f>IF($G70="","",IF($G70&gt;DATA_REF,"",DATA_REF-$G70))</f>
        <v/>
      </c>
      <c r="I70" s="12">
        <f>IF($U70="","PENDENTE",IF($H70="","(nao plantado)",IFERROR(INDEX(CURVAS_KC!$B$5:$I$224,MATCH(MIN(MAX($H70,1),220),CURVAS_KC!$A$5:$A$224,0),MATCH($U70,CURVAS_KC!$B$4:$I$4,0)),"PENDENTE")))</f>
        <v/>
      </c>
      <c r="J70" s="13">
        <f>IF($G70="","",$G70)</f>
        <v/>
      </c>
      <c r="K70" s="14">
        <f>IF($J70="","",SUMIFS(ETO_DIARIO!$B$5:$B$404,ETO_DIARIO!$A$5:$A$404,"&gt;"&amp;$J70,ETO_DIARIO!$A$5:$A$404,"&lt;="&amp;DATA_REF))</f>
        <v/>
      </c>
      <c r="L70" s="14">
        <f>IF($J70="","",SUMIFS(ETO_DIARIO!$C$5:$C$404,ETO_DIARIO!$A$5:$A$404,"&gt;"&amp;$J70,ETO_DIARIO!$A$5:$A$404,"&lt;="&amp;DATA_REF))</f>
        <v/>
      </c>
      <c r="M70" s="14">
        <f>IF(OR($I70="",$I70="PENDENTE",$I70="(nao plantado)",$K70=""),"",$I70*$K70)</f>
        <v/>
      </c>
      <c r="N70" s="14">
        <f>IF($M70="","",MAX(0,$M70-N($L70)))</f>
        <v/>
      </c>
      <c r="O70" s="14">
        <f>IF($N70="","",$N70/EF_APLIC)</f>
        <v/>
      </c>
      <c r="P70" s="8" t="n"/>
      <c r="Q70" s="15">
        <f>IF(OR($V70="",$P70=""),"",IFERROR(INDEX(LAMINA_HORA!$C$5:$V$114,MATCH($V70,LAMINA_HORA!$A$5:$A$114,0),MATCH($P70,LAMINA_HORA!$C$3:$V$3,0)),"?"))</f>
        <v/>
      </c>
      <c r="R70" s="15">
        <f>IF(OR($V70="",$P70=""),"",IFERROR(INDEX(LAMINA_HORA!$W$5:$AP$114,MATCH($V70,LAMINA_HORA!$A$5:$A$114,0),MATCH($P70,LAMINA_HORA!$W$3:$AP$3,0)),"?"))</f>
        <v/>
      </c>
      <c r="S70" s="16">
        <f>IF($I70="PENDENTE","Definir Kc/classe",IF($I70="(nao plantado)","Aguardar plantio",IF($N70="","-",IF($N70&gt;=TURNO,"IRRIGAR",IF($N70&gt;=TURNO*FRAC_ACOMP,"Acompanhar","Aguardar")))))</f>
        <v/>
      </c>
      <c r="T70" s="16">
        <f>IF(OR($N70="",$N70=0),"-",IF($N70&gt;=2*TURNO,"Alta",IF($N70&gt;=TURNO,"Media","Baixa")))</f>
        <v/>
      </c>
      <c r="U70" s="17" t="inlineStr">
        <is>
          <t>SOJA_MEDIA</t>
        </is>
      </c>
      <c r="V70" s="8" t="inlineStr">
        <is>
          <t>P40</t>
        </is>
      </c>
    </row>
    <row r="71">
      <c r="A71" s="6" t="inlineStr">
        <is>
          <t>Pivô 41</t>
        </is>
      </c>
      <c r="B71" s="6" t="inlineStr">
        <is>
          <t>R9</t>
        </is>
      </c>
      <c r="C71" s="6" t="inlineStr">
        <is>
          <t>SOJA</t>
        </is>
      </c>
      <c r="D71" s="7" t="inlineStr">
        <is>
          <t>NEO 761 I2X</t>
        </is>
      </c>
      <c r="E71" s="8" t="inlineStr">
        <is>
          <t>PRECOCE</t>
        </is>
      </c>
      <c r="F71" s="9" t="n">
        <v>138</v>
      </c>
      <c r="G71" s="10" t="n">
        <v>46305</v>
      </c>
      <c r="H71" s="11">
        <f>IF($G71="","",IF($G71&gt;DATA_REF,"",DATA_REF-$G71))</f>
        <v/>
      </c>
      <c r="I71" s="12">
        <f>IF($U71="","PENDENTE",IF($H71="","(nao plantado)",IFERROR(INDEX(CURVAS_KC!$B$5:$I$224,MATCH(MIN(MAX($H71,1),220),CURVAS_KC!$A$5:$A$224,0),MATCH($U71,CURVAS_KC!$B$4:$I$4,0)),"PENDENTE")))</f>
        <v/>
      </c>
      <c r="J71" s="13">
        <f>IF($G71="","",$G71)</f>
        <v/>
      </c>
      <c r="K71" s="14">
        <f>IF($J71="","",SUMIFS(ETO_DIARIO!$B$5:$B$404,ETO_DIARIO!$A$5:$A$404,"&gt;"&amp;$J71,ETO_DIARIO!$A$5:$A$404,"&lt;="&amp;DATA_REF))</f>
        <v/>
      </c>
      <c r="L71" s="14">
        <f>IF($J71="","",SUMIFS(ETO_DIARIO!$C$5:$C$404,ETO_DIARIO!$A$5:$A$404,"&gt;"&amp;$J71,ETO_DIARIO!$A$5:$A$404,"&lt;="&amp;DATA_REF))</f>
        <v/>
      </c>
      <c r="M71" s="14">
        <f>IF(OR($I71="",$I71="PENDENTE",$I71="(nao plantado)",$K71=""),"",$I71*$K71)</f>
        <v/>
      </c>
      <c r="N71" s="14">
        <f>IF($M71="","",MAX(0,$M71-N($L71)))</f>
        <v/>
      </c>
      <c r="O71" s="14">
        <f>IF($N71="","",$N71/EF_APLIC)</f>
        <v/>
      </c>
      <c r="P71" s="8" t="n"/>
      <c r="Q71" s="15">
        <f>IF(OR($V71="",$P71=""),"",IFERROR(INDEX(LAMINA_HORA!$C$5:$V$114,MATCH($V71,LAMINA_HORA!$A$5:$A$114,0),MATCH($P71,LAMINA_HORA!$C$3:$V$3,0)),"?"))</f>
        <v/>
      </c>
      <c r="R71" s="15">
        <f>IF(OR($V71="",$P71=""),"",IFERROR(INDEX(LAMINA_HORA!$W$5:$AP$114,MATCH($V71,LAMINA_HORA!$A$5:$A$114,0),MATCH($P71,LAMINA_HORA!$W$3:$AP$3,0)),"?"))</f>
        <v/>
      </c>
      <c r="S71" s="16">
        <f>IF($I71="PENDENTE","Definir Kc/classe",IF($I71="(nao plantado)","Aguardar plantio",IF($N71="","-",IF($N71&gt;=TURNO,"IRRIGAR",IF($N71&gt;=TURNO*FRAC_ACOMP,"Acompanhar","Aguardar")))))</f>
        <v/>
      </c>
      <c r="T71" s="16">
        <f>IF(OR($N71="",$N71=0),"-",IF($N71&gt;=2*TURNO,"Alta",IF($N71&gt;=TURNO,"Media","Baixa")))</f>
        <v/>
      </c>
      <c r="U71" s="17" t="inlineStr">
        <is>
          <t>SOJA_PRECOCE</t>
        </is>
      </c>
      <c r="V71" s="8" t="inlineStr">
        <is>
          <t>P41</t>
        </is>
      </c>
    </row>
    <row r="72">
      <c r="A72" s="6" t="inlineStr">
        <is>
          <t>Pivô 42</t>
        </is>
      </c>
      <c r="B72" s="6" t="inlineStr">
        <is>
          <t>R9</t>
        </is>
      </c>
      <c r="C72" s="6" t="inlineStr">
        <is>
          <t>SOJA</t>
        </is>
      </c>
      <c r="D72" s="7" t="inlineStr">
        <is>
          <t>BMX Olimpo IPRO</t>
        </is>
      </c>
      <c r="E72" s="8" t="inlineStr">
        <is>
          <t>MEDIA</t>
        </is>
      </c>
      <c r="F72" s="9" t="n">
        <v>100</v>
      </c>
      <c r="G72" s="10" t="n">
        <v>46307</v>
      </c>
      <c r="H72" s="11">
        <f>IF($G72="","",IF($G72&gt;DATA_REF,"",DATA_REF-$G72))</f>
        <v/>
      </c>
      <c r="I72" s="12">
        <f>IF($U72="","PENDENTE",IF($H72="","(nao plantado)",IFERROR(INDEX(CURVAS_KC!$B$5:$I$224,MATCH(MIN(MAX($H72,1),220),CURVAS_KC!$A$5:$A$224,0),MATCH($U72,CURVAS_KC!$B$4:$I$4,0)),"PENDENTE")))</f>
        <v/>
      </c>
      <c r="J72" s="13">
        <f>IF($G72="","",$G72)</f>
        <v/>
      </c>
      <c r="K72" s="14">
        <f>IF($J72="","",SUMIFS(ETO_DIARIO!$B$5:$B$404,ETO_DIARIO!$A$5:$A$404,"&gt;"&amp;$J72,ETO_DIARIO!$A$5:$A$404,"&lt;="&amp;DATA_REF))</f>
        <v/>
      </c>
      <c r="L72" s="14">
        <f>IF($J72="","",SUMIFS(ETO_DIARIO!$C$5:$C$404,ETO_DIARIO!$A$5:$A$404,"&gt;"&amp;$J72,ETO_DIARIO!$A$5:$A$404,"&lt;="&amp;DATA_REF))</f>
        <v/>
      </c>
      <c r="M72" s="14">
        <f>IF(OR($I72="",$I72="PENDENTE",$I72="(nao plantado)",$K72=""),"",$I72*$K72)</f>
        <v/>
      </c>
      <c r="N72" s="14">
        <f>IF($M72="","",MAX(0,$M72-N($L72)))</f>
        <v/>
      </c>
      <c r="O72" s="14">
        <f>IF($N72="","",$N72/EF_APLIC)</f>
        <v/>
      </c>
      <c r="P72" s="8" t="n"/>
      <c r="Q72" s="15">
        <f>IF(OR($V72="",$P72=""),"",IFERROR(INDEX(LAMINA_HORA!$C$5:$V$114,MATCH($V72,LAMINA_HORA!$A$5:$A$114,0),MATCH($P72,LAMINA_HORA!$C$3:$V$3,0)),"?"))</f>
        <v/>
      </c>
      <c r="R72" s="15">
        <f>IF(OR($V72="",$P72=""),"",IFERROR(INDEX(LAMINA_HORA!$W$5:$AP$114,MATCH($V72,LAMINA_HORA!$A$5:$A$114,0),MATCH($P72,LAMINA_HORA!$W$3:$AP$3,0)),"?"))</f>
        <v/>
      </c>
      <c r="S72" s="16">
        <f>IF($I72="PENDENTE","Definir Kc/classe",IF($I72="(nao plantado)","Aguardar plantio",IF($N72="","-",IF($N72&gt;=TURNO,"IRRIGAR",IF($N72&gt;=TURNO*FRAC_ACOMP,"Acompanhar","Aguardar")))))</f>
        <v/>
      </c>
      <c r="T72" s="16">
        <f>IF(OR($N72="",$N72=0),"-",IF($N72&gt;=2*TURNO,"Alta",IF($N72&gt;=TURNO,"Media","Baixa")))</f>
        <v/>
      </c>
      <c r="U72" s="17" t="inlineStr">
        <is>
          <t>SOJA_MEDIA</t>
        </is>
      </c>
      <c r="V72" s="8" t="inlineStr">
        <is>
          <t>P42</t>
        </is>
      </c>
    </row>
    <row r="73">
      <c r="A73" s="6" t="inlineStr">
        <is>
          <t>Pivô 43</t>
        </is>
      </c>
      <c r="B73" s="6" t="inlineStr">
        <is>
          <t>R9</t>
        </is>
      </c>
      <c r="C73" s="6" t="inlineStr">
        <is>
          <t>SOJA</t>
        </is>
      </c>
      <c r="D73" s="7" t="inlineStr">
        <is>
          <t>NEO 761 I2X</t>
        </is>
      </c>
      <c r="E73" s="8" t="inlineStr">
        <is>
          <t>PRECOCE</t>
        </is>
      </c>
      <c r="F73" s="9" t="n">
        <v>138</v>
      </c>
      <c r="G73" s="10" t="n">
        <v>46307</v>
      </c>
      <c r="H73" s="11">
        <f>IF($G73="","",IF($G73&gt;DATA_REF,"",DATA_REF-$G73))</f>
        <v/>
      </c>
      <c r="I73" s="12">
        <f>IF($U73="","PENDENTE",IF($H73="","(nao plantado)",IFERROR(INDEX(CURVAS_KC!$B$5:$I$224,MATCH(MIN(MAX($H73,1),220),CURVAS_KC!$A$5:$A$224,0),MATCH($U73,CURVAS_KC!$B$4:$I$4,0)),"PENDENTE")))</f>
        <v/>
      </c>
      <c r="J73" s="13">
        <f>IF($G73="","",$G73)</f>
        <v/>
      </c>
      <c r="K73" s="14">
        <f>IF($J73="","",SUMIFS(ETO_DIARIO!$B$5:$B$404,ETO_DIARIO!$A$5:$A$404,"&gt;"&amp;$J73,ETO_DIARIO!$A$5:$A$404,"&lt;="&amp;DATA_REF))</f>
        <v/>
      </c>
      <c r="L73" s="14">
        <f>IF($J73="","",SUMIFS(ETO_DIARIO!$C$5:$C$404,ETO_DIARIO!$A$5:$A$404,"&gt;"&amp;$J73,ETO_DIARIO!$A$5:$A$404,"&lt;="&amp;DATA_REF))</f>
        <v/>
      </c>
      <c r="M73" s="14">
        <f>IF(OR($I73="",$I73="PENDENTE",$I73="(nao plantado)",$K73=""),"",$I73*$K73)</f>
        <v/>
      </c>
      <c r="N73" s="14">
        <f>IF($M73="","",MAX(0,$M73-N($L73)))</f>
        <v/>
      </c>
      <c r="O73" s="14">
        <f>IF($N73="","",$N73/EF_APLIC)</f>
        <v/>
      </c>
      <c r="P73" s="8" t="n"/>
      <c r="Q73" s="15">
        <f>IF(OR($V73="",$P73=""),"",IFERROR(INDEX(LAMINA_HORA!$C$5:$V$114,MATCH($V73,LAMINA_HORA!$A$5:$A$114,0),MATCH($P73,LAMINA_HORA!$C$3:$V$3,0)),"?"))</f>
        <v/>
      </c>
      <c r="R73" s="15">
        <f>IF(OR($V73="",$P73=""),"",IFERROR(INDEX(LAMINA_HORA!$W$5:$AP$114,MATCH($V73,LAMINA_HORA!$A$5:$A$114,0),MATCH($P73,LAMINA_HORA!$W$3:$AP$3,0)),"?"))</f>
        <v/>
      </c>
      <c r="S73" s="16">
        <f>IF($I73="PENDENTE","Definir Kc/classe",IF($I73="(nao plantado)","Aguardar plantio",IF($N73="","-",IF($N73&gt;=TURNO,"IRRIGAR",IF($N73&gt;=TURNO*FRAC_ACOMP,"Acompanhar","Aguardar")))))</f>
        <v/>
      </c>
      <c r="T73" s="16">
        <f>IF(OR($N73="",$N73=0),"-",IF($N73&gt;=2*TURNO,"Alta",IF($N73&gt;=TURNO,"Media","Baixa")))</f>
        <v/>
      </c>
      <c r="U73" s="17" t="inlineStr">
        <is>
          <t>SOJA_PRECOCE</t>
        </is>
      </c>
      <c r="V73" s="8" t="inlineStr">
        <is>
          <t>P43</t>
        </is>
      </c>
    </row>
    <row r="74">
      <c r="A74" s="6" t="inlineStr">
        <is>
          <t>Pivô 45</t>
        </is>
      </c>
      <c r="B74" s="6" t="inlineStr">
        <is>
          <t>R11</t>
        </is>
      </c>
      <c r="C74" s="6" t="inlineStr">
        <is>
          <t>SOJA</t>
        </is>
      </c>
      <c r="D74" s="7" t="inlineStr">
        <is>
          <t>CZ 58B10 I2X</t>
        </is>
      </c>
      <c r="E74" s="8" t="inlineStr">
        <is>
          <t>MEDIA</t>
        </is>
      </c>
      <c r="F74" s="9" t="n">
        <v>123</v>
      </c>
      <c r="G74" s="10" t="n">
        <v>46338</v>
      </c>
      <c r="H74" s="11">
        <f>IF($G74="","",IF($G74&gt;DATA_REF,"",DATA_REF-$G74))</f>
        <v/>
      </c>
      <c r="I74" s="12">
        <f>IF($U74="","PENDENTE",IF($H74="","(nao plantado)",IFERROR(INDEX(CURVAS_KC!$B$5:$I$224,MATCH(MIN(MAX($H74,1),220),CURVAS_KC!$A$5:$A$224,0),MATCH($U74,CURVAS_KC!$B$4:$I$4,0)),"PENDENTE")))</f>
        <v/>
      </c>
      <c r="J74" s="13">
        <f>IF($G74="","",$G74)</f>
        <v/>
      </c>
      <c r="K74" s="14">
        <f>IF($J74="","",SUMIFS(ETO_DIARIO!$B$5:$B$404,ETO_DIARIO!$A$5:$A$404,"&gt;"&amp;$J74,ETO_DIARIO!$A$5:$A$404,"&lt;="&amp;DATA_REF))</f>
        <v/>
      </c>
      <c r="L74" s="14">
        <f>IF($J74="","",SUMIFS(ETO_DIARIO!$C$5:$C$404,ETO_DIARIO!$A$5:$A$404,"&gt;"&amp;$J74,ETO_DIARIO!$A$5:$A$404,"&lt;="&amp;DATA_REF))</f>
        <v/>
      </c>
      <c r="M74" s="14">
        <f>IF(OR($I74="",$I74="PENDENTE",$I74="(nao plantado)",$K74=""),"",$I74*$K74)</f>
        <v/>
      </c>
      <c r="N74" s="14">
        <f>IF($M74="","",MAX(0,$M74-N($L74)))</f>
        <v/>
      </c>
      <c r="O74" s="14">
        <f>IF($N74="","",$N74/EF_APLIC)</f>
        <v/>
      </c>
      <c r="P74" s="8" t="n"/>
      <c r="Q74" s="15">
        <f>IF(OR($V74="",$P74=""),"",IFERROR(INDEX(LAMINA_HORA!$C$5:$V$114,MATCH($V74,LAMINA_HORA!$A$5:$A$114,0),MATCH($P74,LAMINA_HORA!$C$3:$V$3,0)),"?"))</f>
        <v/>
      </c>
      <c r="R74" s="15">
        <f>IF(OR($V74="",$P74=""),"",IFERROR(INDEX(LAMINA_HORA!$W$5:$AP$114,MATCH($V74,LAMINA_HORA!$A$5:$A$114,0),MATCH($P74,LAMINA_HORA!$W$3:$AP$3,0)),"?"))</f>
        <v/>
      </c>
      <c r="S74" s="16">
        <f>IF($I74="PENDENTE","Definir Kc/classe",IF($I74="(nao plantado)","Aguardar plantio",IF($N74="","-",IF($N74&gt;=TURNO,"IRRIGAR",IF($N74&gt;=TURNO*FRAC_ACOMP,"Acompanhar","Aguardar")))))</f>
        <v/>
      </c>
      <c r="T74" s="16">
        <f>IF(OR($N74="",$N74=0),"-",IF($N74&gt;=2*TURNO,"Alta",IF($N74&gt;=TURNO,"Media","Baixa")))</f>
        <v/>
      </c>
      <c r="U74" s="17" t="inlineStr">
        <is>
          <t>SOJA_MEDIA</t>
        </is>
      </c>
      <c r="V74" s="8" t="inlineStr">
        <is>
          <t>P45</t>
        </is>
      </c>
    </row>
    <row r="75">
      <c r="A75" s="6" t="inlineStr">
        <is>
          <t>Pivô 46</t>
        </is>
      </c>
      <c r="B75" s="6" t="inlineStr">
        <is>
          <t>R11</t>
        </is>
      </c>
      <c r="C75" s="6" t="inlineStr">
        <is>
          <t>SOJA</t>
        </is>
      </c>
      <c r="D75" s="7" t="inlineStr">
        <is>
          <t>M8434 12X</t>
        </is>
      </c>
      <c r="E75" s="8" t="inlineStr">
        <is>
          <t>MEDIA</t>
        </is>
      </c>
      <c r="F75" s="9" t="n">
        <v>160</v>
      </c>
      <c r="G75" s="10" t="n">
        <v>46331</v>
      </c>
      <c r="H75" s="11">
        <f>IF($G75="","",IF($G75&gt;DATA_REF,"",DATA_REF-$G75))</f>
        <v/>
      </c>
      <c r="I75" s="12">
        <f>IF($U75="","PENDENTE",IF($H75="","(nao plantado)",IFERROR(INDEX(CURVAS_KC!$B$5:$I$224,MATCH(MIN(MAX($H75,1),220),CURVAS_KC!$A$5:$A$224,0),MATCH($U75,CURVAS_KC!$B$4:$I$4,0)),"PENDENTE")))</f>
        <v/>
      </c>
      <c r="J75" s="13">
        <f>IF($G75="","",$G75)</f>
        <v/>
      </c>
      <c r="K75" s="14">
        <f>IF($J75="","",SUMIFS(ETO_DIARIO!$B$5:$B$404,ETO_DIARIO!$A$5:$A$404,"&gt;"&amp;$J75,ETO_DIARIO!$A$5:$A$404,"&lt;="&amp;DATA_REF))</f>
        <v/>
      </c>
      <c r="L75" s="14">
        <f>IF($J75="","",SUMIFS(ETO_DIARIO!$C$5:$C$404,ETO_DIARIO!$A$5:$A$404,"&gt;"&amp;$J75,ETO_DIARIO!$A$5:$A$404,"&lt;="&amp;DATA_REF))</f>
        <v/>
      </c>
      <c r="M75" s="14">
        <f>IF(OR($I75="",$I75="PENDENTE",$I75="(nao plantado)",$K75=""),"",$I75*$K75)</f>
        <v/>
      </c>
      <c r="N75" s="14">
        <f>IF($M75="","",MAX(0,$M75-N($L75)))</f>
        <v/>
      </c>
      <c r="O75" s="14">
        <f>IF($N75="","",$N75/EF_APLIC)</f>
        <v/>
      </c>
      <c r="P75" s="8" t="n"/>
      <c r="Q75" s="15">
        <f>IF(OR($V75="",$P75=""),"",IFERROR(INDEX(LAMINA_HORA!$C$5:$V$114,MATCH($V75,LAMINA_HORA!$A$5:$A$114,0),MATCH($P75,LAMINA_HORA!$C$3:$V$3,0)),"?"))</f>
        <v/>
      </c>
      <c r="R75" s="15">
        <f>IF(OR($V75="",$P75=""),"",IFERROR(INDEX(LAMINA_HORA!$W$5:$AP$114,MATCH($V75,LAMINA_HORA!$A$5:$A$114,0),MATCH($P75,LAMINA_HORA!$W$3:$AP$3,0)),"?"))</f>
        <v/>
      </c>
      <c r="S75" s="16">
        <f>IF($I75="PENDENTE","Definir Kc/classe",IF($I75="(nao plantado)","Aguardar plantio",IF($N75="","-",IF($N75&gt;=TURNO,"IRRIGAR",IF($N75&gt;=TURNO*FRAC_ACOMP,"Acompanhar","Aguardar")))))</f>
        <v/>
      </c>
      <c r="T75" s="16">
        <f>IF(OR($N75="",$N75=0),"-",IF($N75&gt;=2*TURNO,"Alta",IF($N75&gt;=TURNO,"Media","Baixa")))</f>
        <v/>
      </c>
      <c r="U75" s="17" t="inlineStr">
        <is>
          <t>SOJA_MEDIA</t>
        </is>
      </c>
      <c r="V75" s="8" t="inlineStr">
        <is>
          <t>P46</t>
        </is>
      </c>
    </row>
    <row r="76">
      <c r="A76" s="6" t="inlineStr">
        <is>
          <t>Pivô 47</t>
        </is>
      </c>
      <c r="B76" s="6" t="inlineStr">
        <is>
          <t>R11</t>
        </is>
      </c>
      <c r="C76" s="6" t="inlineStr">
        <is>
          <t>SOJA</t>
        </is>
      </c>
      <c r="D76" s="7" t="inlineStr">
        <is>
          <t>M8434 12X</t>
        </is>
      </c>
      <c r="E76" s="8" t="inlineStr">
        <is>
          <t>MEDIA</t>
        </is>
      </c>
      <c r="F76" s="9" t="n">
        <v>160</v>
      </c>
      <c r="G76" s="10" t="n">
        <v>46312</v>
      </c>
      <c r="H76" s="11">
        <f>IF($G76="","",IF($G76&gt;DATA_REF,"",DATA_REF-$G76))</f>
        <v/>
      </c>
      <c r="I76" s="12">
        <f>IF($U76="","PENDENTE",IF($H76="","(nao plantado)",IFERROR(INDEX(CURVAS_KC!$B$5:$I$224,MATCH(MIN(MAX($H76,1),220),CURVAS_KC!$A$5:$A$224,0),MATCH($U76,CURVAS_KC!$B$4:$I$4,0)),"PENDENTE")))</f>
        <v/>
      </c>
      <c r="J76" s="13">
        <f>IF($G76="","",$G76)</f>
        <v/>
      </c>
      <c r="K76" s="14">
        <f>IF($J76="","",SUMIFS(ETO_DIARIO!$B$5:$B$404,ETO_DIARIO!$A$5:$A$404,"&gt;"&amp;$J76,ETO_DIARIO!$A$5:$A$404,"&lt;="&amp;DATA_REF))</f>
        <v/>
      </c>
      <c r="L76" s="14">
        <f>IF($J76="","",SUMIFS(ETO_DIARIO!$C$5:$C$404,ETO_DIARIO!$A$5:$A$404,"&gt;"&amp;$J76,ETO_DIARIO!$A$5:$A$404,"&lt;="&amp;DATA_REF))</f>
        <v/>
      </c>
      <c r="M76" s="14">
        <f>IF(OR($I76="",$I76="PENDENTE",$I76="(nao plantado)",$K76=""),"",$I76*$K76)</f>
        <v/>
      </c>
      <c r="N76" s="14">
        <f>IF($M76="","",MAX(0,$M76-N($L76)))</f>
        <v/>
      </c>
      <c r="O76" s="14">
        <f>IF($N76="","",$N76/EF_APLIC)</f>
        <v/>
      </c>
      <c r="P76" s="8" t="n"/>
      <c r="Q76" s="15">
        <f>IF(OR($V76="",$P76=""),"",IFERROR(INDEX(LAMINA_HORA!$C$5:$V$114,MATCH($V76,LAMINA_HORA!$A$5:$A$114,0),MATCH($P76,LAMINA_HORA!$C$3:$V$3,0)),"?"))</f>
        <v/>
      </c>
      <c r="R76" s="15">
        <f>IF(OR($V76="",$P76=""),"",IFERROR(INDEX(LAMINA_HORA!$W$5:$AP$114,MATCH($V76,LAMINA_HORA!$A$5:$A$114,0),MATCH($P76,LAMINA_HORA!$W$3:$AP$3,0)),"?"))</f>
        <v/>
      </c>
      <c r="S76" s="16">
        <f>IF($I76="PENDENTE","Definir Kc/classe",IF($I76="(nao plantado)","Aguardar plantio",IF($N76="","-",IF($N76&gt;=TURNO,"IRRIGAR",IF($N76&gt;=TURNO*FRAC_ACOMP,"Acompanhar","Aguardar")))))</f>
        <v/>
      </c>
      <c r="T76" s="16">
        <f>IF(OR($N76="",$N76=0),"-",IF($N76&gt;=2*TURNO,"Alta",IF($N76&gt;=TURNO,"Media","Baixa")))</f>
        <v/>
      </c>
      <c r="U76" s="17" t="inlineStr">
        <is>
          <t>SOJA_MEDIA</t>
        </is>
      </c>
      <c r="V76" s="8" t="inlineStr">
        <is>
          <t>P47</t>
        </is>
      </c>
    </row>
    <row r="77">
      <c r="A77" s="6" t="inlineStr">
        <is>
          <t>Pivô 48</t>
        </is>
      </c>
      <c r="B77" s="6" t="inlineStr">
        <is>
          <t>R11</t>
        </is>
      </c>
      <c r="C77" s="6" t="inlineStr">
        <is>
          <t>SOJA</t>
        </is>
      </c>
      <c r="D77" s="7" t="inlineStr">
        <is>
          <t>M8434 12X</t>
        </is>
      </c>
      <c r="E77" s="8" t="inlineStr">
        <is>
          <t>MEDIA</t>
        </is>
      </c>
      <c r="F77" s="9" t="n">
        <v>160</v>
      </c>
      <c r="G77" s="10" t="n">
        <v>46314</v>
      </c>
      <c r="H77" s="11">
        <f>IF($G77="","",IF($G77&gt;DATA_REF,"",DATA_REF-$G77))</f>
        <v/>
      </c>
      <c r="I77" s="12">
        <f>IF($U77="","PENDENTE",IF($H77="","(nao plantado)",IFERROR(INDEX(CURVAS_KC!$B$5:$I$224,MATCH(MIN(MAX($H77,1),220),CURVAS_KC!$A$5:$A$224,0),MATCH($U77,CURVAS_KC!$B$4:$I$4,0)),"PENDENTE")))</f>
        <v/>
      </c>
      <c r="J77" s="13">
        <f>IF($G77="","",$G77)</f>
        <v/>
      </c>
      <c r="K77" s="14">
        <f>IF($J77="","",SUMIFS(ETO_DIARIO!$B$5:$B$404,ETO_DIARIO!$A$5:$A$404,"&gt;"&amp;$J77,ETO_DIARIO!$A$5:$A$404,"&lt;="&amp;DATA_REF))</f>
        <v/>
      </c>
      <c r="L77" s="14">
        <f>IF($J77="","",SUMIFS(ETO_DIARIO!$C$5:$C$404,ETO_DIARIO!$A$5:$A$404,"&gt;"&amp;$J77,ETO_DIARIO!$A$5:$A$404,"&lt;="&amp;DATA_REF))</f>
        <v/>
      </c>
      <c r="M77" s="14">
        <f>IF(OR($I77="",$I77="PENDENTE",$I77="(nao plantado)",$K77=""),"",$I77*$K77)</f>
        <v/>
      </c>
      <c r="N77" s="14">
        <f>IF($M77="","",MAX(0,$M77-N($L77)))</f>
        <v/>
      </c>
      <c r="O77" s="14">
        <f>IF($N77="","",$N77/EF_APLIC)</f>
        <v/>
      </c>
      <c r="P77" s="8" t="n"/>
      <c r="Q77" s="15">
        <f>IF(OR($V77="",$P77=""),"",IFERROR(INDEX(LAMINA_HORA!$C$5:$V$114,MATCH($V77,LAMINA_HORA!$A$5:$A$114,0),MATCH($P77,LAMINA_HORA!$C$3:$V$3,0)),"?"))</f>
        <v/>
      </c>
      <c r="R77" s="15">
        <f>IF(OR($V77="",$P77=""),"",IFERROR(INDEX(LAMINA_HORA!$W$5:$AP$114,MATCH($V77,LAMINA_HORA!$A$5:$A$114,0),MATCH($P77,LAMINA_HORA!$W$3:$AP$3,0)),"?"))</f>
        <v/>
      </c>
      <c r="S77" s="16">
        <f>IF($I77="PENDENTE","Definir Kc/classe",IF($I77="(nao plantado)","Aguardar plantio",IF($N77="","-",IF($N77&gt;=TURNO,"IRRIGAR",IF($N77&gt;=TURNO*FRAC_ACOMP,"Acompanhar","Aguardar")))))</f>
        <v/>
      </c>
      <c r="T77" s="16">
        <f>IF(OR($N77="",$N77=0),"-",IF($N77&gt;=2*TURNO,"Alta",IF($N77&gt;=TURNO,"Media","Baixa")))</f>
        <v/>
      </c>
      <c r="U77" s="17" t="inlineStr">
        <is>
          <t>SOJA_MEDIA</t>
        </is>
      </c>
      <c r="V77" s="8" t="inlineStr">
        <is>
          <t>P48</t>
        </is>
      </c>
    </row>
    <row r="78">
      <c r="A78" s="6" t="inlineStr">
        <is>
          <t>Pivô 49</t>
        </is>
      </c>
      <c r="B78" s="6" t="inlineStr">
        <is>
          <t>R11</t>
        </is>
      </c>
      <c r="C78" s="6" t="inlineStr">
        <is>
          <t>SOJA</t>
        </is>
      </c>
      <c r="D78" s="7" t="inlineStr">
        <is>
          <t>M8434 12X</t>
        </is>
      </c>
      <c r="E78" s="8" t="inlineStr">
        <is>
          <t>MEDIA</t>
        </is>
      </c>
      <c r="F78" s="9" t="n">
        <v>125</v>
      </c>
      <c r="G78" s="10" t="n">
        <v>46314</v>
      </c>
      <c r="H78" s="11">
        <f>IF($G78="","",IF($G78&gt;DATA_REF,"",DATA_REF-$G78))</f>
        <v/>
      </c>
      <c r="I78" s="12">
        <f>IF($U78="","PENDENTE",IF($H78="","(nao plantado)",IFERROR(INDEX(CURVAS_KC!$B$5:$I$224,MATCH(MIN(MAX($H78,1),220),CURVAS_KC!$A$5:$A$224,0),MATCH($U78,CURVAS_KC!$B$4:$I$4,0)),"PENDENTE")))</f>
        <v/>
      </c>
      <c r="J78" s="13">
        <f>IF($G78="","",$G78)</f>
        <v/>
      </c>
      <c r="K78" s="14">
        <f>IF($J78="","",SUMIFS(ETO_DIARIO!$B$5:$B$404,ETO_DIARIO!$A$5:$A$404,"&gt;"&amp;$J78,ETO_DIARIO!$A$5:$A$404,"&lt;="&amp;DATA_REF))</f>
        <v/>
      </c>
      <c r="L78" s="14">
        <f>IF($J78="","",SUMIFS(ETO_DIARIO!$C$5:$C$404,ETO_DIARIO!$A$5:$A$404,"&gt;"&amp;$J78,ETO_DIARIO!$A$5:$A$404,"&lt;="&amp;DATA_REF))</f>
        <v/>
      </c>
      <c r="M78" s="14">
        <f>IF(OR($I78="",$I78="PENDENTE",$I78="(nao plantado)",$K78=""),"",$I78*$K78)</f>
        <v/>
      </c>
      <c r="N78" s="14">
        <f>IF($M78="","",MAX(0,$M78-N($L78)))</f>
        <v/>
      </c>
      <c r="O78" s="14">
        <f>IF($N78="","",$N78/EF_APLIC)</f>
        <v/>
      </c>
      <c r="P78" s="8" t="n"/>
      <c r="Q78" s="15">
        <f>IF(OR($V78="",$P78=""),"",IFERROR(INDEX(LAMINA_HORA!$C$5:$V$114,MATCH($V78,LAMINA_HORA!$A$5:$A$114,0),MATCH($P78,LAMINA_HORA!$C$3:$V$3,0)),"?"))</f>
        <v/>
      </c>
      <c r="R78" s="15">
        <f>IF(OR($V78="",$P78=""),"",IFERROR(INDEX(LAMINA_HORA!$W$5:$AP$114,MATCH($V78,LAMINA_HORA!$A$5:$A$114,0),MATCH($P78,LAMINA_HORA!$W$3:$AP$3,0)),"?"))</f>
        <v/>
      </c>
      <c r="S78" s="16">
        <f>IF($I78="PENDENTE","Definir Kc/classe",IF($I78="(nao plantado)","Aguardar plantio",IF($N78="","-",IF($N78&gt;=TURNO,"IRRIGAR",IF($N78&gt;=TURNO*FRAC_ACOMP,"Acompanhar","Aguardar")))))</f>
        <v/>
      </c>
      <c r="T78" s="16">
        <f>IF(OR($N78="",$N78=0),"-",IF($N78&gt;=2*TURNO,"Alta",IF($N78&gt;=TURNO,"Media","Baixa")))</f>
        <v/>
      </c>
      <c r="U78" s="17" t="inlineStr">
        <is>
          <t>SOJA_MEDIA</t>
        </is>
      </c>
      <c r="V78" s="8" t="inlineStr">
        <is>
          <t>P49</t>
        </is>
      </c>
    </row>
    <row r="79">
      <c r="A79" s="6" t="inlineStr">
        <is>
          <t>Pivô 52</t>
        </is>
      </c>
      <c r="B79" s="6" t="inlineStr">
        <is>
          <t>R12</t>
        </is>
      </c>
      <c r="C79" s="6" t="inlineStr">
        <is>
          <t>SOJA</t>
        </is>
      </c>
      <c r="D79" s="7" t="inlineStr">
        <is>
          <t>M8434 12X</t>
        </is>
      </c>
      <c r="E79" s="8" t="inlineStr">
        <is>
          <t>MEDIA</t>
        </is>
      </c>
      <c r="F79" s="9" t="n">
        <v>160</v>
      </c>
      <c r="G79" s="10" t="n">
        <v>46331</v>
      </c>
      <c r="H79" s="11">
        <f>IF($G79="","",IF($G79&gt;DATA_REF,"",DATA_REF-$G79))</f>
        <v/>
      </c>
      <c r="I79" s="12">
        <f>IF($U79="","PENDENTE",IF($H79="","(nao plantado)",IFERROR(INDEX(CURVAS_KC!$B$5:$I$224,MATCH(MIN(MAX($H79,1),220),CURVAS_KC!$A$5:$A$224,0),MATCH($U79,CURVAS_KC!$B$4:$I$4,0)),"PENDENTE")))</f>
        <v/>
      </c>
      <c r="J79" s="13">
        <f>IF($G79="","",$G79)</f>
        <v/>
      </c>
      <c r="K79" s="14">
        <f>IF($J79="","",SUMIFS(ETO_DIARIO!$B$5:$B$404,ETO_DIARIO!$A$5:$A$404,"&gt;"&amp;$J79,ETO_DIARIO!$A$5:$A$404,"&lt;="&amp;DATA_REF))</f>
        <v/>
      </c>
      <c r="L79" s="14">
        <f>IF($J79="","",SUMIFS(ETO_DIARIO!$C$5:$C$404,ETO_DIARIO!$A$5:$A$404,"&gt;"&amp;$J79,ETO_DIARIO!$A$5:$A$404,"&lt;="&amp;DATA_REF))</f>
        <v/>
      </c>
      <c r="M79" s="14">
        <f>IF(OR($I79="",$I79="PENDENTE",$I79="(nao plantado)",$K79=""),"",$I79*$K79)</f>
        <v/>
      </c>
      <c r="N79" s="14">
        <f>IF($M79="","",MAX(0,$M79-N($L79)))</f>
        <v/>
      </c>
      <c r="O79" s="14">
        <f>IF($N79="","",$N79/EF_APLIC)</f>
        <v/>
      </c>
      <c r="P79" s="8" t="n"/>
      <c r="Q79" s="15">
        <f>IF(OR($V79="",$P79=""),"",IFERROR(INDEX(LAMINA_HORA!$C$5:$V$114,MATCH($V79,LAMINA_HORA!$A$5:$A$114,0),MATCH($P79,LAMINA_HORA!$C$3:$V$3,0)),"?"))</f>
        <v/>
      </c>
      <c r="R79" s="15">
        <f>IF(OR($V79="",$P79=""),"",IFERROR(INDEX(LAMINA_HORA!$W$5:$AP$114,MATCH($V79,LAMINA_HORA!$A$5:$A$114,0),MATCH($P79,LAMINA_HORA!$W$3:$AP$3,0)),"?"))</f>
        <v/>
      </c>
      <c r="S79" s="16">
        <f>IF($I79="PENDENTE","Definir Kc/classe",IF($I79="(nao plantado)","Aguardar plantio",IF($N79="","-",IF($N79&gt;=TURNO,"IRRIGAR",IF($N79&gt;=TURNO*FRAC_ACOMP,"Acompanhar","Aguardar")))))</f>
        <v/>
      </c>
      <c r="T79" s="16">
        <f>IF(OR($N79="",$N79=0),"-",IF($N79&gt;=2*TURNO,"Alta",IF($N79&gt;=TURNO,"Media","Baixa")))</f>
        <v/>
      </c>
      <c r="U79" s="17" t="inlineStr">
        <is>
          <t>SOJA_MEDIA</t>
        </is>
      </c>
      <c r="V79" s="8" t="inlineStr">
        <is>
          <t>P52</t>
        </is>
      </c>
    </row>
    <row r="80">
      <c r="A80" s="6" t="inlineStr">
        <is>
          <t>Pivô 73</t>
        </is>
      </c>
      <c r="B80" s="6" t="inlineStr">
        <is>
          <t>R12</t>
        </is>
      </c>
      <c r="C80" s="6" t="inlineStr">
        <is>
          <t>SOJA</t>
        </is>
      </c>
      <c r="D80" s="7" t="inlineStr">
        <is>
          <t>ATAQUE I2X</t>
        </is>
      </c>
      <c r="E80" s="8" t="inlineStr">
        <is>
          <t>TARDIA</t>
        </is>
      </c>
      <c r="F80" s="9" t="n">
        <v>160</v>
      </c>
      <c r="G80" s="10" t="n">
        <v>46296</v>
      </c>
      <c r="H80" s="11">
        <f>IF($G80="","",IF($G80&gt;DATA_REF,"",DATA_REF-$G80))</f>
        <v/>
      </c>
      <c r="I80" s="12">
        <f>IF($U80="","PENDENTE",IF($H80="","(nao plantado)",IFERROR(INDEX(CURVAS_KC!$B$5:$I$224,MATCH(MIN(MAX($H80,1),220),CURVAS_KC!$A$5:$A$224,0),MATCH($U80,CURVAS_KC!$B$4:$I$4,0)),"PENDENTE")))</f>
        <v/>
      </c>
      <c r="J80" s="13">
        <f>IF($G80="","",$G80)</f>
        <v/>
      </c>
      <c r="K80" s="14">
        <f>IF($J80="","",SUMIFS(ETO_DIARIO!$B$5:$B$404,ETO_DIARIO!$A$5:$A$404,"&gt;"&amp;$J80,ETO_DIARIO!$A$5:$A$404,"&lt;="&amp;DATA_REF))</f>
        <v/>
      </c>
      <c r="L80" s="14">
        <f>IF($J80="","",SUMIFS(ETO_DIARIO!$C$5:$C$404,ETO_DIARIO!$A$5:$A$404,"&gt;"&amp;$J80,ETO_DIARIO!$A$5:$A$404,"&lt;="&amp;DATA_REF))</f>
        <v/>
      </c>
      <c r="M80" s="14">
        <f>IF(OR($I80="",$I80="PENDENTE",$I80="(nao plantado)",$K80=""),"",$I80*$K80)</f>
        <v/>
      </c>
      <c r="N80" s="14">
        <f>IF($M80="","",MAX(0,$M80-N($L80)))</f>
        <v/>
      </c>
      <c r="O80" s="14">
        <f>IF($N80="","",$N80/EF_APLIC)</f>
        <v/>
      </c>
      <c r="P80" s="8" t="n"/>
      <c r="Q80" s="15">
        <f>IF(OR($V80="",$P80=""),"",IFERROR(INDEX(LAMINA_HORA!$C$5:$V$114,MATCH($V80,LAMINA_HORA!$A$5:$A$114,0),MATCH($P80,LAMINA_HORA!$C$3:$V$3,0)),"?"))</f>
        <v/>
      </c>
      <c r="R80" s="15">
        <f>IF(OR($V80="",$P80=""),"",IFERROR(INDEX(LAMINA_HORA!$W$5:$AP$114,MATCH($V80,LAMINA_HORA!$A$5:$A$114,0),MATCH($P80,LAMINA_HORA!$W$3:$AP$3,0)),"?"))</f>
        <v/>
      </c>
      <c r="S80" s="16">
        <f>IF($I80="PENDENTE","Definir Kc/classe",IF($I80="(nao plantado)","Aguardar plantio",IF($N80="","-",IF($N80&gt;=TURNO,"IRRIGAR",IF($N80&gt;=TURNO*FRAC_ACOMP,"Acompanhar","Aguardar")))))</f>
        <v/>
      </c>
      <c r="T80" s="16">
        <f>IF(OR($N80="",$N80=0),"-",IF($N80&gt;=2*TURNO,"Alta",IF($N80&gt;=TURNO,"Media","Baixa")))</f>
        <v/>
      </c>
      <c r="U80" s="17" t="inlineStr">
        <is>
          <t>SOJA_TARDIA</t>
        </is>
      </c>
      <c r="V80" s="8" t="inlineStr">
        <is>
          <t>P73</t>
        </is>
      </c>
    </row>
    <row r="81">
      <c r="A81" s="6" t="inlineStr">
        <is>
          <t>Pivô 74</t>
        </is>
      </c>
      <c r="B81" s="6" t="inlineStr">
        <is>
          <t>R12</t>
        </is>
      </c>
      <c r="C81" s="6" t="inlineStr">
        <is>
          <t>ALGODÃO</t>
        </is>
      </c>
      <c r="D81" s="7" t="inlineStr">
        <is>
          <t>IMA 5901 B2RF</t>
        </is>
      </c>
      <c r="E81" s="8" t="inlineStr">
        <is>
          <t>MEDIO</t>
        </is>
      </c>
      <c r="F81" s="9" t="n">
        <v>160</v>
      </c>
      <c r="G81" s="10" t="n">
        <v>46411</v>
      </c>
      <c r="H81" s="11">
        <f>IF($G81="","",IF($G81&gt;DATA_REF,"",DATA_REF-$G81))</f>
        <v/>
      </c>
      <c r="I81" s="12">
        <f>IF($U81="","PENDENTE",IF($H81="","(nao plantado)",IFERROR(INDEX(CURVAS_KC!$B$5:$I$224,MATCH(MIN(MAX($H81,1),220),CURVAS_KC!$A$5:$A$224,0),MATCH($U81,CURVAS_KC!$B$4:$I$4,0)),"PENDENTE")))</f>
        <v/>
      </c>
      <c r="J81" s="13">
        <f>IF($G81="","",$G81)</f>
        <v/>
      </c>
      <c r="K81" s="14">
        <f>IF($J81="","",SUMIFS(ETO_DIARIO!$B$5:$B$404,ETO_DIARIO!$A$5:$A$404,"&gt;"&amp;$J81,ETO_DIARIO!$A$5:$A$404,"&lt;="&amp;DATA_REF))</f>
        <v/>
      </c>
      <c r="L81" s="14">
        <f>IF($J81="","",SUMIFS(ETO_DIARIO!$C$5:$C$404,ETO_DIARIO!$A$5:$A$404,"&gt;"&amp;$J81,ETO_DIARIO!$A$5:$A$404,"&lt;="&amp;DATA_REF))</f>
        <v/>
      </c>
      <c r="M81" s="14">
        <f>IF(OR($I81="",$I81="PENDENTE",$I81="(nao plantado)",$K81=""),"",$I81*$K81)</f>
        <v/>
      </c>
      <c r="N81" s="14">
        <f>IF($M81="","",MAX(0,$M81-N($L81)))</f>
        <v/>
      </c>
      <c r="O81" s="14">
        <f>IF($N81="","",$N81/EF_APLIC)</f>
        <v/>
      </c>
      <c r="P81" s="8" t="n"/>
      <c r="Q81" s="15">
        <f>IF(OR($V81="",$P81=""),"",IFERROR(INDEX(LAMINA_HORA!$C$5:$V$114,MATCH($V81,LAMINA_HORA!$A$5:$A$114,0),MATCH($P81,LAMINA_HORA!$C$3:$V$3,0)),"?"))</f>
        <v/>
      </c>
      <c r="R81" s="15">
        <f>IF(OR($V81="",$P81=""),"",IFERROR(INDEX(LAMINA_HORA!$W$5:$AP$114,MATCH($V81,LAMINA_HORA!$A$5:$A$114,0),MATCH($P81,LAMINA_HORA!$W$3:$AP$3,0)),"?"))</f>
        <v/>
      </c>
      <c r="S81" s="16">
        <f>IF($I81="PENDENTE","Definir Kc/classe",IF($I81="(nao plantado)","Aguardar plantio",IF($N81="","-",IF($N81&gt;=TURNO,"IRRIGAR",IF($N81&gt;=TURNO*FRAC_ACOMP,"Acompanhar","Aguardar")))))</f>
        <v/>
      </c>
      <c r="T81" s="16">
        <f>IF(OR($N81="",$N81=0),"-",IF($N81&gt;=2*TURNO,"Alta",IF($N81&gt;=TURNO,"Media","Baixa")))</f>
        <v/>
      </c>
      <c r="U81" s="17" t="inlineStr">
        <is>
          <t>ALG_MEDIO</t>
        </is>
      </c>
      <c r="V81" s="8" t="inlineStr">
        <is>
          <t>P74</t>
        </is>
      </c>
    </row>
    <row r="83">
      <c r="A83" s="5" t="inlineStr">
        <is>
          <t>Modulo 3  -  22 pivos</t>
        </is>
      </c>
    </row>
    <row r="84">
      <c r="A84" s="6" t="inlineStr">
        <is>
          <t>Pivô 44</t>
        </is>
      </c>
      <c r="B84" s="6" t="inlineStr">
        <is>
          <t>R13</t>
        </is>
      </c>
      <c r="C84" s="6" t="inlineStr">
        <is>
          <t>SOJA</t>
        </is>
      </c>
      <c r="D84" s="7" t="inlineStr">
        <is>
          <t>NEO 761 I2X</t>
        </is>
      </c>
      <c r="E84" s="8" t="inlineStr">
        <is>
          <t>PRECOCE</t>
        </is>
      </c>
      <c r="F84" s="9" t="n">
        <v>75</v>
      </c>
      <c r="G84" s="10" t="n">
        <v>46296</v>
      </c>
      <c r="H84" s="11">
        <f>IF($G84="","",IF($G84&gt;DATA_REF,"",DATA_REF-$G84))</f>
        <v/>
      </c>
      <c r="I84" s="12">
        <f>IF($U84="","PENDENTE",IF($H84="","(nao plantado)",IFERROR(INDEX(CURVAS_KC!$B$5:$I$224,MATCH(MIN(MAX($H84,1),220),CURVAS_KC!$A$5:$A$224,0),MATCH($U84,CURVAS_KC!$B$4:$I$4,0)),"PENDENTE")))</f>
        <v/>
      </c>
      <c r="J84" s="13">
        <f>IF($G84="","",$G84)</f>
        <v/>
      </c>
      <c r="K84" s="14">
        <f>IF($J84="","",SUMIFS(ETO_DIARIO!$B$5:$B$404,ETO_DIARIO!$A$5:$A$404,"&gt;"&amp;$J84,ETO_DIARIO!$A$5:$A$404,"&lt;="&amp;DATA_REF))</f>
        <v/>
      </c>
      <c r="L84" s="14">
        <f>IF($J84="","",SUMIFS(ETO_DIARIO!$C$5:$C$404,ETO_DIARIO!$A$5:$A$404,"&gt;"&amp;$J84,ETO_DIARIO!$A$5:$A$404,"&lt;="&amp;DATA_REF))</f>
        <v/>
      </c>
      <c r="M84" s="14">
        <f>IF(OR($I84="",$I84="PENDENTE",$I84="(nao plantado)",$K84=""),"",$I84*$K84)</f>
        <v/>
      </c>
      <c r="N84" s="14">
        <f>IF($M84="","",MAX(0,$M84-N($L84)))</f>
        <v/>
      </c>
      <c r="O84" s="14">
        <f>IF($N84="","",$N84/EF_APLIC)</f>
        <v/>
      </c>
      <c r="P84" s="8" t="n"/>
      <c r="Q84" s="15">
        <f>IF(OR($V84="",$P84=""),"",IFERROR(INDEX(LAMINA_HORA!$C$5:$V$114,MATCH($V84,LAMINA_HORA!$A$5:$A$114,0),MATCH($P84,LAMINA_HORA!$C$3:$V$3,0)),"?"))</f>
        <v/>
      </c>
      <c r="R84" s="15">
        <f>IF(OR($V84="",$P84=""),"",IFERROR(INDEX(LAMINA_HORA!$W$5:$AP$114,MATCH($V84,LAMINA_HORA!$A$5:$A$114,0),MATCH($P84,LAMINA_HORA!$W$3:$AP$3,0)),"?"))</f>
        <v/>
      </c>
      <c r="S84" s="16">
        <f>IF($I84="PENDENTE","Definir Kc/classe",IF($I84="(nao plantado)","Aguardar plantio",IF($N84="","-",IF($N84&gt;=TURNO,"IRRIGAR",IF($N84&gt;=TURNO*FRAC_ACOMP,"Acompanhar","Aguardar")))))</f>
        <v/>
      </c>
      <c r="T84" s="16">
        <f>IF(OR($N84="",$N84=0),"-",IF($N84&gt;=2*TURNO,"Alta",IF($N84&gt;=TURNO,"Media","Baixa")))</f>
        <v/>
      </c>
      <c r="U84" s="17" t="inlineStr">
        <is>
          <t>SOJA_PRECOCE</t>
        </is>
      </c>
      <c r="V84" s="8" t="inlineStr">
        <is>
          <t>P44</t>
        </is>
      </c>
    </row>
    <row r="85">
      <c r="A85" s="6" t="inlineStr">
        <is>
          <t>Pivô 50</t>
        </is>
      </c>
      <c r="B85" s="6" t="inlineStr">
        <is>
          <t>R14</t>
        </is>
      </c>
      <c r="C85" s="6" t="inlineStr">
        <is>
          <t>SOJA</t>
        </is>
      </c>
      <c r="D85" s="7" t="inlineStr">
        <is>
          <t>CZ 48B18 IPRO</t>
        </is>
      </c>
      <c r="E85" s="8" t="inlineStr">
        <is>
          <t>MEDIA</t>
        </is>
      </c>
      <c r="F85" s="9" t="n">
        <v>120</v>
      </c>
      <c r="G85" s="10" t="n">
        <v>46352</v>
      </c>
      <c r="H85" s="11">
        <f>IF($G85="","",IF($G85&gt;DATA_REF,"",DATA_REF-$G85))</f>
        <v/>
      </c>
      <c r="I85" s="12">
        <f>IF($U85="","PENDENTE",IF($H85="","(nao plantado)",IFERROR(INDEX(CURVAS_KC!$B$5:$I$224,MATCH(MIN(MAX($H85,1),220),CURVAS_KC!$A$5:$A$224,0),MATCH($U85,CURVAS_KC!$B$4:$I$4,0)),"PENDENTE")))</f>
        <v/>
      </c>
      <c r="J85" s="13">
        <f>IF($G85="","",$G85)</f>
        <v/>
      </c>
      <c r="K85" s="14">
        <f>IF($J85="","",SUMIFS(ETO_DIARIO!$B$5:$B$404,ETO_DIARIO!$A$5:$A$404,"&gt;"&amp;$J85,ETO_DIARIO!$A$5:$A$404,"&lt;="&amp;DATA_REF))</f>
        <v/>
      </c>
      <c r="L85" s="14">
        <f>IF($J85="","",SUMIFS(ETO_DIARIO!$C$5:$C$404,ETO_DIARIO!$A$5:$A$404,"&gt;"&amp;$J85,ETO_DIARIO!$A$5:$A$404,"&lt;="&amp;DATA_REF))</f>
        <v/>
      </c>
      <c r="M85" s="14">
        <f>IF(OR($I85="",$I85="PENDENTE",$I85="(nao plantado)",$K85=""),"",$I85*$K85)</f>
        <v/>
      </c>
      <c r="N85" s="14">
        <f>IF($M85="","",MAX(0,$M85-N($L85)))</f>
        <v/>
      </c>
      <c r="O85" s="14">
        <f>IF($N85="","",$N85/EF_APLIC)</f>
        <v/>
      </c>
      <c r="P85" s="8" t="n"/>
      <c r="Q85" s="15">
        <f>IF(OR($V85="",$P85=""),"",IFERROR(INDEX(LAMINA_HORA!$C$5:$V$114,MATCH($V85,LAMINA_HORA!$A$5:$A$114,0),MATCH($P85,LAMINA_HORA!$C$3:$V$3,0)),"?"))</f>
        <v/>
      </c>
      <c r="R85" s="15">
        <f>IF(OR($V85="",$P85=""),"",IFERROR(INDEX(LAMINA_HORA!$W$5:$AP$114,MATCH($V85,LAMINA_HORA!$A$5:$A$114,0),MATCH($P85,LAMINA_HORA!$W$3:$AP$3,0)),"?"))</f>
        <v/>
      </c>
      <c r="S85" s="16">
        <f>IF($I85="PENDENTE","Definir Kc/classe",IF($I85="(nao plantado)","Aguardar plantio",IF($N85="","-",IF($N85&gt;=TURNO,"IRRIGAR",IF($N85&gt;=TURNO*FRAC_ACOMP,"Acompanhar","Aguardar")))))</f>
        <v/>
      </c>
      <c r="T85" s="16">
        <f>IF(OR($N85="",$N85=0),"-",IF($N85&gt;=2*TURNO,"Alta",IF($N85&gt;=TURNO,"Media","Baixa")))</f>
        <v/>
      </c>
      <c r="U85" s="17" t="inlineStr">
        <is>
          <t>SOJA_MEDIA</t>
        </is>
      </c>
      <c r="V85" s="8" t="inlineStr">
        <is>
          <t>P50</t>
        </is>
      </c>
    </row>
    <row r="86">
      <c r="A86" s="6" t="inlineStr">
        <is>
          <t>Pivô 51</t>
        </is>
      </c>
      <c r="B86" s="6" t="inlineStr">
        <is>
          <t>R14</t>
        </is>
      </c>
      <c r="C86" s="6" t="inlineStr">
        <is>
          <t>SOJA</t>
        </is>
      </c>
      <c r="D86" s="7" t="inlineStr">
        <is>
          <t>CZ 48B18 IPRO</t>
        </is>
      </c>
      <c r="E86" s="8" t="inlineStr">
        <is>
          <t>MEDIA</t>
        </is>
      </c>
      <c r="F86" s="9" t="n">
        <v>120</v>
      </c>
      <c r="G86" s="10" t="n">
        <v>46316</v>
      </c>
      <c r="H86" s="11">
        <f>IF($G86="","",IF($G86&gt;DATA_REF,"",DATA_REF-$G86))</f>
        <v/>
      </c>
      <c r="I86" s="12">
        <f>IF($U86="","PENDENTE",IF($H86="","(nao plantado)",IFERROR(INDEX(CURVAS_KC!$B$5:$I$224,MATCH(MIN(MAX($H86,1),220),CURVAS_KC!$A$5:$A$224,0),MATCH($U86,CURVAS_KC!$B$4:$I$4,0)),"PENDENTE")))</f>
        <v/>
      </c>
      <c r="J86" s="13">
        <f>IF($G86="","",$G86)</f>
        <v/>
      </c>
      <c r="K86" s="14">
        <f>IF($J86="","",SUMIFS(ETO_DIARIO!$B$5:$B$404,ETO_DIARIO!$A$5:$A$404,"&gt;"&amp;$J86,ETO_DIARIO!$A$5:$A$404,"&lt;="&amp;DATA_REF))</f>
        <v/>
      </c>
      <c r="L86" s="14">
        <f>IF($J86="","",SUMIFS(ETO_DIARIO!$C$5:$C$404,ETO_DIARIO!$A$5:$A$404,"&gt;"&amp;$J86,ETO_DIARIO!$A$5:$A$404,"&lt;="&amp;DATA_REF))</f>
        <v/>
      </c>
      <c r="M86" s="14">
        <f>IF(OR($I86="",$I86="PENDENTE",$I86="(nao plantado)",$K86=""),"",$I86*$K86)</f>
        <v/>
      </c>
      <c r="N86" s="14">
        <f>IF($M86="","",MAX(0,$M86-N($L86)))</f>
        <v/>
      </c>
      <c r="O86" s="14">
        <f>IF($N86="","",$N86/EF_APLIC)</f>
        <v/>
      </c>
      <c r="P86" s="8" t="n"/>
      <c r="Q86" s="15">
        <f>IF(OR($V86="",$P86=""),"",IFERROR(INDEX(LAMINA_HORA!$C$5:$V$114,MATCH($V86,LAMINA_HORA!$A$5:$A$114,0),MATCH($P86,LAMINA_HORA!$C$3:$V$3,0)),"?"))</f>
        <v/>
      </c>
      <c r="R86" s="15">
        <f>IF(OR($V86="",$P86=""),"",IFERROR(INDEX(LAMINA_HORA!$W$5:$AP$114,MATCH($V86,LAMINA_HORA!$A$5:$A$114,0),MATCH($P86,LAMINA_HORA!$W$3:$AP$3,0)),"?"))</f>
        <v/>
      </c>
      <c r="S86" s="16">
        <f>IF($I86="PENDENTE","Definir Kc/classe",IF($I86="(nao plantado)","Aguardar plantio",IF($N86="","-",IF($N86&gt;=TURNO,"IRRIGAR",IF($N86&gt;=TURNO*FRAC_ACOMP,"Acompanhar","Aguardar")))))</f>
        <v/>
      </c>
      <c r="T86" s="16">
        <f>IF(OR($N86="",$N86=0),"-",IF($N86&gt;=2*TURNO,"Alta",IF($N86&gt;=TURNO,"Media","Baixa")))</f>
        <v/>
      </c>
      <c r="U86" s="17" t="inlineStr">
        <is>
          <t>SOJA_MEDIA</t>
        </is>
      </c>
      <c r="V86" s="8" t="inlineStr">
        <is>
          <t>P51</t>
        </is>
      </c>
    </row>
    <row r="87">
      <c r="A87" s="6" t="inlineStr">
        <is>
          <t>Pivô 53</t>
        </is>
      </c>
      <c r="B87" s="6" t="inlineStr">
        <is>
          <t>R13</t>
        </is>
      </c>
      <c r="C87" s="6" t="inlineStr">
        <is>
          <t>SOJA</t>
        </is>
      </c>
      <c r="D87" s="7" t="inlineStr">
        <is>
          <t>CZ 48B18 IPRO</t>
        </is>
      </c>
      <c r="E87" s="8" t="inlineStr">
        <is>
          <t>MEDIA</t>
        </is>
      </c>
      <c r="F87" s="9" t="n">
        <v>75</v>
      </c>
      <c r="G87" s="10" t="n">
        <v>46317</v>
      </c>
      <c r="H87" s="11">
        <f>IF($G87="","",IF($G87&gt;DATA_REF,"",DATA_REF-$G87))</f>
        <v/>
      </c>
      <c r="I87" s="12">
        <f>IF($U87="","PENDENTE",IF($H87="","(nao plantado)",IFERROR(INDEX(CURVAS_KC!$B$5:$I$224,MATCH(MIN(MAX($H87,1),220),CURVAS_KC!$A$5:$A$224,0),MATCH($U87,CURVAS_KC!$B$4:$I$4,0)),"PENDENTE")))</f>
        <v/>
      </c>
      <c r="J87" s="13">
        <f>IF($G87="","",$G87)</f>
        <v/>
      </c>
      <c r="K87" s="14">
        <f>IF($J87="","",SUMIFS(ETO_DIARIO!$B$5:$B$404,ETO_DIARIO!$A$5:$A$404,"&gt;"&amp;$J87,ETO_DIARIO!$A$5:$A$404,"&lt;="&amp;DATA_REF))</f>
        <v/>
      </c>
      <c r="L87" s="14">
        <f>IF($J87="","",SUMIFS(ETO_DIARIO!$C$5:$C$404,ETO_DIARIO!$A$5:$A$404,"&gt;"&amp;$J87,ETO_DIARIO!$A$5:$A$404,"&lt;="&amp;DATA_REF))</f>
        <v/>
      </c>
      <c r="M87" s="14">
        <f>IF(OR($I87="",$I87="PENDENTE",$I87="(nao plantado)",$K87=""),"",$I87*$K87)</f>
        <v/>
      </c>
      <c r="N87" s="14">
        <f>IF($M87="","",MAX(0,$M87-N($L87)))</f>
        <v/>
      </c>
      <c r="O87" s="14">
        <f>IF($N87="","",$N87/EF_APLIC)</f>
        <v/>
      </c>
      <c r="P87" s="8" t="n"/>
      <c r="Q87" s="15">
        <f>IF(OR($V87="",$P87=""),"",IFERROR(INDEX(LAMINA_HORA!$C$5:$V$114,MATCH($V87,LAMINA_HORA!$A$5:$A$114,0),MATCH($P87,LAMINA_HORA!$C$3:$V$3,0)),"?"))</f>
        <v/>
      </c>
      <c r="R87" s="15">
        <f>IF(OR($V87="",$P87=""),"",IFERROR(INDEX(LAMINA_HORA!$W$5:$AP$114,MATCH($V87,LAMINA_HORA!$A$5:$A$114,0),MATCH($P87,LAMINA_HORA!$W$3:$AP$3,0)),"?"))</f>
        <v/>
      </c>
      <c r="S87" s="16">
        <f>IF($I87="PENDENTE","Definir Kc/classe",IF($I87="(nao plantado)","Aguardar plantio",IF($N87="","-",IF($N87&gt;=TURNO,"IRRIGAR",IF($N87&gt;=TURNO*FRAC_ACOMP,"Acompanhar","Aguardar")))))</f>
        <v/>
      </c>
      <c r="T87" s="16">
        <f>IF(OR($N87="",$N87=0),"-",IF($N87&gt;=2*TURNO,"Alta",IF($N87&gt;=TURNO,"Media","Baixa")))</f>
        <v/>
      </c>
      <c r="U87" s="17" t="inlineStr">
        <is>
          <t>SOJA_MEDIA</t>
        </is>
      </c>
      <c r="V87" s="8" t="inlineStr">
        <is>
          <t>P53</t>
        </is>
      </c>
    </row>
    <row r="88">
      <c r="A88" s="6" t="inlineStr">
        <is>
          <t>Pivô 54</t>
        </is>
      </c>
      <c r="B88" s="6" t="inlineStr">
        <is>
          <t>R13</t>
        </is>
      </c>
      <c r="C88" s="6" t="inlineStr">
        <is>
          <t>SOJA</t>
        </is>
      </c>
      <c r="D88" s="7" t="inlineStr">
        <is>
          <t>CZ 48B18 IPRO</t>
        </is>
      </c>
      <c r="E88" s="8" t="inlineStr">
        <is>
          <t>MEDIA</t>
        </is>
      </c>
      <c r="F88" s="9" t="n">
        <v>120</v>
      </c>
      <c r="G88" s="10" t="n">
        <v>46316</v>
      </c>
      <c r="H88" s="11">
        <f>IF($G88="","",IF($G88&gt;DATA_REF,"",DATA_REF-$G88))</f>
        <v/>
      </c>
      <c r="I88" s="12">
        <f>IF($U88="","PENDENTE",IF($H88="","(nao plantado)",IFERROR(INDEX(CURVAS_KC!$B$5:$I$224,MATCH(MIN(MAX($H88,1),220),CURVAS_KC!$A$5:$A$224,0),MATCH($U88,CURVAS_KC!$B$4:$I$4,0)),"PENDENTE")))</f>
        <v/>
      </c>
      <c r="J88" s="13">
        <f>IF($G88="","",$G88)</f>
        <v/>
      </c>
      <c r="K88" s="14">
        <f>IF($J88="","",SUMIFS(ETO_DIARIO!$B$5:$B$404,ETO_DIARIO!$A$5:$A$404,"&gt;"&amp;$J88,ETO_DIARIO!$A$5:$A$404,"&lt;="&amp;DATA_REF))</f>
        <v/>
      </c>
      <c r="L88" s="14">
        <f>IF($J88="","",SUMIFS(ETO_DIARIO!$C$5:$C$404,ETO_DIARIO!$A$5:$A$404,"&gt;"&amp;$J88,ETO_DIARIO!$A$5:$A$404,"&lt;="&amp;DATA_REF))</f>
        <v/>
      </c>
      <c r="M88" s="14">
        <f>IF(OR($I88="",$I88="PENDENTE",$I88="(nao plantado)",$K88=""),"",$I88*$K88)</f>
        <v/>
      </c>
      <c r="N88" s="14">
        <f>IF($M88="","",MAX(0,$M88-N($L88)))</f>
        <v/>
      </c>
      <c r="O88" s="14">
        <f>IF($N88="","",$N88/EF_APLIC)</f>
        <v/>
      </c>
      <c r="P88" s="8" t="n"/>
      <c r="Q88" s="15">
        <f>IF(OR($V88="",$P88=""),"",IFERROR(INDEX(LAMINA_HORA!$C$5:$V$114,MATCH($V88,LAMINA_HORA!$A$5:$A$114,0),MATCH($P88,LAMINA_HORA!$C$3:$V$3,0)),"?"))</f>
        <v/>
      </c>
      <c r="R88" s="15">
        <f>IF(OR($V88="",$P88=""),"",IFERROR(INDEX(LAMINA_HORA!$W$5:$AP$114,MATCH($V88,LAMINA_HORA!$A$5:$A$114,0),MATCH($P88,LAMINA_HORA!$W$3:$AP$3,0)),"?"))</f>
        <v/>
      </c>
      <c r="S88" s="16">
        <f>IF($I88="PENDENTE","Definir Kc/classe",IF($I88="(nao plantado)","Aguardar plantio",IF($N88="","-",IF($N88&gt;=TURNO,"IRRIGAR",IF($N88&gt;=TURNO*FRAC_ACOMP,"Acompanhar","Aguardar")))))</f>
        <v/>
      </c>
      <c r="T88" s="16">
        <f>IF(OR($N88="",$N88=0),"-",IF($N88&gt;=2*TURNO,"Alta",IF($N88&gt;=TURNO,"Media","Baixa")))</f>
        <v/>
      </c>
      <c r="U88" s="17" t="inlineStr">
        <is>
          <t>SOJA_MEDIA</t>
        </is>
      </c>
      <c r="V88" s="8" t="inlineStr">
        <is>
          <t>P54</t>
        </is>
      </c>
    </row>
    <row r="89">
      <c r="A89" s="6" t="inlineStr">
        <is>
          <t>Pivô 55</t>
        </is>
      </c>
      <c r="B89" s="6" t="inlineStr">
        <is>
          <t>R13</t>
        </is>
      </c>
      <c r="C89" s="6" t="inlineStr">
        <is>
          <t>SOJA</t>
        </is>
      </c>
      <c r="D89" s="7" t="inlineStr">
        <is>
          <t>CZ 48B18 IPRO</t>
        </is>
      </c>
      <c r="E89" s="8" t="inlineStr">
        <is>
          <t>MEDIA</t>
        </is>
      </c>
      <c r="F89" s="9" t="n">
        <v>150</v>
      </c>
      <c r="G89" s="10" t="n">
        <v>46318</v>
      </c>
      <c r="H89" s="11">
        <f>IF($G89="","",IF($G89&gt;DATA_REF,"",DATA_REF-$G89))</f>
        <v/>
      </c>
      <c r="I89" s="12">
        <f>IF($U89="","PENDENTE",IF($H89="","(nao plantado)",IFERROR(INDEX(CURVAS_KC!$B$5:$I$224,MATCH(MIN(MAX($H89,1),220),CURVAS_KC!$A$5:$A$224,0),MATCH($U89,CURVAS_KC!$B$4:$I$4,0)),"PENDENTE")))</f>
        <v/>
      </c>
      <c r="J89" s="13">
        <f>IF($G89="","",$G89)</f>
        <v/>
      </c>
      <c r="K89" s="14">
        <f>IF($J89="","",SUMIFS(ETO_DIARIO!$B$5:$B$404,ETO_DIARIO!$A$5:$A$404,"&gt;"&amp;$J89,ETO_DIARIO!$A$5:$A$404,"&lt;="&amp;DATA_REF))</f>
        <v/>
      </c>
      <c r="L89" s="14">
        <f>IF($J89="","",SUMIFS(ETO_DIARIO!$C$5:$C$404,ETO_DIARIO!$A$5:$A$404,"&gt;"&amp;$J89,ETO_DIARIO!$A$5:$A$404,"&lt;="&amp;DATA_REF))</f>
        <v/>
      </c>
      <c r="M89" s="14">
        <f>IF(OR($I89="",$I89="PENDENTE",$I89="(nao plantado)",$K89=""),"",$I89*$K89)</f>
        <v/>
      </c>
      <c r="N89" s="14">
        <f>IF($M89="","",MAX(0,$M89-N($L89)))</f>
        <v/>
      </c>
      <c r="O89" s="14">
        <f>IF($N89="","",$N89/EF_APLIC)</f>
        <v/>
      </c>
      <c r="P89" s="8" t="n"/>
      <c r="Q89" s="15">
        <f>IF(OR($V89="",$P89=""),"",IFERROR(INDEX(LAMINA_HORA!$C$5:$V$114,MATCH($V89,LAMINA_HORA!$A$5:$A$114,0),MATCH($P89,LAMINA_HORA!$C$3:$V$3,0)),"?"))</f>
        <v/>
      </c>
      <c r="R89" s="15">
        <f>IF(OR($V89="",$P89=""),"",IFERROR(INDEX(LAMINA_HORA!$W$5:$AP$114,MATCH($V89,LAMINA_HORA!$A$5:$A$114,0),MATCH($P89,LAMINA_HORA!$W$3:$AP$3,0)),"?"))</f>
        <v/>
      </c>
      <c r="S89" s="16">
        <f>IF($I89="PENDENTE","Definir Kc/classe",IF($I89="(nao plantado)","Aguardar plantio",IF($N89="","-",IF($N89&gt;=TURNO,"IRRIGAR",IF($N89&gt;=TURNO*FRAC_ACOMP,"Acompanhar","Aguardar")))))</f>
        <v/>
      </c>
      <c r="T89" s="16">
        <f>IF(OR($N89="",$N89=0),"-",IF($N89&gt;=2*TURNO,"Alta",IF($N89&gt;=TURNO,"Media","Baixa")))</f>
        <v/>
      </c>
      <c r="U89" s="17" t="inlineStr">
        <is>
          <t>SOJA_MEDIA</t>
        </is>
      </c>
      <c r="V89" s="8" t="inlineStr">
        <is>
          <t>P55</t>
        </is>
      </c>
    </row>
    <row r="90">
      <c r="A90" s="6" t="inlineStr">
        <is>
          <t>Pivô 56</t>
        </is>
      </c>
      <c r="B90" s="6" t="inlineStr">
        <is>
          <t>R14</t>
        </is>
      </c>
      <c r="C90" s="6" t="inlineStr">
        <is>
          <t>SOJA</t>
        </is>
      </c>
      <c r="D90" s="7" t="inlineStr">
        <is>
          <t>CZ 48B18 IPRO</t>
        </is>
      </c>
      <c r="E90" s="8" t="inlineStr">
        <is>
          <t>MEDIA</t>
        </is>
      </c>
      <c r="F90" s="9" t="n">
        <v>55</v>
      </c>
      <c r="G90" s="10" t="n">
        <v>46315</v>
      </c>
      <c r="H90" s="11">
        <f>IF($G90="","",IF($G90&gt;DATA_REF,"",DATA_REF-$G90))</f>
        <v/>
      </c>
      <c r="I90" s="12">
        <f>IF($U90="","PENDENTE",IF($H90="","(nao plantado)",IFERROR(INDEX(CURVAS_KC!$B$5:$I$224,MATCH(MIN(MAX($H90,1),220),CURVAS_KC!$A$5:$A$224,0),MATCH($U90,CURVAS_KC!$B$4:$I$4,0)),"PENDENTE")))</f>
        <v/>
      </c>
      <c r="J90" s="13">
        <f>IF($G90="","",$G90)</f>
        <v/>
      </c>
      <c r="K90" s="14">
        <f>IF($J90="","",SUMIFS(ETO_DIARIO!$B$5:$B$404,ETO_DIARIO!$A$5:$A$404,"&gt;"&amp;$J90,ETO_DIARIO!$A$5:$A$404,"&lt;="&amp;DATA_REF))</f>
        <v/>
      </c>
      <c r="L90" s="14">
        <f>IF($J90="","",SUMIFS(ETO_DIARIO!$C$5:$C$404,ETO_DIARIO!$A$5:$A$404,"&gt;"&amp;$J90,ETO_DIARIO!$A$5:$A$404,"&lt;="&amp;DATA_REF))</f>
        <v/>
      </c>
      <c r="M90" s="14">
        <f>IF(OR($I90="",$I90="PENDENTE",$I90="(nao plantado)",$K90=""),"",$I90*$K90)</f>
        <v/>
      </c>
      <c r="N90" s="14">
        <f>IF($M90="","",MAX(0,$M90-N($L90)))</f>
        <v/>
      </c>
      <c r="O90" s="14">
        <f>IF($N90="","",$N90/EF_APLIC)</f>
        <v/>
      </c>
      <c r="P90" s="8" t="n"/>
      <c r="Q90" s="15">
        <f>IF(OR($V90="",$P90=""),"",IFERROR(INDEX(LAMINA_HORA!$C$5:$V$114,MATCH($V90,LAMINA_HORA!$A$5:$A$114,0),MATCH($P90,LAMINA_HORA!$C$3:$V$3,0)),"?"))</f>
        <v/>
      </c>
      <c r="R90" s="15">
        <f>IF(OR($V90="",$P90=""),"",IFERROR(INDEX(LAMINA_HORA!$W$5:$AP$114,MATCH($V90,LAMINA_HORA!$A$5:$A$114,0),MATCH($P90,LAMINA_HORA!$W$3:$AP$3,0)),"?"))</f>
        <v/>
      </c>
      <c r="S90" s="16">
        <f>IF($I90="PENDENTE","Definir Kc/classe",IF($I90="(nao plantado)","Aguardar plantio",IF($N90="","-",IF($N90&gt;=TURNO,"IRRIGAR",IF($N90&gt;=TURNO*FRAC_ACOMP,"Acompanhar","Aguardar")))))</f>
        <v/>
      </c>
      <c r="T90" s="16">
        <f>IF(OR($N90="",$N90=0),"-",IF($N90&gt;=2*TURNO,"Alta",IF($N90&gt;=TURNO,"Media","Baixa")))</f>
        <v/>
      </c>
      <c r="U90" s="17" t="inlineStr">
        <is>
          <t>SOJA_MEDIA</t>
        </is>
      </c>
      <c r="V90" s="8" t="inlineStr">
        <is>
          <t>P56</t>
        </is>
      </c>
    </row>
    <row r="91">
      <c r="A91" s="6" t="inlineStr">
        <is>
          <t>Pivô 57</t>
        </is>
      </c>
      <c r="B91" s="6" t="inlineStr">
        <is>
          <t>R15</t>
        </is>
      </c>
      <c r="C91" s="6" t="inlineStr">
        <is>
          <t>SOJA</t>
        </is>
      </c>
      <c r="D91" s="7" t="inlineStr">
        <is>
          <t>BMX Olimpo IPRO</t>
        </is>
      </c>
      <c r="E91" s="8" t="inlineStr">
        <is>
          <t>MEDIA</t>
        </is>
      </c>
      <c r="F91" s="9" t="n">
        <v>150</v>
      </c>
      <c r="G91" s="10" t="n">
        <v>46354</v>
      </c>
      <c r="H91" s="11">
        <f>IF($G91="","",IF($G91&gt;DATA_REF,"",DATA_REF-$G91))</f>
        <v/>
      </c>
      <c r="I91" s="12">
        <f>IF($U91="","PENDENTE",IF($H91="","(nao plantado)",IFERROR(INDEX(CURVAS_KC!$B$5:$I$224,MATCH(MIN(MAX($H91,1),220),CURVAS_KC!$A$5:$A$224,0),MATCH($U91,CURVAS_KC!$B$4:$I$4,0)),"PENDENTE")))</f>
        <v/>
      </c>
      <c r="J91" s="13">
        <f>IF($G91="","",$G91)</f>
        <v/>
      </c>
      <c r="K91" s="14">
        <f>IF($J91="","",SUMIFS(ETO_DIARIO!$B$5:$B$404,ETO_DIARIO!$A$5:$A$404,"&gt;"&amp;$J91,ETO_DIARIO!$A$5:$A$404,"&lt;="&amp;DATA_REF))</f>
        <v/>
      </c>
      <c r="L91" s="14">
        <f>IF($J91="","",SUMIFS(ETO_DIARIO!$C$5:$C$404,ETO_DIARIO!$A$5:$A$404,"&gt;"&amp;$J91,ETO_DIARIO!$A$5:$A$404,"&lt;="&amp;DATA_REF))</f>
        <v/>
      </c>
      <c r="M91" s="14">
        <f>IF(OR($I91="",$I91="PENDENTE",$I91="(nao plantado)",$K91=""),"",$I91*$K91)</f>
        <v/>
      </c>
      <c r="N91" s="14">
        <f>IF($M91="","",MAX(0,$M91-N($L91)))</f>
        <v/>
      </c>
      <c r="O91" s="14">
        <f>IF($N91="","",$N91/EF_APLIC)</f>
        <v/>
      </c>
      <c r="P91" s="8" t="n"/>
      <c r="Q91" s="15">
        <f>IF(OR($V91="",$P91=""),"",IFERROR(INDEX(LAMINA_HORA!$C$5:$V$114,MATCH($V91,LAMINA_HORA!$A$5:$A$114,0),MATCH($P91,LAMINA_HORA!$C$3:$V$3,0)),"?"))</f>
        <v/>
      </c>
      <c r="R91" s="15">
        <f>IF(OR($V91="",$P91=""),"",IFERROR(INDEX(LAMINA_HORA!$W$5:$AP$114,MATCH($V91,LAMINA_HORA!$A$5:$A$114,0),MATCH($P91,LAMINA_HORA!$W$3:$AP$3,0)),"?"))</f>
        <v/>
      </c>
      <c r="S91" s="16">
        <f>IF($I91="PENDENTE","Definir Kc/classe",IF($I91="(nao plantado)","Aguardar plantio",IF($N91="","-",IF($N91&gt;=TURNO,"IRRIGAR",IF($N91&gt;=TURNO*FRAC_ACOMP,"Acompanhar","Aguardar")))))</f>
        <v/>
      </c>
      <c r="T91" s="16">
        <f>IF(OR($N91="",$N91=0),"-",IF($N91&gt;=2*TURNO,"Alta",IF($N91&gt;=TURNO,"Media","Baixa")))</f>
        <v/>
      </c>
      <c r="U91" s="17" t="inlineStr">
        <is>
          <t>SOJA_MEDIA</t>
        </is>
      </c>
      <c r="V91" s="8" t="inlineStr">
        <is>
          <t>P57</t>
        </is>
      </c>
    </row>
    <row r="92">
      <c r="A92" s="6" t="inlineStr">
        <is>
          <t>Pivô 58</t>
        </is>
      </c>
      <c r="B92" s="6" t="inlineStr">
        <is>
          <t>R15</t>
        </is>
      </c>
      <c r="C92" s="6" t="inlineStr">
        <is>
          <t>SOJA</t>
        </is>
      </c>
      <c r="D92" s="7" t="inlineStr">
        <is>
          <t>BMX Olimpo IPRO</t>
        </is>
      </c>
      <c r="E92" s="8" t="inlineStr">
        <is>
          <t>MEDIA</t>
        </is>
      </c>
      <c r="F92" s="9" t="n">
        <v>150</v>
      </c>
      <c r="G92" s="10" t="n">
        <v>46315</v>
      </c>
      <c r="H92" s="11">
        <f>IF($G92="","",IF($G92&gt;DATA_REF,"",DATA_REF-$G92))</f>
        <v/>
      </c>
      <c r="I92" s="12">
        <f>IF($U92="","PENDENTE",IF($H92="","(nao plantado)",IFERROR(INDEX(CURVAS_KC!$B$5:$I$224,MATCH(MIN(MAX($H92,1),220),CURVAS_KC!$A$5:$A$224,0),MATCH($U92,CURVAS_KC!$B$4:$I$4,0)),"PENDENTE")))</f>
        <v/>
      </c>
      <c r="J92" s="13">
        <f>IF($G92="","",$G92)</f>
        <v/>
      </c>
      <c r="K92" s="14">
        <f>IF($J92="","",SUMIFS(ETO_DIARIO!$B$5:$B$404,ETO_DIARIO!$A$5:$A$404,"&gt;"&amp;$J92,ETO_DIARIO!$A$5:$A$404,"&lt;="&amp;DATA_REF))</f>
        <v/>
      </c>
      <c r="L92" s="14">
        <f>IF($J92="","",SUMIFS(ETO_DIARIO!$C$5:$C$404,ETO_DIARIO!$A$5:$A$404,"&gt;"&amp;$J92,ETO_DIARIO!$A$5:$A$404,"&lt;="&amp;DATA_REF))</f>
        <v/>
      </c>
      <c r="M92" s="14">
        <f>IF(OR($I92="",$I92="PENDENTE",$I92="(nao plantado)",$K92=""),"",$I92*$K92)</f>
        <v/>
      </c>
      <c r="N92" s="14">
        <f>IF($M92="","",MAX(0,$M92-N($L92)))</f>
        <v/>
      </c>
      <c r="O92" s="14">
        <f>IF($N92="","",$N92/EF_APLIC)</f>
        <v/>
      </c>
      <c r="P92" s="8" t="n"/>
      <c r="Q92" s="15">
        <f>IF(OR($V92="",$P92=""),"",IFERROR(INDEX(LAMINA_HORA!$C$5:$V$114,MATCH($V92,LAMINA_HORA!$A$5:$A$114,0),MATCH($P92,LAMINA_HORA!$C$3:$V$3,0)),"?"))</f>
        <v/>
      </c>
      <c r="R92" s="15">
        <f>IF(OR($V92="",$P92=""),"",IFERROR(INDEX(LAMINA_HORA!$W$5:$AP$114,MATCH($V92,LAMINA_HORA!$A$5:$A$114,0),MATCH($P92,LAMINA_HORA!$W$3:$AP$3,0)),"?"))</f>
        <v/>
      </c>
      <c r="S92" s="16">
        <f>IF($I92="PENDENTE","Definir Kc/classe",IF($I92="(nao plantado)","Aguardar plantio",IF($N92="","-",IF($N92&gt;=TURNO,"IRRIGAR",IF($N92&gt;=TURNO*FRAC_ACOMP,"Acompanhar","Aguardar")))))</f>
        <v/>
      </c>
      <c r="T92" s="16">
        <f>IF(OR($N92="",$N92=0),"-",IF($N92&gt;=2*TURNO,"Alta",IF($N92&gt;=TURNO,"Media","Baixa")))</f>
        <v/>
      </c>
      <c r="U92" s="17" t="inlineStr">
        <is>
          <t>SOJA_MEDIA</t>
        </is>
      </c>
      <c r="V92" s="8" t="inlineStr">
        <is>
          <t>P58</t>
        </is>
      </c>
    </row>
    <row r="93">
      <c r="A93" s="6" t="inlineStr">
        <is>
          <t>Pivô 59</t>
        </is>
      </c>
      <c r="B93" s="6" t="inlineStr">
        <is>
          <t>R15</t>
        </is>
      </c>
      <c r="C93" s="6" t="inlineStr">
        <is>
          <t>SOJA</t>
        </is>
      </c>
      <c r="D93" s="7" t="inlineStr">
        <is>
          <t>BMX Olimpo IPRO</t>
        </is>
      </c>
      <c r="E93" s="8" t="inlineStr">
        <is>
          <t>MEDIA</t>
        </is>
      </c>
      <c r="F93" s="9" t="n">
        <v>143</v>
      </c>
      <c r="G93" s="10" t="n">
        <v>46354</v>
      </c>
      <c r="H93" s="11">
        <f>IF($G93="","",IF($G93&gt;DATA_REF,"",DATA_REF-$G93))</f>
        <v/>
      </c>
      <c r="I93" s="12">
        <f>IF($U93="","PENDENTE",IF($H93="","(nao plantado)",IFERROR(INDEX(CURVAS_KC!$B$5:$I$224,MATCH(MIN(MAX($H93,1),220),CURVAS_KC!$A$5:$A$224,0),MATCH($U93,CURVAS_KC!$B$4:$I$4,0)),"PENDENTE")))</f>
        <v/>
      </c>
      <c r="J93" s="13">
        <f>IF($G93="","",$G93)</f>
        <v/>
      </c>
      <c r="K93" s="14">
        <f>IF($J93="","",SUMIFS(ETO_DIARIO!$B$5:$B$404,ETO_DIARIO!$A$5:$A$404,"&gt;"&amp;$J93,ETO_DIARIO!$A$5:$A$404,"&lt;="&amp;DATA_REF))</f>
        <v/>
      </c>
      <c r="L93" s="14">
        <f>IF($J93="","",SUMIFS(ETO_DIARIO!$C$5:$C$404,ETO_DIARIO!$A$5:$A$404,"&gt;"&amp;$J93,ETO_DIARIO!$A$5:$A$404,"&lt;="&amp;DATA_REF))</f>
        <v/>
      </c>
      <c r="M93" s="14">
        <f>IF(OR($I93="",$I93="PENDENTE",$I93="(nao plantado)",$K93=""),"",$I93*$K93)</f>
        <v/>
      </c>
      <c r="N93" s="14">
        <f>IF($M93="","",MAX(0,$M93-N($L93)))</f>
        <v/>
      </c>
      <c r="O93" s="14">
        <f>IF($N93="","",$N93/EF_APLIC)</f>
        <v/>
      </c>
      <c r="P93" s="8" t="n"/>
      <c r="Q93" s="15">
        <f>IF(OR($V93="",$P93=""),"",IFERROR(INDEX(LAMINA_HORA!$C$5:$V$114,MATCH($V93,LAMINA_HORA!$A$5:$A$114,0),MATCH($P93,LAMINA_HORA!$C$3:$V$3,0)),"?"))</f>
        <v/>
      </c>
      <c r="R93" s="15">
        <f>IF(OR($V93="",$P93=""),"",IFERROR(INDEX(LAMINA_HORA!$W$5:$AP$114,MATCH($V93,LAMINA_HORA!$A$5:$A$114,0),MATCH($P93,LAMINA_HORA!$W$3:$AP$3,0)),"?"))</f>
        <v/>
      </c>
      <c r="S93" s="16">
        <f>IF($I93="PENDENTE","Definir Kc/classe",IF($I93="(nao plantado)","Aguardar plantio",IF($N93="","-",IF($N93&gt;=TURNO,"IRRIGAR",IF($N93&gt;=TURNO*FRAC_ACOMP,"Acompanhar","Aguardar")))))</f>
        <v/>
      </c>
      <c r="T93" s="16">
        <f>IF(OR($N93="",$N93=0),"-",IF($N93&gt;=2*TURNO,"Alta",IF($N93&gt;=TURNO,"Media","Baixa")))</f>
        <v/>
      </c>
      <c r="U93" s="17" t="inlineStr">
        <is>
          <t>SOJA_MEDIA</t>
        </is>
      </c>
      <c r="V93" s="8" t="inlineStr">
        <is>
          <t>P59</t>
        </is>
      </c>
    </row>
    <row r="94">
      <c r="A94" s="6" t="inlineStr">
        <is>
          <t>Pivô 60</t>
        </is>
      </c>
      <c r="B94" s="6" t="inlineStr">
        <is>
          <t>R15</t>
        </is>
      </c>
      <c r="C94" s="6" t="inlineStr">
        <is>
          <t>SOJA</t>
        </is>
      </c>
      <c r="D94" s="7" t="inlineStr">
        <is>
          <t>BMX Olimpo IPRO</t>
        </is>
      </c>
      <c r="E94" s="8" t="inlineStr">
        <is>
          <t>MEDIA</t>
        </is>
      </c>
      <c r="F94" s="9" t="n">
        <v>150</v>
      </c>
      <c r="G94" s="10" t="n">
        <v>46350</v>
      </c>
      <c r="H94" s="11">
        <f>IF($G94="","",IF($G94&gt;DATA_REF,"",DATA_REF-$G94))</f>
        <v/>
      </c>
      <c r="I94" s="12">
        <f>IF($U94="","PENDENTE",IF($H94="","(nao plantado)",IFERROR(INDEX(CURVAS_KC!$B$5:$I$224,MATCH(MIN(MAX($H94,1),220),CURVAS_KC!$A$5:$A$224,0),MATCH($U94,CURVAS_KC!$B$4:$I$4,0)),"PENDENTE")))</f>
        <v/>
      </c>
      <c r="J94" s="13">
        <f>IF($G94="","",$G94)</f>
        <v/>
      </c>
      <c r="K94" s="14">
        <f>IF($J94="","",SUMIFS(ETO_DIARIO!$B$5:$B$404,ETO_DIARIO!$A$5:$A$404,"&gt;"&amp;$J94,ETO_DIARIO!$A$5:$A$404,"&lt;="&amp;DATA_REF))</f>
        <v/>
      </c>
      <c r="L94" s="14">
        <f>IF($J94="","",SUMIFS(ETO_DIARIO!$C$5:$C$404,ETO_DIARIO!$A$5:$A$404,"&gt;"&amp;$J94,ETO_DIARIO!$A$5:$A$404,"&lt;="&amp;DATA_REF))</f>
        <v/>
      </c>
      <c r="M94" s="14">
        <f>IF(OR($I94="",$I94="PENDENTE",$I94="(nao plantado)",$K94=""),"",$I94*$K94)</f>
        <v/>
      </c>
      <c r="N94" s="14">
        <f>IF($M94="","",MAX(0,$M94-N($L94)))</f>
        <v/>
      </c>
      <c r="O94" s="14">
        <f>IF($N94="","",$N94/EF_APLIC)</f>
        <v/>
      </c>
      <c r="P94" s="8" t="n"/>
      <c r="Q94" s="15">
        <f>IF(OR($V94="",$P94=""),"",IFERROR(INDEX(LAMINA_HORA!$C$5:$V$114,MATCH($V94,LAMINA_HORA!$A$5:$A$114,0),MATCH($P94,LAMINA_HORA!$C$3:$V$3,0)),"?"))</f>
        <v/>
      </c>
      <c r="R94" s="15">
        <f>IF(OR($V94="",$P94=""),"",IFERROR(INDEX(LAMINA_HORA!$W$5:$AP$114,MATCH($V94,LAMINA_HORA!$A$5:$A$114,0),MATCH($P94,LAMINA_HORA!$W$3:$AP$3,0)),"?"))</f>
        <v/>
      </c>
      <c r="S94" s="16">
        <f>IF($I94="PENDENTE","Definir Kc/classe",IF($I94="(nao plantado)","Aguardar plantio",IF($N94="","-",IF($N94&gt;=TURNO,"IRRIGAR",IF($N94&gt;=TURNO*FRAC_ACOMP,"Acompanhar","Aguardar")))))</f>
        <v/>
      </c>
      <c r="T94" s="16">
        <f>IF(OR($N94="",$N94=0),"-",IF($N94&gt;=2*TURNO,"Alta",IF($N94&gt;=TURNO,"Media","Baixa")))</f>
        <v/>
      </c>
      <c r="U94" s="17" t="inlineStr">
        <is>
          <t>SOJA_MEDIA</t>
        </is>
      </c>
      <c r="V94" s="8" t="inlineStr">
        <is>
          <t>P60</t>
        </is>
      </c>
    </row>
    <row r="95">
      <c r="A95" s="6" t="inlineStr">
        <is>
          <t>Pivô 61</t>
        </is>
      </c>
      <c r="B95" s="6" t="inlineStr">
        <is>
          <t>R16</t>
        </is>
      </c>
      <c r="C95" s="6" t="inlineStr">
        <is>
          <t>SOJA</t>
        </is>
      </c>
      <c r="D95" s="7" t="inlineStr">
        <is>
          <t>BMX Olimpo IPRO</t>
        </is>
      </c>
      <c r="E95" s="8" t="inlineStr">
        <is>
          <t>MEDIA</t>
        </is>
      </c>
      <c r="F95" s="9" t="n">
        <v>145</v>
      </c>
      <c r="G95" s="10" t="n">
        <v>46368</v>
      </c>
      <c r="H95" s="11">
        <f>IF($G95="","",IF($G95&gt;DATA_REF,"",DATA_REF-$G95))</f>
        <v/>
      </c>
      <c r="I95" s="12">
        <f>IF($U95="","PENDENTE",IF($H95="","(nao plantado)",IFERROR(INDEX(CURVAS_KC!$B$5:$I$224,MATCH(MIN(MAX($H95,1),220),CURVAS_KC!$A$5:$A$224,0),MATCH($U95,CURVAS_KC!$B$4:$I$4,0)),"PENDENTE")))</f>
        <v/>
      </c>
      <c r="J95" s="13">
        <f>IF($G95="","",$G95)</f>
        <v/>
      </c>
      <c r="K95" s="14">
        <f>IF($J95="","",SUMIFS(ETO_DIARIO!$B$5:$B$404,ETO_DIARIO!$A$5:$A$404,"&gt;"&amp;$J95,ETO_DIARIO!$A$5:$A$404,"&lt;="&amp;DATA_REF))</f>
        <v/>
      </c>
      <c r="L95" s="14">
        <f>IF($J95="","",SUMIFS(ETO_DIARIO!$C$5:$C$404,ETO_DIARIO!$A$5:$A$404,"&gt;"&amp;$J95,ETO_DIARIO!$A$5:$A$404,"&lt;="&amp;DATA_REF))</f>
        <v/>
      </c>
      <c r="M95" s="14">
        <f>IF(OR($I95="",$I95="PENDENTE",$I95="(nao plantado)",$K95=""),"",$I95*$K95)</f>
        <v/>
      </c>
      <c r="N95" s="14">
        <f>IF($M95="","",MAX(0,$M95-N($L95)))</f>
        <v/>
      </c>
      <c r="O95" s="14">
        <f>IF($N95="","",$N95/EF_APLIC)</f>
        <v/>
      </c>
      <c r="P95" s="8" t="n"/>
      <c r="Q95" s="15">
        <f>IF(OR($V95="",$P95=""),"",IFERROR(INDEX(LAMINA_HORA!$C$5:$V$114,MATCH($V95,LAMINA_HORA!$A$5:$A$114,0),MATCH($P95,LAMINA_HORA!$C$3:$V$3,0)),"?"))</f>
        <v/>
      </c>
      <c r="R95" s="15">
        <f>IF(OR($V95="",$P95=""),"",IFERROR(INDEX(LAMINA_HORA!$W$5:$AP$114,MATCH($V95,LAMINA_HORA!$A$5:$A$114,0),MATCH($P95,LAMINA_HORA!$W$3:$AP$3,0)),"?"))</f>
        <v/>
      </c>
      <c r="S95" s="16">
        <f>IF($I95="PENDENTE","Definir Kc/classe",IF($I95="(nao plantado)","Aguardar plantio",IF($N95="","-",IF($N95&gt;=TURNO,"IRRIGAR",IF($N95&gt;=TURNO*FRAC_ACOMP,"Acompanhar","Aguardar")))))</f>
        <v/>
      </c>
      <c r="T95" s="16">
        <f>IF(OR($N95="",$N95=0),"-",IF($N95&gt;=2*TURNO,"Alta",IF($N95&gt;=TURNO,"Media","Baixa")))</f>
        <v/>
      </c>
      <c r="U95" s="17" t="inlineStr">
        <is>
          <t>SOJA_MEDIA</t>
        </is>
      </c>
      <c r="V95" s="8" t="inlineStr">
        <is>
          <t>P61</t>
        </is>
      </c>
    </row>
    <row r="96">
      <c r="A96" s="6" t="inlineStr">
        <is>
          <t>Pivô 62</t>
        </is>
      </c>
      <c r="B96" s="6" t="inlineStr">
        <is>
          <t>R16</t>
        </is>
      </c>
      <c r="C96" s="6" t="inlineStr">
        <is>
          <t>ALGODÃO</t>
        </is>
      </c>
      <c r="D96" s="7" t="inlineStr">
        <is>
          <t>FM 911 GLTP</t>
        </is>
      </c>
      <c r="E96" s="8" t="inlineStr">
        <is>
          <t>PRECOCE</t>
        </is>
      </c>
      <c r="F96" s="9" t="n">
        <v>140</v>
      </c>
      <c r="G96" s="10" t="n">
        <v>46404</v>
      </c>
      <c r="H96" s="11">
        <f>IF($G96="","",IF($G96&gt;DATA_REF,"",DATA_REF-$G96))</f>
        <v/>
      </c>
      <c r="I96" s="12">
        <f>IF($U96="","PENDENTE",IF($H96="","(nao plantado)",IFERROR(INDEX(CURVAS_KC!$B$5:$I$224,MATCH(MIN(MAX($H96,1),220),CURVAS_KC!$A$5:$A$224,0),MATCH($U96,CURVAS_KC!$B$4:$I$4,0)),"PENDENTE")))</f>
        <v/>
      </c>
      <c r="J96" s="13">
        <f>IF($G96="","",$G96)</f>
        <v/>
      </c>
      <c r="K96" s="14">
        <f>IF($J96="","",SUMIFS(ETO_DIARIO!$B$5:$B$404,ETO_DIARIO!$A$5:$A$404,"&gt;"&amp;$J96,ETO_DIARIO!$A$5:$A$404,"&lt;="&amp;DATA_REF))</f>
        <v/>
      </c>
      <c r="L96" s="14">
        <f>IF($J96="","",SUMIFS(ETO_DIARIO!$C$5:$C$404,ETO_DIARIO!$A$5:$A$404,"&gt;"&amp;$J96,ETO_DIARIO!$A$5:$A$404,"&lt;="&amp;DATA_REF))</f>
        <v/>
      </c>
      <c r="M96" s="14">
        <f>IF(OR($I96="",$I96="PENDENTE",$I96="(nao plantado)",$K96=""),"",$I96*$K96)</f>
        <v/>
      </c>
      <c r="N96" s="14">
        <f>IF($M96="","",MAX(0,$M96-N($L96)))</f>
        <v/>
      </c>
      <c r="O96" s="14">
        <f>IF($N96="","",$N96/EF_APLIC)</f>
        <v/>
      </c>
      <c r="P96" s="8" t="n"/>
      <c r="Q96" s="15">
        <f>IF(OR($V96="",$P96=""),"",IFERROR(INDEX(LAMINA_HORA!$C$5:$V$114,MATCH($V96,LAMINA_HORA!$A$5:$A$114,0),MATCH($P96,LAMINA_HORA!$C$3:$V$3,0)),"?"))</f>
        <v/>
      </c>
      <c r="R96" s="15">
        <f>IF(OR($V96="",$P96=""),"",IFERROR(INDEX(LAMINA_HORA!$W$5:$AP$114,MATCH($V96,LAMINA_HORA!$A$5:$A$114,0),MATCH($P96,LAMINA_HORA!$W$3:$AP$3,0)),"?"))</f>
        <v/>
      </c>
      <c r="S96" s="16">
        <f>IF($I96="PENDENTE","Definir Kc/classe",IF($I96="(nao plantado)","Aguardar plantio",IF($N96="","-",IF($N96&gt;=TURNO,"IRRIGAR",IF($N96&gt;=TURNO*FRAC_ACOMP,"Acompanhar","Aguardar")))))</f>
        <v/>
      </c>
      <c r="T96" s="16">
        <f>IF(OR($N96="",$N96=0),"-",IF($N96&gt;=2*TURNO,"Alta",IF($N96&gt;=TURNO,"Media","Baixa")))</f>
        <v/>
      </c>
      <c r="U96" s="17" t="inlineStr">
        <is>
          <t>ALG_PRECOCE</t>
        </is>
      </c>
      <c r="V96" s="8" t="inlineStr">
        <is>
          <t>P62</t>
        </is>
      </c>
    </row>
    <row r="97">
      <c r="A97" s="6" t="inlineStr">
        <is>
          <t>Pivô 63</t>
        </is>
      </c>
      <c r="B97" s="6" t="inlineStr">
        <is>
          <t>R18</t>
        </is>
      </c>
      <c r="C97" s="6" t="inlineStr">
        <is>
          <t>SOJA</t>
        </is>
      </c>
      <c r="D97" s="7" t="inlineStr">
        <is>
          <t>NEO 761 I2X</t>
        </is>
      </c>
      <c r="E97" s="8" t="inlineStr">
        <is>
          <t>PRECOCE</t>
        </is>
      </c>
      <c r="F97" s="9" t="n">
        <v>80</v>
      </c>
      <c r="G97" s="10" t="n">
        <v>46294</v>
      </c>
      <c r="H97" s="11">
        <f>IF($G97="","",IF($G97&gt;DATA_REF,"",DATA_REF-$G97))</f>
        <v/>
      </c>
      <c r="I97" s="12">
        <f>IF($U97="","PENDENTE",IF($H97="","(nao plantado)",IFERROR(INDEX(CURVAS_KC!$B$5:$I$224,MATCH(MIN(MAX($H97,1),220),CURVAS_KC!$A$5:$A$224,0),MATCH($U97,CURVAS_KC!$B$4:$I$4,0)),"PENDENTE")))</f>
        <v/>
      </c>
      <c r="J97" s="13">
        <f>IF($G97="","",$G97)</f>
        <v/>
      </c>
      <c r="K97" s="14">
        <f>IF($J97="","",SUMIFS(ETO_DIARIO!$B$5:$B$404,ETO_DIARIO!$A$5:$A$404,"&gt;"&amp;$J97,ETO_DIARIO!$A$5:$A$404,"&lt;="&amp;DATA_REF))</f>
        <v/>
      </c>
      <c r="L97" s="14">
        <f>IF($J97="","",SUMIFS(ETO_DIARIO!$C$5:$C$404,ETO_DIARIO!$A$5:$A$404,"&gt;"&amp;$J97,ETO_DIARIO!$A$5:$A$404,"&lt;="&amp;DATA_REF))</f>
        <v/>
      </c>
      <c r="M97" s="14">
        <f>IF(OR($I97="",$I97="PENDENTE",$I97="(nao plantado)",$K97=""),"",$I97*$K97)</f>
        <v/>
      </c>
      <c r="N97" s="14">
        <f>IF($M97="","",MAX(0,$M97-N($L97)))</f>
        <v/>
      </c>
      <c r="O97" s="14">
        <f>IF($N97="","",$N97/EF_APLIC)</f>
        <v/>
      </c>
      <c r="P97" s="8" t="n"/>
      <c r="Q97" s="15">
        <f>IF(OR($V97="",$P97=""),"",IFERROR(INDEX(LAMINA_HORA!$C$5:$V$114,MATCH($V97,LAMINA_HORA!$A$5:$A$114,0),MATCH($P97,LAMINA_HORA!$C$3:$V$3,0)),"?"))</f>
        <v/>
      </c>
      <c r="R97" s="15">
        <f>IF(OR($V97="",$P97=""),"",IFERROR(INDEX(LAMINA_HORA!$W$5:$AP$114,MATCH($V97,LAMINA_HORA!$A$5:$A$114,0),MATCH($P97,LAMINA_HORA!$W$3:$AP$3,0)),"?"))</f>
        <v/>
      </c>
      <c r="S97" s="16">
        <f>IF($I97="PENDENTE","Definir Kc/classe",IF($I97="(nao plantado)","Aguardar plantio",IF($N97="","-",IF($N97&gt;=TURNO,"IRRIGAR",IF($N97&gt;=TURNO*FRAC_ACOMP,"Acompanhar","Aguardar")))))</f>
        <v/>
      </c>
      <c r="T97" s="16">
        <f>IF(OR($N97="",$N97=0),"-",IF($N97&gt;=2*TURNO,"Alta",IF($N97&gt;=TURNO,"Media","Baixa")))</f>
        <v/>
      </c>
      <c r="U97" s="17" t="inlineStr">
        <is>
          <t>SOJA_PRECOCE</t>
        </is>
      </c>
      <c r="V97" s="8" t="inlineStr">
        <is>
          <t>P63</t>
        </is>
      </c>
    </row>
    <row r="98">
      <c r="A98" s="6" t="inlineStr">
        <is>
          <t>Pivô 64</t>
        </is>
      </c>
      <c r="B98" s="6" t="inlineStr">
        <is>
          <t>R18</t>
        </is>
      </c>
      <c r="C98" s="6" t="inlineStr">
        <is>
          <t>SOJA</t>
        </is>
      </c>
      <c r="D98" s="7" t="inlineStr">
        <is>
          <t>NEO 761 I2X</t>
        </is>
      </c>
      <c r="E98" s="8" t="inlineStr">
        <is>
          <t>PRECOCE</t>
        </is>
      </c>
      <c r="F98" s="9" t="n">
        <v>80</v>
      </c>
      <c r="G98" s="10" t="n">
        <v>46295</v>
      </c>
      <c r="H98" s="11">
        <f>IF($G98="","",IF($G98&gt;DATA_REF,"",DATA_REF-$G98))</f>
        <v/>
      </c>
      <c r="I98" s="12">
        <f>IF($U98="","PENDENTE",IF($H98="","(nao plantado)",IFERROR(INDEX(CURVAS_KC!$B$5:$I$224,MATCH(MIN(MAX($H98,1),220),CURVAS_KC!$A$5:$A$224,0),MATCH($U98,CURVAS_KC!$B$4:$I$4,0)),"PENDENTE")))</f>
        <v/>
      </c>
      <c r="J98" s="13">
        <f>IF($G98="","",$G98)</f>
        <v/>
      </c>
      <c r="K98" s="14">
        <f>IF($J98="","",SUMIFS(ETO_DIARIO!$B$5:$B$404,ETO_DIARIO!$A$5:$A$404,"&gt;"&amp;$J98,ETO_DIARIO!$A$5:$A$404,"&lt;="&amp;DATA_REF))</f>
        <v/>
      </c>
      <c r="L98" s="14">
        <f>IF($J98="","",SUMIFS(ETO_DIARIO!$C$5:$C$404,ETO_DIARIO!$A$5:$A$404,"&gt;"&amp;$J98,ETO_DIARIO!$A$5:$A$404,"&lt;="&amp;DATA_REF))</f>
        <v/>
      </c>
      <c r="M98" s="14">
        <f>IF(OR($I98="",$I98="PENDENTE",$I98="(nao plantado)",$K98=""),"",$I98*$K98)</f>
        <v/>
      </c>
      <c r="N98" s="14">
        <f>IF($M98="","",MAX(0,$M98-N($L98)))</f>
        <v/>
      </c>
      <c r="O98" s="14">
        <f>IF($N98="","",$N98/EF_APLIC)</f>
        <v/>
      </c>
      <c r="P98" s="8" t="n"/>
      <c r="Q98" s="15">
        <f>IF(OR($V98="",$P98=""),"",IFERROR(INDEX(LAMINA_HORA!$C$5:$V$114,MATCH($V98,LAMINA_HORA!$A$5:$A$114,0),MATCH($P98,LAMINA_HORA!$C$3:$V$3,0)),"?"))</f>
        <v/>
      </c>
      <c r="R98" s="15">
        <f>IF(OR($V98="",$P98=""),"",IFERROR(INDEX(LAMINA_HORA!$W$5:$AP$114,MATCH($V98,LAMINA_HORA!$A$5:$A$114,0),MATCH($P98,LAMINA_HORA!$W$3:$AP$3,0)),"?"))</f>
        <v/>
      </c>
      <c r="S98" s="16">
        <f>IF($I98="PENDENTE","Definir Kc/classe",IF($I98="(nao plantado)","Aguardar plantio",IF($N98="","-",IF($N98&gt;=TURNO,"IRRIGAR",IF($N98&gt;=TURNO*FRAC_ACOMP,"Acompanhar","Aguardar")))))</f>
        <v/>
      </c>
      <c r="T98" s="16">
        <f>IF(OR($N98="",$N98=0),"-",IF($N98&gt;=2*TURNO,"Alta",IF($N98&gt;=TURNO,"Media","Baixa")))</f>
        <v/>
      </c>
      <c r="U98" s="17" t="inlineStr">
        <is>
          <t>SOJA_PRECOCE</t>
        </is>
      </c>
      <c r="V98" s="8" t="inlineStr">
        <is>
          <t>P64</t>
        </is>
      </c>
    </row>
    <row r="99">
      <c r="A99" s="6" t="inlineStr">
        <is>
          <t>Pivô 65</t>
        </is>
      </c>
      <c r="B99" s="6" t="inlineStr">
        <is>
          <t>R18</t>
        </is>
      </c>
      <c r="C99" s="6" t="inlineStr">
        <is>
          <t>SOJA</t>
        </is>
      </c>
      <c r="D99" s="7" t="inlineStr">
        <is>
          <t>NEO 761 I2X</t>
        </is>
      </c>
      <c r="E99" s="8" t="inlineStr">
        <is>
          <t>PRECOCE</t>
        </is>
      </c>
      <c r="F99" s="9" t="n">
        <v>150</v>
      </c>
      <c r="G99" s="10" t="n">
        <v>46295</v>
      </c>
      <c r="H99" s="11">
        <f>IF($G99="","",IF($G99&gt;DATA_REF,"",DATA_REF-$G99))</f>
        <v/>
      </c>
      <c r="I99" s="12">
        <f>IF($U99="","PENDENTE",IF($H99="","(nao plantado)",IFERROR(INDEX(CURVAS_KC!$B$5:$I$224,MATCH(MIN(MAX($H99,1),220),CURVAS_KC!$A$5:$A$224,0),MATCH($U99,CURVAS_KC!$B$4:$I$4,0)),"PENDENTE")))</f>
        <v/>
      </c>
      <c r="J99" s="13">
        <f>IF($G99="","",$G99)</f>
        <v/>
      </c>
      <c r="K99" s="14">
        <f>IF($J99="","",SUMIFS(ETO_DIARIO!$B$5:$B$404,ETO_DIARIO!$A$5:$A$404,"&gt;"&amp;$J99,ETO_DIARIO!$A$5:$A$404,"&lt;="&amp;DATA_REF))</f>
        <v/>
      </c>
      <c r="L99" s="14">
        <f>IF($J99="","",SUMIFS(ETO_DIARIO!$C$5:$C$404,ETO_DIARIO!$A$5:$A$404,"&gt;"&amp;$J99,ETO_DIARIO!$A$5:$A$404,"&lt;="&amp;DATA_REF))</f>
        <v/>
      </c>
      <c r="M99" s="14">
        <f>IF(OR($I99="",$I99="PENDENTE",$I99="(nao plantado)",$K99=""),"",$I99*$K99)</f>
        <v/>
      </c>
      <c r="N99" s="14">
        <f>IF($M99="","",MAX(0,$M99-N($L99)))</f>
        <v/>
      </c>
      <c r="O99" s="14">
        <f>IF($N99="","",$N99/EF_APLIC)</f>
        <v/>
      </c>
      <c r="P99" s="8" t="n"/>
      <c r="Q99" s="15">
        <f>IF(OR($V99="",$P99=""),"",IFERROR(INDEX(LAMINA_HORA!$C$5:$V$114,MATCH($V99,LAMINA_HORA!$A$5:$A$114,0),MATCH($P99,LAMINA_HORA!$C$3:$V$3,0)),"?"))</f>
        <v/>
      </c>
      <c r="R99" s="15">
        <f>IF(OR($V99="",$P99=""),"",IFERROR(INDEX(LAMINA_HORA!$W$5:$AP$114,MATCH($V99,LAMINA_HORA!$A$5:$A$114,0),MATCH($P99,LAMINA_HORA!$W$3:$AP$3,0)),"?"))</f>
        <v/>
      </c>
      <c r="S99" s="16">
        <f>IF($I99="PENDENTE","Definir Kc/classe",IF($I99="(nao plantado)","Aguardar plantio",IF($N99="","-",IF($N99&gt;=TURNO,"IRRIGAR",IF($N99&gt;=TURNO*FRAC_ACOMP,"Acompanhar","Aguardar")))))</f>
        <v/>
      </c>
      <c r="T99" s="16">
        <f>IF(OR($N99="",$N99=0),"-",IF($N99&gt;=2*TURNO,"Alta",IF($N99&gt;=TURNO,"Media","Baixa")))</f>
        <v/>
      </c>
      <c r="U99" s="17" t="inlineStr">
        <is>
          <t>SOJA_PRECOCE</t>
        </is>
      </c>
      <c r="V99" s="8" t="inlineStr">
        <is>
          <t>P65</t>
        </is>
      </c>
    </row>
    <row r="100">
      <c r="A100" s="6" t="inlineStr">
        <is>
          <t>Pivô 66</t>
        </is>
      </c>
      <c r="B100" s="6" t="inlineStr">
        <is>
          <t>R15</t>
        </is>
      </c>
      <c r="C100" s="6" t="inlineStr">
        <is>
          <t>SOJA</t>
        </is>
      </c>
      <c r="D100" s="7" t="inlineStr">
        <is>
          <t>NEO 761 I2X</t>
        </is>
      </c>
      <c r="E100" s="8" t="inlineStr">
        <is>
          <t>PRECOCE</t>
        </is>
      </c>
      <c r="F100" s="9" t="n">
        <v>100</v>
      </c>
      <c r="G100" s="10" t="n">
        <v>46286</v>
      </c>
      <c r="H100" s="11">
        <f>IF($G100="","",IF($G100&gt;DATA_REF,"",DATA_REF-$G100))</f>
        <v/>
      </c>
      <c r="I100" s="12">
        <f>IF($U100="","PENDENTE",IF($H100="","(nao plantado)",IFERROR(INDEX(CURVAS_KC!$B$5:$I$224,MATCH(MIN(MAX($H100,1),220),CURVAS_KC!$A$5:$A$224,0),MATCH($U100,CURVAS_KC!$B$4:$I$4,0)),"PENDENTE")))</f>
        <v/>
      </c>
      <c r="J100" s="13">
        <f>IF($G100="","",$G100)</f>
        <v/>
      </c>
      <c r="K100" s="14">
        <f>IF($J100="","",SUMIFS(ETO_DIARIO!$B$5:$B$404,ETO_DIARIO!$A$5:$A$404,"&gt;"&amp;$J100,ETO_DIARIO!$A$5:$A$404,"&lt;="&amp;DATA_REF))</f>
        <v/>
      </c>
      <c r="L100" s="14">
        <f>IF($J100="","",SUMIFS(ETO_DIARIO!$C$5:$C$404,ETO_DIARIO!$A$5:$A$404,"&gt;"&amp;$J100,ETO_DIARIO!$A$5:$A$404,"&lt;="&amp;DATA_REF))</f>
        <v/>
      </c>
      <c r="M100" s="14">
        <f>IF(OR($I100="",$I100="PENDENTE",$I100="(nao plantado)",$K100=""),"",$I100*$K100)</f>
        <v/>
      </c>
      <c r="N100" s="14">
        <f>IF($M100="","",MAX(0,$M100-N($L100)))</f>
        <v/>
      </c>
      <c r="O100" s="14">
        <f>IF($N100="","",$N100/EF_APLIC)</f>
        <v/>
      </c>
      <c r="P100" s="8" t="n"/>
      <c r="Q100" s="15">
        <f>IF(OR($V100="",$P100=""),"",IFERROR(INDEX(LAMINA_HORA!$C$5:$V$114,MATCH($V100,LAMINA_HORA!$A$5:$A$114,0),MATCH($P100,LAMINA_HORA!$C$3:$V$3,0)),"?"))</f>
        <v/>
      </c>
      <c r="R100" s="15">
        <f>IF(OR($V100="",$P100=""),"",IFERROR(INDEX(LAMINA_HORA!$W$5:$AP$114,MATCH($V100,LAMINA_HORA!$A$5:$A$114,0),MATCH($P100,LAMINA_HORA!$W$3:$AP$3,0)),"?"))</f>
        <v/>
      </c>
      <c r="S100" s="16">
        <f>IF($I100="PENDENTE","Definir Kc/classe",IF($I100="(nao plantado)","Aguardar plantio",IF($N100="","-",IF($N100&gt;=TURNO,"IRRIGAR",IF($N100&gt;=TURNO*FRAC_ACOMP,"Acompanhar","Aguardar")))))</f>
        <v/>
      </c>
      <c r="T100" s="16">
        <f>IF(OR($N100="",$N100=0),"-",IF($N100&gt;=2*TURNO,"Alta",IF($N100&gt;=TURNO,"Media","Baixa")))</f>
        <v/>
      </c>
      <c r="U100" s="17" t="inlineStr">
        <is>
          <t>SOJA_PRECOCE</t>
        </is>
      </c>
      <c r="V100" s="8" t="inlineStr">
        <is>
          <t>P66</t>
        </is>
      </c>
    </row>
    <row r="101">
      <c r="A101" s="6" t="inlineStr">
        <is>
          <t>Pivô 67</t>
        </is>
      </c>
      <c r="B101" s="6" t="inlineStr">
        <is>
          <t>R16</t>
        </is>
      </c>
      <c r="C101" s="6" t="inlineStr">
        <is>
          <t>SOJA</t>
        </is>
      </c>
      <c r="D101" s="7" t="inlineStr">
        <is>
          <t>NEO 761 I2X</t>
        </is>
      </c>
      <c r="E101" s="8" t="inlineStr">
        <is>
          <t>PRECOCE</t>
        </is>
      </c>
      <c r="F101" s="9" t="n">
        <v>80</v>
      </c>
      <c r="G101" s="10" t="n">
        <v>46286</v>
      </c>
      <c r="H101" s="11">
        <f>IF($G101="","",IF($G101&gt;DATA_REF,"",DATA_REF-$G101))</f>
        <v/>
      </c>
      <c r="I101" s="12">
        <f>IF($U101="","PENDENTE",IF($H101="","(nao plantado)",IFERROR(INDEX(CURVAS_KC!$B$5:$I$224,MATCH(MIN(MAX($H101,1),220),CURVAS_KC!$A$5:$A$224,0),MATCH($U101,CURVAS_KC!$B$4:$I$4,0)),"PENDENTE")))</f>
        <v/>
      </c>
      <c r="J101" s="13">
        <f>IF($G101="","",$G101)</f>
        <v/>
      </c>
      <c r="K101" s="14">
        <f>IF($J101="","",SUMIFS(ETO_DIARIO!$B$5:$B$404,ETO_DIARIO!$A$5:$A$404,"&gt;"&amp;$J101,ETO_DIARIO!$A$5:$A$404,"&lt;="&amp;DATA_REF))</f>
        <v/>
      </c>
      <c r="L101" s="14">
        <f>IF($J101="","",SUMIFS(ETO_DIARIO!$C$5:$C$404,ETO_DIARIO!$A$5:$A$404,"&gt;"&amp;$J101,ETO_DIARIO!$A$5:$A$404,"&lt;="&amp;DATA_REF))</f>
        <v/>
      </c>
      <c r="M101" s="14">
        <f>IF(OR($I101="",$I101="PENDENTE",$I101="(nao plantado)",$K101=""),"",$I101*$K101)</f>
        <v/>
      </c>
      <c r="N101" s="14">
        <f>IF($M101="","",MAX(0,$M101-N($L101)))</f>
        <v/>
      </c>
      <c r="O101" s="14">
        <f>IF($N101="","",$N101/EF_APLIC)</f>
        <v/>
      </c>
      <c r="P101" s="8" t="n"/>
      <c r="Q101" s="15">
        <f>IF(OR($V101="",$P101=""),"",IFERROR(INDEX(LAMINA_HORA!$C$5:$V$114,MATCH($V101,LAMINA_HORA!$A$5:$A$114,0),MATCH($P101,LAMINA_HORA!$C$3:$V$3,0)),"?"))</f>
        <v/>
      </c>
      <c r="R101" s="15">
        <f>IF(OR($V101="",$P101=""),"",IFERROR(INDEX(LAMINA_HORA!$W$5:$AP$114,MATCH($V101,LAMINA_HORA!$A$5:$A$114,0),MATCH($P101,LAMINA_HORA!$W$3:$AP$3,0)),"?"))</f>
        <v/>
      </c>
      <c r="S101" s="16">
        <f>IF($I101="PENDENTE","Definir Kc/classe",IF($I101="(nao plantado)","Aguardar plantio",IF($N101="","-",IF($N101&gt;=TURNO,"IRRIGAR",IF($N101&gt;=TURNO*FRAC_ACOMP,"Acompanhar","Aguardar")))))</f>
        <v/>
      </c>
      <c r="T101" s="16">
        <f>IF(OR($N101="",$N101=0),"-",IF($N101&gt;=2*TURNO,"Alta",IF($N101&gt;=TURNO,"Media","Baixa")))</f>
        <v/>
      </c>
      <c r="U101" s="17" t="inlineStr">
        <is>
          <t>SOJA_PRECOCE</t>
        </is>
      </c>
      <c r="V101" s="8" t="inlineStr">
        <is>
          <t>P67</t>
        </is>
      </c>
    </row>
    <row r="102">
      <c r="A102" s="6" t="inlineStr">
        <is>
          <t>Pivô 68</t>
        </is>
      </c>
      <c r="B102" s="6" t="inlineStr">
        <is>
          <t>R16</t>
        </is>
      </c>
      <c r="C102" s="6" t="inlineStr">
        <is>
          <t>SOJA</t>
        </is>
      </c>
      <c r="D102" s="7" t="inlineStr">
        <is>
          <t>COMPLETA IPRO</t>
        </is>
      </c>
      <c r="E102" s="8" t="inlineStr">
        <is>
          <t>MEDIA</t>
        </is>
      </c>
      <c r="F102" s="9" t="n">
        <v>80</v>
      </c>
      <c r="G102" s="10" t="n">
        <v>46290</v>
      </c>
      <c r="H102" s="11">
        <f>IF($G102="","",IF($G102&gt;DATA_REF,"",DATA_REF-$G102))</f>
        <v/>
      </c>
      <c r="I102" s="12">
        <f>IF($U102="","PENDENTE",IF($H102="","(nao plantado)",IFERROR(INDEX(CURVAS_KC!$B$5:$I$224,MATCH(MIN(MAX($H102,1),220),CURVAS_KC!$A$5:$A$224,0),MATCH($U102,CURVAS_KC!$B$4:$I$4,0)),"PENDENTE")))</f>
        <v/>
      </c>
      <c r="J102" s="13">
        <f>IF($G102="","",$G102)</f>
        <v/>
      </c>
      <c r="K102" s="14">
        <f>IF($J102="","",SUMIFS(ETO_DIARIO!$B$5:$B$404,ETO_DIARIO!$A$5:$A$404,"&gt;"&amp;$J102,ETO_DIARIO!$A$5:$A$404,"&lt;="&amp;DATA_REF))</f>
        <v/>
      </c>
      <c r="L102" s="14">
        <f>IF($J102="","",SUMIFS(ETO_DIARIO!$C$5:$C$404,ETO_DIARIO!$A$5:$A$404,"&gt;"&amp;$J102,ETO_DIARIO!$A$5:$A$404,"&lt;="&amp;DATA_REF))</f>
        <v/>
      </c>
      <c r="M102" s="14">
        <f>IF(OR($I102="",$I102="PENDENTE",$I102="(nao plantado)",$K102=""),"",$I102*$K102)</f>
        <v/>
      </c>
      <c r="N102" s="14">
        <f>IF($M102="","",MAX(0,$M102-N($L102)))</f>
        <v/>
      </c>
      <c r="O102" s="14">
        <f>IF($N102="","",$N102/EF_APLIC)</f>
        <v/>
      </c>
      <c r="P102" s="8" t="n"/>
      <c r="Q102" s="15">
        <f>IF(OR($V102="",$P102=""),"",IFERROR(INDEX(LAMINA_HORA!$C$5:$V$114,MATCH($V102,LAMINA_HORA!$A$5:$A$114,0),MATCH($P102,LAMINA_HORA!$C$3:$V$3,0)),"?"))</f>
        <v/>
      </c>
      <c r="R102" s="15">
        <f>IF(OR($V102="",$P102=""),"",IFERROR(INDEX(LAMINA_HORA!$W$5:$AP$114,MATCH($V102,LAMINA_HORA!$A$5:$A$114,0),MATCH($P102,LAMINA_HORA!$W$3:$AP$3,0)),"?"))</f>
        <v/>
      </c>
      <c r="S102" s="16">
        <f>IF($I102="PENDENTE","Definir Kc/classe",IF($I102="(nao plantado)","Aguardar plantio",IF($N102="","-",IF($N102&gt;=TURNO,"IRRIGAR",IF($N102&gt;=TURNO*FRAC_ACOMP,"Acompanhar","Aguardar")))))</f>
        <v/>
      </c>
      <c r="T102" s="16">
        <f>IF(OR($N102="",$N102=0),"-",IF($N102&gt;=2*TURNO,"Alta",IF($N102&gt;=TURNO,"Media","Baixa")))</f>
        <v/>
      </c>
      <c r="U102" s="17" t="inlineStr">
        <is>
          <t>SOJA_MEDIA</t>
        </is>
      </c>
      <c r="V102" s="8" t="inlineStr">
        <is>
          <t>P68</t>
        </is>
      </c>
    </row>
    <row r="103">
      <c r="A103" s="6" t="inlineStr">
        <is>
          <t>Pivô 69</t>
        </is>
      </c>
      <c r="B103" s="6" t="inlineStr">
        <is>
          <t>R17</t>
        </is>
      </c>
      <c r="C103" s="6" t="inlineStr">
        <is>
          <t>ALGODÃO</t>
        </is>
      </c>
      <c r="D103" s="7" t="inlineStr">
        <is>
          <t>IMA 3764 B2RF</t>
        </is>
      </c>
      <c r="E103" s="8" t="inlineStr">
        <is>
          <t>MEDIO</t>
        </is>
      </c>
      <c r="F103" s="9" t="n">
        <v>80</v>
      </c>
      <c r="G103" s="10" t="n">
        <v>46354</v>
      </c>
      <c r="H103" s="11">
        <f>IF($G103="","",IF($G103&gt;DATA_REF,"",DATA_REF-$G103))</f>
        <v/>
      </c>
      <c r="I103" s="12">
        <f>IF($U103="","PENDENTE",IF($H103="","(nao plantado)",IFERROR(INDEX(CURVAS_KC!$B$5:$I$224,MATCH(MIN(MAX($H103,1),220),CURVAS_KC!$A$5:$A$224,0),MATCH($U103,CURVAS_KC!$B$4:$I$4,0)),"PENDENTE")))</f>
        <v/>
      </c>
      <c r="J103" s="13">
        <f>IF($G103="","",$G103)</f>
        <v/>
      </c>
      <c r="K103" s="14">
        <f>IF($J103="","",SUMIFS(ETO_DIARIO!$B$5:$B$404,ETO_DIARIO!$A$5:$A$404,"&gt;"&amp;$J103,ETO_DIARIO!$A$5:$A$404,"&lt;="&amp;DATA_REF))</f>
        <v/>
      </c>
      <c r="L103" s="14">
        <f>IF($J103="","",SUMIFS(ETO_DIARIO!$C$5:$C$404,ETO_DIARIO!$A$5:$A$404,"&gt;"&amp;$J103,ETO_DIARIO!$A$5:$A$404,"&lt;="&amp;DATA_REF))</f>
        <v/>
      </c>
      <c r="M103" s="14">
        <f>IF(OR($I103="",$I103="PENDENTE",$I103="(nao plantado)",$K103=""),"",$I103*$K103)</f>
        <v/>
      </c>
      <c r="N103" s="14">
        <f>IF($M103="","",MAX(0,$M103-N($L103)))</f>
        <v/>
      </c>
      <c r="O103" s="14">
        <f>IF($N103="","",$N103/EF_APLIC)</f>
        <v/>
      </c>
      <c r="P103" s="8" t="n"/>
      <c r="Q103" s="15">
        <f>IF(OR($V103="",$P103=""),"",IFERROR(INDEX(LAMINA_HORA!$C$5:$V$114,MATCH($V103,LAMINA_HORA!$A$5:$A$114,0),MATCH($P103,LAMINA_HORA!$C$3:$V$3,0)),"?"))</f>
        <v/>
      </c>
      <c r="R103" s="15">
        <f>IF(OR($V103="",$P103=""),"",IFERROR(INDEX(LAMINA_HORA!$W$5:$AP$114,MATCH($V103,LAMINA_HORA!$A$5:$A$114,0),MATCH($P103,LAMINA_HORA!$W$3:$AP$3,0)),"?"))</f>
        <v/>
      </c>
      <c r="S103" s="16">
        <f>IF($I103="PENDENTE","Definir Kc/classe",IF($I103="(nao plantado)","Aguardar plantio",IF($N103="","-",IF($N103&gt;=TURNO,"IRRIGAR",IF($N103&gt;=TURNO*FRAC_ACOMP,"Acompanhar","Aguardar")))))</f>
        <v/>
      </c>
      <c r="T103" s="16">
        <f>IF(OR($N103="",$N103=0),"-",IF($N103&gt;=2*TURNO,"Alta",IF($N103&gt;=TURNO,"Media","Baixa")))</f>
        <v/>
      </c>
      <c r="U103" s="17" t="inlineStr">
        <is>
          <t>ALG_MEDIO</t>
        </is>
      </c>
      <c r="V103" s="8" t="inlineStr">
        <is>
          <t>P69</t>
        </is>
      </c>
    </row>
    <row r="104">
      <c r="A104" s="6" t="inlineStr">
        <is>
          <t>Pivô 70</t>
        </is>
      </c>
      <c r="B104" s="6" t="inlineStr">
        <is>
          <t>R17</t>
        </is>
      </c>
      <c r="C104" s="6" t="inlineStr">
        <is>
          <t>ALGODÃO</t>
        </is>
      </c>
      <c r="D104" s="7" t="inlineStr">
        <is>
          <t>IMA 3764 B2RF</t>
        </is>
      </c>
      <c r="E104" s="8" t="inlineStr">
        <is>
          <t>MEDIO</t>
        </is>
      </c>
      <c r="F104" s="9" t="n">
        <v>150</v>
      </c>
      <c r="G104" s="10" t="n">
        <v>46369</v>
      </c>
      <c r="H104" s="11">
        <f>IF($G104="","",IF($G104&gt;DATA_REF,"",DATA_REF-$G104))</f>
        <v/>
      </c>
      <c r="I104" s="12">
        <f>IF($U104="","PENDENTE",IF($H104="","(nao plantado)",IFERROR(INDEX(CURVAS_KC!$B$5:$I$224,MATCH(MIN(MAX($H104,1),220),CURVAS_KC!$A$5:$A$224,0),MATCH($U104,CURVAS_KC!$B$4:$I$4,0)),"PENDENTE")))</f>
        <v/>
      </c>
      <c r="J104" s="13">
        <f>IF($G104="","",$G104)</f>
        <v/>
      </c>
      <c r="K104" s="14">
        <f>IF($J104="","",SUMIFS(ETO_DIARIO!$B$5:$B$404,ETO_DIARIO!$A$5:$A$404,"&gt;"&amp;$J104,ETO_DIARIO!$A$5:$A$404,"&lt;="&amp;DATA_REF))</f>
        <v/>
      </c>
      <c r="L104" s="14">
        <f>IF($J104="","",SUMIFS(ETO_DIARIO!$C$5:$C$404,ETO_DIARIO!$A$5:$A$404,"&gt;"&amp;$J104,ETO_DIARIO!$A$5:$A$404,"&lt;="&amp;DATA_REF))</f>
        <v/>
      </c>
      <c r="M104" s="14">
        <f>IF(OR($I104="",$I104="PENDENTE",$I104="(nao plantado)",$K104=""),"",$I104*$K104)</f>
        <v/>
      </c>
      <c r="N104" s="14">
        <f>IF($M104="","",MAX(0,$M104-N($L104)))</f>
        <v/>
      </c>
      <c r="O104" s="14">
        <f>IF($N104="","",$N104/EF_APLIC)</f>
        <v/>
      </c>
      <c r="P104" s="8" t="n"/>
      <c r="Q104" s="15">
        <f>IF(OR($V104="",$P104=""),"",IFERROR(INDEX(LAMINA_HORA!$C$5:$V$114,MATCH($V104,LAMINA_HORA!$A$5:$A$114,0),MATCH($P104,LAMINA_HORA!$C$3:$V$3,0)),"?"))</f>
        <v/>
      </c>
      <c r="R104" s="15">
        <f>IF(OR($V104="",$P104=""),"",IFERROR(INDEX(LAMINA_HORA!$W$5:$AP$114,MATCH($V104,LAMINA_HORA!$A$5:$A$114,0),MATCH($P104,LAMINA_HORA!$W$3:$AP$3,0)),"?"))</f>
        <v/>
      </c>
      <c r="S104" s="16">
        <f>IF($I104="PENDENTE","Definir Kc/classe",IF($I104="(nao plantado)","Aguardar plantio",IF($N104="","-",IF($N104&gt;=TURNO,"IRRIGAR",IF($N104&gt;=TURNO*FRAC_ACOMP,"Acompanhar","Aguardar")))))</f>
        <v/>
      </c>
      <c r="T104" s="16">
        <f>IF(OR($N104="",$N104=0),"-",IF($N104&gt;=2*TURNO,"Alta",IF($N104&gt;=TURNO,"Media","Baixa")))</f>
        <v/>
      </c>
      <c r="U104" s="17" t="inlineStr">
        <is>
          <t>ALG_MEDIO</t>
        </is>
      </c>
      <c r="V104" s="8" t="inlineStr">
        <is>
          <t>P70</t>
        </is>
      </c>
    </row>
    <row r="105">
      <c r="A105" s="6" t="inlineStr">
        <is>
          <t>Pivô 72</t>
        </is>
      </c>
      <c r="B105" s="6" t="inlineStr">
        <is>
          <t>R17</t>
        </is>
      </c>
      <c r="C105" s="6" t="inlineStr">
        <is>
          <t>SOJA</t>
        </is>
      </c>
      <c r="D105" s="7" t="inlineStr">
        <is>
          <t>COMBATE IPRO</t>
        </is>
      </c>
      <c r="E105" s="8" t="inlineStr">
        <is>
          <t>PRECOCE</t>
        </is>
      </c>
      <c r="F105" s="9" t="n">
        <v>125</v>
      </c>
      <c r="G105" s="10" t="n">
        <v>46294</v>
      </c>
      <c r="H105" s="11">
        <f>IF($G105="","",IF($G105&gt;DATA_REF,"",DATA_REF-$G105))</f>
        <v/>
      </c>
      <c r="I105" s="12">
        <f>IF($U105="","PENDENTE",IF($H105="","(nao plantado)",IFERROR(INDEX(CURVAS_KC!$B$5:$I$224,MATCH(MIN(MAX($H105,1),220),CURVAS_KC!$A$5:$A$224,0),MATCH($U105,CURVAS_KC!$B$4:$I$4,0)),"PENDENTE")))</f>
        <v/>
      </c>
      <c r="J105" s="13">
        <f>IF($G105="","",$G105)</f>
        <v/>
      </c>
      <c r="K105" s="14">
        <f>IF($J105="","",SUMIFS(ETO_DIARIO!$B$5:$B$404,ETO_DIARIO!$A$5:$A$404,"&gt;"&amp;$J105,ETO_DIARIO!$A$5:$A$404,"&lt;="&amp;DATA_REF))</f>
        <v/>
      </c>
      <c r="L105" s="14">
        <f>IF($J105="","",SUMIFS(ETO_DIARIO!$C$5:$C$404,ETO_DIARIO!$A$5:$A$404,"&gt;"&amp;$J105,ETO_DIARIO!$A$5:$A$404,"&lt;="&amp;DATA_REF))</f>
        <v/>
      </c>
      <c r="M105" s="14">
        <f>IF(OR($I105="",$I105="PENDENTE",$I105="(nao plantado)",$K105=""),"",$I105*$K105)</f>
        <v/>
      </c>
      <c r="N105" s="14">
        <f>IF($M105="","",MAX(0,$M105-N($L105)))</f>
        <v/>
      </c>
      <c r="O105" s="14">
        <f>IF($N105="","",$N105/EF_APLIC)</f>
        <v/>
      </c>
      <c r="P105" s="8" t="n"/>
      <c r="Q105" s="15">
        <f>IF(OR($V105="",$P105=""),"",IFERROR(INDEX(LAMINA_HORA!$C$5:$V$114,MATCH($V105,LAMINA_HORA!$A$5:$A$114,0),MATCH($P105,LAMINA_HORA!$C$3:$V$3,0)),"?"))</f>
        <v/>
      </c>
      <c r="R105" s="15">
        <f>IF(OR($V105="",$P105=""),"",IFERROR(INDEX(LAMINA_HORA!$W$5:$AP$114,MATCH($V105,LAMINA_HORA!$A$5:$A$114,0),MATCH($P105,LAMINA_HORA!$W$3:$AP$3,0)),"?"))</f>
        <v/>
      </c>
      <c r="S105" s="16">
        <f>IF($I105="PENDENTE","Definir Kc/classe",IF($I105="(nao plantado)","Aguardar plantio",IF($N105="","-",IF($N105&gt;=TURNO,"IRRIGAR",IF($N105&gt;=TURNO*FRAC_ACOMP,"Acompanhar","Aguardar")))))</f>
        <v/>
      </c>
      <c r="T105" s="16">
        <f>IF(OR($N105="",$N105=0),"-",IF($N105&gt;=2*TURNO,"Alta",IF($N105&gt;=TURNO,"Media","Baixa")))</f>
        <v/>
      </c>
      <c r="U105" s="17" t="inlineStr">
        <is>
          <t>SOJA_PRECOCE</t>
        </is>
      </c>
      <c r="V105" s="8" t="inlineStr">
        <is>
          <t>P72</t>
        </is>
      </c>
    </row>
    <row r="107">
      <c r="A107" s="5" t="inlineStr">
        <is>
          <t>RDM  -  32 pivos</t>
        </is>
      </c>
    </row>
    <row r="108">
      <c r="A108" s="6" t="inlineStr">
        <is>
          <t>Pivô 101</t>
        </is>
      </c>
      <c r="B108" s="6" t="inlineStr">
        <is>
          <t>RM4</t>
        </is>
      </c>
      <c r="C108" s="6" t="inlineStr">
        <is>
          <t>ALGODÃO</t>
        </is>
      </c>
      <c r="D108" s="7" t="inlineStr">
        <is>
          <t>IMA 5901 B2RF</t>
        </is>
      </c>
      <c r="E108" s="8" t="inlineStr">
        <is>
          <t>MEDIO</t>
        </is>
      </c>
      <c r="F108" s="9" t="n">
        <v>114</v>
      </c>
      <c r="G108" s="10" t="n">
        <v>46359</v>
      </c>
      <c r="H108" s="11">
        <f>IF($G108="","",IF($G108&gt;DATA_REF,"",DATA_REF-$G108))</f>
        <v/>
      </c>
      <c r="I108" s="12">
        <f>IF($U108="","PENDENTE",IF($H108="","(nao plantado)",IFERROR(INDEX(CURVAS_KC!$B$5:$I$224,MATCH(MIN(MAX($H108,1),220),CURVAS_KC!$A$5:$A$224,0),MATCH($U108,CURVAS_KC!$B$4:$I$4,0)),"PENDENTE")))</f>
        <v/>
      </c>
      <c r="J108" s="13">
        <f>IF($G108="","",$G108)</f>
        <v/>
      </c>
      <c r="K108" s="14">
        <f>IF($J108="","",SUMIFS(ETO_DIARIO!$B$5:$B$404,ETO_DIARIO!$A$5:$A$404,"&gt;"&amp;$J108,ETO_DIARIO!$A$5:$A$404,"&lt;="&amp;DATA_REF))</f>
        <v/>
      </c>
      <c r="L108" s="14">
        <f>IF($J108="","",SUMIFS(ETO_DIARIO!$C$5:$C$404,ETO_DIARIO!$A$5:$A$404,"&gt;"&amp;$J108,ETO_DIARIO!$A$5:$A$404,"&lt;="&amp;DATA_REF))</f>
        <v/>
      </c>
      <c r="M108" s="14">
        <f>IF(OR($I108="",$I108="PENDENTE",$I108="(nao plantado)",$K108=""),"",$I108*$K108)</f>
        <v/>
      </c>
      <c r="N108" s="14">
        <f>IF($M108="","",MAX(0,$M108-N($L108)))</f>
        <v/>
      </c>
      <c r="O108" s="14">
        <f>IF($N108="","",$N108/EF_APLIC)</f>
        <v/>
      </c>
      <c r="P108" s="8" t="n"/>
      <c r="Q108" s="15">
        <f>IF(OR($V108="",$P108=""),"",IFERROR(INDEX(LAMINA_HORA!$C$5:$V$114,MATCH($V108,LAMINA_HORA!$A$5:$A$114,0),MATCH($P108,LAMINA_HORA!$C$3:$V$3,0)),"?"))</f>
        <v/>
      </c>
      <c r="R108" s="15">
        <f>IF(OR($V108="",$P108=""),"",IFERROR(INDEX(LAMINA_HORA!$W$5:$AP$114,MATCH($V108,LAMINA_HORA!$A$5:$A$114,0),MATCH($P108,LAMINA_HORA!$W$3:$AP$3,0)),"?"))</f>
        <v/>
      </c>
      <c r="S108" s="16">
        <f>IF($I108="PENDENTE","Definir Kc/classe",IF($I108="(nao plantado)","Aguardar plantio",IF($N108="","-",IF($N108&gt;=TURNO,"IRRIGAR",IF($N108&gt;=TURNO*FRAC_ACOMP,"Acompanhar","Aguardar")))))</f>
        <v/>
      </c>
      <c r="T108" s="16">
        <f>IF(OR($N108="",$N108=0),"-",IF($N108&gt;=2*TURNO,"Alta",IF($N108&gt;=TURNO,"Media","Baixa")))</f>
        <v/>
      </c>
      <c r="U108" s="17" t="inlineStr">
        <is>
          <t>ALG_MEDIO</t>
        </is>
      </c>
      <c r="V108" s="8" t="inlineStr">
        <is>
          <t>P101</t>
        </is>
      </c>
    </row>
    <row r="109">
      <c r="A109" s="6" t="inlineStr">
        <is>
          <t>Pivô 102</t>
        </is>
      </c>
      <c r="B109" s="6" t="inlineStr">
        <is>
          <t>RM4</t>
        </is>
      </c>
      <c r="C109" s="6" t="inlineStr">
        <is>
          <t>ALGODÃO</t>
        </is>
      </c>
      <c r="D109" s="7" t="inlineStr">
        <is>
          <t>FM 974 GLT</t>
        </is>
      </c>
      <c r="E109" s="8" t="inlineStr">
        <is>
          <t>MEDIO</t>
        </is>
      </c>
      <c r="F109" s="9" t="n">
        <v>100</v>
      </c>
      <c r="G109" s="10" t="n">
        <v>46367</v>
      </c>
      <c r="H109" s="11">
        <f>IF($G109="","",IF($G109&gt;DATA_REF,"",DATA_REF-$G109))</f>
        <v/>
      </c>
      <c r="I109" s="12">
        <f>IF($U109="","PENDENTE",IF($H109="","(nao plantado)",IFERROR(INDEX(CURVAS_KC!$B$5:$I$224,MATCH(MIN(MAX($H109,1),220),CURVAS_KC!$A$5:$A$224,0),MATCH($U109,CURVAS_KC!$B$4:$I$4,0)),"PENDENTE")))</f>
        <v/>
      </c>
      <c r="J109" s="13">
        <f>IF($G109="","",$G109)</f>
        <v/>
      </c>
      <c r="K109" s="14">
        <f>IF($J109="","",SUMIFS(ETO_DIARIO!$B$5:$B$404,ETO_DIARIO!$A$5:$A$404,"&gt;"&amp;$J109,ETO_DIARIO!$A$5:$A$404,"&lt;="&amp;DATA_REF))</f>
        <v/>
      </c>
      <c r="L109" s="14">
        <f>IF($J109="","",SUMIFS(ETO_DIARIO!$C$5:$C$404,ETO_DIARIO!$A$5:$A$404,"&gt;"&amp;$J109,ETO_DIARIO!$A$5:$A$404,"&lt;="&amp;DATA_REF))</f>
        <v/>
      </c>
      <c r="M109" s="14">
        <f>IF(OR($I109="",$I109="PENDENTE",$I109="(nao plantado)",$K109=""),"",$I109*$K109)</f>
        <v/>
      </c>
      <c r="N109" s="14">
        <f>IF($M109="","",MAX(0,$M109-N($L109)))</f>
        <v/>
      </c>
      <c r="O109" s="14">
        <f>IF($N109="","",$N109/EF_APLIC)</f>
        <v/>
      </c>
      <c r="P109" s="8" t="n"/>
      <c r="Q109" s="15">
        <f>IF(OR($V109="",$P109=""),"",IFERROR(INDEX(LAMINA_HORA!$C$5:$V$114,MATCH($V109,LAMINA_HORA!$A$5:$A$114,0),MATCH($P109,LAMINA_HORA!$C$3:$V$3,0)),"?"))</f>
        <v/>
      </c>
      <c r="R109" s="15">
        <f>IF(OR($V109="",$P109=""),"",IFERROR(INDEX(LAMINA_HORA!$W$5:$AP$114,MATCH($V109,LAMINA_HORA!$A$5:$A$114,0),MATCH($P109,LAMINA_HORA!$W$3:$AP$3,0)),"?"))</f>
        <v/>
      </c>
      <c r="S109" s="16">
        <f>IF($I109="PENDENTE","Definir Kc/classe",IF($I109="(nao plantado)","Aguardar plantio",IF($N109="","-",IF($N109&gt;=TURNO,"IRRIGAR",IF($N109&gt;=TURNO*FRAC_ACOMP,"Acompanhar","Aguardar")))))</f>
        <v/>
      </c>
      <c r="T109" s="16">
        <f>IF(OR($N109="",$N109=0),"-",IF($N109&gt;=2*TURNO,"Alta",IF($N109&gt;=TURNO,"Media","Baixa")))</f>
        <v/>
      </c>
      <c r="U109" s="17" t="inlineStr">
        <is>
          <t>ALG_MEDIO</t>
        </is>
      </c>
      <c r="V109" s="8" t="inlineStr">
        <is>
          <t>P102</t>
        </is>
      </c>
    </row>
    <row r="110">
      <c r="A110" s="6" t="inlineStr">
        <is>
          <t>Pivô 103</t>
        </is>
      </c>
      <c r="B110" s="6" t="inlineStr">
        <is>
          <t>RM4</t>
        </is>
      </c>
      <c r="C110" s="6" t="inlineStr">
        <is>
          <t>ALGODÃO</t>
        </is>
      </c>
      <c r="D110" s="7" t="inlineStr">
        <is>
          <t>IMA 5901 B2RF</t>
        </is>
      </c>
      <c r="E110" s="8" t="inlineStr">
        <is>
          <t>MEDIO</t>
        </is>
      </c>
      <c r="F110" s="9" t="n">
        <v>100</v>
      </c>
      <c r="G110" s="10" t="n">
        <v>46359</v>
      </c>
      <c r="H110" s="11">
        <f>IF($G110="","",IF($G110&gt;DATA_REF,"",DATA_REF-$G110))</f>
        <v/>
      </c>
      <c r="I110" s="12">
        <f>IF($U110="","PENDENTE",IF($H110="","(nao plantado)",IFERROR(INDEX(CURVAS_KC!$B$5:$I$224,MATCH(MIN(MAX($H110,1),220),CURVAS_KC!$A$5:$A$224,0),MATCH($U110,CURVAS_KC!$B$4:$I$4,0)),"PENDENTE")))</f>
        <v/>
      </c>
      <c r="J110" s="13">
        <f>IF($G110="","",$G110)</f>
        <v/>
      </c>
      <c r="K110" s="14">
        <f>IF($J110="","",SUMIFS(ETO_DIARIO!$B$5:$B$404,ETO_DIARIO!$A$5:$A$404,"&gt;"&amp;$J110,ETO_DIARIO!$A$5:$A$404,"&lt;="&amp;DATA_REF))</f>
        <v/>
      </c>
      <c r="L110" s="14">
        <f>IF($J110="","",SUMIFS(ETO_DIARIO!$C$5:$C$404,ETO_DIARIO!$A$5:$A$404,"&gt;"&amp;$J110,ETO_DIARIO!$A$5:$A$404,"&lt;="&amp;DATA_REF))</f>
        <v/>
      </c>
      <c r="M110" s="14">
        <f>IF(OR($I110="",$I110="PENDENTE",$I110="(nao plantado)",$K110=""),"",$I110*$K110)</f>
        <v/>
      </c>
      <c r="N110" s="14">
        <f>IF($M110="","",MAX(0,$M110-N($L110)))</f>
        <v/>
      </c>
      <c r="O110" s="14">
        <f>IF($N110="","",$N110/EF_APLIC)</f>
        <v/>
      </c>
      <c r="P110" s="8" t="n"/>
      <c r="Q110" s="15">
        <f>IF(OR($V110="",$P110=""),"",IFERROR(INDEX(LAMINA_HORA!$C$5:$V$114,MATCH($V110,LAMINA_HORA!$A$5:$A$114,0),MATCH($P110,LAMINA_HORA!$C$3:$V$3,0)),"?"))</f>
        <v/>
      </c>
      <c r="R110" s="15">
        <f>IF(OR($V110="",$P110=""),"",IFERROR(INDEX(LAMINA_HORA!$W$5:$AP$114,MATCH($V110,LAMINA_HORA!$A$5:$A$114,0),MATCH($P110,LAMINA_HORA!$W$3:$AP$3,0)),"?"))</f>
        <v/>
      </c>
      <c r="S110" s="16">
        <f>IF($I110="PENDENTE","Definir Kc/classe",IF($I110="(nao plantado)","Aguardar plantio",IF($N110="","-",IF($N110&gt;=TURNO,"IRRIGAR",IF($N110&gt;=TURNO*FRAC_ACOMP,"Acompanhar","Aguardar")))))</f>
        <v/>
      </c>
      <c r="T110" s="16">
        <f>IF(OR($N110="",$N110=0),"-",IF($N110&gt;=2*TURNO,"Alta",IF($N110&gt;=TURNO,"Media","Baixa")))</f>
        <v/>
      </c>
      <c r="U110" s="17" t="inlineStr">
        <is>
          <t>ALG_MEDIO</t>
        </is>
      </c>
      <c r="V110" s="8" t="inlineStr">
        <is>
          <t>P103</t>
        </is>
      </c>
    </row>
    <row r="111">
      <c r="A111" s="6" t="inlineStr">
        <is>
          <t>Pivô 104</t>
        </is>
      </c>
      <c r="B111" s="6" t="inlineStr">
        <is>
          <t>RM4</t>
        </is>
      </c>
      <c r="C111" s="6" t="inlineStr">
        <is>
          <t>SOJA</t>
        </is>
      </c>
      <c r="D111" s="7" t="inlineStr">
        <is>
          <t>COMBATE IPRO</t>
        </is>
      </c>
      <c r="E111" s="8" t="inlineStr">
        <is>
          <t>PRECOCE</t>
        </is>
      </c>
      <c r="F111" s="9" t="n">
        <v>100</v>
      </c>
      <c r="G111" s="10" t="n">
        <v>46291</v>
      </c>
      <c r="H111" s="11">
        <f>IF($G111="","",IF($G111&gt;DATA_REF,"",DATA_REF-$G111))</f>
        <v/>
      </c>
      <c r="I111" s="12">
        <f>IF($U111="","PENDENTE",IF($H111="","(nao plantado)",IFERROR(INDEX(CURVAS_KC!$B$5:$I$224,MATCH(MIN(MAX($H111,1),220),CURVAS_KC!$A$5:$A$224,0),MATCH($U111,CURVAS_KC!$B$4:$I$4,0)),"PENDENTE")))</f>
        <v/>
      </c>
      <c r="J111" s="13">
        <f>IF($G111="","",$G111)</f>
        <v/>
      </c>
      <c r="K111" s="14">
        <f>IF($J111="","",SUMIFS(ETO_DIARIO!$B$5:$B$404,ETO_DIARIO!$A$5:$A$404,"&gt;"&amp;$J111,ETO_DIARIO!$A$5:$A$404,"&lt;="&amp;DATA_REF))</f>
        <v/>
      </c>
      <c r="L111" s="14">
        <f>IF($J111="","",SUMIFS(ETO_DIARIO!$C$5:$C$404,ETO_DIARIO!$A$5:$A$404,"&gt;"&amp;$J111,ETO_DIARIO!$A$5:$A$404,"&lt;="&amp;DATA_REF))</f>
        <v/>
      </c>
      <c r="M111" s="14">
        <f>IF(OR($I111="",$I111="PENDENTE",$I111="(nao plantado)",$K111=""),"",$I111*$K111)</f>
        <v/>
      </c>
      <c r="N111" s="14">
        <f>IF($M111="","",MAX(0,$M111-N($L111)))</f>
        <v/>
      </c>
      <c r="O111" s="14">
        <f>IF($N111="","",$N111/EF_APLIC)</f>
        <v/>
      </c>
      <c r="P111" s="8" t="n"/>
      <c r="Q111" s="15">
        <f>IF(OR($V111="",$P111=""),"",IFERROR(INDEX(LAMINA_HORA!$C$5:$V$114,MATCH($V111,LAMINA_HORA!$A$5:$A$114,0),MATCH($P111,LAMINA_HORA!$C$3:$V$3,0)),"?"))</f>
        <v/>
      </c>
      <c r="R111" s="15">
        <f>IF(OR($V111="",$P111=""),"",IFERROR(INDEX(LAMINA_HORA!$W$5:$AP$114,MATCH($V111,LAMINA_HORA!$A$5:$A$114,0),MATCH($P111,LAMINA_HORA!$W$3:$AP$3,0)),"?"))</f>
        <v/>
      </c>
      <c r="S111" s="16">
        <f>IF($I111="PENDENTE","Definir Kc/classe",IF($I111="(nao plantado)","Aguardar plantio",IF($N111="","-",IF($N111&gt;=TURNO,"IRRIGAR",IF($N111&gt;=TURNO*FRAC_ACOMP,"Acompanhar","Aguardar")))))</f>
        <v/>
      </c>
      <c r="T111" s="16">
        <f>IF(OR($N111="",$N111=0),"-",IF($N111&gt;=2*TURNO,"Alta",IF($N111&gt;=TURNO,"Media","Baixa")))</f>
        <v/>
      </c>
      <c r="U111" s="17" t="inlineStr">
        <is>
          <t>SOJA_PRECOCE</t>
        </is>
      </c>
      <c r="V111" s="8" t="inlineStr">
        <is>
          <t>P104</t>
        </is>
      </c>
    </row>
    <row r="112">
      <c r="A112" s="6" t="inlineStr">
        <is>
          <t>Pivô 105</t>
        </is>
      </c>
      <c r="B112" s="6" t="inlineStr">
        <is>
          <t>RM3</t>
        </is>
      </c>
      <c r="C112" s="6" t="inlineStr">
        <is>
          <t>SOJA</t>
        </is>
      </c>
      <c r="D112" s="7" t="inlineStr">
        <is>
          <t>COMBATE IPRO</t>
        </is>
      </c>
      <c r="E112" s="8" t="inlineStr">
        <is>
          <t>PRECOCE</t>
        </is>
      </c>
      <c r="F112" s="9" t="n">
        <v>100</v>
      </c>
      <c r="G112" s="10" t="n">
        <v>46293</v>
      </c>
      <c r="H112" s="11">
        <f>IF($G112="","",IF($G112&gt;DATA_REF,"",DATA_REF-$G112))</f>
        <v/>
      </c>
      <c r="I112" s="12">
        <f>IF($U112="","PENDENTE",IF($H112="","(nao plantado)",IFERROR(INDEX(CURVAS_KC!$B$5:$I$224,MATCH(MIN(MAX($H112,1),220),CURVAS_KC!$A$5:$A$224,0),MATCH($U112,CURVAS_KC!$B$4:$I$4,0)),"PENDENTE")))</f>
        <v/>
      </c>
      <c r="J112" s="13">
        <f>IF($G112="","",$G112)</f>
        <v/>
      </c>
      <c r="K112" s="14">
        <f>IF($J112="","",SUMIFS(ETO_DIARIO!$B$5:$B$404,ETO_DIARIO!$A$5:$A$404,"&gt;"&amp;$J112,ETO_DIARIO!$A$5:$A$404,"&lt;="&amp;DATA_REF))</f>
        <v/>
      </c>
      <c r="L112" s="14">
        <f>IF($J112="","",SUMIFS(ETO_DIARIO!$C$5:$C$404,ETO_DIARIO!$A$5:$A$404,"&gt;"&amp;$J112,ETO_DIARIO!$A$5:$A$404,"&lt;="&amp;DATA_REF))</f>
        <v/>
      </c>
      <c r="M112" s="14">
        <f>IF(OR($I112="",$I112="PENDENTE",$I112="(nao plantado)",$K112=""),"",$I112*$K112)</f>
        <v/>
      </c>
      <c r="N112" s="14">
        <f>IF($M112="","",MAX(0,$M112-N($L112)))</f>
        <v/>
      </c>
      <c r="O112" s="14">
        <f>IF($N112="","",$N112/EF_APLIC)</f>
        <v/>
      </c>
      <c r="P112" s="8" t="n"/>
      <c r="Q112" s="15">
        <f>IF(OR($V112="",$P112=""),"",IFERROR(INDEX(LAMINA_HORA!$C$5:$V$114,MATCH($V112,LAMINA_HORA!$A$5:$A$114,0),MATCH($P112,LAMINA_HORA!$C$3:$V$3,0)),"?"))</f>
        <v/>
      </c>
      <c r="R112" s="15">
        <f>IF(OR($V112="",$P112=""),"",IFERROR(INDEX(LAMINA_HORA!$W$5:$AP$114,MATCH($V112,LAMINA_HORA!$A$5:$A$114,0),MATCH($P112,LAMINA_HORA!$W$3:$AP$3,0)),"?"))</f>
        <v/>
      </c>
      <c r="S112" s="16">
        <f>IF($I112="PENDENTE","Definir Kc/classe",IF($I112="(nao plantado)","Aguardar plantio",IF($N112="","-",IF($N112&gt;=TURNO,"IRRIGAR",IF($N112&gt;=TURNO*FRAC_ACOMP,"Acompanhar","Aguardar")))))</f>
        <v/>
      </c>
      <c r="T112" s="16">
        <f>IF(OR($N112="",$N112=0),"-",IF($N112&gt;=2*TURNO,"Alta",IF($N112&gt;=TURNO,"Media","Baixa")))</f>
        <v/>
      </c>
      <c r="U112" s="17" t="inlineStr">
        <is>
          <t>SOJA_PRECOCE</t>
        </is>
      </c>
      <c r="V112" s="8" t="inlineStr">
        <is>
          <t>P105</t>
        </is>
      </c>
    </row>
    <row r="113">
      <c r="A113" s="6" t="inlineStr">
        <is>
          <t>Pivô 106</t>
        </is>
      </c>
      <c r="B113" s="6" t="inlineStr">
        <is>
          <t>RM2</t>
        </is>
      </c>
      <c r="C113" s="6" t="inlineStr">
        <is>
          <t>SOJA</t>
        </is>
      </c>
      <c r="D113" s="7" t="inlineStr">
        <is>
          <t>NEO 761 I2X</t>
        </is>
      </c>
      <c r="E113" s="8" t="inlineStr">
        <is>
          <t>PRECOCE</t>
        </is>
      </c>
      <c r="F113" s="9" t="n">
        <v>100</v>
      </c>
      <c r="G113" s="10" t="n">
        <v>46291</v>
      </c>
      <c r="H113" s="11">
        <f>IF($G113="","",IF($G113&gt;DATA_REF,"",DATA_REF-$G113))</f>
        <v/>
      </c>
      <c r="I113" s="12">
        <f>IF($U113="","PENDENTE",IF($H113="","(nao plantado)",IFERROR(INDEX(CURVAS_KC!$B$5:$I$224,MATCH(MIN(MAX($H113,1),220),CURVAS_KC!$A$5:$A$224,0),MATCH($U113,CURVAS_KC!$B$4:$I$4,0)),"PENDENTE")))</f>
        <v/>
      </c>
      <c r="J113" s="13">
        <f>IF($G113="","",$G113)</f>
        <v/>
      </c>
      <c r="K113" s="14">
        <f>IF($J113="","",SUMIFS(ETO_DIARIO!$B$5:$B$404,ETO_DIARIO!$A$5:$A$404,"&gt;"&amp;$J113,ETO_DIARIO!$A$5:$A$404,"&lt;="&amp;DATA_REF))</f>
        <v/>
      </c>
      <c r="L113" s="14">
        <f>IF($J113="","",SUMIFS(ETO_DIARIO!$C$5:$C$404,ETO_DIARIO!$A$5:$A$404,"&gt;"&amp;$J113,ETO_DIARIO!$A$5:$A$404,"&lt;="&amp;DATA_REF))</f>
        <v/>
      </c>
      <c r="M113" s="14">
        <f>IF(OR($I113="",$I113="PENDENTE",$I113="(nao plantado)",$K113=""),"",$I113*$K113)</f>
        <v/>
      </c>
      <c r="N113" s="14">
        <f>IF($M113="","",MAX(0,$M113-N($L113)))</f>
        <v/>
      </c>
      <c r="O113" s="14">
        <f>IF($N113="","",$N113/EF_APLIC)</f>
        <v/>
      </c>
      <c r="P113" s="8" t="n"/>
      <c r="Q113" s="15">
        <f>IF(OR($V113="",$P113=""),"",IFERROR(INDEX(LAMINA_HORA!$C$5:$V$114,MATCH($V113,LAMINA_HORA!$A$5:$A$114,0),MATCH($P113,LAMINA_HORA!$C$3:$V$3,0)),"?"))</f>
        <v/>
      </c>
      <c r="R113" s="15">
        <f>IF(OR($V113="",$P113=""),"",IFERROR(INDEX(LAMINA_HORA!$W$5:$AP$114,MATCH($V113,LAMINA_HORA!$A$5:$A$114,0),MATCH($P113,LAMINA_HORA!$W$3:$AP$3,0)),"?"))</f>
        <v/>
      </c>
      <c r="S113" s="16">
        <f>IF($I113="PENDENTE","Definir Kc/classe",IF($I113="(nao plantado)","Aguardar plantio",IF($N113="","-",IF($N113&gt;=TURNO,"IRRIGAR",IF($N113&gt;=TURNO*FRAC_ACOMP,"Acompanhar","Aguardar")))))</f>
        <v/>
      </c>
      <c r="T113" s="16">
        <f>IF(OR($N113="",$N113=0),"-",IF($N113&gt;=2*TURNO,"Alta",IF($N113&gt;=TURNO,"Media","Baixa")))</f>
        <v/>
      </c>
      <c r="U113" s="17" t="inlineStr">
        <is>
          <t>SOJA_PRECOCE</t>
        </is>
      </c>
      <c r="V113" s="8" t="inlineStr">
        <is>
          <t>P106</t>
        </is>
      </c>
    </row>
    <row r="114">
      <c r="A114" s="6" t="inlineStr">
        <is>
          <t>Pivô 107</t>
        </is>
      </c>
      <c r="B114" s="6" t="inlineStr">
        <is>
          <t>RM3</t>
        </is>
      </c>
      <c r="C114" s="6" t="inlineStr">
        <is>
          <t>SOJA</t>
        </is>
      </c>
      <c r="D114" s="7" t="inlineStr">
        <is>
          <t>NEO 761 I2X</t>
        </is>
      </c>
      <c r="E114" s="8" t="inlineStr">
        <is>
          <t>PRECOCE</t>
        </is>
      </c>
      <c r="F114" s="9" t="n">
        <v>100</v>
      </c>
      <c r="G114" s="10" t="n">
        <v>46293</v>
      </c>
      <c r="H114" s="11">
        <f>IF($G114="","",IF($G114&gt;DATA_REF,"",DATA_REF-$G114))</f>
        <v/>
      </c>
      <c r="I114" s="12">
        <f>IF($U114="","PENDENTE",IF($H114="","(nao plantado)",IFERROR(INDEX(CURVAS_KC!$B$5:$I$224,MATCH(MIN(MAX($H114,1),220),CURVAS_KC!$A$5:$A$224,0),MATCH($U114,CURVAS_KC!$B$4:$I$4,0)),"PENDENTE")))</f>
        <v/>
      </c>
      <c r="J114" s="13">
        <f>IF($G114="","",$G114)</f>
        <v/>
      </c>
      <c r="K114" s="14">
        <f>IF($J114="","",SUMIFS(ETO_DIARIO!$B$5:$B$404,ETO_DIARIO!$A$5:$A$404,"&gt;"&amp;$J114,ETO_DIARIO!$A$5:$A$404,"&lt;="&amp;DATA_REF))</f>
        <v/>
      </c>
      <c r="L114" s="14">
        <f>IF($J114="","",SUMIFS(ETO_DIARIO!$C$5:$C$404,ETO_DIARIO!$A$5:$A$404,"&gt;"&amp;$J114,ETO_DIARIO!$A$5:$A$404,"&lt;="&amp;DATA_REF))</f>
        <v/>
      </c>
      <c r="M114" s="14">
        <f>IF(OR($I114="",$I114="PENDENTE",$I114="(nao plantado)",$K114=""),"",$I114*$K114)</f>
        <v/>
      </c>
      <c r="N114" s="14">
        <f>IF($M114="","",MAX(0,$M114-N($L114)))</f>
        <v/>
      </c>
      <c r="O114" s="14">
        <f>IF($N114="","",$N114/EF_APLIC)</f>
        <v/>
      </c>
      <c r="P114" s="8" t="n"/>
      <c r="Q114" s="15">
        <f>IF(OR($V114="",$P114=""),"",IFERROR(INDEX(LAMINA_HORA!$C$5:$V$114,MATCH($V114,LAMINA_HORA!$A$5:$A$114,0),MATCH($P114,LAMINA_HORA!$C$3:$V$3,0)),"?"))</f>
        <v/>
      </c>
      <c r="R114" s="15">
        <f>IF(OR($V114="",$P114=""),"",IFERROR(INDEX(LAMINA_HORA!$W$5:$AP$114,MATCH($V114,LAMINA_HORA!$A$5:$A$114,0),MATCH($P114,LAMINA_HORA!$W$3:$AP$3,0)),"?"))</f>
        <v/>
      </c>
      <c r="S114" s="16">
        <f>IF($I114="PENDENTE","Definir Kc/classe",IF($I114="(nao plantado)","Aguardar plantio",IF($N114="","-",IF($N114&gt;=TURNO,"IRRIGAR",IF($N114&gt;=TURNO*FRAC_ACOMP,"Acompanhar","Aguardar")))))</f>
        <v/>
      </c>
      <c r="T114" s="16">
        <f>IF(OR($N114="",$N114=0),"-",IF($N114&gt;=2*TURNO,"Alta",IF($N114&gt;=TURNO,"Media","Baixa")))</f>
        <v/>
      </c>
      <c r="U114" s="17" t="inlineStr">
        <is>
          <t>SOJA_PRECOCE</t>
        </is>
      </c>
      <c r="V114" s="8" t="inlineStr">
        <is>
          <t>P107</t>
        </is>
      </c>
    </row>
    <row r="115">
      <c r="A115" s="6" t="inlineStr">
        <is>
          <t>Pivô 108</t>
        </is>
      </c>
      <c r="B115" s="6" t="inlineStr">
        <is>
          <t>RM2</t>
        </is>
      </c>
      <c r="C115" s="6" t="inlineStr">
        <is>
          <t>ALGODÃO</t>
        </is>
      </c>
      <c r="D115" s="7" t="inlineStr">
        <is>
          <t>IMA 5901 B2RF</t>
        </is>
      </c>
      <c r="E115" s="8" t="inlineStr">
        <is>
          <t>MEDIO</t>
        </is>
      </c>
      <c r="F115" s="9" t="n">
        <v>100</v>
      </c>
      <c r="G115" s="10" t="n">
        <v>46360</v>
      </c>
      <c r="H115" s="11">
        <f>IF($G115="","",IF($G115&gt;DATA_REF,"",DATA_REF-$G115))</f>
        <v/>
      </c>
      <c r="I115" s="12">
        <f>IF($U115="","PENDENTE",IF($H115="","(nao plantado)",IFERROR(INDEX(CURVAS_KC!$B$5:$I$224,MATCH(MIN(MAX($H115,1),220),CURVAS_KC!$A$5:$A$224,0),MATCH($U115,CURVAS_KC!$B$4:$I$4,0)),"PENDENTE")))</f>
        <v/>
      </c>
      <c r="J115" s="13">
        <f>IF($G115="","",$G115)</f>
        <v/>
      </c>
      <c r="K115" s="14">
        <f>IF($J115="","",SUMIFS(ETO_DIARIO!$B$5:$B$404,ETO_DIARIO!$A$5:$A$404,"&gt;"&amp;$J115,ETO_DIARIO!$A$5:$A$404,"&lt;="&amp;DATA_REF))</f>
        <v/>
      </c>
      <c r="L115" s="14">
        <f>IF($J115="","",SUMIFS(ETO_DIARIO!$C$5:$C$404,ETO_DIARIO!$A$5:$A$404,"&gt;"&amp;$J115,ETO_DIARIO!$A$5:$A$404,"&lt;="&amp;DATA_REF))</f>
        <v/>
      </c>
      <c r="M115" s="14">
        <f>IF(OR($I115="",$I115="PENDENTE",$I115="(nao plantado)",$K115=""),"",$I115*$K115)</f>
        <v/>
      </c>
      <c r="N115" s="14">
        <f>IF($M115="","",MAX(0,$M115-N($L115)))</f>
        <v/>
      </c>
      <c r="O115" s="14">
        <f>IF($N115="","",$N115/EF_APLIC)</f>
        <v/>
      </c>
      <c r="P115" s="8" t="n"/>
      <c r="Q115" s="15">
        <f>IF(OR($V115="",$P115=""),"",IFERROR(INDEX(LAMINA_HORA!$C$5:$V$114,MATCH($V115,LAMINA_HORA!$A$5:$A$114,0),MATCH($P115,LAMINA_HORA!$C$3:$V$3,0)),"?"))</f>
        <v/>
      </c>
      <c r="R115" s="15">
        <f>IF(OR($V115="",$P115=""),"",IFERROR(INDEX(LAMINA_HORA!$W$5:$AP$114,MATCH($V115,LAMINA_HORA!$A$5:$A$114,0),MATCH($P115,LAMINA_HORA!$W$3:$AP$3,0)),"?"))</f>
        <v/>
      </c>
      <c r="S115" s="16">
        <f>IF($I115="PENDENTE","Definir Kc/classe",IF($I115="(nao plantado)","Aguardar plantio",IF($N115="","-",IF($N115&gt;=TURNO,"IRRIGAR",IF($N115&gt;=TURNO*FRAC_ACOMP,"Acompanhar","Aguardar")))))</f>
        <v/>
      </c>
      <c r="T115" s="16">
        <f>IF(OR($N115="",$N115=0),"-",IF($N115&gt;=2*TURNO,"Alta",IF($N115&gt;=TURNO,"Media","Baixa")))</f>
        <v/>
      </c>
      <c r="U115" s="17" t="inlineStr">
        <is>
          <t>ALG_MEDIO</t>
        </is>
      </c>
      <c r="V115" s="8" t="inlineStr">
        <is>
          <t>P108</t>
        </is>
      </c>
    </row>
    <row r="116">
      <c r="A116" s="6" t="inlineStr">
        <is>
          <t>Pivô 109</t>
        </is>
      </c>
      <c r="B116" s="6" t="inlineStr">
        <is>
          <t>RM1</t>
        </is>
      </c>
      <c r="C116" s="6" t="inlineStr">
        <is>
          <t>SOJA</t>
        </is>
      </c>
      <c r="D116" s="7" t="inlineStr">
        <is>
          <t>NEO 690 I2X</t>
        </is>
      </c>
      <c r="E116" s="8" t="inlineStr">
        <is>
          <t>PRECOCE</t>
        </is>
      </c>
      <c r="F116" s="9" t="n">
        <v>100</v>
      </c>
      <c r="G116" s="10" t="n">
        <v>46290</v>
      </c>
      <c r="H116" s="11">
        <f>IF($G116="","",IF($G116&gt;DATA_REF,"",DATA_REF-$G116))</f>
        <v/>
      </c>
      <c r="I116" s="12">
        <f>IF($U116="","PENDENTE",IF($H116="","(nao plantado)",IFERROR(INDEX(CURVAS_KC!$B$5:$I$224,MATCH(MIN(MAX($H116,1),220),CURVAS_KC!$A$5:$A$224,0),MATCH($U116,CURVAS_KC!$B$4:$I$4,0)),"PENDENTE")))</f>
        <v/>
      </c>
      <c r="J116" s="13">
        <f>IF($G116="","",$G116)</f>
        <v/>
      </c>
      <c r="K116" s="14">
        <f>IF($J116="","",SUMIFS(ETO_DIARIO!$B$5:$B$404,ETO_DIARIO!$A$5:$A$404,"&gt;"&amp;$J116,ETO_DIARIO!$A$5:$A$404,"&lt;="&amp;DATA_REF))</f>
        <v/>
      </c>
      <c r="L116" s="14">
        <f>IF($J116="","",SUMIFS(ETO_DIARIO!$C$5:$C$404,ETO_DIARIO!$A$5:$A$404,"&gt;"&amp;$J116,ETO_DIARIO!$A$5:$A$404,"&lt;="&amp;DATA_REF))</f>
        <v/>
      </c>
      <c r="M116" s="14">
        <f>IF(OR($I116="",$I116="PENDENTE",$I116="(nao plantado)",$K116=""),"",$I116*$K116)</f>
        <v/>
      </c>
      <c r="N116" s="14">
        <f>IF($M116="","",MAX(0,$M116-N($L116)))</f>
        <v/>
      </c>
      <c r="O116" s="14">
        <f>IF($N116="","",$N116/EF_APLIC)</f>
        <v/>
      </c>
      <c r="P116" s="8" t="n"/>
      <c r="Q116" s="15">
        <f>IF(OR($V116="",$P116=""),"",IFERROR(INDEX(LAMINA_HORA!$C$5:$V$114,MATCH($V116,LAMINA_HORA!$A$5:$A$114,0),MATCH($P116,LAMINA_HORA!$C$3:$V$3,0)),"?"))</f>
        <v/>
      </c>
      <c r="R116" s="15">
        <f>IF(OR($V116="",$P116=""),"",IFERROR(INDEX(LAMINA_HORA!$W$5:$AP$114,MATCH($V116,LAMINA_HORA!$A$5:$A$114,0),MATCH($P116,LAMINA_HORA!$W$3:$AP$3,0)),"?"))</f>
        <v/>
      </c>
      <c r="S116" s="16">
        <f>IF($I116="PENDENTE","Definir Kc/classe",IF($I116="(nao plantado)","Aguardar plantio",IF($N116="","-",IF($N116&gt;=TURNO,"IRRIGAR",IF($N116&gt;=TURNO*FRAC_ACOMP,"Acompanhar","Aguardar")))))</f>
        <v/>
      </c>
      <c r="T116" s="16">
        <f>IF(OR($N116="",$N116=0),"-",IF($N116&gt;=2*TURNO,"Alta",IF($N116&gt;=TURNO,"Media","Baixa")))</f>
        <v/>
      </c>
      <c r="U116" s="17" t="inlineStr">
        <is>
          <t>SOJA_PRECOCE</t>
        </is>
      </c>
      <c r="V116" s="8" t="inlineStr">
        <is>
          <t>P109</t>
        </is>
      </c>
    </row>
    <row r="117">
      <c r="A117" s="6" t="inlineStr">
        <is>
          <t>Pivô 110</t>
        </is>
      </c>
      <c r="B117" s="6" t="inlineStr">
        <is>
          <t>RM4</t>
        </is>
      </c>
      <c r="C117" s="6" t="inlineStr">
        <is>
          <t>SOJA</t>
        </is>
      </c>
      <c r="D117" s="7" t="inlineStr">
        <is>
          <t>NEO 690 I2X</t>
        </is>
      </c>
      <c r="E117" s="8" t="inlineStr">
        <is>
          <t>PRECOCE</t>
        </is>
      </c>
      <c r="F117" s="9" t="n">
        <v>100</v>
      </c>
      <c r="G117" s="10" t="n">
        <v>46290</v>
      </c>
      <c r="H117" s="11">
        <f>IF($G117="","",IF($G117&gt;DATA_REF,"",DATA_REF-$G117))</f>
        <v/>
      </c>
      <c r="I117" s="12">
        <f>IF($U117="","PENDENTE",IF($H117="","(nao plantado)",IFERROR(INDEX(CURVAS_KC!$B$5:$I$224,MATCH(MIN(MAX($H117,1),220),CURVAS_KC!$A$5:$A$224,0),MATCH($U117,CURVAS_KC!$B$4:$I$4,0)),"PENDENTE")))</f>
        <v/>
      </c>
      <c r="J117" s="13">
        <f>IF($G117="","",$G117)</f>
        <v/>
      </c>
      <c r="K117" s="14">
        <f>IF($J117="","",SUMIFS(ETO_DIARIO!$B$5:$B$404,ETO_DIARIO!$A$5:$A$404,"&gt;"&amp;$J117,ETO_DIARIO!$A$5:$A$404,"&lt;="&amp;DATA_REF))</f>
        <v/>
      </c>
      <c r="L117" s="14">
        <f>IF($J117="","",SUMIFS(ETO_DIARIO!$C$5:$C$404,ETO_DIARIO!$A$5:$A$404,"&gt;"&amp;$J117,ETO_DIARIO!$A$5:$A$404,"&lt;="&amp;DATA_REF))</f>
        <v/>
      </c>
      <c r="M117" s="14">
        <f>IF(OR($I117="",$I117="PENDENTE",$I117="(nao plantado)",$K117=""),"",$I117*$K117)</f>
        <v/>
      </c>
      <c r="N117" s="14">
        <f>IF($M117="","",MAX(0,$M117-N($L117)))</f>
        <v/>
      </c>
      <c r="O117" s="14">
        <f>IF($N117="","",$N117/EF_APLIC)</f>
        <v/>
      </c>
      <c r="P117" s="8" t="n"/>
      <c r="Q117" s="15">
        <f>IF(OR($V117="",$P117=""),"",IFERROR(INDEX(LAMINA_HORA!$C$5:$V$114,MATCH($V117,LAMINA_HORA!$A$5:$A$114,0),MATCH($P117,LAMINA_HORA!$C$3:$V$3,0)),"?"))</f>
        <v/>
      </c>
      <c r="R117" s="15">
        <f>IF(OR($V117="",$P117=""),"",IFERROR(INDEX(LAMINA_HORA!$W$5:$AP$114,MATCH($V117,LAMINA_HORA!$A$5:$A$114,0),MATCH($P117,LAMINA_HORA!$W$3:$AP$3,0)),"?"))</f>
        <v/>
      </c>
      <c r="S117" s="16">
        <f>IF($I117="PENDENTE","Definir Kc/classe",IF($I117="(nao plantado)","Aguardar plantio",IF($N117="","-",IF($N117&gt;=TURNO,"IRRIGAR",IF($N117&gt;=TURNO*FRAC_ACOMP,"Acompanhar","Aguardar")))))</f>
        <v/>
      </c>
      <c r="T117" s="16">
        <f>IF(OR($N117="",$N117=0),"-",IF($N117&gt;=2*TURNO,"Alta",IF($N117&gt;=TURNO,"Media","Baixa")))</f>
        <v/>
      </c>
      <c r="U117" s="17" t="inlineStr">
        <is>
          <t>SOJA_PRECOCE</t>
        </is>
      </c>
      <c r="V117" s="8" t="inlineStr">
        <is>
          <t>P110</t>
        </is>
      </c>
    </row>
    <row r="118">
      <c r="A118" s="6" t="inlineStr">
        <is>
          <t>Pivô 112</t>
        </is>
      </c>
      <c r="B118" s="6" t="inlineStr">
        <is>
          <t>RM5</t>
        </is>
      </c>
      <c r="C118" s="6" t="inlineStr">
        <is>
          <t>SOJA</t>
        </is>
      </c>
      <c r="D118" s="7" t="inlineStr">
        <is>
          <t>NEO 761 I2X</t>
        </is>
      </c>
      <c r="E118" s="8" t="inlineStr">
        <is>
          <t>PRECOCE</t>
        </is>
      </c>
      <c r="F118" s="9" t="n">
        <v>150</v>
      </c>
      <c r="G118" s="10" t="n">
        <v>46307</v>
      </c>
      <c r="H118" s="11">
        <f>IF($G118="","",IF($G118&gt;DATA_REF,"",DATA_REF-$G118))</f>
        <v/>
      </c>
      <c r="I118" s="12">
        <f>IF($U118="","PENDENTE",IF($H118="","(nao plantado)",IFERROR(INDEX(CURVAS_KC!$B$5:$I$224,MATCH(MIN(MAX($H118,1),220),CURVAS_KC!$A$5:$A$224,0),MATCH($U118,CURVAS_KC!$B$4:$I$4,0)),"PENDENTE")))</f>
        <v/>
      </c>
      <c r="J118" s="13">
        <f>IF($G118="","",$G118)</f>
        <v/>
      </c>
      <c r="K118" s="14">
        <f>IF($J118="","",SUMIFS(ETO_DIARIO!$B$5:$B$404,ETO_DIARIO!$A$5:$A$404,"&gt;"&amp;$J118,ETO_DIARIO!$A$5:$A$404,"&lt;="&amp;DATA_REF))</f>
        <v/>
      </c>
      <c r="L118" s="14">
        <f>IF($J118="","",SUMIFS(ETO_DIARIO!$C$5:$C$404,ETO_DIARIO!$A$5:$A$404,"&gt;"&amp;$J118,ETO_DIARIO!$A$5:$A$404,"&lt;="&amp;DATA_REF))</f>
        <v/>
      </c>
      <c r="M118" s="14">
        <f>IF(OR($I118="",$I118="PENDENTE",$I118="(nao plantado)",$K118=""),"",$I118*$K118)</f>
        <v/>
      </c>
      <c r="N118" s="14">
        <f>IF($M118="","",MAX(0,$M118-N($L118)))</f>
        <v/>
      </c>
      <c r="O118" s="14">
        <f>IF($N118="","",$N118/EF_APLIC)</f>
        <v/>
      </c>
      <c r="P118" s="8" t="n"/>
      <c r="Q118" s="15">
        <f>IF(OR($V118="",$P118=""),"",IFERROR(INDEX(LAMINA_HORA!$C$5:$V$114,MATCH($V118,LAMINA_HORA!$A$5:$A$114,0),MATCH($P118,LAMINA_HORA!$C$3:$V$3,0)),"?"))</f>
        <v/>
      </c>
      <c r="R118" s="15">
        <f>IF(OR($V118="",$P118=""),"",IFERROR(INDEX(LAMINA_HORA!$W$5:$AP$114,MATCH($V118,LAMINA_HORA!$A$5:$A$114,0),MATCH($P118,LAMINA_HORA!$W$3:$AP$3,0)),"?"))</f>
        <v/>
      </c>
      <c r="S118" s="16">
        <f>IF($I118="PENDENTE","Definir Kc/classe",IF($I118="(nao plantado)","Aguardar plantio",IF($N118="","-",IF($N118&gt;=TURNO,"IRRIGAR",IF($N118&gt;=TURNO*FRAC_ACOMP,"Acompanhar","Aguardar")))))</f>
        <v/>
      </c>
      <c r="T118" s="16">
        <f>IF(OR($N118="",$N118=0),"-",IF($N118&gt;=2*TURNO,"Alta",IF($N118&gt;=TURNO,"Media","Baixa")))</f>
        <v/>
      </c>
      <c r="U118" s="17" t="inlineStr">
        <is>
          <t>SOJA_PRECOCE</t>
        </is>
      </c>
      <c r="V118" s="8" t="inlineStr">
        <is>
          <t>P112</t>
        </is>
      </c>
    </row>
    <row r="119">
      <c r="A119" s="6" t="inlineStr">
        <is>
          <t>Pivô 113</t>
        </is>
      </c>
      <c r="B119" s="6" t="inlineStr">
        <is>
          <t>RM5</t>
        </is>
      </c>
      <c r="C119" s="6" t="inlineStr">
        <is>
          <t>SOJA</t>
        </is>
      </c>
      <c r="D119" s="7" t="inlineStr">
        <is>
          <t>NEO 761 I2X</t>
        </is>
      </c>
      <c r="E119" s="8" t="inlineStr">
        <is>
          <t>PRECOCE</t>
        </is>
      </c>
      <c r="F119" s="9" t="n">
        <v>150</v>
      </c>
      <c r="G119" s="10" t="n">
        <v>46307</v>
      </c>
      <c r="H119" s="11">
        <f>IF($G119="","",IF($G119&gt;DATA_REF,"",DATA_REF-$G119))</f>
        <v/>
      </c>
      <c r="I119" s="12">
        <f>IF($U119="","PENDENTE",IF($H119="","(nao plantado)",IFERROR(INDEX(CURVAS_KC!$B$5:$I$224,MATCH(MIN(MAX($H119,1),220),CURVAS_KC!$A$5:$A$224,0),MATCH($U119,CURVAS_KC!$B$4:$I$4,0)),"PENDENTE")))</f>
        <v/>
      </c>
      <c r="J119" s="13">
        <f>IF($G119="","",$G119)</f>
        <v/>
      </c>
      <c r="K119" s="14">
        <f>IF($J119="","",SUMIFS(ETO_DIARIO!$B$5:$B$404,ETO_DIARIO!$A$5:$A$404,"&gt;"&amp;$J119,ETO_DIARIO!$A$5:$A$404,"&lt;="&amp;DATA_REF))</f>
        <v/>
      </c>
      <c r="L119" s="14">
        <f>IF($J119="","",SUMIFS(ETO_DIARIO!$C$5:$C$404,ETO_DIARIO!$A$5:$A$404,"&gt;"&amp;$J119,ETO_DIARIO!$A$5:$A$404,"&lt;="&amp;DATA_REF))</f>
        <v/>
      </c>
      <c r="M119" s="14">
        <f>IF(OR($I119="",$I119="PENDENTE",$I119="(nao plantado)",$K119=""),"",$I119*$K119)</f>
        <v/>
      </c>
      <c r="N119" s="14">
        <f>IF($M119="","",MAX(0,$M119-N($L119)))</f>
        <v/>
      </c>
      <c r="O119" s="14">
        <f>IF($N119="","",$N119/EF_APLIC)</f>
        <v/>
      </c>
      <c r="P119" s="8" t="n"/>
      <c r="Q119" s="15">
        <f>IF(OR($V119="",$P119=""),"",IFERROR(INDEX(LAMINA_HORA!$C$5:$V$114,MATCH($V119,LAMINA_HORA!$A$5:$A$114,0),MATCH($P119,LAMINA_HORA!$C$3:$V$3,0)),"?"))</f>
        <v/>
      </c>
      <c r="R119" s="15">
        <f>IF(OR($V119="",$P119=""),"",IFERROR(INDEX(LAMINA_HORA!$W$5:$AP$114,MATCH($V119,LAMINA_HORA!$A$5:$A$114,0),MATCH($P119,LAMINA_HORA!$W$3:$AP$3,0)),"?"))</f>
        <v/>
      </c>
      <c r="S119" s="16">
        <f>IF($I119="PENDENTE","Definir Kc/classe",IF($I119="(nao plantado)","Aguardar plantio",IF($N119="","-",IF($N119&gt;=TURNO,"IRRIGAR",IF($N119&gt;=TURNO*FRAC_ACOMP,"Acompanhar","Aguardar")))))</f>
        <v/>
      </c>
      <c r="T119" s="16">
        <f>IF(OR($N119="",$N119=0),"-",IF($N119&gt;=2*TURNO,"Alta",IF($N119&gt;=TURNO,"Media","Baixa")))</f>
        <v/>
      </c>
      <c r="U119" s="17" t="inlineStr">
        <is>
          <t>SOJA_PRECOCE</t>
        </is>
      </c>
      <c r="V119" s="8" t="inlineStr">
        <is>
          <t>P113</t>
        </is>
      </c>
    </row>
    <row r="120">
      <c r="A120" s="6" t="inlineStr">
        <is>
          <t>Pivô 114</t>
        </is>
      </c>
      <c r="B120" s="6" t="inlineStr">
        <is>
          <t>RM5</t>
        </is>
      </c>
      <c r="C120" s="6" t="inlineStr">
        <is>
          <t>ALGODÃO</t>
        </is>
      </c>
      <c r="D120" s="7" t="inlineStr">
        <is>
          <t>FM 974 GLT</t>
        </is>
      </c>
      <c r="E120" s="8" t="inlineStr">
        <is>
          <t>MEDIO</t>
        </is>
      </c>
      <c r="F120" s="9" t="n">
        <v>120</v>
      </c>
      <c r="G120" s="10" t="n">
        <v>46356</v>
      </c>
      <c r="H120" s="11">
        <f>IF($G120="","",IF($G120&gt;DATA_REF,"",DATA_REF-$G120))</f>
        <v/>
      </c>
      <c r="I120" s="12">
        <f>IF($U120="","PENDENTE",IF($H120="","(nao plantado)",IFERROR(INDEX(CURVAS_KC!$B$5:$I$224,MATCH(MIN(MAX($H120,1),220),CURVAS_KC!$A$5:$A$224,0),MATCH($U120,CURVAS_KC!$B$4:$I$4,0)),"PENDENTE")))</f>
        <v/>
      </c>
      <c r="J120" s="13">
        <f>IF($G120="","",$G120)</f>
        <v/>
      </c>
      <c r="K120" s="14">
        <f>IF($J120="","",SUMIFS(ETO_DIARIO!$B$5:$B$404,ETO_DIARIO!$A$5:$A$404,"&gt;"&amp;$J120,ETO_DIARIO!$A$5:$A$404,"&lt;="&amp;DATA_REF))</f>
        <v/>
      </c>
      <c r="L120" s="14">
        <f>IF($J120="","",SUMIFS(ETO_DIARIO!$C$5:$C$404,ETO_DIARIO!$A$5:$A$404,"&gt;"&amp;$J120,ETO_DIARIO!$A$5:$A$404,"&lt;="&amp;DATA_REF))</f>
        <v/>
      </c>
      <c r="M120" s="14">
        <f>IF(OR($I120="",$I120="PENDENTE",$I120="(nao plantado)",$K120=""),"",$I120*$K120)</f>
        <v/>
      </c>
      <c r="N120" s="14">
        <f>IF($M120="","",MAX(0,$M120-N($L120)))</f>
        <v/>
      </c>
      <c r="O120" s="14">
        <f>IF($N120="","",$N120/EF_APLIC)</f>
        <v/>
      </c>
      <c r="P120" s="8" t="n"/>
      <c r="Q120" s="15">
        <f>IF(OR($V120="",$P120=""),"",IFERROR(INDEX(LAMINA_HORA!$C$5:$V$114,MATCH($V120,LAMINA_HORA!$A$5:$A$114,0),MATCH($P120,LAMINA_HORA!$C$3:$V$3,0)),"?"))</f>
        <v/>
      </c>
      <c r="R120" s="15">
        <f>IF(OR($V120="",$P120=""),"",IFERROR(INDEX(LAMINA_HORA!$W$5:$AP$114,MATCH($V120,LAMINA_HORA!$A$5:$A$114,0),MATCH($P120,LAMINA_HORA!$W$3:$AP$3,0)),"?"))</f>
        <v/>
      </c>
      <c r="S120" s="16">
        <f>IF($I120="PENDENTE","Definir Kc/classe",IF($I120="(nao plantado)","Aguardar plantio",IF($N120="","-",IF($N120&gt;=TURNO,"IRRIGAR",IF($N120&gt;=TURNO*FRAC_ACOMP,"Acompanhar","Aguardar")))))</f>
        <v/>
      </c>
      <c r="T120" s="16">
        <f>IF(OR($N120="",$N120=0),"-",IF($N120&gt;=2*TURNO,"Alta",IF($N120&gt;=TURNO,"Media","Baixa")))</f>
        <v/>
      </c>
      <c r="U120" s="17" t="inlineStr">
        <is>
          <t>ALG_MEDIO</t>
        </is>
      </c>
      <c r="V120" s="8" t="inlineStr">
        <is>
          <t>P114</t>
        </is>
      </c>
    </row>
    <row r="121">
      <c r="A121" s="6" t="inlineStr">
        <is>
          <t>Pivô 115</t>
        </is>
      </c>
      <c r="B121" s="6" t="inlineStr">
        <is>
          <t>RM5</t>
        </is>
      </c>
      <c r="C121" s="6" t="inlineStr">
        <is>
          <t>ALGODÃO</t>
        </is>
      </c>
      <c r="D121" s="7" t="inlineStr">
        <is>
          <t>IMA 5901 B2RF</t>
        </is>
      </c>
      <c r="E121" s="8" t="inlineStr">
        <is>
          <t>MEDIO</t>
        </is>
      </c>
      <c r="F121" s="9" t="n">
        <v>150</v>
      </c>
      <c r="G121" s="10" t="n">
        <v>46356</v>
      </c>
      <c r="H121" s="11">
        <f>IF($G121="","",IF($G121&gt;DATA_REF,"",DATA_REF-$G121))</f>
        <v/>
      </c>
      <c r="I121" s="12">
        <f>IF($U121="","PENDENTE",IF($H121="","(nao plantado)",IFERROR(INDEX(CURVAS_KC!$B$5:$I$224,MATCH(MIN(MAX($H121,1),220),CURVAS_KC!$A$5:$A$224,0),MATCH($U121,CURVAS_KC!$B$4:$I$4,0)),"PENDENTE")))</f>
        <v/>
      </c>
      <c r="J121" s="13">
        <f>IF($G121="","",$G121)</f>
        <v/>
      </c>
      <c r="K121" s="14">
        <f>IF($J121="","",SUMIFS(ETO_DIARIO!$B$5:$B$404,ETO_DIARIO!$A$5:$A$404,"&gt;"&amp;$J121,ETO_DIARIO!$A$5:$A$404,"&lt;="&amp;DATA_REF))</f>
        <v/>
      </c>
      <c r="L121" s="14">
        <f>IF($J121="","",SUMIFS(ETO_DIARIO!$C$5:$C$404,ETO_DIARIO!$A$5:$A$404,"&gt;"&amp;$J121,ETO_DIARIO!$A$5:$A$404,"&lt;="&amp;DATA_REF))</f>
        <v/>
      </c>
      <c r="M121" s="14">
        <f>IF(OR($I121="",$I121="PENDENTE",$I121="(nao plantado)",$K121=""),"",$I121*$K121)</f>
        <v/>
      </c>
      <c r="N121" s="14">
        <f>IF($M121="","",MAX(0,$M121-N($L121)))</f>
        <v/>
      </c>
      <c r="O121" s="14">
        <f>IF($N121="","",$N121/EF_APLIC)</f>
        <v/>
      </c>
      <c r="P121" s="8" t="n"/>
      <c r="Q121" s="15">
        <f>IF(OR($V121="",$P121=""),"",IFERROR(INDEX(LAMINA_HORA!$C$5:$V$114,MATCH($V121,LAMINA_HORA!$A$5:$A$114,0),MATCH($P121,LAMINA_HORA!$C$3:$V$3,0)),"?"))</f>
        <v/>
      </c>
      <c r="R121" s="15">
        <f>IF(OR($V121="",$P121=""),"",IFERROR(INDEX(LAMINA_HORA!$W$5:$AP$114,MATCH($V121,LAMINA_HORA!$A$5:$A$114,0),MATCH($P121,LAMINA_HORA!$W$3:$AP$3,0)),"?"))</f>
        <v/>
      </c>
      <c r="S121" s="16">
        <f>IF($I121="PENDENTE","Definir Kc/classe",IF($I121="(nao plantado)","Aguardar plantio",IF($N121="","-",IF($N121&gt;=TURNO,"IRRIGAR",IF($N121&gt;=TURNO*FRAC_ACOMP,"Acompanhar","Aguardar")))))</f>
        <v/>
      </c>
      <c r="T121" s="16">
        <f>IF(OR($N121="",$N121=0),"-",IF($N121&gt;=2*TURNO,"Alta",IF($N121&gt;=TURNO,"Media","Baixa")))</f>
        <v/>
      </c>
      <c r="U121" s="17" t="inlineStr">
        <is>
          <t>ALG_MEDIO</t>
        </is>
      </c>
      <c r="V121" s="8" t="inlineStr">
        <is>
          <t>P115</t>
        </is>
      </c>
    </row>
    <row r="122">
      <c r="A122" s="6" t="inlineStr">
        <is>
          <t>Pivô 116</t>
        </is>
      </c>
      <c r="B122" s="6" t="inlineStr">
        <is>
          <t>RM6</t>
        </is>
      </c>
      <c r="C122" s="6" t="inlineStr">
        <is>
          <t>ALGODÃO</t>
        </is>
      </c>
      <c r="D122" s="7" t="inlineStr">
        <is>
          <t>FM 974 GLT</t>
        </is>
      </c>
      <c r="E122" s="8" t="inlineStr">
        <is>
          <t>MEDIO</t>
        </is>
      </c>
      <c r="F122" s="9" t="n">
        <v>150</v>
      </c>
      <c r="G122" s="10" t="n">
        <v>46355</v>
      </c>
      <c r="H122" s="11">
        <f>IF($G122="","",IF($G122&gt;DATA_REF,"",DATA_REF-$G122))</f>
        <v/>
      </c>
      <c r="I122" s="12">
        <f>IF($U122="","PENDENTE",IF($H122="","(nao plantado)",IFERROR(INDEX(CURVAS_KC!$B$5:$I$224,MATCH(MIN(MAX($H122,1),220),CURVAS_KC!$A$5:$A$224,0),MATCH($U122,CURVAS_KC!$B$4:$I$4,0)),"PENDENTE")))</f>
        <v/>
      </c>
      <c r="J122" s="13">
        <f>IF($G122="","",$G122)</f>
        <v/>
      </c>
      <c r="K122" s="14">
        <f>IF($J122="","",SUMIFS(ETO_DIARIO!$B$5:$B$404,ETO_DIARIO!$A$5:$A$404,"&gt;"&amp;$J122,ETO_DIARIO!$A$5:$A$404,"&lt;="&amp;DATA_REF))</f>
        <v/>
      </c>
      <c r="L122" s="14">
        <f>IF($J122="","",SUMIFS(ETO_DIARIO!$C$5:$C$404,ETO_DIARIO!$A$5:$A$404,"&gt;"&amp;$J122,ETO_DIARIO!$A$5:$A$404,"&lt;="&amp;DATA_REF))</f>
        <v/>
      </c>
      <c r="M122" s="14">
        <f>IF(OR($I122="",$I122="PENDENTE",$I122="(nao plantado)",$K122=""),"",$I122*$K122)</f>
        <v/>
      </c>
      <c r="N122" s="14">
        <f>IF($M122="","",MAX(0,$M122-N($L122)))</f>
        <v/>
      </c>
      <c r="O122" s="14">
        <f>IF($N122="","",$N122/EF_APLIC)</f>
        <v/>
      </c>
      <c r="P122" s="8" t="n"/>
      <c r="Q122" s="15">
        <f>IF(OR($V122="",$P122=""),"",IFERROR(INDEX(LAMINA_HORA!$C$5:$V$114,MATCH($V122,LAMINA_HORA!$A$5:$A$114,0),MATCH($P122,LAMINA_HORA!$C$3:$V$3,0)),"?"))</f>
        <v/>
      </c>
      <c r="R122" s="15">
        <f>IF(OR($V122="",$P122=""),"",IFERROR(INDEX(LAMINA_HORA!$W$5:$AP$114,MATCH($V122,LAMINA_HORA!$A$5:$A$114,0),MATCH($P122,LAMINA_HORA!$W$3:$AP$3,0)),"?"))</f>
        <v/>
      </c>
      <c r="S122" s="16">
        <f>IF($I122="PENDENTE","Definir Kc/classe",IF($I122="(nao plantado)","Aguardar plantio",IF($N122="","-",IF($N122&gt;=TURNO,"IRRIGAR",IF($N122&gt;=TURNO*FRAC_ACOMP,"Acompanhar","Aguardar")))))</f>
        <v/>
      </c>
      <c r="T122" s="16">
        <f>IF(OR($N122="",$N122=0),"-",IF($N122&gt;=2*TURNO,"Alta",IF($N122&gt;=TURNO,"Media","Baixa")))</f>
        <v/>
      </c>
      <c r="U122" s="17" t="inlineStr">
        <is>
          <t>ALG_MEDIO</t>
        </is>
      </c>
      <c r="V122" s="8" t="inlineStr">
        <is>
          <t>P116</t>
        </is>
      </c>
    </row>
    <row r="123">
      <c r="A123" s="6" t="inlineStr">
        <is>
          <t>Pivô 117</t>
        </is>
      </c>
      <c r="B123" s="6" t="inlineStr">
        <is>
          <t>RM6</t>
        </is>
      </c>
      <c r="C123" s="6" t="inlineStr">
        <is>
          <t>ALGODÃO</t>
        </is>
      </c>
      <c r="D123" s="7" t="inlineStr">
        <is>
          <t>IMA 5901 B2RF</t>
        </is>
      </c>
      <c r="E123" s="8" t="inlineStr">
        <is>
          <t>MEDIO</t>
        </is>
      </c>
      <c r="F123" s="9" t="n">
        <v>150</v>
      </c>
      <c r="G123" s="10" t="n">
        <v>46356</v>
      </c>
      <c r="H123" s="11">
        <f>IF($G123="","",IF($G123&gt;DATA_REF,"",DATA_REF-$G123))</f>
        <v/>
      </c>
      <c r="I123" s="12">
        <f>IF($U123="","PENDENTE",IF($H123="","(nao plantado)",IFERROR(INDEX(CURVAS_KC!$B$5:$I$224,MATCH(MIN(MAX($H123,1),220),CURVAS_KC!$A$5:$A$224,0),MATCH($U123,CURVAS_KC!$B$4:$I$4,0)),"PENDENTE")))</f>
        <v/>
      </c>
      <c r="J123" s="13">
        <f>IF($G123="","",$G123)</f>
        <v/>
      </c>
      <c r="K123" s="14">
        <f>IF($J123="","",SUMIFS(ETO_DIARIO!$B$5:$B$404,ETO_DIARIO!$A$5:$A$404,"&gt;"&amp;$J123,ETO_DIARIO!$A$5:$A$404,"&lt;="&amp;DATA_REF))</f>
        <v/>
      </c>
      <c r="L123" s="14">
        <f>IF($J123="","",SUMIFS(ETO_DIARIO!$C$5:$C$404,ETO_DIARIO!$A$5:$A$404,"&gt;"&amp;$J123,ETO_DIARIO!$A$5:$A$404,"&lt;="&amp;DATA_REF))</f>
        <v/>
      </c>
      <c r="M123" s="14">
        <f>IF(OR($I123="",$I123="PENDENTE",$I123="(nao plantado)",$K123=""),"",$I123*$K123)</f>
        <v/>
      </c>
      <c r="N123" s="14">
        <f>IF($M123="","",MAX(0,$M123-N($L123)))</f>
        <v/>
      </c>
      <c r="O123" s="14">
        <f>IF($N123="","",$N123/EF_APLIC)</f>
        <v/>
      </c>
      <c r="P123" s="8" t="n"/>
      <c r="Q123" s="15">
        <f>IF(OR($V123="",$P123=""),"",IFERROR(INDEX(LAMINA_HORA!$C$5:$V$114,MATCH($V123,LAMINA_HORA!$A$5:$A$114,0),MATCH($P123,LAMINA_HORA!$C$3:$V$3,0)),"?"))</f>
        <v/>
      </c>
      <c r="R123" s="15">
        <f>IF(OR($V123="",$P123=""),"",IFERROR(INDEX(LAMINA_HORA!$W$5:$AP$114,MATCH($V123,LAMINA_HORA!$A$5:$A$114,0),MATCH($P123,LAMINA_HORA!$W$3:$AP$3,0)),"?"))</f>
        <v/>
      </c>
      <c r="S123" s="16">
        <f>IF($I123="PENDENTE","Definir Kc/classe",IF($I123="(nao plantado)","Aguardar plantio",IF($N123="","-",IF($N123&gt;=TURNO,"IRRIGAR",IF($N123&gt;=TURNO*FRAC_ACOMP,"Acompanhar","Aguardar")))))</f>
        <v/>
      </c>
      <c r="T123" s="16">
        <f>IF(OR($N123="",$N123=0),"-",IF($N123&gt;=2*TURNO,"Alta",IF($N123&gt;=TURNO,"Media","Baixa")))</f>
        <v/>
      </c>
      <c r="U123" s="17" t="inlineStr">
        <is>
          <t>ALG_MEDIO</t>
        </is>
      </c>
      <c r="V123" s="8" t="inlineStr">
        <is>
          <t>P117</t>
        </is>
      </c>
    </row>
    <row r="124">
      <c r="A124" s="6" t="inlineStr">
        <is>
          <t>Pivô 118</t>
        </is>
      </c>
      <c r="B124" s="6" t="inlineStr">
        <is>
          <t>RM6</t>
        </is>
      </c>
      <c r="C124" s="6" t="inlineStr">
        <is>
          <t>TABACO</t>
        </is>
      </c>
      <c r="D124" s="7" t="inlineStr">
        <is>
          <t>PVH-2343</t>
        </is>
      </c>
      <c r="E124" s="8" t="inlineStr"/>
      <c r="F124" s="9" t="n">
        <v>147</v>
      </c>
      <c r="G124" s="10" t="n">
        <v>46389</v>
      </c>
      <c r="H124" s="11">
        <f>IF($G124="","",IF($G124&gt;DATA_REF,"",DATA_REF-$G124))</f>
        <v/>
      </c>
      <c r="I124" s="12">
        <f>IF($U124="","PENDENTE",IF($H124="","(nao plantado)",IFERROR(INDEX(CURVAS_KC!$B$5:$I$224,MATCH(MIN(MAX($H124,1),220),CURVAS_KC!$A$5:$A$224,0),MATCH($U124,CURVAS_KC!$B$4:$I$4,0)),"PENDENTE")))</f>
        <v/>
      </c>
      <c r="J124" s="13">
        <f>IF($G124="","",$G124)</f>
        <v/>
      </c>
      <c r="K124" s="14">
        <f>IF($J124="","",SUMIFS(ETO_DIARIO!$B$5:$B$404,ETO_DIARIO!$A$5:$A$404,"&gt;"&amp;$J124,ETO_DIARIO!$A$5:$A$404,"&lt;="&amp;DATA_REF))</f>
        <v/>
      </c>
      <c r="L124" s="14">
        <f>IF($J124="","",SUMIFS(ETO_DIARIO!$C$5:$C$404,ETO_DIARIO!$A$5:$A$404,"&gt;"&amp;$J124,ETO_DIARIO!$A$5:$A$404,"&lt;="&amp;DATA_REF))</f>
        <v/>
      </c>
      <c r="M124" s="14">
        <f>IF(OR($I124="",$I124="PENDENTE",$I124="(nao plantado)",$K124=""),"",$I124*$K124)</f>
        <v/>
      </c>
      <c r="N124" s="14">
        <f>IF($M124="","",MAX(0,$M124-N($L124)))</f>
        <v/>
      </c>
      <c r="O124" s="14">
        <f>IF($N124="","",$N124/EF_APLIC)</f>
        <v/>
      </c>
      <c r="P124" s="8" t="n"/>
      <c r="Q124" s="15">
        <f>IF(OR($V124="",$P124=""),"",IFERROR(INDEX(LAMINA_HORA!$C$5:$V$114,MATCH($V124,LAMINA_HORA!$A$5:$A$114,0),MATCH($P124,LAMINA_HORA!$C$3:$V$3,0)),"?"))</f>
        <v/>
      </c>
      <c r="R124" s="15">
        <f>IF(OR($V124="",$P124=""),"",IFERROR(INDEX(LAMINA_HORA!$W$5:$AP$114,MATCH($V124,LAMINA_HORA!$A$5:$A$114,0),MATCH($P124,LAMINA_HORA!$W$3:$AP$3,0)),"?"))</f>
        <v/>
      </c>
      <c r="S124" s="16">
        <f>IF($I124="PENDENTE","Definir Kc/classe",IF($I124="(nao plantado)","Aguardar plantio",IF($N124="","-",IF($N124&gt;=TURNO,"IRRIGAR",IF($N124&gt;=TURNO*FRAC_ACOMP,"Acompanhar","Aguardar")))))</f>
        <v/>
      </c>
      <c r="T124" s="16">
        <f>IF(OR($N124="",$N124=0),"-",IF($N124&gt;=2*TURNO,"Alta",IF($N124&gt;=TURNO,"Media","Baixa")))</f>
        <v/>
      </c>
      <c r="U124" s="17" t="inlineStr">
        <is>
          <t>TABACO</t>
        </is>
      </c>
      <c r="V124" s="8" t="inlineStr">
        <is>
          <t>P118</t>
        </is>
      </c>
    </row>
    <row r="125">
      <c r="A125" s="6" t="inlineStr">
        <is>
          <t>Pivô 119</t>
        </is>
      </c>
      <c r="B125" s="6" t="inlineStr">
        <is>
          <t>RM6</t>
        </is>
      </c>
      <c r="C125" s="6" t="inlineStr">
        <is>
          <t>TABACO</t>
        </is>
      </c>
      <c r="D125" s="7" t="inlineStr">
        <is>
          <t>PVH-2343</t>
        </is>
      </c>
      <c r="E125" s="8" t="inlineStr"/>
      <c r="F125" s="9" t="n">
        <v>150</v>
      </c>
      <c r="G125" s="10" t="n">
        <v>46380</v>
      </c>
      <c r="H125" s="11">
        <f>IF($G125="","",IF($G125&gt;DATA_REF,"",DATA_REF-$G125))</f>
        <v/>
      </c>
      <c r="I125" s="12">
        <f>IF($U125="","PENDENTE",IF($H125="","(nao plantado)",IFERROR(INDEX(CURVAS_KC!$B$5:$I$224,MATCH(MIN(MAX($H125,1),220),CURVAS_KC!$A$5:$A$224,0),MATCH($U125,CURVAS_KC!$B$4:$I$4,0)),"PENDENTE")))</f>
        <v/>
      </c>
      <c r="J125" s="13">
        <f>IF($G125="","",$G125)</f>
        <v/>
      </c>
      <c r="K125" s="14">
        <f>IF($J125="","",SUMIFS(ETO_DIARIO!$B$5:$B$404,ETO_DIARIO!$A$5:$A$404,"&gt;"&amp;$J125,ETO_DIARIO!$A$5:$A$404,"&lt;="&amp;DATA_REF))</f>
        <v/>
      </c>
      <c r="L125" s="14">
        <f>IF($J125="","",SUMIFS(ETO_DIARIO!$C$5:$C$404,ETO_DIARIO!$A$5:$A$404,"&gt;"&amp;$J125,ETO_DIARIO!$A$5:$A$404,"&lt;="&amp;DATA_REF))</f>
        <v/>
      </c>
      <c r="M125" s="14">
        <f>IF(OR($I125="",$I125="PENDENTE",$I125="(nao plantado)",$K125=""),"",$I125*$K125)</f>
        <v/>
      </c>
      <c r="N125" s="14">
        <f>IF($M125="","",MAX(0,$M125-N($L125)))</f>
        <v/>
      </c>
      <c r="O125" s="14">
        <f>IF($N125="","",$N125/EF_APLIC)</f>
        <v/>
      </c>
      <c r="P125" s="8" t="n"/>
      <c r="Q125" s="15">
        <f>IF(OR($V125="",$P125=""),"",IFERROR(INDEX(LAMINA_HORA!$C$5:$V$114,MATCH($V125,LAMINA_HORA!$A$5:$A$114,0),MATCH($P125,LAMINA_HORA!$C$3:$V$3,0)),"?"))</f>
        <v/>
      </c>
      <c r="R125" s="15">
        <f>IF(OR($V125="",$P125=""),"",IFERROR(INDEX(LAMINA_HORA!$W$5:$AP$114,MATCH($V125,LAMINA_HORA!$A$5:$A$114,0),MATCH($P125,LAMINA_HORA!$W$3:$AP$3,0)),"?"))</f>
        <v/>
      </c>
      <c r="S125" s="16">
        <f>IF($I125="PENDENTE","Definir Kc/classe",IF($I125="(nao plantado)","Aguardar plantio",IF($N125="","-",IF($N125&gt;=TURNO,"IRRIGAR",IF($N125&gt;=TURNO*FRAC_ACOMP,"Acompanhar","Aguardar")))))</f>
        <v/>
      </c>
      <c r="T125" s="16">
        <f>IF(OR($N125="",$N125=0),"-",IF($N125&gt;=2*TURNO,"Alta",IF($N125&gt;=TURNO,"Media","Baixa")))</f>
        <v/>
      </c>
      <c r="U125" s="17" t="inlineStr">
        <is>
          <t>TABACO</t>
        </is>
      </c>
      <c r="V125" s="8" t="inlineStr">
        <is>
          <t>P119</t>
        </is>
      </c>
    </row>
    <row r="126">
      <c r="A126" s="6" t="inlineStr">
        <is>
          <t>Pivô 120</t>
        </is>
      </c>
      <c r="B126" s="6" t="inlineStr">
        <is>
          <t>RM7</t>
        </is>
      </c>
      <c r="C126" s="6" t="inlineStr">
        <is>
          <t>TABACO</t>
        </is>
      </c>
      <c r="D126" s="7" t="inlineStr">
        <is>
          <t>PVH-2343</t>
        </is>
      </c>
      <c r="E126" s="8" t="inlineStr"/>
      <c r="F126" s="9" t="n">
        <v>147</v>
      </c>
      <c r="G126" s="10" t="n">
        <v>46399</v>
      </c>
      <c r="H126" s="11">
        <f>IF($G126="","",IF($G126&gt;DATA_REF,"",DATA_REF-$G126))</f>
        <v/>
      </c>
      <c r="I126" s="12">
        <f>IF($U126="","PENDENTE",IF($H126="","(nao plantado)",IFERROR(INDEX(CURVAS_KC!$B$5:$I$224,MATCH(MIN(MAX($H126,1),220),CURVAS_KC!$A$5:$A$224,0),MATCH($U126,CURVAS_KC!$B$4:$I$4,0)),"PENDENTE")))</f>
        <v/>
      </c>
      <c r="J126" s="13">
        <f>IF($G126="","",$G126)</f>
        <v/>
      </c>
      <c r="K126" s="14">
        <f>IF($J126="","",SUMIFS(ETO_DIARIO!$B$5:$B$404,ETO_DIARIO!$A$5:$A$404,"&gt;"&amp;$J126,ETO_DIARIO!$A$5:$A$404,"&lt;="&amp;DATA_REF))</f>
        <v/>
      </c>
      <c r="L126" s="14">
        <f>IF($J126="","",SUMIFS(ETO_DIARIO!$C$5:$C$404,ETO_DIARIO!$A$5:$A$404,"&gt;"&amp;$J126,ETO_DIARIO!$A$5:$A$404,"&lt;="&amp;DATA_REF))</f>
        <v/>
      </c>
      <c r="M126" s="14">
        <f>IF(OR($I126="",$I126="PENDENTE",$I126="(nao plantado)",$K126=""),"",$I126*$K126)</f>
        <v/>
      </c>
      <c r="N126" s="14">
        <f>IF($M126="","",MAX(0,$M126-N($L126)))</f>
        <v/>
      </c>
      <c r="O126" s="14">
        <f>IF($N126="","",$N126/EF_APLIC)</f>
        <v/>
      </c>
      <c r="P126" s="8" t="n"/>
      <c r="Q126" s="15">
        <f>IF(OR($V126="",$P126=""),"",IFERROR(INDEX(LAMINA_HORA!$C$5:$V$114,MATCH($V126,LAMINA_HORA!$A$5:$A$114,0),MATCH($P126,LAMINA_HORA!$C$3:$V$3,0)),"?"))</f>
        <v/>
      </c>
      <c r="R126" s="15">
        <f>IF(OR($V126="",$P126=""),"",IFERROR(INDEX(LAMINA_HORA!$W$5:$AP$114,MATCH($V126,LAMINA_HORA!$A$5:$A$114,0),MATCH($P126,LAMINA_HORA!$W$3:$AP$3,0)),"?"))</f>
        <v/>
      </c>
      <c r="S126" s="16">
        <f>IF($I126="PENDENTE","Definir Kc/classe",IF($I126="(nao plantado)","Aguardar plantio",IF($N126="","-",IF($N126&gt;=TURNO,"IRRIGAR",IF($N126&gt;=TURNO*FRAC_ACOMP,"Acompanhar","Aguardar")))))</f>
        <v/>
      </c>
      <c r="T126" s="16">
        <f>IF(OR($N126="",$N126=0),"-",IF($N126&gt;=2*TURNO,"Alta",IF($N126&gt;=TURNO,"Media","Baixa")))</f>
        <v/>
      </c>
      <c r="U126" s="17" t="inlineStr">
        <is>
          <t>TABACO</t>
        </is>
      </c>
      <c r="V126" s="8" t="inlineStr">
        <is>
          <t>P120</t>
        </is>
      </c>
    </row>
    <row r="127">
      <c r="A127" s="6" t="inlineStr">
        <is>
          <t>Pivô 121</t>
        </is>
      </c>
      <c r="B127" s="6" t="inlineStr">
        <is>
          <t>RM7</t>
        </is>
      </c>
      <c r="C127" s="6" t="inlineStr">
        <is>
          <t>SOJA</t>
        </is>
      </c>
      <c r="D127" s="7" t="inlineStr">
        <is>
          <t>BMX Olimpo IPRO</t>
        </is>
      </c>
      <c r="E127" s="8" t="inlineStr">
        <is>
          <t>MEDIA</t>
        </is>
      </c>
      <c r="F127" s="9" t="n">
        <v>145</v>
      </c>
      <c r="G127" s="10" t="n">
        <v>46309</v>
      </c>
      <c r="H127" s="11">
        <f>IF($G127="","",IF($G127&gt;DATA_REF,"",DATA_REF-$G127))</f>
        <v/>
      </c>
      <c r="I127" s="12">
        <f>IF($U127="","PENDENTE",IF($H127="","(nao plantado)",IFERROR(INDEX(CURVAS_KC!$B$5:$I$224,MATCH(MIN(MAX($H127,1),220),CURVAS_KC!$A$5:$A$224,0),MATCH($U127,CURVAS_KC!$B$4:$I$4,0)),"PENDENTE")))</f>
        <v/>
      </c>
      <c r="J127" s="13">
        <f>IF($G127="","",$G127)</f>
        <v/>
      </c>
      <c r="K127" s="14">
        <f>IF($J127="","",SUMIFS(ETO_DIARIO!$B$5:$B$404,ETO_DIARIO!$A$5:$A$404,"&gt;"&amp;$J127,ETO_DIARIO!$A$5:$A$404,"&lt;="&amp;DATA_REF))</f>
        <v/>
      </c>
      <c r="L127" s="14">
        <f>IF($J127="","",SUMIFS(ETO_DIARIO!$C$5:$C$404,ETO_DIARIO!$A$5:$A$404,"&gt;"&amp;$J127,ETO_DIARIO!$A$5:$A$404,"&lt;="&amp;DATA_REF))</f>
        <v/>
      </c>
      <c r="M127" s="14">
        <f>IF(OR($I127="",$I127="PENDENTE",$I127="(nao plantado)",$K127=""),"",$I127*$K127)</f>
        <v/>
      </c>
      <c r="N127" s="14">
        <f>IF($M127="","",MAX(0,$M127-N($L127)))</f>
        <v/>
      </c>
      <c r="O127" s="14">
        <f>IF($N127="","",$N127/EF_APLIC)</f>
        <v/>
      </c>
      <c r="P127" s="8" t="n"/>
      <c r="Q127" s="15">
        <f>IF(OR($V127="",$P127=""),"",IFERROR(INDEX(LAMINA_HORA!$C$5:$V$114,MATCH($V127,LAMINA_HORA!$A$5:$A$114,0),MATCH($P127,LAMINA_HORA!$C$3:$V$3,0)),"?"))</f>
        <v/>
      </c>
      <c r="R127" s="15">
        <f>IF(OR($V127="",$P127=""),"",IFERROR(INDEX(LAMINA_HORA!$W$5:$AP$114,MATCH($V127,LAMINA_HORA!$A$5:$A$114,0),MATCH($P127,LAMINA_HORA!$W$3:$AP$3,0)),"?"))</f>
        <v/>
      </c>
      <c r="S127" s="16">
        <f>IF($I127="PENDENTE","Definir Kc/classe",IF($I127="(nao plantado)","Aguardar plantio",IF($N127="","-",IF($N127&gt;=TURNO,"IRRIGAR",IF($N127&gt;=TURNO*FRAC_ACOMP,"Acompanhar","Aguardar")))))</f>
        <v/>
      </c>
      <c r="T127" s="16">
        <f>IF(OR($N127="",$N127=0),"-",IF($N127&gt;=2*TURNO,"Alta",IF($N127&gt;=TURNO,"Media","Baixa")))</f>
        <v/>
      </c>
      <c r="U127" s="17" t="inlineStr">
        <is>
          <t>SOJA_MEDIA</t>
        </is>
      </c>
      <c r="V127" s="8" t="inlineStr">
        <is>
          <t>P121</t>
        </is>
      </c>
    </row>
    <row r="128">
      <c r="A128" s="6" t="inlineStr">
        <is>
          <t>Pivô 122</t>
        </is>
      </c>
      <c r="B128" s="6" t="inlineStr">
        <is>
          <t>RM7</t>
        </is>
      </c>
      <c r="C128" s="6" t="inlineStr">
        <is>
          <t>SOJA</t>
        </is>
      </c>
      <c r="D128" s="7" t="inlineStr">
        <is>
          <t>NEO 761 I2X</t>
        </is>
      </c>
      <c r="E128" s="8" t="inlineStr">
        <is>
          <t>PRECOCE</t>
        </is>
      </c>
      <c r="F128" s="9" t="n">
        <v>150</v>
      </c>
      <c r="G128" s="10" t="n">
        <v>46309</v>
      </c>
      <c r="H128" s="11">
        <f>IF($G128="","",IF($G128&gt;DATA_REF,"",DATA_REF-$G128))</f>
        <v/>
      </c>
      <c r="I128" s="12">
        <f>IF($U128="","PENDENTE",IF($H128="","(nao plantado)",IFERROR(INDEX(CURVAS_KC!$B$5:$I$224,MATCH(MIN(MAX($H128,1),220),CURVAS_KC!$A$5:$A$224,0),MATCH($U128,CURVAS_KC!$B$4:$I$4,0)),"PENDENTE")))</f>
        <v/>
      </c>
      <c r="J128" s="13">
        <f>IF($G128="","",$G128)</f>
        <v/>
      </c>
      <c r="K128" s="14">
        <f>IF($J128="","",SUMIFS(ETO_DIARIO!$B$5:$B$404,ETO_DIARIO!$A$5:$A$404,"&gt;"&amp;$J128,ETO_DIARIO!$A$5:$A$404,"&lt;="&amp;DATA_REF))</f>
        <v/>
      </c>
      <c r="L128" s="14">
        <f>IF($J128="","",SUMIFS(ETO_DIARIO!$C$5:$C$404,ETO_DIARIO!$A$5:$A$404,"&gt;"&amp;$J128,ETO_DIARIO!$A$5:$A$404,"&lt;="&amp;DATA_REF))</f>
        <v/>
      </c>
      <c r="M128" s="14">
        <f>IF(OR($I128="",$I128="PENDENTE",$I128="(nao plantado)",$K128=""),"",$I128*$K128)</f>
        <v/>
      </c>
      <c r="N128" s="14">
        <f>IF($M128="","",MAX(0,$M128-N($L128)))</f>
        <v/>
      </c>
      <c r="O128" s="14">
        <f>IF($N128="","",$N128/EF_APLIC)</f>
        <v/>
      </c>
      <c r="P128" s="8" t="n"/>
      <c r="Q128" s="15">
        <f>IF(OR($V128="",$P128=""),"",IFERROR(INDEX(LAMINA_HORA!$C$5:$V$114,MATCH($V128,LAMINA_HORA!$A$5:$A$114,0),MATCH($P128,LAMINA_HORA!$C$3:$V$3,0)),"?"))</f>
        <v/>
      </c>
      <c r="R128" s="15">
        <f>IF(OR($V128="",$P128=""),"",IFERROR(INDEX(LAMINA_HORA!$W$5:$AP$114,MATCH($V128,LAMINA_HORA!$A$5:$A$114,0),MATCH($P128,LAMINA_HORA!$W$3:$AP$3,0)),"?"))</f>
        <v/>
      </c>
      <c r="S128" s="16">
        <f>IF($I128="PENDENTE","Definir Kc/classe",IF($I128="(nao plantado)","Aguardar plantio",IF($N128="","-",IF($N128&gt;=TURNO,"IRRIGAR",IF($N128&gt;=TURNO*FRAC_ACOMP,"Acompanhar","Aguardar")))))</f>
        <v/>
      </c>
      <c r="T128" s="16">
        <f>IF(OR($N128="",$N128=0),"-",IF($N128&gt;=2*TURNO,"Alta",IF($N128&gt;=TURNO,"Media","Baixa")))</f>
        <v/>
      </c>
      <c r="U128" s="17" t="inlineStr">
        <is>
          <t>SOJA_PRECOCE</t>
        </is>
      </c>
      <c r="V128" s="8" t="inlineStr">
        <is>
          <t>P122</t>
        </is>
      </c>
    </row>
    <row r="129">
      <c r="A129" s="6" t="inlineStr">
        <is>
          <t>Pivô 123</t>
        </is>
      </c>
      <c r="B129" s="6" t="inlineStr">
        <is>
          <t>RM7</t>
        </is>
      </c>
      <c r="C129" s="6" t="inlineStr">
        <is>
          <t>SOJA</t>
        </is>
      </c>
      <c r="D129" s="7" t="inlineStr">
        <is>
          <t>NEO 761 I2X</t>
        </is>
      </c>
      <c r="E129" s="8" t="inlineStr">
        <is>
          <t>PRECOCE</t>
        </is>
      </c>
      <c r="F129" s="9" t="n">
        <v>148</v>
      </c>
      <c r="G129" s="10" t="n">
        <v>46310</v>
      </c>
      <c r="H129" s="11">
        <f>IF($G129="","",IF($G129&gt;DATA_REF,"",DATA_REF-$G129))</f>
        <v/>
      </c>
      <c r="I129" s="12">
        <f>IF($U129="","PENDENTE",IF($H129="","(nao plantado)",IFERROR(INDEX(CURVAS_KC!$B$5:$I$224,MATCH(MIN(MAX($H129,1),220),CURVAS_KC!$A$5:$A$224,0),MATCH($U129,CURVAS_KC!$B$4:$I$4,0)),"PENDENTE")))</f>
        <v/>
      </c>
      <c r="J129" s="13">
        <f>IF($G129="","",$G129)</f>
        <v/>
      </c>
      <c r="K129" s="14">
        <f>IF($J129="","",SUMIFS(ETO_DIARIO!$B$5:$B$404,ETO_DIARIO!$A$5:$A$404,"&gt;"&amp;$J129,ETO_DIARIO!$A$5:$A$404,"&lt;="&amp;DATA_REF))</f>
        <v/>
      </c>
      <c r="L129" s="14">
        <f>IF($J129="","",SUMIFS(ETO_DIARIO!$C$5:$C$404,ETO_DIARIO!$A$5:$A$404,"&gt;"&amp;$J129,ETO_DIARIO!$A$5:$A$404,"&lt;="&amp;DATA_REF))</f>
        <v/>
      </c>
      <c r="M129" s="14">
        <f>IF(OR($I129="",$I129="PENDENTE",$I129="(nao plantado)",$K129=""),"",$I129*$K129)</f>
        <v/>
      </c>
      <c r="N129" s="14">
        <f>IF($M129="","",MAX(0,$M129-N($L129)))</f>
        <v/>
      </c>
      <c r="O129" s="14">
        <f>IF($N129="","",$N129/EF_APLIC)</f>
        <v/>
      </c>
      <c r="P129" s="8" t="n"/>
      <c r="Q129" s="15">
        <f>IF(OR($V129="",$P129=""),"",IFERROR(INDEX(LAMINA_HORA!$C$5:$V$114,MATCH($V129,LAMINA_HORA!$A$5:$A$114,0),MATCH($P129,LAMINA_HORA!$C$3:$V$3,0)),"?"))</f>
        <v/>
      </c>
      <c r="R129" s="15">
        <f>IF(OR($V129="",$P129=""),"",IFERROR(INDEX(LAMINA_HORA!$W$5:$AP$114,MATCH($V129,LAMINA_HORA!$A$5:$A$114,0),MATCH($P129,LAMINA_HORA!$W$3:$AP$3,0)),"?"))</f>
        <v/>
      </c>
      <c r="S129" s="16">
        <f>IF($I129="PENDENTE","Definir Kc/classe",IF($I129="(nao plantado)","Aguardar plantio",IF($N129="","-",IF($N129&gt;=TURNO,"IRRIGAR",IF($N129&gt;=TURNO*FRAC_ACOMP,"Acompanhar","Aguardar")))))</f>
        <v/>
      </c>
      <c r="T129" s="16">
        <f>IF(OR($N129="",$N129=0),"-",IF($N129&gt;=2*TURNO,"Alta",IF($N129&gt;=TURNO,"Media","Baixa")))</f>
        <v/>
      </c>
      <c r="U129" s="17" t="inlineStr">
        <is>
          <t>SOJA_PRECOCE</t>
        </is>
      </c>
      <c r="V129" s="8" t="inlineStr">
        <is>
          <t>P123</t>
        </is>
      </c>
    </row>
    <row r="130">
      <c r="A130" s="6" t="inlineStr">
        <is>
          <t>Pivô 124</t>
        </is>
      </c>
      <c r="B130" s="6" t="inlineStr">
        <is>
          <t>RM7</t>
        </is>
      </c>
      <c r="C130" s="6" t="inlineStr">
        <is>
          <t>SOJA</t>
        </is>
      </c>
      <c r="D130" s="7" t="inlineStr">
        <is>
          <t>BMX Olimpo IPRO</t>
        </is>
      </c>
      <c r="E130" s="8" t="inlineStr">
        <is>
          <t>MEDIA</t>
        </is>
      </c>
      <c r="F130" s="9" t="n">
        <v>150</v>
      </c>
      <c r="G130" s="10" t="n">
        <v>46310</v>
      </c>
      <c r="H130" s="11">
        <f>IF($G130="","",IF($G130&gt;DATA_REF,"",DATA_REF-$G130))</f>
        <v/>
      </c>
      <c r="I130" s="12">
        <f>IF($U130="","PENDENTE",IF($H130="","(nao plantado)",IFERROR(INDEX(CURVAS_KC!$B$5:$I$224,MATCH(MIN(MAX($H130,1),220),CURVAS_KC!$A$5:$A$224,0),MATCH($U130,CURVAS_KC!$B$4:$I$4,0)),"PENDENTE")))</f>
        <v/>
      </c>
      <c r="J130" s="13">
        <f>IF($G130="","",$G130)</f>
        <v/>
      </c>
      <c r="K130" s="14">
        <f>IF($J130="","",SUMIFS(ETO_DIARIO!$B$5:$B$404,ETO_DIARIO!$A$5:$A$404,"&gt;"&amp;$J130,ETO_DIARIO!$A$5:$A$404,"&lt;="&amp;DATA_REF))</f>
        <v/>
      </c>
      <c r="L130" s="14">
        <f>IF($J130="","",SUMIFS(ETO_DIARIO!$C$5:$C$404,ETO_DIARIO!$A$5:$A$404,"&gt;"&amp;$J130,ETO_DIARIO!$A$5:$A$404,"&lt;="&amp;DATA_REF))</f>
        <v/>
      </c>
      <c r="M130" s="14">
        <f>IF(OR($I130="",$I130="PENDENTE",$I130="(nao plantado)",$K130=""),"",$I130*$K130)</f>
        <v/>
      </c>
      <c r="N130" s="14">
        <f>IF($M130="","",MAX(0,$M130-N($L130)))</f>
        <v/>
      </c>
      <c r="O130" s="14">
        <f>IF($N130="","",$N130/EF_APLIC)</f>
        <v/>
      </c>
      <c r="P130" s="8" t="n"/>
      <c r="Q130" s="15">
        <f>IF(OR($V130="",$P130=""),"",IFERROR(INDEX(LAMINA_HORA!$C$5:$V$114,MATCH($V130,LAMINA_HORA!$A$5:$A$114,0),MATCH($P130,LAMINA_HORA!$C$3:$V$3,0)),"?"))</f>
        <v/>
      </c>
      <c r="R130" s="15">
        <f>IF(OR($V130="",$P130=""),"",IFERROR(INDEX(LAMINA_HORA!$W$5:$AP$114,MATCH($V130,LAMINA_HORA!$A$5:$A$114,0),MATCH($P130,LAMINA_HORA!$W$3:$AP$3,0)),"?"))</f>
        <v/>
      </c>
      <c r="S130" s="16">
        <f>IF($I130="PENDENTE","Definir Kc/classe",IF($I130="(nao plantado)","Aguardar plantio",IF($N130="","-",IF($N130&gt;=TURNO,"IRRIGAR",IF($N130&gt;=TURNO*FRAC_ACOMP,"Acompanhar","Aguardar")))))</f>
        <v/>
      </c>
      <c r="T130" s="16">
        <f>IF(OR($N130="",$N130=0),"-",IF($N130&gt;=2*TURNO,"Alta",IF($N130&gt;=TURNO,"Media","Baixa")))</f>
        <v/>
      </c>
      <c r="U130" s="17" t="inlineStr">
        <is>
          <t>SOJA_MEDIA</t>
        </is>
      </c>
      <c r="V130" s="8" t="inlineStr">
        <is>
          <t>P124</t>
        </is>
      </c>
    </row>
    <row r="131">
      <c r="A131" s="6" t="inlineStr">
        <is>
          <t>Pivô 125</t>
        </is>
      </c>
      <c r="B131" s="6" t="inlineStr">
        <is>
          <t>RM7</t>
        </is>
      </c>
      <c r="C131" s="6" t="inlineStr">
        <is>
          <t>ALGODÃO</t>
        </is>
      </c>
      <c r="D131" s="7" t="inlineStr">
        <is>
          <t>FM 974 GLT</t>
        </is>
      </c>
      <c r="E131" s="8" t="inlineStr">
        <is>
          <t>MEDIO</t>
        </is>
      </c>
      <c r="F131" s="9" t="n">
        <v>100</v>
      </c>
      <c r="G131" s="10" t="n">
        <v>46357</v>
      </c>
      <c r="H131" s="11">
        <f>IF($G131="","",IF($G131&gt;DATA_REF,"",DATA_REF-$G131))</f>
        <v/>
      </c>
      <c r="I131" s="12">
        <f>IF($U131="","PENDENTE",IF($H131="","(nao plantado)",IFERROR(INDEX(CURVAS_KC!$B$5:$I$224,MATCH(MIN(MAX($H131,1),220),CURVAS_KC!$A$5:$A$224,0),MATCH($U131,CURVAS_KC!$B$4:$I$4,0)),"PENDENTE")))</f>
        <v/>
      </c>
      <c r="J131" s="13">
        <f>IF($G131="","",$G131)</f>
        <v/>
      </c>
      <c r="K131" s="14">
        <f>IF($J131="","",SUMIFS(ETO_DIARIO!$B$5:$B$404,ETO_DIARIO!$A$5:$A$404,"&gt;"&amp;$J131,ETO_DIARIO!$A$5:$A$404,"&lt;="&amp;DATA_REF))</f>
        <v/>
      </c>
      <c r="L131" s="14">
        <f>IF($J131="","",SUMIFS(ETO_DIARIO!$C$5:$C$404,ETO_DIARIO!$A$5:$A$404,"&gt;"&amp;$J131,ETO_DIARIO!$A$5:$A$404,"&lt;="&amp;DATA_REF))</f>
        <v/>
      </c>
      <c r="M131" s="14">
        <f>IF(OR($I131="",$I131="PENDENTE",$I131="(nao plantado)",$K131=""),"",$I131*$K131)</f>
        <v/>
      </c>
      <c r="N131" s="14">
        <f>IF($M131="","",MAX(0,$M131-N($L131)))</f>
        <v/>
      </c>
      <c r="O131" s="14">
        <f>IF($N131="","",$N131/EF_APLIC)</f>
        <v/>
      </c>
      <c r="P131" s="8" t="n"/>
      <c r="Q131" s="15">
        <f>IF(OR($V131="",$P131=""),"",IFERROR(INDEX(LAMINA_HORA!$C$5:$V$114,MATCH($V131,LAMINA_HORA!$A$5:$A$114,0),MATCH($P131,LAMINA_HORA!$C$3:$V$3,0)),"?"))</f>
        <v/>
      </c>
      <c r="R131" s="15">
        <f>IF(OR($V131="",$P131=""),"",IFERROR(INDEX(LAMINA_HORA!$W$5:$AP$114,MATCH($V131,LAMINA_HORA!$A$5:$A$114,0),MATCH($P131,LAMINA_HORA!$W$3:$AP$3,0)),"?"))</f>
        <v/>
      </c>
      <c r="S131" s="16">
        <f>IF($I131="PENDENTE","Definir Kc/classe",IF($I131="(nao plantado)","Aguardar plantio",IF($N131="","-",IF($N131&gt;=TURNO,"IRRIGAR",IF($N131&gt;=TURNO*FRAC_ACOMP,"Acompanhar","Aguardar")))))</f>
        <v/>
      </c>
      <c r="T131" s="16">
        <f>IF(OR($N131="",$N131=0),"-",IF($N131&gt;=2*TURNO,"Alta",IF($N131&gt;=TURNO,"Media","Baixa")))</f>
        <v/>
      </c>
      <c r="U131" s="17" t="inlineStr">
        <is>
          <t>ALG_MEDIO</t>
        </is>
      </c>
      <c r="V131" s="8" t="inlineStr">
        <is>
          <t>P125</t>
        </is>
      </c>
    </row>
    <row r="132">
      <c r="A132" s="6" t="inlineStr">
        <is>
          <t>Pivô 126</t>
        </is>
      </c>
      <c r="B132" s="6" t="inlineStr">
        <is>
          <t>RM7</t>
        </is>
      </c>
      <c r="C132" s="6" t="inlineStr">
        <is>
          <t>TABACO</t>
        </is>
      </c>
      <c r="D132" s="7" t="inlineStr">
        <is>
          <t>PVH-2343</t>
        </is>
      </c>
      <c r="E132" s="8" t="inlineStr"/>
      <c r="F132" s="9" t="n">
        <v>140</v>
      </c>
      <c r="G132" s="10" t="n">
        <v>46371</v>
      </c>
      <c r="H132" s="11">
        <f>IF($G132="","",IF($G132&gt;DATA_REF,"",DATA_REF-$G132))</f>
        <v/>
      </c>
      <c r="I132" s="12">
        <f>IF($U132="","PENDENTE",IF($H132="","(nao plantado)",IFERROR(INDEX(CURVAS_KC!$B$5:$I$224,MATCH(MIN(MAX($H132,1),220),CURVAS_KC!$A$5:$A$224,0),MATCH($U132,CURVAS_KC!$B$4:$I$4,0)),"PENDENTE")))</f>
        <v/>
      </c>
      <c r="J132" s="13">
        <f>IF($G132="","",$G132)</f>
        <v/>
      </c>
      <c r="K132" s="14">
        <f>IF($J132="","",SUMIFS(ETO_DIARIO!$B$5:$B$404,ETO_DIARIO!$A$5:$A$404,"&gt;"&amp;$J132,ETO_DIARIO!$A$5:$A$404,"&lt;="&amp;DATA_REF))</f>
        <v/>
      </c>
      <c r="L132" s="14">
        <f>IF($J132="","",SUMIFS(ETO_DIARIO!$C$5:$C$404,ETO_DIARIO!$A$5:$A$404,"&gt;"&amp;$J132,ETO_DIARIO!$A$5:$A$404,"&lt;="&amp;DATA_REF))</f>
        <v/>
      </c>
      <c r="M132" s="14">
        <f>IF(OR($I132="",$I132="PENDENTE",$I132="(nao plantado)",$K132=""),"",$I132*$K132)</f>
        <v/>
      </c>
      <c r="N132" s="14">
        <f>IF($M132="","",MAX(0,$M132-N($L132)))</f>
        <v/>
      </c>
      <c r="O132" s="14">
        <f>IF($N132="","",$N132/EF_APLIC)</f>
        <v/>
      </c>
      <c r="P132" s="8" t="n"/>
      <c r="Q132" s="15">
        <f>IF(OR($V132="",$P132=""),"",IFERROR(INDEX(LAMINA_HORA!$C$5:$V$114,MATCH($V132,LAMINA_HORA!$A$5:$A$114,0),MATCH($P132,LAMINA_HORA!$C$3:$V$3,0)),"?"))</f>
        <v/>
      </c>
      <c r="R132" s="15">
        <f>IF(OR($V132="",$P132=""),"",IFERROR(INDEX(LAMINA_HORA!$W$5:$AP$114,MATCH($V132,LAMINA_HORA!$A$5:$A$114,0),MATCH($P132,LAMINA_HORA!$W$3:$AP$3,0)),"?"))</f>
        <v/>
      </c>
      <c r="S132" s="16">
        <f>IF($I132="PENDENTE","Definir Kc/classe",IF($I132="(nao plantado)","Aguardar plantio",IF($N132="","-",IF($N132&gt;=TURNO,"IRRIGAR",IF($N132&gt;=TURNO*FRAC_ACOMP,"Acompanhar","Aguardar")))))</f>
        <v/>
      </c>
      <c r="T132" s="16">
        <f>IF(OR($N132="",$N132=0),"-",IF($N132&gt;=2*TURNO,"Alta",IF($N132&gt;=TURNO,"Media","Baixa")))</f>
        <v/>
      </c>
      <c r="U132" s="17" t="inlineStr">
        <is>
          <t>TABACO</t>
        </is>
      </c>
      <c r="V132" s="8" t="inlineStr">
        <is>
          <t>P126</t>
        </is>
      </c>
    </row>
    <row r="133">
      <c r="A133" s="6" t="inlineStr">
        <is>
          <t>Pivô 127</t>
        </is>
      </c>
      <c r="B133" s="6" t="inlineStr">
        <is>
          <t>RM7</t>
        </is>
      </c>
      <c r="C133" s="6" t="inlineStr">
        <is>
          <t>SOJA</t>
        </is>
      </c>
      <c r="D133" s="7" t="inlineStr">
        <is>
          <t>NEO 761 I2X</t>
        </is>
      </c>
      <c r="E133" s="8" t="inlineStr">
        <is>
          <t>PRECOCE</t>
        </is>
      </c>
      <c r="F133" s="9" t="n">
        <v>100</v>
      </c>
      <c r="G133" s="10" t="n">
        <v>46308</v>
      </c>
      <c r="H133" s="11">
        <f>IF($G133="","",IF($G133&gt;DATA_REF,"",DATA_REF-$G133))</f>
        <v/>
      </c>
      <c r="I133" s="12">
        <f>IF($U133="","PENDENTE",IF($H133="","(nao plantado)",IFERROR(INDEX(CURVAS_KC!$B$5:$I$224,MATCH(MIN(MAX($H133,1),220),CURVAS_KC!$A$5:$A$224,0),MATCH($U133,CURVAS_KC!$B$4:$I$4,0)),"PENDENTE")))</f>
        <v/>
      </c>
      <c r="J133" s="13">
        <f>IF($G133="","",$G133)</f>
        <v/>
      </c>
      <c r="K133" s="14">
        <f>IF($J133="","",SUMIFS(ETO_DIARIO!$B$5:$B$404,ETO_DIARIO!$A$5:$A$404,"&gt;"&amp;$J133,ETO_DIARIO!$A$5:$A$404,"&lt;="&amp;DATA_REF))</f>
        <v/>
      </c>
      <c r="L133" s="14">
        <f>IF($J133="","",SUMIFS(ETO_DIARIO!$C$5:$C$404,ETO_DIARIO!$A$5:$A$404,"&gt;"&amp;$J133,ETO_DIARIO!$A$5:$A$404,"&lt;="&amp;DATA_REF))</f>
        <v/>
      </c>
      <c r="M133" s="14">
        <f>IF(OR($I133="",$I133="PENDENTE",$I133="(nao plantado)",$K133=""),"",$I133*$K133)</f>
        <v/>
      </c>
      <c r="N133" s="14">
        <f>IF($M133="","",MAX(0,$M133-N($L133)))</f>
        <v/>
      </c>
      <c r="O133" s="14">
        <f>IF($N133="","",$N133/EF_APLIC)</f>
        <v/>
      </c>
      <c r="P133" s="8" t="n"/>
      <c r="Q133" s="15">
        <f>IF(OR($V133="",$P133=""),"",IFERROR(INDEX(LAMINA_HORA!$C$5:$V$114,MATCH($V133,LAMINA_HORA!$A$5:$A$114,0),MATCH($P133,LAMINA_HORA!$C$3:$V$3,0)),"?"))</f>
        <v/>
      </c>
      <c r="R133" s="15">
        <f>IF(OR($V133="",$P133=""),"",IFERROR(INDEX(LAMINA_HORA!$W$5:$AP$114,MATCH($V133,LAMINA_HORA!$A$5:$A$114,0),MATCH($P133,LAMINA_HORA!$W$3:$AP$3,0)),"?"))</f>
        <v/>
      </c>
      <c r="S133" s="16">
        <f>IF($I133="PENDENTE","Definir Kc/classe",IF($I133="(nao plantado)","Aguardar plantio",IF($N133="","-",IF($N133&gt;=TURNO,"IRRIGAR",IF($N133&gt;=TURNO*FRAC_ACOMP,"Acompanhar","Aguardar")))))</f>
        <v/>
      </c>
      <c r="T133" s="16">
        <f>IF(OR($N133="",$N133=0),"-",IF($N133&gt;=2*TURNO,"Alta",IF($N133&gt;=TURNO,"Media","Baixa")))</f>
        <v/>
      </c>
      <c r="U133" s="17" t="inlineStr">
        <is>
          <t>SOJA_PRECOCE</t>
        </is>
      </c>
      <c r="V133" s="8" t="inlineStr">
        <is>
          <t>P127</t>
        </is>
      </c>
    </row>
    <row r="134">
      <c r="A134" s="6" t="inlineStr">
        <is>
          <t>Pivô 128</t>
        </is>
      </c>
      <c r="B134" s="6" t="inlineStr">
        <is>
          <t>RM6</t>
        </is>
      </c>
      <c r="C134" s="6" t="inlineStr">
        <is>
          <t>TABACO</t>
        </is>
      </c>
      <c r="D134" s="7" t="inlineStr">
        <is>
          <t>PVH-2343</t>
        </is>
      </c>
      <c r="E134" s="8" t="inlineStr"/>
      <c r="F134" s="9" t="n">
        <v>140</v>
      </c>
      <c r="G134" s="10" t="n">
        <v>46345</v>
      </c>
      <c r="H134" s="11">
        <f>IF($G134="","",IF($G134&gt;DATA_REF,"",DATA_REF-$G134))</f>
        <v/>
      </c>
      <c r="I134" s="12">
        <f>IF($U134="","PENDENTE",IF($H134="","(nao plantado)",IFERROR(INDEX(CURVAS_KC!$B$5:$I$224,MATCH(MIN(MAX($H134,1),220),CURVAS_KC!$A$5:$A$224,0),MATCH($U134,CURVAS_KC!$B$4:$I$4,0)),"PENDENTE")))</f>
        <v/>
      </c>
      <c r="J134" s="13">
        <f>IF($G134="","",$G134)</f>
        <v/>
      </c>
      <c r="K134" s="14">
        <f>IF($J134="","",SUMIFS(ETO_DIARIO!$B$5:$B$404,ETO_DIARIO!$A$5:$A$404,"&gt;"&amp;$J134,ETO_DIARIO!$A$5:$A$404,"&lt;="&amp;DATA_REF))</f>
        <v/>
      </c>
      <c r="L134" s="14">
        <f>IF($J134="","",SUMIFS(ETO_DIARIO!$C$5:$C$404,ETO_DIARIO!$A$5:$A$404,"&gt;"&amp;$J134,ETO_DIARIO!$A$5:$A$404,"&lt;="&amp;DATA_REF))</f>
        <v/>
      </c>
      <c r="M134" s="14">
        <f>IF(OR($I134="",$I134="PENDENTE",$I134="(nao plantado)",$K134=""),"",$I134*$K134)</f>
        <v/>
      </c>
      <c r="N134" s="14">
        <f>IF($M134="","",MAX(0,$M134-N($L134)))</f>
        <v/>
      </c>
      <c r="O134" s="14">
        <f>IF($N134="","",$N134/EF_APLIC)</f>
        <v/>
      </c>
      <c r="P134" s="8" t="n"/>
      <c r="Q134" s="15">
        <f>IF(OR($V134="",$P134=""),"",IFERROR(INDEX(LAMINA_HORA!$C$5:$V$114,MATCH($V134,LAMINA_HORA!$A$5:$A$114,0),MATCH($P134,LAMINA_HORA!$C$3:$V$3,0)),"?"))</f>
        <v/>
      </c>
      <c r="R134" s="15">
        <f>IF(OR($V134="",$P134=""),"",IFERROR(INDEX(LAMINA_HORA!$W$5:$AP$114,MATCH($V134,LAMINA_HORA!$A$5:$A$114,0),MATCH($P134,LAMINA_HORA!$W$3:$AP$3,0)),"?"))</f>
        <v/>
      </c>
      <c r="S134" s="16">
        <f>IF($I134="PENDENTE","Definir Kc/classe",IF($I134="(nao plantado)","Aguardar plantio",IF($N134="","-",IF($N134&gt;=TURNO,"IRRIGAR",IF($N134&gt;=TURNO*FRAC_ACOMP,"Acompanhar","Aguardar")))))</f>
        <v/>
      </c>
      <c r="T134" s="16">
        <f>IF(OR($N134="",$N134=0),"-",IF($N134&gt;=2*TURNO,"Alta",IF($N134&gt;=TURNO,"Media","Baixa")))</f>
        <v/>
      </c>
      <c r="U134" s="17" t="inlineStr">
        <is>
          <t>TABACO</t>
        </is>
      </c>
      <c r="V134" s="8" t="inlineStr">
        <is>
          <t>P128</t>
        </is>
      </c>
    </row>
    <row r="135">
      <c r="A135" s="6" t="inlineStr">
        <is>
          <t>Pivô 129</t>
        </is>
      </c>
      <c r="B135" s="6" t="inlineStr">
        <is>
          <t>RM6</t>
        </is>
      </c>
      <c r="C135" s="6" t="inlineStr">
        <is>
          <t>SOJA</t>
        </is>
      </c>
      <c r="D135" s="7" t="inlineStr">
        <is>
          <t>NEO 761 I2X</t>
        </is>
      </c>
      <c r="E135" s="8" t="inlineStr">
        <is>
          <t>PRECOCE</t>
        </is>
      </c>
      <c r="F135" s="9" t="n">
        <v>100</v>
      </c>
      <c r="G135" s="10" t="n">
        <v>46308</v>
      </c>
      <c r="H135" s="11">
        <f>IF($G135="","",IF($G135&gt;DATA_REF,"",DATA_REF-$G135))</f>
        <v/>
      </c>
      <c r="I135" s="12">
        <f>IF($U135="","PENDENTE",IF($H135="","(nao plantado)",IFERROR(INDEX(CURVAS_KC!$B$5:$I$224,MATCH(MIN(MAX($H135,1),220),CURVAS_KC!$A$5:$A$224,0),MATCH($U135,CURVAS_KC!$B$4:$I$4,0)),"PENDENTE")))</f>
        <v/>
      </c>
      <c r="J135" s="13">
        <f>IF($G135="","",$G135)</f>
        <v/>
      </c>
      <c r="K135" s="14">
        <f>IF($J135="","",SUMIFS(ETO_DIARIO!$B$5:$B$404,ETO_DIARIO!$A$5:$A$404,"&gt;"&amp;$J135,ETO_DIARIO!$A$5:$A$404,"&lt;="&amp;DATA_REF))</f>
        <v/>
      </c>
      <c r="L135" s="14">
        <f>IF($J135="","",SUMIFS(ETO_DIARIO!$C$5:$C$404,ETO_DIARIO!$A$5:$A$404,"&gt;"&amp;$J135,ETO_DIARIO!$A$5:$A$404,"&lt;="&amp;DATA_REF))</f>
        <v/>
      </c>
      <c r="M135" s="14">
        <f>IF(OR($I135="",$I135="PENDENTE",$I135="(nao plantado)",$K135=""),"",$I135*$K135)</f>
        <v/>
      </c>
      <c r="N135" s="14">
        <f>IF($M135="","",MAX(0,$M135-N($L135)))</f>
        <v/>
      </c>
      <c r="O135" s="14">
        <f>IF($N135="","",$N135/EF_APLIC)</f>
        <v/>
      </c>
      <c r="P135" s="8" t="n"/>
      <c r="Q135" s="15">
        <f>IF(OR($V135="",$P135=""),"",IFERROR(INDEX(LAMINA_HORA!$C$5:$V$114,MATCH($V135,LAMINA_HORA!$A$5:$A$114,0),MATCH($P135,LAMINA_HORA!$C$3:$V$3,0)),"?"))</f>
        <v/>
      </c>
      <c r="R135" s="15">
        <f>IF(OR($V135="",$P135=""),"",IFERROR(INDEX(LAMINA_HORA!$W$5:$AP$114,MATCH($V135,LAMINA_HORA!$A$5:$A$114,0),MATCH($P135,LAMINA_HORA!$W$3:$AP$3,0)),"?"))</f>
        <v/>
      </c>
      <c r="S135" s="16">
        <f>IF($I135="PENDENTE","Definir Kc/classe",IF($I135="(nao plantado)","Aguardar plantio",IF($N135="","-",IF($N135&gt;=TURNO,"IRRIGAR",IF($N135&gt;=TURNO*FRAC_ACOMP,"Acompanhar","Aguardar")))))</f>
        <v/>
      </c>
      <c r="T135" s="16">
        <f>IF(OR($N135="",$N135=0),"-",IF($N135&gt;=2*TURNO,"Alta",IF($N135&gt;=TURNO,"Media","Baixa")))</f>
        <v/>
      </c>
      <c r="U135" s="17" t="inlineStr">
        <is>
          <t>SOJA_PRECOCE</t>
        </is>
      </c>
      <c r="V135" s="8" t="inlineStr">
        <is>
          <t>P129</t>
        </is>
      </c>
    </row>
    <row r="136">
      <c r="A136" s="6" t="inlineStr">
        <is>
          <t>Pivô 130</t>
        </is>
      </c>
      <c r="B136" s="6" t="inlineStr">
        <is>
          <t>RM6</t>
        </is>
      </c>
      <c r="C136" s="6" t="inlineStr">
        <is>
          <t>ALGODÃO</t>
        </is>
      </c>
      <c r="D136" s="7" t="inlineStr">
        <is>
          <t>IMA 3764 B2RF</t>
        </is>
      </c>
      <c r="E136" s="8" t="inlineStr">
        <is>
          <t>MEDIO</t>
        </is>
      </c>
      <c r="F136" s="9" t="n">
        <v>150</v>
      </c>
      <c r="G136" s="10" t="n">
        <v>46358</v>
      </c>
      <c r="H136" s="11">
        <f>IF($G136="","",IF($G136&gt;DATA_REF,"",DATA_REF-$G136))</f>
        <v/>
      </c>
      <c r="I136" s="12">
        <f>IF($U136="","PENDENTE",IF($H136="","(nao plantado)",IFERROR(INDEX(CURVAS_KC!$B$5:$I$224,MATCH(MIN(MAX($H136,1),220),CURVAS_KC!$A$5:$A$224,0),MATCH($U136,CURVAS_KC!$B$4:$I$4,0)),"PENDENTE")))</f>
        <v/>
      </c>
      <c r="J136" s="13">
        <f>IF($G136="","",$G136)</f>
        <v/>
      </c>
      <c r="K136" s="14">
        <f>IF($J136="","",SUMIFS(ETO_DIARIO!$B$5:$B$404,ETO_DIARIO!$A$5:$A$404,"&gt;"&amp;$J136,ETO_DIARIO!$A$5:$A$404,"&lt;="&amp;DATA_REF))</f>
        <v/>
      </c>
      <c r="L136" s="14">
        <f>IF($J136="","",SUMIFS(ETO_DIARIO!$C$5:$C$404,ETO_DIARIO!$A$5:$A$404,"&gt;"&amp;$J136,ETO_DIARIO!$A$5:$A$404,"&lt;="&amp;DATA_REF))</f>
        <v/>
      </c>
      <c r="M136" s="14">
        <f>IF(OR($I136="",$I136="PENDENTE",$I136="(nao plantado)",$K136=""),"",$I136*$K136)</f>
        <v/>
      </c>
      <c r="N136" s="14">
        <f>IF($M136="","",MAX(0,$M136-N($L136)))</f>
        <v/>
      </c>
      <c r="O136" s="14">
        <f>IF($N136="","",$N136/EF_APLIC)</f>
        <v/>
      </c>
      <c r="P136" s="8" t="n"/>
      <c r="Q136" s="15">
        <f>IF(OR($V136="",$P136=""),"",IFERROR(INDEX(LAMINA_HORA!$C$5:$V$114,MATCH($V136,LAMINA_HORA!$A$5:$A$114,0),MATCH($P136,LAMINA_HORA!$C$3:$V$3,0)),"?"))</f>
        <v/>
      </c>
      <c r="R136" s="15">
        <f>IF(OR($V136="",$P136=""),"",IFERROR(INDEX(LAMINA_HORA!$W$5:$AP$114,MATCH($V136,LAMINA_HORA!$A$5:$A$114,0),MATCH($P136,LAMINA_HORA!$W$3:$AP$3,0)),"?"))</f>
        <v/>
      </c>
      <c r="S136" s="16">
        <f>IF($I136="PENDENTE","Definir Kc/classe",IF($I136="(nao plantado)","Aguardar plantio",IF($N136="","-",IF($N136&gt;=TURNO,"IRRIGAR",IF($N136&gt;=TURNO*FRAC_ACOMP,"Acompanhar","Aguardar")))))</f>
        <v/>
      </c>
      <c r="T136" s="16">
        <f>IF(OR($N136="",$N136=0),"-",IF($N136&gt;=2*TURNO,"Alta",IF($N136&gt;=TURNO,"Media","Baixa")))</f>
        <v/>
      </c>
      <c r="U136" s="17" t="inlineStr">
        <is>
          <t>ALG_MEDIO</t>
        </is>
      </c>
      <c r="V136" s="8" t="inlineStr">
        <is>
          <t>P130</t>
        </is>
      </c>
    </row>
    <row r="137">
      <c r="A137" s="6" t="inlineStr">
        <is>
          <t>Pivô 131</t>
        </is>
      </c>
      <c r="B137" s="6" t="inlineStr">
        <is>
          <t>RM5</t>
        </is>
      </c>
      <c r="C137" s="6" t="inlineStr">
        <is>
          <t>ALGODÃO</t>
        </is>
      </c>
      <c r="D137" s="7" t="inlineStr">
        <is>
          <t>IMA 3764 B2RF</t>
        </is>
      </c>
      <c r="E137" s="8" t="inlineStr">
        <is>
          <t>MEDIO</t>
        </is>
      </c>
      <c r="F137" s="9" t="n">
        <v>100</v>
      </c>
      <c r="G137" s="10" t="n">
        <v>46357</v>
      </c>
      <c r="H137" s="11">
        <f>IF($G137="","",IF($G137&gt;DATA_REF,"",DATA_REF-$G137))</f>
        <v/>
      </c>
      <c r="I137" s="12">
        <f>IF($U137="","PENDENTE",IF($H137="","(nao plantado)",IFERROR(INDEX(CURVAS_KC!$B$5:$I$224,MATCH(MIN(MAX($H137,1),220),CURVAS_KC!$A$5:$A$224,0),MATCH($U137,CURVAS_KC!$B$4:$I$4,0)),"PENDENTE")))</f>
        <v/>
      </c>
      <c r="J137" s="13">
        <f>IF($G137="","",$G137)</f>
        <v/>
      </c>
      <c r="K137" s="14">
        <f>IF($J137="","",SUMIFS(ETO_DIARIO!$B$5:$B$404,ETO_DIARIO!$A$5:$A$404,"&gt;"&amp;$J137,ETO_DIARIO!$A$5:$A$404,"&lt;="&amp;DATA_REF))</f>
        <v/>
      </c>
      <c r="L137" s="14">
        <f>IF($J137="","",SUMIFS(ETO_DIARIO!$C$5:$C$404,ETO_DIARIO!$A$5:$A$404,"&gt;"&amp;$J137,ETO_DIARIO!$A$5:$A$404,"&lt;="&amp;DATA_REF))</f>
        <v/>
      </c>
      <c r="M137" s="14">
        <f>IF(OR($I137="",$I137="PENDENTE",$I137="(nao plantado)",$K137=""),"",$I137*$K137)</f>
        <v/>
      </c>
      <c r="N137" s="14">
        <f>IF($M137="","",MAX(0,$M137-N($L137)))</f>
        <v/>
      </c>
      <c r="O137" s="14">
        <f>IF($N137="","",$N137/EF_APLIC)</f>
        <v/>
      </c>
      <c r="P137" s="8" t="n"/>
      <c r="Q137" s="15">
        <f>IF(OR($V137="",$P137=""),"",IFERROR(INDEX(LAMINA_HORA!$C$5:$V$114,MATCH($V137,LAMINA_HORA!$A$5:$A$114,0),MATCH($P137,LAMINA_HORA!$C$3:$V$3,0)),"?"))</f>
        <v/>
      </c>
      <c r="R137" s="15">
        <f>IF(OR($V137="",$P137=""),"",IFERROR(INDEX(LAMINA_HORA!$W$5:$AP$114,MATCH($V137,LAMINA_HORA!$A$5:$A$114,0),MATCH($P137,LAMINA_HORA!$W$3:$AP$3,0)),"?"))</f>
        <v/>
      </c>
      <c r="S137" s="16">
        <f>IF($I137="PENDENTE","Definir Kc/classe",IF($I137="(nao plantado)","Aguardar plantio",IF($N137="","-",IF($N137&gt;=TURNO,"IRRIGAR",IF($N137&gt;=TURNO*FRAC_ACOMP,"Acompanhar","Aguardar")))))</f>
        <v/>
      </c>
      <c r="T137" s="16">
        <f>IF(OR($N137="",$N137=0),"-",IF($N137&gt;=2*TURNO,"Alta",IF($N137&gt;=TURNO,"Media","Baixa")))</f>
        <v/>
      </c>
      <c r="U137" s="17" t="inlineStr">
        <is>
          <t>ALG_MEDIO</t>
        </is>
      </c>
      <c r="V137" s="8" t="inlineStr">
        <is>
          <t>P131</t>
        </is>
      </c>
    </row>
    <row r="138">
      <c r="A138" s="6" t="inlineStr">
        <is>
          <t>Pivô 132</t>
        </is>
      </c>
      <c r="B138" s="6" t="inlineStr">
        <is>
          <t>RM5</t>
        </is>
      </c>
      <c r="C138" s="6" t="inlineStr">
        <is>
          <t>ALGODÃO</t>
        </is>
      </c>
      <c r="D138" s="7" t="inlineStr">
        <is>
          <t>IMA 3764 B2RF</t>
        </is>
      </c>
      <c r="E138" s="8" t="inlineStr">
        <is>
          <t>MEDIO</t>
        </is>
      </c>
      <c r="F138" s="9" t="n">
        <v>100</v>
      </c>
      <c r="G138" s="10" t="n">
        <v>46357</v>
      </c>
      <c r="H138" s="11">
        <f>IF($G138="","",IF($G138&gt;DATA_REF,"",DATA_REF-$G138))</f>
        <v/>
      </c>
      <c r="I138" s="12">
        <f>IF($U138="","PENDENTE",IF($H138="","(nao plantado)",IFERROR(INDEX(CURVAS_KC!$B$5:$I$224,MATCH(MIN(MAX($H138,1),220),CURVAS_KC!$A$5:$A$224,0),MATCH($U138,CURVAS_KC!$B$4:$I$4,0)),"PENDENTE")))</f>
        <v/>
      </c>
      <c r="J138" s="13">
        <f>IF($G138="","",$G138)</f>
        <v/>
      </c>
      <c r="K138" s="14">
        <f>IF($J138="","",SUMIFS(ETO_DIARIO!$B$5:$B$404,ETO_DIARIO!$A$5:$A$404,"&gt;"&amp;$J138,ETO_DIARIO!$A$5:$A$404,"&lt;="&amp;DATA_REF))</f>
        <v/>
      </c>
      <c r="L138" s="14">
        <f>IF($J138="","",SUMIFS(ETO_DIARIO!$C$5:$C$404,ETO_DIARIO!$A$5:$A$404,"&gt;"&amp;$J138,ETO_DIARIO!$A$5:$A$404,"&lt;="&amp;DATA_REF))</f>
        <v/>
      </c>
      <c r="M138" s="14">
        <f>IF(OR($I138="",$I138="PENDENTE",$I138="(nao plantado)",$K138=""),"",$I138*$K138)</f>
        <v/>
      </c>
      <c r="N138" s="14">
        <f>IF($M138="","",MAX(0,$M138-N($L138)))</f>
        <v/>
      </c>
      <c r="O138" s="14">
        <f>IF($N138="","",$N138/EF_APLIC)</f>
        <v/>
      </c>
      <c r="P138" s="8" t="n"/>
      <c r="Q138" s="15">
        <f>IF(OR($V138="",$P138=""),"",IFERROR(INDEX(LAMINA_HORA!$C$5:$V$114,MATCH($V138,LAMINA_HORA!$A$5:$A$114,0),MATCH($P138,LAMINA_HORA!$C$3:$V$3,0)),"?"))</f>
        <v/>
      </c>
      <c r="R138" s="15">
        <f>IF(OR($V138="",$P138=""),"",IFERROR(INDEX(LAMINA_HORA!$W$5:$AP$114,MATCH($V138,LAMINA_HORA!$A$5:$A$114,0),MATCH($P138,LAMINA_HORA!$W$3:$AP$3,0)),"?"))</f>
        <v/>
      </c>
      <c r="S138" s="16">
        <f>IF($I138="PENDENTE","Definir Kc/classe",IF($I138="(nao plantado)","Aguardar plantio",IF($N138="","-",IF($N138&gt;=TURNO,"IRRIGAR",IF($N138&gt;=TURNO*FRAC_ACOMP,"Acompanhar","Aguardar")))))</f>
        <v/>
      </c>
      <c r="T138" s="16">
        <f>IF(OR($N138="",$N138=0),"-",IF($N138&gt;=2*TURNO,"Alta",IF($N138&gt;=TURNO,"Media","Baixa")))</f>
        <v/>
      </c>
      <c r="U138" s="17" t="inlineStr">
        <is>
          <t>ALG_MEDIO</t>
        </is>
      </c>
      <c r="V138" s="8" t="inlineStr">
        <is>
          <t>P132</t>
        </is>
      </c>
    </row>
    <row r="139">
      <c r="A139" s="6" t="inlineStr">
        <is>
          <t>Pivô 133</t>
        </is>
      </c>
      <c r="B139" s="6" t="inlineStr">
        <is>
          <t>RM7</t>
        </is>
      </c>
      <c r="C139" s="6" t="inlineStr">
        <is>
          <t>ALGODÃO</t>
        </is>
      </c>
      <c r="D139" s="7" t="inlineStr">
        <is>
          <t>FM 974 GLT</t>
        </is>
      </c>
      <c r="E139" s="8" t="inlineStr">
        <is>
          <t>MEDIO</t>
        </is>
      </c>
      <c r="F139" s="9" t="n">
        <v>100</v>
      </c>
      <c r="G139" s="10" t="n">
        <v>46357</v>
      </c>
      <c r="H139" s="11">
        <f>IF($G139="","",IF($G139&gt;DATA_REF,"",DATA_REF-$G139))</f>
        <v/>
      </c>
      <c r="I139" s="12">
        <f>IF($U139="","PENDENTE",IF($H139="","(nao plantado)",IFERROR(INDEX(CURVAS_KC!$B$5:$I$224,MATCH(MIN(MAX($H139,1),220),CURVAS_KC!$A$5:$A$224,0),MATCH($U139,CURVAS_KC!$B$4:$I$4,0)),"PENDENTE")))</f>
        <v/>
      </c>
      <c r="J139" s="13">
        <f>IF($G139="","",$G139)</f>
        <v/>
      </c>
      <c r="K139" s="14">
        <f>IF($J139="","",SUMIFS(ETO_DIARIO!$B$5:$B$404,ETO_DIARIO!$A$5:$A$404,"&gt;"&amp;$J139,ETO_DIARIO!$A$5:$A$404,"&lt;="&amp;DATA_REF))</f>
        <v/>
      </c>
      <c r="L139" s="14">
        <f>IF($J139="","",SUMIFS(ETO_DIARIO!$C$5:$C$404,ETO_DIARIO!$A$5:$A$404,"&gt;"&amp;$J139,ETO_DIARIO!$A$5:$A$404,"&lt;="&amp;DATA_REF))</f>
        <v/>
      </c>
      <c r="M139" s="14">
        <f>IF(OR($I139="",$I139="PENDENTE",$I139="(nao plantado)",$K139=""),"",$I139*$K139)</f>
        <v/>
      </c>
      <c r="N139" s="14">
        <f>IF($M139="","",MAX(0,$M139-N($L139)))</f>
        <v/>
      </c>
      <c r="O139" s="14">
        <f>IF($N139="","",$N139/EF_APLIC)</f>
        <v/>
      </c>
      <c r="P139" s="8" t="n"/>
      <c r="Q139" s="15">
        <f>IF(OR($V139="",$P139=""),"",IFERROR(INDEX(LAMINA_HORA!$C$5:$V$114,MATCH($V139,LAMINA_HORA!$A$5:$A$114,0),MATCH($P139,LAMINA_HORA!$C$3:$V$3,0)),"?"))</f>
        <v/>
      </c>
      <c r="R139" s="15">
        <f>IF(OR($V139="",$P139=""),"",IFERROR(INDEX(LAMINA_HORA!$W$5:$AP$114,MATCH($V139,LAMINA_HORA!$A$5:$A$114,0),MATCH($P139,LAMINA_HORA!$W$3:$AP$3,0)),"?"))</f>
        <v/>
      </c>
      <c r="S139" s="16">
        <f>IF($I139="PENDENTE","Definir Kc/classe",IF($I139="(nao plantado)","Aguardar plantio",IF($N139="","-",IF($N139&gt;=TURNO,"IRRIGAR",IF($N139&gt;=TURNO*FRAC_ACOMP,"Acompanhar","Aguardar")))))</f>
        <v/>
      </c>
      <c r="T139" s="16">
        <f>IF(OR($N139="",$N139=0),"-",IF($N139&gt;=2*TURNO,"Alta",IF($N139&gt;=TURNO,"Media","Baixa")))</f>
        <v/>
      </c>
      <c r="U139" s="17" t="inlineStr">
        <is>
          <t>ALG_MEDIO</t>
        </is>
      </c>
      <c r="V139" s="8" t="inlineStr">
        <is>
          <t>P133</t>
        </is>
      </c>
    </row>
    <row r="142">
      <c r="A142" s="18" t="inlineStr">
        <is>
          <t>Decisao IRRIGAR = necessidade liquida atingiu o alvo/turno (PARAMETROS). Defina o % para ver lamina e horas. Status 'proximo' (cultura ainda nao plantada) aparece com Kc so apos o plantio. Cacau: sem curva -&gt; Definir Kc.</t>
        </is>
      </c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20" t="n"/>
    </row>
  </sheetData>
  <mergeCells count="5">
    <mergeCell ref="A64:V64"/>
    <mergeCell ref="A142:V142"/>
    <mergeCell ref="A107:V107"/>
    <mergeCell ref="A5:V5"/>
    <mergeCell ref="A83:V8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F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36" customWidth="1" min="4" max="4"/>
  </cols>
  <sheetData>
    <row r="1" ht="20" customHeight="1">
      <c r="A1" s="1" t="inlineStr">
        <is>
          <t>ETO_DIARIO - clima diario (ATUALIZAR TODO DIA)</t>
        </is>
      </c>
    </row>
    <row r="2">
      <c r="A2" s="2" t="inlineStr">
        <is>
          <t>Informe a ETo (mm) e a chuva (mm) de cada dia.</t>
        </is>
      </c>
      <c r="F2" s="18" t="inlineStr">
        <is>
          <t>Preenchido ate HOJE com 5,0 mm/dia (placeholder) - troque pelos valores reais. Dias futuros em branco.</t>
        </is>
      </c>
    </row>
    <row r="4" ht="30" customHeight="1">
      <c r="A4" s="4" t="inlineStr">
        <is>
          <t>Data</t>
        </is>
      </c>
      <c r="B4" s="4" t="inlineStr">
        <is>
          <t>ETo (mm)</t>
        </is>
      </c>
      <c r="C4" s="4" t="inlineStr">
        <is>
          <t>Chuva (mm)</t>
        </is>
      </c>
      <c r="D4" s="4" t="inlineStr">
        <is>
          <t>Obs</t>
        </is>
      </c>
    </row>
    <row r="5">
      <c r="A5" s="10" t="n">
        <v>46266</v>
      </c>
      <c r="B5" s="21" t="n">
        <v>5</v>
      </c>
      <c r="C5" s="21" t="n">
        <v>0</v>
      </c>
      <c r="D5" s="18" t="n"/>
    </row>
    <row r="6">
      <c r="A6" s="10" t="n">
        <v>46267</v>
      </c>
      <c r="B6" s="21" t="n">
        <v>5</v>
      </c>
      <c r="C6" s="21" t="n">
        <v>0</v>
      </c>
      <c r="D6" s="18" t="n"/>
    </row>
    <row r="7">
      <c r="A7" s="10" t="n">
        <v>46268</v>
      </c>
      <c r="B7" s="21" t="n">
        <v>5</v>
      </c>
      <c r="C7" s="21" t="n">
        <v>0</v>
      </c>
      <c r="D7" s="18" t="n"/>
    </row>
    <row r="8">
      <c r="A8" s="10" t="n">
        <v>46269</v>
      </c>
      <c r="B8" s="21" t="n">
        <v>5</v>
      </c>
      <c r="C8" s="21" t="n">
        <v>0</v>
      </c>
      <c r="D8" s="18" t="n"/>
    </row>
    <row r="9">
      <c r="A9" s="10" t="n">
        <v>46270</v>
      </c>
      <c r="B9" s="21" t="n">
        <v>5</v>
      </c>
      <c r="C9" s="21" t="n">
        <v>0</v>
      </c>
      <c r="D9" s="18" t="n"/>
    </row>
    <row r="10">
      <c r="A10" s="10" t="n">
        <v>46271</v>
      </c>
      <c r="B10" s="21" t="n">
        <v>5</v>
      </c>
      <c r="C10" s="21" t="n">
        <v>0</v>
      </c>
      <c r="D10" s="18" t="n"/>
    </row>
    <row r="11">
      <c r="A11" s="10" t="n">
        <v>46272</v>
      </c>
      <c r="B11" s="21" t="n">
        <v>5</v>
      </c>
      <c r="C11" s="21" t="n">
        <v>0</v>
      </c>
      <c r="D11" s="18" t="n"/>
    </row>
    <row r="12">
      <c r="A12" s="10" t="n">
        <v>46273</v>
      </c>
      <c r="B12" s="21" t="n">
        <v>5</v>
      </c>
      <c r="C12" s="21" t="n">
        <v>0</v>
      </c>
      <c r="D12" s="18" t="n"/>
    </row>
    <row r="13">
      <c r="A13" s="10" t="n">
        <v>46274</v>
      </c>
      <c r="B13" s="21" t="n">
        <v>5</v>
      </c>
      <c r="C13" s="21" t="n">
        <v>0</v>
      </c>
      <c r="D13" s="18" t="n"/>
    </row>
    <row r="14">
      <c r="A14" s="10" t="n">
        <v>46275</v>
      </c>
      <c r="B14" s="21" t="n">
        <v>5</v>
      </c>
      <c r="C14" s="21" t="n">
        <v>0</v>
      </c>
      <c r="D14" s="18" t="n"/>
    </row>
    <row r="15">
      <c r="A15" s="10" t="n">
        <v>46276</v>
      </c>
      <c r="B15" s="21" t="n">
        <v>5</v>
      </c>
      <c r="C15" s="21" t="n">
        <v>0</v>
      </c>
      <c r="D15" s="18" t="n"/>
    </row>
    <row r="16">
      <c r="A16" s="10" t="n">
        <v>46277</v>
      </c>
      <c r="B16" s="21" t="n">
        <v>5</v>
      </c>
      <c r="C16" s="21" t="n">
        <v>0</v>
      </c>
      <c r="D16" s="18" t="n"/>
    </row>
    <row r="17">
      <c r="A17" s="10" t="n">
        <v>46278</v>
      </c>
      <c r="B17" s="21" t="n">
        <v>5</v>
      </c>
      <c r="C17" s="21" t="n">
        <v>0</v>
      </c>
      <c r="D17" s="18" t="n"/>
    </row>
    <row r="18">
      <c r="A18" s="10" t="n">
        <v>46279</v>
      </c>
      <c r="B18" s="21" t="n">
        <v>5</v>
      </c>
      <c r="C18" s="21" t="n">
        <v>0</v>
      </c>
      <c r="D18" s="18" t="n"/>
    </row>
    <row r="19">
      <c r="A19" s="10" t="n">
        <v>46280</v>
      </c>
      <c r="B19" s="21" t="n">
        <v>5</v>
      </c>
      <c r="C19" s="21" t="n">
        <v>0</v>
      </c>
      <c r="D19" s="18" t="n"/>
    </row>
    <row r="20">
      <c r="A20" s="10" t="n">
        <v>46281</v>
      </c>
      <c r="B20" s="21" t="n">
        <v>5</v>
      </c>
      <c r="C20" s="21" t="n">
        <v>0</v>
      </c>
      <c r="D20" s="18" t="n"/>
    </row>
    <row r="21">
      <c r="A21" s="10" t="n">
        <v>46282</v>
      </c>
      <c r="B21" s="21" t="n">
        <v>5</v>
      </c>
      <c r="C21" s="21" t="n">
        <v>0</v>
      </c>
      <c r="D21" s="18" t="n"/>
    </row>
    <row r="22">
      <c r="A22" s="10" t="n">
        <v>46283</v>
      </c>
      <c r="B22" s="21" t="n">
        <v>5</v>
      </c>
      <c r="C22" s="21" t="n">
        <v>0</v>
      </c>
      <c r="D22" s="18" t="n"/>
    </row>
    <row r="23">
      <c r="A23" s="10" t="n">
        <v>46284</v>
      </c>
      <c r="B23" s="21" t="n">
        <v>5</v>
      </c>
      <c r="C23" s="21" t="n">
        <v>0</v>
      </c>
      <c r="D23" s="18" t="n"/>
    </row>
    <row r="24">
      <c r="A24" s="10" t="n">
        <v>46285</v>
      </c>
      <c r="B24" s="21" t="n">
        <v>5</v>
      </c>
      <c r="C24" s="21" t="n">
        <v>0</v>
      </c>
      <c r="D24" s="18" t="n"/>
    </row>
    <row r="25">
      <c r="A25" s="10" t="n">
        <v>46286</v>
      </c>
      <c r="B25" s="21" t="n">
        <v>5</v>
      </c>
      <c r="C25" s="21" t="n">
        <v>0</v>
      </c>
      <c r="D25" s="18" t="n"/>
    </row>
    <row r="26">
      <c r="A26" s="10" t="n">
        <v>46287</v>
      </c>
      <c r="B26" s="21" t="n">
        <v>5</v>
      </c>
      <c r="C26" s="21" t="n">
        <v>0</v>
      </c>
      <c r="D26" s="18" t="n"/>
    </row>
    <row r="27">
      <c r="A27" s="10" t="n">
        <v>46288</v>
      </c>
      <c r="B27" s="21" t="n">
        <v>5</v>
      </c>
      <c r="C27" s="21" t="n">
        <v>0</v>
      </c>
      <c r="D27" s="18" t="n"/>
    </row>
    <row r="28">
      <c r="A28" s="10" t="n">
        <v>46289</v>
      </c>
      <c r="B28" s="21" t="n">
        <v>5</v>
      </c>
      <c r="C28" s="21" t="n">
        <v>0</v>
      </c>
      <c r="D28" s="18" t="n"/>
    </row>
    <row r="29">
      <c r="A29" s="10" t="n">
        <v>46290</v>
      </c>
      <c r="B29" s="21" t="n">
        <v>5</v>
      </c>
      <c r="C29" s="21" t="n">
        <v>0</v>
      </c>
      <c r="D29" s="18" t="n"/>
    </row>
    <row r="30">
      <c r="A30" s="10" t="n">
        <v>46291</v>
      </c>
      <c r="B30" s="21" t="n">
        <v>5</v>
      </c>
      <c r="C30" s="21" t="n">
        <v>0</v>
      </c>
      <c r="D30" s="18" t="n"/>
    </row>
    <row r="31">
      <c r="A31" s="10" t="n">
        <v>46292</v>
      </c>
      <c r="B31" s="21" t="n">
        <v>5</v>
      </c>
      <c r="C31" s="21" t="n">
        <v>0</v>
      </c>
      <c r="D31" s="18" t="n"/>
    </row>
    <row r="32">
      <c r="A32" s="10" t="n">
        <v>46293</v>
      </c>
      <c r="B32" s="21" t="n">
        <v>5</v>
      </c>
      <c r="C32" s="21" t="n">
        <v>0</v>
      </c>
      <c r="D32" s="18" t="n"/>
    </row>
    <row r="33">
      <c r="A33" s="10" t="n">
        <v>46294</v>
      </c>
      <c r="B33" s="21" t="n">
        <v>5</v>
      </c>
      <c r="C33" s="21" t="n">
        <v>0</v>
      </c>
      <c r="D33" s="18" t="n"/>
    </row>
    <row r="34">
      <c r="A34" s="10" t="n">
        <v>46295</v>
      </c>
      <c r="B34" s="21" t="n">
        <v>5</v>
      </c>
      <c r="C34" s="21" t="n">
        <v>0</v>
      </c>
      <c r="D34" s="18" t="n"/>
    </row>
    <row r="35">
      <c r="A35" s="10" t="n">
        <v>46296</v>
      </c>
      <c r="B35" s="21" t="n">
        <v>5</v>
      </c>
      <c r="C35" s="21" t="n">
        <v>0</v>
      </c>
      <c r="D35" s="18" t="n"/>
    </row>
    <row r="36">
      <c r="A36" s="10" t="n">
        <v>46297</v>
      </c>
      <c r="B36" s="21" t="n">
        <v>5</v>
      </c>
      <c r="C36" s="21" t="n">
        <v>0</v>
      </c>
      <c r="D36" s="18" t="n"/>
    </row>
    <row r="37">
      <c r="A37" s="10" t="n">
        <v>46298</v>
      </c>
      <c r="B37" s="21" t="n">
        <v>5</v>
      </c>
      <c r="C37" s="21" t="n">
        <v>0</v>
      </c>
      <c r="D37" s="18" t="n"/>
    </row>
    <row r="38">
      <c r="A38" s="10" t="n">
        <v>46299</v>
      </c>
      <c r="B38" s="21" t="n">
        <v>5</v>
      </c>
      <c r="C38" s="21" t="n">
        <v>0</v>
      </c>
      <c r="D38" s="18" t="n"/>
    </row>
    <row r="39">
      <c r="A39" s="10" t="n">
        <v>46300</v>
      </c>
      <c r="B39" s="21" t="n">
        <v>5</v>
      </c>
      <c r="C39" s="21" t="n">
        <v>0</v>
      </c>
      <c r="D39" s="18" t="n"/>
    </row>
    <row r="40">
      <c r="A40" s="22" t="n">
        <v>46301</v>
      </c>
      <c r="B40" s="21" t="n"/>
      <c r="C40" s="21" t="n"/>
      <c r="D40" s="18" t="n"/>
    </row>
    <row r="41">
      <c r="A41" s="22" t="n">
        <v>46302</v>
      </c>
      <c r="B41" s="21" t="n"/>
      <c r="C41" s="21" t="n"/>
      <c r="D41" s="18" t="n"/>
    </row>
    <row r="42">
      <c r="A42" s="22" t="n">
        <v>46303</v>
      </c>
      <c r="B42" s="21" t="n"/>
      <c r="C42" s="21" t="n"/>
      <c r="D42" s="18" t="n"/>
    </row>
    <row r="43">
      <c r="A43" s="22" t="n">
        <v>46304</v>
      </c>
      <c r="B43" s="21" t="n"/>
      <c r="C43" s="21" t="n"/>
      <c r="D43" s="18" t="n"/>
    </row>
    <row r="44">
      <c r="A44" s="22" t="n">
        <v>46305</v>
      </c>
      <c r="B44" s="21" t="n"/>
      <c r="C44" s="21" t="n"/>
      <c r="D44" s="18" t="n"/>
    </row>
    <row r="45">
      <c r="A45" s="22" t="n">
        <v>46306</v>
      </c>
      <c r="B45" s="21" t="n"/>
      <c r="C45" s="21" t="n"/>
      <c r="D45" s="18" t="n"/>
    </row>
    <row r="46">
      <c r="A46" s="22" t="n">
        <v>46307</v>
      </c>
      <c r="B46" s="21" t="n"/>
      <c r="C46" s="21" t="n"/>
      <c r="D46" s="18" t="n"/>
    </row>
    <row r="47">
      <c r="A47" s="22" t="n">
        <v>46308</v>
      </c>
      <c r="B47" s="21" t="n"/>
      <c r="C47" s="21" t="n"/>
      <c r="D47" s="18" t="n"/>
    </row>
    <row r="48">
      <c r="A48" s="22" t="n">
        <v>46309</v>
      </c>
      <c r="B48" s="21" t="n"/>
      <c r="C48" s="21" t="n"/>
      <c r="D48" s="18" t="n"/>
    </row>
    <row r="49">
      <c r="A49" s="22" t="n">
        <v>46310</v>
      </c>
      <c r="B49" s="21" t="n"/>
      <c r="C49" s="21" t="n"/>
      <c r="D49" s="18" t="n"/>
    </row>
    <row r="50">
      <c r="A50" s="22" t="n">
        <v>46311</v>
      </c>
      <c r="B50" s="21" t="n"/>
      <c r="C50" s="21" t="n"/>
      <c r="D50" s="18" t="n"/>
    </row>
    <row r="51">
      <c r="A51" s="22" t="n">
        <v>46312</v>
      </c>
      <c r="B51" s="21" t="n"/>
      <c r="C51" s="21" t="n"/>
      <c r="D51" s="18" t="n"/>
    </row>
    <row r="52">
      <c r="A52" s="22" t="n">
        <v>46313</v>
      </c>
      <c r="B52" s="21" t="n"/>
      <c r="C52" s="21" t="n"/>
      <c r="D52" s="18" t="n"/>
    </row>
    <row r="53">
      <c r="A53" s="22" t="n">
        <v>46314</v>
      </c>
      <c r="B53" s="21" t="n"/>
      <c r="C53" s="21" t="n"/>
      <c r="D53" s="18" t="n"/>
    </row>
    <row r="54">
      <c r="A54" s="22" t="n">
        <v>46315</v>
      </c>
      <c r="B54" s="21" t="n"/>
      <c r="C54" s="21" t="n"/>
      <c r="D54" s="18" t="n"/>
    </row>
    <row r="55">
      <c r="A55" s="22" t="n">
        <v>46316</v>
      </c>
      <c r="B55" s="21" t="n"/>
      <c r="C55" s="21" t="n"/>
      <c r="D55" s="18" t="n"/>
    </row>
    <row r="56">
      <c r="A56" s="22" t="n">
        <v>46317</v>
      </c>
      <c r="B56" s="21" t="n"/>
      <c r="C56" s="21" t="n"/>
      <c r="D56" s="18" t="n"/>
    </row>
    <row r="57">
      <c r="A57" s="22" t="n">
        <v>46318</v>
      </c>
      <c r="B57" s="21" t="n"/>
      <c r="C57" s="21" t="n"/>
      <c r="D57" s="18" t="n"/>
    </row>
    <row r="58">
      <c r="A58" s="22" t="n">
        <v>46319</v>
      </c>
      <c r="B58" s="21" t="n"/>
      <c r="C58" s="21" t="n"/>
      <c r="D58" s="18" t="n"/>
    </row>
    <row r="59">
      <c r="A59" s="22" t="n">
        <v>46320</v>
      </c>
      <c r="B59" s="21" t="n"/>
      <c r="C59" s="21" t="n"/>
      <c r="D59" s="18" t="n"/>
    </row>
    <row r="60">
      <c r="A60" s="22" t="n">
        <v>46321</v>
      </c>
      <c r="B60" s="21" t="n"/>
      <c r="C60" s="21" t="n"/>
      <c r="D60" s="18" t="n"/>
    </row>
    <row r="61">
      <c r="A61" s="22" t="n">
        <v>46322</v>
      </c>
      <c r="B61" s="21" t="n"/>
      <c r="C61" s="21" t="n"/>
      <c r="D61" s="18" t="n"/>
    </row>
    <row r="62">
      <c r="A62" s="22" t="n">
        <v>46323</v>
      </c>
      <c r="B62" s="21" t="n"/>
      <c r="C62" s="21" t="n"/>
      <c r="D62" s="18" t="n"/>
    </row>
    <row r="63">
      <c r="A63" s="22" t="n">
        <v>46324</v>
      </c>
      <c r="B63" s="21" t="n"/>
      <c r="C63" s="21" t="n"/>
      <c r="D63" s="18" t="n"/>
    </row>
    <row r="64">
      <c r="A64" s="22" t="n">
        <v>46325</v>
      </c>
      <c r="B64" s="21" t="n"/>
      <c r="C64" s="21" t="n"/>
      <c r="D64" s="18" t="n"/>
    </row>
    <row r="65">
      <c r="A65" s="22" t="n">
        <v>46326</v>
      </c>
      <c r="B65" s="21" t="n"/>
      <c r="C65" s="21" t="n"/>
      <c r="D65" s="18" t="n"/>
    </row>
    <row r="66">
      <c r="A66" s="22" t="n">
        <v>46327</v>
      </c>
      <c r="B66" s="21" t="n"/>
      <c r="C66" s="21" t="n"/>
      <c r="D66" s="18" t="n"/>
    </row>
    <row r="67">
      <c r="A67" s="22" t="n">
        <v>46328</v>
      </c>
      <c r="B67" s="21" t="n"/>
      <c r="C67" s="21" t="n"/>
      <c r="D67" s="18" t="n"/>
    </row>
    <row r="68">
      <c r="A68" s="22" t="n">
        <v>46329</v>
      </c>
      <c r="B68" s="21" t="n"/>
      <c r="C68" s="21" t="n"/>
      <c r="D68" s="18" t="n"/>
    </row>
    <row r="69">
      <c r="A69" s="22" t="n">
        <v>46330</v>
      </c>
      <c r="B69" s="21" t="n"/>
      <c r="C69" s="21" t="n"/>
      <c r="D69" s="18" t="n"/>
    </row>
    <row r="70">
      <c r="A70" s="22" t="n">
        <v>46331</v>
      </c>
      <c r="B70" s="21" t="n"/>
      <c r="C70" s="21" t="n"/>
      <c r="D70" s="18" t="n"/>
    </row>
    <row r="71">
      <c r="A71" s="22" t="n">
        <v>46332</v>
      </c>
      <c r="B71" s="21" t="n"/>
      <c r="C71" s="21" t="n"/>
      <c r="D71" s="18" t="n"/>
    </row>
    <row r="72">
      <c r="A72" s="22" t="n">
        <v>46333</v>
      </c>
      <c r="B72" s="21" t="n"/>
      <c r="C72" s="21" t="n"/>
      <c r="D72" s="18" t="n"/>
    </row>
    <row r="73">
      <c r="A73" s="22" t="n">
        <v>46334</v>
      </c>
      <c r="B73" s="21" t="n"/>
      <c r="C73" s="21" t="n"/>
      <c r="D73" s="18" t="n"/>
    </row>
    <row r="74">
      <c r="A74" s="22" t="n">
        <v>46335</v>
      </c>
      <c r="B74" s="21" t="n"/>
      <c r="C74" s="21" t="n"/>
      <c r="D74" s="18" t="n"/>
    </row>
    <row r="75">
      <c r="A75" s="22" t="n">
        <v>46336</v>
      </c>
      <c r="B75" s="21" t="n"/>
      <c r="C75" s="21" t="n"/>
      <c r="D75" s="18" t="n"/>
    </row>
    <row r="76">
      <c r="A76" s="22" t="n">
        <v>46337</v>
      </c>
      <c r="B76" s="21" t="n"/>
      <c r="C76" s="21" t="n"/>
      <c r="D76" s="18" t="n"/>
    </row>
    <row r="77">
      <c r="A77" s="22" t="n">
        <v>46338</v>
      </c>
      <c r="B77" s="21" t="n"/>
      <c r="C77" s="21" t="n"/>
      <c r="D77" s="18" t="n"/>
    </row>
    <row r="78">
      <c r="A78" s="22" t="n">
        <v>46339</v>
      </c>
      <c r="B78" s="21" t="n"/>
      <c r="C78" s="21" t="n"/>
      <c r="D78" s="18" t="n"/>
    </row>
    <row r="79">
      <c r="A79" s="22" t="n">
        <v>46340</v>
      </c>
      <c r="B79" s="21" t="n"/>
      <c r="C79" s="21" t="n"/>
      <c r="D79" s="18" t="n"/>
    </row>
    <row r="80">
      <c r="A80" s="22" t="n">
        <v>46341</v>
      </c>
      <c r="B80" s="21" t="n"/>
      <c r="C80" s="21" t="n"/>
      <c r="D80" s="18" t="n"/>
    </row>
    <row r="81">
      <c r="A81" s="22" t="n">
        <v>46342</v>
      </c>
      <c r="B81" s="21" t="n"/>
      <c r="C81" s="21" t="n"/>
      <c r="D81" s="18" t="n"/>
    </row>
    <row r="82">
      <c r="A82" s="22" t="n">
        <v>46343</v>
      </c>
      <c r="B82" s="21" t="n"/>
      <c r="C82" s="21" t="n"/>
      <c r="D82" s="18" t="n"/>
    </row>
    <row r="83">
      <c r="A83" s="22" t="n">
        <v>46344</v>
      </c>
      <c r="B83" s="21" t="n"/>
      <c r="C83" s="21" t="n"/>
      <c r="D83" s="18" t="n"/>
    </row>
    <row r="84">
      <c r="A84" s="22" t="n">
        <v>46345</v>
      </c>
      <c r="B84" s="21" t="n"/>
      <c r="C84" s="21" t="n"/>
      <c r="D84" s="18" t="n"/>
    </row>
    <row r="85">
      <c r="A85" s="22" t="n">
        <v>46346</v>
      </c>
      <c r="B85" s="21" t="n"/>
      <c r="C85" s="21" t="n"/>
      <c r="D85" s="18" t="n"/>
    </row>
    <row r="86">
      <c r="A86" s="22" t="n">
        <v>46347</v>
      </c>
      <c r="B86" s="21" t="n"/>
      <c r="C86" s="21" t="n"/>
      <c r="D86" s="18" t="n"/>
    </row>
    <row r="87">
      <c r="A87" s="22" t="n">
        <v>46348</v>
      </c>
      <c r="B87" s="21" t="n"/>
      <c r="C87" s="21" t="n"/>
      <c r="D87" s="18" t="n"/>
    </row>
    <row r="88">
      <c r="A88" s="22" t="n">
        <v>46349</v>
      </c>
      <c r="B88" s="21" t="n"/>
      <c r="C88" s="21" t="n"/>
      <c r="D88" s="18" t="n"/>
    </row>
    <row r="89">
      <c r="A89" s="22" t="n">
        <v>46350</v>
      </c>
      <c r="B89" s="21" t="n"/>
      <c r="C89" s="21" t="n"/>
      <c r="D89" s="18" t="n"/>
    </row>
    <row r="90">
      <c r="A90" s="22" t="n">
        <v>46351</v>
      </c>
      <c r="B90" s="21" t="n"/>
      <c r="C90" s="21" t="n"/>
      <c r="D90" s="18" t="n"/>
    </row>
    <row r="91">
      <c r="A91" s="22" t="n">
        <v>46352</v>
      </c>
      <c r="B91" s="21" t="n"/>
      <c r="C91" s="21" t="n"/>
      <c r="D91" s="18" t="n"/>
    </row>
    <row r="92">
      <c r="A92" s="22" t="n">
        <v>46353</v>
      </c>
      <c r="B92" s="21" t="n"/>
      <c r="C92" s="21" t="n"/>
      <c r="D92" s="18" t="n"/>
    </row>
    <row r="93">
      <c r="A93" s="22" t="n">
        <v>46354</v>
      </c>
      <c r="B93" s="21" t="n"/>
      <c r="C93" s="21" t="n"/>
      <c r="D93" s="18" t="n"/>
    </row>
    <row r="94">
      <c r="A94" s="22" t="n">
        <v>46355</v>
      </c>
      <c r="B94" s="21" t="n"/>
      <c r="C94" s="21" t="n"/>
      <c r="D94" s="18" t="n"/>
    </row>
    <row r="95">
      <c r="A95" s="22" t="n">
        <v>46356</v>
      </c>
      <c r="B95" s="21" t="n"/>
      <c r="C95" s="21" t="n"/>
      <c r="D95" s="18" t="n"/>
    </row>
    <row r="96">
      <c r="A96" s="22" t="n">
        <v>46357</v>
      </c>
      <c r="B96" s="21" t="n"/>
      <c r="C96" s="21" t="n"/>
      <c r="D96" s="18" t="n"/>
    </row>
    <row r="97">
      <c r="A97" s="22" t="n">
        <v>46358</v>
      </c>
      <c r="B97" s="21" t="n"/>
      <c r="C97" s="21" t="n"/>
      <c r="D97" s="18" t="n"/>
    </row>
    <row r="98">
      <c r="A98" s="22" t="n">
        <v>46359</v>
      </c>
      <c r="B98" s="21" t="n"/>
      <c r="C98" s="21" t="n"/>
      <c r="D98" s="18" t="n"/>
    </row>
    <row r="99">
      <c r="A99" s="22" t="n">
        <v>46360</v>
      </c>
      <c r="B99" s="21" t="n"/>
      <c r="C99" s="21" t="n"/>
      <c r="D99" s="18" t="n"/>
    </row>
    <row r="100">
      <c r="A100" s="22" t="n">
        <v>46361</v>
      </c>
      <c r="B100" s="21" t="n"/>
      <c r="C100" s="21" t="n"/>
      <c r="D100" s="18" t="n"/>
    </row>
    <row r="101">
      <c r="A101" s="22" t="n">
        <v>46362</v>
      </c>
      <c r="B101" s="21" t="n"/>
      <c r="C101" s="21" t="n"/>
      <c r="D101" s="18" t="n"/>
    </row>
    <row r="102">
      <c r="A102" s="22" t="n">
        <v>46363</v>
      </c>
      <c r="B102" s="21" t="n"/>
      <c r="C102" s="21" t="n"/>
      <c r="D102" s="18" t="n"/>
    </row>
    <row r="103">
      <c r="A103" s="22" t="n">
        <v>46364</v>
      </c>
      <c r="B103" s="21" t="n"/>
      <c r="C103" s="21" t="n"/>
      <c r="D103" s="18" t="n"/>
    </row>
    <row r="104">
      <c r="A104" s="22" t="n">
        <v>46365</v>
      </c>
      <c r="B104" s="21" t="n"/>
      <c r="C104" s="21" t="n"/>
      <c r="D104" s="18" t="n"/>
    </row>
    <row r="105">
      <c r="A105" s="22" t="n">
        <v>46366</v>
      </c>
      <c r="B105" s="21" t="n"/>
      <c r="C105" s="21" t="n"/>
      <c r="D105" s="18" t="n"/>
    </row>
    <row r="106">
      <c r="A106" s="22" t="n">
        <v>46367</v>
      </c>
      <c r="B106" s="21" t="n"/>
      <c r="C106" s="21" t="n"/>
      <c r="D106" s="18" t="n"/>
    </row>
    <row r="107">
      <c r="A107" s="22" t="n">
        <v>46368</v>
      </c>
      <c r="B107" s="21" t="n"/>
      <c r="C107" s="21" t="n"/>
      <c r="D107" s="18" t="n"/>
    </row>
    <row r="108">
      <c r="A108" s="22" t="n">
        <v>46369</v>
      </c>
      <c r="B108" s="21" t="n"/>
      <c r="C108" s="21" t="n"/>
      <c r="D108" s="18" t="n"/>
    </row>
    <row r="109">
      <c r="A109" s="22" t="n">
        <v>46370</v>
      </c>
      <c r="B109" s="21" t="n"/>
      <c r="C109" s="21" t="n"/>
      <c r="D109" s="18" t="n"/>
    </row>
    <row r="110">
      <c r="A110" s="22" t="n">
        <v>46371</v>
      </c>
      <c r="B110" s="21" t="n"/>
      <c r="C110" s="21" t="n"/>
      <c r="D110" s="18" t="n"/>
    </row>
    <row r="111">
      <c r="A111" s="22" t="n">
        <v>46372</v>
      </c>
      <c r="B111" s="21" t="n"/>
      <c r="C111" s="21" t="n"/>
      <c r="D111" s="18" t="n"/>
    </row>
    <row r="112">
      <c r="A112" s="22" t="n">
        <v>46373</v>
      </c>
      <c r="B112" s="21" t="n"/>
      <c r="C112" s="21" t="n"/>
      <c r="D112" s="18" t="n"/>
    </row>
    <row r="113">
      <c r="A113" s="22" t="n">
        <v>46374</v>
      </c>
      <c r="B113" s="21" t="n"/>
      <c r="C113" s="21" t="n"/>
      <c r="D113" s="18" t="n"/>
    </row>
    <row r="114">
      <c r="A114" s="22" t="n">
        <v>46375</v>
      </c>
      <c r="B114" s="21" t="n"/>
      <c r="C114" s="21" t="n"/>
      <c r="D114" s="18" t="n"/>
    </row>
    <row r="115">
      <c r="A115" s="22" t="n">
        <v>46376</v>
      </c>
      <c r="B115" s="21" t="n"/>
      <c r="C115" s="21" t="n"/>
      <c r="D115" s="18" t="n"/>
    </row>
    <row r="116">
      <c r="A116" s="22" t="n">
        <v>46377</v>
      </c>
      <c r="B116" s="21" t="n"/>
      <c r="C116" s="21" t="n"/>
      <c r="D116" s="18" t="n"/>
    </row>
    <row r="117">
      <c r="A117" s="22" t="n">
        <v>46378</v>
      </c>
      <c r="B117" s="21" t="n"/>
      <c r="C117" s="21" t="n"/>
      <c r="D117" s="18" t="n"/>
    </row>
    <row r="118">
      <c r="A118" s="22" t="n">
        <v>46379</v>
      </c>
      <c r="B118" s="21" t="n"/>
      <c r="C118" s="21" t="n"/>
      <c r="D118" s="18" t="n"/>
    </row>
    <row r="119">
      <c r="A119" s="22" t="n">
        <v>46380</v>
      </c>
      <c r="B119" s="21" t="n"/>
      <c r="C119" s="21" t="n"/>
      <c r="D119" s="18" t="n"/>
    </row>
    <row r="120">
      <c r="A120" s="22" t="n">
        <v>46381</v>
      </c>
      <c r="B120" s="21" t="n"/>
      <c r="C120" s="21" t="n"/>
      <c r="D120" s="18" t="n"/>
    </row>
    <row r="121">
      <c r="A121" s="22" t="n">
        <v>46382</v>
      </c>
      <c r="B121" s="21" t="n"/>
      <c r="C121" s="21" t="n"/>
      <c r="D121" s="18" t="n"/>
    </row>
    <row r="122">
      <c r="A122" s="22" t="n">
        <v>46383</v>
      </c>
      <c r="B122" s="21" t="n"/>
      <c r="C122" s="21" t="n"/>
      <c r="D122" s="18" t="n"/>
    </row>
    <row r="123">
      <c r="A123" s="22" t="n">
        <v>46384</v>
      </c>
      <c r="B123" s="21" t="n"/>
      <c r="C123" s="21" t="n"/>
      <c r="D123" s="18" t="n"/>
    </row>
    <row r="124">
      <c r="A124" s="22" t="n">
        <v>46385</v>
      </c>
      <c r="B124" s="21" t="n"/>
      <c r="C124" s="21" t="n"/>
      <c r="D124" s="18" t="n"/>
    </row>
    <row r="125">
      <c r="A125" s="22" t="n">
        <v>46386</v>
      </c>
      <c r="B125" s="21" t="n"/>
      <c r="C125" s="21" t="n"/>
      <c r="D125" s="18" t="n"/>
    </row>
    <row r="126">
      <c r="A126" s="22" t="n">
        <v>46387</v>
      </c>
      <c r="B126" s="21" t="n"/>
      <c r="C126" s="21" t="n"/>
      <c r="D126" s="18" t="n"/>
    </row>
    <row r="127">
      <c r="A127" s="22" t="n">
        <v>46388</v>
      </c>
      <c r="B127" s="21" t="n"/>
      <c r="C127" s="21" t="n"/>
      <c r="D127" s="18" t="n"/>
    </row>
    <row r="128">
      <c r="A128" s="22" t="n">
        <v>46389</v>
      </c>
      <c r="B128" s="21" t="n"/>
      <c r="C128" s="21" t="n"/>
      <c r="D128" s="18" t="n"/>
    </row>
    <row r="129">
      <c r="A129" s="22" t="n">
        <v>46390</v>
      </c>
      <c r="B129" s="21" t="n"/>
      <c r="C129" s="21" t="n"/>
      <c r="D129" s="18" t="n"/>
    </row>
    <row r="130">
      <c r="A130" s="22" t="n">
        <v>46391</v>
      </c>
      <c r="B130" s="21" t="n"/>
      <c r="C130" s="21" t="n"/>
      <c r="D130" s="18" t="n"/>
    </row>
    <row r="131">
      <c r="A131" s="22" t="n">
        <v>46392</v>
      </c>
      <c r="B131" s="21" t="n"/>
      <c r="C131" s="21" t="n"/>
      <c r="D131" s="18" t="n"/>
    </row>
    <row r="132">
      <c r="A132" s="22" t="n">
        <v>46393</v>
      </c>
      <c r="B132" s="21" t="n"/>
      <c r="C132" s="21" t="n"/>
      <c r="D132" s="18" t="n"/>
    </row>
    <row r="133">
      <c r="A133" s="22" t="n">
        <v>46394</v>
      </c>
      <c r="B133" s="21" t="n"/>
      <c r="C133" s="21" t="n"/>
      <c r="D133" s="18" t="n"/>
    </row>
    <row r="134">
      <c r="A134" s="22" t="n">
        <v>46395</v>
      </c>
      <c r="B134" s="21" t="n"/>
      <c r="C134" s="21" t="n"/>
      <c r="D134" s="18" t="n"/>
    </row>
    <row r="135">
      <c r="A135" s="22" t="n">
        <v>46396</v>
      </c>
      <c r="B135" s="21" t="n"/>
      <c r="C135" s="21" t="n"/>
      <c r="D135" s="18" t="n"/>
    </row>
    <row r="136">
      <c r="A136" s="22" t="n">
        <v>46397</v>
      </c>
      <c r="B136" s="21" t="n"/>
      <c r="C136" s="21" t="n"/>
      <c r="D136" s="18" t="n"/>
    </row>
    <row r="137">
      <c r="A137" s="22" t="n">
        <v>46398</v>
      </c>
      <c r="B137" s="21" t="n"/>
      <c r="C137" s="21" t="n"/>
      <c r="D137" s="18" t="n"/>
    </row>
    <row r="138">
      <c r="A138" s="22" t="n">
        <v>46399</v>
      </c>
      <c r="B138" s="21" t="n"/>
      <c r="C138" s="21" t="n"/>
      <c r="D138" s="18" t="n"/>
    </row>
    <row r="139">
      <c r="A139" s="22" t="n">
        <v>46400</v>
      </c>
      <c r="B139" s="21" t="n"/>
      <c r="C139" s="21" t="n"/>
      <c r="D139" s="18" t="n"/>
    </row>
    <row r="140">
      <c r="A140" s="22" t="n">
        <v>46401</v>
      </c>
      <c r="B140" s="21" t="n"/>
      <c r="C140" s="21" t="n"/>
      <c r="D140" s="18" t="n"/>
    </row>
    <row r="141">
      <c r="A141" s="22" t="n">
        <v>46402</v>
      </c>
      <c r="B141" s="21" t="n"/>
      <c r="C141" s="21" t="n"/>
      <c r="D141" s="18" t="n"/>
    </row>
    <row r="142">
      <c r="A142" s="22" t="n">
        <v>46403</v>
      </c>
      <c r="B142" s="21" t="n"/>
      <c r="C142" s="21" t="n"/>
      <c r="D142" s="18" t="n"/>
    </row>
    <row r="143">
      <c r="A143" s="22" t="n">
        <v>46404</v>
      </c>
      <c r="B143" s="21" t="n"/>
      <c r="C143" s="21" t="n"/>
      <c r="D143" s="18" t="n"/>
    </row>
    <row r="144">
      <c r="A144" s="22" t="n">
        <v>46405</v>
      </c>
      <c r="B144" s="21" t="n"/>
      <c r="C144" s="21" t="n"/>
      <c r="D144" s="18" t="n"/>
    </row>
    <row r="145">
      <c r="A145" s="22" t="n">
        <v>46406</v>
      </c>
      <c r="B145" s="21" t="n"/>
      <c r="C145" s="21" t="n"/>
      <c r="D145" s="18" t="n"/>
    </row>
    <row r="146">
      <c r="A146" s="22" t="n">
        <v>46407</v>
      </c>
      <c r="B146" s="21" t="n"/>
      <c r="C146" s="21" t="n"/>
      <c r="D146" s="18" t="n"/>
    </row>
    <row r="147">
      <c r="A147" s="22" t="n">
        <v>46408</v>
      </c>
      <c r="B147" s="21" t="n"/>
      <c r="C147" s="21" t="n"/>
      <c r="D147" s="18" t="n"/>
    </row>
    <row r="148">
      <c r="A148" s="22" t="n">
        <v>46409</v>
      </c>
      <c r="B148" s="21" t="n"/>
      <c r="C148" s="21" t="n"/>
      <c r="D148" s="18" t="n"/>
    </row>
    <row r="149">
      <c r="A149" s="22" t="n">
        <v>46410</v>
      </c>
      <c r="B149" s="21" t="n"/>
      <c r="C149" s="21" t="n"/>
      <c r="D149" s="18" t="n"/>
    </row>
    <row r="150">
      <c r="A150" s="22" t="n">
        <v>46411</v>
      </c>
      <c r="B150" s="21" t="n"/>
      <c r="C150" s="21" t="n"/>
      <c r="D150" s="18" t="n"/>
    </row>
    <row r="151">
      <c r="A151" s="22" t="n">
        <v>46412</v>
      </c>
      <c r="B151" s="21" t="n"/>
      <c r="C151" s="21" t="n"/>
      <c r="D151" s="18" t="n"/>
    </row>
    <row r="152">
      <c r="A152" s="22" t="n">
        <v>46413</v>
      </c>
      <c r="B152" s="21" t="n"/>
      <c r="C152" s="21" t="n"/>
      <c r="D152" s="18" t="n"/>
    </row>
    <row r="153">
      <c r="A153" s="22" t="n">
        <v>46414</v>
      </c>
      <c r="B153" s="21" t="n"/>
      <c r="C153" s="21" t="n"/>
      <c r="D153" s="18" t="n"/>
    </row>
    <row r="154">
      <c r="A154" s="22" t="n">
        <v>46415</v>
      </c>
      <c r="B154" s="21" t="n"/>
      <c r="C154" s="21" t="n"/>
      <c r="D154" s="18" t="n"/>
    </row>
    <row r="155">
      <c r="A155" s="22" t="n">
        <v>46416</v>
      </c>
      <c r="B155" s="21" t="n"/>
      <c r="C155" s="21" t="n"/>
      <c r="D155" s="18" t="n"/>
    </row>
    <row r="156">
      <c r="A156" s="22" t="n">
        <v>46417</v>
      </c>
      <c r="B156" s="21" t="n"/>
      <c r="C156" s="21" t="n"/>
      <c r="D156" s="18" t="n"/>
    </row>
    <row r="157">
      <c r="A157" s="22" t="n">
        <v>46418</v>
      </c>
      <c r="B157" s="21" t="n"/>
      <c r="C157" s="21" t="n"/>
      <c r="D157" s="18" t="n"/>
    </row>
    <row r="158">
      <c r="A158" s="22" t="n">
        <v>46419</v>
      </c>
      <c r="B158" s="21" t="n"/>
      <c r="C158" s="21" t="n"/>
      <c r="D158" s="18" t="n"/>
    </row>
    <row r="159">
      <c r="A159" s="22" t="n">
        <v>46420</v>
      </c>
      <c r="B159" s="21" t="n"/>
      <c r="C159" s="21" t="n"/>
      <c r="D159" s="18" t="n"/>
    </row>
    <row r="160">
      <c r="A160" s="22" t="n">
        <v>46421</v>
      </c>
      <c r="B160" s="21" t="n"/>
      <c r="C160" s="21" t="n"/>
      <c r="D160" s="18" t="n"/>
    </row>
    <row r="161">
      <c r="A161" s="22" t="n">
        <v>46422</v>
      </c>
      <c r="B161" s="21" t="n"/>
      <c r="C161" s="21" t="n"/>
      <c r="D161" s="18" t="n"/>
    </row>
    <row r="162">
      <c r="A162" s="22" t="n">
        <v>46423</v>
      </c>
      <c r="B162" s="21" t="n"/>
      <c r="C162" s="21" t="n"/>
      <c r="D162" s="18" t="n"/>
    </row>
    <row r="163">
      <c r="A163" s="22" t="n">
        <v>46424</v>
      </c>
      <c r="B163" s="21" t="n"/>
      <c r="C163" s="21" t="n"/>
      <c r="D163" s="18" t="n"/>
    </row>
    <row r="164">
      <c r="A164" s="22" t="n">
        <v>46425</v>
      </c>
      <c r="B164" s="21" t="n"/>
      <c r="C164" s="21" t="n"/>
      <c r="D164" s="18" t="n"/>
    </row>
    <row r="165">
      <c r="A165" s="22" t="n">
        <v>46426</v>
      </c>
      <c r="B165" s="21" t="n"/>
      <c r="C165" s="21" t="n"/>
      <c r="D165" s="18" t="n"/>
    </row>
    <row r="166">
      <c r="A166" s="22" t="n">
        <v>46427</v>
      </c>
      <c r="B166" s="21" t="n"/>
      <c r="C166" s="21" t="n"/>
      <c r="D166" s="18" t="n"/>
    </row>
    <row r="167">
      <c r="A167" s="22" t="n">
        <v>46428</v>
      </c>
      <c r="B167" s="21" t="n"/>
      <c r="C167" s="21" t="n"/>
      <c r="D167" s="18" t="n"/>
    </row>
    <row r="168">
      <c r="A168" s="22" t="n">
        <v>46429</v>
      </c>
      <c r="B168" s="21" t="n"/>
      <c r="C168" s="21" t="n"/>
      <c r="D168" s="18" t="n"/>
    </row>
    <row r="169">
      <c r="A169" s="22" t="n">
        <v>46430</v>
      </c>
      <c r="B169" s="21" t="n"/>
      <c r="C169" s="21" t="n"/>
      <c r="D169" s="18" t="n"/>
    </row>
    <row r="170">
      <c r="A170" s="22" t="n">
        <v>46431</v>
      </c>
      <c r="B170" s="21" t="n"/>
      <c r="C170" s="21" t="n"/>
      <c r="D170" s="18" t="n"/>
    </row>
    <row r="171">
      <c r="A171" s="22" t="n">
        <v>46432</v>
      </c>
      <c r="B171" s="21" t="n"/>
      <c r="C171" s="21" t="n"/>
      <c r="D171" s="18" t="n"/>
    </row>
    <row r="172">
      <c r="A172" s="22" t="n">
        <v>46433</v>
      </c>
      <c r="B172" s="21" t="n"/>
      <c r="C172" s="21" t="n"/>
      <c r="D172" s="18" t="n"/>
    </row>
    <row r="173">
      <c r="A173" s="22" t="n">
        <v>46434</v>
      </c>
      <c r="B173" s="21" t="n"/>
      <c r="C173" s="21" t="n"/>
      <c r="D173" s="18" t="n"/>
    </row>
    <row r="174">
      <c r="A174" s="22" t="n">
        <v>46435</v>
      </c>
      <c r="B174" s="21" t="n"/>
      <c r="C174" s="21" t="n"/>
      <c r="D174" s="18" t="n"/>
    </row>
    <row r="175">
      <c r="A175" s="22" t="n">
        <v>46436</v>
      </c>
      <c r="B175" s="21" t="n"/>
      <c r="C175" s="21" t="n"/>
      <c r="D175" s="18" t="n"/>
    </row>
    <row r="176">
      <c r="A176" s="22" t="n">
        <v>46437</v>
      </c>
      <c r="B176" s="21" t="n"/>
      <c r="C176" s="21" t="n"/>
      <c r="D176" s="18" t="n"/>
    </row>
    <row r="177">
      <c r="A177" s="22" t="n">
        <v>46438</v>
      </c>
      <c r="B177" s="21" t="n"/>
      <c r="C177" s="21" t="n"/>
      <c r="D177" s="18" t="n"/>
    </row>
    <row r="178">
      <c r="A178" s="22" t="n">
        <v>46439</v>
      </c>
      <c r="B178" s="21" t="n"/>
      <c r="C178" s="21" t="n"/>
      <c r="D178" s="18" t="n"/>
    </row>
    <row r="179">
      <c r="A179" s="22" t="n">
        <v>46440</v>
      </c>
      <c r="B179" s="21" t="n"/>
      <c r="C179" s="21" t="n"/>
      <c r="D179" s="18" t="n"/>
    </row>
    <row r="180">
      <c r="A180" s="22" t="n">
        <v>46441</v>
      </c>
      <c r="B180" s="21" t="n"/>
      <c r="C180" s="21" t="n"/>
      <c r="D180" s="18" t="n"/>
    </row>
    <row r="181">
      <c r="A181" s="22" t="n">
        <v>46442</v>
      </c>
      <c r="B181" s="21" t="n"/>
      <c r="C181" s="21" t="n"/>
      <c r="D181" s="18" t="n"/>
    </row>
    <row r="182">
      <c r="A182" s="22" t="n">
        <v>46443</v>
      </c>
      <c r="B182" s="21" t="n"/>
      <c r="C182" s="21" t="n"/>
      <c r="D182" s="18" t="n"/>
    </row>
    <row r="183">
      <c r="A183" s="22" t="n">
        <v>46444</v>
      </c>
      <c r="B183" s="21" t="n"/>
      <c r="C183" s="21" t="n"/>
      <c r="D183" s="18" t="n"/>
    </row>
    <row r="184">
      <c r="A184" s="22" t="n">
        <v>46445</v>
      </c>
      <c r="B184" s="21" t="n"/>
      <c r="C184" s="21" t="n"/>
      <c r="D184" s="18" t="n"/>
    </row>
    <row r="185">
      <c r="A185" s="22" t="n">
        <v>46446</v>
      </c>
      <c r="B185" s="21" t="n"/>
      <c r="C185" s="21" t="n"/>
      <c r="D185" s="18" t="n"/>
    </row>
    <row r="186">
      <c r="A186" s="22" t="n">
        <v>46447</v>
      </c>
      <c r="B186" s="21" t="n"/>
      <c r="C186" s="21" t="n"/>
      <c r="D186" s="18" t="n"/>
    </row>
    <row r="187">
      <c r="A187" s="22" t="n">
        <v>46448</v>
      </c>
      <c r="B187" s="21" t="n"/>
      <c r="C187" s="21" t="n"/>
      <c r="D187" s="18" t="n"/>
    </row>
    <row r="188">
      <c r="A188" s="22" t="n">
        <v>46449</v>
      </c>
      <c r="B188" s="21" t="n"/>
      <c r="C188" s="21" t="n"/>
      <c r="D188" s="18" t="n"/>
    </row>
    <row r="189">
      <c r="A189" s="22" t="n">
        <v>46450</v>
      </c>
      <c r="B189" s="21" t="n"/>
      <c r="C189" s="21" t="n"/>
      <c r="D189" s="18" t="n"/>
    </row>
    <row r="190">
      <c r="A190" s="22" t="n">
        <v>46451</v>
      </c>
      <c r="B190" s="21" t="n"/>
      <c r="C190" s="21" t="n"/>
      <c r="D190" s="18" t="n"/>
    </row>
    <row r="191">
      <c r="A191" s="22" t="n">
        <v>46452</v>
      </c>
      <c r="B191" s="21" t="n"/>
      <c r="C191" s="21" t="n"/>
      <c r="D191" s="18" t="n"/>
    </row>
    <row r="192">
      <c r="A192" s="22" t="n">
        <v>46453</v>
      </c>
      <c r="B192" s="21" t="n"/>
      <c r="C192" s="21" t="n"/>
      <c r="D192" s="18" t="n"/>
    </row>
    <row r="193">
      <c r="A193" s="22" t="n">
        <v>46454</v>
      </c>
      <c r="B193" s="21" t="n"/>
      <c r="C193" s="21" t="n"/>
      <c r="D193" s="18" t="n"/>
    </row>
    <row r="194">
      <c r="A194" s="22" t="n">
        <v>46455</v>
      </c>
      <c r="B194" s="21" t="n"/>
      <c r="C194" s="21" t="n"/>
      <c r="D194" s="18" t="n"/>
    </row>
    <row r="195">
      <c r="A195" s="22" t="n">
        <v>46456</v>
      </c>
      <c r="B195" s="21" t="n"/>
      <c r="C195" s="21" t="n"/>
      <c r="D195" s="18" t="n"/>
    </row>
    <row r="196">
      <c r="A196" s="22" t="n">
        <v>46457</v>
      </c>
      <c r="B196" s="21" t="n"/>
      <c r="C196" s="21" t="n"/>
      <c r="D196" s="18" t="n"/>
    </row>
    <row r="197">
      <c r="A197" s="22" t="n">
        <v>46458</v>
      </c>
      <c r="B197" s="21" t="n"/>
      <c r="C197" s="21" t="n"/>
      <c r="D197" s="18" t="n"/>
    </row>
    <row r="198">
      <c r="A198" s="22" t="n">
        <v>46459</v>
      </c>
      <c r="B198" s="21" t="n"/>
      <c r="C198" s="21" t="n"/>
      <c r="D198" s="18" t="n"/>
    </row>
    <row r="199">
      <c r="A199" s="22" t="n">
        <v>46460</v>
      </c>
      <c r="B199" s="21" t="n"/>
      <c r="C199" s="21" t="n"/>
      <c r="D199" s="18" t="n"/>
    </row>
    <row r="200">
      <c r="A200" s="22" t="n">
        <v>46461</v>
      </c>
      <c r="B200" s="21" t="n"/>
      <c r="C200" s="21" t="n"/>
      <c r="D200" s="18" t="n"/>
    </row>
    <row r="201">
      <c r="A201" s="22" t="n">
        <v>46462</v>
      </c>
      <c r="B201" s="21" t="n"/>
      <c r="C201" s="21" t="n"/>
      <c r="D201" s="18" t="n"/>
    </row>
    <row r="202">
      <c r="A202" s="22" t="n">
        <v>46463</v>
      </c>
      <c r="B202" s="21" t="n"/>
      <c r="C202" s="21" t="n"/>
      <c r="D202" s="18" t="n"/>
    </row>
    <row r="203">
      <c r="A203" s="22" t="n">
        <v>46464</v>
      </c>
      <c r="B203" s="21" t="n"/>
      <c r="C203" s="21" t="n"/>
      <c r="D203" s="18" t="n"/>
    </row>
    <row r="204">
      <c r="A204" s="22" t="n">
        <v>46465</v>
      </c>
      <c r="B204" s="21" t="n"/>
      <c r="C204" s="21" t="n"/>
      <c r="D204" s="18" t="n"/>
    </row>
    <row r="205">
      <c r="A205" s="22" t="n">
        <v>46466</v>
      </c>
      <c r="B205" s="21" t="n"/>
      <c r="C205" s="21" t="n"/>
      <c r="D205" s="18" t="n"/>
    </row>
    <row r="206">
      <c r="A206" s="22" t="n">
        <v>46467</v>
      </c>
      <c r="B206" s="21" t="n"/>
      <c r="C206" s="21" t="n"/>
      <c r="D206" s="18" t="n"/>
    </row>
    <row r="207">
      <c r="A207" s="22" t="n">
        <v>46468</v>
      </c>
      <c r="B207" s="21" t="n"/>
      <c r="C207" s="21" t="n"/>
      <c r="D207" s="18" t="n"/>
    </row>
    <row r="208">
      <c r="A208" s="22" t="n">
        <v>46469</v>
      </c>
      <c r="B208" s="21" t="n"/>
      <c r="C208" s="21" t="n"/>
      <c r="D208" s="18" t="n"/>
    </row>
    <row r="209">
      <c r="A209" s="22" t="n">
        <v>46470</v>
      </c>
      <c r="B209" s="21" t="n"/>
      <c r="C209" s="21" t="n"/>
      <c r="D209" s="18" t="n"/>
    </row>
    <row r="210">
      <c r="A210" s="22" t="n">
        <v>46471</v>
      </c>
      <c r="B210" s="21" t="n"/>
      <c r="C210" s="21" t="n"/>
      <c r="D210" s="18" t="n"/>
    </row>
    <row r="211">
      <c r="A211" s="22" t="n">
        <v>46472</v>
      </c>
      <c r="B211" s="21" t="n"/>
      <c r="C211" s="21" t="n"/>
      <c r="D211" s="18" t="n"/>
    </row>
    <row r="212">
      <c r="A212" s="22" t="n">
        <v>46473</v>
      </c>
      <c r="B212" s="21" t="n"/>
      <c r="C212" s="21" t="n"/>
      <c r="D212" s="18" t="n"/>
    </row>
    <row r="213">
      <c r="A213" s="22" t="n">
        <v>46474</v>
      </c>
      <c r="B213" s="21" t="n"/>
      <c r="C213" s="21" t="n"/>
      <c r="D213" s="18" t="n"/>
    </row>
    <row r="214">
      <c r="A214" s="22" t="n">
        <v>46475</v>
      </c>
      <c r="B214" s="21" t="n"/>
      <c r="C214" s="21" t="n"/>
      <c r="D214" s="18" t="n"/>
    </row>
    <row r="215">
      <c r="A215" s="22" t="n">
        <v>46476</v>
      </c>
      <c r="B215" s="21" t="n"/>
      <c r="C215" s="21" t="n"/>
      <c r="D215" s="18" t="n"/>
    </row>
    <row r="216">
      <c r="A216" s="22" t="n">
        <v>46477</v>
      </c>
      <c r="B216" s="21" t="n"/>
      <c r="C216" s="21" t="n"/>
      <c r="D216" s="18" t="n"/>
    </row>
    <row r="217">
      <c r="A217" s="22" t="n">
        <v>46478</v>
      </c>
      <c r="B217" s="21" t="n"/>
      <c r="C217" s="21" t="n"/>
      <c r="D217" s="18" t="n"/>
    </row>
    <row r="218">
      <c r="A218" s="22" t="n">
        <v>46479</v>
      </c>
      <c r="B218" s="21" t="n"/>
      <c r="C218" s="21" t="n"/>
      <c r="D218" s="18" t="n"/>
    </row>
    <row r="219">
      <c r="A219" s="22" t="n">
        <v>46480</v>
      </c>
      <c r="B219" s="21" t="n"/>
      <c r="C219" s="21" t="n"/>
      <c r="D219" s="18" t="n"/>
    </row>
    <row r="220">
      <c r="A220" s="22" t="n">
        <v>46481</v>
      </c>
      <c r="B220" s="21" t="n"/>
      <c r="C220" s="21" t="n"/>
      <c r="D220" s="18" t="n"/>
    </row>
    <row r="221">
      <c r="A221" s="22" t="n">
        <v>46482</v>
      </c>
      <c r="B221" s="21" t="n"/>
      <c r="C221" s="21" t="n"/>
      <c r="D221" s="18" t="n"/>
    </row>
    <row r="222">
      <c r="A222" s="22" t="n">
        <v>46483</v>
      </c>
      <c r="B222" s="21" t="n"/>
      <c r="C222" s="21" t="n"/>
      <c r="D222" s="18" t="n"/>
    </row>
    <row r="223">
      <c r="A223" s="22" t="n">
        <v>46484</v>
      </c>
      <c r="B223" s="21" t="n"/>
      <c r="C223" s="21" t="n"/>
      <c r="D223" s="18" t="n"/>
    </row>
    <row r="224">
      <c r="A224" s="22" t="n">
        <v>46485</v>
      </c>
      <c r="B224" s="21" t="n"/>
      <c r="C224" s="21" t="n"/>
      <c r="D224" s="18" t="n"/>
    </row>
    <row r="225">
      <c r="A225" s="22" t="n">
        <v>46486</v>
      </c>
      <c r="B225" s="21" t="n"/>
      <c r="C225" s="21" t="n"/>
      <c r="D225" s="18" t="n"/>
    </row>
    <row r="226">
      <c r="A226" s="22" t="n">
        <v>46487</v>
      </c>
      <c r="B226" s="21" t="n"/>
      <c r="C226" s="21" t="n"/>
      <c r="D226" s="18" t="n"/>
    </row>
    <row r="227">
      <c r="A227" s="22" t="n">
        <v>46488</v>
      </c>
      <c r="B227" s="21" t="n"/>
      <c r="C227" s="21" t="n"/>
      <c r="D227" s="18" t="n"/>
    </row>
    <row r="228">
      <c r="A228" s="22" t="n">
        <v>46489</v>
      </c>
      <c r="B228" s="21" t="n"/>
      <c r="C228" s="21" t="n"/>
      <c r="D228" s="18" t="n"/>
    </row>
    <row r="229">
      <c r="A229" s="22" t="n">
        <v>46490</v>
      </c>
      <c r="B229" s="21" t="n"/>
      <c r="C229" s="21" t="n"/>
      <c r="D229" s="18" t="n"/>
    </row>
    <row r="230">
      <c r="A230" s="22" t="n">
        <v>46491</v>
      </c>
      <c r="B230" s="21" t="n"/>
      <c r="C230" s="21" t="n"/>
      <c r="D230" s="18" t="n"/>
    </row>
    <row r="231">
      <c r="A231" s="22" t="n">
        <v>46492</v>
      </c>
      <c r="B231" s="21" t="n"/>
      <c r="C231" s="21" t="n"/>
      <c r="D231" s="18" t="n"/>
    </row>
    <row r="232">
      <c r="A232" s="22" t="n">
        <v>46493</v>
      </c>
      <c r="B232" s="21" t="n"/>
      <c r="C232" s="21" t="n"/>
      <c r="D232" s="18" t="n"/>
    </row>
    <row r="233">
      <c r="A233" s="22" t="n">
        <v>46494</v>
      </c>
      <c r="B233" s="21" t="n"/>
      <c r="C233" s="21" t="n"/>
      <c r="D233" s="18" t="n"/>
    </row>
    <row r="234">
      <c r="A234" s="22" t="n">
        <v>46495</v>
      </c>
      <c r="B234" s="21" t="n"/>
      <c r="C234" s="21" t="n"/>
      <c r="D234" s="18" t="n"/>
    </row>
    <row r="235">
      <c r="A235" s="22" t="n">
        <v>46496</v>
      </c>
      <c r="B235" s="21" t="n"/>
      <c r="C235" s="21" t="n"/>
      <c r="D235" s="18" t="n"/>
    </row>
    <row r="236">
      <c r="A236" s="22" t="n">
        <v>46497</v>
      </c>
      <c r="B236" s="21" t="n"/>
      <c r="C236" s="21" t="n"/>
      <c r="D236" s="18" t="n"/>
    </row>
    <row r="237">
      <c r="A237" s="22" t="n">
        <v>46498</v>
      </c>
      <c r="B237" s="21" t="n"/>
      <c r="C237" s="21" t="n"/>
      <c r="D237" s="18" t="n"/>
    </row>
    <row r="238">
      <c r="A238" s="22" t="n">
        <v>46499</v>
      </c>
      <c r="B238" s="21" t="n"/>
      <c r="C238" s="21" t="n"/>
      <c r="D238" s="18" t="n"/>
    </row>
    <row r="239">
      <c r="A239" s="22" t="n">
        <v>46500</v>
      </c>
      <c r="B239" s="21" t="n"/>
      <c r="C239" s="21" t="n"/>
      <c r="D239" s="18" t="n"/>
    </row>
    <row r="240">
      <c r="A240" s="22" t="n">
        <v>46501</v>
      </c>
      <c r="B240" s="21" t="n"/>
      <c r="C240" s="21" t="n"/>
      <c r="D240" s="18" t="n"/>
    </row>
    <row r="241">
      <c r="A241" s="22" t="n">
        <v>46502</v>
      </c>
      <c r="B241" s="21" t="n"/>
      <c r="C241" s="21" t="n"/>
      <c r="D241" s="18" t="n"/>
    </row>
    <row r="242">
      <c r="A242" s="22" t="n">
        <v>46503</v>
      </c>
      <c r="B242" s="21" t="n"/>
      <c r="C242" s="21" t="n"/>
      <c r="D242" s="18" t="n"/>
    </row>
    <row r="243">
      <c r="A243" s="22" t="n">
        <v>46504</v>
      </c>
      <c r="B243" s="21" t="n"/>
      <c r="C243" s="21" t="n"/>
      <c r="D243" s="18" t="n"/>
    </row>
    <row r="244">
      <c r="A244" s="22" t="n">
        <v>46505</v>
      </c>
      <c r="B244" s="21" t="n"/>
      <c r="C244" s="21" t="n"/>
      <c r="D244" s="18" t="n"/>
    </row>
    <row r="245">
      <c r="A245" s="22" t="n">
        <v>46506</v>
      </c>
      <c r="B245" s="21" t="n"/>
      <c r="C245" s="21" t="n"/>
      <c r="D245" s="18" t="n"/>
    </row>
    <row r="246">
      <c r="A246" s="22" t="n">
        <v>46507</v>
      </c>
      <c r="B246" s="21" t="n"/>
      <c r="C246" s="21" t="n"/>
      <c r="D246" s="18" t="n"/>
    </row>
    <row r="247">
      <c r="A247" s="22" t="n">
        <v>46508</v>
      </c>
      <c r="B247" s="21" t="n"/>
      <c r="C247" s="21" t="n"/>
      <c r="D247" s="18" t="n"/>
    </row>
    <row r="248">
      <c r="A248" s="22" t="n">
        <v>46509</v>
      </c>
      <c r="B248" s="21" t="n"/>
      <c r="C248" s="21" t="n"/>
      <c r="D248" s="18" t="n"/>
    </row>
    <row r="249">
      <c r="A249" s="22" t="n">
        <v>46510</v>
      </c>
      <c r="B249" s="21" t="n"/>
      <c r="C249" s="21" t="n"/>
      <c r="D249" s="18" t="n"/>
    </row>
    <row r="250">
      <c r="A250" s="22" t="n">
        <v>46511</v>
      </c>
      <c r="B250" s="21" t="n"/>
      <c r="C250" s="21" t="n"/>
      <c r="D250" s="18" t="n"/>
    </row>
    <row r="251">
      <c r="A251" s="22" t="n">
        <v>46512</v>
      </c>
      <c r="B251" s="21" t="n"/>
      <c r="C251" s="21" t="n"/>
      <c r="D251" s="18" t="n"/>
    </row>
    <row r="252">
      <c r="A252" s="22" t="n">
        <v>46513</v>
      </c>
      <c r="B252" s="21" t="n"/>
      <c r="C252" s="21" t="n"/>
      <c r="D252" s="18" t="n"/>
    </row>
    <row r="253">
      <c r="A253" s="22" t="n">
        <v>46514</v>
      </c>
      <c r="B253" s="21" t="n"/>
      <c r="C253" s="21" t="n"/>
      <c r="D253" s="18" t="n"/>
    </row>
    <row r="254">
      <c r="A254" s="22" t="n">
        <v>46515</v>
      </c>
      <c r="B254" s="21" t="n"/>
      <c r="C254" s="21" t="n"/>
      <c r="D254" s="18" t="n"/>
    </row>
    <row r="255">
      <c r="A255" s="22" t="n">
        <v>46516</v>
      </c>
      <c r="B255" s="21" t="n"/>
      <c r="C255" s="21" t="n"/>
      <c r="D255" s="18" t="n"/>
    </row>
    <row r="256">
      <c r="A256" s="22" t="n">
        <v>46517</v>
      </c>
      <c r="B256" s="21" t="n"/>
      <c r="C256" s="21" t="n"/>
      <c r="D256" s="18" t="n"/>
    </row>
    <row r="257">
      <c r="A257" s="22" t="n">
        <v>46518</v>
      </c>
      <c r="B257" s="21" t="n"/>
      <c r="C257" s="21" t="n"/>
      <c r="D257" s="18" t="n"/>
    </row>
    <row r="258">
      <c r="A258" s="22" t="n">
        <v>46519</v>
      </c>
      <c r="B258" s="21" t="n"/>
      <c r="C258" s="21" t="n"/>
      <c r="D258" s="18" t="n"/>
    </row>
    <row r="259">
      <c r="A259" s="22" t="n">
        <v>46520</v>
      </c>
      <c r="B259" s="21" t="n"/>
      <c r="C259" s="21" t="n"/>
      <c r="D259" s="18" t="n"/>
    </row>
    <row r="260">
      <c r="A260" s="22" t="n">
        <v>46521</v>
      </c>
      <c r="B260" s="21" t="n"/>
      <c r="C260" s="21" t="n"/>
      <c r="D260" s="18" t="n"/>
    </row>
    <row r="261">
      <c r="A261" s="22" t="n">
        <v>46522</v>
      </c>
      <c r="B261" s="21" t="n"/>
      <c r="C261" s="21" t="n"/>
      <c r="D261" s="18" t="n"/>
    </row>
    <row r="262">
      <c r="A262" s="22" t="n">
        <v>46523</v>
      </c>
      <c r="B262" s="21" t="n"/>
      <c r="C262" s="21" t="n"/>
      <c r="D262" s="18" t="n"/>
    </row>
    <row r="263">
      <c r="A263" s="22" t="n">
        <v>46524</v>
      </c>
      <c r="B263" s="21" t="n"/>
      <c r="C263" s="21" t="n"/>
      <c r="D263" s="18" t="n"/>
    </row>
    <row r="264">
      <c r="A264" s="22" t="n">
        <v>46525</v>
      </c>
      <c r="B264" s="21" t="n"/>
      <c r="C264" s="21" t="n"/>
      <c r="D264" s="18" t="n"/>
    </row>
    <row r="265">
      <c r="A265" s="22" t="n">
        <v>46526</v>
      </c>
      <c r="B265" s="21" t="n"/>
      <c r="C265" s="21" t="n"/>
      <c r="D265" s="18" t="n"/>
    </row>
    <row r="266">
      <c r="A266" s="22" t="n">
        <v>46527</v>
      </c>
      <c r="B266" s="21" t="n"/>
      <c r="C266" s="21" t="n"/>
      <c r="D266" s="18" t="n"/>
    </row>
    <row r="267">
      <c r="A267" s="22" t="n">
        <v>46528</v>
      </c>
      <c r="B267" s="21" t="n"/>
      <c r="C267" s="21" t="n"/>
      <c r="D267" s="18" t="n"/>
    </row>
    <row r="268">
      <c r="A268" s="22" t="n">
        <v>46529</v>
      </c>
      <c r="B268" s="21" t="n"/>
      <c r="C268" s="21" t="n"/>
      <c r="D268" s="18" t="n"/>
    </row>
    <row r="269">
      <c r="A269" s="22" t="n">
        <v>46530</v>
      </c>
      <c r="B269" s="21" t="n"/>
      <c r="C269" s="21" t="n"/>
      <c r="D269" s="18" t="n"/>
    </row>
    <row r="270">
      <c r="A270" s="22" t="n">
        <v>46531</v>
      </c>
      <c r="B270" s="21" t="n"/>
      <c r="C270" s="21" t="n"/>
      <c r="D270" s="18" t="n"/>
    </row>
    <row r="271">
      <c r="A271" s="22" t="n">
        <v>46532</v>
      </c>
      <c r="B271" s="21" t="n"/>
      <c r="C271" s="21" t="n"/>
      <c r="D271" s="18" t="n"/>
    </row>
    <row r="272">
      <c r="A272" s="22" t="n">
        <v>46533</v>
      </c>
      <c r="B272" s="21" t="n"/>
      <c r="C272" s="21" t="n"/>
      <c r="D272" s="18" t="n"/>
    </row>
    <row r="273">
      <c r="A273" s="22" t="n">
        <v>46534</v>
      </c>
      <c r="B273" s="21" t="n"/>
      <c r="C273" s="21" t="n"/>
      <c r="D273" s="18" t="n"/>
    </row>
    <row r="274">
      <c r="A274" s="22" t="n">
        <v>46535</v>
      </c>
      <c r="B274" s="21" t="n"/>
      <c r="C274" s="21" t="n"/>
      <c r="D274" s="18" t="n"/>
    </row>
    <row r="275">
      <c r="A275" s="22" t="n">
        <v>46536</v>
      </c>
      <c r="B275" s="21" t="n"/>
      <c r="C275" s="21" t="n"/>
      <c r="D275" s="18" t="n"/>
    </row>
    <row r="276">
      <c r="A276" s="22" t="n">
        <v>46537</v>
      </c>
      <c r="B276" s="21" t="n"/>
      <c r="C276" s="21" t="n"/>
      <c r="D276" s="18" t="n"/>
    </row>
    <row r="277">
      <c r="A277" s="22" t="n">
        <v>46538</v>
      </c>
      <c r="B277" s="21" t="n"/>
      <c r="C277" s="21" t="n"/>
      <c r="D277" s="18" t="n"/>
    </row>
    <row r="278">
      <c r="A278" s="22" t="n">
        <v>46539</v>
      </c>
      <c r="B278" s="21" t="n"/>
      <c r="C278" s="21" t="n"/>
      <c r="D278" s="18" t="n"/>
    </row>
    <row r="279">
      <c r="A279" s="22" t="n">
        <v>46540</v>
      </c>
      <c r="B279" s="21" t="n"/>
      <c r="C279" s="21" t="n"/>
      <c r="D279" s="18" t="n"/>
    </row>
    <row r="280">
      <c r="A280" s="22" t="n">
        <v>46541</v>
      </c>
      <c r="B280" s="21" t="n"/>
      <c r="C280" s="21" t="n"/>
      <c r="D280" s="18" t="n"/>
    </row>
    <row r="281">
      <c r="A281" s="22" t="n">
        <v>46542</v>
      </c>
      <c r="B281" s="21" t="n"/>
      <c r="C281" s="21" t="n"/>
      <c r="D281" s="18" t="n"/>
    </row>
    <row r="282">
      <c r="A282" s="22" t="n">
        <v>46543</v>
      </c>
      <c r="B282" s="21" t="n"/>
      <c r="C282" s="21" t="n"/>
      <c r="D282" s="18" t="n"/>
    </row>
    <row r="283">
      <c r="A283" s="22" t="n">
        <v>46544</v>
      </c>
      <c r="B283" s="21" t="n"/>
      <c r="C283" s="21" t="n"/>
      <c r="D283" s="18" t="n"/>
    </row>
    <row r="284">
      <c r="A284" s="22" t="n">
        <v>46545</v>
      </c>
      <c r="B284" s="21" t="n"/>
      <c r="C284" s="21" t="n"/>
      <c r="D284" s="18" t="n"/>
    </row>
    <row r="285">
      <c r="A285" s="22" t="n">
        <v>46546</v>
      </c>
      <c r="B285" s="21" t="n"/>
      <c r="C285" s="21" t="n"/>
      <c r="D285" s="18" t="n"/>
    </row>
    <row r="286">
      <c r="A286" s="22" t="n">
        <v>46547</v>
      </c>
      <c r="B286" s="21" t="n"/>
      <c r="C286" s="21" t="n"/>
      <c r="D286" s="18" t="n"/>
    </row>
    <row r="287">
      <c r="A287" s="22" t="n">
        <v>46548</v>
      </c>
      <c r="B287" s="21" t="n"/>
      <c r="C287" s="21" t="n"/>
      <c r="D287" s="18" t="n"/>
    </row>
    <row r="288">
      <c r="A288" s="22" t="n">
        <v>46549</v>
      </c>
      <c r="B288" s="21" t="n"/>
      <c r="C288" s="21" t="n"/>
      <c r="D288" s="18" t="n"/>
    </row>
    <row r="289">
      <c r="A289" s="22" t="n">
        <v>46550</v>
      </c>
      <c r="B289" s="21" t="n"/>
      <c r="C289" s="21" t="n"/>
      <c r="D289" s="18" t="n"/>
    </row>
    <row r="290">
      <c r="A290" s="22" t="n">
        <v>46551</v>
      </c>
      <c r="B290" s="21" t="n"/>
      <c r="C290" s="21" t="n"/>
      <c r="D290" s="18" t="n"/>
    </row>
    <row r="291">
      <c r="A291" s="22" t="n">
        <v>46552</v>
      </c>
      <c r="B291" s="21" t="n"/>
      <c r="C291" s="21" t="n"/>
      <c r="D291" s="18" t="n"/>
    </row>
    <row r="292">
      <c r="A292" s="22" t="n">
        <v>46553</v>
      </c>
      <c r="B292" s="21" t="n"/>
      <c r="C292" s="21" t="n"/>
      <c r="D292" s="18" t="n"/>
    </row>
    <row r="293">
      <c r="A293" s="22" t="n">
        <v>46554</v>
      </c>
      <c r="B293" s="21" t="n"/>
      <c r="C293" s="21" t="n"/>
      <c r="D293" s="18" t="n"/>
    </row>
    <row r="294">
      <c r="A294" s="22" t="n">
        <v>46555</v>
      </c>
      <c r="B294" s="21" t="n"/>
      <c r="C294" s="21" t="n"/>
      <c r="D294" s="18" t="n"/>
    </row>
    <row r="295">
      <c r="A295" s="22" t="n">
        <v>46556</v>
      </c>
      <c r="B295" s="21" t="n"/>
      <c r="C295" s="21" t="n"/>
      <c r="D295" s="18" t="n"/>
    </row>
    <row r="296">
      <c r="A296" s="22" t="n">
        <v>46557</v>
      </c>
      <c r="B296" s="21" t="n"/>
      <c r="C296" s="21" t="n"/>
      <c r="D296" s="18" t="n"/>
    </row>
    <row r="297">
      <c r="A297" s="22" t="n">
        <v>46558</v>
      </c>
      <c r="B297" s="21" t="n"/>
      <c r="C297" s="21" t="n"/>
      <c r="D297" s="18" t="n"/>
    </row>
    <row r="298">
      <c r="A298" s="22" t="n">
        <v>46559</v>
      </c>
      <c r="B298" s="21" t="n"/>
      <c r="C298" s="21" t="n"/>
      <c r="D298" s="18" t="n"/>
    </row>
    <row r="299">
      <c r="A299" s="22" t="n">
        <v>46560</v>
      </c>
      <c r="B299" s="21" t="n"/>
      <c r="C299" s="21" t="n"/>
      <c r="D299" s="18" t="n"/>
    </row>
    <row r="300">
      <c r="A300" s="22" t="n">
        <v>46561</v>
      </c>
      <c r="B300" s="21" t="n"/>
      <c r="C300" s="21" t="n"/>
      <c r="D300" s="18" t="n"/>
    </row>
    <row r="301">
      <c r="A301" s="22" t="n">
        <v>46562</v>
      </c>
      <c r="B301" s="21" t="n"/>
      <c r="C301" s="21" t="n"/>
      <c r="D301" s="18" t="n"/>
    </row>
    <row r="302">
      <c r="A302" s="22" t="n">
        <v>46563</v>
      </c>
      <c r="B302" s="21" t="n"/>
      <c r="C302" s="21" t="n"/>
      <c r="D302" s="18" t="n"/>
    </row>
    <row r="303">
      <c r="A303" s="22" t="n">
        <v>46564</v>
      </c>
      <c r="B303" s="21" t="n"/>
      <c r="C303" s="21" t="n"/>
      <c r="D303" s="18" t="n"/>
    </row>
    <row r="304">
      <c r="A304" s="22" t="n">
        <v>46565</v>
      </c>
      <c r="B304" s="21" t="n"/>
      <c r="C304" s="21" t="n"/>
      <c r="D304" s="18" t="n"/>
    </row>
    <row r="305">
      <c r="A305" s="22" t="n">
        <v>46566</v>
      </c>
      <c r="B305" s="21" t="n"/>
      <c r="C305" s="21" t="n"/>
      <c r="D305" s="18" t="n"/>
    </row>
    <row r="306">
      <c r="A306" s="22" t="n">
        <v>46567</v>
      </c>
      <c r="B306" s="21" t="n"/>
      <c r="C306" s="21" t="n"/>
      <c r="D306" s="18" t="n"/>
    </row>
    <row r="307">
      <c r="A307" s="22" t="n">
        <v>46568</v>
      </c>
      <c r="B307" s="21" t="n"/>
      <c r="C307" s="21" t="n"/>
      <c r="D307" s="18" t="n"/>
    </row>
    <row r="308">
      <c r="A308" s="22" t="n">
        <v>46569</v>
      </c>
      <c r="B308" s="21" t="n"/>
      <c r="C308" s="21" t="n"/>
      <c r="D308" s="18" t="n"/>
    </row>
    <row r="309">
      <c r="A309" s="22" t="n">
        <v>46570</v>
      </c>
      <c r="B309" s="21" t="n"/>
      <c r="C309" s="21" t="n"/>
      <c r="D309" s="18" t="n"/>
    </row>
    <row r="310">
      <c r="A310" s="22" t="n">
        <v>46571</v>
      </c>
      <c r="B310" s="21" t="n"/>
      <c r="C310" s="21" t="n"/>
      <c r="D310" s="18" t="n"/>
    </row>
    <row r="311">
      <c r="A311" s="22" t="n">
        <v>46572</v>
      </c>
      <c r="B311" s="21" t="n"/>
      <c r="C311" s="21" t="n"/>
      <c r="D311" s="18" t="n"/>
    </row>
    <row r="312">
      <c r="A312" s="22" t="n">
        <v>46573</v>
      </c>
      <c r="B312" s="21" t="n"/>
      <c r="C312" s="21" t="n"/>
      <c r="D312" s="18" t="n"/>
    </row>
    <row r="313">
      <c r="A313" s="22" t="n">
        <v>46574</v>
      </c>
      <c r="B313" s="21" t="n"/>
      <c r="C313" s="21" t="n"/>
      <c r="D313" s="18" t="n"/>
    </row>
    <row r="314">
      <c r="A314" s="22" t="n">
        <v>46575</v>
      </c>
      <c r="B314" s="21" t="n"/>
      <c r="C314" s="21" t="n"/>
      <c r="D314" s="18" t="n"/>
    </row>
    <row r="315">
      <c r="A315" s="22" t="n">
        <v>46576</v>
      </c>
      <c r="B315" s="21" t="n"/>
      <c r="C315" s="21" t="n"/>
      <c r="D315" s="18" t="n"/>
    </row>
    <row r="316">
      <c r="A316" s="22" t="n">
        <v>46577</v>
      </c>
      <c r="B316" s="21" t="n"/>
      <c r="C316" s="21" t="n"/>
      <c r="D316" s="18" t="n"/>
    </row>
    <row r="317">
      <c r="A317" s="22" t="n">
        <v>46578</v>
      </c>
      <c r="B317" s="21" t="n"/>
      <c r="C317" s="21" t="n"/>
      <c r="D317" s="18" t="n"/>
    </row>
    <row r="318">
      <c r="A318" s="22" t="n">
        <v>46579</v>
      </c>
      <c r="B318" s="21" t="n"/>
      <c r="C318" s="21" t="n"/>
      <c r="D318" s="18" t="n"/>
    </row>
    <row r="319">
      <c r="A319" s="22" t="n">
        <v>46580</v>
      </c>
      <c r="B319" s="21" t="n"/>
      <c r="C319" s="21" t="n"/>
      <c r="D319" s="18" t="n"/>
    </row>
    <row r="320">
      <c r="A320" s="22" t="n">
        <v>46581</v>
      </c>
      <c r="B320" s="21" t="n"/>
      <c r="C320" s="21" t="n"/>
      <c r="D320" s="18" t="n"/>
    </row>
    <row r="321">
      <c r="A321" s="22" t="n">
        <v>46582</v>
      </c>
      <c r="B321" s="21" t="n"/>
      <c r="C321" s="21" t="n"/>
      <c r="D321" s="18" t="n"/>
    </row>
    <row r="322">
      <c r="A322" s="22" t="n">
        <v>46583</v>
      </c>
      <c r="B322" s="21" t="n"/>
      <c r="C322" s="21" t="n"/>
      <c r="D322" s="18" t="n"/>
    </row>
    <row r="323">
      <c r="A323" s="22" t="n">
        <v>46584</v>
      </c>
      <c r="B323" s="21" t="n"/>
      <c r="C323" s="21" t="n"/>
      <c r="D323" s="18" t="n"/>
    </row>
    <row r="324">
      <c r="A324" s="22" t="n">
        <v>46585</v>
      </c>
      <c r="B324" s="21" t="n"/>
      <c r="C324" s="21" t="n"/>
      <c r="D324" s="18" t="n"/>
    </row>
    <row r="325">
      <c r="A325" s="22" t="n">
        <v>46586</v>
      </c>
      <c r="B325" s="21" t="n"/>
      <c r="C325" s="21" t="n"/>
      <c r="D325" s="18" t="n"/>
    </row>
    <row r="326">
      <c r="A326" s="22" t="n">
        <v>46587</v>
      </c>
      <c r="B326" s="21" t="n"/>
      <c r="C326" s="21" t="n"/>
      <c r="D326" s="18" t="n"/>
    </row>
    <row r="327">
      <c r="A327" s="22" t="n">
        <v>46588</v>
      </c>
      <c r="B327" s="21" t="n"/>
      <c r="C327" s="21" t="n"/>
      <c r="D327" s="18" t="n"/>
    </row>
    <row r="328">
      <c r="A328" s="22" t="n">
        <v>46589</v>
      </c>
      <c r="B328" s="21" t="n"/>
      <c r="C328" s="21" t="n"/>
      <c r="D328" s="18" t="n"/>
    </row>
    <row r="329">
      <c r="A329" s="22" t="n">
        <v>46590</v>
      </c>
      <c r="B329" s="21" t="n"/>
      <c r="C329" s="21" t="n"/>
      <c r="D329" s="18" t="n"/>
    </row>
    <row r="330">
      <c r="A330" s="22" t="n">
        <v>46591</v>
      </c>
      <c r="B330" s="21" t="n"/>
      <c r="C330" s="21" t="n"/>
      <c r="D330" s="18" t="n"/>
    </row>
    <row r="331">
      <c r="A331" s="22" t="n">
        <v>46592</v>
      </c>
      <c r="B331" s="21" t="n"/>
      <c r="C331" s="21" t="n"/>
      <c r="D331" s="18" t="n"/>
    </row>
    <row r="332">
      <c r="A332" s="22" t="n">
        <v>46593</v>
      </c>
      <c r="B332" s="21" t="n"/>
      <c r="C332" s="21" t="n"/>
      <c r="D332" s="18" t="n"/>
    </row>
    <row r="333">
      <c r="A333" s="22" t="n">
        <v>46594</v>
      </c>
      <c r="B333" s="21" t="n"/>
      <c r="C333" s="21" t="n"/>
      <c r="D333" s="18" t="n"/>
    </row>
    <row r="334">
      <c r="A334" s="22" t="n">
        <v>46595</v>
      </c>
      <c r="B334" s="21" t="n"/>
      <c r="C334" s="21" t="n"/>
      <c r="D334" s="18" t="n"/>
    </row>
    <row r="335">
      <c r="A335" s="22" t="n">
        <v>46596</v>
      </c>
      <c r="B335" s="21" t="n"/>
      <c r="C335" s="21" t="n"/>
      <c r="D335" s="18" t="n"/>
    </row>
    <row r="336">
      <c r="A336" s="22" t="n">
        <v>46597</v>
      </c>
      <c r="B336" s="21" t="n"/>
      <c r="C336" s="21" t="n"/>
      <c r="D336" s="18" t="n"/>
    </row>
    <row r="337">
      <c r="A337" s="22" t="n">
        <v>46598</v>
      </c>
      <c r="B337" s="21" t="n"/>
      <c r="C337" s="21" t="n"/>
      <c r="D337" s="18" t="n"/>
    </row>
    <row r="338">
      <c r="A338" s="22" t="n">
        <v>46599</v>
      </c>
      <c r="B338" s="21" t="n"/>
      <c r="C338" s="21" t="n"/>
      <c r="D338" s="18" t="n"/>
    </row>
    <row r="339">
      <c r="A339" s="22" t="n">
        <v>46600</v>
      </c>
      <c r="B339" s="21" t="n"/>
      <c r="C339" s="21" t="n"/>
      <c r="D339" s="18" t="n"/>
    </row>
    <row r="340">
      <c r="A340" s="22" t="n">
        <v>46601</v>
      </c>
      <c r="B340" s="21" t="n"/>
      <c r="C340" s="21" t="n"/>
      <c r="D340" s="18" t="n"/>
    </row>
    <row r="341">
      <c r="A341" s="22" t="n">
        <v>46602</v>
      </c>
      <c r="B341" s="21" t="n"/>
      <c r="C341" s="21" t="n"/>
      <c r="D341" s="18" t="n"/>
    </row>
    <row r="342">
      <c r="A342" s="22" t="n">
        <v>46603</v>
      </c>
      <c r="B342" s="21" t="n"/>
      <c r="C342" s="21" t="n"/>
      <c r="D342" s="18" t="n"/>
    </row>
    <row r="343">
      <c r="A343" s="22" t="n">
        <v>46604</v>
      </c>
      <c r="B343" s="21" t="n"/>
      <c r="C343" s="21" t="n"/>
      <c r="D343" s="18" t="n"/>
    </row>
    <row r="344">
      <c r="A344" s="22" t="n">
        <v>46605</v>
      </c>
      <c r="B344" s="21" t="n"/>
      <c r="C344" s="21" t="n"/>
      <c r="D344" s="18" t="n"/>
    </row>
    <row r="345">
      <c r="A345" s="22" t="n">
        <v>46606</v>
      </c>
      <c r="B345" s="21" t="n"/>
      <c r="C345" s="21" t="n"/>
      <c r="D345" s="18" t="n"/>
    </row>
    <row r="346">
      <c r="A346" s="22" t="n">
        <v>46607</v>
      </c>
      <c r="B346" s="21" t="n"/>
      <c r="C346" s="21" t="n"/>
      <c r="D346" s="18" t="n"/>
    </row>
    <row r="347">
      <c r="A347" s="22" t="n">
        <v>46608</v>
      </c>
      <c r="B347" s="21" t="n"/>
      <c r="C347" s="21" t="n"/>
      <c r="D347" s="18" t="n"/>
    </row>
    <row r="348">
      <c r="A348" s="22" t="n">
        <v>46609</v>
      </c>
      <c r="B348" s="21" t="n"/>
      <c r="C348" s="21" t="n"/>
      <c r="D348" s="18" t="n"/>
    </row>
    <row r="349">
      <c r="A349" s="22" t="n">
        <v>46610</v>
      </c>
      <c r="B349" s="21" t="n"/>
      <c r="C349" s="21" t="n"/>
      <c r="D349" s="18" t="n"/>
    </row>
    <row r="350">
      <c r="A350" s="22" t="n">
        <v>46611</v>
      </c>
      <c r="B350" s="21" t="n"/>
      <c r="C350" s="21" t="n"/>
      <c r="D350" s="18" t="n"/>
    </row>
    <row r="351">
      <c r="A351" s="22" t="n">
        <v>46612</v>
      </c>
      <c r="B351" s="21" t="n"/>
      <c r="C351" s="21" t="n"/>
      <c r="D351" s="18" t="n"/>
    </row>
    <row r="352">
      <c r="A352" s="22" t="n">
        <v>46613</v>
      </c>
      <c r="B352" s="21" t="n"/>
      <c r="C352" s="21" t="n"/>
      <c r="D352" s="18" t="n"/>
    </row>
    <row r="353">
      <c r="A353" s="22" t="n">
        <v>46614</v>
      </c>
      <c r="B353" s="21" t="n"/>
      <c r="C353" s="21" t="n"/>
      <c r="D353" s="18" t="n"/>
    </row>
    <row r="354">
      <c r="A354" s="22" t="n">
        <v>46615</v>
      </c>
      <c r="B354" s="21" t="n"/>
      <c r="C354" s="21" t="n"/>
      <c r="D354" s="18" t="n"/>
    </row>
    <row r="355">
      <c r="A355" s="22" t="n">
        <v>46616</v>
      </c>
      <c r="B355" s="21" t="n"/>
      <c r="C355" s="21" t="n"/>
      <c r="D355" s="18" t="n"/>
    </row>
    <row r="356">
      <c r="A356" s="22" t="n">
        <v>46617</v>
      </c>
      <c r="B356" s="21" t="n"/>
      <c r="C356" s="21" t="n"/>
      <c r="D356" s="18" t="n"/>
    </row>
    <row r="357">
      <c r="A357" s="22" t="n">
        <v>46618</v>
      </c>
      <c r="B357" s="21" t="n"/>
      <c r="C357" s="21" t="n"/>
      <c r="D357" s="18" t="n"/>
    </row>
    <row r="358">
      <c r="A358" s="22" t="n">
        <v>46619</v>
      </c>
      <c r="B358" s="21" t="n"/>
      <c r="C358" s="21" t="n"/>
      <c r="D358" s="18" t="n"/>
    </row>
    <row r="359">
      <c r="A359" s="22" t="n">
        <v>46620</v>
      </c>
      <c r="B359" s="21" t="n"/>
      <c r="C359" s="21" t="n"/>
      <c r="D359" s="18" t="n"/>
    </row>
    <row r="360">
      <c r="A360" s="22" t="n">
        <v>46621</v>
      </c>
      <c r="B360" s="21" t="n"/>
      <c r="C360" s="21" t="n"/>
      <c r="D360" s="18" t="n"/>
    </row>
    <row r="361">
      <c r="A361" s="22" t="n">
        <v>46622</v>
      </c>
      <c r="B361" s="21" t="n"/>
      <c r="C361" s="21" t="n"/>
      <c r="D361" s="18" t="n"/>
    </row>
    <row r="362">
      <c r="A362" s="22" t="n">
        <v>46623</v>
      </c>
      <c r="B362" s="21" t="n"/>
      <c r="C362" s="21" t="n"/>
      <c r="D362" s="18" t="n"/>
    </row>
    <row r="363">
      <c r="A363" s="22" t="n">
        <v>46624</v>
      </c>
      <c r="B363" s="21" t="n"/>
      <c r="C363" s="21" t="n"/>
      <c r="D363" s="18" t="n"/>
    </row>
    <row r="364">
      <c r="A364" s="22" t="n">
        <v>46625</v>
      </c>
      <c r="B364" s="21" t="n"/>
      <c r="C364" s="21" t="n"/>
      <c r="D364" s="18" t="n"/>
    </row>
    <row r="365">
      <c r="A365" s="22" t="n">
        <v>46626</v>
      </c>
      <c r="B365" s="21" t="n"/>
      <c r="C365" s="21" t="n"/>
      <c r="D365" s="18" t="n"/>
    </row>
    <row r="366">
      <c r="A366" s="22" t="n">
        <v>46627</v>
      </c>
      <c r="B366" s="21" t="n"/>
      <c r="C366" s="21" t="n"/>
      <c r="D366" s="18" t="n"/>
    </row>
    <row r="367">
      <c r="A367" s="22" t="n">
        <v>46628</v>
      </c>
      <c r="B367" s="21" t="n"/>
      <c r="C367" s="21" t="n"/>
      <c r="D367" s="18" t="n"/>
    </row>
    <row r="368">
      <c r="A368" s="22" t="n">
        <v>46629</v>
      </c>
      <c r="B368" s="21" t="n"/>
      <c r="C368" s="21" t="n"/>
      <c r="D368" s="18" t="n"/>
    </row>
    <row r="369">
      <c r="A369" s="22" t="n">
        <v>46630</v>
      </c>
      <c r="B369" s="21" t="n"/>
      <c r="C369" s="21" t="n"/>
      <c r="D369" s="18" t="n"/>
    </row>
    <row r="370">
      <c r="A370" s="22" t="n">
        <v>46631</v>
      </c>
      <c r="B370" s="21" t="n"/>
      <c r="C370" s="21" t="n"/>
      <c r="D370" s="18" t="n"/>
    </row>
    <row r="371">
      <c r="A371" s="22" t="n">
        <v>46632</v>
      </c>
      <c r="B371" s="21" t="n"/>
      <c r="C371" s="21" t="n"/>
      <c r="D371" s="18" t="n"/>
    </row>
    <row r="372">
      <c r="A372" s="22" t="n">
        <v>46633</v>
      </c>
      <c r="B372" s="21" t="n"/>
      <c r="C372" s="21" t="n"/>
      <c r="D372" s="18" t="n"/>
    </row>
    <row r="373">
      <c r="A373" s="22" t="n">
        <v>46634</v>
      </c>
      <c r="B373" s="21" t="n"/>
      <c r="C373" s="21" t="n"/>
      <c r="D373" s="18" t="n"/>
    </row>
    <row r="374">
      <c r="A374" s="22" t="n">
        <v>46635</v>
      </c>
      <c r="B374" s="21" t="n"/>
      <c r="C374" s="21" t="n"/>
      <c r="D374" s="18" t="n"/>
    </row>
    <row r="375">
      <c r="A375" s="22" t="n">
        <v>46636</v>
      </c>
      <c r="B375" s="21" t="n"/>
      <c r="C375" s="21" t="n"/>
      <c r="D375" s="18" t="n"/>
    </row>
    <row r="376">
      <c r="A376" s="22" t="n">
        <v>46637</v>
      </c>
      <c r="B376" s="21" t="n"/>
      <c r="C376" s="21" t="n"/>
      <c r="D376" s="18" t="n"/>
    </row>
    <row r="377">
      <c r="A377" s="22" t="n">
        <v>46638</v>
      </c>
      <c r="B377" s="21" t="n"/>
      <c r="C377" s="21" t="n"/>
      <c r="D377" s="18" t="n"/>
    </row>
    <row r="378">
      <c r="A378" s="22" t="n">
        <v>46639</v>
      </c>
      <c r="B378" s="21" t="n"/>
      <c r="C378" s="21" t="n"/>
      <c r="D378" s="18" t="n"/>
    </row>
    <row r="379">
      <c r="A379" s="22" t="n">
        <v>46640</v>
      </c>
      <c r="B379" s="21" t="n"/>
      <c r="C379" s="21" t="n"/>
      <c r="D379" s="18" t="n"/>
    </row>
    <row r="380">
      <c r="A380" s="22" t="n">
        <v>46641</v>
      </c>
      <c r="B380" s="21" t="n"/>
      <c r="C380" s="21" t="n"/>
      <c r="D380" s="18" t="n"/>
    </row>
    <row r="381">
      <c r="A381" s="22" t="n">
        <v>46642</v>
      </c>
      <c r="B381" s="21" t="n"/>
      <c r="C381" s="21" t="n"/>
      <c r="D381" s="18" t="n"/>
    </row>
    <row r="382">
      <c r="A382" s="22" t="n">
        <v>46643</v>
      </c>
      <c r="B382" s="21" t="n"/>
      <c r="C382" s="21" t="n"/>
      <c r="D382" s="18" t="n"/>
    </row>
    <row r="383">
      <c r="A383" s="22" t="n">
        <v>46644</v>
      </c>
      <c r="B383" s="21" t="n"/>
      <c r="C383" s="21" t="n"/>
      <c r="D383" s="18" t="n"/>
    </row>
    <row r="384">
      <c r="A384" s="22" t="n">
        <v>46645</v>
      </c>
      <c r="B384" s="21" t="n"/>
      <c r="C384" s="21" t="n"/>
      <c r="D384" s="18" t="n"/>
    </row>
    <row r="385">
      <c r="A385" s="22" t="n">
        <v>46646</v>
      </c>
      <c r="B385" s="21" t="n"/>
      <c r="C385" s="21" t="n"/>
      <c r="D385" s="18" t="n"/>
    </row>
    <row r="386">
      <c r="A386" s="22" t="n">
        <v>46647</v>
      </c>
      <c r="B386" s="21" t="n"/>
      <c r="C386" s="21" t="n"/>
      <c r="D386" s="18" t="n"/>
    </row>
    <row r="387">
      <c r="A387" s="22" t="n">
        <v>46648</v>
      </c>
      <c r="B387" s="21" t="n"/>
      <c r="C387" s="21" t="n"/>
      <c r="D387" s="18" t="n"/>
    </row>
    <row r="388">
      <c r="A388" s="22" t="n">
        <v>46649</v>
      </c>
      <c r="B388" s="21" t="n"/>
      <c r="C388" s="21" t="n"/>
      <c r="D388" s="18" t="n"/>
    </row>
    <row r="389">
      <c r="A389" s="22" t="n">
        <v>46650</v>
      </c>
      <c r="B389" s="21" t="n"/>
      <c r="C389" s="21" t="n"/>
      <c r="D389" s="18" t="n"/>
    </row>
    <row r="390">
      <c r="A390" s="22" t="n">
        <v>46651</v>
      </c>
      <c r="B390" s="21" t="n"/>
      <c r="C390" s="21" t="n"/>
      <c r="D390" s="18" t="n"/>
    </row>
    <row r="391">
      <c r="A391" s="22" t="n">
        <v>46652</v>
      </c>
      <c r="B391" s="21" t="n"/>
      <c r="C391" s="21" t="n"/>
      <c r="D391" s="18" t="n"/>
    </row>
    <row r="392">
      <c r="A392" s="22" t="n">
        <v>46653</v>
      </c>
      <c r="B392" s="21" t="n"/>
      <c r="C392" s="21" t="n"/>
      <c r="D392" s="18" t="n"/>
    </row>
    <row r="393">
      <c r="A393" s="22" t="n">
        <v>46654</v>
      </c>
      <c r="B393" s="21" t="n"/>
      <c r="C393" s="21" t="n"/>
      <c r="D393" s="18" t="n"/>
    </row>
    <row r="394">
      <c r="A394" s="22" t="n">
        <v>46655</v>
      </c>
      <c r="B394" s="21" t="n"/>
      <c r="C394" s="21" t="n"/>
      <c r="D394" s="18" t="n"/>
    </row>
    <row r="395">
      <c r="A395" s="22" t="n">
        <v>46656</v>
      </c>
      <c r="B395" s="21" t="n"/>
      <c r="C395" s="21" t="n"/>
      <c r="D395" s="18" t="n"/>
    </row>
    <row r="396">
      <c r="A396" s="22" t="n">
        <v>46657</v>
      </c>
      <c r="B396" s="21" t="n"/>
      <c r="C396" s="21" t="n"/>
      <c r="D396" s="18" t="n"/>
    </row>
    <row r="397">
      <c r="A397" s="22" t="n">
        <v>46658</v>
      </c>
      <c r="B397" s="21" t="n"/>
      <c r="C397" s="21" t="n"/>
      <c r="D397" s="18" t="n"/>
    </row>
    <row r="398">
      <c r="A398" s="22" t="n">
        <v>46659</v>
      </c>
      <c r="B398" s="21" t="n"/>
      <c r="C398" s="21" t="n"/>
      <c r="D398" s="18" t="n"/>
    </row>
    <row r="399">
      <c r="A399" s="22" t="n">
        <v>46660</v>
      </c>
      <c r="B399" s="21" t="n"/>
      <c r="C399" s="21" t="n"/>
      <c r="D399" s="18" t="n"/>
    </row>
    <row r="400">
      <c r="A400" s="22" t="n">
        <v>46661</v>
      </c>
      <c r="B400" s="21" t="n"/>
      <c r="C400" s="21" t="n"/>
      <c r="D400" s="18" t="n"/>
    </row>
    <row r="401">
      <c r="A401" s="22" t="n">
        <v>46662</v>
      </c>
      <c r="B401" s="21" t="n"/>
      <c r="C401" s="21" t="n"/>
      <c r="D401" s="18" t="n"/>
    </row>
    <row r="402">
      <c r="A402" s="22" t="n">
        <v>46663</v>
      </c>
      <c r="B402" s="21" t="n"/>
      <c r="C402" s="21" t="n"/>
      <c r="D402" s="18" t="n"/>
    </row>
    <row r="403">
      <c r="A403" s="22" t="n">
        <v>46664</v>
      </c>
      <c r="B403" s="21" t="n"/>
      <c r="C403" s="21" t="n"/>
      <c r="D403" s="18" t="n"/>
    </row>
    <row r="404">
      <c r="A404" s="22" t="n">
        <v>46665</v>
      </c>
      <c r="B404" s="21" t="n"/>
      <c r="C404" s="21" t="n"/>
      <c r="D404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I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A1" s="1" t="inlineStr">
        <is>
          <t>CURVAS_KC - Kc diario por cultura/classe (consumo real)</t>
        </is>
      </c>
    </row>
    <row r="2">
      <c r="A2" s="2" t="inlineStr">
        <is>
          <t>Algodao: arquivo diario. Soja/milho/tabaco: interpolacao linear por fase. Kc por DAP.</t>
        </is>
      </c>
    </row>
    <row r="4" ht="30" customHeight="1">
      <c r="A4" s="4" t="inlineStr">
        <is>
          <t>DAP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</row>
    <row r="5">
      <c r="A5" s="23" t="n">
        <v>1</v>
      </c>
      <c r="B5" s="24" t="n">
        <v>0.35</v>
      </c>
      <c r="C5" s="24" t="n">
        <v>0.35</v>
      </c>
      <c r="D5" s="24" t="n">
        <v>0.35</v>
      </c>
      <c r="E5" s="24" t="n">
        <v>0.5</v>
      </c>
      <c r="F5" s="24" t="n">
        <v>0.35</v>
      </c>
      <c r="G5" s="24" t="n">
        <v>0.35</v>
      </c>
      <c r="H5" s="24" t="n">
        <v>0.65</v>
      </c>
      <c r="I5" s="24" t="n">
        <v>0.35</v>
      </c>
    </row>
    <row r="6">
      <c r="A6" s="23" t="n">
        <v>2</v>
      </c>
      <c r="B6" s="24" t="n">
        <v>0.374</v>
      </c>
      <c r="C6" s="24" t="n">
        <v>0.35</v>
      </c>
      <c r="D6" s="24" t="n">
        <v>0.37</v>
      </c>
      <c r="E6" s="24" t="n">
        <v>0.5</v>
      </c>
      <c r="F6" s="24" t="n">
        <v>0.35</v>
      </c>
      <c r="G6" s="24" t="n">
        <v>0.35</v>
      </c>
      <c r="H6" s="24" t="n">
        <v>0.65</v>
      </c>
      <c r="I6" s="24" t="n">
        <v>0.35</v>
      </c>
    </row>
    <row r="7">
      <c r="A7" s="23" t="n">
        <v>3</v>
      </c>
      <c r="B7" s="24" t="n">
        <v>0.399</v>
      </c>
      <c r="C7" s="24" t="n">
        <v>0.35</v>
      </c>
      <c r="D7" s="24" t="n">
        <v>0.391</v>
      </c>
      <c r="E7" s="24" t="n">
        <v>0.5</v>
      </c>
      <c r="F7" s="24" t="n">
        <v>0.35</v>
      </c>
      <c r="G7" s="24" t="n">
        <v>0.35</v>
      </c>
      <c r="H7" s="24" t="n">
        <v>0.65</v>
      </c>
      <c r="I7" s="24" t="n">
        <v>0.35</v>
      </c>
    </row>
    <row r="8">
      <c r="A8" s="23" t="n">
        <v>4</v>
      </c>
      <c r="B8" s="24" t="n">
        <v>0.423</v>
      </c>
      <c r="C8" s="24" t="n">
        <v>0.35</v>
      </c>
      <c r="D8" s="24" t="n">
        <v>0.411</v>
      </c>
      <c r="E8" s="24" t="n">
        <v>0.5</v>
      </c>
      <c r="F8" s="24" t="n">
        <v>0.35</v>
      </c>
      <c r="G8" s="24" t="n">
        <v>0.35</v>
      </c>
      <c r="H8" s="24" t="n">
        <v>0.65</v>
      </c>
      <c r="I8" s="24" t="n">
        <v>0.35</v>
      </c>
    </row>
    <row r="9">
      <c r="A9" s="23" t="n">
        <v>5</v>
      </c>
      <c r="B9" s="24" t="n">
        <v>0.447</v>
      </c>
      <c r="C9" s="24" t="n">
        <v>0.35</v>
      </c>
      <c r="D9" s="24" t="n">
        <v>0.432</v>
      </c>
      <c r="E9" s="24" t="n">
        <v>0.5</v>
      </c>
      <c r="F9" s="24" t="n">
        <v>0.35</v>
      </c>
      <c r="G9" s="24" t="n">
        <v>0.35</v>
      </c>
      <c r="H9" s="24" t="n">
        <v>0.65</v>
      </c>
      <c r="I9" s="24" t="n">
        <v>0.35</v>
      </c>
    </row>
    <row r="10">
      <c r="A10" s="23" t="n">
        <v>6</v>
      </c>
      <c r="B10" s="24" t="n">
        <v>0.471</v>
      </c>
      <c r="C10" s="24" t="n">
        <v>0.35</v>
      </c>
      <c r="D10" s="24" t="n">
        <v>0.452</v>
      </c>
      <c r="E10" s="24" t="n">
        <v>0.5</v>
      </c>
      <c r="F10" s="24" t="n">
        <v>0.35</v>
      </c>
      <c r="G10" s="24" t="n">
        <v>0.35</v>
      </c>
      <c r="H10" s="24" t="n">
        <v>0.65</v>
      </c>
      <c r="I10" s="24" t="n">
        <v>0.35</v>
      </c>
    </row>
    <row r="11">
      <c r="A11" s="23" t="n">
        <v>7</v>
      </c>
      <c r="B11" s="24" t="n">
        <v>0.496</v>
      </c>
      <c r="C11" s="24" t="n">
        <v>0.35</v>
      </c>
      <c r="D11" s="24" t="n">
        <v>0.473</v>
      </c>
      <c r="E11" s="24" t="n">
        <v>0.5</v>
      </c>
      <c r="F11" s="24" t="n">
        <v>0.35</v>
      </c>
      <c r="G11" s="24" t="n">
        <v>0.35</v>
      </c>
      <c r="H11" s="24" t="n">
        <v>0.65</v>
      </c>
      <c r="I11" s="24" t="n">
        <v>0.35</v>
      </c>
    </row>
    <row r="12">
      <c r="A12" s="23" t="n">
        <v>8</v>
      </c>
      <c r="B12" s="24" t="n">
        <v>0.52</v>
      </c>
      <c r="C12" s="24" t="n">
        <v>0.35</v>
      </c>
      <c r="D12" s="24" t="n">
        <v>0.493</v>
      </c>
      <c r="E12" s="24" t="n">
        <v>0.5</v>
      </c>
      <c r="F12" s="24" t="n">
        <v>0.35</v>
      </c>
      <c r="G12" s="24" t="n">
        <v>0.35</v>
      </c>
      <c r="H12" s="24" t="n">
        <v>0.65</v>
      </c>
      <c r="I12" s="24" t="n">
        <v>0.35</v>
      </c>
    </row>
    <row r="13">
      <c r="A13" s="23" t="n">
        <v>9</v>
      </c>
      <c r="B13" s="24" t="n">
        <v>0.544</v>
      </c>
      <c r="C13" s="24" t="n">
        <v>0.45</v>
      </c>
      <c r="D13" s="24" t="n">
        <v>0.514</v>
      </c>
      <c r="E13" s="24" t="n">
        <v>0.5</v>
      </c>
      <c r="F13" s="24" t="n">
        <v>0.369</v>
      </c>
      <c r="G13" s="24" t="n">
        <v>0.35</v>
      </c>
      <c r="H13" s="24" t="n">
        <v>0.65</v>
      </c>
      <c r="I13" s="24" t="n">
        <v>0.35</v>
      </c>
    </row>
    <row r="14">
      <c r="A14" s="23" t="n">
        <v>10</v>
      </c>
      <c r="B14" s="24" t="n">
        <v>0.569</v>
      </c>
      <c r="C14" s="24" t="n">
        <v>0.461</v>
      </c>
      <c r="D14" s="24" t="n">
        <v>0.534</v>
      </c>
      <c r="E14" s="24" t="n">
        <v>0.5</v>
      </c>
      <c r="F14" s="24" t="n">
        <v>0.387</v>
      </c>
      <c r="G14" s="24" t="n">
        <v>0.35</v>
      </c>
      <c r="H14" s="24" t="n">
        <v>0.65</v>
      </c>
      <c r="I14" s="24" t="n">
        <v>0.35</v>
      </c>
    </row>
    <row r="15">
      <c r="A15" s="23" t="n">
        <v>11</v>
      </c>
      <c r="B15" s="24" t="n">
        <v>0.593</v>
      </c>
      <c r="C15" s="24" t="n">
        <v>0.473</v>
      </c>
      <c r="D15" s="24" t="n">
        <v>0.554</v>
      </c>
      <c r="E15" s="24" t="n">
        <v>0.5</v>
      </c>
      <c r="F15" s="24" t="n">
        <v>0.406</v>
      </c>
      <c r="G15" s="24" t="n">
        <v>0.369</v>
      </c>
      <c r="H15" s="24" t="n">
        <v>0.65</v>
      </c>
      <c r="I15" s="24" t="n">
        <v>0.382</v>
      </c>
    </row>
    <row r="16">
      <c r="A16" s="23" t="n">
        <v>12</v>
      </c>
      <c r="B16" s="24" t="n">
        <v>0.617</v>
      </c>
      <c r="C16" s="24" t="n">
        <v>0.484</v>
      </c>
      <c r="D16" s="24" t="n">
        <v>0.575</v>
      </c>
      <c r="E16" s="24" t="n">
        <v>0.5</v>
      </c>
      <c r="F16" s="24" t="n">
        <v>0.424</v>
      </c>
      <c r="G16" s="24" t="n">
        <v>0.387</v>
      </c>
      <c r="H16" s="24" t="n">
        <v>0.65</v>
      </c>
      <c r="I16" s="24" t="n">
        <v>0.414</v>
      </c>
    </row>
    <row r="17">
      <c r="A17" s="23" t="n">
        <v>13</v>
      </c>
      <c r="B17" s="24" t="n">
        <v>0.641</v>
      </c>
      <c r="C17" s="24" t="n">
        <v>0.496</v>
      </c>
      <c r="D17" s="24" t="n">
        <v>0.595</v>
      </c>
      <c r="E17" s="24" t="n">
        <v>0.514</v>
      </c>
      <c r="F17" s="24" t="n">
        <v>0.443</v>
      </c>
      <c r="G17" s="24" t="n">
        <v>0.406</v>
      </c>
      <c r="H17" s="24" t="n">
        <v>0.65</v>
      </c>
      <c r="I17" s="24" t="n">
        <v>0.446</v>
      </c>
    </row>
    <row r="18">
      <c r="A18" s="23" t="n">
        <v>14</v>
      </c>
      <c r="B18" s="24" t="n">
        <v>0.666</v>
      </c>
      <c r="C18" s="24" t="n">
        <v>0.507</v>
      </c>
      <c r="D18" s="24" t="n">
        <v>0.616</v>
      </c>
      <c r="E18" s="24" t="n">
        <v>0.529</v>
      </c>
      <c r="F18" s="24" t="n">
        <v>0.461</v>
      </c>
      <c r="G18" s="24" t="n">
        <v>0.424</v>
      </c>
      <c r="H18" s="24" t="n">
        <v>0.65</v>
      </c>
      <c r="I18" s="24" t="n">
        <v>0.478</v>
      </c>
    </row>
    <row r="19">
      <c r="A19" s="23" t="n">
        <v>15</v>
      </c>
      <c r="B19" s="24" t="n">
        <v>0.6899999999999999</v>
      </c>
      <c r="C19" s="24" t="n">
        <v>0.519</v>
      </c>
      <c r="D19" s="24" t="n">
        <v>0.636</v>
      </c>
      <c r="E19" s="24" t="n">
        <v>0.543</v>
      </c>
      <c r="F19" s="24" t="n">
        <v>0.48</v>
      </c>
      <c r="G19" s="24" t="n">
        <v>0.443</v>
      </c>
      <c r="H19" s="24" t="n">
        <v>0.65</v>
      </c>
      <c r="I19" s="24" t="n">
        <v>0.51</v>
      </c>
    </row>
    <row r="20">
      <c r="A20" s="23" t="n">
        <v>16</v>
      </c>
      <c r="B20" s="24" t="n">
        <v>0.714</v>
      </c>
      <c r="C20" s="24" t="n">
        <v>0.53</v>
      </c>
      <c r="D20" s="24" t="n">
        <v>0.657</v>
      </c>
      <c r="E20" s="24" t="n">
        <v>0.5570000000000001</v>
      </c>
      <c r="F20" s="24" t="n">
        <v>0.499</v>
      </c>
      <c r="G20" s="24" t="n">
        <v>0.461</v>
      </c>
      <c r="H20" s="24" t="n">
        <v>0.654</v>
      </c>
      <c r="I20" s="24" t="n">
        <v>0.542</v>
      </c>
    </row>
    <row r="21">
      <c r="A21" s="23" t="n">
        <v>17</v>
      </c>
      <c r="B21" s="24" t="n">
        <v>0.739</v>
      </c>
      <c r="C21" s="24" t="n">
        <v>0.541</v>
      </c>
      <c r="D21" s="24" t="n">
        <v>0.677</v>
      </c>
      <c r="E21" s="24" t="n">
        <v>0.571</v>
      </c>
      <c r="F21" s="24" t="n">
        <v>0.517</v>
      </c>
      <c r="G21" s="24" t="n">
        <v>0.48</v>
      </c>
      <c r="H21" s="24" t="n">
        <v>0.659</v>
      </c>
      <c r="I21" s="24" t="n">
        <v>0.574</v>
      </c>
    </row>
    <row r="22">
      <c r="A22" s="23" t="n">
        <v>18</v>
      </c>
      <c r="B22" s="24" t="n">
        <v>0.763</v>
      </c>
      <c r="C22" s="24" t="n">
        <v>0.553</v>
      </c>
      <c r="D22" s="24" t="n">
        <v>0.698</v>
      </c>
      <c r="E22" s="24" t="n">
        <v>0.586</v>
      </c>
      <c r="F22" s="24" t="n">
        <v>0.536</v>
      </c>
      <c r="G22" s="24" t="n">
        <v>0.499</v>
      </c>
      <c r="H22" s="24" t="n">
        <v>0.663</v>
      </c>
      <c r="I22" s="24" t="n">
        <v>0.606</v>
      </c>
    </row>
    <row r="23">
      <c r="A23" s="23" t="n">
        <v>19</v>
      </c>
      <c r="B23" s="24" t="n">
        <v>0.787</v>
      </c>
      <c r="C23" s="24" t="n">
        <v>0.5639999999999999</v>
      </c>
      <c r="D23" s="24" t="n">
        <v>0.718</v>
      </c>
      <c r="E23" s="24" t="n">
        <v>0.6</v>
      </c>
      <c r="F23" s="24" t="n">
        <v>0.554</v>
      </c>
      <c r="G23" s="24" t="n">
        <v>0.517</v>
      </c>
      <c r="H23" s="24" t="n">
        <v>0.668</v>
      </c>
      <c r="I23" s="24" t="n">
        <v>0.638</v>
      </c>
    </row>
    <row r="24">
      <c r="A24" s="23" t="n">
        <v>20</v>
      </c>
      <c r="B24" s="24" t="n">
        <v>0.8110000000000001</v>
      </c>
      <c r="C24" s="24" t="n">
        <v>0.576</v>
      </c>
      <c r="D24" s="24" t="n">
        <v>0.738</v>
      </c>
      <c r="E24" s="24" t="n">
        <v>0.614</v>
      </c>
      <c r="F24" s="24" t="n">
        <v>0.573</v>
      </c>
      <c r="G24" s="24" t="n">
        <v>0.536</v>
      </c>
      <c r="H24" s="24" t="n">
        <v>0.672</v>
      </c>
      <c r="I24" s="24" t="n">
        <v>0.67</v>
      </c>
    </row>
    <row r="25">
      <c r="A25" s="23" t="n">
        <v>21</v>
      </c>
      <c r="B25" s="24" t="n">
        <v>0.836</v>
      </c>
      <c r="C25" s="24" t="n">
        <v>0.587</v>
      </c>
      <c r="D25" s="24" t="n">
        <v>0.759</v>
      </c>
      <c r="E25" s="24" t="n">
        <v>0.629</v>
      </c>
      <c r="F25" s="24" t="n">
        <v>0.591</v>
      </c>
      <c r="G25" s="24" t="n">
        <v>0.554</v>
      </c>
      <c r="H25" s="24" t="n">
        <v>0.677</v>
      </c>
      <c r="I25" s="24" t="n">
        <v>0.702</v>
      </c>
    </row>
    <row r="26">
      <c r="A26" s="23" t="n">
        <v>22</v>
      </c>
      <c r="B26" s="24" t="n">
        <v>0.86</v>
      </c>
      <c r="C26" s="24" t="n">
        <v>0.599</v>
      </c>
      <c r="D26" s="24" t="n">
        <v>0.779</v>
      </c>
      <c r="E26" s="24" t="n">
        <v>0.643</v>
      </c>
      <c r="F26" s="24" t="n">
        <v>0.61</v>
      </c>
      <c r="G26" s="24" t="n">
        <v>0.573</v>
      </c>
      <c r="H26" s="24" t="n">
        <v>0.681</v>
      </c>
      <c r="I26" s="24" t="n">
        <v>0.734</v>
      </c>
    </row>
    <row r="27">
      <c r="A27" s="23" t="n">
        <v>23</v>
      </c>
      <c r="B27" s="24" t="n">
        <v>0.884</v>
      </c>
      <c r="C27" s="24" t="n">
        <v>0.61</v>
      </c>
      <c r="D27" s="24" t="n">
        <v>0.8</v>
      </c>
      <c r="E27" s="24" t="n">
        <v>0.657</v>
      </c>
      <c r="F27" s="24" t="n">
        <v>0.629</v>
      </c>
      <c r="G27" s="24" t="n">
        <v>0.591</v>
      </c>
      <c r="H27" s="24" t="n">
        <v>0.6860000000000001</v>
      </c>
      <c r="I27" s="24" t="n">
        <v>0.766</v>
      </c>
    </row>
    <row r="28">
      <c r="A28" s="23" t="n">
        <v>24</v>
      </c>
      <c r="B28" s="24" t="n">
        <v>0.909</v>
      </c>
      <c r="C28" s="24" t="n">
        <v>0.621</v>
      </c>
      <c r="D28" s="24" t="n">
        <v>0.82</v>
      </c>
      <c r="E28" s="24" t="n">
        <v>0.671</v>
      </c>
      <c r="F28" s="24" t="n">
        <v>0.647</v>
      </c>
      <c r="G28" s="24" t="n">
        <v>0.61</v>
      </c>
      <c r="H28" s="24" t="n">
        <v>0.6899999999999999</v>
      </c>
      <c r="I28" s="24" t="n">
        <v>0.798</v>
      </c>
    </row>
    <row r="29">
      <c r="A29" s="23" t="n">
        <v>25</v>
      </c>
      <c r="B29" s="24" t="n">
        <v>0.9330000000000001</v>
      </c>
      <c r="C29" s="24" t="n">
        <v>0.633</v>
      </c>
      <c r="D29" s="24" t="n">
        <v>0.841</v>
      </c>
      <c r="E29" s="24" t="n">
        <v>0.6860000000000001</v>
      </c>
      <c r="F29" s="24" t="n">
        <v>0.666</v>
      </c>
      <c r="G29" s="24" t="n">
        <v>0.629</v>
      </c>
      <c r="H29" s="24" t="n">
        <v>0.694</v>
      </c>
      <c r="I29" s="24" t="n">
        <v>0.83</v>
      </c>
    </row>
    <row r="30">
      <c r="A30" s="23" t="n">
        <v>26</v>
      </c>
      <c r="B30" s="24" t="n">
        <v>0.957</v>
      </c>
      <c r="C30" s="24" t="n">
        <v>0.644</v>
      </c>
      <c r="D30" s="24" t="n">
        <v>0.861</v>
      </c>
      <c r="E30" s="24" t="n">
        <v>0.7</v>
      </c>
      <c r="F30" s="24" t="n">
        <v>0.6840000000000001</v>
      </c>
      <c r="G30" s="24" t="n">
        <v>0.647</v>
      </c>
      <c r="H30" s="24" t="n">
        <v>0.699</v>
      </c>
      <c r="I30" s="24" t="n">
        <v>0.862</v>
      </c>
    </row>
    <row r="31">
      <c r="A31" s="23" t="n">
        <v>27</v>
      </c>
      <c r="B31" s="24" t="n">
        <v>0.981</v>
      </c>
      <c r="C31" s="24" t="n">
        <v>0.656</v>
      </c>
      <c r="D31" s="24" t="n">
        <v>0.882</v>
      </c>
      <c r="E31" s="24" t="n">
        <v>0.714</v>
      </c>
      <c r="F31" s="24" t="n">
        <v>0.703</v>
      </c>
      <c r="G31" s="24" t="n">
        <v>0.666</v>
      </c>
      <c r="H31" s="24" t="n">
        <v>0.703</v>
      </c>
      <c r="I31" s="24" t="n">
        <v>0.894</v>
      </c>
    </row>
    <row r="32">
      <c r="A32" s="23" t="n">
        <v>28</v>
      </c>
      <c r="B32" s="24" t="n">
        <v>1.006</v>
      </c>
      <c r="C32" s="24" t="n">
        <v>0.667</v>
      </c>
      <c r="D32" s="24" t="n">
        <v>0.902</v>
      </c>
      <c r="E32" s="24" t="n">
        <v>0.729</v>
      </c>
      <c r="F32" s="24" t="n">
        <v>0.721</v>
      </c>
      <c r="G32" s="24" t="n">
        <v>0.6840000000000001</v>
      </c>
      <c r="H32" s="24" t="n">
        <v>0.708</v>
      </c>
      <c r="I32" s="24" t="n">
        <v>0.926</v>
      </c>
    </row>
    <row r="33">
      <c r="A33" s="23" t="n">
        <v>29</v>
      </c>
      <c r="B33" s="24" t="n">
        <v>1.03</v>
      </c>
      <c r="C33" s="24" t="n">
        <v>0.679</v>
      </c>
      <c r="D33" s="24" t="n">
        <v>0.922</v>
      </c>
      <c r="E33" s="24" t="n">
        <v>0.743</v>
      </c>
      <c r="F33" s="24" t="n">
        <v>0.74</v>
      </c>
      <c r="G33" s="24" t="n">
        <v>0.703</v>
      </c>
      <c r="H33" s="24" t="n">
        <v>0.712</v>
      </c>
      <c r="I33" s="24" t="n">
        <v>0.958</v>
      </c>
    </row>
    <row r="34">
      <c r="A34" s="23" t="n">
        <v>30</v>
      </c>
      <c r="B34" s="24" t="n">
        <v>1.054</v>
      </c>
      <c r="C34" s="24" t="n">
        <v>0.6899999999999999</v>
      </c>
      <c r="D34" s="24" t="n">
        <v>0.9429999999999999</v>
      </c>
      <c r="E34" s="24" t="n">
        <v>0.757</v>
      </c>
      <c r="F34" s="24" t="n">
        <v>0.759</v>
      </c>
      <c r="G34" s="24" t="n">
        <v>0.721</v>
      </c>
      <c r="H34" s="24" t="n">
        <v>0.717</v>
      </c>
      <c r="I34" s="24" t="n">
        <v>0.99</v>
      </c>
    </row>
    <row r="35">
      <c r="A35" s="23" t="n">
        <v>31</v>
      </c>
      <c r="B35" s="24" t="n">
        <v>1.079</v>
      </c>
      <c r="C35" s="24" t="n">
        <v>0.701</v>
      </c>
      <c r="D35" s="24" t="n">
        <v>0.963</v>
      </c>
      <c r="E35" s="24" t="n">
        <v>0.771</v>
      </c>
      <c r="F35" s="24" t="n">
        <v>0.777</v>
      </c>
      <c r="G35" s="24" t="n">
        <v>0.74</v>
      </c>
      <c r="H35" s="24" t="n">
        <v>0.721</v>
      </c>
      <c r="I35" s="24" t="n">
        <v>1.022</v>
      </c>
    </row>
    <row r="36">
      <c r="A36" s="23" t="n">
        <v>32</v>
      </c>
      <c r="B36" s="24" t="n">
        <v>1.103</v>
      </c>
      <c r="C36" s="24" t="n">
        <v>0.713</v>
      </c>
      <c r="D36" s="24" t="n">
        <v>0.984</v>
      </c>
      <c r="E36" s="24" t="n">
        <v>0.786</v>
      </c>
      <c r="F36" s="24" t="n">
        <v>0.796</v>
      </c>
      <c r="G36" s="24" t="n">
        <v>0.759</v>
      </c>
      <c r="H36" s="24" t="n">
        <v>0.726</v>
      </c>
      <c r="I36" s="24" t="n">
        <v>1.054</v>
      </c>
    </row>
    <row r="37">
      <c r="A37" s="23" t="n">
        <v>33</v>
      </c>
      <c r="B37" s="24" t="n">
        <v>1.127</v>
      </c>
      <c r="C37" s="24" t="n">
        <v>0.724</v>
      </c>
      <c r="D37" s="24" t="n">
        <v>1.004</v>
      </c>
      <c r="E37" s="24" t="n">
        <v>0.8</v>
      </c>
      <c r="F37" s="24" t="n">
        <v>0.8139999999999999</v>
      </c>
      <c r="G37" s="24" t="n">
        <v>0.777</v>
      </c>
      <c r="H37" s="24" t="n">
        <v>0.73</v>
      </c>
      <c r="I37" s="24" t="n">
        <v>1.086</v>
      </c>
    </row>
    <row r="38">
      <c r="A38" s="23" t="n">
        <v>34</v>
      </c>
      <c r="B38" s="24" t="n">
        <v>1.151</v>
      </c>
      <c r="C38" s="24" t="n">
        <v>0.736</v>
      </c>
      <c r="D38" s="24" t="n">
        <v>1.025</v>
      </c>
      <c r="E38" s="24" t="n">
        <v>0.8139999999999999</v>
      </c>
      <c r="F38" s="24" t="n">
        <v>0.833</v>
      </c>
      <c r="G38" s="24" t="n">
        <v>0.796</v>
      </c>
      <c r="H38" s="24" t="n">
        <v>0.734</v>
      </c>
      <c r="I38" s="24" t="n">
        <v>1.118</v>
      </c>
    </row>
    <row r="39">
      <c r="A39" s="23" t="n">
        <v>35</v>
      </c>
      <c r="B39" s="24" t="n">
        <v>1.176</v>
      </c>
      <c r="C39" s="24" t="n">
        <v>0.747</v>
      </c>
      <c r="D39" s="24" t="n">
        <v>1.045</v>
      </c>
      <c r="E39" s="24" t="n">
        <v>0.829</v>
      </c>
      <c r="F39" s="24" t="n">
        <v>0.851</v>
      </c>
      <c r="G39" s="24" t="n">
        <v>0.8139999999999999</v>
      </c>
      <c r="H39" s="24" t="n">
        <v>0.739</v>
      </c>
      <c r="I39" s="24" t="n">
        <v>1.15</v>
      </c>
    </row>
    <row r="40">
      <c r="A40" s="23" t="n">
        <v>36</v>
      </c>
      <c r="B40" s="24" t="n">
        <v>1.2</v>
      </c>
      <c r="C40" s="24" t="n">
        <v>0.759</v>
      </c>
      <c r="D40" s="24" t="n">
        <v>1.066</v>
      </c>
      <c r="E40" s="24" t="n">
        <v>0.843</v>
      </c>
      <c r="F40" s="24" t="n">
        <v>0.87</v>
      </c>
      <c r="G40" s="24" t="n">
        <v>0.833</v>
      </c>
      <c r="H40" s="24" t="n">
        <v>0.743</v>
      </c>
      <c r="I40" s="24" t="n">
        <v>1.15</v>
      </c>
    </row>
    <row r="41">
      <c r="A41" s="23" t="n">
        <v>37</v>
      </c>
      <c r="B41" s="24" t="n">
        <v>1.224</v>
      </c>
      <c r="C41" s="24" t="n">
        <v>0.77</v>
      </c>
      <c r="D41" s="24" t="n">
        <v>1.086</v>
      </c>
      <c r="E41" s="24" t="n">
        <v>0.857</v>
      </c>
      <c r="F41" s="24" t="n">
        <v>0.889</v>
      </c>
      <c r="G41" s="24" t="n">
        <v>0.851</v>
      </c>
      <c r="H41" s="24" t="n">
        <v>0.748</v>
      </c>
      <c r="I41" s="24" t="n">
        <v>1.15</v>
      </c>
    </row>
    <row r="42">
      <c r="A42" s="23" t="n">
        <v>38</v>
      </c>
      <c r="B42" s="24" t="n">
        <v>1.249</v>
      </c>
      <c r="C42" s="24" t="n">
        <v>0.781</v>
      </c>
      <c r="D42" s="24" t="n">
        <v>1.106</v>
      </c>
      <c r="E42" s="24" t="n">
        <v>0.871</v>
      </c>
      <c r="F42" s="24" t="n">
        <v>0.907</v>
      </c>
      <c r="G42" s="24" t="n">
        <v>0.87</v>
      </c>
      <c r="H42" s="24" t="n">
        <v>0.752</v>
      </c>
      <c r="I42" s="24" t="n">
        <v>1.15</v>
      </c>
    </row>
    <row r="43">
      <c r="A43" s="23" t="n">
        <v>39</v>
      </c>
      <c r="B43" s="24" t="n">
        <v>1.273</v>
      </c>
      <c r="C43" s="24" t="n">
        <v>0.793</v>
      </c>
      <c r="D43" s="24" t="n">
        <v>1.127</v>
      </c>
      <c r="E43" s="24" t="n">
        <v>0.886</v>
      </c>
      <c r="F43" s="24" t="n">
        <v>0.926</v>
      </c>
      <c r="G43" s="24" t="n">
        <v>0.889</v>
      </c>
      <c r="H43" s="24" t="n">
        <v>0.757</v>
      </c>
      <c r="I43" s="24" t="n">
        <v>1.15</v>
      </c>
    </row>
    <row r="44">
      <c r="A44" s="23" t="n">
        <v>40</v>
      </c>
      <c r="B44" s="24" t="n">
        <v>1.27</v>
      </c>
      <c r="C44" s="24" t="n">
        <v>0.804</v>
      </c>
      <c r="D44" s="24" t="n">
        <v>1.147</v>
      </c>
      <c r="E44" s="24" t="n">
        <v>0.9</v>
      </c>
      <c r="F44" s="24" t="n">
        <v>0.944</v>
      </c>
      <c r="G44" s="24" t="n">
        <v>0.907</v>
      </c>
      <c r="H44" s="24" t="n">
        <v>0.761</v>
      </c>
      <c r="I44" s="24" t="n">
        <v>1.15</v>
      </c>
    </row>
    <row r="45">
      <c r="A45" s="23" t="n">
        <v>41</v>
      </c>
      <c r="B45" s="24" t="n">
        <v>1.27</v>
      </c>
      <c r="C45" s="24" t="n">
        <v>0.8159999999999999</v>
      </c>
      <c r="D45" s="24" t="n">
        <v>1.168</v>
      </c>
      <c r="E45" s="24" t="n">
        <v>0.914</v>
      </c>
      <c r="F45" s="24" t="n">
        <v>0.963</v>
      </c>
      <c r="G45" s="24" t="n">
        <v>0.926</v>
      </c>
      <c r="H45" s="24" t="n">
        <v>0.766</v>
      </c>
      <c r="I45" s="24" t="n">
        <v>1.15</v>
      </c>
    </row>
    <row r="46">
      <c r="A46" s="23" t="n">
        <v>42</v>
      </c>
      <c r="B46" s="24" t="n">
        <v>1.27</v>
      </c>
      <c r="C46" s="24" t="n">
        <v>0.827</v>
      </c>
      <c r="D46" s="24" t="n">
        <v>1.188</v>
      </c>
      <c r="E46" s="24" t="n">
        <v>0.929</v>
      </c>
      <c r="F46" s="24" t="n">
        <v>0.981</v>
      </c>
      <c r="G46" s="24" t="n">
        <v>0.944</v>
      </c>
      <c r="H46" s="24" t="n">
        <v>0.77</v>
      </c>
      <c r="I46" s="24" t="n">
        <v>1.15</v>
      </c>
    </row>
    <row r="47">
      <c r="A47" s="23" t="n">
        <v>43</v>
      </c>
      <c r="B47" s="24" t="n">
        <v>1.27</v>
      </c>
      <c r="C47" s="24" t="n">
        <v>0.839</v>
      </c>
      <c r="D47" s="24" t="n">
        <v>1.209</v>
      </c>
      <c r="E47" s="24" t="n">
        <v>0.9429999999999999</v>
      </c>
      <c r="F47" s="24" t="n">
        <v>1</v>
      </c>
      <c r="G47" s="24" t="n">
        <v>0.963</v>
      </c>
      <c r="H47" s="24" t="n">
        <v>0.774</v>
      </c>
      <c r="I47" s="24" t="n">
        <v>1.15</v>
      </c>
    </row>
    <row r="48">
      <c r="A48" s="23" t="n">
        <v>44</v>
      </c>
      <c r="B48" s="24" t="n">
        <v>1.27</v>
      </c>
      <c r="C48" s="24" t="n">
        <v>0.85</v>
      </c>
      <c r="D48" s="24" t="n">
        <v>1.229</v>
      </c>
      <c r="E48" s="24" t="n">
        <v>0.957</v>
      </c>
      <c r="F48" s="24" t="n">
        <v>1</v>
      </c>
      <c r="G48" s="24" t="n">
        <v>0.981</v>
      </c>
      <c r="H48" s="24" t="n">
        <v>0.779</v>
      </c>
      <c r="I48" s="24" t="n">
        <v>1.15</v>
      </c>
    </row>
    <row r="49">
      <c r="A49" s="23" t="n">
        <v>45</v>
      </c>
      <c r="B49" s="24" t="n">
        <v>1.27</v>
      </c>
      <c r="C49" s="24" t="n">
        <v>0.861</v>
      </c>
      <c r="D49" s="24" t="n">
        <v>1.25</v>
      </c>
      <c r="E49" s="24" t="n">
        <v>0.971</v>
      </c>
      <c r="F49" s="24" t="n">
        <v>1</v>
      </c>
      <c r="G49" s="24" t="n">
        <v>1</v>
      </c>
      <c r="H49" s="24" t="n">
        <v>0.783</v>
      </c>
      <c r="I49" s="24" t="n">
        <v>1.15</v>
      </c>
    </row>
    <row r="50">
      <c r="A50" s="23" t="n">
        <v>46</v>
      </c>
      <c r="B50" s="24" t="n">
        <v>1.27</v>
      </c>
      <c r="C50" s="24" t="n">
        <v>1.08</v>
      </c>
      <c r="D50" s="24" t="n">
        <v>1.27</v>
      </c>
      <c r="E50" s="24" t="n">
        <v>0.986</v>
      </c>
      <c r="F50" s="24" t="n">
        <v>1</v>
      </c>
      <c r="G50" s="24" t="n">
        <v>1</v>
      </c>
      <c r="H50" s="24" t="n">
        <v>0.788</v>
      </c>
      <c r="I50" s="24" t="n">
        <v>1.15</v>
      </c>
    </row>
    <row r="51">
      <c r="A51" s="23" t="n">
        <v>47</v>
      </c>
      <c r="B51" s="24" t="n">
        <v>1.27</v>
      </c>
      <c r="C51" s="24" t="n">
        <v>1.08</v>
      </c>
      <c r="D51" s="24" t="n">
        <v>1.27</v>
      </c>
      <c r="E51" s="24" t="n">
        <v>1</v>
      </c>
      <c r="F51" s="24" t="n">
        <v>1</v>
      </c>
      <c r="G51" s="24" t="n">
        <v>1</v>
      </c>
      <c r="H51" s="24" t="n">
        <v>0.792</v>
      </c>
      <c r="I51" s="24" t="n">
        <v>1.15</v>
      </c>
    </row>
    <row r="52">
      <c r="A52" s="23" t="n">
        <v>48</v>
      </c>
      <c r="B52" s="24" t="n">
        <v>1.27</v>
      </c>
      <c r="C52" s="24" t="n">
        <v>1.08</v>
      </c>
      <c r="D52" s="24" t="n">
        <v>1.27</v>
      </c>
      <c r="E52" s="24" t="n">
        <v>1</v>
      </c>
      <c r="F52" s="24" t="n">
        <v>1</v>
      </c>
      <c r="G52" s="24" t="n">
        <v>1</v>
      </c>
      <c r="H52" s="24" t="n">
        <v>0.797</v>
      </c>
      <c r="I52" s="24" t="n">
        <v>1.15</v>
      </c>
    </row>
    <row r="53">
      <c r="A53" s="23" t="n">
        <v>49</v>
      </c>
      <c r="B53" s="24" t="n">
        <v>1.27</v>
      </c>
      <c r="C53" s="24" t="n">
        <v>1.08</v>
      </c>
      <c r="D53" s="24" t="n">
        <v>1.27</v>
      </c>
      <c r="E53" s="24" t="n">
        <v>1</v>
      </c>
      <c r="F53" s="24" t="n">
        <v>1</v>
      </c>
      <c r="G53" s="24" t="n">
        <v>1</v>
      </c>
      <c r="H53" s="24" t="n">
        <v>0.801</v>
      </c>
      <c r="I53" s="24" t="n">
        <v>1.15</v>
      </c>
    </row>
    <row r="54">
      <c r="A54" s="23" t="n">
        <v>50</v>
      </c>
      <c r="B54" s="24" t="n">
        <v>1.27</v>
      </c>
      <c r="C54" s="24" t="n">
        <v>1.08</v>
      </c>
      <c r="D54" s="24" t="n">
        <v>1.27</v>
      </c>
      <c r="E54" s="24" t="n">
        <v>1</v>
      </c>
      <c r="F54" s="24" t="n">
        <v>1</v>
      </c>
      <c r="G54" s="24" t="n">
        <v>1</v>
      </c>
      <c r="H54" s="24" t="n">
        <v>0.806</v>
      </c>
      <c r="I54" s="24" t="n">
        <v>1.15</v>
      </c>
    </row>
    <row r="55">
      <c r="A55" s="23" t="n">
        <v>51</v>
      </c>
      <c r="B55" s="24" t="n">
        <v>1.27</v>
      </c>
      <c r="C55" s="24" t="n">
        <v>1.08</v>
      </c>
      <c r="D55" s="24" t="n">
        <v>1.27</v>
      </c>
      <c r="E55" s="24" t="n">
        <v>1</v>
      </c>
      <c r="F55" s="24" t="n">
        <v>1</v>
      </c>
      <c r="G55" s="24" t="n">
        <v>1</v>
      </c>
      <c r="H55" s="24" t="n">
        <v>0.8100000000000001</v>
      </c>
      <c r="I55" s="24" t="n">
        <v>1.15</v>
      </c>
    </row>
    <row r="56">
      <c r="A56" s="23" t="n">
        <v>52</v>
      </c>
      <c r="B56" s="24" t="n">
        <v>1.27</v>
      </c>
      <c r="C56" s="24" t="n">
        <v>1.08</v>
      </c>
      <c r="D56" s="24" t="n">
        <v>1.27</v>
      </c>
      <c r="E56" s="24" t="n">
        <v>1</v>
      </c>
      <c r="F56" s="24" t="n">
        <v>1</v>
      </c>
      <c r="G56" s="24" t="n">
        <v>1</v>
      </c>
      <c r="H56" s="24" t="n">
        <v>0.8139999999999999</v>
      </c>
      <c r="I56" s="24" t="n">
        <v>1.15</v>
      </c>
    </row>
    <row r="57">
      <c r="A57" s="23" t="n">
        <v>53</v>
      </c>
      <c r="B57" s="24" t="n">
        <v>1.27</v>
      </c>
      <c r="C57" s="24" t="n">
        <v>1.08</v>
      </c>
      <c r="D57" s="24" t="n">
        <v>1.27</v>
      </c>
      <c r="E57" s="24" t="n">
        <v>1</v>
      </c>
      <c r="F57" s="24" t="n">
        <v>1</v>
      </c>
      <c r="G57" s="24" t="n">
        <v>1</v>
      </c>
      <c r="H57" s="24" t="n">
        <v>0.819</v>
      </c>
      <c r="I57" s="24" t="n">
        <v>1.15</v>
      </c>
    </row>
    <row r="58">
      <c r="A58" s="23" t="n">
        <v>54</v>
      </c>
      <c r="B58" s="24" t="n">
        <v>1.27</v>
      </c>
      <c r="C58" s="24" t="n">
        <v>1.08</v>
      </c>
      <c r="D58" s="24" t="n">
        <v>1.27</v>
      </c>
      <c r="E58" s="24" t="n">
        <v>1</v>
      </c>
      <c r="F58" s="24" t="n">
        <v>1</v>
      </c>
      <c r="G58" s="24" t="n">
        <v>1</v>
      </c>
      <c r="H58" s="24" t="n">
        <v>0.823</v>
      </c>
      <c r="I58" s="24" t="n">
        <v>1.15</v>
      </c>
    </row>
    <row r="59">
      <c r="A59" s="23" t="n">
        <v>55</v>
      </c>
      <c r="B59" s="24" t="n">
        <v>1.27</v>
      </c>
      <c r="C59" s="24" t="n">
        <v>1.08</v>
      </c>
      <c r="D59" s="24" t="n">
        <v>1.27</v>
      </c>
      <c r="E59" s="24" t="n">
        <v>1</v>
      </c>
      <c r="F59" s="24" t="n">
        <v>1</v>
      </c>
      <c r="G59" s="24" t="n">
        <v>1</v>
      </c>
      <c r="H59" s="24" t="n">
        <v>0.828</v>
      </c>
      <c r="I59" s="24" t="n">
        <v>1.15</v>
      </c>
    </row>
    <row r="60">
      <c r="A60" s="23" t="n">
        <v>56</v>
      </c>
      <c r="B60" s="24" t="n">
        <v>1.27</v>
      </c>
      <c r="C60" s="24" t="n">
        <v>1.08</v>
      </c>
      <c r="D60" s="24" t="n">
        <v>1.27</v>
      </c>
      <c r="E60" s="24" t="n">
        <v>1</v>
      </c>
      <c r="F60" s="24" t="n">
        <v>1</v>
      </c>
      <c r="G60" s="24" t="n">
        <v>1</v>
      </c>
      <c r="H60" s="24" t="n">
        <v>0.832</v>
      </c>
      <c r="I60" s="24" t="n">
        <v>1.15</v>
      </c>
    </row>
    <row r="61">
      <c r="A61" s="23" t="n">
        <v>57</v>
      </c>
      <c r="B61" s="24" t="n">
        <v>1.27</v>
      </c>
      <c r="C61" s="24" t="n">
        <v>1.08</v>
      </c>
      <c r="D61" s="24" t="n">
        <v>1.27</v>
      </c>
      <c r="E61" s="24" t="n">
        <v>1</v>
      </c>
      <c r="F61" s="24" t="n">
        <v>1</v>
      </c>
      <c r="G61" s="24" t="n">
        <v>1</v>
      </c>
      <c r="H61" s="24" t="n">
        <v>0.837</v>
      </c>
      <c r="I61" s="24" t="n">
        <v>1.15</v>
      </c>
    </row>
    <row r="62">
      <c r="A62" s="23" t="n">
        <v>58</v>
      </c>
      <c r="B62" s="24" t="n">
        <v>1.27</v>
      </c>
      <c r="C62" s="24" t="n">
        <v>1.08</v>
      </c>
      <c r="D62" s="24" t="n">
        <v>1.27</v>
      </c>
      <c r="E62" s="24" t="n">
        <v>1</v>
      </c>
      <c r="F62" s="24" t="n">
        <v>1</v>
      </c>
      <c r="G62" s="24" t="n">
        <v>1</v>
      </c>
      <c r="H62" s="24" t="n">
        <v>0.841</v>
      </c>
      <c r="I62" s="24" t="n">
        <v>1.15</v>
      </c>
    </row>
    <row r="63">
      <c r="A63" s="23" t="n">
        <v>59</v>
      </c>
      <c r="B63" s="24" t="n">
        <v>1.27</v>
      </c>
      <c r="C63" s="24" t="n">
        <v>1.08</v>
      </c>
      <c r="D63" s="24" t="n">
        <v>1.27</v>
      </c>
      <c r="E63" s="24" t="n">
        <v>1</v>
      </c>
      <c r="F63" s="24" t="n">
        <v>1</v>
      </c>
      <c r="G63" s="24" t="n">
        <v>1</v>
      </c>
      <c r="H63" s="24" t="n">
        <v>0.846</v>
      </c>
      <c r="I63" s="24" t="n">
        <v>1.15</v>
      </c>
    </row>
    <row r="64">
      <c r="A64" s="23" t="n">
        <v>60</v>
      </c>
      <c r="B64" s="24" t="n">
        <v>1.27</v>
      </c>
      <c r="C64" s="24" t="n">
        <v>1.08</v>
      </c>
      <c r="D64" s="24" t="n">
        <v>1.27</v>
      </c>
      <c r="E64" s="24" t="n">
        <v>1</v>
      </c>
      <c r="F64" s="24" t="n">
        <v>1</v>
      </c>
      <c r="G64" s="24" t="n">
        <v>1</v>
      </c>
      <c r="H64" s="24" t="n">
        <v>0.85</v>
      </c>
      <c r="I64" s="24" t="n">
        <v>1.15</v>
      </c>
    </row>
    <row r="65">
      <c r="A65" s="23" t="n">
        <v>61</v>
      </c>
      <c r="B65" s="24" t="n">
        <v>1.27</v>
      </c>
      <c r="C65" s="24" t="n">
        <v>1.08</v>
      </c>
      <c r="D65" s="24" t="n">
        <v>1.27</v>
      </c>
      <c r="E65" s="24" t="n">
        <v>1</v>
      </c>
      <c r="F65" s="24" t="n">
        <v>1</v>
      </c>
      <c r="G65" s="24" t="n">
        <v>1</v>
      </c>
      <c r="H65" s="24" t="n">
        <v>0.862</v>
      </c>
      <c r="I65" s="24" t="n">
        <v>1.15</v>
      </c>
    </row>
    <row r="66">
      <c r="A66" s="23" t="n">
        <v>62</v>
      </c>
      <c r="B66" s="24" t="n">
        <v>1.27</v>
      </c>
      <c r="C66" s="24" t="n">
        <v>1.08</v>
      </c>
      <c r="D66" s="24" t="n">
        <v>1.27</v>
      </c>
      <c r="E66" s="24" t="n">
        <v>1</v>
      </c>
      <c r="F66" s="24" t="n">
        <v>1</v>
      </c>
      <c r="G66" s="24" t="n">
        <v>1</v>
      </c>
      <c r="H66" s="24" t="n">
        <v>0.875</v>
      </c>
      <c r="I66" s="24" t="n">
        <v>1.15</v>
      </c>
    </row>
    <row r="67">
      <c r="A67" s="23" t="n">
        <v>63</v>
      </c>
      <c r="B67" s="24" t="n">
        <v>1.27</v>
      </c>
      <c r="C67" s="24" t="n">
        <v>1.08</v>
      </c>
      <c r="D67" s="24" t="n">
        <v>1.27</v>
      </c>
      <c r="E67" s="24" t="n">
        <v>1</v>
      </c>
      <c r="F67" s="24" t="n">
        <v>1</v>
      </c>
      <c r="G67" s="24" t="n">
        <v>1</v>
      </c>
      <c r="H67" s="24" t="n">
        <v>0.887</v>
      </c>
      <c r="I67" s="24" t="n">
        <v>1.15</v>
      </c>
    </row>
    <row r="68">
      <c r="A68" s="23" t="n">
        <v>64</v>
      </c>
      <c r="B68" s="24" t="n">
        <v>1.27</v>
      </c>
      <c r="C68" s="24" t="n">
        <v>1.08</v>
      </c>
      <c r="D68" s="24" t="n">
        <v>1.27</v>
      </c>
      <c r="E68" s="24" t="n">
        <v>1</v>
      </c>
      <c r="F68" s="24" t="n">
        <v>1</v>
      </c>
      <c r="G68" s="24" t="n">
        <v>1</v>
      </c>
      <c r="H68" s="24" t="n">
        <v>0.9</v>
      </c>
      <c r="I68" s="24" t="n">
        <v>1.15</v>
      </c>
    </row>
    <row r="69">
      <c r="A69" s="23" t="n">
        <v>65</v>
      </c>
      <c r="B69" s="24" t="n">
        <v>1.27</v>
      </c>
      <c r="C69" s="24" t="n">
        <v>1.08</v>
      </c>
      <c r="D69" s="24" t="n">
        <v>1.27</v>
      </c>
      <c r="E69" s="24" t="n">
        <v>1</v>
      </c>
      <c r="F69" s="24" t="n">
        <v>1</v>
      </c>
      <c r="G69" s="24" t="n">
        <v>1</v>
      </c>
      <c r="H69" s="24" t="n">
        <v>0.912</v>
      </c>
      <c r="I69" s="24" t="n">
        <v>1.15</v>
      </c>
    </row>
    <row r="70">
      <c r="A70" s="23" t="n">
        <v>66</v>
      </c>
      <c r="B70" s="24" t="n">
        <v>1.27</v>
      </c>
      <c r="C70" s="24" t="n">
        <v>1.08</v>
      </c>
      <c r="D70" s="24" t="n">
        <v>1.27</v>
      </c>
      <c r="E70" s="24" t="n">
        <v>1</v>
      </c>
      <c r="F70" s="24" t="n">
        <v>1</v>
      </c>
      <c r="G70" s="24" t="n">
        <v>1</v>
      </c>
      <c r="H70" s="24" t="n">
        <v>0.925</v>
      </c>
      <c r="I70" s="24" t="n">
        <v>1.136</v>
      </c>
    </row>
    <row r="71">
      <c r="A71" s="23" t="n">
        <v>67</v>
      </c>
      <c r="B71" s="24" t="n">
        <v>1.27</v>
      </c>
      <c r="C71" s="24" t="n">
        <v>1.08</v>
      </c>
      <c r="D71" s="24" t="n">
        <v>1.27</v>
      </c>
      <c r="E71" s="24" t="n">
        <v>1</v>
      </c>
      <c r="F71" s="24" t="n">
        <v>1</v>
      </c>
      <c r="G71" s="24" t="n">
        <v>1</v>
      </c>
      <c r="H71" s="24" t="n">
        <v>0.9379999999999999</v>
      </c>
      <c r="I71" s="24" t="n">
        <v>1.122</v>
      </c>
    </row>
    <row r="72">
      <c r="A72" s="23" t="n">
        <v>68</v>
      </c>
      <c r="B72" s="24" t="n">
        <v>1.27</v>
      </c>
      <c r="C72" s="24" t="n">
        <v>1.08</v>
      </c>
      <c r="D72" s="24" t="n">
        <v>1.27</v>
      </c>
      <c r="E72" s="24" t="n">
        <v>1</v>
      </c>
      <c r="F72" s="24" t="n">
        <v>1</v>
      </c>
      <c r="G72" s="24" t="n">
        <v>1</v>
      </c>
      <c r="H72" s="24" t="n">
        <v>0.95</v>
      </c>
      <c r="I72" s="24" t="n">
        <v>1.108</v>
      </c>
    </row>
    <row r="73">
      <c r="A73" s="23" t="n">
        <v>69</v>
      </c>
      <c r="B73" s="24" t="n">
        <v>1.27</v>
      </c>
      <c r="C73" s="24" t="n">
        <v>1.08</v>
      </c>
      <c r="D73" s="24" t="n">
        <v>1.27</v>
      </c>
      <c r="E73" s="24" t="n">
        <v>1</v>
      </c>
      <c r="F73" s="24" t="n">
        <v>1</v>
      </c>
      <c r="G73" s="24" t="n">
        <v>1</v>
      </c>
      <c r="H73" s="24" t="n">
        <v>0.963</v>
      </c>
      <c r="I73" s="24" t="n">
        <v>1.094</v>
      </c>
    </row>
    <row r="74">
      <c r="A74" s="23" t="n">
        <v>70</v>
      </c>
      <c r="B74" s="24" t="n">
        <v>1.27</v>
      </c>
      <c r="C74" s="24" t="n">
        <v>1.08</v>
      </c>
      <c r="D74" s="24" t="n">
        <v>1.27</v>
      </c>
      <c r="E74" s="24" t="n">
        <v>1</v>
      </c>
      <c r="F74" s="24" t="n">
        <v>1</v>
      </c>
      <c r="G74" s="24" t="n">
        <v>1</v>
      </c>
      <c r="H74" s="24" t="n">
        <v>0.975</v>
      </c>
      <c r="I74" s="24" t="n">
        <v>1.08</v>
      </c>
    </row>
    <row r="75">
      <c r="A75" s="23" t="n">
        <v>71</v>
      </c>
      <c r="B75" s="24" t="n">
        <v>1.27</v>
      </c>
      <c r="C75" s="24" t="n">
        <v>1.08</v>
      </c>
      <c r="D75" s="24" t="n">
        <v>1.27</v>
      </c>
      <c r="E75" s="24" t="n">
        <v>1</v>
      </c>
      <c r="F75" s="24" t="n">
        <v>1</v>
      </c>
      <c r="G75" s="24" t="n">
        <v>1</v>
      </c>
      <c r="H75" s="24" t="n">
        <v>0.988</v>
      </c>
      <c r="I75" s="24" t="n">
        <v>1.066</v>
      </c>
    </row>
    <row r="76">
      <c r="A76" s="23" t="n">
        <v>72</v>
      </c>
      <c r="B76" s="24" t="n">
        <v>1.27</v>
      </c>
      <c r="C76" s="24" t="n">
        <v>1.08</v>
      </c>
      <c r="D76" s="24" t="n">
        <v>1.27</v>
      </c>
      <c r="E76" s="24" t="n">
        <v>1</v>
      </c>
      <c r="F76" s="24" t="n">
        <v>1</v>
      </c>
      <c r="G76" s="24" t="n">
        <v>1</v>
      </c>
      <c r="H76" s="24" t="n">
        <v>1</v>
      </c>
      <c r="I76" s="24" t="n">
        <v>1.052</v>
      </c>
    </row>
    <row r="77">
      <c r="A77" s="23" t="n">
        <v>73</v>
      </c>
      <c r="B77" s="24" t="n">
        <v>1.27</v>
      </c>
      <c r="C77" s="24" t="n">
        <v>1.08</v>
      </c>
      <c r="D77" s="24" t="n">
        <v>1.27</v>
      </c>
      <c r="E77" s="24" t="n">
        <v>1</v>
      </c>
      <c r="F77" s="24" t="n">
        <v>1</v>
      </c>
      <c r="G77" s="24" t="n">
        <v>1</v>
      </c>
      <c r="H77" s="24" t="n">
        <v>1.012</v>
      </c>
      <c r="I77" s="24" t="n">
        <v>1.038</v>
      </c>
    </row>
    <row r="78">
      <c r="A78" s="23" t="n">
        <v>74</v>
      </c>
      <c r="B78" s="24" t="n">
        <v>1.27</v>
      </c>
      <c r="C78" s="24" t="n">
        <v>1.08</v>
      </c>
      <c r="D78" s="24" t="n">
        <v>1.27</v>
      </c>
      <c r="E78" s="24" t="n">
        <v>1</v>
      </c>
      <c r="F78" s="24" t="n">
        <v>1</v>
      </c>
      <c r="G78" s="24" t="n">
        <v>1</v>
      </c>
      <c r="H78" s="24" t="n">
        <v>1.025</v>
      </c>
      <c r="I78" s="24" t="n">
        <v>1.024</v>
      </c>
    </row>
    <row r="79">
      <c r="A79" s="23" t="n">
        <v>75</v>
      </c>
      <c r="B79" s="24" t="n">
        <v>1.27</v>
      </c>
      <c r="C79" s="24" t="n">
        <v>1.08</v>
      </c>
      <c r="D79" s="24" t="n">
        <v>1.27</v>
      </c>
      <c r="E79" s="24" t="n">
        <v>1</v>
      </c>
      <c r="F79" s="24" t="n">
        <v>1</v>
      </c>
      <c r="G79" s="24" t="n">
        <v>1</v>
      </c>
      <c r="H79" s="24" t="n">
        <v>1.038</v>
      </c>
      <c r="I79" s="24" t="n">
        <v>1.01</v>
      </c>
    </row>
    <row r="80">
      <c r="A80" s="23" t="n">
        <v>76</v>
      </c>
      <c r="B80" s="24" t="n">
        <v>1.27</v>
      </c>
      <c r="C80" s="24" t="n">
        <v>1.08</v>
      </c>
      <c r="D80" s="24" t="n">
        <v>1.27</v>
      </c>
      <c r="E80" s="24" t="n">
        <v>1</v>
      </c>
      <c r="F80" s="24" t="n">
        <v>1</v>
      </c>
      <c r="G80" s="24" t="n">
        <v>1</v>
      </c>
      <c r="H80" s="24" t="n">
        <v>1.05</v>
      </c>
      <c r="I80" s="24" t="n">
        <v>0.996</v>
      </c>
    </row>
    <row r="81">
      <c r="A81" s="23" t="n">
        <v>77</v>
      </c>
      <c r="B81" s="24" t="n">
        <v>1.27</v>
      </c>
      <c r="C81" s="24" t="n">
        <v>1.08</v>
      </c>
      <c r="D81" s="24" t="n">
        <v>1.27</v>
      </c>
      <c r="E81" s="24" t="n">
        <v>1</v>
      </c>
      <c r="F81" s="24" t="n">
        <v>1</v>
      </c>
      <c r="G81" s="24" t="n">
        <v>1</v>
      </c>
      <c r="H81" s="24" t="n">
        <v>1.062</v>
      </c>
      <c r="I81" s="24" t="n">
        <v>0.982</v>
      </c>
    </row>
    <row r="82">
      <c r="A82" s="23" t="n">
        <v>78</v>
      </c>
      <c r="B82" s="24" t="n">
        <v>1.27</v>
      </c>
      <c r="C82" s="24" t="n">
        <v>1.08</v>
      </c>
      <c r="D82" s="24" t="n">
        <v>1.27</v>
      </c>
      <c r="E82" s="24" t="n">
        <v>1</v>
      </c>
      <c r="F82" s="24" t="n">
        <v>1</v>
      </c>
      <c r="G82" s="24" t="n">
        <v>1</v>
      </c>
      <c r="H82" s="24" t="n">
        <v>1.075</v>
      </c>
      <c r="I82" s="24" t="n">
        <v>0.968</v>
      </c>
    </row>
    <row r="83">
      <c r="A83" s="23" t="n">
        <v>79</v>
      </c>
      <c r="B83" s="24" t="n">
        <v>1.27</v>
      </c>
      <c r="C83" s="24" t="n">
        <v>1.08</v>
      </c>
      <c r="D83" s="24" t="n">
        <v>1.27</v>
      </c>
      <c r="E83" s="24" t="n">
        <v>1</v>
      </c>
      <c r="F83" s="24" t="n">
        <v>1</v>
      </c>
      <c r="G83" s="24" t="n">
        <v>1</v>
      </c>
      <c r="H83" s="24" t="n">
        <v>1.088</v>
      </c>
      <c r="I83" s="24" t="n">
        <v>0.954</v>
      </c>
    </row>
    <row r="84">
      <c r="A84" s="23" t="n">
        <v>80</v>
      </c>
      <c r="B84" s="24" t="n">
        <v>1.27</v>
      </c>
      <c r="C84" s="24" t="n">
        <v>1.08</v>
      </c>
      <c r="D84" s="24" t="n">
        <v>1.27</v>
      </c>
      <c r="E84" s="24" t="n">
        <v>1</v>
      </c>
      <c r="F84" s="24" t="n">
        <v>1</v>
      </c>
      <c r="G84" s="24" t="n">
        <v>1</v>
      </c>
      <c r="H84" s="24" t="n">
        <v>1.1</v>
      </c>
      <c r="I84" s="24" t="n">
        <v>0.9399999999999999</v>
      </c>
    </row>
    <row r="85">
      <c r="A85" s="23" t="n">
        <v>81</v>
      </c>
      <c r="B85" s="24" t="n">
        <v>1.27</v>
      </c>
      <c r="C85" s="24" t="n">
        <v>1.092</v>
      </c>
      <c r="D85" s="24" t="n">
        <v>1.27</v>
      </c>
      <c r="E85" s="24" t="n">
        <v>1</v>
      </c>
      <c r="F85" s="24" t="n">
        <v>1</v>
      </c>
      <c r="G85" s="24" t="n">
        <v>1</v>
      </c>
      <c r="H85" s="24" t="n">
        <v>1.1</v>
      </c>
      <c r="I85" s="24" t="n">
        <v>0.926</v>
      </c>
    </row>
    <row r="86">
      <c r="A86" s="23" t="n">
        <v>82</v>
      </c>
      <c r="B86" s="24" t="n">
        <v>1.27</v>
      </c>
      <c r="C86" s="24" t="n">
        <v>1.103</v>
      </c>
      <c r="D86" s="24" t="n">
        <v>1.27</v>
      </c>
      <c r="E86" s="24" t="n">
        <v>1</v>
      </c>
      <c r="F86" s="24" t="n">
        <v>1</v>
      </c>
      <c r="G86" s="24" t="n">
        <v>1</v>
      </c>
      <c r="H86" s="24" t="n">
        <v>1.1</v>
      </c>
      <c r="I86" s="24" t="n">
        <v>0.912</v>
      </c>
    </row>
    <row r="87">
      <c r="A87" s="23" t="n">
        <v>83</v>
      </c>
      <c r="B87" s="24" t="n">
        <v>1.27</v>
      </c>
      <c r="C87" s="24" t="n">
        <v>1.115</v>
      </c>
      <c r="D87" s="24" t="n">
        <v>1.27</v>
      </c>
      <c r="E87" s="24" t="n">
        <v>1</v>
      </c>
      <c r="F87" s="24" t="n">
        <v>1</v>
      </c>
      <c r="G87" s="24" t="n">
        <v>1</v>
      </c>
      <c r="H87" s="24" t="n">
        <v>1.1</v>
      </c>
      <c r="I87" s="24" t="n">
        <v>0.898</v>
      </c>
    </row>
    <row r="88">
      <c r="A88" s="23" t="n">
        <v>84</v>
      </c>
      <c r="B88" s="24" t="n">
        <v>1.27</v>
      </c>
      <c r="C88" s="24" t="n">
        <v>1.126</v>
      </c>
      <c r="D88" s="24" t="n">
        <v>1.27</v>
      </c>
      <c r="E88" s="24" t="n">
        <v>1</v>
      </c>
      <c r="F88" s="24" t="n">
        <v>1</v>
      </c>
      <c r="G88" s="24" t="n">
        <v>1</v>
      </c>
      <c r="H88" s="24" t="n">
        <v>1.1</v>
      </c>
      <c r="I88" s="24" t="n">
        <v>0.884</v>
      </c>
    </row>
    <row r="89">
      <c r="A89" s="23" t="n">
        <v>85</v>
      </c>
      <c r="B89" s="24" t="n">
        <v>1.27</v>
      </c>
      <c r="C89" s="24" t="n">
        <v>1.138</v>
      </c>
      <c r="D89" s="24" t="n">
        <v>1.27</v>
      </c>
      <c r="E89" s="24" t="n">
        <v>1</v>
      </c>
      <c r="F89" s="24" t="n">
        <v>1</v>
      </c>
      <c r="G89" s="24" t="n">
        <v>1</v>
      </c>
      <c r="H89" s="24" t="n">
        <v>1.1</v>
      </c>
      <c r="I89" s="24" t="n">
        <v>0.87</v>
      </c>
    </row>
    <row r="90">
      <c r="A90" s="23" t="n">
        <v>86</v>
      </c>
      <c r="B90" s="24" t="n">
        <v>1.27</v>
      </c>
      <c r="C90" s="24" t="n">
        <v>1.149</v>
      </c>
      <c r="D90" s="24" t="n">
        <v>1.27</v>
      </c>
      <c r="E90" s="24" t="n">
        <v>1</v>
      </c>
      <c r="F90" s="24" t="n">
        <v>1</v>
      </c>
      <c r="G90" s="24" t="n">
        <v>1</v>
      </c>
      <c r="H90" s="24" t="n">
        <v>1.1</v>
      </c>
      <c r="I90" s="24" t="n">
        <v>0.856</v>
      </c>
    </row>
    <row r="91">
      <c r="A91" s="23" t="n">
        <v>87</v>
      </c>
      <c r="B91" s="24" t="n">
        <v>1.27</v>
      </c>
      <c r="C91" s="24" t="n">
        <v>1.161</v>
      </c>
      <c r="D91" s="24" t="n">
        <v>1.27</v>
      </c>
      <c r="E91" s="24" t="n">
        <v>1</v>
      </c>
      <c r="F91" s="24" t="n">
        <v>1</v>
      </c>
      <c r="G91" s="24" t="n">
        <v>1</v>
      </c>
      <c r="H91" s="24" t="n">
        <v>1.1</v>
      </c>
      <c r="I91" s="24" t="n">
        <v>0.842</v>
      </c>
    </row>
    <row r="92">
      <c r="A92" s="23" t="n">
        <v>88</v>
      </c>
      <c r="B92" s="24" t="n">
        <v>1.27</v>
      </c>
      <c r="C92" s="24" t="n">
        <v>1.173</v>
      </c>
      <c r="D92" s="24" t="n">
        <v>1.27</v>
      </c>
      <c r="E92" s="24" t="n">
        <v>1</v>
      </c>
      <c r="F92" s="24" t="n">
        <v>1</v>
      </c>
      <c r="G92" s="24" t="n">
        <v>1</v>
      </c>
      <c r="H92" s="24" t="n">
        <v>1.1</v>
      </c>
      <c r="I92" s="24" t="n">
        <v>0.828</v>
      </c>
    </row>
    <row r="93">
      <c r="A93" s="23" t="n">
        <v>89</v>
      </c>
      <c r="B93" s="24" t="n">
        <v>1.27</v>
      </c>
      <c r="C93" s="24" t="n">
        <v>1.184</v>
      </c>
      <c r="D93" s="24" t="n">
        <v>1.27</v>
      </c>
      <c r="E93" s="24" t="n">
        <v>1</v>
      </c>
      <c r="F93" s="24" t="n">
        <v>0.99</v>
      </c>
      <c r="G93" s="24" t="n">
        <v>1</v>
      </c>
      <c r="H93" s="24" t="n">
        <v>1.1</v>
      </c>
      <c r="I93" s="24" t="n">
        <v>0.8139999999999999</v>
      </c>
    </row>
    <row r="94">
      <c r="A94" s="23" t="n">
        <v>90</v>
      </c>
      <c r="B94" s="24" t="n">
        <v>1.27</v>
      </c>
      <c r="C94" s="24" t="n">
        <v>1.196</v>
      </c>
      <c r="D94" s="24" t="n">
        <v>1.27</v>
      </c>
      <c r="E94" s="24" t="n">
        <v>1</v>
      </c>
      <c r="F94" s="24" t="n">
        <v>0.98</v>
      </c>
      <c r="G94" s="24" t="n">
        <v>1</v>
      </c>
      <c r="H94" s="24" t="n">
        <v>1.1</v>
      </c>
      <c r="I94" s="24" t="n">
        <v>0.8</v>
      </c>
    </row>
    <row r="95">
      <c r="A95" s="23" t="n">
        <v>91</v>
      </c>
      <c r="B95" s="24" t="n">
        <v>1.27</v>
      </c>
      <c r="C95" s="24" t="n">
        <v>1.207</v>
      </c>
      <c r="D95" s="24" t="n">
        <v>1.27</v>
      </c>
      <c r="E95" s="24" t="n">
        <v>1</v>
      </c>
      <c r="F95" s="24" t="n">
        <v>0.97</v>
      </c>
      <c r="G95" s="24" t="n">
        <v>1</v>
      </c>
      <c r="H95" s="24" t="n">
        <v>1.1</v>
      </c>
      <c r="I95" s="24" t="n">
        <v>0.8</v>
      </c>
    </row>
    <row r="96">
      <c r="A96" s="23" t="n">
        <v>92</v>
      </c>
      <c r="B96" s="24" t="n">
        <v>1.27</v>
      </c>
      <c r="C96" s="24" t="n">
        <v>1.219</v>
      </c>
      <c r="D96" s="24" t="n">
        <v>1.27</v>
      </c>
      <c r="E96" s="24" t="n">
        <v>1</v>
      </c>
      <c r="F96" s="24" t="n">
        <v>0.96</v>
      </c>
      <c r="G96" s="24" t="n">
        <v>1</v>
      </c>
      <c r="H96" s="24" t="n">
        <v>1.1</v>
      </c>
      <c r="I96" s="24" t="n">
        <v>0.8</v>
      </c>
    </row>
    <row r="97">
      <c r="A97" s="23" t="n">
        <v>93</v>
      </c>
      <c r="B97" s="24" t="n">
        <v>1.27</v>
      </c>
      <c r="C97" s="24" t="n">
        <v>1.231</v>
      </c>
      <c r="D97" s="24" t="n">
        <v>1.27</v>
      </c>
      <c r="E97" s="24" t="n">
        <v>0.986</v>
      </c>
      <c r="F97" s="24" t="n">
        <v>0.95</v>
      </c>
      <c r="G97" s="24" t="n">
        <v>0.993</v>
      </c>
      <c r="H97" s="24" t="n">
        <v>1.1</v>
      </c>
      <c r="I97" s="24" t="n">
        <v>0.8</v>
      </c>
    </row>
    <row r="98">
      <c r="A98" s="23" t="n">
        <v>94</v>
      </c>
      <c r="B98" s="24" t="n">
        <v>1.27</v>
      </c>
      <c r="C98" s="24" t="n">
        <v>1.242</v>
      </c>
      <c r="D98" s="24" t="n">
        <v>1.27</v>
      </c>
      <c r="E98" s="24" t="n">
        <v>0.971</v>
      </c>
      <c r="F98" s="24" t="n">
        <v>0.9399999999999999</v>
      </c>
      <c r="G98" s="24" t="n">
        <v>0.987</v>
      </c>
      <c r="H98" s="24" t="n">
        <v>1.1</v>
      </c>
      <c r="I98" s="24" t="n">
        <v>0.8</v>
      </c>
    </row>
    <row r="99">
      <c r="A99" s="23" t="n">
        <v>95</v>
      </c>
      <c r="B99" s="24" t="n">
        <v>1.27</v>
      </c>
      <c r="C99" s="24" t="n">
        <v>1.254</v>
      </c>
      <c r="D99" s="24" t="n">
        <v>1.27</v>
      </c>
      <c r="E99" s="24" t="n">
        <v>0.957</v>
      </c>
      <c r="F99" s="24" t="n">
        <v>0.93</v>
      </c>
      <c r="G99" s="24" t="n">
        <v>0.98</v>
      </c>
      <c r="H99" s="24" t="n">
        <v>1.1</v>
      </c>
      <c r="I99" s="24" t="n">
        <v>0.8</v>
      </c>
    </row>
    <row r="100">
      <c r="A100" s="23" t="n">
        <v>96</v>
      </c>
      <c r="B100" s="24" t="n">
        <v>1.27</v>
      </c>
      <c r="C100" s="24" t="n">
        <v>1.265</v>
      </c>
      <c r="D100" s="24" t="n">
        <v>1.27</v>
      </c>
      <c r="E100" s="24" t="n">
        <v>0.9429999999999999</v>
      </c>
      <c r="F100" s="24" t="n">
        <v>0.92</v>
      </c>
      <c r="G100" s="24" t="n">
        <v>0.973</v>
      </c>
      <c r="H100" s="24" t="n">
        <v>1.1</v>
      </c>
      <c r="I100" s="24" t="n">
        <v>0.8</v>
      </c>
    </row>
    <row r="101">
      <c r="A101" s="23" t="n">
        <v>97</v>
      </c>
      <c r="B101" s="24" t="n">
        <v>1.27</v>
      </c>
      <c r="C101" s="24" t="n">
        <v>1.277</v>
      </c>
      <c r="D101" s="24" t="n">
        <v>1.27</v>
      </c>
      <c r="E101" s="24" t="n">
        <v>0.929</v>
      </c>
      <c r="F101" s="24" t="n">
        <v>0.91</v>
      </c>
      <c r="G101" s="24" t="n">
        <v>0.967</v>
      </c>
      <c r="H101" s="24" t="n">
        <v>1.1</v>
      </c>
      <c r="I101" s="24" t="n">
        <v>0.8</v>
      </c>
    </row>
    <row r="102">
      <c r="A102" s="23" t="n">
        <v>98</v>
      </c>
      <c r="B102" s="24" t="n">
        <v>1.27</v>
      </c>
      <c r="C102" s="24" t="n">
        <v>1.288</v>
      </c>
      <c r="D102" s="24" t="n">
        <v>1.27</v>
      </c>
      <c r="E102" s="24" t="n">
        <v>0.914</v>
      </c>
      <c r="F102" s="24" t="n">
        <v>0.9</v>
      </c>
      <c r="G102" s="24" t="n">
        <v>0.96</v>
      </c>
      <c r="H102" s="24" t="n">
        <v>1.1</v>
      </c>
      <c r="I102" s="24" t="n">
        <v>0.8</v>
      </c>
    </row>
    <row r="103">
      <c r="A103" s="23" t="n">
        <v>99</v>
      </c>
      <c r="B103" s="24" t="n">
        <v>1.27</v>
      </c>
      <c r="C103" s="24" t="n">
        <v>1.3</v>
      </c>
      <c r="D103" s="24" t="n">
        <v>1.27</v>
      </c>
      <c r="E103" s="24" t="n">
        <v>0.9</v>
      </c>
      <c r="F103" s="24" t="n">
        <v>0.89</v>
      </c>
      <c r="G103" s="24" t="n">
        <v>0.953</v>
      </c>
      <c r="H103" s="24" t="n">
        <v>1.1</v>
      </c>
      <c r="I103" s="24" t="n">
        <v>0.8</v>
      </c>
    </row>
    <row r="104">
      <c r="A104" s="23" t="n">
        <v>100</v>
      </c>
      <c r="B104" s="24" t="n">
        <v>1.27</v>
      </c>
      <c r="C104" s="24" t="n">
        <v>1.3</v>
      </c>
      <c r="D104" s="24" t="n">
        <v>1.27</v>
      </c>
      <c r="E104" s="24" t="n">
        <v>0.886</v>
      </c>
      <c r="F104" s="24" t="n">
        <v>0.88</v>
      </c>
      <c r="G104" s="24" t="n">
        <v>0.947</v>
      </c>
      <c r="H104" s="24" t="n">
        <v>1.1</v>
      </c>
      <c r="I104" s="24" t="n">
        <v>0.8</v>
      </c>
    </row>
    <row r="105">
      <c r="A105" s="23" t="n">
        <v>101</v>
      </c>
      <c r="B105" s="24" t="n">
        <v>1.27</v>
      </c>
      <c r="C105" s="24" t="n">
        <v>1.3</v>
      </c>
      <c r="D105" s="24" t="n">
        <v>1.27</v>
      </c>
      <c r="E105" s="24" t="n">
        <v>0.871</v>
      </c>
      <c r="F105" s="24" t="n">
        <v>0.87</v>
      </c>
      <c r="G105" s="24" t="n">
        <v>0.9399999999999999</v>
      </c>
      <c r="H105" s="24" t="n">
        <v>1.1</v>
      </c>
      <c r="I105" s="24" t="n">
        <v>0.8</v>
      </c>
    </row>
    <row r="106">
      <c r="A106" s="23" t="n">
        <v>102</v>
      </c>
      <c r="B106" s="24" t="n">
        <v>1.27</v>
      </c>
      <c r="C106" s="24" t="n">
        <v>1.3</v>
      </c>
      <c r="D106" s="24" t="n">
        <v>1.27</v>
      </c>
      <c r="E106" s="24" t="n">
        <v>0.857</v>
      </c>
      <c r="F106" s="24" t="n">
        <v>0.86</v>
      </c>
      <c r="G106" s="24" t="n">
        <v>0.9330000000000001</v>
      </c>
      <c r="H106" s="24" t="n">
        <v>1.1</v>
      </c>
      <c r="I106" s="24" t="n">
        <v>0.8</v>
      </c>
    </row>
    <row r="107">
      <c r="A107" s="23" t="n">
        <v>103</v>
      </c>
      <c r="B107" s="24" t="n">
        <v>1.27</v>
      </c>
      <c r="C107" s="24" t="n">
        <v>1.3</v>
      </c>
      <c r="D107" s="24" t="n">
        <v>1.27</v>
      </c>
      <c r="E107" s="24" t="n">
        <v>0.843</v>
      </c>
      <c r="F107" s="24" t="n">
        <v>0.85</v>
      </c>
      <c r="G107" s="24" t="n">
        <v>0.927</v>
      </c>
      <c r="H107" s="24" t="n">
        <v>1.1</v>
      </c>
      <c r="I107" s="24" t="n">
        <v>0.8</v>
      </c>
    </row>
    <row r="108">
      <c r="A108" s="23" t="n">
        <v>104</v>
      </c>
      <c r="B108" s="24" t="n">
        <v>1.27</v>
      </c>
      <c r="C108" s="24" t="n">
        <v>1.3</v>
      </c>
      <c r="D108" s="24" t="n">
        <v>1.27</v>
      </c>
      <c r="E108" s="24" t="n">
        <v>0.829</v>
      </c>
      <c r="F108" s="24" t="n">
        <v>0.84</v>
      </c>
      <c r="G108" s="24" t="n">
        <v>0.92</v>
      </c>
      <c r="H108" s="24" t="n">
        <v>1.1</v>
      </c>
      <c r="I108" s="24" t="n">
        <v>0.8</v>
      </c>
    </row>
    <row r="109">
      <c r="A109" s="23" t="n">
        <v>105</v>
      </c>
      <c r="B109" s="24" t="n">
        <v>1.27</v>
      </c>
      <c r="C109" s="24" t="n">
        <v>1.3</v>
      </c>
      <c r="D109" s="24" t="n">
        <v>1.27</v>
      </c>
      <c r="E109" s="24" t="n">
        <v>0.8139999999999999</v>
      </c>
      <c r="F109" s="24" t="n">
        <v>0.83</v>
      </c>
      <c r="G109" s="24" t="n">
        <v>0.913</v>
      </c>
      <c r="H109" s="24" t="n">
        <v>1.1</v>
      </c>
      <c r="I109" s="24" t="n">
        <v>0.8</v>
      </c>
    </row>
    <row r="110">
      <c r="A110" s="23" t="n">
        <v>106</v>
      </c>
      <c r="B110" s="24" t="n">
        <v>1.27</v>
      </c>
      <c r="C110" s="24" t="n">
        <v>1.3</v>
      </c>
      <c r="D110" s="24" t="n">
        <v>1.27</v>
      </c>
      <c r="E110" s="24" t="n">
        <v>0.8</v>
      </c>
      <c r="F110" s="24" t="n">
        <v>0.82</v>
      </c>
      <c r="G110" s="24" t="n">
        <v>0.907</v>
      </c>
      <c r="H110" s="24" t="n">
        <v>1.08</v>
      </c>
      <c r="I110" s="24" t="n">
        <v>0.8</v>
      </c>
    </row>
    <row r="111">
      <c r="A111" s="23" t="n">
        <v>107</v>
      </c>
      <c r="B111" s="24" t="n">
        <v>1.27</v>
      </c>
      <c r="C111" s="24" t="n">
        <v>1.3</v>
      </c>
      <c r="D111" s="24" t="n">
        <v>1.27</v>
      </c>
      <c r="E111" s="24" t="n">
        <v>0.786</v>
      </c>
      <c r="F111" s="24" t="n">
        <v>0.8100000000000001</v>
      </c>
      <c r="G111" s="24" t="n">
        <v>0.9</v>
      </c>
      <c r="H111" s="24" t="n">
        <v>1.06</v>
      </c>
      <c r="I111" s="24" t="n">
        <v>0.8</v>
      </c>
    </row>
    <row r="112">
      <c r="A112" s="23" t="n">
        <v>108</v>
      </c>
      <c r="B112" s="24" t="n">
        <v>1.27</v>
      </c>
      <c r="C112" s="24" t="n">
        <v>1.3</v>
      </c>
      <c r="D112" s="24" t="n">
        <v>1.27</v>
      </c>
      <c r="E112" s="24" t="n">
        <v>0.771</v>
      </c>
      <c r="F112" s="24" t="n">
        <v>0.8</v>
      </c>
      <c r="G112" s="24" t="n">
        <v>0.893</v>
      </c>
      <c r="H112" s="24" t="n">
        <v>1.04</v>
      </c>
      <c r="I112" s="24" t="n">
        <v>0.8</v>
      </c>
    </row>
    <row r="113">
      <c r="A113" s="23" t="n">
        <v>109</v>
      </c>
      <c r="B113" s="24" t="n">
        <v>1.27</v>
      </c>
      <c r="C113" s="24" t="n">
        <v>1.3</v>
      </c>
      <c r="D113" s="24" t="n">
        <v>1.27</v>
      </c>
      <c r="E113" s="24" t="n">
        <v>0.757</v>
      </c>
      <c r="F113" s="24" t="n">
        <v>0.79</v>
      </c>
      <c r="G113" s="24" t="n">
        <v>0.887</v>
      </c>
      <c r="H113" s="24" t="n">
        <v>1.02</v>
      </c>
      <c r="I113" s="24" t="n">
        <v>0.8</v>
      </c>
    </row>
    <row r="114">
      <c r="A114" s="23" t="n">
        <v>110</v>
      </c>
      <c r="B114" s="24" t="n">
        <v>1.27</v>
      </c>
      <c r="C114" s="24" t="n">
        <v>1.3</v>
      </c>
      <c r="D114" s="24" t="n">
        <v>1.27</v>
      </c>
      <c r="E114" s="24" t="n">
        <v>0.743</v>
      </c>
      <c r="F114" s="24" t="n">
        <v>0.78</v>
      </c>
      <c r="G114" s="24" t="n">
        <v>0.88</v>
      </c>
      <c r="H114" s="24" t="n">
        <v>1</v>
      </c>
      <c r="I114" s="24" t="n">
        <v>0.8</v>
      </c>
    </row>
    <row r="115">
      <c r="A115" s="23" t="n">
        <v>111</v>
      </c>
      <c r="B115" s="24" t="n">
        <v>1.27</v>
      </c>
      <c r="C115" s="24" t="n">
        <v>1.3</v>
      </c>
      <c r="D115" s="24" t="n">
        <v>1.27</v>
      </c>
      <c r="E115" s="24" t="n">
        <v>0.729</v>
      </c>
      <c r="F115" s="24" t="n">
        <v>0.77</v>
      </c>
      <c r="G115" s="24" t="n">
        <v>0.873</v>
      </c>
      <c r="H115" s="24" t="n">
        <v>0.98</v>
      </c>
      <c r="I115" s="24" t="n">
        <v>0.8</v>
      </c>
    </row>
    <row r="116">
      <c r="A116" s="23" t="n">
        <v>112</v>
      </c>
      <c r="B116" s="24" t="n">
        <v>1.27</v>
      </c>
      <c r="C116" s="24" t="n">
        <v>1.3</v>
      </c>
      <c r="D116" s="24" t="n">
        <v>1.27</v>
      </c>
      <c r="E116" s="24" t="n">
        <v>0.714</v>
      </c>
      <c r="F116" s="24" t="n">
        <v>0.76</v>
      </c>
      <c r="G116" s="24" t="n">
        <v>0.867</v>
      </c>
      <c r="H116" s="24" t="n">
        <v>0.96</v>
      </c>
      <c r="I116" s="24" t="n">
        <v>0.8</v>
      </c>
    </row>
    <row r="117">
      <c r="A117" s="23" t="n">
        <v>113</v>
      </c>
      <c r="B117" s="24" t="n">
        <v>1.27</v>
      </c>
      <c r="C117" s="24" t="n">
        <v>1.3</v>
      </c>
      <c r="D117" s="24" t="n">
        <v>1.27</v>
      </c>
      <c r="E117" s="24" t="n">
        <v>0.7</v>
      </c>
      <c r="F117" s="24" t="n">
        <v>0.75</v>
      </c>
      <c r="G117" s="24" t="n">
        <v>0.86</v>
      </c>
      <c r="H117" s="24" t="n">
        <v>0.9399999999999999</v>
      </c>
      <c r="I117" s="24" t="n">
        <v>0.8</v>
      </c>
    </row>
    <row r="118">
      <c r="A118" s="23" t="n">
        <v>114</v>
      </c>
      <c r="B118" s="24" t="n">
        <v>1.27</v>
      </c>
      <c r="C118" s="24" t="n">
        <v>1.3</v>
      </c>
      <c r="D118" s="24" t="n">
        <v>1.27</v>
      </c>
      <c r="E118" s="24" t="n">
        <v>0.7</v>
      </c>
      <c r="F118" s="24" t="n">
        <v>0.74</v>
      </c>
      <c r="G118" s="24" t="n">
        <v>0.853</v>
      </c>
      <c r="H118" s="24" t="n">
        <v>0.92</v>
      </c>
      <c r="I118" s="24" t="n">
        <v>0.8</v>
      </c>
    </row>
    <row r="119">
      <c r="A119" s="23" t="n">
        <v>115</v>
      </c>
      <c r="B119" s="24" t="n">
        <v>1.27</v>
      </c>
      <c r="C119" s="24" t="n">
        <v>1.3</v>
      </c>
      <c r="D119" s="24" t="n">
        <v>1.27</v>
      </c>
      <c r="E119" s="24" t="n">
        <v>0.7</v>
      </c>
      <c r="F119" s="24" t="n">
        <v>0.73</v>
      </c>
      <c r="G119" s="24" t="n">
        <v>0.847</v>
      </c>
      <c r="H119" s="24" t="n">
        <v>0.9</v>
      </c>
      <c r="I119" s="24" t="n">
        <v>0.8</v>
      </c>
    </row>
    <row r="120">
      <c r="A120" s="23" t="n">
        <v>116</v>
      </c>
      <c r="B120" s="24" t="n">
        <v>1.27</v>
      </c>
      <c r="C120" s="24" t="n">
        <v>1.3</v>
      </c>
      <c r="D120" s="24" t="n">
        <v>1.27</v>
      </c>
      <c r="E120" s="24" t="n">
        <v>0.7</v>
      </c>
      <c r="F120" s="24" t="n">
        <v>0.72</v>
      </c>
      <c r="G120" s="24" t="n">
        <v>0.84</v>
      </c>
      <c r="H120" s="24" t="n">
        <v>0.88</v>
      </c>
      <c r="I120" s="24" t="n">
        <v>0.8</v>
      </c>
    </row>
    <row r="121">
      <c r="A121" s="23" t="n">
        <v>117</v>
      </c>
      <c r="B121" s="24" t="n">
        <v>1.27</v>
      </c>
      <c r="C121" s="24" t="n">
        <v>1.3</v>
      </c>
      <c r="D121" s="24" t="n">
        <v>1.27</v>
      </c>
      <c r="E121" s="24" t="n">
        <v>0.7</v>
      </c>
      <c r="F121" s="24" t="n">
        <v>0.71</v>
      </c>
      <c r="G121" s="24" t="n">
        <v>0.833</v>
      </c>
      <c r="H121" s="24" t="n">
        <v>0.86</v>
      </c>
      <c r="I121" s="24" t="n">
        <v>0.8</v>
      </c>
    </row>
    <row r="122">
      <c r="A122" s="23" t="n">
        <v>118</v>
      </c>
      <c r="B122" s="24" t="n">
        <v>1.27</v>
      </c>
      <c r="C122" s="24" t="n">
        <v>1.3</v>
      </c>
      <c r="D122" s="24" t="n">
        <v>1.27</v>
      </c>
      <c r="E122" s="24" t="n">
        <v>0.7</v>
      </c>
      <c r="F122" s="24" t="n">
        <v>0.7</v>
      </c>
      <c r="G122" s="24" t="n">
        <v>0.827</v>
      </c>
      <c r="H122" s="24" t="n">
        <v>0.84</v>
      </c>
      <c r="I122" s="24" t="n">
        <v>0.8</v>
      </c>
    </row>
    <row r="123">
      <c r="A123" s="23" t="n">
        <v>119</v>
      </c>
      <c r="B123" s="24" t="n">
        <v>1.27</v>
      </c>
      <c r="C123" s="24" t="n">
        <v>1.3</v>
      </c>
      <c r="D123" s="24" t="n">
        <v>1.27</v>
      </c>
      <c r="E123" s="24" t="n">
        <v>0.7</v>
      </c>
      <c r="F123" s="24" t="n">
        <v>0.7</v>
      </c>
      <c r="G123" s="24" t="n">
        <v>0.82</v>
      </c>
      <c r="H123" s="24" t="n">
        <v>0.82</v>
      </c>
      <c r="I123" s="24" t="n">
        <v>0.8</v>
      </c>
    </row>
    <row r="124">
      <c r="A124" s="23" t="n">
        <v>120</v>
      </c>
      <c r="B124" s="24" t="n">
        <v>1.253</v>
      </c>
      <c r="C124" s="24" t="n">
        <v>1.3</v>
      </c>
      <c r="D124" s="24" t="n">
        <v>1.27</v>
      </c>
      <c r="E124" s="24" t="n">
        <v>0.7</v>
      </c>
      <c r="F124" s="24" t="n">
        <v>0.7</v>
      </c>
      <c r="G124" s="24" t="n">
        <v>0.8129999999999999</v>
      </c>
      <c r="H124" s="24" t="n">
        <v>0.8</v>
      </c>
      <c r="I124" s="24" t="n">
        <v>0.8</v>
      </c>
    </row>
    <row r="125">
      <c r="A125" s="23" t="n">
        <v>121</v>
      </c>
      <c r="B125" s="24" t="n">
        <v>1.236</v>
      </c>
      <c r="C125" s="24" t="n">
        <v>1.3</v>
      </c>
      <c r="D125" s="24" t="n">
        <v>1.27</v>
      </c>
      <c r="E125" s="24" t="n">
        <v>0.7</v>
      </c>
      <c r="F125" s="24" t="n">
        <v>0.7</v>
      </c>
      <c r="G125" s="24" t="n">
        <v>0.8070000000000001</v>
      </c>
      <c r="H125" s="24" t="n">
        <v>0.78</v>
      </c>
      <c r="I125" s="24" t="n">
        <v>0.8</v>
      </c>
    </row>
    <row r="126">
      <c r="A126" s="23" t="n">
        <v>122</v>
      </c>
      <c r="B126" s="24" t="n">
        <v>1.22</v>
      </c>
      <c r="C126" s="24" t="n">
        <v>1.3</v>
      </c>
      <c r="D126" s="24" t="n">
        <v>1.27</v>
      </c>
      <c r="E126" s="24" t="n">
        <v>0.7</v>
      </c>
      <c r="F126" s="24" t="n">
        <v>0.7</v>
      </c>
      <c r="G126" s="24" t="n">
        <v>0.8</v>
      </c>
      <c r="H126" s="24" t="n">
        <v>0.76</v>
      </c>
      <c r="I126" s="24" t="n">
        <v>0.8</v>
      </c>
    </row>
    <row r="127">
      <c r="A127" s="23" t="n">
        <v>123</v>
      </c>
      <c r="B127" s="24" t="n">
        <v>1.203</v>
      </c>
      <c r="C127" s="24" t="n">
        <v>1.3</v>
      </c>
      <c r="D127" s="24" t="n">
        <v>1.27</v>
      </c>
      <c r="E127" s="24" t="n">
        <v>0.7</v>
      </c>
      <c r="F127" s="24" t="n">
        <v>0.7</v>
      </c>
      <c r="G127" s="24" t="n">
        <v>0.793</v>
      </c>
      <c r="H127" s="24" t="n">
        <v>0.74</v>
      </c>
      <c r="I127" s="24" t="n">
        <v>0.8</v>
      </c>
    </row>
    <row r="128">
      <c r="A128" s="23" t="n">
        <v>124</v>
      </c>
      <c r="B128" s="24" t="n">
        <v>1.186</v>
      </c>
      <c r="C128" s="24" t="n">
        <v>1.3</v>
      </c>
      <c r="D128" s="24" t="n">
        <v>1.27</v>
      </c>
      <c r="E128" s="24" t="n">
        <v>0.7</v>
      </c>
      <c r="F128" s="24" t="n">
        <v>0.7</v>
      </c>
      <c r="G128" s="24" t="n">
        <v>0.787</v>
      </c>
      <c r="H128" s="24" t="n">
        <v>0.72</v>
      </c>
      <c r="I128" s="24" t="n">
        <v>0.8</v>
      </c>
    </row>
    <row r="129">
      <c r="A129" s="23" t="n">
        <v>125</v>
      </c>
      <c r="B129" s="24" t="n">
        <v>1.169</v>
      </c>
      <c r="C129" s="24" t="n">
        <v>1.3</v>
      </c>
      <c r="D129" s="24" t="n">
        <v>1.27</v>
      </c>
      <c r="E129" s="24" t="n">
        <v>0.7</v>
      </c>
      <c r="F129" s="24" t="n">
        <v>0.7</v>
      </c>
      <c r="G129" s="24" t="n">
        <v>0.78</v>
      </c>
      <c r="H129" s="24" t="n">
        <v>0.7</v>
      </c>
      <c r="I129" s="24" t="n">
        <v>0.8</v>
      </c>
    </row>
    <row r="130">
      <c r="A130" s="23" t="n">
        <v>126</v>
      </c>
      <c r="B130" s="24" t="n">
        <v>1.153</v>
      </c>
      <c r="C130" s="24" t="n">
        <v>1.3</v>
      </c>
      <c r="D130" s="24" t="n">
        <v>1.27</v>
      </c>
      <c r="E130" s="24" t="n">
        <v>0.7</v>
      </c>
      <c r="F130" s="24" t="n">
        <v>0.7</v>
      </c>
      <c r="G130" s="24" t="n">
        <v>0.773</v>
      </c>
      <c r="H130" s="24" t="n">
        <v>0.68</v>
      </c>
      <c r="I130" s="24" t="n">
        <v>0.8</v>
      </c>
    </row>
    <row r="131">
      <c r="A131" s="23" t="n">
        <v>127</v>
      </c>
      <c r="B131" s="24" t="n">
        <v>1.136</v>
      </c>
      <c r="C131" s="24" t="n">
        <v>1.3</v>
      </c>
      <c r="D131" s="24" t="n">
        <v>1.27</v>
      </c>
      <c r="E131" s="24" t="n">
        <v>0.7</v>
      </c>
      <c r="F131" s="24" t="n">
        <v>0.7</v>
      </c>
      <c r="G131" s="24" t="n">
        <v>0.767</v>
      </c>
      <c r="H131" s="24" t="n">
        <v>0.66</v>
      </c>
      <c r="I131" s="24" t="n">
        <v>0.8</v>
      </c>
    </row>
    <row r="132">
      <c r="A132" s="23" t="n">
        <v>128</v>
      </c>
      <c r="B132" s="24" t="n">
        <v>1.119</v>
      </c>
      <c r="C132" s="24" t="n">
        <v>1.3</v>
      </c>
      <c r="D132" s="24" t="n">
        <v>1.27</v>
      </c>
      <c r="E132" s="24" t="n">
        <v>0.7</v>
      </c>
      <c r="F132" s="24" t="n">
        <v>0.7</v>
      </c>
      <c r="G132" s="24" t="n">
        <v>0.76</v>
      </c>
      <c r="H132" s="24" t="n">
        <v>0.64</v>
      </c>
      <c r="I132" s="24" t="n">
        <v>0.8</v>
      </c>
    </row>
    <row r="133">
      <c r="A133" s="23" t="n">
        <v>129</v>
      </c>
      <c r="B133" s="24" t="n">
        <v>1.102</v>
      </c>
      <c r="C133" s="24" t="n">
        <v>1.3</v>
      </c>
      <c r="D133" s="24" t="n">
        <v>1.27</v>
      </c>
      <c r="E133" s="24" t="n">
        <v>0.7</v>
      </c>
      <c r="F133" s="24" t="n">
        <v>0.7</v>
      </c>
      <c r="G133" s="24" t="n">
        <v>0.753</v>
      </c>
      <c r="H133" s="24" t="n">
        <v>0.62</v>
      </c>
      <c r="I133" s="24" t="n">
        <v>0.8</v>
      </c>
    </row>
    <row r="134">
      <c r="A134" s="23" t="n">
        <v>130</v>
      </c>
      <c r="B134" s="24" t="n">
        <v>1.086</v>
      </c>
      <c r="C134" s="24" t="n">
        <v>1.3</v>
      </c>
      <c r="D134" s="24" t="n">
        <v>1.27</v>
      </c>
      <c r="E134" s="24" t="n">
        <v>0.7</v>
      </c>
      <c r="F134" s="24" t="n">
        <v>0.7</v>
      </c>
      <c r="G134" s="24" t="n">
        <v>0.747</v>
      </c>
      <c r="H134" s="24" t="n">
        <v>0.6</v>
      </c>
      <c r="I134" s="24" t="n">
        <v>0.8</v>
      </c>
    </row>
    <row r="135">
      <c r="A135" s="23" t="n">
        <v>131</v>
      </c>
      <c r="B135" s="24" t="n">
        <v>1.069</v>
      </c>
      <c r="C135" s="24" t="n">
        <v>1.3</v>
      </c>
      <c r="D135" s="24" t="n">
        <v>1.27</v>
      </c>
      <c r="E135" s="24" t="n">
        <v>0.7</v>
      </c>
      <c r="F135" s="24" t="n">
        <v>0.7</v>
      </c>
      <c r="G135" s="24" t="n">
        <v>0.74</v>
      </c>
      <c r="H135" s="24" t="n">
        <v>0.593</v>
      </c>
      <c r="I135" s="24" t="n">
        <v>0.8</v>
      </c>
    </row>
    <row r="136">
      <c r="A136" s="23" t="n">
        <v>132</v>
      </c>
      <c r="B136" s="24" t="n">
        <v>1.052</v>
      </c>
      <c r="C136" s="24" t="n">
        <v>1.3</v>
      </c>
      <c r="D136" s="24" t="n">
        <v>1.27</v>
      </c>
      <c r="E136" s="24" t="n">
        <v>0.7</v>
      </c>
      <c r="F136" s="24" t="n">
        <v>0.7</v>
      </c>
      <c r="G136" s="24" t="n">
        <v>0.733</v>
      </c>
      <c r="H136" s="24" t="n">
        <v>0.587</v>
      </c>
      <c r="I136" s="24" t="n">
        <v>0.8</v>
      </c>
    </row>
    <row r="137">
      <c r="A137" s="23" t="n">
        <v>133</v>
      </c>
      <c r="B137" s="24" t="n">
        <v>1.035</v>
      </c>
      <c r="C137" s="24" t="n">
        <v>1.3</v>
      </c>
      <c r="D137" s="24" t="n">
        <v>1.27</v>
      </c>
      <c r="E137" s="24" t="n">
        <v>0.7</v>
      </c>
      <c r="F137" s="24" t="n">
        <v>0.7</v>
      </c>
      <c r="G137" s="24" t="n">
        <v>0.727</v>
      </c>
      <c r="H137" s="24" t="n">
        <v>0.58</v>
      </c>
      <c r="I137" s="24" t="n">
        <v>0.8</v>
      </c>
    </row>
    <row r="138">
      <c r="A138" s="23" t="n">
        <v>134</v>
      </c>
      <c r="B138" s="24" t="n">
        <v>1.019</v>
      </c>
      <c r="C138" s="24" t="n">
        <v>1.3</v>
      </c>
      <c r="D138" s="24" t="n">
        <v>1.27</v>
      </c>
      <c r="E138" s="24" t="n">
        <v>0.7</v>
      </c>
      <c r="F138" s="24" t="n">
        <v>0.7</v>
      </c>
      <c r="G138" s="24" t="n">
        <v>0.72</v>
      </c>
      <c r="H138" s="24" t="n">
        <v>0.573</v>
      </c>
      <c r="I138" s="24" t="n">
        <v>0.8</v>
      </c>
    </row>
    <row r="139">
      <c r="A139" s="23" t="n">
        <v>135</v>
      </c>
      <c r="B139" s="24" t="n">
        <v>1.002</v>
      </c>
      <c r="C139" s="24" t="n">
        <v>1.3</v>
      </c>
      <c r="D139" s="24" t="n">
        <v>1.27</v>
      </c>
      <c r="E139" s="24" t="n">
        <v>0.7</v>
      </c>
      <c r="F139" s="24" t="n">
        <v>0.7</v>
      </c>
      <c r="G139" s="24" t="n">
        <v>0.713</v>
      </c>
      <c r="H139" s="24" t="n">
        <v>0.5669999999999999</v>
      </c>
      <c r="I139" s="24" t="n">
        <v>0.8</v>
      </c>
    </row>
    <row r="140">
      <c r="A140" s="23" t="n">
        <v>136</v>
      </c>
      <c r="B140" s="24" t="n">
        <v>0.985</v>
      </c>
      <c r="C140" s="24" t="n">
        <v>1.3</v>
      </c>
      <c r="D140" s="24" t="n">
        <v>1.27</v>
      </c>
      <c r="E140" s="24" t="n">
        <v>0.7</v>
      </c>
      <c r="F140" s="24" t="n">
        <v>0.7</v>
      </c>
      <c r="G140" s="24" t="n">
        <v>0.707</v>
      </c>
      <c r="H140" s="24" t="n">
        <v>0.5600000000000001</v>
      </c>
      <c r="I140" s="24" t="n">
        <v>0.8</v>
      </c>
    </row>
    <row r="141">
      <c r="A141" s="23" t="n">
        <v>137</v>
      </c>
      <c r="B141" s="24" t="n">
        <v>0.968</v>
      </c>
      <c r="C141" s="24" t="n">
        <v>1.3</v>
      </c>
      <c r="D141" s="24" t="n">
        <v>1.27</v>
      </c>
      <c r="E141" s="24" t="n">
        <v>0.7</v>
      </c>
      <c r="F141" s="24" t="n">
        <v>0.7</v>
      </c>
      <c r="G141" s="24" t="n">
        <v>0.7</v>
      </c>
      <c r="H141" s="24" t="n">
        <v>0.553</v>
      </c>
      <c r="I141" s="24" t="n">
        <v>0.8</v>
      </c>
    </row>
    <row r="142">
      <c r="A142" s="23" t="n">
        <v>138</v>
      </c>
      <c r="B142" s="24" t="n">
        <v>0.952</v>
      </c>
      <c r="C142" s="24" t="n">
        <v>1.3</v>
      </c>
      <c r="D142" s="24" t="n">
        <v>1.27</v>
      </c>
      <c r="E142" s="24" t="n">
        <v>0.7</v>
      </c>
      <c r="F142" s="24" t="n">
        <v>0.7</v>
      </c>
      <c r="G142" s="24" t="n">
        <v>0.7</v>
      </c>
      <c r="H142" s="24" t="n">
        <v>0.547</v>
      </c>
      <c r="I142" s="24" t="n">
        <v>0.8</v>
      </c>
    </row>
    <row r="143">
      <c r="A143" s="23" t="n">
        <v>139</v>
      </c>
      <c r="B143" s="24" t="n">
        <v>0.9350000000000001</v>
      </c>
      <c r="C143" s="24" t="n">
        <v>1.3</v>
      </c>
      <c r="D143" s="24" t="n">
        <v>1.27</v>
      </c>
      <c r="E143" s="24" t="n">
        <v>0.7</v>
      </c>
      <c r="F143" s="24" t="n">
        <v>0.7</v>
      </c>
      <c r="G143" s="24" t="n">
        <v>0.7</v>
      </c>
      <c r="H143" s="24" t="n">
        <v>0.54</v>
      </c>
      <c r="I143" s="24" t="n">
        <v>0.8</v>
      </c>
    </row>
    <row r="144">
      <c r="A144" s="23" t="n">
        <v>140</v>
      </c>
      <c r="B144" s="24" t="n">
        <v>0.918</v>
      </c>
      <c r="C144" s="24" t="n">
        <v>1.3</v>
      </c>
      <c r="D144" s="24" t="n">
        <v>1.27</v>
      </c>
      <c r="E144" s="24" t="n">
        <v>0.7</v>
      </c>
      <c r="F144" s="24" t="n">
        <v>0.7</v>
      </c>
      <c r="G144" s="24" t="n">
        <v>0.7</v>
      </c>
      <c r="H144" s="24" t="n">
        <v>0.533</v>
      </c>
      <c r="I144" s="24" t="n">
        <v>0.8</v>
      </c>
    </row>
    <row r="145">
      <c r="A145" s="23" t="n">
        <v>141</v>
      </c>
      <c r="B145" s="24" t="n">
        <v>0.901</v>
      </c>
      <c r="C145" s="24" t="n">
        <v>0.6</v>
      </c>
      <c r="D145" s="24" t="n">
        <v>1.27</v>
      </c>
      <c r="E145" s="24" t="n">
        <v>0.7</v>
      </c>
      <c r="F145" s="24" t="n">
        <v>0.7</v>
      </c>
      <c r="G145" s="24" t="n">
        <v>0.7</v>
      </c>
      <c r="H145" s="24" t="n">
        <v>0.527</v>
      </c>
      <c r="I145" s="24" t="n">
        <v>0.8</v>
      </c>
    </row>
    <row r="146">
      <c r="A146" s="23" t="n">
        <v>142</v>
      </c>
      <c r="B146" s="24" t="n">
        <v>0.885</v>
      </c>
      <c r="C146" s="24" t="n">
        <v>0.6</v>
      </c>
      <c r="D146" s="24" t="n">
        <v>1.27</v>
      </c>
      <c r="E146" s="24" t="n">
        <v>0.7</v>
      </c>
      <c r="F146" s="24" t="n">
        <v>0.7</v>
      </c>
      <c r="G146" s="24" t="n">
        <v>0.7</v>
      </c>
      <c r="H146" s="24" t="n">
        <v>0.52</v>
      </c>
      <c r="I146" s="24" t="n">
        <v>0.8</v>
      </c>
    </row>
    <row r="147">
      <c r="A147" s="23" t="n">
        <v>143</v>
      </c>
      <c r="B147" s="24" t="n">
        <v>0.868</v>
      </c>
      <c r="C147" s="24" t="n">
        <v>0.6</v>
      </c>
      <c r="D147" s="24" t="n">
        <v>1.27</v>
      </c>
      <c r="E147" s="24" t="n">
        <v>0.7</v>
      </c>
      <c r="F147" s="24" t="n">
        <v>0.7</v>
      </c>
      <c r="G147" s="24" t="n">
        <v>0.7</v>
      </c>
      <c r="H147" s="24" t="n">
        <v>0.513</v>
      </c>
      <c r="I147" s="24" t="n">
        <v>0.8</v>
      </c>
    </row>
    <row r="148">
      <c r="A148" s="23" t="n">
        <v>144</v>
      </c>
      <c r="B148" s="24" t="n">
        <v>0.851</v>
      </c>
      <c r="C148" s="24" t="n">
        <v>0.6</v>
      </c>
      <c r="D148" s="24" t="n">
        <v>1.27</v>
      </c>
      <c r="E148" s="24" t="n">
        <v>0.7</v>
      </c>
      <c r="F148" s="24" t="n">
        <v>0.7</v>
      </c>
      <c r="G148" s="24" t="n">
        <v>0.7</v>
      </c>
      <c r="H148" s="24" t="n">
        <v>0.507</v>
      </c>
      <c r="I148" s="24" t="n">
        <v>0.8</v>
      </c>
    </row>
    <row r="149">
      <c r="A149" s="23" t="n">
        <v>145</v>
      </c>
      <c r="B149" s="24" t="n">
        <v>0.834</v>
      </c>
      <c r="C149" s="24" t="n">
        <v>0.6</v>
      </c>
      <c r="D149" s="24" t="n">
        <v>1.27</v>
      </c>
      <c r="E149" s="24" t="n">
        <v>0.7</v>
      </c>
      <c r="F149" s="24" t="n">
        <v>0.7</v>
      </c>
      <c r="G149" s="24" t="n">
        <v>0.7</v>
      </c>
      <c r="H149" s="24" t="n">
        <v>0.5</v>
      </c>
      <c r="I149" s="24" t="n">
        <v>0.8</v>
      </c>
    </row>
    <row r="150">
      <c r="A150" s="23" t="n">
        <v>146</v>
      </c>
      <c r="B150" s="24" t="n">
        <v>0.8179999999999999</v>
      </c>
      <c r="C150" s="24" t="n">
        <v>0.6</v>
      </c>
      <c r="D150" s="24" t="n">
        <v>1.25</v>
      </c>
      <c r="E150" s="24" t="n">
        <v>0.7</v>
      </c>
      <c r="F150" s="24" t="n">
        <v>0.7</v>
      </c>
      <c r="G150" s="24" t="n">
        <v>0.7</v>
      </c>
      <c r="H150" s="24" t="n">
        <v>0.493</v>
      </c>
      <c r="I150" s="24" t="n">
        <v>0.8</v>
      </c>
    </row>
    <row r="151">
      <c r="A151" s="23" t="n">
        <v>147</v>
      </c>
      <c r="B151" s="24" t="n">
        <v>0.801</v>
      </c>
      <c r="C151" s="24" t="n">
        <v>0.6</v>
      </c>
      <c r="D151" s="24" t="n">
        <v>1.231</v>
      </c>
      <c r="E151" s="24" t="n">
        <v>0.7</v>
      </c>
      <c r="F151" s="24" t="n">
        <v>0.7</v>
      </c>
      <c r="G151" s="24" t="n">
        <v>0.7</v>
      </c>
      <c r="H151" s="24" t="n">
        <v>0.487</v>
      </c>
      <c r="I151" s="24" t="n">
        <v>0.8</v>
      </c>
    </row>
    <row r="152">
      <c r="A152" s="23" t="n">
        <v>148</v>
      </c>
      <c r="B152" s="24" t="n">
        <v>0.784</v>
      </c>
      <c r="C152" s="24" t="n">
        <v>0.6</v>
      </c>
      <c r="D152" s="24" t="n">
        <v>1.211</v>
      </c>
      <c r="E152" s="24" t="n">
        <v>0.7</v>
      </c>
      <c r="F152" s="24" t="n">
        <v>0.7</v>
      </c>
      <c r="G152" s="24" t="n">
        <v>0.7</v>
      </c>
      <c r="H152" s="24" t="n">
        <v>0.48</v>
      </c>
      <c r="I152" s="24" t="n">
        <v>0.8</v>
      </c>
    </row>
    <row r="153">
      <c r="A153" s="23" t="n">
        <v>149</v>
      </c>
      <c r="B153" s="24" t="n">
        <v>0.767</v>
      </c>
      <c r="C153" s="24" t="n">
        <v>0.6</v>
      </c>
      <c r="D153" s="24" t="n">
        <v>1.191</v>
      </c>
      <c r="E153" s="24" t="n">
        <v>0.7</v>
      </c>
      <c r="F153" s="24" t="n">
        <v>0.7</v>
      </c>
      <c r="G153" s="24" t="n">
        <v>0.7</v>
      </c>
      <c r="H153" s="24" t="n">
        <v>0.473</v>
      </c>
      <c r="I153" s="24" t="n">
        <v>0.8</v>
      </c>
    </row>
    <row r="154">
      <c r="A154" s="23" t="n">
        <v>150</v>
      </c>
      <c r="B154" s="24" t="n">
        <v>0.751</v>
      </c>
      <c r="C154" s="24" t="n">
        <v>0.6</v>
      </c>
      <c r="D154" s="24" t="n">
        <v>1.171</v>
      </c>
      <c r="E154" s="24" t="n">
        <v>0.7</v>
      </c>
      <c r="F154" s="24" t="n">
        <v>0.7</v>
      </c>
      <c r="G154" s="24" t="n">
        <v>0.7</v>
      </c>
      <c r="H154" s="24" t="n">
        <v>0.467</v>
      </c>
      <c r="I154" s="24" t="n">
        <v>0.8</v>
      </c>
    </row>
    <row r="155">
      <c r="A155" s="23" t="n">
        <v>151</v>
      </c>
      <c r="B155" s="24" t="n">
        <v>0.734</v>
      </c>
      <c r="C155" s="24" t="n">
        <v>0.6</v>
      </c>
      <c r="D155" s="24" t="n">
        <v>1.152</v>
      </c>
      <c r="E155" s="24" t="n">
        <v>0.7</v>
      </c>
      <c r="F155" s="24" t="n">
        <v>0.7</v>
      </c>
      <c r="G155" s="24" t="n">
        <v>0.7</v>
      </c>
      <c r="H155" s="24" t="n">
        <v>0.46</v>
      </c>
      <c r="I155" s="24" t="n">
        <v>0.8</v>
      </c>
    </row>
    <row r="156">
      <c r="A156" s="23" t="n">
        <v>152</v>
      </c>
      <c r="B156" s="24" t="n">
        <v>0.717</v>
      </c>
      <c r="C156" s="24" t="n">
        <v>0.6</v>
      </c>
      <c r="D156" s="24" t="n">
        <v>1.132</v>
      </c>
      <c r="E156" s="24" t="n">
        <v>0.7</v>
      </c>
      <c r="F156" s="24" t="n">
        <v>0.7</v>
      </c>
      <c r="G156" s="24" t="n">
        <v>0.7</v>
      </c>
      <c r="H156" s="24" t="n">
        <v>0.453</v>
      </c>
      <c r="I156" s="24" t="n">
        <v>0.8</v>
      </c>
    </row>
    <row r="157">
      <c r="A157" s="23" t="n">
        <v>153</v>
      </c>
      <c r="B157" s="24" t="n">
        <v>0.7</v>
      </c>
      <c r="C157" s="24" t="n">
        <v>0.6</v>
      </c>
      <c r="D157" s="24" t="n">
        <v>1.112</v>
      </c>
      <c r="E157" s="24" t="n">
        <v>0.7</v>
      </c>
      <c r="F157" s="24" t="n">
        <v>0.7</v>
      </c>
      <c r="G157" s="24" t="n">
        <v>0.7</v>
      </c>
      <c r="H157" s="24" t="n">
        <v>0.447</v>
      </c>
      <c r="I157" s="24" t="n">
        <v>0.8</v>
      </c>
    </row>
    <row r="158">
      <c r="A158" s="23" t="n">
        <v>154</v>
      </c>
      <c r="B158" s="24" t="n">
        <v>0.6840000000000001</v>
      </c>
      <c r="C158" s="24" t="n">
        <v>0.6</v>
      </c>
      <c r="D158" s="24" t="n">
        <v>1.093</v>
      </c>
      <c r="E158" s="24" t="n">
        <v>0.7</v>
      </c>
      <c r="F158" s="24" t="n">
        <v>0.7</v>
      </c>
      <c r="G158" s="24" t="n">
        <v>0.7</v>
      </c>
      <c r="H158" s="24" t="n">
        <v>0.44</v>
      </c>
      <c r="I158" s="24" t="n">
        <v>0.8</v>
      </c>
    </row>
    <row r="159">
      <c r="A159" s="23" t="n">
        <v>155</v>
      </c>
      <c r="B159" s="24" t="n">
        <v>0.667</v>
      </c>
      <c r="C159" s="24" t="n">
        <v>0.6</v>
      </c>
      <c r="D159" s="24" t="n">
        <v>1.073</v>
      </c>
      <c r="E159" s="24" t="n">
        <v>0.7</v>
      </c>
      <c r="F159" s="24" t="n">
        <v>0.7</v>
      </c>
      <c r="G159" s="24" t="n">
        <v>0.7</v>
      </c>
      <c r="H159" s="24" t="n">
        <v>0.433</v>
      </c>
      <c r="I159" s="24" t="n">
        <v>0.8</v>
      </c>
    </row>
    <row r="160">
      <c r="A160" s="23" t="n">
        <v>156</v>
      </c>
      <c r="B160" s="24" t="n">
        <v>0.65</v>
      </c>
      <c r="C160" s="24" t="n">
        <v>0.6</v>
      </c>
      <c r="D160" s="24" t="n">
        <v>1.053</v>
      </c>
      <c r="E160" s="24" t="n">
        <v>0.7</v>
      </c>
      <c r="F160" s="24" t="n">
        <v>0.7</v>
      </c>
      <c r="G160" s="24" t="n">
        <v>0.7</v>
      </c>
      <c r="H160" s="24" t="n">
        <v>0.427</v>
      </c>
      <c r="I160" s="24" t="n">
        <v>0.8</v>
      </c>
    </row>
    <row r="161">
      <c r="A161" s="23" t="n">
        <v>157</v>
      </c>
      <c r="B161" s="24" t="n">
        <v>0.633</v>
      </c>
      <c r="C161" s="24" t="n">
        <v>0.6</v>
      </c>
      <c r="D161" s="24" t="n">
        <v>1.034</v>
      </c>
      <c r="E161" s="24" t="n">
        <v>0.7</v>
      </c>
      <c r="F161" s="24" t="n">
        <v>0.7</v>
      </c>
      <c r="G161" s="24" t="n">
        <v>0.7</v>
      </c>
      <c r="H161" s="24" t="n">
        <v>0.42</v>
      </c>
      <c r="I161" s="24" t="n">
        <v>0.8</v>
      </c>
    </row>
    <row r="162">
      <c r="A162" s="23" t="n">
        <v>158</v>
      </c>
      <c r="B162" s="24" t="n">
        <v>0.617</v>
      </c>
      <c r="C162" s="24" t="n">
        <v>0.6</v>
      </c>
      <c r="D162" s="24" t="n">
        <v>1.014</v>
      </c>
      <c r="E162" s="24" t="n">
        <v>0.7</v>
      </c>
      <c r="F162" s="24" t="n">
        <v>0.7</v>
      </c>
      <c r="G162" s="24" t="n">
        <v>0.7</v>
      </c>
      <c r="H162" s="24" t="n">
        <v>0.413</v>
      </c>
      <c r="I162" s="24" t="n">
        <v>0.8</v>
      </c>
    </row>
    <row r="163">
      <c r="A163" s="23" t="n">
        <v>159</v>
      </c>
      <c r="B163" s="24" t="n">
        <v>0.6</v>
      </c>
      <c r="C163" s="24" t="n">
        <v>0.6</v>
      </c>
      <c r="D163" s="24" t="n">
        <v>0.994</v>
      </c>
      <c r="E163" s="24" t="n">
        <v>0.7</v>
      </c>
      <c r="F163" s="24" t="n">
        <v>0.7</v>
      </c>
      <c r="G163" s="24" t="n">
        <v>0.7</v>
      </c>
      <c r="H163" s="24" t="n">
        <v>0.407</v>
      </c>
      <c r="I163" s="24" t="n">
        <v>0.8</v>
      </c>
    </row>
    <row r="164">
      <c r="A164" s="23" t="n">
        <v>160</v>
      </c>
      <c r="B164" s="24" t="n">
        <v>0.583</v>
      </c>
      <c r="C164" s="24" t="n">
        <v>0.6</v>
      </c>
      <c r="D164" s="24" t="n">
        <v>0.974</v>
      </c>
      <c r="E164" s="24" t="n">
        <v>0.7</v>
      </c>
      <c r="F164" s="24" t="n">
        <v>0.7</v>
      </c>
      <c r="G164" s="24" t="n">
        <v>0.7</v>
      </c>
      <c r="H164" s="24" t="n">
        <v>0.4</v>
      </c>
      <c r="I164" s="24" t="n">
        <v>0.8</v>
      </c>
    </row>
    <row r="165">
      <c r="A165" s="23" t="n">
        <v>161</v>
      </c>
      <c r="B165" s="24" t="n">
        <v>0.5659999999999999</v>
      </c>
      <c r="C165" s="24" t="n">
        <v>0.6</v>
      </c>
      <c r="D165" s="24" t="n">
        <v>0.955</v>
      </c>
      <c r="E165" s="24" t="n">
        <v>0.7</v>
      </c>
      <c r="F165" s="24" t="n">
        <v>0.7</v>
      </c>
      <c r="G165" s="24" t="n">
        <v>0.7</v>
      </c>
      <c r="H165" s="24" t="n">
        <v>0.4</v>
      </c>
      <c r="I165" s="24" t="n">
        <v>0.8</v>
      </c>
    </row>
    <row r="166">
      <c r="A166" s="23" t="n">
        <v>162</v>
      </c>
      <c r="B166" s="24" t="n">
        <v>0.55</v>
      </c>
      <c r="C166" s="24" t="n">
        <v>0.6</v>
      </c>
      <c r="D166" s="24" t="n">
        <v>0.9350000000000001</v>
      </c>
      <c r="E166" s="24" t="n">
        <v>0.7</v>
      </c>
      <c r="F166" s="24" t="n">
        <v>0.7</v>
      </c>
      <c r="G166" s="24" t="n">
        <v>0.7</v>
      </c>
      <c r="H166" s="24" t="n">
        <v>0.4</v>
      </c>
      <c r="I166" s="24" t="n">
        <v>0.8</v>
      </c>
    </row>
    <row r="167">
      <c r="A167" s="23" t="n">
        <v>163</v>
      </c>
      <c r="B167" s="24" t="n">
        <v>0.533</v>
      </c>
      <c r="C167" s="24" t="n">
        <v>0.6</v>
      </c>
      <c r="D167" s="24" t="n">
        <v>0.915</v>
      </c>
      <c r="E167" s="24" t="n">
        <v>0.7</v>
      </c>
      <c r="F167" s="24" t="n">
        <v>0.7</v>
      </c>
      <c r="G167" s="24" t="n">
        <v>0.7</v>
      </c>
      <c r="H167" s="24" t="n">
        <v>0.4</v>
      </c>
      <c r="I167" s="24" t="n">
        <v>0.8</v>
      </c>
    </row>
    <row r="168">
      <c r="A168" s="23" t="n">
        <v>164</v>
      </c>
      <c r="B168" s="24" t="n">
        <v>0.516</v>
      </c>
      <c r="C168" s="24" t="n">
        <v>0.6</v>
      </c>
      <c r="D168" s="24" t="n">
        <v>0.896</v>
      </c>
      <c r="E168" s="24" t="n">
        <v>0.7</v>
      </c>
      <c r="F168" s="24" t="n">
        <v>0.7</v>
      </c>
      <c r="G168" s="24" t="n">
        <v>0.7</v>
      </c>
      <c r="H168" s="24" t="n">
        <v>0.4</v>
      </c>
      <c r="I168" s="24" t="n">
        <v>0.8</v>
      </c>
    </row>
    <row r="169">
      <c r="A169" s="23" t="n">
        <v>165</v>
      </c>
      <c r="B169" s="24" t="n">
        <v>0.499</v>
      </c>
      <c r="C169" s="24" t="n">
        <v>0.6</v>
      </c>
      <c r="D169" s="24" t="n">
        <v>0.876</v>
      </c>
      <c r="E169" s="24" t="n">
        <v>0.7</v>
      </c>
      <c r="F169" s="24" t="n">
        <v>0.7</v>
      </c>
      <c r="G169" s="24" t="n">
        <v>0.7</v>
      </c>
      <c r="H169" s="24" t="n">
        <v>0.4</v>
      </c>
      <c r="I169" s="24" t="n">
        <v>0.8</v>
      </c>
    </row>
    <row r="170">
      <c r="A170" s="23" t="n">
        <v>166</v>
      </c>
      <c r="B170" s="24" t="n">
        <v>0.499</v>
      </c>
      <c r="C170" s="24" t="n">
        <v>0.6</v>
      </c>
      <c r="D170" s="24" t="n">
        <v>0.856</v>
      </c>
      <c r="E170" s="24" t="n">
        <v>0.7</v>
      </c>
      <c r="F170" s="24" t="n">
        <v>0.7</v>
      </c>
      <c r="G170" s="24" t="n">
        <v>0.7</v>
      </c>
      <c r="H170" s="24" t="n">
        <v>0.4</v>
      </c>
      <c r="I170" s="24" t="n">
        <v>0.8</v>
      </c>
    </row>
    <row r="171">
      <c r="A171" s="23" t="n">
        <v>167</v>
      </c>
      <c r="B171" s="24" t="n">
        <v>0.499</v>
      </c>
      <c r="C171" s="24" t="n">
        <v>0.6</v>
      </c>
      <c r="D171" s="24" t="n">
        <v>0.836</v>
      </c>
      <c r="E171" s="24" t="n">
        <v>0.7</v>
      </c>
      <c r="F171" s="24" t="n">
        <v>0.7</v>
      </c>
      <c r="G171" s="24" t="n">
        <v>0.7</v>
      </c>
      <c r="H171" s="24" t="n">
        <v>0.4</v>
      </c>
      <c r="I171" s="24" t="n">
        <v>0.8</v>
      </c>
    </row>
    <row r="172">
      <c r="A172" s="23" t="n">
        <v>168</v>
      </c>
      <c r="B172" s="24" t="n">
        <v>0.499</v>
      </c>
      <c r="C172" s="24" t="n">
        <v>0.6</v>
      </c>
      <c r="D172" s="24" t="n">
        <v>0.8169999999999999</v>
      </c>
      <c r="E172" s="24" t="n">
        <v>0.7</v>
      </c>
      <c r="F172" s="24" t="n">
        <v>0.7</v>
      </c>
      <c r="G172" s="24" t="n">
        <v>0.7</v>
      </c>
      <c r="H172" s="24" t="n">
        <v>0.4</v>
      </c>
      <c r="I172" s="24" t="n">
        <v>0.8</v>
      </c>
    </row>
    <row r="173">
      <c r="A173" s="23" t="n">
        <v>169</v>
      </c>
      <c r="B173" s="24" t="n">
        <v>0.499</v>
      </c>
      <c r="C173" s="24" t="n">
        <v>0.6</v>
      </c>
      <c r="D173" s="24" t="n">
        <v>0.797</v>
      </c>
      <c r="E173" s="24" t="n">
        <v>0.7</v>
      </c>
      <c r="F173" s="24" t="n">
        <v>0.7</v>
      </c>
      <c r="G173" s="24" t="n">
        <v>0.7</v>
      </c>
      <c r="H173" s="24" t="n">
        <v>0.4</v>
      </c>
      <c r="I173" s="24" t="n">
        <v>0.8</v>
      </c>
    </row>
    <row r="174">
      <c r="A174" s="23" t="n">
        <v>170</v>
      </c>
      <c r="B174" s="24" t="n">
        <v>0.499</v>
      </c>
      <c r="C174" s="24" t="n">
        <v>0.6</v>
      </c>
      <c r="D174" s="24" t="n">
        <v>0.777</v>
      </c>
      <c r="E174" s="24" t="n">
        <v>0.7</v>
      </c>
      <c r="F174" s="24" t="n">
        <v>0.7</v>
      </c>
      <c r="G174" s="24" t="n">
        <v>0.7</v>
      </c>
      <c r="H174" s="24" t="n">
        <v>0.4</v>
      </c>
      <c r="I174" s="24" t="n">
        <v>0.8</v>
      </c>
    </row>
    <row r="175">
      <c r="A175" s="23" t="n">
        <v>171</v>
      </c>
      <c r="B175" s="24" t="n">
        <v>0.499</v>
      </c>
      <c r="C175" s="24" t="n">
        <v>0.6</v>
      </c>
      <c r="D175" s="24" t="n">
        <v>0.758</v>
      </c>
      <c r="E175" s="24" t="n">
        <v>0.7</v>
      </c>
      <c r="F175" s="24" t="n">
        <v>0.7</v>
      </c>
      <c r="G175" s="24" t="n">
        <v>0.7</v>
      </c>
      <c r="H175" s="24" t="n">
        <v>0.4</v>
      </c>
      <c r="I175" s="24" t="n">
        <v>0.8</v>
      </c>
    </row>
    <row r="176">
      <c r="A176" s="23" t="n">
        <v>172</v>
      </c>
      <c r="B176" s="24" t="n">
        <v>0.499</v>
      </c>
      <c r="C176" s="24" t="n">
        <v>0.6</v>
      </c>
      <c r="D176" s="24" t="n">
        <v>0.738</v>
      </c>
      <c r="E176" s="24" t="n">
        <v>0.7</v>
      </c>
      <c r="F176" s="24" t="n">
        <v>0.7</v>
      </c>
      <c r="G176" s="24" t="n">
        <v>0.7</v>
      </c>
      <c r="H176" s="24" t="n">
        <v>0.4</v>
      </c>
      <c r="I176" s="24" t="n">
        <v>0.8</v>
      </c>
    </row>
    <row r="177">
      <c r="A177" s="23" t="n">
        <v>173</v>
      </c>
      <c r="B177" s="24" t="n">
        <v>0.499</v>
      </c>
      <c r="C177" s="24" t="n">
        <v>0.6</v>
      </c>
      <c r="D177" s="24" t="n">
        <v>0.718</v>
      </c>
      <c r="E177" s="24" t="n">
        <v>0.7</v>
      </c>
      <c r="F177" s="24" t="n">
        <v>0.7</v>
      </c>
      <c r="G177" s="24" t="n">
        <v>0.7</v>
      </c>
      <c r="H177" s="24" t="n">
        <v>0.4</v>
      </c>
      <c r="I177" s="24" t="n">
        <v>0.8</v>
      </c>
    </row>
    <row r="178">
      <c r="A178" s="23" t="n">
        <v>174</v>
      </c>
      <c r="B178" s="24" t="n">
        <v>0.499</v>
      </c>
      <c r="C178" s="24" t="n">
        <v>0.6</v>
      </c>
      <c r="D178" s="24" t="n">
        <v>0.699</v>
      </c>
      <c r="E178" s="24" t="n">
        <v>0.7</v>
      </c>
      <c r="F178" s="24" t="n">
        <v>0.7</v>
      </c>
      <c r="G178" s="24" t="n">
        <v>0.7</v>
      </c>
      <c r="H178" s="24" t="n">
        <v>0.4</v>
      </c>
      <c r="I178" s="24" t="n">
        <v>0.8</v>
      </c>
    </row>
    <row r="179">
      <c r="A179" s="23" t="n">
        <v>175</v>
      </c>
      <c r="B179" s="24" t="n">
        <v>0.499</v>
      </c>
      <c r="C179" s="24" t="n">
        <v>0.6</v>
      </c>
      <c r="D179" s="24" t="n">
        <v>0.679</v>
      </c>
      <c r="E179" s="24" t="n">
        <v>0.7</v>
      </c>
      <c r="F179" s="24" t="n">
        <v>0.7</v>
      </c>
      <c r="G179" s="24" t="n">
        <v>0.7</v>
      </c>
      <c r="H179" s="24" t="n">
        <v>0.4</v>
      </c>
      <c r="I179" s="24" t="n">
        <v>0.8</v>
      </c>
    </row>
    <row r="180">
      <c r="A180" s="23" t="n">
        <v>176</v>
      </c>
      <c r="B180" s="24" t="n">
        <v>0.499</v>
      </c>
      <c r="C180" s="24" t="n">
        <v>0.6</v>
      </c>
      <c r="D180" s="24" t="n">
        <v>0.659</v>
      </c>
      <c r="E180" s="24" t="n">
        <v>0.7</v>
      </c>
      <c r="F180" s="24" t="n">
        <v>0.7</v>
      </c>
      <c r="G180" s="24" t="n">
        <v>0.7</v>
      </c>
      <c r="H180" s="24" t="n">
        <v>0.4</v>
      </c>
      <c r="I180" s="24" t="n">
        <v>0.8</v>
      </c>
    </row>
    <row r="181">
      <c r="A181" s="23" t="n">
        <v>177</v>
      </c>
      <c r="B181" s="24" t="n">
        <v>0.499</v>
      </c>
      <c r="C181" s="24" t="n">
        <v>0.6</v>
      </c>
      <c r="D181" s="24" t="n">
        <v>0.639</v>
      </c>
      <c r="E181" s="24" t="n">
        <v>0.7</v>
      </c>
      <c r="F181" s="24" t="n">
        <v>0.7</v>
      </c>
      <c r="G181" s="24" t="n">
        <v>0.7</v>
      </c>
      <c r="H181" s="24" t="n">
        <v>0.4</v>
      </c>
      <c r="I181" s="24" t="n">
        <v>0.8</v>
      </c>
    </row>
    <row r="182">
      <c r="A182" s="23" t="n">
        <v>178</v>
      </c>
      <c r="B182" s="24" t="n">
        <v>0.499</v>
      </c>
      <c r="C182" s="24" t="n">
        <v>0.6</v>
      </c>
      <c r="D182" s="24" t="n">
        <v>0.62</v>
      </c>
      <c r="E182" s="24" t="n">
        <v>0.7</v>
      </c>
      <c r="F182" s="24" t="n">
        <v>0.7</v>
      </c>
      <c r="G182" s="24" t="n">
        <v>0.7</v>
      </c>
      <c r="H182" s="24" t="n">
        <v>0.4</v>
      </c>
      <c r="I182" s="24" t="n">
        <v>0.8</v>
      </c>
    </row>
    <row r="183">
      <c r="A183" s="23" t="n">
        <v>179</v>
      </c>
      <c r="B183" s="24" t="n">
        <v>0.499</v>
      </c>
      <c r="C183" s="24" t="n">
        <v>0.6</v>
      </c>
      <c r="D183" s="24" t="n">
        <v>0.6</v>
      </c>
      <c r="E183" s="24" t="n">
        <v>0.7</v>
      </c>
      <c r="F183" s="24" t="n">
        <v>0.7</v>
      </c>
      <c r="G183" s="24" t="n">
        <v>0.7</v>
      </c>
      <c r="H183" s="24" t="n">
        <v>0.4</v>
      </c>
      <c r="I183" s="24" t="n">
        <v>0.8</v>
      </c>
    </row>
    <row r="184">
      <c r="A184" s="23" t="n">
        <v>180</v>
      </c>
      <c r="B184" s="24" t="n">
        <v>0.499</v>
      </c>
      <c r="C184" s="24" t="n">
        <v>0.6</v>
      </c>
      <c r="D184" s="24" t="n">
        <v>0.6</v>
      </c>
      <c r="E184" s="24" t="n">
        <v>0.7</v>
      </c>
      <c r="F184" s="24" t="n">
        <v>0.7</v>
      </c>
      <c r="G184" s="24" t="n">
        <v>0.7</v>
      </c>
      <c r="H184" s="24" t="n">
        <v>0.4</v>
      </c>
      <c r="I184" s="24" t="n">
        <v>0.8</v>
      </c>
    </row>
    <row r="185">
      <c r="A185" s="23" t="n">
        <v>181</v>
      </c>
      <c r="B185" s="24" t="n">
        <v>0.499</v>
      </c>
      <c r="C185" s="24" t="n">
        <v>0.6</v>
      </c>
      <c r="D185" s="24" t="n">
        <v>0.6</v>
      </c>
      <c r="E185" s="24" t="n">
        <v>0.7</v>
      </c>
      <c r="F185" s="24" t="n">
        <v>0.7</v>
      </c>
      <c r="G185" s="24" t="n">
        <v>0.7</v>
      </c>
      <c r="H185" s="24" t="n">
        <v>0.4</v>
      </c>
      <c r="I185" s="24" t="n">
        <v>0.8</v>
      </c>
    </row>
    <row r="186">
      <c r="A186" s="23" t="n">
        <v>182</v>
      </c>
      <c r="B186" s="24" t="n">
        <v>0.499</v>
      </c>
      <c r="C186" s="24" t="n">
        <v>0.6</v>
      </c>
      <c r="D186" s="24" t="n">
        <v>0.6</v>
      </c>
      <c r="E186" s="24" t="n">
        <v>0.7</v>
      </c>
      <c r="F186" s="24" t="n">
        <v>0.7</v>
      </c>
      <c r="G186" s="24" t="n">
        <v>0.7</v>
      </c>
      <c r="H186" s="24" t="n">
        <v>0.4</v>
      </c>
      <c r="I186" s="24" t="n">
        <v>0.8</v>
      </c>
    </row>
    <row r="187">
      <c r="A187" s="23" t="n">
        <v>183</v>
      </c>
      <c r="B187" s="24" t="n">
        <v>0.499</v>
      </c>
      <c r="C187" s="24" t="n">
        <v>0.6</v>
      </c>
      <c r="D187" s="24" t="n">
        <v>0.6</v>
      </c>
      <c r="E187" s="24" t="n">
        <v>0.7</v>
      </c>
      <c r="F187" s="24" t="n">
        <v>0.7</v>
      </c>
      <c r="G187" s="24" t="n">
        <v>0.7</v>
      </c>
      <c r="H187" s="24" t="n">
        <v>0.4</v>
      </c>
      <c r="I187" s="24" t="n">
        <v>0.8</v>
      </c>
    </row>
    <row r="188">
      <c r="A188" s="23" t="n">
        <v>184</v>
      </c>
      <c r="B188" s="24" t="n">
        <v>0.499</v>
      </c>
      <c r="C188" s="24" t="n">
        <v>0.6</v>
      </c>
      <c r="D188" s="24" t="n">
        <v>0.6</v>
      </c>
      <c r="E188" s="24" t="n">
        <v>0.7</v>
      </c>
      <c r="F188" s="24" t="n">
        <v>0.7</v>
      </c>
      <c r="G188" s="24" t="n">
        <v>0.7</v>
      </c>
      <c r="H188" s="24" t="n">
        <v>0.4</v>
      </c>
      <c r="I188" s="24" t="n">
        <v>0.8</v>
      </c>
    </row>
    <row r="189">
      <c r="A189" s="23" t="n">
        <v>185</v>
      </c>
      <c r="B189" s="24" t="n">
        <v>0.499</v>
      </c>
      <c r="C189" s="24" t="n">
        <v>0.6</v>
      </c>
      <c r="D189" s="24" t="n">
        <v>0.6</v>
      </c>
      <c r="E189" s="24" t="n">
        <v>0.7</v>
      </c>
      <c r="F189" s="24" t="n">
        <v>0.7</v>
      </c>
      <c r="G189" s="24" t="n">
        <v>0.7</v>
      </c>
      <c r="H189" s="24" t="n">
        <v>0.4</v>
      </c>
      <c r="I189" s="24" t="n">
        <v>0.8</v>
      </c>
    </row>
    <row r="190">
      <c r="A190" s="23" t="n">
        <v>186</v>
      </c>
      <c r="B190" s="24" t="n">
        <v>0.499</v>
      </c>
      <c r="C190" s="24" t="n">
        <v>0.6</v>
      </c>
      <c r="D190" s="24" t="n">
        <v>0.6</v>
      </c>
      <c r="E190" s="24" t="n">
        <v>0.7</v>
      </c>
      <c r="F190" s="24" t="n">
        <v>0.7</v>
      </c>
      <c r="G190" s="24" t="n">
        <v>0.7</v>
      </c>
      <c r="H190" s="24" t="n">
        <v>0.4</v>
      </c>
      <c r="I190" s="24" t="n">
        <v>0.8</v>
      </c>
    </row>
    <row r="191">
      <c r="A191" s="23" t="n">
        <v>187</v>
      </c>
      <c r="B191" s="24" t="n">
        <v>0.499</v>
      </c>
      <c r="C191" s="24" t="n">
        <v>0.6</v>
      </c>
      <c r="D191" s="24" t="n">
        <v>0.6</v>
      </c>
      <c r="E191" s="24" t="n">
        <v>0.7</v>
      </c>
      <c r="F191" s="24" t="n">
        <v>0.7</v>
      </c>
      <c r="G191" s="24" t="n">
        <v>0.7</v>
      </c>
      <c r="H191" s="24" t="n">
        <v>0.4</v>
      </c>
      <c r="I191" s="24" t="n">
        <v>0.8</v>
      </c>
    </row>
    <row r="192">
      <c r="A192" s="23" t="n">
        <v>188</v>
      </c>
      <c r="B192" s="24" t="n">
        <v>0.499</v>
      </c>
      <c r="C192" s="24" t="n">
        <v>0.6</v>
      </c>
      <c r="D192" s="24" t="n">
        <v>0.6</v>
      </c>
      <c r="E192" s="24" t="n">
        <v>0.7</v>
      </c>
      <c r="F192" s="24" t="n">
        <v>0.7</v>
      </c>
      <c r="G192" s="24" t="n">
        <v>0.7</v>
      </c>
      <c r="H192" s="24" t="n">
        <v>0.4</v>
      </c>
      <c r="I192" s="24" t="n">
        <v>0.8</v>
      </c>
    </row>
    <row r="193">
      <c r="A193" s="23" t="n">
        <v>189</v>
      </c>
      <c r="B193" s="24" t="n">
        <v>0.499</v>
      </c>
      <c r="C193" s="24" t="n">
        <v>0.6</v>
      </c>
      <c r="D193" s="24" t="n">
        <v>0.6</v>
      </c>
      <c r="E193" s="24" t="n">
        <v>0.7</v>
      </c>
      <c r="F193" s="24" t="n">
        <v>0.7</v>
      </c>
      <c r="G193" s="24" t="n">
        <v>0.7</v>
      </c>
      <c r="H193" s="24" t="n">
        <v>0.4</v>
      </c>
      <c r="I193" s="24" t="n">
        <v>0.8</v>
      </c>
    </row>
    <row r="194">
      <c r="A194" s="23" t="n">
        <v>190</v>
      </c>
      <c r="B194" s="24" t="n">
        <v>0.499</v>
      </c>
      <c r="C194" s="24" t="n">
        <v>0.6</v>
      </c>
      <c r="D194" s="24" t="n">
        <v>0.6</v>
      </c>
      <c r="E194" s="24" t="n">
        <v>0.7</v>
      </c>
      <c r="F194" s="24" t="n">
        <v>0.7</v>
      </c>
      <c r="G194" s="24" t="n">
        <v>0.7</v>
      </c>
      <c r="H194" s="24" t="n">
        <v>0.4</v>
      </c>
      <c r="I194" s="24" t="n">
        <v>0.8</v>
      </c>
    </row>
    <row r="195">
      <c r="A195" s="23" t="n">
        <v>191</v>
      </c>
      <c r="B195" s="24" t="n">
        <v>0.499</v>
      </c>
      <c r="C195" s="24" t="n">
        <v>0.6</v>
      </c>
      <c r="D195" s="24" t="n">
        <v>0.6</v>
      </c>
      <c r="E195" s="24" t="n">
        <v>0.7</v>
      </c>
      <c r="F195" s="24" t="n">
        <v>0.7</v>
      </c>
      <c r="G195" s="24" t="n">
        <v>0.7</v>
      </c>
      <c r="H195" s="24" t="n">
        <v>0.4</v>
      </c>
      <c r="I195" s="24" t="n">
        <v>0.8</v>
      </c>
    </row>
    <row r="196">
      <c r="A196" s="23" t="n">
        <v>192</v>
      </c>
      <c r="B196" s="24" t="n">
        <v>0.499</v>
      </c>
      <c r="C196" s="24" t="n">
        <v>0.6</v>
      </c>
      <c r="D196" s="24" t="n">
        <v>0.6</v>
      </c>
      <c r="E196" s="24" t="n">
        <v>0.7</v>
      </c>
      <c r="F196" s="24" t="n">
        <v>0.7</v>
      </c>
      <c r="G196" s="24" t="n">
        <v>0.7</v>
      </c>
      <c r="H196" s="24" t="n">
        <v>0.4</v>
      </c>
      <c r="I196" s="24" t="n">
        <v>0.8</v>
      </c>
    </row>
    <row r="197">
      <c r="A197" s="23" t="n">
        <v>193</v>
      </c>
      <c r="B197" s="24" t="n">
        <v>0.499</v>
      </c>
      <c r="C197" s="24" t="n">
        <v>0.6</v>
      </c>
      <c r="D197" s="24" t="n">
        <v>0.6</v>
      </c>
      <c r="E197" s="24" t="n">
        <v>0.7</v>
      </c>
      <c r="F197" s="24" t="n">
        <v>0.7</v>
      </c>
      <c r="G197" s="24" t="n">
        <v>0.7</v>
      </c>
      <c r="H197" s="24" t="n">
        <v>0.4</v>
      </c>
      <c r="I197" s="24" t="n">
        <v>0.8</v>
      </c>
    </row>
    <row r="198">
      <c r="A198" s="23" t="n">
        <v>194</v>
      </c>
      <c r="B198" s="24" t="n">
        <v>0.499</v>
      </c>
      <c r="C198" s="24" t="n">
        <v>0.6</v>
      </c>
      <c r="D198" s="24" t="n">
        <v>0.6</v>
      </c>
      <c r="E198" s="24" t="n">
        <v>0.7</v>
      </c>
      <c r="F198" s="24" t="n">
        <v>0.7</v>
      </c>
      <c r="G198" s="24" t="n">
        <v>0.7</v>
      </c>
      <c r="H198" s="24" t="n">
        <v>0.4</v>
      </c>
      <c r="I198" s="24" t="n">
        <v>0.8</v>
      </c>
    </row>
    <row r="199">
      <c r="A199" s="23" t="n">
        <v>195</v>
      </c>
      <c r="B199" s="24" t="n">
        <v>0.499</v>
      </c>
      <c r="C199" s="24" t="n">
        <v>0.6</v>
      </c>
      <c r="D199" s="24" t="n">
        <v>0.6</v>
      </c>
      <c r="E199" s="24" t="n">
        <v>0.7</v>
      </c>
      <c r="F199" s="24" t="n">
        <v>0.7</v>
      </c>
      <c r="G199" s="24" t="n">
        <v>0.7</v>
      </c>
      <c r="H199" s="24" t="n">
        <v>0.4</v>
      </c>
      <c r="I199" s="24" t="n">
        <v>0.8</v>
      </c>
    </row>
    <row r="200">
      <c r="A200" s="23" t="n">
        <v>196</v>
      </c>
      <c r="B200" s="24" t="n">
        <v>0.499</v>
      </c>
      <c r="C200" s="24" t="n">
        <v>0.6</v>
      </c>
      <c r="D200" s="24" t="n">
        <v>0.6</v>
      </c>
      <c r="E200" s="24" t="n">
        <v>0.7</v>
      </c>
      <c r="F200" s="24" t="n">
        <v>0.7</v>
      </c>
      <c r="G200" s="24" t="n">
        <v>0.7</v>
      </c>
      <c r="H200" s="24" t="n">
        <v>0.4</v>
      </c>
      <c r="I200" s="24" t="n">
        <v>0.8</v>
      </c>
    </row>
    <row r="201">
      <c r="A201" s="23" t="n">
        <v>197</v>
      </c>
      <c r="B201" s="24" t="n">
        <v>0.499</v>
      </c>
      <c r="C201" s="24" t="n">
        <v>0.6</v>
      </c>
      <c r="D201" s="24" t="n">
        <v>0.6</v>
      </c>
      <c r="E201" s="24" t="n">
        <v>0.7</v>
      </c>
      <c r="F201" s="24" t="n">
        <v>0.7</v>
      </c>
      <c r="G201" s="24" t="n">
        <v>0.7</v>
      </c>
      <c r="H201" s="24" t="n">
        <v>0.4</v>
      </c>
      <c r="I201" s="24" t="n">
        <v>0.8</v>
      </c>
    </row>
    <row r="202">
      <c r="A202" s="23" t="n">
        <v>198</v>
      </c>
      <c r="B202" s="24" t="n">
        <v>0.499</v>
      </c>
      <c r="C202" s="24" t="n">
        <v>0.6</v>
      </c>
      <c r="D202" s="24" t="n">
        <v>0.6</v>
      </c>
      <c r="E202" s="24" t="n">
        <v>0.7</v>
      </c>
      <c r="F202" s="24" t="n">
        <v>0.7</v>
      </c>
      <c r="G202" s="24" t="n">
        <v>0.7</v>
      </c>
      <c r="H202" s="24" t="n">
        <v>0.4</v>
      </c>
      <c r="I202" s="24" t="n">
        <v>0.8</v>
      </c>
    </row>
    <row r="203">
      <c r="A203" s="23" t="n">
        <v>199</v>
      </c>
      <c r="B203" s="24" t="n">
        <v>0.499</v>
      </c>
      <c r="C203" s="24" t="n">
        <v>0.6</v>
      </c>
      <c r="D203" s="24" t="n">
        <v>0.6</v>
      </c>
      <c r="E203" s="24" t="n">
        <v>0.7</v>
      </c>
      <c r="F203" s="24" t="n">
        <v>0.7</v>
      </c>
      <c r="G203" s="24" t="n">
        <v>0.7</v>
      </c>
      <c r="H203" s="24" t="n">
        <v>0.4</v>
      </c>
      <c r="I203" s="24" t="n">
        <v>0.8</v>
      </c>
    </row>
    <row r="204">
      <c r="A204" s="23" t="n">
        <v>200</v>
      </c>
      <c r="B204" s="24" t="n">
        <v>0.499</v>
      </c>
      <c r="C204" s="24" t="n">
        <v>0.6</v>
      </c>
      <c r="D204" s="24" t="n">
        <v>0.6</v>
      </c>
      <c r="E204" s="24" t="n">
        <v>0.7</v>
      </c>
      <c r="F204" s="24" t="n">
        <v>0.7</v>
      </c>
      <c r="G204" s="24" t="n">
        <v>0.7</v>
      </c>
      <c r="H204" s="24" t="n">
        <v>0.4</v>
      </c>
      <c r="I204" s="24" t="n">
        <v>0.8</v>
      </c>
    </row>
    <row r="205">
      <c r="A205" s="23" t="n">
        <v>201</v>
      </c>
      <c r="B205" s="24" t="n">
        <v>0.499</v>
      </c>
      <c r="C205" s="24" t="n">
        <v>0.6</v>
      </c>
      <c r="D205" s="24" t="n">
        <v>0.6</v>
      </c>
      <c r="E205" s="24" t="n">
        <v>0.7</v>
      </c>
      <c r="F205" s="24" t="n">
        <v>0.7</v>
      </c>
      <c r="G205" s="24" t="n">
        <v>0.7</v>
      </c>
      <c r="H205" s="24" t="n">
        <v>0.4</v>
      </c>
      <c r="I205" s="24" t="n">
        <v>0.8</v>
      </c>
    </row>
    <row r="206">
      <c r="A206" s="23" t="n">
        <v>202</v>
      </c>
      <c r="B206" s="24" t="n">
        <v>0.499</v>
      </c>
      <c r="C206" s="24" t="n">
        <v>0.6</v>
      </c>
      <c r="D206" s="24" t="n">
        <v>0.6</v>
      </c>
      <c r="E206" s="24" t="n">
        <v>0.7</v>
      </c>
      <c r="F206" s="24" t="n">
        <v>0.7</v>
      </c>
      <c r="G206" s="24" t="n">
        <v>0.7</v>
      </c>
      <c r="H206" s="24" t="n">
        <v>0.4</v>
      </c>
      <c r="I206" s="24" t="n">
        <v>0.8</v>
      </c>
    </row>
    <row r="207">
      <c r="A207" s="23" t="n">
        <v>203</v>
      </c>
      <c r="B207" s="24" t="n">
        <v>0.499</v>
      </c>
      <c r="C207" s="24" t="n">
        <v>0.6</v>
      </c>
      <c r="D207" s="24" t="n">
        <v>0.6</v>
      </c>
      <c r="E207" s="24" t="n">
        <v>0.7</v>
      </c>
      <c r="F207" s="24" t="n">
        <v>0.7</v>
      </c>
      <c r="G207" s="24" t="n">
        <v>0.7</v>
      </c>
      <c r="H207" s="24" t="n">
        <v>0.4</v>
      </c>
      <c r="I207" s="24" t="n">
        <v>0.8</v>
      </c>
    </row>
    <row r="208">
      <c r="A208" s="23" t="n">
        <v>204</v>
      </c>
      <c r="B208" s="24" t="n">
        <v>0.499</v>
      </c>
      <c r="C208" s="24" t="n">
        <v>0.6</v>
      </c>
      <c r="D208" s="24" t="n">
        <v>0.6</v>
      </c>
      <c r="E208" s="24" t="n">
        <v>0.7</v>
      </c>
      <c r="F208" s="24" t="n">
        <v>0.7</v>
      </c>
      <c r="G208" s="24" t="n">
        <v>0.7</v>
      </c>
      <c r="H208" s="24" t="n">
        <v>0.4</v>
      </c>
      <c r="I208" s="24" t="n">
        <v>0.8</v>
      </c>
    </row>
    <row r="209">
      <c r="A209" s="23" t="n">
        <v>205</v>
      </c>
      <c r="B209" s="24" t="n">
        <v>0.499</v>
      </c>
      <c r="C209" s="24" t="n">
        <v>0.6</v>
      </c>
      <c r="D209" s="24" t="n">
        <v>0.6</v>
      </c>
      <c r="E209" s="24" t="n">
        <v>0.7</v>
      </c>
      <c r="F209" s="24" t="n">
        <v>0.7</v>
      </c>
      <c r="G209" s="24" t="n">
        <v>0.7</v>
      </c>
      <c r="H209" s="24" t="n">
        <v>0.4</v>
      </c>
      <c r="I209" s="24" t="n">
        <v>0.8</v>
      </c>
    </row>
    <row r="210">
      <c r="A210" s="23" t="n">
        <v>206</v>
      </c>
      <c r="B210" s="24" t="n">
        <v>0.499</v>
      </c>
      <c r="C210" s="24" t="n">
        <v>0.6</v>
      </c>
      <c r="D210" s="24" t="n">
        <v>0.6</v>
      </c>
      <c r="E210" s="24" t="n">
        <v>0.7</v>
      </c>
      <c r="F210" s="24" t="n">
        <v>0.7</v>
      </c>
      <c r="G210" s="24" t="n">
        <v>0.7</v>
      </c>
      <c r="H210" s="24" t="n">
        <v>0.4</v>
      </c>
      <c r="I210" s="24" t="n">
        <v>0.8</v>
      </c>
    </row>
    <row r="211">
      <c r="A211" s="23" t="n">
        <v>207</v>
      </c>
      <c r="B211" s="24" t="n">
        <v>0.499</v>
      </c>
      <c r="C211" s="24" t="n">
        <v>0.6</v>
      </c>
      <c r="D211" s="24" t="n">
        <v>0.6</v>
      </c>
      <c r="E211" s="24" t="n">
        <v>0.7</v>
      </c>
      <c r="F211" s="24" t="n">
        <v>0.7</v>
      </c>
      <c r="G211" s="24" t="n">
        <v>0.7</v>
      </c>
      <c r="H211" s="24" t="n">
        <v>0.4</v>
      </c>
      <c r="I211" s="24" t="n">
        <v>0.8</v>
      </c>
    </row>
    <row r="212">
      <c r="A212" s="23" t="n">
        <v>208</v>
      </c>
      <c r="B212" s="24" t="n">
        <v>0.499</v>
      </c>
      <c r="C212" s="24" t="n">
        <v>0.6</v>
      </c>
      <c r="D212" s="24" t="n">
        <v>0.6</v>
      </c>
      <c r="E212" s="24" t="n">
        <v>0.7</v>
      </c>
      <c r="F212" s="24" t="n">
        <v>0.7</v>
      </c>
      <c r="G212" s="24" t="n">
        <v>0.7</v>
      </c>
      <c r="H212" s="24" t="n">
        <v>0.4</v>
      </c>
      <c r="I212" s="24" t="n">
        <v>0.8</v>
      </c>
    </row>
    <row r="213">
      <c r="A213" s="23" t="n">
        <v>209</v>
      </c>
      <c r="B213" s="24" t="n">
        <v>0.499</v>
      </c>
      <c r="C213" s="24" t="n">
        <v>0.6</v>
      </c>
      <c r="D213" s="24" t="n">
        <v>0.6</v>
      </c>
      <c r="E213" s="24" t="n">
        <v>0.7</v>
      </c>
      <c r="F213" s="24" t="n">
        <v>0.7</v>
      </c>
      <c r="G213" s="24" t="n">
        <v>0.7</v>
      </c>
      <c r="H213" s="24" t="n">
        <v>0.4</v>
      </c>
      <c r="I213" s="24" t="n">
        <v>0.8</v>
      </c>
    </row>
    <row r="214">
      <c r="A214" s="23" t="n">
        <v>210</v>
      </c>
      <c r="B214" s="24" t="n">
        <v>0.499</v>
      </c>
      <c r="C214" s="24" t="n">
        <v>0.6</v>
      </c>
      <c r="D214" s="24" t="n">
        <v>0.6</v>
      </c>
      <c r="E214" s="24" t="n">
        <v>0.7</v>
      </c>
      <c r="F214" s="24" t="n">
        <v>0.7</v>
      </c>
      <c r="G214" s="24" t="n">
        <v>0.7</v>
      </c>
      <c r="H214" s="24" t="n">
        <v>0.4</v>
      </c>
      <c r="I214" s="24" t="n">
        <v>0.8</v>
      </c>
    </row>
    <row r="215">
      <c r="A215" s="23" t="n">
        <v>211</v>
      </c>
      <c r="B215" s="24" t="n">
        <v>0.499</v>
      </c>
      <c r="C215" s="24" t="n">
        <v>0.6</v>
      </c>
      <c r="D215" s="24" t="n">
        <v>0.6</v>
      </c>
      <c r="E215" s="24" t="n">
        <v>0.7</v>
      </c>
      <c r="F215" s="24" t="n">
        <v>0.7</v>
      </c>
      <c r="G215" s="24" t="n">
        <v>0.7</v>
      </c>
      <c r="H215" s="24" t="n">
        <v>0.4</v>
      </c>
      <c r="I215" s="24" t="n">
        <v>0.8</v>
      </c>
    </row>
    <row r="216">
      <c r="A216" s="23" t="n">
        <v>212</v>
      </c>
      <c r="B216" s="24" t="n">
        <v>0.499</v>
      </c>
      <c r="C216" s="24" t="n">
        <v>0.6</v>
      </c>
      <c r="D216" s="24" t="n">
        <v>0.6</v>
      </c>
      <c r="E216" s="24" t="n">
        <v>0.7</v>
      </c>
      <c r="F216" s="24" t="n">
        <v>0.7</v>
      </c>
      <c r="G216" s="24" t="n">
        <v>0.7</v>
      </c>
      <c r="H216" s="24" t="n">
        <v>0.4</v>
      </c>
      <c r="I216" s="24" t="n">
        <v>0.8</v>
      </c>
    </row>
    <row r="217">
      <c r="A217" s="23" t="n">
        <v>213</v>
      </c>
      <c r="B217" s="24" t="n">
        <v>0.499</v>
      </c>
      <c r="C217" s="24" t="n">
        <v>0.6</v>
      </c>
      <c r="D217" s="24" t="n">
        <v>0.6</v>
      </c>
      <c r="E217" s="24" t="n">
        <v>0.7</v>
      </c>
      <c r="F217" s="24" t="n">
        <v>0.7</v>
      </c>
      <c r="G217" s="24" t="n">
        <v>0.7</v>
      </c>
      <c r="H217" s="24" t="n">
        <v>0.4</v>
      </c>
      <c r="I217" s="24" t="n">
        <v>0.8</v>
      </c>
    </row>
    <row r="218">
      <c r="A218" s="23" t="n">
        <v>214</v>
      </c>
      <c r="B218" s="24" t="n">
        <v>0.499</v>
      </c>
      <c r="C218" s="24" t="n">
        <v>0.6</v>
      </c>
      <c r="D218" s="24" t="n">
        <v>0.6</v>
      </c>
      <c r="E218" s="24" t="n">
        <v>0.7</v>
      </c>
      <c r="F218" s="24" t="n">
        <v>0.7</v>
      </c>
      <c r="G218" s="24" t="n">
        <v>0.7</v>
      </c>
      <c r="H218" s="24" t="n">
        <v>0.4</v>
      </c>
      <c r="I218" s="24" t="n">
        <v>0.8</v>
      </c>
    </row>
    <row r="219">
      <c r="A219" s="23" t="n">
        <v>215</v>
      </c>
      <c r="B219" s="24" t="n">
        <v>0.499</v>
      </c>
      <c r="C219" s="24" t="n">
        <v>0.6</v>
      </c>
      <c r="D219" s="24" t="n">
        <v>0.6</v>
      </c>
      <c r="E219" s="24" t="n">
        <v>0.7</v>
      </c>
      <c r="F219" s="24" t="n">
        <v>0.7</v>
      </c>
      <c r="G219" s="24" t="n">
        <v>0.7</v>
      </c>
      <c r="H219" s="24" t="n">
        <v>0.4</v>
      </c>
      <c r="I219" s="24" t="n">
        <v>0.8</v>
      </c>
    </row>
    <row r="220">
      <c r="A220" s="23" t="n">
        <v>216</v>
      </c>
      <c r="B220" s="24" t="n">
        <v>0.499</v>
      </c>
      <c r="C220" s="24" t="n">
        <v>0.6</v>
      </c>
      <c r="D220" s="24" t="n">
        <v>0.6</v>
      </c>
      <c r="E220" s="24" t="n">
        <v>0.7</v>
      </c>
      <c r="F220" s="24" t="n">
        <v>0.7</v>
      </c>
      <c r="G220" s="24" t="n">
        <v>0.7</v>
      </c>
      <c r="H220" s="24" t="n">
        <v>0.4</v>
      </c>
      <c r="I220" s="24" t="n">
        <v>0.8</v>
      </c>
    </row>
    <row r="221">
      <c r="A221" s="23" t="n">
        <v>217</v>
      </c>
      <c r="B221" s="24" t="n">
        <v>0.499</v>
      </c>
      <c r="C221" s="24" t="n">
        <v>0.6</v>
      </c>
      <c r="D221" s="24" t="n">
        <v>0.6</v>
      </c>
      <c r="E221" s="24" t="n">
        <v>0.7</v>
      </c>
      <c r="F221" s="24" t="n">
        <v>0.7</v>
      </c>
      <c r="G221" s="24" t="n">
        <v>0.7</v>
      </c>
      <c r="H221" s="24" t="n">
        <v>0.4</v>
      </c>
      <c r="I221" s="24" t="n">
        <v>0.8</v>
      </c>
    </row>
    <row r="222">
      <c r="A222" s="23" t="n">
        <v>218</v>
      </c>
      <c r="B222" s="24" t="n">
        <v>0.499</v>
      </c>
      <c r="C222" s="24" t="n">
        <v>0.6</v>
      </c>
      <c r="D222" s="24" t="n">
        <v>0.6</v>
      </c>
      <c r="E222" s="24" t="n">
        <v>0.7</v>
      </c>
      <c r="F222" s="24" t="n">
        <v>0.7</v>
      </c>
      <c r="G222" s="24" t="n">
        <v>0.7</v>
      </c>
      <c r="H222" s="24" t="n">
        <v>0.4</v>
      </c>
      <c r="I222" s="24" t="n">
        <v>0.8</v>
      </c>
    </row>
    <row r="223">
      <c r="A223" s="23" t="n">
        <v>219</v>
      </c>
      <c r="B223" s="24" t="n">
        <v>0.499</v>
      </c>
      <c r="C223" s="24" t="n">
        <v>0.6</v>
      </c>
      <c r="D223" s="24" t="n">
        <v>0.6</v>
      </c>
      <c r="E223" s="24" t="n">
        <v>0.7</v>
      </c>
      <c r="F223" s="24" t="n">
        <v>0.7</v>
      </c>
      <c r="G223" s="24" t="n">
        <v>0.7</v>
      </c>
      <c r="H223" s="24" t="n">
        <v>0.4</v>
      </c>
      <c r="I223" s="24" t="n">
        <v>0.8</v>
      </c>
    </row>
    <row r="224">
      <c r="A224" s="23" t="n">
        <v>220</v>
      </c>
      <c r="B224" s="24" t="n">
        <v>0.499</v>
      </c>
      <c r="C224" s="24" t="n">
        <v>0.6</v>
      </c>
      <c r="D224" s="24" t="n">
        <v>0.6</v>
      </c>
      <c r="E224" s="24" t="n">
        <v>0.7</v>
      </c>
      <c r="F224" s="24" t="n">
        <v>0.7</v>
      </c>
      <c r="G224" s="24" t="n">
        <v>0.7</v>
      </c>
      <c r="H224" s="24" t="n">
        <v>0.4</v>
      </c>
      <c r="I224" s="24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pelo MANEJO para a lamina/horas da irrigacao.</t>
        </is>
      </c>
    </row>
    <row r="3">
      <c r="C3" s="25" t="n">
        <v>100</v>
      </c>
      <c r="D3" s="25" t="n">
        <v>95</v>
      </c>
      <c r="E3" s="25" t="n">
        <v>90</v>
      </c>
      <c r="F3" s="25" t="n">
        <v>85</v>
      </c>
      <c r="G3" s="25" t="n">
        <v>80</v>
      </c>
      <c r="H3" s="25" t="n">
        <v>75</v>
      </c>
      <c r="I3" s="25" t="n">
        <v>70</v>
      </c>
      <c r="J3" s="25" t="n">
        <v>65</v>
      </c>
      <c r="K3" s="25" t="n">
        <v>60</v>
      </c>
      <c r="L3" s="25" t="n">
        <v>55</v>
      </c>
      <c r="M3" s="25" t="n">
        <v>50</v>
      </c>
      <c r="N3" s="25" t="n">
        <v>45</v>
      </c>
      <c r="O3" s="25" t="n">
        <v>40</v>
      </c>
      <c r="P3" s="25" t="n">
        <v>35</v>
      </c>
      <c r="Q3" s="25" t="n">
        <v>30</v>
      </c>
      <c r="R3" s="25" t="n">
        <v>25</v>
      </c>
      <c r="S3" s="25" t="n">
        <v>20</v>
      </c>
      <c r="T3" s="25" t="n">
        <v>15</v>
      </c>
      <c r="U3" s="25" t="n">
        <v>10</v>
      </c>
      <c r="V3" s="25" t="n">
        <v>5</v>
      </c>
      <c r="W3" s="25" t="n">
        <v>100</v>
      </c>
      <c r="X3" s="25" t="n">
        <v>95</v>
      </c>
      <c r="Y3" s="25" t="n">
        <v>90</v>
      </c>
      <c r="Z3" s="25" t="n">
        <v>85</v>
      </c>
      <c r="AA3" s="25" t="n">
        <v>80</v>
      </c>
      <c r="AB3" s="25" t="n">
        <v>75</v>
      </c>
      <c r="AC3" s="25" t="n">
        <v>70</v>
      </c>
      <c r="AD3" s="25" t="n">
        <v>65</v>
      </c>
      <c r="AE3" s="25" t="n">
        <v>60</v>
      </c>
      <c r="AF3" s="25" t="n">
        <v>55</v>
      </c>
      <c r="AG3" s="25" t="n">
        <v>50</v>
      </c>
      <c r="AH3" s="25" t="n">
        <v>45</v>
      </c>
      <c r="AI3" s="25" t="n">
        <v>40</v>
      </c>
      <c r="AJ3" s="25" t="n">
        <v>35</v>
      </c>
      <c r="AK3" s="25" t="n">
        <v>30</v>
      </c>
      <c r="AL3" s="25" t="n">
        <v>25</v>
      </c>
      <c r="AM3" s="25" t="n">
        <v>20</v>
      </c>
      <c r="AN3" s="25" t="n">
        <v>15</v>
      </c>
      <c r="AO3" s="25" t="n">
        <v>10</v>
      </c>
      <c r="AP3" s="25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6" t="inlineStr">
        <is>
          <t>H100</t>
        </is>
      </c>
      <c r="X4" s="26" t="inlineStr">
        <is>
          <t>H95</t>
        </is>
      </c>
      <c r="Y4" s="26" t="inlineStr">
        <is>
          <t>H90</t>
        </is>
      </c>
      <c r="Z4" s="26" t="inlineStr">
        <is>
          <t>H85</t>
        </is>
      </c>
      <c r="AA4" s="26" t="inlineStr">
        <is>
          <t>H80</t>
        </is>
      </c>
      <c r="AB4" s="26" t="inlineStr">
        <is>
          <t>H75</t>
        </is>
      </c>
      <c r="AC4" s="26" t="inlineStr">
        <is>
          <t>H70</t>
        </is>
      </c>
      <c r="AD4" s="26" t="inlineStr">
        <is>
          <t>H65</t>
        </is>
      </c>
      <c r="AE4" s="26" t="inlineStr">
        <is>
          <t>H60</t>
        </is>
      </c>
      <c r="AF4" s="26" t="inlineStr">
        <is>
          <t>H55</t>
        </is>
      </c>
      <c r="AG4" s="26" t="inlineStr">
        <is>
          <t>H50</t>
        </is>
      </c>
      <c r="AH4" s="26" t="inlineStr">
        <is>
          <t>H45</t>
        </is>
      </c>
      <c r="AI4" s="26" t="inlineStr">
        <is>
          <t>H40</t>
        </is>
      </c>
      <c r="AJ4" s="26" t="inlineStr">
        <is>
          <t>H35</t>
        </is>
      </c>
      <c r="AK4" s="26" t="inlineStr">
        <is>
          <t>H30</t>
        </is>
      </c>
      <c r="AL4" s="26" t="inlineStr">
        <is>
          <t>H25</t>
        </is>
      </c>
      <c r="AM4" s="26" t="inlineStr">
        <is>
          <t>H20</t>
        </is>
      </c>
      <c r="AN4" s="26" t="inlineStr">
        <is>
          <t>H15</t>
        </is>
      </c>
      <c r="AO4" s="26" t="inlineStr">
        <is>
          <t>H10</t>
        </is>
      </c>
      <c r="AP4" s="26" t="inlineStr">
        <is>
          <t>H5</t>
        </is>
      </c>
    </row>
    <row r="5">
      <c r="A5" s="6" t="inlineStr">
        <is>
          <t>PA</t>
        </is>
      </c>
      <c r="B5" s="6" t="inlineStr">
        <is>
          <t>Karitel</t>
        </is>
      </c>
      <c r="C5" s="27" t="n">
        <v>6.06</v>
      </c>
      <c r="D5" s="27" t="n">
        <v>6.378947368421053</v>
      </c>
      <c r="E5" s="27" t="n">
        <v>6.733333333333333</v>
      </c>
      <c r="F5" s="27" t="n">
        <v>7.129411764705882</v>
      </c>
      <c r="G5" s="27" t="n">
        <v>7.574999999999999</v>
      </c>
      <c r="H5" s="27" t="n">
        <v>8.08</v>
      </c>
      <c r="I5" s="27" t="n">
        <v>8.657142857142857</v>
      </c>
      <c r="J5" s="27" t="n">
        <v>9.323076923076922</v>
      </c>
      <c r="K5" s="27" t="n">
        <v>10.1</v>
      </c>
      <c r="L5" s="27" t="n">
        <v>11.01818181818182</v>
      </c>
      <c r="M5" s="27" t="n">
        <v>12.12</v>
      </c>
      <c r="N5" s="27" t="n">
        <v>13.46666666666667</v>
      </c>
      <c r="O5" s="27" t="n">
        <v>15.15</v>
      </c>
      <c r="P5" s="27" t="n">
        <v>17.31428571428571</v>
      </c>
      <c r="Q5" s="27" t="n">
        <v>20.2</v>
      </c>
      <c r="R5" s="27" t="n">
        <v>24.24</v>
      </c>
      <c r="S5" s="27" t="n">
        <v>30.3</v>
      </c>
      <c r="T5" s="27" t="n">
        <v>40.4</v>
      </c>
      <c r="U5" s="27" t="n">
        <v>60.59999999999999</v>
      </c>
      <c r="V5" s="27" t="n">
        <v>121.2</v>
      </c>
      <c r="W5" s="27" t="n">
        <v>13.54</v>
      </c>
      <c r="X5" s="27" t="n">
        <v>14.25263157894737</v>
      </c>
      <c r="Y5" s="27" t="n">
        <v>15.04444444444444</v>
      </c>
      <c r="Z5" s="27" t="n">
        <v>15.92941176470588</v>
      </c>
      <c r="AA5" s="27" t="n">
        <v>16.925</v>
      </c>
      <c r="AB5" s="27" t="n">
        <v>18.05333333333333</v>
      </c>
      <c r="AC5" s="27" t="n">
        <v>19.34285714285714</v>
      </c>
      <c r="AD5" s="27" t="n">
        <v>20.83076923076923</v>
      </c>
      <c r="AE5" s="27" t="n">
        <v>22.56666666666667</v>
      </c>
      <c r="AF5" s="27" t="n">
        <v>24.61818181818181</v>
      </c>
      <c r="AG5" s="27" t="n">
        <v>27.08</v>
      </c>
      <c r="AH5" s="27" t="n">
        <v>30.08888888888889</v>
      </c>
      <c r="AI5" s="27" t="n">
        <v>33.84999999999999</v>
      </c>
      <c r="AJ5" s="27" t="n">
        <v>38.68571428571428</v>
      </c>
      <c r="AK5" s="27" t="n">
        <v>45.13333333333333</v>
      </c>
      <c r="AL5" s="27" t="n">
        <v>54.16</v>
      </c>
      <c r="AM5" s="27" t="n">
        <v>67.69999999999999</v>
      </c>
      <c r="AN5" s="27" t="n">
        <v>90.26666666666667</v>
      </c>
      <c r="AO5" s="27" t="n">
        <v>135.4</v>
      </c>
      <c r="AP5" s="27" t="n">
        <v>270.8</v>
      </c>
    </row>
    <row r="6">
      <c r="A6" s="6" t="inlineStr">
        <is>
          <t>PB</t>
        </is>
      </c>
      <c r="B6" s="6" t="inlineStr">
        <is>
          <t>Karitel</t>
        </is>
      </c>
      <c r="C6" s="27" t="n">
        <v>6.06</v>
      </c>
      <c r="D6" s="27" t="n">
        <v>6.378947368421053</v>
      </c>
      <c r="E6" s="27" t="n">
        <v>6.733333333333333</v>
      </c>
      <c r="F6" s="27" t="n">
        <v>7.129411764705882</v>
      </c>
      <c r="G6" s="27" t="n">
        <v>7.574999999999999</v>
      </c>
      <c r="H6" s="27" t="n">
        <v>8.08</v>
      </c>
      <c r="I6" s="27" t="n">
        <v>8.657142857142857</v>
      </c>
      <c r="J6" s="27" t="n">
        <v>9.323076923076922</v>
      </c>
      <c r="K6" s="27" t="n">
        <v>10.1</v>
      </c>
      <c r="L6" s="27" t="n">
        <v>11.01818181818182</v>
      </c>
      <c r="M6" s="27" t="n">
        <v>12.12</v>
      </c>
      <c r="N6" s="27" t="n">
        <v>13.46666666666667</v>
      </c>
      <c r="O6" s="27" t="n">
        <v>15.15</v>
      </c>
      <c r="P6" s="27" t="n">
        <v>17.31428571428571</v>
      </c>
      <c r="Q6" s="27" t="n">
        <v>20.2</v>
      </c>
      <c r="R6" s="27" t="n">
        <v>24.24</v>
      </c>
      <c r="S6" s="27" t="n">
        <v>30.3</v>
      </c>
      <c r="T6" s="27" t="n">
        <v>40.4</v>
      </c>
      <c r="U6" s="27" t="n">
        <v>60.59999999999999</v>
      </c>
      <c r="V6" s="27" t="n">
        <v>121.2</v>
      </c>
      <c r="W6" s="27" t="n">
        <v>13.54</v>
      </c>
      <c r="X6" s="27" t="n">
        <v>14.25263157894737</v>
      </c>
      <c r="Y6" s="27" t="n">
        <v>15.04444444444444</v>
      </c>
      <c r="Z6" s="27" t="n">
        <v>15.92941176470588</v>
      </c>
      <c r="AA6" s="27" t="n">
        <v>16.925</v>
      </c>
      <c r="AB6" s="27" t="n">
        <v>18.05333333333333</v>
      </c>
      <c r="AC6" s="27" t="n">
        <v>19.34285714285714</v>
      </c>
      <c r="AD6" s="27" t="n">
        <v>20.83076923076923</v>
      </c>
      <c r="AE6" s="27" t="n">
        <v>22.56666666666667</v>
      </c>
      <c r="AF6" s="27" t="n">
        <v>24.61818181818181</v>
      </c>
      <c r="AG6" s="27" t="n">
        <v>27.08</v>
      </c>
      <c r="AH6" s="27" t="n">
        <v>30.08888888888889</v>
      </c>
      <c r="AI6" s="27" t="n">
        <v>33.84999999999999</v>
      </c>
      <c r="AJ6" s="27" t="n">
        <v>38.68571428571428</v>
      </c>
      <c r="AK6" s="27" t="n">
        <v>45.13333333333333</v>
      </c>
      <c r="AL6" s="27" t="n">
        <v>54.16</v>
      </c>
      <c r="AM6" s="27" t="n">
        <v>67.69999999999999</v>
      </c>
      <c r="AN6" s="27" t="n">
        <v>90.26666666666667</v>
      </c>
      <c r="AO6" s="27" t="n">
        <v>135.4</v>
      </c>
      <c r="AP6" s="27" t="n">
        <v>270.8</v>
      </c>
    </row>
    <row r="7">
      <c r="A7" s="6" t="inlineStr">
        <is>
          <t>P1</t>
        </is>
      </c>
      <c r="B7" s="6" t="inlineStr">
        <is>
          <t>Karitel</t>
        </is>
      </c>
      <c r="C7" s="27" t="n">
        <v>5.61</v>
      </c>
      <c r="D7" s="27" t="n">
        <v>5.905263157894738</v>
      </c>
      <c r="E7" s="27" t="n">
        <v>6.233333333333333</v>
      </c>
      <c r="F7" s="27" t="n">
        <v>6.600000000000001</v>
      </c>
      <c r="G7" s="27" t="n">
        <v>7.0125</v>
      </c>
      <c r="H7" s="27" t="n">
        <v>7.48</v>
      </c>
      <c r="I7" s="27" t="n">
        <v>8.014285714285716</v>
      </c>
      <c r="J7" s="27" t="n">
        <v>8.63076923076923</v>
      </c>
      <c r="K7" s="27" t="n">
        <v>9.350000000000001</v>
      </c>
      <c r="L7" s="27" t="n">
        <v>10.2</v>
      </c>
      <c r="M7" s="27" t="n">
        <v>11.22</v>
      </c>
      <c r="N7" s="27" t="n">
        <v>12.46666666666667</v>
      </c>
      <c r="O7" s="27" t="n">
        <v>14.025</v>
      </c>
      <c r="P7" s="27" t="n">
        <v>16.02857142857143</v>
      </c>
      <c r="Q7" s="27" t="n">
        <v>18.7</v>
      </c>
      <c r="R7" s="27" t="n">
        <v>22.44</v>
      </c>
      <c r="S7" s="27" t="n">
        <v>28.05</v>
      </c>
      <c r="T7" s="27" t="n">
        <v>37.40000000000001</v>
      </c>
      <c r="U7" s="27" t="n">
        <v>56.1</v>
      </c>
      <c r="V7" s="27" t="n">
        <v>112.2</v>
      </c>
      <c r="W7" s="27" t="n">
        <v>15.11</v>
      </c>
      <c r="X7" s="27" t="n">
        <v>15.90526315789474</v>
      </c>
      <c r="Y7" s="27" t="n">
        <v>16.78888888888889</v>
      </c>
      <c r="Z7" s="27" t="n">
        <v>17.77647058823529</v>
      </c>
      <c r="AA7" s="27" t="n">
        <v>18.8875</v>
      </c>
      <c r="AB7" s="27" t="n">
        <v>20.14666666666666</v>
      </c>
      <c r="AC7" s="27" t="n">
        <v>21.58571428571429</v>
      </c>
      <c r="AD7" s="27" t="n">
        <v>23.24615384615385</v>
      </c>
      <c r="AE7" s="27" t="n">
        <v>25.18333333333333</v>
      </c>
      <c r="AF7" s="27" t="n">
        <v>27.47272727272727</v>
      </c>
      <c r="AG7" s="27" t="n">
        <v>30.22</v>
      </c>
      <c r="AH7" s="27" t="n">
        <v>33.57777777777778</v>
      </c>
      <c r="AI7" s="27" t="n">
        <v>37.775</v>
      </c>
      <c r="AJ7" s="27" t="n">
        <v>43.17142857142857</v>
      </c>
      <c r="AK7" s="27" t="n">
        <v>50.36666666666667</v>
      </c>
      <c r="AL7" s="27" t="n">
        <v>60.44</v>
      </c>
      <c r="AM7" s="27" t="n">
        <v>75.55</v>
      </c>
      <c r="AN7" s="27" t="n">
        <v>100.7333333333333</v>
      </c>
      <c r="AO7" s="27" t="n">
        <v>151.1</v>
      </c>
      <c r="AP7" s="27" t="n">
        <v>302.2</v>
      </c>
    </row>
    <row r="8">
      <c r="A8" s="6" t="inlineStr">
        <is>
          <t>P2</t>
        </is>
      </c>
      <c r="B8" s="6" t="inlineStr">
        <is>
          <t>Karitel</t>
        </is>
      </c>
      <c r="C8" s="27" t="n">
        <v>5.15</v>
      </c>
      <c r="D8" s="27" t="n">
        <v>5.421052631578948</v>
      </c>
      <c r="E8" s="27" t="n">
        <v>5.722222222222222</v>
      </c>
      <c r="F8" s="27" t="n">
        <v>6.058823529411765</v>
      </c>
      <c r="G8" s="27" t="n">
        <v>6.4375</v>
      </c>
      <c r="H8" s="27" t="n">
        <v>6.866666666666667</v>
      </c>
      <c r="I8" s="27" t="n">
        <v>7.357142857142859</v>
      </c>
      <c r="J8" s="27" t="n">
        <v>7.923076923076923</v>
      </c>
      <c r="K8" s="27" t="n">
        <v>8.583333333333334</v>
      </c>
      <c r="L8" s="27" t="n">
        <v>9.363636363636363</v>
      </c>
      <c r="M8" s="27" t="n">
        <v>10.3</v>
      </c>
      <c r="N8" s="27" t="n">
        <v>11.44444444444444</v>
      </c>
      <c r="O8" s="27" t="n">
        <v>12.875</v>
      </c>
      <c r="P8" s="27" t="n">
        <v>14.71428571428572</v>
      </c>
      <c r="Q8" s="27" t="n">
        <v>17.16666666666667</v>
      </c>
      <c r="R8" s="27" t="n">
        <v>20.6</v>
      </c>
      <c r="S8" s="27" t="n">
        <v>25.75</v>
      </c>
      <c r="T8" s="27" t="n">
        <v>34.33333333333334</v>
      </c>
      <c r="U8" s="27" t="n">
        <v>51.5</v>
      </c>
      <c r="V8" s="27" t="n">
        <v>103</v>
      </c>
      <c r="W8" s="27" t="n">
        <v>13.56</v>
      </c>
      <c r="X8" s="27" t="n">
        <v>14.27368421052632</v>
      </c>
      <c r="Y8" s="27" t="n">
        <v>15.06666666666667</v>
      </c>
      <c r="Z8" s="27" t="n">
        <v>15.95294117647059</v>
      </c>
      <c r="AA8" s="27" t="n">
        <v>16.95</v>
      </c>
      <c r="AB8" s="27" t="n">
        <v>18.08</v>
      </c>
      <c r="AC8" s="27" t="n">
        <v>19.37142857142857</v>
      </c>
      <c r="AD8" s="27" t="n">
        <v>20.86153846153846</v>
      </c>
      <c r="AE8" s="27" t="n">
        <v>22.6</v>
      </c>
      <c r="AF8" s="27" t="n">
        <v>24.65454545454545</v>
      </c>
      <c r="AG8" s="27" t="n">
        <v>27.12</v>
      </c>
      <c r="AH8" s="27" t="n">
        <v>30.13333333333333</v>
      </c>
      <c r="AI8" s="27" t="n">
        <v>33.9</v>
      </c>
      <c r="AJ8" s="27" t="n">
        <v>38.74285714285715</v>
      </c>
      <c r="AK8" s="27" t="n">
        <v>45.2</v>
      </c>
      <c r="AL8" s="27" t="n">
        <v>54.24</v>
      </c>
      <c r="AM8" s="27" t="n">
        <v>67.8</v>
      </c>
      <c r="AN8" s="27" t="n">
        <v>90.40000000000001</v>
      </c>
      <c r="AO8" s="27" t="n">
        <v>135.6</v>
      </c>
      <c r="AP8" s="27" t="n">
        <v>271.2</v>
      </c>
    </row>
    <row r="9">
      <c r="A9" s="6" t="inlineStr">
        <is>
          <t>P3</t>
        </is>
      </c>
      <c r="B9" s="6" t="inlineStr">
        <is>
          <t>Karitel</t>
        </is>
      </c>
      <c r="C9" s="27" t="n">
        <v>6.105</v>
      </c>
      <c r="D9" s="27" t="n">
        <v>6.426315789473685</v>
      </c>
      <c r="E9" s="27" t="n">
        <v>6.783333333333333</v>
      </c>
      <c r="F9" s="27" t="n">
        <v>7.182352941176472</v>
      </c>
      <c r="G9" s="27" t="n">
        <v>7.631250000000001</v>
      </c>
      <c r="H9" s="27" t="n">
        <v>8.140000000000001</v>
      </c>
      <c r="I9" s="27" t="n">
        <v>8.721428571428573</v>
      </c>
      <c r="J9" s="27" t="n">
        <v>9.392307692307693</v>
      </c>
      <c r="K9" s="27" t="n">
        <v>10.175</v>
      </c>
      <c r="L9" s="27" t="n">
        <v>11.1</v>
      </c>
      <c r="M9" s="27" t="n">
        <v>12.21</v>
      </c>
      <c r="N9" s="27" t="n">
        <v>13.56666666666667</v>
      </c>
      <c r="O9" s="27" t="n">
        <v>15.2625</v>
      </c>
      <c r="P9" s="27" t="n">
        <v>17.44285714285715</v>
      </c>
      <c r="Q9" s="27" t="n">
        <v>20.35</v>
      </c>
      <c r="R9" s="27" t="n">
        <v>24.42</v>
      </c>
      <c r="S9" s="27" t="n">
        <v>30.525</v>
      </c>
      <c r="T9" s="27" t="n">
        <v>40.7</v>
      </c>
      <c r="U9" s="27" t="n">
        <v>61.05</v>
      </c>
      <c r="V9" s="27" t="n">
        <v>122.1</v>
      </c>
      <c r="W9" s="27" t="n">
        <v>15.11</v>
      </c>
      <c r="X9" s="27" t="n">
        <v>15.90526315789474</v>
      </c>
      <c r="Y9" s="27" t="n">
        <v>16.78888888888889</v>
      </c>
      <c r="Z9" s="27" t="n">
        <v>17.77647058823529</v>
      </c>
      <c r="AA9" s="27" t="n">
        <v>18.8875</v>
      </c>
      <c r="AB9" s="27" t="n">
        <v>20.14666666666666</v>
      </c>
      <c r="AC9" s="27" t="n">
        <v>21.58571428571429</v>
      </c>
      <c r="AD9" s="27" t="n">
        <v>23.24615384615385</v>
      </c>
      <c r="AE9" s="27" t="n">
        <v>25.18333333333333</v>
      </c>
      <c r="AF9" s="27" t="n">
        <v>27.47272727272727</v>
      </c>
      <c r="AG9" s="27" t="n">
        <v>30.22</v>
      </c>
      <c r="AH9" s="27" t="n">
        <v>33.57777777777778</v>
      </c>
      <c r="AI9" s="27" t="n">
        <v>37.775</v>
      </c>
      <c r="AJ9" s="27" t="n">
        <v>43.17142857142857</v>
      </c>
      <c r="AK9" s="27" t="n">
        <v>50.36666666666667</v>
      </c>
      <c r="AL9" s="27" t="n">
        <v>60.44</v>
      </c>
      <c r="AM9" s="27" t="n">
        <v>75.55</v>
      </c>
      <c r="AN9" s="27" t="n">
        <v>100.7333333333333</v>
      </c>
      <c r="AO9" s="27" t="n">
        <v>151.1</v>
      </c>
      <c r="AP9" s="27" t="n">
        <v>302.2</v>
      </c>
    </row>
    <row r="10">
      <c r="A10" s="6" t="inlineStr">
        <is>
          <t>P4</t>
        </is>
      </c>
      <c r="B10" s="6" t="inlineStr">
        <is>
          <t>Karitel</t>
        </is>
      </c>
      <c r="C10" s="27" t="n">
        <v>3.78</v>
      </c>
      <c r="D10" s="27" t="n">
        <v>3.978947368421053</v>
      </c>
      <c r="E10" s="27" t="n">
        <v>4.199999999999999</v>
      </c>
      <c r="F10" s="27" t="n">
        <v>4.447058823529412</v>
      </c>
      <c r="G10" s="27" t="n">
        <v>4.725</v>
      </c>
      <c r="H10" s="27" t="n">
        <v>5.04</v>
      </c>
      <c r="I10" s="27" t="n">
        <v>5.4</v>
      </c>
      <c r="J10" s="27" t="n">
        <v>5.815384615384615</v>
      </c>
      <c r="K10" s="27" t="n">
        <v>6.3</v>
      </c>
      <c r="L10" s="27" t="n">
        <v>6.872727272727272</v>
      </c>
      <c r="M10" s="27" t="n">
        <v>7.56</v>
      </c>
      <c r="N10" s="27" t="n">
        <v>8.399999999999999</v>
      </c>
      <c r="O10" s="27" t="n">
        <v>9.449999999999999</v>
      </c>
      <c r="P10" s="27" t="n">
        <v>10.8</v>
      </c>
      <c r="Q10" s="27" t="n">
        <v>12.6</v>
      </c>
      <c r="R10" s="27" t="n">
        <v>15.12</v>
      </c>
      <c r="S10" s="27" t="n">
        <v>18.9</v>
      </c>
      <c r="T10" s="27" t="n">
        <v>25.2</v>
      </c>
      <c r="U10" s="27" t="n">
        <v>37.8</v>
      </c>
      <c r="V10" s="27" t="n">
        <v>75.59999999999999</v>
      </c>
      <c r="W10" s="27" t="n">
        <v>9.859999999999999</v>
      </c>
      <c r="X10" s="27" t="n">
        <v>10.37894736842105</v>
      </c>
      <c r="Y10" s="27" t="n">
        <v>10.95555555555555</v>
      </c>
      <c r="Z10" s="27" t="n">
        <v>11.6</v>
      </c>
      <c r="AA10" s="27" t="n">
        <v>12.325</v>
      </c>
      <c r="AB10" s="27" t="n">
        <v>13.14666666666667</v>
      </c>
      <c r="AC10" s="27" t="n">
        <v>14.08571428571429</v>
      </c>
      <c r="AD10" s="27" t="n">
        <v>15.16923076923077</v>
      </c>
      <c r="AE10" s="27" t="n">
        <v>16.43333333333333</v>
      </c>
      <c r="AF10" s="27" t="n">
        <v>17.92727272727273</v>
      </c>
      <c r="AG10" s="27" t="n">
        <v>19.72</v>
      </c>
      <c r="AH10" s="27" t="n">
        <v>21.91111111111111</v>
      </c>
      <c r="AI10" s="27" t="n">
        <v>24.65</v>
      </c>
      <c r="AJ10" s="27" t="n">
        <v>28.17142857142857</v>
      </c>
      <c r="AK10" s="27" t="n">
        <v>32.86666666666667</v>
      </c>
      <c r="AL10" s="27" t="n">
        <v>39.44</v>
      </c>
      <c r="AM10" s="27" t="n">
        <v>49.3</v>
      </c>
      <c r="AN10" s="27" t="n">
        <v>65.73333333333333</v>
      </c>
      <c r="AO10" s="27" t="n">
        <v>98.59999999999999</v>
      </c>
      <c r="AP10" s="27" t="n">
        <v>197.2</v>
      </c>
    </row>
    <row r="11">
      <c r="A11" s="6" t="inlineStr">
        <is>
          <t>P5</t>
        </is>
      </c>
      <c r="B11" s="6" t="inlineStr">
        <is>
          <t>Karitel</t>
        </is>
      </c>
      <c r="C11" s="27" t="n">
        <v>5.82</v>
      </c>
      <c r="D11" s="27" t="n">
        <v>6.126315789473685</v>
      </c>
      <c r="E11" s="27" t="n">
        <v>6.466666666666667</v>
      </c>
      <c r="F11" s="27" t="n">
        <v>6.847058823529412</v>
      </c>
      <c r="G11" s="27" t="n">
        <v>7.275</v>
      </c>
      <c r="H11" s="27" t="n">
        <v>7.760000000000001</v>
      </c>
      <c r="I11" s="27" t="n">
        <v>8.314285714285715</v>
      </c>
      <c r="J11" s="27" t="n">
        <v>8.953846153846154</v>
      </c>
      <c r="K11" s="27" t="n">
        <v>9.700000000000001</v>
      </c>
      <c r="L11" s="27" t="n">
        <v>10.58181818181818</v>
      </c>
      <c r="M11" s="27" t="n">
        <v>11.64</v>
      </c>
      <c r="N11" s="27" t="n">
        <v>12.93333333333333</v>
      </c>
      <c r="O11" s="27" t="n">
        <v>14.55</v>
      </c>
      <c r="P11" s="27" t="n">
        <v>16.62857142857143</v>
      </c>
      <c r="Q11" s="27" t="n">
        <v>19.4</v>
      </c>
      <c r="R11" s="27" t="n">
        <v>23.28</v>
      </c>
      <c r="S11" s="27" t="n">
        <v>29.1</v>
      </c>
      <c r="T11" s="27" t="n">
        <v>38.8</v>
      </c>
      <c r="U11" s="27" t="n">
        <v>58.2</v>
      </c>
      <c r="V11" s="27" t="n">
        <v>116.4</v>
      </c>
      <c r="W11" s="27" t="n">
        <v>15.11</v>
      </c>
      <c r="X11" s="27" t="n">
        <v>15.90526315789474</v>
      </c>
      <c r="Y11" s="27" t="n">
        <v>16.78888888888889</v>
      </c>
      <c r="Z11" s="27" t="n">
        <v>17.77647058823529</v>
      </c>
      <c r="AA11" s="27" t="n">
        <v>18.8875</v>
      </c>
      <c r="AB11" s="27" t="n">
        <v>20.14666666666666</v>
      </c>
      <c r="AC11" s="27" t="n">
        <v>21.58571428571429</v>
      </c>
      <c r="AD11" s="27" t="n">
        <v>23.24615384615385</v>
      </c>
      <c r="AE11" s="27" t="n">
        <v>25.18333333333333</v>
      </c>
      <c r="AF11" s="27" t="n">
        <v>27.47272727272727</v>
      </c>
      <c r="AG11" s="27" t="n">
        <v>30.22</v>
      </c>
      <c r="AH11" s="27" t="n">
        <v>33.57777777777778</v>
      </c>
      <c r="AI11" s="27" t="n">
        <v>37.775</v>
      </c>
      <c r="AJ11" s="27" t="n">
        <v>43.17142857142857</v>
      </c>
      <c r="AK11" s="27" t="n">
        <v>50.36666666666667</v>
      </c>
      <c r="AL11" s="27" t="n">
        <v>60.44</v>
      </c>
      <c r="AM11" s="27" t="n">
        <v>75.55</v>
      </c>
      <c r="AN11" s="27" t="n">
        <v>100.7333333333333</v>
      </c>
      <c r="AO11" s="27" t="n">
        <v>151.1</v>
      </c>
      <c r="AP11" s="27" t="n">
        <v>302.2</v>
      </c>
    </row>
    <row r="12">
      <c r="A12" s="6" t="inlineStr">
        <is>
          <t>P6</t>
        </is>
      </c>
      <c r="B12" s="6" t="inlineStr">
        <is>
          <t>Karitel</t>
        </is>
      </c>
      <c r="C12" s="27" t="n">
        <v>6.12</v>
      </c>
      <c r="D12" s="27" t="n">
        <v>6.442105263157895</v>
      </c>
      <c r="E12" s="27" t="n">
        <v>6.8</v>
      </c>
      <c r="F12" s="27" t="n">
        <v>7.2</v>
      </c>
      <c r="G12" s="27" t="n">
        <v>7.649999999999999</v>
      </c>
      <c r="H12" s="27" t="n">
        <v>8.16</v>
      </c>
      <c r="I12" s="27" t="n">
        <v>8.742857142857144</v>
      </c>
      <c r="J12" s="27" t="n">
        <v>9.415384615384616</v>
      </c>
      <c r="K12" s="27" t="n">
        <v>10.2</v>
      </c>
      <c r="L12" s="27" t="n">
        <v>11.12727272727273</v>
      </c>
      <c r="M12" s="27" t="n">
        <v>12.24</v>
      </c>
      <c r="N12" s="27" t="n">
        <v>13.6</v>
      </c>
      <c r="O12" s="27" t="n">
        <v>15.3</v>
      </c>
      <c r="P12" s="27" t="n">
        <v>17.48571428571429</v>
      </c>
      <c r="Q12" s="27" t="n">
        <v>20.4</v>
      </c>
      <c r="R12" s="27" t="n">
        <v>24.48</v>
      </c>
      <c r="S12" s="27" t="n">
        <v>30.6</v>
      </c>
      <c r="T12" s="27" t="n">
        <v>40.8</v>
      </c>
      <c r="U12" s="27" t="n">
        <v>61.2</v>
      </c>
      <c r="V12" s="27" t="n">
        <v>122.4</v>
      </c>
      <c r="W12" s="27" t="n">
        <v>15.11</v>
      </c>
      <c r="X12" s="27" t="n">
        <v>15.90526315789474</v>
      </c>
      <c r="Y12" s="27" t="n">
        <v>16.78888888888889</v>
      </c>
      <c r="Z12" s="27" t="n">
        <v>17.77647058823529</v>
      </c>
      <c r="AA12" s="27" t="n">
        <v>18.8875</v>
      </c>
      <c r="AB12" s="27" t="n">
        <v>20.14666666666666</v>
      </c>
      <c r="AC12" s="27" t="n">
        <v>21.58571428571429</v>
      </c>
      <c r="AD12" s="27" t="n">
        <v>23.24615384615385</v>
      </c>
      <c r="AE12" s="27" t="n">
        <v>25.18333333333333</v>
      </c>
      <c r="AF12" s="27" t="n">
        <v>27.47272727272727</v>
      </c>
      <c r="AG12" s="27" t="n">
        <v>30.22</v>
      </c>
      <c r="AH12" s="27" t="n">
        <v>33.57777777777778</v>
      </c>
      <c r="AI12" s="27" t="n">
        <v>37.775</v>
      </c>
      <c r="AJ12" s="27" t="n">
        <v>43.17142857142857</v>
      </c>
      <c r="AK12" s="27" t="n">
        <v>50.36666666666667</v>
      </c>
      <c r="AL12" s="27" t="n">
        <v>60.44</v>
      </c>
      <c r="AM12" s="27" t="n">
        <v>75.55</v>
      </c>
      <c r="AN12" s="27" t="n">
        <v>100.7333333333333</v>
      </c>
      <c r="AO12" s="27" t="n">
        <v>151.1</v>
      </c>
      <c r="AP12" s="27" t="n">
        <v>302.2</v>
      </c>
    </row>
    <row r="13">
      <c r="A13" s="6" t="inlineStr">
        <is>
          <t>P7</t>
        </is>
      </c>
      <c r="B13" s="6" t="inlineStr">
        <is>
          <t>Karitel</t>
        </is>
      </c>
      <c r="C13" s="27" t="n">
        <v>5.76</v>
      </c>
      <c r="D13" s="27" t="n">
        <v>6.063157894736842</v>
      </c>
      <c r="E13" s="27" t="n">
        <v>6.399999999999999</v>
      </c>
      <c r="F13" s="27" t="n">
        <v>6.776470588235294</v>
      </c>
      <c r="G13" s="27" t="n">
        <v>7.199999999999999</v>
      </c>
      <c r="H13" s="27" t="n">
        <v>7.68</v>
      </c>
      <c r="I13" s="27" t="n">
        <v>8.22857142857143</v>
      </c>
      <c r="J13" s="27" t="n">
        <v>8.86153846153846</v>
      </c>
      <c r="K13" s="27" t="n">
        <v>9.6</v>
      </c>
      <c r="L13" s="27" t="n">
        <v>10.47272727272727</v>
      </c>
      <c r="M13" s="27" t="n">
        <v>11.52</v>
      </c>
      <c r="N13" s="27" t="n">
        <v>12.8</v>
      </c>
      <c r="O13" s="27" t="n">
        <v>14.4</v>
      </c>
      <c r="P13" s="27" t="n">
        <v>16.45714285714286</v>
      </c>
      <c r="Q13" s="27" t="n">
        <v>19.2</v>
      </c>
      <c r="R13" s="27" t="n">
        <v>23.04</v>
      </c>
      <c r="S13" s="27" t="n">
        <v>28.8</v>
      </c>
      <c r="T13" s="27" t="n">
        <v>38.4</v>
      </c>
      <c r="U13" s="27" t="n">
        <v>57.59999999999999</v>
      </c>
      <c r="V13" s="27" t="n">
        <v>115.2</v>
      </c>
      <c r="W13" s="27" t="n">
        <v>13.26</v>
      </c>
      <c r="X13" s="27" t="n">
        <v>13.95789473684211</v>
      </c>
      <c r="Y13" s="27" t="n">
        <v>14.73333333333333</v>
      </c>
      <c r="Z13" s="27" t="n">
        <v>15.6</v>
      </c>
      <c r="AA13" s="27" t="n">
        <v>16.575</v>
      </c>
      <c r="AB13" s="27" t="n">
        <v>17.68</v>
      </c>
      <c r="AC13" s="27" t="n">
        <v>18.94285714285714</v>
      </c>
      <c r="AD13" s="27" t="n">
        <v>20.4</v>
      </c>
      <c r="AE13" s="27" t="n">
        <v>22.1</v>
      </c>
      <c r="AF13" s="27" t="n">
        <v>24.10909090909091</v>
      </c>
      <c r="AG13" s="27" t="n">
        <v>26.52</v>
      </c>
      <c r="AH13" s="27" t="n">
        <v>29.46666666666667</v>
      </c>
      <c r="AI13" s="27" t="n">
        <v>33.15</v>
      </c>
      <c r="AJ13" s="27" t="n">
        <v>37.88571428571429</v>
      </c>
      <c r="AK13" s="27" t="n">
        <v>44.2</v>
      </c>
      <c r="AL13" s="27" t="n">
        <v>53.04</v>
      </c>
      <c r="AM13" s="27" t="n">
        <v>66.3</v>
      </c>
      <c r="AN13" s="27" t="n">
        <v>88.40000000000001</v>
      </c>
      <c r="AO13" s="27" t="n">
        <v>132.6</v>
      </c>
      <c r="AP13" s="27" t="n">
        <v>265.2</v>
      </c>
    </row>
    <row r="14">
      <c r="A14" s="6" t="inlineStr">
        <is>
          <t>P8</t>
        </is>
      </c>
      <c r="B14" s="6" t="inlineStr">
        <is>
          <t>Karitel</t>
        </is>
      </c>
      <c r="C14" s="27" t="n">
        <v>6.58</v>
      </c>
      <c r="D14" s="27" t="n">
        <v>6.926315789473684</v>
      </c>
      <c r="E14" s="27" t="n">
        <v>7.311111111111111</v>
      </c>
      <c r="F14" s="27" t="n">
        <v>7.741176470588235</v>
      </c>
      <c r="G14" s="27" t="n">
        <v>8.225</v>
      </c>
      <c r="H14" s="27" t="n">
        <v>8.773333333333333</v>
      </c>
      <c r="I14" s="27" t="n">
        <v>9.4</v>
      </c>
      <c r="J14" s="27" t="n">
        <v>10.12307692307692</v>
      </c>
      <c r="K14" s="27" t="n">
        <v>10.96666666666667</v>
      </c>
      <c r="L14" s="27" t="n">
        <v>11.96363636363636</v>
      </c>
      <c r="M14" s="27" t="n">
        <v>13.16</v>
      </c>
      <c r="N14" s="27" t="n">
        <v>14.62222222222222</v>
      </c>
      <c r="O14" s="27" t="n">
        <v>16.45</v>
      </c>
      <c r="P14" s="27" t="n">
        <v>18.8</v>
      </c>
      <c r="Q14" s="27" t="n">
        <v>21.93333333333333</v>
      </c>
      <c r="R14" s="27" t="n">
        <v>26.32</v>
      </c>
      <c r="S14" s="27" t="n">
        <v>32.9</v>
      </c>
      <c r="T14" s="27" t="n">
        <v>43.86666666666667</v>
      </c>
      <c r="U14" s="27" t="n">
        <v>65.8</v>
      </c>
      <c r="V14" s="27" t="n">
        <v>131.6</v>
      </c>
      <c r="W14" s="27" t="n">
        <v>15.11</v>
      </c>
      <c r="X14" s="27" t="n">
        <v>15.90526315789474</v>
      </c>
      <c r="Y14" s="27" t="n">
        <v>16.78888888888889</v>
      </c>
      <c r="Z14" s="27" t="n">
        <v>17.77647058823529</v>
      </c>
      <c r="AA14" s="27" t="n">
        <v>18.8875</v>
      </c>
      <c r="AB14" s="27" t="n">
        <v>20.14666666666666</v>
      </c>
      <c r="AC14" s="27" t="n">
        <v>21.58571428571429</v>
      </c>
      <c r="AD14" s="27" t="n">
        <v>23.24615384615385</v>
      </c>
      <c r="AE14" s="27" t="n">
        <v>25.18333333333333</v>
      </c>
      <c r="AF14" s="27" t="n">
        <v>27.47272727272727</v>
      </c>
      <c r="AG14" s="27" t="n">
        <v>30.22</v>
      </c>
      <c r="AH14" s="27" t="n">
        <v>33.57777777777778</v>
      </c>
      <c r="AI14" s="27" t="n">
        <v>37.775</v>
      </c>
      <c r="AJ14" s="27" t="n">
        <v>43.17142857142857</v>
      </c>
      <c r="AK14" s="27" t="n">
        <v>50.36666666666667</v>
      </c>
      <c r="AL14" s="27" t="n">
        <v>60.44</v>
      </c>
      <c r="AM14" s="27" t="n">
        <v>75.55</v>
      </c>
      <c r="AN14" s="27" t="n">
        <v>100.7333333333333</v>
      </c>
      <c r="AO14" s="27" t="n">
        <v>151.1</v>
      </c>
      <c r="AP14" s="27" t="n">
        <v>302.2</v>
      </c>
    </row>
    <row r="15">
      <c r="A15" s="6" t="inlineStr">
        <is>
          <t>P9</t>
        </is>
      </c>
      <c r="B15" s="6" t="inlineStr">
        <is>
          <t>Karitel</t>
        </is>
      </c>
      <c r="C15" s="27" t="n">
        <v>5.82</v>
      </c>
      <c r="D15" s="27" t="n">
        <v>6.126315789473685</v>
      </c>
      <c r="E15" s="27" t="n">
        <v>6.466666666666667</v>
      </c>
      <c r="F15" s="27" t="n">
        <v>6.847058823529412</v>
      </c>
      <c r="G15" s="27" t="n">
        <v>7.275</v>
      </c>
      <c r="H15" s="27" t="n">
        <v>7.760000000000001</v>
      </c>
      <c r="I15" s="27" t="n">
        <v>8.314285714285715</v>
      </c>
      <c r="J15" s="27" t="n">
        <v>8.953846153846154</v>
      </c>
      <c r="K15" s="27" t="n">
        <v>9.700000000000001</v>
      </c>
      <c r="L15" s="27" t="n">
        <v>10.58181818181818</v>
      </c>
      <c r="M15" s="27" t="n">
        <v>11.64</v>
      </c>
      <c r="N15" s="27" t="n">
        <v>12.93333333333333</v>
      </c>
      <c r="O15" s="27" t="n">
        <v>14.55</v>
      </c>
      <c r="P15" s="27" t="n">
        <v>16.62857142857143</v>
      </c>
      <c r="Q15" s="27" t="n">
        <v>19.4</v>
      </c>
      <c r="R15" s="27" t="n">
        <v>23.28</v>
      </c>
      <c r="S15" s="27" t="n">
        <v>29.1</v>
      </c>
      <c r="T15" s="27" t="n">
        <v>38.8</v>
      </c>
      <c r="U15" s="27" t="n">
        <v>58.2</v>
      </c>
      <c r="V15" s="27" t="n">
        <v>116.4</v>
      </c>
      <c r="W15" s="27" t="n">
        <v>13.26</v>
      </c>
      <c r="X15" s="27" t="n">
        <v>13.95789473684211</v>
      </c>
      <c r="Y15" s="27" t="n">
        <v>14.73333333333333</v>
      </c>
      <c r="Z15" s="27" t="n">
        <v>15.6</v>
      </c>
      <c r="AA15" s="27" t="n">
        <v>16.575</v>
      </c>
      <c r="AB15" s="27" t="n">
        <v>17.68</v>
      </c>
      <c r="AC15" s="27" t="n">
        <v>18.94285714285714</v>
      </c>
      <c r="AD15" s="27" t="n">
        <v>20.4</v>
      </c>
      <c r="AE15" s="27" t="n">
        <v>22.1</v>
      </c>
      <c r="AF15" s="27" t="n">
        <v>24.10909090909091</v>
      </c>
      <c r="AG15" s="27" t="n">
        <v>26.52</v>
      </c>
      <c r="AH15" s="27" t="n">
        <v>29.46666666666667</v>
      </c>
      <c r="AI15" s="27" t="n">
        <v>33.15</v>
      </c>
      <c r="AJ15" s="27" t="n">
        <v>37.88571428571429</v>
      </c>
      <c r="AK15" s="27" t="n">
        <v>44.2</v>
      </c>
      <c r="AL15" s="27" t="n">
        <v>53.04</v>
      </c>
      <c r="AM15" s="27" t="n">
        <v>66.3</v>
      </c>
      <c r="AN15" s="27" t="n">
        <v>88.40000000000001</v>
      </c>
      <c r="AO15" s="27" t="n">
        <v>132.6</v>
      </c>
      <c r="AP15" s="27" t="n">
        <v>265.2</v>
      </c>
    </row>
    <row r="16">
      <c r="A16" s="6" t="inlineStr">
        <is>
          <t>P10</t>
        </is>
      </c>
      <c r="B16" s="6" t="inlineStr">
        <is>
          <t>Karitel</t>
        </is>
      </c>
      <c r="C16" s="27" t="n">
        <v>5.83</v>
      </c>
      <c r="D16" s="27" t="n">
        <v>6.136842105263158</v>
      </c>
      <c r="E16" s="27" t="n">
        <v>6.477777777777778</v>
      </c>
      <c r="F16" s="27" t="n">
        <v>6.858823529411765</v>
      </c>
      <c r="G16" s="27" t="n">
        <v>7.2875</v>
      </c>
      <c r="H16" s="27" t="n">
        <v>7.773333333333333</v>
      </c>
      <c r="I16" s="27" t="n">
        <v>8.328571428571429</v>
      </c>
      <c r="J16" s="27" t="n">
        <v>8.969230769230769</v>
      </c>
      <c r="K16" s="27" t="n">
        <v>9.716666666666667</v>
      </c>
      <c r="L16" s="27" t="n">
        <v>10.6</v>
      </c>
      <c r="M16" s="27" t="n">
        <v>11.66</v>
      </c>
      <c r="N16" s="27" t="n">
        <v>12.95555555555556</v>
      </c>
      <c r="O16" s="27" t="n">
        <v>14.575</v>
      </c>
      <c r="P16" s="27" t="n">
        <v>16.65714285714286</v>
      </c>
      <c r="Q16" s="27" t="n">
        <v>19.43333333333333</v>
      </c>
      <c r="R16" s="27" t="n">
        <v>23.32</v>
      </c>
      <c r="S16" s="27" t="n">
        <v>29.15</v>
      </c>
      <c r="T16" s="27" t="n">
        <v>38.86666666666667</v>
      </c>
      <c r="U16" s="27" t="n">
        <v>58.3</v>
      </c>
      <c r="V16" s="27" t="n">
        <v>116.6</v>
      </c>
      <c r="W16" s="27" t="n">
        <v>15.11</v>
      </c>
      <c r="X16" s="27" t="n">
        <v>15.90526315789474</v>
      </c>
      <c r="Y16" s="27" t="n">
        <v>16.78888888888889</v>
      </c>
      <c r="Z16" s="27" t="n">
        <v>17.77647058823529</v>
      </c>
      <c r="AA16" s="27" t="n">
        <v>18.8875</v>
      </c>
      <c r="AB16" s="27" t="n">
        <v>20.14666666666666</v>
      </c>
      <c r="AC16" s="27" t="n">
        <v>21.58571428571429</v>
      </c>
      <c r="AD16" s="27" t="n">
        <v>23.24615384615385</v>
      </c>
      <c r="AE16" s="27" t="n">
        <v>25.18333333333333</v>
      </c>
      <c r="AF16" s="27" t="n">
        <v>27.47272727272727</v>
      </c>
      <c r="AG16" s="27" t="n">
        <v>30.22</v>
      </c>
      <c r="AH16" s="27" t="n">
        <v>33.57777777777778</v>
      </c>
      <c r="AI16" s="27" t="n">
        <v>37.775</v>
      </c>
      <c r="AJ16" s="27" t="n">
        <v>43.17142857142857</v>
      </c>
      <c r="AK16" s="27" t="n">
        <v>50.36666666666667</v>
      </c>
      <c r="AL16" s="27" t="n">
        <v>60.44</v>
      </c>
      <c r="AM16" s="27" t="n">
        <v>75.55</v>
      </c>
      <c r="AN16" s="27" t="n">
        <v>100.7333333333333</v>
      </c>
      <c r="AO16" s="27" t="n">
        <v>151.1</v>
      </c>
      <c r="AP16" s="27" t="n">
        <v>302.2</v>
      </c>
    </row>
    <row r="17">
      <c r="A17" s="6" t="inlineStr">
        <is>
          <t>P11</t>
        </is>
      </c>
      <c r="B17" s="6" t="inlineStr">
        <is>
          <t>Karitel</t>
        </is>
      </c>
      <c r="C17" s="27" t="n">
        <v>5.82</v>
      </c>
      <c r="D17" s="27" t="n">
        <v>6.126315789473685</v>
      </c>
      <c r="E17" s="27" t="n">
        <v>6.466666666666667</v>
      </c>
      <c r="F17" s="27" t="n">
        <v>6.847058823529412</v>
      </c>
      <c r="G17" s="27" t="n">
        <v>7.275</v>
      </c>
      <c r="H17" s="27" t="n">
        <v>7.760000000000001</v>
      </c>
      <c r="I17" s="27" t="n">
        <v>8.314285714285715</v>
      </c>
      <c r="J17" s="27" t="n">
        <v>8.953846153846154</v>
      </c>
      <c r="K17" s="27" t="n">
        <v>9.700000000000001</v>
      </c>
      <c r="L17" s="27" t="n">
        <v>10.58181818181818</v>
      </c>
      <c r="M17" s="27" t="n">
        <v>11.64</v>
      </c>
      <c r="N17" s="27" t="n">
        <v>12.93333333333333</v>
      </c>
      <c r="O17" s="27" t="n">
        <v>14.55</v>
      </c>
      <c r="P17" s="27" t="n">
        <v>16.62857142857143</v>
      </c>
      <c r="Q17" s="27" t="n">
        <v>19.4</v>
      </c>
      <c r="R17" s="27" t="n">
        <v>23.28</v>
      </c>
      <c r="S17" s="27" t="n">
        <v>29.1</v>
      </c>
      <c r="T17" s="27" t="n">
        <v>38.8</v>
      </c>
      <c r="U17" s="27" t="n">
        <v>58.2</v>
      </c>
      <c r="V17" s="27" t="n">
        <v>116.4</v>
      </c>
      <c r="W17" s="27" t="n">
        <v>13.57</v>
      </c>
      <c r="X17" s="27" t="n">
        <v>14.28421052631579</v>
      </c>
      <c r="Y17" s="27" t="n">
        <v>15.07777777777778</v>
      </c>
      <c r="Z17" s="27" t="n">
        <v>15.96470588235294</v>
      </c>
      <c r="AA17" s="27" t="n">
        <v>16.9625</v>
      </c>
      <c r="AB17" s="27" t="n">
        <v>18.09333333333333</v>
      </c>
      <c r="AC17" s="27" t="n">
        <v>19.38571428571429</v>
      </c>
      <c r="AD17" s="27" t="n">
        <v>20.87692307692308</v>
      </c>
      <c r="AE17" s="27" t="n">
        <v>22.61666666666667</v>
      </c>
      <c r="AF17" s="27" t="n">
        <v>24.67272727272727</v>
      </c>
      <c r="AG17" s="27" t="n">
        <v>27.14</v>
      </c>
      <c r="AH17" s="27" t="n">
        <v>30.15555555555556</v>
      </c>
      <c r="AI17" s="27" t="n">
        <v>33.925</v>
      </c>
      <c r="AJ17" s="27" t="n">
        <v>38.77142857142857</v>
      </c>
      <c r="AK17" s="27" t="n">
        <v>45.23333333333333</v>
      </c>
      <c r="AL17" s="27" t="n">
        <v>54.28</v>
      </c>
      <c r="AM17" s="27" t="n">
        <v>67.84999999999999</v>
      </c>
      <c r="AN17" s="27" t="n">
        <v>90.46666666666667</v>
      </c>
      <c r="AO17" s="27" t="n">
        <v>135.7</v>
      </c>
      <c r="AP17" s="27" t="n">
        <v>271.4</v>
      </c>
    </row>
    <row r="18">
      <c r="A18" s="6" t="inlineStr">
        <is>
          <t>P12</t>
        </is>
      </c>
      <c r="B18" s="6" t="inlineStr">
        <is>
          <t>Karitel</t>
        </is>
      </c>
      <c r="C18" s="27" t="n">
        <v>6.54</v>
      </c>
      <c r="D18" s="27" t="n">
        <v>6.88421052631579</v>
      </c>
      <c r="E18" s="27" t="n">
        <v>7.266666666666667</v>
      </c>
      <c r="F18" s="27" t="n">
        <v>7.694117647058824</v>
      </c>
      <c r="G18" s="27" t="n">
        <v>8.174999999999999</v>
      </c>
      <c r="H18" s="27" t="n">
        <v>8.720000000000001</v>
      </c>
      <c r="I18" s="27" t="n">
        <v>9.342857142857143</v>
      </c>
      <c r="J18" s="27" t="n">
        <v>10.06153846153846</v>
      </c>
      <c r="K18" s="27" t="n">
        <v>10.9</v>
      </c>
      <c r="L18" s="27" t="n">
        <v>11.89090909090909</v>
      </c>
      <c r="M18" s="27" t="n">
        <v>13.08</v>
      </c>
      <c r="N18" s="27" t="n">
        <v>14.53333333333333</v>
      </c>
      <c r="O18" s="27" t="n">
        <v>16.35</v>
      </c>
      <c r="P18" s="27" t="n">
        <v>18.68571428571429</v>
      </c>
      <c r="Q18" s="27" t="n">
        <v>21.8</v>
      </c>
      <c r="R18" s="27" t="n">
        <v>26.16</v>
      </c>
      <c r="S18" s="27" t="n">
        <v>32.7</v>
      </c>
      <c r="T18" s="27" t="n">
        <v>43.6</v>
      </c>
      <c r="U18" s="27" t="n">
        <v>65.39999999999999</v>
      </c>
      <c r="V18" s="27" t="n">
        <v>130.8</v>
      </c>
      <c r="W18" s="27" t="n">
        <v>15.11</v>
      </c>
      <c r="X18" s="27" t="n">
        <v>15.90526315789474</v>
      </c>
      <c r="Y18" s="27" t="n">
        <v>16.78888888888889</v>
      </c>
      <c r="Z18" s="27" t="n">
        <v>17.77647058823529</v>
      </c>
      <c r="AA18" s="27" t="n">
        <v>18.8875</v>
      </c>
      <c r="AB18" s="27" t="n">
        <v>20.14666666666666</v>
      </c>
      <c r="AC18" s="27" t="n">
        <v>21.58571428571429</v>
      </c>
      <c r="AD18" s="27" t="n">
        <v>23.24615384615385</v>
      </c>
      <c r="AE18" s="27" t="n">
        <v>25.18333333333333</v>
      </c>
      <c r="AF18" s="27" t="n">
        <v>27.47272727272727</v>
      </c>
      <c r="AG18" s="27" t="n">
        <v>30.22</v>
      </c>
      <c r="AH18" s="27" t="n">
        <v>33.57777777777778</v>
      </c>
      <c r="AI18" s="27" t="n">
        <v>37.775</v>
      </c>
      <c r="AJ18" s="27" t="n">
        <v>43.17142857142857</v>
      </c>
      <c r="AK18" s="27" t="n">
        <v>50.36666666666667</v>
      </c>
      <c r="AL18" s="27" t="n">
        <v>60.44</v>
      </c>
      <c r="AM18" s="27" t="n">
        <v>75.55</v>
      </c>
      <c r="AN18" s="27" t="n">
        <v>100.7333333333333</v>
      </c>
      <c r="AO18" s="27" t="n">
        <v>151.1</v>
      </c>
      <c r="AP18" s="27" t="n">
        <v>302.2</v>
      </c>
    </row>
    <row r="19">
      <c r="A19" s="6" t="inlineStr">
        <is>
          <t>P13</t>
        </is>
      </c>
      <c r="B19" s="6" t="inlineStr">
        <is>
          <t>Karitel</t>
        </is>
      </c>
      <c r="C19" s="27" t="n">
        <v>4.62</v>
      </c>
      <c r="D19" s="27" t="n">
        <v>4.863157894736842</v>
      </c>
      <c r="E19" s="27" t="n">
        <v>5.133333333333334</v>
      </c>
      <c r="F19" s="27" t="n">
        <v>5.435294117647059</v>
      </c>
      <c r="G19" s="27" t="n">
        <v>5.774999999999999</v>
      </c>
      <c r="H19" s="27" t="n">
        <v>6.16</v>
      </c>
      <c r="I19" s="27" t="n">
        <v>6.600000000000001</v>
      </c>
      <c r="J19" s="27" t="n">
        <v>7.107692307692307</v>
      </c>
      <c r="K19" s="27" t="n">
        <v>7.7</v>
      </c>
      <c r="L19" s="27" t="n">
        <v>8.4</v>
      </c>
      <c r="M19" s="27" t="n">
        <v>9.24</v>
      </c>
      <c r="N19" s="27" t="n">
        <v>10.26666666666667</v>
      </c>
      <c r="O19" s="27" t="n">
        <v>11.55</v>
      </c>
      <c r="P19" s="27" t="n">
        <v>13.2</v>
      </c>
      <c r="Q19" s="27" t="n">
        <v>15.4</v>
      </c>
      <c r="R19" s="27" t="n">
        <v>18.48</v>
      </c>
      <c r="S19" s="27" t="n">
        <v>23.1</v>
      </c>
      <c r="T19" s="27" t="n">
        <v>30.8</v>
      </c>
      <c r="U19" s="27" t="n">
        <v>46.2</v>
      </c>
      <c r="V19" s="27" t="n">
        <v>92.39999999999999</v>
      </c>
      <c r="W19" s="27" t="n">
        <v>10.02</v>
      </c>
      <c r="X19" s="27" t="n">
        <v>10.54736842105263</v>
      </c>
      <c r="Y19" s="27" t="n">
        <v>11.13333333333333</v>
      </c>
      <c r="Z19" s="27" t="n">
        <v>11.78823529411765</v>
      </c>
      <c r="AA19" s="27" t="n">
        <v>12.525</v>
      </c>
      <c r="AB19" s="27" t="n">
        <v>13.36</v>
      </c>
      <c r="AC19" s="27" t="n">
        <v>14.31428571428571</v>
      </c>
      <c r="AD19" s="27" t="n">
        <v>15.41538461538461</v>
      </c>
      <c r="AE19" s="27" t="n">
        <v>16.7</v>
      </c>
      <c r="AF19" s="27" t="n">
        <v>18.21818181818182</v>
      </c>
      <c r="AG19" s="27" t="n">
        <v>20.04</v>
      </c>
      <c r="AH19" s="27" t="n">
        <v>22.26666666666667</v>
      </c>
      <c r="AI19" s="27" t="n">
        <v>25.05</v>
      </c>
      <c r="AJ19" s="27" t="n">
        <v>28.62857142857143</v>
      </c>
      <c r="AK19" s="27" t="n">
        <v>33.4</v>
      </c>
      <c r="AL19" s="27" t="n">
        <v>40.08</v>
      </c>
      <c r="AM19" s="27" t="n">
        <v>50.09999999999999</v>
      </c>
      <c r="AN19" s="27" t="n">
        <v>66.8</v>
      </c>
      <c r="AO19" s="27" t="n">
        <v>100.2</v>
      </c>
      <c r="AP19" s="27" t="n">
        <v>200.4</v>
      </c>
    </row>
    <row r="20">
      <c r="A20" s="6" t="inlineStr">
        <is>
          <t>P14</t>
        </is>
      </c>
      <c r="B20" s="6" t="inlineStr">
        <is>
          <t>Karitel</t>
        </is>
      </c>
      <c r="C20" s="27" t="n">
        <v>6.3</v>
      </c>
      <c r="D20" s="27" t="n">
        <v>6.631578947368421</v>
      </c>
      <c r="E20" s="27" t="n">
        <v>7</v>
      </c>
      <c r="F20" s="27" t="n">
        <v>7.411764705882353</v>
      </c>
      <c r="G20" s="27" t="n">
        <v>7.874999999999999</v>
      </c>
      <c r="H20" s="27" t="n">
        <v>8.4</v>
      </c>
      <c r="I20" s="27" t="n">
        <v>9</v>
      </c>
      <c r="J20" s="27" t="n">
        <v>9.692307692307692</v>
      </c>
      <c r="K20" s="27" t="n">
        <v>10.5</v>
      </c>
      <c r="L20" s="27" t="n">
        <v>11.45454545454545</v>
      </c>
      <c r="M20" s="27" t="n">
        <v>12.6</v>
      </c>
      <c r="N20" s="27" t="n">
        <v>14</v>
      </c>
      <c r="O20" s="27" t="n">
        <v>15.75</v>
      </c>
      <c r="P20" s="27" t="n">
        <v>18</v>
      </c>
      <c r="Q20" s="27" t="n">
        <v>21</v>
      </c>
      <c r="R20" s="27" t="n">
        <v>25.2</v>
      </c>
      <c r="S20" s="27" t="n">
        <v>31.5</v>
      </c>
      <c r="T20" s="27" t="n">
        <v>42</v>
      </c>
      <c r="U20" s="27" t="n">
        <v>62.99999999999999</v>
      </c>
      <c r="V20" s="27" t="n">
        <v>126</v>
      </c>
      <c r="W20" s="27" t="n">
        <v>15.11</v>
      </c>
      <c r="X20" s="27" t="n">
        <v>15.90526315789474</v>
      </c>
      <c r="Y20" s="27" t="n">
        <v>16.78888888888889</v>
      </c>
      <c r="Z20" s="27" t="n">
        <v>17.77647058823529</v>
      </c>
      <c r="AA20" s="27" t="n">
        <v>18.8875</v>
      </c>
      <c r="AB20" s="27" t="n">
        <v>20.14666666666666</v>
      </c>
      <c r="AC20" s="27" t="n">
        <v>21.58571428571429</v>
      </c>
      <c r="AD20" s="27" t="n">
        <v>23.24615384615385</v>
      </c>
      <c r="AE20" s="27" t="n">
        <v>25.18333333333333</v>
      </c>
      <c r="AF20" s="27" t="n">
        <v>27.47272727272727</v>
      </c>
      <c r="AG20" s="27" t="n">
        <v>30.22</v>
      </c>
      <c r="AH20" s="27" t="n">
        <v>33.57777777777778</v>
      </c>
      <c r="AI20" s="27" t="n">
        <v>37.775</v>
      </c>
      <c r="AJ20" s="27" t="n">
        <v>43.17142857142857</v>
      </c>
      <c r="AK20" s="27" t="n">
        <v>50.36666666666667</v>
      </c>
      <c r="AL20" s="27" t="n">
        <v>60.44</v>
      </c>
      <c r="AM20" s="27" t="n">
        <v>75.55</v>
      </c>
      <c r="AN20" s="27" t="n">
        <v>100.7333333333333</v>
      </c>
      <c r="AO20" s="27" t="n">
        <v>151.1</v>
      </c>
      <c r="AP20" s="27" t="n">
        <v>302.2</v>
      </c>
    </row>
    <row r="21">
      <c r="A21" s="6" t="inlineStr">
        <is>
          <t>P15</t>
        </is>
      </c>
      <c r="B21" s="6" t="inlineStr">
        <is>
          <t>Karitel</t>
        </is>
      </c>
      <c r="C21" s="27" t="n">
        <v>7.205</v>
      </c>
      <c r="D21" s="27" t="n">
        <v>7.58421052631579</v>
      </c>
      <c r="E21" s="27" t="n">
        <v>8.005555555555555</v>
      </c>
      <c r="F21" s="27" t="n">
        <v>8.476470588235294</v>
      </c>
      <c r="G21" s="27" t="n">
        <v>9.00625</v>
      </c>
      <c r="H21" s="27" t="n">
        <v>9.606666666666667</v>
      </c>
      <c r="I21" s="27" t="n">
        <v>10.29285714285714</v>
      </c>
      <c r="J21" s="27" t="n">
        <v>11.08461538461538</v>
      </c>
      <c r="K21" s="27" t="n">
        <v>12.00833333333333</v>
      </c>
      <c r="L21" s="27" t="n">
        <v>13.1</v>
      </c>
      <c r="M21" s="27" t="n">
        <v>14.41</v>
      </c>
      <c r="N21" s="27" t="n">
        <v>16.01111111111111</v>
      </c>
      <c r="O21" s="27" t="n">
        <v>18.0125</v>
      </c>
      <c r="P21" s="27" t="n">
        <v>20.58571428571429</v>
      </c>
      <c r="Q21" s="27" t="n">
        <v>24.01666666666667</v>
      </c>
      <c r="R21" s="27" t="n">
        <v>28.82</v>
      </c>
      <c r="S21" s="27" t="n">
        <v>36.025</v>
      </c>
      <c r="T21" s="27" t="n">
        <v>48.03333333333334</v>
      </c>
      <c r="U21" s="27" t="n">
        <v>72.05</v>
      </c>
      <c r="V21" s="27" t="n">
        <v>144.1</v>
      </c>
      <c r="W21" s="27" t="n">
        <v>15.11</v>
      </c>
      <c r="X21" s="27" t="n">
        <v>15.90526315789474</v>
      </c>
      <c r="Y21" s="27" t="n">
        <v>16.78888888888889</v>
      </c>
      <c r="Z21" s="27" t="n">
        <v>17.77647058823529</v>
      </c>
      <c r="AA21" s="27" t="n">
        <v>18.8875</v>
      </c>
      <c r="AB21" s="27" t="n">
        <v>20.14666666666666</v>
      </c>
      <c r="AC21" s="27" t="n">
        <v>21.58571428571429</v>
      </c>
      <c r="AD21" s="27" t="n">
        <v>23.24615384615385</v>
      </c>
      <c r="AE21" s="27" t="n">
        <v>25.18333333333333</v>
      </c>
      <c r="AF21" s="27" t="n">
        <v>27.47272727272727</v>
      </c>
      <c r="AG21" s="27" t="n">
        <v>30.22</v>
      </c>
      <c r="AH21" s="27" t="n">
        <v>33.57777777777778</v>
      </c>
      <c r="AI21" s="27" t="n">
        <v>37.775</v>
      </c>
      <c r="AJ21" s="27" t="n">
        <v>43.17142857142857</v>
      </c>
      <c r="AK21" s="27" t="n">
        <v>50.36666666666667</v>
      </c>
      <c r="AL21" s="27" t="n">
        <v>60.44</v>
      </c>
      <c r="AM21" s="27" t="n">
        <v>75.55</v>
      </c>
      <c r="AN21" s="27" t="n">
        <v>100.7333333333333</v>
      </c>
      <c r="AO21" s="27" t="n">
        <v>151.1</v>
      </c>
      <c r="AP21" s="27" t="n">
        <v>302.2</v>
      </c>
    </row>
    <row r="22">
      <c r="A22" s="6" t="inlineStr">
        <is>
          <t>P16</t>
        </is>
      </c>
      <c r="B22" s="6" t="inlineStr">
        <is>
          <t>Karitel</t>
        </is>
      </c>
      <c r="C22" s="27" t="n">
        <v>7.19</v>
      </c>
      <c r="D22" s="27" t="n">
        <v>7.56842105263158</v>
      </c>
      <c r="E22" s="27" t="n">
        <v>7.988888888888889</v>
      </c>
      <c r="F22" s="27" t="n">
        <v>8.458823529411765</v>
      </c>
      <c r="G22" s="27" t="n">
        <v>8.987500000000001</v>
      </c>
      <c r="H22" s="27" t="n">
        <v>9.586666666666668</v>
      </c>
      <c r="I22" s="27" t="n">
        <v>10.27142857142857</v>
      </c>
      <c r="J22" s="27" t="n">
        <v>11.06153846153846</v>
      </c>
      <c r="K22" s="27" t="n">
        <v>11.98333333333333</v>
      </c>
      <c r="L22" s="27" t="n">
        <v>13.07272727272727</v>
      </c>
      <c r="M22" s="27" t="n">
        <v>14.38</v>
      </c>
      <c r="N22" s="27" t="n">
        <v>15.97777777777778</v>
      </c>
      <c r="O22" s="27" t="n">
        <v>17.975</v>
      </c>
      <c r="P22" s="27" t="n">
        <v>20.54285714285714</v>
      </c>
      <c r="Q22" s="27" t="n">
        <v>23.96666666666667</v>
      </c>
      <c r="R22" s="27" t="n">
        <v>28.76</v>
      </c>
      <c r="S22" s="27" t="n">
        <v>35.95</v>
      </c>
      <c r="T22" s="27" t="n">
        <v>47.93333333333334</v>
      </c>
      <c r="U22" s="27" t="n">
        <v>71.90000000000001</v>
      </c>
      <c r="V22" s="27" t="n">
        <v>143.8</v>
      </c>
      <c r="W22" s="27" t="n">
        <v>15.11</v>
      </c>
      <c r="X22" s="27" t="n">
        <v>15.90526315789474</v>
      </c>
      <c r="Y22" s="27" t="n">
        <v>16.78888888888889</v>
      </c>
      <c r="Z22" s="27" t="n">
        <v>17.77647058823529</v>
      </c>
      <c r="AA22" s="27" t="n">
        <v>18.8875</v>
      </c>
      <c r="AB22" s="27" t="n">
        <v>20.14666666666666</v>
      </c>
      <c r="AC22" s="27" t="n">
        <v>21.58571428571429</v>
      </c>
      <c r="AD22" s="27" t="n">
        <v>23.24615384615385</v>
      </c>
      <c r="AE22" s="27" t="n">
        <v>25.18333333333333</v>
      </c>
      <c r="AF22" s="27" t="n">
        <v>27.47272727272727</v>
      </c>
      <c r="AG22" s="27" t="n">
        <v>30.22</v>
      </c>
      <c r="AH22" s="27" t="n">
        <v>33.57777777777778</v>
      </c>
      <c r="AI22" s="27" t="n">
        <v>37.775</v>
      </c>
      <c r="AJ22" s="27" t="n">
        <v>43.17142857142857</v>
      </c>
      <c r="AK22" s="27" t="n">
        <v>50.36666666666667</v>
      </c>
      <c r="AL22" s="27" t="n">
        <v>60.44</v>
      </c>
      <c r="AM22" s="27" t="n">
        <v>75.55</v>
      </c>
      <c r="AN22" s="27" t="n">
        <v>100.7333333333333</v>
      </c>
      <c r="AO22" s="27" t="n">
        <v>151.1</v>
      </c>
      <c r="AP22" s="27" t="n">
        <v>302.2</v>
      </c>
    </row>
    <row r="23">
      <c r="A23" s="6" t="inlineStr">
        <is>
          <t>P17</t>
        </is>
      </c>
      <c r="B23" s="6" t="inlineStr">
        <is>
          <t>Karitel</t>
        </is>
      </c>
      <c r="C23" s="27" t="n">
        <v>5.94</v>
      </c>
      <c r="D23" s="27" t="n">
        <v>6.252631578947369</v>
      </c>
      <c r="E23" s="27" t="n">
        <v>6.600000000000001</v>
      </c>
      <c r="F23" s="27" t="n">
        <v>6.988235294117648</v>
      </c>
      <c r="G23" s="27" t="n">
        <v>7.425</v>
      </c>
      <c r="H23" s="27" t="n">
        <v>7.920000000000001</v>
      </c>
      <c r="I23" s="27" t="n">
        <v>8.485714285714288</v>
      </c>
      <c r="J23" s="27" t="n">
        <v>9.138461538461538</v>
      </c>
      <c r="K23" s="27" t="n">
        <v>9.9</v>
      </c>
      <c r="L23" s="27" t="n">
        <v>10.8</v>
      </c>
      <c r="M23" s="27" t="n">
        <v>11.88</v>
      </c>
      <c r="N23" s="27" t="n">
        <v>13.2</v>
      </c>
      <c r="O23" s="27" t="n">
        <v>14.85</v>
      </c>
      <c r="P23" s="27" t="n">
        <v>16.97142857142858</v>
      </c>
      <c r="Q23" s="27" t="n">
        <v>19.8</v>
      </c>
      <c r="R23" s="27" t="n">
        <v>23.76</v>
      </c>
      <c r="S23" s="27" t="n">
        <v>29.7</v>
      </c>
      <c r="T23" s="27" t="n">
        <v>39.6</v>
      </c>
      <c r="U23" s="27" t="n">
        <v>59.4</v>
      </c>
      <c r="V23" s="27" t="n">
        <v>118.8</v>
      </c>
      <c r="W23" s="27" t="n">
        <v>15.11</v>
      </c>
      <c r="X23" s="27" t="n">
        <v>15.90526315789474</v>
      </c>
      <c r="Y23" s="27" t="n">
        <v>16.78888888888889</v>
      </c>
      <c r="Z23" s="27" t="n">
        <v>17.77647058823529</v>
      </c>
      <c r="AA23" s="27" t="n">
        <v>18.8875</v>
      </c>
      <c r="AB23" s="27" t="n">
        <v>20.14666666666666</v>
      </c>
      <c r="AC23" s="27" t="n">
        <v>21.58571428571429</v>
      </c>
      <c r="AD23" s="27" t="n">
        <v>23.24615384615385</v>
      </c>
      <c r="AE23" s="27" t="n">
        <v>25.18333333333333</v>
      </c>
      <c r="AF23" s="27" t="n">
        <v>27.47272727272727</v>
      </c>
      <c r="AG23" s="27" t="n">
        <v>30.22</v>
      </c>
      <c r="AH23" s="27" t="n">
        <v>33.57777777777778</v>
      </c>
      <c r="AI23" s="27" t="n">
        <v>37.775</v>
      </c>
      <c r="AJ23" s="27" t="n">
        <v>43.17142857142857</v>
      </c>
      <c r="AK23" s="27" t="n">
        <v>50.36666666666667</v>
      </c>
      <c r="AL23" s="27" t="n">
        <v>60.44</v>
      </c>
      <c r="AM23" s="27" t="n">
        <v>75.55</v>
      </c>
      <c r="AN23" s="27" t="n">
        <v>100.7333333333333</v>
      </c>
      <c r="AO23" s="27" t="n">
        <v>151.1</v>
      </c>
      <c r="AP23" s="27" t="n">
        <v>302.2</v>
      </c>
    </row>
    <row r="24">
      <c r="A24" s="6" t="inlineStr">
        <is>
          <t>P18</t>
        </is>
      </c>
      <c r="B24" s="6" t="inlineStr">
        <is>
          <t>Karitel</t>
        </is>
      </c>
      <c r="C24" s="27" t="n">
        <v>6.58</v>
      </c>
      <c r="D24" s="27" t="n">
        <v>6.926315789473684</v>
      </c>
      <c r="E24" s="27" t="n">
        <v>7.311111111111111</v>
      </c>
      <c r="F24" s="27" t="n">
        <v>7.741176470588235</v>
      </c>
      <c r="G24" s="27" t="n">
        <v>8.225</v>
      </c>
      <c r="H24" s="27" t="n">
        <v>8.773333333333333</v>
      </c>
      <c r="I24" s="27" t="n">
        <v>9.4</v>
      </c>
      <c r="J24" s="27" t="n">
        <v>10.12307692307692</v>
      </c>
      <c r="K24" s="27" t="n">
        <v>10.96666666666667</v>
      </c>
      <c r="L24" s="27" t="n">
        <v>11.96363636363636</v>
      </c>
      <c r="M24" s="27" t="n">
        <v>13.16</v>
      </c>
      <c r="N24" s="27" t="n">
        <v>14.62222222222222</v>
      </c>
      <c r="O24" s="27" t="n">
        <v>16.45</v>
      </c>
      <c r="P24" s="27" t="n">
        <v>18.8</v>
      </c>
      <c r="Q24" s="27" t="n">
        <v>21.93333333333333</v>
      </c>
      <c r="R24" s="27" t="n">
        <v>26.32</v>
      </c>
      <c r="S24" s="27" t="n">
        <v>32.9</v>
      </c>
      <c r="T24" s="27" t="n">
        <v>43.86666666666667</v>
      </c>
      <c r="U24" s="27" t="n">
        <v>65.8</v>
      </c>
      <c r="V24" s="27" t="n">
        <v>131.6</v>
      </c>
      <c r="W24" s="27" t="n">
        <v>15.11</v>
      </c>
      <c r="X24" s="27" t="n">
        <v>15.90526315789474</v>
      </c>
      <c r="Y24" s="27" t="n">
        <v>16.78888888888889</v>
      </c>
      <c r="Z24" s="27" t="n">
        <v>17.77647058823529</v>
      </c>
      <c r="AA24" s="27" t="n">
        <v>18.8875</v>
      </c>
      <c r="AB24" s="27" t="n">
        <v>20.14666666666666</v>
      </c>
      <c r="AC24" s="27" t="n">
        <v>21.58571428571429</v>
      </c>
      <c r="AD24" s="27" t="n">
        <v>23.24615384615385</v>
      </c>
      <c r="AE24" s="27" t="n">
        <v>25.18333333333333</v>
      </c>
      <c r="AF24" s="27" t="n">
        <v>27.47272727272727</v>
      </c>
      <c r="AG24" s="27" t="n">
        <v>30.22</v>
      </c>
      <c r="AH24" s="27" t="n">
        <v>33.57777777777778</v>
      </c>
      <c r="AI24" s="27" t="n">
        <v>37.775</v>
      </c>
      <c r="AJ24" s="27" t="n">
        <v>43.17142857142857</v>
      </c>
      <c r="AK24" s="27" t="n">
        <v>50.36666666666667</v>
      </c>
      <c r="AL24" s="27" t="n">
        <v>60.44</v>
      </c>
      <c r="AM24" s="27" t="n">
        <v>75.55</v>
      </c>
      <c r="AN24" s="27" t="n">
        <v>100.7333333333333</v>
      </c>
      <c r="AO24" s="27" t="n">
        <v>151.1</v>
      </c>
      <c r="AP24" s="27" t="n">
        <v>302.2</v>
      </c>
    </row>
    <row r="25">
      <c r="A25" s="6" t="inlineStr">
        <is>
          <t>P19</t>
        </is>
      </c>
      <c r="B25" s="6" t="inlineStr">
        <is>
          <t>Karitel</t>
        </is>
      </c>
      <c r="C25" s="27" t="n">
        <v>6.3</v>
      </c>
      <c r="D25" s="27" t="n">
        <v>6.631578947368421</v>
      </c>
      <c r="E25" s="27" t="n">
        <v>7</v>
      </c>
      <c r="F25" s="27" t="n">
        <v>7.411764705882353</v>
      </c>
      <c r="G25" s="27" t="n">
        <v>7.874999999999999</v>
      </c>
      <c r="H25" s="27" t="n">
        <v>8.4</v>
      </c>
      <c r="I25" s="27" t="n">
        <v>9</v>
      </c>
      <c r="J25" s="27" t="n">
        <v>9.692307692307692</v>
      </c>
      <c r="K25" s="27" t="n">
        <v>10.5</v>
      </c>
      <c r="L25" s="27" t="n">
        <v>11.45454545454545</v>
      </c>
      <c r="M25" s="27" t="n">
        <v>12.6</v>
      </c>
      <c r="N25" s="27" t="n">
        <v>14</v>
      </c>
      <c r="O25" s="27" t="n">
        <v>15.75</v>
      </c>
      <c r="P25" s="27" t="n">
        <v>18</v>
      </c>
      <c r="Q25" s="27" t="n">
        <v>21</v>
      </c>
      <c r="R25" s="27" t="n">
        <v>25.2</v>
      </c>
      <c r="S25" s="27" t="n">
        <v>31.5</v>
      </c>
      <c r="T25" s="27" t="n">
        <v>42</v>
      </c>
      <c r="U25" s="27" t="n">
        <v>62.99999999999999</v>
      </c>
      <c r="V25" s="27" t="n">
        <v>126</v>
      </c>
      <c r="W25" s="27" t="n">
        <v>15.11</v>
      </c>
      <c r="X25" s="27" t="n">
        <v>15.90526315789474</v>
      </c>
      <c r="Y25" s="27" t="n">
        <v>16.78888888888889</v>
      </c>
      <c r="Z25" s="27" t="n">
        <v>17.77647058823529</v>
      </c>
      <c r="AA25" s="27" t="n">
        <v>18.8875</v>
      </c>
      <c r="AB25" s="27" t="n">
        <v>20.14666666666666</v>
      </c>
      <c r="AC25" s="27" t="n">
        <v>21.58571428571429</v>
      </c>
      <c r="AD25" s="27" t="n">
        <v>23.24615384615385</v>
      </c>
      <c r="AE25" s="27" t="n">
        <v>25.18333333333333</v>
      </c>
      <c r="AF25" s="27" t="n">
        <v>27.47272727272727</v>
      </c>
      <c r="AG25" s="27" t="n">
        <v>30.22</v>
      </c>
      <c r="AH25" s="27" t="n">
        <v>33.57777777777778</v>
      </c>
      <c r="AI25" s="27" t="n">
        <v>37.775</v>
      </c>
      <c r="AJ25" s="27" t="n">
        <v>43.17142857142857</v>
      </c>
      <c r="AK25" s="27" t="n">
        <v>50.36666666666667</v>
      </c>
      <c r="AL25" s="27" t="n">
        <v>60.44</v>
      </c>
      <c r="AM25" s="27" t="n">
        <v>75.55</v>
      </c>
      <c r="AN25" s="27" t="n">
        <v>100.7333333333333</v>
      </c>
      <c r="AO25" s="27" t="n">
        <v>151.1</v>
      </c>
      <c r="AP25" s="27" t="n">
        <v>302.2</v>
      </c>
    </row>
    <row r="26">
      <c r="A26" s="6" t="inlineStr">
        <is>
          <t>P20</t>
        </is>
      </c>
      <c r="B26" s="6" t="inlineStr">
        <is>
          <t>Karitel</t>
        </is>
      </c>
      <c r="C26" s="27" t="n">
        <v>7.21</v>
      </c>
      <c r="D26" s="27" t="n">
        <v>7.589473684210526</v>
      </c>
      <c r="E26" s="27" t="n">
        <v>8.011111111111111</v>
      </c>
      <c r="F26" s="27" t="n">
        <v>8.482352941176471</v>
      </c>
      <c r="G26" s="27" t="n">
        <v>9.012499999999999</v>
      </c>
      <c r="H26" s="27" t="n">
        <v>9.613333333333333</v>
      </c>
      <c r="I26" s="27" t="n">
        <v>10.3</v>
      </c>
      <c r="J26" s="27" t="n">
        <v>11.09230769230769</v>
      </c>
      <c r="K26" s="27" t="n">
        <v>12.01666666666667</v>
      </c>
      <c r="L26" s="27" t="n">
        <v>13.10909090909091</v>
      </c>
      <c r="M26" s="27" t="n">
        <v>14.42</v>
      </c>
      <c r="N26" s="27" t="n">
        <v>16.02222222222222</v>
      </c>
      <c r="O26" s="27" t="n">
        <v>18.025</v>
      </c>
      <c r="P26" s="27" t="n">
        <v>20.6</v>
      </c>
      <c r="Q26" s="27" t="n">
        <v>24.03333333333333</v>
      </c>
      <c r="R26" s="27" t="n">
        <v>28.84</v>
      </c>
      <c r="S26" s="27" t="n">
        <v>36.05</v>
      </c>
      <c r="T26" s="27" t="n">
        <v>48.06666666666667</v>
      </c>
      <c r="U26" s="27" t="n">
        <v>72.09999999999999</v>
      </c>
      <c r="V26" s="27" t="n">
        <v>144.2</v>
      </c>
      <c r="W26" s="27" t="n">
        <v>15.11</v>
      </c>
      <c r="X26" s="27" t="n">
        <v>15.90526315789474</v>
      </c>
      <c r="Y26" s="27" t="n">
        <v>16.78888888888889</v>
      </c>
      <c r="Z26" s="27" t="n">
        <v>17.77647058823529</v>
      </c>
      <c r="AA26" s="27" t="n">
        <v>18.8875</v>
      </c>
      <c r="AB26" s="27" t="n">
        <v>20.14666666666666</v>
      </c>
      <c r="AC26" s="27" t="n">
        <v>21.58571428571429</v>
      </c>
      <c r="AD26" s="27" t="n">
        <v>23.24615384615385</v>
      </c>
      <c r="AE26" s="27" t="n">
        <v>25.18333333333333</v>
      </c>
      <c r="AF26" s="27" t="n">
        <v>27.47272727272727</v>
      </c>
      <c r="AG26" s="27" t="n">
        <v>30.22</v>
      </c>
      <c r="AH26" s="27" t="n">
        <v>33.57777777777778</v>
      </c>
      <c r="AI26" s="27" t="n">
        <v>37.775</v>
      </c>
      <c r="AJ26" s="27" t="n">
        <v>43.17142857142857</v>
      </c>
      <c r="AK26" s="27" t="n">
        <v>50.36666666666667</v>
      </c>
      <c r="AL26" s="27" t="n">
        <v>60.44</v>
      </c>
      <c r="AM26" s="27" t="n">
        <v>75.55</v>
      </c>
      <c r="AN26" s="27" t="n">
        <v>100.7333333333333</v>
      </c>
      <c r="AO26" s="27" t="n">
        <v>151.1</v>
      </c>
      <c r="AP26" s="27" t="n">
        <v>302.2</v>
      </c>
    </row>
    <row r="27">
      <c r="A27" s="6" t="inlineStr">
        <is>
          <t>P21</t>
        </is>
      </c>
      <c r="B27" s="6" t="inlineStr">
        <is>
          <t>Karitel</t>
        </is>
      </c>
      <c r="C27" s="27" t="n">
        <v>6.93</v>
      </c>
      <c r="D27" s="27" t="n">
        <v>7.294736842105263</v>
      </c>
      <c r="E27" s="27" t="n">
        <v>7.699999999999999</v>
      </c>
      <c r="F27" s="27" t="n">
        <v>8.152941176470588</v>
      </c>
      <c r="G27" s="27" t="n">
        <v>8.6625</v>
      </c>
      <c r="H27" s="27" t="n">
        <v>9.24</v>
      </c>
      <c r="I27" s="27" t="n">
        <v>9.9</v>
      </c>
      <c r="J27" s="27" t="n">
        <v>10.66153846153846</v>
      </c>
      <c r="K27" s="27" t="n">
        <v>11.55</v>
      </c>
      <c r="L27" s="27" t="n">
        <v>12.6</v>
      </c>
      <c r="M27" s="27" t="n">
        <v>13.86</v>
      </c>
      <c r="N27" s="27" t="n">
        <v>15.4</v>
      </c>
      <c r="O27" s="27" t="n">
        <v>17.325</v>
      </c>
      <c r="P27" s="27" t="n">
        <v>19.8</v>
      </c>
      <c r="Q27" s="27" t="n">
        <v>23.1</v>
      </c>
      <c r="R27" s="27" t="n">
        <v>27.72</v>
      </c>
      <c r="S27" s="27" t="n">
        <v>34.65</v>
      </c>
      <c r="T27" s="27" t="n">
        <v>46.2</v>
      </c>
      <c r="U27" s="27" t="n">
        <v>69.3</v>
      </c>
      <c r="V27" s="27" t="n">
        <v>138.6</v>
      </c>
      <c r="W27" s="27" t="n">
        <v>15.11</v>
      </c>
      <c r="X27" s="27" t="n">
        <v>15.90526315789474</v>
      </c>
      <c r="Y27" s="27" t="n">
        <v>16.78888888888889</v>
      </c>
      <c r="Z27" s="27" t="n">
        <v>17.77647058823529</v>
      </c>
      <c r="AA27" s="27" t="n">
        <v>18.8875</v>
      </c>
      <c r="AB27" s="27" t="n">
        <v>20.14666666666666</v>
      </c>
      <c r="AC27" s="27" t="n">
        <v>21.58571428571429</v>
      </c>
      <c r="AD27" s="27" t="n">
        <v>23.24615384615385</v>
      </c>
      <c r="AE27" s="27" t="n">
        <v>25.18333333333333</v>
      </c>
      <c r="AF27" s="27" t="n">
        <v>27.47272727272727</v>
      </c>
      <c r="AG27" s="27" t="n">
        <v>30.22</v>
      </c>
      <c r="AH27" s="27" t="n">
        <v>33.57777777777778</v>
      </c>
      <c r="AI27" s="27" t="n">
        <v>37.775</v>
      </c>
      <c r="AJ27" s="27" t="n">
        <v>43.17142857142857</v>
      </c>
      <c r="AK27" s="27" t="n">
        <v>50.36666666666667</v>
      </c>
      <c r="AL27" s="27" t="n">
        <v>60.44</v>
      </c>
      <c r="AM27" s="27" t="n">
        <v>75.55</v>
      </c>
      <c r="AN27" s="27" t="n">
        <v>100.7333333333333</v>
      </c>
      <c r="AO27" s="27" t="n">
        <v>151.1</v>
      </c>
      <c r="AP27" s="27" t="n">
        <v>302.2</v>
      </c>
    </row>
    <row r="28">
      <c r="A28" s="6" t="inlineStr">
        <is>
          <t>P22</t>
        </is>
      </c>
      <c r="B28" s="6" t="inlineStr">
        <is>
          <t>Karitel</t>
        </is>
      </c>
      <c r="C28" s="27" t="n">
        <v>4.62</v>
      </c>
      <c r="D28" s="27" t="n">
        <v>4.863157894736842</v>
      </c>
      <c r="E28" s="27" t="n">
        <v>5.133333333333334</v>
      </c>
      <c r="F28" s="27" t="n">
        <v>5.435294117647059</v>
      </c>
      <c r="G28" s="27" t="n">
        <v>5.774999999999999</v>
      </c>
      <c r="H28" s="27" t="n">
        <v>6.16</v>
      </c>
      <c r="I28" s="27" t="n">
        <v>6.600000000000001</v>
      </c>
      <c r="J28" s="27" t="n">
        <v>7.107692307692307</v>
      </c>
      <c r="K28" s="27" t="n">
        <v>7.7</v>
      </c>
      <c r="L28" s="27" t="n">
        <v>8.4</v>
      </c>
      <c r="M28" s="27" t="n">
        <v>9.24</v>
      </c>
      <c r="N28" s="27" t="n">
        <v>10.26666666666667</v>
      </c>
      <c r="O28" s="27" t="n">
        <v>11.55</v>
      </c>
      <c r="P28" s="27" t="n">
        <v>13.2</v>
      </c>
      <c r="Q28" s="27" t="n">
        <v>15.4</v>
      </c>
      <c r="R28" s="27" t="n">
        <v>18.48</v>
      </c>
      <c r="S28" s="27" t="n">
        <v>23.1</v>
      </c>
      <c r="T28" s="27" t="n">
        <v>30.8</v>
      </c>
      <c r="U28" s="27" t="n">
        <v>46.2</v>
      </c>
      <c r="V28" s="27" t="n">
        <v>92.39999999999999</v>
      </c>
      <c r="W28" s="27" t="n">
        <v>15.11</v>
      </c>
      <c r="X28" s="27" t="n">
        <v>15.90526315789474</v>
      </c>
      <c r="Y28" s="27" t="n">
        <v>16.78888888888889</v>
      </c>
      <c r="Z28" s="27" t="n">
        <v>17.77647058823529</v>
      </c>
      <c r="AA28" s="27" t="n">
        <v>18.8875</v>
      </c>
      <c r="AB28" s="27" t="n">
        <v>20.14666666666666</v>
      </c>
      <c r="AC28" s="27" t="n">
        <v>21.58571428571429</v>
      </c>
      <c r="AD28" s="27" t="n">
        <v>23.24615384615385</v>
      </c>
      <c r="AE28" s="27" t="n">
        <v>25.18333333333333</v>
      </c>
      <c r="AF28" s="27" t="n">
        <v>27.47272727272727</v>
      </c>
      <c r="AG28" s="27" t="n">
        <v>30.22</v>
      </c>
      <c r="AH28" s="27" t="n">
        <v>33.57777777777778</v>
      </c>
      <c r="AI28" s="27" t="n">
        <v>37.775</v>
      </c>
      <c r="AJ28" s="27" t="n">
        <v>43.17142857142857</v>
      </c>
      <c r="AK28" s="27" t="n">
        <v>50.36666666666667</v>
      </c>
      <c r="AL28" s="27" t="n">
        <v>60.44</v>
      </c>
      <c r="AM28" s="27" t="n">
        <v>75.55</v>
      </c>
      <c r="AN28" s="27" t="n">
        <v>100.7333333333333</v>
      </c>
      <c r="AO28" s="27" t="n">
        <v>151.1</v>
      </c>
      <c r="AP28" s="27" t="n">
        <v>302.2</v>
      </c>
    </row>
    <row r="29">
      <c r="A29" s="6" t="inlineStr">
        <is>
          <t>P23</t>
        </is>
      </c>
      <c r="B29" s="6" t="inlineStr">
        <is>
          <t>Karitel</t>
        </is>
      </c>
      <c r="C29" s="27" t="n">
        <v>5.7</v>
      </c>
      <c r="D29" s="27" t="n">
        <v>6.000000000000001</v>
      </c>
      <c r="E29" s="27" t="n">
        <v>6.333333333333333</v>
      </c>
      <c r="F29" s="27" t="n">
        <v>6.705882352941177</v>
      </c>
      <c r="G29" s="27" t="n">
        <v>7.125</v>
      </c>
      <c r="H29" s="27" t="n">
        <v>7.600000000000001</v>
      </c>
      <c r="I29" s="27" t="n">
        <v>8.142857142857144</v>
      </c>
      <c r="J29" s="27" t="n">
        <v>8.76923076923077</v>
      </c>
      <c r="K29" s="27" t="n">
        <v>9.5</v>
      </c>
      <c r="L29" s="27" t="n">
        <v>10.36363636363636</v>
      </c>
      <c r="M29" s="27" t="n">
        <v>11.4</v>
      </c>
      <c r="N29" s="27" t="n">
        <v>12.66666666666667</v>
      </c>
      <c r="O29" s="27" t="n">
        <v>14.25</v>
      </c>
      <c r="P29" s="27" t="n">
        <v>16.28571428571429</v>
      </c>
      <c r="Q29" s="27" t="n">
        <v>19</v>
      </c>
      <c r="R29" s="27" t="n">
        <v>22.8</v>
      </c>
      <c r="S29" s="27" t="n">
        <v>28.5</v>
      </c>
      <c r="T29" s="27" t="n">
        <v>38</v>
      </c>
      <c r="U29" s="27" t="n">
        <v>57</v>
      </c>
      <c r="V29" s="27" t="n">
        <v>114</v>
      </c>
      <c r="W29" s="27" t="n">
        <v>15.11</v>
      </c>
      <c r="X29" s="27" t="n">
        <v>15.90526315789474</v>
      </c>
      <c r="Y29" s="27" t="n">
        <v>16.78888888888889</v>
      </c>
      <c r="Z29" s="27" t="n">
        <v>17.77647058823529</v>
      </c>
      <c r="AA29" s="27" t="n">
        <v>18.8875</v>
      </c>
      <c r="AB29" s="27" t="n">
        <v>20.14666666666666</v>
      </c>
      <c r="AC29" s="27" t="n">
        <v>21.58571428571429</v>
      </c>
      <c r="AD29" s="27" t="n">
        <v>23.24615384615385</v>
      </c>
      <c r="AE29" s="27" t="n">
        <v>25.18333333333333</v>
      </c>
      <c r="AF29" s="27" t="n">
        <v>27.47272727272727</v>
      </c>
      <c r="AG29" s="27" t="n">
        <v>30.22</v>
      </c>
      <c r="AH29" s="27" t="n">
        <v>33.57777777777778</v>
      </c>
      <c r="AI29" s="27" t="n">
        <v>37.775</v>
      </c>
      <c r="AJ29" s="27" t="n">
        <v>43.17142857142857</v>
      </c>
      <c r="AK29" s="27" t="n">
        <v>50.36666666666667</v>
      </c>
      <c r="AL29" s="27" t="n">
        <v>60.44</v>
      </c>
      <c r="AM29" s="27" t="n">
        <v>75.55</v>
      </c>
      <c r="AN29" s="27" t="n">
        <v>100.7333333333333</v>
      </c>
      <c r="AO29" s="27" t="n">
        <v>151.1</v>
      </c>
      <c r="AP29" s="27" t="n">
        <v>302.2</v>
      </c>
    </row>
    <row r="30">
      <c r="A30" s="6" t="inlineStr">
        <is>
          <t>P24</t>
        </is>
      </c>
      <c r="B30" s="6" t="inlineStr">
        <is>
          <t>Karitel</t>
        </is>
      </c>
      <c r="C30" s="27" t="n">
        <v>6.79</v>
      </c>
      <c r="D30" s="27" t="n">
        <v>7.147368421052632</v>
      </c>
      <c r="E30" s="27" t="n">
        <v>7.544444444444444</v>
      </c>
      <c r="F30" s="27" t="n">
        <v>7.988235294117647</v>
      </c>
      <c r="G30" s="27" t="n">
        <v>8.487499999999999</v>
      </c>
      <c r="H30" s="27" t="n">
        <v>9.053333333333333</v>
      </c>
      <c r="I30" s="27" t="n">
        <v>9.700000000000001</v>
      </c>
      <c r="J30" s="27" t="n">
        <v>10.44615384615385</v>
      </c>
      <c r="K30" s="27" t="n">
        <v>11.31666666666667</v>
      </c>
      <c r="L30" s="27" t="n">
        <v>12.34545454545454</v>
      </c>
      <c r="M30" s="27" t="n">
        <v>13.58</v>
      </c>
      <c r="N30" s="27" t="n">
        <v>15.08888888888889</v>
      </c>
      <c r="O30" s="27" t="n">
        <v>16.975</v>
      </c>
      <c r="P30" s="27" t="n">
        <v>19.4</v>
      </c>
      <c r="Q30" s="27" t="n">
        <v>22.63333333333333</v>
      </c>
      <c r="R30" s="27" t="n">
        <v>27.16</v>
      </c>
      <c r="S30" s="27" t="n">
        <v>33.95</v>
      </c>
      <c r="T30" s="27" t="n">
        <v>45.26666666666667</v>
      </c>
      <c r="U30" s="27" t="n">
        <v>67.89999999999999</v>
      </c>
      <c r="V30" s="27" t="n">
        <v>135.8</v>
      </c>
      <c r="W30" s="27" t="n">
        <v>15.11</v>
      </c>
      <c r="X30" s="27" t="n">
        <v>15.90526315789474</v>
      </c>
      <c r="Y30" s="27" t="n">
        <v>16.78888888888889</v>
      </c>
      <c r="Z30" s="27" t="n">
        <v>17.77647058823529</v>
      </c>
      <c r="AA30" s="27" t="n">
        <v>18.8875</v>
      </c>
      <c r="AB30" s="27" t="n">
        <v>20.14666666666666</v>
      </c>
      <c r="AC30" s="27" t="n">
        <v>21.58571428571429</v>
      </c>
      <c r="AD30" s="27" t="n">
        <v>23.24615384615385</v>
      </c>
      <c r="AE30" s="27" t="n">
        <v>25.18333333333333</v>
      </c>
      <c r="AF30" s="27" t="n">
        <v>27.47272727272727</v>
      </c>
      <c r="AG30" s="27" t="n">
        <v>30.22</v>
      </c>
      <c r="AH30" s="27" t="n">
        <v>33.57777777777778</v>
      </c>
      <c r="AI30" s="27" t="n">
        <v>37.775</v>
      </c>
      <c r="AJ30" s="27" t="n">
        <v>43.17142857142857</v>
      </c>
      <c r="AK30" s="27" t="n">
        <v>50.36666666666667</v>
      </c>
      <c r="AL30" s="27" t="n">
        <v>60.44</v>
      </c>
      <c r="AM30" s="27" t="n">
        <v>75.55</v>
      </c>
      <c r="AN30" s="27" t="n">
        <v>100.7333333333333</v>
      </c>
      <c r="AO30" s="27" t="n">
        <v>151.1</v>
      </c>
      <c r="AP30" s="27" t="n">
        <v>302.2</v>
      </c>
    </row>
    <row r="31">
      <c r="A31" s="6" t="inlineStr">
        <is>
          <t>P25</t>
        </is>
      </c>
      <c r="B31" s="6" t="inlineStr">
        <is>
          <t>Karitel</t>
        </is>
      </c>
      <c r="C31" s="27" t="n">
        <v>5.8</v>
      </c>
      <c r="D31" s="27" t="n">
        <v>6.105263157894737</v>
      </c>
      <c r="E31" s="27" t="n">
        <v>6.444444444444444</v>
      </c>
      <c r="F31" s="27" t="n">
        <v>6.823529411764706</v>
      </c>
      <c r="G31" s="27" t="n">
        <v>7.249999999999999</v>
      </c>
      <c r="H31" s="27" t="n">
        <v>7.733333333333333</v>
      </c>
      <c r="I31" s="27" t="n">
        <v>8.285714285714286</v>
      </c>
      <c r="J31" s="27" t="n">
        <v>8.923076923076923</v>
      </c>
      <c r="K31" s="27" t="n">
        <v>9.666666666666666</v>
      </c>
      <c r="L31" s="27" t="n">
        <v>10.54545454545454</v>
      </c>
      <c r="M31" s="27" t="n">
        <v>11.6</v>
      </c>
      <c r="N31" s="27" t="n">
        <v>12.88888888888889</v>
      </c>
      <c r="O31" s="27" t="n">
        <v>14.5</v>
      </c>
      <c r="P31" s="27" t="n">
        <v>16.57142857142857</v>
      </c>
      <c r="Q31" s="27" t="n">
        <v>19.33333333333333</v>
      </c>
      <c r="R31" s="27" t="n">
        <v>23.2</v>
      </c>
      <c r="S31" s="27" t="n">
        <v>29</v>
      </c>
      <c r="T31" s="27" t="n">
        <v>38.66666666666666</v>
      </c>
      <c r="U31" s="27" t="n">
        <v>57.99999999999999</v>
      </c>
      <c r="V31" s="27" t="n">
        <v>116</v>
      </c>
      <c r="W31" s="27" t="n">
        <v>12.17</v>
      </c>
      <c r="X31" s="27" t="n">
        <v>12.81052631578947</v>
      </c>
      <c r="Y31" s="27" t="n">
        <v>13.52222222222222</v>
      </c>
      <c r="Z31" s="27" t="n">
        <v>14.31764705882353</v>
      </c>
      <c r="AA31" s="27" t="n">
        <v>15.2125</v>
      </c>
      <c r="AB31" s="27" t="n">
        <v>16.22666666666667</v>
      </c>
      <c r="AC31" s="27" t="n">
        <v>17.38571428571429</v>
      </c>
      <c r="AD31" s="27" t="n">
        <v>18.72307692307692</v>
      </c>
      <c r="AE31" s="27" t="n">
        <v>20.28333333333333</v>
      </c>
      <c r="AF31" s="27" t="n">
        <v>22.12727272727273</v>
      </c>
      <c r="AG31" s="27" t="n">
        <v>24.34</v>
      </c>
      <c r="AH31" s="27" t="n">
        <v>27.04444444444444</v>
      </c>
      <c r="AI31" s="27" t="n">
        <v>30.425</v>
      </c>
      <c r="AJ31" s="27" t="n">
        <v>34.77142857142857</v>
      </c>
      <c r="AK31" s="27" t="n">
        <v>40.56666666666667</v>
      </c>
      <c r="AL31" s="27" t="n">
        <v>48.68</v>
      </c>
      <c r="AM31" s="27" t="n">
        <v>60.84999999999999</v>
      </c>
      <c r="AN31" s="27" t="n">
        <v>81.13333333333334</v>
      </c>
      <c r="AO31" s="27" t="n">
        <v>121.7</v>
      </c>
      <c r="AP31" s="27" t="n">
        <v>243.4</v>
      </c>
    </row>
    <row r="32">
      <c r="A32" s="6" t="inlineStr">
        <is>
          <t>P26</t>
        </is>
      </c>
      <c r="B32" s="6" t="inlineStr">
        <is>
          <t>Karitel</t>
        </is>
      </c>
      <c r="C32" s="27" t="n">
        <v>5.46</v>
      </c>
      <c r="D32" s="27" t="n">
        <v>5.747368421052632</v>
      </c>
      <c r="E32" s="27" t="n">
        <v>6.066666666666666</v>
      </c>
      <c r="F32" s="27" t="n">
        <v>6.423529411764706</v>
      </c>
      <c r="G32" s="27" t="n">
        <v>6.824999999999999</v>
      </c>
      <c r="H32" s="27" t="n">
        <v>7.28</v>
      </c>
      <c r="I32" s="27" t="n">
        <v>7.800000000000001</v>
      </c>
      <c r="J32" s="27" t="n">
        <v>8.4</v>
      </c>
      <c r="K32" s="27" t="n">
        <v>9.1</v>
      </c>
      <c r="L32" s="27" t="n">
        <v>9.927272727272726</v>
      </c>
      <c r="M32" s="27" t="n">
        <v>10.92</v>
      </c>
      <c r="N32" s="27" t="n">
        <v>12.13333333333333</v>
      </c>
      <c r="O32" s="27" t="n">
        <v>13.65</v>
      </c>
      <c r="P32" s="27" t="n">
        <v>15.6</v>
      </c>
      <c r="Q32" s="27" t="n">
        <v>18.2</v>
      </c>
      <c r="R32" s="27" t="n">
        <v>21.84</v>
      </c>
      <c r="S32" s="27" t="n">
        <v>27.3</v>
      </c>
      <c r="T32" s="27" t="n">
        <v>36.4</v>
      </c>
      <c r="U32" s="27" t="n">
        <v>54.59999999999999</v>
      </c>
      <c r="V32" s="27" t="n">
        <v>109.2</v>
      </c>
      <c r="W32" s="27" t="n">
        <v>15.11</v>
      </c>
      <c r="X32" s="27" t="n">
        <v>15.90526315789474</v>
      </c>
      <c r="Y32" s="27" t="n">
        <v>16.78888888888889</v>
      </c>
      <c r="Z32" s="27" t="n">
        <v>17.77647058823529</v>
      </c>
      <c r="AA32" s="27" t="n">
        <v>18.8875</v>
      </c>
      <c r="AB32" s="27" t="n">
        <v>20.14666666666666</v>
      </c>
      <c r="AC32" s="27" t="n">
        <v>21.58571428571429</v>
      </c>
      <c r="AD32" s="27" t="n">
        <v>23.24615384615385</v>
      </c>
      <c r="AE32" s="27" t="n">
        <v>25.18333333333333</v>
      </c>
      <c r="AF32" s="27" t="n">
        <v>27.47272727272727</v>
      </c>
      <c r="AG32" s="27" t="n">
        <v>30.22</v>
      </c>
      <c r="AH32" s="27" t="n">
        <v>33.57777777777778</v>
      </c>
      <c r="AI32" s="27" t="n">
        <v>37.775</v>
      </c>
      <c r="AJ32" s="27" t="n">
        <v>43.17142857142857</v>
      </c>
      <c r="AK32" s="27" t="n">
        <v>50.36666666666667</v>
      </c>
      <c r="AL32" s="27" t="n">
        <v>60.44</v>
      </c>
      <c r="AM32" s="27" t="n">
        <v>75.55</v>
      </c>
      <c r="AN32" s="27" t="n">
        <v>100.7333333333333</v>
      </c>
      <c r="AO32" s="27" t="n">
        <v>151.1</v>
      </c>
      <c r="AP32" s="27" t="n">
        <v>302.2</v>
      </c>
    </row>
    <row r="33">
      <c r="A33" s="6" t="inlineStr">
        <is>
          <t>P27</t>
        </is>
      </c>
      <c r="B33" s="6" t="inlineStr">
        <is>
          <t>Karitel</t>
        </is>
      </c>
      <c r="C33" s="27" t="n">
        <v>4.4</v>
      </c>
      <c r="D33" s="27" t="n">
        <v>4.631578947368421</v>
      </c>
      <c r="E33" s="27" t="n">
        <v>4.888888888888889</v>
      </c>
      <c r="F33" s="27" t="n">
        <v>5.176470588235294</v>
      </c>
      <c r="G33" s="27" t="n">
        <v>5.5</v>
      </c>
      <c r="H33" s="27" t="n">
        <v>5.866666666666667</v>
      </c>
      <c r="I33" s="27" t="n">
        <v>6.285714285714286</v>
      </c>
      <c r="J33" s="27" t="n">
        <v>6.769230769230769</v>
      </c>
      <c r="K33" s="27" t="n">
        <v>7.333333333333334</v>
      </c>
      <c r="L33" s="27" t="n">
        <v>8</v>
      </c>
      <c r="M33" s="27" t="n">
        <v>8.800000000000001</v>
      </c>
      <c r="N33" s="27" t="n">
        <v>9.777777777777779</v>
      </c>
      <c r="O33" s="27" t="n">
        <v>11</v>
      </c>
      <c r="P33" s="27" t="n">
        <v>12.57142857142857</v>
      </c>
      <c r="Q33" s="27" t="n">
        <v>14.66666666666667</v>
      </c>
      <c r="R33" s="27" t="n">
        <v>17.6</v>
      </c>
      <c r="S33" s="27" t="n">
        <v>22</v>
      </c>
      <c r="T33" s="27" t="n">
        <v>29.33333333333334</v>
      </c>
      <c r="U33" s="27" t="n">
        <v>44</v>
      </c>
      <c r="V33" s="27" t="n">
        <v>88</v>
      </c>
      <c r="W33" s="27" t="n">
        <v>12.17</v>
      </c>
      <c r="X33" s="27" t="n">
        <v>12.81052631578947</v>
      </c>
      <c r="Y33" s="27" t="n">
        <v>13.52222222222222</v>
      </c>
      <c r="Z33" s="27" t="n">
        <v>14.31764705882353</v>
      </c>
      <c r="AA33" s="27" t="n">
        <v>15.2125</v>
      </c>
      <c r="AB33" s="27" t="n">
        <v>16.22666666666667</v>
      </c>
      <c r="AC33" s="27" t="n">
        <v>17.38571428571429</v>
      </c>
      <c r="AD33" s="27" t="n">
        <v>18.72307692307692</v>
      </c>
      <c r="AE33" s="27" t="n">
        <v>20.28333333333333</v>
      </c>
      <c r="AF33" s="27" t="n">
        <v>22.12727272727273</v>
      </c>
      <c r="AG33" s="27" t="n">
        <v>24.34</v>
      </c>
      <c r="AH33" s="27" t="n">
        <v>27.04444444444444</v>
      </c>
      <c r="AI33" s="27" t="n">
        <v>30.425</v>
      </c>
      <c r="AJ33" s="27" t="n">
        <v>34.77142857142857</v>
      </c>
      <c r="AK33" s="27" t="n">
        <v>40.56666666666667</v>
      </c>
      <c r="AL33" s="27" t="n">
        <v>48.68</v>
      </c>
      <c r="AM33" s="27" t="n">
        <v>60.84999999999999</v>
      </c>
      <c r="AN33" s="27" t="n">
        <v>81.13333333333334</v>
      </c>
      <c r="AO33" s="27" t="n">
        <v>121.7</v>
      </c>
      <c r="AP33" s="27" t="n">
        <v>243.4</v>
      </c>
    </row>
    <row r="34">
      <c r="A34" s="6" t="inlineStr">
        <is>
          <t>P28</t>
        </is>
      </c>
      <c r="B34" s="6" t="inlineStr">
        <is>
          <t>Karitel</t>
        </is>
      </c>
      <c r="C34" s="27" t="n">
        <v>6.435</v>
      </c>
      <c r="D34" s="27" t="n">
        <v>6.773684210526316</v>
      </c>
      <c r="E34" s="27" t="n">
        <v>7.149999999999999</v>
      </c>
      <c r="F34" s="27" t="n">
        <v>7.570588235294117</v>
      </c>
      <c r="G34" s="27" t="n">
        <v>8.043749999999999</v>
      </c>
      <c r="H34" s="27" t="n">
        <v>8.58</v>
      </c>
      <c r="I34" s="27" t="n">
        <v>9.192857142857143</v>
      </c>
      <c r="J34" s="27" t="n">
        <v>9.899999999999999</v>
      </c>
      <c r="K34" s="27" t="n">
        <v>10.725</v>
      </c>
      <c r="L34" s="27" t="n">
        <v>11.7</v>
      </c>
      <c r="M34" s="27" t="n">
        <v>12.87</v>
      </c>
      <c r="N34" s="27" t="n">
        <v>14.3</v>
      </c>
      <c r="O34" s="27" t="n">
        <v>16.0875</v>
      </c>
      <c r="P34" s="27" t="n">
        <v>18.38571428571429</v>
      </c>
      <c r="Q34" s="27" t="n">
        <v>21.45</v>
      </c>
      <c r="R34" s="27" t="n">
        <v>25.74</v>
      </c>
      <c r="S34" s="27" t="n">
        <v>32.175</v>
      </c>
      <c r="T34" s="27" t="n">
        <v>42.9</v>
      </c>
      <c r="U34" s="27" t="n">
        <v>64.34999999999999</v>
      </c>
      <c r="V34" s="27" t="n">
        <v>128.7</v>
      </c>
      <c r="W34" s="27" t="n">
        <v>14.13</v>
      </c>
      <c r="X34" s="27" t="n">
        <v>14.87368421052632</v>
      </c>
      <c r="Y34" s="27" t="n">
        <v>15.7</v>
      </c>
      <c r="Z34" s="27" t="n">
        <v>16.62352941176471</v>
      </c>
      <c r="AA34" s="27" t="n">
        <v>17.6625</v>
      </c>
      <c r="AB34" s="27" t="n">
        <v>18.84</v>
      </c>
      <c r="AC34" s="27" t="n">
        <v>20.18571428571429</v>
      </c>
      <c r="AD34" s="27" t="n">
        <v>21.73846153846154</v>
      </c>
      <c r="AE34" s="27" t="n">
        <v>23.55</v>
      </c>
      <c r="AF34" s="27" t="n">
        <v>25.69090909090909</v>
      </c>
      <c r="AG34" s="27" t="n">
        <v>28.26</v>
      </c>
      <c r="AH34" s="27" t="n">
        <v>31.4</v>
      </c>
      <c r="AI34" s="27" t="n">
        <v>35.325</v>
      </c>
      <c r="AJ34" s="27" t="n">
        <v>40.37142857142857</v>
      </c>
      <c r="AK34" s="27" t="n">
        <v>47.1</v>
      </c>
      <c r="AL34" s="27" t="n">
        <v>56.52</v>
      </c>
      <c r="AM34" s="27" t="n">
        <v>70.65000000000001</v>
      </c>
      <c r="AN34" s="27" t="n">
        <v>94.2</v>
      </c>
      <c r="AO34" s="27" t="n">
        <v>141.3</v>
      </c>
      <c r="AP34" s="27" t="n">
        <v>282.6</v>
      </c>
    </row>
    <row r="35">
      <c r="A35" s="6" t="inlineStr">
        <is>
          <t>P29</t>
        </is>
      </c>
      <c r="B35" s="6" t="inlineStr">
        <is>
          <t>Karitel</t>
        </is>
      </c>
      <c r="C35" s="27" t="n">
        <v>5.14</v>
      </c>
      <c r="D35" s="27" t="n">
        <v>5.410526315789474</v>
      </c>
      <c r="E35" s="27" t="n">
        <v>5.71111111111111</v>
      </c>
      <c r="F35" s="27" t="n">
        <v>6.047058823529412</v>
      </c>
      <c r="G35" s="27" t="n">
        <v>6.424999999999999</v>
      </c>
      <c r="H35" s="27" t="n">
        <v>6.853333333333333</v>
      </c>
      <c r="I35" s="27" t="n">
        <v>7.342857142857143</v>
      </c>
      <c r="J35" s="27" t="n">
        <v>7.907692307692307</v>
      </c>
      <c r="K35" s="27" t="n">
        <v>8.566666666666666</v>
      </c>
      <c r="L35" s="27" t="n">
        <v>9.345454545454544</v>
      </c>
      <c r="M35" s="27" t="n">
        <v>10.28</v>
      </c>
      <c r="N35" s="27" t="n">
        <v>11.42222222222222</v>
      </c>
      <c r="O35" s="27" t="n">
        <v>12.85</v>
      </c>
      <c r="P35" s="27" t="n">
        <v>14.68571428571429</v>
      </c>
      <c r="Q35" s="27" t="n">
        <v>17.13333333333333</v>
      </c>
      <c r="R35" s="27" t="n">
        <v>20.56</v>
      </c>
      <c r="S35" s="27" t="n">
        <v>25.7</v>
      </c>
      <c r="T35" s="27" t="n">
        <v>34.26666666666667</v>
      </c>
      <c r="U35" s="27" t="n">
        <v>51.39999999999999</v>
      </c>
      <c r="V35" s="27" t="n">
        <v>102.8</v>
      </c>
      <c r="W35" s="27" t="n">
        <v>10.79</v>
      </c>
      <c r="X35" s="27" t="n">
        <v>11.35789473684211</v>
      </c>
      <c r="Y35" s="27" t="n">
        <v>11.98888888888889</v>
      </c>
      <c r="Z35" s="27" t="n">
        <v>12.69411764705882</v>
      </c>
      <c r="AA35" s="27" t="n">
        <v>13.4875</v>
      </c>
      <c r="AB35" s="27" t="n">
        <v>14.38666666666666</v>
      </c>
      <c r="AC35" s="27" t="n">
        <v>15.41428571428571</v>
      </c>
      <c r="AD35" s="27" t="n">
        <v>16.6</v>
      </c>
      <c r="AE35" s="27" t="n">
        <v>17.98333333333333</v>
      </c>
      <c r="AF35" s="27" t="n">
        <v>19.61818181818181</v>
      </c>
      <c r="AG35" s="27" t="n">
        <v>21.58</v>
      </c>
      <c r="AH35" s="27" t="n">
        <v>23.97777777777777</v>
      </c>
      <c r="AI35" s="27" t="n">
        <v>26.975</v>
      </c>
      <c r="AJ35" s="27" t="n">
        <v>30.82857142857143</v>
      </c>
      <c r="AK35" s="27" t="n">
        <v>35.96666666666667</v>
      </c>
      <c r="AL35" s="27" t="n">
        <v>43.16</v>
      </c>
      <c r="AM35" s="27" t="n">
        <v>53.95</v>
      </c>
      <c r="AN35" s="27" t="n">
        <v>71.93333333333334</v>
      </c>
      <c r="AO35" s="27" t="n">
        <v>107.9</v>
      </c>
      <c r="AP35" s="27" t="n">
        <v>215.8</v>
      </c>
    </row>
    <row r="36">
      <c r="A36" s="6" t="inlineStr">
        <is>
          <t>P30</t>
        </is>
      </c>
      <c r="B36" s="6" t="inlineStr">
        <is>
          <t>Karitel</t>
        </is>
      </c>
      <c r="C36" s="27" t="n">
        <v>6.36</v>
      </c>
      <c r="D36" s="27" t="n">
        <v>6.694736842105264</v>
      </c>
      <c r="E36" s="27" t="n">
        <v>7.066666666666666</v>
      </c>
      <c r="F36" s="27" t="n">
        <v>7.482352941176472</v>
      </c>
      <c r="G36" s="27" t="n">
        <v>7.95</v>
      </c>
      <c r="H36" s="27" t="n">
        <v>8.48</v>
      </c>
      <c r="I36" s="27" t="n">
        <v>9.085714285714287</v>
      </c>
      <c r="J36" s="27" t="n">
        <v>9.784615384615385</v>
      </c>
      <c r="K36" s="27" t="n">
        <v>10.6</v>
      </c>
      <c r="L36" s="27" t="n">
        <v>11.56363636363636</v>
      </c>
      <c r="M36" s="27" t="n">
        <v>12.72</v>
      </c>
      <c r="N36" s="27" t="n">
        <v>14.13333333333333</v>
      </c>
      <c r="O36" s="27" t="n">
        <v>15.9</v>
      </c>
      <c r="P36" s="27" t="n">
        <v>18.17142857142857</v>
      </c>
      <c r="Q36" s="27" t="n">
        <v>21.2</v>
      </c>
      <c r="R36" s="27" t="n">
        <v>25.44</v>
      </c>
      <c r="S36" s="27" t="n">
        <v>31.8</v>
      </c>
      <c r="T36" s="27" t="n">
        <v>42.40000000000001</v>
      </c>
      <c r="U36" s="27" t="n">
        <v>63.6</v>
      </c>
      <c r="V36" s="27" t="n">
        <v>127.2</v>
      </c>
      <c r="W36" s="27" t="n">
        <v>15.11</v>
      </c>
      <c r="X36" s="27" t="n">
        <v>15.90526315789474</v>
      </c>
      <c r="Y36" s="27" t="n">
        <v>16.78888888888889</v>
      </c>
      <c r="Z36" s="27" t="n">
        <v>17.77647058823529</v>
      </c>
      <c r="AA36" s="27" t="n">
        <v>18.8875</v>
      </c>
      <c r="AB36" s="27" t="n">
        <v>20.14666666666666</v>
      </c>
      <c r="AC36" s="27" t="n">
        <v>21.58571428571429</v>
      </c>
      <c r="AD36" s="27" t="n">
        <v>23.24615384615385</v>
      </c>
      <c r="AE36" s="27" t="n">
        <v>25.18333333333333</v>
      </c>
      <c r="AF36" s="27" t="n">
        <v>27.47272727272727</v>
      </c>
      <c r="AG36" s="27" t="n">
        <v>30.22</v>
      </c>
      <c r="AH36" s="27" t="n">
        <v>33.57777777777778</v>
      </c>
      <c r="AI36" s="27" t="n">
        <v>37.775</v>
      </c>
      <c r="AJ36" s="27" t="n">
        <v>43.17142857142857</v>
      </c>
      <c r="AK36" s="27" t="n">
        <v>50.36666666666667</v>
      </c>
      <c r="AL36" s="27" t="n">
        <v>60.44</v>
      </c>
      <c r="AM36" s="27" t="n">
        <v>75.55</v>
      </c>
      <c r="AN36" s="27" t="n">
        <v>100.7333333333333</v>
      </c>
      <c r="AO36" s="27" t="n">
        <v>151.1</v>
      </c>
      <c r="AP36" s="27" t="n">
        <v>302.2</v>
      </c>
    </row>
    <row r="37">
      <c r="A37" s="6" t="inlineStr">
        <is>
          <t>P31</t>
        </is>
      </c>
      <c r="B37" s="6" t="inlineStr">
        <is>
          <t>Karitel</t>
        </is>
      </c>
      <c r="C37" s="27" t="n">
        <v>6.42</v>
      </c>
      <c r="D37" s="27" t="n">
        <v>6.757894736842106</v>
      </c>
      <c r="E37" s="27" t="n">
        <v>7.133333333333333</v>
      </c>
      <c r="F37" s="27" t="n">
        <v>7.552941176470588</v>
      </c>
      <c r="G37" s="27" t="n">
        <v>8.024999999999999</v>
      </c>
      <c r="H37" s="27" t="n">
        <v>8.56</v>
      </c>
      <c r="I37" s="27" t="n">
        <v>9.171428571428573</v>
      </c>
      <c r="J37" s="27" t="n">
        <v>9.876923076923077</v>
      </c>
      <c r="K37" s="27" t="n">
        <v>10.7</v>
      </c>
      <c r="L37" s="27" t="n">
        <v>11.67272727272727</v>
      </c>
      <c r="M37" s="27" t="n">
        <v>12.84</v>
      </c>
      <c r="N37" s="27" t="n">
        <v>14.26666666666667</v>
      </c>
      <c r="O37" s="27" t="n">
        <v>16.05</v>
      </c>
      <c r="P37" s="27" t="n">
        <v>18.34285714285715</v>
      </c>
      <c r="Q37" s="27" t="n">
        <v>21.4</v>
      </c>
      <c r="R37" s="27" t="n">
        <v>25.68</v>
      </c>
      <c r="S37" s="27" t="n">
        <v>32.09999999999999</v>
      </c>
      <c r="T37" s="27" t="n">
        <v>42.8</v>
      </c>
      <c r="U37" s="27" t="n">
        <v>64.19999999999999</v>
      </c>
      <c r="V37" s="27" t="n">
        <v>128.4</v>
      </c>
      <c r="W37" s="27" t="n">
        <v>15.11</v>
      </c>
      <c r="X37" s="27" t="n">
        <v>15.90526315789474</v>
      </c>
      <c r="Y37" s="27" t="n">
        <v>16.78888888888889</v>
      </c>
      <c r="Z37" s="27" t="n">
        <v>17.77647058823529</v>
      </c>
      <c r="AA37" s="27" t="n">
        <v>18.8875</v>
      </c>
      <c r="AB37" s="27" t="n">
        <v>20.14666666666666</v>
      </c>
      <c r="AC37" s="27" t="n">
        <v>21.58571428571429</v>
      </c>
      <c r="AD37" s="27" t="n">
        <v>23.24615384615385</v>
      </c>
      <c r="AE37" s="27" t="n">
        <v>25.18333333333333</v>
      </c>
      <c r="AF37" s="27" t="n">
        <v>27.47272727272727</v>
      </c>
      <c r="AG37" s="27" t="n">
        <v>30.22</v>
      </c>
      <c r="AH37" s="27" t="n">
        <v>33.57777777777778</v>
      </c>
      <c r="AI37" s="27" t="n">
        <v>37.775</v>
      </c>
      <c r="AJ37" s="27" t="n">
        <v>43.17142857142857</v>
      </c>
      <c r="AK37" s="27" t="n">
        <v>50.36666666666667</v>
      </c>
      <c r="AL37" s="27" t="n">
        <v>60.44</v>
      </c>
      <c r="AM37" s="27" t="n">
        <v>75.55</v>
      </c>
      <c r="AN37" s="27" t="n">
        <v>100.7333333333333</v>
      </c>
      <c r="AO37" s="27" t="n">
        <v>151.1</v>
      </c>
      <c r="AP37" s="27" t="n">
        <v>302.2</v>
      </c>
    </row>
    <row r="38">
      <c r="A38" s="6" t="inlineStr">
        <is>
          <t>P32</t>
        </is>
      </c>
      <c r="B38" s="6" t="inlineStr">
        <is>
          <t>Karitel</t>
        </is>
      </c>
      <c r="C38" s="27" t="n">
        <v>6.695</v>
      </c>
      <c r="D38" s="27" t="n">
        <v>7.047368421052632</v>
      </c>
      <c r="E38" s="27" t="n">
        <v>7.438888888888889</v>
      </c>
      <c r="F38" s="27" t="n">
        <v>7.876470588235295</v>
      </c>
      <c r="G38" s="27" t="n">
        <v>8.36875</v>
      </c>
      <c r="H38" s="27" t="n">
        <v>8.926666666666668</v>
      </c>
      <c r="I38" s="27" t="n">
        <v>9.564285714285715</v>
      </c>
      <c r="J38" s="27" t="n">
        <v>10.3</v>
      </c>
      <c r="K38" s="27" t="n">
        <v>11.15833333333333</v>
      </c>
      <c r="L38" s="27" t="n">
        <v>12.17272727272727</v>
      </c>
      <c r="M38" s="27" t="n">
        <v>13.39</v>
      </c>
      <c r="N38" s="27" t="n">
        <v>14.87777777777778</v>
      </c>
      <c r="O38" s="27" t="n">
        <v>16.7375</v>
      </c>
      <c r="P38" s="27" t="n">
        <v>19.12857142857143</v>
      </c>
      <c r="Q38" s="27" t="n">
        <v>22.31666666666667</v>
      </c>
      <c r="R38" s="27" t="n">
        <v>26.78</v>
      </c>
      <c r="S38" s="27" t="n">
        <v>33.475</v>
      </c>
      <c r="T38" s="27" t="n">
        <v>44.63333333333334</v>
      </c>
      <c r="U38" s="27" t="n">
        <v>66.95</v>
      </c>
      <c r="V38" s="27" t="n">
        <v>133.9</v>
      </c>
      <c r="W38" s="27" t="n">
        <v>14.5</v>
      </c>
      <c r="X38" s="27" t="n">
        <v>15.26315789473684</v>
      </c>
      <c r="Y38" s="27" t="n">
        <v>16.11111111111111</v>
      </c>
      <c r="Z38" s="27" t="n">
        <v>17.05882352941176</v>
      </c>
      <c r="AA38" s="27" t="n">
        <v>18.125</v>
      </c>
      <c r="AB38" s="27" t="n">
        <v>19.33333333333333</v>
      </c>
      <c r="AC38" s="27" t="n">
        <v>20.71428571428572</v>
      </c>
      <c r="AD38" s="27" t="n">
        <v>22.30769230769231</v>
      </c>
      <c r="AE38" s="27" t="n">
        <v>24.16666666666667</v>
      </c>
      <c r="AF38" s="27" t="n">
        <v>26.36363636363636</v>
      </c>
      <c r="AG38" s="27" t="n">
        <v>29</v>
      </c>
      <c r="AH38" s="27" t="n">
        <v>32.22222222222221</v>
      </c>
      <c r="AI38" s="27" t="n">
        <v>36.25</v>
      </c>
      <c r="AJ38" s="27" t="n">
        <v>41.42857142857142</v>
      </c>
      <c r="AK38" s="27" t="n">
        <v>48.33333333333334</v>
      </c>
      <c r="AL38" s="27" t="n">
        <v>57.99999999999999</v>
      </c>
      <c r="AM38" s="27" t="n">
        <v>72.5</v>
      </c>
      <c r="AN38" s="27" t="n">
        <v>96.66666666666664</v>
      </c>
      <c r="AO38" s="27" t="n">
        <v>145</v>
      </c>
      <c r="AP38" s="27" t="n">
        <v>289.9999999999999</v>
      </c>
    </row>
    <row r="39">
      <c r="A39" s="6" t="inlineStr">
        <is>
          <t>P33</t>
        </is>
      </c>
      <c r="B39" s="6" t="inlineStr">
        <is>
          <t>Karitel</t>
        </is>
      </c>
      <c r="C39" s="27" t="n">
        <v>6</v>
      </c>
      <c r="D39" s="27" t="n">
        <v>6.315789473684211</v>
      </c>
      <c r="E39" s="27" t="n">
        <v>6.666666666666666</v>
      </c>
      <c r="F39" s="27" t="n">
        <v>7.058823529411764</v>
      </c>
      <c r="G39" s="27" t="n">
        <v>7.5</v>
      </c>
      <c r="H39" s="27" t="n">
        <v>8</v>
      </c>
      <c r="I39" s="27" t="n">
        <v>8.571428571428571</v>
      </c>
      <c r="J39" s="27" t="n">
        <v>9.23076923076923</v>
      </c>
      <c r="K39" s="27" t="n">
        <v>10</v>
      </c>
      <c r="L39" s="27" t="n">
        <v>10.90909090909091</v>
      </c>
      <c r="M39" s="27" t="n">
        <v>12</v>
      </c>
      <c r="N39" s="27" t="n">
        <v>13.33333333333333</v>
      </c>
      <c r="O39" s="27" t="n">
        <v>15</v>
      </c>
      <c r="P39" s="27" t="n">
        <v>17.14285714285714</v>
      </c>
      <c r="Q39" s="27" t="n">
        <v>20</v>
      </c>
      <c r="R39" s="27" t="n">
        <v>24</v>
      </c>
      <c r="S39" s="27" t="n">
        <v>30</v>
      </c>
      <c r="T39" s="27" t="n">
        <v>40</v>
      </c>
      <c r="U39" s="27" t="n">
        <v>60</v>
      </c>
      <c r="V39" s="27" t="n">
        <v>120</v>
      </c>
      <c r="W39" s="27" t="n">
        <v>14.18</v>
      </c>
      <c r="X39" s="27" t="n">
        <v>14.92631578947369</v>
      </c>
      <c r="Y39" s="27" t="n">
        <v>15.75555555555555</v>
      </c>
      <c r="Z39" s="27" t="n">
        <v>16.68235294117647</v>
      </c>
      <c r="AA39" s="27" t="n">
        <v>17.725</v>
      </c>
      <c r="AB39" s="27" t="n">
        <v>18.90666666666667</v>
      </c>
      <c r="AC39" s="27" t="n">
        <v>20.25714285714286</v>
      </c>
      <c r="AD39" s="27" t="n">
        <v>21.81538461538461</v>
      </c>
      <c r="AE39" s="27" t="n">
        <v>23.63333333333333</v>
      </c>
      <c r="AF39" s="27" t="n">
        <v>25.78181818181818</v>
      </c>
      <c r="AG39" s="27" t="n">
        <v>28.36</v>
      </c>
      <c r="AH39" s="27" t="n">
        <v>31.51111111111111</v>
      </c>
      <c r="AI39" s="27" t="n">
        <v>35.45</v>
      </c>
      <c r="AJ39" s="27" t="n">
        <v>40.51428571428572</v>
      </c>
      <c r="AK39" s="27" t="n">
        <v>47.26666666666667</v>
      </c>
      <c r="AL39" s="27" t="n">
        <v>56.72000000000001</v>
      </c>
      <c r="AM39" s="27" t="n">
        <v>70.89999999999999</v>
      </c>
      <c r="AN39" s="27" t="n">
        <v>94.53333333333335</v>
      </c>
      <c r="AO39" s="27" t="n">
        <v>141.8</v>
      </c>
      <c r="AP39" s="27" t="n">
        <v>283.6</v>
      </c>
    </row>
    <row r="40">
      <c r="A40" s="6" t="inlineStr">
        <is>
          <t>P34</t>
        </is>
      </c>
      <c r="B40" s="6" t="inlineStr">
        <is>
          <t>Karitel</t>
        </is>
      </c>
      <c r="C40" s="27" t="n">
        <v>6.72</v>
      </c>
      <c r="D40" s="27" t="n">
        <v>7.073684210526316</v>
      </c>
      <c r="E40" s="27" t="n">
        <v>7.466666666666666</v>
      </c>
      <c r="F40" s="27" t="n">
        <v>7.905882352941177</v>
      </c>
      <c r="G40" s="27" t="n">
        <v>8.399999999999999</v>
      </c>
      <c r="H40" s="27" t="n">
        <v>8.959999999999999</v>
      </c>
      <c r="I40" s="27" t="n">
        <v>9.6</v>
      </c>
      <c r="J40" s="27" t="n">
        <v>10.33846153846154</v>
      </c>
      <c r="K40" s="27" t="n">
        <v>11.2</v>
      </c>
      <c r="L40" s="27" t="n">
        <v>12.21818181818182</v>
      </c>
      <c r="M40" s="27" t="n">
        <v>13.44</v>
      </c>
      <c r="N40" s="27" t="n">
        <v>14.93333333333333</v>
      </c>
      <c r="O40" s="27" t="n">
        <v>16.8</v>
      </c>
      <c r="P40" s="27" t="n">
        <v>19.2</v>
      </c>
      <c r="Q40" s="27" t="n">
        <v>22.4</v>
      </c>
      <c r="R40" s="27" t="n">
        <v>26.88</v>
      </c>
      <c r="S40" s="27" t="n">
        <v>33.59999999999999</v>
      </c>
      <c r="T40" s="27" t="n">
        <v>44.8</v>
      </c>
      <c r="U40" s="27" t="n">
        <v>67.19999999999999</v>
      </c>
      <c r="V40" s="27" t="n">
        <v>134.4</v>
      </c>
      <c r="W40" s="27" t="n">
        <v>15.11</v>
      </c>
      <c r="X40" s="27" t="n">
        <v>15.90526315789474</v>
      </c>
      <c r="Y40" s="27" t="n">
        <v>16.78888888888889</v>
      </c>
      <c r="Z40" s="27" t="n">
        <v>17.77647058823529</v>
      </c>
      <c r="AA40" s="27" t="n">
        <v>18.8875</v>
      </c>
      <c r="AB40" s="27" t="n">
        <v>20.14666666666666</v>
      </c>
      <c r="AC40" s="27" t="n">
        <v>21.58571428571429</v>
      </c>
      <c r="AD40" s="27" t="n">
        <v>23.24615384615385</v>
      </c>
      <c r="AE40" s="27" t="n">
        <v>25.18333333333333</v>
      </c>
      <c r="AF40" s="27" t="n">
        <v>27.47272727272727</v>
      </c>
      <c r="AG40" s="27" t="n">
        <v>30.22</v>
      </c>
      <c r="AH40" s="27" t="n">
        <v>33.57777777777778</v>
      </c>
      <c r="AI40" s="27" t="n">
        <v>37.775</v>
      </c>
      <c r="AJ40" s="27" t="n">
        <v>43.17142857142857</v>
      </c>
      <c r="AK40" s="27" t="n">
        <v>50.36666666666667</v>
      </c>
      <c r="AL40" s="27" t="n">
        <v>60.44</v>
      </c>
      <c r="AM40" s="27" t="n">
        <v>75.55</v>
      </c>
      <c r="AN40" s="27" t="n">
        <v>100.7333333333333</v>
      </c>
      <c r="AO40" s="27" t="n">
        <v>151.1</v>
      </c>
      <c r="AP40" s="27" t="n">
        <v>302.2</v>
      </c>
    </row>
    <row r="41">
      <c r="A41" s="6" t="inlineStr">
        <is>
          <t>P35</t>
        </is>
      </c>
      <c r="B41" s="6" t="inlineStr">
        <is>
          <t>Karitel</t>
        </is>
      </c>
      <c r="C41" s="27" t="n">
        <v>7.08</v>
      </c>
      <c r="D41" s="27" t="n">
        <v>7.452631578947368</v>
      </c>
      <c r="E41" s="27" t="n">
        <v>7.866666666666666</v>
      </c>
      <c r="F41" s="27" t="n">
        <v>8.329411764705883</v>
      </c>
      <c r="G41" s="27" t="n">
        <v>8.85</v>
      </c>
      <c r="H41" s="27" t="n">
        <v>9.44</v>
      </c>
      <c r="I41" s="27" t="n">
        <v>10.11428571428572</v>
      </c>
      <c r="J41" s="27" t="n">
        <v>10.89230769230769</v>
      </c>
      <c r="K41" s="27" t="n">
        <v>11.8</v>
      </c>
      <c r="L41" s="27" t="n">
        <v>12.87272727272727</v>
      </c>
      <c r="M41" s="27" t="n">
        <v>14.16</v>
      </c>
      <c r="N41" s="27" t="n">
        <v>15.73333333333333</v>
      </c>
      <c r="O41" s="27" t="n">
        <v>17.7</v>
      </c>
      <c r="P41" s="27" t="n">
        <v>20.22857142857143</v>
      </c>
      <c r="Q41" s="27" t="n">
        <v>23.6</v>
      </c>
      <c r="R41" s="27" t="n">
        <v>28.32</v>
      </c>
      <c r="S41" s="27" t="n">
        <v>35.4</v>
      </c>
      <c r="T41" s="27" t="n">
        <v>47.2</v>
      </c>
      <c r="U41" s="27" t="n">
        <v>70.8</v>
      </c>
      <c r="V41" s="27" t="n">
        <v>141.6</v>
      </c>
      <c r="W41" s="27" t="n">
        <v>15.58</v>
      </c>
      <c r="X41" s="27" t="n">
        <v>16.4</v>
      </c>
      <c r="Y41" s="27" t="n">
        <v>17.31111111111111</v>
      </c>
      <c r="Z41" s="27" t="n">
        <v>18.32941176470588</v>
      </c>
      <c r="AA41" s="27" t="n">
        <v>19.475</v>
      </c>
      <c r="AB41" s="27" t="n">
        <v>20.77333333333333</v>
      </c>
      <c r="AC41" s="27" t="n">
        <v>22.25714285714286</v>
      </c>
      <c r="AD41" s="27" t="n">
        <v>23.96923076923077</v>
      </c>
      <c r="AE41" s="27" t="n">
        <v>25.96666666666667</v>
      </c>
      <c r="AF41" s="27" t="n">
        <v>28.32727272727272</v>
      </c>
      <c r="AG41" s="27" t="n">
        <v>31.16</v>
      </c>
      <c r="AH41" s="27" t="n">
        <v>34.62222222222222</v>
      </c>
      <c r="AI41" s="27" t="n">
        <v>38.95</v>
      </c>
      <c r="AJ41" s="27" t="n">
        <v>44.51428571428572</v>
      </c>
      <c r="AK41" s="27" t="n">
        <v>51.93333333333334</v>
      </c>
      <c r="AL41" s="27" t="n">
        <v>62.32</v>
      </c>
      <c r="AM41" s="27" t="n">
        <v>77.89999999999999</v>
      </c>
      <c r="AN41" s="27" t="n">
        <v>103.8666666666667</v>
      </c>
      <c r="AO41" s="27" t="n">
        <v>155.8</v>
      </c>
      <c r="AP41" s="27" t="n">
        <v>311.6</v>
      </c>
    </row>
    <row r="42">
      <c r="A42" s="6" t="inlineStr">
        <is>
          <t>P36</t>
        </is>
      </c>
      <c r="B42" s="6" t="inlineStr">
        <is>
          <t>Karitel</t>
        </is>
      </c>
      <c r="C42" s="27" t="n">
        <v>7.14</v>
      </c>
      <c r="D42" s="27" t="n">
        <v>7.515789473684211</v>
      </c>
      <c r="E42" s="27" t="n">
        <v>7.933333333333333</v>
      </c>
      <c r="F42" s="27" t="n">
        <v>8.4</v>
      </c>
      <c r="G42" s="27" t="n">
        <v>8.924999999999999</v>
      </c>
      <c r="H42" s="27" t="n">
        <v>9.52</v>
      </c>
      <c r="I42" s="27" t="n">
        <v>10.2</v>
      </c>
      <c r="J42" s="27" t="n">
        <v>10.98461538461538</v>
      </c>
      <c r="K42" s="27" t="n">
        <v>11.9</v>
      </c>
      <c r="L42" s="27" t="n">
        <v>12.98181818181818</v>
      </c>
      <c r="M42" s="27" t="n">
        <v>14.28</v>
      </c>
      <c r="N42" s="27" t="n">
        <v>15.86666666666667</v>
      </c>
      <c r="O42" s="27" t="n">
        <v>17.85</v>
      </c>
      <c r="P42" s="27" t="n">
        <v>20.4</v>
      </c>
      <c r="Q42" s="27" t="n">
        <v>23.8</v>
      </c>
      <c r="R42" s="27" t="n">
        <v>28.56</v>
      </c>
      <c r="S42" s="27" t="n">
        <v>35.7</v>
      </c>
      <c r="T42" s="27" t="n">
        <v>47.6</v>
      </c>
      <c r="U42" s="27" t="n">
        <v>71.39999999999999</v>
      </c>
      <c r="V42" s="27" t="n">
        <v>142.8</v>
      </c>
      <c r="W42" s="27" t="n">
        <v>15.58</v>
      </c>
      <c r="X42" s="27" t="n">
        <v>16.4</v>
      </c>
      <c r="Y42" s="27" t="n">
        <v>17.31111111111111</v>
      </c>
      <c r="Z42" s="27" t="n">
        <v>18.32941176470588</v>
      </c>
      <c r="AA42" s="27" t="n">
        <v>19.475</v>
      </c>
      <c r="AB42" s="27" t="n">
        <v>20.77333333333333</v>
      </c>
      <c r="AC42" s="27" t="n">
        <v>22.25714285714286</v>
      </c>
      <c r="AD42" s="27" t="n">
        <v>23.96923076923077</v>
      </c>
      <c r="AE42" s="27" t="n">
        <v>25.96666666666667</v>
      </c>
      <c r="AF42" s="27" t="n">
        <v>28.32727272727272</v>
      </c>
      <c r="AG42" s="27" t="n">
        <v>31.16</v>
      </c>
      <c r="AH42" s="27" t="n">
        <v>34.62222222222222</v>
      </c>
      <c r="AI42" s="27" t="n">
        <v>38.95</v>
      </c>
      <c r="AJ42" s="27" t="n">
        <v>44.51428571428572</v>
      </c>
      <c r="AK42" s="27" t="n">
        <v>51.93333333333334</v>
      </c>
      <c r="AL42" s="27" t="n">
        <v>62.32</v>
      </c>
      <c r="AM42" s="27" t="n">
        <v>77.89999999999999</v>
      </c>
      <c r="AN42" s="27" t="n">
        <v>103.8666666666667</v>
      </c>
      <c r="AO42" s="27" t="n">
        <v>155.8</v>
      </c>
      <c r="AP42" s="27" t="n">
        <v>311.6</v>
      </c>
    </row>
    <row r="43">
      <c r="A43" s="6" t="inlineStr">
        <is>
          <t>P37</t>
        </is>
      </c>
      <c r="B43" s="6" t="inlineStr">
        <is>
          <t>Karitel</t>
        </is>
      </c>
      <c r="C43" s="27" t="n">
        <v>8.640000000000001</v>
      </c>
      <c r="D43" s="27" t="n">
        <v>9.094736842105265</v>
      </c>
      <c r="E43" s="27" t="n">
        <v>9.6</v>
      </c>
      <c r="F43" s="27" t="n">
        <v>10.16470588235294</v>
      </c>
      <c r="G43" s="27" t="n">
        <v>10.8</v>
      </c>
      <c r="H43" s="27" t="n">
        <v>12.12631578947369</v>
      </c>
      <c r="I43" s="27" t="n">
        <v>12.34285714285715</v>
      </c>
      <c r="J43" s="27" t="n">
        <v>13.29230769230769</v>
      </c>
      <c r="K43" s="27" t="n">
        <v>14.4</v>
      </c>
      <c r="L43" s="27" t="n">
        <v>15.70909090909091</v>
      </c>
      <c r="M43" s="27" t="n">
        <v>17.28</v>
      </c>
      <c r="N43" s="27" t="n">
        <v>19.2</v>
      </c>
      <c r="O43" s="27" t="n">
        <v>21.6</v>
      </c>
      <c r="P43" s="27" t="n">
        <v>24.68571428571429</v>
      </c>
      <c r="Q43" s="27" t="n">
        <v>28.8</v>
      </c>
      <c r="R43" s="27" t="n">
        <v>34.56</v>
      </c>
      <c r="S43" s="27" t="n">
        <v>43.2</v>
      </c>
      <c r="T43" s="27" t="n">
        <v>57.60000000000001</v>
      </c>
      <c r="U43" s="27" t="n">
        <v>86.40000000000001</v>
      </c>
      <c r="V43" s="27" t="n">
        <v>172.8</v>
      </c>
      <c r="W43" s="27" t="n">
        <v>10.61</v>
      </c>
      <c r="X43" s="27" t="n">
        <v>11.16842105263158</v>
      </c>
      <c r="Y43" s="27" t="n">
        <v>11.78888888888889</v>
      </c>
      <c r="Z43" s="27" t="n">
        <v>12.48235294117647</v>
      </c>
      <c r="AA43" s="27" t="n">
        <v>13.2625</v>
      </c>
      <c r="AB43" s="27" t="n">
        <v>14.14666666666667</v>
      </c>
      <c r="AC43" s="27" t="n">
        <v>15.15714285714286</v>
      </c>
      <c r="AD43" s="27" t="n">
        <v>16.32307692307692</v>
      </c>
      <c r="AE43" s="27" t="n">
        <v>17.68333333333333</v>
      </c>
      <c r="AF43" s="27" t="n">
        <v>19.29090909090909</v>
      </c>
      <c r="AG43" s="27" t="n">
        <v>21.22</v>
      </c>
      <c r="AH43" s="27" t="n">
        <v>23.57777777777778</v>
      </c>
      <c r="AI43" s="27" t="n">
        <v>26.525</v>
      </c>
      <c r="AJ43" s="27" t="n">
        <v>30.31428571428571</v>
      </c>
      <c r="AK43" s="27" t="n">
        <v>35.36666666666667</v>
      </c>
      <c r="AL43" s="27" t="n">
        <v>42.44</v>
      </c>
      <c r="AM43" s="27" t="n">
        <v>53.05</v>
      </c>
      <c r="AN43" s="27" t="n">
        <v>70.73333333333333</v>
      </c>
      <c r="AO43" s="27" t="n">
        <v>106.1</v>
      </c>
      <c r="AP43" s="27" t="n">
        <v>212.2</v>
      </c>
    </row>
    <row r="44">
      <c r="A44" s="6" t="inlineStr">
        <is>
          <t>P38</t>
        </is>
      </c>
      <c r="B44" s="6" t="inlineStr">
        <is>
          <t>Karitel</t>
        </is>
      </c>
      <c r="C44" s="27" t="n">
        <v>7.91</v>
      </c>
      <c r="D44" s="27" t="n">
        <v>8.326315789473684</v>
      </c>
      <c r="E44" s="27" t="n">
        <v>8.78888888888889</v>
      </c>
      <c r="F44" s="27" t="n">
        <v>9.305882352941177</v>
      </c>
      <c r="G44" s="27" t="n">
        <v>9.887499999999999</v>
      </c>
      <c r="H44" s="27" t="n">
        <v>10.54666666666667</v>
      </c>
      <c r="I44" s="27" t="n">
        <v>11.3</v>
      </c>
      <c r="J44" s="27" t="n">
        <v>12.16923076923077</v>
      </c>
      <c r="K44" s="27" t="n">
        <v>13.18333333333333</v>
      </c>
      <c r="L44" s="27" t="n">
        <v>14.38181818181818</v>
      </c>
      <c r="M44" s="27" t="n">
        <v>15.82</v>
      </c>
      <c r="N44" s="27" t="n">
        <v>17.57777777777778</v>
      </c>
      <c r="O44" s="27" t="n">
        <v>19.775</v>
      </c>
      <c r="P44" s="27" t="n">
        <v>22.6</v>
      </c>
      <c r="Q44" s="27" t="n">
        <v>26.36666666666667</v>
      </c>
      <c r="R44" s="27" t="n">
        <v>31.64</v>
      </c>
      <c r="S44" s="27" t="n">
        <v>39.55</v>
      </c>
      <c r="T44" s="27" t="n">
        <v>52.73333333333333</v>
      </c>
      <c r="U44" s="27" t="n">
        <v>79.09999999999999</v>
      </c>
      <c r="V44" s="27" t="n">
        <v>158.2</v>
      </c>
      <c r="W44" s="27" t="n">
        <v>14.5</v>
      </c>
      <c r="X44" s="27" t="n">
        <v>15.26315789473684</v>
      </c>
      <c r="Y44" s="27" t="n">
        <v>16.11111111111111</v>
      </c>
      <c r="Z44" s="27" t="n">
        <v>17.05882352941176</v>
      </c>
      <c r="AA44" s="27" t="n">
        <v>18.125</v>
      </c>
      <c r="AB44" s="27" t="n">
        <v>19.33333333333333</v>
      </c>
      <c r="AC44" s="27" t="n">
        <v>20.71428571428572</v>
      </c>
      <c r="AD44" s="27" t="n">
        <v>22.30769230769231</v>
      </c>
      <c r="AE44" s="27" t="n">
        <v>24.16666666666667</v>
      </c>
      <c r="AF44" s="27" t="n">
        <v>26.36363636363636</v>
      </c>
      <c r="AG44" s="27" t="n">
        <v>29</v>
      </c>
      <c r="AH44" s="27" t="n">
        <v>32.22222222222221</v>
      </c>
      <c r="AI44" s="27" t="n">
        <v>36.25</v>
      </c>
      <c r="AJ44" s="27" t="n">
        <v>41.42857142857142</v>
      </c>
      <c r="AK44" s="27" t="n">
        <v>48.33333333333334</v>
      </c>
      <c r="AL44" s="27" t="n">
        <v>57.99999999999999</v>
      </c>
      <c r="AM44" s="27" t="n">
        <v>72.5</v>
      </c>
      <c r="AN44" s="27" t="n">
        <v>96.66666666666664</v>
      </c>
      <c r="AO44" s="27" t="n">
        <v>145</v>
      </c>
      <c r="AP44" s="27" t="n">
        <v>289.9999999999999</v>
      </c>
    </row>
    <row r="45">
      <c r="A45" s="6" t="inlineStr">
        <is>
          <t>P39</t>
        </is>
      </c>
      <c r="B45" s="6" t="inlineStr">
        <is>
          <t>Karitel</t>
        </is>
      </c>
      <c r="C45" s="27" t="n">
        <v>5.76</v>
      </c>
      <c r="D45" s="27" t="n">
        <v>6.063157894736842</v>
      </c>
      <c r="E45" s="27" t="n">
        <v>6.399999999999999</v>
      </c>
      <c r="F45" s="27" t="n">
        <v>6.776470588235294</v>
      </c>
      <c r="G45" s="27" t="n">
        <v>7.199999999999999</v>
      </c>
      <c r="H45" s="27" t="n">
        <v>7.68</v>
      </c>
      <c r="I45" s="27" t="n">
        <v>8.22857142857143</v>
      </c>
      <c r="J45" s="27" t="n">
        <v>8.86153846153846</v>
      </c>
      <c r="K45" s="27" t="n">
        <v>9.6</v>
      </c>
      <c r="L45" s="27" t="n">
        <v>10.47272727272727</v>
      </c>
      <c r="M45" s="27" t="n">
        <v>11.52</v>
      </c>
      <c r="N45" s="27" t="n">
        <v>12.8</v>
      </c>
      <c r="O45" s="27" t="n">
        <v>14.4</v>
      </c>
      <c r="P45" s="27" t="n">
        <v>16.45714285714286</v>
      </c>
      <c r="Q45" s="27" t="n">
        <v>19.2</v>
      </c>
      <c r="R45" s="27" t="n">
        <v>23.04</v>
      </c>
      <c r="S45" s="27" t="n">
        <v>28.8</v>
      </c>
      <c r="T45" s="27" t="n">
        <v>38.4</v>
      </c>
      <c r="U45" s="27" t="n">
        <v>57.59999999999999</v>
      </c>
      <c r="V45" s="27" t="n">
        <v>115.2</v>
      </c>
      <c r="W45" s="27" t="n">
        <v>12.62</v>
      </c>
      <c r="X45" s="27" t="n">
        <v>13.28421052631579</v>
      </c>
      <c r="Y45" s="27" t="n">
        <v>14.02222222222222</v>
      </c>
      <c r="Z45" s="27" t="n">
        <v>14.84705882352941</v>
      </c>
      <c r="AA45" s="27" t="n">
        <v>15.775</v>
      </c>
      <c r="AB45" s="27" t="n">
        <v>16.82666666666666</v>
      </c>
      <c r="AC45" s="27" t="n">
        <v>18.02857142857143</v>
      </c>
      <c r="AD45" s="27" t="n">
        <v>19.41538461538461</v>
      </c>
      <c r="AE45" s="27" t="n">
        <v>21.03333333333333</v>
      </c>
      <c r="AF45" s="27" t="n">
        <v>22.94545454545454</v>
      </c>
      <c r="AG45" s="27" t="n">
        <v>25.24</v>
      </c>
      <c r="AH45" s="27" t="n">
        <v>28.04444444444444</v>
      </c>
      <c r="AI45" s="27" t="n">
        <v>31.55</v>
      </c>
      <c r="AJ45" s="27" t="n">
        <v>36.05714285714286</v>
      </c>
      <c r="AK45" s="27" t="n">
        <v>42.06666666666666</v>
      </c>
      <c r="AL45" s="27" t="n">
        <v>50.48</v>
      </c>
      <c r="AM45" s="27" t="n">
        <v>63.09999999999999</v>
      </c>
      <c r="AN45" s="27" t="n">
        <v>84.13333333333333</v>
      </c>
      <c r="AO45" s="27" t="n">
        <v>126.2</v>
      </c>
      <c r="AP45" s="27" t="n">
        <v>252.4</v>
      </c>
    </row>
    <row r="46">
      <c r="A46" s="6" t="inlineStr">
        <is>
          <t>P40</t>
        </is>
      </c>
      <c r="B46" s="6" t="inlineStr">
        <is>
          <t>Karitel</t>
        </is>
      </c>
      <c r="C46" s="27" t="n">
        <v>7</v>
      </c>
      <c r="D46" s="27" t="n">
        <v>7.36842105263158</v>
      </c>
      <c r="E46" s="27" t="n">
        <v>7.777777777777778</v>
      </c>
      <c r="F46" s="27" t="n">
        <v>8.23529411764706</v>
      </c>
      <c r="G46" s="27" t="n">
        <v>8.75</v>
      </c>
      <c r="H46" s="27" t="n">
        <v>9.333333333333334</v>
      </c>
      <c r="I46" s="27" t="n">
        <v>10</v>
      </c>
      <c r="J46" s="27" t="n">
        <v>10.76923076923077</v>
      </c>
      <c r="K46" s="27" t="n">
        <v>11.66666666666667</v>
      </c>
      <c r="L46" s="27" t="n">
        <v>12.72727272727273</v>
      </c>
      <c r="M46" s="27" t="n">
        <v>14</v>
      </c>
      <c r="N46" s="27" t="n">
        <v>15.55555555555556</v>
      </c>
      <c r="O46" s="27" t="n">
        <v>17.5</v>
      </c>
      <c r="P46" s="27" t="n">
        <v>20</v>
      </c>
      <c r="Q46" s="27" t="n">
        <v>23.33333333333334</v>
      </c>
      <c r="R46" s="27" t="n">
        <v>28</v>
      </c>
      <c r="S46" s="27" t="n">
        <v>35</v>
      </c>
      <c r="T46" s="27" t="n">
        <v>46.66666666666667</v>
      </c>
      <c r="U46" s="27" t="n">
        <v>70</v>
      </c>
      <c r="V46" s="27" t="n">
        <v>140</v>
      </c>
      <c r="W46" s="27" t="n">
        <v>15.58</v>
      </c>
      <c r="X46" s="27" t="n">
        <v>16.4</v>
      </c>
      <c r="Y46" s="27" t="n">
        <v>17.31111111111111</v>
      </c>
      <c r="Z46" s="27" t="n">
        <v>18.32941176470588</v>
      </c>
      <c r="AA46" s="27" t="n">
        <v>19.475</v>
      </c>
      <c r="AB46" s="27" t="n">
        <v>20.77333333333333</v>
      </c>
      <c r="AC46" s="27" t="n">
        <v>22.25714285714286</v>
      </c>
      <c r="AD46" s="27" t="n">
        <v>23.96923076923077</v>
      </c>
      <c r="AE46" s="27" t="n">
        <v>25.96666666666667</v>
      </c>
      <c r="AF46" s="27" t="n">
        <v>28.32727272727272</v>
      </c>
      <c r="AG46" s="27" t="n">
        <v>31.16</v>
      </c>
      <c r="AH46" s="27" t="n">
        <v>34.62222222222222</v>
      </c>
      <c r="AI46" s="27" t="n">
        <v>38.95</v>
      </c>
      <c r="AJ46" s="27" t="n">
        <v>44.51428571428572</v>
      </c>
      <c r="AK46" s="27" t="n">
        <v>51.93333333333334</v>
      </c>
      <c r="AL46" s="27" t="n">
        <v>62.32</v>
      </c>
      <c r="AM46" s="27" t="n">
        <v>77.89999999999999</v>
      </c>
      <c r="AN46" s="27" t="n">
        <v>103.8666666666667</v>
      </c>
      <c r="AO46" s="27" t="n">
        <v>155.8</v>
      </c>
      <c r="AP46" s="27" t="n">
        <v>311.6</v>
      </c>
    </row>
    <row r="47">
      <c r="A47" s="6" t="inlineStr">
        <is>
          <t>P41</t>
        </is>
      </c>
      <c r="B47" s="6" t="inlineStr">
        <is>
          <t>Karitel</t>
        </is>
      </c>
      <c r="C47" s="27" t="n">
        <v>6.51</v>
      </c>
      <c r="D47" s="27" t="n">
        <v>6.852631578947369</v>
      </c>
      <c r="E47" s="27" t="n">
        <v>7.233333333333333</v>
      </c>
      <c r="F47" s="27" t="n">
        <v>7.658823529411765</v>
      </c>
      <c r="G47" s="27" t="n">
        <v>8.137499999999999</v>
      </c>
      <c r="H47" s="27" t="n">
        <v>8.68</v>
      </c>
      <c r="I47" s="27" t="n">
        <v>9.300000000000001</v>
      </c>
      <c r="J47" s="27" t="n">
        <v>10.01538461538462</v>
      </c>
      <c r="K47" s="27" t="n">
        <v>10.85</v>
      </c>
      <c r="L47" s="27" t="n">
        <v>11.83636363636363</v>
      </c>
      <c r="M47" s="27" t="n">
        <v>13.02</v>
      </c>
      <c r="N47" s="27" t="n">
        <v>14.46666666666667</v>
      </c>
      <c r="O47" s="27" t="n">
        <v>16.275</v>
      </c>
      <c r="P47" s="27" t="n">
        <v>18.6</v>
      </c>
      <c r="Q47" s="27" t="n">
        <v>21.7</v>
      </c>
      <c r="R47" s="27" t="n">
        <v>26.04</v>
      </c>
      <c r="S47" s="27" t="n">
        <v>32.55</v>
      </c>
      <c r="T47" s="27" t="n">
        <v>43.4</v>
      </c>
      <c r="U47" s="27" t="n">
        <v>65.09999999999999</v>
      </c>
      <c r="V47" s="27" t="n">
        <v>130.2</v>
      </c>
      <c r="W47" s="27" t="n">
        <v>14.92</v>
      </c>
      <c r="X47" s="27" t="n">
        <v>15.70526315789474</v>
      </c>
      <c r="Y47" s="27" t="n">
        <v>16.57777777777778</v>
      </c>
      <c r="Z47" s="27" t="n">
        <v>17.55294117647059</v>
      </c>
      <c r="AA47" s="27" t="n">
        <v>18.65</v>
      </c>
      <c r="AB47" s="27" t="n">
        <v>19.89333333333333</v>
      </c>
      <c r="AC47" s="27" t="n">
        <v>21.31428571428572</v>
      </c>
      <c r="AD47" s="27" t="n">
        <v>22.95384615384615</v>
      </c>
      <c r="AE47" s="27" t="n">
        <v>24.86666666666667</v>
      </c>
      <c r="AF47" s="27" t="n">
        <v>27.12727272727273</v>
      </c>
      <c r="AG47" s="27" t="n">
        <v>29.84</v>
      </c>
      <c r="AH47" s="27" t="n">
        <v>33.15555555555555</v>
      </c>
      <c r="AI47" s="27" t="n">
        <v>37.3</v>
      </c>
      <c r="AJ47" s="27" t="n">
        <v>42.62857142857143</v>
      </c>
      <c r="AK47" s="27" t="n">
        <v>49.73333333333333</v>
      </c>
      <c r="AL47" s="27" t="n">
        <v>59.67999999999999</v>
      </c>
      <c r="AM47" s="27" t="n">
        <v>74.59999999999999</v>
      </c>
      <c r="AN47" s="27" t="n">
        <v>99.46666666666665</v>
      </c>
      <c r="AO47" s="27" t="n">
        <v>149.2</v>
      </c>
      <c r="AP47" s="27" t="n">
        <v>298.3999999999999</v>
      </c>
    </row>
    <row r="48">
      <c r="A48" s="6" t="inlineStr">
        <is>
          <t>P42</t>
        </is>
      </c>
      <c r="B48" s="6" t="inlineStr">
        <is>
          <t>Karitel</t>
        </is>
      </c>
      <c r="C48" s="27" t="n">
        <v>6</v>
      </c>
      <c r="D48" s="27" t="n">
        <v>6.315789473684211</v>
      </c>
      <c r="E48" s="27" t="n">
        <v>6.666666666666666</v>
      </c>
      <c r="F48" s="27" t="n">
        <v>7.058823529411764</v>
      </c>
      <c r="G48" s="27" t="n">
        <v>7.5</v>
      </c>
      <c r="H48" s="27" t="n">
        <v>8</v>
      </c>
      <c r="I48" s="27" t="n">
        <v>8.571428571428571</v>
      </c>
      <c r="J48" s="27" t="n">
        <v>9.23076923076923</v>
      </c>
      <c r="K48" s="27" t="n">
        <v>10</v>
      </c>
      <c r="L48" s="27" t="n">
        <v>10.90909090909091</v>
      </c>
      <c r="M48" s="27" t="n">
        <v>12</v>
      </c>
      <c r="N48" s="27" t="n">
        <v>13.33333333333333</v>
      </c>
      <c r="O48" s="27" t="n">
        <v>15</v>
      </c>
      <c r="P48" s="27" t="n">
        <v>17.14285714285714</v>
      </c>
      <c r="Q48" s="27" t="n">
        <v>20</v>
      </c>
      <c r="R48" s="27" t="n">
        <v>24</v>
      </c>
      <c r="S48" s="27" t="n">
        <v>30</v>
      </c>
      <c r="T48" s="27" t="n">
        <v>40</v>
      </c>
      <c r="U48" s="27" t="n">
        <v>60</v>
      </c>
      <c r="V48" s="27" t="n">
        <v>120</v>
      </c>
      <c r="W48" s="27" t="n">
        <v>12.62</v>
      </c>
      <c r="X48" s="27" t="n">
        <v>13.28421052631579</v>
      </c>
      <c r="Y48" s="27" t="n">
        <v>14.02222222222222</v>
      </c>
      <c r="Z48" s="27" t="n">
        <v>14.84705882352941</v>
      </c>
      <c r="AA48" s="27" t="n">
        <v>15.775</v>
      </c>
      <c r="AB48" s="27" t="n">
        <v>16.82666666666666</v>
      </c>
      <c r="AC48" s="27" t="n">
        <v>18.02857142857143</v>
      </c>
      <c r="AD48" s="27" t="n">
        <v>19.41538461538461</v>
      </c>
      <c r="AE48" s="27" t="n">
        <v>21.03333333333333</v>
      </c>
      <c r="AF48" s="27" t="n">
        <v>22.94545454545454</v>
      </c>
      <c r="AG48" s="27" t="n">
        <v>25.24</v>
      </c>
      <c r="AH48" s="27" t="n">
        <v>28.04444444444444</v>
      </c>
      <c r="AI48" s="27" t="n">
        <v>31.55</v>
      </c>
      <c r="AJ48" s="27" t="n">
        <v>36.05714285714286</v>
      </c>
      <c r="AK48" s="27" t="n">
        <v>42.06666666666666</v>
      </c>
      <c r="AL48" s="27" t="n">
        <v>50.48</v>
      </c>
      <c r="AM48" s="27" t="n">
        <v>63.09999999999999</v>
      </c>
      <c r="AN48" s="27" t="n">
        <v>84.13333333333333</v>
      </c>
      <c r="AO48" s="27" t="n">
        <v>126.2</v>
      </c>
      <c r="AP48" s="27" t="n">
        <v>252.4</v>
      </c>
    </row>
    <row r="49">
      <c r="A49" s="6" t="inlineStr">
        <is>
          <t>P43</t>
        </is>
      </c>
      <c r="B49" s="6" t="inlineStr">
        <is>
          <t>Karitel</t>
        </is>
      </c>
      <c r="C49" s="27" t="n">
        <v>6.58</v>
      </c>
      <c r="D49" s="27" t="n">
        <v>6.926315789473684</v>
      </c>
      <c r="E49" s="27" t="n">
        <v>7.311111111111111</v>
      </c>
      <c r="F49" s="27" t="n">
        <v>7.741176470588235</v>
      </c>
      <c r="G49" s="27" t="n">
        <v>8.225</v>
      </c>
      <c r="H49" s="27" t="n">
        <v>8.773333333333333</v>
      </c>
      <c r="I49" s="27" t="n">
        <v>9.4</v>
      </c>
      <c r="J49" s="27" t="n">
        <v>10.12307692307692</v>
      </c>
      <c r="K49" s="27" t="n">
        <v>10.96666666666667</v>
      </c>
      <c r="L49" s="27" t="n">
        <v>11.96363636363636</v>
      </c>
      <c r="M49" s="27" t="n">
        <v>13.16</v>
      </c>
      <c r="N49" s="27" t="n">
        <v>14.62222222222222</v>
      </c>
      <c r="O49" s="27" t="n">
        <v>16.45</v>
      </c>
      <c r="P49" s="27" t="n">
        <v>18.8</v>
      </c>
      <c r="Q49" s="27" t="n">
        <v>21.93333333333333</v>
      </c>
      <c r="R49" s="27" t="n">
        <v>26.32</v>
      </c>
      <c r="S49" s="27" t="n">
        <v>32.9</v>
      </c>
      <c r="T49" s="27" t="n">
        <v>43.86666666666667</v>
      </c>
      <c r="U49" s="27" t="n">
        <v>65.8</v>
      </c>
      <c r="V49" s="27" t="n">
        <v>131.6</v>
      </c>
      <c r="W49" s="27" t="n">
        <v>14.92</v>
      </c>
      <c r="X49" s="27" t="n">
        <v>15.70526315789474</v>
      </c>
      <c r="Y49" s="27" t="n">
        <v>16.57777777777778</v>
      </c>
      <c r="Z49" s="27" t="n">
        <v>17.55294117647059</v>
      </c>
      <c r="AA49" s="27" t="n">
        <v>18.65</v>
      </c>
      <c r="AB49" s="27" t="n">
        <v>19.89333333333333</v>
      </c>
      <c r="AC49" s="27" t="n">
        <v>21.31428571428572</v>
      </c>
      <c r="AD49" s="27" t="n">
        <v>22.95384615384615</v>
      </c>
      <c r="AE49" s="27" t="n">
        <v>24.86666666666667</v>
      </c>
      <c r="AF49" s="27" t="n">
        <v>27.12727272727273</v>
      </c>
      <c r="AG49" s="27" t="n">
        <v>29.84</v>
      </c>
      <c r="AH49" s="27" t="n">
        <v>33.15555555555555</v>
      </c>
      <c r="AI49" s="27" t="n">
        <v>37.3</v>
      </c>
      <c r="AJ49" s="27" t="n">
        <v>42.62857142857143</v>
      </c>
      <c r="AK49" s="27" t="n">
        <v>49.73333333333333</v>
      </c>
      <c r="AL49" s="27" t="n">
        <v>59.67999999999999</v>
      </c>
      <c r="AM49" s="27" t="n">
        <v>74.59999999999999</v>
      </c>
      <c r="AN49" s="27" t="n">
        <v>99.46666666666665</v>
      </c>
      <c r="AO49" s="27" t="n">
        <v>149.2</v>
      </c>
      <c r="AP49" s="27" t="n">
        <v>298.3999999999999</v>
      </c>
    </row>
    <row r="50">
      <c r="A50" s="6" t="inlineStr">
        <is>
          <t>P44</t>
        </is>
      </c>
      <c r="B50" s="6" t="inlineStr">
        <is>
          <t>Karitel</t>
        </is>
      </c>
      <c r="C50" s="27" t="n">
        <v>5.8</v>
      </c>
      <c r="D50" s="27" t="n">
        <v>6.105263157894737</v>
      </c>
      <c r="E50" s="27" t="n">
        <v>6.444444444444444</v>
      </c>
      <c r="F50" s="27" t="n">
        <v>6.823529411764706</v>
      </c>
      <c r="G50" s="27" t="n">
        <v>7.249999999999999</v>
      </c>
      <c r="H50" s="27" t="n">
        <v>7.733333333333333</v>
      </c>
      <c r="I50" s="27" t="n">
        <v>8.285714285714286</v>
      </c>
      <c r="J50" s="27" t="n">
        <v>8.923076923076923</v>
      </c>
      <c r="K50" s="27" t="n">
        <v>9.666666666666666</v>
      </c>
      <c r="L50" s="27" t="n">
        <v>10.54545454545454</v>
      </c>
      <c r="M50" s="27" t="n">
        <v>11.6</v>
      </c>
      <c r="N50" s="27" t="n">
        <v>12.88888888888889</v>
      </c>
      <c r="O50" s="27" t="n">
        <v>14.5</v>
      </c>
      <c r="P50" s="27" t="n">
        <v>16.57142857142857</v>
      </c>
      <c r="Q50" s="27" t="n">
        <v>19.33333333333333</v>
      </c>
      <c r="R50" s="27" t="n">
        <v>23.2</v>
      </c>
      <c r="S50" s="27" t="n">
        <v>29</v>
      </c>
      <c r="T50" s="27" t="n">
        <v>38.66666666666666</v>
      </c>
      <c r="U50" s="27" t="n">
        <v>57.99999999999999</v>
      </c>
      <c r="V50" s="27" t="n">
        <v>116</v>
      </c>
      <c r="W50" s="27" t="n">
        <v>11.06</v>
      </c>
      <c r="X50" s="27" t="n">
        <v>11.6421052631579</v>
      </c>
      <c r="Y50" s="27" t="n">
        <v>12.28888888888889</v>
      </c>
      <c r="Z50" s="27" t="n">
        <v>13.01176470588235</v>
      </c>
      <c r="AA50" s="27" t="n">
        <v>13.825</v>
      </c>
      <c r="AB50" s="27" t="n">
        <v>14.74666666666667</v>
      </c>
      <c r="AC50" s="27" t="n">
        <v>15.8</v>
      </c>
      <c r="AD50" s="27" t="n">
        <v>17.01538461538462</v>
      </c>
      <c r="AE50" s="27" t="n">
        <v>18.43333333333333</v>
      </c>
      <c r="AF50" s="27" t="n">
        <v>20.10909090909091</v>
      </c>
      <c r="AG50" s="27" t="n">
        <v>22.12</v>
      </c>
      <c r="AH50" s="27" t="n">
        <v>24.57777777777778</v>
      </c>
      <c r="AI50" s="27" t="n">
        <v>27.65</v>
      </c>
      <c r="AJ50" s="27" t="n">
        <v>31.6</v>
      </c>
      <c r="AK50" s="27" t="n">
        <v>36.86666666666667</v>
      </c>
      <c r="AL50" s="27" t="n">
        <v>44.24</v>
      </c>
      <c r="AM50" s="27" t="n">
        <v>55.3</v>
      </c>
      <c r="AN50" s="27" t="n">
        <v>73.73333333333333</v>
      </c>
      <c r="AO50" s="27" t="n">
        <v>110.6</v>
      </c>
      <c r="AP50" s="27" t="n">
        <v>221.2</v>
      </c>
    </row>
    <row r="51">
      <c r="A51" s="6" t="inlineStr">
        <is>
          <t>P45</t>
        </is>
      </c>
      <c r="B51" s="6" t="inlineStr">
        <is>
          <t>Karitel</t>
        </is>
      </c>
      <c r="C51" s="27" t="n">
        <v>6.49</v>
      </c>
      <c r="D51" s="27" t="n">
        <v>6.831578947368421</v>
      </c>
      <c r="E51" s="27" t="n">
        <v>7.211111111111111</v>
      </c>
      <c r="F51" s="27" t="n">
        <v>7.635294117647059</v>
      </c>
      <c r="G51" s="27" t="n">
        <v>8.112499999999999</v>
      </c>
      <c r="H51" s="27" t="n">
        <v>8.653333333333334</v>
      </c>
      <c r="I51" s="27" t="n">
        <v>9.271428571428572</v>
      </c>
      <c r="J51" s="27" t="n">
        <v>9.984615384615385</v>
      </c>
      <c r="K51" s="27" t="n">
        <v>10.81666666666667</v>
      </c>
      <c r="L51" s="27" t="n">
        <v>11.8</v>
      </c>
      <c r="M51" s="27" t="n">
        <v>12.98</v>
      </c>
      <c r="N51" s="27" t="n">
        <v>14.42222222222222</v>
      </c>
      <c r="O51" s="27" t="n">
        <v>16.225</v>
      </c>
      <c r="P51" s="27" t="n">
        <v>18.54285714285714</v>
      </c>
      <c r="Q51" s="27" t="n">
        <v>21.63333333333334</v>
      </c>
      <c r="R51" s="27" t="n">
        <v>25.96</v>
      </c>
      <c r="S51" s="27" t="n">
        <v>32.45</v>
      </c>
      <c r="T51" s="27" t="n">
        <v>43.26666666666667</v>
      </c>
      <c r="U51" s="27" t="n">
        <v>64.89999999999999</v>
      </c>
      <c r="V51" s="27" t="n">
        <v>129.8</v>
      </c>
      <c r="W51" s="27" t="n">
        <v>14.05</v>
      </c>
      <c r="X51" s="27" t="n">
        <v>14.78947368421053</v>
      </c>
      <c r="Y51" s="27" t="n">
        <v>15.61111111111111</v>
      </c>
      <c r="Z51" s="27" t="n">
        <v>16.52941176470588</v>
      </c>
      <c r="AA51" s="27" t="n">
        <v>17.5625</v>
      </c>
      <c r="AB51" s="27" t="n">
        <v>18.73333333333333</v>
      </c>
      <c r="AC51" s="27" t="n">
        <v>20.07142857142857</v>
      </c>
      <c r="AD51" s="27" t="n">
        <v>21.61538461538462</v>
      </c>
      <c r="AE51" s="27" t="n">
        <v>23.41666666666667</v>
      </c>
      <c r="AF51" s="27" t="n">
        <v>25.54545454545454</v>
      </c>
      <c r="AG51" s="27" t="n">
        <v>28.1</v>
      </c>
      <c r="AH51" s="27" t="n">
        <v>31.22222222222222</v>
      </c>
      <c r="AI51" s="27" t="n">
        <v>35.125</v>
      </c>
      <c r="AJ51" s="27" t="n">
        <v>40.14285714285715</v>
      </c>
      <c r="AK51" s="27" t="n">
        <v>46.83333333333334</v>
      </c>
      <c r="AL51" s="27" t="n">
        <v>56.2</v>
      </c>
      <c r="AM51" s="27" t="n">
        <v>70.25</v>
      </c>
      <c r="AN51" s="27" t="n">
        <v>93.66666666666667</v>
      </c>
      <c r="AO51" s="27" t="n">
        <v>140.5</v>
      </c>
      <c r="AP51" s="27" t="n">
        <v>281</v>
      </c>
    </row>
    <row r="52">
      <c r="A52" s="6" t="inlineStr">
        <is>
          <t>P46</t>
        </is>
      </c>
      <c r="B52" s="6" t="inlineStr">
        <is>
          <t>Karitel</t>
        </is>
      </c>
      <c r="C52" s="27" t="n">
        <v>6.37</v>
      </c>
      <c r="D52" s="27" t="n">
        <v>6.705263157894738</v>
      </c>
      <c r="E52" s="27" t="n">
        <v>7.077777777777778</v>
      </c>
      <c r="F52" s="27" t="n">
        <v>7.494117647058824</v>
      </c>
      <c r="G52" s="27" t="n">
        <v>7.962499999999999</v>
      </c>
      <c r="H52" s="27" t="n">
        <v>8.493333333333334</v>
      </c>
      <c r="I52" s="27" t="n">
        <v>9.100000000000001</v>
      </c>
      <c r="J52" s="27" t="n">
        <v>9.800000000000001</v>
      </c>
      <c r="K52" s="27" t="n">
        <v>10.61666666666667</v>
      </c>
      <c r="L52" s="27" t="n">
        <v>11.58181818181818</v>
      </c>
      <c r="M52" s="27" t="n">
        <v>12.74</v>
      </c>
      <c r="N52" s="27" t="n">
        <v>14.15555555555556</v>
      </c>
      <c r="O52" s="27" t="n">
        <v>15.925</v>
      </c>
      <c r="P52" s="27" t="n">
        <v>18.2</v>
      </c>
      <c r="Q52" s="27" t="n">
        <v>21.23333333333333</v>
      </c>
      <c r="R52" s="27" t="n">
        <v>25.48</v>
      </c>
      <c r="S52" s="27" t="n">
        <v>31.85</v>
      </c>
      <c r="T52" s="27" t="n">
        <v>42.46666666666667</v>
      </c>
      <c r="U52" s="27" t="n">
        <v>63.7</v>
      </c>
      <c r="V52" s="27" t="n">
        <v>127.4</v>
      </c>
      <c r="W52" s="27" t="n">
        <v>16.05</v>
      </c>
      <c r="X52" s="27" t="n">
        <v>16.89473684210526</v>
      </c>
      <c r="Y52" s="27" t="n">
        <v>17.83333333333333</v>
      </c>
      <c r="Z52" s="27" t="n">
        <v>18.88235294117647</v>
      </c>
      <c r="AA52" s="27" t="n">
        <v>20.0625</v>
      </c>
      <c r="AB52" s="27" t="n">
        <v>21.4</v>
      </c>
      <c r="AC52" s="27" t="n">
        <v>22.92857142857143</v>
      </c>
      <c r="AD52" s="27" t="n">
        <v>24.69230769230769</v>
      </c>
      <c r="AE52" s="27" t="n">
        <v>26.75</v>
      </c>
      <c r="AF52" s="27" t="n">
        <v>29.18181818181818</v>
      </c>
      <c r="AG52" s="27" t="n">
        <v>32.1</v>
      </c>
      <c r="AH52" s="27" t="n">
        <v>35.66666666666666</v>
      </c>
      <c r="AI52" s="27" t="n">
        <v>40.125</v>
      </c>
      <c r="AJ52" s="27" t="n">
        <v>45.85714285714286</v>
      </c>
      <c r="AK52" s="27" t="n">
        <v>53.50000000000001</v>
      </c>
      <c r="AL52" s="27" t="n">
        <v>64.2</v>
      </c>
      <c r="AM52" s="27" t="n">
        <v>80.25</v>
      </c>
      <c r="AN52" s="27" t="n">
        <v>107</v>
      </c>
      <c r="AO52" s="27" t="n">
        <v>160.5</v>
      </c>
      <c r="AP52" s="27" t="n">
        <v>321</v>
      </c>
    </row>
    <row r="53">
      <c r="A53" s="6" t="inlineStr">
        <is>
          <t>P47</t>
        </is>
      </c>
      <c r="B53" s="6" t="inlineStr">
        <is>
          <t>Karitel</t>
        </is>
      </c>
      <c r="C53" s="27" t="n">
        <v>7.07</v>
      </c>
      <c r="D53" s="27" t="n">
        <v>7.442105263157895</v>
      </c>
      <c r="E53" s="27" t="n">
        <v>7.855555555555556</v>
      </c>
      <c r="F53" s="27" t="n">
        <v>8.31764705882353</v>
      </c>
      <c r="G53" s="27" t="n">
        <v>8.8375</v>
      </c>
      <c r="H53" s="27" t="n">
        <v>9.426666666666668</v>
      </c>
      <c r="I53" s="27" t="n">
        <v>10.1</v>
      </c>
      <c r="J53" s="27" t="n">
        <v>10.87692307692308</v>
      </c>
      <c r="K53" s="27" t="n">
        <v>11.78333333333333</v>
      </c>
      <c r="L53" s="27" t="n">
        <v>12.85454545454545</v>
      </c>
      <c r="M53" s="27" t="n">
        <v>14.14</v>
      </c>
      <c r="N53" s="27" t="n">
        <v>15.71111111111111</v>
      </c>
      <c r="O53" s="27" t="n">
        <v>17.675</v>
      </c>
      <c r="P53" s="27" t="n">
        <v>20.2</v>
      </c>
      <c r="Q53" s="27" t="n">
        <v>23.56666666666667</v>
      </c>
      <c r="R53" s="27" t="n">
        <v>28.28</v>
      </c>
      <c r="S53" s="27" t="n">
        <v>35.35</v>
      </c>
      <c r="T53" s="27" t="n">
        <v>47.13333333333334</v>
      </c>
      <c r="U53" s="27" t="n">
        <v>70.7</v>
      </c>
      <c r="V53" s="27" t="n">
        <v>141.4</v>
      </c>
      <c r="W53" s="27" t="n">
        <v>16.05</v>
      </c>
      <c r="X53" s="27" t="n">
        <v>16.89473684210526</v>
      </c>
      <c r="Y53" s="27" t="n">
        <v>17.83333333333333</v>
      </c>
      <c r="Z53" s="27" t="n">
        <v>18.88235294117647</v>
      </c>
      <c r="AA53" s="27" t="n">
        <v>20.0625</v>
      </c>
      <c r="AB53" s="27" t="n">
        <v>21.4</v>
      </c>
      <c r="AC53" s="27" t="n">
        <v>22.92857142857143</v>
      </c>
      <c r="AD53" s="27" t="n">
        <v>24.69230769230769</v>
      </c>
      <c r="AE53" s="27" t="n">
        <v>26.75</v>
      </c>
      <c r="AF53" s="27" t="n">
        <v>29.18181818181818</v>
      </c>
      <c r="AG53" s="27" t="n">
        <v>32.1</v>
      </c>
      <c r="AH53" s="27" t="n">
        <v>35.66666666666666</v>
      </c>
      <c r="AI53" s="27" t="n">
        <v>40.125</v>
      </c>
      <c r="AJ53" s="27" t="n">
        <v>45.85714285714286</v>
      </c>
      <c r="AK53" s="27" t="n">
        <v>53.50000000000001</v>
      </c>
      <c r="AL53" s="27" t="n">
        <v>64.2</v>
      </c>
      <c r="AM53" s="27" t="n">
        <v>80.25</v>
      </c>
      <c r="AN53" s="27" t="n">
        <v>107</v>
      </c>
      <c r="AO53" s="27" t="n">
        <v>160.5</v>
      </c>
      <c r="AP53" s="27" t="n">
        <v>321</v>
      </c>
    </row>
    <row r="54">
      <c r="A54" s="6" t="inlineStr">
        <is>
          <t>P48</t>
        </is>
      </c>
      <c r="B54" s="6" t="inlineStr">
        <is>
          <t>Karitel</t>
        </is>
      </c>
      <c r="C54" s="27" t="n">
        <v>6.8</v>
      </c>
      <c r="D54" s="27" t="n">
        <v>7.157894736842105</v>
      </c>
      <c r="E54" s="27" t="n">
        <v>7.555555555555555</v>
      </c>
      <c r="F54" s="27" t="n">
        <v>8</v>
      </c>
      <c r="G54" s="27" t="n">
        <v>8.5</v>
      </c>
      <c r="H54" s="27" t="n">
        <v>9.066666666666666</v>
      </c>
      <c r="I54" s="27" t="n">
        <v>9.714285714285715</v>
      </c>
      <c r="J54" s="27" t="n">
        <v>10.46153846153846</v>
      </c>
      <c r="K54" s="27" t="n">
        <v>11.33333333333333</v>
      </c>
      <c r="L54" s="27" t="n">
        <v>12.36363636363636</v>
      </c>
      <c r="M54" s="27" t="n">
        <v>13.6</v>
      </c>
      <c r="N54" s="27" t="n">
        <v>15.11111111111111</v>
      </c>
      <c r="O54" s="27" t="n">
        <v>17</v>
      </c>
      <c r="P54" s="27" t="n">
        <v>19.42857142857143</v>
      </c>
      <c r="Q54" s="27" t="n">
        <v>22.66666666666667</v>
      </c>
      <c r="R54" s="27" t="n">
        <v>27.2</v>
      </c>
      <c r="S54" s="27" t="n">
        <v>34</v>
      </c>
      <c r="T54" s="27" t="n">
        <v>45.33333333333334</v>
      </c>
      <c r="U54" s="27" t="n">
        <v>68</v>
      </c>
      <c r="V54" s="27" t="n">
        <v>136</v>
      </c>
      <c r="W54" s="27" t="n">
        <v>16.05</v>
      </c>
      <c r="X54" s="27" t="n">
        <v>16.89473684210526</v>
      </c>
      <c r="Y54" s="27" t="n">
        <v>17.83333333333333</v>
      </c>
      <c r="Z54" s="27" t="n">
        <v>18.88235294117647</v>
      </c>
      <c r="AA54" s="27" t="n">
        <v>20.0625</v>
      </c>
      <c r="AB54" s="27" t="n">
        <v>21.4</v>
      </c>
      <c r="AC54" s="27" t="n">
        <v>22.92857142857143</v>
      </c>
      <c r="AD54" s="27" t="n">
        <v>24.69230769230769</v>
      </c>
      <c r="AE54" s="27" t="n">
        <v>26.75</v>
      </c>
      <c r="AF54" s="27" t="n">
        <v>29.18181818181818</v>
      </c>
      <c r="AG54" s="27" t="n">
        <v>32.1</v>
      </c>
      <c r="AH54" s="27" t="n">
        <v>35.66666666666666</v>
      </c>
      <c r="AI54" s="27" t="n">
        <v>40.125</v>
      </c>
      <c r="AJ54" s="27" t="n">
        <v>45.85714285714286</v>
      </c>
      <c r="AK54" s="27" t="n">
        <v>53.50000000000001</v>
      </c>
      <c r="AL54" s="27" t="n">
        <v>64.2</v>
      </c>
      <c r="AM54" s="27" t="n">
        <v>80.25</v>
      </c>
      <c r="AN54" s="27" t="n">
        <v>107</v>
      </c>
      <c r="AO54" s="27" t="n">
        <v>160.5</v>
      </c>
      <c r="AP54" s="27" t="n">
        <v>321</v>
      </c>
    </row>
    <row r="55">
      <c r="A55" s="6" t="inlineStr">
        <is>
          <t>P49</t>
        </is>
      </c>
      <c r="B55" s="6" t="inlineStr">
        <is>
          <t>Karitel</t>
        </is>
      </c>
      <c r="C55" s="27" t="n">
        <v>6.72</v>
      </c>
      <c r="D55" s="27" t="n">
        <v>7.073684210526316</v>
      </c>
      <c r="E55" s="27" t="n">
        <v>7.466666666666666</v>
      </c>
      <c r="F55" s="27" t="n">
        <v>7.905882352941177</v>
      </c>
      <c r="G55" s="27" t="n">
        <v>8.399999999999999</v>
      </c>
      <c r="H55" s="27" t="n">
        <v>8.959999999999999</v>
      </c>
      <c r="I55" s="27" t="n">
        <v>9.6</v>
      </c>
      <c r="J55" s="27" t="n">
        <v>10.33846153846154</v>
      </c>
      <c r="K55" s="27" t="n">
        <v>11.2</v>
      </c>
      <c r="L55" s="27" t="n">
        <v>12.21818181818182</v>
      </c>
      <c r="M55" s="27" t="n">
        <v>13.44</v>
      </c>
      <c r="N55" s="27" t="n">
        <v>14.93333333333333</v>
      </c>
      <c r="O55" s="27" t="n">
        <v>16.8</v>
      </c>
      <c r="P55" s="27" t="n">
        <v>19.2</v>
      </c>
      <c r="Q55" s="27" t="n">
        <v>22.4</v>
      </c>
      <c r="R55" s="27" t="n">
        <v>26.88</v>
      </c>
      <c r="S55" s="27" t="n">
        <v>33.59999999999999</v>
      </c>
      <c r="T55" s="27" t="n">
        <v>44.8</v>
      </c>
      <c r="U55" s="27" t="n">
        <v>67.19999999999999</v>
      </c>
      <c r="V55" s="27" t="n">
        <v>134.4</v>
      </c>
      <c r="W55" s="27" t="n">
        <v>14.1</v>
      </c>
      <c r="X55" s="27" t="n">
        <v>14.8421052631579</v>
      </c>
      <c r="Y55" s="27" t="n">
        <v>15.66666666666667</v>
      </c>
      <c r="Z55" s="27" t="n">
        <v>16.58823529411765</v>
      </c>
      <c r="AA55" s="27" t="n">
        <v>17.625</v>
      </c>
      <c r="AB55" s="27" t="n">
        <v>18.8</v>
      </c>
      <c r="AC55" s="27" t="n">
        <v>20.14285714285714</v>
      </c>
      <c r="AD55" s="27" t="n">
        <v>21.69230769230769</v>
      </c>
      <c r="AE55" s="27" t="n">
        <v>23.5</v>
      </c>
      <c r="AF55" s="27" t="n">
        <v>25.63636363636363</v>
      </c>
      <c r="AG55" s="27" t="n">
        <v>28.2</v>
      </c>
      <c r="AH55" s="27" t="n">
        <v>31.33333333333333</v>
      </c>
      <c r="AI55" s="27" t="n">
        <v>35.25</v>
      </c>
      <c r="AJ55" s="27" t="n">
        <v>40.28571428571428</v>
      </c>
      <c r="AK55" s="27" t="n">
        <v>47</v>
      </c>
      <c r="AL55" s="27" t="n">
        <v>56.39999999999999</v>
      </c>
      <c r="AM55" s="27" t="n">
        <v>70.5</v>
      </c>
      <c r="AN55" s="27" t="n">
        <v>93.99999999999999</v>
      </c>
      <c r="AO55" s="27" t="n">
        <v>141</v>
      </c>
      <c r="AP55" s="27" t="n">
        <v>281.9999999999999</v>
      </c>
    </row>
    <row r="56">
      <c r="A56" s="6" t="inlineStr">
        <is>
          <t>P50</t>
        </is>
      </c>
      <c r="B56" s="6" t="inlineStr">
        <is>
          <t>Karitel</t>
        </is>
      </c>
      <c r="C56" s="27" t="n">
        <v>6.18</v>
      </c>
      <c r="D56" s="27" t="n">
        <v>6.505263157894737</v>
      </c>
      <c r="E56" s="27" t="n">
        <v>6.866666666666666</v>
      </c>
      <c r="F56" s="27" t="n">
        <v>7.270588235294118</v>
      </c>
      <c r="G56" s="27" t="n">
        <v>7.725</v>
      </c>
      <c r="H56" s="27" t="n">
        <v>8.24</v>
      </c>
      <c r="I56" s="27" t="n">
        <v>8.828571428571429</v>
      </c>
      <c r="J56" s="27" t="n">
        <v>9.507692307692308</v>
      </c>
      <c r="K56" s="27" t="n">
        <v>10.3</v>
      </c>
      <c r="L56" s="27" t="n">
        <v>11.23636363636363</v>
      </c>
      <c r="M56" s="27" t="n">
        <v>12.36</v>
      </c>
      <c r="N56" s="27" t="n">
        <v>13.73333333333333</v>
      </c>
      <c r="O56" s="27" t="n">
        <v>15.45</v>
      </c>
      <c r="P56" s="27" t="n">
        <v>17.65714285714286</v>
      </c>
      <c r="Q56" s="27" t="n">
        <v>20.6</v>
      </c>
      <c r="R56" s="27" t="n">
        <v>24.72</v>
      </c>
      <c r="S56" s="27" t="n">
        <v>30.9</v>
      </c>
      <c r="T56" s="27" t="n">
        <v>41.2</v>
      </c>
      <c r="U56" s="27" t="n">
        <v>61.8</v>
      </c>
      <c r="V56" s="27" t="n">
        <v>123.6</v>
      </c>
      <c r="W56" s="27" t="n">
        <v>13.26</v>
      </c>
      <c r="X56" s="27" t="n">
        <v>13.95789473684211</v>
      </c>
      <c r="Y56" s="27" t="n">
        <v>14.73333333333333</v>
      </c>
      <c r="Z56" s="27" t="n">
        <v>15.6</v>
      </c>
      <c r="AA56" s="27" t="n">
        <v>16.575</v>
      </c>
      <c r="AB56" s="27" t="n">
        <v>17.68</v>
      </c>
      <c r="AC56" s="27" t="n">
        <v>18.94285714285714</v>
      </c>
      <c r="AD56" s="27" t="n">
        <v>20.4</v>
      </c>
      <c r="AE56" s="27" t="n">
        <v>22.1</v>
      </c>
      <c r="AF56" s="27" t="n">
        <v>24.10909090909091</v>
      </c>
      <c r="AG56" s="27" t="n">
        <v>26.52</v>
      </c>
      <c r="AH56" s="27" t="n">
        <v>29.46666666666667</v>
      </c>
      <c r="AI56" s="27" t="n">
        <v>33.15</v>
      </c>
      <c r="AJ56" s="27" t="n">
        <v>37.88571428571429</v>
      </c>
      <c r="AK56" s="27" t="n">
        <v>44.2</v>
      </c>
      <c r="AL56" s="27" t="n">
        <v>53.04</v>
      </c>
      <c r="AM56" s="27" t="n">
        <v>66.3</v>
      </c>
      <c r="AN56" s="27" t="n">
        <v>88.40000000000001</v>
      </c>
      <c r="AO56" s="27" t="n">
        <v>132.6</v>
      </c>
      <c r="AP56" s="27" t="n">
        <v>265.2</v>
      </c>
    </row>
    <row r="57">
      <c r="A57" s="6" t="inlineStr">
        <is>
          <t>P51</t>
        </is>
      </c>
      <c r="B57" s="6" t="inlineStr">
        <is>
          <t>Karitel</t>
        </is>
      </c>
      <c r="C57" s="27" t="n">
        <v>5.995</v>
      </c>
      <c r="D57" s="27" t="n">
        <v>6.310526315789474</v>
      </c>
      <c r="E57" s="27" t="n">
        <v>6.661111111111111</v>
      </c>
      <c r="F57" s="27" t="n">
        <v>7.052941176470589</v>
      </c>
      <c r="G57" s="27" t="n">
        <v>7.493749999999999</v>
      </c>
      <c r="H57" s="27" t="n">
        <v>7.993333333333333</v>
      </c>
      <c r="I57" s="27" t="n">
        <v>8.564285714285715</v>
      </c>
      <c r="J57" s="27" t="n">
        <v>9.223076923076922</v>
      </c>
      <c r="K57" s="27" t="n">
        <v>9.991666666666667</v>
      </c>
      <c r="L57" s="27" t="n">
        <v>10.9</v>
      </c>
      <c r="M57" s="27" t="n">
        <v>11.99</v>
      </c>
      <c r="N57" s="27" t="n">
        <v>13.32222222222222</v>
      </c>
      <c r="O57" s="27" t="n">
        <v>14.9875</v>
      </c>
      <c r="P57" s="27" t="n">
        <v>17.12857142857143</v>
      </c>
      <c r="Q57" s="27" t="n">
        <v>19.98333333333333</v>
      </c>
      <c r="R57" s="27" t="n">
        <v>23.98</v>
      </c>
      <c r="S57" s="27" t="n">
        <v>29.975</v>
      </c>
      <c r="T57" s="27" t="n">
        <v>39.96666666666667</v>
      </c>
      <c r="U57" s="27" t="n">
        <v>59.95</v>
      </c>
      <c r="V57" s="27" t="n">
        <v>119.9</v>
      </c>
      <c r="W57" s="27" t="n">
        <v>13.26</v>
      </c>
      <c r="X57" s="27" t="n">
        <v>13.95789473684211</v>
      </c>
      <c r="Y57" s="27" t="n">
        <v>14.73333333333333</v>
      </c>
      <c r="Z57" s="27" t="n">
        <v>15.6</v>
      </c>
      <c r="AA57" s="27" t="n">
        <v>16.575</v>
      </c>
      <c r="AB57" s="27" t="n">
        <v>17.68</v>
      </c>
      <c r="AC57" s="27" t="n">
        <v>18.94285714285714</v>
      </c>
      <c r="AD57" s="27" t="n">
        <v>20.4</v>
      </c>
      <c r="AE57" s="27" t="n">
        <v>22.1</v>
      </c>
      <c r="AF57" s="27" t="n">
        <v>24.10909090909091</v>
      </c>
      <c r="AG57" s="27" t="n">
        <v>26.52</v>
      </c>
      <c r="AH57" s="27" t="n">
        <v>29.46666666666667</v>
      </c>
      <c r="AI57" s="27" t="n">
        <v>33.15</v>
      </c>
      <c r="AJ57" s="27" t="n">
        <v>37.88571428571429</v>
      </c>
      <c r="AK57" s="27" t="n">
        <v>44.2</v>
      </c>
      <c r="AL57" s="27" t="n">
        <v>53.04</v>
      </c>
      <c r="AM57" s="27" t="n">
        <v>66.3</v>
      </c>
      <c r="AN57" s="27" t="n">
        <v>88.40000000000001</v>
      </c>
      <c r="AO57" s="27" t="n">
        <v>132.6</v>
      </c>
      <c r="AP57" s="27" t="n">
        <v>265.2</v>
      </c>
    </row>
    <row r="58">
      <c r="A58" s="6" t="inlineStr">
        <is>
          <t>P52</t>
        </is>
      </c>
      <c r="B58" s="6" t="inlineStr">
        <is>
          <t>Karitel</t>
        </is>
      </c>
      <c r="C58" s="27" t="n">
        <v>6.435</v>
      </c>
      <c r="D58" s="27" t="n">
        <v>6.773684210526316</v>
      </c>
      <c r="E58" s="27" t="n">
        <v>7.149999999999999</v>
      </c>
      <c r="F58" s="27" t="n">
        <v>7.570588235294117</v>
      </c>
      <c r="G58" s="27" t="n">
        <v>8.043749999999999</v>
      </c>
      <c r="H58" s="27" t="n">
        <v>8.58</v>
      </c>
      <c r="I58" s="27" t="n">
        <v>9.192857142857143</v>
      </c>
      <c r="J58" s="27" t="n">
        <v>9.899999999999999</v>
      </c>
      <c r="K58" s="27" t="n">
        <v>10.725</v>
      </c>
      <c r="L58" s="27" t="n">
        <v>11.7</v>
      </c>
      <c r="M58" s="27" t="n">
        <v>12.87</v>
      </c>
      <c r="N58" s="27" t="n">
        <v>14.3</v>
      </c>
      <c r="O58" s="27" t="n">
        <v>16.0875</v>
      </c>
      <c r="P58" s="27" t="n">
        <v>18.38571428571429</v>
      </c>
      <c r="Q58" s="27" t="n">
        <v>21.45</v>
      </c>
      <c r="R58" s="27" t="n">
        <v>25.74</v>
      </c>
      <c r="S58" s="27" t="n">
        <v>32.175</v>
      </c>
      <c r="T58" s="27" t="n">
        <v>42.9</v>
      </c>
      <c r="U58" s="27" t="n">
        <v>64.34999999999999</v>
      </c>
      <c r="V58" s="27" t="n">
        <v>128.7</v>
      </c>
      <c r="W58" s="27" t="n">
        <v>16.05</v>
      </c>
      <c r="X58" s="27" t="n">
        <v>16.89473684210526</v>
      </c>
      <c r="Y58" s="27" t="n">
        <v>17.83333333333333</v>
      </c>
      <c r="Z58" s="27" t="n">
        <v>18.88235294117647</v>
      </c>
      <c r="AA58" s="27" t="n">
        <v>20.0625</v>
      </c>
      <c r="AB58" s="27" t="n">
        <v>21.4</v>
      </c>
      <c r="AC58" s="27" t="n">
        <v>22.92857142857143</v>
      </c>
      <c r="AD58" s="27" t="n">
        <v>24.69230769230769</v>
      </c>
      <c r="AE58" s="27" t="n">
        <v>26.75</v>
      </c>
      <c r="AF58" s="27" t="n">
        <v>29.18181818181818</v>
      </c>
      <c r="AG58" s="27" t="n">
        <v>32.1</v>
      </c>
      <c r="AH58" s="27" t="n">
        <v>35.66666666666666</v>
      </c>
      <c r="AI58" s="27" t="n">
        <v>40.125</v>
      </c>
      <c r="AJ58" s="27" t="n">
        <v>45.85714285714286</v>
      </c>
      <c r="AK58" s="27" t="n">
        <v>53.50000000000001</v>
      </c>
      <c r="AL58" s="27" t="n">
        <v>64.2</v>
      </c>
      <c r="AM58" s="27" t="n">
        <v>80.25</v>
      </c>
      <c r="AN58" s="27" t="n">
        <v>107</v>
      </c>
      <c r="AO58" s="27" t="n">
        <v>160.5</v>
      </c>
      <c r="AP58" s="27" t="n">
        <v>321</v>
      </c>
    </row>
    <row r="59">
      <c r="A59" s="6" t="inlineStr">
        <is>
          <t>P53</t>
        </is>
      </c>
      <c r="B59" s="6" t="inlineStr">
        <is>
          <t>Karitel</t>
        </is>
      </c>
      <c r="C59" s="27" t="n">
        <v>5.04</v>
      </c>
      <c r="D59" s="27" t="n">
        <v>5.305263157894737</v>
      </c>
      <c r="E59" s="27" t="n">
        <v>5.6</v>
      </c>
      <c r="F59" s="27" t="n">
        <v>5.929411764705883</v>
      </c>
      <c r="G59" s="27" t="n">
        <v>6.3</v>
      </c>
      <c r="H59" s="27" t="n">
        <v>6.72</v>
      </c>
      <c r="I59" s="27" t="n">
        <v>7.2</v>
      </c>
      <c r="J59" s="27" t="n">
        <v>7.753846153846154</v>
      </c>
      <c r="K59" s="27" t="n">
        <v>8.4</v>
      </c>
      <c r="L59" s="27" t="n">
        <v>9.163636363636362</v>
      </c>
      <c r="M59" s="27" t="n">
        <v>10.08</v>
      </c>
      <c r="N59" s="27" t="n">
        <v>11.2</v>
      </c>
      <c r="O59" s="27" t="n">
        <v>12.6</v>
      </c>
      <c r="P59" s="27" t="n">
        <v>14.4</v>
      </c>
      <c r="Q59" s="27" t="n">
        <v>16.8</v>
      </c>
      <c r="R59" s="27" t="n">
        <v>20.16</v>
      </c>
      <c r="S59" s="27" t="n">
        <v>25.2</v>
      </c>
      <c r="T59" s="27" t="n">
        <v>33.6</v>
      </c>
      <c r="U59" s="27" t="n">
        <v>50.4</v>
      </c>
      <c r="V59" s="27" t="n">
        <v>100.8</v>
      </c>
      <c r="W59" s="27" t="n">
        <v>10.94</v>
      </c>
      <c r="X59" s="27" t="n">
        <v>11.51578947368421</v>
      </c>
      <c r="Y59" s="27" t="n">
        <v>12.15555555555556</v>
      </c>
      <c r="Z59" s="27" t="n">
        <v>12.87058823529412</v>
      </c>
      <c r="AA59" s="27" t="n">
        <v>13.675</v>
      </c>
      <c r="AB59" s="27" t="n">
        <v>14.58666666666667</v>
      </c>
      <c r="AC59" s="27" t="n">
        <v>15.62857142857143</v>
      </c>
      <c r="AD59" s="27" t="n">
        <v>16.83076923076923</v>
      </c>
      <c r="AE59" s="27" t="n">
        <v>18.23333333333333</v>
      </c>
      <c r="AF59" s="27" t="n">
        <v>19.89090909090909</v>
      </c>
      <c r="AG59" s="27" t="n">
        <v>21.88</v>
      </c>
      <c r="AH59" s="27" t="n">
        <v>24.31111111111111</v>
      </c>
      <c r="AI59" s="27" t="n">
        <v>27.35</v>
      </c>
      <c r="AJ59" s="27" t="n">
        <v>31.25714285714286</v>
      </c>
      <c r="AK59" s="27" t="n">
        <v>36.46666666666667</v>
      </c>
      <c r="AL59" s="27" t="n">
        <v>43.76</v>
      </c>
      <c r="AM59" s="27" t="n">
        <v>54.7</v>
      </c>
      <c r="AN59" s="27" t="n">
        <v>72.93333333333334</v>
      </c>
      <c r="AO59" s="27" t="n">
        <v>109.4</v>
      </c>
      <c r="AP59" s="27" t="n">
        <v>218.8</v>
      </c>
    </row>
    <row r="60">
      <c r="A60" s="6" t="inlineStr">
        <is>
          <t>P54</t>
        </is>
      </c>
      <c r="B60" s="6" t="inlineStr">
        <is>
          <t>Karitel</t>
        </is>
      </c>
      <c r="C60" s="27" t="n">
        <v>5.9</v>
      </c>
      <c r="D60" s="27" t="n">
        <v>6.210526315789474</v>
      </c>
      <c r="E60" s="27" t="n">
        <v>6.555555555555555</v>
      </c>
      <c r="F60" s="27" t="n">
        <v>6.941176470588236</v>
      </c>
      <c r="G60" s="27" t="n">
        <v>7.375</v>
      </c>
      <c r="H60" s="27" t="n">
        <v>7.866666666666667</v>
      </c>
      <c r="I60" s="27" t="n">
        <v>8.428571428571429</v>
      </c>
      <c r="J60" s="27" t="n">
        <v>9.076923076923077</v>
      </c>
      <c r="K60" s="27" t="n">
        <v>9.833333333333334</v>
      </c>
      <c r="L60" s="27" t="n">
        <v>10.72727272727273</v>
      </c>
      <c r="M60" s="27" t="n">
        <v>11.8</v>
      </c>
      <c r="N60" s="27" t="n">
        <v>13.11111111111111</v>
      </c>
      <c r="O60" s="27" t="n">
        <v>14.75</v>
      </c>
      <c r="P60" s="27" t="n">
        <v>16.85714285714286</v>
      </c>
      <c r="Q60" s="27" t="n">
        <v>19.66666666666667</v>
      </c>
      <c r="R60" s="27" t="n">
        <v>23.6</v>
      </c>
      <c r="S60" s="27" t="n">
        <v>29.5</v>
      </c>
      <c r="T60" s="27" t="n">
        <v>39.33333333333334</v>
      </c>
      <c r="U60" s="27" t="n">
        <v>59</v>
      </c>
      <c r="V60" s="27" t="n">
        <v>118</v>
      </c>
      <c r="W60" s="27" t="n">
        <v>13.57</v>
      </c>
      <c r="X60" s="27" t="n">
        <v>14.28421052631579</v>
      </c>
      <c r="Y60" s="27" t="n">
        <v>15.07777777777778</v>
      </c>
      <c r="Z60" s="27" t="n">
        <v>15.96470588235294</v>
      </c>
      <c r="AA60" s="27" t="n">
        <v>16.9625</v>
      </c>
      <c r="AB60" s="27" t="n">
        <v>18.09333333333333</v>
      </c>
      <c r="AC60" s="27" t="n">
        <v>19.38571428571429</v>
      </c>
      <c r="AD60" s="27" t="n">
        <v>20.87692307692308</v>
      </c>
      <c r="AE60" s="27" t="n">
        <v>22.61666666666667</v>
      </c>
      <c r="AF60" s="27" t="n">
        <v>24.67272727272727</v>
      </c>
      <c r="AG60" s="27" t="n">
        <v>27.14</v>
      </c>
      <c r="AH60" s="27" t="n">
        <v>30.15555555555556</v>
      </c>
      <c r="AI60" s="27" t="n">
        <v>33.925</v>
      </c>
      <c r="AJ60" s="27" t="n">
        <v>38.77142857142857</v>
      </c>
      <c r="AK60" s="27" t="n">
        <v>45.23333333333333</v>
      </c>
      <c r="AL60" s="27" t="n">
        <v>54.28</v>
      </c>
      <c r="AM60" s="27" t="n">
        <v>67.84999999999999</v>
      </c>
      <c r="AN60" s="27" t="n">
        <v>90.46666666666667</v>
      </c>
      <c r="AO60" s="27" t="n">
        <v>135.7</v>
      </c>
      <c r="AP60" s="27" t="n">
        <v>271.4</v>
      </c>
    </row>
    <row r="61">
      <c r="A61" s="6" t="inlineStr">
        <is>
          <t>P55</t>
        </is>
      </c>
      <c r="B61" s="6" t="inlineStr">
        <is>
          <t>Karitel</t>
        </is>
      </c>
      <c r="C61" s="27" t="n">
        <v>6.42</v>
      </c>
      <c r="D61" s="27" t="n">
        <v>6.757894736842106</v>
      </c>
      <c r="E61" s="27" t="n">
        <v>7.133333333333333</v>
      </c>
      <c r="F61" s="27" t="n">
        <v>7.552941176470588</v>
      </c>
      <c r="G61" s="27" t="n">
        <v>8.024999999999999</v>
      </c>
      <c r="H61" s="27" t="n">
        <v>8.56</v>
      </c>
      <c r="I61" s="27" t="n">
        <v>9.171428571428573</v>
      </c>
      <c r="J61" s="27" t="n">
        <v>9.876923076923077</v>
      </c>
      <c r="K61" s="27" t="n">
        <v>10.7</v>
      </c>
      <c r="L61" s="27" t="n">
        <v>11.67272727272727</v>
      </c>
      <c r="M61" s="27" t="n">
        <v>12.84</v>
      </c>
      <c r="N61" s="27" t="n">
        <v>14.26666666666667</v>
      </c>
      <c r="O61" s="27" t="n">
        <v>16.05</v>
      </c>
      <c r="P61" s="27" t="n">
        <v>18.34285714285715</v>
      </c>
      <c r="Q61" s="27" t="n">
        <v>21.4</v>
      </c>
      <c r="R61" s="27" t="n">
        <v>25.68</v>
      </c>
      <c r="S61" s="27" t="n">
        <v>32.09999999999999</v>
      </c>
      <c r="T61" s="27" t="n">
        <v>42.8</v>
      </c>
      <c r="U61" s="27" t="n">
        <v>64.19999999999999</v>
      </c>
      <c r="V61" s="27" t="n">
        <v>128.4</v>
      </c>
      <c r="W61" s="27" t="n">
        <v>15.11</v>
      </c>
      <c r="X61" s="27" t="n">
        <v>15.90526315789474</v>
      </c>
      <c r="Y61" s="27" t="n">
        <v>16.78888888888889</v>
      </c>
      <c r="Z61" s="27" t="n">
        <v>17.77647058823529</v>
      </c>
      <c r="AA61" s="27" t="n">
        <v>18.8875</v>
      </c>
      <c r="AB61" s="27" t="n">
        <v>20.14666666666666</v>
      </c>
      <c r="AC61" s="27" t="n">
        <v>21.58571428571429</v>
      </c>
      <c r="AD61" s="27" t="n">
        <v>23.24615384615385</v>
      </c>
      <c r="AE61" s="27" t="n">
        <v>25.18333333333333</v>
      </c>
      <c r="AF61" s="27" t="n">
        <v>27.47272727272727</v>
      </c>
      <c r="AG61" s="27" t="n">
        <v>30.22</v>
      </c>
      <c r="AH61" s="27" t="n">
        <v>33.57777777777778</v>
      </c>
      <c r="AI61" s="27" t="n">
        <v>37.775</v>
      </c>
      <c r="AJ61" s="27" t="n">
        <v>43.17142857142857</v>
      </c>
      <c r="AK61" s="27" t="n">
        <v>50.36666666666667</v>
      </c>
      <c r="AL61" s="27" t="n">
        <v>60.44</v>
      </c>
      <c r="AM61" s="27" t="n">
        <v>75.55</v>
      </c>
      <c r="AN61" s="27" t="n">
        <v>100.7333333333333</v>
      </c>
      <c r="AO61" s="27" t="n">
        <v>151.1</v>
      </c>
      <c r="AP61" s="27" t="n">
        <v>302.2</v>
      </c>
    </row>
    <row r="62">
      <c r="A62" s="6" t="inlineStr">
        <is>
          <t>P56</t>
        </is>
      </c>
      <c r="B62" s="6" t="inlineStr">
        <is>
          <t>Karitel</t>
        </is>
      </c>
      <c r="C62" s="27" t="n">
        <v>5.775</v>
      </c>
      <c r="D62" s="27" t="n">
        <v>6.078947368421053</v>
      </c>
      <c r="E62" s="27" t="n">
        <v>6.416666666666667</v>
      </c>
      <c r="F62" s="27" t="n">
        <v>6.794117647058824</v>
      </c>
      <c r="G62" s="27" t="n">
        <v>7.21875</v>
      </c>
      <c r="H62" s="27" t="n">
        <v>7.7</v>
      </c>
      <c r="I62" s="27" t="n">
        <v>8.250000000000002</v>
      </c>
      <c r="J62" s="27" t="n">
        <v>8.884615384615385</v>
      </c>
      <c r="K62" s="27" t="n">
        <v>9.625000000000002</v>
      </c>
      <c r="L62" s="27" t="n">
        <v>10.5</v>
      </c>
      <c r="M62" s="27" t="n">
        <v>11.55</v>
      </c>
      <c r="N62" s="27" t="n">
        <v>12.83333333333333</v>
      </c>
      <c r="O62" s="27" t="n">
        <v>14.4375</v>
      </c>
      <c r="P62" s="27" t="n">
        <v>16.5</v>
      </c>
      <c r="Q62" s="27" t="n">
        <v>19.25</v>
      </c>
      <c r="R62" s="27" t="n">
        <v>23.1</v>
      </c>
      <c r="S62" s="27" t="n">
        <v>28.875</v>
      </c>
      <c r="T62" s="27" t="n">
        <v>38.50000000000001</v>
      </c>
      <c r="U62" s="27" t="n">
        <v>57.75</v>
      </c>
      <c r="V62" s="27" t="n">
        <v>115.5</v>
      </c>
      <c r="W62" s="27" t="n">
        <v>15.57</v>
      </c>
      <c r="X62" s="27" t="n">
        <v>16.38947368421053</v>
      </c>
      <c r="Y62" s="27" t="n">
        <v>17.3</v>
      </c>
      <c r="Z62" s="27" t="n">
        <v>18.31764705882353</v>
      </c>
      <c r="AA62" s="27" t="n">
        <v>19.4625</v>
      </c>
      <c r="AB62" s="27" t="n">
        <v>20.76</v>
      </c>
      <c r="AC62" s="27" t="n">
        <v>22.24285714285714</v>
      </c>
      <c r="AD62" s="27" t="n">
        <v>23.95384615384615</v>
      </c>
      <c r="AE62" s="27" t="n">
        <v>25.95</v>
      </c>
      <c r="AF62" s="27" t="n">
        <v>28.30909090909091</v>
      </c>
      <c r="AG62" s="27" t="n">
        <v>31.14</v>
      </c>
      <c r="AH62" s="27" t="n">
        <v>34.6</v>
      </c>
      <c r="AI62" s="27" t="n">
        <v>38.925</v>
      </c>
      <c r="AJ62" s="27" t="n">
        <v>44.48571428571429</v>
      </c>
      <c r="AK62" s="27" t="n">
        <v>51.90000000000001</v>
      </c>
      <c r="AL62" s="27" t="n">
        <v>62.28</v>
      </c>
      <c r="AM62" s="27" t="n">
        <v>77.84999999999999</v>
      </c>
      <c r="AN62" s="27" t="n">
        <v>103.8</v>
      </c>
      <c r="AO62" s="27" t="n">
        <v>155.7</v>
      </c>
      <c r="AP62" s="27" t="n">
        <v>311.4</v>
      </c>
    </row>
    <row r="63">
      <c r="A63" s="6" t="inlineStr">
        <is>
          <t>P57</t>
        </is>
      </c>
      <c r="B63" s="6" t="inlineStr">
        <is>
          <t>Karitel</t>
        </is>
      </c>
      <c r="C63" s="27" t="n">
        <v>6.65</v>
      </c>
      <c r="D63" s="27" t="n">
        <v>7.000000000000001</v>
      </c>
      <c r="E63" s="27" t="n">
        <v>7.388888888888889</v>
      </c>
      <c r="F63" s="27" t="n">
        <v>7.823529411764707</v>
      </c>
      <c r="G63" s="27" t="n">
        <v>8.3125</v>
      </c>
      <c r="H63" s="27" t="n">
        <v>8.866666666666667</v>
      </c>
      <c r="I63" s="27" t="n">
        <v>9.500000000000002</v>
      </c>
      <c r="J63" s="27" t="n">
        <v>10.23076923076923</v>
      </c>
      <c r="K63" s="27" t="n">
        <v>11.08333333333333</v>
      </c>
      <c r="L63" s="27" t="n">
        <v>12.09090909090909</v>
      </c>
      <c r="M63" s="27" t="n">
        <v>13.3</v>
      </c>
      <c r="N63" s="27" t="n">
        <v>14.77777777777778</v>
      </c>
      <c r="O63" s="27" t="n">
        <v>16.625</v>
      </c>
      <c r="P63" s="27" t="n">
        <v>19</v>
      </c>
      <c r="Q63" s="27" t="n">
        <v>22.16666666666667</v>
      </c>
      <c r="R63" s="27" t="n">
        <v>26.6</v>
      </c>
      <c r="S63" s="27" t="n">
        <v>33.25</v>
      </c>
      <c r="T63" s="27" t="n">
        <v>44.33333333333334</v>
      </c>
      <c r="U63" s="27" t="n">
        <v>66.5</v>
      </c>
      <c r="V63" s="27" t="n">
        <v>133</v>
      </c>
      <c r="W63" s="27" t="n">
        <v>15.11</v>
      </c>
      <c r="X63" s="27" t="n">
        <v>15.90526315789474</v>
      </c>
      <c r="Y63" s="27" t="n">
        <v>16.78888888888889</v>
      </c>
      <c r="Z63" s="27" t="n">
        <v>17.77647058823529</v>
      </c>
      <c r="AA63" s="27" t="n">
        <v>18.8875</v>
      </c>
      <c r="AB63" s="27" t="n">
        <v>20.14666666666666</v>
      </c>
      <c r="AC63" s="27" t="n">
        <v>21.58571428571429</v>
      </c>
      <c r="AD63" s="27" t="n">
        <v>23.24615384615385</v>
      </c>
      <c r="AE63" s="27" t="n">
        <v>25.18333333333333</v>
      </c>
      <c r="AF63" s="27" t="n">
        <v>27.47272727272727</v>
      </c>
      <c r="AG63" s="27" t="n">
        <v>30.22</v>
      </c>
      <c r="AH63" s="27" t="n">
        <v>33.57777777777778</v>
      </c>
      <c r="AI63" s="27" t="n">
        <v>37.775</v>
      </c>
      <c r="AJ63" s="27" t="n">
        <v>43.17142857142857</v>
      </c>
      <c r="AK63" s="27" t="n">
        <v>50.36666666666667</v>
      </c>
      <c r="AL63" s="27" t="n">
        <v>60.44</v>
      </c>
      <c r="AM63" s="27" t="n">
        <v>75.55</v>
      </c>
      <c r="AN63" s="27" t="n">
        <v>100.7333333333333</v>
      </c>
      <c r="AO63" s="27" t="n">
        <v>151.1</v>
      </c>
      <c r="AP63" s="27" t="n">
        <v>302.2</v>
      </c>
    </row>
    <row r="64">
      <c r="A64" s="6" t="inlineStr">
        <is>
          <t>P58</t>
        </is>
      </c>
      <c r="B64" s="6" t="inlineStr">
        <is>
          <t>Karitel</t>
        </is>
      </c>
      <c r="C64" s="27" t="n">
        <v>6.65</v>
      </c>
      <c r="D64" s="27" t="n">
        <v>7.000000000000001</v>
      </c>
      <c r="E64" s="27" t="n">
        <v>7.388888888888889</v>
      </c>
      <c r="F64" s="27" t="n">
        <v>7.823529411764707</v>
      </c>
      <c r="G64" s="27" t="n">
        <v>8.3125</v>
      </c>
      <c r="H64" s="27" t="n">
        <v>8.866666666666667</v>
      </c>
      <c r="I64" s="27" t="n">
        <v>9.500000000000002</v>
      </c>
      <c r="J64" s="27" t="n">
        <v>10.23076923076923</v>
      </c>
      <c r="K64" s="27" t="n">
        <v>11.08333333333333</v>
      </c>
      <c r="L64" s="27" t="n">
        <v>12.09090909090909</v>
      </c>
      <c r="M64" s="27" t="n">
        <v>13.3</v>
      </c>
      <c r="N64" s="27" t="n">
        <v>14.77777777777778</v>
      </c>
      <c r="O64" s="27" t="n">
        <v>16.625</v>
      </c>
      <c r="P64" s="27" t="n">
        <v>19</v>
      </c>
      <c r="Q64" s="27" t="n">
        <v>22.16666666666667</v>
      </c>
      <c r="R64" s="27" t="n">
        <v>26.6</v>
      </c>
      <c r="S64" s="27" t="n">
        <v>33.25</v>
      </c>
      <c r="T64" s="27" t="n">
        <v>44.33333333333334</v>
      </c>
      <c r="U64" s="27" t="n">
        <v>66.5</v>
      </c>
      <c r="V64" s="27" t="n">
        <v>133</v>
      </c>
      <c r="W64" s="27" t="n">
        <v>15.11</v>
      </c>
      <c r="X64" s="27" t="n">
        <v>15.90526315789474</v>
      </c>
      <c r="Y64" s="27" t="n">
        <v>16.78888888888889</v>
      </c>
      <c r="Z64" s="27" t="n">
        <v>17.77647058823529</v>
      </c>
      <c r="AA64" s="27" t="n">
        <v>18.8875</v>
      </c>
      <c r="AB64" s="27" t="n">
        <v>20.14666666666666</v>
      </c>
      <c r="AC64" s="27" t="n">
        <v>21.58571428571429</v>
      </c>
      <c r="AD64" s="27" t="n">
        <v>23.24615384615385</v>
      </c>
      <c r="AE64" s="27" t="n">
        <v>25.18333333333333</v>
      </c>
      <c r="AF64" s="27" t="n">
        <v>27.47272727272727</v>
      </c>
      <c r="AG64" s="27" t="n">
        <v>30.22</v>
      </c>
      <c r="AH64" s="27" t="n">
        <v>33.57777777777778</v>
      </c>
      <c r="AI64" s="27" t="n">
        <v>37.775</v>
      </c>
      <c r="AJ64" s="27" t="n">
        <v>43.17142857142857</v>
      </c>
      <c r="AK64" s="27" t="n">
        <v>50.36666666666667</v>
      </c>
      <c r="AL64" s="27" t="n">
        <v>60.44</v>
      </c>
      <c r="AM64" s="27" t="n">
        <v>75.55</v>
      </c>
      <c r="AN64" s="27" t="n">
        <v>100.7333333333333</v>
      </c>
      <c r="AO64" s="27" t="n">
        <v>151.1</v>
      </c>
      <c r="AP64" s="27" t="n">
        <v>302.2</v>
      </c>
    </row>
    <row r="65">
      <c r="A65" s="6" t="inlineStr">
        <is>
          <t>P59</t>
        </is>
      </c>
      <c r="B65" s="6" t="inlineStr">
        <is>
          <t>Karitel</t>
        </is>
      </c>
      <c r="C65" s="27" t="n">
        <v>6.16</v>
      </c>
      <c r="D65" s="27" t="n">
        <v>6.48421052631579</v>
      </c>
      <c r="E65" s="27" t="n">
        <v>6.844444444444444</v>
      </c>
      <c r="F65" s="27" t="n">
        <v>7.247058823529412</v>
      </c>
      <c r="G65" s="27" t="n">
        <v>7.7</v>
      </c>
      <c r="H65" s="27" t="n">
        <v>8.213333333333333</v>
      </c>
      <c r="I65" s="27" t="n">
        <v>8.800000000000001</v>
      </c>
      <c r="J65" s="27" t="n">
        <v>9.476923076923077</v>
      </c>
      <c r="K65" s="27" t="n">
        <v>10.26666666666667</v>
      </c>
      <c r="L65" s="27" t="n">
        <v>11.2</v>
      </c>
      <c r="M65" s="27" t="n">
        <v>12.32</v>
      </c>
      <c r="N65" s="27" t="n">
        <v>13.68888888888889</v>
      </c>
      <c r="O65" s="27" t="n">
        <v>15.4</v>
      </c>
      <c r="P65" s="27" t="n">
        <v>17.6</v>
      </c>
      <c r="Q65" s="27" t="n">
        <v>20.53333333333333</v>
      </c>
      <c r="R65" s="27" t="n">
        <v>24.64</v>
      </c>
      <c r="S65" s="27" t="n">
        <v>30.8</v>
      </c>
      <c r="T65" s="27" t="n">
        <v>41.06666666666667</v>
      </c>
      <c r="U65" s="27" t="n">
        <v>61.6</v>
      </c>
      <c r="V65" s="27" t="n">
        <v>123.2</v>
      </c>
      <c r="W65" s="27" t="n">
        <v>14.8</v>
      </c>
      <c r="X65" s="27" t="n">
        <v>15.57894736842105</v>
      </c>
      <c r="Y65" s="27" t="n">
        <v>16.44444444444445</v>
      </c>
      <c r="Z65" s="27" t="n">
        <v>17.41176470588236</v>
      </c>
      <c r="AA65" s="27" t="n">
        <v>18.5</v>
      </c>
      <c r="AB65" s="27" t="n">
        <v>19.73333333333333</v>
      </c>
      <c r="AC65" s="27" t="n">
        <v>21.14285714285715</v>
      </c>
      <c r="AD65" s="27" t="n">
        <v>22.76923076923077</v>
      </c>
      <c r="AE65" s="27" t="n">
        <v>24.66666666666667</v>
      </c>
      <c r="AF65" s="27" t="n">
        <v>26.90909090909091</v>
      </c>
      <c r="AG65" s="27" t="n">
        <v>29.6</v>
      </c>
      <c r="AH65" s="27" t="n">
        <v>32.88888888888889</v>
      </c>
      <c r="AI65" s="27" t="n">
        <v>37</v>
      </c>
      <c r="AJ65" s="27" t="n">
        <v>42.28571428571428</v>
      </c>
      <c r="AK65" s="27" t="n">
        <v>49.33333333333334</v>
      </c>
      <c r="AL65" s="27" t="n">
        <v>59.2</v>
      </c>
      <c r="AM65" s="27" t="n">
        <v>74</v>
      </c>
      <c r="AN65" s="27" t="n">
        <v>98.66666666666666</v>
      </c>
      <c r="AO65" s="27" t="n">
        <v>148</v>
      </c>
      <c r="AP65" s="27" t="n">
        <v>295.9999999999999</v>
      </c>
    </row>
    <row r="66">
      <c r="A66" s="6" t="inlineStr">
        <is>
          <t>P60</t>
        </is>
      </c>
      <c r="B66" s="6" t="inlineStr">
        <is>
          <t>Karitel</t>
        </is>
      </c>
      <c r="C66" s="27" t="n">
        <v>6.37</v>
      </c>
      <c r="D66" s="27" t="n">
        <v>6.705263157894738</v>
      </c>
      <c r="E66" s="27" t="n">
        <v>7.077777777777778</v>
      </c>
      <c r="F66" s="27" t="n">
        <v>7.494117647058824</v>
      </c>
      <c r="G66" s="27" t="n">
        <v>7.962499999999999</v>
      </c>
      <c r="H66" s="27" t="n">
        <v>8.493333333333334</v>
      </c>
      <c r="I66" s="27" t="n">
        <v>9.100000000000001</v>
      </c>
      <c r="J66" s="27" t="n">
        <v>9.800000000000001</v>
      </c>
      <c r="K66" s="27" t="n">
        <v>10.61666666666667</v>
      </c>
      <c r="L66" s="27" t="n">
        <v>11.58181818181818</v>
      </c>
      <c r="M66" s="27" t="n">
        <v>12.74</v>
      </c>
      <c r="N66" s="27" t="n">
        <v>14.15555555555556</v>
      </c>
      <c r="O66" s="27" t="n">
        <v>15.925</v>
      </c>
      <c r="P66" s="27" t="n">
        <v>18.2</v>
      </c>
      <c r="Q66" s="27" t="n">
        <v>21.23333333333333</v>
      </c>
      <c r="R66" s="27" t="n">
        <v>25.48</v>
      </c>
      <c r="S66" s="27" t="n">
        <v>31.85</v>
      </c>
      <c r="T66" s="27" t="n">
        <v>42.46666666666667</v>
      </c>
      <c r="U66" s="27" t="n">
        <v>63.7</v>
      </c>
      <c r="V66" s="27" t="n">
        <v>127.4</v>
      </c>
      <c r="W66" s="27" t="n">
        <v>15.11</v>
      </c>
      <c r="X66" s="27" t="n">
        <v>15.90526315789474</v>
      </c>
      <c r="Y66" s="27" t="n">
        <v>16.78888888888889</v>
      </c>
      <c r="Z66" s="27" t="n">
        <v>17.77647058823529</v>
      </c>
      <c r="AA66" s="27" t="n">
        <v>18.8875</v>
      </c>
      <c r="AB66" s="27" t="n">
        <v>20.14666666666666</v>
      </c>
      <c r="AC66" s="27" t="n">
        <v>21.58571428571429</v>
      </c>
      <c r="AD66" s="27" t="n">
        <v>23.24615384615385</v>
      </c>
      <c r="AE66" s="27" t="n">
        <v>25.18333333333333</v>
      </c>
      <c r="AF66" s="27" t="n">
        <v>27.47272727272727</v>
      </c>
      <c r="AG66" s="27" t="n">
        <v>30.22</v>
      </c>
      <c r="AH66" s="27" t="n">
        <v>33.57777777777778</v>
      </c>
      <c r="AI66" s="27" t="n">
        <v>37.775</v>
      </c>
      <c r="AJ66" s="27" t="n">
        <v>43.17142857142857</v>
      </c>
      <c r="AK66" s="27" t="n">
        <v>50.36666666666667</v>
      </c>
      <c r="AL66" s="27" t="n">
        <v>60.44</v>
      </c>
      <c r="AM66" s="27" t="n">
        <v>75.55</v>
      </c>
      <c r="AN66" s="27" t="n">
        <v>100.7333333333333</v>
      </c>
      <c r="AO66" s="27" t="n">
        <v>151.1</v>
      </c>
      <c r="AP66" s="27" t="n">
        <v>302.2</v>
      </c>
    </row>
    <row r="67">
      <c r="A67" s="6" t="inlineStr">
        <is>
          <t>P61</t>
        </is>
      </c>
      <c r="B67" s="6" t="inlineStr">
        <is>
          <t>Karitel</t>
        </is>
      </c>
      <c r="C67" s="27" t="n">
        <v>6.23</v>
      </c>
      <c r="D67" s="27" t="n">
        <v>6.557894736842106</v>
      </c>
      <c r="E67" s="27" t="n">
        <v>6.922222222222222</v>
      </c>
      <c r="F67" s="27" t="n">
        <v>7.329411764705883</v>
      </c>
      <c r="G67" s="27" t="n">
        <v>7.787500000000001</v>
      </c>
      <c r="H67" s="27" t="n">
        <v>8.306666666666667</v>
      </c>
      <c r="I67" s="27" t="n">
        <v>8.9</v>
      </c>
      <c r="J67" s="27" t="n">
        <v>9.584615384615384</v>
      </c>
      <c r="K67" s="27" t="n">
        <v>10.38333333333333</v>
      </c>
      <c r="L67" s="27" t="n">
        <v>11.32727272727273</v>
      </c>
      <c r="M67" s="27" t="n">
        <v>12.46</v>
      </c>
      <c r="N67" s="27" t="n">
        <v>13.84444444444444</v>
      </c>
      <c r="O67" s="27" t="n">
        <v>15.575</v>
      </c>
      <c r="P67" s="27" t="n">
        <v>17.8</v>
      </c>
      <c r="Q67" s="27" t="n">
        <v>20.76666666666667</v>
      </c>
      <c r="R67" s="27" t="n">
        <v>24.92</v>
      </c>
      <c r="S67" s="27" t="n">
        <v>31.15</v>
      </c>
      <c r="T67" s="27" t="n">
        <v>41.53333333333334</v>
      </c>
      <c r="U67" s="27" t="n">
        <v>62.3</v>
      </c>
      <c r="V67" s="27" t="n">
        <v>124.6</v>
      </c>
      <c r="W67" s="27" t="n">
        <v>14.8</v>
      </c>
      <c r="X67" s="27" t="n">
        <v>15.57894736842105</v>
      </c>
      <c r="Y67" s="27" t="n">
        <v>16.44444444444445</v>
      </c>
      <c r="Z67" s="27" t="n">
        <v>17.41176470588236</v>
      </c>
      <c r="AA67" s="27" t="n">
        <v>18.5</v>
      </c>
      <c r="AB67" s="27" t="n">
        <v>19.73333333333333</v>
      </c>
      <c r="AC67" s="27" t="n">
        <v>21.14285714285715</v>
      </c>
      <c r="AD67" s="27" t="n">
        <v>22.76923076923077</v>
      </c>
      <c r="AE67" s="27" t="n">
        <v>24.66666666666667</v>
      </c>
      <c r="AF67" s="27" t="n">
        <v>26.90909090909091</v>
      </c>
      <c r="AG67" s="27" t="n">
        <v>29.6</v>
      </c>
      <c r="AH67" s="27" t="n">
        <v>32.88888888888889</v>
      </c>
      <c r="AI67" s="27" t="n">
        <v>37</v>
      </c>
      <c r="AJ67" s="27" t="n">
        <v>42.28571428571428</v>
      </c>
      <c r="AK67" s="27" t="n">
        <v>49.33333333333334</v>
      </c>
      <c r="AL67" s="27" t="n">
        <v>59.2</v>
      </c>
      <c r="AM67" s="27" t="n">
        <v>74</v>
      </c>
      <c r="AN67" s="27" t="n">
        <v>98.66666666666666</v>
      </c>
      <c r="AO67" s="27" t="n">
        <v>148</v>
      </c>
      <c r="AP67" s="27" t="n">
        <v>295.9999999999999</v>
      </c>
    </row>
    <row r="68">
      <c r="A68" s="6" t="inlineStr">
        <is>
          <t>P62</t>
        </is>
      </c>
      <c r="B68" s="6" t="inlineStr">
        <is>
          <t>Karitel</t>
        </is>
      </c>
      <c r="C68" s="27" t="n">
        <v>6.435</v>
      </c>
      <c r="D68" s="27" t="n">
        <v>6.773684210526316</v>
      </c>
      <c r="E68" s="27" t="n">
        <v>7.149999999999999</v>
      </c>
      <c r="F68" s="27" t="n">
        <v>7.570588235294117</v>
      </c>
      <c r="G68" s="27" t="n">
        <v>8.043749999999999</v>
      </c>
      <c r="H68" s="27" t="n">
        <v>8.58</v>
      </c>
      <c r="I68" s="27" t="n">
        <v>9.192857142857143</v>
      </c>
      <c r="J68" s="27" t="n">
        <v>9.899999999999999</v>
      </c>
      <c r="K68" s="27" t="n">
        <v>10.725</v>
      </c>
      <c r="L68" s="27" t="n">
        <v>11.7</v>
      </c>
      <c r="M68" s="27" t="n">
        <v>12.87</v>
      </c>
      <c r="N68" s="27" t="n">
        <v>14.3</v>
      </c>
      <c r="O68" s="27" t="n">
        <v>16.0875</v>
      </c>
      <c r="P68" s="27" t="n">
        <v>18.38571428571429</v>
      </c>
      <c r="Q68" s="27" t="n">
        <v>21.45</v>
      </c>
      <c r="R68" s="27" t="n">
        <v>25.74</v>
      </c>
      <c r="S68" s="27" t="n">
        <v>32.175</v>
      </c>
      <c r="T68" s="27" t="n">
        <v>42.9</v>
      </c>
      <c r="U68" s="27" t="n">
        <v>64.34999999999999</v>
      </c>
      <c r="V68" s="27" t="n">
        <v>128.7</v>
      </c>
      <c r="W68" s="27" t="n">
        <v>14.65</v>
      </c>
      <c r="X68" s="27" t="n">
        <v>15.42105263157895</v>
      </c>
      <c r="Y68" s="27" t="n">
        <v>16.27777777777778</v>
      </c>
      <c r="Z68" s="27" t="n">
        <v>17.23529411764706</v>
      </c>
      <c r="AA68" s="27" t="n">
        <v>18.3125</v>
      </c>
      <c r="AB68" s="27" t="n">
        <v>19.53333333333333</v>
      </c>
      <c r="AC68" s="27" t="n">
        <v>20.92857142857143</v>
      </c>
      <c r="AD68" s="27" t="n">
        <v>22.53846153846154</v>
      </c>
      <c r="AE68" s="27" t="n">
        <v>24.41666666666667</v>
      </c>
      <c r="AF68" s="27" t="n">
        <v>26.63636363636363</v>
      </c>
      <c r="AG68" s="27" t="n">
        <v>29.3</v>
      </c>
      <c r="AH68" s="27" t="n">
        <v>32.55555555555555</v>
      </c>
      <c r="AI68" s="27" t="n">
        <v>36.625</v>
      </c>
      <c r="AJ68" s="27" t="n">
        <v>41.85714285714285</v>
      </c>
      <c r="AK68" s="27" t="n">
        <v>48.83333333333334</v>
      </c>
      <c r="AL68" s="27" t="n">
        <v>58.59999999999999</v>
      </c>
      <c r="AM68" s="27" t="n">
        <v>73.25</v>
      </c>
      <c r="AN68" s="27" t="n">
        <v>97.66666666666666</v>
      </c>
      <c r="AO68" s="27" t="n">
        <v>146.5</v>
      </c>
      <c r="AP68" s="27" t="n">
        <v>292.9999999999999</v>
      </c>
    </row>
    <row r="69">
      <c r="A69" s="6" t="inlineStr">
        <is>
          <t>P63</t>
        </is>
      </c>
      <c r="B69" s="6" t="inlineStr">
        <is>
          <t>Karitel</t>
        </is>
      </c>
      <c r="C69" s="27" t="n">
        <v>3.535</v>
      </c>
      <c r="D69" s="27" t="n">
        <v>3.721052631578948</v>
      </c>
      <c r="E69" s="27" t="n">
        <v>3.927777777777778</v>
      </c>
      <c r="F69" s="27" t="n">
        <v>4.158823529411765</v>
      </c>
      <c r="G69" s="27" t="n">
        <v>4.41875</v>
      </c>
      <c r="H69" s="27" t="n">
        <v>4.713333333333334</v>
      </c>
      <c r="I69" s="27" t="n">
        <v>5.050000000000001</v>
      </c>
      <c r="J69" s="27" t="n">
        <v>5.438461538461539</v>
      </c>
      <c r="K69" s="27" t="n">
        <v>5.891666666666667</v>
      </c>
      <c r="L69" s="27" t="n">
        <v>6.427272727272727</v>
      </c>
      <c r="M69" s="27" t="n">
        <v>7.07</v>
      </c>
      <c r="N69" s="27" t="n">
        <v>7.855555555555556</v>
      </c>
      <c r="O69" s="27" t="n">
        <v>8.8375</v>
      </c>
      <c r="P69" s="27" t="n">
        <v>10.1</v>
      </c>
      <c r="Q69" s="27" t="n">
        <v>11.78333333333333</v>
      </c>
      <c r="R69" s="27" t="n">
        <v>14.14</v>
      </c>
      <c r="S69" s="27" t="n">
        <v>17.675</v>
      </c>
      <c r="T69" s="27" t="n">
        <v>23.56666666666667</v>
      </c>
      <c r="U69" s="27" t="n">
        <v>35.35</v>
      </c>
      <c r="V69" s="27" t="n">
        <v>70.7</v>
      </c>
      <c r="W69" s="27" t="n">
        <v>7.33</v>
      </c>
      <c r="X69" s="27" t="n">
        <v>7.715789473684211</v>
      </c>
      <c r="Y69" s="27" t="n">
        <v>8.144444444444444</v>
      </c>
      <c r="Z69" s="27" t="n">
        <v>8.623529411764705</v>
      </c>
      <c r="AA69" s="27" t="n">
        <v>9.1625</v>
      </c>
      <c r="AB69" s="27" t="n">
        <v>9.773333333333333</v>
      </c>
      <c r="AC69" s="27" t="n">
        <v>10.47142857142857</v>
      </c>
      <c r="AD69" s="27" t="n">
        <v>11.27692307692308</v>
      </c>
      <c r="AE69" s="27" t="n">
        <v>12.21666666666667</v>
      </c>
      <c r="AF69" s="27" t="n">
        <v>13.32727272727273</v>
      </c>
      <c r="AG69" s="27" t="n">
        <v>14.66</v>
      </c>
      <c r="AH69" s="27" t="n">
        <v>16.28888888888889</v>
      </c>
      <c r="AI69" s="27" t="n">
        <v>18.325</v>
      </c>
      <c r="AJ69" s="27" t="n">
        <v>20.94285714285714</v>
      </c>
      <c r="AK69" s="27" t="n">
        <v>24.43333333333333</v>
      </c>
      <c r="AL69" s="27" t="n">
        <v>29.32</v>
      </c>
      <c r="AM69" s="27" t="n">
        <v>36.65</v>
      </c>
      <c r="AN69" s="27" t="n">
        <v>48.86666666666666</v>
      </c>
      <c r="AO69" s="27" t="n">
        <v>73.3</v>
      </c>
      <c r="AP69" s="27" t="n">
        <v>146.6</v>
      </c>
    </row>
    <row r="70">
      <c r="A70" s="6" t="inlineStr">
        <is>
          <t>P64</t>
        </is>
      </c>
      <c r="B70" s="6" t="inlineStr">
        <is>
          <t>Karitel</t>
        </is>
      </c>
      <c r="C70" s="27" t="n">
        <v>5.25</v>
      </c>
      <c r="D70" s="27" t="n">
        <v>5.526315789473684</v>
      </c>
      <c r="E70" s="27" t="n">
        <v>5.833333333333333</v>
      </c>
      <c r="F70" s="27" t="n">
        <v>6.176470588235294</v>
      </c>
      <c r="G70" s="27" t="n">
        <v>6.5625</v>
      </c>
      <c r="H70" s="27" t="n">
        <v>7</v>
      </c>
      <c r="I70" s="27" t="n">
        <v>7.500000000000001</v>
      </c>
      <c r="J70" s="27" t="n">
        <v>8.076923076923077</v>
      </c>
      <c r="K70" s="27" t="n">
        <v>8.75</v>
      </c>
      <c r="L70" s="27" t="n">
        <v>9.545454545454545</v>
      </c>
      <c r="M70" s="27" t="n">
        <v>10.5</v>
      </c>
      <c r="N70" s="27" t="n">
        <v>11.66666666666667</v>
      </c>
      <c r="O70" s="27" t="n">
        <v>13.125</v>
      </c>
      <c r="P70" s="27" t="n">
        <v>15</v>
      </c>
      <c r="Q70" s="27" t="n">
        <v>17.5</v>
      </c>
      <c r="R70" s="27" t="n">
        <v>21</v>
      </c>
      <c r="S70" s="27" t="n">
        <v>26.25</v>
      </c>
      <c r="T70" s="27" t="n">
        <v>35</v>
      </c>
      <c r="U70" s="27" t="n">
        <v>52.5</v>
      </c>
      <c r="V70" s="27" t="n">
        <v>105</v>
      </c>
      <c r="W70" s="27" t="n">
        <v>11.22</v>
      </c>
      <c r="X70" s="27" t="n">
        <v>11.81052631578948</v>
      </c>
      <c r="Y70" s="27" t="n">
        <v>12.46666666666667</v>
      </c>
      <c r="Z70" s="27" t="n">
        <v>13.2</v>
      </c>
      <c r="AA70" s="27" t="n">
        <v>14.025</v>
      </c>
      <c r="AB70" s="27" t="n">
        <v>14.96</v>
      </c>
      <c r="AC70" s="27" t="n">
        <v>16.02857142857143</v>
      </c>
      <c r="AD70" s="27" t="n">
        <v>17.26153846153846</v>
      </c>
      <c r="AE70" s="27" t="n">
        <v>18.7</v>
      </c>
      <c r="AF70" s="27" t="n">
        <v>20.4</v>
      </c>
      <c r="AG70" s="27" t="n">
        <v>22.44</v>
      </c>
      <c r="AH70" s="27" t="n">
        <v>24.93333333333333</v>
      </c>
      <c r="AI70" s="27" t="n">
        <v>28.05</v>
      </c>
      <c r="AJ70" s="27" t="n">
        <v>32.05714285714286</v>
      </c>
      <c r="AK70" s="27" t="n">
        <v>37.40000000000001</v>
      </c>
      <c r="AL70" s="27" t="n">
        <v>44.88000000000001</v>
      </c>
      <c r="AM70" s="27" t="n">
        <v>56.1</v>
      </c>
      <c r="AN70" s="27" t="n">
        <v>74.80000000000003</v>
      </c>
      <c r="AO70" s="27" t="n">
        <v>112.2</v>
      </c>
      <c r="AP70" s="27" t="n">
        <v>224.4000000000001</v>
      </c>
    </row>
    <row r="71">
      <c r="A71" s="6" t="inlineStr">
        <is>
          <t>P65</t>
        </is>
      </c>
      <c r="B71" s="6" t="inlineStr">
        <is>
          <t>Karitel</t>
        </is>
      </c>
      <c r="C71" s="27" t="n">
        <v>7.14</v>
      </c>
      <c r="D71" s="27" t="n">
        <v>7.515789473684211</v>
      </c>
      <c r="E71" s="27" t="n">
        <v>7.933333333333333</v>
      </c>
      <c r="F71" s="27" t="n">
        <v>8.4</v>
      </c>
      <c r="G71" s="27" t="n">
        <v>8.924999999999999</v>
      </c>
      <c r="H71" s="27" t="n">
        <v>9.52</v>
      </c>
      <c r="I71" s="27" t="n">
        <v>10.2</v>
      </c>
      <c r="J71" s="27" t="n">
        <v>10.98461538461538</v>
      </c>
      <c r="K71" s="27" t="n">
        <v>11.9</v>
      </c>
      <c r="L71" s="27" t="n">
        <v>12.98181818181818</v>
      </c>
      <c r="M71" s="27" t="n">
        <v>14.28</v>
      </c>
      <c r="N71" s="27" t="n">
        <v>15.86666666666667</v>
      </c>
      <c r="O71" s="27" t="n">
        <v>17.85</v>
      </c>
      <c r="P71" s="27" t="n">
        <v>20.4</v>
      </c>
      <c r="Q71" s="27" t="n">
        <v>23.8</v>
      </c>
      <c r="R71" s="27" t="n">
        <v>28.56</v>
      </c>
      <c r="S71" s="27" t="n">
        <v>35.7</v>
      </c>
      <c r="T71" s="27" t="n">
        <v>47.6</v>
      </c>
      <c r="U71" s="27" t="n">
        <v>71.39999999999999</v>
      </c>
      <c r="V71" s="27" t="n">
        <v>142.8</v>
      </c>
      <c r="W71" s="27" t="n">
        <v>15.47</v>
      </c>
      <c r="X71" s="27" t="n">
        <v>16.28421052631579</v>
      </c>
      <c r="Y71" s="27" t="n">
        <v>17.18888888888889</v>
      </c>
      <c r="Z71" s="27" t="n">
        <v>18.2</v>
      </c>
      <c r="AA71" s="27" t="n">
        <v>19.3375</v>
      </c>
      <c r="AB71" s="27" t="n">
        <v>20.62666666666667</v>
      </c>
      <c r="AC71" s="27" t="n">
        <v>22.1</v>
      </c>
      <c r="AD71" s="27" t="n">
        <v>23.8</v>
      </c>
      <c r="AE71" s="27" t="n">
        <v>25.78333333333333</v>
      </c>
      <c r="AF71" s="27" t="n">
        <v>28.12727272727273</v>
      </c>
      <c r="AG71" s="27" t="n">
        <v>30.94</v>
      </c>
      <c r="AH71" s="27" t="n">
        <v>34.37777777777778</v>
      </c>
      <c r="AI71" s="27" t="n">
        <v>38.675</v>
      </c>
      <c r="AJ71" s="27" t="n">
        <v>44.2</v>
      </c>
      <c r="AK71" s="27" t="n">
        <v>51.56666666666667</v>
      </c>
      <c r="AL71" s="27" t="n">
        <v>61.88</v>
      </c>
      <c r="AM71" s="27" t="n">
        <v>77.34999999999999</v>
      </c>
      <c r="AN71" s="27" t="n">
        <v>103.1333333333333</v>
      </c>
      <c r="AO71" s="27" t="n">
        <v>154.7</v>
      </c>
      <c r="AP71" s="27" t="n">
        <v>309.4</v>
      </c>
    </row>
    <row r="72">
      <c r="A72" s="6" t="inlineStr">
        <is>
          <t>P66</t>
        </is>
      </c>
      <c r="B72" s="6" t="inlineStr">
        <is>
          <t>Karitel</t>
        </is>
      </c>
      <c r="C72" s="27" t="n">
        <v>5.665</v>
      </c>
      <c r="D72" s="27" t="n">
        <v>5.963157894736843</v>
      </c>
      <c r="E72" s="27" t="n">
        <v>6.294444444444444</v>
      </c>
      <c r="F72" s="27" t="n">
        <v>6.664705882352941</v>
      </c>
      <c r="G72" s="27" t="n">
        <v>7.08125</v>
      </c>
      <c r="H72" s="27" t="n">
        <v>7.553333333333334</v>
      </c>
      <c r="I72" s="27" t="n">
        <v>8.092857142857143</v>
      </c>
      <c r="J72" s="27" t="n">
        <v>8.715384615384615</v>
      </c>
      <c r="K72" s="27" t="n">
        <v>9.441666666666666</v>
      </c>
      <c r="L72" s="27" t="n">
        <v>10.3</v>
      </c>
      <c r="M72" s="27" t="n">
        <v>11.33</v>
      </c>
      <c r="N72" s="27" t="n">
        <v>12.58888888888889</v>
      </c>
      <c r="O72" s="27" t="n">
        <v>14.1625</v>
      </c>
      <c r="P72" s="27" t="n">
        <v>16.18571428571429</v>
      </c>
      <c r="Q72" s="27" t="n">
        <v>18.88333333333333</v>
      </c>
      <c r="R72" s="27" t="n">
        <v>22.66</v>
      </c>
      <c r="S72" s="27" t="n">
        <v>28.325</v>
      </c>
      <c r="T72" s="27" t="n">
        <v>37.76666666666667</v>
      </c>
      <c r="U72" s="27" t="n">
        <v>56.65</v>
      </c>
      <c r="V72" s="27" t="n">
        <v>113.3</v>
      </c>
      <c r="W72" s="27" t="n">
        <v>12.33</v>
      </c>
      <c r="X72" s="27" t="n">
        <v>12.97894736842105</v>
      </c>
      <c r="Y72" s="27" t="n">
        <v>13.7</v>
      </c>
      <c r="Z72" s="27" t="n">
        <v>14.50588235294118</v>
      </c>
      <c r="AA72" s="27" t="n">
        <v>15.4125</v>
      </c>
      <c r="AB72" s="27" t="n">
        <v>16.44</v>
      </c>
      <c r="AC72" s="27" t="n">
        <v>17.61428571428571</v>
      </c>
      <c r="AD72" s="27" t="n">
        <v>18.96923076923077</v>
      </c>
      <c r="AE72" s="27" t="n">
        <v>20.55</v>
      </c>
      <c r="AF72" s="27" t="n">
        <v>22.41818181818182</v>
      </c>
      <c r="AG72" s="27" t="n">
        <v>24.66</v>
      </c>
      <c r="AH72" s="27" t="n">
        <v>27.4</v>
      </c>
      <c r="AI72" s="27" t="n">
        <v>30.825</v>
      </c>
      <c r="AJ72" s="27" t="n">
        <v>35.22857142857143</v>
      </c>
      <c r="AK72" s="27" t="n">
        <v>41.1</v>
      </c>
      <c r="AL72" s="27" t="n">
        <v>49.31999999999999</v>
      </c>
      <c r="AM72" s="27" t="n">
        <v>61.65</v>
      </c>
      <c r="AN72" s="27" t="n">
        <v>82.19999999999999</v>
      </c>
      <c r="AO72" s="27" t="n">
        <v>123.3</v>
      </c>
      <c r="AP72" s="27" t="n">
        <v>246.6</v>
      </c>
    </row>
    <row r="73">
      <c r="A73" s="6" t="inlineStr">
        <is>
          <t>P67</t>
        </is>
      </c>
      <c r="B73" s="6" t="inlineStr">
        <is>
          <t>Karitel</t>
        </is>
      </c>
      <c r="C73" s="27" t="n">
        <v>4.85</v>
      </c>
      <c r="D73" s="27" t="n">
        <v>5.105263157894736</v>
      </c>
      <c r="E73" s="27" t="n">
        <v>5.388888888888888</v>
      </c>
      <c r="F73" s="27" t="n">
        <v>5.705882352941177</v>
      </c>
      <c r="G73" s="27" t="n">
        <v>6.062499999999999</v>
      </c>
      <c r="H73" s="27" t="n">
        <v>6.466666666666666</v>
      </c>
      <c r="I73" s="27" t="n">
        <v>6.928571428571429</v>
      </c>
      <c r="J73" s="27" t="n">
        <v>7.461538461538461</v>
      </c>
      <c r="K73" s="27" t="n">
        <v>8.083333333333334</v>
      </c>
      <c r="L73" s="27" t="n">
        <v>8.818181818181817</v>
      </c>
      <c r="M73" s="27" t="n">
        <v>9.699999999999999</v>
      </c>
      <c r="N73" s="27" t="n">
        <v>10.77777777777778</v>
      </c>
      <c r="O73" s="27" t="n">
        <v>12.125</v>
      </c>
      <c r="P73" s="27" t="n">
        <v>13.85714285714286</v>
      </c>
      <c r="Q73" s="27" t="n">
        <v>16.16666666666667</v>
      </c>
      <c r="R73" s="27" t="n">
        <v>19.4</v>
      </c>
      <c r="S73" s="27" t="n">
        <v>24.25</v>
      </c>
      <c r="T73" s="27" t="n">
        <v>32.33333333333334</v>
      </c>
      <c r="U73" s="27" t="n">
        <v>48.49999999999999</v>
      </c>
      <c r="V73" s="27" t="n">
        <v>96.99999999999999</v>
      </c>
      <c r="W73" s="27" t="n">
        <v>10.94</v>
      </c>
      <c r="X73" s="27" t="n">
        <v>11.51578947368421</v>
      </c>
      <c r="Y73" s="27" t="n">
        <v>12.15555555555556</v>
      </c>
      <c r="Z73" s="27" t="n">
        <v>12.87058823529412</v>
      </c>
      <c r="AA73" s="27" t="n">
        <v>13.675</v>
      </c>
      <c r="AB73" s="27" t="n">
        <v>14.58666666666667</v>
      </c>
      <c r="AC73" s="27" t="n">
        <v>15.62857142857143</v>
      </c>
      <c r="AD73" s="27" t="n">
        <v>16.83076923076923</v>
      </c>
      <c r="AE73" s="27" t="n">
        <v>18.23333333333333</v>
      </c>
      <c r="AF73" s="27" t="n">
        <v>19.89090909090909</v>
      </c>
      <c r="AG73" s="27" t="n">
        <v>21.88</v>
      </c>
      <c r="AH73" s="27" t="n">
        <v>24.31111111111111</v>
      </c>
      <c r="AI73" s="27" t="n">
        <v>27.35</v>
      </c>
      <c r="AJ73" s="27" t="n">
        <v>31.25714285714286</v>
      </c>
      <c r="AK73" s="27" t="n">
        <v>36.46666666666667</v>
      </c>
      <c r="AL73" s="27" t="n">
        <v>43.76</v>
      </c>
      <c r="AM73" s="27" t="n">
        <v>54.7</v>
      </c>
      <c r="AN73" s="27" t="n">
        <v>72.93333333333334</v>
      </c>
      <c r="AO73" s="27" t="n">
        <v>109.4</v>
      </c>
      <c r="AP73" s="27" t="n">
        <v>218.8</v>
      </c>
    </row>
    <row r="74">
      <c r="A74" s="6" t="inlineStr">
        <is>
          <t>P68</t>
        </is>
      </c>
      <c r="B74" s="6" t="inlineStr">
        <is>
          <t>Karitel</t>
        </is>
      </c>
      <c r="C74" s="27" t="n">
        <v>5</v>
      </c>
      <c r="D74" s="27" t="n">
        <v>5.263157894736842</v>
      </c>
      <c r="E74" s="27" t="n">
        <v>5.555555555555555</v>
      </c>
      <c r="F74" s="27" t="n">
        <v>5.882352941176471</v>
      </c>
      <c r="G74" s="27" t="n">
        <v>6.25</v>
      </c>
      <c r="H74" s="27" t="n">
        <v>6.666666666666667</v>
      </c>
      <c r="I74" s="27" t="n">
        <v>7.142857142857143</v>
      </c>
      <c r="J74" s="27" t="n">
        <v>7.692307692307692</v>
      </c>
      <c r="K74" s="27" t="n">
        <v>8.333333333333334</v>
      </c>
      <c r="L74" s="27" t="n">
        <v>9.09090909090909</v>
      </c>
      <c r="M74" s="27" t="n">
        <v>10</v>
      </c>
      <c r="N74" s="27" t="n">
        <v>11.11111111111111</v>
      </c>
      <c r="O74" s="27" t="n">
        <v>12.5</v>
      </c>
      <c r="P74" s="27" t="n">
        <v>14.28571428571429</v>
      </c>
      <c r="Q74" s="27" t="n">
        <v>16.66666666666667</v>
      </c>
      <c r="R74" s="27" t="n">
        <v>20</v>
      </c>
      <c r="S74" s="27" t="n">
        <v>25</v>
      </c>
      <c r="T74" s="27" t="n">
        <v>33.33333333333334</v>
      </c>
      <c r="U74" s="27" t="n">
        <v>50</v>
      </c>
      <c r="V74" s="27" t="n">
        <v>100</v>
      </c>
      <c r="W74" s="27" t="n">
        <v>10.94</v>
      </c>
      <c r="X74" s="27" t="n">
        <v>11.51578947368421</v>
      </c>
      <c r="Y74" s="27" t="n">
        <v>12.15555555555556</v>
      </c>
      <c r="Z74" s="27" t="n">
        <v>12.87058823529412</v>
      </c>
      <c r="AA74" s="27" t="n">
        <v>13.675</v>
      </c>
      <c r="AB74" s="27" t="n">
        <v>14.58666666666667</v>
      </c>
      <c r="AC74" s="27" t="n">
        <v>15.62857142857143</v>
      </c>
      <c r="AD74" s="27" t="n">
        <v>16.83076923076923</v>
      </c>
      <c r="AE74" s="27" t="n">
        <v>18.23333333333333</v>
      </c>
      <c r="AF74" s="27" t="n">
        <v>19.89090909090909</v>
      </c>
      <c r="AG74" s="27" t="n">
        <v>21.88</v>
      </c>
      <c r="AH74" s="27" t="n">
        <v>24.31111111111111</v>
      </c>
      <c r="AI74" s="27" t="n">
        <v>27.35</v>
      </c>
      <c r="AJ74" s="27" t="n">
        <v>31.25714285714286</v>
      </c>
      <c r="AK74" s="27" t="n">
        <v>36.46666666666667</v>
      </c>
      <c r="AL74" s="27" t="n">
        <v>43.76</v>
      </c>
      <c r="AM74" s="27" t="n">
        <v>54.7</v>
      </c>
      <c r="AN74" s="27" t="n">
        <v>72.93333333333334</v>
      </c>
      <c r="AO74" s="27" t="n">
        <v>109.4</v>
      </c>
      <c r="AP74" s="27" t="n">
        <v>218.8</v>
      </c>
    </row>
    <row r="75">
      <c r="A75" s="6" t="inlineStr">
        <is>
          <t>P69</t>
        </is>
      </c>
      <c r="B75" s="6" t="inlineStr">
        <is>
          <t>Karitel</t>
        </is>
      </c>
      <c r="C75" s="27" t="n">
        <v>4.45</v>
      </c>
      <c r="D75" s="27" t="n">
        <v>4.68421052631579</v>
      </c>
      <c r="E75" s="27" t="n">
        <v>4.944444444444445</v>
      </c>
      <c r="F75" s="27" t="n">
        <v>5.235294117647059</v>
      </c>
      <c r="G75" s="27" t="n">
        <v>5.5625</v>
      </c>
      <c r="H75" s="27" t="n">
        <v>5.933333333333334</v>
      </c>
      <c r="I75" s="27" t="n">
        <v>6.357142857142858</v>
      </c>
      <c r="J75" s="27" t="n">
        <v>6.846153846153846</v>
      </c>
      <c r="K75" s="27" t="n">
        <v>7.416666666666667</v>
      </c>
      <c r="L75" s="27" t="n">
        <v>8.09090909090909</v>
      </c>
      <c r="M75" s="27" t="n">
        <v>8.9</v>
      </c>
      <c r="N75" s="27" t="n">
        <v>9.888888888888889</v>
      </c>
      <c r="O75" s="27" t="n">
        <v>11.125</v>
      </c>
      <c r="P75" s="27" t="n">
        <v>12.71428571428572</v>
      </c>
      <c r="Q75" s="27" t="n">
        <v>14.83333333333333</v>
      </c>
      <c r="R75" s="27" t="n">
        <v>17.8</v>
      </c>
      <c r="S75" s="27" t="n">
        <v>22.25</v>
      </c>
      <c r="T75" s="27" t="n">
        <v>29.66666666666667</v>
      </c>
      <c r="U75" s="27" t="n">
        <v>44.5</v>
      </c>
      <c r="V75" s="27" t="n">
        <v>89</v>
      </c>
      <c r="W75" s="27" t="n">
        <v>10.94</v>
      </c>
      <c r="X75" s="27" t="n">
        <v>11.51578947368421</v>
      </c>
      <c r="Y75" s="27" t="n">
        <v>12.15555555555556</v>
      </c>
      <c r="Z75" s="27" t="n">
        <v>12.87058823529412</v>
      </c>
      <c r="AA75" s="27" t="n">
        <v>13.675</v>
      </c>
      <c r="AB75" s="27" t="n">
        <v>14.58666666666667</v>
      </c>
      <c r="AC75" s="27" t="n">
        <v>15.62857142857143</v>
      </c>
      <c r="AD75" s="27" t="n">
        <v>16.83076923076923</v>
      </c>
      <c r="AE75" s="27" t="n">
        <v>18.23333333333333</v>
      </c>
      <c r="AF75" s="27" t="n">
        <v>19.89090909090909</v>
      </c>
      <c r="AG75" s="27" t="n">
        <v>21.88</v>
      </c>
      <c r="AH75" s="27" t="n">
        <v>24.31111111111111</v>
      </c>
      <c r="AI75" s="27" t="n">
        <v>27.35</v>
      </c>
      <c r="AJ75" s="27" t="n">
        <v>31.25714285714286</v>
      </c>
      <c r="AK75" s="27" t="n">
        <v>36.46666666666667</v>
      </c>
      <c r="AL75" s="27" t="n">
        <v>43.76</v>
      </c>
      <c r="AM75" s="27" t="n">
        <v>54.7</v>
      </c>
      <c r="AN75" s="27" t="n">
        <v>72.93333333333334</v>
      </c>
      <c r="AO75" s="27" t="n">
        <v>109.4</v>
      </c>
      <c r="AP75" s="27" t="n">
        <v>218.8</v>
      </c>
    </row>
    <row r="76">
      <c r="A76" s="6" t="inlineStr">
        <is>
          <t>P70</t>
        </is>
      </c>
      <c r="B76" s="6" t="inlineStr">
        <is>
          <t>Karitel</t>
        </is>
      </c>
      <c r="C76" s="27" t="n">
        <v>6.93</v>
      </c>
      <c r="D76" s="27" t="n">
        <v>7.294736842105263</v>
      </c>
      <c r="E76" s="27" t="n">
        <v>7.699999999999999</v>
      </c>
      <c r="F76" s="27" t="n">
        <v>8.152941176470588</v>
      </c>
      <c r="G76" s="27" t="n">
        <v>8.6625</v>
      </c>
      <c r="H76" s="27" t="n">
        <v>9.24</v>
      </c>
      <c r="I76" s="27" t="n">
        <v>9.9</v>
      </c>
      <c r="J76" s="27" t="n">
        <v>10.66153846153846</v>
      </c>
      <c r="K76" s="27" t="n">
        <v>11.55</v>
      </c>
      <c r="L76" s="27" t="n">
        <v>12.6</v>
      </c>
      <c r="M76" s="27" t="n">
        <v>13.86</v>
      </c>
      <c r="N76" s="27" t="n">
        <v>15.4</v>
      </c>
      <c r="O76" s="27" t="n">
        <v>17.325</v>
      </c>
      <c r="P76" s="27" t="n">
        <v>19.8</v>
      </c>
      <c r="Q76" s="27" t="n">
        <v>23.1</v>
      </c>
      <c r="R76" s="27" t="n">
        <v>27.72</v>
      </c>
      <c r="S76" s="27" t="n">
        <v>34.65</v>
      </c>
      <c r="T76" s="27" t="n">
        <v>46.2</v>
      </c>
      <c r="U76" s="27" t="n">
        <v>69.3</v>
      </c>
      <c r="V76" s="27" t="n">
        <v>138.6</v>
      </c>
      <c r="W76" s="27" t="n">
        <v>15.11</v>
      </c>
      <c r="X76" s="27" t="n">
        <v>15.90526315789474</v>
      </c>
      <c r="Y76" s="27" t="n">
        <v>16.78888888888889</v>
      </c>
      <c r="Z76" s="27" t="n">
        <v>17.77647058823529</v>
      </c>
      <c r="AA76" s="27" t="n">
        <v>18.8875</v>
      </c>
      <c r="AB76" s="27" t="n">
        <v>20.14666666666666</v>
      </c>
      <c r="AC76" s="27" t="n">
        <v>21.58571428571429</v>
      </c>
      <c r="AD76" s="27" t="n">
        <v>23.24615384615385</v>
      </c>
      <c r="AE76" s="27" t="n">
        <v>25.18333333333333</v>
      </c>
      <c r="AF76" s="27" t="n">
        <v>27.47272727272727</v>
      </c>
      <c r="AG76" s="27" t="n">
        <v>30.22</v>
      </c>
      <c r="AH76" s="27" t="n">
        <v>33.57777777777778</v>
      </c>
      <c r="AI76" s="27" t="n">
        <v>37.775</v>
      </c>
      <c r="AJ76" s="27" t="n">
        <v>43.17142857142857</v>
      </c>
      <c r="AK76" s="27" t="n">
        <v>50.36666666666667</v>
      </c>
      <c r="AL76" s="27" t="n">
        <v>60.44</v>
      </c>
      <c r="AM76" s="27" t="n">
        <v>75.55</v>
      </c>
      <c r="AN76" s="27" t="n">
        <v>100.7333333333333</v>
      </c>
      <c r="AO76" s="27" t="n">
        <v>151.1</v>
      </c>
      <c r="AP76" s="27" t="n">
        <v>302.2</v>
      </c>
    </row>
    <row r="77">
      <c r="A77" s="6" t="inlineStr">
        <is>
          <t>P71</t>
        </is>
      </c>
      <c r="B77" s="6" t="inlineStr">
        <is>
          <t>Karitel</t>
        </is>
      </c>
      <c r="C77" s="27" t="n">
        <v>4.85</v>
      </c>
      <c r="D77" s="27" t="n">
        <v>5.105263157894736</v>
      </c>
      <c r="E77" s="27" t="n">
        <v>5.388888888888888</v>
      </c>
      <c r="F77" s="27" t="n">
        <v>5.705882352941177</v>
      </c>
      <c r="G77" s="27" t="n">
        <v>6.062499999999999</v>
      </c>
      <c r="H77" s="27" t="n">
        <v>6.466666666666666</v>
      </c>
      <c r="I77" s="27" t="n">
        <v>6.928571428571429</v>
      </c>
      <c r="J77" s="27" t="n">
        <v>7.461538461538461</v>
      </c>
      <c r="K77" s="27" t="n">
        <v>8.083333333333334</v>
      </c>
      <c r="L77" s="27" t="n">
        <v>8.818181818181817</v>
      </c>
      <c r="M77" s="27" t="n">
        <v>9.699999999999999</v>
      </c>
      <c r="N77" s="27" t="n">
        <v>10.77777777777778</v>
      </c>
      <c r="O77" s="27" t="n">
        <v>12.125</v>
      </c>
      <c r="P77" s="27" t="n">
        <v>13.85714285714286</v>
      </c>
      <c r="Q77" s="27" t="n">
        <v>16.16666666666667</v>
      </c>
      <c r="R77" s="27" t="n">
        <v>19.4</v>
      </c>
      <c r="S77" s="27" t="n">
        <v>24.25</v>
      </c>
      <c r="T77" s="27" t="n">
        <v>32.33333333333334</v>
      </c>
      <c r="U77" s="27" t="n">
        <v>48.49999999999999</v>
      </c>
      <c r="V77" s="27" t="n">
        <v>96.99999999999999</v>
      </c>
      <c r="W77" s="27" t="n">
        <v>7.39</v>
      </c>
      <c r="X77" s="27" t="n">
        <v>7.778947368421052</v>
      </c>
      <c r="Y77" s="27" t="n">
        <v>8.21111111111111</v>
      </c>
      <c r="Z77" s="27" t="n">
        <v>8.694117647058823</v>
      </c>
      <c r="AA77" s="27" t="n">
        <v>9.237499999999999</v>
      </c>
      <c r="AB77" s="27" t="n">
        <v>9.853333333333333</v>
      </c>
      <c r="AC77" s="27" t="n">
        <v>10.55714285714286</v>
      </c>
      <c r="AD77" s="27" t="n">
        <v>11.36923076923077</v>
      </c>
      <c r="AE77" s="27" t="n">
        <v>12.31666666666667</v>
      </c>
      <c r="AF77" s="27" t="n">
        <v>13.43636363636363</v>
      </c>
      <c r="AG77" s="27" t="n">
        <v>14.78</v>
      </c>
      <c r="AH77" s="27" t="n">
        <v>16.42222222222222</v>
      </c>
      <c r="AI77" s="27" t="n">
        <v>18.475</v>
      </c>
      <c r="AJ77" s="27" t="n">
        <v>21.11428571428571</v>
      </c>
      <c r="AK77" s="27" t="n">
        <v>24.63333333333333</v>
      </c>
      <c r="AL77" s="27" t="n">
        <v>29.56</v>
      </c>
      <c r="AM77" s="27" t="n">
        <v>36.95</v>
      </c>
      <c r="AN77" s="27" t="n">
        <v>49.26666666666667</v>
      </c>
      <c r="AO77" s="27" t="n">
        <v>73.89999999999999</v>
      </c>
      <c r="AP77" s="27" t="n">
        <v>147.8</v>
      </c>
    </row>
    <row r="78">
      <c r="A78" s="6" t="inlineStr">
        <is>
          <t>P72</t>
        </is>
      </c>
      <c r="B78" s="6" t="inlineStr">
        <is>
          <t>Karitel</t>
        </is>
      </c>
      <c r="C78" s="27" t="n">
        <v>6.12</v>
      </c>
      <c r="D78" s="27" t="n">
        <v>6.442105263157895</v>
      </c>
      <c r="E78" s="27" t="n">
        <v>6.8</v>
      </c>
      <c r="F78" s="27" t="n">
        <v>7.2</v>
      </c>
      <c r="G78" s="27" t="n">
        <v>7.649999999999999</v>
      </c>
      <c r="H78" s="27" t="n">
        <v>8.16</v>
      </c>
      <c r="I78" s="27" t="n">
        <v>8.742857142857144</v>
      </c>
      <c r="J78" s="27" t="n">
        <v>9.415384615384616</v>
      </c>
      <c r="K78" s="27" t="n">
        <v>10.2</v>
      </c>
      <c r="L78" s="27" t="n">
        <v>11.12727272727273</v>
      </c>
      <c r="M78" s="27" t="n">
        <v>12.24</v>
      </c>
      <c r="N78" s="27" t="n">
        <v>13.6</v>
      </c>
      <c r="O78" s="27" t="n">
        <v>15.3</v>
      </c>
      <c r="P78" s="27" t="n">
        <v>17.48571428571429</v>
      </c>
      <c r="Q78" s="27" t="n">
        <v>20.4</v>
      </c>
      <c r="R78" s="27" t="n">
        <v>24.48</v>
      </c>
      <c r="S78" s="27" t="n">
        <v>30.6</v>
      </c>
      <c r="T78" s="27" t="n">
        <v>40.8</v>
      </c>
      <c r="U78" s="27" t="n">
        <v>61.2</v>
      </c>
      <c r="V78" s="27" t="n">
        <v>122.4</v>
      </c>
      <c r="W78" s="27" t="n">
        <v>13.88</v>
      </c>
      <c r="X78" s="27" t="n">
        <v>14.61052631578947</v>
      </c>
      <c r="Y78" s="27" t="n">
        <v>15.42222222222222</v>
      </c>
      <c r="Z78" s="27" t="n">
        <v>16.32941176470588</v>
      </c>
      <c r="AA78" s="27" t="n">
        <v>17.35</v>
      </c>
      <c r="AB78" s="27" t="n">
        <v>18.50666666666667</v>
      </c>
      <c r="AC78" s="27" t="n">
        <v>19.82857142857143</v>
      </c>
      <c r="AD78" s="27" t="n">
        <v>21.35384615384615</v>
      </c>
      <c r="AE78" s="27" t="n">
        <v>23.13333333333334</v>
      </c>
      <c r="AF78" s="27" t="n">
        <v>25.23636363636363</v>
      </c>
      <c r="AG78" s="27" t="n">
        <v>27.76</v>
      </c>
      <c r="AH78" s="27" t="n">
        <v>30.84444444444444</v>
      </c>
      <c r="AI78" s="27" t="n">
        <v>34.7</v>
      </c>
      <c r="AJ78" s="27" t="n">
        <v>39.65714285714286</v>
      </c>
      <c r="AK78" s="27" t="n">
        <v>46.26666666666667</v>
      </c>
      <c r="AL78" s="27" t="n">
        <v>55.52</v>
      </c>
      <c r="AM78" s="27" t="n">
        <v>69.40000000000001</v>
      </c>
      <c r="AN78" s="27" t="n">
        <v>92.53333333333333</v>
      </c>
      <c r="AO78" s="27" t="n">
        <v>138.8</v>
      </c>
      <c r="AP78" s="27" t="n">
        <v>277.6</v>
      </c>
    </row>
    <row r="79">
      <c r="A79" s="6" t="inlineStr">
        <is>
          <t>P73</t>
        </is>
      </c>
      <c r="B79" s="6" t="inlineStr">
        <is>
          <t>Karitel</t>
        </is>
      </c>
      <c r="C79" s="27" t="n">
        <v>6.76</v>
      </c>
      <c r="D79" s="27" t="n">
        <v>7.11578947368421</v>
      </c>
      <c r="E79" s="27" t="n">
        <v>7.511111111111111</v>
      </c>
      <c r="F79" s="27" t="n">
        <v>7.952941176470588</v>
      </c>
      <c r="G79" s="27" t="n">
        <v>8.449999999999999</v>
      </c>
      <c r="H79" s="27" t="n">
        <v>9.013333333333334</v>
      </c>
      <c r="I79" s="27" t="n">
        <v>9.657142857142857</v>
      </c>
      <c r="J79" s="27" t="n">
        <v>10.4</v>
      </c>
      <c r="K79" s="27" t="n">
        <v>11.26666666666667</v>
      </c>
      <c r="L79" s="27" t="n">
        <v>12.29090909090909</v>
      </c>
      <c r="M79" s="27" t="n">
        <v>13.52</v>
      </c>
      <c r="N79" s="27" t="n">
        <v>15.02222222222222</v>
      </c>
      <c r="O79" s="27" t="n">
        <v>16.9</v>
      </c>
      <c r="P79" s="27" t="n">
        <v>19.31428571428571</v>
      </c>
      <c r="Q79" s="27" t="n">
        <v>22.53333333333333</v>
      </c>
      <c r="R79" s="27" t="n">
        <v>27.04</v>
      </c>
      <c r="S79" s="27" t="n">
        <v>33.8</v>
      </c>
      <c r="T79" s="27" t="n">
        <v>45.06666666666667</v>
      </c>
      <c r="U79" s="27" t="n">
        <v>67.59999999999999</v>
      </c>
      <c r="V79" s="27" t="n">
        <v>135.2</v>
      </c>
      <c r="W79" s="27" t="n">
        <v>16.05</v>
      </c>
      <c r="X79" s="27" t="n">
        <v>16.89473684210526</v>
      </c>
      <c r="Y79" s="27" t="n">
        <v>17.83333333333333</v>
      </c>
      <c r="Z79" s="27" t="n">
        <v>18.88235294117647</v>
      </c>
      <c r="AA79" s="27" t="n">
        <v>20.0625</v>
      </c>
      <c r="AB79" s="27" t="n">
        <v>21.4</v>
      </c>
      <c r="AC79" s="27" t="n">
        <v>22.92857142857143</v>
      </c>
      <c r="AD79" s="27" t="n">
        <v>24.69230769230769</v>
      </c>
      <c r="AE79" s="27" t="n">
        <v>26.75</v>
      </c>
      <c r="AF79" s="27" t="n">
        <v>29.18181818181818</v>
      </c>
      <c r="AG79" s="27" t="n">
        <v>32.1</v>
      </c>
      <c r="AH79" s="27" t="n">
        <v>35.66666666666666</v>
      </c>
      <c r="AI79" s="27" t="n">
        <v>40.125</v>
      </c>
      <c r="AJ79" s="27" t="n">
        <v>45.85714285714286</v>
      </c>
      <c r="AK79" s="27" t="n">
        <v>53.50000000000001</v>
      </c>
      <c r="AL79" s="27" t="n">
        <v>64.2</v>
      </c>
      <c r="AM79" s="27" t="n">
        <v>80.25</v>
      </c>
      <c r="AN79" s="27" t="n">
        <v>107</v>
      </c>
      <c r="AO79" s="27" t="n">
        <v>160.5</v>
      </c>
      <c r="AP79" s="27" t="n">
        <v>321</v>
      </c>
    </row>
    <row r="80">
      <c r="A80" s="6" t="inlineStr">
        <is>
          <t>P74</t>
        </is>
      </c>
      <c r="B80" s="6" t="inlineStr">
        <is>
          <t>Karitel</t>
        </is>
      </c>
      <c r="C80" s="27" t="n">
        <v>6.76</v>
      </c>
      <c r="D80" s="27" t="n">
        <v>7.11578947368421</v>
      </c>
      <c r="E80" s="27" t="n">
        <v>7.511111111111111</v>
      </c>
      <c r="F80" s="27" t="n">
        <v>7.952941176470588</v>
      </c>
      <c r="G80" s="27" t="n">
        <v>8.449999999999999</v>
      </c>
      <c r="H80" s="27" t="n">
        <v>9.013333333333334</v>
      </c>
      <c r="I80" s="27" t="n">
        <v>9.657142857142857</v>
      </c>
      <c r="J80" s="27" t="n">
        <v>10.4</v>
      </c>
      <c r="K80" s="27" t="n">
        <v>11.26666666666667</v>
      </c>
      <c r="L80" s="27" t="n">
        <v>12.29090909090909</v>
      </c>
      <c r="M80" s="27" t="n">
        <v>13.52</v>
      </c>
      <c r="N80" s="27" t="n">
        <v>15.02222222222222</v>
      </c>
      <c r="O80" s="27" t="n">
        <v>16.9</v>
      </c>
      <c r="P80" s="27" t="n">
        <v>19.31428571428571</v>
      </c>
      <c r="Q80" s="27" t="n">
        <v>22.53333333333333</v>
      </c>
      <c r="R80" s="27" t="n">
        <v>27.04</v>
      </c>
      <c r="S80" s="27" t="n">
        <v>33.8</v>
      </c>
      <c r="T80" s="27" t="n">
        <v>45.06666666666667</v>
      </c>
      <c r="U80" s="27" t="n">
        <v>67.59999999999999</v>
      </c>
      <c r="V80" s="27" t="n">
        <v>135.2</v>
      </c>
      <c r="W80" s="27" t="n">
        <v>16.05</v>
      </c>
      <c r="X80" s="27" t="n">
        <v>16.89473684210526</v>
      </c>
      <c r="Y80" s="27" t="n">
        <v>17.83333333333333</v>
      </c>
      <c r="Z80" s="27" t="n">
        <v>18.88235294117647</v>
      </c>
      <c r="AA80" s="27" t="n">
        <v>20.0625</v>
      </c>
      <c r="AB80" s="27" t="n">
        <v>21.4</v>
      </c>
      <c r="AC80" s="27" t="n">
        <v>22.92857142857143</v>
      </c>
      <c r="AD80" s="27" t="n">
        <v>24.69230769230769</v>
      </c>
      <c r="AE80" s="27" t="n">
        <v>26.75</v>
      </c>
      <c r="AF80" s="27" t="n">
        <v>29.18181818181818</v>
      </c>
      <c r="AG80" s="27" t="n">
        <v>32.1</v>
      </c>
      <c r="AH80" s="27" t="n">
        <v>35.66666666666666</v>
      </c>
      <c r="AI80" s="27" t="n">
        <v>40.125</v>
      </c>
      <c r="AJ80" s="27" t="n">
        <v>45.85714285714286</v>
      </c>
      <c r="AK80" s="27" t="n">
        <v>53.50000000000001</v>
      </c>
      <c r="AL80" s="27" t="n">
        <v>64.2</v>
      </c>
      <c r="AM80" s="27" t="n">
        <v>80.25</v>
      </c>
      <c r="AN80" s="27" t="n">
        <v>107</v>
      </c>
      <c r="AO80" s="27" t="n">
        <v>160.5</v>
      </c>
      <c r="AP80" s="27" t="n">
        <v>321</v>
      </c>
    </row>
    <row r="81">
      <c r="A81" s="6" t="inlineStr">
        <is>
          <t>P75</t>
        </is>
      </c>
      <c r="B81" s="6" t="inlineStr">
        <is>
          <t>Karitel</t>
        </is>
      </c>
      <c r="C81" s="27" t="n">
        <v>5.75</v>
      </c>
      <c r="D81" s="27" t="n">
        <v>6.052631578947369</v>
      </c>
      <c r="E81" s="27" t="n">
        <v>6.388888888888888</v>
      </c>
      <c r="F81" s="27" t="n">
        <v>6.764705882352941</v>
      </c>
      <c r="G81" s="27" t="n">
        <v>7.1875</v>
      </c>
      <c r="H81" s="27" t="n">
        <v>7.666666666666667</v>
      </c>
      <c r="I81" s="27" t="n">
        <v>8.214285714285715</v>
      </c>
      <c r="J81" s="27" t="n">
        <v>8.846153846153847</v>
      </c>
      <c r="K81" s="27" t="n">
        <v>9.583333333333334</v>
      </c>
      <c r="L81" s="27" t="n">
        <v>10.45454545454545</v>
      </c>
      <c r="M81" s="27" t="n">
        <v>11.5</v>
      </c>
      <c r="N81" s="27" t="n">
        <v>12.77777777777778</v>
      </c>
      <c r="O81" s="27" t="n">
        <v>14.375</v>
      </c>
      <c r="P81" s="27" t="n">
        <v>16.42857142857143</v>
      </c>
      <c r="Q81" s="27" t="n">
        <v>19.16666666666667</v>
      </c>
      <c r="R81" s="27" t="n">
        <v>23</v>
      </c>
      <c r="S81" s="27" t="n">
        <v>28.75</v>
      </c>
      <c r="T81" s="27" t="n">
        <v>38.33333333333334</v>
      </c>
      <c r="U81" s="27" t="n">
        <v>57.5</v>
      </c>
      <c r="V81" s="27" t="n">
        <v>115</v>
      </c>
      <c r="W81" s="27" t="n">
        <v>11.2</v>
      </c>
      <c r="X81" s="27" t="n">
        <v>11.78947368421053</v>
      </c>
      <c r="Y81" s="27" t="n">
        <v>12.44444444444444</v>
      </c>
      <c r="Z81" s="27" t="n">
        <v>13.17647058823529</v>
      </c>
      <c r="AA81" s="27" t="n">
        <v>14</v>
      </c>
      <c r="AB81" s="27" t="n">
        <v>14.93333333333333</v>
      </c>
      <c r="AC81" s="27" t="n">
        <v>16</v>
      </c>
      <c r="AD81" s="27" t="n">
        <v>17.23076923076923</v>
      </c>
      <c r="AE81" s="27" t="n">
        <v>18.66666666666667</v>
      </c>
      <c r="AF81" s="27" t="n">
        <v>20.36363636363636</v>
      </c>
      <c r="AG81" s="27" t="n">
        <v>22.4</v>
      </c>
      <c r="AH81" s="27" t="n">
        <v>24.88888888888889</v>
      </c>
      <c r="AI81" s="27" t="n">
        <v>28</v>
      </c>
      <c r="AJ81" s="27" t="n">
        <v>32</v>
      </c>
      <c r="AK81" s="27" t="n">
        <v>37.33333333333334</v>
      </c>
      <c r="AL81" s="27" t="n">
        <v>44.8</v>
      </c>
      <c r="AM81" s="27" t="n">
        <v>55.99999999999999</v>
      </c>
      <c r="AN81" s="27" t="n">
        <v>74.66666666666667</v>
      </c>
      <c r="AO81" s="27" t="n">
        <v>112</v>
      </c>
      <c r="AP81" s="27" t="n">
        <v>224</v>
      </c>
    </row>
    <row r="82">
      <c r="A82" s="6" t="inlineStr">
        <is>
          <t>P76</t>
        </is>
      </c>
      <c r="B82" s="6" t="inlineStr">
        <is>
          <t>Karitel</t>
        </is>
      </c>
      <c r="C82" s="27" t="n">
        <v>3.8</v>
      </c>
      <c r="D82" s="27" t="n">
        <v>4</v>
      </c>
      <c r="E82" s="27" t="n">
        <v>4.222222222222222</v>
      </c>
      <c r="F82" s="27" t="n">
        <v>4.470588235294118</v>
      </c>
      <c r="G82" s="27" t="n">
        <v>4.749999999999999</v>
      </c>
      <c r="H82" s="27" t="n">
        <v>5.066666666666666</v>
      </c>
      <c r="I82" s="27" t="n">
        <v>5.428571428571429</v>
      </c>
      <c r="J82" s="27" t="n">
        <v>5.846153846153846</v>
      </c>
      <c r="K82" s="27" t="n">
        <v>6.333333333333333</v>
      </c>
      <c r="L82" s="27" t="n">
        <v>6.909090909090908</v>
      </c>
      <c r="M82" s="27" t="n">
        <v>7.6</v>
      </c>
      <c r="N82" s="27" t="n">
        <v>8.444444444444445</v>
      </c>
      <c r="O82" s="27" t="n">
        <v>9.499999999999998</v>
      </c>
      <c r="P82" s="27" t="n">
        <v>10.85714285714286</v>
      </c>
      <c r="Q82" s="27" t="n">
        <v>12.66666666666667</v>
      </c>
      <c r="R82" s="27" t="n">
        <v>15.2</v>
      </c>
      <c r="S82" s="27" t="n">
        <v>19</v>
      </c>
      <c r="T82" s="27" t="n">
        <v>25.33333333333333</v>
      </c>
      <c r="U82" s="27" t="n">
        <v>37.99999999999999</v>
      </c>
      <c r="V82" s="27" t="n">
        <v>75.99999999999999</v>
      </c>
      <c r="W82" s="27" t="n">
        <v>7.9</v>
      </c>
      <c r="X82" s="27" t="n">
        <v>8.315789473684211</v>
      </c>
      <c r="Y82" s="27" t="n">
        <v>8.777777777777779</v>
      </c>
      <c r="Z82" s="27" t="n">
        <v>9.294117647058824</v>
      </c>
      <c r="AA82" s="27" t="n">
        <v>9.875</v>
      </c>
      <c r="AB82" s="27" t="n">
        <v>10.53333333333333</v>
      </c>
      <c r="AC82" s="27" t="n">
        <v>11.28571428571429</v>
      </c>
      <c r="AD82" s="27" t="n">
        <v>12.15384615384615</v>
      </c>
      <c r="AE82" s="27" t="n">
        <v>13.16666666666667</v>
      </c>
      <c r="AF82" s="27" t="n">
        <v>14.36363636363636</v>
      </c>
      <c r="AG82" s="27" t="n">
        <v>15.8</v>
      </c>
      <c r="AH82" s="27" t="n">
        <v>17.55555555555556</v>
      </c>
      <c r="AI82" s="27" t="n">
        <v>19.75</v>
      </c>
      <c r="AJ82" s="27" t="n">
        <v>22.57142857142858</v>
      </c>
      <c r="AK82" s="27" t="n">
        <v>26.33333333333334</v>
      </c>
      <c r="AL82" s="27" t="n">
        <v>31.6</v>
      </c>
      <c r="AM82" s="27" t="n">
        <v>39.5</v>
      </c>
      <c r="AN82" s="27" t="n">
        <v>52.66666666666668</v>
      </c>
      <c r="AO82" s="27" t="n">
        <v>79</v>
      </c>
      <c r="AP82" s="27" t="n">
        <v>158</v>
      </c>
    </row>
    <row r="83">
      <c r="A83" s="6" t="inlineStr">
        <is>
          <t>P101</t>
        </is>
      </c>
      <c r="B83" s="6" t="inlineStr">
        <is>
          <t>RDM</t>
        </is>
      </c>
      <c r="C83" s="27" t="n">
        <v>5.28</v>
      </c>
      <c r="D83" s="27" t="n">
        <v>5.557894736842106</v>
      </c>
      <c r="E83" s="27" t="n">
        <v>5.866666666666667</v>
      </c>
      <c r="F83" s="27" t="n">
        <v>6.211764705882353</v>
      </c>
      <c r="G83" s="27" t="n">
        <v>6.6</v>
      </c>
      <c r="H83" s="27" t="n">
        <v>7.04</v>
      </c>
      <c r="I83" s="27" t="n">
        <v>7.542857142857144</v>
      </c>
      <c r="J83" s="27" t="n">
        <v>8.123076923076923</v>
      </c>
      <c r="K83" s="27" t="n">
        <v>8.800000000000001</v>
      </c>
      <c r="L83" s="27" t="n">
        <v>9.6</v>
      </c>
      <c r="M83" s="27" t="n">
        <v>10.56</v>
      </c>
      <c r="N83" s="27" t="n">
        <v>11.73333333333333</v>
      </c>
      <c r="O83" s="27" t="n">
        <v>13.2</v>
      </c>
      <c r="P83" s="27" t="n">
        <v>15.08571428571429</v>
      </c>
      <c r="Q83" s="27" t="n">
        <v>17.6</v>
      </c>
      <c r="R83" s="27" t="n">
        <v>21.12</v>
      </c>
      <c r="S83" s="27" t="n">
        <v>26.4</v>
      </c>
      <c r="T83" s="27" t="n">
        <v>35.2</v>
      </c>
      <c r="U83" s="27" t="n">
        <v>52.8</v>
      </c>
      <c r="V83" s="27" t="n">
        <v>105.6</v>
      </c>
      <c r="W83" s="27" t="n">
        <v>13.26</v>
      </c>
      <c r="X83" s="27" t="n">
        <v>13.95789473684211</v>
      </c>
      <c r="Y83" s="27" t="n">
        <v>14.73333333333333</v>
      </c>
      <c r="Z83" s="27" t="n">
        <v>15.6</v>
      </c>
      <c r="AA83" s="27" t="n">
        <v>16.575</v>
      </c>
      <c r="AB83" s="27" t="n">
        <v>17.68</v>
      </c>
      <c r="AC83" s="27" t="n">
        <v>18.94285714285714</v>
      </c>
      <c r="AD83" s="27" t="n">
        <v>20.4</v>
      </c>
      <c r="AE83" s="27" t="n">
        <v>22.1</v>
      </c>
      <c r="AF83" s="27" t="n">
        <v>24.10909090909091</v>
      </c>
      <c r="AG83" s="27" t="n">
        <v>26.52</v>
      </c>
      <c r="AH83" s="27" t="n">
        <v>29.46666666666667</v>
      </c>
      <c r="AI83" s="27" t="n">
        <v>33.15</v>
      </c>
      <c r="AJ83" s="27" t="n">
        <v>37.88571428571429</v>
      </c>
      <c r="AK83" s="27" t="n">
        <v>44.2</v>
      </c>
      <c r="AL83" s="27" t="n">
        <v>53.04</v>
      </c>
      <c r="AM83" s="27" t="n">
        <v>66.3</v>
      </c>
      <c r="AN83" s="27" t="n">
        <v>88.40000000000001</v>
      </c>
      <c r="AO83" s="27" t="n">
        <v>132.6</v>
      </c>
      <c r="AP83" s="27" t="n">
        <v>265.2</v>
      </c>
    </row>
    <row r="84">
      <c r="A84" s="6" t="inlineStr">
        <is>
          <t>P102</t>
        </is>
      </c>
      <c r="B84" s="6" t="inlineStr">
        <is>
          <t>RDM</t>
        </is>
      </c>
      <c r="C84" s="27" t="n">
        <v>5.445</v>
      </c>
      <c r="D84" s="27" t="n">
        <v>5.731578947368422</v>
      </c>
      <c r="E84" s="27" t="n">
        <v>6.05</v>
      </c>
      <c r="F84" s="27" t="n">
        <v>6.405882352941177</v>
      </c>
      <c r="G84" s="27" t="n">
        <v>6.80625</v>
      </c>
      <c r="H84" s="27" t="n">
        <v>7.260000000000001</v>
      </c>
      <c r="I84" s="27" t="n">
        <v>7.778571428571429</v>
      </c>
      <c r="J84" s="27" t="n">
        <v>8.376923076923077</v>
      </c>
      <c r="K84" s="27" t="n">
        <v>9.075000000000001</v>
      </c>
      <c r="L84" s="27" t="n">
        <v>9.9</v>
      </c>
      <c r="M84" s="27" t="n">
        <v>10.89</v>
      </c>
      <c r="N84" s="27" t="n">
        <v>12.1</v>
      </c>
      <c r="O84" s="27" t="n">
        <v>13.6125</v>
      </c>
      <c r="P84" s="27" t="n">
        <v>15.55714285714286</v>
      </c>
      <c r="Q84" s="27" t="n">
        <v>18.15</v>
      </c>
      <c r="R84" s="27" t="n">
        <v>21.78</v>
      </c>
      <c r="S84" s="27" t="n">
        <v>27.225</v>
      </c>
      <c r="T84" s="27" t="n">
        <v>36.3</v>
      </c>
      <c r="U84" s="27" t="n">
        <v>54.45</v>
      </c>
      <c r="V84" s="27" t="n">
        <v>108.9</v>
      </c>
      <c r="W84" s="27" t="n">
        <v>12.18</v>
      </c>
      <c r="X84" s="27" t="n">
        <v>12.82105263157895</v>
      </c>
      <c r="Y84" s="27" t="n">
        <v>13.53333333333333</v>
      </c>
      <c r="Z84" s="27" t="n">
        <v>14.32941176470588</v>
      </c>
      <c r="AA84" s="27" t="n">
        <v>15.225</v>
      </c>
      <c r="AB84" s="27" t="n">
        <v>16.24</v>
      </c>
      <c r="AC84" s="27" t="n">
        <v>17.4</v>
      </c>
      <c r="AD84" s="27" t="n">
        <v>18.73846153846154</v>
      </c>
      <c r="AE84" s="27" t="n">
        <v>20.3</v>
      </c>
      <c r="AF84" s="27" t="n">
        <v>22.14545454545454</v>
      </c>
      <c r="AG84" s="27" t="n">
        <v>24.36</v>
      </c>
      <c r="AH84" s="27" t="n">
        <v>27.06666666666667</v>
      </c>
      <c r="AI84" s="27" t="n">
        <v>30.45</v>
      </c>
      <c r="AJ84" s="27" t="n">
        <v>34.8</v>
      </c>
      <c r="AK84" s="27" t="n">
        <v>40.6</v>
      </c>
      <c r="AL84" s="27" t="n">
        <v>48.72</v>
      </c>
      <c r="AM84" s="27" t="n">
        <v>60.9</v>
      </c>
      <c r="AN84" s="27" t="n">
        <v>81.2</v>
      </c>
      <c r="AO84" s="27" t="n">
        <v>121.8</v>
      </c>
      <c r="AP84" s="27" t="n">
        <v>243.6</v>
      </c>
    </row>
    <row r="85">
      <c r="A85" s="6" t="inlineStr">
        <is>
          <t>P103</t>
        </is>
      </c>
      <c r="B85" s="6" t="inlineStr">
        <is>
          <t>RDM</t>
        </is>
      </c>
      <c r="C85" s="27" t="n">
        <v>5.06</v>
      </c>
      <c r="D85" s="27" t="n">
        <v>5.326315789473684</v>
      </c>
      <c r="E85" s="27" t="n">
        <v>5.622222222222222</v>
      </c>
      <c r="F85" s="27" t="n">
        <v>5.952941176470588</v>
      </c>
      <c r="G85" s="27" t="n">
        <v>6.324999999999999</v>
      </c>
      <c r="H85" s="27" t="n">
        <v>6.746666666666666</v>
      </c>
      <c r="I85" s="27" t="n">
        <v>7.228571428571429</v>
      </c>
      <c r="J85" s="27" t="n">
        <v>7.784615384615384</v>
      </c>
      <c r="K85" s="27" t="n">
        <v>8.433333333333334</v>
      </c>
      <c r="L85" s="27" t="n">
        <v>9.199999999999999</v>
      </c>
      <c r="M85" s="27" t="n">
        <v>10.12</v>
      </c>
      <c r="N85" s="27" t="n">
        <v>11.24444444444444</v>
      </c>
      <c r="O85" s="27" t="n">
        <v>12.65</v>
      </c>
      <c r="P85" s="27" t="n">
        <v>14.45714285714286</v>
      </c>
      <c r="Q85" s="27" t="n">
        <v>16.86666666666667</v>
      </c>
      <c r="R85" s="27" t="n">
        <v>20.24</v>
      </c>
      <c r="S85" s="27" t="n">
        <v>25.3</v>
      </c>
      <c r="T85" s="27" t="n">
        <v>33.73333333333333</v>
      </c>
      <c r="U85" s="27" t="n">
        <v>50.59999999999999</v>
      </c>
      <c r="V85" s="27" t="n">
        <v>101.2</v>
      </c>
      <c r="W85" s="27" t="n">
        <v>12.18</v>
      </c>
      <c r="X85" s="27" t="n">
        <v>12.82105263157895</v>
      </c>
      <c r="Y85" s="27" t="n">
        <v>13.53333333333333</v>
      </c>
      <c r="Z85" s="27" t="n">
        <v>14.32941176470588</v>
      </c>
      <c r="AA85" s="27" t="n">
        <v>15.225</v>
      </c>
      <c r="AB85" s="27" t="n">
        <v>16.24</v>
      </c>
      <c r="AC85" s="27" t="n">
        <v>17.4</v>
      </c>
      <c r="AD85" s="27" t="n">
        <v>18.73846153846154</v>
      </c>
      <c r="AE85" s="27" t="n">
        <v>20.3</v>
      </c>
      <c r="AF85" s="27" t="n">
        <v>22.14545454545454</v>
      </c>
      <c r="AG85" s="27" t="n">
        <v>24.36</v>
      </c>
      <c r="AH85" s="27" t="n">
        <v>27.06666666666667</v>
      </c>
      <c r="AI85" s="27" t="n">
        <v>30.45</v>
      </c>
      <c r="AJ85" s="27" t="n">
        <v>34.8</v>
      </c>
      <c r="AK85" s="27" t="n">
        <v>40.6</v>
      </c>
      <c r="AL85" s="27" t="n">
        <v>48.72</v>
      </c>
      <c r="AM85" s="27" t="n">
        <v>60.9</v>
      </c>
      <c r="AN85" s="27" t="n">
        <v>81.2</v>
      </c>
      <c r="AO85" s="27" t="n">
        <v>121.8</v>
      </c>
      <c r="AP85" s="27" t="n">
        <v>243.6</v>
      </c>
    </row>
    <row r="86">
      <c r="A86" s="6" t="inlineStr">
        <is>
          <t>P104</t>
        </is>
      </c>
      <c r="B86" s="6" t="inlineStr">
        <is>
          <t>RDM</t>
        </is>
      </c>
      <c r="C86" s="27" t="n">
        <v>5.005</v>
      </c>
      <c r="D86" s="27" t="n">
        <v>5.268421052631579</v>
      </c>
      <c r="E86" s="27" t="n">
        <v>5.561111111111111</v>
      </c>
      <c r="F86" s="27" t="n">
        <v>5.888235294117647</v>
      </c>
      <c r="G86" s="27" t="n">
        <v>6.25625</v>
      </c>
      <c r="H86" s="27" t="n">
        <v>6.673333333333333</v>
      </c>
      <c r="I86" s="27" t="n">
        <v>7.15</v>
      </c>
      <c r="J86" s="27" t="n">
        <v>7.699999999999999</v>
      </c>
      <c r="K86" s="27" t="n">
        <v>8.341666666666667</v>
      </c>
      <c r="L86" s="27" t="n">
        <v>9.1</v>
      </c>
      <c r="M86" s="27" t="n">
        <v>10.01</v>
      </c>
      <c r="N86" s="27" t="n">
        <v>11.12222222222222</v>
      </c>
      <c r="O86" s="27" t="n">
        <v>12.5125</v>
      </c>
      <c r="P86" s="27" t="n">
        <v>14.3</v>
      </c>
      <c r="Q86" s="27" t="n">
        <v>16.68333333333333</v>
      </c>
      <c r="R86" s="27" t="n">
        <v>20.02</v>
      </c>
      <c r="S86" s="27" t="n">
        <v>25.025</v>
      </c>
      <c r="T86" s="27" t="n">
        <v>33.36666666666667</v>
      </c>
      <c r="U86" s="27" t="n">
        <v>50.05</v>
      </c>
      <c r="V86" s="27" t="n">
        <v>100.1</v>
      </c>
      <c r="W86" s="27" t="n">
        <v>12.18</v>
      </c>
      <c r="X86" s="27" t="n">
        <v>12.82105263157895</v>
      </c>
      <c r="Y86" s="27" t="n">
        <v>13.53333333333333</v>
      </c>
      <c r="Z86" s="27" t="n">
        <v>14.3294117647059</v>
      </c>
      <c r="AA86" s="27" t="n">
        <v>15.225</v>
      </c>
      <c r="AB86" s="27" t="n">
        <v>16.24</v>
      </c>
      <c r="AC86" s="27" t="n">
        <v>17.4</v>
      </c>
      <c r="AD86" s="27" t="n">
        <v>18.73846153846154</v>
      </c>
      <c r="AE86" s="27" t="n">
        <v>20.3</v>
      </c>
      <c r="AF86" s="27" t="n">
        <v>22.14545454545454</v>
      </c>
      <c r="AG86" s="27" t="n">
        <v>24.36</v>
      </c>
      <c r="AH86" s="27" t="n">
        <v>27.06666666666667</v>
      </c>
      <c r="AI86" s="27" t="n">
        <v>30.45</v>
      </c>
      <c r="AJ86" s="27" t="n">
        <v>34.8</v>
      </c>
      <c r="AK86" s="27" t="n">
        <v>40.6</v>
      </c>
      <c r="AL86" s="27" t="n">
        <v>48.72</v>
      </c>
      <c r="AM86" s="27" t="n">
        <v>60.9</v>
      </c>
      <c r="AN86" s="27" t="n">
        <v>81.2</v>
      </c>
      <c r="AO86" s="27" t="n">
        <v>121.8</v>
      </c>
      <c r="AP86" s="27" t="n">
        <v>243.6</v>
      </c>
    </row>
    <row r="87">
      <c r="A87" s="6" t="inlineStr">
        <is>
          <t>P105</t>
        </is>
      </c>
      <c r="B87" s="6" t="inlineStr">
        <is>
          <t>RDM</t>
        </is>
      </c>
      <c r="C87" s="27" t="n">
        <v>5.225</v>
      </c>
      <c r="D87" s="27" t="n">
        <v>5.5</v>
      </c>
      <c r="E87" s="27" t="n">
        <v>5.805555555555555</v>
      </c>
      <c r="F87" s="27" t="n">
        <v>6.147058823529411</v>
      </c>
      <c r="G87" s="27" t="n">
        <v>6.531249999999999</v>
      </c>
      <c r="H87" s="27" t="n">
        <v>6.966666666666666</v>
      </c>
      <c r="I87" s="27" t="n">
        <v>7.464285714285714</v>
      </c>
      <c r="J87" s="27" t="n">
        <v>8.038461538461538</v>
      </c>
      <c r="K87" s="27" t="n">
        <v>8.708333333333334</v>
      </c>
      <c r="L87" s="27" t="n">
        <v>9.499999999999998</v>
      </c>
      <c r="M87" s="27" t="n">
        <v>10.45</v>
      </c>
      <c r="N87" s="27" t="n">
        <v>11.61111111111111</v>
      </c>
      <c r="O87" s="27" t="n">
        <v>13.0625</v>
      </c>
      <c r="P87" s="27" t="n">
        <v>14.92857142857143</v>
      </c>
      <c r="Q87" s="27" t="n">
        <v>17.41666666666667</v>
      </c>
      <c r="R87" s="27" t="n">
        <v>20.9</v>
      </c>
      <c r="S87" s="27" t="n">
        <v>26.125</v>
      </c>
      <c r="T87" s="27" t="n">
        <v>34.83333333333334</v>
      </c>
      <c r="U87" s="27" t="n">
        <v>52.24999999999999</v>
      </c>
      <c r="V87" s="27" t="n">
        <v>104.5</v>
      </c>
      <c r="W87" s="27" t="n">
        <v>12.18</v>
      </c>
      <c r="X87" s="27" t="n">
        <v>12.82105263157895</v>
      </c>
      <c r="Y87" s="27" t="n">
        <v>13.53333333333333</v>
      </c>
      <c r="Z87" s="27" t="n">
        <v>14.32941176470588</v>
      </c>
      <c r="AA87" s="27" t="n">
        <v>15.225</v>
      </c>
      <c r="AB87" s="27" t="n">
        <v>16.24</v>
      </c>
      <c r="AC87" s="27" t="n">
        <v>17.4</v>
      </c>
      <c r="AD87" s="27" t="n">
        <v>18.73846153846154</v>
      </c>
      <c r="AE87" s="27" t="n">
        <v>20.3</v>
      </c>
      <c r="AF87" s="27" t="n">
        <v>22.14545454545454</v>
      </c>
      <c r="AG87" s="27" t="n">
        <v>24.36</v>
      </c>
      <c r="AH87" s="27" t="n">
        <v>27.06666666666667</v>
      </c>
      <c r="AI87" s="27" t="n">
        <v>30.45</v>
      </c>
      <c r="AJ87" s="27" t="n">
        <v>34.8</v>
      </c>
      <c r="AK87" s="27" t="n">
        <v>40.6</v>
      </c>
      <c r="AL87" s="27" t="n">
        <v>48.72</v>
      </c>
      <c r="AM87" s="27" t="n">
        <v>60.9</v>
      </c>
      <c r="AN87" s="27" t="n">
        <v>81.2</v>
      </c>
      <c r="AO87" s="27" t="n">
        <v>121.8</v>
      </c>
      <c r="AP87" s="27" t="n">
        <v>243.6</v>
      </c>
    </row>
    <row r="88">
      <c r="A88" s="6" t="inlineStr">
        <is>
          <t>P106</t>
        </is>
      </c>
      <c r="B88" s="6" t="inlineStr">
        <is>
          <t>RDM</t>
        </is>
      </c>
      <c r="C88" s="27" t="n">
        <v>5.34</v>
      </c>
      <c r="D88" s="27" t="n">
        <v>5.621052631578947</v>
      </c>
      <c r="E88" s="27" t="n">
        <v>5.933333333333333</v>
      </c>
      <c r="F88" s="27" t="n">
        <v>6.28235294117647</v>
      </c>
      <c r="G88" s="27" t="n">
        <v>6.675</v>
      </c>
      <c r="H88" s="27" t="n">
        <v>7.12</v>
      </c>
      <c r="I88" s="27" t="n">
        <v>7.628571428571429</v>
      </c>
      <c r="J88" s="27" t="n">
        <v>8.215384615384615</v>
      </c>
      <c r="K88" s="27" t="n">
        <v>8.9</v>
      </c>
      <c r="L88" s="27" t="n">
        <v>9.709090909090907</v>
      </c>
      <c r="M88" s="27" t="n">
        <v>10.68</v>
      </c>
      <c r="N88" s="27" t="n">
        <v>11.86666666666667</v>
      </c>
      <c r="O88" s="27" t="n">
        <v>13.35</v>
      </c>
      <c r="P88" s="27" t="n">
        <v>15.25714285714286</v>
      </c>
      <c r="Q88" s="27" t="n">
        <v>17.8</v>
      </c>
      <c r="R88" s="27" t="n">
        <v>21.36</v>
      </c>
      <c r="S88" s="27" t="n">
        <v>26.7</v>
      </c>
      <c r="T88" s="27" t="n">
        <v>35.6</v>
      </c>
      <c r="U88" s="27" t="n">
        <v>53.4</v>
      </c>
      <c r="V88" s="27" t="n">
        <v>106.8</v>
      </c>
      <c r="W88" s="27" t="n">
        <v>12.18</v>
      </c>
      <c r="X88" s="27" t="n">
        <v>12.82105263157895</v>
      </c>
      <c r="Y88" s="27" t="n">
        <v>13.53333333333333</v>
      </c>
      <c r="Z88" s="27" t="n">
        <v>14.32941176470588</v>
      </c>
      <c r="AA88" s="27" t="n">
        <v>15.225</v>
      </c>
      <c r="AB88" s="27" t="n">
        <v>16.24</v>
      </c>
      <c r="AC88" s="27" t="n">
        <v>17.4</v>
      </c>
      <c r="AD88" s="27" t="n">
        <v>18.73846153846154</v>
      </c>
      <c r="AE88" s="27" t="n">
        <v>20.3</v>
      </c>
      <c r="AF88" s="27" t="n">
        <v>22.14545454545454</v>
      </c>
      <c r="AG88" s="27" t="n">
        <v>24.36</v>
      </c>
      <c r="AH88" s="27" t="n">
        <v>27.06666666666667</v>
      </c>
      <c r="AI88" s="27" t="n">
        <v>30.45</v>
      </c>
      <c r="AJ88" s="27" t="n">
        <v>34.8</v>
      </c>
      <c r="AK88" s="27" t="n">
        <v>40.6</v>
      </c>
      <c r="AL88" s="27" t="n">
        <v>48.72</v>
      </c>
      <c r="AM88" s="27" t="n">
        <v>60.9</v>
      </c>
      <c r="AN88" s="27" t="n">
        <v>81.2</v>
      </c>
      <c r="AO88" s="27" t="n">
        <v>121.8</v>
      </c>
      <c r="AP88" s="27" t="n">
        <v>243.6</v>
      </c>
    </row>
    <row r="89">
      <c r="A89" s="6" t="inlineStr">
        <is>
          <t>P107</t>
        </is>
      </c>
      <c r="B89" s="6" t="inlineStr">
        <is>
          <t>RDM</t>
        </is>
      </c>
      <c r="C89" s="27" t="n">
        <v>5.225</v>
      </c>
      <c r="D89" s="27" t="n">
        <v>5.5</v>
      </c>
      <c r="E89" s="27" t="n">
        <v>5.805555555555555</v>
      </c>
      <c r="F89" s="27" t="n">
        <v>6.147058823529411</v>
      </c>
      <c r="G89" s="27" t="n">
        <v>6.531249999999999</v>
      </c>
      <c r="H89" s="27" t="n">
        <v>6.966666666666666</v>
      </c>
      <c r="I89" s="27" t="n">
        <v>7.464285714285714</v>
      </c>
      <c r="J89" s="27" t="n">
        <v>8.038461538461538</v>
      </c>
      <c r="K89" s="27" t="n">
        <v>8.708333333333334</v>
      </c>
      <c r="L89" s="27" t="n">
        <v>9.499999999999998</v>
      </c>
      <c r="M89" s="27" t="n">
        <v>10.45</v>
      </c>
      <c r="N89" s="27" t="n">
        <v>11.61111111111111</v>
      </c>
      <c r="O89" s="27" t="n">
        <v>13.0625</v>
      </c>
      <c r="P89" s="27" t="n">
        <v>14.92857142857143</v>
      </c>
      <c r="Q89" s="27" t="n">
        <v>17.41666666666667</v>
      </c>
      <c r="R89" s="27" t="n">
        <v>20.9</v>
      </c>
      <c r="S89" s="27" t="n">
        <v>26.125</v>
      </c>
      <c r="T89" s="27" t="n">
        <v>34.83333333333334</v>
      </c>
      <c r="U89" s="27" t="n">
        <v>52.24999999999999</v>
      </c>
      <c r="V89" s="27" t="n">
        <v>104.5</v>
      </c>
      <c r="W89" s="27" t="n">
        <v>12.18</v>
      </c>
      <c r="X89" s="27" t="n">
        <v>12.82105263157895</v>
      </c>
      <c r="Y89" s="27" t="n">
        <v>13.53333333333333</v>
      </c>
      <c r="Z89" s="27" t="n">
        <v>14.32941176470588</v>
      </c>
      <c r="AA89" s="27" t="n">
        <v>15.225</v>
      </c>
      <c r="AB89" s="27" t="n">
        <v>16.24</v>
      </c>
      <c r="AC89" s="27" t="n">
        <v>17.4</v>
      </c>
      <c r="AD89" s="27" t="n">
        <v>18.73846153846154</v>
      </c>
      <c r="AE89" s="27" t="n">
        <v>20.3</v>
      </c>
      <c r="AF89" s="27" t="n">
        <v>22.14545454545454</v>
      </c>
      <c r="AG89" s="27" t="n">
        <v>24.36</v>
      </c>
      <c r="AH89" s="27" t="n">
        <v>27.06666666666667</v>
      </c>
      <c r="AI89" s="27" t="n">
        <v>30.45</v>
      </c>
      <c r="AJ89" s="27" t="n">
        <v>34.8</v>
      </c>
      <c r="AK89" s="27" t="n">
        <v>40.6</v>
      </c>
      <c r="AL89" s="27" t="n">
        <v>48.72</v>
      </c>
      <c r="AM89" s="27" t="n">
        <v>60.9</v>
      </c>
      <c r="AN89" s="27" t="n">
        <v>81.2</v>
      </c>
      <c r="AO89" s="27" t="n">
        <v>121.8</v>
      </c>
      <c r="AP89" s="27" t="n">
        <v>243.6</v>
      </c>
    </row>
    <row r="90">
      <c r="A90" s="6" t="inlineStr">
        <is>
          <t>P108</t>
        </is>
      </c>
      <c r="B90" s="6" t="inlineStr">
        <is>
          <t>RDM</t>
        </is>
      </c>
      <c r="C90" s="27" t="n">
        <v>5.5</v>
      </c>
      <c r="D90" s="27" t="n">
        <v>5.789473684210527</v>
      </c>
      <c r="E90" s="27" t="n">
        <v>6.111111111111111</v>
      </c>
      <c r="F90" s="27" t="n">
        <v>6.470588235294118</v>
      </c>
      <c r="G90" s="27" t="n">
        <v>6.875</v>
      </c>
      <c r="H90" s="27" t="n">
        <v>7.333333333333333</v>
      </c>
      <c r="I90" s="27" t="n">
        <v>7.857142857142858</v>
      </c>
      <c r="J90" s="27" t="n">
        <v>8.461538461538462</v>
      </c>
      <c r="K90" s="27" t="n">
        <v>9.166666666666668</v>
      </c>
      <c r="L90" s="27" t="n">
        <v>10</v>
      </c>
      <c r="M90" s="27" t="n">
        <v>11</v>
      </c>
      <c r="N90" s="27" t="n">
        <v>12.22222222222222</v>
      </c>
      <c r="O90" s="27" t="n">
        <v>13.75</v>
      </c>
      <c r="P90" s="27" t="n">
        <v>15.71428571428572</v>
      </c>
      <c r="Q90" s="27" t="n">
        <v>18.33333333333334</v>
      </c>
      <c r="R90" s="27" t="n">
        <v>22</v>
      </c>
      <c r="S90" s="27" t="n">
        <v>27.5</v>
      </c>
      <c r="T90" s="27" t="n">
        <v>36.66666666666667</v>
      </c>
      <c r="U90" s="27" t="n">
        <v>55</v>
      </c>
      <c r="V90" s="27" t="n">
        <v>110</v>
      </c>
      <c r="W90" s="27" t="n">
        <v>12.18</v>
      </c>
      <c r="X90" s="27" t="n">
        <v>12.82105263157895</v>
      </c>
      <c r="Y90" s="27" t="n">
        <v>13.53333333333333</v>
      </c>
      <c r="Z90" s="27" t="n">
        <v>14.32941176470588</v>
      </c>
      <c r="AA90" s="27" t="n">
        <v>15.225</v>
      </c>
      <c r="AB90" s="27" t="n">
        <v>16.24</v>
      </c>
      <c r="AC90" s="27" t="n">
        <v>17.4</v>
      </c>
      <c r="AD90" s="27" t="n">
        <v>18.73846153846154</v>
      </c>
      <c r="AE90" s="27" t="n">
        <v>20.3</v>
      </c>
      <c r="AF90" s="27" t="n">
        <v>22.14545454545454</v>
      </c>
      <c r="AG90" s="27" t="n">
        <v>24.36</v>
      </c>
      <c r="AH90" s="27" t="n">
        <v>27.06666666666667</v>
      </c>
      <c r="AI90" s="27" t="n">
        <v>30.45</v>
      </c>
      <c r="AJ90" s="27" t="n">
        <v>34.8</v>
      </c>
      <c r="AK90" s="27" t="n">
        <v>40.6</v>
      </c>
      <c r="AL90" s="27" t="n">
        <v>48.72</v>
      </c>
      <c r="AM90" s="27" t="n">
        <v>60.9</v>
      </c>
      <c r="AN90" s="27" t="n">
        <v>81.2</v>
      </c>
      <c r="AO90" s="27" t="n">
        <v>121.8</v>
      </c>
      <c r="AP90" s="27" t="n">
        <v>243.6</v>
      </c>
    </row>
    <row r="91">
      <c r="A91" s="6" t="inlineStr">
        <is>
          <t>P109</t>
        </is>
      </c>
      <c r="B91" s="6" t="inlineStr">
        <is>
          <t>RDM</t>
        </is>
      </c>
      <c r="C91" s="27" t="n">
        <v>5.83</v>
      </c>
      <c r="D91" s="27" t="n">
        <v>6.136842105263158</v>
      </c>
      <c r="E91" s="27" t="n">
        <v>6.477777777777778</v>
      </c>
      <c r="F91" s="27" t="n">
        <v>6.858823529411765</v>
      </c>
      <c r="G91" s="27" t="n">
        <v>7.2875</v>
      </c>
      <c r="H91" s="27" t="n">
        <v>7.773333333333333</v>
      </c>
      <c r="I91" s="27" t="n">
        <v>8.328571428571429</v>
      </c>
      <c r="J91" s="27" t="n">
        <v>8.969230769230769</v>
      </c>
      <c r="K91" s="27" t="n">
        <v>9.716666666666667</v>
      </c>
      <c r="L91" s="27" t="n">
        <v>10.6</v>
      </c>
      <c r="M91" s="27" t="n">
        <v>11.66</v>
      </c>
      <c r="N91" s="27" t="n">
        <v>12.95555555555556</v>
      </c>
      <c r="O91" s="27" t="n">
        <v>14.575</v>
      </c>
      <c r="P91" s="27" t="n">
        <v>16.65714285714286</v>
      </c>
      <c r="Q91" s="27" t="n">
        <v>19.43333333333333</v>
      </c>
      <c r="R91" s="27" t="n">
        <v>23.32</v>
      </c>
      <c r="S91" s="27" t="n">
        <v>29.15</v>
      </c>
      <c r="T91" s="27" t="n">
        <v>38.86666666666667</v>
      </c>
      <c r="U91" s="27" t="n">
        <v>58.3</v>
      </c>
      <c r="V91" s="27" t="n">
        <v>116.6</v>
      </c>
      <c r="W91" s="27" t="n">
        <v>12.18</v>
      </c>
      <c r="X91" s="27" t="n">
        <v>12.82105263157895</v>
      </c>
      <c r="Y91" s="27" t="n">
        <v>13.5333333333333</v>
      </c>
      <c r="Z91" s="27" t="n">
        <v>14.32941176470588</v>
      </c>
      <c r="AA91" s="27" t="n">
        <v>15.225</v>
      </c>
      <c r="AB91" s="27" t="n">
        <v>16.24</v>
      </c>
      <c r="AC91" s="27" t="n">
        <v>17.4</v>
      </c>
      <c r="AD91" s="27" t="n">
        <v>18.73846153846154</v>
      </c>
      <c r="AE91" s="27" t="n">
        <v>20.3</v>
      </c>
      <c r="AF91" s="27" t="n">
        <v>22.14545454545454</v>
      </c>
      <c r="AG91" s="27" t="n">
        <v>24.36</v>
      </c>
      <c r="AH91" s="27" t="n">
        <v>27.06666666666667</v>
      </c>
      <c r="AI91" s="27" t="n">
        <v>30.45</v>
      </c>
      <c r="AJ91" s="27" t="n">
        <v>34.8</v>
      </c>
      <c r="AK91" s="27" t="n">
        <v>40.6</v>
      </c>
      <c r="AL91" s="27" t="n">
        <v>48.72</v>
      </c>
      <c r="AM91" s="27" t="n">
        <v>60.9</v>
      </c>
      <c r="AN91" s="27" t="n">
        <v>81.2</v>
      </c>
      <c r="AO91" s="27" t="n">
        <v>121.8</v>
      </c>
      <c r="AP91" s="27" t="n">
        <v>243.6</v>
      </c>
    </row>
    <row r="92">
      <c r="A92" s="6" t="inlineStr">
        <is>
          <t>P110</t>
        </is>
      </c>
      <c r="B92" s="6" t="inlineStr">
        <is>
          <t>RDM</t>
        </is>
      </c>
      <c r="C92" s="27" t="n">
        <v>5.4</v>
      </c>
      <c r="D92" s="27" t="n">
        <v>5.68421052631579</v>
      </c>
      <c r="E92" s="27" t="n">
        <v>6</v>
      </c>
      <c r="F92" s="27" t="n">
        <v>6.352941176470589</v>
      </c>
      <c r="G92" s="27" t="n">
        <v>6.75</v>
      </c>
      <c r="H92" s="27" t="n">
        <v>7.2</v>
      </c>
      <c r="I92" s="27" t="n">
        <v>7.714285714285715</v>
      </c>
      <c r="J92" s="27" t="n">
        <v>8.307692307692308</v>
      </c>
      <c r="K92" s="27" t="n">
        <v>9.000000000000002</v>
      </c>
      <c r="L92" s="27" t="n">
        <v>9.818181818181818</v>
      </c>
      <c r="M92" s="27" t="n">
        <v>10.8</v>
      </c>
      <c r="N92" s="27" t="n">
        <v>12</v>
      </c>
      <c r="O92" s="27" t="n">
        <v>13.5</v>
      </c>
      <c r="P92" s="27" t="n">
        <v>15.42857142857143</v>
      </c>
      <c r="Q92" s="27" t="n">
        <v>18</v>
      </c>
      <c r="R92" s="27" t="n">
        <v>21.6</v>
      </c>
      <c r="S92" s="27" t="n">
        <v>27</v>
      </c>
      <c r="T92" s="27" t="n">
        <v>36.00000000000001</v>
      </c>
      <c r="U92" s="27" t="n">
        <v>54</v>
      </c>
      <c r="V92" s="27" t="n">
        <v>108</v>
      </c>
      <c r="W92" s="27" t="n">
        <v>12.18</v>
      </c>
      <c r="X92" s="27" t="n">
        <v>12.82105263157895</v>
      </c>
      <c r="Y92" s="27" t="n">
        <v>13.53333333333333</v>
      </c>
      <c r="Z92" s="27" t="n">
        <v>14.32941176470588</v>
      </c>
      <c r="AA92" s="27" t="n">
        <v>15.225</v>
      </c>
      <c r="AB92" s="27" t="n">
        <v>16.24</v>
      </c>
      <c r="AC92" s="27" t="n">
        <v>17.4</v>
      </c>
      <c r="AD92" s="27" t="n">
        <v>18.73846153846154</v>
      </c>
      <c r="AE92" s="27" t="n">
        <v>20.3</v>
      </c>
      <c r="AF92" s="27" t="n">
        <v>22.14545454545454</v>
      </c>
      <c r="AG92" s="27" t="n">
        <v>24.36</v>
      </c>
      <c r="AH92" s="27" t="n">
        <v>27.0666666666667</v>
      </c>
      <c r="AI92" s="27" t="n">
        <v>30.45</v>
      </c>
      <c r="AJ92" s="27" t="n">
        <v>34.8</v>
      </c>
      <c r="AK92" s="27" t="n">
        <v>40.6</v>
      </c>
      <c r="AL92" s="27" t="n">
        <v>48.72</v>
      </c>
      <c r="AM92" s="27" t="n">
        <v>60.9</v>
      </c>
      <c r="AN92" s="27" t="n">
        <v>81.2</v>
      </c>
      <c r="AO92" s="27" t="n">
        <v>121.8</v>
      </c>
      <c r="AP92" s="27" t="n">
        <v>243.6</v>
      </c>
    </row>
    <row r="93">
      <c r="A93" s="6" t="inlineStr">
        <is>
          <t>P112</t>
        </is>
      </c>
      <c r="B93" s="6" t="inlineStr">
        <is>
          <t>RDM</t>
        </is>
      </c>
      <c r="C93" s="27" t="n">
        <v>6.16</v>
      </c>
      <c r="D93" s="27" t="n">
        <v>6.48421052631579</v>
      </c>
      <c r="E93" s="27" t="n">
        <v>6.844444444444444</v>
      </c>
      <c r="F93" s="27" t="n">
        <v>7.247058823529412</v>
      </c>
      <c r="G93" s="27" t="n">
        <v>7.7</v>
      </c>
      <c r="H93" s="27" t="n">
        <v>8.213333333333333</v>
      </c>
      <c r="I93" s="27" t="n">
        <v>8.800000000000001</v>
      </c>
      <c r="J93" s="27" t="n">
        <v>9.476923076923077</v>
      </c>
      <c r="K93" s="27" t="n">
        <v>10.26666666666667</v>
      </c>
      <c r="L93" s="27" t="n">
        <v>11.2</v>
      </c>
      <c r="M93" s="27" t="n">
        <v>12.32</v>
      </c>
      <c r="N93" s="27" t="n">
        <v>13.68888888888889</v>
      </c>
      <c r="O93" s="27" t="n">
        <v>15.4</v>
      </c>
      <c r="P93" s="27" t="n">
        <v>17.6</v>
      </c>
      <c r="Q93" s="27" t="n">
        <v>20.53333333333333</v>
      </c>
      <c r="R93" s="27" t="n">
        <v>24.64</v>
      </c>
      <c r="S93" s="27" t="n">
        <v>30.8</v>
      </c>
      <c r="T93" s="27" t="n">
        <v>41.06666666666667</v>
      </c>
      <c r="U93" s="27" t="n">
        <v>61.6</v>
      </c>
      <c r="V93" s="27" t="n">
        <v>123.2</v>
      </c>
      <c r="W93" s="27" t="n">
        <v>15.26</v>
      </c>
      <c r="X93" s="27" t="n">
        <v>16.06315789473684</v>
      </c>
      <c r="Y93" s="27" t="n">
        <v>16.95555555555556</v>
      </c>
      <c r="Z93" s="27" t="n">
        <v>17.95294117647059</v>
      </c>
      <c r="AA93" s="27" t="n">
        <v>19.075</v>
      </c>
      <c r="AB93" s="27" t="n">
        <v>20.34666666666667</v>
      </c>
      <c r="AC93" s="27" t="n">
        <v>21.8</v>
      </c>
      <c r="AD93" s="27" t="n">
        <v>23.47692307692308</v>
      </c>
      <c r="AE93" s="27" t="n">
        <v>25.43333333333333</v>
      </c>
      <c r="AF93" s="27" t="n">
        <v>27.74545454545454</v>
      </c>
      <c r="AG93" s="27" t="n">
        <v>30.52</v>
      </c>
      <c r="AH93" s="27" t="n">
        <v>33.91111111111111</v>
      </c>
      <c r="AI93" s="27" t="n">
        <v>38.15</v>
      </c>
      <c r="AJ93" s="27" t="n">
        <v>43.6</v>
      </c>
      <c r="AK93" s="27" t="n">
        <v>50.86666666666667</v>
      </c>
      <c r="AL93" s="27" t="n">
        <v>61.04</v>
      </c>
      <c r="AM93" s="27" t="n">
        <v>76.3</v>
      </c>
      <c r="AN93" s="27" t="n">
        <v>101.7333333333333</v>
      </c>
      <c r="AO93" s="27" t="n">
        <v>152.6</v>
      </c>
      <c r="AP93" s="27" t="n">
        <v>305.2</v>
      </c>
    </row>
    <row r="94">
      <c r="A94" s="6" t="inlineStr">
        <is>
          <t>P113</t>
        </is>
      </c>
      <c r="B94" s="6" t="inlineStr">
        <is>
          <t>RDM</t>
        </is>
      </c>
      <c r="C94" s="27" t="n">
        <v>6.23</v>
      </c>
      <c r="D94" s="27" t="n">
        <v>6.557894736842106</v>
      </c>
      <c r="E94" s="27" t="n">
        <v>6.922222222222222</v>
      </c>
      <c r="F94" s="27" t="n">
        <v>7.329411764705883</v>
      </c>
      <c r="G94" s="27" t="n">
        <v>7.787500000000001</v>
      </c>
      <c r="H94" s="27" t="n">
        <v>8.306666666666667</v>
      </c>
      <c r="I94" s="27" t="n">
        <v>8.9</v>
      </c>
      <c r="J94" s="27" t="n">
        <v>9.584615384615384</v>
      </c>
      <c r="K94" s="27" t="n">
        <v>10.38333333333333</v>
      </c>
      <c r="L94" s="27" t="n">
        <v>11.32727272727273</v>
      </c>
      <c r="M94" s="27" t="n">
        <v>12.46</v>
      </c>
      <c r="N94" s="27" t="n">
        <v>13.84444444444444</v>
      </c>
      <c r="O94" s="27" t="n">
        <v>15.575</v>
      </c>
      <c r="P94" s="27" t="n">
        <v>17.8</v>
      </c>
      <c r="Q94" s="27" t="n">
        <v>20.76666666666667</v>
      </c>
      <c r="R94" s="27" t="n">
        <v>24.92</v>
      </c>
      <c r="S94" s="27" t="n">
        <v>31.15</v>
      </c>
      <c r="T94" s="27" t="n">
        <v>41.53333333333334</v>
      </c>
      <c r="U94" s="27" t="n">
        <v>62.3</v>
      </c>
      <c r="V94" s="27" t="n">
        <v>124.6</v>
      </c>
      <c r="W94" s="27" t="n">
        <v>15.25</v>
      </c>
      <c r="X94" s="27" t="n">
        <v>16.05263157894737</v>
      </c>
      <c r="Y94" s="27" t="n">
        <v>16.94444444444444</v>
      </c>
      <c r="Z94" s="27" t="n">
        <v>17.94117647058824</v>
      </c>
      <c r="AA94" s="27" t="n">
        <v>19.0625</v>
      </c>
      <c r="AB94" s="27" t="n">
        <v>20.33333333333333</v>
      </c>
      <c r="AC94" s="27" t="n">
        <v>21.78571428571429</v>
      </c>
      <c r="AD94" s="27" t="n">
        <v>23.46153846153846</v>
      </c>
      <c r="AE94" s="27" t="n">
        <v>25.41666666666667</v>
      </c>
      <c r="AF94" s="27" t="n">
        <v>27.72727272727273</v>
      </c>
      <c r="AG94" s="27" t="n">
        <v>30.5</v>
      </c>
      <c r="AH94" s="27" t="n">
        <v>33.88888888888889</v>
      </c>
      <c r="AI94" s="27" t="n">
        <v>38.125</v>
      </c>
      <c r="AJ94" s="27" t="n">
        <v>43.57142857142858</v>
      </c>
      <c r="AK94" s="27" t="n">
        <v>50.83333333333334</v>
      </c>
      <c r="AL94" s="27" t="n">
        <v>61</v>
      </c>
      <c r="AM94" s="27" t="n">
        <v>76.25</v>
      </c>
      <c r="AN94" s="27" t="n">
        <v>101.6666666666667</v>
      </c>
      <c r="AO94" s="27" t="n">
        <v>152.5</v>
      </c>
      <c r="AP94" s="27" t="n">
        <v>305</v>
      </c>
    </row>
    <row r="95">
      <c r="A95" s="6" t="inlineStr">
        <is>
          <t>P114</t>
        </is>
      </c>
      <c r="B95" s="6" t="inlineStr">
        <is>
          <t>RDM</t>
        </is>
      </c>
      <c r="C95" s="27" t="n">
        <v>5.76</v>
      </c>
      <c r="D95" s="27" t="n">
        <v>6.063157894736842</v>
      </c>
      <c r="E95" s="27" t="n">
        <v>6.399999999999999</v>
      </c>
      <c r="F95" s="27" t="n">
        <v>6.776470588235294</v>
      </c>
      <c r="G95" s="27" t="n">
        <v>7.199999999999999</v>
      </c>
      <c r="H95" s="27" t="n">
        <v>7.68</v>
      </c>
      <c r="I95" s="27" t="n">
        <v>8.22857142857143</v>
      </c>
      <c r="J95" s="27" t="n">
        <v>8.86153846153846</v>
      </c>
      <c r="K95" s="27" t="n">
        <v>9.6</v>
      </c>
      <c r="L95" s="27" t="n">
        <v>10.47272727272727</v>
      </c>
      <c r="M95" s="27" t="n">
        <v>11.52</v>
      </c>
      <c r="N95" s="27" t="n">
        <v>12.8</v>
      </c>
      <c r="O95" s="27" t="n">
        <v>14.4</v>
      </c>
      <c r="P95" s="27" t="n">
        <v>16.45714285714286</v>
      </c>
      <c r="Q95" s="27" t="n">
        <v>19.2</v>
      </c>
      <c r="R95" s="27" t="n">
        <v>23.04</v>
      </c>
      <c r="S95" s="27" t="n">
        <v>28.8</v>
      </c>
      <c r="T95" s="27" t="n">
        <v>38.4</v>
      </c>
      <c r="U95" s="27" t="n">
        <v>57.59999999999999</v>
      </c>
      <c r="V95" s="27" t="n">
        <v>115.2</v>
      </c>
      <c r="W95" s="27" t="n">
        <v>13.26</v>
      </c>
      <c r="X95" s="27" t="n">
        <v>13.95789473684211</v>
      </c>
      <c r="Y95" s="27" t="n">
        <v>14.73333333333333</v>
      </c>
      <c r="Z95" s="27" t="n">
        <v>15.6</v>
      </c>
      <c r="AA95" s="27" t="n">
        <v>16.575</v>
      </c>
      <c r="AB95" s="27" t="n">
        <v>17.68</v>
      </c>
      <c r="AC95" s="27" t="n">
        <v>18.94285714285714</v>
      </c>
      <c r="AD95" s="27" t="n">
        <v>20.4</v>
      </c>
      <c r="AE95" s="27" t="n">
        <v>22.1</v>
      </c>
      <c r="AF95" s="27" t="n">
        <v>24.10909090909091</v>
      </c>
      <c r="AG95" s="27" t="n">
        <v>26.52</v>
      </c>
      <c r="AH95" s="27" t="n">
        <v>29.46666666666667</v>
      </c>
      <c r="AI95" s="27" t="n">
        <v>33.15</v>
      </c>
      <c r="AJ95" s="27" t="n">
        <v>37.88571428571429</v>
      </c>
      <c r="AK95" s="27" t="n">
        <v>44.2</v>
      </c>
      <c r="AL95" s="27" t="n">
        <v>53.04</v>
      </c>
      <c r="AM95" s="27" t="n">
        <v>66.3</v>
      </c>
      <c r="AN95" s="27" t="n">
        <v>88.40000000000001</v>
      </c>
      <c r="AO95" s="27" t="n">
        <v>132.6</v>
      </c>
      <c r="AP95" s="27" t="n">
        <v>265.2</v>
      </c>
    </row>
    <row r="96">
      <c r="A96" s="6" t="inlineStr">
        <is>
          <t>P115</t>
        </is>
      </c>
      <c r="B96" s="6" t="inlineStr">
        <is>
          <t>RDM</t>
        </is>
      </c>
      <c r="C96" s="27" t="n">
        <v>6.65</v>
      </c>
      <c r="D96" s="27" t="n">
        <v>7.000000000000001</v>
      </c>
      <c r="E96" s="27" t="n">
        <v>7.388888888888889</v>
      </c>
      <c r="F96" s="27" t="n">
        <v>7.823529411764707</v>
      </c>
      <c r="G96" s="27" t="n">
        <v>8.3125</v>
      </c>
      <c r="H96" s="27" t="n">
        <v>8.866666666666667</v>
      </c>
      <c r="I96" s="27" t="n">
        <v>9.500000000000002</v>
      </c>
      <c r="J96" s="27" t="n">
        <v>10.23076923076923</v>
      </c>
      <c r="K96" s="27" t="n">
        <v>11.08333333333333</v>
      </c>
      <c r="L96" s="27" t="n">
        <v>12.09090909090909</v>
      </c>
      <c r="M96" s="27" t="n">
        <v>13.3</v>
      </c>
      <c r="N96" s="27" t="n">
        <v>14.77777777777778</v>
      </c>
      <c r="O96" s="27" t="n">
        <v>16.625</v>
      </c>
      <c r="P96" s="27" t="n">
        <v>19</v>
      </c>
      <c r="Q96" s="27" t="n">
        <v>22.16666666666667</v>
      </c>
      <c r="R96" s="27" t="n">
        <v>26.6</v>
      </c>
      <c r="S96" s="27" t="n">
        <v>33.25</v>
      </c>
      <c r="T96" s="27" t="n">
        <v>44.33333333333334</v>
      </c>
      <c r="U96" s="27" t="n">
        <v>66.5</v>
      </c>
      <c r="V96" s="27" t="n">
        <v>133</v>
      </c>
      <c r="W96" s="27" t="n">
        <v>15.26</v>
      </c>
      <c r="X96" s="27" t="n">
        <v>16.06315789473684</v>
      </c>
      <c r="Y96" s="27" t="n">
        <v>16.95555555555556</v>
      </c>
      <c r="Z96" s="27" t="n">
        <v>17.95294117647059</v>
      </c>
      <c r="AA96" s="27" t="n">
        <v>19.075</v>
      </c>
      <c r="AB96" s="27" t="n">
        <v>20.34666666666667</v>
      </c>
      <c r="AC96" s="27" t="n">
        <v>21.8</v>
      </c>
      <c r="AD96" s="27" t="n">
        <v>23.47692307692308</v>
      </c>
      <c r="AE96" s="27" t="n">
        <v>25.43333333333333</v>
      </c>
      <c r="AF96" s="27" t="n">
        <v>27.74545454545454</v>
      </c>
      <c r="AG96" s="27" t="n">
        <v>30.52</v>
      </c>
      <c r="AH96" s="27" t="n">
        <v>33.91111111111111</v>
      </c>
      <c r="AI96" s="27" t="n">
        <v>38.15</v>
      </c>
      <c r="AJ96" s="27" t="n">
        <v>43.6</v>
      </c>
      <c r="AK96" s="27" t="n">
        <v>50.86666666666667</v>
      </c>
      <c r="AL96" s="27" t="n">
        <v>61.04</v>
      </c>
      <c r="AM96" s="27" t="n">
        <v>76.3</v>
      </c>
      <c r="AN96" s="27" t="n">
        <v>101.7333333333333</v>
      </c>
      <c r="AO96" s="27" t="n">
        <v>152.6</v>
      </c>
      <c r="AP96" s="27" t="n">
        <v>305.2</v>
      </c>
    </row>
    <row r="97">
      <c r="A97" s="6" t="inlineStr">
        <is>
          <t>P116</t>
        </is>
      </c>
      <c r="B97" s="6" t="inlineStr">
        <is>
          <t>RDM</t>
        </is>
      </c>
      <c r="C97" s="27" t="n">
        <v>6.93</v>
      </c>
      <c r="D97" s="27" t="n">
        <v>7.294736842105263</v>
      </c>
      <c r="E97" s="27" t="n">
        <v>7.699999999999999</v>
      </c>
      <c r="F97" s="27" t="n">
        <v>8.152941176470588</v>
      </c>
      <c r="G97" s="27" t="n">
        <v>8.6625</v>
      </c>
      <c r="H97" s="27" t="n">
        <v>9.24</v>
      </c>
      <c r="I97" s="27" t="n">
        <v>9.9</v>
      </c>
      <c r="J97" s="27" t="n">
        <v>10.66153846153846</v>
      </c>
      <c r="K97" s="27" t="n">
        <v>11.55</v>
      </c>
      <c r="L97" s="27" t="n">
        <v>12.6</v>
      </c>
      <c r="M97" s="27" t="n">
        <v>13.86</v>
      </c>
      <c r="N97" s="27" t="n">
        <v>15.4</v>
      </c>
      <c r="O97" s="27" t="n">
        <v>17.325</v>
      </c>
      <c r="P97" s="27" t="n">
        <v>19.8</v>
      </c>
      <c r="Q97" s="27" t="n">
        <v>23.1</v>
      </c>
      <c r="R97" s="27" t="n">
        <v>27.72</v>
      </c>
      <c r="S97" s="27" t="n">
        <v>34.65</v>
      </c>
      <c r="T97" s="27" t="n">
        <v>46.2</v>
      </c>
      <c r="U97" s="27" t="n">
        <v>69.3</v>
      </c>
      <c r="V97" s="27" t="n">
        <v>138.6</v>
      </c>
      <c r="W97" s="27" t="n">
        <v>15.26</v>
      </c>
      <c r="X97" s="27" t="n">
        <v>16.06315789473684</v>
      </c>
      <c r="Y97" s="27" t="n">
        <v>16.95555555555556</v>
      </c>
      <c r="Z97" s="27" t="n">
        <v>17.95294117647059</v>
      </c>
      <c r="AA97" s="27" t="n">
        <v>19.075</v>
      </c>
      <c r="AB97" s="27" t="n">
        <v>20.34666666666667</v>
      </c>
      <c r="AC97" s="27" t="n">
        <v>21.8</v>
      </c>
      <c r="AD97" s="27" t="n">
        <v>23.47692307692308</v>
      </c>
      <c r="AE97" s="27" t="n">
        <v>25.43333333333333</v>
      </c>
      <c r="AF97" s="27" t="n">
        <v>27.74545454545454</v>
      </c>
      <c r="AG97" s="27" t="n">
        <v>30.52</v>
      </c>
      <c r="AH97" s="27" t="n">
        <v>33.91111111111111</v>
      </c>
      <c r="AI97" s="27" t="n">
        <v>38.15</v>
      </c>
      <c r="AJ97" s="27" t="n">
        <v>43.6</v>
      </c>
      <c r="AK97" s="27" t="n">
        <v>50.86666666666667</v>
      </c>
      <c r="AL97" s="27" t="n">
        <v>61.04</v>
      </c>
      <c r="AM97" s="27" t="n">
        <v>76.3</v>
      </c>
      <c r="AN97" s="27" t="n">
        <v>101.7333333333333</v>
      </c>
      <c r="AO97" s="27" t="n">
        <v>152.6</v>
      </c>
      <c r="AP97" s="27" t="n">
        <v>305.2</v>
      </c>
    </row>
    <row r="98">
      <c r="A98" s="6" t="inlineStr">
        <is>
          <t>P117</t>
        </is>
      </c>
      <c r="B98" s="6" t="inlineStr">
        <is>
          <t>RDM</t>
        </is>
      </c>
      <c r="C98" s="27" t="n">
        <v>6.44</v>
      </c>
      <c r="D98" s="27" t="n">
        <v>6.778947368421053</v>
      </c>
      <c r="E98" s="27" t="n">
        <v>7.155555555555556</v>
      </c>
      <c r="F98" s="27" t="n">
        <v>7.576470588235295</v>
      </c>
      <c r="G98" s="27" t="n">
        <v>8.050000000000001</v>
      </c>
      <c r="H98" s="27" t="n">
        <v>8.586666666666668</v>
      </c>
      <c r="I98" s="27" t="n">
        <v>9.200000000000001</v>
      </c>
      <c r="J98" s="27" t="n">
        <v>9.907692307692308</v>
      </c>
      <c r="K98" s="27" t="n">
        <v>10.73333333333333</v>
      </c>
      <c r="L98" s="27" t="n">
        <v>11.70909090909091</v>
      </c>
      <c r="M98" s="27" t="n">
        <v>12.88</v>
      </c>
      <c r="N98" s="27" t="n">
        <v>14.31111111111111</v>
      </c>
      <c r="O98" s="27" t="n">
        <v>16.1</v>
      </c>
      <c r="P98" s="27" t="n">
        <v>18.4</v>
      </c>
      <c r="Q98" s="27" t="n">
        <v>21.46666666666667</v>
      </c>
      <c r="R98" s="27" t="n">
        <v>25.76</v>
      </c>
      <c r="S98" s="27" t="n">
        <v>32.2</v>
      </c>
      <c r="T98" s="27" t="n">
        <v>42.93333333333334</v>
      </c>
      <c r="U98" s="27" t="n">
        <v>64.40000000000001</v>
      </c>
      <c r="V98" s="27" t="n">
        <v>128.8</v>
      </c>
      <c r="W98" s="27" t="n">
        <v>15.26</v>
      </c>
      <c r="X98" s="27" t="n">
        <v>16.06315789473684</v>
      </c>
      <c r="Y98" s="27" t="n">
        <v>16.95555555555556</v>
      </c>
      <c r="Z98" s="27" t="n">
        <v>17.95294117647059</v>
      </c>
      <c r="AA98" s="27" t="n">
        <v>19.075</v>
      </c>
      <c r="AB98" s="27" t="n">
        <v>20.34666666666667</v>
      </c>
      <c r="AC98" s="27" t="n">
        <v>21.8</v>
      </c>
      <c r="AD98" s="27" t="n">
        <v>23.47692307692308</v>
      </c>
      <c r="AE98" s="27" t="n">
        <v>25.43333333333333</v>
      </c>
      <c r="AF98" s="27" t="n">
        <v>27.74545454545454</v>
      </c>
      <c r="AG98" s="27" t="n">
        <v>30.52</v>
      </c>
      <c r="AH98" s="27" t="n">
        <v>33.91111111111111</v>
      </c>
      <c r="AI98" s="27" t="n">
        <v>38.15</v>
      </c>
      <c r="AJ98" s="27" t="n">
        <v>43.6</v>
      </c>
      <c r="AK98" s="27" t="n">
        <v>50.86666666666667</v>
      </c>
      <c r="AL98" s="27" t="n">
        <v>61.04</v>
      </c>
      <c r="AM98" s="27" t="n">
        <v>76.3</v>
      </c>
      <c r="AN98" s="27" t="n">
        <v>101.7333333333333</v>
      </c>
      <c r="AO98" s="27" t="n">
        <v>152.6</v>
      </c>
      <c r="AP98" s="27" t="n">
        <v>305.2</v>
      </c>
    </row>
    <row r="99">
      <c r="A99" s="6" t="inlineStr">
        <is>
          <t>P118</t>
        </is>
      </c>
      <c r="B99" s="6" t="inlineStr">
        <is>
          <t>RDM</t>
        </is>
      </c>
      <c r="C99" s="27" t="n">
        <v>6.93</v>
      </c>
      <c r="D99" s="27" t="n">
        <v>7.294736842105263</v>
      </c>
      <c r="E99" s="27" t="n">
        <v>7.699999999999999</v>
      </c>
      <c r="F99" s="27" t="n">
        <v>8.152941176470588</v>
      </c>
      <c r="G99" s="27" t="n">
        <v>8.6625</v>
      </c>
      <c r="H99" s="27" t="n">
        <v>9.24</v>
      </c>
      <c r="I99" s="27" t="n">
        <v>9.9</v>
      </c>
      <c r="J99" s="27" t="n">
        <v>10.66153846153846</v>
      </c>
      <c r="K99" s="27" t="n">
        <v>11.55</v>
      </c>
      <c r="L99" s="27" t="n">
        <v>12.6</v>
      </c>
      <c r="M99" s="27" t="n">
        <v>13.86</v>
      </c>
      <c r="N99" s="27" t="n">
        <v>15.4</v>
      </c>
      <c r="O99" s="27" t="n">
        <v>17.325</v>
      </c>
      <c r="P99" s="27" t="n">
        <v>19.8</v>
      </c>
      <c r="Q99" s="27" t="n">
        <v>23.1</v>
      </c>
      <c r="R99" s="27" t="n">
        <v>27.72</v>
      </c>
      <c r="S99" s="27" t="n">
        <v>34.65</v>
      </c>
      <c r="T99" s="27" t="n">
        <v>46.2</v>
      </c>
      <c r="U99" s="27" t="n">
        <v>69.3</v>
      </c>
      <c r="V99" s="27" t="n">
        <v>138.6</v>
      </c>
      <c r="W99" s="27" t="n">
        <v>15.25</v>
      </c>
      <c r="X99" s="27" t="n">
        <v>16.05263157894737</v>
      </c>
      <c r="Y99" s="27" t="n">
        <v>16.94444444444444</v>
      </c>
      <c r="Z99" s="27" t="n">
        <v>17.94117647058824</v>
      </c>
      <c r="AA99" s="27" t="n">
        <v>19.0625</v>
      </c>
      <c r="AB99" s="27" t="n">
        <v>20.33333333333333</v>
      </c>
      <c r="AC99" s="27" t="n">
        <v>21.78571428571429</v>
      </c>
      <c r="AD99" s="27" t="n">
        <v>23.46153846153846</v>
      </c>
      <c r="AE99" s="27" t="n">
        <v>25.41666666666667</v>
      </c>
      <c r="AF99" s="27" t="n">
        <v>27.72727272727273</v>
      </c>
      <c r="AG99" s="27" t="n">
        <v>30.5</v>
      </c>
      <c r="AH99" s="27" t="n">
        <v>33.88888888888889</v>
      </c>
      <c r="AI99" s="27" t="n">
        <v>38.125</v>
      </c>
      <c r="AJ99" s="27" t="n">
        <v>43.57142857142858</v>
      </c>
      <c r="AK99" s="27" t="n">
        <v>50.83333333333334</v>
      </c>
      <c r="AL99" s="27" t="n">
        <v>61</v>
      </c>
      <c r="AM99" s="27" t="n">
        <v>76.25</v>
      </c>
      <c r="AN99" s="27" t="n">
        <v>101.6666666666667</v>
      </c>
      <c r="AO99" s="27" t="n">
        <v>152.5</v>
      </c>
      <c r="AP99" s="27" t="n">
        <v>305</v>
      </c>
    </row>
    <row r="100">
      <c r="A100" s="6" t="inlineStr">
        <is>
          <t>P119</t>
        </is>
      </c>
      <c r="B100" s="6" t="inlineStr">
        <is>
          <t>RDM</t>
        </is>
      </c>
      <c r="C100" s="27" t="n">
        <v>6.79</v>
      </c>
      <c r="D100" s="27" t="n">
        <v>7.147368421052632</v>
      </c>
      <c r="E100" s="27" t="n">
        <v>7.544444444444444</v>
      </c>
      <c r="F100" s="27" t="n">
        <v>7.988235294117647</v>
      </c>
      <c r="G100" s="27" t="n">
        <v>8.487499999999999</v>
      </c>
      <c r="H100" s="27" t="n">
        <v>9.053333333333333</v>
      </c>
      <c r="I100" s="27" t="n">
        <v>9.700000000000001</v>
      </c>
      <c r="J100" s="27" t="n">
        <v>10.44615384615385</v>
      </c>
      <c r="K100" s="27" t="n">
        <v>11.31666666666667</v>
      </c>
      <c r="L100" s="27" t="n">
        <v>12.34545454545454</v>
      </c>
      <c r="M100" s="27" t="n">
        <v>13.58</v>
      </c>
      <c r="N100" s="27" t="n">
        <v>15.08888888888889</v>
      </c>
      <c r="O100" s="27" t="n">
        <v>16.975</v>
      </c>
      <c r="P100" s="27" t="n">
        <v>19.4</v>
      </c>
      <c r="Q100" s="27" t="n">
        <v>22.63333333333333</v>
      </c>
      <c r="R100" s="27" t="n">
        <v>27.16</v>
      </c>
      <c r="S100" s="27" t="n">
        <v>33.95</v>
      </c>
      <c r="T100" s="27" t="n">
        <v>45.26666666666667</v>
      </c>
      <c r="U100" s="27" t="n">
        <v>67.89999999999999</v>
      </c>
      <c r="V100" s="27" t="n">
        <v>135.8</v>
      </c>
      <c r="W100" s="27" t="n">
        <v>15.26</v>
      </c>
      <c r="X100" s="27" t="n">
        <v>16.06315789473684</v>
      </c>
      <c r="Y100" s="27" t="n">
        <v>16.95555555555556</v>
      </c>
      <c r="Z100" s="27" t="n">
        <v>17.95294117647059</v>
      </c>
      <c r="AA100" s="27" t="n">
        <v>19.075</v>
      </c>
      <c r="AB100" s="27" t="n">
        <v>20.34666666666667</v>
      </c>
      <c r="AC100" s="27" t="n">
        <v>21.8</v>
      </c>
      <c r="AD100" s="27" t="n">
        <v>23.47692307692308</v>
      </c>
      <c r="AE100" s="27" t="n">
        <v>25.43333333333333</v>
      </c>
      <c r="AF100" s="27" t="n">
        <v>27.74545454545454</v>
      </c>
      <c r="AG100" s="27" t="n">
        <v>30.52</v>
      </c>
      <c r="AH100" s="27" t="n">
        <v>33.91111111111111</v>
      </c>
      <c r="AI100" s="27" t="n">
        <v>38.15</v>
      </c>
      <c r="AJ100" s="27" t="n">
        <v>43.6</v>
      </c>
      <c r="AK100" s="27" t="n">
        <v>50.86666666666667</v>
      </c>
      <c r="AL100" s="27" t="n">
        <v>61.04</v>
      </c>
      <c r="AM100" s="27" t="n">
        <v>76.3</v>
      </c>
      <c r="AN100" s="27" t="n">
        <v>101.7333333333333</v>
      </c>
      <c r="AO100" s="27" t="n">
        <v>152.6</v>
      </c>
      <c r="AP100" s="27" t="n">
        <v>305.2</v>
      </c>
    </row>
    <row r="101">
      <c r="A101" s="6" t="inlineStr">
        <is>
          <t>P120</t>
        </is>
      </c>
      <c r="B101" s="6" t="inlineStr">
        <is>
          <t>RDM</t>
        </is>
      </c>
      <c r="C101" s="27" t="n">
        <v>6.79</v>
      </c>
      <c r="D101" s="27" t="n">
        <v>7.147368421052632</v>
      </c>
      <c r="E101" s="27" t="n">
        <v>7.544444444444444</v>
      </c>
      <c r="F101" s="27" t="n">
        <v>7.988235294117647</v>
      </c>
      <c r="G101" s="27" t="n">
        <v>8.487499999999999</v>
      </c>
      <c r="H101" s="27" t="n">
        <v>9.053333333333333</v>
      </c>
      <c r="I101" s="27" t="n">
        <v>9.700000000000001</v>
      </c>
      <c r="J101" s="27" t="n">
        <v>10.44615384615385</v>
      </c>
      <c r="K101" s="27" t="n">
        <v>11.31666666666667</v>
      </c>
      <c r="L101" s="27" t="n">
        <v>12.34545454545454</v>
      </c>
      <c r="M101" s="27" t="n">
        <v>13.58</v>
      </c>
      <c r="N101" s="27" t="n">
        <v>15.08888888888889</v>
      </c>
      <c r="O101" s="27" t="n">
        <v>16.975</v>
      </c>
      <c r="P101" s="27" t="n">
        <v>19.4</v>
      </c>
      <c r="Q101" s="27" t="n">
        <v>22.63333333333333</v>
      </c>
      <c r="R101" s="27" t="n">
        <v>27.16</v>
      </c>
      <c r="S101" s="27" t="n">
        <v>33.95</v>
      </c>
      <c r="T101" s="27" t="n">
        <v>45.26666666666667</v>
      </c>
      <c r="U101" s="27" t="n">
        <v>67.89999999999999</v>
      </c>
      <c r="V101" s="27" t="n">
        <v>135.8</v>
      </c>
      <c r="W101" s="27" t="n">
        <v>15.26</v>
      </c>
      <c r="X101" s="27" t="n">
        <v>16.06315789473684</v>
      </c>
      <c r="Y101" s="27" t="n">
        <v>16.95555555555556</v>
      </c>
      <c r="Z101" s="27" t="n">
        <v>17.95294117647059</v>
      </c>
      <c r="AA101" s="27" t="n">
        <v>19.075</v>
      </c>
      <c r="AB101" s="27" t="n">
        <v>20.34666666666667</v>
      </c>
      <c r="AC101" s="27" t="n">
        <v>21.8</v>
      </c>
      <c r="AD101" s="27" t="n">
        <v>23.47692307692308</v>
      </c>
      <c r="AE101" s="27" t="n">
        <v>25.43333333333333</v>
      </c>
      <c r="AF101" s="27" t="n">
        <v>27.74545454545454</v>
      </c>
      <c r="AG101" s="27" t="n">
        <v>30.52</v>
      </c>
      <c r="AH101" s="27" t="n">
        <v>33.91111111111111</v>
      </c>
      <c r="AI101" s="27" t="n">
        <v>38.15</v>
      </c>
      <c r="AJ101" s="27" t="n">
        <v>43.6</v>
      </c>
      <c r="AK101" s="27" t="n">
        <v>50.86666666666667</v>
      </c>
      <c r="AL101" s="27" t="n">
        <v>61.04</v>
      </c>
      <c r="AM101" s="27" t="n">
        <v>76.3</v>
      </c>
      <c r="AN101" s="27" t="n">
        <v>101.7333333333333</v>
      </c>
      <c r="AO101" s="27" t="n">
        <v>152.6</v>
      </c>
      <c r="AP101" s="27" t="n">
        <v>305.2</v>
      </c>
    </row>
    <row r="102">
      <c r="A102" s="6" t="inlineStr">
        <is>
          <t>P121</t>
        </is>
      </c>
      <c r="B102" s="6" t="inlineStr">
        <is>
          <t>RDM</t>
        </is>
      </c>
      <c r="C102" s="27" t="n">
        <v>6.65</v>
      </c>
      <c r="D102" s="27" t="n">
        <v>7.000000000000001</v>
      </c>
      <c r="E102" s="27" t="n">
        <v>7.388888888888889</v>
      </c>
      <c r="F102" s="27" t="n">
        <v>7.823529411764707</v>
      </c>
      <c r="G102" s="27" t="n">
        <v>8.3125</v>
      </c>
      <c r="H102" s="27" t="n">
        <v>8.866666666666667</v>
      </c>
      <c r="I102" s="27" t="n">
        <v>9.500000000000002</v>
      </c>
      <c r="J102" s="27" t="n">
        <v>10.23076923076923</v>
      </c>
      <c r="K102" s="27" t="n">
        <v>11.08333333333333</v>
      </c>
      <c r="L102" s="27" t="n">
        <v>12.09090909090909</v>
      </c>
      <c r="M102" s="27" t="n">
        <v>13.3</v>
      </c>
      <c r="N102" s="27" t="n">
        <v>14.77777777777778</v>
      </c>
      <c r="O102" s="27" t="n">
        <v>16.625</v>
      </c>
      <c r="P102" s="27" t="n">
        <v>19</v>
      </c>
      <c r="Q102" s="27" t="n">
        <v>22.16666666666667</v>
      </c>
      <c r="R102" s="27" t="n">
        <v>26.6</v>
      </c>
      <c r="S102" s="27" t="n">
        <v>33.25</v>
      </c>
      <c r="T102" s="27" t="n">
        <v>44.33333333333334</v>
      </c>
      <c r="U102" s="27" t="n">
        <v>66.5</v>
      </c>
      <c r="V102" s="27" t="n">
        <v>133</v>
      </c>
      <c r="W102" s="27" t="n">
        <v>15.26</v>
      </c>
      <c r="X102" s="27" t="n">
        <v>16.06315789473684</v>
      </c>
      <c r="Y102" s="27" t="n">
        <v>16.95555555555556</v>
      </c>
      <c r="Z102" s="27" t="n">
        <v>17.95294117647059</v>
      </c>
      <c r="AA102" s="27" t="n">
        <v>19.075</v>
      </c>
      <c r="AB102" s="27" t="n">
        <v>20.34666666666667</v>
      </c>
      <c r="AC102" s="27" t="n">
        <v>21.8</v>
      </c>
      <c r="AD102" s="27" t="n">
        <v>23.47692307692308</v>
      </c>
      <c r="AE102" s="27" t="n">
        <v>25.43333333333333</v>
      </c>
      <c r="AF102" s="27" t="n">
        <v>27.74545454545454</v>
      </c>
      <c r="AG102" s="27" t="n">
        <v>30.52</v>
      </c>
      <c r="AH102" s="27" t="n">
        <v>33.91111111111111</v>
      </c>
      <c r="AI102" s="27" t="n">
        <v>38.15</v>
      </c>
      <c r="AJ102" s="27" t="n">
        <v>43.6</v>
      </c>
      <c r="AK102" s="27" t="n">
        <v>50.86666666666667</v>
      </c>
      <c r="AL102" s="27" t="n">
        <v>61.04</v>
      </c>
      <c r="AM102" s="27" t="n">
        <v>76.3</v>
      </c>
      <c r="AN102" s="27" t="n">
        <v>101.7333333333333</v>
      </c>
      <c r="AO102" s="27" t="n">
        <v>152.6</v>
      </c>
      <c r="AP102" s="27" t="n">
        <v>305.2</v>
      </c>
    </row>
    <row r="103">
      <c r="A103" s="6" t="inlineStr">
        <is>
          <t>P122</t>
        </is>
      </c>
      <c r="B103" s="6" t="inlineStr">
        <is>
          <t>RDM</t>
        </is>
      </c>
      <c r="C103" s="27" t="n">
        <v>6.37</v>
      </c>
      <c r="D103" s="27" t="n">
        <v>6.705263157894738</v>
      </c>
      <c r="E103" s="27" t="n">
        <v>7.077777777777778</v>
      </c>
      <c r="F103" s="27" t="n">
        <v>7.494117647058824</v>
      </c>
      <c r="G103" s="27" t="n">
        <v>7.962499999999999</v>
      </c>
      <c r="H103" s="27" t="n">
        <v>8.493333333333334</v>
      </c>
      <c r="I103" s="27" t="n">
        <v>9.100000000000001</v>
      </c>
      <c r="J103" s="27" t="n">
        <v>9.800000000000001</v>
      </c>
      <c r="K103" s="27" t="n">
        <v>10.61666666666667</v>
      </c>
      <c r="L103" s="27" t="n">
        <v>11.58181818181818</v>
      </c>
      <c r="M103" s="27" t="n">
        <v>12.74</v>
      </c>
      <c r="N103" s="27" t="n">
        <v>14.15555555555556</v>
      </c>
      <c r="O103" s="27" t="n">
        <v>15.925</v>
      </c>
      <c r="P103" s="27" t="n">
        <v>18.2</v>
      </c>
      <c r="Q103" s="27" t="n">
        <v>21.23333333333333</v>
      </c>
      <c r="R103" s="27" t="n">
        <v>25.48</v>
      </c>
      <c r="S103" s="27" t="n">
        <v>31.85</v>
      </c>
      <c r="T103" s="27" t="n">
        <v>42.46666666666667</v>
      </c>
      <c r="U103" s="27" t="n">
        <v>63.7</v>
      </c>
      <c r="V103" s="27" t="n">
        <v>127.4</v>
      </c>
      <c r="W103" s="27" t="n">
        <v>15.25</v>
      </c>
      <c r="X103" s="27" t="n">
        <v>16.05263157894737</v>
      </c>
      <c r="Y103" s="27" t="n">
        <v>16.94444444444444</v>
      </c>
      <c r="Z103" s="27" t="n">
        <v>17.94117647058824</v>
      </c>
      <c r="AA103" s="27" t="n">
        <v>19.0625</v>
      </c>
      <c r="AB103" s="27" t="n">
        <v>20.33333333333333</v>
      </c>
      <c r="AC103" s="27" t="n">
        <v>21.78571428571429</v>
      </c>
      <c r="AD103" s="27" t="n">
        <v>23.46153846153846</v>
      </c>
      <c r="AE103" s="27" t="n">
        <v>25.41666666666667</v>
      </c>
      <c r="AF103" s="27" t="n">
        <v>27.72727272727273</v>
      </c>
      <c r="AG103" s="27" t="n">
        <v>30.5</v>
      </c>
      <c r="AH103" s="27" t="n">
        <v>33.88888888888889</v>
      </c>
      <c r="AI103" s="27" t="n">
        <v>38.125</v>
      </c>
      <c r="AJ103" s="27" t="n">
        <v>43.57142857142858</v>
      </c>
      <c r="AK103" s="27" t="n">
        <v>50.83333333333334</v>
      </c>
      <c r="AL103" s="27" t="n">
        <v>61</v>
      </c>
      <c r="AM103" s="27" t="n">
        <v>76.25</v>
      </c>
      <c r="AN103" s="27" t="n">
        <v>101.6666666666667</v>
      </c>
      <c r="AO103" s="27" t="n">
        <v>152.5</v>
      </c>
      <c r="AP103" s="27" t="n">
        <v>305</v>
      </c>
    </row>
    <row r="104">
      <c r="A104" s="6" t="inlineStr">
        <is>
          <t>P123</t>
        </is>
      </c>
      <c r="B104" s="6" t="inlineStr">
        <is>
          <t>RDM</t>
        </is>
      </c>
      <c r="C104" s="27" t="n">
        <v>6.65</v>
      </c>
      <c r="D104" s="27" t="n">
        <v>7.000000000000001</v>
      </c>
      <c r="E104" s="27" t="n">
        <v>7.388888888888889</v>
      </c>
      <c r="F104" s="27" t="n">
        <v>7.823529411764707</v>
      </c>
      <c r="G104" s="27" t="n">
        <v>8.3125</v>
      </c>
      <c r="H104" s="27" t="n">
        <v>8.866666666666667</v>
      </c>
      <c r="I104" s="27" t="n">
        <v>9.500000000000002</v>
      </c>
      <c r="J104" s="27" t="n">
        <v>10.23076923076923</v>
      </c>
      <c r="K104" s="27" t="n">
        <v>11.08333333333333</v>
      </c>
      <c r="L104" s="27" t="n">
        <v>12.09090909090909</v>
      </c>
      <c r="M104" s="27" t="n">
        <v>13.3</v>
      </c>
      <c r="N104" s="27" t="n">
        <v>14.77777777777778</v>
      </c>
      <c r="O104" s="27" t="n">
        <v>16.625</v>
      </c>
      <c r="P104" s="27" t="n">
        <v>19</v>
      </c>
      <c r="Q104" s="27" t="n">
        <v>22.16666666666667</v>
      </c>
      <c r="R104" s="27" t="n">
        <v>26.6</v>
      </c>
      <c r="S104" s="27" t="n">
        <v>33.25</v>
      </c>
      <c r="T104" s="27" t="n">
        <v>44.33333333333334</v>
      </c>
      <c r="U104" s="27" t="n">
        <v>66.5</v>
      </c>
      <c r="V104" s="27" t="n">
        <v>133</v>
      </c>
      <c r="W104" s="27" t="n">
        <v>15.26</v>
      </c>
      <c r="X104" s="27" t="n">
        <v>16.06315789473684</v>
      </c>
      <c r="Y104" s="27" t="n">
        <v>16.95555555555556</v>
      </c>
      <c r="Z104" s="27" t="n">
        <v>17.95294117647059</v>
      </c>
      <c r="AA104" s="27" t="n">
        <v>19.075</v>
      </c>
      <c r="AB104" s="27" t="n">
        <v>20.34666666666667</v>
      </c>
      <c r="AC104" s="27" t="n">
        <v>21.8</v>
      </c>
      <c r="AD104" s="27" t="n">
        <v>23.47692307692308</v>
      </c>
      <c r="AE104" s="27" t="n">
        <v>25.43333333333333</v>
      </c>
      <c r="AF104" s="27" t="n">
        <v>27.74545454545454</v>
      </c>
      <c r="AG104" s="27" t="n">
        <v>30.52</v>
      </c>
      <c r="AH104" s="27" t="n">
        <v>33.91111111111111</v>
      </c>
      <c r="AI104" s="27" t="n">
        <v>38.15</v>
      </c>
      <c r="AJ104" s="27" t="n">
        <v>43.6</v>
      </c>
      <c r="AK104" s="27" t="n">
        <v>50.86666666666667</v>
      </c>
      <c r="AL104" s="27" t="n">
        <v>61.04</v>
      </c>
      <c r="AM104" s="27" t="n">
        <v>76.3</v>
      </c>
      <c r="AN104" s="27" t="n">
        <v>101.7333333333333</v>
      </c>
      <c r="AO104" s="27" t="n">
        <v>152.6</v>
      </c>
      <c r="AP104" s="27" t="n">
        <v>305.2</v>
      </c>
    </row>
    <row r="105">
      <c r="A105" s="6" t="inlineStr">
        <is>
          <t>P124</t>
        </is>
      </c>
      <c r="B105" s="6" t="inlineStr">
        <is>
          <t>RDM</t>
        </is>
      </c>
      <c r="C105" s="27" t="n">
        <v>6.3</v>
      </c>
      <c r="D105" s="27" t="n">
        <v>6.631578947368421</v>
      </c>
      <c r="E105" s="27" t="n">
        <v>7</v>
      </c>
      <c r="F105" s="27" t="n">
        <v>7.411764705882353</v>
      </c>
      <c r="G105" s="27" t="n">
        <v>7.874999999999999</v>
      </c>
      <c r="H105" s="27" t="n">
        <v>8.4</v>
      </c>
      <c r="I105" s="27" t="n">
        <v>9</v>
      </c>
      <c r="J105" s="27" t="n">
        <v>9.692307692307692</v>
      </c>
      <c r="K105" s="27" t="n">
        <v>10.5</v>
      </c>
      <c r="L105" s="27" t="n">
        <v>11.45454545454545</v>
      </c>
      <c r="M105" s="27" t="n">
        <v>12.6</v>
      </c>
      <c r="N105" s="27" t="n">
        <v>14</v>
      </c>
      <c r="O105" s="27" t="n">
        <v>15.75</v>
      </c>
      <c r="P105" s="27" t="n">
        <v>18</v>
      </c>
      <c r="Q105" s="27" t="n">
        <v>21</v>
      </c>
      <c r="R105" s="27" t="n">
        <v>25.2</v>
      </c>
      <c r="S105" s="27" t="n">
        <v>31.5</v>
      </c>
      <c r="T105" s="27" t="n">
        <v>42</v>
      </c>
      <c r="U105" s="27" t="n">
        <v>62.99999999999999</v>
      </c>
      <c r="V105" s="27" t="n">
        <v>126</v>
      </c>
      <c r="W105" s="27" t="n">
        <v>15.25</v>
      </c>
      <c r="X105" s="27" t="n">
        <v>16.05263157894737</v>
      </c>
      <c r="Y105" s="27" t="n">
        <v>16.94444444444444</v>
      </c>
      <c r="Z105" s="27" t="n">
        <v>17.94117647058824</v>
      </c>
      <c r="AA105" s="27" t="n">
        <v>19.0625</v>
      </c>
      <c r="AB105" s="27" t="n">
        <v>20.33333333333333</v>
      </c>
      <c r="AC105" s="27" t="n">
        <v>21.78571428571429</v>
      </c>
      <c r="AD105" s="27" t="n">
        <v>23.46153846153846</v>
      </c>
      <c r="AE105" s="27" t="n">
        <v>25.41666666666667</v>
      </c>
      <c r="AF105" s="27" t="n">
        <v>27.72727272727273</v>
      </c>
      <c r="AG105" s="27" t="n">
        <v>30.5</v>
      </c>
      <c r="AH105" s="27" t="n">
        <v>33.88888888888889</v>
      </c>
      <c r="AI105" s="27" t="n">
        <v>38.125</v>
      </c>
      <c r="AJ105" s="27" t="n">
        <v>43.57142857142858</v>
      </c>
      <c r="AK105" s="27" t="n">
        <v>50.83333333333334</v>
      </c>
      <c r="AL105" s="27" t="n">
        <v>61</v>
      </c>
      <c r="AM105" s="27" t="n">
        <v>76.25</v>
      </c>
      <c r="AN105" s="27" t="n">
        <v>101.6666666666667</v>
      </c>
      <c r="AO105" s="27" t="n">
        <v>152.5</v>
      </c>
      <c r="AP105" s="27" t="n">
        <v>305</v>
      </c>
    </row>
    <row r="106">
      <c r="A106" s="6" t="inlineStr">
        <is>
          <t>P125</t>
        </is>
      </c>
      <c r="B106" s="6" t="inlineStr">
        <is>
          <t>RDM</t>
        </is>
      </c>
      <c r="C106" s="27" t="n">
        <v>5.39</v>
      </c>
      <c r="D106" s="27" t="n">
        <v>5.673684210526316</v>
      </c>
      <c r="E106" s="27" t="n">
        <v>5.988888888888888</v>
      </c>
      <c r="F106" s="27" t="n">
        <v>6.341176470588235</v>
      </c>
      <c r="G106" s="27" t="n">
        <v>6.737499999999999</v>
      </c>
      <c r="H106" s="27" t="n">
        <v>7.186666666666667</v>
      </c>
      <c r="I106" s="27" t="n">
        <v>7.7</v>
      </c>
      <c r="J106" s="27" t="n">
        <v>8.292307692307691</v>
      </c>
      <c r="K106" s="27" t="n">
        <v>8.983333333333333</v>
      </c>
      <c r="L106" s="27" t="n">
        <v>9.799999999999999</v>
      </c>
      <c r="M106" s="27" t="n">
        <v>10.78</v>
      </c>
      <c r="N106" s="27" t="n">
        <v>11.97777777777778</v>
      </c>
      <c r="O106" s="27" t="n">
        <v>13.475</v>
      </c>
      <c r="P106" s="27" t="n">
        <v>15.4</v>
      </c>
      <c r="Q106" s="27" t="n">
        <v>17.96666666666667</v>
      </c>
      <c r="R106" s="27" t="n">
        <v>21.56</v>
      </c>
      <c r="S106" s="27" t="n">
        <v>26.95</v>
      </c>
      <c r="T106" s="27" t="n">
        <v>35.93333333333333</v>
      </c>
      <c r="U106" s="27" t="n">
        <v>53.89999999999999</v>
      </c>
      <c r="V106" s="27" t="n">
        <v>107.8</v>
      </c>
      <c r="W106" s="27" t="n">
        <v>12.33</v>
      </c>
      <c r="X106" s="27" t="n">
        <v>12.97894736842105</v>
      </c>
      <c r="Y106" s="27" t="n">
        <v>13.7</v>
      </c>
      <c r="Z106" s="27" t="n">
        <v>14.50588235294118</v>
      </c>
      <c r="AA106" s="27" t="n">
        <v>15.4125</v>
      </c>
      <c r="AB106" s="27" t="n">
        <v>16.44</v>
      </c>
      <c r="AC106" s="27" t="n">
        <v>17.61428571428571</v>
      </c>
      <c r="AD106" s="27" t="n">
        <v>18.96923076923077</v>
      </c>
      <c r="AE106" s="27" t="n">
        <v>20.55</v>
      </c>
      <c r="AF106" s="27" t="n">
        <v>22.41818181818182</v>
      </c>
      <c r="AG106" s="27" t="n">
        <v>24.66</v>
      </c>
      <c r="AH106" s="27" t="n">
        <v>27.4</v>
      </c>
      <c r="AI106" s="27" t="n">
        <v>30.825</v>
      </c>
      <c r="AJ106" s="27" t="n">
        <v>35.22857142857143</v>
      </c>
      <c r="AK106" s="27" t="n">
        <v>41.1</v>
      </c>
      <c r="AL106" s="27" t="n">
        <v>49.32</v>
      </c>
      <c r="AM106" s="27" t="n">
        <v>61.65</v>
      </c>
      <c r="AN106" s="27" t="n">
        <v>82.2</v>
      </c>
      <c r="AO106" s="27" t="n">
        <v>123.3</v>
      </c>
      <c r="AP106" s="27" t="n">
        <v>246.6</v>
      </c>
    </row>
    <row r="107">
      <c r="A107" s="6" t="inlineStr">
        <is>
          <t>P126</t>
        </is>
      </c>
      <c r="B107" s="6" t="inlineStr">
        <is>
          <t>RDM</t>
        </is>
      </c>
      <c r="C107" s="27" t="n">
        <v>6.11</v>
      </c>
      <c r="D107" s="27" t="n">
        <v>6.431578947368422</v>
      </c>
      <c r="E107" s="27" t="n">
        <v>6.788888888888889</v>
      </c>
      <c r="F107" s="27" t="n">
        <v>7.188235294117647</v>
      </c>
      <c r="G107" s="27" t="n">
        <v>7.6375</v>
      </c>
      <c r="H107" s="27" t="n">
        <v>8.146666666666667</v>
      </c>
      <c r="I107" s="27" t="n">
        <v>8.72857142857143</v>
      </c>
      <c r="J107" s="27" t="n">
        <v>9.4</v>
      </c>
      <c r="K107" s="27" t="n">
        <v>10.18333333333333</v>
      </c>
      <c r="L107" s="27" t="n">
        <v>11.10909090909091</v>
      </c>
      <c r="M107" s="27" t="n">
        <v>12.22</v>
      </c>
      <c r="N107" s="27" t="n">
        <v>13.57777777777778</v>
      </c>
      <c r="O107" s="27" t="n">
        <v>15.275</v>
      </c>
      <c r="P107" s="27" t="n">
        <v>17.45714285714286</v>
      </c>
      <c r="Q107" s="27" t="n">
        <v>20.36666666666667</v>
      </c>
      <c r="R107" s="27" t="n">
        <v>24.44</v>
      </c>
      <c r="S107" s="27" t="n">
        <v>30.55</v>
      </c>
      <c r="T107" s="27" t="n">
        <v>40.73333333333333</v>
      </c>
      <c r="U107" s="27" t="n">
        <v>61.1</v>
      </c>
      <c r="V107" s="27" t="n">
        <v>122.2</v>
      </c>
      <c r="W107" s="27" t="n">
        <v>14.64</v>
      </c>
      <c r="X107" s="27" t="n">
        <v>15.41052631578948</v>
      </c>
      <c r="Y107" s="27" t="n">
        <v>16.26666666666667</v>
      </c>
      <c r="Z107" s="27" t="n">
        <v>17.22352941176471</v>
      </c>
      <c r="AA107" s="27" t="n">
        <v>18.3</v>
      </c>
      <c r="AB107" s="27" t="n">
        <v>19.52</v>
      </c>
      <c r="AC107" s="27" t="n">
        <v>20.91428571428572</v>
      </c>
      <c r="AD107" s="27" t="n">
        <v>22.52307692307692</v>
      </c>
      <c r="AE107" s="27" t="n">
        <v>24.4</v>
      </c>
      <c r="AF107" s="27" t="n">
        <v>26.61818181818182</v>
      </c>
      <c r="AG107" s="27" t="n">
        <v>29.28</v>
      </c>
      <c r="AH107" s="27" t="n">
        <v>32.53333333333333</v>
      </c>
      <c r="AI107" s="27" t="n">
        <v>36.6</v>
      </c>
      <c r="AJ107" s="27" t="n">
        <v>41.82857142857144</v>
      </c>
      <c r="AK107" s="27" t="n">
        <v>48.8</v>
      </c>
      <c r="AL107" s="27" t="n">
        <v>58.56</v>
      </c>
      <c r="AM107" s="27" t="n">
        <v>73.2</v>
      </c>
      <c r="AN107" s="27" t="n">
        <v>97.60000000000001</v>
      </c>
      <c r="AO107" s="27" t="n">
        <v>146.4</v>
      </c>
      <c r="AP107" s="27" t="n">
        <v>292.8</v>
      </c>
    </row>
    <row r="108">
      <c r="A108" s="6" t="inlineStr">
        <is>
          <t>P127</t>
        </is>
      </c>
      <c r="B108" s="6" t="inlineStr">
        <is>
          <t>RDM</t>
        </is>
      </c>
      <c r="C108" s="27" t="n">
        <v>5.3</v>
      </c>
      <c r="D108" s="27" t="n">
        <v>5.578947368421053</v>
      </c>
      <c r="E108" s="27" t="n">
        <v>5.888888888888888</v>
      </c>
      <c r="F108" s="27" t="n">
        <v>6.235294117647059</v>
      </c>
      <c r="G108" s="27" t="n">
        <v>6.624999999999999</v>
      </c>
      <c r="H108" s="27" t="n">
        <v>7.066666666666666</v>
      </c>
      <c r="I108" s="27" t="n">
        <v>7.571428571428572</v>
      </c>
      <c r="J108" s="27" t="n">
        <v>8.153846153846153</v>
      </c>
      <c r="K108" s="27" t="n">
        <v>8.833333333333334</v>
      </c>
      <c r="L108" s="27" t="n">
        <v>9.636363636363635</v>
      </c>
      <c r="M108" s="27" t="n">
        <v>10.6</v>
      </c>
      <c r="N108" s="27" t="n">
        <v>11.77777777777778</v>
      </c>
      <c r="O108" s="27" t="n">
        <v>13.25</v>
      </c>
      <c r="P108" s="27" t="n">
        <v>15.14285714285714</v>
      </c>
      <c r="Q108" s="27" t="n">
        <v>17.66666666666667</v>
      </c>
      <c r="R108" s="27" t="n">
        <v>21.2</v>
      </c>
      <c r="S108" s="27" t="n">
        <v>26.5</v>
      </c>
      <c r="T108" s="27" t="n">
        <v>35.33333333333334</v>
      </c>
      <c r="U108" s="27" t="n">
        <v>52.99999999999999</v>
      </c>
      <c r="V108" s="27" t="n">
        <v>106</v>
      </c>
      <c r="W108" s="27" t="n">
        <v>12.33</v>
      </c>
      <c r="X108" s="27" t="n">
        <v>12.97894736842105</v>
      </c>
      <c r="Y108" s="27" t="n">
        <v>13.7</v>
      </c>
      <c r="Z108" s="27" t="n">
        <v>14.50588235294118</v>
      </c>
      <c r="AA108" s="27" t="n">
        <v>15.4125</v>
      </c>
      <c r="AB108" s="27" t="n">
        <v>16.44</v>
      </c>
      <c r="AC108" s="27" t="n">
        <v>17.61428571428571</v>
      </c>
      <c r="AD108" s="27" t="n">
        <v>18.96923076923077</v>
      </c>
      <c r="AE108" s="27" t="n">
        <v>20.55</v>
      </c>
      <c r="AF108" s="27" t="n">
        <v>22.41818181818182</v>
      </c>
      <c r="AG108" s="27" t="n">
        <v>24.66</v>
      </c>
      <c r="AH108" s="27" t="n">
        <v>27.4</v>
      </c>
      <c r="AI108" s="27" t="n">
        <v>30.825</v>
      </c>
      <c r="AJ108" s="27" t="n">
        <v>35.22857142857143</v>
      </c>
      <c r="AK108" s="27" t="n">
        <v>41.1</v>
      </c>
      <c r="AL108" s="27" t="n">
        <v>49.32</v>
      </c>
      <c r="AM108" s="27" t="n">
        <v>61.65</v>
      </c>
      <c r="AN108" s="27" t="n">
        <v>82.2</v>
      </c>
      <c r="AO108" s="27" t="n">
        <v>123.3</v>
      </c>
      <c r="AP108" s="27" t="n">
        <v>246.6</v>
      </c>
    </row>
    <row r="109">
      <c r="A109" s="6" t="inlineStr">
        <is>
          <t>P128</t>
        </is>
      </c>
      <c r="B109" s="6" t="inlineStr">
        <is>
          <t>RDM</t>
        </is>
      </c>
      <c r="C109" s="27" t="n">
        <v>5.72</v>
      </c>
      <c r="D109" s="27" t="n">
        <v>6.021052631578947</v>
      </c>
      <c r="E109" s="27" t="n">
        <v>6.355555555555555</v>
      </c>
      <c r="F109" s="27" t="n">
        <v>6.729411764705882</v>
      </c>
      <c r="G109" s="27" t="n">
        <v>7.149999999999999</v>
      </c>
      <c r="H109" s="27" t="n">
        <v>7.626666666666666</v>
      </c>
      <c r="I109" s="27" t="n">
        <v>8.171428571428571</v>
      </c>
      <c r="J109" s="27" t="n">
        <v>8.799999999999999</v>
      </c>
      <c r="K109" s="27" t="n">
        <v>9.533333333333333</v>
      </c>
      <c r="L109" s="27" t="n">
        <v>10.4</v>
      </c>
      <c r="M109" s="27" t="n">
        <v>11.44</v>
      </c>
      <c r="N109" s="27" t="n">
        <v>12.71111111111111</v>
      </c>
      <c r="O109" s="27" t="n">
        <v>14.3</v>
      </c>
      <c r="P109" s="27" t="n">
        <v>16.34285714285714</v>
      </c>
      <c r="Q109" s="27" t="n">
        <v>19.06666666666667</v>
      </c>
      <c r="R109" s="27" t="n">
        <v>22.88</v>
      </c>
      <c r="S109" s="27" t="n">
        <v>28.6</v>
      </c>
      <c r="T109" s="27" t="n">
        <v>38.13333333333333</v>
      </c>
      <c r="U109" s="27" t="n">
        <v>57.2</v>
      </c>
      <c r="V109" s="27" t="n">
        <v>114.4</v>
      </c>
      <c r="W109" s="27" t="n">
        <v>14.64</v>
      </c>
      <c r="X109" s="27" t="n">
        <v>15.41052631578948</v>
      </c>
      <c r="Y109" s="27" t="n">
        <v>16.26666666666667</v>
      </c>
      <c r="Z109" s="27" t="n">
        <v>17.22352941176471</v>
      </c>
      <c r="AA109" s="27" t="n">
        <v>18.3</v>
      </c>
      <c r="AB109" s="27" t="n">
        <v>19.52</v>
      </c>
      <c r="AC109" s="27" t="n">
        <v>20.91428571428572</v>
      </c>
      <c r="AD109" s="27" t="n">
        <v>22.52307692307692</v>
      </c>
      <c r="AE109" s="27" t="n">
        <v>24.4</v>
      </c>
      <c r="AF109" s="27" t="n">
        <v>26.61818181818182</v>
      </c>
      <c r="AG109" s="27" t="n">
        <v>29.28</v>
      </c>
      <c r="AH109" s="27" t="n">
        <v>32.53333333333333</v>
      </c>
      <c r="AI109" s="27" t="n">
        <v>36.6</v>
      </c>
      <c r="AJ109" s="27" t="n">
        <v>41.82857142857144</v>
      </c>
      <c r="AK109" s="27" t="n">
        <v>48.8</v>
      </c>
      <c r="AL109" s="27" t="n">
        <v>58.56</v>
      </c>
      <c r="AM109" s="27" t="n">
        <v>73.2</v>
      </c>
      <c r="AN109" s="27" t="n">
        <v>97.60000000000001</v>
      </c>
      <c r="AO109" s="27" t="n">
        <v>146.4</v>
      </c>
      <c r="AP109" s="27" t="n">
        <v>292.8</v>
      </c>
    </row>
    <row r="110">
      <c r="A110" s="6" t="inlineStr">
        <is>
          <t>P129</t>
        </is>
      </c>
      <c r="B110" s="6" t="inlineStr">
        <is>
          <t>RDM</t>
        </is>
      </c>
      <c r="C110" s="27" t="n">
        <v>5.55</v>
      </c>
      <c r="D110" s="27" t="n">
        <v>5.842105263157895</v>
      </c>
      <c r="E110" s="27" t="n">
        <v>6.166666666666666</v>
      </c>
      <c r="F110" s="27" t="n">
        <v>6.529411764705882</v>
      </c>
      <c r="G110" s="27" t="n">
        <v>6.937499999999999</v>
      </c>
      <c r="H110" s="27" t="n">
        <v>7.399999999999999</v>
      </c>
      <c r="I110" s="27" t="n">
        <v>7.928571428571429</v>
      </c>
      <c r="J110" s="27" t="n">
        <v>8.538461538461538</v>
      </c>
      <c r="K110" s="27" t="n">
        <v>9.25</v>
      </c>
      <c r="L110" s="27" t="n">
        <v>10.09090909090909</v>
      </c>
      <c r="M110" s="27" t="n">
        <v>11.1</v>
      </c>
      <c r="N110" s="27" t="n">
        <v>12.33333333333333</v>
      </c>
      <c r="O110" s="27" t="n">
        <v>13.875</v>
      </c>
      <c r="P110" s="27" t="n">
        <v>15.85714285714286</v>
      </c>
      <c r="Q110" s="27" t="n">
        <v>18.5</v>
      </c>
      <c r="R110" s="27" t="n">
        <v>22.2</v>
      </c>
      <c r="S110" s="27" t="n">
        <v>27.75</v>
      </c>
      <c r="T110" s="27" t="n">
        <v>37</v>
      </c>
      <c r="U110" s="27" t="n">
        <v>55.49999999999999</v>
      </c>
      <c r="V110" s="27" t="n">
        <v>111</v>
      </c>
      <c r="W110" s="27" t="n">
        <v>12.33</v>
      </c>
      <c r="X110" s="27" t="n">
        <v>12.97894736842105</v>
      </c>
      <c r="Y110" s="27" t="n">
        <v>13.7</v>
      </c>
      <c r="Z110" s="27" t="n">
        <v>14.50588235294118</v>
      </c>
      <c r="AA110" s="27" t="n">
        <v>15.4125</v>
      </c>
      <c r="AB110" s="27" t="n">
        <v>16.44</v>
      </c>
      <c r="AC110" s="27" t="n">
        <v>17.61428571428571</v>
      </c>
      <c r="AD110" s="27" t="n">
        <v>18.96923076923077</v>
      </c>
      <c r="AE110" s="27" t="n">
        <v>20.55</v>
      </c>
      <c r="AF110" s="27" t="n">
        <v>22.41818181818182</v>
      </c>
      <c r="AG110" s="27" t="n">
        <v>24.66</v>
      </c>
      <c r="AH110" s="27" t="n">
        <v>27.4</v>
      </c>
      <c r="AI110" s="27" t="n">
        <v>30.825</v>
      </c>
      <c r="AJ110" s="27" t="n">
        <v>35.22857142857143</v>
      </c>
      <c r="AK110" s="27" t="n">
        <v>41.1</v>
      </c>
      <c r="AL110" s="27" t="n">
        <v>49.32</v>
      </c>
      <c r="AM110" s="27" t="n">
        <v>61.65</v>
      </c>
      <c r="AN110" s="27" t="n">
        <v>82.2</v>
      </c>
      <c r="AO110" s="27" t="n">
        <v>123.3</v>
      </c>
      <c r="AP110" s="27" t="n">
        <v>246.6</v>
      </c>
    </row>
    <row r="111">
      <c r="A111" s="6" t="inlineStr">
        <is>
          <t>P130</t>
        </is>
      </c>
      <c r="B111" s="6" t="inlineStr">
        <is>
          <t>RDM</t>
        </is>
      </c>
      <c r="C111" s="27" t="n">
        <v>6.44</v>
      </c>
      <c r="D111" s="27" t="n">
        <v>6.778947368421053</v>
      </c>
      <c r="E111" s="27" t="n">
        <v>7.155555555555556</v>
      </c>
      <c r="F111" s="27" t="n">
        <v>7.576470588235295</v>
      </c>
      <c r="G111" s="27" t="n">
        <v>8.050000000000001</v>
      </c>
      <c r="H111" s="27" t="n">
        <v>8.586666666666668</v>
      </c>
      <c r="I111" s="27" t="n">
        <v>9.200000000000001</v>
      </c>
      <c r="J111" s="27" t="n">
        <v>9.907692307692308</v>
      </c>
      <c r="K111" s="27" t="n">
        <v>10.73333333333333</v>
      </c>
      <c r="L111" s="27" t="n">
        <v>11.70909090909091</v>
      </c>
      <c r="M111" s="27" t="n">
        <v>12.88</v>
      </c>
      <c r="N111" s="27" t="n">
        <v>14.31111111111111</v>
      </c>
      <c r="O111" s="27" t="n">
        <v>16.1</v>
      </c>
      <c r="P111" s="27" t="n">
        <v>18.4</v>
      </c>
      <c r="Q111" s="27" t="n">
        <v>21.46666666666667</v>
      </c>
      <c r="R111" s="27" t="n">
        <v>25.76</v>
      </c>
      <c r="S111" s="27" t="n">
        <v>32.2</v>
      </c>
      <c r="T111" s="27" t="n">
        <v>42.93333333333334</v>
      </c>
      <c r="U111" s="27" t="n">
        <v>64.40000000000001</v>
      </c>
      <c r="V111" s="27" t="n">
        <v>128.8</v>
      </c>
      <c r="W111" s="27" t="n">
        <v>15.25</v>
      </c>
      <c r="X111" s="27" t="n">
        <v>16.05263157894737</v>
      </c>
      <c r="Y111" s="27" t="n">
        <v>16.94444444444444</v>
      </c>
      <c r="Z111" s="27" t="n">
        <v>17.94117647058824</v>
      </c>
      <c r="AA111" s="27" t="n">
        <v>19.0625</v>
      </c>
      <c r="AB111" s="27" t="n">
        <v>20.33333333333333</v>
      </c>
      <c r="AC111" s="27" t="n">
        <v>21.78571428571429</v>
      </c>
      <c r="AD111" s="27" t="n">
        <v>23.46153846153846</v>
      </c>
      <c r="AE111" s="27" t="n">
        <v>25.41666666666667</v>
      </c>
      <c r="AF111" s="27" t="n">
        <v>27.72727272727273</v>
      </c>
      <c r="AG111" s="27" t="n">
        <v>30.5</v>
      </c>
      <c r="AH111" s="27" t="n">
        <v>33.88888888888889</v>
      </c>
      <c r="AI111" s="27" t="n">
        <v>38.125</v>
      </c>
      <c r="AJ111" s="27" t="n">
        <v>43.57142857142858</v>
      </c>
      <c r="AK111" s="27" t="n">
        <v>50.83333333333334</v>
      </c>
      <c r="AL111" s="27" t="n">
        <v>61</v>
      </c>
      <c r="AM111" s="27" t="n">
        <v>76.25</v>
      </c>
      <c r="AN111" s="27" t="n">
        <v>101.6666666666667</v>
      </c>
      <c r="AO111" s="27" t="n">
        <v>152.5</v>
      </c>
      <c r="AP111" s="27" t="n">
        <v>305</v>
      </c>
    </row>
    <row r="112">
      <c r="A112" s="6" t="inlineStr">
        <is>
          <t>P131</t>
        </is>
      </c>
      <c r="B112" s="6" t="inlineStr">
        <is>
          <t>RDM</t>
        </is>
      </c>
      <c r="C112" s="27" t="n">
        <v>8.16</v>
      </c>
      <c r="D112" s="27" t="n">
        <v>8.589473684210526</v>
      </c>
      <c r="E112" s="27" t="n">
        <v>9.066666666666666</v>
      </c>
      <c r="F112" s="27" t="n">
        <v>9.6</v>
      </c>
      <c r="G112" s="27" t="n">
        <v>10.2</v>
      </c>
      <c r="H112" s="27" t="n">
        <v>10.88</v>
      </c>
      <c r="I112" s="27" t="n">
        <v>11.65714285714286</v>
      </c>
      <c r="J112" s="27" t="n">
        <v>12.55384615384615</v>
      </c>
      <c r="K112" s="27" t="n">
        <v>13.6</v>
      </c>
      <c r="L112" s="27" t="n">
        <v>14.83636363636364</v>
      </c>
      <c r="M112" s="27" t="n">
        <v>16.32</v>
      </c>
      <c r="N112" s="27" t="n">
        <v>18.13333333333333</v>
      </c>
      <c r="O112" s="27" t="n">
        <v>20.4</v>
      </c>
      <c r="P112" s="27" t="n">
        <v>23.31428571428572</v>
      </c>
      <c r="Q112" s="27" t="n">
        <v>27.2</v>
      </c>
      <c r="R112" s="27" t="n">
        <v>32.64</v>
      </c>
      <c r="S112" s="27" t="n">
        <v>40.8</v>
      </c>
      <c r="T112" s="27" t="n">
        <v>54.40000000000001</v>
      </c>
      <c r="U112" s="27" t="n">
        <v>81.59999999999999</v>
      </c>
      <c r="V112" s="27" t="n">
        <v>163.2</v>
      </c>
      <c r="W112" s="27" t="n">
        <v>10.52</v>
      </c>
      <c r="X112" s="27" t="n">
        <v>11.07368421052632</v>
      </c>
      <c r="Y112" s="27" t="n">
        <v>11.68888888888889</v>
      </c>
      <c r="Z112" s="27" t="n">
        <v>12.37647058823529</v>
      </c>
      <c r="AA112" s="27" t="n">
        <v>13.15</v>
      </c>
      <c r="AB112" s="27" t="n">
        <v>14.02666666666667</v>
      </c>
      <c r="AC112" s="27" t="n">
        <v>15.02857142857143</v>
      </c>
      <c r="AD112" s="27" t="n">
        <v>16.18461538461538</v>
      </c>
      <c r="AE112" s="27" t="n">
        <v>17.53333333333333</v>
      </c>
      <c r="AF112" s="27" t="n">
        <v>19.12727272727273</v>
      </c>
      <c r="AG112" s="27" t="n">
        <v>21.04</v>
      </c>
      <c r="AH112" s="27" t="n">
        <v>23.37777777777778</v>
      </c>
      <c r="AI112" s="27" t="n">
        <v>26.3</v>
      </c>
      <c r="AJ112" s="27" t="n">
        <v>30.05714285714286</v>
      </c>
      <c r="AK112" s="27" t="n">
        <v>35.06666666666667</v>
      </c>
      <c r="AL112" s="27" t="n">
        <v>42.08</v>
      </c>
      <c r="AM112" s="27" t="n">
        <v>52.59999999999999</v>
      </c>
      <c r="AN112" s="27" t="n">
        <v>70.13333333333334</v>
      </c>
      <c r="AO112" s="27" t="n">
        <v>105.2</v>
      </c>
      <c r="AP112" s="27" t="n">
        <v>210.4</v>
      </c>
    </row>
    <row r="113">
      <c r="A113" s="6" t="inlineStr">
        <is>
          <t>P132</t>
        </is>
      </c>
      <c r="B113" s="6" t="inlineStr">
        <is>
          <t>RDM</t>
        </is>
      </c>
      <c r="C113" s="27" t="n">
        <v>7.68</v>
      </c>
      <c r="D113" s="27" t="n">
        <v>8.08421052631579</v>
      </c>
      <c r="E113" s="27" t="n">
        <v>8.533333333333333</v>
      </c>
      <c r="F113" s="27" t="n">
        <v>9.035294117647059</v>
      </c>
      <c r="G113" s="27" t="n">
        <v>9.6</v>
      </c>
      <c r="H113" s="27" t="n">
        <v>10.24</v>
      </c>
      <c r="I113" s="27" t="n">
        <v>10.97142857142857</v>
      </c>
      <c r="J113" s="27" t="n">
        <v>11.81538461538461</v>
      </c>
      <c r="K113" s="27" t="n">
        <v>12.8</v>
      </c>
      <c r="L113" s="27" t="n">
        <v>13.96363636363636</v>
      </c>
      <c r="M113" s="27" t="n">
        <v>15.36</v>
      </c>
      <c r="N113" s="27" t="n">
        <v>17.06666666666667</v>
      </c>
      <c r="O113" s="27" t="n">
        <v>19.2</v>
      </c>
      <c r="P113" s="27" t="n">
        <v>21.94285714285714</v>
      </c>
      <c r="Q113" s="27" t="n">
        <v>25.6</v>
      </c>
      <c r="R113" s="27" t="n">
        <v>30.72</v>
      </c>
      <c r="S113" s="27" t="n">
        <v>38.4</v>
      </c>
      <c r="T113" s="27" t="n">
        <v>51.2</v>
      </c>
      <c r="U113" s="27" t="n">
        <v>76.8</v>
      </c>
      <c r="V113" s="27" t="n">
        <v>153.6</v>
      </c>
      <c r="W113" s="27" t="n">
        <v>10.52</v>
      </c>
      <c r="X113" s="27" t="n">
        <v>11.07368421052632</v>
      </c>
      <c r="Y113" s="27" t="n">
        <v>11.68888888888889</v>
      </c>
      <c r="Z113" s="27" t="n">
        <v>12.37647058823529</v>
      </c>
      <c r="AA113" s="27" t="n">
        <v>13.15</v>
      </c>
      <c r="AB113" s="27" t="n">
        <v>14.02666666666667</v>
      </c>
      <c r="AC113" s="27" t="n">
        <v>15.02857142857143</v>
      </c>
      <c r="AD113" s="27" t="n">
        <v>16.18461538461538</v>
      </c>
      <c r="AE113" s="27" t="n">
        <v>17.53333333333333</v>
      </c>
      <c r="AF113" s="27" t="n">
        <v>19.12727272727273</v>
      </c>
      <c r="AG113" s="27" t="n">
        <v>21.04</v>
      </c>
      <c r="AH113" s="27" t="n">
        <v>23.37777777777778</v>
      </c>
      <c r="AI113" s="27" t="n">
        <v>26.3</v>
      </c>
      <c r="AJ113" s="27" t="n">
        <v>30.05714285714286</v>
      </c>
      <c r="AK113" s="27" t="n">
        <v>35.06666666666667</v>
      </c>
      <c r="AL113" s="27" t="n">
        <v>42.08</v>
      </c>
      <c r="AM113" s="27" t="n">
        <v>52.59999999999999</v>
      </c>
      <c r="AN113" s="27" t="n">
        <v>70.13333333333334</v>
      </c>
      <c r="AO113" s="27" t="n">
        <v>105.2</v>
      </c>
      <c r="AP113" s="27" t="n">
        <v>210.4</v>
      </c>
    </row>
    <row r="114">
      <c r="A114" s="6" t="inlineStr">
        <is>
          <t>P133</t>
        </is>
      </c>
      <c r="B114" s="6" t="inlineStr">
        <is>
          <t>RDM</t>
        </is>
      </c>
      <c r="C114" s="27" t="n">
        <v>5.445</v>
      </c>
      <c r="D114" s="27" t="n">
        <v>5.731578947368422</v>
      </c>
      <c r="E114" s="27" t="n">
        <v>6.05</v>
      </c>
      <c r="F114" s="27" t="n">
        <v>6.405882352941177</v>
      </c>
      <c r="G114" s="27" t="n">
        <v>6.80625</v>
      </c>
      <c r="H114" s="27" t="n">
        <v>7.260000000000001</v>
      </c>
      <c r="I114" s="27" t="n">
        <v>7.778571428571429</v>
      </c>
      <c r="J114" s="27" t="n">
        <v>8.376923076923077</v>
      </c>
      <c r="K114" s="27" t="n">
        <v>9.075000000000001</v>
      </c>
      <c r="L114" s="27" t="n">
        <v>9.9</v>
      </c>
      <c r="M114" s="27" t="n">
        <v>10.89</v>
      </c>
      <c r="N114" s="27" t="n">
        <v>12.1</v>
      </c>
      <c r="O114" s="27" t="n">
        <v>13.6125</v>
      </c>
      <c r="P114" s="27" t="n">
        <v>15.55714285714286</v>
      </c>
      <c r="Q114" s="27" t="n">
        <v>18.15</v>
      </c>
      <c r="R114" s="27" t="n">
        <v>21.78</v>
      </c>
      <c r="S114" s="27" t="n">
        <v>27.225</v>
      </c>
      <c r="T114" s="27" t="n">
        <v>36.3</v>
      </c>
      <c r="U114" s="27" t="n">
        <v>54.45</v>
      </c>
      <c r="V114" s="27" t="n">
        <v>108.9</v>
      </c>
      <c r="W114" s="27" t="n">
        <v>12.17</v>
      </c>
      <c r="X114" s="27" t="n">
        <v>12.81052631578947</v>
      </c>
      <c r="Y114" s="27" t="n">
        <v>13.52222222222222</v>
      </c>
      <c r="Z114" s="27" t="n">
        <v>14.31764705882353</v>
      </c>
      <c r="AA114" s="27" t="n">
        <v>15.2125</v>
      </c>
      <c r="AB114" s="27" t="n">
        <v>16.22666666666667</v>
      </c>
      <c r="AC114" s="27" t="n">
        <v>17.38571428571429</v>
      </c>
      <c r="AD114" s="27" t="n">
        <v>18.72307692307692</v>
      </c>
      <c r="AE114" s="27" t="n">
        <v>20.28333333333333</v>
      </c>
      <c r="AF114" s="27" t="n">
        <v>22.12727272727273</v>
      </c>
      <c r="AG114" s="27" t="n">
        <v>24.34</v>
      </c>
      <c r="AH114" s="27" t="n">
        <v>27.04444444444444</v>
      </c>
      <c r="AI114" s="27" t="n">
        <v>30.425</v>
      </c>
      <c r="AJ114" s="27" t="n">
        <v>34.77142857142857</v>
      </c>
      <c r="AK114" s="27" t="n">
        <v>40.56666666666667</v>
      </c>
      <c r="AL114" s="27" t="n">
        <v>48.68</v>
      </c>
      <c r="AM114" s="27" t="n">
        <v>60.84999999999999</v>
      </c>
      <c r="AN114" s="27" t="n">
        <v>81.13333333333334</v>
      </c>
      <c r="AO114" s="27" t="n">
        <v>121.7</v>
      </c>
      <c r="AP114" s="27" t="n">
        <v>243.4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0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diaria) + Kc. Ajuste aqui.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28" t="inlineStr">
        <is>
          <t>Eficiencia de aplicacao</t>
        </is>
      </c>
      <c r="B5" s="29" t="n">
        <v>0.9</v>
      </c>
      <c r="C5" s="30" t="inlineStr">
        <is>
          <t>fracao</t>
        </is>
      </c>
      <c r="D5" s="18" t="inlineStr">
        <is>
          <t>Lamina bruta = liquida / eficiencia.</t>
        </is>
      </c>
    </row>
    <row r="6">
      <c r="A6" s="28" t="inlineStr">
        <is>
          <t>Lamina alvo / turno (mm liq)</t>
        </is>
      </c>
      <c r="B6" s="31" t="n">
        <v>10</v>
      </c>
      <c r="C6" s="30" t="inlineStr">
        <is>
          <t>mm</t>
        </is>
      </c>
      <c r="D6" s="18" t="inlineStr">
        <is>
          <t>Irriga quando a necessidade liquida atinge este valor.</t>
        </is>
      </c>
    </row>
    <row r="7">
      <c r="A7" s="28" t="inlineStr">
        <is>
          <t>Gatilho de acompanhamento</t>
        </is>
      </c>
      <c r="B7" s="29" t="n">
        <v>0.8</v>
      </c>
      <c r="C7" s="30" t="inlineStr">
        <is>
          <t>fracao</t>
        </is>
      </c>
      <c r="D7" s="18" t="inlineStr">
        <is>
          <t>Fracao do alvo para 'Acompanhar'.</t>
        </is>
      </c>
    </row>
    <row r="8">
      <c r="A8" s="28" t="inlineStr">
        <is>
          <t>Data de referencia (HOJE)</t>
        </is>
      </c>
      <c r="B8" s="32" t="n">
        <v>46300</v>
      </c>
      <c r="C8" s="30" t="inlineStr">
        <is>
          <t>data</t>
        </is>
      </c>
      <c r="D8" s="18" t="inlineStr">
        <is>
          <t>Base do DAP e do acumulo de ETo.</t>
        </is>
      </c>
    </row>
    <row r="11">
      <c r="A11" s="18" t="inlineStr">
        <is>
          <t>Como usar: 1) atualize ETO_DIARIO todo dia; 2) olhe a aba MANEJO (por modulo); 3) nas parcelas 'Irrigar', defina o % (percentimetro) e a planilha mostra a lamina e as horas.</t>
        </is>
      </c>
      <c r="B11" s="19" t="n"/>
      <c r="C11" s="19" t="n"/>
      <c r="D11" s="20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2026-10-05T17:23:59Z</dcterms:created>
  <dcterms:modified xsi:type="dcterms:W3CDTF">2026-10-05T17:23:59Z</dcterms:modified>
</cp:coreProperties>
</file>