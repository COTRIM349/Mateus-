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MANEJO" sheetId="2" state="visible" r:id="rId2"/>
    <sheet name="RESUMO" sheetId="3" state="visible" r:id="rId3"/>
    <sheet name="PROGRAMACAO" sheetId="4" state="visible" r:id="rId4"/>
    <sheet name="MODULO 1" sheetId="5" state="visible" r:id="rId5"/>
    <sheet name="MODULO 2" sheetId="6" state="visible" r:id="rId6"/>
    <sheet name="MODULO 3" sheetId="7" state="visible" r:id="rId7"/>
    <sheet name="RDM" sheetId="8" state="visible" r:id="rId8"/>
    <sheet name="SOJA" sheetId="9" state="visible" r:id="rId9"/>
    <sheet name="ALGODAO" sheetId="10" state="visible" r:id="rId10"/>
    <sheet name="TABACO" sheetId="11" state="visible" r:id="rId11"/>
    <sheet name="CACAU" sheetId="12" state="visible" r:id="rId12"/>
    <sheet name="MILHO" sheetId="13" state="visible" r:id="rId13"/>
    <sheet name="VARIEDADES" sheetId="14" state="visible" r:id="rId14"/>
    <sheet name="PIVOS" sheetId="15" state="visible" r:id="rId15"/>
    <sheet name="LAMINA_HORA" sheetId="16" state="visible" r:id="rId16"/>
    <sheet name="SOLO" sheetId="17" state="visible" r:id="rId17"/>
    <sheet name="UMIDADE" sheetId="18" state="visible" r:id="rId18"/>
    <sheet name="AGUA E ENERGIA" sheetId="19" state="visible" r:id="rId19"/>
    <sheet name="DISPONIBILIDADE HIDRICA" sheetId="20" state="visible" r:id="rId20"/>
    <sheet name="RESERVATORIOS" sheetId="21" state="visible" r:id="rId21"/>
    <sheet name="REALIZADO" sheetId="22" state="visible" r:id="rId22"/>
    <sheet name="OCORRENCIAS" sheetId="23" state="visible" r:id="rId23"/>
    <sheet name="CUSTOS" sheetId="24" state="visible" r:id="rId24"/>
    <sheet name="PARAMETROS" sheetId="25" state="visible" r:id="rId25"/>
    <sheet name="VALIDACAO" sheetId="26" state="visible" r:id="rId26"/>
    <sheet name="FONTES" sheetId="27" state="visible" r:id="rId27"/>
    <sheet name="PENDENCIAS" sheetId="28" state="visible" r:id="rId28"/>
  </sheets>
  <definedNames>
    <definedName name="EF_APLIC">'PARAMETROS'!$B$5</definedName>
    <definedName name="FATOR_HID">'PARAMETROS'!$B$6</definedName>
    <definedName name="META_SEM">'PARAMETROS'!$B$7</definedName>
    <definedName name="FRAC_ACOMP">'PARAMETROS'!$B$9</definedName>
    <definedName name="DATA_REF">'PARAMETROS'!$B$10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dd/mm/yyyy"/>
    <numFmt numFmtId="166" formatCode="0.0"/>
    <numFmt numFmtId="167" formatCode="0.0%"/>
    <numFmt numFmtId="168" formatCode="#,##0.0"/>
    <numFmt numFmtId="169" formatCode="ddd dd/mm"/>
    <numFmt numFmtId="170" formatCode="dd/mm/yyyy hh:mm"/>
    <numFmt numFmtId="171" formatCode="0.000"/>
    <numFmt numFmtId="172" formatCode="R$ #,##0.00"/>
    <numFmt numFmtId="173" formatCode="0.00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FFFFFF"/>
      <sz val="9"/>
    </font>
    <font>
      <name val="Arial"/>
      <color rgb="000000FF"/>
      <sz val="10"/>
    </font>
    <font>
      <name val="Arial"/>
      <i val="1"/>
      <color rgb="007F7F7F"/>
      <sz val="9"/>
    </font>
    <font>
      <name val="Arial"/>
      <b val="1"/>
      <color rgb="001F3864"/>
    </font>
    <font>
      <name val="Arial"/>
      <b val="1"/>
      <color rgb="00C00000"/>
      <sz val="9"/>
    </font>
    <font>
      <name val="Arial"/>
      <color rgb="00000000"/>
      <sz val="9"/>
    </font>
    <font>
      <name val="Arial"/>
      <color rgb="00008000"/>
      <sz val="10"/>
    </font>
    <font>
      <name val="Arial"/>
      <b val="1"/>
      <color rgb="001F3864"/>
      <sz val="12"/>
    </font>
    <font>
      <name val="Arial"/>
      <b val="1"/>
    </font>
    <font>
      <name val="Arial"/>
      <b val="1"/>
      <color rgb="00006100"/>
    </font>
    <font>
      <name val="Arial"/>
      <color rgb="00006100"/>
      <sz val="9"/>
    </font>
    <font>
      <name val="Arial"/>
      <i val="1"/>
      <color rgb="000061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2E549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168" fontId="10" fillId="6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2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8" fontId="5" fillId="4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169" fontId="7" fillId="0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10" fillId="6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11" fillId="0" borderId="0" pivotButton="0" quotePrefix="0" xfId="0"/>
    <xf numFmtId="0" fontId="3" fillId="5" borderId="1" applyAlignment="1" pivotButton="0" quotePrefix="0" xfId="0">
      <alignment horizontal="left" vertical="center" wrapText="1"/>
    </xf>
    <xf numFmtId="3" fontId="3" fillId="5" borderId="1" applyAlignment="1" pivotButton="0" quotePrefix="0" xfId="0">
      <alignment horizontal="center" vertical="center" wrapText="1"/>
    </xf>
    <xf numFmtId="166" fontId="10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2" fontId="9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17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center" vertical="center" wrapText="1"/>
    </xf>
    <xf numFmtId="167" fontId="3" fillId="3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172" fontId="3" fillId="3" borderId="1" applyAlignment="1" pivotButton="0" quotePrefix="0" xfId="0">
      <alignment horizontal="right" vertical="center"/>
    </xf>
    <xf numFmtId="0" fontId="7" fillId="0" borderId="0" pivotButton="0" quotePrefix="0" xfId="0"/>
    <xf numFmtId="171" fontId="3" fillId="3" borderId="1" applyAlignment="1" pivotButton="0" quotePrefix="0" xfId="0">
      <alignment horizontal="right" vertical="center"/>
    </xf>
    <xf numFmtId="171" fontId="3" fillId="0" borderId="1" applyAlignment="1" pivotButton="0" quotePrefix="0" xfId="0">
      <alignment horizontal="right" vertical="center"/>
    </xf>
    <xf numFmtId="173" fontId="3" fillId="3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- Fazendas Karitel e Rio do Meio (RDM)</t>
        </is>
      </c>
    </row>
    <row r="2">
      <c r="A2" s="2" t="inlineStr">
        <is>
          <t>Ferramenta de apoio a decisao de irrigacao por pivo/parcela. Versao 2 - com dados reais importados.</t>
        </is>
      </c>
    </row>
    <row r="4" ht="42" customHeight="1">
      <c r="B4" s="3" t="inlineStr">
        <is>
          <t>OBJETIVO:  Orientar o manejo hidrico diario (quando irrigar, quanto, como executar, quando reavaliar). Programacao, disponibilidade hidraulica e custos sao modulos de apoio.</t>
        </is>
      </c>
    </row>
    <row r="5" ht="42" customHeight="1">
      <c r="B5" s="3" t="inlineStr">
        <is>
          <t>CORES:  Amarelo+azul = ENTRADA (preencher). Verde = IMPORTADO/link (nao editar). Cinza = CALCULADO. Salmao+vermelho = PENDENCIA (falta dado).</t>
        </is>
      </c>
    </row>
    <row r="6" ht="42" customHeight="1">
      <c r="B6" s="3" t="inlineStr">
        <is>
          <t>FLUXO (aba MANEJO):  1) clima/agua  2) solo/cultura  3) balanco (Dr,ARM,Ks)  4) necessidade/prazo  5) propor dentro das restricoes  6) registrar execucao  7) acompanhar recuperacao.</t>
        </is>
      </c>
    </row>
    <row r="7" ht="42" customHeight="1">
      <c r="B7" s="3" t="inlineStr">
        <is>
          <t>PARAMETROS:  Eficiencia de aplicacao=0,90 (nao 0,85). Fator hidraulico de capacidade=0,90 (independente, aplicado 1x). Meta=30 mm/sem (editavel). Tudo na aba PARAMETROS.</t>
        </is>
      </c>
    </row>
    <row r="8" ht="42" customHeight="1">
      <c r="B8" s="3" t="inlineStr">
        <is>
          <t>JA IMPORTADO (4 arquivos):  PIVOS: 108 pivos (area, vazao, potencia, modulo, casa de bomba). HIDRAULICA: 111 bombas/captacoes + 26 reservatorios. LAMINA/HORA: 110 pivos x 20 percentimetros. SOJA 26/27: 86 talhoes com data de plantio e variedade. Origem na aba FONTES.</t>
        </is>
      </c>
    </row>
    <row r="9" ht="42" customHeight="1">
      <c r="B9" s="3" t="inlineStr">
        <is>
          <t>ARMADILHA CONFERIDA:  A coluna 'Energia (kwh)' dos arquivos NAO e energia: e potencia eletrica em kW (= cv x 0,7457). Tratada como potencia, nao kWh.</t>
        </is>
      </c>
    </row>
    <row r="10" ht="42" customHeight="1">
      <c r="B10" s="3" t="inlineStr">
        <is>
          <t>AINDA PENDENTE:  Consumo especifico (kWh/m3) por pivo; manejo/consumo de algodao e milho; data real de plantio (temos a planejada); solo (CC/PMP/Ds); tarifas de energia; curvas Kc; escala sensorial (imagem). Ver PENDENCIAS.</t>
        </is>
      </c>
    </row>
    <row r="11" ht="42" customHeight="1">
      <c r="B11" s="3" t="inlineStr">
        <is>
          <t>NAO AUTOMATIZADO:  Rotina 'Gerar programacao' (distribuicao automatica) sera macro/script. A aba PROGRAMACAO ja puxa lamina e horas reais por percentimetro (INDEX/MATCH na aba LAMINA_HORA); falta so a distribuicao automatica e o custo (depende de CE/tarifa).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AE5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1" customWidth="1" min="4" max="4"/>
    <col width="11" customWidth="1" min="5" max="5"/>
    <col width="6" customWidth="1" min="6" max="6"/>
    <col width="11" customWidth="1" min="7" max="7"/>
    <col width="7" customWidth="1" min="8" max="8"/>
    <col width="10" customWidth="1" min="9" max="9"/>
    <col width="6" customWidth="1" min="10" max="10"/>
    <col width="9" customWidth="1" min="11" max="11"/>
    <col width="11" customWidth="1" min="12" max="12"/>
    <col width="8" customWidth="1" min="13" max="13"/>
    <col width="6" customWidth="1" min="14" max="14"/>
    <col width="9" customWidth="1" min="15" max="15"/>
    <col width="10" customWidth="1" min="16" max="16"/>
    <col width="10" customWidth="1" min="17" max="17"/>
    <col width="9" customWidth="1" min="18" max="18"/>
    <col width="10" customWidth="1" min="19" max="19"/>
    <col width="9" customWidth="1" min="20" max="20"/>
    <col width="6" customWidth="1" min="21" max="21"/>
    <col width="8" customWidth="1" min="22" max="22"/>
    <col width="9" customWidth="1" min="23" max="23"/>
    <col width="10" customWidth="1" min="24" max="24"/>
    <col width="11" customWidth="1" min="25" max="25"/>
    <col width="11" customWidth="1" min="26" max="26"/>
    <col width="16" customWidth="1" min="27" max="27"/>
    <col width="11" customWidth="1" min="28" max="28"/>
    <col width="32" customWidth="1" min="29" max="29"/>
    <col width="11" customWidth="1" min="30" max="30"/>
    <col width="16" customWidth="1" min="31" max="31"/>
  </cols>
  <sheetData>
    <row r="1" ht="20" customHeight="1">
      <c r="A1" s="1" t="inlineStr">
        <is>
          <t>MANEJO - estado hidrico diario e decisao por parcela (tela principal)</t>
        </is>
      </c>
    </row>
    <row r="2">
      <c r="A2" s="2" t="inlineStr">
        <is>
          <t>Parcelas ativas = soja 26/27 importada. Agronomia (Zr, CAD, p, Dr, ETo, Kc) = ENTRADA/PENDENTE; sem ela a decisao fica 'Dados insuficientes'.</t>
        </is>
      </c>
    </row>
    <row r="4" ht="28" customHeight="1">
      <c r="A4" s="4" t="inlineStr">
        <is>
          <t>Pivo/Talhao</t>
        </is>
      </c>
      <c r="B4" s="4" t="inlineStr">
        <is>
          <t>Cultura</t>
        </is>
      </c>
      <c r="C4" s="4" t="inlineStr">
        <is>
          <t>Variedade</t>
        </is>
      </c>
      <c r="D4" s="4" t="inlineStr">
        <is>
          <t>Area irrig (ha)</t>
        </is>
      </c>
      <c r="E4" s="4" t="inlineStr">
        <is>
          <t>Data plantio</t>
        </is>
      </c>
      <c r="F4" s="4" t="inlineStr">
        <is>
          <t>DAP</t>
        </is>
      </c>
      <c r="G4" s="4" t="inlineStr">
        <is>
          <t>Estadio</t>
        </is>
      </c>
      <c r="H4" s="4" t="inlineStr">
        <is>
          <t>Zr (m)</t>
        </is>
      </c>
      <c r="I4" s="4" t="inlineStr">
        <is>
          <t>CAD zona (mm)</t>
        </is>
      </c>
      <c r="J4" s="4" t="inlineStr">
        <is>
          <t>p</t>
        </is>
      </c>
      <c r="K4" s="4" t="inlineStr">
        <is>
          <t>AFD (mm)</t>
        </is>
      </c>
      <c r="L4" s="4" t="inlineStr">
        <is>
          <t>Dr inicial (mm)</t>
        </is>
      </c>
      <c r="M4" s="4" t="inlineStr">
        <is>
          <t>ETo (mm)</t>
        </is>
      </c>
      <c r="N4" s="4" t="inlineStr">
        <is>
          <t>Kc</t>
        </is>
      </c>
      <c r="O4" s="4" t="inlineStr">
        <is>
          <t>ETc (mm)</t>
        </is>
      </c>
      <c r="P4" s="4" t="inlineStr">
        <is>
          <t>Chuva ef (mm)</t>
        </is>
      </c>
      <c r="Q4" s="4" t="inlineStr">
        <is>
          <t>Irrig liq (mm)</t>
        </is>
      </c>
      <c r="R4" s="4" t="inlineStr">
        <is>
          <t>Dr final (mm)</t>
        </is>
      </c>
      <c r="S4" s="4" t="inlineStr">
        <is>
          <t>Drenagem (mm)</t>
        </is>
      </c>
      <c r="T4" s="4" t="inlineStr">
        <is>
          <t>ARM (mm)</t>
        </is>
      </c>
      <c r="U4" s="4" t="inlineStr">
        <is>
          <t>Ks</t>
        </is>
      </c>
      <c r="V4" s="4" t="inlineStr">
        <is>
          <t>ETa (mm)</t>
        </is>
      </c>
      <c r="W4" s="4" t="inlineStr">
        <is>
          <t>Alvo resid (mm)</t>
        </is>
      </c>
      <c r="X4" s="4" t="inlineStr">
        <is>
          <t>Lam liq nec (mm)</t>
        </is>
      </c>
      <c r="Y4" s="4" t="inlineStr">
        <is>
          <t>Lam bruta nec (mm)</t>
        </is>
      </c>
      <c r="Z4" s="4" t="inlineStr">
        <is>
          <t>Vol bruto (m3)</t>
        </is>
      </c>
      <c r="AA4" s="4" t="inlineStr">
        <is>
          <t>Decisao</t>
        </is>
      </c>
      <c r="AB4" s="4" t="inlineStr">
        <is>
          <t>Prioridade</t>
        </is>
      </c>
      <c r="AC4" s="4" t="inlineStr">
        <is>
          <t>Justificativa</t>
        </is>
      </c>
      <c r="AD4" s="4" t="inlineStr">
        <is>
          <t>Prox verif</t>
        </is>
      </c>
      <c r="AE4" s="4" t="inlineStr">
        <is>
          <t>Origem/obs</t>
        </is>
      </c>
    </row>
    <row r="5">
      <c r="A5" s="5" t="inlineStr">
        <is>
          <t>KAR-T66</t>
        </is>
      </c>
      <c r="B5" s="6" t="inlineStr">
        <is>
          <t>SOJA</t>
        </is>
      </c>
      <c r="C5" s="5" t="inlineStr">
        <is>
          <t>NEO 761 I2X</t>
        </is>
      </c>
      <c r="D5" s="7" t="n">
        <v>100</v>
      </c>
      <c r="E5" s="8" t="n">
        <v>46286</v>
      </c>
      <c r="F5" s="9">
        <f>IF($E5="","",DATA_REF-$E5)</f>
        <v/>
      </c>
      <c r="G5" s="10" t="n"/>
      <c r="H5" s="11" t="n"/>
      <c r="I5" s="12" t="n"/>
      <c r="J5" s="11" t="n"/>
      <c r="K5" s="13">
        <f>IF(OR($J5="",$I5=""),"",$J5*$I5)</f>
        <v/>
      </c>
      <c r="L5" s="12" t="n"/>
      <c r="M5" s="12" t="n"/>
      <c r="N5" s="11" t="n"/>
      <c r="O5" s="13">
        <f>IF(OR($N5="",$M5=""),"",$N5*$M5)</f>
        <v/>
      </c>
      <c r="P5" s="12" t="n"/>
      <c r="Q5" s="12" t="n"/>
      <c r="R5" s="13">
        <f>IF(OR($I5="",$L5="",$O5=""),"",MIN($I5,MAX(0,$L5+$O5-N($P5)-N($Q5))))</f>
        <v/>
      </c>
      <c r="S5" s="13">
        <f>IF($R5="","",MAX(0,N($P5)+N($Q5)-$O5-$L5))</f>
        <v/>
      </c>
      <c r="T5" s="13">
        <f>IF($R5="","",$I5-$R5)</f>
        <v/>
      </c>
      <c r="U5" s="14">
        <f>IF(OR($I5="",$K5="",$R5=""),"",IF($R5&lt;=$K5,1,IF($R5&gt;=$I5,0,($I5-$R5)/($I5-$K5))))</f>
        <v/>
      </c>
      <c r="V5" s="13">
        <f>IF(OR($U5="",$O5=""),"",$U5*$O5)</f>
        <v/>
      </c>
      <c r="W5" s="12" t="n">
        <v>0</v>
      </c>
      <c r="X5" s="13">
        <f>IF($R5="","",IF($R5&gt;=$K5,MAX(0,$R5-N($W5)),0))</f>
        <v/>
      </c>
      <c r="Y5" s="13">
        <f>IF($X5="","",$X5/EF_APLIC)</f>
        <v/>
      </c>
      <c r="Z5" s="15">
        <f>IF(OR($Y5="",$D5=""),"",$Y5*$D5*10)</f>
        <v/>
      </c>
      <c r="AA5" s="16">
        <f>IF($R5="","Dados insuficientes",IF($R5&gt;=$K5,"Irrigar",IF($R5&gt;=FRAC_ACOMP*$K5,"Acompanhar/Reavaliar","Nao irrigar neste momento")))</f>
        <v/>
      </c>
      <c r="AB5" s="16">
        <f>IF($R5="","-",IF($R5&gt;=$I5,"Critica",IF($R5&gt;=$K5,"Alta",IF($R5&gt;=FRAC_ACOMP*$K5,"Media","Baixa"))))</f>
        <v/>
      </c>
      <c r="AC5" s="17">
        <f>IF($R5="","Faltam solo/estado hidrico - meta provisoria apenas","Dr="&amp;TEXT($R5,"0.0")&amp;" / AFD="&amp;TEXT($K5,"0.0")&amp;" mm; "&amp;IF($R5&gt;=$K5,"atingiu o limite -&gt; repor ate alvo",IF($R5&gt;=FRAC_ACOMP*$K5,"proximo do limite","dentro do limite")))</f>
        <v/>
      </c>
      <c r="AD5" s="18" t="n"/>
      <c r="AE5" s="19" t="inlineStr">
        <is>
          <t>PENDENTE: Zr,CAD,p,Dr,ETo,Kc</t>
        </is>
      </c>
    </row>
    <row r="6">
      <c r="A6" s="5" t="inlineStr">
        <is>
          <t>KAR-T67</t>
        </is>
      </c>
      <c r="B6" s="6" t="inlineStr">
        <is>
          <t>SOJA</t>
        </is>
      </c>
      <c r="C6" s="5" t="inlineStr">
        <is>
          <t>NEO 761 I2X</t>
        </is>
      </c>
      <c r="D6" s="7" t="n">
        <v>80</v>
      </c>
      <c r="E6" s="8" t="n">
        <v>46286</v>
      </c>
      <c r="F6" s="9">
        <f>IF($E6="","",DATA_REF-$E6)</f>
        <v/>
      </c>
      <c r="G6" s="10" t="n"/>
      <c r="H6" s="11" t="n"/>
      <c r="I6" s="12" t="n"/>
      <c r="J6" s="11" t="n"/>
      <c r="K6" s="13">
        <f>IF(OR($J6="",$I6=""),"",$J6*$I6)</f>
        <v/>
      </c>
      <c r="L6" s="12" t="n"/>
      <c r="M6" s="12" t="n"/>
      <c r="N6" s="11" t="n"/>
      <c r="O6" s="13">
        <f>IF(OR($N6="",$M6=""),"",$N6*$M6)</f>
        <v/>
      </c>
      <c r="P6" s="12" t="n"/>
      <c r="Q6" s="12" t="n"/>
      <c r="R6" s="13">
        <f>IF(OR($I6="",$L6="",$O6=""),"",MIN($I6,MAX(0,$L6+$O6-N($P6)-N($Q6))))</f>
        <v/>
      </c>
      <c r="S6" s="13">
        <f>IF($R6="","",MAX(0,N($P6)+N($Q6)-$O6-$L6))</f>
        <v/>
      </c>
      <c r="T6" s="13">
        <f>IF($R6="","",$I6-$R6)</f>
        <v/>
      </c>
      <c r="U6" s="14">
        <f>IF(OR($I6="",$K6="",$R6=""),"",IF($R6&lt;=$K6,1,IF($R6&gt;=$I6,0,($I6-$R6)/($I6-$K6))))</f>
        <v/>
      </c>
      <c r="V6" s="13">
        <f>IF(OR($U6="",$O6=""),"",$U6*$O6)</f>
        <v/>
      </c>
      <c r="W6" s="12" t="n">
        <v>0</v>
      </c>
      <c r="X6" s="13">
        <f>IF($R6="","",IF($R6&gt;=$K6,MAX(0,$R6-N($W6)),0))</f>
        <v/>
      </c>
      <c r="Y6" s="13">
        <f>IF($X6="","",$X6/EF_APLIC)</f>
        <v/>
      </c>
      <c r="Z6" s="15">
        <f>IF(OR($Y6="",$D6=""),"",$Y6*$D6*10)</f>
        <v/>
      </c>
      <c r="AA6" s="16">
        <f>IF($R6="","Dados insuficientes",IF($R6&gt;=$K6,"Irrigar",IF($R6&gt;=FRAC_ACOMP*$K6,"Acompanhar/Reavaliar","Nao irrigar neste momento")))</f>
        <v/>
      </c>
      <c r="AB6" s="16">
        <f>IF($R6="","-",IF($R6&gt;=$I6,"Critica",IF($R6&gt;=$K6,"Alta",IF($R6&gt;=FRAC_ACOMP*$K6,"Media","Baixa"))))</f>
        <v/>
      </c>
      <c r="AC6" s="17">
        <f>IF($R6="","Faltam solo/estado hidrico - meta provisoria apenas","Dr="&amp;TEXT($R6,"0.0")&amp;" / AFD="&amp;TEXT($K6,"0.0")&amp;" mm; "&amp;IF($R6&gt;=$K6,"atingiu o limite -&gt; repor ate alvo",IF($R6&gt;=FRAC_ACOMP*$K6,"proximo do limite","dentro do limite")))</f>
        <v/>
      </c>
      <c r="AD6" s="18" t="n"/>
      <c r="AE6" s="19" t="inlineStr">
        <is>
          <t>PENDENTE: Zr,CAD,p,Dr,ETo,Kc</t>
        </is>
      </c>
    </row>
    <row r="7">
      <c r="A7" s="5" t="inlineStr">
        <is>
          <t>KAR-T6</t>
        </is>
      </c>
      <c r="B7" s="6" t="inlineStr">
        <is>
          <t>SOJA</t>
        </is>
      </c>
      <c r="C7" s="5" t="inlineStr">
        <is>
          <t>COMBATE IPRO</t>
        </is>
      </c>
      <c r="D7" s="7" t="n">
        <v>150</v>
      </c>
      <c r="E7" s="8" t="n">
        <v>46289</v>
      </c>
      <c r="F7" s="9">
        <f>IF($E7="","",DATA_REF-$E7)</f>
        <v/>
      </c>
      <c r="G7" s="10" t="n"/>
      <c r="H7" s="11" t="n"/>
      <c r="I7" s="12" t="n"/>
      <c r="J7" s="11" t="n"/>
      <c r="K7" s="13">
        <f>IF(OR($J7="",$I7=""),"",$J7*$I7)</f>
        <v/>
      </c>
      <c r="L7" s="12" t="n"/>
      <c r="M7" s="12" t="n"/>
      <c r="N7" s="11" t="n"/>
      <c r="O7" s="13">
        <f>IF(OR($N7="",$M7=""),"",$N7*$M7)</f>
        <v/>
      </c>
      <c r="P7" s="12" t="n"/>
      <c r="Q7" s="12" t="n"/>
      <c r="R7" s="13">
        <f>IF(OR($I7="",$L7="",$O7=""),"",MIN($I7,MAX(0,$L7+$O7-N($P7)-N($Q7))))</f>
        <v/>
      </c>
      <c r="S7" s="13">
        <f>IF($R7="","",MAX(0,N($P7)+N($Q7)-$O7-$L7))</f>
        <v/>
      </c>
      <c r="T7" s="13">
        <f>IF($R7="","",$I7-$R7)</f>
        <v/>
      </c>
      <c r="U7" s="14">
        <f>IF(OR($I7="",$K7="",$R7=""),"",IF($R7&lt;=$K7,1,IF($R7&gt;=$I7,0,($I7-$R7)/($I7-$K7))))</f>
        <v/>
      </c>
      <c r="V7" s="13">
        <f>IF(OR($U7="",$O7=""),"",$U7*$O7)</f>
        <v/>
      </c>
      <c r="W7" s="12" t="n">
        <v>0</v>
      </c>
      <c r="X7" s="13">
        <f>IF($R7="","",IF($R7&gt;=$K7,MAX(0,$R7-N($W7)),0))</f>
        <v/>
      </c>
      <c r="Y7" s="13">
        <f>IF($X7="","",$X7/EF_APLIC)</f>
        <v/>
      </c>
      <c r="Z7" s="15">
        <f>IF(OR($Y7="",$D7=""),"",$Y7*$D7*10)</f>
        <v/>
      </c>
      <c r="AA7" s="16">
        <f>IF($R7="","Dados insuficientes",IF($R7&gt;=$K7,"Irrigar",IF($R7&gt;=FRAC_ACOMP*$K7,"Acompanhar/Reavaliar","Nao irrigar neste momento")))</f>
        <v/>
      </c>
      <c r="AB7" s="16">
        <f>IF($R7="","-",IF($R7&gt;=$I7,"Critica",IF($R7&gt;=$K7,"Alta",IF($R7&gt;=FRAC_ACOMP*$K7,"Media","Baixa"))))</f>
        <v/>
      </c>
      <c r="AC7" s="17">
        <f>IF($R7="","Faltam solo/estado hidrico - meta provisoria apenas","Dr="&amp;TEXT($R7,"0.0")&amp;" / AFD="&amp;TEXT($K7,"0.0")&amp;" mm; "&amp;IF($R7&gt;=$K7,"atingiu o limite -&gt; repor ate alvo",IF($R7&gt;=FRAC_ACOMP*$K7,"proximo do limite","dentro do limite")))</f>
        <v/>
      </c>
      <c r="AD7" s="18" t="n"/>
      <c r="AE7" s="19" t="inlineStr">
        <is>
          <t>PENDENTE: Zr,CAD,p,Dr,ETo,Kc</t>
        </is>
      </c>
    </row>
    <row r="8">
      <c r="A8" s="5" t="inlineStr">
        <is>
          <t>KAR-T5</t>
        </is>
      </c>
      <c r="B8" s="6" t="inlineStr">
        <is>
          <t>SOJA</t>
        </is>
      </c>
      <c r="C8" s="5" t="inlineStr">
        <is>
          <t>COMBATE IPRO</t>
        </is>
      </c>
      <c r="D8" s="7" t="n">
        <v>150</v>
      </c>
      <c r="E8" s="8" t="n">
        <v>46289</v>
      </c>
      <c r="F8" s="9">
        <f>IF($E8="","",DATA_REF-$E8)</f>
        <v/>
      </c>
      <c r="G8" s="10" t="n"/>
      <c r="H8" s="11" t="n"/>
      <c r="I8" s="12" t="n"/>
      <c r="J8" s="11" t="n"/>
      <c r="K8" s="13">
        <f>IF(OR($J8="",$I8=""),"",$J8*$I8)</f>
        <v/>
      </c>
      <c r="L8" s="12" t="n"/>
      <c r="M8" s="12" t="n"/>
      <c r="N8" s="11" t="n"/>
      <c r="O8" s="13">
        <f>IF(OR($N8="",$M8=""),"",$N8*$M8)</f>
        <v/>
      </c>
      <c r="P8" s="12" t="n"/>
      <c r="Q8" s="12" t="n"/>
      <c r="R8" s="13">
        <f>IF(OR($I8="",$L8="",$O8=""),"",MIN($I8,MAX(0,$L8+$O8-N($P8)-N($Q8))))</f>
        <v/>
      </c>
      <c r="S8" s="13">
        <f>IF($R8="","",MAX(0,N($P8)+N($Q8)-$O8-$L8))</f>
        <v/>
      </c>
      <c r="T8" s="13">
        <f>IF($R8="","",$I8-$R8)</f>
        <v/>
      </c>
      <c r="U8" s="14">
        <f>IF(OR($I8="",$K8="",$R8=""),"",IF($R8&lt;=$K8,1,IF($R8&gt;=$I8,0,($I8-$R8)/($I8-$K8))))</f>
        <v/>
      </c>
      <c r="V8" s="13">
        <f>IF(OR($U8="",$O8=""),"",$U8*$O8)</f>
        <v/>
      </c>
      <c r="W8" s="12" t="n">
        <v>0</v>
      </c>
      <c r="X8" s="13">
        <f>IF($R8="","",IF($R8&gt;=$K8,MAX(0,$R8-N($W8)),0))</f>
        <v/>
      </c>
      <c r="Y8" s="13">
        <f>IF($X8="","",$X8/EF_APLIC)</f>
        <v/>
      </c>
      <c r="Z8" s="15">
        <f>IF(OR($Y8="",$D8=""),"",$Y8*$D8*10)</f>
        <v/>
      </c>
      <c r="AA8" s="16">
        <f>IF($R8="","Dados insuficientes",IF($R8&gt;=$K8,"Irrigar",IF($R8&gt;=FRAC_ACOMP*$K8,"Acompanhar/Reavaliar","Nao irrigar neste momento")))</f>
        <v/>
      </c>
      <c r="AB8" s="16">
        <f>IF($R8="","-",IF($R8&gt;=$I8,"Critica",IF($R8&gt;=$K8,"Alta",IF($R8&gt;=FRAC_ACOMP*$K8,"Media","Baixa"))))</f>
        <v/>
      </c>
      <c r="AC8" s="17">
        <f>IF($R8="","Faltam solo/estado hidrico - meta provisoria apenas","Dr="&amp;TEXT($R8,"0.0")&amp;" / AFD="&amp;TEXT($K8,"0.0")&amp;" mm; "&amp;IF($R8&gt;=$K8,"atingiu o limite -&gt; repor ate alvo",IF($R8&gt;=FRAC_ACOMP*$K8,"proximo do limite","dentro do limite")))</f>
        <v/>
      </c>
      <c r="AD8" s="18" t="n"/>
      <c r="AE8" s="19" t="inlineStr">
        <is>
          <t>PENDENTE: Zr,CAD,p,Dr,ETo,Kc</t>
        </is>
      </c>
    </row>
    <row r="9">
      <c r="A9" s="5" t="inlineStr">
        <is>
          <t>KAR-T2</t>
        </is>
      </c>
      <c r="B9" s="6" t="inlineStr">
        <is>
          <t>SOJA</t>
        </is>
      </c>
      <c r="C9" s="5" t="inlineStr">
        <is>
          <t>CZ 37B07 I2X</t>
        </is>
      </c>
      <c r="D9" s="7" t="n">
        <v>124</v>
      </c>
      <c r="E9" s="8" t="n">
        <v>46287</v>
      </c>
      <c r="F9" s="9">
        <f>IF($E9="","",DATA_REF-$E9)</f>
        <v/>
      </c>
      <c r="G9" s="10" t="n"/>
      <c r="H9" s="11" t="n"/>
      <c r="I9" s="12" t="n"/>
      <c r="J9" s="11" t="n"/>
      <c r="K9" s="13">
        <f>IF(OR($J9="",$I9=""),"",$J9*$I9)</f>
        <v/>
      </c>
      <c r="L9" s="12" t="n"/>
      <c r="M9" s="12" t="n"/>
      <c r="N9" s="11" t="n"/>
      <c r="O9" s="13">
        <f>IF(OR($N9="",$M9=""),"",$N9*$M9)</f>
        <v/>
      </c>
      <c r="P9" s="12" t="n"/>
      <c r="Q9" s="12" t="n"/>
      <c r="R9" s="13">
        <f>IF(OR($I9="",$L9="",$O9=""),"",MIN($I9,MAX(0,$L9+$O9-N($P9)-N($Q9))))</f>
        <v/>
      </c>
      <c r="S9" s="13">
        <f>IF($R9="","",MAX(0,N($P9)+N($Q9)-$O9-$L9))</f>
        <v/>
      </c>
      <c r="T9" s="13">
        <f>IF($R9="","",$I9-$R9)</f>
        <v/>
      </c>
      <c r="U9" s="14">
        <f>IF(OR($I9="",$K9="",$R9=""),"",IF($R9&lt;=$K9,1,IF($R9&gt;=$I9,0,($I9-$R9)/($I9-$K9))))</f>
        <v/>
      </c>
      <c r="V9" s="13">
        <f>IF(OR($U9="",$O9=""),"",$U9*$O9)</f>
        <v/>
      </c>
      <c r="W9" s="12" t="n">
        <v>0</v>
      </c>
      <c r="X9" s="13">
        <f>IF($R9="","",IF($R9&gt;=$K9,MAX(0,$R9-N($W9)),0))</f>
        <v/>
      </c>
      <c r="Y9" s="13">
        <f>IF($X9="","",$X9/EF_APLIC)</f>
        <v/>
      </c>
      <c r="Z9" s="15">
        <f>IF(OR($Y9="",$D9=""),"",$Y9*$D9*10)</f>
        <v/>
      </c>
      <c r="AA9" s="16">
        <f>IF($R9="","Dados insuficientes",IF($R9&gt;=$K9,"Irrigar",IF($R9&gt;=FRAC_ACOMP*$K9,"Acompanhar/Reavaliar","Nao irrigar neste momento")))</f>
        <v/>
      </c>
      <c r="AB9" s="16">
        <f>IF($R9="","-",IF($R9&gt;=$I9,"Critica",IF($R9&gt;=$K9,"Alta",IF($R9&gt;=FRAC_ACOMP*$K9,"Media","Baixa"))))</f>
        <v/>
      </c>
      <c r="AC9" s="17">
        <f>IF($R9="","Faltam solo/estado hidrico - meta provisoria apenas","Dr="&amp;TEXT($R9,"0.0")&amp;" / AFD="&amp;TEXT($K9,"0.0")&amp;" mm; "&amp;IF($R9&gt;=$K9,"atingiu o limite -&gt; repor ate alvo",IF($R9&gt;=FRAC_ACOMP*$K9,"proximo do limite","dentro do limite")))</f>
        <v/>
      </c>
      <c r="AD9" s="18" t="n"/>
      <c r="AE9" s="19" t="inlineStr">
        <is>
          <t>PENDENTE: Zr,CAD,p,Dr,ETo,Kc</t>
        </is>
      </c>
    </row>
    <row r="10">
      <c r="A10" s="5" t="inlineStr">
        <is>
          <t>KAR-T4</t>
        </is>
      </c>
      <c r="B10" s="6" t="inlineStr">
        <is>
          <t>SOJA</t>
        </is>
      </c>
      <c r="C10" s="5" t="inlineStr">
        <is>
          <t>COMBATE IPRO</t>
        </is>
      </c>
      <c r="D10" s="7" t="n">
        <v>63</v>
      </c>
      <c r="E10" s="8" t="n">
        <v>46288</v>
      </c>
      <c r="F10" s="9">
        <f>IF($E10="","",DATA_REF-$E10)</f>
        <v/>
      </c>
      <c r="G10" s="10" t="n"/>
      <c r="H10" s="11" t="n"/>
      <c r="I10" s="12" t="n"/>
      <c r="J10" s="11" t="n"/>
      <c r="K10" s="13">
        <f>IF(OR($J10="",$I10=""),"",$J10*$I10)</f>
        <v/>
      </c>
      <c r="L10" s="12" t="n"/>
      <c r="M10" s="12" t="n"/>
      <c r="N10" s="11" t="n"/>
      <c r="O10" s="13">
        <f>IF(OR($N10="",$M10=""),"",$N10*$M10)</f>
        <v/>
      </c>
      <c r="P10" s="12" t="n"/>
      <c r="Q10" s="12" t="n"/>
      <c r="R10" s="13">
        <f>IF(OR($I10="",$L10="",$O10=""),"",MIN($I10,MAX(0,$L10+$O10-N($P10)-N($Q10))))</f>
        <v/>
      </c>
      <c r="S10" s="13">
        <f>IF($R10="","",MAX(0,N($P10)+N($Q10)-$O10-$L10))</f>
        <v/>
      </c>
      <c r="T10" s="13">
        <f>IF($R10="","",$I10-$R10)</f>
        <v/>
      </c>
      <c r="U10" s="14">
        <f>IF(OR($I10="",$K10="",$R10=""),"",IF($R10&lt;=$K10,1,IF($R10&gt;=$I10,0,($I10-$R10)/($I10-$K10))))</f>
        <v/>
      </c>
      <c r="V10" s="13">
        <f>IF(OR($U10="",$O10=""),"",$U10*$O10)</f>
        <v/>
      </c>
      <c r="W10" s="12" t="n">
        <v>0</v>
      </c>
      <c r="X10" s="13">
        <f>IF($R10="","",IF($R10&gt;=$K10,MAX(0,$R10-N($W10)),0))</f>
        <v/>
      </c>
      <c r="Y10" s="13">
        <f>IF($X10="","",$X10/EF_APLIC)</f>
        <v/>
      </c>
      <c r="Z10" s="15">
        <f>IF(OR($Y10="",$D10=""),"",$Y10*$D10*10)</f>
        <v/>
      </c>
      <c r="AA10" s="16">
        <f>IF($R10="","Dados insuficientes",IF($R10&gt;=$K10,"Irrigar",IF($R10&gt;=FRAC_ACOMP*$K10,"Acompanhar/Reavaliar","Nao irrigar neste momento")))</f>
        <v/>
      </c>
      <c r="AB10" s="16">
        <f>IF($R10="","-",IF($R10&gt;=$I10,"Critica",IF($R10&gt;=$K10,"Alta",IF($R10&gt;=FRAC_ACOMP*$K10,"Media","Baixa"))))</f>
        <v/>
      </c>
      <c r="AC10" s="17">
        <f>IF($R10="","Faltam solo/estado hidrico - meta provisoria apenas","Dr="&amp;TEXT($R10,"0.0")&amp;" / AFD="&amp;TEXT($K10,"0.0")&amp;" mm; "&amp;IF($R10&gt;=$K10,"atingiu o limite -&gt; repor ate alvo",IF($R10&gt;=FRAC_ACOMP*$K10,"proximo do limite","dentro do limite")))</f>
        <v/>
      </c>
      <c r="AD10" s="18" t="n"/>
      <c r="AE10" s="19" t="inlineStr">
        <is>
          <t>PENDENTE: Zr,CAD,p,Dr,ETo,Kc</t>
        </is>
      </c>
    </row>
    <row r="11">
      <c r="A11" s="5" t="inlineStr">
        <is>
          <t>KAR-T68</t>
        </is>
      </c>
      <c r="B11" s="6" t="inlineStr">
        <is>
          <t>SOJA</t>
        </is>
      </c>
      <c r="C11" s="5" t="inlineStr">
        <is>
          <t>COMPLETA IPRO</t>
        </is>
      </c>
      <c r="D11" s="7" t="n">
        <v>80</v>
      </c>
      <c r="E11" s="8" t="n">
        <v>46290</v>
      </c>
      <c r="F11" s="9">
        <f>IF($E11="","",DATA_REF-$E11)</f>
        <v/>
      </c>
      <c r="G11" s="10" t="n"/>
      <c r="H11" s="11" t="n"/>
      <c r="I11" s="12" t="n"/>
      <c r="J11" s="11" t="n"/>
      <c r="K11" s="13">
        <f>IF(OR($J11="",$I11=""),"",$J11*$I11)</f>
        <v/>
      </c>
      <c r="L11" s="12" t="n"/>
      <c r="M11" s="12" t="n"/>
      <c r="N11" s="11" t="n"/>
      <c r="O11" s="13">
        <f>IF(OR($N11="",$M11=""),"",$N11*$M11)</f>
        <v/>
      </c>
      <c r="P11" s="12" t="n"/>
      <c r="Q11" s="12" t="n"/>
      <c r="R11" s="13">
        <f>IF(OR($I11="",$L11="",$O11=""),"",MIN($I11,MAX(0,$L11+$O11-N($P11)-N($Q11))))</f>
        <v/>
      </c>
      <c r="S11" s="13">
        <f>IF($R11="","",MAX(0,N($P11)+N($Q11)-$O11-$L11))</f>
        <v/>
      </c>
      <c r="T11" s="13">
        <f>IF($R11="","",$I11-$R11)</f>
        <v/>
      </c>
      <c r="U11" s="14">
        <f>IF(OR($I11="",$K11="",$R11=""),"",IF($R11&lt;=$K11,1,IF($R11&gt;=$I11,0,($I11-$R11)/($I11-$K11))))</f>
        <v/>
      </c>
      <c r="V11" s="13">
        <f>IF(OR($U11="",$O11=""),"",$U11*$O11)</f>
        <v/>
      </c>
      <c r="W11" s="12" t="n">
        <v>0</v>
      </c>
      <c r="X11" s="13">
        <f>IF($R11="","",IF($R11&gt;=$K11,MAX(0,$R11-N($W11)),0))</f>
        <v/>
      </c>
      <c r="Y11" s="13">
        <f>IF($X11="","",$X11/EF_APLIC)</f>
        <v/>
      </c>
      <c r="Z11" s="15">
        <f>IF(OR($Y11="",$D11=""),"",$Y11*$D11*10)</f>
        <v/>
      </c>
      <c r="AA11" s="16">
        <f>IF($R11="","Dados insuficientes",IF($R11&gt;=$K11,"Irrigar",IF($R11&gt;=FRAC_ACOMP*$K11,"Acompanhar/Reavaliar","Nao irrigar neste momento")))</f>
        <v/>
      </c>
      <c r="AB11" s="16">
        <f>IF($R11="","-",IF($R11&gt;=$I11,"Critica",IF($R11&gt;=$K11,"Alta",IF($R11&gt;=FRAC_ACOMP*$K11,"Media","Baixa"))))</f>
        <v/>
      </c>
      <c r="AC11" s="17">
        <f>IF($R11="","Faltam solo/estado hidrico - meta provisoria apenas","Dr="&amp;TEXT($R11,"0.0")&amp;" / AFD="&amp;TEXT($K11,"0.0")&amp;" mm; "&amp;IF($R11&gt;=$K11,"atingiu o limite -&gt; repor ate alvo",IF($R11&gt;=FRAC_ACOMP*$K11,"proximo do limite","dentro do limite")))</f>
        <v/>
      </c>
      <c r="AD11" s="18" t="n"/>
      <c r="AE11" s="19" t="inlineStr">
        <is>
          <t>PENDENTE: Zr,CAD,p,Dr,ETo,Kc</t>
        </is>
      </c>
    </row>
    <row r="12">
      <c r="A12" s="5" t="inlineStr">
        <is>
          <t>KAR-T63</t>
        </is>
      </c>
      <c r="B12" s="6" t="inlineStr">
        <is>
          <t>SOJA</t>
        </is>
      </c>
      <c r="C12" s="5" t="inlineStr">
        <is>
          <t>NEO 761 I2X</t>
        </is>
      </c>
      <c r="D12" s="7" t="n">
        <v>80</v>
      </c>
      <c r="E12" s="8" t="n">
        <v>46294</v>
      </c>
      <c r="F12" s="9">
        <f>IF($E12="","",DATA_REF-$E12)</f>
        <v/>
      </c>
      <c r="G12" s="10" t="n"/>
      <c r="H12" s="11" t="n"/>
      <c r="I12" s="12" t="n"/>
      <c r="J12" s="11" t="n"/>
      <c r="K12" s="13">
        <f>IF(OR($J12="",$I12=""),"",$J12*$I12)</f>
        <v/>
      </c>
      <c r="L12" s="12" t="n"/>
      <c r="M12" s="12" t="n"/>
      <c r="N12" s="11" t="n"/>
      <c r="O12" s="13">
        <f>IF(OR($N12="",$M12=""),"",$N12*$M12)</f>
        <v/>
      </c>
      <c r="P12" s="12" t="n"/>
      <c r="Q12" s="12" t="n"/>
      <c r="R12" s="13">
        <f>IF(OR($I12="",$L12="",$O12=""),"",MIN($I12,MAX(0,$L12+$O12-N($P12)-N($Q12))))</f>
        <v/>
      </c>
      <c r="S12" s="13">
        <f>IF($R12="","",MAX(0,N($P12)+N($Q12)-$O12-$L12))</f>
        <v/>
      </c>
      <c r="T12" s="13">
        <f>IF($R12="","",$I12-$R12)</f>
        <v/>
      </c>
      <c r="U12" s="14">
        <f>IF(OR($I12="",$K12="",$R12=""),"",IF($R12&lt;=$K12,1,IF($R12&gt;=$I12,0,($I12-$R12)/($I12-$K12))))</f>
        <v/>
      </c>
      <c r="V12" s="13">
        <f>IF(OR($U12="",$O12=""),"",$U12*$O12)</f>
        <v/>
      </c>
      <c r="W12" s="12" t="n">
        <v>0</v>
      </c>
      <c r="X12" s="13">
        <f>IF($R12="","",IF($R12&gt;=$K12,MAX(0,$R12-N($W12)),0))</f>
        <v/>
      </c>
      <c r="Y12" s="13">
        <f>IF($X12="","",$X12/EF_APLIC)</f>
        <v/>
      </c>
      <c r="Z12" s="15">
        <f>IF(OR($Y12="",$D12=""),"",$Y12*$D12*10)</f>
        <v/>
      </c>
      <c r="AA12" s="16">
        <f>IF($R12="","Dados insuficientes",IF($R12&gt;=$K12,"Irrigar",IF($R12&gt;=FRAC_ACOMP*$K12,"Acompanhar/Reavaliar","Nao irrigar neste momento")))</f>
        <v/>
      </c>
      <c r="AB12" s="16">
        <f>IF($R12="","-",IF($R12&gt;=$I12,"Critica",IF($R12&gt;=$K12,"Alta",IF($R12&gt;=FRAC_ACOMP*$K12,"Media","Baixa"))))</f>
        <v/>
      </c>
      <c r="AC12" s="17">
        <f>IF($R12="","Faltam solo/estado hidrico - meta provisoria apenas","Dr="&amp;TEXT($R12,"0.0")&amp;" / AFD="&amp;TEXT($K12,"0.0")&amp;" mm; "&amp;IF($R12&gt;=$K12,"atingiu o limite -&gt; repor ate alvo",IF($R12&gt;=FRAC_ACOMP*$K12,"proximo do limite","dentro do limite")))</f>
        <v/>
      </c>
      <c r="AD12" s="18" t="n"/>
      <c r="AE12" s="19" t="inlineStr">
        <is>
          <t>PENDENTE: Zr,CAD,p,Dr,ETo,Kc</t>
        </is>
      </c>
    </row>
    <row r="13">
      <c r="A13" s="5" t="inlineStr">
        <is>
          <t>KAR-T64</t>
        </is>
      </c>
      <c r="B13" s="6" t="inlineStr">
        <is>
          <t>SOJA</t>
        </is>
      </c>
      <c r="C13" s="5" t="inlineStr">
        <is>
          <t>NEO 761 I2X</t>
        </is>
      </c>
      <c r="D13" s="7" t="n">
        <v>80</v>
      </c>
      <c r="E13" s="8" t="n">
        <v>46295</v>
      </c>
      <c r="F13" s="9">
        <f>IF($E13="","",DATA_REF-$E13)</f>
        <v/>
      </c>
      <c r="G13" s="10" t="n"/>
      <c r="H13" s="11" t="n"/>
      <c r="I13" s="12" t="n"/>
      <c r="J13" s="11" t="n"/>
      <c r="K13" s="13">
        <f>IF(OR($J13="",$I13=""),"",$J13*$I13)</f>
        <v/>
      </c>
      <c r="L13" s="12" t="n"/>
      <c r="M13" s="12" t="n"/>
      <c r="N13" s="11" t="n"/>
      <c r="O13" s="13">
        <f>IF(OR($N13="",$M13=""),"",$N13*$M13)</f>
        <v/>
      </c>
      <c r="P13" s="12" t="n"/>
      <c r="Q13" s="12" t="n"/>
      <c r="R13" s="13">
        <f>IF(OR($I13="",$L13="",$O13=""),"",MIN($I13,MAX(0,$L13+$O13-N($P13)-N($Q13))))</f>
        <v/>
      </c>
      <c r="S13" s="13">
        <f>IF($R13="","",MAX(0,N($P13)+N($Q13)-$O13-$L13))</f>
        <v/>
      </c>
      <c r="T13" s="13">
        <f>IF($R13="","",$I13-$R13)</f>
        <v/>
      </c>
      <c r="U13" s="14">
        <f>IF(OR($I13="",$K13="",$R13=""),"",IF($R13&lt;=$K13,1,IF($R13&gt;=$I13,0,($I13-$R13)/($I13-$K13))))</f>
        <v/>
      </c>
      <c r="V13" s="13">
        <f>IF(OR($U13="",$O13=""),"",$U13*$O13)</f>
        <v/>
      </c>
      <c r="W13" s="12" t="n">
        <v>0</v>
      </c>
      <c r="X13" s="13">
        <f>IF($R13="","",IF($R13&gt;=$K13,MAX(0,$R13-N($W13)),0))</f>
        <v/>
      </c>
      <c r="Y13" s="13">
        <f>IF($X13="","",$X13/EF_APLIC)</f>
        <v/>
      </c>
      <c r="Z13" s="15">
        <f>IF(OR($Y13="",$D13=""),"",$Y13*$D13*10)</f>
        <v/>
      </c>
      <c r="AA13" s="16">
        <f>IF($R13="","Dados insuficientes",IF($R13&gt;=$K13,"Irrigar",IF($R13&gt;=FRAC_ACOMP*$K13,"Acompanhar/Reavaliar","Nao irrigar neste momento")))</f>
        <v/>
      </c>
      <c r="AB13" s="16">
        <f>IF($R13="","-",IF($R13&gt;=$I13,"Critica",IF($R13&gt;=$K13,"Alta",IF($R13&gt;=FRAC_ACOMP*$K13,"Media","Baixa"))))</f>
        <v/>
      </c>
      <c r="AC13" s="17">
        <f>IF($R13="","Faltam solo/estado hidrico - meta provisoria apenas","Dr="&amp;TEXT($R13,"0.0")&amp;" / AFD="&amp;TEXT($K13,"0.0")&amp;" mm; "&amp;IF($R13&gt;=$K13,"atingiu o limite -&gt; repor ate alvo",IF($R13&gt;=FRAC_ACOMP*$K13,"proximo do limite","dentro do limite")))</f>
        <v/>
      </c>
      <c r="AD13" s="18" t="n"/>
      <c r="AE13" s="19" t="inlineStr">
        <is>
          <t>PENDENTE: Zr,CAD,p,Dr,ETo,Kc</t>
        </is>
      </c>
    </row>
    <row r="14">
      <c r="A14" s="5" t="inlineStr">
        <is>
          <t>KAR-T65</t>
        </is>
      </c>
      <c r="B14" s="6" t="inlineStr">
        <is>
          <t>SOJA</t>
        </is>
      </c>
      <c r="C14" s="5" t="inlineStr">
        <is>
          <t>NEO 761 I2X</t>
        </is>
      </c>
      <c r="D14" s="7" t="n">
        <v>150</v>
      </c>
      <c r="E14" s="8" t="n">
        <v>46295</v>
      </c>
      <c r="F14" s="9">
        <f>IF($E14="","",DATA_REF-$E14)</f>
        <v/>
      </c>
      <c r="G14" s="10" t="n"/>
      <c r="H14" s="11" t="n"/>
      <c r="I14" s="12" t="n"/>
      <c r="J14" s="11" t="n"/>
      <c r="K14" s="13">
        <f>IF(OR($J14="",$I14=""),"",$J14*$I14)</f>
        <v/>
      </c>
      <c r="L14" s="12" t="n"/>
      <c r="M14" s="12" t="n"/>
      <c r="N14" s="11" t="n"/>
      <c r="O14" s="13">
        <f>IF(OR($N14="",$M14=""),"",$N14*$M14)</f>
        <v/>
      </c>
      <c r="P14" s="12" t="n"/>
      <c r="Q14" s="12" t="n"/>
      <c r="R14" s="13">
        <f>IF(OR($I14="",$L14="",$O14=""),"",MIN($I14,MAX(0,$L14+$O14-N($P14)-N($Q14))))</f>
        <v/>
      </c>
      <c r="S14" s="13">
        <f>IF($R14="","",MAX(0,N($P14)+N($Q14)-$O14-$L14))</f>
        <v/>
      </c>
      <c r="T14" s="13">
        <f>IF($R14="","",$I14-$R14)</f>
        <v/>
      </c>
      <c r="U14" s="14">
        <f>IF(OR($I14="",$K14="",$R14=""),"",IF($R14&lt;=$K14,1,IF($R14&gt;=$I14,0,($I14-$R14)/($I14-$K14))))</f>
        <v/>
      </c>
      <c r="V14" s="13">
        <f>IF(OR($U14="",$O14=""),"",$U14*$O14)</f>
        <v/>
      </c>
      <c r="W14" s="12" t="n">
        <v>0</v>
      </c>
      <c r="X14" s="13">
        <f>IF($R14="","",IF($R14&gt;=$K14,MAX(0,$R14-N($W14)),0))</f>
        <v/>
      </c>
      <c r="Y14" s="13">
        <f>IF($X14="","",$X14/EF_APLIC)</f>
        <v/>
      </c>
      <c r="Z14" s="15">
        <f>IF(OR($Y14="",$D14=""),"",$Y14*$D14*10)</f>
        <v/>
      </c>
      <c r="AA14" s="16">
        <f>IF($R14="","Dados insuficientes",IF($R14&gt;=$K14,"Irrigar",IF($R14&gt;=FRAC_ACOMP*$K14,"Acompanhar/Reavaliar","Nao irrigar neste momento")))</f>
        <v/>
      </c>
      <c r="AB14" s="16">
        <f>IF($R14="","-",IF($R14&gt;=$I14,"Critica",IF($R14&gt;=$K14,"Alta",IF($R14&gt;=FRAC_ACOMP*$K14,"Media","Baixa"))))</f>
        <v/>
      </c>
      <c r="AC14" s="17">
        <f>IF($R14="","Faltam solo/estado hidrico - meta provisoria apenas","Dr="&amp;TEXT($R14,"0.0")&amp;" / AFD="&amp;TEXT($K14,"0.0")&amp;" mm; "&amp;IF($R14&gt;=$K14,"atingiu o limite -&gt; repor ate alvo",IF($R14&gt;=FRAC_ACOMP*$K14,"proximo do limite","dentro do limite")))</f>
        <v/>
      </c>
      <c r="AD14" s="18" t="n"/>
      <c r="AE14" s="19" t="inlineStr">
        <is>
          <t>PENDENTE: Zr,CAD,p,Dr,ETo,Kc</t>
        </is>
      </c>
    </row>
    <row r="15">
      <c r="A15" s="5" t="inlineStr">
        <is>
          <t>RDM-T104</t>
        </is>
      </c>
      <c r="B15" s="6" t="inlineStr">
        <is>
          <t>SOJA</t>
        </is>
      </c>
      <c r="C15" s="5" t="inlineStr">
        <is>
          <t>COMBATE IPRO</t>
        </is>
      </c>
      <c r="D15" s="7" t="n">
        <v>100</v>
      </c>
      <c r="E15" s="8" t="n">
        <v>46291</v>
      </c>
      <c r="F15" s="9">
        <f>IF($E15="","",DATA_REF-$E15)</f>
        <v/>
      </c>
      <c r="G15" s="10" t="n"/>
      <c r="H15" s="11" t="n"/>
      <c r="I15" s="12" t="n"/>
      <c r="J15" s="11" t="n"/>
      <c r="K15" s="13">
        <f>IF(OR($J15="",$I15=""),"",$J15*$I15)</f>
        <v/>
      </c>
      <c r="L15" s="12" t="n"/>
      <c r="M15" s="12" t="n"/>
      <c r="N15" s="11" t="n"/>
      <c r="O15" s="13">
        <f>IF(OR($N15="",$M15=""),"",$N15*$M15)</f>
        <v/>
      </c>
      <c r="P15" s="12" t="n"/>
      <c r="Q15" s="12" t="n"/>
      <c r="R15" s="13">
        <f>IF(OR($I15="",$L15="",$O15=""),"",MIN($I15,MAX(0,$L15+$O15-N($P15)-N($Q15))))</f>
        <v/>
      </c>
      <c r="S15" s="13">
        <f>IF($R15="","",MAX(0,N($P15)+N($Q15)-$O15-$L15))</f>
        <v/>
      </c>
      <c r="T15" s="13">
        <f>IF($R15="","",$I15-$R15)</f>
        <v/>
      </c>
      <c r="U15" s="14">
        <f>IF(OR($I15="",$K15="",$R15=""),"",IF($R15&lt;=$K15,1,IF($R15&gt;=$I15,0,($I15-$R15)/($I15-$K15))))</f>
        <v/>
      </c>
      <c r="V15" s="13">
        <f>IF(OR($U15="",$O15=""),"",$U15*$O15)</f>
        <v/>
      </c>
      <c r="W15" s="12" t="n">
        <v>0</v>
      </c>
      <c r="X15" s="13">
        <f>IF($R15="","",IF($R15&gt;=$K15,MAX(0,$R15-N($W15)),0))</f>
        <v/>
      </c>
      <c r="Y15" s="13">
        <f>IF($X15="","",$X15/EF_APLIC)</f>
        <v/>
      </c>
      <c r="Z15" s="15">
        <f>IF(OR($Y15="",$D15=""),"",$Y15*$D15*10)</f>
        <v/>
      </c>
      <c r="AA15" s="16">
        <f>IF($R15="","Dados insuficientes",IF($R15&gt;=$K15,"Irrigar",IF($R15&gt;=FRAC_ACOMP*$K15,"Acompanhar/Reavaliar","Nao irrigar neste momento")))</f>
        <v/>
      </c>
      <c r="AB15" s="16">
        <f>IF($R15="","-",IF($R15&gt;=$I15,"Critica",IF($R15&gt;=$K15,"Alta",IF($R15&gt;=FRAC_ACOMP*$K15,"Media","Baixa"))))</f>
        <v/>
      </c>
      <c r="AC15" s="17">
        <f>IF($R15="","Faltam solo/estado hidrico - meta provisoria apenas","Dr="&amp;TEXT($R15,"0.0")&amp;" / AFD="&amp;TEXT($K15,"0.0")&amp;" mm; "&amp;IF($R15&gt;=$K15,"atingiu o limite -&gt; repor ate alvo",IF($R15&gt;=FRAC_ACOMP*$K15,"proximo do limite","dentro do limite")))</f>
        <v/>
      </c>
      <c r="AD15" s="18" t="n"/>
      <c r="AE15" s="19" t="inlineStr">
        <is>
          <t>PENDENTE: Zr,CAD,p,Dr,ETo,Kc</t>
        </is>
      </c>
    </row>
    <row r="16">
      <c r="A16" s="5" t="inlineStr">
        <is>
          <t>RDM-T110</t>
        </is>
      </c>
      <c r="B16" s="6" t="inlineStr">
        <is>
          <t>SOJA</t>
        </is>
      </c>
      <c r="C16" s="5" t="inlineStr">
        <is>
          <t>NEO 690 I2X</t>
        </is>
      </c>
      <c r="D16" s="7" t="n">
        <v>100</v>
      </c>
      <c r="E16" s="8" t="n">
        <v>46290</v>
      </c>
      <c r="F16" s="9">
        <f>IF($E16="","",DATA_REF-$E16)</f>
        <v/>
      </c>
      <c r="G16" s="10" t="n"/>
      <c r="H16" s="11" t="n"/>
      <c r="I16" s="12" t="n"/>
      <c r="J16" s="11" t="n"/>
      <c r="K16" s="13">
        <f>IF(OR($J16="",$I16=""),"",$J16*$I16)</f>
        <v/>
      </c>
      <c r="L16" s="12" t="n"/>
      <c r="M16" s="12" t="n"/>
      <c r="N16" s="11" t="n"/>
      <c r="O16" s="13">
        <f>IF(OR($N16="",$M16=""),"",$N16*$M16)</f>
        <v/>
      </c>
      <c r="P16" s="12" t="n"/>
      <c r="Q16" s="12" t="n"/>
      <c r="R16" s="13">
        <f>IF(OR($I16="",$L16="",$O16=""),"",MIN($I16,MAX(0,$L16+$O16-N($P16)-N($Q16))))</f>
        <v/>
      </c>
      <c r="S16" s="13">
        <f>IF($R16="","",MAX(0,N($P16)+N($Q16)-$O16-$L16))</f>
        <v/>
      </c>
      <c r="T16" s="13">
        <f>IF($R16="","",$I16-$R16)</f>
        <v/>
      </c>
      <c r="U16" s="14">
        <f>IF(OR($I16="",$K16="",$R16=""),"",IF($R16&lt;=$K16,1,IF($R16&gt;=$I16,0,($I16-$R16)/($I16-$K16))))</f>
        <v/>
      </c>
      <c r="V16" s="13">
        <f>IF(OR($U16="",$O16=""),"",$U16*$O16)</f>
        <v/>
      </c>
      <c r="W16" s="12" t="n">
        <v>0</v>
      </c>
      <c r="X16" s="13">
        <f>IF($R16="","",IF($R16&gt;=$K16,MAX(0,$R16-N($W16)),0))</f>
        <v/>
      </c>
      <c r="Y16" s="13">
        <f>IF($X16="","",$X16/EF_APLIC)</f>
        <v/>
      </c>
      <c r="Z16" s="15">
        <f>IF(OR($Y16="",$D16=""),"",$Y16*$D16*10)</f>
        <v/>
      </c>
      <c r="AA16" s="16">
        <f>IF($R16="","Dados insuficientes",IF($R16&gt;=$K16,"Irrigar",IF($R16&gt;=FRAC_ACOMP*$K16,"Acompanhar/Reavaliar","Nao irrigar neste momento")))</f>
        <v/>
      </c>
      <c r="AB16" s="16">
        <f>IF($R16="","-",IF($R16&gt;=$I16,"Critica",IF($R16&gt;=$K16,"Alta",IF($R16&gt;=FRAC_ACOMP*$K16,"Media","Baixa"))))</f>
        <v/>
      </c>
      <c r="AC16" s="17">
        <f>IF($R16="","Faltam solo/estado hidrico - meta provisoria apenas","Dr="&amp;TEXT($R16,"0.0")&amp;" / AFD="&amp;TEXT($K16,"0.0")&amp;" mm; "&amp;IF($R16&gt;=$K16,"atingiu o limite -&gt; repor ate alvo",IF($R16&gt;=FRAC_ACOMP*$K16,"proximo do limite","dentro do limite")))</f>
        <v/>
      </c>
      <c r="AD16" s="18" t="n"/>
      <c r="AE16" s="19" t="inlineStr">
        <is>
          <t>PENDENTE: Zr,CAD,p,Dr,ETo,Kc</t>
        </is>
      </c>
    </row>
    <row r="17">
      <c r="A17" s="5" t="inlineStr">
        <is>
          <t>RDM-T106</t>
        </is>
      </c>
      <c r="B17" s="6" t="inlineStr">
        <is>
          <t>SOJA</t>
        </is>
      </c>
      <c r="C17" s="5" t="inlineStr">
        <is>
          <t>NEO 761 I2X</t>
        </is>
      </c>
      <c r="D17" s="7" t="n">
        <v>100</v>
      </c>
      <c r="E17" s="8" t="n">
        <v>46291</v>
      </c>
      <c r="F17" s="9">
        <f>IF($E17="","",DATA_REF-$E17)</f>
        <v/>
      </c>
      <c r="G17" s="10" t="n"/>
      <c r="H17" s="11" t="n"/>
      <c r="I17" s="12" t="n"/>
      <c r="J17" s="11" t="n"/>
      <c r="K17" s="13">
        <f>IF(OR($J17="",$I17=""),"",$J17*$I17)</f>
        <v/>
      </c>
      <c r="L17" s="12" t="n"/>
      <c r="M17" s="12" t="n"/>
      <c r="N17" s="11" t="n"/>
      <c r="O17" s="13">
        <f>IF(OR($N17="",$M17=""),"",$N17*$M17)</f>
        <v/>
      </c>
      <c r="P17" s="12" t="n"/>
      <c r="Q17" s="12" t="n"/>
      <c r="R17" s="13">
        <f>IF(OR($I17="",$L17="",$O17=""),"",MIN($I17,MAX(0,$L17+$O17-N($P17)-N($Q17))))</f>
        <v/>
      </c>
      <c r="S17" s="13">
        <f>IF($R17="","",MAX(0,N($P17)+N($Q17)-$O17-$L17))</f>
        <v/>
      </c>
      <c r="T17" s="13">
        <f>IF($R17="","",$I17-$R17)</f>
        <v/>
      </c>
      <c r="U17" s="14">
        <f>IF(OR($I17="",$K17="",$R17=""),"",IF($R17&lt;=$K17,1,IF($R17&gt;=$I17,0,($I17-$R17)/($I17-$K17))))</f>
        <v/>
      </c>
      <c r="V17" s="13">
        <f>IF(OR($U17="",$O17=""),"",$U17*$O17)</f>
        <v/>
      </c>
      <c r="W17" s="12" t="n">
        <v>0</v>
      </c>
      <c r="X17" s="13">
        <f>IF($R17="","",IF($R17&gt;=$K17,MAX(0,$R17-N($W17)),0))</f>
        <v/>
      </c>
      <c r="Y17" s="13">
        <f>IF($X17="","",$X17/EF_APLIC)</f>
        <v/>
      </c>
      <c r="Z17" s="15">
        <f>IF(OR($Y17="",$D17=""),"",$Y17*$D17*10)</f>
        <v/>
      </c>
      <c r="AA17" s="16">
        <f>IF($R17="","Dados insuficientes",IF($R17&gt;=$K17,"Irrigar",IF($R17&gt;=FRAC_ACOMP*$K17,"Acompanhar/Reavaliar","Nao irrigar neste momento")))</f>
        <v/>
      </c>
      <c r="AB17" s="16">
        <f>IF($R17="","-",IF($R17&gt;=$I17,"Critica",IF($R17&gt;=$K17,"Alta",IF($R17&gt;=FRAC_ACOMP*$K17,"Media","Baixa"))))</f>
        <v/>
      </c>
      <c r="AC17" s="17">
        <f>IF($R17="","Faltam solo/estado hidrico - meta provisoria apenas","Dr="&amp;TEXT($R17,"0.0")&amp;" / AFD="&amp;TEXT($K17,"0.0")&amp;" mm; "&amp;IF($R17&gt;=$K17,"atingiu o limite -&gt; repor ate alvo",IF($R17&gt;=FRAC_ACOMP*$K17,"proximo do limite","dentro do limite")))</f>
        <v/>
      </c>
      <c r="AD17" s="18" t="n"/>
      <c r="AE17" s="19" t="inlineStr">
        <is>
          <t>PENDENTE: Zr,CAD,p,Dr,ETo,Kc</t>
        </is>
      </c>
    </row>
    <row r="18">
      <c r="A18" s="5" t="inlineStr">
        <is>
          <t>RDM-T105</t>
        </is>
      </c>
      <c r="B18" s="6" t="inlineStr">
        <is>
          <t>SOJA</t>
        </is>
      </c>
      <c r="C18" s="5" t="inlineStr">
        <is>
          <t>COMBATE IPRO</t>
        </is>
      </c>
      <c r="D18" s="7" t="n">
        <v>100</v>
      </c>
      <c r="E18" s="8" t="n">
        <v>46293</v>
      </c>
      <c r="F18" s="9">
        <f>IF($E18="","",DATA_REF-$E18)</f>
        <v/>
      </c>
      <c r="G18" s="10" t="n"/>
      <c r="H18" s="11" t="n"/>
      <c r="I18" s="12" t="n"/>
      <c r="J18" s="11" t="n"/>
      <c r="K18" s="13">
        <f>IF(OR($J18="",$I18=""),"",$J18*$I18)</f>
        <v/>
      </c>
      <c r="L18" s="12" t="n"/>
      <c r="M18" s="12" t="n"/>
      <c r="N18" s="11" t="n"/>
      <c r="O18" s="13">
        <f>IF(OR($N18="",$M18=""),"",$N18*$M18)</f>
        <v/>
      </c>
      <c r="P18" s="12" t="n"/>
      <c r="Q18" s="12" t="n"/>
      <c r="R18" s="13">
        <f>IF(OR($I18="",$L18="",$O18=""),"",MIN($I18,MAX(0,$L18+$O18-N($P18)-N($Q18))))</f>
        <v/>
      </c>
      <c r="S18" s="13">
        <f>IF($R18="","",MAX(0,N($P18)+N($Q18)-$O18-$L18))</f>
        <v/>
      </c>
      <c r="T18" s="13">
        <f>IF($R18="","",$I18-$R18)</f>
        <v/>
      </c>
      <c r="U18" s="14">
        <f>IF(OR($I18="",$K18="",$R18=""),"",IF($R18&lt;=$K18,1,IF($R18&gt;=$I18,0,($I18-$R18)/($I18-$K18))))</f>
        <v/>
      </c>
      <c r="V18" s="13">
        <f>IF(OR($U18="",$O18=""),"",$U18*$O18)</f>
        <v/>
      </c>
      <c r="W18" s="12" t="n">
        <v>0</v>
      </c>
      <c r="X18" s="13">
        <f>IF($R18="","",IF($R18&gt;=$K18,MAX(0,$R18-N($W18)),0))</f>
        <v/>
      </c>
      <c r="Y18" s="13">
        <f>IF($X18="","",$X18/EF_APLIC)</f>
        <v/>
      </c>
      <c r="Z18" s="15">
        <f>IF(OR($Y18="",$D18=""),"",$Y18*$D18*10)</f>
        <v/>
      </c>
      <c r="AA18" s="16">
        <f>IF($R18="","Dados insuficientes",IF($R18&gt;=$K18,"Irrigar",IF($R18&gt;=FRAC_ACOMP*$K18,"Acompanhar/Reavaliar","Nao irrigar neste momento")))</f>
        <v/>
      </c>
      <c r="AB18" s="16">
        <f>IF($R18="","-",IF($R18&gt;=$I18,"Critica",IF($R18&gt;=$K18,"Alta",IF($R18&gt;=FRAC_ACOMP*$K18,"Media","Baixa"))))</f>
        <v/>
      </c>
      <c r="AC18" s="17">
        <f>IF($R18="","Faltam solo/estado hidrico - meta provisoria apenas","Dr="&amp;TEXT($R18,"0.0")&amp;" / AFD="&amp;TEXT($K18,"0.0")&amp;" mm; "&amp;IF($R18&gt;=$K18,"atingiu o limite -&gt; repor ate alvo",IF($R18&gt;=FRAC_ACOMP*$K18,"proximo do limite","dentro do limite")))</f>
        <v/>
      </c>
      <c r="AD18" s="18" t="n"/>
      <c r="AE18" s="19" t="inlineStr">
        <is>
          <t>PENDENTE: Zr,CAD,p,Dr,ETo,Kc</t>
        </is>
      </c>
    </row>
    <row r="19">
      <c r="A19" s="5" t="inlineStr">
        <is>
          <t>RDM-T107</t>
        </is>
      </c>
      <c r="B19" s="6" t="inlineStr">
        <is>
          <t>SOJA</t>
        </is>
      </c>
      <c r="C19" s="5" t="inlineStr">
        <is>
          <t>NEO 761 I2X</t>
        </is>
      </c>
      <c r="D19" s="7" t="n">
        <v>100</v>
      </c>
      <c r="E19" s="8" t="n">
        <v>46293</v>
      </c>
      <c r="F19" s="9">
        <f>IF($E19="","",DATA_REF-$E19)</f>
        <v/>
      </c>
      <c r="G19" s="10" t="n"/>
      <c r="H19" s="11" t="n"/>
      <c r="I19" s="12" t="n"/>
      <c r="J19" s="11" t="n"/>
      <c r="K19" s="13">
        <f>IF(OR($J19="",$I19=""),"",$J19*$I19)</f>
        <v/>
      </c>
      <c r="L19" s="12" t="n"/>
      <c r="M19" s="12" t="n"/>
      <c r="N19" s="11" t="n"/>
      <c r="O19" s="13">
        <f>IF(OR($N19="",$M19=""),"",$N19*$M19)</f>
        <v/>
      </c>
      <c r="P19" s="12" t="n"/>
      <c r="Q19" s="12" t="n"/>
      <c r="R19" s="13">
        <f>IF(OR($I19="",$L19="",$O19=""),"",MIN($I19,MAX(0,$L19+$O19-N($P19)-N($Q19))))</f>
        <v/>
      </c>
      <c r="S19" s="13">
        <f>IF($R19="","",MAX(0,N($P19)+N($Q19)-$O19-$L19))</f>
        <v/>
      </c>
      <c r="T19" s="13">
        <f>IF($R19="","",$I19-$R19)</f>
        <v/>
      </c>
      <c r="U19" s="14">
        <f>IF(OR($I19="",$K19="",$R19=""),"",IF($R19&lt;=$K19,1,IF($R19&gt;=$I19,0,($I19-$R19)/($I19-$K19))))</f>
        <v/>
      </c>
      <c r="V19" s="13">
        <f>IF(OR($U19="",$O19=""),"",$U19*$O19)</f>
        <v/>
      </c>
      <c r="W19" s="12" t="n">
        <v>0</v>
      </c>
      <c r="X19" s="13">
        <f>IF($R19="","",IF($R19&gt;=$K19,MAX(0,$R19-N($W19)),0))</f>
        <v/>
      </c>
      <c r="Y19" s="13">
        <f>IF($X19="","",$X19/EF_APLIC)</f>
        <v/>
      </c>
      <c r="Z19" s="15">
        <f>IF(OR($Y19="",$D19=""),"",$Y19*$D19*10)</f>
        <v/>
      </c>
      <c r="AA19" s="16">
        <f>IF($R19="","Dados insuficientes",IF($R19&gt;=$K19,"Irrigar",IF($R19&gt;=FRAC_ACOMP*$K19,"Acompanhar/Reavaliar","Nao irrigar neste momento")))</f>
        <v/>
      </c>
      <c r="AB19" s="16">
        <f>IF($R19="","-",IF($R19&gt;=$I19,"Critica",IF($R19&gt;=$K19,"Alta",IF($R19&gt;=FRAC_ACOMP*$K19,"Media","Baixa"))))</f>
        <v/>
      </c>
      <c r="AC19" s="17">
        <f>IF($R19="","Faltam solo/estado hidrico - meta provisoria apenas","Dr="&amp;TEXT($R19,"0.0")&amp;" / AFD="&amp;TEXT($K19,"0.0")&amp;" mm; "&amp;IF($R19&gt;=$K19,"atingiu o limite -&gt; repor ate alvo",IF($R19&gt;=FRAC_ACOMP*$K19,"proximo do limite","dentro do limite")))</f>
        <v/>
      </c>
      <c r="AD19" s="18" t="n"/>
      <c r="AE19" s="19" t="inlineStr">
        <is>
          <t>PENDENTE: Zr,CAD,p,Dr,ETo,Kc</t>
        </is>
      </c>
    </row>
    <row r="20">
      <c r="A20" s="5" t="inlineStr">
        <is>
          <t>RDM-T109</t>
        </is>
      </c>
      <c r="B20" s="6" t="inlineStr">
        <is>
          <t>SOJA</t>
        </is>
      </c>
      <c r="C20" s="5" t="inlineStr">
        <is>
          <t>NEO 690 I2X</t>
        </is>
      </c>
      <c r="D20" s="7" t="n">
        <v>100</v>
      </c>
      <c r="E20" s="8" t="n">
        <v>46290</v>
      </c>
      <c r="F20" s="9">
        <f>IF($E20="","",DATA_REF-$E20)</f>
        <v/>
      </c>
      <c r="G20" s="10" t="n"/>
      <c r="H20" s="11" t="n"/>
      <c r="I20" s="12" t="n"/>
      <c r="J20" s="11" t="n"/>
      <c r="K20" s="13">
        <f>IF(OR($J20="",$I20=""),"",$J20*$I20)</f>
        <v/>
      </c>
      <c r="L20" s="12" t="n"/>
      <c r="M20" s="12" t="n"/>
      <c r="N20" s="11" t="n"/>
      <c r="O20" s="13">
        <f>IF(OR($N20="",$M20=""),"",$N20*$M20)</f>
        <v/>
      </c>
      <c r="P20" s="12" t="n"/>
      <c r="Q20" s="12" t="n"/>
      <c r="R20" s="13">
        <f>IF(OR($I20="",$L20="",$O20=""),"",MIN($I20,MAX(0,$L20+$O20-N($P20)-N($Q20))))</f>
        <v/>
      </c>
      <c r="S20" s="13">
        <f>IF($R20="","",MAX(0,N($P20)+N($Q20)-$O20-$L20))</f>
        <v/>
      </c>
      <c r="T20" s="13">
        <f>IF($R20="","",$I20-$R20)</f>
        <v/>
      </c>
      <c r="U20" s="14">
        <f>IF(OR($I20="",$K20="",$R20=""),"",IF($R20&lt;=$K20,1,IF($R20&gt;=$I20,0,($I20-$R20)/($I20-$K20))))</f>
        <v/>
      </c>
      <c r="V20" s="13">
        <f>IF(OR($U20="",$O20=""),"",$U20*$O20)</f>
        <v/>
      </c>
      <c r="W20" s="12" t="n">
        <v>0</v>
      </c>
      <c r="X20" s="13">
        <f>IF($R20="","",IF($R20&gt;=$K20,MAX(0,$R20-N($W20)),0))</f>
        <v/>
      </c>
      <c r="Y20" s="13">
        <f>IF($X20="","",$X20/EF_APLIC)</f>
        <v/>
      </c>
      <c r="Z20" s="15">
        <f>IF(OR($Y20="",$D20=""),"",$Y20*$D20*10)</f>
        <v/>
      </c>
      <c r="AA20" s="16">
        <f>IF($R20="","Dados insuficientes",IF($R20&gt;=$K20,"Irrigar",IF($R20&gt;=FRAC_ACOMP*$K20,"Acompanhar/Reavaliar","Nao irrigar neste momento")))</f>
        <v/>
      </c>
      <c r="AB20" s="16">
        <f>IF($R20="","-",IF($R20&gt;=$I20,"Critica",IF($R20&gt;=$K20,"Alta",IF($R20&gt;=FRAC_ACOMP*$K20,"Media","Baixa"))))</f>
        <v/>
      </c>
      <c r="AC20" s="17">
        <f>IF($R20="","Faltam solo/estado hidrico - meta provisoria apenas","Dr="&amp;TEXT($R20,"0.0")&amp;" / AFD="&amp;TEXT($K20,"0.0")&amp;" mm; "&amp;IF($R20&gt;=$K20,"atingiu o limite -&gt; repor ate alvo",IF($R20&gt;=FRAC_ACOMP*$K20,"proximo do limite","dentro do limite")))</f>
        <v/>
      </c>
      <c r="AD20" s="18" t="n"/>
      <c r="AE20" s="19" t="inlineStr">
        <is>
          <t>PENDENTE: Zr,CAD,p,Dr,ETo,Kc</t>
        </is>
      </c>
    </row>
    <row r="21">
      <c r="A21" s="5" t="inlineStr">
        <is>
          <t>KAR-T3</t>
        </is>
      </c>
      <c r="B21" s="6" t="inlineStr">
        <is>
          <t>SOJA</t>
        </is>
      </c>
      <c r="C21" s="5" t="inlineStr">
        <is>
          <t>COMBATE IPRO</t>
        </is>
      </c>
      <c r="D21" s="7" t="n">
        <v>150</v>
      </c>
      <c r="E21" s="8" t="n">
        <v>46288</v>
      </c>
      <c r="F21" s="9">
        <f>IF($E21="","",DATA_REF-$E21)</f>
        <v/>
      </c>
      <c r="G21" s="10" t="n"/>
      <c r="H21" s="11" t="n"/>
      <c r="I21" s="12" t="n"/>
      <c r="J21" s="11" t="n"/>
      <c r="K21" s="13">
        <f>IF(OR($J21="",$I21=""),"",$J21*$I21)</f>
        <v/>
      </c>
      <c r="L21" s="12" t="n"/>
      <c r="M21" s="12" t="n"/>
      <c r="N21" s="11" t="n"/>
      <c r="O21" s="13">
        <f>IF(OR($N21="",$M21=""),"",$N21*$M21)</f>
        <v/>
      </c>
      <c r="P21" s="12" t="n"/>
      <c r="Q21" s="12" t="n"/>
      <c r="R21" s="13">
        <f>IF(OR($I21="",$L21="",$O21=""),"",MIN($I21,MAX(0,$L21+$O21-N($P21)-N($Q21))))</f>
        <v/>
      </c>
      <c r="S21" s="13">
        <f>IF($R21="","",MAX(0,N($P21)+N($Q21)-$O21-$L21))</f>
        <v/>
      </c>
      <c r="T21" s="13">
        <f>IF($R21="","",$I21-$R21)</f>
        <v/>
      </c>
      <c r="U21" s="14">
        <f>IF(OR($I21="",$K21="",$R21=""),"",IF($R21&lt;=$K21,1,IF($R21&gt;=$I21,0,($I21-$R21)/($I21-$K21))))</f>
        <v/>
      </c>
      <c r="V21" s="13">
        <f>IF(OR($U21="",$O21=""),"",$U21*$O21)</f>
        <v/>
      </c>
      <c r="W21" s="12" t="n">
        <v>0</v>
      </c>
      <c r="X21" s="13">
        <f>IF($R21="","",IF($R21&gt;=$K21,MAX(0,$R21-N($W21)),0))</f>
        <v/>
      </c>
      <c r="Y21" s="13">
        <f>IF($X21="","",$X21/EF_APLIC)</f>
        <v/>
      </c>
      <c r="Z21" s="15">
        <f>IF(OR($Y21="",$D21=""),"",$Y21*$D21*10)</f>
        <v/>
      </c>
      <c r="AA21" s="16">
        <f>IF($R21="","Dados insuficientes",IF($R21&gt;=$K21,"Irrigar",IF($R21&gt;=FRAC_ACOMP*$K21,"Acompanhar/Reavaliar","Nao irrigar neste momento")))</f>
        <v/>
      </c>
      <c r="AB21" s="16">
        <f>IF($R21="","-",IF($R21&gt;=$I21,"Critica",IF($R21&gt;=$K21,"Alta",IF($R21&gt;=FRAC_ACOMP*$K21,"Media","Baixa"))))</f>
        <v/>
      </c>
      <c r="AC21" s="17">
        <f>IF($R21="","Faltam solo/estado hidrico - meta provisoria apenas","Dr="&amp;TEXT($R21,"0.0")&amp;" / AFD="&amp;TEXT($K21,"0.0")&amp;" mm; "&amp;IF($R21&gt;=$K21,"atingiu o limite -&gt; repor ate alvo",IF($R21&gt;=FRAC_ACOMP*$K21,"proximo do limite","dentro do limite")))</f>
        <v/>
      </c>
      <c r="AD21" s="18" t="n"/>
      <c r="AE21" s="19" t="inlineStr">
        <is>
          <t>PENDENTE: Zr,CAD,p,Dr,ETo,Kc</t>
        </is>
      </c>
    </row>
    <row r="22">
      <c r="A22" s="5" t="inlineStr">
        <is>
          <t>KAR-T72</t>
        </is>
      </c>
      <c r="B22" s="6" t="inlineStr">
        <is>
          <t>SOJA</t>
        </is>
      </c>
      <c r="C22" s="5" t="inlineStr">
        <is>
          <t>COMBATE IPRO</t>
        </is>
      </c>
      <c r="D22" s="7" t="n">
        <v>125</v>
      </c>
      <c r="E22" s="8" t="n">
        <v>46294</v>
      </c>
      <c r="F22" s="9">
        <f>IF($E22="","",DATA_REF-$E22)</f>
        <v/>
      </c>
      <c r="G22" s="10" t="n"/>
      <c r="H22" s="11" t="n"/>
      <c r="I22" s="12" t="n"/>
      <c r="J22" s="11" t="n"/>
      <c r="K22" s="13">
        <f>IF(OR($J22="",$I22=""),"",$J22*$I22)</f>
        <v/>
      </c>
      <c r="L22" s="12" t="n"/>
      <c r="M22" s="12" t="n"/>
      <c r="N22" s="11" t="n"/>
      <c r="O22" s="13">
        <f>IF(OR($N22="",$M22=""),"",$N22*$M22)</f>
        <v/>
      </c>
      <c r="P22" s="12" t="n"/>
      <c r="Q22" s="12" t="n"/>
      <c r="R22" s="13">
        <f>IF(OR($I22="",$L22="",$O22=""),"",MIN($I22,MAX(0,$L22+$O22-N($P22)-N($Q22))))</f>
        <v/>
      </c>
      <c r="S22" s="13">
        <f>IF($R22="","",MAX(0,N($P22)+N($Q22)-$O22-$L22))</f>
        <v/>
      </c>
      <c r="T22" s="13">
        <f>IF($R22="","",$I22-$R22)</f>
        <v/>
      </c>
      <c r="U22" s="14">
        <f>IF(OR($I22="",$K22="",$R22=""),"",IF($R22&lt;=$K22,1,IF($R22&gt;=$I22,0,($I22-$R22)/($I22-$K22))))</f>
        <v/>
      </c>
      <c r="V22" s="13">
        <f>IF(OR($U22="",$O22=""),"",$U22*$O22)</f>
        <v/>
      </c>
      <c r="W22" s="12" t="n">
        <v>0</v>
      </c>
      <c r="X22" s="13">
        <f>IF($R22="","",IF($R22&gt;=$K22,MAX(0,$R22-N($W22)),0))</f>
        <v/>
      </c>
      <c r="Y22" s="13">
        <f>IF($X22="","",$X22/EF_APLIC)</f>
        <v/>
      </c>
      <c r="Z22" s="15">
        <f>IF(OR($Y22="",$D22=""),"",$Y22*$D22*10)</f>
        <v/>
      </c>
      <c r="AA22" s="16">
        <f>IF($R22="","Dados insuficientes",IF($R22&gt;=$K22,"Irrigar",IF($R22&gt;=FRAC_ACOMP*$K22,"Acompanhar/Reavaliar","Nao irrigar neste momento")))</f>
        <v/>
      </c>
      <c r="AB22" s="16">
        <f>IF($R22="","-",IF($R22&gt;=$I22,"Critica",IF($R22&gt;=$K22,"Alta",IF($R22&gt;=FRAC_ACOMP*$K22,"Media","Baixa"))))</f>
        <v/>
      </c>
      <c r="AC22" s="17">
        <f>IF($R22="","Faltam solo/estado hidrico - meta provisoria apenas","Dr="&amp;TEXT($R22,"0.0")&amp;" / AFD="&amp;TEXT($K22,"0.0")&amp;" mm; "&amp;IF($R22&gt;=$K22,"atingiu o limite -&gt; repor ate alvo",IF($R22&gt;=FRAC_ACOMP*$K22,"proximo do limite","dentro do limite")))</f>
        <v/>
      </c>
      <c r="AD22" s="18" t="n"/>
      <c r="AE22" s="19" t="inlineStr">
        <is>
          <t>PENDENTE: Zr,CAD,p,Dr,ETo,Kc</t>
        </is>
      </c>
    </row>
    <row r="23">
      <c r="A23" s="5" t="inlineStr">
        <is>
          <t>KAR-T44</t>
        </is>
      </c>
      <c r="B23" s="6" t="inlineStr">
        <is>
          <t>SOJA</t>
        </is>
      </c>
      <c r="C23" s="5" t="inlineStr">
        <is>
          <t>NEO 761 I2X</t>
        </is>
      </c>
      <c r="D23" s="7" t="n">
        <v>75</v>
      </c>
      <c r="E23" s="8" t="n">
        <v>46296</v>
      </c>
      <c r="F23" s="9">
        <f>IF($E23="","",DATA_REF-$E23)</f>
        <v/>
      </c>
      <c r="G23" s="10" t="n"/>
      <c r="H23" s="11" t="n"/>
      <c r="I23" s="12" t="n"/>
      <c r="J23" s="11" t="n"/>
      <c r="K23" s="13">
        <f>IF(OR($J23="",$I23=""),"",$J23*$I23)</f>
        <v/>
      </c>
      <c r="L23" s="12" t="n"/>
      <c r="M23" s="12" t="n"/>
      <c r="N23" s="11" t="n"/>
      <c r="O23" s="13">
        <f>IF(OR($N23="",$M23=""),"",$N23*$M23)</f>
        <v/>
      </c>
      <c r="P23" s="12" t="n"/>
      <c r="Q23" s="12" t="n"/>
      <c r="R23" s="13">
        <f>IF(OR($I23="",$L23="",$O23=""),"",MIN($I23,MAX(0,$L23+$O23-N($P23)-N($Q23))))</f>
        <v/>
      </c>
      <c r="S23" s="13">
        <f>IF($R23="","",MAX(0,N($P23)+N($Q23)-$O23-$L23))</f>
        <v/>
      </c>
      <c r="T23" s="13">
        <f>IF($R23="","",$I23-$R23)</f>
        <v/>
      </c>
      <c r="U23" s="14">
        <f>IF(OR($I23="",$K23="",$R23=""),"",IF($R23&lt;=$K23,1,IF($R23&gt;=$I23,0,($I23-$R23)/($I23-$K23))))</f>
        <v/>
      </c>
      <c r="V23" s="13">
        <f>IF(OR($U23="",$O23=""),"",$U23*$O23)</f>
        <v/>
      </c>
      <c r="W23" s="12" t="n">
        <v>0</v>
      </c>
      <c r="X23" s="13">
        <f>IF($R23="","",IF($R23&gt;=$K23,MAX(0,$R23-N($W23)),0))</f>
        <v/>
      </c>
      <c r="Y23" s="13">
        <f>IF($X23="","",$X23/EF_APLIC)</f>
        <v/>
      </c>
      <c r="Z23" s="15">
        <f>IF(OR($Y23="",$D23=""),"",$Y23*$D23*10)</f>
        <v/>
      </c>
      <c r="AA23" s="16">
        <f>IF($R23="","Dados insuficientes",IF($R23&gt;=$K23,"Irrigar",IF($R23&gt;=FRAC_ACOMP*$K23,"Acompanhar/Reavaliar","Nao irrigar neste momento")))</f>
        <v/>
      </c>
      <c r="AB23" s="16">
        <f>IF($R23="","-",IF($R23&gt;=$I23,"Critica",IF($R23&gt;=$K23,"Alta",IF($R23&gt;=FRAC_ACOMP*$K23,"Media","Baixa"))))</f>
        <v/>
      </c>
      <c r="AC23" s="17">
        <f>IF($R23="","Faltam solo/estado hidrico - meta provisoria apenas","Dr="&amp;TEXT($R23,"0.0")&amp;" / AFD="&amp;TEXT($K23,"0.0")&amp;" mm; "&amp;IF($R23&gt;=$K23,"atingiu o limite -&gt; repor ate alvo",IF($R23&gt;=FRAC_ACOMP*$K23,"proximo do limite","dentro do limite")))</f>
        <v/>
      </c>
      <c r="AD23" s="18" t="n"/>
      <c r="AE23" s="19" t="inlineStr">
        <is>
          <t>PENDENTE: Zr,CAD,p,Dr,ETo,Kc</t>
        </is>
      </c>
    </row>
    <row r="24">
      <c r="A24" s="5" t="inlineStr">
        <is>
          <t>KAR-T73</t>
        </is>
      </c>
      <c r="B24" s="6" t="inlineStr">
        <is>
          <t>SOJA</t>
        </is>
      </c>
      <c r="C24" s="5" t="inlineStr">
        <is>
          <t>ATAQUE I2X</t>
        </is>
      </c>
      <c r="D24" s="7" t="n">
        <v>160</v>
      </c>
      <c r="E24" s="8" t="n">
        <v>46296</v>
      </c>
      <c r="F24" s="9">
        <f>IF($E24="","",DATA_REF-$E24)</f>
        <v/>
      </c>
      <c r="G24" s="10" t="n"/>
      <c r="H24" s="11" t="n"/>
      <c r="I24" s="12" t="n"/>
      <c r="J24" s="11" t="n"/>
      <c r="K24" s="13">
        <f>IF(OR($J24="",$I24=""),"",$J24*$I24)</f>
        <v/>
      </c>
      <c r="L24" s="12" t="n"/>
      <c r="M24" s="12" t="n"/>
      <c r="N24" s="11" t="n"/>
      <c r="O24" s="13">
        <f>IF(OR($N24="",$M24=""),"",$N24*$M24)</f>
        <v/>
      </c>
      <c r="P24" s="12" t="n"/>
      <c r="Q24" s="12" t="n"/>
      <c r="R24" s="13">
        <f>IF(OR($I24="",$L24="",$O24=""),"",MIN($I24,MAX(0,$L24+$O24-N($P24)-N($Q24))))</f>
        <v/>
      </c>
      <c r="S24" s="13">
        <f>IF($R24="","",MAX(0,N($P24)+N($Q24)-$O24-$L24))</f>
        <v/>
      </c>
      <c r="T24" s="13">
        <f>IF($R24="","",$I24-$R24)</f>
        <v/>
      </c>
      <c r="U24" s="14">
        <f>IF(OR($I24="",$K24="",$R24=""),"",IF($R24&lt;=$K24,1,IF($R24&gt;=$I24,0,($I24-$R24)/($I24-$K24))))</f>
        <v/>
      </c>
      <c r="V24" s="13">
        <f>IF(OR($U24="",$O24=""),"",$U24*$O24)</f>
        <v/>
      </c>
      <c r="W24" s="12" t="n">
        <v>0</v>
      </c>
      <c r="X24" s="13">
        <f>IF($R24="","",IF($R24&gt;=$K24,MAX(0,$R24-N($W24)),0))</f>
        <v/>
      </c>
      <c r="Y24" s="13">
        <f>IF($X24="","",$X24/EF_APLIC)</f>
        <v/>
      </c>
      <c r="Z24" s="15">
        <f>IF(OR($Y24="",$D24=""),"",$Y24*$D24*10)</f>
        <v/>
      </c>
      <c r="AA24" s="16">
        <f>IF($R24="","Dados insuficientes",IF($R24&gt;=$K24,"Irrigar",IF($R24&gt;=FRAC_ACOMP*$K24,"Acompanhar/Reavaliar","Nao irrigar neste momento")))</f>
        <v/>
      </c>
      <c r="AB24" s="16">
        <f>IF($R24="","-",IF($R24&gt;=$I24,"Critica",IF($R24&gt;=$K24,"Alta",IF($R24&gt;=FRAC_ACOMP*$K24,"Media","Baixa"))))</f>
        <v/>
      </c>
      <c r="AC24" s="17">
        <f>IF($R24="","Faltam solo/estado hidrico - meta provisoria apenas","Dr="&amp;TEXT($R24,"0.0")&amp;" / AFD="&amp;TEXT($K24,"0.0")&amp;" mm; "&amp;IF($R24&gt;=$K24,"atingiu o limite -&gt; repor ate alvo",IF($R24&gt;=FRAC_ACOMP*$K24,"proximo do limite","dentro do limite")))</f>
        <v/>
      </c>
      <c r="AD24" s="18" t="n"/>
      <c r="AE24" s="19" t="inlineStr">
        <is>
          <t>PENDENTE: Zr,CAD,p,Dr,ETo,Kc</t>
        </is>
      </c>
    </row>
    <row r="25">
      <c r="A25" s="5" t="inlineStr">
        <is>
          <t>KAR-T15</t>
        </is>
      </c>
      <c r="B25" s="6" t="inlineStr">
        <is>
          <t>SOJA</t>
        </is>
      </c>
      <c r="C25" s="5" t="inlineStr">
        <is>
          <t>CZ 37B07 I2X</t>
        </is>
      </c>
      <c r="D25" s="7" t="n">
        <v>150</v>
      </c>
      <c r="E25" s="8" t="n">
        <v>46297</v>
      </c>
      <c r="F25" s="9">
        <f>IF($E25="","",DATA_REF-$E25)</f>
        <v/>
      </c>
      <c r="G25" s="10" t="n"/>
      <c r="H25" s="11" t="n"/>
      <c r="I25" s="12" t="n"/>
      <c r="J25" s="11" t="n"/>
      <c r="K25" s="13">
        <f>IF(OR($J25="",$I25=""),"",$J25*$I25)</f>
        <v/>
      </c>
      <c r="L25" s="12" t="n"/>
      <c r="M25" s="12" t="n"/>
      <c r="N25" s="11" t="n"/>
      <c r="O25" s="13">
        <f>IF(OR($N25="",$M25=""),"",$N25*$M25)</f>
        <v/>
      </c>
      <c r="P25" s="12" t="n"/>
      <c r="Q25" s="12" t="n"/>
      <c r="R25" s="13">
        <f>IF(OR($I25="",$L25="",$O25=""),"",MIN($I25,MAX(0,$L25+$O25-N($P25)-N($Q25))))</f>
        <v/>
      </c>
      <c r="S25" s="13">
        <f>IF($R25="","",MAX(0,N($P25)+N($Q25)-$O25-$L25))</f>
        <v/>
      </c>
      <c r="T25" s="13">
        <f>IF($R25="","",$I25-$R25)</f>
        <v/>
      </c>
      <c r="U25" s="14">
        <f>IF(OR($I25="",$K25="",$R25=""),"",IF($R25&lt;=$K25,1,IF($R25&gt;=$I25,0,($I25-$R25)/($I25-$K25))))</f>
        <v/>
      </c>
      <c r="V25" s="13">
        <f>IF(OR($U25="",$O25=""),"",$U25*$O25)</f>
        <v/>
      </c>
      <c r="W25" s="12" t="n">
        <v>0</v>
      </c>
      <c r="X25" s="13">
        <f>IF($R25="","",IF($R25&gt;=$K25,MAX(0,$R25-N($W25)),0))</f>
        <v/>
      </c>
      <c r="Y25" s="13">
        <f>IF($X25="","",$X25/EF_APLIC)</f>
        <v/>
      </c>
      <c r="Z25" s="15">
        <f>IF(OR($Y25="",$D25=""),"",$Y25*$D25*10)</f>
        <v/>
      </c>
      <c r="AA25" s="16">
        <f>IF($R25="","Dados insuficientes",IF($R25&gt;=$K25,"Irrigar",IF($R25&gt;=FRAC_ACOMP*$K25,"Acompanhar/Reavaliar","Nao irrigar neste momento")))</f>
        <v/>
      </c>
      <c r="AB25" s="16">
        <f>IF($R25="","-",IF($R25&gt;=$I25,"Critica",IF($R25&gt;=$K25,"Alta",IF($R25&gt;=FRAC_ACOMP*$K25,"Media","Baixa"))))</f>
        <v/>
      </c>
      <c r="AC25" s="17">
        <f>IF($R25="","Faltam solo/estado hidrico - meta provisoria apenas","Dr="&amp;TEXT($R25,"0.0")&amp;" / AFD="&amp;TEXT($K25,"0.0")&amp;" mm; "&amp;IF($R25&gt;=$K25,"atingiu o limite -&gt; repor ate alvo",IF($R25&gt;=FRAC_ACOMP*$K25,"proximo do limite","dentro do limite")))</f>
        <v/>
      </c>
      <c r="AD25" s="18" t="n"/>
      <c r="AE25" s="19" t="inlineStr">
        <is>
          <t>PENDENTE: Zr,CAD,p,Dr,ETo,Kc</t>
        </is>
      </c>
    </row>
    <row r="26">
      <c r="A26" s="5" t="inlineStr">
        <is>
          <t>KAR-T17</t>
        </is>
      </c>
      <c r="B26" s="6" t="inlineStr">
        <is>
          <t>SOJA</t>
        </is>
      </c>
      <c r="C26" s="5" t="inlineStr">
        <is>
          <t>CZ 37B07 I2X</t>
        </is>
      </c>
      <c r="D26" s="7" t="n">
        <v>150</v>
      </c>
      <c r="E26" s="8" t="n">
        <v>46297</v>
      </c>
      <c r="F26" s="9">
        <f>IF($E26="","",DATA_REF-$E26)</f>
        <v/>
      </c>
      <c r="G26" s="10" t="n"/>
      <c r="H26" s="11" t="n"/>
      <c r="I26" s="12" t="n"/>
      <c r="J26" s="11" t="n"/>
      <c r="K26" s="13">
        <f>IF(OR($J26="",$I26=""),"",$J26*$I26)</f>
        <v/>
      </c>
      <c r="L26" s="12" t="n"/>
      <c r="M26" s="12" t="n"/>
      <c r="N26" s="11" t="n"/>
      <c r="O26" s="13">
        <f>IF(OR($N26="",$M26=""),"",$N26*$M26)</f>
        <v/>
      </c>
      <c r="P26" s="12" t="n"/>
      <c r="Q26" s="12" t="n"/>
      <c r="R26" s="13">
        <f>IF(OR($I26="",$L26="",$O26=""),"",MIN($I26,MAX(0,$L26+$O26-N($P26)-N($Q26))))</f>
        <v/>
      </c>
      <c r="S26" s="13">
        <f>IF($R26="","",MAX(0,N($P26)+N($Q26)-$O26-$L26))</f>
        <v/>
      </c>
      <c r="T26" s="13">
        <f>IF($R26="","",$I26-$R26)</f>
        <v/>
      </c>
      <c r="U26" s="14">
        <f>IF(OR($I26="",$K26="",$R26=""),"",IF($R26&lt;=$K26,1,IF($R26&gt;=$I26,0,($I26-$R26)/($I26-$K26))))</f>
        <v/>
      </c>
      <c r="V26" s="13">
        <f>IF(OR($U26="",$O26=""),"",$U26*$O26)</f>
        <v/>
      </c>
      <c r="W26" s="12" t="n">
        <v>0</v>
      </c>
      <c r="X26" s="13">
        <f>IF($R26="","",IF($R26&gt;=$K26,MAX(0,$R26-N($W26)),0))</f>
        <v/>
      </c>
      <c r="Y26" s="13">
        <f>IF($X26="","",$X26/EF_APLIC)</f>
        <v/>
      </c>
      <c r="Z26" s="15">
        <f>IF(OR($Y26="",$D26=""),"",$Y26*$D26*10)</f>
        <v/>
      </c>
      <c r="AA26" s="16">
        <f>IF($R26="","Dados insuficientes",IF($R26&gt;=$K26,"Irrigar",IF($R26&gt;=FRAC_ACOMP*$K26,"Acompanhar/Reavaliar","Nao irrigar neste momento")))</f>
        <v/>
      </c>
      <c r="AB26" s="16">
        <f>IF($R26="","-",IF($R26&gt;=$I26,"Critica",IF($R26&gt;=$K26,"Alta",IF($R26&gt;=FRAC_ACOMP*$K26,"Media","Baixa"))))</f>
        <v/>
      </c>
      <c r="AC26" s="17">
        <f>IF($R26="","Faltam solo/estado hidrico - meta provisoria apenas","Dr="&amp;TEXT($R26,"0.0")&amp;" / AFD="&amp;TEXT($K26,"0.0")&amp;" mm; "&amp;IF($R26&gt;=$K26,"atingiu o limite -&gt; repor ate alvo",IF($R26&gt;=FRAC_ACOMP*$K26,"proximo do limite","dentro do limite")))</f>
        <v/>
      </c>
      <c r="AD26" s="18" t="n"/>
      <c r="AE26" s="19" t="inlineStr">
        <is>
          <t>PENDENTE: Zr,CAD,p,Dr,ETo,Kc</t>
        </is>
      </c>
    </row>
    <row r="27">
      <c r="A27" s="5" t="inlineStr">
        <is>
          <t>KAR-T19</t>
        </is>
      </c>
      <c r="B27" s="6" t="inlineStr">
        <is>
          <t>SOJA</t>
        </is>
      </c>
      <c r="C27" s="5" t="inlineStr">
        <is>
          <t>NEO 761 I2X</t>
        </is>
      </c>
      <c r="D27" s="7" t="n">
        <v>150</v>
      </c>
      <c r="E27" s="8" t="n">
        <v>46298</v>
      </c>
      <c r="F27" s="9">
        <f>IF($E27="","",DATA_REF-$E27)</f>
        <v/>
      </c>
      <c r="G27" s="10" t="n"/>
      <c r="H27" s="11" t="n"/>
      <c r="I27" s="12" t="n"/>
      <c r="J27" s="11" t="n"/>
      <c r="K27" s="13">
        <f>IF(OR($J27="",$I27=""),"",$J27*$I27)</f>
        <v/>
      </c>
      <c r="L27" s="12" t="n"/>
      <c r="M27" s="12" t="n"/>
      <c r="N27" s="11" t="n"/>
      <c r="O27" s="13">
        <f>IF(OR($N27="",$M27=""),"",$N27*$M27)</f>
        <v/>
      </c>
      <c r="P27" s="12" t="n"/>
      <c r="Q27" s="12" t="n"/>
      <c r="R27" s="13">
        <f>IF(OR($I27="",$L27="",$O27=""),"",MIN($I27,MAX(0,$L27+$O27-N($P27)-N($Q27))))</f>
        <v/>
      </c>
      <c r="S27" s="13">
        <f>IF($R27="","",MAX(0,N($P27)+N($Q27)-$O27-$L27))</f>
        <v/>
      </c>
      <c r="T27" s="13">
        <f>IF($R27="","",$I27-$R27)</f>
        <v/>
      </c>
      <c r="U27" s="14">
        <f>IF(OR($I27="",$K27="",$R27=""),"",IF($R27&lt;=$K27,1,IF($R27&gt;=$I27,0,($I27-$R27)/($I27-$K27))))</f>
        <v/>
      </c>
      <c r="V27" s="13">
        <f>IF(OR($U27="",$O27=""),"",$U27*$O27)</f>
        <v/>
      </c>
      <c r="W27" s="12" t="n">
        <v>0</v>
      </c>
      <c r="X27" s="13">
        <f>IF($R27="","",IF($R27&gt;=$K27,MAX(0,$R27-N($W27)),0))</f>
        <v/>
      </c>
      <c r="Y27" s="13">
        <f>IF($X27="","",$X27/EF_APLIC)</f>
        <v/>
      </c>
      <c r="Z27" s="15">
        <f>IF(OR($Y27="",$D27=""),"",$Y27*$D27*10)</f>
        <v/>
      </c>
      <c r="AA27" s="16">
        <f>IF($R27="","Dados insuficientes",IF($R27&gt;=$K27,"Irrigar",IF($R27&gt;=FRAC_ACOMP*$K27,"Acompanhar/Reavaliar","Nao irrigar neste momento")))</f>
        <v/>
      </c>
      <c r="AB27" s="16">
        <f>IF($R27="","-",IF($R27&gt;=$I27,"Critica",IF($R27&gt;=$K27,"Alta",IF($R27&gt;=FRAC_ACOMP*$K27,"Media","Baixa"))))</f>
        <v/>
      </c>
      <c r="AC27" s="17">
        <f>IF($R27="","Faltam solo/estado hidrico - meta provisoria apenas","Dr="&amp;TEXT($R27,"0.0")&amp;" / AFD="&amp;TEXT($K27,"0.0")&amp;" mm; "&amp;IF($R27&gt;=$K27,"atingiu o limite -&gt; repor ate alvo",IF($R27&gt;=FRAC_ACOMP*$K27,"proximo do limite","dentro do limite")))</f>
        <v/>
      </c>
      <c r="AD27" s="18" t="n"/>
      <c r="AE27" s="19" t="inlineStr">
        <is>
          <t>PENDENTE: Zr,CAD,p,Dr,ETo,Kc</t>
        </is>
      </c>
    </row>
    <row r="28">
      <c r="A28" s="5" t="inlineStr">
        <is>
          <t>KAR-T21</t>
        </is>
      </c>
      <c r="B28" s="6" t="inlineStr">
        <is>
          <t>SOJA</t>
        </is>
      </c>
      <c r="C28" s="5" t="inlineStr">
        <is>
          <t>NEO 761 I2X</t>
        </is>
      </c>
      <c r="D28" s="7" t="n">
        <v>150</v>
      </c>
      <c r="E28" s="8" t="n">
        <v>46298</v>
      </c>
      <c r="F28" s="9">
        <f>IF($E28="","",DATA_REF-$E28)</f>
        <v/>
      </c>
      <c r="G28" s="10" t="n"/>
      <c r="H28" s="11" t="n"/>
      <c r="I28" s="12" t="n"/>
      <c r="J28" s="11" t="n"/>
      <c r="K28" s="13">
        <f>IF(OR($J28="",$I28=""),"",$J28*$I28)</f>
        <v/>
      </c>
      <c r="L28" s="12" t="n"/>
      <c r="M28" s="12" t="n"/>
      <c r="N28" s="11" t="n"/>
      <c r="O28" s="13">
        <f>IF(OR($N28="",$M28=""),"",$N28*$M28)</f>
        <v/>
      </c>
      <c r="P28" s="12" t="n"/>
      <c r="Q28" s="12" t="n"/>
      <c r="R28" s="13">
        <f>IF(OR($I28="",$L28="",$O28=""),"",MIN($I28,MAX(0,$L28+$O28-N($P28)-N($Q28))))</f>
        <v/>
      </c>
      <c r="S28" s="13">
        <f>IF($R28="","",MAX(0,N($P28)+N($Q28)-$O28-$L28))</f>
        <v/>
      </c>
      <c r="T28" s="13">
        <f>IF($R28="","",$I28-$R28)</f>
        <v/>
      </c>
      <c r="U28" s="14">
        <f>IF(OR($I28="",$K28="",$R28=""),"",IF($R28&lt;=$K28,1,IF($R28&gt;=$I28,0,($I28-$R28)/($I28-$K28))))</f>
        <v/>
      </c>
      <c r="V28" s="13">
        <f>IF(OR($U28="",$O28=""),"",$U28*$O28)</f>
        <v/>
      </c>
      <c r="W28" s="12" t="n">
        <v>0</v>
      </c>
      <c r="X28" s="13">
        <f>IF($R28="","",IF($R28&gt;=$K28,MAX(0,$R28-N($W28)),0))</f>
        <v/>
      </c>
      <c r="Y28" s="13">
        <f>IF($X28="","",$X28/EF_APLIC)</f>
        <v/>
      </c>
      <c r="Z28" s="15">
        <f>IF(OR($Y28="",$D28=""),"",$Y28*$D28*10)</f>
        <v/>
      </c>
      <c r="AA28" s="16">
        <f>IF($R28="","Dados insuficientes",IF($R28&gt;=$K28,"Irrigar",IF($R28&gt;=FRAC_ACOMP*$K28,"Acompanhar/Reavaliar","Nao irrigar neste momento")))</f>
        <v/>
      </c>
      <c r="AB28" s="16">
        <f>IF($R28="","-",IF($R28&gt;=$I28,"Critica",IF($R28&gt;=$K28,"Alta",IF($R28&gt;=FRAC_ACOMP*$K28,"Media","Baixa"))))</f>
        <v/>
      </c>
      <c r="AC28" s="17">
        <f>IF($R28="","Faltam solo/estado hidrico - meta provisoria apenas","Dr="&amp;TEXT($R28,"0.0")&amp;" / AFD="&amp;TEXT($K28,"0.0")&amp;" mm; "&amp;IF($R28&gt;=$K28,"atingiu o limite -&gt; repor ate alvo",IF($R28&gt;=FRAC_ACOMP*$K28,"proximo do limite","dentro do limite")))</f>
        <v/>
      </c>
      <c r="AD28" s="18" t="n"/>
      <c r="AE28" s="19" t="inlineStr">
        <is>
          <t>PENDENTE: Zr,CAD,p,Dr,ETo,Kc</t>
        </is>
      </c>
    </row>
    <row r="29">
      <c r="A29" s="5" t="inlineStr">
        <is>
          <t>KAR-T20</t>
        </is>
      </c>
      <c r="B29" s="6" t="inlineStr">
        <is>
          <t>SOJA</t>
        </is>
      </c>
      <c r="C29" s="5" t="inlineStr">
        <is>
          <t>NEO 761 I2X</t>
        </is>
      </c>
      <c r="D29" s="7" t="n">
        <v>150</v>
      </c>
      <c r="E29" s="8" t="n">
        <v>46299</v>
      </c>
      <c r="F29" s="9">
        <f>IF($E29="","",DATA_REF-$E29)</f>
        <v/>
      </c>
      <c r="G29" s="10" t="n"/>
      <c r="H29" s="11" t="n"/>
      <c r="I29" s="12" t="n"/>
      <c r="J29" s="11" t="n"/>
      <c r="K29" s="13">
        <f>IF(OR($J29="",$I29=""),"",$J29*$I29)</f>
        <v/>
      </c>
      <c r="L29" s="12" t="n"/>
      <c r="M29" s="12" t="n"/>
      <c r="N29" s="11" t="n"/>
      <c r="O29" s="13">
        <f>IF(OR($N29="",$M29=""),"",$N29*$M29)</f>
        <v/>
      </c>
      <c r="P29" s="12" t="n"/>
      <c r="Q29" s="12" t="n"/>
      <c r="R29" s="13">
        <f>IF(OR($I29="",$L29="",$O29=""),"",MIN($I29,MAX(0,$L29+$O29-N($P29)-N($Q29))))</f>
        <v/>
      </c>
      <c r="S29" s="13">
        <f>IF($R29="","",MAX(0,N($P29)+N($Q29)-$O29-$L29))</f>
        <v/>
      </c>
      <c r="T29" s="13">
        <f>IF($R29="","",$I29-$R29)</f>
        <v/>
      </c>
      <c r="U29" s="14">
        <f>IF(OR($I29="",$K29="",$R29=""),"",IF($R29&lt;=$K29,1,IF($R29&gt;=$I29,0,($I29-$R29)/($I29-$K29))))</f>
        <v/>
      </c>
      <c r="V29" s="13">
        <f>IF(OR($U29="",$O29=""),"",$U29*$O29)</f>
        <v/>
      </c>
      <c r="W29" s="12" t="n">
        <v>0</v>
      </c>
      <c r="X29" s="13">
        <f>IF($R29="","",IF($R29&gt;=$K29,MAX(0,$R29-N($W29)),0))</f>
        <v/>
      </c>
      <c r="Y29" s="13">
        <f>IF($X29="","",$X29/EF_APLIC)</f>
        <v/>
      </c>
      <c r="Z29" s="15">
        <f>IF(OR($Y29="",$D29=""),"",$Y29*$D29*10)</f>
        <v/>
      </c>
      <c r="AA29" s="16">
        <f>IF($R29="","Dados insuficientes",IF($R29&gt;=$K29,"Irrigar",IF($R29&gt;=FRAC_ACOMP*$K29,"Acompanhar/Reavaliar","Nao irrigar neste momento")))</f>
        <v/>
      </c>
      <c r="AB29" s="16">
        <f>IF($R29="","-",IF($R29&gt;=$I29,"Critica",IF($R29&gt;=$K29,"Alta",IF($R29&gt;=FRAC_ACOMP*$K29,"Media","Baixa"))))</f>
        <v/>
      </c>
      <c r="AC29" s="17">
        <f>IF($R29="","Faltam solo/estado hidrico - meta provisoria apenas","Dr="&amp;TEXT($R29,"0.0")&amp;" / AFD="&amp;TEXT($K29,"0.0")&amp;" mm; "&amp;IF($R29&gt;=$K29,"atingiu o limite -&gt; repor ate alvo",IF($R29&gt;=FRAC_ACOMP*$K29,"proximo do limite","dentro do limite")))</f>
        <v/>
      </c>
      <c r="AD29" s="18" t="n"/>
      <c r="AE29" s="19" t="inlineStr">
        <is>
          <t>PENDENTE: Zr,CAD,p,Dr,ETo,Kc</t>
        </is>
      </c>
    </row>
    <row r="30">
      <c r="A30" s="5" t="inlineStr">
        <is>
          <t>KAR-T22</t>
        </is>
      </c>
      <c r="B30" s="6" t="inlineStr">
        <is>
          <t>SOJA</t>
        </is>
      </c>
      <c r="C30" s="5" t="inlineStr">
        <is>
          <t>NEO 761 I2X</t>
        </is>
      </c>
      <c r="D30" s="7" t="n">
        <v>150</v>
      </c>
      <c r="E30" s="8" t="n">
        <v>46299</v>
      </c>
      <c r="F30" s="9">
        <f>IF($E30="","",DATA_REF-$E30)</f>
        <v/>
      </c>
      <c r="G30" s="10" t="n"/>
      <c r="H30" s="11" t="n"/>
      <c r="I30" s="12" t="n"/>
      <c r="J30" s="11" t="n"/>
      <c r="K30" s="13">
        <f>IF(OR($J30="",$I30=""),"",$J30*$I30)</f>
        <v/>
      </c>
      <c r="L30" s="12" t="n"/>
      <c r="M30" s="12" t="n"/>
      <c r="N30" s="11" t="n"/>
      <c r="O30" s="13">
        <f>IF(OR($N30="",$M30=""),"",$N30*$M30)</f>
        <v/>
      </c>
      <c r="P30" s="12" t="n"/>
      <c r="Q30" s="12" t="n"/>
      <c r="R30" s="13">
        <f>IF(OR($I30="",$L30="",$O30=""),"",MIN($I30,MAX(0,$L30+$O30-N($P30)-N($Q30))))</f>
        <v/>
      </c>
      <c r="S30" s="13">
        <f>IF($R30="","",MAX(0,N($P30)+N($Q30)-$O30-$L30))</f>
        <v/>
      </c>
      <c r="T30" s="13">
        <f>IF($R30="","",$I30-$R30)</f>
        <v/>
      </c>
      <c r="U30" s="14">
        <f>IF(OR($I30="",$K30="",$R30=""),"",IF($R30&lt;=$K30,1,IF($R30&gt;=$I30,0,($I30-$R30)/($I30-$K30))))</f>
        <v/>
      </c>
      <c r="V30" s="13">
        <f>IF(OR($U30="",$O30=""),"",$U30*$O30)</f>
        <v/>
      </c>
      <c r="W30" s="12" t="n">
        <v>0</v>
      </c>
      <c r="X30" s="13">
        <f>IF($R30="","",IF($R30&gt;=$K30,MAX(0,$R30-N($W30)),0))</f>
        <v/>
      </c>
      <c r="Y30" s="13">
        <f>IF($X30="","",$X30/EF_APLIC)</f>
        <v/>
      </c>
      <c r="Z30" s="15">
        <f>IF(OR($Y30="",$D30=""),"",$Y30*$D30*10)</f>
        <v/>
      </c>
      <c r="AA30" s="16">
        <f>IF($R30="","Dados insuficientes",IF($R30&gt;=$K30,"Irrigar",IF($R30&gt;=FRAC_ACOMP*$K30,"Acompanhar/Reavaliar","Nao irrigar neste momento")))</f>
        <v/>
      </c>
      <c r="AB30" s="16">
        <f>IF($R30="","-",IF($R30&gt;=$I30,"Critica",IF($R30&gt;=$K30,"Alta",IF($R30&gt;=FRAC_ACOMP*$K30,"Media","Baixa"))))</f>
        <v/>
      </c>
      <c r="AC30" s="17">
        <f>IF($R30="","Faltam solo/estado hidrico - meta provisoria apenas","Dr="&amp;TEXT($R30,"0.0")&amp;" / AFD="&amp;TEXT($K30,"0.0")&amp;" mm; "&amp;IF($R30&gt;=$K30,"atingiu o limite -&gt; repor ate alvo",IF($R30&gt;=FRAC_ACOMP*$K30,"proximo do limite","dentro do limite")))</f>
        <v/>
      </c>
      <c r="AD30" s="18" t="n"/>
      <c r="AE30" s="19" t="inlineStr">
        <is>
          <t>PENDENTE: Zr,CAD,p,Dr,ETo,Kc</t>
        </is>
      </c>
    </row>
    <row r="31">
      <c r="A31" s="5" t="inlineStr">
        <is>
          <t>KAR-T24</t>
        </is>
      </c>
      <c r="B31" s="6" t="inlineStr">
        <is>
          <t>SOJA</t>
        </is>
      </c>
      <c r="C31" s="5" t="inlineStr">
        <is>
          <t>BMX Olimpo IPRO</t>
        </is>
      </c>
      <c r="D31" s="7" t="n">
        <v>150</v>
      </c>
      <c r="E31" s="8" t="n">
        <v>46300</v>
      </c>
      <c r="F31" s="9">
        <f>IF($E31="","",DATA_REF-$E31)</f>
        <v/>
      </c>
      <c r="G31" s="10" t="n"/>
      <c r="H31" s="11" t="n"/>
      <c r="I31" s="12" t="n"/>
      <c r="J31" s="11" t="n"/>
      <c r="K31" s="13">
        <f>IF(OR($J31="",$I31=""),"",$J31*$I31)</f>
        <v/>
      </c>
      <c r="L31" s="12" t="n"/>
      <c r="M31" s="12" t="n"/>
      <c r="N31" s="11" t="n"/>
      <c r="O31" s="13">
        <f>IF(OR($N31="",$M31=""),"",$N31*$M31)</f>
        <v/>
      </c>
      <c r="P31" s="12" t="n"/>
      <c r="Q31" s="12" t="n"/>
      <c r="R31" s="13">
        <f>IF(OR($I31="",$L31="",$O31=""),"",MIN($I31,MAX(0,$L31+$O31-N($P31)-N($Q31))))</f>
        <v/>
      </c>
      <c r="S31" s="13">
        <f>IF($R31="","",MAX(0,N($P31)+N($Q31)-$O31-$L31))</f>
        <v/>
      </c>
      <c r="T31" s="13">
        <f>IF($R31="","",$I31-$R31)</f>
        <v/>
      </c>
      <c r="U31" s="14">
        <f>IF(OR($I31="",$K31="",$R31=""),"",IF($R31&lt;=$K31,1,IF($R31&gt;=$I31,0,($I31-$R31)/($I31-$K31))))</f>
        <v/>
      </c>
      <c r="V31" s="13">
        <f>IF(OR($U31="",$O31=""),"",$U31*$O31)</f>
        <v/>
      </c>
      <c r="W31" s="12" t="n">
        <v>0</v>
      </c>
      <c r="X31" s="13">
        <f>IF($R31="","",IF($R31&gt;=$K31,MAX(0,$R31-N($W31)),0))</f>
        <v/>
      </c>
      <c r="Y31" s="13">
        <f>IF($X31="","",$X31/EF_APLIC)</f>
        <v/>
      </c>
      <c r="Z31" s="15">
        <f>IF(OR($Y31="",$D31=""),"",$Y31*$D31*10)</f>
        <v/>
      </c>
      <c r="AA31" s="16">
        <f>IF($R31="","Dados insuficientes",IF($R31&gt;=$K31,"Irrigar",IF($R31&gt;=FRAC_ACOMP*$K31,"Acompanhar/Reavaliar","Nao irrigar neste momento")))</f>
        <v/>
      </c>
      <c r="AB31" s="16">
        <f>IF($R31="","-",IF($R31&gt;=$I31,"Critica",IF($R31&gt;=$K31,"Alta",IF($R31&gt;=FRAC_ACOMP*$K31,"Media","Baixa"))))</f>
        <v/>
      </c>
      <c r="AC31" s="17">
        <f>IF($R31="","Faltam solo/estado hidrico - meta provisoria apenas","Dr="&amp;TEXT($R31,"0.0")&amp;" / AFD="&amp;TEXT($K31,"0.0")&amp;" mm; "&amp;IF($R31&gt;=$K31,"atingiu o limite -&gt; repor ate alvo",IF($R31&gt;=FRAC_ACOMP*$K31,"proximo do limite","dentro do limite")))</f>
        <v/>
      </c>
      <c r="AD31" s="18" t="n"/>
      <c r="AE31" s="19" t="inlineStr">
        <is>
          <t>PENDENTE: Zr,CAD,p,Dr,ETo,Kc</t>
        </is>
      </c>
    </row>
    <row r="32">
      <c r="A32" s="5" t="inlineStr">
        <is>
          <t>KAR-T26</t>
        </is>
      </c>
      <c r="B32" s="6" t="inlineStr">
        <is>
          <t>SOJA</t>
        </is>
      </c>
      <c r="C32" s="5" t="inlineStr">
        <is>
          <t>ST 76KA72</t>
        </is>
      </c>
      <c r="D32" s="7" t="n">
        <v>150</v>
      </c>
      <c r="E32" s="8" t="n">
        <v>46302</v>
      </c>
      <c r="F32" s="9">
        <f>IF($E32="","",DATA_REF-$E32)</f>
        <v/>
      </c>
      <c r="G32" s="10" t="n"/>
      <c r="H32" s="11" t="n"/>
      <c r="I32" s="12" t="n"/>
      <c r="J32" s="11" t="n"/>
      <c r="K32" s="13">
        <f>IF(OR($J32="",$I32=""),"",$J32*$I32)</f>
        <v/>
      </c>
      <c r="L32" s="12" t="n"/>
      <c r="M32" s="12" t="n"/>
      <c r="N32" s="11" t="n"/>
      <c r="O32" s="13">
        <f>IF(OR($N32="",$M32=""),"",$N32*$M32)</f>
        <v/>
      </c>
      <c r="P32" s="12" t="n"/>
      <c r="Q32" s="12" t="n"/>
      <c r="R32" s="13">
        <f>IF(OR($I32="",$L32="",$O32=""),"",MIN($I32,MAX(0,$L32+$O32-N($P32)-N($Q32))))</f>
        <v/>
      </c>
      <c r="S32" s="13">
        <f>IF($R32="","",MAX(0,N($P32)+N($Q32)-$O32-$L32))</f>
        <v/>
      </c>
      <c r="T32" s="13">
        <f>IF($R32="","",$I32-$R32)</f>
        <v/>
      </c>
      <c r="U32" s="14">
        <f>IF(OR($I32="",$K32="",$R32=""),"",IF($R32&lt;=$K32,1,IF($R32&gt;=$I32,0,($I32-$R32)/($I32-$K32))))</f>
        <v/>
      </c>
      <c r="V32" s="13">
        <f>IF(OR($U32="",$O32=""),"",$U32*$O32)</f>
        <v/>
      </c>
      <c r="W32" s="12" t="n">
        <v>0</v>
      </c>
      <c r="X32" s="13">
        <f>IF($R32="","",IF($R32&gt;=$K32,MAX(0,$R32-N($W32)),0))</f>
        <v/>
      </c>
      <c r="Y32" s="13">
        <f>IF($X32="","",$X32/EF_APLIC)</f>
        <v/>
      </c>
      <c r="Z32" s="15">
        <f>IF(OR($Y32="",$D32=""),"",$Y32*$D32*10)</f>
        <v/>
      </c>
      <c r="AA32" s="16">
        <f>IF($R32="","Dados insuficientes",IF($R32&gt;=$K32,"Irrigar",IF($R32&gt;=FRAC_ACOMP*$K32,"Acompanhar/Reavaliar","Nao irrigar neste momento")))</f>
        <v/>
      </c>
      <c r="AB32" s="16">
        <f>IF($R32="","-",IF($R32&gt;=$I32,"Critica",IF($R32&gt;=$K32,"Alta",IF($R32&gt;=FRAC_ACOMP*$K32,"Media","Baixa"))))</f>
        <v/>
      </c>
      <c r="AC32" s="17">
        <f>IF($R32="","Faltam solo/estado hidrico - meta provisoria apenas","Dr="&amp;TEXT($R32,"0.0")&amp;" / AFD="&amp;TEXT($K32,"0.0")&amp;" mm; "&amp;IF($R32&gt;=$K32,"atingiu o limite -&gt; repor ate alvo",IF($R32&gt;=FRAC_ACOMP*$K32,"proximo do limite","dentro do limite")))</f>
        <v/>
      </c>
      <c r="AD32" s="18" t="n"/>
      <c r="AE32" s="19" t="inlineStr">
        <is>
          <t>PENDENTE: Zr,CAD,p,Dr,ETo,Kc</t>
        </is>
      </c>
    </row>
    <row r="33">
      <c r="A33" s="5" t="inlineStr">
        <is>
          <t>KAR-T33</t>
        </is>
      </c>
      <c r="B33" s="6" t="inlineStr">
        <is>
          <t>SOJA</t>
        </is>
      </c>
      <c r="C33" s="5" t="inlineStr">
        <is>
          <t>ATAQUE I2X</t>
        </is>
      </c>
      <c r="D33" s="7" t="n">
        <v>138</v>
      </c>
      <c r="E33" s="8" t="n">
        <v>46302</v>
      </c>
      <c r="F33" s="9">
        <f>IF($E33="","",DATA_REF-$E33)</f>
        <v/>
      </c>
      <c r="G33" s="10" t="n"/>
      <c r="H33" s="11" t="n"/>
      <c r="I33" s="12" t="n"/>
      <c r="J33" s="11" t="n"/>
      <c r="K33" s="13">
        <f>IF(OR($J33="",$I33=""),"",$J33*$I33)</f>
        <v/>
      </c>
      <c r="L33" s="12" t="n"/>
      <c r="M33" s="12" t="n"/>
      <c r="N33" s="11" t="n"/>
      <c r="O33" s="13">
        <f>IF(OR($N33="",$M33=""),"",$N33*$M33)</f>
        <v/>
      </c>
      <c r="P33" s="12" t="n"/>
      <c r="Q33" s="12" t="n"/>
      <c r="R33" s="13">
        <f>IF(OR($I33="",$L33="",$O33=""),"",MIN($I33,MAX(0,$L33+$O33-N($P33)-N($Q33))))</f>
        <v/>
      </c>
      <c r="S33" s="13">
        <f>IF($R33="","",MAX(0,N($P33)+N($Q33)-$O33-$L33))</f>
        <v/>
      </c>
      <c r="T33" s="13">
        <f>IF($R33="","",$I33-$R33)</f>
        <v/>
      </c>
      <c r="U33" s="14">
        <f>IF(OR($I33="",$K33="",$R33=""),"",IF($R33&lt;=$K33,1,IF($R33&gt;=$I33,0,($I33-$R33)/($I33-$K33))))</f>
        <v/>
      </c>
      <c r="V33" s="13">
        <f>IF(OR($U33="",$O33=""),"",$U33*$O33)</f>
        <v/>
      </c>
      <c r="W33" s="12" t="n">
        <v>0</v>
      </c>
      <c r="X33" s="13">
        <f>IF($R33="","",IF($R33&gt;=$K33,MAX(0,$R33-N($W33)),0))</f>
        <v/>
      </c>
      <c r="Y33" s="13">
        <f>IF($X33="","",$X33/EF_APLIC)</f>
        <v/>
      </c>
      <c r="Z33" s="15">
        <f>IF(OR($Y33="",$D33=""),"",$Y33*$D33*10)</f>
        <v/>
      </c>
      <c r="AA33" s="16">
        <f>IF($R33="","Dados insuficientes",IF($R33&gt;=$K33,"Irrigar",IF($R33&gt;=FRAC_ACOMP*$K33,"Acompanhar/Reavaliar","Nao irrigar neste momento")))</f>
        <v/>
      </c>
      <c r="AB33" s="16">
        <f>IF($R33="","-",IF($R33&gt;=$I33,"Critica",IF($R33&gt;=$K33,"Alta",IF($R33&gt;=FRAC_ACOMP*$K33,"Media","Baixa"))))</f>
        <v/>
      </c>
      <c r="AC33" s="17">
        <f>IF($R33="","Faltam solo/estado hidrico - meta provisoria apenas","Dr="&amp;TEXT($R33,"0.0")&amp;" / AFD="&amp;TEXT($K33,"0.0")&amp;" mm; "&amp;IF($R33&gt;=$K33,"atingiu o limite -&gt; repor ate alvo",IF($R33&gt;=FRAC_ACOMP*$K33,"proximo do limite","dentro do limite")))</f>
        <v/>
      </c>
      <c r="AD33" s="18" t="n"/>
      <c r="AE33" s="19" t="inlineStr">
        <is>
          <t>PENDENTE: Zr,CAD,p,Dr,ETo,Kc</t>
        </is>
      </c>
    </row>
    <row r="34">
      <c r="A34" s="5" t="inlineStr">
        <is>
          <t>KAR-T35</t>
        </is>
      </c>
      <c r="B34" s="6" t="inlineStr">
        <is>
          <t>SOJA</t>
        </is>
      </c>
      <c r="C34" s="5" t="inlineStr">
        <is>
          <t>COMPLETA IPRO</t>
        </is>
      </c>
      <c r="D34" s="7" t="n">
        <v>150</v>
      </c>
      <c r="E34" s="8" t="n">
        <v>46303</v>
      </c>
      <c r="F34" s="9">
        <f>IF($E34="","",DATA_REF-$E34)</f>
        <v/>
      </c>
      <c r="G34" s="10" t="n"/>
      <c r="H34" s="11" t="n"/>
      <c r="I34" s="12" t="n"/>
      <c r="J34" s="11" t="n"/>
      <c r="K34" s="13">
        <f>IF(OR($J34="",$I34=""),"",$J34*$I34)</f>
        <v/>
      </c>
      <c r="L34" s="12" t="n"/>
      <c r="M34" s="12" t="n"/>
      <c r="N34" s="11" t="n"/>
      <c r="O34" s="13">
        <f>IF(OR($N34="",$M34=""),"",$N34*$M34)</f>
        <v/>
      </c>
      <c r="P34" s="12" t="n"/>
      <c r="Q34" s="12" t="n"/>
      <c r="R34" s="13">
        <f>IF(OR($I34="",$L34="",$O34=""),"",MIN($I34,MAX(0,$L34+$O34-N($P34)-N($Q34))))</f>
        <v/>
      </c>
      <c r="S34" s="13">
        <f>IF($R34="","",MAX(0,N($P34)+N($Q34)-$O34-$L34))</f>
        <v/>
      </c>
      <c r="T34" s="13">
        <f>IF($R34="","",$I34-$R34)</f>
        <v/>
      </c>
      <c r="U34" s="14">
        <f>IF(OR($I34="",$K34="",$R34=""),"",IF($R34&lt;=$K34,1,IF($R34&gt;=$I34,0,($I34-$R34)/($I34-$K34))))</f>
        <v/>
      </c>
      <c r="V34" s="13">
        <f>IF(OR($U34="",$O34=""),"",$U34*$O34)</f>
        <v/>
      </c>
      <c r="W34" s="12" t="n">
        <v>0</v>
      </c>
      <c r="X34" s="13">
        <f>IF($R34="","",IF($R34&gt;=$K34,MAX(0,$R34-N($W34)),0))</f>
        <v/>
      </c>
      <c r="Y34" s="13">
        <f>IF($X34="","",$X34/EF_APLIC)</f>
        <v/>
      </c>
      <c r="Z34" s="15">
        <f>IF(OR($Y34="",$D34=""),"",$Y34*$D34*10)</f>
        <v/>
      </c>
      <c r="AA34" s="16">
        <f>IF($R34="","Dados insuficientes",IF($R34&gt;=$K34,"Irrigar",IF($R34&gt;=FRAC_ACOMP*$K34,"Acompanhar/Reavaliar","Nao irrigar neste momento")))</f>
        <v/>
      </c>
      <c r="AB34" s="16">
        <f>IF($R34="","-",IF($R34&gt;=$I34,"Critica",IF($R34&gt;=$K34,"Alta",IF($R34&gt;=FRAC_ACOMP*$K34,"Media","Baixa"))))</f>
        <v/>
      </c>
      <c r="AC34" s="17">
        <f>IF($R34="","Faltam solo/estado hidrico - meta provisoria apenas","Dr="&amp;TEXT($R34,"0.0")&amp;" / AFD="&amp;TEXT($K34,"0.0")&amp;" mm; "&amp;IF($R34&gt;=$K34,"atingiu o limite -&gt; repor ate alvo",IF($R34&gt;=FRAC_ACOMP*$K34,"proximo do limite","dentro do limite")))</f>
        <v/>
      </c>
      <c r="AD34" s="18" t="n"/>
      <c r="AE34" s="19" t="inlineStr">
        <is>
          <t>PENDENTE: Zr,CAD,p,Dr,ETo,Kc</t>
        </is>
      </c>
    </row>
    <row r="35">
      <c r="A35" s="5" t="inlineStr">
        <is>
          <t>KAR-T36</t>
        </is>
      </c>
      <c r="B35" s="6" t="inlineStr">
        <is>
          <t>SOJA</t>
        </is>
      </c>
      <c r="C35" s="5" t="inlineStr">
        <is>
          <t>COMPLETA IPRO</t>
        </is>
      </c>
      <c r="D35" s="7" t="n">
        <v>150</v>
      </c>
      <c r="E35" s="8" t="n">
        <v>46303</v>
      </c>
      <c r="F35" s="9">
        <f>IF($E35="","",DATA_REF-$E35)</f>
        <v/>
      </c>
      <c r="G35" s="10" t="n"/>
      <c r="H35" s="11" t="n"/>
      <c r="I35" s="12" t="n"/>
      <c r="J35" s="11" t="n"/>
      <c r="K35" s="13">
        <f>IF(OR($J35="",$I35=""),"",$J35*$I35)</f>
        <v/>
      </c>
      <c r="L35" s="12" t="n"/>
      <c r="M35" s="12" t="n"/>
      <c r="N35" s="11" t="n"/>
      <c r="O35" s="13">
        <f>IF(OR($N35="",$M35=""),"",$N35*$M35)</f>
        <v/>
      </c>
      <c r="P35" s="12" t="n"/>
      <c r="Q35" s="12" t="n"/>
      <c r="R35" s="13">
        <f>IF(OR($I35="",$L35="",$O35=""),"",MIN($I35,MAX(0,$L35+$O35-N($P35)-N($Q35))))</f>
        <v/>
      </c>
      <c r="S35" s="13">
        <f>IF($R35="","",MAX(0,N($P35)+N($Q35)-$O35-$L35))</f>
        <v/>
      </c>
      <c r="T35" s="13">
        <f>IF($R35="","",$I35-$R35)</f>
        <v/>
      </c>
      <c r="U35" s="14">
        <f>IF(OR($I35="",$K35="",$R35=""),"",IF($R35&lt;=$K35,1,IF($R35&gt;=$I35,0,($I35-$R35)/($I35-$K35))))</f>
        <v/>
      </c>
      <c r="V35" s="13">
        <f>IF(OR($U35="",$O35=""),"",$U35*$O35)</f>
        <v/>
      </c>
      <c r="W35" s="12" t="n">
        <v>0</v>
      </c>
      <c r="X35" s="13">
        <f>IF($R35="","",IF($R35&gt;=$K35,MAX(0,$R35-N($W35)),0))</f>
        <v/>
      </c>
      <c r="Y35" s="13">
        <f>IF($X35="","",$X35/EF_APLIC)</f>
        <v/>
      </c>
      <c r="Z35" s="15">
        <f>IF(OR($Y35="",$D35=""),"",$Y35*$D35*10)</f>
        <v/>
      </c>
      <c r="AA35" s="16">
        <f>IF($R35="","Dados insuficientes",IF($R35&gt;=$K35,"Irrigar",IF($R35&gt;=FRAC_ACOMP*$K35,"Acompanhar/Reavaliar","Nao irrigar neste momento")))</f>
        <v/>
      </c>
      <c r="AB35" s="16">
        <f>IF($R35="","-",IF($R35&gt;=$I35,"Critica",IF($R35&gt;=$K35,"Alta",IF($R35&gt;=FRAC_ACOMP*$K35,"Media","Baixa"))))</f>
        <v/>
      </c>
      <c r="AC35" s="17">
        <f>IF($R35="","Faltam solo/estado hidrico - meta provisoria apenas","Dr="&amp;TEXT($R35,"0.0")&amp;" / AFD="&amp;TEXT($K35,"0.0")&amp;" mm; "&amp;IF($R35&gt;=$K35,"atingiu o limite -&gt; repor ate alvo",IF($R35&gt;=FRAC_ACOMP*$K35,"proximo do limite","dentro do limite")))</f>
        <v/>
      </c>
      <c r="AD35" s="18" t="n"/>
      <c r="AE35" s="19" t="inlineStr">
        <is>
          <t>PENDENTE: Zr,CAD,p,Dr,ETo,Kc</t>
        </is>
      </c>
    </row>
    <row r="36">
      <c r="A36" s="5" t="inlineStr">
        <is>
          <t>KAR-T12</t>
        </is>
      </c>
      <c r="B36" s="6" t="inlineStr">
        <is>
          <t>SOJA</t>
        </is>
      </c>
      <c r="C36" s="5" t="inlineStr">
        <is>
          <t>COMBATE IPRO</t>
        </is>
      </c>
      <c r="D36" s="7" t="n">
        <v>150</v>
      </c>
      <c r="E36" s="8" t="n">
        <v>46304</v>
      </c>
      <c r="F36" s="9">
        <f>IF($E36="","",DATA_REF-$E36)</f>
        <v/>
      </c>
      <c r="G36" s="10" t="n"/>
      <c r="H36" s="11" t="n"/>
      <c r="I36" s="12" t="n"/>
      <c r="J36" s="11" t="n"/>
      <c r="K36" s="13">
        <f>IF(OR($J36="",$I36=""),"",$J36*$I36)</f>
        <v/>
      </c>
      <c r="L36" s="12" t="n"/>
      <c r="M36" s="12" t="n"/>
      <c r="N36" s="11" t="n"/>
      <c r="O36" s="13">
        <f>IF(OR($N36="",$M36=""),"",$N36*$M36)</f>
        <v/>
      </c>
      <c r="P36" s="12" t="n"/>
      <c r="Q36" s="12" t="n"/>
      <c r="R36" s="13">
        <f>IF(OR($I36="",$L36="",$O36=""),"",MIN($I36,MAX(0,$L36+$O36-N($P36)-N($Q36))))</f>
        <v/>
      </c>
      <c r="S36" s="13">
        <f>IF($R36="","",MAX(0,N($P36)+N($Q36)-$O36-$L36))</f>
        <v/>
      </c>
      <c r="T36" s="13">
        <f>IF($R36="","",$I36-$R36)</f>
        <v/>
      </c>
      <c r="U36" s="14">
        <f>IF(OR($I36="",$K36="",$R36=""),"",IF($R36&lt;=$K36,1,IF($R36&gt;=$I36,0,($I36-$R36)/($I36-$K36))))</f>
        <v/>
      </c>
      <c r="V36" s="13">
        <f>IF(OR($U36="",$O36=""),"",$U36*$O36)</f>
        <v/>
      </c>
      <c r="W36" s="12" t="n">
        <v>0</v>
      </c>
      <c r="X36" s="13">
        <f>IF($R36="","",IF($R36&gt;=$K36,MAX(0,$R36-N($W36)),0))</f>
        <v/>
      </c>
      <c r="Y36" s="13">
        <f>IF($X36="","",$X36/EF_APLIC)</f>
        <v/>
      </c>
      <c r="Z36" s="15">
        <f>IF(OR($Y36="",$D36=""),"",$Y36*$D36*10)</f>
        <v/>
      </c>
      <c r="AA36" s="16">
        <f>IF($R36="","Dados insuficientes",IF($R36&gt;=$K36,"Irrigar",IF($R36&gt;=FRAC_ACOMP*$K36,"Acompanhar/Reavaliar","Nao irrigar neste momento")))</f>
        <v/>
      </c>
      <c r="AB36" s="16">
        <f>IF($R36="","-",IF($R36&gt;=$I36,"Critica",IF($R36&gt;=$K36,"Alta",IF($R36&gt;=FRAC_ACOMP*$K36,"Media","Baixa"))))</f>
        <v/>
      </c>
      <c r="AC36" s="17">
        <f>IF($R36="","Faltam solo/estado hidrico - meta provisoria apenas","Dr="&amp;TEXT($R36,"0.0")&amp;" / AFD="&amp;TEXT($K36,"0.0")&amp;" mm; "&amp;IF($R36&gt;=$K36,"atingiu o limite -&gt; repor ate alvo",IF($R36&gt;=FRAC_ACOMP*$K36,"proximo do limite","dentro do limite")))</f>
        <v/>
      </c>
      <c r="AD36" s="18" t="n"/>
      <c r="AE36" s="19" t="inlineStr">
        <is>
          <t>PENDENTE: Zr,CAD,p,Dr,ETo,Kc</t>
        </is>
      </c>
    </row>
    <row r="37">
      <c r="A37" s="5" t="inlineStr">
        <is>
          <t>KAR-T13</t>
        </is>
      </c>
      <c r="B37" s="6" t="inlineStr">
        <is>
          <t>SOJA</t>
        </is>
      </c>
      <c r="C37" s="5" t="inlineStr">
        <is>
          <t>COMBATE IPRO</t>
        </is>
      </c>
      <c r="D37" s="7" t="n">
        <v>71</v>
      </c>
      <c r="E37" s="8" t="n">
        <v>46304</v>
      </c>
      <c r="F37" s="9">
        <f>IF($E37="","",DATA_REF-$E37)</f>
        <v/>
      </c>
      <c r="G37" s="10" t="n"/>
      <c r="H37" s="11" t="n"/>
      <c r="I37" s="12" t="n"/>
      <c r="J37" s="11" t="n"/>
      <c r="K37" s="13">
        <f>IF(OR($J37="",$I37=""),"",$J37*$I37)</f>
        <v/>
      </c>
      <c r="L37" s="12" t="n"/>
      <c r="M37" s="12" t="n"/>
      <c r="N37" s="11" t="n"/>
      <c r="O37" s="13">
        <f>IF(OR($N37="",$M37=""),"",$N37*$M37)</f>
        <v/>
      </c>
      <c r="P37" s="12" t="n"/>
      <c r="Q37" s="12" t="n"/>
      <c r="R37" s="13">
        <f>IF(OR($I37="",$L37="",$O37=""),"",MIN($I37,MAX(0,$L37+$O37-N($P37)-N($Q37))))</f>
        <v/>
      </c>
      <c r="S37" s="13">
        <f>IF($R37="","",MAX(0,N($P37)+N($Q37)-$O37-$L37))</f>
        <v/>
      </c>
      <c r="T37" s="13">
        <f>IF($R37="","",$I37-$R37)</f>
        <v/>
      </c>
      <c r="U37" s="14">
        <f>IF(OR($I37="",$K37="",$R37=""),"",IF($R37&lt;=$K37,1,IF($R37&gt;=$I37,0,($I37-$R37)/($I37-$K37))))</f>
        <v/>
      </c>
      <c r="V37" s="13">
        <f>IF(OR($U37="",$O37=""),"",$U37*$O37)</f>
        <v/>
      </c>
      <c r="W37" s="12" t="n">
        <v>0</v>
      </c>
      <c r="X37" s="13">
        <f>IF($R37="","",IF($R37&gt;=$K37,MAX(0,$R37-N($W37)),0))</f>
        <v/>
      </c>
      <c r="Y37" s="13">
        <f>IF($X37="","",$X37/EF_APLIC)</f>
        <v/>
      </c>
      <c r="Z37" s="15">
        <f>IF(OR($Y37="",$D37=""),"",$Y37*$D37*10)</f>
        <v/>
      </c>
      <c r="AA37" s="16">
        <f>IF($R37="","Dados insuficientes",IF($R37&gt;=$K37,"Irrigar",IF($R37&gt;=FRAC_ACOMP*$K37,"Acompanhar/Reavaliar","Nao irrigar neste momento")))</f>
        <v/>
      </c>
      <c r="AB37" s="16">
        <f>IF($R37="","-",IF($R37&gt;=$I37,"Critica",IF($R37&gt;=$K37,"Alta",IF($R37&gt;=FRAC_ACOMP*$K37,"Media","Baixa"))))</f>
        <v/>
      </c>
      <c r="AC37" s="17">
        <f>IF($R37="","Faltam solo/estado hidrico - meta provisoria apenas","Dr="&amp;TEXT($R37,"0.0")&amp;" / AFD="&amp;TEXT($K37,"0.0")&amp;" mm; "&amp;IF($R37&gt;=$K37,"atingiu o limite -&gt; repor ate alvo",IF($R37&gt;=FRAC_ACOMP*$K37,"proximo do limite","dentro do limite")))</f>
        <v/>
      </c>
      <c r="AD37" s="18" t="n"/>
      <c r="AE37" s="19" t="inlineStr">
        <is>
          <t>PENDENTE: Zr,CAD,p,Dr,ETo,Kc</t>
        </is>
      </c>
    </row>
    <row r="38">
      <c r="A38" s="5" t="inlineStr">
        <is>
          <t>KAR-T37</t>
        </is>
      </c>
      <c r="B38" s="6" t="inlineStr">
        <is>
          <t>SOJA</t>
        </is>
      </c>
      <c r="C38" s="5" t="inlineStr">
        <is>
          <t>COMPLETA IPRO</t>
        </is>
      </c>
      <c r="D38" s="7" t="n">
        <v>72</v>
      </c>
      <c r="E38" s="8" t="n">
        <v>46304</v>
      </c>
      <c r="F38" s="9">
        <f>IF($E38="","",DATA_REF-$E38)</f>
        <v/>
      </c>
      <c r="G38" s="10" t="n"/>
      <c r="H38" s="11" t="n"/>
      <c r="I38" s="12" t="n"/>
      <c r="J38" s="11" t="n"/>
      <c r="K38" s="13">
        <f>IF(OR($J38="",$I38=""),"",$J38*$I38)</f>
        <v/>
      </c>
      <c r="L38" s="12" t="n"/>
      <c r="M38" s="12" t="n"/>
      <c r="N38" s="11" t="n"/>
      <c r="O38" s="13">
        <f>IF(OR($N38="",$M38=""),"",$N38*$M38)</f>
        <v/>
      </c>
      <c r="P38" s="12" t="n"/>
      <c r="Q38" s="12" t="n"/>
      <c r="R38" s="13">
        <f>IF(OR($I38="",$L38="",$O38=""),"",MIN($I38,MAX(0,$L38+$O38-N($P38)-N($Q38))))</f>
        <v/>
      </c>
      <c r="S38" s="13">
        <f>IF($R38="","",MAX(0,N($P38)+N($Q38)-$O38-$L38))</f>
        <v/>
      </c>
      <c r="T38" s="13">
        <f>IF($R38="","",$I38-$R38)</f>
        <v/>
      </c>
      <c r="U38" s="14">
        <f>IF(OR($I38="",$K38="",$R38=""),"",IF($R38&lt;=$K38,1,IF($R38&gt;=$I38,0,($I38-$R38)/($I38-$K38))))</f>
        <v/>
      </c>
      <c r="V38" s="13">
        <f>IF(OR($U38="",$O38=""),"",$U38*$O38)</f>
        <v/>
      </c>
      <c r="W38" s="12" t="n">
        <v>0</v>
      </c>
      <c r="X38" s="13">
        <f>IF($R38="","",IF($R38&gt;=$K38,MAX(0,$R38-N($W38)),0))</f>
        <v/>
      </c>
      <c r="Y38" s="13">
        <f>IF($X38="","",$X38/EF_APLIC)</f>
        <v/>
      </c>
      <c r="Z38" s="15">
        <f>IF(OR($Y38="",$D38=""),"",$Y38*$D38*10)</f>
        <v/>
      </c>
      <c r="AA38" s="16">
        <f>IF($R38="","Dados insuficientes",IF($R38&gt;=$K38,"Irrigar",IF($R38&gt;=FRAC_ACOMP*$K38,"Acompanhar/Reavaliar","Nao irrigar neste momento")))</f>
        <v/>
      </c>
      <c r="AB38" s="16">
        <f>IF($R38="","-",IF($R38&gt;=$I38,"Critica",IF($R38&gt;=$K38,"Alta",IF($R38&gt;=FRAC_ACOMP*$K38,"Media","Baixa"))))</f>
        <v/>
      </c>
      <c r="AC38" s="17">
        <f>IF($R38="","Faltam solo/estado hidrico - meta provisoria apenas","Dr="&amp;TEXT($R38,"0.0")&amp;" / AFD="&amp;TEXT($K38,"0.0")&amp;" mm; "&amp;IF($R38&gt;=$K38,"atingiu o limite -&gt; repor ate alvo",IF($R38&gt;=FRAC_ACOMP*$K38,"proximo do limite","dentro do limite")))</f>
        <v/>
      </c>
      <c r="AD38" s="18" t="n"/>
      <c r="AE38" s="19" t="inlineStr">
        <is>
          <t>PENDENTE: Zr,CAD,p,Dr,ETo,Kc</t>
        </is>
      </c>
    </row>
    <row r="39">
      <c r="A39" s="5" t="inlineStr">
        <is>
          <t>KAR-T38</t>
        </is>
      </c>
      <c r="B39" s="6" t="inlineStr">
        <is>
          <t>SOJA</t>
        </is>
      </c>
      <c r="C39" s="5" t="inlineStr">
        <is>
          <t>COMPLETA IPRO</t>
        </is>
      </c>
      <c r="D39" s="7" t="n">
        <v>141</v>
      </c>
      <c r="E39" s="8" t="n">
        <v>46304</v>
      </c>
      <c r="F39" s="9">
        <f>IF($E39="","",DATA_REF-$E39)</f>
        <v/>
      </c>
      <c r="G39" s="10" t="n"/>
      <c r="H39" s="11" t="n"/>
      <c r="I39" s="12" t="n"/>
      <c r="J39" s="11" t="n"/>
      <c r="K39" s="13">
        <f>IF(OR($J39="",$I39=""),"",$J39*$I39)</f>
        <v/>
      </c>
      <c r="L39" s="12" t="n"/>
      <c r="M39" s="12" t="n"/>
      <c r="N39" s="11" t="n"/>
      <c r="O39" s="13">
        <f>IF(OR($N39="",$M39=""),"",$N39*$M39)</f>
        <v/>
      </c>
      <c r="P39" s="12" t="n"/>
      <c r="Q39" s="12" t="n"/>
      <c r="R39" s="13">
        <f>IF(OR($I39="",$L39="",$O39=""),"",MIN($I39,MAX(0,$L39+$O39-N($P39)-N($Q39))))</f>
        <v/>
      </c>
      <c r="S39" s="13">
        <f>IF($R39="","",MAX(0,N($P39)+N($Q39)-$O39-$L39))</f>
        <v/>
      </c>
      <c r="T39" s="13">
        <f>IF($R39="","",$I39-$R39)</f>
        <v/>
      </c>
      <c r="U39" s="14">
        <f>IF(OR($I39="",$K39="",$R39=""),"",IF($R39&lt;=$K39,1,IF($R39&gt;=$I39,0,($I39-$R39)/($I39-$K39))))</f>
        <v/>
      </c>
      <c r="V39" s="13">
        <f>IF(OR($U39="",$O39=""),"",$U39*$O39)</f>
        <v/>
      </c>
      <c r="W39" s="12" t="n">
        <v>0</v>
      </c>
      <c r="X39" s="13">
        <f>IF($R39="","",IF($R39&gt;=$K39,MAX(0,$R39-N($W39)),0))</f>
        <v/>
      </c>
      <c r="Y39" s="13">
        <f>IF($X39="","",$X39/EF_APLIC)</f>
        <v/>
      </c>
      <c r="Z39" s="15">
        <f>IF(OR($Y39="",$D39=""),"",$Y39*$D39*10)</f>
        <v/>
      </c>
      <c r="AA39" s="16">
        <f>IF($R39="","Dados insuficientes",IF($R39&gt;=$K39,"Irrigar",IF($R39&gt;=FRAC_ACOMP*$K39,"Acompanhar/Reavaliar","Nao irrigar neste momento")))</f>
        <v/>
      </c>
      <c r="AB39" s="16">
        <f>IF($R39="","-",IF($R39&gt;=$I39,"Critica",IF($R39&gt;=$K39,"Alta",IF($R39&gt;=FRAC_ACOMP*$K39,"Media","Baixa"))))</f>
        <v/>
      </c>
      <c r="AC39" s="17">
        <f>IF($R39="","Faltam solo/estado hidrico - meta provisoria apenas","Dr="&amp;TEXT($R39,"0.0")&amp;" / AFD="&amp;TEXT($K39,"0.0")&amp;" mm; "&amp;IF($R39&gt;=$K39,"atingiu o limite -&gt; repor ate alvo",IF($R39&gt;=FRAC_ACOMP*$K39,"proximo do limite","dentro do limite")))</f>
        <v/>
      </c>
      <c r="AD39" s="18" t="n"/>
      <c r="AE39" s="19" t="inlineStr">
        <is>
          <t>PENDENTE: Zr,CAD,p,Dr,ETo,Kc</t>
        </is>
      </c>
    </row>
    <row r="40">
      <c r="A40" s="5" t="inlineStr">
        <is>
          <t>KAR-T40</t>
        </is>
      </c>
      <c r="B40" s="6" t="inlineStr">
        <is>
          <t>SOJA</t>
        </is>
      </c>
      <c r="C40" s="5" t="inlineStr">
        <is>
          <t>BMX Olimpo IPRO</t>
        </is>
      </c>
      <c r="D40" s="7" t="n">
        <v>150</v>
      </c>
      <c r="E40" s="8" t="n">
        <v>46305</v>
      </c>
      <c r="F40" s="9">
        <f>IF($E40="","",DATA_REF-$E40)</f>
        <v/>
      </c>
      <c r="G40" s="10" t="n"/>
      <c r="H40" s="11" t="n"/>
      <c r="I40" s="12" t="n"/>
      <c r="J40" s="11" t="n"/>
      <c r="K40" s="13">
        <f>IF(OR($J40="",$I40=""),"",$J40*$I40)</f>
        <v/>
      </c>
      <c r="L40" s="12" t="n"/>
      <c r="M40" s="12" t="n"/>
      <c r="N40" s="11" t="n"/>
      <c r="O40" s="13">
        <f>IF(OR($N40="",$M40=""),"",$N40*$M40)</f>
        <v/>
      </c>
      <c r="P40" s="12" t="n"/>
      <c r="Q40" s="12" t="n"/>
      <c r="R40" s="13">
        <f>IF(OR($I40="",$L40="",$O40=""),"",MIN($I40,MAX(0,$L40+$O40-N($P40)-N($Q40))))</f>
        <v/>
      </c>
      <c r="S40" s="13">
        <f>IF($R40="","",MAX(0,N($P40)+N($Q40)-$O40-$L40))</f>
        <v/>
      </c>
      <c r="T40" s="13">
        <f>IF($R40="","",$I40-$R40)</f>
        <v/>
      </c>
      <c r="U40" s="14">
        <f>IF(OR($I40="",$K40="",$R40=""),"",IF($R40&lt;=$K40,1,IF($R40&gt;=$I40,0,($I40-$R40)/($I40-$K40))))</f>
        <v/>
      </c>
      <c r="V40" s="13">
        <f>IF(OR($U40="",$O40=""),"",$U40*$O40)</f>
        <v/>
      </c>
      <c r="W40" s="12" t="n">
        <v>0</v>
      </c>
      <c r="X40" s="13">
        <f>IF($R40="","",IF($R40&gt;=$K40,MAX(0,$R40-N($W40)),0))</f>
        <v/>
      </c>
      <c r="Y40" s="13">
        <f>IF($X40="","",$X40/EF_APLIC)</f>
        <v/>
      </c>
      <c r="Z40" s="15">
        <f>IF(OR($Y40="",$D40=""),"",$Y40*$D40*10)</f>
        <v/>
      </c>
      <c r="AA40" s="16">
        <f>IF($R40="","Dados insuficientes",IF($R40&gt;=$K40,"Irrigar",IF($R40&gt;=FRAC_ACOMP*$K40,"Acompanhar/Reavaliar","Nao irrigar neste momento")))</f>
        <v/>
      </c>
      <c r="AB40" s="16">
        <f>IF($R40="","-",IF($R40&gt;=$I40,"Critica",IF($R40&gt;=$K40,"Alta",IF($R40&gt;=FRAC_ACOMP*$K40,"Media","Baixa"))))</f>
        <v/>
      </c>
      <c r="AC40" s="17">
        <f>IF($R40="","Faltam solo/estado hidrico - meta provisoria apenas","Dr="&amp;TEXT($R40,"0.0")&amp;" / AFD="&amp;TEXT($K40,"0.0")&amp;" mm; "&amp;IF($R40&gt;=$K40,"atingiu o limite -&gt; repor ate alvo",IF($R40&gt;=FRAC_ACOMP*$K40,"proximo do limite","dentro do limite")))</f>
        <v/>
      </c>
      <c r="AD40" s="18" t="n"/>
      <c r="AE40" s="19" t="inlineStr">
        <is>
          <t>PENDENTE: Zr,CAD,p,Dr,ETo,Kc</t>
        </is>
      </c>
    </row>
    <row r="41">
      <c r="A41" s="5" t="inlineStr">
        <is>
          <t>KAR-T41</t>
        </is>
      </c>
      <c r="B41" s="6" t="inlineStr">
        <is>
          <t>SOJA</t>
        </is>
      </c>
      <c r="C41" s="5" t="inlineStr">
        <is>
          <t>NEO 761 I2X</t>
        </is>
      </c>
      <c r="D41" s="7" t="n">
        <v>138</v>
      </c>
      <c r="E41" s="8" t="n">
        <v>46305</v>
      </c>
      <c r="F41" s="9">
        <f>IF($E41="","",DATA_REF-$E41)</f>
        <v/>
      </c>
      <c r="G41" s="10" t="n"/>
      <c r="H41" s="11" t="n"/>
      <c r="I41" s="12" t="n"/>
      <c r="J41" s="11" t="n"/>
      <c r="K41" s="13">
        <f>IF(OR($J41="",$I41=""),"",$J41*$I41)</f>
        <v/>
      </c>
      <c r="L41" s="12" t="n"/>
      <c r="M41" s="12" t="n"/>
      <c r="N41" s="11" t="n"/>
      <c r="O41" s="13">
        <f>IF(OR($N41="",$M41=""),"",$N41*$M41)</f>
        <v/>
      </c>
      <c r="P41" s="12" t="n"/>
      <c r="Q41" s="12" t="n"/>
      <c r="R41" s="13">
        <f>IF(OR($I41="",$L41="",$O41=""),"",MIN($I41,MAX(0,$L41+$O41-N($P41)-N($Q41))))</f>
        <v/>
      </c>
      <c r="S41" s="13">
        <f>IF($R41="","",MAX(0,N($P41)+N($Q41)-$O41-$L41))</f>
        <v/>
      </c>
      <c r="T41" s="13">
        <f>IF($R41="","",$I41-$R41)</f>
        <v/>
      </c>
      <c r="U41" s="14">
        <f>IF(OR($I41="",$K41="",$R41=""),"",IF($R41&lt;=$K41,1,IF($R41&gt;=$I41,0,($I41-$R41)/($I41-$K41))))</f>
        <v/>
      </c>
      <c r="V41" s="13">
        <f>IF(OR($U41="",$O41=""),"",$U41*$O41)</f>
        <v/>
      </c>
      <c r="W41" s="12" t="n">
        <v>0</v>
      </c>
      <c r="X41" s="13">
        <f>IF($R41="","",IF($R41&gt;=$K41,MAX(0,$R41-N($W41)),0))</f>
        <v/>
      </c>
      <c r="Y41" s="13">
        <f>IF($X41="","",$X41/EF_APLIC)</f>
        <v/>
      </c>
      <c r="Z41" s="15">
        <f>IF(OR($Y41="",$D41=""),"",$Y41*$D41*10)</f>
        <v/>
      </c>
      <c r="AA41" s="16">
        <f>IF($R41="","Dados insuficientes",IF($R41&gt;=$K41,"Irrigar",IF($R41&gt;=FRAC_ACOMP*$K41,"Acompanhar/Reavaliar","Nao irrigar neste momento")))</f>
        <v/>
      </c>
      <c r="AB41" s="16">
        <f>IF($R41="","-",IF($R41&gt;=$I41,"Critica",IF($R41&gt;=$K41,"Alta",IF($R41&gt;=FRAC_ACOMP*$K41,"Media","Baixa"))))</f>
        <v/>
      </c>
      <c r="AC41" s="17">
        <f>IF($R41="","Faltam solo/estado hidrico - meta provisoria apenas","Dr="&amp;TEXT($R41,"0.0")&amp;" / AFD="&amp;TEXT($K41,"0.0")&amp;" mm; "&amp;IF($R41&gt;=$K41,"atingiu o limite -&gt; repor ate alvo",IF($R41&gt;=FRAC_ACOMP*$K41,"proximo do limite","dentro do limite")))</f>
        <v/>
      </c>
      <c r="AD41" s="18" t="n"/>
      <c r="AE41" s="19" t="inlineStr">
        <is>
          <t>PENDENTE: Zr,CAD,p,Dr,ETo,Kc</t>
        </is>
      </c>
    </row>
    <row r="42">
      <c r="A42" s="5" t="inlineStr">
        <is>
          <t>KAR-T42</t>
        </is>
      </c>
      <c r="B42" s="6" t="inlineStr">
        <is>
          <t>SOJA</t>
        </is>
      </c>
      <c r="C42" s="5" t="inlineStr">
        <is>
          <t>BMX Olimpo IPRO</t>
        </is>
      </c>
      <c r="D42" s="7" t="n">
        <v>100</v>
      </c>
      <c r="E42" s="8" t="n">
        <v>46307</v>
      </c>
      <c r="F42" s="9">
        <f>IF($E42="","",DATA_REF-$E42)</f>
        <v/>
      </c>
      <c r="G42" s="10" t="n"/>
      <c r="H42" s="11" t="n"/>
      <c r="I42" s="12" t="n"/>
      <c r="J42" s="11" t="n"/>
      <c r="K42" s="13">
        <f>IF(OR($J42="",$I42=""),"",$J42*$I42)</f>
        <v/>
      </c>
      <c r="L42" s="12" t="n"/>
      <c r="M42" s="12" t="n"/>
      <c r="N42" s="11" t="n"/>
      <c r="O42" s="13">
        <f>IF(OR($N42="",$M42=""),"",$N42*$M42)</f>
        <v/>
      </c>
      <c r="P42" s="12" t="n"/>
      <c r="Q42" s="12" t="n"/>
      <c r="R42" s="13">
        <f>IF(OR($I42="",$L42="",$O42=""),"",MIN($I42,MAX(0,$L42+$O42-N($P42)-N($Q42))))</f>
        <v/>
      </c>
      <c r="S42" s="13">
        <f>IF($R42="","",MAX(0,N($P42)+N($Q42)-$O42-$L42))</f>
        <v/>
      </c>
      <c r="T42" s="13">
        <f>IF($R42="","",$I42-$R42)</f>
        <v/>
      </c>
      <c r="U42" s="14">
        <f>IF(OR($I42="",$K42="",$R42=""),"",IF($R42&lt;=$K42,1,IF($R42&gt;=$I42,0,($I42-$R42)/($I42-$K42))))</f>
        <v/>
      </c>
      <c r="V42" s="13">
        <f>IF(OR($U42="",$O42=""),"",$U42*$O42)</f>
        <v/>
      </c>
      <c r="W42" s="12" t="n">
        <v>0</v>
      </c>
      <c r="X42" s="13">
        <f>IF($R42="","",IF($R42&gt;=$K42,MAX(0,$R42-N($W42)),0))</f>
        <v/>
      </c>
      <c r="Y42" s="13">
        <f>IF($X42="","",$X42/EF_APLIC)</f>
        <v/>
      </c>
      <c r="Z42" s="15">
        <f>IF(OR($Y42="",$D42=""),"",$Y42*$D42*10)</f>
        <v/>
      </c>
      <c r="AA42" s="16">
        <f>IF($R42="","Dados insuficientes",IF($R42&gt;=$K42,"Irrigar",IF($R42&gt;=FRAC_ACOMP*$K42,"Acompanhar/Reavaliar","Nao irrigar neste momento")))</f>
        <v/>
      </c>
      <c r="AB42" s="16">
        <f>IF($R42="","-",IF($R42&gt;=$I42,"Critica",IF($R42&gt;=$K42,"Alta",IF($R42&gt;=FRAC_ACOMP*$K42,"Media","Baixa"))))</f>
        <v/>
      </c>
      <c r="AC42" s="17">
        <f>IF($R42="","Faltam solo/estado hidrico - meta provisoria apenas","Dr="&amp;TEXT($R42,"0.0")&amp;" / AFD="&amp;TEXT($K42,"0.0")&amp;" mm; "&amp;IF($R42&gt;=$K42,"atingiu o limite -&gt; repor ate alvo",IF($R42&gt;=FRAC_ACOMP*$K42,"proximo do limite","dentro do limite")))</f>
        <v/>
      </c>
      <c r="AD42" s="18" t="n"/>
      <c r="AE42" s="19" t="inlineStr">
        <is>
          <t>PENDENTE: Zr,CAD,p,Dr,ETo,Kc</t>
        </is>
      </c>
    </row>
    <row r="43">
      <c r="A43" s="5" t="inlineStr">
        <is>
          <t>KAR-T43</t>
        </is>
      </c>
      <c r="B43" s="6" t="inlineStr">
        <is>
          <t>SOJA</t>
        </is>
      </c>
      <c r="C43" s="5" t="inlineStr">
        <is>
          <t>NEO 761 I2X</t>
        </is>
      </c>
      <c r="D43" s="7" t="n">
        <v>138</v>
      </c>
      <c r="E43" s="8" t="n">
        <v>46307</v>
      </c>
      <c r="F43" s="9">
        <f>IF($E43="","",DATA_REF-$E43)</f>
        <v/>
      </c>
      <c r="G43" s="10" t="n"/>
      <c r="H43" s="11" t="n"/>
      <c r="I43" s="12" t="n"/>
      <c r="J43" s="11" t="n"/>
      <c r="K43" s="13">
        <f>IF(OR($J43="",$I43=""),"",$J43*$I43)</f>
        <v/>
      </c>
      <c r="L43" s="12" t="n"/>
      <c r="M43" s="12" t="n"/>
      <c r="N43" s="11" t="n"/>
      <c r="O43" s="13">
        <f>IF(OR($N43="",$M43=""),"",$N43*$M43)</f>
        <v/>
      </c>
      <c r="P43" s="12" t="n"/>
      <c r="Q43" s="12" t="n"/>
      <c r="R43" s="13">
        <f>IF(OR($I43="",$L43="",$O43=""),"",MIN($I43,MAX(0,$L43+$O43-N($P43)-N($Q43))))</f>
        <v/>
      </c>
      <c r="S43" s="13">
        <f>IF($R43="","",MAX(0,N($P43)+N($Q43)-$O43-$L43))</f>
        <v/>
      </c>
      <c r="T43" s="13">
        <f>IF($R43="","",$I43-$R43)</f>
        <v/>
      </c>
      <c r="U43" s="14">
        <f>IF(OR($I43="",$K43="",$R43=""),"",IF($R43&lt;=$K43,1,IF($R43&gt;=$I43,0,($I43-$R43)/($I43-$K43))))</f>
        <v/>
      </c>
      <c r="V43" s="13">
        <f>IF(OR($U43="",$O43=""),"",$U43*$O43)</f>
        <v/>
      </c>
      <c r="W43" s="12" t="n">
        <v>0</v>
      </c>
      <c r="X43" s="13">
        <f>IF($R43="","",IF($R43&gt;=$K43,MAX(0,$R43-N($W43)),0))</f>
        <v/>
      </c>
      <c r="Y43" s="13">
        <f>IF($X43="","",$X43/EF_APLIC)</f>
        <v/>
      </c>
      <c r="Z43" s="15">
        <f>IF(OR($Y43="",$D43=""),"",$Y43*$D43*10)</f>
        <v/>
      </c>
      <c r="AA43" s="16">
        <f>IF($R43="","Dados insuficientes",IF($R43&gt;=$K43,"Irrigar",IF($R43&gt;=FRAC_ACOMP*$K43,"Acompanhar/Reavaliar","Nao irrigar neste momento")))</f>
        <v/>
      </c>
      <c r="AB43" s="16">
        <f>IF($R43="","-",IF($R43&gt;=$I43,"Critica",IF($R43&gt;=$K43,"Alta",IF($R43&gt;=FRAC_ACOMP*$K43,"Media","Baixa"))))</f>
        <v/>
      </c>
      <c r="AC43" s="17">
        <f>IF($R43="","Faltam solo/estado hidrico - meta provisoria apenas","Dr="&amp;TEXT($R43,"0.0")&amp;" / AFD="&amp;TEXT($K43,"0.0")&amp;" mm; "&amp;IF($R43&gt;=$K43,"atingiu o limite -&gt; repor ate alvo",IF($R43&gt;=FRAC_ACOMP*$K43,"proximo do limite","dentro do limite")))</f>
        <v/>
      </c>
      <c r="AD43" s="18" t="n"/>
      <c r="AE43" s="19" t="inlineStr">
        <is>
          <t>PENDENTE: Zr,CAD,p,Dr,ETo,Kc</t>
        </is>
      </c>
    </row>
    <row r="44">
      <c r="A44" s="5" t="inlineStr">
        <is>
          <t>RDM-T125</t>
        </is>
      </c>
      <c r="B44" s="6" t="inlineStr">
        <is>
          <t>SOJA</t>
        </is>
      </c>
      <c r="C44" s="5" t="inlineStr">
        <is>
          <t>NEO 761 I2X</t>
        </is>
      </c>
      <c r="D44" s="7" t="n">
        <v>100</v>
      </c>
      <c r="E44" s="8" t="n">
        <v>46308</v>
      </c>
      <c r="F44" s="9">
        <f>IF($E44="","",DATA_REF-$E44)</f>
        <v/>
      </c>
      <c r="G44" s="10" t="n"/>
      <c r="H44" s="11" t="n"/>
      <c r="I44" s="12" t="n"/>
      <c r="J44" s="11" t="n"/>
      <c r="K44" s="13">
        <f>IF(OR($J44="",$I44=""),"",$J44*$I44)</f>
        <v/>
      </c>
      <c r="L44" s="12" t="n"/>
      <c r="M44" s="12" t="n"/>
      <c r="N44" s="11" t="n"/>
      <c r="O44" s="13">
        <f>IF(OR($N44="",$M44=""),"",$N44*$M44)</f>
        <v/>
      </c>
      <c r="P44" s="12" t="n"/>
      <c r="Q44" s="12" t="n"/>
      <c r="R44" s="13">
        <f>IF(OR($I44="",$L44="",$O44=""),"",MIN($I44,MAX(0,$L44+$O44-N($P44)-N($Q44))))</f>
        <v/>
      </c>
      <c r="S44" s="13">
        <f>IF($R44="","",MAX(0,N($P44)+N($Q44)-$O44-$L44))</f>
        <v/>
      </c>
      <c r="T44" s="13">
        <f>IF($R44="","",$I44-$R44)</f>
        <v/>
      </c>
      <c r="U44" s="14">
        <f>IF(OR($I44="",$K44="",$R44=""),"",IF($R44&lt;=$K44,1,IF($R44&gt;=$I44,0,($I44-$R44)/($I44-$K44))))</f>
        <v/>
      </c>
      <c r="V44" s="13">
        <f>IF(OR($U44="",$O44=""),"",$U44*$O44)</f>
        <v/>
      </c>
      <c r="W44" s="12" t="n">
        <v>0</v>
      </c>
      <c r="X44" s="13">
        <f>IF($R44="","",IF($R44&gt;=$K44,MAX(0,$R44-N($W44)),0))</f>
        <v/>
      </c>
      <c r="Y44" s="13">
        <f>IF($X44="","",$X44/EF_APLIC)</f>
        <v/>
      </c>
      <c r="Z44" s="15">
        <f>IF(OR($Y44="",$D44=""),"",$Y44*$D44*10)</f>
        <v/>
      </c>
      <c r="AA44" s="16">
        <f>IF($R44="","Dados insuficientes",IF($R44&gt;=$K44,"Irrigar",IF($R44&gt;=FRAC_ACOMP*$K44,"Acompanhar/Reavaliar","Nao irrigar neste momento")))</f>
        <v/>
      </c>
      <c r="AB44" s="16">
        <f>IF($R44="","-",IF($R44&gt;=$I44,"Critica",IF($R44&gt;=$K44,"Alta",IF($R44&gt;=FRAC_ACOMP*$K44,"Media","Baixa"))))</f>
        <v/>
      </c>
      <c r="AC44" s="17">
        <f>IF($R44="","Faltam solo/estado hidrico - meta provisoria apenas","Dr="&amp;TEXT($R44,"0.0")&amp;" / AFD="&amp;TEXT($K44,"0.0")&amp;" mm; "&amp;IF($R44&gt;=$K44,"atingiu o limite -&gt; repor ate alvo",IF($R44&gt;=FRAC_ACOMP*$K44,"proximo do limite","dentro do limite")))</f>
        <v/>
      </c>
      <c r="AD44" s="18" t="n"/>
      <c r="AE44" s="19" t="inlineStr">
        <is>
          <t>PENDENTE: Zr,CAD,p,Dr,ETo,Kc</t>
        </is>
      </c>
    </row>
    <row r="45">
      <c r="A45" s="10" t="n"/>
      <c r="B45" s="20" t="n"/>
      <c r="C45" s="10" t="n"/>
      <c r="D45" s="21" t="n"/>
      <c r="E45" s="18" t="n"/>
      <c r="F45" s="9">
        <f>IF($E45="","",DATA_REF-$E45)</f>
        <v/>
      </c>
      <c r="G45" s="10" t="n"/>
      <c r="H45" s="11" t="n"/>
      <c r="I45" s="12" t="n"/>
      <c r="J45" s="11" t="n"/>
      <c r="K45" s="13">
        <f>IF(OR($J45="",$I45=""),"",$J45*$I45)</f>
        <v/>
      </c>
      <c r="L45" s="12" t="n"/>
      <c r="M45" s="12" t="n"/>
      <c r="N45" s="11" t="n"/>
      <c r="O45" s="13">
        <f>IF(OR($N45="",$M45=""),"",$N45*$M45)</f>
        <v/>
      </c>
      <c r="P45" s="12" t="n"/>
      <c r="Q45" s="12" t="n"/>
      <c r="R45" s="13">
        <f>IF(OR($I45="",$L45="",$O45=""),"",MIN($I45,MAX(0,$L45+$O45-N($P45)-N($Q45))))</f>
        <v/>
      </c>
      <c r="S45" s="13">
        <f>IF($R45="","",MAX(0,N($P45)+N($Q45)-$O45-$L45))</f>
        <v/>
      </c>
      <c r="T45" s="13">
        <f>IF($R45="","",$I45-$R45)</f>
        <v/>
      </c>
      <c r="U45" s="14">
        <f>IF(OR($I45="",$K45="",$R45=""),"",IF($R45&lt;=$K45,1,IF($R45&gt;=$I45,0,($I45-$R45)/($I45-$K45))))</f>
        <v/>
      </c>
      <c r="V45" s="13">
        <f>IF(OR($U45="",$O45=""),"",$U45*$O45)</f>
        <v/>
      </c>
      <c r="W45" s="12" t="n">
        <v>0</v>
      </c>
      <c r="X45" s="13">
        <f>IF($R45="","",IF($R45&gt;=$K45,MAX(0,$R45-N($W45)),0))</f>
        <v/>
      </c>
      <c r="Y45" s="13">
        <f>IF($X45="","",$X45/EF_APLIC)</f>
        <v/>
      </c>
      <c r="Z45" s="15">
        <f>IF(OR($Y45="",$D45=""),"",$Y45*$D45*10)</f>
        <v/>
      </c>
      <c r="AA45" s="16">
        <f>IF($R45="","Dados insuficientes",IF($R45&gt;=$K45,"Irrigar",IF($R45&gt;=FRAC_ACOMP*$K45,"Acompanhar/Reavaliar","Nao irrigar neste momento")))</f>
        <v/>
      </c>
      <c r="AB45" s="16">
        <f>IF($R45="","-",IF($R45&gt;=$I45,"Critica",IF($R45&gt;=$K45,"Alta",IF($R45&gt;=FRAC_ACOMP*$K45,"Media","Baixa"))))</f>
        <v/>
      </c>
      <c r="AC45" s="17">
        <f>IF($R45="","Faltam solo/estado hidrico - meta provisoria apenas","Dr="&amp;TEXT($R45,"0.0")&amp;" / AFD="&amp;TEXT($K45,"0.0")&amp;" mm; "&amp;IF($R45&gt;=$K45,"atingiu o limite -&gt; repor ate alvo",IF($R45&gt;=FRAC_ACOMP*$K45,"proximo do limite","dentro do limite")))</f>
        <v/>
      </c>
      <c r="AD45" s="18" t="n"/>
      <c r="AE45" s="19" t="n"/>
    </row>
    <row r="46">
      <c r="A46" s="10" t="n"/>
      <c r="B46" s="20" t="n"/>
      <c r="C46" s="10" t="n"/>
      <c r="D46" s="21" t="n"/>
      <c r="E46" s="18" t="n"/>
      <c r="F46" s="9">
        <f>IF($E46="","",DATA_REF-$E46)</f>
        <v/>
      </c>
      <c r="G46" s="10" t="n"/>
      <c r="H46" s="11" t="n"/>
      <c r="I46" s="12" t="n"/>
      <c r="J46" s="11" t="n"/>
      <c r="K46" s="13">
        <f>IF(OR($J46="",$I46=""),"",$J46*$I46)</f>
        <v/>
      </c>
      <c r="L46" s="12" t="n"/>
      <c r="M46" s="12" t="n"/>
      <c r="N46" s="11" t="n"/>
      <c r="O46" s="13">
        <f>IF(OR($N46="",$M46=""),"",$N46*$M46)</f>
        <v/>
      </c>
      <c r="P46" s="12" t="n"/>
      <c r="Q46" s="12" t="n"/>
      <c r="R46" s="13">
        <f>IF(OR($I46="",$L46="",$O46=""),"",MIN($I46,MAX(0,$L46+$O46-N($P46)-N($Q46))))</f>
        <v/>
      </c>
      <c r="S46" s="13">
        <f>IF($R46="","",MAX(0,N($P46)+N($Q46)-$O46-$L46))</f>
        <v/>
      </c>
      <c r="T46" s="13">
        <f>IF($R46="","",$I46-$R46)</f>
        <v/>
      </c>
      <c r="U46" s="14">
        <f>IF(OR($I46="",$K46="",$R46=""),"",IF($R46&lt;=$K46,1,IF($R46&gt;=$I46,0,($I46-$R46)/($I46-$K46))))</f>
        <v/>
      </c>
      <c r="V46" s="13">
        <f>IF(OR($U46="",$O46=""),"",$U46*$O46)</f>
        <v/>
      </c>
      <c r="W46" s="12" t="n">
        <v>0</v>
      </c>
      <c r="X46" s="13">
        <f>IF($R46="","",IF($R46&gt;=$K46,MAX(0,$R46-N($W46)),0))</f>
        <v/>
      </c>
      <c r="Y46" s="13">
        <f>IF($X46="","",$X46/EF_APLIC)</f>
        <v/>
      </c>
      <c r="Z46" s="15">
        <f>IF(OR($Y46="",$D46=""),"",$Y46*$D46*10)</f>
        <v/>
      </c>
      <c r="AA46" s="16">
        <f>IF($R46="","Dados insuficientes",IF($R46&gt;=$K46,"Irrigar",IF($R46&gt;=FRAC_ACOMP*$K46,"Acompanhar/Reavaliar","Nao irrigar neste momento")))</f>
        <v/>
      </c>
      <c r="AB46" s="16">
        <f>IF($R46="","-",IF($R46&gt;=$I46,"Critica",IF($R46&gt;=$K46,"Alta",IF($R46&gt;=FRAC_ACOMP*$K46,"Media","Baixa"))))</f>
        <v/>
      </c>
      <c r="AC46" s="17">
        <f>IF($R46="","Faltam solo/estado hidrico - meta provisoria apenas","Dr="&amp;TEXT($R46,"0.0")&amp;" / AFD="&amp;TEXT($K46,"0.0")&amp;" mm; "&amp;IF($R46&gt;=$K46,"atingiu o limite -&gt; repor ate alvo",IF($R46&gt;=FRAC_ACOMP*$K46,"proximo do limite","dentro do limite")))</f>
        <v/>
      </c>
      <c r="AD46" s="18" t="n"/>
      <c r="AE46" s="19" t="n"/>
    </row>
    <row r="47">
      <c r="A47" s="10" t="n"/>
      <c r="B47" s="20" t="n"/>
      <c r="C47" s="10" t="n"/>
      <c r="D47" s="21" t="n"/>
      <c r="E47" s="18" t="n"/>
      <c r="F47" s="9">
        <f>IF($E47="","",DATA_REF-$E47)</f>
        <v/>
      </c>
      <c r="G47" s="10" t="n"/>
      <c r="H47" s="11" t="n"/>
      <c r="I47" s="12" t="n"/>
      <c r="J47" s="11" t="n"/>
      <c r="K47" s="13">
        <f>IF(OR($J47="",$I47=""),"",$J47*$I47)</f>
        <v/>
      </c>
      <c r="L47" s="12" t="n"/>
      <c r="M47" s="12" t="n"/>
      <c r="N47" s="11" t="n"/>
      <c r="O47" s="13">
        <f>IF(OR($N47="",$M47=""),"",$N47*$M47)</f>
        <v/>
      </c>
      <c r="P47" s="12" t="n"/>
      <c r="Q47" s="12" t="n"/>
      <c r="R47" s="13">
        <f>IF(OR($I47="",$L47="",$O47=""),"",MIN($I47,MAX(0,$L47+$O47-N($P47)-N($Q47))))</f>
        <v/>
      </c>
      <c r="S47" s="13">
        <f>IF($R47="","",MAX(0,N($P47)+N($Q47)-$O47-$L47))</f>
        <v/>
      </c>
      <c r="T47" s="13">
        <f>IF($R47="","",$I47-$R47)</f>
        <v/>
      </c>
      <c r="U47" s="14">
        <f>IF(OR($I47="",$K47="",$R47=""),"",IF($R47&lt;=$K47,1,IF($R47&gt;=$I47,0,($I47-$R47)/($I47-$K47))))</f>
        <v/>
      </c>
      <c r="V47" s="13">
        <f>IF(OR($U47="",$O47=""),"",$U47*$O47)</f>
        <v/>
      </c>
      <c r="W47" s="12" t="n">
        <v>0</v>
      </c>
      <c r="X47" s="13">
        <f>IF($R47="","",IF($R47&gt;=$K47,MAX(0,$R47-N($W47)),0))</f>
        <v/>
      </c>
      <c r="Y47" s="13">
        <f>IF($X47="","",$X47/EF_APLIC)</f>
        <v/>
      </c>
      <c r="Z47" s="15">
        <f>IF(OR($Y47="",$D47=""),"",$Y47*$D47*10)</f>
        <v/>
      </c>
      <c r="AA47" s="16">
        <f>IF($R47="","Dados insuficientes",IF($R47&gt;=$K47,"Irrigar",IF($R47&gt;=FRAC_ACOMP*$K47,"Acompanhar/Reavaliar","Nao irrigar neste momento")))</f>
        <v/>
      </c>
      <c r="AB47" s="16">
        <f>IF($R47="","-",IF($R47&gt;=$I47,"Critica",IF($R47&gt;=$K47,"Alta",IF($R47&gt;=FRAC_ACOMP*$K47,"Media","Baixa"))))</f>
        <v/>
      </c>
      <c r="AC47" s="17">
        <f>IF($R47="","Faltam solo/estado hidrico - meta provisoria apenas","Dr="&amp;TEXT($R47,"0.0")&amp;" / AFD="&amp;TEXT($K47,"0.0")&amp;" mm; "&amp;IF($R47&gt;=$K47,"atingiu o limite -&gt; repor ate alvo",IF($R47&gt;=FRAC_ACOMP*$K47,"proximo do limite","dentro do limite")))</f>
        <v/>
      </c>
      <c r="AD47" s="18" t="n"/>
      <c r="AE47" s="19" t="n"/>
    </row>
    <row r="48">
      <c r="A48" s="10" t="n"/>
      <c r="B48" s="20" t="n"/>
      <c r="C48" s="10" t="n"/>
      <c r="D48" s="21" t="n"/>
      <c r="E48" s="18" t="n"/>
      <c r="F48" s="9">
        <f>IF($E48="","",DATA_REF-$E48)</f>
        <v/>
      </c>
      <c r="G48" s="10" t="n"/>
      <c r="H48" s="11" t="n"/>
      <c r="I48" s="12" t="n"/>
      <c r="J48" s="11" t="n"/>
      <c r="K48" s="13">
        <f>IF(OR($J48="",$I48=""),"",$J48*$I48)</f>
        <v/>
      </c>
      <c r="L48" s="12" t="n"/>
      <c r="M48" s="12" t="n"/>
      <c r="N48" s="11" t="n"/>
      <c r="O48" s="13">
        <f>IF(OR($N48="",$M48=""),"",$N48*$M48)</f>
        <v/>
      </c>
      <c r="P48" s="12" t="n"/>
      <c r="Q48" s="12" t="n"/>
      <c r="R48" s="13">
        <f>IF(OR($I48="",$L48="",$O48=""),"",MIN($I48,MAX(0,$L48+$O48-N($P48)-N($Q48))))</f>
        <v/>
      </c>
      <c r="S48" s="13">
        <f>IF($R48="","",MAX(0,N($P48)+N($Q48)-$O48-$L48))</f>
        <v/>
      </c>
      <c r="T48" s="13">
        <f>IF($R48="","",$I48-$R48)</f>
        <v/>
      </c>
      <c r="U48" s="14">
        <f>IF(OR($I48="",$K48="",$R48=""),"",IF($R48&lt;=$K48,1,IF($R48&gt;=$I48,0,($I48-$R48)/($I48-$K48))))</f>
        <v/>
      </c>
      <c r="V48" s="13">
        <f>IF(OR($U48="",$O48=""),"",$U48*$O48)</f>
        <v/>
      </c>
      <c r="W48" s="12" t="n">
        <v>0</v>
      </c>
      <c r="X48" s="13">
        <f>IF($R48="","",IF($R48&gt;=$K48,MAX(0,$R48-N($W48)),0))</f>
        <v/>
      </c>
      <c r="Y48" s="13">
        <f>IF($X48="","",$X48/EF_APLIC)</f>
        <v/>
      </c>
      <c r="Z48" s="15">
        <f>IF(OR($Y48="",$D48=""),"",$Y48*$D48*10)</f>
        <v/>
      </c>
      <c r="AA48" s="16">
        <f>IF($R48="","Dados insuficientes",IF($R48&gt;=$K48,"Irrigar",IF($R48&gt;=FRAC_ACOMP*$K48,"Acompanhar/Reavaliar","Nao irrigar neste momento")))</f>
        <v/>
      </c>
      <c r="AB48" s="16">
        <f>IF($R48="","-",IF($R48&gt;=$I48,"Critica",IF($R48&gt;=$K48,"Alta",IF($R48&gt;=FRAC_ACOMP*$K48,"Media","Baixa"))))</f>
        <v/>
      </c>
      <c r="AC48" s="17">
        <f>IF($R48="","Faltam solo/estado hidrico - meta provisoria apenas","Dr="&amp;TEXT($R48,"0.0")&amp;" / AFD="&amp;TEXT($K48,"0.0")&amp;" mm; "&amp;IF($R48&gt;=$K48,"atingiu o limite -&gt; repor ate alvo",IF($R48&gt;=FRAC_ACOMP*$K48,"proximo do limite","dentro do limite")))</f>
        <v/>
      </c>
      <c r="AD48" s="18" t="n"/>
      <c r="AE48" s="19" t="n"/>
    </row>
    <row r="49">
      <c r="A49" s="10" t="n"/>
      <c r="B49" s="20" t="n"/>
      <c r="C49" s="10" t="n"/>
      <c r="D49" s="21" t="n"/>
      <c r="E49" s="18" t="n"/>
      <c r="F49" s="9">
        <f>IF($E49="","",DATA_REF-$E49)</f>
        <v/>
      </c>
      <c r="G49" s="10" t="n"/>
      <c r="H49" s="11" t="n"/>
      <c r="I49" s="12" t="n"/>
      <c r="J49" s="11" t="n"/>
      <c r="K49" s="13">
        <f>IF(OR($J49="",$I49=""),"",$J49*$I49)</f>
        <v/>
      </c>
      <c r="L49" s="12" t="n"/>
      <c r="M49" s="12" t="n"/>
      <c r="N49" s="11" t="n"/>
      <c r="O49" s="13">
        <f>IF(OR($N49="",$M49=""),"",$N49*$M49)</f>
        <v/>
      </c>
      <c r="P49" s="12" t="n"/>
      <c r="Q49" s="12" t="n"/>
      <c r="R49" s="13">
        <f>IF(OR($I49="",$L49="",$O49=""),"",MIN($I49,MAX(0,$L49+$O49-N($P49)-N($Q49))))</f>
        <v/>
      </c>
      <c r="S49" s="13">
        <f>IF($R49="","",MAX(0,N($P49)+N($Q49)-$O49-$L49))</f>
        <v/>
      </c>
      <c r="T49" s="13">
        <f>IF($R49="","",$I49-$R49)</f>
        <v/>
      </c>
      <c r="U49" s="14">
        <f>IF(OR($I49="",$K49="",$R49=""),"",IF($R49&lt;=$K49,1,IF($R49&gt;=$I49,0,($I49-$R49)/($I49-$K49))))</f>
        <v/>
      </c>
      <c r="V49" s="13">
        <f>IF(OR($U49="",$O49=""),"",$U49*$O49)</f>
        <v/>
      </c>
      <c r="W49" s="12" t="n">
        <v>0</v>
      </c>
      <c r="X49" s="13">
        <f>IF($R49="","",IF($R49&gt;=$K49,MAX(0,$R49-N($W49)),0))</f>
        <v/>
      </c>
      <c r="Y49" s="13">
        <f>IF($X49="","",$X49/EF_APLIC)</f>
        <v/>
      </c>
      <c r="Z49" s="15">
        <f>IF(OR($Y49="",$D49=""),"",$Y49*$D49*10)</f>
        <v/>
      </c>
      <c r="AA49" s="16">
        <f>IF($R49="","Dados insuficientes",IF($R49&gt;=$K49,"Irrigar",IF($R49&gt;=FRAC_ACOMP*$K49,"Acompanhar/Reavaliar","Nao irrigar neste momento")))</f>
        <v/>
      </c>
      <c r="AB49" s="16">
        <f>IF($R49="","-",IF($R49&gt;=$I49,"Critica",IF($R49&gt;=$K49,"Alta",IF($R49&gt;=FRAC_ACOMP*$K49,"Media","Baixa"))))</f>
        <v/>
      </c>
      <c r="AC49" s="17">
        <f>IF($R49="","Faltam solo/estado hidrico - meta provisoria apenas","Dr="&amp;TEXT($R49,"0.0")&amp;" / AFD="&amp;TEXT($K49,"0.0")&amp;" mm; "&amp;IF($R49&gt;=$K49,"atingiu o limite -&gt; repor ate alvo",IF($R49&gt;=FRAC_ACOMP*$K49,"proximo do limite","dentro do limite")))</f>
        <v/>
      </c>
      <c r="AD49" s="18" t="n"/>
      <c r="AE49" s="19" t="n"/>
    </row>
    <row r="50">
      <c r="A50" s="10" t="n"/>
      <c r="B50" s="20" t="n"/>
      <c r="C50" s="10" t="n"/>
      <c r="D50" s="21" t="n"/>
      <c r="E50" s="18" t="n"/>
      <c r="F50" s="9">
        <f>IF($E50="","",DATA_REF-$E50)</f>
        <v/>
      </c>
      <c r="G50" s="10" t="n"/>
      <c r="H50" s="11" t="n"/>
      <c r="I50" s="12" t="n"/>
      <c r="J50" s="11" t="n"/>
      <c r="K50" s="13">
        <f>IF(OR($J50="",$I50=""),"",$J50*$I50)</f>
        <v/>
      </c>
      <c r="L50" s="12" t="n"/>
      <c r="M50" s="12" t="n"/>
      <c r="N50" s="11" t="n"/>
      <c r="O50" s="13">
        <f>IF(OR($N50="",$M50=""),"",$N50*$M50)</f>
        <v/>
      </c>
      <c r="P50" s="12" t="n"/>
      <c r="Q50" s="12" t="n"/>
      <c r="R50" s="13">
        <f>IF(OR($I50="",$L50="",$O50=""),"",MIN($I50,MAX(0,$L50+$O50-N($P50)-N($Q50))))</f>
        <v/>
      </c>
      <c r="S50" s="13">
        <f>IF($R50="","",MAX(0,N($P50)+N($Q50)-$O50-$L50))</f>
        <v/>
      </c>
      <c r="T50" s="13">
        <f>IF($R50="","",$I50-$R50)</f>
        <v/>
      </c>
      <c r="U50" s="14">
        <f>IF(OR($I50="",$K50="",$R50=""),"",IF($R50&lt;=$K50,1,IF($R50&gt;=$I50,0,($I50-$R50)/($I50-$K50))))</f>
        <v/>
      </c>
      <c r="V50" s="13">
        <f>IF(OR($U50="",$O50=""),"",$U50*$O50)</f>
        <v/>
      </c>
      <c r="W50" s="12" t="n">
        <v>0</v>
      </c>
      <c r="X50" s="13">
        <f>IF($R50="","",IF($R50&gt;=$K50,MAX(0,$R50-N($W50)),0))</f>
        <v/>
      </c>
      <c r="Y50" s="13">
        <f>IF($X50="","",$X50/EF_APLIC)</f>
        <v/>
      </c>
      <c r="Z50" s="15">
        <f>IF(OR($Y50="",$D50=""),"",$Y50*$D50*10)</f>
        <v/>
      </c>
      <c r="AA50" s="16">
        <f>IF($R50="","Dados insuficientes",IF($R50&gt;=$K50,"Irrigar",IF($R50&gt;=FRAC_ACOMP*$K50,"Acompanhar/Reavaliar","Nao irrigar neste momento")))</f>
        <v/>
      </c>
      <c r="AB50" s="16">
        <f>IF($R50="","-",IF($R50&gt;=$I50,"Critica",IF($R50&gt;=$K50,"Alta",IF($R50&gt;=FRAC_ACOMP*$K50,"Media","Baixa"))))</f>
        <v/>
      </c>
      <c r="AC50" s="17">
        <f>IF($R50="","Faltam solo/estado hidrico - meta provisoria apenas","Dr="&amp;TEXT($R50,"0.0")&amp;" / AFD="&amp;TEXT($K50,"0.0")&amp;" mm; "&amp;IF($R50&gt;=$K50,"atingiu o limite -&gt; repor ate alvo",IF($R50&gt;=FRAC_ACOMP*$K50,"proximo do limite","dentro do limite")))</f>
        <v/>
      </c>
      <c r="AD50" s="18" t="n"/>
      <c r="AE50" s="19" t="n"/>
    </row>
    <row r="51">
      <c r="A51" s="10" t="n"/>
      <c r="B51" s="20" t="n"/>
      <c r="C51" s="10" t="n"/>
      <c r="D51" s="21" t="n"/>
      <c r="E51" s="18" t="n"/>
      <c r="F51" s="9">
        <f>IF($E51="","",DATA_REF-$E51)</f>
        <v/>
      </c>
      <c r="G51" s="10" t="n"/>
      <c r="H51" s="11" t="n"/>
      <c r="I51" s="12" t="n"/>
      <c r="J51" s="11" t="n"/>
      <c r="K51" s="13">
        <f>IF(OR($J51="",$I51=""),"",$J51*$I51)</f>
        <v/>
      </c>
      <c r="L51" s="12" t="n"/>
      <c r="M51" s="12" t="n"/>
      <c r="N51" s="11" t="n"/>
      <c r="O51" s="13">
        <f>IF(OR($N51="",$M51=""),"",$N51*$M51)</f>
        <v/>
      </c>
      <c r="P51" s="12" t="n"/>
      <c r="Q51" s="12" t="n"/>
      <c r="R51" s="13">
        <f>IF(OR($I51="",$L51="",$O51=""),"",MIN($I51,MAX(0,$L51+$O51-N($P51)-N($Q51))))</f>
        <v/>
      </c>
      <c r="S51" s="13">
        <f>IF($R51="","",MAX(0,N($P51)+N($Q51)-$O51-$L51))</f>
        <v/>
      </c>
      <c r="T51" s="13">
        <f>IF($R51="","",$I51-$R51)</f>
        <v/>
      </c>
      <c r="U51" s="14">
        <f>IF(OR($I51="",$K51="",$R51=""),"",IF($R51&lt;=$K51,1,IF($R51&gt;=$I51,0,($I51-$R51)/($I51-$K51))))</f>
        <v/>
      </c>
      <c r="V51" s="13">
        <f>IF(OR($U51="",$O51=""),"",$U51*$O51)</f>
        <v/>
      </c>
      <c r="W51" s="12" t="n">
        <v>0</v>
      </c>
      <c r="X51" s="13">
        <f>IF($R51="","",IF($R51&gt;=$K51,MAX(0,$R51-N($W51)),0))</f>
        <v/>
      </c>
      <c r="Y51" s="13">
        <f>IF($X51="","",$X51/EF_APLIC)</f>
        <v/>
      </c>
      <c r="Z51" s="15">
        <f>IF(OR($Y51="",$D51=""),"",$Y51*$D51*10)</f>
        <v/>
      </c>
      <c r="AA51" s="16">
        <f>IF($R51="","Dados insuficientes",IF($R51&gt;=$K51,"Irrigar",IF($R51&gt;=FRAC_ACOMP*$K51,"Acompanhar/Reavaliar","Nao irrigar neste momento")))</f>
        <v/>
      </c>
      <c r="AB51" s="16">
        <f>IF($R51="","-",IF($R51&gt;=$I51,"Critica",IF($R51&gt;=$K51,"Alta",IF($R51&gt;=FRAC_ACOMP*$K51,"Media","Baixa"))))</f>
        <v/>
      </c>
      <c r="AC51" s="17">
        <f>IF($R51="","Faltam solo/estado hidrico - meta provisoria apenas","Dr="&amp;TEXT($R51,"0.0")&amp;" / AFD="&amp;TEXT($K51,"0.0")&amp;" mm; "&amp;IF($R51&gt;=$K51,"atingiu o limite -&gt; repor ate alvo",IF($R51&gt;=FRAC_ACOMP*$K51,"proximo do limite","dentro do limite")))</f>
        <v/>
      </c>
      <c r="AD51" s="18" t="n"/>
      <c r="AE51" s="19" t="n"/>
    </row>
    <row r="52">
      <c r="A52" s="10" t="n"/>
      <c r="B52" s="20" t="n"/>
      <c r="C52" s="10" t="n"/>
      <c r="D52" s="21" t="n"/>
      <c r="E52" s="18" t="n"/>
      <c r="F52" s="9">
        <f>IF($E52="","",DATA_REF-$E52)</f>
        <v/>
      </c>
      <c r="G52" s="10" t="n"/>
      <c r="H52" s="11" t="n"/>
      <c r="I52" s="12" t="n"/>
      <c r="J52" s="11" t="n"/>
      <c r="K52" s="13">
        <f>IF(OR($J52="",$I52=""),"",$J52*$I52)</f>
        <v/>
      </c>
      <c r="L52" s="12" t="n"/>
      <c r="M52" s="12" t="n"/>
      <c r="N52" s="11" t="n"/>
      <c r="O52" s="13">
        <f>IF(OR($N52="",$M52=""),"",$N52*$M52)</f>
        <v/>
      </c>
      <c r="P52" s="12" t="n"/>
      <c r="Q52" s="12" t="n"/>
      <c r="R52" s="13">
        <f>IF(OR($I52="",$L52="",$O52=""),"",MIN($I52,MAX(0,$L52+$O52-N($P52)-N($Q52))))</f>
        <v/>
      </c>
      <c r="S52" s="13">
        <f>IF($R52="","",MAX(0,N($P52)+N($Q52)-$O52-$L52))</f>
        <v/>
      </c>
      <c r="T52" s="13">
        <f>IF($R52="","",$I52-$R52)</f>
        <v/>
      </c>
      <c r="U52" s="14">
        <f>IF(OR($I52="",$K52="",$R52=""),"",IF($R52&lt;=$K52,1,IF($R52&gt;=$I52,0,($I52-$R52)/($I52-$K52))))</f>
        <v/>
      </c>
      <c r="V52" s="13">
        <f>IF(OR($U52="",$O52=""),"",$U52*$O52)</f>
        <v/>
      </c>
      <c r="W52" s="12" t="n">
        <v>0</v>
      </c>
      <c r="X52" s="13">
        <f>IF($R52="","",IF($R52&gt;=$K52,MAX(0,$R52-N($W52)),0))</f>
        <v/>
      </c>
      <c r="Y52" s="13">
        <f>IF($X52="","",$X52/EF_APLIC)</f>
        <v/>
      </c>
      <c r="Z52" s="15">
        <f>IF(OR($Y52="",$D52=""),"",$Y52*$D52*10)</f>
        <v/>
      </c>
      <c r="AA52" s="16">
        <f>IF($R52="","Dados insuficientes",IF($R52&gt;=$K52,"Irrigar",IF($R52&gt;=FRAC_ACOMP*$K52,"Acompanhar/Reavaliar","Nao irrigar neste momento")))</f>
        <v/>
      </c>
      <c r="AB52" s="16">
        <f>IF($R52="","-",IF($R52&gt;=$I52,"Critica",IF($R52&gt;=$K52,"Alta",IF($R52&gt;=FRAC_ACOMP*$K52,"Media","Baixa"))))</f>
        <v/>
      </c>
      <c r="AC52" s="17">
        <f>IF($R52="","Faltam solo/estado hidrico - meta provisoria apenas","Dr="&amp;TEXT($R52,"0.0")&amp;" / AFD="&amp;TEXT($K52,"0.0")&amp;" mm; "&amp;IF($R52&gt;=$K52,"atingiu o limite -&gt; repor ate alvo",IF($R52&gt;=FRAC_ACOMP*$K52,"proximo do limite","dentro do limite")))</f>
        <v/>
      </c>
      <c r="AD52" s="18" t="n"/>
      <c r="AE52" s="19" t="n"/>
    </row>
    <row r="54">
      <c r="A54" s="19" t="inlineStr">
        <is>
          <t>Importadas 40 de 86 parcelas de soja (demais em SOJA). Decisao fica 'Dados insuficientes' ate preencher Zr/CAD/p/Dr/ETo/Kc. Isso NAO e bom estado hidrico - e falta de dado.</t>
        </is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3" t="n"/>
    </row>
  </sheetData>
  <mergeCells count="1">
    <mergeCell ref="A54:AE5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6" customWidth="1" min="4" max="4"/>
  </cols>
  <sheetData>
    <row r="1" ht="20" customHeight="1">
      <c r="A1" s="1" t="inlineStr">
        <is>
          <t>RESUMO - sintese do manejo, atendimento, agua e energia</t>
        </is>
      </c>
    </row>
    <row r="2">
      <c r="A2" s="2" t="inlineStr">
        <is>
          <t>Agrega custos e denominadores compativeis.</t>
        </is>
      </c>
    </row>
    <row r="4" ht="28" customHeight="1">
      <c r="A4" s="4" t="inlineStr">
        <is>
          <t>Indicador</t>
        </is>
      </c>
      <c r="B4" s="4" t="inlineStr">
        <is>
          <t>Valor</t>
        </is>
      </c>
      <c r="C4" s="4" t="inlineStr">
        <is>
          <t>Unid</t>
        </is>
      </c>
      <c r="D4" s="4" t="inlineStr">
        <is>
          <t>Fonte / observacao</t>
        </is>
      </c>
    </row>
    <row r="5">
      <c r="A5" s="17" t="inlineStr">
        <is>
          <t>Parcelas ativas (MANEJO)</t>
        </is>
      </c>
      <c r="B5" s="7">
        <f>COUNTA(MANEJO!$A$5:$A$52)</f>
        <v/>
      </c>
      <c r="C5" s="24" t="inlineStr">
        <is>
          <t>un</t>
        </is>
      </c>
      <c r="D5" s="19" t="inlineStr"/>
    </row>
    <row r="6">
      <c r="A6" s="17" t="inlineStr">
        <is>
          <t>Parcelas 'Irrigar'</t>
        </is>
      </c>
      <c r="B6" s="7">
        <f>COUNTIF(MANEJO!$AA$5:$AA$52,"Irrigar")</f>
        <v/>
      </c>
      <c r="C6" s="24" t="inlineStr">
        <is>
          <t>un</t>
        </is>
      </c>
      <c r="D6" s="19" t="inlineStr"/>
    </row>
    <row r="7">
      <c r="A7" s="17" t="inlineStr">
        <is>
          <t>Parcelas 'Acompanhar/Reavaliar'</t>
        </is>
      </c>
      <c r="B7" s="7">
        <f>COUNTIF(MANEJO!$AA$5:$AA$52,"Acompanhar/Reavaliar")</f>
        <v/>
      </c>
      <c r="C7" s="24" t="inlineStr">
        <is>
          <t>un</t>
        </is>
      </c>
      <c r="D7" s="19" t="inlineStr"/>
    </row>
    <row r="8">
      <c r="A8" s="17" t="inlineStr">
        <is>
          <t>Parcelas com dados insuficientes</t>
        </is>
      </c>
      <c r="B8" s="7">
        <f>COUNTIF(MANEJO!$AA$5:$AA$52,"Dados insuficientes")</f>
        <v/>
      </c>
      <c r="C8" s="24" t="inlineStr">
        <is>
          <t>un</t>
        </is>
      </c>
      <c r="D8" s="19" t="inlineStr">
        <is>
          <t>Nao e bom estado - e falta de dado</t>
        </is>
      </c>
    </row>
    <row r="9">
      <c r="A9" s="17" t="inlineStr">
        <is>
          <t>Area ativa (ha)</t>
        </is>
      </c>
      <c r="B9" s="7">
        <f>SUM(MANEJO!$D$5:$D$52)</f>
        <v/>
      </c>
      <c r="C9" s="24" t="inlineStr">
        <is>
          <t>ha</t>
        </is>
      </c>
      <c r="D9" s="19" t="inlineStr"/>
    </row>
    <row r="10">
      <c r="A10" s="17" t="inlineStr">
        <is>
          <t>Necessidade liquida total (mm)</t>
        </is>
      </c>
      <c r="B10" s="7">
        <f>SUM(MANEJO!$X$5:$X$52)</f>
        <v/>
      </c>
      <c r="C10" s="24" t="inlineStr">
        <is>
          <t>mm</t>
        </is>
      </c>
      <c r="D10" s="19" t="inlineStr">
        <is>
          <t>Soma; p/ media ponderar por area</t>
        </is>
      </c>
    </row>
    <row r="11">
      <c r="A11" s="17" t="inlineStr">
        <is>
          <t>Necessidade bruta total (mm)</t>
        </is>
      </c>
      <c r="B11" s="7">
        <f>SUM(MANEJO!$Y$5:$Y$52)</f>
        <v/>
      </c>
      <c r="C11" s="24" t="inlineStr">
        <is>
          <t>mm</t>
        </is>
      </c>
      <c r="D11" s="19" t="inlineStr"/>
    </row>
    <row r="12">
      <c r="A12" s="17" t="inlineStr">
        <is>
          <t>Volume bruto necessario (m3)</t>
        </is>
      </c>
      <c r="B12" s="7">
        <f>SUM(MANEJO!$Z$5:$Z$52)</f>
        <v/>
      </c>
      <c r="C12" s="24" t="inlineStr">
        <is>
          <t>m3</t>
        </is>
      </c>
      <c r="D12" s="19" t="inlineStr"/>
    </row>
    <row r="13">
      <c r="A13" s="17" t="inlineStr">
        <is>
          <t>Pivos cadastrados</t>
        </is>
      </c>
      <c r="B13" s="7">
        <f>COUNTA(PIVOS!$A$5:$A$112)</f>
        <v/>
      </c>
      <c r="C13" s="24" t="inlineStr">
        <is>
          <t>un</t>
        </is>
      </c>
      <c r="D13" s="19" t="inlineStr">
        <is>
          <t>Importado</t>
        </is>
      </c>
    </row>
    <row r="14">
      <c r="A14" s="17" t="inlineStr">
        <is>
          <t>Vazao instalada total (m3/h)</t>
        </is>
      </c>
      <c r="B14" s="7">
        <f>SUM(PIVOS!$G$5:$G$112)</f>
        <v/>
      </c>
      <c r="C14" s="24" t="inlineStr">
        <is>
          <t>m3/h</t>
        </is>
      </c>
      <c r="D14" s="19" t="inlineStr">
        <is>
          <t>Soma nominal - nao e capacidade entregue</t>
        </is>
      </c>
    </row>
    <row r="15">
      <c r="A15" s="17" t="inlineStr">
        <is>
          <t>Soja 26/27 - area total (ha)</t>
        </is>
      </c>
      <c r="B15" s="7">
        <f>SUM(SOJA!$C$5:$C$90)</f>
        <v/>
      </c>
      <c r="C15" s="24" t="inlineStr">
        <is>
          <t>ha</t>
        </is>
      </c>
      <c r="D15" s="19" t="inlineStr">
        <is>
          <t>Importado</t>
        </is>
      </c>
    </row>
    <row r="17">
      <c r="A17" s="19" t="inlineStr">
        <is>
          <t>Mostrar primeiro parcelas que precisam de atendimento e pendencias de dados. Medias de lamina ponderadas por area. Projecoes futuras em visualizacao separada.</t>
        </is>
      </c>
      <c r="B17" s="22" t="n"/>
      <c r="C17" s="22" t="n"/>
      <c r="D17" s="23" t="n"/>
    </row>
  </sheetData>
  <mergeCells count="1">
    <mergeCell ref="A17:D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AJ20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9" customWidth="1" min="4" max="4"/>
    <col width="8" customWidth="1" min="5" max="5"/>
    <col width="14" customWidth="1" min="6" max="6"/>
    <col width="6" customWidth="1" min="7" max="7"/>
    <col width="8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 ht="20" customHeight="1">
      <c r="A1" s="1" t="inlineStr">
        <is>
          <t>PROGRAMACAO - plano dos 7 dias (pivos nas linhas, dias nas colunas)</t>
        </is>
      </c>
    </row>
    <row r="2">
      <c r="A2" s="2" t="inlineStr">
        <is>
          <t>Consolida o plano. Executa a necessidade do MANEJO conferindo capacidade. Lamina/horas reais por percentimetro.</t>
        </is>
      </c>
    </row>
    <row r="3">
      <c r="I3" s="25">
        <f>IF('PARAMETROS'!$B$14="","Dia 1",'PARAMETROS'!$B$14+0)</f>
        <v/>
      </c>
      <c r="L3" s="25">
        <f>IF('PARAMETROS'!$B$14="","Dia 2",'PARAMETROS'!$B$14+1)</f>
        <v/>
      </c>
      <c r="O3" s="25">
        <f>IF('PARAMETROS'!$B$14="","Dia 3",'PARAMETROS'!$B$14+2)</f>
        <v/>
      </c>
      <c r="R3" s="25">
        <f>IF('PARAMETROS'!$B$14="","Dia 4",'PARAMETROS'!$B$14+3)</f>
        <v/>
      </c>
      <c r="U3" s="25">
        <f>IF('PARAMETROS'!$B$14="","Dia 5",'PARAMETROS'!$B$14+4)</f>
        <v/>
      </c>
      <c r="X3" s="25">
        <f>IF('PARAMETROS'!$B$14="","Dia 6",'PARAMETROS'!$B$14+5)</f>
        <v/>
      </c>
      <c r="AA3" s="25">
        <f>IF('PARAMETROS'!$B$14="","Dia 7",'PARAMETROS'!$B$14+6)</f>
        <v/>
      </c>
    </row>
    <row r="4" ht="28" customHeight="1">
      <c r="A4" s="4" t="inlineStr">
        <is>
          <t>Casa b.</t>
        </is>
      </c>
      <c r="B4" s="4" t="inlineStr">
        <is>
          <t>Pivo</t>
        </is>
      </c>
      <c r="C4" s="4" t="inlineStr">
        <is>
          <t>Cod L/H</t>
        </is>
      </c>
      <c r="D4" s="4" t="inlineStr">
        <is>
          <t>Area (ha)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DAE</t>
        </is>
      </c>
      <c r="H4" s="4" t="inlineStr">
        <is>
          <t>Meta (mm)</t>
        </is>
      </c>
      <c r="I4" s="26" t="inlineStr">
        <is>
          <t>%</t>
        </is>
      </c>
      <c r="J4" s="26" t="inlineStr">
        <is>
          <t>Lam</t>
        </is>
      </c>
      <c r="K4" s="26" t="inlineStr">
        <is>
          <t>h</t>
        </is>
      </c>
      <c r="L4" s="26" t="inlineStr">
        <is>
          <t>%</t>
        </is>
      </c>
      <c r="M4" s="26" t="inlineStr">
        <is>
          <t>Lam</t>
        </is>
      </c>
      <c r="N4" s="26" t="inlineStr">
        <is>
          <t>h</t>
        </is>
      </c>
      <c r="O4" s="26" t="inlineStr">
        <is>
          <t>%</t>
        </is>
      </c>
      <c r="P4" s="26" t="inlineStr">
        <is>
          <t>Lam</t>
        </is>
      </c>
      <c r="Q4" s="26" t="inlineStr">
        <is>
          <t>h</t>
        </is>
      </c>
      <c r="R4" s="26" t="inlineStr">
        <is>
          <t>%</t>
        </is>
      </c>
      <c r="S4" s="26" t="inlineStr">
        <is>
          <t>Lam</t>
        </is>
      </c>
      <c r="T4" s="26" t="inlineStr">
        <is>
          <t>h</t>
        </is>
      </c>
      <c r="U4" s="26" t="inlineStr">
        <is>
          <t>%</t>
        </is>
      </c>
      <c r="V4" s="26" t="inlineStr">
        <is>
          <t>Lam</t>
        </is>
      </c>
      <c r="W4" s="26" t="inlineStr">
        <is>
          <t>h</t>
        </is>
      </c>
      <c r="X4" s="26" t="inlineStr">
        <is>
          <t>%</t>
        </is>
      </c>
      <c r="Y4" s="26" t="inlineStr">
        <is>
          <t>Lam</t>
        </is>
      </c>
      <c r="Z4" s="26" t="inlineStr">
        <is>
          <t>h</t>
        </is>
      </c>
      <c r="AA4" s="26" t="inlineStr">
        <is>
          <t>%</t>
        </is>
      </c>
      <c r="AB4" s="26" t="inlineStr">
        <is>
          <t>Lam</t>
        </is>
      </c>
      <c r="AC4" s="26" t="inlineStr">
        <is>
          <t>h</t>
        </is>
      </c>
      <c r="AD4" s="4" t="inlineStr">
        <is>
          <t>Lam total (mm)</t>
        </is>
      </c>
      <c r="AE4" s="4" t="inlineStr">
        <is>
          <t>Vol (m3)</t>
        </is>
      </c>
      <c r="AF4" s="4" t="inlineStr">
        <is>
          <t>CE (kWh/m3)</t>
        </is>
      </c>
      <c r="AG4" s="4" t="inlineStr">
        <is>
          <t>Energia (kWh)</t>
        </is>
      </c>
      <c r="AH4" s="4" t="inlineStr">
        <is>
          <t>Custo (R$)</t>
        </is>
      </c>
      <c r="AI4" s="4" t="inlineStr">
        <is>
          <t>Atend.</t>
        </is>
      </c>
      <c r="AJ4" s="4" t="inlineStr">
        <is>
          <t>Pendencias</t>
        </is>
      </c>
    </row>
    <row r="5">
      <c r="A5" s="6" t="inlineStr">
        <is>
          <t>R0</t>
        </is>
      </c>
      <c r="B5" s="6" t="inlineStr">
        <is>
          <t>Pivô 01</t>
        </is>
      </c>
      <c r="C5" s="20" t="inlineStr">
        <is>
          <t>P1</t>
        </is>
      </c>
      <c r="D5" s="7" t="n">
        <v>150.01</v>
      </c>
      <c r="E5" s="20" t="n"/>
      <c r="F5" s="20" t="n"/>
      <c r="G5" s="20" t="n"/>
      <c r="H5" s="20" t="n"/>
      <c r="I5" s="20" t="n"/>
      <c r="J5" s="27">
        <f>IF(OR($C5="",I5=""),"",IFERROR(INDEX('LAMINA_HORA'!$C$5:$V$114,MATCH($C5,'LAMINA_HORA'!$A$5:$A$114,0),MATCH(I5,'LAMINA_HORA'!$C$3:$V$3,0)),"?"))</f>
        <v/>
      </c>
      <c r="K5" s="27">
        <f>IF(OR($C5="",I5=""),"",IFERROR(INDEX('LAMINA_HORA'!$W$5:$AP$114,MATCH($C5,'LAMINA_HORA'!$A$5:$A$114,0),MATCH(I5,'LAMINA_HORA'!$W$3:$AP$3,0)),"?"))</f>
        <v/>
      </c>
      <c r="L5" s="20" t="n"/>
      <c r="M5" s="27">
        <f>IF(OR($C5="",L5=""),"",IFERROR(INDEX('LAMINA_HORA'!$C$5:$V$114,MATCH($C5,'LAMINA_HORA'!$A$5:$A$114,0),MATCH(L5,'LAMINA_HORA'!$C$3:$V$3,0)),"?"))</f>
        <v/>
      </c>
      <c r="N5" s="27">
        <f>IF(OR($C5="",L5=""),"",IFERROR(INDEX('LAMINA_HORA'!$W$5:$AP$114,MATCH($C5,'LAMINA_HORA'!$A$5:$A$114,0),MATCH(L5,'LAMINA_HORA'!$W$3:$AP$3,0)),"?"))</f>
        <v/>
      </c>
      <c r="O5" s="20" t="n"/>
      <c r="P5" s="27">
        <f>IF(OR($C5="",O5=""),"",IFERROR(INDEX('LAMINA_HORA'!$C$5:$V$114,MATCH($C5,'LAMINA_HORA'!$A$5:$A$114,0),MATCH(O5,'LAMINA_HORA'!$C$3:$V$3,0)),"?"))</f>
        <v/>
      </c>
      <c r="Q5" s="27">
        <f>IF(OR($C5="",O5=""),"",IFERROR(INDEX('LAMINA_HORA'!$W$5:$AP$114,MATCH($C5,'LAMINA_HORA'!$A$5:$A$114,0),MATCH(O5,'LAMINA_HORA'!$W$3:$AP$3,0)),"?"))</f>
        <v/>
      </c>
      <c r="R5" s="20" t="n"/>
      <c r="S5" s="27">
        <f>IF(OR($C5="",R5=""),"",IFERROR(INDEX('LAMINA_HORA'!$C$5:$V$114,MATCH($C5,'LAMINA_HORA'!$A$5:$A$114,0),MATCH(R5,'LAMINA_HORA'!$C$3:$V$3,0)),"?"))</f>
        <v/>
      </c>
      <c r="T5" s="27">
        <f>IF(OR($C5="",R5=""),"",IFERROR(INDEX('LAMINA_HORA'!$W$5:$AP$114,MATCH($C5,'LAMINA_HORA'!$A$5:$A$114,0),MATCH(R5,'LAMINA_HORA'!$W$3:$AP$3,0)),"?"))</f>
        <v/>
      </c>
      <c r="U5" s="20" t="n"/>
      <c r="V5" s="27">
        <f>IF(OR($C5="",U5=""),"",IFERROR(INDEX('LAMINA_HORA'!$C$5:$V$114,MATCH($C5,'LAMINA_HORA'!$A$5:$A$114,0),MATCH(U5,'LAMINA_HORA'!$C$3:$V$3,0)),"?"))</f>
        <v/>
      </c>
      <c r="W5" s="27">
        <f>IF(OR($C5="",U5=""),"",IFERROR(INDEX('LAMINA_HORA'!$W$5:$AP$114,MATCH($C5,'LAMINA_HORA'!$A$5:$A$114,0),MATCH(U5,'LAMINA_HORA'!$W$3:$AP$3,0)),"?"))</f>
        <v/>
      </c>
      <c r="X5" s="20" t="n"/>
      <c r="Y5" s="27">
        <f>IF(OR($C5="",X5=""),"",IFERROR(INDEX('LAMINA_HORA'!$C$5:$V$114,MATCH($C5,'LAMINA_HORA'!$A$5:$A$114,0),MATCH(X5,'LAMINA_HORA'!$C$3:$V$3,0)),"?"))</f>
        <v/>
      </c>
      <c r="Z5" s="27">
        <f>IF(OR($C5="",X5=""),"",IFERROR(INDEX('LAMINA_HORA'!$W$5:$AP$114,MATCH($C5,'LAMINA_HORA'!$A$5:$A$114,0),MATCH(X5,'LAMINA_HORA'!$W$3:$AP$3,0)),"?"))</f>
        <v/>
      </c>
      <c r="AA5" s="20" t="n"/>
      <c r="AB5" s="27">
        <f>IF(OR($C5="",AA5=""),"",IFERROR(INDEX('LAMINA_HORA'!$C$5:$V$114,MATCH($C5,'LAMINA_HORA'!$A$5:$A$114,0),MATCH(AA5,'LAMINA_HORA'!$C$3:$V$3,0)),"?"))</f>
        <v/>
      </c>
      <c r="AC5" s="27">
        <f>IF(OR($C5="",AA5=""),"",IFERROR(INDEX('LAMINA_HORA'!$W$5:$AP$114,MATCH($C5,'LAMINA_HORA'!$A$5:$A$114,0),MATCH(AA5,'LAMINA_HORA'!$W$3:$AP$3,0)),"?"))</f>
        <v/>
      </c>
      <c r="AD5" s="13">
        <f>SUM(J5,M5,P5,S5,V5,Y5,AB5)</f>
        <v/>
      </c>
      <c r="AE5" s="15">
        <f>IF(OR($D5="",AD5=""),"",AD5*$D5*10)</f>
        <v/>
      </c>
      <c r="AF5" s="28" t="n"/>
      <c r="AG5" s="15">
        <f>IF(OR(AE5="",AF5=""),"",AE5*AF5)</f>
        <v/>
      </c>
      <c r="AH5" s="28" t="n"/>
      <c r="AI5" s="20" t="n"/>
      <c r="AJ5" s="19" t="n"/>
    </row>
    <row r="6">
      <c r="A6" s="6" t="inlineStr">
        <is>
          <t>R0</t>
        </is>
      </c>
      <c r="B6" s="6" t="inlineStr">
        <is>
          <t>Pivô 02</t>
        </is>
      </c>
      <c r="C6" s="20" t="inlineStr">
        <is>
          <t>P2</t>
        </is>
      </c>
      <c r="D6" s="7" t="n">
        <v>123.72</v>
      </c>
      <c r="E6" s="20" t="n"/>
      <c r="F6" s="20" t="n"/>
      <c r="G6" s="20" t="n"/>
      <c r="H6" s="20" t="n"/>
      <c r="I6" s="20" t="n"/>
      <c r="J6" s="27">
        <f>IF(OR($C6="",I6=""),"",IFERROR(INDEX('LAMINA_HORA'!$C$5:$V$114,MATCH($C6,'LAMINA_HORA'!$A$5:$A$114,0),MATCH(I6,'LAMINA_HORA'!$C$3:$V$3,0)),"?"))</f>
        <v/>
      </c>
      <c r="K6" s="27">
        <f>IF(OR($C6="",I6=""),"",IFERROR(INDEX('LAMINA_HORA'!$W$5:$AP$114,MATCH($C6,'LAMINA_HORA'!$A$5:$A$114,0),MATCH(I6,'LAMINA_HORA'!$W$3:$AP$3,0)),"?"))</f>
        <v/>
      </c>
      <c r="L6" s="20" t="n"/>
      <c r="M6" s="27">
        <f>IF(OR($C6="",L6=""),"",IFERROR(INDEX('LAMINA_HORA'!$C$5:$V$114,MATCH($C6,'LAMINA_HORA'!$A$5:$A$114,0),MATCH(L6,'LAMINA_HORA'!$C$3:$V$3,0)),"?"))</f>
        <v/>
      </c>
      <c r="N6" s="27">
        <f>IF(OR($C6="",L6=""),"",IFERROR(INDEX('LAMINA_HORA'!$W$5:$AP$114,MATCH($C6,'LAMINA_HORA'!$A$5:$A$114,0),MATCH(L6,'LAMINA_HORA'!$W$3:$AP$3,0)),"?"))</f>
        <v/>
      </c>
      <c r="O6" s="20" t="n"/>
      <c r="P6" s="27">
        <f>IF(OR($C6="",O6=""),"",IFERROR(INDEX('LAMINA_HORA'!$C$5:$V$114,MATCH($C6,'LAMINA_HORA'!$A$5:$A$114,0),MATCH(O6,'LAMINA_HORA'!$C$3:$V$3,0)),"?"))</f>
        <v/>
      </c>
      <c r="Q6" s="27">
        <f>IF(OR($C6="",O6=""),"",IFERROR(INDEX('LAMINA_HORA'!$W$5:$AP$114,MATCH($C6,'LAMINA_HORA'!$A$5:$A$114,0),MATCH(O6,'LAMINA_HORA'!$W$3:$AP$3,0)),"?"))</f>
        <v/>
      </c>
      <c r="R6" s="20" t="n"/>
      <c r="S6" s="27">
        <f>IF(OR($C6="",R6=""),"",IFERROR(INDEX('LAMINA_HORA'!$C$5:$V$114,MATCH($C6,'LAMINA_HORA'!$A$5:$A$114,0),MATCH(R6,'LAMINA_HORA'!$C$3:$V$3,0)),"?"))</f>
        <v/>
      </c>
      <c r="T6" s="27">
        <f>IF(OR($C6="",R6=""),"",IFERROR(INDEX('LAMINA_HORA'!$W$5:$AP$114,MATCH($C6,'LAMINA_HORA'!$A$5:$A$114,0),MATCH(R6,'LAMINA_HORA'!$W$3:$AP$3,0)),"?"))</f>
        <v/>
      </c>
      <c r="U6" s="20" t="n"/>
      <c r="V6" s="27">
        <f>IF(OR($C6="",U6=""),"",IFERROR(INDEX('LAMINA_HORA'!$C$5:$V$114,MATCH($C6,'LAMINA_HORA'!$A$5:$A$114,0),MATCH(U6,'LAMINA_HORA'!$C$3:$V$3,0)),"?"))</f>
        <v/>
      </c>
      <c r="W6" s="27">
        <f>IF(OR($C6="",U6=""),"",IFERROR(INDEX('LAMINA_HORA'!$W$5:$AP$114,MATCH($C6,'LAMINA_HORA'!$A$5:$A$114,0),MATCH(U6,'LAMINA_HORA'!$W$3:$AP$3,0)),"?"))</f>
        <v/>
      </c>
      <c r="X6" s="20" t="n"/>
      <c r="Y6" s="27">
        <f>IF(OR($C6="",X6=""),"",IFERROR(INDEX('LAMINA_HORA'!$C$5:$V$114,MATCH($C6,'LAMINA_HORA'!$A$5:$A$114,0),MATCH(X6,'LAMINA_HORA'!$C$3:$V$3,0)),"?"))</f>
        <v/>
      </c>
      <c r="Z6" s="27">
        <f>IF(OR($C6="",X6=""),"",IFERROR(INDEX('LAMINA_HORA'!$W$5:$AP$114,MATCH($C6,'LAMINA_HORA'!$A$5:$A$114,0),MATCH(X6,'LAMINA_HORA'!$W$3:$AP$3,0)),"?"))</f>
        <v/>
      </c>
      <c r="AA6" s="20" t="n"/>
      <c r="AB6" s="27">
        <f>IF(OR($C6="",AA6=""),"",IFERROR(INDEX('LAMINA_HORA'!$C$5:$V$114,MATCH($C6,'LAMINA_HORA'!$A$5:$A$114,0),MATCH(AA6,'LAMINA_HORA'!$C$3:$V$3,0)),"?"))</f>
        <v/>
      </c>
      <c r="AC6" s="27">
        <f>IF(OR($C6="",AA6=""),"",IFERROR(INDEX('LAMINA_HORA'!$W$5:$AP$114,MATCH($C6,'LAMINA_HORA'!$A$5:$A$114,0),MATCH(AA6,'LAMINA_HORA'!$W$3:$AP$3,0)),"?"))</f>
        <v/>
      </c>
      <c r="AD6" s="13">
        <f>SUM(J6,M6,P6,S6,V6,Y6,AB6)</f>
        <v/>
      </c>
      <c r="AE6" s="15">
        <f>IF(OR($D6="",AD6=""),"",AD6*$D6*10)</f>
        <v/>
      </c>
      <c r="AF6" s="28" t="n"/>
      <c r="AG6" s="15">
        <f>IF(OR(AE6="",AF6=""),"",AE6*AF6)</f>
        <v/>
      </c>
      <c r="AH6" s="28" t="n"/>
      <c r="AI6" s="20" t="n"/>
      <c r="AJ6" s="19" t="n"/>
    </row>
    <row r="7">
      <c r="A7" s="6" t="inlineStr">
        <is>
          <t>R0</t>
        </is>
      </c>
      <c r="B7" s="6" t="inlineStr">
        <is>
          <t>Pivô 03</t>
        </is>
      </c>
      <c r="C7" s="20" t="inlineStr">
        <is>
          <t>P3</t>
        </is>
      </c>
      <c r="D7" s="7" t="n">
        <v>150.01</v>
      </c>
      <c r="E7" s="20" t="n"/>
      <c r="F7" s="20" t="n"/>
      <c r="G7" s="20" t="n"/>
      <c r="H7" s="20" t="n"/>
      <c r="I7" s="20" t="n"/>
      <c r="J7" s="27">
        <f>IF(OR($C7="",I7=""),"",IFERROR(INDEX('LAMINA_HORA'!$C$5:$V$114,MATCH($C7,'LAMINA_HORA'!$A$5:$A$114,0),MATCH(I7,'LAMINA_HORA'!$C$3:$V$3,0)),"?"))</f>
        <v/>
      </c>
      <c r="K7" s="27">
        <f>IF(OR($C7="",I7=""),"",IFERROR(INDEX('LAMINA_HORA'!$W$5:$AP$114,MATCH($C7,'LAMINA_HORA'!$A$5:$A$114,0),MATCH(I7,'LAMINA_HORA'!$W$3:$AP$3,0)),"?"))</f>
        <v/>
      </c>
      <c r="L7" s="20" t="n"/>
      <c r="M7" s="27">
        <f>IF(OR($C7="",L7=""),"",IFERROR(INDEX('LAMINA_HORA'!$C$5:$V$114,MATCH($C7,'LAMINA_HORA'!$A$5:$A$114,0),MATCH(L7,'LAMINA_HORA'!$C$3:$V$3,0)),"?"))</f>
        <v/>
      </c>
      <c r="N7" s="27">
        <f>IF(OR($C7="",L7=""),"",IFERROR(INDEX('LAMINA_HORA'!$W$5:$AP$114,MATCH($C7,'LAMINA_HORA'!$A$5:$A$114,0),MATCH(L7,'LAMINA_HORA'!$W$3:$AP$3,0)),"?"))</f>
        <v/>
      </c>
      <c r="O7" s="20" t="n"/>
      <c r="P7" s="27">
        <f>IF(OR($C7="",O7=""),"",IFERROR(INDEX('LAMINA_HORA'!$C$5:$V$114,MATCH($C7,'LAMINA_HORA'!$A$5:$A$114,0),MATCH(O7,'LAMINA_HORA'!$C$3:$V$3,0)),"?"))</f>
        <v/>
      </c>
      <c r="Q7" s="27">
        <f>IF(OR($C7="",O7=""),"",IFERROR(INDEX('LAMINA_HORA'!$W$5:$AP$114,MATCH($C7,'LAMINA_HORA'!$A$5:$A$114,0),MATCH(O7,'LAMINA_HORA'!$W$3:$AP$3,0)),"?"))</f>
        <v/>
      </c>
      <c r="R7" s="20" t="n"/>
      <c r="S7" s="27">
        <f>IF(OR($C7="",R7=""),"",IFERROR(INDEX('LAMINA_HORA'!$C$5:$V$114,MATCH($C7,'LAMINA_HORA'!$A$5:$A$114,0),MATCH(R7,'LAMINA_HORA'!$C$3:$V$3,0)),"?"))</f>
        <v/>
      </c>
      <c r="T7" s="27">
        <f>IF(OR($C7="",R7=""),"",IFERROR(INDEX('LAMINA_HORA'!$W$5:$AP$114,MATCH($C7,'LAMINA_HORA'!$A$5:$A$114,0),MATCH(R7,'LAMINA_HORA'!$W$3:$AP$3,0)),"?"))</f>
        <v/>
      </c>
      <c r="U7" s="20" t="n"/>
      <c r="V7" s="27">
        <f>IF(OR($C7="",U7=""),"",IFERROR(INDEX('LAMINA_HORA'!$C$5:$V$114,MATCH($C7,'LAMINA_HORA'!$A$5:$A$114,0),MATCH(U7,'LAMINA_HORA'!$C$3:$V$3,0)),"?"))</f>
        <v/>
      </c>
      <c r="W7" s="27">
        <f>IF(OR($C7="",U7=""),"",IFERROR(INDEX('LAMINA_HORA'!$W$5:$AP$114,MATCH($C7,'LAMINA_HORA'!$A$5:$A$114,0),MATCH(U7,'LAMINA_HORA'!$W$3:$AP$3,0)),"?"))</f>
        <v/>
      </c>
      <c r="X7" s="20" t="n"/>
      <c r="Y7" s="27">
        <f>IF(OR($C7="",X7=""),"",IFERROR(INDEX('LAMINA_HORA'!$C$5:$V$114,MATCH($C7,'LAMINA_HORA'!$A$5:$A$114,0),MATCH(X7,'LAMINA_HORA'!$C$3:$V$3,0)),"?"))</f>
        <v/>
      </c>
      <c r="Z7" s="27">
        <f>IF(OR($C7="",X7=""),"",IFERROR(INDEX('LAMINA_HORA'!$W$5:$AP$114,MATCH($C7,'LAMINA_HORA'!$A$5:$A$114,0),MATCH(X7,'LAMINA_HORA'!$W$3:$AP$3,0)),"?"))</f>
        <v/>
      </c>
      <c r="AA7" s="20" t="n"/>
      <c r="AB7" s="27">
        <f>IF(OR($C7="",AA7=""),"",IFERROR(INDEX('LAMINA_HORA'!$C$5:$V$114,MATCH($C7,'LAMINA_HORA'!$A$5:$A$114,0),MATCH(AA7,'LAMINA_HORA'!$C$3:$V$3,0)),"?"))</f>
        <v/>
      </c>
      <c r="AC7" s="27">
        <f>IF(OR($C7="",AA7=""),"",IFERROR(INDEX('LAMINA_HORA'!$W$5:$AP$114,MATCH($C7,'LAMINA_HORA'!$A$5:$A$114,0),MATCH(AA7,'LAMINA_HORA'!$W$3:$AP$3,0)),"?"))</f>
        <v/>
      </c>
      <c r="AD7" s="13">
        <f>SUM(J7,M7,P7,S7,V7,Y7,AB7)</f>
        <v/>
      </c>
      <c r="AE7" s="15">
        <f>IF(OR($D7="",AD7=""),"",AD7*$D7*10)</f>
        <v/>
      </c>
      <c r="AF7" s="28" t="n"/>
      <c r="AG7" s="15">
        <f>IF(OR(AE7="",AF7=""),"",AE7*AF7)</f>
        <v/>
      </c>
      <c r="AH7" s="28" t="n"/>
      <c r="AI7" s="20" t="n"/>
      <c r="AJ7" s="19" t="n"/>
    </row>
    <row r="8">
      <c r="A8" s="6" t="inlineStr">
        <is>
          <t>R0</t>
        </is>
      </c>
      <c r="B8" s="6" t="inlineStr">
        <is>
          <t>Pivô 04</t>
        </is>
      </c>
      <c r="C8" s="20" t="inlineStr">
        <is>
          <t>P4</t>
        </is>
      </c>
      <c r="D8" s="7" t="n">
        <v>62.76</v>
      </c>
      <c r="E8" s="20" t="n"/>
      <c r="F8" s="20" t="n"/>
      <c r="G8" s="20" t="n"/>
      <c r="H8" s="20" t="n"/>
      <c r="I8" s="20" t="n"/>
      <c r="J8" s="27">
        <f>IF(OR($C8="",I8=""),"",IFERROR(INDEX('LAMINA_HORA'!$C$5:$V$114,MATCH($C8,'LAMINA_HORA'!$A$5:$A$114,0),MATCH(I8,'LAMINA_HORA'!$C$3:$V$3,0)),"?"))</f>
        <v/>
      </c>
      <c r="K8" s="27">
        <f>IF(OR($C8="",I8=""),"",IFERROR(INDEX('LAMINA_HORA'!$W$5:$AP$114,MATCH($C8,'LAMINA_HORA'!$A$5:$A$114,0),MATCH(I8,'LAMINA_HORA'!$W$3:$AP$3,0)),"?"))</f>
        <v/>
      </c>
      <c r="L8" s="20" t="n"/>
      <c r="M8" s="27">
        <f>IF(OR($C8="",L8=""),"",IFERROR(INDEX('LAMINA_HORA'!$C$5:$V$114,MATCH($C8,'LAMINA_HORA'!$A$5:$A$114,0),MATCH(L8,'LAMINA_HORA'!$C$3:$V$3,0)),"?"))</f>
        <v/>
      </c>
      <c r="N8" s="27">
        <f>IF(OR($C8="",L8=""),"",IFERROR(INDEX('LAMINA_HORA'!$W$5:$AP$114,MATCH($C8,'LAMINA_HORA'!$A$5:$A$114,0),MATCH(L8,'LAMINA_HORA'!$W$3:$AP$3,0)),"?"))</f>
        <v/>
      </c>
      <c r="O8" s="20" t="n"/>
      <c r="P8" s="27">
        <f>IF(OR($C8="",O8=""),"",IFERROR(INDEX('LAMINA_HORA'!$C$5:$V$114,MATCH($C8,'LAMINA_HORA'!$A$5:$A$114,0),MATCH(O8,'LAMINA_HORA'!$C$3:$V$3,0)),"?"))</f>
        <v/>
      </c>
      <c r="Q8" s="27">
        <f>IF(OR($C8="",O8=""),"",IFERROR(INDEX('LAMINA_HORA'!$W$5:$AP$114,MATCH($C8,'LAMINA_HORA'!$A$5:$A$114,0),MATCH(O8,'LAMINA_HORA'!$W$3:$AP$3,0)),"?"))</f>
        <v/>
      </c>
      <c r="R8" s="20" t="n"/>
      <c r="S8" s="27">
        <f>IF(OR($C8="",R8=""),"",IFERROR(INDEX('LAMINA_HORA'!$C$5:$V$114,MATCH($C8,'LAMINA_HORA'!$A$5:$A$114,0),MATCH(R8,'LAMINA_HORA'!$C$3:$V$3,0)),"?"))</f>
        <v/>
      </c>
      <c r="T8" s="27">
        <f>IF(OR($C8="",R8=""),"",IFERROR(INDEX('LAMINA_HORA'!$W$5:$AP$114,MATCH($C8,'LAMINA_HORA'!$A$5:$A$114,0),MATCH(R8,'LAMINA_HORA'!$W$3:$AP$3,0)),"?"))</f>
        <v/>
      </c>
      <c r="U8" s="20" t="n"/>
      <c r="V8" s="27">
        <f>IF(OR($C8="",U8=""),"",IFERROR(INDEX('LAMINA_HORA'!$C$5:$V$114,MATCH($C8,'LAMINA_HORA'!$A$5:$A$114,0),MATCH(U8,'LAMINA_HORA'!$C$3:$V$3,0)),"?"))</f>
        <v/>
      </c>
      <c r="W8" s="27">
        <f>IF(OR($C8="",U8=""),"",IFERROR(INDEX('LAMINA_HORA'!$W$5:$AP$114,MATCH($C8,'LAMINA_HORA'!$A$5:$A$114,0),MATCH(U8,'LAMINA_HORA'!$W$3:$AP$3,0)),"?"))</f>
        <v/>
      </c>
      <c r="X8" s="20" t="n"/>
      <c r="Y8" s="27">
        <f>IF(OR($C8="",X8=""),"",IFERROR(INDEX('LAMINA_HORA'!$C$5:$V$114,MATCH($C8,'LAMINA_HORA'!$A$5:$A$114,0),MATCH(X8,'LAMINA_HORA'!$C$3:$V$3,0)),"?"))</f>
        <v/>
      </c>
      <c r="Z8" s="27">
        <f>IF(OR($C8="",X8=""),"",IFERROR(INDEX('LAMINA_HORA'!$W$5:$AP$114,MATCH($C8,'LAMINA_HORA'!$A$5:$A$114,0),MATCH(X8,'LAMINA_HORA'!$W$3:$AP$3,0)),"?"))</f>
        <v/>
      </c>
      <c r="AA8" s="20" t="n"/>
      <c r="AB8" s="27">
        <f>IF(OR($C8="",AA8=""),"",IFERROR(INDEX('LAMINA_HORA'!$C$5:$V$114,MATCH($C8,'LAMINA_HORA'!$A$5:$A$114,0),MATCH(AA8,'LAMINA_HORA'!$C$3:$V$3,0)),"?"))</f>
        <v/>
      </c>
      <c r="AC8" s="27">
        <f>IF(OR($C8="",AA8=""),"",IFERROR(INDEX('LAMINA_HORA'!$W$5:$AP$114,MATCH($C8,'LAMINA_HORA'!$A$5:$A$114,0),MATCH(AA8,'LAMINA_HORA'!$W$3:$AP$3,0)),"?"))</f>
        <v/>
      </c>
      <c r="AD8" s="13">
        <f>SUM(J8,M8,P8,S8,V8,Y8,AB8)</f>
        <v/>
      </c>
      <c r="AE8" s="15">
        <f>IF(OR($D8="",AD8=""),"",AD8*$D8*10)</f>
        <v/>
      </c>
      <c r="AF8" s="28" t="n"/>
      <c r="AG8" s="15">
        <f>IF(OR(AE8="",AF8=""),"",AE8*AF8)</f>
        <v/>
      </c>
      <c r="AH8" s="28" t="n"/>
      <c r="AI8" s="20" t="n"/>
      <c r="AJ8" s="19" t="n"/>
    </row>
    <row r="9">
      <c r="A9" s="6" t="inlineStr">
        <is>
          <t>R1</t>
        </is>
      </c>
      <c r="B9" s="6" t="inlineStr">
        <is>
          <t>Pivô 05</t>
        </is>
      </c>
      <c r="C9" s="20" t="inlineStr">
        <is>
          <t>P5</t>
        </is>
      </c>
      <c r="D9" s="7" t="n">
        <v>150.01</v>
      </c>
      <c r="E9" s="20" t="n"/>
      <c r="F9" s="20" t="n"/>
      <c r="G9" s="20" t="n"/>
      <c r="H9" s="20" t="n"/>
      <c r="I9" s="20" t="n"/>
      <c r="J9" s="27">
        <f>IF(OR($C9="",I9=""),"",IFERROR(INDEX('LAMINA_HORA'!$C$5:$V$114,MATCH($C9,'LAMINA_HORA'!$A$5:$A$114,0),MATCH(I9,'LAMINA_HORA'!$C$3:$V$3,0)),"?"))</f>
        <v/>
      </c>
      <c r="K9" s="27">
        <f>IF(OR($C9="",I9=""),"",IFERROR(INDEX('LAMINA_HORA'!$W$5:$AP$114,MATCH($C9,'LAMINA_HORA'!$A$5:$A$114,0),MATCH(I9,'LAMINA_HORA'!$W$3:$AP$3,0)),"?"))</f>
        <v/>
      </c>
      <c r="L9" s="20" t="n"/>
      <c r="M9" s="27">
        <f>IF(OR($C9="",L9=""),"",IFERROR(INDEX('LAMINA_HORA'!$C$5:$V$114,MATCH($C9,'LAMINA_HORA'!$A$5:$A$114,0),MATCH(L9,'LAMINA_HORA'!$C$3:$V$3,0)),"?"))</f>
        <v/>
      </c>
      <c r="N9" s="27">
        <f>IF(OR($C9="",L9=""),"",IFERROR(INDEX('LAMINA_HORA'!$W$5:$AP$114,MATCH($C9,'LAMINA_HORA'!$A$5:$A$114,0),MATCH(L9,'LAMINA_HORA'!$W$3:$AP$3,0)),"?"))</f>
        <v/>
      </c>
      <c r="O9" s="20" t="n"/>
      <c r="P9" s="27">
        <f>IF(OR($C9="",O9=""),"",IFERROR(INDEX('LAMINA_HORA'!$C$5:$V$114,MATCH($C9,'LAMINA_HORA'!$A$5:$A$114,0),MATCH(O9,'LAMINA_HORA'!$C$3:$V$3,0)),"?"))</f>
        <v/>
      </c>
      <c r="Q9" s="27">
        <f>IF(OR($C9="",O9=""),"",IFERROR(INDEX('LAMINA_HORA'!$W$5:$AP$114,MATCH($C9,'LAMINA_HORA'!$A$5:$A$114,0),MATCH(O9,'LAMINA_HORA'!$W$3:$AP$3,0)),"?"))</f>
        <v/>
      </c>
      <c r="R9" s="20" t="n"/>
      <c r="S9" s="27">
        <f>IF(OR($C9="",R9=""),"",IFERROR(INDEX('LAMINA_HORA'!$C$5:$V$114,MATCH($C9,'LAMINA_HORA'!$A$5:$A$114,0),MATCH(R9,'LAMINA_HORA'!$C$3:$V$3,0)),"?"))</f>
        <v/>
      </c>
      <c r="T9" s="27">
        <f>IF(OR($C9="",R9=""),"",IFERROR(INDEX('LAMINA_HORA'!$W$5:$AP$114,MATCH($C9,'LAMINA_HORA'!$A$5:$A$114,0),MATCH(R9,'LAMINA_HORA'!$W$3:$AP$3,0)),"?"))</f>
        <v/>
      </c>
      <c r="U9" s="20" t="n"/>
      <c r="V9" s="27">
        <f>IF(OR($C9="",U9=""),"",IFERROR(INDEX('LAMINA_HORA'!$C$5:$V$114,MATCH($C9,'LAMINA_HORA'!$A$5:$A$114,0),MATCH(U9,'LAMINA_HORA'!$C$3:$V$3,0)),"?"))</f>
        <v/>
      </c>
      <c r="W9" s="27">
        <f>IF(OR($C9="",U9=""),"",IFERROR(INDEX('LAMINA_HORA'!$W$5:$AP$114,MATCH($C9,'LAMINA_HORA'!$A$5:$A$114,0),MATCH(U9,'LAMINA_HORA'!$W$3:$AP$3,0)),"?"))</f>
        <v/>
      </c>
      <c r="X9" s="20" t="n"/>
      <c r="Y9" s="27">
        <f>IF(OR($C9="",X9=""),"",IFERROR(INDEX('LAMINA_HORA'!$C$5:$V$114,MATCH($C9,'LAMINA_HORA'!$A$5:$A$114,0),MATCH(X9,'LAMINA_HORA'!$C$3:$V$3,0)),"?"))</f>
        <v/>
      </c>
      <c r="Z9" s="27">
        <f>IF(OR($C9="",X9=""),"",IFERROR(INDEX('LAMINA_HORA'!$W$5:$AP$114,MATCH($C9,'LAMINA_HORA'!$A$5:$A$114,0),MATCH(X9,'LAMINA_HORA'!$W$3:$AP$3,0)),"?"))</f>
        <v/>
      </c>
      <c r="AA9" s="20" t="n"/>
      <c r="AB9" s="27">
        <f>IF(OR($C9="",AA9=""),"",IFERROR(INDEX('LAMINA_HORA'!$C$5:$V$114,MATCH($C9,'LAMINA_HORA'!$A$5:$A$114,0),MATCH(AA9,'LAMINA_HORA'!$C$3:$V$3,0)),"?"))</f>
        <v/>
      </c>
      <c r="AC9" s="27">
        <f>IF(OR($C9="",AA9=""),"",IFERROR(INDEX('LAMINA_HORA'!$W$5:$AP$114,MATCH($C9,'LAMINA_HORA'!$A$5:$A$114,0),MATCH(AA9,'LAMINA_HORA'!$W$3:$AP$3,0)),"?"))</f>
        <v/>
      </c>
      <c r="AD9" s="13">
        <f>SUM(J9,M9,P9,S9,V9,Y9,AB9)</f>
        <v/>
      </c>
      <c r="AE9" s="15">
        <f>IF(OR($D9="",AD9=""),"",AD9*$D9*10)</f>
        <v/>
      </c>
      <c r="AF9" s="28" t="n"/>
      <c r="AG9" s="15">
        <f>IF(OR(AE9="",AF9=""),"",AE9*AF9)</f>
        <v/>
      </c>
      <c r="AH9" s="28" t="n"/>
      <c r="AI9" s="20" t="n"/>
      <c r="AJ9" s="19" t="n"/>
    </row>
    <row r="10">
      <c r="A10" s="6" t="inlineStr">
        <is>
          <t>R1</t>
        </is>
      </c>
      <c r="B10" s="6" t="inlineStr">
        <is>
          <t>Pivô 06</t>
        </is>
      </c>
      <c r="C10" s="20" t="inlineStr">
        <is>
          <t>P6</t>
        </is>
      </c>
      <c r="D10" s="7" t="n">
        <v>150.01</v>
      </c>
      <c r="E10" s="20" t="n"/>
      <c r="F10" s="20" t="n"/>
      <c r="G10" s="20" t="n"/>
      <c r="H10" s="20" t="n"/>
      <c r="I10" s="20" t="n"/>
      <c r="J10" s="27">
        <f>IF(OR($C10="",I10=""),"",IFERROR(INDEX('LAMINA_HORA'!$C$5:$V$114,MATCH($C10,'LAMINA_HORA'!$A$5:$A$114,0),MATCH(I10,'LAMINA_HORA'!$C$3:$V$3,0)),"?"))</f>
        <v/>
      </c>
      <c r="K10" s="27">
        <f>IF(OR($C10="",I10=""),"",IFERROR(INDEX('LAMINA_HORA'!$W$5:$AP$114,MATCH($C10,'LAMINA_HORA'!$A$5:$A$114,0),MATCH(I10,'LAMINA_HORA'!$W$3:$AP$3,0)),"?"))</f>
        <v/>
      </c>
      <c r="L10" s="20" t="n"/>
      <c r="M10" s="27">
        <f>IF(OR($C10="",L10=""),"",IFERROR(INDEX('LAMINA_HORA'!$C$5:$V$114,MATCH($C10,'LAMINA_HORA'!$A$5:$A$114,0),MATCH(L10,'LAMINA_HORA'!$C$3:$V$3,0)),"?"))</f>
        <v/>
      </c>
      <c r="N10" s="27">
        <f>IF(OR($C10="",L10=""),"",IFERROR(INDEX('LAMINA_HORA'!$W$5:$AP$114,MATCH($C10,'LAMINA_HORA'!$A$5:$A$114,0),MATCH(L10,'LAMINA_HORA'!$W$3:$AP$3,0)),"?"))</f>
        <v/>
      </c>
      <c r="O10" s="20" t="n"/>
      <c r="P10" s="27">
        <f>IF(OR($C10="",O10=""),"",IFERROR(INDEX('LAMINA_HORA'!$C$5:$V$114,MATCH($C10,'LAMINA_HORA'!$A$5:$A$114,0),MATCH(O10,'LAMINA_HORA'!$C$3:$V$3,0)),"?"))</f>
        <v/>
      </c>
      <c r="Q10" s="27">
        <f>IF(OR($C10="",O10=""),"",IFERROR(INDEX('LAMINA_HORA'!$W$5:$AP$114,MATCH($C10,'LAMINA_HORA'!$A$5:$A$114,0),MATCH(O10,'LAMINA_HORA'!$W$3:$AP$3,0)),"?"))</f>
        <v/>
      </c>
      <c r="R10" s="20" t="n"/>
      <c r="S10" s="27">
        <f>IF(OR($C10="",R10=""),"",IFERROR(INDEX('LAMINA_HORA'!$C$5:$V$114,MATCH($C10,'LAMINA_HORA'!$A$5:$A$114,0),MATCH(R10,'LAMINA_HORA'!$C$3:$V$3,0)),"?"))</f>
        <v/>
      </c>
      <c r="T10" s="27">
        <f>IF(OR($C10="",R10=""),"",IFERROR(INDEX('LAMINA_HORA'!$W$5:$AP$114,MATCH($C10,'LAMINA_HORA'!$A$5:$A$114,0),MATCH(R10,'LAMINA_HORA'!$W$3:$AP$3,0)),"?"))</f>
        <v/>
      </c>
      <c r="U10" s="20" t="n"/>
      <c r="V10" s="27">
        <f>IF(OR($C10="",U10=""),"",IFERROR(INDEX('LAMINA_HORA'!$C$5:$V$114,MATCH($C10,'LAMINA_HORA'!$A$5:$A$114,0),MATCH(U10,'LAMINA_HORA'!$C$3:$V$3,0)),"?"))</f>
        <v/>
      </c>
      <c r="W10" s="27">
        <f>IF(OR($C10="",U10=""),"",IFERROR(INDEX('LAMINA_HORA'!$W$5:$AP$114,MATCH($C10,'LAMINA_HORA'!$A$5:$A$114,0),MATCH(U10,'LAMINA_HORA'!$W$3:$AP$3,0)),"?"))</f>
        <v/>
      </c>
      <c r="X10" s="20" t="n"/>
      <c r="Y10" s="27">
        <f>IF(OR($C10="",X10=""),"",IFERROR(INDEX('LAMINA_HORA'!$C$5:$V$114,MATCH($C10,'LAMINA_HORA'!$A$5:$A$114,0),MATCH(X10,'LAMINA_HORA'!$C$3:$V$3,0)),"?"))</f>
        <v/>
      </c>
      <c r="Z10" s="27">
        <f>IF(OR($C10="",X10=""),"",IFERROR(INDEX('LAMINA_HORA'!$W$5:$AP$114,MATCH($C10,'LAMINA_HORA'!$A$5:$A$114,0),MATCH(X10,'LAMINA_HORA'!$W$3:$AP$3,0)),"?"))</f>
        <v/>
      </c>
      <c r="AA10" s="20" t="n"/>
      <c r="AB10" s="27">
        <f>IF(OR($C10="",AA10=""),"",IFERROR(INDEX('LAMINA_HORA'!$C$5:$V$114,MATCH($C10,'LAMINA_HORA'!$A$5:$A$114,0),MATCH(AA10,'LAMINA_HORA'!$C$3:$V$3,0)),"?"))</f>
        <v/>
      </c>
      <c r="AC10" s="27">
        <f>IF(OR($C10="",AA10=""),"",IFERROR(INDEX('LAMINA_HORA'!$W$5:$AP$114,MATCH($C10,'LAMINA_HORA'!$A$5:$A$114,0),MATCH(AA10,'LAMINA_HORA'!$W$3:$AP$3,0)),"?"))</f>
        <v/>
      </c>
      <c r="AD10" s="13">
        <f>SUM(J10,M10,P10,S10,V10,Y10,AB10)</f>
        <v/>
      </c>
      <c r="AE10" s="15">
        <f>IF(OR($D10="",AD10=""),"",AD10*$D10*10)</f>
        <v/>
      </c>
      <c r="AF10" s="28" t="n"/>
      <c r="AG10" s="15">
        <f>IF(OR(AE10="",AF10=""),"",AE10*AF10)</f>
        <v/>
      </c>
      <c r="AH10" s="28" t="n"/>
      <c r="AI10" s="20" t="n"/>
      <c r="AJ10" s="19" t="n"/>
    </row>
    <row r="11">
      <c r="A11" s="6" t="inlineStr">
        <is>
          <t>R2</t>
        </is>
      </c>
      <c r="B11" s="6" t="inlineStr">
        <is>
          <t>Pivô 07</t>
        </is>
      </c>
      <c r="C11" s="20" t="inlineStr">
        <is>
          <t>P7</t>
        </is>
      </c>
      <c r="D11" s="7" t="n">
        <v>120.13</v>
      </c>
      <c r="E11" s="20" t="n"/>
      <c r="F11" s="20" t="n"/>
      <c r="G11" s="20" t="n"/>
      <c r="H11" s="20" t="n"/>
      <c r="I11" s="20" t="n"/>
      <c r="J11" s="27">
        <f>IF(OR($C11="",I11=""),"",IFERROR(INDEX('LAMINA_HORA'!$C$5:$V$114,MATCH($C11,'LAMINA_HORA'!$A$5:$A$114,0),MATCH(I11,'LAMINA_HORA'!$C$3:$V$3,0)),"?"))</f>
        <v/>
      </c>
      <c r="K11" s="27">
        <f>IF(OR($C11="",I11=""),"",IFERROR(INDEX('LAMINA_HORA'!$W$5:$AP$114,MATCH($C11,'LAMINA_HORA'!$A$5:$A$114,0),MATCH(I11,'LAMINA_HORA'!$W$3:$AP$3,0)),"?"))</f>
        <v/>
      </c>
      <c r="L11" s="20" t="n"/>
      <c r="M11" s="27">
        <f>IF(OR($C11="",L11=""),"",IFERROR(INDEX('LAMINA_HORA'!$C$5:$V$114,MATCH($C11,'LAMINA_HORA'!$A$5:$A$114,0),MATCH(L11,'LAMINA_HORA'!$C$3:$V$3,0)),"?"))</f>
        <v/>
      </c>
      <c r="N11" s="27">
        <f>IF(OR($C11="",L11=""),"",IFERROR(INDEX('LAMINA_HORA'!$W$5:$AP$114,MATCH($C11,'LAMINA_HORA'!$A$5:$A$114,0),MATCH(L11,'LAMINA_HORA'!$W$3:$AP$3,0)),"?"))</f>
        <v/>
      </c>
      <c r="O11" s="20" t="n"/>
      <c r="P11" s="27">
        <f>IF(OR($C11="",O11=""),"",IFERROR(INDEX('LAMINA_HORA'!$C$5:$V$114,MATCH($C11,'LAMINA_HORA'!$A$5:$A$114,0),MATCH(O11,'LAMINA_HORA'!$C$3:$V$3,0)),"?"))</f>
        <v/>
      </c>
      <c r="Q11" s="27">
        <f>IF(OR($C11="",O11=""),"",IFERROR(INDEX('LAMINA_HORA'!$W$5:$AP$114,MATCH($C11,'LAMINA_HORA'!$A$5:$A$114,0),MATCH(O11,'LAMINA_HORA'!$W$3:$AP$3,0)),"?"))</f>
        <v/>
      </c>
      <c r="R11" s="20" t="n"/>
      <c r="S11" s="27">
        <f>IF(OR($C11="",R11=""),"",IFERROR(INDEX('LAMINA_HORA'!$C$5:$V$114,MATCH($C11,'LAMINA_HORA'!$A$5:$A$114,0),MATCH(R11,'LAMINA_HORA'!$C$3:$V$3,0)),"?"))</f>
        <v/>
      </c>
      <c r="T11" s="27">
        <f>IF(OR($C11="",R11=""),"",IFERROR(INDEX('LAMINA_HORA'!$W$5:$AP$114,MATCH($C11,'LAMINA_HORA'!$A$5:$A$114,0),MATCH(R11,'LAMINA_HORA'!$W$3:$AP$3,0)),"?"))</f>
        <v/>
      </c>
      <c r="U11" s="20" t="n"/>
      <c r="V11" s="27">
        <f>IF(OR($C11="",U11=""),"",IFERROR(INDEX('LAMINA_HORA'!$C$5:$V$114,MATCH($C11,'LAMINA_HORA'!$A$5:$A$114,0),MATCH(U11,'LAMINA_HORA'!$C$3:$V$3,0)),"?"))</f>
        <v/>
      </c>
      <c r="W11" s="27">
        <f>IF(OR($C11="",U11=""),"",IFERROR(INDEX('LAMINA_HORA'!$W$5:$AP$114,MATCH($C11,'LAMINA_HORA'!$A$5:$A$114,0),MATCH(U11,'LAMINA_HORA'!$W$3:$AP$3,0)),"?"))</f>
        <v/>
      </c>
      <c r="X11" s="20" t="n"/>
      <c r="Y11" s="27">
        <f>IF(OR($C11="",X11=""),"",IFERROR(INDEX('LAMINA_HORA'!$C$5:$V$114,MATCH($C11,'LAMINA_HORA'!$A$5:$A$114,0),MATCH(X11,'LAMINA_HORA'!$C$3:$V$3,0)),"?"))</f>
        <v/>
      </c>
      <c r="Z11" s="27">
        <f>IF(OR($C11="",X11=""),"",IFERROR(INDEX('LAMINA_HORA'!$W$5:$AP$114,MATCH($C11,'LAMINA_HORA'!$A$5:$A$114,0),MATCH(X11,'LAMINA_HORA'!$W$3:$AP$3,0)),"?"))</f>
        <v/>
      </c>
      <c r="AA11" s="20" t="n"/>
      <c r="AB11" s="27">
        <f>IF(OR($C11="",AA11=""),"",IFERROR(INDEX('LAMINA_HORA'!$C$5:$V$114,MATCH($C11,'LAMINA_HORA'!$A$5:$A$114,0),MATCH(AA11,'LAMINA_HORA'!$C$3:$V$3,0)),"?"))</f>
        <v/>
      </c>
      <c r="AC11" s="27">
        <f>IF(OR($C11="",AA11=""),"",IFERROR(INDEX('LAMINA_HORA'!$W$5:$AP$114,MATCH($C11,'LAMINA_HORA'!$A$5:$A$114,0),MATCH(AA11,'LAMINA_HORA'!$W$3:$AP$3,0)),"?"))</f>
        <v/>
      </c>
      <c r="AD11" s="13">
        <f>SUM(J11,M11,P11,S11,V11,Y11,AB11)</f>
        <v/>
      </c>
      <c r="AE11" s="15">
        <f>IF(OR($D11="",AD11=""),"",AD11*$D11*10)</f>
        <v/>
      </c>
      <c r="AF11" s="28" t="n"/>
      <c r="AG11" s="15">
        <f>IF(OR(AE11="",AF11=""),"",AE11*AF11)</f>
        <v/>
      </c>
      <c r="AH11" s="28" t="n"/>
      <c r="AI11" s="20" t="n"/>
      <c r="AJ11" s="19" t="n"/>
    </row>
    <row r="12">
      <c r="A12" s="6" t="inlineStr">
        <is>
          <t>R2</t>
        </is>
      </c>
      <c r="B12" s="6" t="inlineStr">
        <is>
          <t>Pivô 08</t>
        </is>
      </c>
      <c r="C12" s="20" t="inlineStr">
        <is>
          <t>P8</t>
        </is>
      </c>
      <c r="D12" s="7" t="n">
        <v>150.01</v>
      </c>
      <c r="E12" s="20" t="n"/>
      <c r="F12" s="20" t="n"/>
      <c r="G12" s="20" t="n"/>
      <c r="H12" s="20" t="n"/>
      <c r="I12" s="20" t="n"/>
      <c r="J12" s="27">
        <f>IF(OR($C12="",I12=""),"",IFERROR(INDEX('LAMINA_HORA'!$C$5:$V$114,MATCH($C12,'LAMINA_HORA'!$A$5:$A$114,0),MATCH(I12,'LAMINA_HORA'!$C$3:$V$3,0)),"?"))</f>
        <v/>
      </c>
      <c r="K12" s="27">
        <f>IF(OR($C12="",I12=""),"",IFERROR(INDEX('LAMINA_HORA'!$W$5:$AP$114,MATCH($C12,'LAMINA_HORA'!$A$5:$A$114,0),MATCH(I12,'LAMINA_HORA'!$W$3:$AP$3,0)),"?"))</f>
        <v/>
      </c>
      <c r="L12" s="20" t="n"/>
      <c r="M12" s="27">
        <f>IF(OR($C12="",L12=""),"",IFERROR(INDEX('LAMINA_HORA'!$C$5:$V$114,MATCH($C12,'LAMINA_HORA'!$A$5:$A$114,0),MATCH(L12,'LAMINA_HORA'!$C$3:$V$3,0)),"?"))</f>
        <v/>
      </c>
      <c r="N12" s="27">
        <f>IF(OR($C12="",L12=""),"",IFERROR(INDEX('LAMINA_HORA'!$W$5:$AP$114,MATCH($C12,'LAMINA_HORA'!$A$5:$A$114,0),MATCH(L12,'LAMINA_HORA'!$W$3:$AP$3,0)),"?"))</f>
        <v/>
      </c>
      <c r="O12" s="20" t="n"/>
      <c r="P12" s="27">
        <f>IF(OR($C12="",O12=""),"",IFERROR(INDEX('LAMINA_HORA'!$C$5:$V$114,MATCH($C12,'LAMINA_HORA'!$A$5:$A$114,0),MATCH(O12,'LAMINA_HORA'!$C$3:$V$3,0)),"?"))</f>
        <v/>
      </c>
      <c r="Q12" s="27">
        <f>IF(OR($C12="",O12=""),"",IFERROR(INDEX('LAMINA_HORA'!$W$5:$AP$114,MATCH($C12,'LAMINA_HORA'!$A$5:$A$114,0),MATCH(O12,'LAMINA_HORA'!$W$3:$AP$3,0)),"?"))</f>
        <v/>
      </c>
      <c r="R12" s="20" t="n"/>
      <c r="S12" s="27">
        <f>IF(OR($C12="",R12=""),"",IFERROR(INDEX('LAMINA_HORA'!$C$5:$V$114,MATCH($C12,'LAMINA_HORA'!$A$5:$A$114,0),MATCH(R12,'LAMINA_HORA'!$C$3:$V$3,0)),"?"))</f>
        <v/>
      </c>
      <c r="T12" s="27">
        <f>IF(OR($C12="",R12=""),"",IFERROR(INDEX('LAMINA_HORA'!$W$5:$AP$114,MATCH($C12,'LAMINA_HORA'!$A$5:$A$114,0),MATCH(R12,'LAMINA_HORA'!$W$3:$AP$3,0)),"?"))</f>
        <v/>
      </c>
      <c r="U12" s="20" t="n"/>
      <c r="V12" s="27">
        <f>IF(OR($C12="",U12=""),"",IFERROR(INDEX('LAMINA_HORA'!$C$5:$V$114,MATCH($C12,'LAMINA_HORA'!$A$5:$A$114,0),MATCH(U12,'LAMINA_HORA'!$C$3:$V$3,0)),"?"))</f>
        <v/>
      </c>
      <c r="W12" s="27">
        <f>IF(OR($C12="",U12=""),"",IFERROR(INDEX('LAMINA_HORA'!$W$5:$AP$114,MATCH($C12,'LAMINA_HORA'!$A$5:$A$114,0),MATCH(U12,'LAMINA_HORA'!$W$3:$AP$3,0)),"?"))</f>
        <v/>
      </c>
      <c r="X12" s="20" t="n"/>
      <c r="Y12" s="27">
        <f>IF(OR($C12="",X12=""),"",IFERROR(INDEX('LAMINA_HORA'!$C$5:$V$114,MATCH($C12,'LAMINA_HORA'!$A$5:$A$114,0),MATCH(X12,'LAMINA_HORA'!$C$3:$V$3,0)),"?"))</f>
        <v/>
      </c>
      <c r="Z12" s="27">
        <f>IF(OR($C12="",X12=""),"",IFERROR(INDEX('LAMINA_HORA'!$W$5:$AP$114,MATCH($C12,'LAMINA_HORA'!$A$5:$A$114,0),MATCH(X12,'LAMINA_HORA'!$W$3:$AP$3,0)),"?"))</f>
        <v/>
      </c>
      <c r="AA12" s="20" t="n"/>
      <c r="AB12" s="27">
        <f>IF(OR($C12="",AA12=""),"",IFERROR(INDEX('LAMINA_HORA'!$C$5:$V$114,MATCH($C12,'LAMINA_HORA'!$A$5:$A$114,0),MATCH(AA12,'LAMINA_HORA'!$C$3:$V$3,0)),"?"))</f>
        <v/>
      </c>
      <c r="AC12" s="27">
        <f>IF(OR($C12="",AA12=""),"",IFERROR(INDEX('LAMINA_HORA'!$W$5:$AP$114,MATCH($C12,'LAMINA_HORA'!$A$5:$A$114,0),MATCH(AA12,'LAMINA_HORA'!$W$3:$AP$3,0)),"?"))</f>
        <v/>
      </c>
      <c r="AD12" s="13">
        <f>SUM(J12,M12,P12,S12,V12,Y12,AB12)</f>
        <v/>
      </c>
      <c r="AE12" s="15">
        <f>IF(OR($D12="",AD12=""),"",AD12*$D12*10)</f>
        <v/>
      </c>
      <c r="AF12" s="28" t="n"/>
      <c r="AG12" s="15">
        <f>IF(OR(AE12="",AF12=""),"",AE12*AF12)</f>
        <v/>
      </c>
      <c r="AH12" s="28" t="n"/>
      <c r="AI12" s="20" t="n"/>
      <c r="AJ12" s="19" t="n"/>
    </row>
    <row r="13">
      <c r="A13" s="6" t="inlineStr">
        <is>
          <t>R3</t>
        </is>
      </c>
      <c r="B13" s="6" t="inlineStr">
        <is>
          <t>Pivô 09</t>
        </is>
      </c>
      <c r="C13" s="20" t="inlineStr">
        <is>
          <t>P9</t>
        </is>
      </c>
      <c r="D13" s="7" t="n">
        <v>120.13</v>
      </c>
      <c r="E13" s="20" t="n"/>
      <c r="F13" s="20" t="n"/>
      <c r="G13" s="20" t="n"/>
      <c r="H13" s="20" t="n"/>
      <c r="I13" s="20" t="n"/>
      <c r="J13" s="27">
        <f>IF(OR($C13="",I13=""),"",IFERROR(INDEX('LAMINA_HORA'!$C$5:$V$114,MATCH($C13,'LAMINA_HORA'!$A$5:$A$114,0),MATCH(I13,'LAMINA_HORA'!$C$3:$V$3,0)),"?"))</f>
        <v/>
      </c>
      <c r="K13" s="27">
        <f>IF(OR($C13="",I13=""),"",IFERROR(INDEX('LAMINA_HORA'!$W$5:$AP$114,MATCH($C13,'LAMINA_HORA'!$A$5:$A$114,0),MATCH(I13,'LAMINA_HORA'!$W$3:$AP$3,0)),"?"))</f>
        <v/>
      </c>
      <c r="L13" s="20" t="n"/>
      <c r="M13" s="27">
        <f>IF(OR($C13="",L13=""),"",IFERROR(INDEX('LAMINA_HORA'!$C$5:$V$114,MATCH($C13,'LAMINA_HORA'!$A$5:$A$114,0),MATCH(L13,'LAMINA_HORA'!$C$3:$V$3,0)),"?"))</f>
        <v/>
      </c>
      <c r="N13" s="27">
        <f>IF(OR($C13="",L13=""),"",IFERROR(INDEX('LAMINA_HORA'!$W$5:$AP$114,MATCH($C13,'LAMINA_HORA'!$A$5:$A$114,0),MATCH(L13,'LAMINA_HORA'!$W$3:$AP$3,0)),"?"))</f>
        <v/>
      </c>
      <c r="O13" s="20" t="n"/>
      <c r="P13" s="27">
        <f>IF(OR($C13="",O13=""),"",IFERROR(INDEX('LAMINA_HORA'!$C$5:$V$114,MATCH($C13,'LAMINA_HORA'!$A$5:$A$114,0),MATCH(O13,'LAMINA_HORA'!$C$3:$V$3,0)),"?"))</f>
        <v/>
      </c>
      <c r="Q13" s="27">
        <f>IF(OR($C13="",O13=""),"",IFERROR(INDEX('LAMINA_HORA'!$W$5:$AP$114,MATCH($C13,'LAMINA_HORA'!$A$5:$A$114,0),MATCH(O13,'LAMINA_HORA'!$W$3:$AP$3,0)),"?"))</f>
        <v/>
      </c>
      <c r="R13" s="20" t="n"/>
      <c r="S13" s="27">
        <f>IF(OR($C13="",R13=""),"",IFERROR(INDEX('LAMINA_HORA'!$C$5:$V$114,MATCH($C13,'LAMINA_HORA'!$A$5:$A$114,0),MATCH(R13,'LAMINA_HORA'!$C$3:$V$3,0)),"?"))</f>
        <v/>
      </c>
      <c r="T13" s="27">
        <f>IF(OR($C13="",R13=""),"",IFERROR(INDEX('LAMINA_HORA'!$W$5:$AP$114,MATCH($C13,'LAMINA_HORA'!$A$5:$A$114,0),MATCH(R13,'LAMINA_HORA'!$W$3:$AP$3,0)),"?"))</f>
        <v/>
      </c>
      <c r="U13" s="20" t="n"/>
      <c r="V13" s="27">
        <f>IF(OR($C13="",U13=""),"",IFERROR(INDEX('LAMINA_HORA'!$C$5:$V$114,MATCH($C13,'LAMINA_HORA'!$A$5:$A$114,0),MATCH(U13,'LAMINA_HORA'!$C$3:$V$3,0)),"?"))</f>
        <v/>
      </c>
      <c r="W13" s="27">
        <f>IF(OR($C13="",U13=""),"",IFERROR(INDEX('LAMINA_HORA'!$W$5:$AP$114,MATCH($C13,'LAMINA_HORA'!$A$5:$A$114,0),MATCH(U13,'LAMINA_HORA'!$W$3:$AP$3,0)),"?"))</f>
        <v/>
      </c>
      <c r="X13" s="20" t="n"/>
      <c r="Y13" s="27">
        <f>IF(OR($C13="",X13=""),"",IFERROR(INDEX('LAMINA_HORA'!$C$5:$V$114,MATCH($C13,'LAMINA_HORA'!$A$5:$A$114,0),MATCH(X13,'LAMINA_HORA'!$C$3:$V$3,0)),"?"))</f>
        <v/>
      </c>
      <c r="Z13" s="27">
        <f>IF(OR($C13="",X13=""),"",IFERROR(INDEX('LAMINA_HORA'!$W$5:$AP$114,MATCH($C13,'LAMINA_HORA'!$A$5:$A$114,0),MATCH(X13,'LAMINA_HORA'!$W$3:$AP$3,0)),"?"))</f>
        <v/>
      </c>
      <c r="AA13" s="20" t="n"/>
      <c r="AB13" s="27">
        <f>IF(OR($C13="",AA13=""),"",IFERROR(INDEX('LAMINA_HORA'!$C$5:$V$114,MATCH($C13,'LAMINA_HORA'!$A$5:$A$114,0),MATCH(AA13,'LAMINA_HORA'!$C$3:$V$3,0)),"?"))</f>
        <v/>
      </c>
      <c r="AC13" s="27">
        <f>IF(OR($C13="",AA13=""),"",IFERROR(INDEX('LAMINA_HORA'!$W$5:$AP$114,MATCH($C13,'LAMINA_HORA'!$A$5:$A$114,0),MATCH(AA13,'LAMINA_HORA'!$W$3:$AP$3,0)),"?"))</f>
        <v/>
      </c>
      <c r="AD13" s="13">
        <f>SUM(J13,M13,P13,S13,V13,Y13,AB13)</f>
        <v/>
      </c>
      <c r="AE13" s="15">
        <f>IF(OR($D13="",AD13=""),"",AD13*$D13*10)</f>
        <v/>
      </c>
      <c r="AF13" s="28" t="n"/>
      <c r="AG13" s="15">
        <f>IF(OR(AE13="",AF13=""),"",AE13*AF13)</f>
        <v/>
      </c>
      <c r="AH13" s="28" t="n"/>
      <c r="AI13" s="20" t="n"/>
      <c r="AJ13" s="19" t="n"/>
    </row>
    <row r="14">
      <c r="A14" s="6" t="inlineStr">
        <is>
          <t>R3</t>
        </is>
      </c>
      <c r="B14" s="6" t="inlineStr">
        <is>
          <t>Pivô 10</t>
        </is>
      </c>
      <c r="C14" s="20" t="inlineStr">
        <is>
          <t>P10</t>
        </is>
      </c>
      <c r="D14" s="7" t="n">
        <v>150.01</v>
      </c>
      <c r="E14" s="20" t="n"/>
      <c r="F14" s="20" t="n"/>
      <c r="G14" s="20" t="n"/>
      <c r="H14" s="20" t="n"/>
      <c r="I14" s="20" t="n"/>
      <c r="J14" s="27">
        <f>IF(OR($C14="",I14=""),"",IFERROR(INDEX('LAMINA_HORA'!$C$5:$V$114,MATCH($C14,'LAMINA_HORA'!$A$5:$A$114,0),MATCH(I14,'LAMINA_HORA'!$C$3:$V$3,0)),"?"))</f>
        <v/>
      </c>
      <c r="K14" s="27">
        <f>IF(OR($C14="",I14=""),"",IFERROR(INDEX('LAMINA_HORA'!$W$5:$AP$114,MATCH($C14,'LAMINA_HORA'!$A$5:$A$114,0),MATCH(I14,'LAMINA_HORA'!$W$3:$AP$3,0)),"?"))</f>
        <v/>
      </c>
      <c r="L14" s="20" t="n"/>
      <c r="M14" s="27">
        <f>IF(OR($C14="",L14=""),"",IFERROR(INDEX('LAMINA_HORA'!$C$5:$V$114,MATCH($C14,'LAMINA_HORA'!$A$5:$A$114,0),MATCH(L14,'LAMINA_HORA'!$C$3:$V$3,0)),"?"))</f>
        <v/>
      </c>
      <c r="N14" s="27">
        <f>IF(OR($C14="",L14=""),"",IFERROR(INDEX('LAMINA_HORA'!$W$5:$AP$114,MATCH($C14,'LAMINA_HORA'!$A$5:$A$114,0),MATCH(L14,'LAMINA_HORA'!$W$3:$AP$3,0)),"?"))</f>
        <v/>
      </c>
      <c r="O14" s="20" t="n"/>
      <c r="P14" s="27">
        <f>IF(OR($C14="",O14=""),"",IFERROR(INDEX('LAMINA_HORA'!$C$5:$V$114,MATCH($C14,'LAMINA_HORA'!$A$5:$A$114,0),MATCH(O14,'LAMINA_HORA'!$C$3:$V$3,0)),"?"))</f>
        <v/>
      </c>
      <c r="Q14" s="27">
        <f>IF(OR($C14="",O14=""),"",IFERROR(INDEX('LAMINA_HORA'!$W$5:$AP$114,MATCH($C14,'LAMINA_HORA'!$A$5:$A$114,0),MATCH(O14,'LAMINA_HORA'!$W$3:$AP$3,0)),"?"))</f>
        <v/>
      </c>
      <c r="R14" s="20" t="n"/>
      <c r="S14" s="27">
        <f>IF(OR($C14="",R14=""),"",IFERROR(INDEX('LAMINA_HORA'!$C$5:$V$114,MATCH($C14,'LAMINA_HORA'!$A$5:$A$114,0),MATCH(R14,'LAMINA_HORA'!$C$3:$V$3,0)),"?"))</f>
        <v/>
      </c>
      <c r="T14" s="27">
        <f>IF(OR($C14="",R14=""),"",IFERROR(INDEX('LAMINA_HORA'!$W$5:$AP$114,MATCH($C14,'LAMINA_HORA'!$A$5:$A$114,0),MATCH(R14,'LAMINA_HORA'!$W$3:$AP$3,0)),"?"))</f>
        <v/>
      </c>
      <c r="U14" s="20" t="n"/>
      <c r="V14" s="27">
        <f>IF(OR($C14="",U14=""),"",IFERROR(INDEX('LAMINA_HORA'!$C$5:$V$114,MATCH($C14,'LAMINA_HORA'!$A$5:$A$114,0),MATCH(U14,'LAMINA_HORA'!$C$3:$V$3,0)),"?"))</f>
        <v/>
      </c>
      <c r="W14" s="27">
        <f>IF(OR($C14="",U14=""),"",IFERROR(INDEX('LAMINA_HORA'!$W$5:$AP$114,MATCH($C14,'LAMINA_HORA'!$A$5:$A$114,0),MATCH(U14,'LAMINA_HORA'!$W$3:$AP$3,0)),"?"))</f>
        <v/>
      </c>
      <c r="X14" s="20" t="n"/>
      <c r="Y14" s="27">
        <f>IF(OR($C14="",X14=""),"",IFERROR(INDEX('LAMINA_HORA'!$C$5:$V$114,MATCH($C14,'LAMINA_HORA'!$A$5:$A$114,0),MATCH(X14,'LAMINA_HORA'!$C$3:$V$3,0)),"?"))</f>
        <v/>
      </c>
      <c r="Z14" s="27">
        <f>IF(OR($C14="",X14=""),"",IFERROR(INDEX('LAMINA_HORA'!$W$5:$AP$114,MATCH($C14,'LAMINA_HORA'!$A$5:$A$114,0),MATCH(X14,'LAMINA_HORA'!$W$3:$AP$3,0)),"?"))</f>
        <v/>
      </c>
      <c r="AA14" s="20" t="n"/>
      <c r="AB14" s="27">
        <f>IF(OR($C14="",AA14=""),"",IFERROR(INDEX('LAMINA_HORA'!$C$5:$V$114,MATCH($C14,'LAMINA_HORA'!$A$5:$A$114,0),MATCH(AA14,'LAMINA_HORA'!$C$3:$V$3,0)),"?"))</f>
        <v/>
      </c>
      <c r="AC14" s="27">
        <f>IF(OR($C14="",AA14=""),"",IFERROR(INDEX('LAMINA_HORA'!$W$5:$AP$114,MATCH($C14,'LAMINA_HORA'!$A$5:$A$114,0),MATCH(AA14,'LAMINA_HORA'!$W$3:$AP$3,0)),"?"))</f>
        <v/>
      </c>
      <c r="AD14" s="13">
        <f>SUM(J14,M14,P14,S14,V14,Y14,AB14)</f>
        <v/>
      </c>
      <c r="AE14" s="15">
        <f>IF(OR($D14="",AD14=""),"",AD14*$D14*10)</f>
        <v/>
      </c>
      <c r="AF14" s="28" t="n"/>
      <c r="AG14" s="15">
        <f>IF(OR(AE14="",AF14=""),"",AE14*AF14)</f>
        <v/>
      </c>
      <c r="AH14" s="28" t="n"/>
      <c r="AI14" s="20" t="n"/>
      <c r="AJ14" s="19" t="n"/>
    </row>
    <row r="15">
      <c r="A15" s="6" t="inlineStr">
        <is>
          <t>R5</t>
        </is>
      </c>
      <c r="B15" s="6" t="inlineStr">
        <is>
          <t>Pivô 11</t>
        </is>
      </c>
      <c r="C15" s="20" t="inlineStr">
        <is>
          <t>P11</t>
        </is>
      </c>
      <c r="D15" s="7" t="n">
        <v>121.12</v>
      </c>
      <c r="E15" s="20" t="n"/>
      <c r="F15" s="20" t="n"/>
      <c r="G15" s="20" t="n"/>
      <c r="H15" s="20" t="n"/>
      <c r="I15" s="20" t="n"/>
      <c r="J15" s="27">
        <f>IF(OR($C15="",I15=""),"",IFERROR(INDEX('LAMINA_HORA'!$C$5:$V$114,MATCH($C15,'LAMINA_HORA'!$A$5:$A$114,0),MATCH(I15,'LAMINA_HORA'!$C$3:$V$3,0)),"?"))</f>
        <v/>
      </c>
      <c r="K15" s="27">
        <f>IF(OR($C15="",I15=""),"",IFERROR(INDEX('LAMINA_HORA'!$W$5:$AP$114,MATCH($C15,'LAMINA_HORA'!$A$5:$A$114,0),MATCH(I15,'LAMINA_HORA'!$W$3:$AP$3,0)),"?"))</f>
        <v/>
      </c>
      <c r="L15" s="20" t="n"/>
      <c r="M15" s="27">
        <f>IF(OR($C15="",L15=""),"",IFERROR(INDEX('LAMINA_HORA'!$C$5:$V$114,MATCH($C15,'LAMINA_HORA'!$A$5:$A$114,0),MATCH(L15,'LAMINA_HORA'!$C$3:$V$3,0)),"?"))</f>
        <v/>
      </c>
      <c r="N15" s="27">
        <f>IF(OR($C15="",L15=""),"",IFERROR(INDEX('LAMINA_HORA'!$W$5:$AP$114,MATCH($C15,'LAMINA_HORA'!$A$5:$A$114,0),MATCH(L15,'LAMINA_HORA'!$W$3:$AP$3,0)),"?"))</f>
        <v/>
      </c>
      <c r="O15" s="20" t="n"/>
      <c r="P15" s="27">
        <f>IF(OR($C15="",O15=""),"",IFERROR(INDEX('LAMINA_HORA'!$C$5:$V$114,MATCH($C15,'LAMINA_HORA'!$A$5:$A$114,0),MATCH(O15,'LAMINA_HORA'!$C$3:$V$3,0)),"?"))</f>
        <v/>
      </c>
      <c r="Q15" s="27">
        <f>IF(OR($C15="",O15=""),"",IFERROR(INDEX('LAMINA_HORA'!$W$5:$AP$114,MATCH($C15,'LAMINA_HORA'!$A$5:$A$114,0),MATCH(O15,'LAMINA_HORA'!$W$3:$AP$3,0)),"?"))</f>
        <v/>
      </c>
      <c r="R15" s="20" t="n"/>
      <c r="S15" s="27">
        <f>IF(OR($C15="",R15=""),"",IFERROR(INDEX('LAMINA_HORA'!$C$5:$V$114,MATCH($C15,'LAMINA_HORA'!$A$5:$A$114,0),MATCH(R15,'LAMINA_HORA'!$C$3:$V$3,0)),"?"))</f>
        <v/>
      </c>
      <c r="T15" s="27">
        <f>IF(OR($C15="",R15=""),"",IFERROR(INDEX('LAMINA_HORA'!$W$5:$AP$114,MATCH($C15,'LAMINA_HORA'!$A$5:$A$114,0),MATCH(R15,'LAMINA_HORA'!$W$3:$AP$3,0)),"?"))</f>
        <v/>
      </c>
      <c r="U15" s="20" t="n"/>
      <c r="V15" s="27">
        <f>IF(OR($C15="",U15=""),"",IFERROR(INDEX('LAMINA_HORA'!$C$5:$V$114,MATCH($C15,'LAMINA_HORA'!$A$5:$A$114,0),MATCH(U15,'LAMINA_HORA'!$C$3:$V$3,0)),"?"))</f>
        <v/>
      </c>
      <c r="W15" s="27">
        <f>IF(OR($C15="",U15=""),"",IFERROR(INDEX('LAMINA_HORA'!$W$5:$AP$114,MATCH($C15,'LAMINA_HORA'!$A$5:$A$114,0),MATCH(U15,'LAMINA_HORA'!$W$3:$AP$3,0)),"?"))</f>
        <v/>
      </c>
      <c r="X15" s="20" t="n"/>
      <c r="Y15" s="27">
        <f>IF(OR($C15="",X15=""),"",IFERROR(INDEX('LAMINA_HORA'!$C$5:$V$114,MATCH($C15,'LAMINA_HORA'!$A$5:$A$114,0),MATCH(X15,'LAMINA_HORA'!$C$3:$V$3,0)),"?"))</f>
        <v/>
      </c>
      <c r="Z15" s="27">
        <f>IF(OR($C15="",X15=""),"",IFERROR(INDEX('LAMINA_HORA'!$W$5:$AP$114,MATCH($C15,'LAMINA_HORA'!$A$5:$A$114,0),MATCH(X15,'LAMINA_HORA'!$W$3:$AP$3,0)),"?"))</f>
        <v/>
      </c>
      <c r="AA15" s="20" t="n"/>
      <c r="AB15" s="27">
        <f>IF(OR($C15="",AA15=""),"",IFERROR(INDEX('LAMINA_HORA'!$C$5:$V$114,MATCH($C15,'LAMINA_HORA'!$A$5:$A$114,0),MATCH(AA15,'LAMINA_HORA'!$C$3:$V$3,0)),"?"))</f>
        <v/>
      </c>
      <c r="AC15" s="27">
        <f>IF(OR($C15="",AA15=""),"",IFERROR(INDEX('LAMINA_HORA'!$W$5:$AP$114,MATCH($C15,'LAMINA_HORA'!$A$5:$A$114,0),MATCH(AA15,'LAMINA_HORA'!$W$3:$AP$3,0)),"?"))</f>
        <v/>
      </c>
      <c r="AD15" s="13">
        <f>SUM(J15,M15,P15,S15,V15,Y15,AB15)</f>
        <v/>
      </c>
      <c r="AE15" s="15">
        <f>IF(OR($D15="",AD15=""),"",AD15*$D15*10)</f>
        <v/>
      </c>
      <c r="AF15" s="28" t="n"/>
      <c r="AG15" s="15">
        <f>IF(OR(AE15="",AF15=""),"",AE15*AF15)</f>
        <v/>
      </c>
      <c r="AH15" s="28" t="n"/>
      <c r="AI15" s="20" t="n"/>
      <c r="AJ15" s="19" t="n"/>
    </row>
    <row r="16">
      <c r="A16" s="6" t="inlineStr">
        <is>
          <t>R5</t>
        </is>
      </c>
      <c r="B16" s="6" t="inlineStr">
        <is>
          <t>Pivô 12</t>
        </is>
      </c>
      <c r="C16" s="20" t="inlineStr">
        <is>
          <t>P12</t>
        </is>
      </c>
      <c r="D16" s="7" t="n">
        <v>150.01</v>
      </c>
      <c r="E16" s="20" t="n"/>
      <c r="F16" s="20" t="n"/>
      <c r="G16" s="20" t="n"/>
      <c r="H16" s="20" t="n"/>
      <c r="I16" s="20" t="n"/>
      <c r="J16" s="27">
        <f>IF(OR($C16="",I16=""),"",IFERROR(INDEX('LAMINA_HORA'!$C$5:$V$114,MATCH($C16,'LAMINA_HORA'!$A$5:$A$114,0),MATCH(I16,'LAMINA_HORA'!$C$3:$V$3,0)),"?"))</f>
        <v/>
      </c>
      <c r="K16" s="27">
        <f>IF(OR($C16="",I16=""),"",IFERROR(INDEX('LAMINA_HORA'!$W$5:$AP$114,MATCH($C16,'LAMINA_HORA'!$A$5:$A$114,0),MATCH(I16,'LAMINA_HORA'!$W$3:$AP$3,0)),"?"))</f>
        <v/>
      </c>
      <c r="L16" s="20" t="n"/>
      <c r="M16" s="27">
        <f>IF(OR($C16="",L16=""),"",IFERROR(INDEX('LAMINA_HORA'!$C$5:$V$114,MATCH($C16,'LAMINA_HORA'!$A$5:$A$114,0),MATCH(L16,'LAMINA_HORA'!$C$3:$V$3,0)),"?"))</f>
        <v/>
      </c>
      <c r="N16" s="27">
        <f>IF(OR($C16="",L16=""),"",IFERROR(INDEX('LAMINA_HORA'!$W$5:$AP$114,MATCH($C16,'LAMINA_HORA'!$A$5:$A$114,0),MATCH(L16,'LAMINA_HORA'!$W$3:$AP$3,0)),"?"))</f>
        <v/>
      </c>
      <c r="O16" s="20" t="n"/>
      <c r="P16" s="27">
        <f>IF(OR($C16="",O16=""),"",IFERROR(INDEX('LAMINA_HORA'!$C$5:$V$114,MATCH($C16,'LAMINA_HORA'!$A$5:$A$114,0),MATCH(O16,'LAMINA_HORA'!$C$3:$V$3,0)),"?"))</f>
        <v/>
      </c>
      <c r="Q16" s="27">
        <f>IF(OR($C16="",O16=""),"",IFERROR(INDEX('LAMINA_HORA'!$W$5:$AP$114,MATCH($C16,'LAMINA_HORA'!$A$5:$A$114,0),MATCH(O16,'LAMINA_HORA'!$W$3:$AP$3,0)),"?"))</f>
        <v/>
      </c>
      <c r="R16" s="20" t="n"/>
      <c r="S16" s="27">
        <f>IF(OR($C16="",R16=""),"",IFERROR(INDEX('LAMINA_HORA'!$C$5:$V$114,MATCH($C16,'LAMINA_HORA'!$A$5:$A$114,0),MATCH(R16,'LAMINA_HORA'!$C$3:$V$3,0)),"?"))</f>
        <v/>
      </c>
      <c r="T16" s="27">
        <f>IF(OR($C16="",R16=""),"",IFERROR(INDEX('LAMINA_HORA'!$W$5:$AP$114,MATCH($C16,'LAMINA_HORA'!$A$5:$A$114,0),MATCH(R16,'LAMINA_HORA'!$W$3:$AP$3,0)),"?"))</f>
        <v/>
      </c>
      <c r="U16" s="20" t="n"/>
      <c r="V16" s="27">
        <f>IF(OR($C16="",U16=""),"",IFERROR(INDEX('LAMINA_HORA'!$C$5:$V$114,MATCH($C16,'LAMINA_HORA'!$A$5:$A$114,0),MATCH(U16,'LAMINA_HORA'!$C$3:$V$3,0)),"?"))</f>
        <v/>
      </c>
      <c r="W16" s="27">
        <f>IF(OR($C16="",U16=""),"",IFERROR(INDEX('LAMINA_HORA'!$W$5:$AP$114,MATCH($C16,'LAMINA_HORA'!$A$5:$A$114,0),MATCH(U16,'LAMINA_HORA'!$W$3:$AP$3,0)),"?"))</f>
        <v/>
      </c>
      <c r="X16" s="20" t="n"/>
      <c r="Y16" s="27">
        <f>IF(OR($C16="",X16=""),"",IFERROR(INDEX('LAMINA_HORA'!$C$5:$V$114,MATCH($C16,'LAMINA_HORA'!$A$5:$A$114,0),MATCH(X16,'LAMINA_HORA'!$C$3:$V$3,0)),"?"))</f>
        <v/>
      </c>
      <c r="Z16" s="27">
        <f>IF(OR($C16="",X16=""),"",IFERROR(INDEX('LAMINA_HORA'!$W$5:$AP$114,MATCH($C16,'LAMINA_HORA'!$A$5:$A$114,0),MATCH(X16,'LAMINA_HORA'!$W$3:$AP$3,0)),"?"))</f>
        <v/>
      </c>
      <c r="AA16" s="20" t="n"/>
      <c r="AB16" s="27">
        <f>IF(OR($C16="",AA16=""),"",IFERROR(INDEX('LAMINA_HORA'!$C$5:$V$114,MATCH($C16,'LAMINA_HORA'!$A$5:$A$114,0),MATCH(AA16,'LAMINA_HORA'!$C$3:$V$3,0)),"?"))</f>
        <v/>
      </c>
      <c r="AC16" s="27">
        <f>IF(OR($C16="",AA16=""),"",IFERROR(INDEX('LAMINA_HORA'!$W$5:$AP$114,MATCH($C16,'LAMINA_HORA'!$A$5:$A$114,0),MATCH(AA16,'LAMINA_HORA'!$W$3:$AP$3,0)),"?"))</f>
        <v/>
      </c>
      <c r="AD16" s="13">
        <f>SUM(J16,M16,P16,S16,V16,Y16,AB16)</f>
        <v/>
      </c>
      <c r="AE16" s="15">
        <f>IF(OR($D16="",AD16=""),"",AD16*$D16*10)</f>
        <v/>
      </c>
      <c r="AF16" s="28" t="n"/>
      <c r="AG16" s="15">
        <f>IF(OR(AE16="",AF16=""),"",AE16*AF16)</f>
        <v/>
      </c>
      <c r="AH16" s="28" t="n"/>
      <c r="AI16" s="20" t="n"/>
      <c r="AJ16" s="19" t="n"/>
    </row>
    <row r="17">
      <c r="A17" s="6" t="inlineStr">
        <is>
          <t>R5</t>
        </is>
      </c>
      <c r="B17" s="6" t="inlineStr">
        <is>
          <t>Pivô 13</t>
        </is>
      </c>
      <c r="C17" s="20" t="inlineStr">
        <is>
          <t>P13</t>
        </is>
      </c>
      <c r="D17" s="7" t="n">
        <v>71.3</v>
      </c>
      <c r="E17" s="20" t="n"/>
      <c r="F17" s="20" t="n"/>
      <c r="G17" s="20" t="n"/>
      <c r="H17" s="20" t="n"/>
      <c r="I17" s="20" t="n"/>
      <c r="J17" s="27">
        <f>IF(OR($C17="",I17=""),"",IFERROR(INDEX('LAMINA_HORA'!$C$5:$V$114,MATCH($C17,'LAMINA_HORA'!$A$5:$A$114,0),MATCH(I17,'LAMINA_HORA'!$C$3:$V$3,0)),"?"))</f>
        <v/>
      </c>
      <c r="K17" s="27">
        <f>IF(OR($C17="",I17=""),"",IFERROR(INDEX('LAMINA_HORA'!$W$5:$AP$114,MATCH($C17,'LAMINA_HORA'!$A$5:$A$114,0),MATCH(I17,'LAMINA_HORA'!$W$3:$AP$3,0)),"?"))</f>
        <v/>
      </c>
      <c r="L17" s="20" t="n"/>
      <c r="M17" s="27">
        <f>IF(OR($C17="",L17=""),"",IFERROR(INDEX('LAMINA_HORA'!$C$5:$V$114,MATCH($C17,'LAMINA_HORA'!$A$5:$A$114,0),MATCH(L17,'LAMINA_HORA'!$C$3:$V$3,0)),"?"))</f>
        <v/>
      </c>
      <c r="N17" s="27">
        <f>IF(OR($C17="",L17=""),"",IFERROR(INDEX('LAMINA_HORA'!$W$5:$AP$114,MATCH($C17,'LAMINA_HORA'!$A$5:$A$114,0),MATCH(L17,'LAMINA_HORA'!$W$3:$AP$3,0)),"?"))</f>
        <v/>
      </c>
      <c r="O17" s="20" t="n"/>
      <c r="P17" s="27">
        <f>IF(OR($C17="",O17=""),"",IFERROR(INDEX('LAMINA_HORA'!$C$5:$V$114,MATCH($C17,'LAMINA_HORA'!$A$5:$A$114,0),MATCH(O17,'LAMINA_HORA'!$C$3:$V$3,0)),"?"))</f>
        <v/>
      </c>
      <c r="Q17" s="27">
        <f>IF(OR($C17="",O17=""),"",IFERROR(INDEX('LAMINA_HORA'!$W$5:$AP$114,MATCH($C17,'LAMINA_HORA'!$A$5:$A$114,0),MATCH(O17,'LAMINA_HORA'!$W$3:$AP$3,0)),"?"))</f>
        <v/>
      </c>
      <c r="R17" s="20" t="n"/>
      <c r="S17" s="27">
        <f>IF(OR($C17="",R17=""),"",IFERROR(INDEX('LAMINA_HORA'!$C$5:$V$114,MATCH($C17,'LAMINA_HORA'!$A$5:$A$114,0),MATCH(R17,'LAMINA_HORA'!$C$3:$V$3,0)),"?"))</f>
        <v/>
      </c>
      <c r="T17" s="27">
        <f>IF(OR($C17="",R17=""),"",IFERROR(INDEX('LAMINA_HORA'!$W$5:$AP$114,MATCH($C17,'LAMINA_HORA'!$A$5:$A$114,0),MATCH(R17,'LAMINA_HORA'!$W$3:$AP$3,0)),"?"))</f>
        <v/>
      </c>
      <c r="U17" s="20" t="n"/>
      <c r="V17" s="27">
        <f>IF(OR($C17="",U17=""),"",IFERROR(INDEX('LAMINA_HORA'!$C$5:$V$114,MATCH($C17,'LAMINA_HORA'!$A$5:$A$114,0),MATCH(U17,'LAMINA_HORA'!$C$3:$V$3,0)),"?"))</f>
        <v/>
      </c>
      <c r="W17" s="27">
        <f>IF(OR($C17="",U17=""),"",IFERROR(INDEX('LAMINA_HORA'!$W$5:$AP$114,MATCH($C17,'LAMINA_HORA'!$A$5:$A$114,0),MATCH(U17,'LAMINA_HORA'!$W$3:$AP$3,0)),"?"))</f>
        <v/>
      </c>
      <c r="X17" s="20" t="n"/>
      <c r="Y17" s="27">
        <f>IF(OR($C17="",X17=""),"",IFERROR(INDEX('LAMINA_HORA'!$C$5:$V$114,MATCH($C17,'LAMINA_HORA'!$A$5:$A$114,0),MATCH(X17,'LAMINA_HORA'!$C$3:$V$3,0)),"?"))</f>
        <v/>
      </c>
      <c r="Z17" s="27">
        <f>IF(OR($C17="",X17=""),"",IFERROR(INDEX('LAMINA_HORA'!$W$5:$AP$114,MATCH($C17,'LAMINA_HORA'!$A$5:$A$114,0),MATCH(X17,'LAMINA_HORA'!$W$3:$AP$3,0)),"?"))</f>
        <v/>
      </c>
      <c r="AA17" s="20" t="n"/>
      <c r="AB17" s="27">
        <f>IF(OR($C17="",AA17=""),"",IFERROR(INDEX('LAMINA_HORA'!$C$5:$V$114,MATCH($C17,'LAMINA_HORA'!$A$5:$A$114,0),MATCH(AA17,'LAMINA_HORA'!$C$3:$V$3,0)),"?"))</f>
        <v/>
      </c>
      <c r="AC17" s="27">
        <f>IF(OR($C17="",AA17=""),"",IFERROR(INDEX('LAMINA_HORA'!$W$5:$AP$114,MATCH($C17,'LAMINA_HORA'!$A$5:$A$114,0),MATCH(AA17,'LAMINA_HORA'!$W$3:$AP$3,0)),"?"))</f>
        <v/>
      </c>
      <c r="AD17" s="13">
        <f>SUM(J17,M17,P17,S17,V17,Y17,AB17)</f>
        <v/>
      </c>
      <c r="AE17" s="15">
        <f>IF(OR($D17="",AD17=""),"",AD17*$D17*10)</f>
        <v/>
      </c>
      <c r="AF17" s="28" t="n"/>
      <c r="AG17" s="15">
        <f>IF(OR(AE17="",AF17=""),"",AE17*AF17)</f>
        <v/>
      </c>
      <c r="AH17" s="28" t="n"/>
      <c r="AI17" s="20" t="n"/>
      <c r="AJ17" s="19" t="n"/>
    </row>
    <row r="18">
      <c r="A18" s="6" t="inlineStr">
        <is>
          <t>R6</t>
        </is>
      </c>
      <c r="B18" s="6" t="inlineStr">
        <is>
          <t>Pivô 14</t>
        </is>
      </c>
      <c r="C18" s="20" t="inlineStr">
        <is>
          <t>P14</t>
        </is>
      </c>
      <c r="D18" s="7" t="n">
        <v>150.01</v>
      </c>
      <c r="E18" s="20" t="n"/>
      <c r="F18" s="20" t="n"/>
      <c r="G18" s="20" t="n"/>
      <c r="H18" s="20" t="n"/>
      <c r="I18" s="20" t="n"/>
      <c r="J18" s="27">
        <f>IF(OR($C18="",I18=""),"",IFERROR(INDEX('LAMINA_HORA'!$C$5:$V$114,MATCH($C18,'LAMINA_HORA'!$A$5:$A$114,0),MATCH(I18,'LAMINA_HORA'!$C$3:$V$3,0)),"?"))</f>
        <v/>
      </c>
      <c r="K18" s="27">
        <f>IF(OR($C18="",I18=""),"",IFERROR(INDEX('LAMINA_HORA'!$W$5:$AP$114,MATCH($C18,'LAMINA_HORA'!$A$5:$A$114,0),MATCH(I18,'LAMINA_HORA'!$W$3:$AP$3,0)),"?"))</f>
        <v/>
      </c>
      <c r="L18" s="20" t="n"/>
      <c r="M18" s="27">
        <f>IF(OR($C18="",L18=""),"",IFERROR(INDEX('LAMINA_HORA'!$C$5:$V$114,MATCH($C18,'LAMINA_HORA'!$A$5:$A$114,0),MATCH(L18,'LAMINA_HORA'!$C$3:$V$3,0)),"?"))</f>
        <v/>
      </c>
      <c r="N18" s="27">
        <f>IF(OR($C18="",L18=""),"",IFERROR(INDEX('LAMINA_HORA'!$W$5:$AP$114,MATCH($C18,'LAMINA_HORA'!$A$5:$A$114,0),MATCH(L18,'LAMINA_HORA'!$W$3:$AP$3,0)),"?"))</f>
        <v/>
      </c>
      <c r="O18" s="20" t="n"/>
      <c r="P18" s="27">
        <f>IF(OR($C18="",O18=""),"",IFERROR(INDEX('LAMINA_HORA'!$C$5:$V$114,MATCH($C18,'LAMINA_HORA'!$A$5:$A$114,0),MATCH(O18,'LAMINA_HORA'!$C$3:$V$3,0)),"?"))</f>
        <v/>
      </c>
      <c r="Q18" s="27">
        <f>IF(OR($C18="",O18=""),"",IFERROR(INDEX('LAMINA_HORA'!$W$5:$AP$114,MATCH($C18,'LAMINA_HORA'!$A$5:$A$114,0),MATCH(O18,'LAMINA_HORA'!$W$3:$AP$3,0)),"?"))</f>
        <v/>
      </c>
      <c r="R18" s="20" t="n"/>
      <c r="S18" s="27">
        <f>IF(OR($C18="",R18=""),"",IFERROR(INDEX('LAMINA_HORA'!$C$5:$V$114,MATCH($C18,'LAMINA_HORA'!$A$5:$A$114,0),MATCH(R18,'LAMINA_HORA'!$C$3:$V$3,0)),"?"))</f>
        <v/>
      </c>
      <c r="T18" s="27">
        <f>IF(OR($C18="",R18=""),"",IFERROR(INDEX('LAMINA_HORA'!$W$5:$AP$114,MATCH($C18,'LAMINA_HORA'!$A$5:$A$114,0),MATCH(R18,'LAMINA_HORA'!$W$3:$AP$3,0)),"?"))</f>
        <v/>
      </c>
      <c r="U18" s="20" t="n"/>
      <c r="V18" s="27">
        <f>IF(OR($C18="",U18=""),"",IFERROR(INDEX('LAMINA_HORA'!$C$5:$V$114,MATCH($C18,'LAMINA_HORA'!$A$5:$A$114,0),MATCH(U18,'LAMINA_HORA'!$C$3:$V$3,0)),"?"))</f>
        <v/>
      </c>
      <c r="W18" s="27">
        <f>IF(OR($C18="",U18=""),"",IFERROR(INDEX('LAMINA_HORA'!$W$5:$AP$114,MATCH($C18,'LAMINA_HORA'!$A$5:$A$114,0),MATCH(U18,'LAMINA_HORA'!$W$3:$AP$3,0)),"?"))</f>
        <v/>
      </c>
      <c r="X18" s="20" t="n"/>
      <c r="Y18" s="27">
        <f>IF(OR($C18="",X18=""),"",IFERROR(INDEX('LAMINA_HORA'!$C$5:$V$114,MATCH($C18,'LAMINA_HORA'!$A$5:$A$114,0),MATCH(X18,'LAMINA_HORA'!$C$3:$V$3,0)),"?"))</f>
        <v/>
      </c>
      <c r="Z18" s="27">
        <f>IF(OR($C18="",X18=""),"",IFERROR(INDEX('LAMINA_HORA'!$W$5:$AP$114,MATCH($C18,'LAMINA_HORA'!$A$5:$A$114,0),MATCH(X18,'LAMINA_HORA'!$W$3:$AP$3,0)),"?"))</f>
        <v/>
      </c>
      <c r="AA18" s="20" t="n"/>
      <c r="AB18" s="27">
        <f>IF(OR($C18="",AA18=""),"",IFERROR(INDEX('LAMINA_HORA'!$C$5:$V$114,MATCH($C18,'LAMINA_HORA'!$A$5:$A$114,0),MATCH(AA18,'LAMINA_HORA'!$C$3:$V$3,0)),"?"))</f>
        <v/>
      </c>
      <c r="AC18" s="27">
        <f>IF(OR($C18="",AA18=""),"",IFERROR(INDEX('LAMINA_HORA'!$W$5:$AP$114,MATCH($C18,'LAMINA_HORA'!$A$5:$A$114,0),MATCH(AA18,'LAMINA_HORA'!$W$3:$AP$3,0)),"?"))</f>
        <v/>
      </c>
      <c r="AD18" s="13">
        <f>SUM(J18,M18,P18,S18,V18,Y18,AB18)</f>
        <v/>
      </c>
      <c r="AE18" s="15">
        <f>IF(OR($D18="",AD18=""),"",AD18*$D18*10)</f>
        <v/>
      </c>
      <c r="AF18" s="28" t="n"/>
      <c r="AG18" s="15">
        <f>IF(OR(AE18="",AF18=""),"",AE18*AF18)</f>
        <v/>
      </c>
      <c r="AH18" s="28" t="n"/>
      <c r="AI18" s="20" t="n"/>
      <c r="AJ18" s="19" t="n"/>
    </row>
    <row r="20">
      <c r="A20" s="29" t="inlineStr">
        <is>
          <t>Lamina e horas vem da aba LAMINA_HORA por Cod L/H + percentimetro (INDEX/MATCH). Energia/custo dependem de CE (kWh/m3) e tarifa -&gt; PENDENTE. 'Gerar programacao' automatica: macro/script (PENDENTE). Percentimetro NAO reduz vazao proporcionalmente.</t>
        </is>
      </c>
    </row>
  </sheetData>
  <mergeCells count="8">
    <mergeCell ref="U3:W3"/>
    <mergeCell ref="R3:T3"/>
    <mergeCell ref="A20:AJ20"/>
    <mergeCell ref="X3:Z3"/>
    <mergeCell ref="I3:K3"/>
    <mergeCell ref="L3:N3"/>
    <mergeCell ref="AA3:AC3"/>
    <mergeCell ref="O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AADB"/>
    <outlinePr summaryBelow="1" summaryRight="1"/>
    <pageSetUpPr/>
  </sheetPr>
  <dimension ref="A1:AJ22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9" customWidth="1" min="4" max="4"/>
    <col width="8" customWidth="1" min="5" max="5"/>
    <col width="14" customWidth="1" min="6" max="6"/>
    <col width="6" customWidth="1" min="7" max="7"/>
    <col width="8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 ht="20" customHeight="1">
      <c r="A1" s="1" t="inlineStr">
        <is>
          <t>MODULO 1 (Karitel) - por casa de bomba</t>
        </is>
      </c>
    </row>
    <row r="2">
      <c r="A2" s="2" t="inlineStr">
        <is>
          <t>Visualizacao ligada a mesma base.</t>
        </is>
      </c>
    </row>
    <row r="3">
      <c r="I3" s="25">
        <f>IF('PARAMETROS'!$B$14="","Dia 1",'PARAMETROS'!$B$14+0)</f>
        <v/>
      </c>
      <c r="L3" s="25">
        <f>IF('PARAMETROS'!$B$14="","Dia 2",'PARAMETROS'!$B$14+1)</f>
        <v/>
      </c>
      <c r="O3" s="25">
        <f>IF('PARAMETROS'!$B$14="","Dia 3",'PARAMETROS'!$B$14+2)</f>
        <v/>
      </c>
      <c r="R3" s="25">
        <f>IF('PARAMETROS'!$B$14="","Dia 4",'PARAMETROS'!$B$14+3)</f>
        <v/>
      </c>
      <c r="U3" s="25">
        <f>IF('PARAMETROS'!$B$14="","Dia 5",'PARAMETROS'!$B$14+4)</f>
        <v/>
      </c>
      <c r="X3" s="25">
        <f>IF('PARAMETROS'!$B$14="","Dia 6",'PARAMETROS'!$B$14+5)</f>
        <v/>
      </c>
      <c r="AA3" s="25">
        <f>IF('PARAMETROS'!$B$14="","Dia 7",'PARAMETROS'!$B$14+6)</f>
        <v/>
      </c>
    </row>
    <row r="4" ht="28" customHeight="1">
      <c r="A4" s="4" t="inlineStr">
        <is>
          <t>Casa b.</t>
        </is>
      </c>
      <c r="B4" s="4" t="inlineStr">
        <is>
          <t>Pivo</t>
        </is>
      </c>
      <c r="C4" s="4" t="inlineStr">
        <is>
          <t>Cod L/H</t>
        </is>
      </c>
      <c r="D4" s="4" t="inlineStr">
        <is>
          <t>Area (ha)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DAE</t>
        </is>
      </c>
      <c r="H4" s="4" t="inlineStr">
        <is>
          <t>Meta (mm)</t>
        </is>
      </c>
      <c r="I4" s="26" t="inlineStr">
        <is>
          <t>%</t>
        </is>
      </c>
      <c r="J4" s="26" t="inlineStr">
        <is>
          <t>Lam</t>
        </is>
      </c>
      <c r="K4" s="26" t="inlineStr">
        <is>
          <t>h</t>
        </is>
      </c>
      <c r="L4" s="26" t="inlineStr">
        <is>
          <t>%</t>
        </is>
      </c>
      <c r="M4" s="26" t="inlineStr">
        <is>
          <t>Lam</t>
        </is>
      </c>
      <c r="N4" s="26" t="inlineStr">
        <is>
          <t>h</t>
        </is>
      </c>
      <c r="O4" s="26" t="inlineStr">
        <is>
          <t>%</t>
        </is>
      </c>
      <c r="P4" s="26" t="inlineStr">
        <is>
          <t>Lam</t>
        </is>
      </c>
      <c r="Q4" s="26" t="inlineStr">
        <is>
          <t>h</t>
        </is>
      </c>
      <c r="R4" s="26" t="inlineStr">
        <is>
          <t>%</t>
        </is>
      </c>
      <c r="S4" s="26" t="inlineStr">
        <is>
          <t>Lam</t>
        </is>
      </c>
      <c r="T4" s="26" t="inlineStr">
        <is>
          <t>h</t>
        </is>
      </c>
      <c r="U4" s="26" t="inlineStr">
        <is>
          <t>%</t>
        </is>
      </c>
      <c r="V4" s="26" t="inlineStr">
        <is>
          <t>Lam</t>
        </is>
      </c>
      <c r="W4" s="26" t="inlineStr">
        <is>
          <t>h</t>
        </is>
      </c>
      <c r="X4" s="26" t="inlineStr">
        <is>
          <t>%</t>
        </is>
      </c>
      <c r="Y4" s="26" t="inlineStr">
        <is>
          <t>Lam</t>
        </is>
      </c>
      <c r="Z4" s="26" t="inlineStr">
        <is>
          <t>h</t>
        </is>
      </c>
      <c r="AA4" s="26" t="inlineStr">
        <is>
          <t>%</t>
        </is>
      </c>
      <c r="AB4" s="26" t="inlineStr">
        <is>
          <t>Lam</t>
        </is>
      </c>
      <c r="AC4" s="26" t="inlineStr">
        <is>
          <t>h</t>
        </is>
      </c>
      <c r="AD4" s="4" t="inlineStr">
        <is>
          <t>Lam total (mm)</t>
        </is>
      </c>
      <c r="AE4" s="4" t="inlineStr">
        <is>
          <t>Vol (m3)</t>
        </is>
      </c>
      <c r="AF4" s="4" t="inlineStr">
        <is>
          <t>CE (kWh/m3)</t>
        </is>
      </c>
      <c r="AG4" s="4" t="inlineStr">
        <is>
          <t>Energia (kWh)</t>
        </is>
      </c>
      <c r="AH4" s="4" t="inlineStr">
        <is>
          <t>Custo (R$)</t>
        </is>
      </c>
      <c r="AI4" s="4" t="inlineStr">
        <is>
          <t>Atend.</t>
        </is>
      </c>
      <c r="AJ4" s="4" t="inlineStr">
        <is>
          <t>Pendencias</t>
        </is>
      </c>
    </row>
    <row r="5">
      <c r="A5" s="6" t="inlineStr">
        <is>
          <t>R0</t>
        </is>
      </c>
      <c r="B5" s="6" t="inlineStr">
        <is>
          <t>Pivô 01</t>
        </is>
      </c>
      <c r="C5" s="20" t="inlineStr">
        <is>
          <t>P1</t>
        </is>
      </c>
      <c r="D5" s="7" t="n">
        <v>150.01</v>
      </c>
      <c r="E5" s="20" t="n"/>
      <c r="F5" s="20" t="n"/>
      <c r="G5" s="20" t="n"/>
      <c r="H5" s="20" t="n"/>
      <c r="I5" s="20" t="n"/>
      <c r="J5" s="27">
        <f>IF(OR($C5="",I5=""),"",IFERROR(INDEX('LAMINA_HORA'!$C$5:$V$114,MATCH($C5,'LAMINA_HORA'!$A$5:$A$114,0),MATCH(I5,'LAMINA_HORA'!$C$3:$V$3,0)),"?"))</f>
        <v/>
      </c>
      <c r="K5" s="27">
        <f>IF(OR($C5="",I5=""),"",IFERROR(INDEX('LAMINA_HORA'!$W$5:$AP$114,MATCH($C5,'LAMINA_HORA'!$A$5:$A$114,0),MATCH(I5,'LAMINA_HORA'!$W$3:$AP$3,0)),"?"))</f>
        <v/>
      </c>
      <c r="L5" s="20" t="n"/>
      <c r="M5" s="27">
        <f>IF(OR($C5="",L5=""),"",IFERROR(INDEX('LAMINA_HORA'!$C$5:$V$114,MATCH($C5,'LAMINA_HORA'!$A$5:$A$114,0),MATCH(L5,'LAMINA_HORA'!$C$3:$V$3,0)),"?"))</f>
        <v/>
      </c>
      <c r="N5" s="27">
        <f>IF(OR($C5="",L5=""),"",IFERROR(INDEX('LAMINA_HORA'!$W$5:$AP$114,MATCH($C5,'LAMINA_HORA'!$A$5:$A$114,0),MATCH(L5,'LAMINA_HORA'!$W$3:$AP$3,0)),"?"))</f>
        <v/>
      </c>
      <c r="O5" s="20" t="n"/>
      <c r="P5" s="27">
        <f>IF(OR($C5="",O5=""),"",IFERROR(INDEX('LAMINA_HORA'!$C$5:$V$114,MATCH($C5,'LAMINA_HORA'!$A$5:$A$114,0),MATCH(O5,'LAMINA_HORA'!$C$3:$V$3,0)),"?"))</f>
        <v/>
      </c>
      <c r="Q5" s="27">
        <f>IF(OR($C5="",O5=""),"",IFERROR(INDEX('LAMINA_HORA'!$W$5:$AP$114,MATCH($C5,'LAMINA_HORA'!$A$5:$A$114,0),MATCH(O5,'LAMINA_HORA'!$W$3:$AP$3,0)),"?"))</f>
        <v/>
      </c>
      <c r="R5" s="20" t="n"/>
      <c r="S5" s="27">
        <f>IF(OR($C5="",R5=""),"",IFERROR(INDEX('LAMINA_HORA'!$C$5:$V$114,MATCH($C5,'LAMINA_HORA'!$A$5:$A$114,0),MATCH(R5,'LAMINA_HORA'!$C$3:$V$3,0)),"?"))</f>
        <v/>
      </c>
      <c r="T5" s="27">
        <f>IF(OR($C5="",R5=""),"",IFERROR(INDEX('LAMINA_HORA'!$W$5:$AP$114,MATCH($C5,'LAMINA_HORA'!$A$5:$A$114,0),MATCH(R5,'LAMINA_HORA'!$W$3:$AP$3,0)),"?"))</f>
        <v/>
      </c>
      <c r="U5" s="20" t="n"/>
      <c r="V5" s="27">
        <f>IF(OR($C5="",U5=""),"",IFERROR(INDEX('LAMINA_HORA'!$C$5:$V$114,MATCH($C5,'LAMINA_HORA'!$A$5:$A$114,0),MATCH(U5,'LAMINA_HORA'!$C$3:$V$3,0)),"?"))</f>
        <v/>
      </c>
      <c r="W5" s="27">
        <f>IF(OR($C5="",U5=""),"",IFERROR(INDEX('LAMINA_HORA'!$W$5:$AP$114,MATCH($C5,'LAMINA_HORA'!$A$5:$A$114,0),MATCH(U5,'LAMINA_HORA'!$W$3:$AP$3,0)),"?"))</f>
        <v/>
      </c>
      <c r="X5" s="20" t="n"/>
      <c r="Y5" s="27">
        <f>IF(OR($C5="",X5=""),"",IFERROR(INDEX('LAMINA_HORA'!$C$5:$V$114,MATCH($C5,'LAMINA_HORA'!$A$5:$A$114,0),MATCH(X5,'LAMINA_HORA'!$C$3:$V$3,0)),"?"))</f>
        <v/>
      </c>
      <c r="Z5" s="27">
        <f>IF(OR($C5="",X5=""),"",IFERROR(INDEX('LAMINA_HORA'!$W$5:$AP$114,MATCH($C5,'LAMINA_HORA'!$A$5:$A$114,0),MATCH(X5,'LAMINA_HORA'!$W$3:$AP$3,0)),"?"))</f>
        <v/>
      </c>
      <c r="AA5" s="20" t="n"/>
      <c r="AB5" s="27">
        <f>IF(OR($C5="",AA5=""),"",IFERROR(INDEX('LAMINA_HORA'!$C$5:$V$114,MATCH($C5,'LAMINA_HORA'!$A$5:$A$114,0),MATCH(AA5,'LAMINA_HORA'!$C$3:$V$3,0)),"?"))</f>
        <v/>
      </c>
      <c r="AC5" s="27">
        <f>IF(OR($C5="",AA5=""),"",IFERROR(INDEX('LAMINA_HORA'!$W$5:$AP$114,MATCH($C5,'LAMINA_HORA'!$A$5:$A$114,0),MATCH(AA5,'LAMINA_HORA'!$W$3:$AP$3,0)),"?"))</f>
        <v/>
      </c>
      <c r="AD5" s="13">
        <f>SUM(J5,M5,P5,S5,V5,Y5,AB5)</f>
        <v/>
      </c>
      <c r="AE5" s="15">
        <f>IF(OR($D5="",AD5=""),"",AD5*$D5*10)</f>
        <v/>
      </c>
      <c r="AF5" s="28" t="n"/>
      <c r="AG5" s="15">
        <f>IF(OR(AE5="",AF5=""),"",AE5*AF5)</f>
        <v/>
      </c>
      <c r="AH5" s="28" t="n"/>
      <c r="AI5" s="20" t="n"/>
      <c r="AJ5" s="19" t="n"/>
    </row>
    <row r="6">
      <c r="A6" s="6" t="inlineStr">
        <is>
          <t>R0</t>
        </is>
      </c>
      <c r="B6" s="6" t="inlineStr">
        <is>
          <t>Pivô 02</t>
        </is>
      </c>
      <c r="C6" s="20" t="inlineStr">
        <is>
          <t>P2</t>
        </is>
      </c>
      <c r="D6" s="7" t="n">
        <v>123.72</v>
      </c>
      <c r="E6" s="20" t="n"/>
      <c r="F6" s="20" t="n"/>
      <c r="G6" s="20" t="n"/>
      <c r="H6" s="20" t="n"/>
      <c r="I6" s="20" t="n"/>
      <c r="J6" s="27">
        <f>IF(OR($C6="",I6=""),"",IFERROR(INDEX('LAMINA_HORA'!$C$5:$V$114,MATCH($C6,'LAMINA_HORA'!$A$5:$A$114,0),MATCH(I6,'LAMINA_HORA'!$C$3:$V$3,0)),"?"))</f>
        <v/>
      </c>
      <c r="K6" s="27">
        <f>IF(OR($C6="",I6=""),"",IFERROR(INDEX('LAMINA_HORA'!$W$5:$AP$114,MATCH($C6,'LAMINA_HORA'!$A$5:$A$114,0),MATCH(I6,'LAMINA_HORA'!$W$3:$AP$3,0)),"?"))</f>
        <v/>
      </c>
      <c r="L6" s="20" t="n"/>
      <c r="M6" s="27">
        <f>IF(OR($C6="",L6=""),"",IFERROR(INDEX('LAMINA_HORA'!$C$5:$V$114,MATCH($C6,'LAMINA_HORA'!$A$5:$A$114,0),MATCH(L6,'LAMINA_HORA'!$C$3:$V$3,0)),"?"))</f>
        <v/>
      </c>
      <c r="N6" s="27">
        <f>IF(OR($C6="",L6=""),"",IFERROR(INDEX('LAMINA_HORA'!$W$5:$AP$114,MATCH($C6,'LAMINA_HORA'!$A$5:$A$114,0),MATCH(L6,'LAMINA_HORA'!$W$3:$AP$3,0)),"?"))</f>
        <v/>
      </c>
      <c r="O6" s="20" t="n"/>
      <c r="P6" s="27">
        <f>IF(OR($C6="",O6=""),"",IFERROR(INDEX('LAMINA_HORA'!$C$5:$V$114,MATCH($C6,'LAMINA_HORA'!$A$5:$A$114,0),MATCH(O6,'LAMINA_HORA'!$C$3:$V$3,0)),"?"))</f>
        <v/>
      </c>
      <c r="Q6" s="27">
        <f>IF(OR($C6="",O6=""),"",IFERROR(INDEX('LAMINA_HORA'!$W$5:$AP$114,MATCH($C6,'LAMINA_HORA'!$A$5:$A$114,0),MATCH(O6,'LAMINA_HORA'!$W$3:$AP$3,0)),"?"))</f>
        <v/>
      </c>
      <c r="R6" s="20" t="n"/>
      <c r="S6" s="27">
        <f>IF(OR($C6="",R6=""),"",IFERROR(INDEX('LAMINA_HORA'!$C$5:$V$114,MATCH($C6,'LAMINA_HORA'!$A$5:$A$114,0),MATCH(R6,'LAMINA_HORA'!$C$3:$V$3,0)),"?"))</f>
        <v/>
      </c>
      <c r="T6" s="27">
        <f>IF(OR($C6="",R6=""),"",IFERROR(INDEX('LAMINA_HORA'!$W$5:$AP$114,MATCH($C6,'LAMINA_HORA'!$A$5:$A$114,0),MATCH(R6,'LAMINA_HORA'!$W$3:$AP$3,0)),"?"))</f>
        <v/>
      </c>
      <c r="U6" s="20" t="n"/>
      <c r="V6" s="27">
        <f>IF(OR($C6="",U6=""),"",IFERROR(INDEX('LAMINA_HORA'!$C$5:$V$114,MATCH($C6,'LAMINA_HORA'!$A$5:$A$114,0),MATCH(U6,'LAMINA_HORA'!$C$3:$V$3,0)),"?"))</f>
        <v/>
      </c>
      <c r="W6" s="27">
        <f>IF(OR($C6="",U6=""),"",IFERROR(INDEX('LAMINA_HORA'!$W$5:$AP$114,MATCH($C6,'LAMINA_HORA'!$A$5:$A$114,0),MATCH(U6,'LAMINA_HORA'!$W$3:$AP$3,0)),"?"))</f>
        <v/>
      </c>
      <c r="X6" s="20" t="n"/>
      <c r="Y6" s="27">
        <f>IF(OR($C6="",X6=""),"",IFERROR(INDEX('LAMINA_HORA'!$C$5:$V$114,MATCH($C6,'LAMINA_HORA'!$A$5:$A$114,0),MATCH(X6,'LAMINA_HORA'!$C$3:$V$3,0)),"?"))</f>
        <v/>
      </c>
      <c r="Z6" s="27">
        <f>IF(OR($C6="",X6=""),"",IFERROR(INDEX('LAMINA_HORA'!$W$5:$AP$114,MATCH($C6,'LAMINA_HORA'!$A$5:$A$114,0),MATCH(X6,'LAMINA_HORA'!$W$3:$AP$3,0)),"?"))</f>
        <v/>
      </c>
      <c r="AA6" s="20" t="n"/>
      <c r="AB6" s="27">
        <f>IF(OR($C6="",AA6=""),"",IFERROR(INDEX('LAMINA_HORA'!$C$5:$V$114,MATCH($C6,'LAMINA_HORA'!$A$5:$A$114,0),MATCH(AA6,'LAMINA_HORA'!$C$3:$V$3,0)),"?"))</f>
        <v/>
      </c>
      <c r="AC6" s="27">
        <f>IF(OR($C6="",AA6=""),"",IFERROR(INDEX('LAMINA_HORA'!$W$5:$AP$114,MATCH($C6,'LAMINA_HORA'!$A$5:$A$114,0),MATCH(AA6,'LAMINA_HORA'!$W$3:$AP$3,0)),"?"))</f>
        <v/>
      </c>
      <c r="AD6" s="13">
        <f>SUM(J6,M6,P6,S6,V6,Y6,AB6)</f>
        <v/>
      </c>
      <c r="AE6" s="15">
        <f>IF(OR($D6="",AD6=""),"",AD6*$D6*10)</f>
        <v/>
      </c>
      <c r="AF6" s="28" t="n"/>
      <c r="AG6" s="15">
        <f>IF(OR(AE6="",AF6=""),"",AE6*AF6)</f>
        <v/>
      </c>
      <c r="AH6" s="28" t="n"/>
      <c r="AI6" s="20" t="n"/>
      <c r="AJ6" s="19" t="n"/>
    </row>
    <row r="7">
      <c r="A7" s="6" t="inlineStr">
        <is>
          <t>R0</t>
        </is>
      </c>
      <c r="B7" s="6" t="inlineStr">
        <is>
          <t>Pivô 03</t>
        </is>
      </c>
      <c r="C7" s="20" t="inlineStr">
        <is>
          <t>P3</t>
        </is>
      </c>
      <c r="D7" s="7" t="n">
        <v>150.01</v>
      </c>
      <c r="E7" s="20" t="n"/>
      <c r="F7" s="20" t="n"/>
      <c r="G7" s="20" t="n"/>
      <c r="H7" s="20" t="n"/>
      <c r="I7" s="20" t="n"/>
      <c r="J7" s="27">
        <f>IF(OR($C7="",I7=""),"",IFERROR(INDEX('LAMINA_HORA'!$C$5:$V$114,MATCH($C7,'LAMINA_HORA'!$A$5:$A$114,0),MATCH(I7,'LAMINA_HORA'!$C$3:$V$3,0)),"?"))</f>
        <v/>
      </c>
      <c r="K7" s="27">
        <f>IF(OR($C7="",I7=""),"",IFERROR(INDEX('LAMINA_HORA'!$W$5:$AP$114,MATCH($C7,'LAMINA_HORA'!$A$5:$A$114,0),MATCH(I7,'LAMINA_HORA'!$W$3:$AP$3,0)),"?"))</f>
        <v/>
      </c>
      <c r="L7" s="20" t="n"/>
      <c r="M7" s="27">
        <f>IF(OR($C7="",L7=""),"",IFERROR(INDEX('LAMINA_HORA'!$C$5:$V$114,MATCH($C7,'LAMINA_HORA'!$A$5:$A$114,0),MATCH(L7,'LAMINA_HORA'!$C$3:$V$3,0)),"?"))</f>
        <v/>
      </c>
      <c r="N7" s="27">
        <f>IF(OR($C7="",L7=""),"",IFERROR(INDEX('LAMINA_HORA'!$W$5:$AP$114,MATCH($C7,'LAMINA_HORA'!$A$5:$A$114,0),MATCH(L7,'LAMINA_HORA'!$W$3:$AP$3,0)),"?"))</f>
        <v/>
      </c>
      <c r="O7" s="20" t="n"/>
      <c r="P7" s="27">
        <f>IF(OR($C7="",O7=""),"",IFERROR(INDEX('LAMINA_HORA'!$C$5:$V$114,MATCH($C7,'LAMINA_HORA'!$A$5:$A$114,0),MATCH(O7,'LAMINA_HORA'!$C$3:$V$3,0)),"?"))</f>
        <v/>
      </c>
      <c r="Q7" s="27">
        <f>IF(OR($C7="",O7=""),"",IFERROR(INDEX('LAMINA_HORA'!$W$5:$AP$114,MATCH($C7,'LAMINA_HORA'!$A$5:$A$114,0),MATCH(O7,'LAMINA_HORA'!$W$3:$AP$3,0)),"?"))</f>
        <v/>
      </c>
      <c r="R7" s="20" t="n"/>
      <c r="S7" s="27">
        <f>IF(OR($C7="",R7=""),"",IFERROR(INDEX('LAMINA_HORA'!$C$5:$V$114,MATCH($C7,'LAMINA_HORA'!$A$5:$A$114,0),MATCH(R7,'LAMINA_HORA'!$C$3:$V$3,0)),"?"))</f>
        <v/>
      </c>
      <c r="T7" s="27">
        <f>IF(OR($C7="",R7=""),"",IFERROR(INDEX('LAMINA_HORA'!$W$5:$AP$114,MATCH($C7,'LAMINA_HORA'!$A$5:$A$114,0),MATCH(R7,'LAMINA_HORA'!$W$3:$AP$3,0)),"?"))</f>
        <v/>
      </c>
      <c r="U7" s="20" t="n"/>
      <c r="V7" s="27">
        <f>IF(OR($C7="",U7=""),"",IFERROR(INDEX('LAMINA_HORA'!$C$5:$V$114,MATCH($C7,'LAMINA_HORA'!$A$5:$A$114,0),MATCH(U7,'LAMINA_HORA'!$C$3:$V$3,0)),"?"))</f>
        <v/>
      </c>
      <c r="W7" s="27">
        <f>IF(OR($C7="",U7=""),"",IFERROR(INDEX('LAMINA_HORA'!$W$5:$AP$114,MATCH($C7,'LAMINA_HORA'!$A$5:$A$114,0),MATCH(U7,'LAMINA_HORA'!$W$3:$AP$3,0)),"?"))</f>
        <v/>
      </c>
      <c r="X7" s="20" t="n"/>
      <c r="Y7" s="27">
        <f>IF(OR($C7="",X7=""),"",IFERROR(INDEX('LAMINA_HORA'!$C$5:$V$114,MATCH($C7,'LAMINA_HORA'!$A$5:$A$114,0),MATCH(X7,'LAMINA_HORA'!$C$3:$V$3,0)),"?"))</f>
        <v/>
      </c>
      <c r="Z7" s="27">
        <f>IF(OR($C7="",X7=""),"",IFERROR(INDEX('LAMINA_HORA'!$W$5:$AP$114,MATCH($C7,'LAMINA_HORA'!$A$5:$A$114,0),MATCH(X7,'LAMINA_HORA'!$W$3:$AP$3,0)),"?"))</f>
        <v/>
      </c>
      <c r="AA7" s="20" t="n"/>
      <c r="AB7" s="27">
        <f>IF(OR($C7="",AA7=""),"",IFERROR(INDEX('LAMINA_HORA'!$C$5:$V$114,MATCH($C7,'LAMINA_HORA'!$A$5:$A$114,0),MATCH(AA7,'LAMINA_HORA'!$C$3:$V$3,0)),"?"))</f>
        <v/>
      </c>
      <c r="AC7" s="27">
        <f>IF(OR($C7="",AA7=""),"",IFERROR(INDEX('LAMINA_HORA'!$W$5:$AP$114,MATCH($C7,'LAMINA_HORA'!$A$5:$A$114,0),MATCH(AA7,'LAMINA_HORA'!$W$3:$AP$3,0)),"?"))</f>
        <v/>
      </c>
      <c r="AD7" s="13">
        <f>SUM(J7,M7,P7,S7,V7,Y7,AB7)</f>
        <v/>
      </c>
      <c r="AE7" s="15">
        <f>IF(OR($D7="",AD7=""),"",AD7*$D7*10)</f>
        <v/>
      </c>
      <c r="AF7" s="28" t="n"/>
      <c r="AG7" s="15">
        <f>IF(OR(AE7="",AF7=""),"",AE7*AF7)</f>
        <v/>
      </c>
      <c r="AH7" s="28" t="n"/>
      <c r="AI7" s="20" t="n"/>
      <c r="AJ7" s="19" t="n"/>
    </row>
    <row r="8">
      <c r="A8" s="6" t="inlineStr">
        <is>
          <t>R0</t>
        </is>
      </c>
      <c r="B8" s="6" t="inlineStr">
        <is>
          <t>Pivô 04</t>
        </is>
      </c>
      <c r="C8" s="20" t="inlineStr">
        <is>
          <t>P4</t>
        </is>
      </c>
      <c r="D8" s="7" t="n">
        <v>62.76</v>
      </c>
      <c r="E8" s="20" t="n"/>
      <c r="F8" s="20" t="n"/>
      <c r="G8" s="20" t="n"/>
      <c r="H8" s="20" t="n"/>
      <c r="I8" s="20" t="n"/>
      <c r="J8" s="27">
        <f>IF(OR($C8="",I8=""),"",IFERROR(INDEX('LAMINA_HORA'!$C$5:$V$114,MATCH($C8,'LAMINA_HORA'!$A$5:$A$114,0),MATCH(I8,'LAMINA_HORA'!$C$3:$V$3,0)),"?"))</f>
        <v/>
      </c>
      <c r="K8" s="27">
        <f>IF(OR($C8="",I8=""),"",IFERROR(INDEX('LAMINA_HORA'!$W$5:$AP$114,MATCH($C8,'LAMINA_HORA'!$A$5:$A$114,0),MATCH(I8,'LAMINA_HORA'!$W$3:$AP$3,0)),"?"))</f>
        <v/>
      </c>
      <c r="L8" s="20" t="n"/>
      <c r="M8" s="27">
        <f>IF(OR($C8="",L8=""),"",IFERROR(INDEX('LAMINA_HORA'!$C$5:$V$114,MATCH($C8,'LAMINA_HORA'!$A$5:$A$114,0),MATCH(L8,'LAMINA_HORA'!$C$3:$V$3,0)),"?"))</f>
        <v/>
      </c>
      <c r="N8" s="27">
        <f>IF(OR($C8="",L8=""),"",IFERROR(INDEX('LAMINA_HORA'!$W$5:$AP$114,MATCH($C8,'LAMINA_HORA'!$A$5:$A$114,0),MATCH(L8,'LAMINA_HORA'!$W$3:$AP$3,0)),"?"))</f>
        <v/>
      </c>
      <c r="O8" s="20" t="n"/>
      <c r="P8" s="27">
        <f>IF(OR($C8="",O8=""),"",IFERROR(INDEX('LAMINA_HORA'!$C$5:$V$114,MATCH($C8,'LAMINA_HORA'!$A$5:$A$114,0),MATCH(O8,'LAMINA_HORA'!$C$3:$V$3,0)),"?"))</f>
        <v/>
      </c>
      <c r="Q8" s="27">
        <f>IF(OR($C8="",O8=""),"",IFERROR(INDEX('LAMINA_HORA'!$W$5:$AP$114,MATCH($C8,'LAMINA_HORA'!$A$5:$A$114,0),MATCH(O8,'LAMINA_HORA'!$W$3:$AP$3,0)),"?"))</f>
        <v/>
      </c>
      <c r="R8" s="20" t="n"/>
      <c r="S8" s="27">
        <f>IF(OR($C8="",R8=""),"",IFERROR(INDEX('LAMINA_HORA'!$C$5:$V$114,MATCH($C8,'LAMINA_HORA'!$A$5:$A$114,0),MATCH(R8,'LAMINA_HORA'!$C$3:$V$3,0)),"?"))</f>
        <v/>
      </c>
      <c r="T8" s="27">
        <f>IF(OR($C8="",R8=""),"",IFERROR(INDEX('LAMINA_HORA'!$W$5:$AP$114,MATCH($C8,'LAMINA_HORA'!$A$5:$A$114,0),MATCH(R8,'LAMINA_HORA'!$W$3:$AP$3,0)),"?"))</f>
        <v/>
      </c>
      <c r="U8" s="20" t="n"/>
      <c r="V8" s="27">
        <f>IF(OR($C8="",U8=""),"",IFERROR(INDEX('LAMINA_HORA'!$C$5:$V$114,MATCH($C8,'LAMINA_HORA'!$A$5:$A$114,0),MATCH(U8,'LAMINA_HORA'!$C$3:$V$3,0)),"?"))</f>
        <v/>
      </c>
      <c r="W8" s="27">
        <f>IF(OR($C8="",U8=""),"",IFERROR(INDEX('LAMINA_HORA'!$W$5:$AP$114,MATCH($C8,'LAMINA_HORA'!$A$5:$A$114,0),MATCH(U8,'LAMINA_HORA'!$W$3:$AP$3,0)),"?"))</f>
        <v/>
      </c>
      <c r="X8" s="20" t="n"/>
      <c r="Y8" s="27">
        <f>IF(OR($C8="",X8=""),"",IFERROR(INDEX('LAMINA_HORA'!$C$5:$V$114,MATCH($C8,'LAMINA_HORA'!$A$5:$A$114,0),MATCH(X8,'LAMINA_HORA'!$C$3:$V$3,0)),"?"))</f>
        <v/>
      </c>
      <c r="Z8" s="27">
        <f>IF(OR($C8="",X8=""),"",IFERROR(INDEX('LAMINA_HORA'!$W$5:$AP$114,MATCH($C8,'LAMINA_HORA'!$A$5:$A$114,0),MATCH(X8,'LAMINA_HORA'!$W$3:$AP$3,0)),"?"))</f>
        <v/>
      </c>
      <c r="AA8" s="20" t="n"/>
      <c r="AB8" s="27">
        <f>IF(OR($C8="",AA8=""),"",IFERROR(INDEX('LAMINA_HORA'!$C$5:$V$114,MATCH($C8,'LAMINA_HORA'!$A$5:$A$114,0),MATCH(AA8,'LAMINA_HORA'!$C$3:$V$3,0)),"?"))</f>
        <v/>
      </c>
      <c r="AC8" s="27">
        <f>IF(OR($C8="",AA8=""),"",IFERROR(INDEX('LAMINA_HORA'!$W$5:$AP$114,MATCH($C8,'LAMINA_HORA'!$A$5:$A$114,0),MATCH(AA8,'LAMINA_HORA'!$W$3:$AP$3,0)),"?"))</f>
        <v/>
      </c>
      <c r="AD8" s="13">
        <f>SUM(J8,M8,P8,S8,V8,Y8,AB8)</f>
        <v/>
      </c>
      <c r="AE8" s="15">
        <f>IF(OR($D8="",AD8=""),"",AD8*$D8*10)</f>
        <v/>
      </c>
      <c r="AF8" s="28" t="n"/>
      <c r="AG8" s="15">
        <f>IF(OR(AE8="",AF8=""),"",AE8*AF8)</f>
        <v/>
      </c>
      <c r="AH8" s="28" t="n"/>
      <c r="AI8" s="20" t="n"/>
      <c r="AJ8" s="19" t="n"/>
    </row>
    <row r="9">
      <c r="A9" s="6" t="inlineStr">
        <is>
          <t>R1</t>
        </is>
      </c>
      <c r="B9" s="6" t="inlineStr">
        <is>
          <t>Pivô 05</t>
        </is>
      </c>
      <c r="C9" s="20" t="inlineStr">
        <is>
          <t>P5</t>
        </is>
      </c>
      <c r="D9" s="7" t="n">
        <v>150.01</v>
      </c>
      <c r="E9" s="20" t="n"/>
      <c r="F9" s="20" t="n"/>
      <c r="G9" s="20" t="n"/>
      <c r="H9" s="20" t="n"/>
      <c r="I9" s="20" t="n"/>
      <c r="J9" s="27">
        <f>IF(OR($C9="",I9=""),"",IFERROR(INDEX('LAMINA_HORA'!$C$5:$V$114,MATCH($C9,'LAMINA_HORA'!$A$5:$A$114,0),MATCH(I9,'LAMINA_HORA'!$C$3:$V$3,0)),"?"))</f>
        <v/>
      </c>
      <c r="K9" s="27">
        <f>IF(OR($C9="",I9=""),"",IFERROR(INDEX('LAMINA_HORA'!$W$5:$AP$114,MATCH($C9,'LAMINA_HORA'!$A$5:$A$114,0),MATCH(I9,'LAMINA_HORA'!$W$3:$AP$3,0)),"?"))</f>
        <v/>
      </c>
      <c r="L9" s="20" t="n"/>
      <c r="M9" s="27">
        <f>IF(OR($C9="",L9=""),"",IFERROR(INDEX('LAMINA_HORA'!$C$5:$V$114,MATCH($C9,'LAMINA_HORA'!$A$5:$A$114,0),MATCH(L9,'LAMINA_HORA'!$C$3:$V$3,0)),"?"))</f>
        <v/>
      </c>
      <c r="N9" s="27">
        <f>IF(OR($C9="",L9=""),"",IFERROR(INDEX('LAMINA_HORA'!$W$5:$AP$114,MATCH($C9,'LAMINA_HORA'!$A$5:$A$114,0),MATCH(L9,'LAMINA_HORA'!$W$3:$AP$3,0)),"?"))</f>
        <v/>
      </c>
      <c r="O9" s="20" t="n"/>
      <c r="P9" s="27">
        <f>IF(OR($C9="",O9=""),"",IFERROR(INDEX('LAMINA_HORA'!$C$5:$V$114,MATCH($C9,'LAMINA_HORA'!$A$5:$A$114,0),MATCH(O9,'LAMINA_HORA'!$C$3:$V$3,0)),"?"))</f>
        <v/>
      </c>
      <c r="Q9" s="27">
        <f>IF(OR($C9="",O9=""),"",IFERROR(INDEX('LAMINA_HORA'!$W$5:$AP$114,MATCH($C9,'LAMINA_HORA'!$A$5:$A$114,0),MATCH(O9,'LAMINA_HORA'!$W$3:$AP$3,0)),"?"))</f>
        <v/>
      </c>
      <c r="R9" s="20" t="n"/>
      <c r="S9" s="27">
        <f>IF(OR($C9="",R9=""),"",IFERROR(INDEX('LAMINA_HORA'!$C$5:$V$114,MATCH($C9,'LAMINA_HORA'!$A$5:$A$114,0),MATCH(R9,'LAMINA_HORA'!$C$3:$V$3,0)),"?"))</f>
        <v/>
      </c>
      <c r="T9" s="27">
        <f>IF(OR($C9="",R9=""),"",IFERROR(INDEX('LAMINA_HORA'!$W$5:$AP$114,MATCH($C9,'LAMINA_HORA'!$A$5:$A$114,0),MATCH(R9,'LAMINA_HORA'!$W$3:$AP$3,0)),"?"))</f>
        <v/>
      </c>
      <c r="U9" s="20" t="n"/>
      <c r="V9" s="27">
        <f>IF(OR($C9="",U9=""),"",IFERROR(INDEX('LAMINA_HORA'!$C$5:$V$114,MATCH($C9,'LAMINA_HORA'!$A$5:$A$114,0),MATCH(U9,'LAMINA_HORA'!$C$3:$V$3,0)),"?"))</f>
        <v/>
      </c>
      <c r="W9" s="27">
        <f>IF(OR($C9="",U9=""),"",IFERROR(INDEX('LAMINA_HORA'!$W$5:$AP$114,MATCH($C9,'LAMINA_HORA'!$A$5:$A$114,0),MATCH(U9,'LAMINA_HORA'!$W$3:$AP$3,0)),"?"))</f>
        <v/>
      </c>
      <c r="X9" s="20" t="n"/>
      <c r="Y9" s="27">
        <f>IF(OR($C9="",X9=""),"",IFERROR(INDEX('LAMINA_HORA'!$C$5:$V$114,MATCH($C9,'LAMINA_HORA'!$A$5:$A$114,0),MATCH(X9,'LAMINA_HORA'!$C$3:$V$3,0)),"?"))</f>
        <v/>
      </c>
      <c r="Z9" s="27">
        <f>IF(OR($C9="",X9=""),"",IFERROR(INDEX('LAMINA_HORA'!$W$5:$AP$114,MATCH($C9,'LAMINA_HORA'!$A$5:$A$114,0),MATCH(X9,'LAMINA_HORA'!$W$3:$AP$3,0)),"?"))</f>
        <v/>
      </c>
      <c r="AA9" s="20" t="n"/>
      <c r="AB9" s="27">
        <f>IF(OR($C9="",AA9=""),"",IFERROR(INDEX('LAMINA_HORA'!$C$5:$V$114,MATCH($C9,'LAMINA_HORA'!$A$5:$A$114,0),MATCH(AA9,'LAMINA_HORA'!$C$3:$V$3,0)),"?"))</f>
        <v/>
      </c>
      <c r="AC9" s="27">
        <f>IF(OR($C9="",AA9=""),"",IFERROR(INDEX('LAMINA_HORA'!$W$5:$AP$114,MATCH($C9,'LAMINA_HORA'!$A$5:$A$114,0),MATCH(AA9,'LAMINA_HORA'!$W$3:$AP$3,0)),"?"))</f>
        <v/>
      </c>
      <c r="AD9" s="13">
        <f>SUM(J9,M9,P9,S9,V9,Y9,AB9)</f>
        <v/>
      </c>
      <c r="AE9" s="15">
        <f>IF(OR($D9="",AD9=""),"",AD9*$D9*10)</f>
        <v/>
      </c>
      <c r="AF9" s="28" t="n"/>
      <c r="AG9" s="15">
        <f>IF(OR(AE9="",AF9=""),"",AE9*AF9)</f>
        <v/>
      </c>
      <c r="AH9" s="28" t="n"/>
      <c r="AI9" s="20" t="n"/>
      <c r="AJ9" s="19" t="n"/>
    </row>
    <row r="10">
      <c r="A10" s="6" t="inlineStr">
        <is>
          <t>R1</t>
        </is>
      </c>
      <c r="B10" s="6" t="inlineStr">
        <is>
          <t>Pivô 06</t>
        </is>
      </c>
      <c r="C10" s="20" t="inlineStr">
        <is>
          <t>P6</t>
        </is>
      </c>
      <c r="D10" s="7" t="n">
        <v>150.01</v>
      </c>
      <c r="E10" s="20" t="n"/>
      <c r="F10" s="20" t="n"/>
      <c r="G10" s="20" t="n"/>
      <c r="H10" s="20" t="n"/>
      <c r="I10" s="20" t="n"/>
      <c r="J10" s="27">
        <f>IF(OR($C10="",I10=""),"",IFERROR(INDEX('LAMINA_HORA'!$C$5:$V$114,MATCH($C10,'LAMINA_HORA'!$A$5:$A$114,0),MATCH(I10,'LAMINA_HORA'!$C$3:$V$3,0)),"?"))</f>
        <v/>
      </c>
      <c r="K10" s="27">
        <f>IF(OR($C10="",I10=""),"",IFERROR(INDEX('LAMINA_HORA'!$W$5:$AP$114,MATCH($C10,'LAMINA_HORA'!$A$5:$A$114,0),MATCH(I10,'LAMINA_HORA'!$W$3:$AP$3,0)),"?"))</f>
        <v/>
      </c>
      <c r="L10" s="20" t="n"/>
      <c r="M10" s="27">
        <f>IF(OR($C10="",L10=""),"",IFERROR(INDEX('LAMINA_HORA'!$C$5:$V$114,MATCH($C10,'LAMINA_HORA'!$A$5:$A$114,0),MATCH(L10,'LAMINA_HORA'!$C$3:$V$3,0)),"?"))</f>
        <v/>
      </c>
      <c r="N10" s="27">
        <f>IF(OR($C10="",L10=""),"",IFERROR(INDEX('LAMINA_HORA'!$W$5:$AP$114,MATCH($C10,'LAMINA_HORA'!$A$5:$A$114,0),MATCH(L10,'LAMINA_HORA'!$W$3:$AP$3,0)),"?"))</f>
        <v/>
      </c>
      <c r="O10" s="20" t="n"/>
      <c r="P10" s="27">
        <f>IF(OR($C10="",O10=""),"",IFERROR(INDEX('LAMINA_HORA'!$C$5:$V$114,MATCH($C10,'LAMINA_HORA'!$A$5:$A$114,0),MATCH(O10,'LAMINA_HORA'!$C$3:$V$3,0)),"?"))</f>
        <v/>
      </c>
      <c r="Q10" s="27">
        <f>IF(OR($C10="",O10=""),"",IFERROR(INDEX('LAMINA_HORA'!$W$5:$AP$114,MATCH($C10,'LAMINA_HORA'!$A$5:$A$114,0),MATCH(O10,'LAMINA_HORA'!$W$3:$AP$3,0)),"?"))</f>
        <v/>
      </c>
      <c r="R10" s="20" t="n"/>
      <c r="S10" s="27">
        <f>IF(OR($C10="",R10=""),"",IFERROR(INDEX('LAMINA_HORA'!$C$5:$V$114,MATCH($C10,'LAMINA_HORA'!$A$5:$A$114,0),MATCH(R10,'LAMINA_HORA'!$C$3:$V$3,0)),"?"))</f>
        <v/>
      </c>
      <c r="T10" s="27">
        <f>IF(OR($C10="",R10=""),"",IFERROR(INDEX('LAMINA_HORA'!$W$5:$AP$114,MATCH($C10,'LAMINA_HORA'!$A$5:$A$114,0),MATCH(R10,'LAMINA_HORA'!$W$3:$AP$3,0)),"?"))</f>
        <v/>
      </c>
      <c r="U10" s="20" t="n"/>
      <c r="V10" s="27">
        <f>IF(OR($C10="",U10=""),"",IFERROR(INDEX('LAMINA_HORA'!$C$5:$V$114,MATCH($C10,'LAMINA_HORA'!$A$5:$A$114,0),MATCH(U10,'LAMINA_HORA'!$C$3:$V$3,0)),"?"))</f>
        <v/>
      </c>
      <c r="W10" s="27">
        <f>IF(OR($C10="",U10=""),"",IFERROR(INDEX('LAMINA_HORA'!$W$5:$AP$114,MATCH($C10,'LAMINA_HORA'!$A$5:$A$114,0),MATCH(U10,'LAMINA_HORA'!$W$3:$AP$3,0)),"?"))</f>
        <v/>
      </c>
      <c r="X10" s="20" t="n"/>
      <c r="Y10" s="27">
        <f>IF(OR($C10="",X10=""),"",IFERROR(INDEX('LAMINA_HORA'!$C$5:$V$114,MATCH($C10,'LAMINA_HORA'!$A$5:$A$114,0),MATCH(X10,'LAMINA_HORA'!$C$3:$V$3,0)),"?"))</f>
        <v/>
      </c>
      <c r="Z10" s="27">
        <f>IF(OR($C10="",X10=""),"",IFERROR(INDEX('LAMINA_HORA'!$W$5:$AP$114,MATCH($C10,'LAMINA_HORA'!$A$5:$A$114,0),MATCH(X10,'LAMINA_HORA'!$W$3:$AP$3,0)),"?"))</f>
        <v/>
      </c>
      <c r="AA10" s="20" t="n"/>
      <c r="AB10" s="27">
        <f>IF(OR($C10="",AA10=""),"",IFERROR(INDEX('LAMINA_HORA'!$C$5:$V$114,MATCH($C10,'LAMINA_HORA'!$A$5:$A$114,0),MATCH(AA10,'LAMINA_HORA'!$C$3:$V$3,0)),"?"))</f>
        <v/>
      </c>
      <c r="AC10" s="27">
        <f>IF(OR($C10="",AA10=""),"",IFERROR(INDEX('LAMINA_HORA'!$W$5:$AP$114,MATCH($C10,'LAMINA_HORA'!$A$5:$A$114,0),MATCH(AA10,'LAMINA_HORA'!$W$3:$AP$3,0)),"?"))</f>
        <v/>
      </c>
      <c r="AD10" s="13">
        <f>SUM(J10,M10,P10,S10,V10,Y10,AB10)</f>
        <v/>
      </c>
      <c r="AE10" s="15">
        <f>IF(OR($D10="",AD10=""),"",AD10*$D10*10)</f>
        <v/>
      </c>
      <c r="AF10" s="28" t="n"/>
      <c r="AG10" s="15">
        <f>IF(OR(AE10="",AF10=""),"",AE10*AF10)</f>
        <v/>
      </c>
      <c r="AH10" s="28" t="n"/>
      <c r="AI10" s="20" t="n"/>
      <c r="AJ10" s="19" t="n"/>
    </row>
    <row r="11">
      <c r="A11" s="6" t="inlineStr">
        <is>
          <t>R2</t>
        </is>
      </c>
      <c r="B11" s="6" t="inlineStr">
        <is>
          <t>Pivô 07</t>
        </is>
      </c>
      <c r="C11" s="20" t="inlineStr">
        <is>
          <t>P7</t>
        </is>
      </c>
      <c r="D11" s="7" t="n">
        <v>120.13</v>
      </c>
      <c r="E11" s="20" t="n"/>
      <c r="F11" s="20" t="n"/>
      <c r="G11" s="20" t="n"/>
      <c r="H11" s="20" t="n"/>
      <c r="I11" s="20" t="n"/>
      <c r="J11" s="27">
        <f>IF(OR($C11="",I11=""),"",IFERROR(INDEX('LAMINA_HORA'!$C$5:$V$114,MATCH($C11,'LAMINA_HORA'!$A$5:$A$114,0),MATCH(I11,'LAMINA_HORA'!$C$3:$V$3,0)),"?"))</f>
        <v/>
      </c>
      <c r="K11" s="27">
        <f>IF(OR($C11="",I11=""),"",IFERROR(INDEX('LAMINA_HORA'!$W$5:$AP$114,MATCH($C11,'LAMINA_HORA'!$A$5:$A$114,0),MATCH(I11,'LAMINA_HORA'!$W$3:$AP$3,0)),"?"))</f>
        <v/>
      </c>
      <c r="L11" s="20" t="n"/>
      <c r="M11" s="27">
        <f>IF(OR($C11="",L11=""),"",IFERROR(INDEX('LAMINA_HORA'!$C$5:$V$114,MATCH($C11,'LAMINA_HORA'!$A$5:$A$114,0),MATCH(L11,'LAMINA_HORA'!$C$3:$V$3,0)),"?"))</f>
        <v/>
      </c>
      <c r="N11" s="27">
        <f>IF(OR($C11="",L11=""),"",IFERROR(INDEX('LAMINA_HORA'!$W$5:$AP$114,MATCH($C11,'LAMINA_HORA'!$A$5:$A$114,0),MATCH(L11,'LAMINA_HORA'!$W$3:$AP$3,0)),"?"))</f>
        <v/>
      </c>
      <c r="O11" s="20" t="n"/>
      <c r="P11" s="27">
        <f>IF(OR($C11="",O11=""),"",IFERROR(INDEX('LAMINA_HORA'!$C$5:$V$114,MATCH($C11,'LAMINA_HORA'!$A$5:$A$114,0),MATCH(O11,'LAMINA_HORA'!$C$3:$V$3,0)),"?"))</f>
        <v/>
      </c>
      <c r="Q11" s="27">
        <f>IF(OR($C11="",O11=""),"",IFERROR(INDEX('LAMINA_HORA'!$W$5:$AP$114,MATCH($C11,'LAMINA_HORA'!$A$5:$A$114,0),MATCH(O11,'LAMINA_HORA'!$W$3:$AP$3,0)),"?"))</f>
        <v/>
      </c>
      <c r="R11" s="20" t="n"/>
      <c r="S11" s="27">
        <f>IF(OR($C11="",R11=""),"",IFERROR(INDEX('LAMINA_HORA'!$C$5:$V$114,MATCH($C11,'LAMINA_HORA'!$A$5:$A$114,0),MATCH(R11,'LAMINA_HORA'!$C$3:$V$3,0)),"?"))</f>
        <v/>
      </c>
      <c r="T11" s="27">
        <f>IF(OR($C11="",R11=""),"",IFERROR(INDEX('LAMINA_HORA'!$W$5:$AP$114,MATCH($C11,'LAMINA_HORA'!$A$5:$A$114,0),MATCH(R11,'LAMINA_HORA'!$W$3:$AP$3,0)),"?"))</f>
        <v/>
      </c>
      <c r="U11" s="20" t="n"/>
      <c r="V11" s="27">
        <f>IF(OR($C11="",U11=""),"",IFERROR(INDEX('LAMINA_HORA'!$C$5:$V$114,MATCH($C11,'LAMINA_HORA'!$A$5:$A$114,0),MATCH(U11,'LAMINA_HORA'!$C$3:$V$3,0)),"?"))</f>
        <v/>
      </c>
      <c r="W11" s="27">
        <f>IF(OR($C11="",U11=""),"",IFERROR(INDEX('LAMINA_HORA'!$W$5:$AP$114,MATCH($C11,'LAMINA_HORA'!$A$5:$A$114,0),MATCH(U11,'LAMINA_HORA'!$W$3:$AP$3,0)),"?"))</f>
        <v/>
      </c>
      <c r="X11" s="20" t="n"/>
      <c r="Y11" s="27">
        <f>IF(OR($C11="",X11=""),"",IFERROR(INDEX('LAMINA_HORA'!$C$5:$V$114,MATCH($C11,'LAMINA_HORA'!$A$5:$A$114,0),MATCH(X11,'LAMINA_HORA'!$C$3:$V$3,0)),"?"))</f>
        <v/>
      </c>
      <c r="Z11" s="27">
        <f>IF(OR($C11="",X11=""),"",IFERROR(INDEX('LAMINA_HORA'!$W$5:$AP$114,MATCH($C11,'LAMINA_HORA'!$A$5:$A$114,0),MATCH(X11,'LAMINA_HORA'!$W$3:$AP$3,0)),"?"))</f>
        <v/>
      </c>
      <c r="AA11" s="20" t="n"/>
      <c r="AB11" s="27">
        <f>IF(OR($C11="",AA11=""),"",IFERROR(INDEX('LAMINA_HORA'!$C$5:$V$114,MATCH($C11,'LAMINA_HORA'!$A$5:$A$114,0),MATCH(AA11,'LAMINA_HORA'!$C$3:$V$3,0)),"?"))</f>
        <v/>
      </c>
      <c r="AC11" s="27">
        <f>IF(OR($C11="",AA11=""),"",IFERROR(INDEX('LAMINA_HORA'!$W$5:$AP$114,MATCH($C11,'LAMINA_HORA'!$A$5:$A$114,0),MATCH(AA11,'LAMINA_HORA'!$W$3:$AP$3,0)),"?"))</f>
        <v/>
      </c>
      <c r="AD11" s="13">
        <f>SUM(J11,M11,P11,S11,V11,Y11,AB11)</f>
        <v/>
      </c>
      <c r="AE11" s="15">
        <f>IF(OR($D11="",AD11=""),"",AD11*$D11*10)</f>
        <v/>
      </c>
      <c r="AF11" s="28" t="n"/>
      <c r="AG11" s="15">
        <f>IF(OR(AE11="",AF11=""),"",AE11*AF11)</f>
        <v/>
      </c>
      <c r="AH11" s="28" t="n"/>
      <c r="AI11" s="20" t="n"/>
      <c r="AJ11" s="19" t="n"/>
    </row>
    <row r="12">
      <c r="A12" s="6" t="inlineStr">
        <is>
          <t>R2</t>
        </is>
      </c>
      <c r="B12" s="6" t="inlineStr">
        <is>
          <t>Pivô 08</t>
        </is>
      </c>
      <c r="C12" s="20" t="inlineStr">
        <is>
          <t>P8</t>
        </is>
      </c>
      <c r="D12" s="7" t="n">
        <v>150.01</v>
      </c>
      <c r="E12" s="20" t="n"/>
      <c r="F12" s="20" t="n"/>
      <c r="G12" s="20" t="n"/>
      <c r="H12" s="20" t="n"/>
      <c r="I12" s="20" t="n"/>
      <c r="J12" s="27">
        <f>IF(OR($C12="",I12=""),"",IFERROR(INDEX('LAMINA_HORA'!$C$5:$V$114,MATCH($C12,'LAMINA_HORA'!$A$5:$A$114,0),MATCH(I12,'LAMINA_HORA'!$C$3:$V$3,0)),"?"))</f>
        <v/>
      </c>
      <c r="K12" s="27">
        <f>IF(OR($C12="",I12=""),"",IFERROR(INDEX('LAMINA_HORA'!$W$5:$AP$114,MATCH($C12,'LAMINA_HORA'!$A$5:$A$114,0),MATCH(I12,'LAMINA_HORA'!$W$3:$AP$3,0)),"?"))</f>
        <v/>
      </c>
      <c r="L12" s="20" t="n"/>
      <c r="M12" s="27">
        <f>IF(OR($C12="",L12=""),"",IFERROR(INDEX('LAMINA_HORA'!$C$5:$V$114,MATCH($C12,'LAMINA_HORA'!$A$5:$A$114,0),MATCH(L12,'LAMINA_HORA'!$C$3:$V$3,0)),"?"))</f>
        <v/>
      </c>
      <c r="N12" s="27">
        <f>IF(OR($C12="",L12=""),"",IFERROR(INDEX('LAMINA_HORA'!$W$5:$AP$114,MATCH($C12,'LAMINA_HORA'!$A$5:$A$114,0),MATCH(L12,'LAMINA_HORA'!$W$3:$AP$3,0)),"?"))</f>
        <v/>
      </c>
      <c r="O12" s="20" t="n"/>
      <c r="P12" s="27">
        <f>IF(OR($C12="",O12=""),"",IFERROR(INDEX('LAMINA_HORA'!$C$5:$V$114,MATCH($C12,'LAMINA_HORA'!$A$5:$A$114,0),MATCH(O12,'LAMINA_HORA'!$C$3:$V$3,0)),"?"))</f>
        <v/>
      </c>
      <c r="Q12" s="27">
        <f>IF(OR($C12="",O12=""),"",IFERROR(INDEX('LAMINA_HORA'!$W$5:$AP$114,MATCH($C12,'LAMINA_HORA'!$A$5:$A$114,0),MATCH(O12,'LAMINA_HORA'!$W$3:$AP$3,0)),"?"))</f>
        <v/>
      </c>
      <c r="R12" s="20" t="n"/>
      <c r="S12" s="27">
        <f>IF(OR($C12="",R12=""),"",IFERROR(INDEX('LAMINA_HORA'!$C$5:$V$114,MATCH($C12,'LAMINA_HORA'!$A$5:$A$114,0),MATCH(R12,'LAMINA_HORA'!$C$3:$V$3,0)),"?"))</f>
        <v/>
      </c>
      <c r="T12" s="27">
        <f>IF(OR($C12="",R12=""),"",IFERROR(INDEX('LAMINA_HORA'!$W$5:$AP$114,MATCH($C12,'LAMINA_HORA'!$A$5:$A$114,0),MATCH(R12,'LAMINA_HORA'!$W$3:$AP$3,0)),"?"))</f>
        <v/>
      </c>
      <c r="U12" s="20" t="n"/>
      <c r="V12" s="27">
        <f>IF(OR($C12="",U12=""),"",IFERROR(INDEX('LAMINA_HORA'!$C$5:$V$114,MATCH($C12,'LAMINA_HORA'!$A$5:$A$114,0),MATCH(U12,'LAMINA_HORA'!$C$3:$V$3,0)),"?"))</f>
        <v/>
      </c>
      <c r="W12" s="27">
        <f>IF(OR($C12="",U12=""),"",IFERROR(INDEX('LAMINA_HORA'!$W$5:$AP$114,MATCH($C12,'LAMINA_HORA'!$A$5:$A$114,0),MATCH(U12,'LAMINA_HORA'!$W$3:$AP$3,0)),"?"))</f>
        <v/>
      </c>
      <c r="X12" s="20" t="n"/>
      <c r="Y12" s="27">
        <f>IF(OR($C12="",X12=""),"",IFERROR(INDEX('LAMINA_HORA'!$C$5:$V$114,MATCH($C12,'LAMINA_HORA'!$A$5:$A$114,0),MATCH(X12,'LAMINA_HORA'!$C$3:$V$3,0)),"?"))</f>
        <v/>
      </c>
      <c r="Z12" s="27">
        <f>IF(OR($C12="",X12=""),"",IFERROR(INDEX('LAMINA_HORA'!$W$5:$AP$114,MATCH($C12,'LAMINA_HORA'!$A$5:$A$114,0),MATCH(X12,'LAMINA_HORA'!$W$3:$AP$3,0)),"?"))</f>
        <v/>
      </c>
      <c r="AA12" s="20" t="n"/>
      <c r="AB12" s="27">
        <f>IF(OR($C12="",AA12=""),"",IFERROR(INDEX('LAMINA_HORA'!$C$5:$V$114,MATCH($C12,'LAMINA_HORA'!$A$5:$A$114,0),MATCH(AA12,'LAMINA_HORA'!$C$3:$V$3,0)),"?"))</f>
        <v/>
      </c>
      <c r="AC12" s="27">
        <f>IF(OR($C12="",AA12=""),"",IFERROR(INDEX('LAMINA_HORA'!$W$5:$AP$114,MATCH($C12,'LAMINA_HORA'!$A$5:$A$114,0),MATCH(AA12,'LAMINA_HORA'!$W$3:$AP$3,0)),"?"))</f>
        <v/>
      </c>
      <c r="AD12" s="13">
        <f>SUM(J12,M12,P12,S12,V12,Y12,AB12)</f>
        <v/>
      </c>
      <c r="AE12" s="15">
        <f>IF(OR($D12="",AD12=""),"",AD12*$D12*10)</f>
        <v/>
      </c>
      <c r="AF12" s="28" t="n"/>
      <c r="AG12" s="15">
        <f>IF(OR(AE12="",AF12=""),"",AE12*AF12)</f>
        <v/>
      </c>
      <c r="AH12" s="28" t="n"/>
      <c r="AI12" s="20" t="n"/>
      <c r="AJ12" s="19" t="n"/>
    </row>
    <row r="13">
      <c r="A13" s="6" t="inlineStr">
        <is>
          <t>R3</t>
        </is>
      </c>
      <c r="B13" s="6" t="inlineStr">
        <is>
          <t>Pivô 09</t>
        </is>
      </c>
      <c r="C13" s="20" t="inlineStr">
        <is>
          <t>P9</t>
        </is>
      </c>
      <c r="D13" s="7" t="n">
        <v>120.13</v>
      </c>
      <c r="E13" s="20" t="n"/>
      <c r="F13" s="20" t="n"/>
      <c r="G13" s="20" t="n"/>
      <c r="H13" s="20" t="n"/>
      <c r="I13" s="20" t="n"/>
      <c r="J13" s="27">
        <f>IF(OR($C13="",I13=""),"",IFERROR(INDEX('LAMINA_HORA'!$C$5:$V$114,MATCH($C13,'LAMINA_HORA'!$A$5:$A$114,0),MATCH(I13,'LAMINA_HORA'!$C$3:$V$3,0)),"?"))</f>
        <v/>
      </c>
      <c r="K13" s="27">
        <f>IF(OR($C13="",I13=""),"",IFERROR(INDEX('LAMINA_HORA'!$W$5:$AP$114,MATCH($C13,'LAMINA_HORA'!$A$5:$A$114,0),MATCH(I13,'LAMINA_HORA'!$W$3:$AP$3,0)),"?"))</f>
        <v/>
      </c>
      <c r="L13" s="20" t="n"/>
      <c r="M13" s="27">
        <f>IF(OR($C13="",L13=""),"",IFERROR(INDEX('LAMINA_HORA'!$C$5:$V$114,MATCH($C13,'LAMINA_HORA'!$A$5:$A$114,0),MATCH(L13,'LAMINA_HORA'!$C$3:$V$3,0)),"?"))</f>
        <v/>
      </c>
      <c r="N13" s="27">
        <f>IF(OR($C13="",L13=""),"",IFERROR(INDEX('LAMINA_HORA'!$W$5:$AP$114,MATCH($C13,'LAMINA_HORA'!$A$5:$A$114,0),MATCH(L13,'LAMINA_HORA'!$W$3:$AP$3,0)),"?"))</f>
        <v/>
      </c>
      <c r="O13" s="20" t="n"/>
      <c r="P13" s="27">
        <f>IF(OR($C13="",O13=""),"",IFERROR(INDEX('LAMINA_HORA'!$C$5:$V$114,MATCH($C13,'LAMINA_HORA'!$A$5:$A$114,0),MATCH(O13,'LAMINA_HORA'!$C$3:$V$3,0)),"?"))</f>
        <v/>
      </c>
      <c r="Q13" s="27">
        <f>IF(OR($C13="",O13=""),"",IFERROR(INDEX('LAMINA_HORA'!$W$5:$AP$114,MATCH($C13,'LAMINA_HORA'!$A$5:$A$114,0),MATCH(O13,'LAMINA_HORA'!$W$3:$AP$3,0)),"?"))</f>
        <v/>
      </c>
      <c r="R13" s="20" t="n"/>
      <c r="S13" s="27">
        <f>IF(OR($C13="",R13=""),"",IFERROR(INDEX('LAMINA_HORA'!$C$5:$V$114,MATCH($C13,'LAMINA_HORA'!$A$5:$A$114,0),MATCH(R13,'LAMINA_HORA'!$C$3:$V$3,0)),"?"))</f>
        <v/>
      </c>
      <c r="T13" s="27">
        <f>IF(OR($C13="",R13=""),"",IFERROR(INDEX('LAMINA_HORA'!$W$5:$AP$114,MATCH($C13,'LAMINA_HORA'!$A$5:$A$114,0),MATCH(R13,'LAMINA_HORA'!$W$3:$AP$3,0)),"?"))</f>
        <v/>
      </c>
      <c r="U13" s="20" t="n"/>
      <c r="V13" s="27">
        <f>IF(OR($C13="",U13=""),"",IFERROR(INDEX('LAMINA_HORA'!$C$5:$V$114,MATCH($C13,'LAMINA_HORA'!$A$5:$A$114,0),MATCH(U13,'LAMINA_HORA'!$C$3:$V$3,0)),"?"))</f>
        <v/>
      </c>
      <c r="W13" s="27">
        <f>IF(OR($C13="",U13=""),"",IFERROR(INDEX('LAMINA_HORA'!$W$5:$AP$114,MATCH($C13,'LAMINA_HORA'!$A$5:$A$114,0),MATCH(U13,'LAMINA_HORA'!$W$3:$AP$3,0)),"?"))</f>
        <v/>
      </c>
      <c r="X13" s="20" t="n"/>
      <c r="Y13" s="27">
        <f>IF(OR($C13="",X13=""),"",IFERROR(INDEX('LAMINA_HORA'!$C$5:$V$114,MATCH($C13,'LAMINA_HORA'!$A$5:$A$114,0),MATCH(X13,'LAMINA_HORA'!$C$3:$V$3,0)),"?"))</f>
        <v/>
      </c>
      <c r="Z13" s="27">
        <f>IF(OR($C13="",X13=""),"",IFERROR(INDEX('LAMINA_HORA'!$W$5:$AP$114,MATCH($C13,'LAMINA_HORA'!$A$5:$A$114,0),MATCH(X13,'LAMINA_HORA'!$W$3:$AP$3,0)),"?"))</f>
        <v/>
      </c>
      <c r="AA13" s="20" t="n"/>
      <c r="AB13" s="27">
        <f>IF(OR($C13="",AA13=""),"",IFERROR(INDEX('LAMINA_HORA'!$C$5:$V$114,MATCH($C13,'LAMINA_HORA'!$A$5:$A$114,0),MATCH(AA13,'LAMINA_HORA'!$C$3:$V$3,0)),"?"))</f>
        <v/>
      </c>
      <c r="AC13" s="27">
        <f>IF(OR($C13="",AA13=""),"",IFERROR(INDEX('LAMINA_HORA'!$W$5:$AP$114,MATCH($C13,'LAMINA_HORA'!$A$5:$A$114,0),MATCH(AA13,'LAMINA_HORA'!$W$3:$AP$3,0)),"?"))</f>
        <v/>
      </c>
      <c r="AD13" s="13">
        <f>SUM(J13,M13,P13,S13,V13,Y13,AB13)</f>
        <v/>
      </c>
      <c r="AE13" s="15">
        <f>IF(OR($D13="",AD13=""),"",AD13*$D13*10)</f>
        <v/>
      </c>
      <c r="AF13" s="28" t="n"/>
      <c r="AG13" s="15">
        <f>IF(OR(AE13="",AF13=""),"",AE13*AF13)</f>
        <v/>
      </c>
      <c r="AH13" s="28" t="n"/>
      <c r="AI13" s="20" t="n"/>
      <c r="AJ13" s="19" t="n"/>
    </row>
    <row r="14">
      <c r="A14" s="6" t="inlineStr">
        <is>
          <t>R3</t>
        </is>
      </c>
      <c r="B14" s="6" t="inlineStr">
        <is>
          <t>Pivô 10</t>
        </is>
      </c>
      <c r="C14" s="20" t="inlineStr">
        <is>
          <t>P10</t>
        </is>
      </c>
      <c r="D14" s="7" t="n">
        <v>150.01</v>
      </c>
      <c r="E14" s="20" t="n"/>
      <c r="F14" s="20" t="n"/>
      <c r="G14" s="20" t="n"/>
      <c r="H14" s="20" t="n"/>
      <c r="I14" s="20" t="n"/>
      <c r="J14" s="27">
        <f>IF(OR($C14="",I14=""),"",IFERROR(INDEX('LAMINA_HORA'!$C$5:$V$114,MATCH($C14,'LAMINA_HORA'!$A$5:$A$114,0),MATCH(I14,'LAMINA_HORA'!$C$3:$V$3,0)),"?"))</f>
        <v/>
      </c>
      <c r="K14" s="27">
        <f>IF(OR($C14="",I14=""),"",IFERROR(INDEX('LAMINA_HORA'!$W$5:$AP$114,MATCH($C14,'LAMINA_HORA'!$A$5:$A$114,0),MATCH(I14,'LAMINA_HORA'!$W$3:$AP$3,0)),"?"))</f>
        <v/>
      </c>
      <c r="L14" s="20" t="n"/>
      <c r="M14" s="27">
        <f>IF(OR($C14="",L14=""),"",IFERROR(INDEX('LAMINA_HORA'!$C$5:$V$114,MATCH($C14,'LAMINA_HORA'!$A$5:$A$114,0),MATCH(L14,'LAMINA_HORA'!$C$3:$V$3,0)),"?"))</f>
        <v/>
      </c>
      <c r="N14" s="27">
        <f>IF(OR($C14="",L14=""),"",IFERROR(INDEX('LAMINA_HORA'!$W$5:$AP$114,MATCH($C14,'LAMINA_HORA'!$A$5:$A$114,0),MATCH(L14,'LAMINA_HORA'!$W$3:$AP$3,0)),"?"))</f>
        <v/>
      </c>
      <c r="O14" s="20" t="n"/>
      <c r="P14" s="27">
        <f>IF(OR($C14="",O14=""),"",IFERROR(INDEX('LAMINA_HORA'!$C$5:$V$114,MATCH($C14,'LAMINA_HORA'!$A$5:$A$114,0),MATCH(O14,'LAMINA_HORA'!$C$3:$V$3,0)),"?"))</f>
        <v/>
      </c>
      <c r="Q14" s="27">
        <f>IF(OR($C14="",O14=""),"",IFERROR(INDEX('LAMINA_HORA'!$W$5:$AP$114,MATCH($C14,'LAMINA_HORA'!$A$5:$A$114,0),MATCH(O14,'LAMINA_HORA'!$W$3:$AP$3,0)),"?"))</f>
        <v/>
      </c>
      <c r="R14" s="20" t="n"/>
      <c r="S14" s="27">
        <f>IF(OR($C14="",R14=""),"",IFERROR(INDEX('LAMINA_HORA'!$C$5:$V$114,MATCH($C14,'LAMINA_HORA'!$A$5:$A$114,0),MATCH(R14,'LAMINA_HORA'!$C$3:$V$3,0)),"?"))</f>
        <v/>
      </c>
      <c r="T14" s="27">
        <f>IF(OR($C14="",R14=""),"",IFERROR(INDEX('LAMINA_HORA'!$W$5:$AP$114,MATCH($C14,'LAMINA_HORA'!$A$5:$A$114,0),MATCH(R14,'LAMINA_HORA'!$W$3:$AP$3,0)),"?"))</f>
        <v/>
      </c>
      <c r="U14" s="20" t="n"/>
      <c r="V14" s="27">
        <f>IF(OR($C14="",U14=""),"",IFERROR(INDEX('LAMINA_HORA'!$C$5:$V$114,MATCH($C14,'LAMINA_HORA'!$A$5:$A$114,0),MATCH(U14,'LAMINA_HORA'!$C$3:$V$3,0)),"?"))</f>
        <v/>
      </c>
      <c r="W14" s="27">
        <f>IF(OR($C14="",U14=""),"",IFERROR(INDEX('LAMINA_HORA'!$W$5:$AP$114,MATCH($C14,'LAMINA_HORA'!$A$5:$A$114,0),MATCH(U14,'LAMINA_HORA'!$W$3:$AP$3,0)),"?"))</f>
        <v/>
      </c>
      <c r="X14" s="20" t="n"/>
      <c r="Y14" s="27">
        <f>IF(OR($C14="",X14=""),"",IFERROR(INDEX('LAMINA_HORA'!$C$5:$V$114,MATCH($C14,'LAMINA_HORA'!$A$5:$A$114,0),MATCH(X14,'LAMINA_HORA'!$C$3:$V$3,0)),"?"))</f>
        <v/>
      </c>
      <c r="Z14" s="27">
        <f>IF(OR($C14="",X14=""),"",IFERROR(INDEX('LAMINA_HORA'!$W$5:$AP$114,MATCH($C14,'LAMINA_HORA'!$A$5:$A$114,0),MATCH(X14,'LAMINA_HORA'!$W$3:$AP$3,0)),"?"))</f>
        <v/>
      </c>
      <c r="AA14" s="20" t="n"/>
      <c r="AB14" s="27">
        <f>IF(OR($C14="",AA14=""),"",IFERROR(INDEX('LAMINA_HORA'!$C$5:$V$114,MATCH($C14,'LAMINA_HORA'!$A$5:$A$114,0),MATCH(AA14,'LAMINA_HORA'!$C$3:$V$3,0)),"?"))</f>
        <v/>
      </c>
      <c r="AC14" s="27">
        <f>IF(OR($C14="",AA14=""),"",IFERROR(INDEX('LAMINA_HORA'!$W$5:$AP$114,MATCH($C14,'LAMINA_HORA'!$A$5:$A$114,0),MATCH(AA14,'LAMINA_HORA'!$W$3:$AP$3,0)),"?"))</f>
        <v/>
      </c>
      <c r="AD14" s="13">
        <f>SUM(J14,M14,P14,S14,V14,Y14,AB14)</f>
        <v/>
      </c>
      <c r="AE14" s="15">
        <f>IF(OR($D14="",AD14=""),"",AD14*$D14*10)</f>
        <v/>
      </c>
      <c r="AF14" s="28" t="n"/>
      <c r="AG14" s="15">
        <f>IF(OR(AE14="",AF14=""),"",AE14*AF14)</f>
        <v/>
      </c>
      <c r="AH14" s="28" t="n"/>
      <c r="AI14" s="20" t="n"/>
      <c r="AJ14" s="19" t="n"/>
    </row>
    <row r="15">
      <c r="A15" s="6" t="inlineStr">
        <is>
          <t>R5</t>
        </is>
      </c>
      <c r="B15" s="6" t="inlineStr">
        <is>
          <t>Pivô 11</t>
        </is>
      </c>
      <c r="C15" s="20" t="inlineStr">
        <is>
          <t>P11</t>
        </is>
      </c>
      <c r="D15" s="7" t="n">
        <v>121.12</v>
      </c>
      <c r="E15" s="20" t="n"/>
      <c r="F15" s="20" t="n"/>
      <c r="G15" s="20" t="n"/>
      <c r="H15" s="20" t="n"/>
      <c r="I15" s="20" t="n"/>
      <c r="J15" s="27">
        <f>IF(OR($C15="",I15=""),"",IFERROR(INDEX('LAMINA_HORA'!$C$5:$V$114,MATCH($C15,'LAMINA_HORA'!$A$5:$A$114,0),MATCH(I15,'LAMINA_HORA'!$C$3:$V$3,0)),"?"))</f>
        <v/>
      </c>
      <c r="K15" s="27">
        <f>IF(OR($C15="",I15=""),"",IFERROR(INDEX('LAMINA_HORA'!$W$5:$AP$114,MATCH($C15,'LAMINA_HORA'!$A$5:$A$114,0),MATCH(I15,'LAMINA_HORA'!$W$3:$AP$3,0)),"?"))</f>
        <v/>
      </c>
      <c r="L15" s="20" t="n"/>
      <c r="M15" s="27">
        <f>IF(OR($C15="",L15=""),"",IFERROR(INDEX('LAMINA_HORA'!$C$5:$V$114,MATCH($C15,'LAMINA_HORA'!$A$5:$A$114,0),MATCH(L15,'LAMINA_HORA'!$C$3:$V$3,0)),"?"))</f>
        <v/>
      </c>
      <c r="N15" s="27">
        <f>IF(OR($C15="",L15=""),"",IFERROR(INDEX('LAMINA_HORA'!$W$5:$AP$114,MATCH($C15,'LAMINA_HORA'!$A$5:$A$114,0),MATCH(L15,'LAMINA_HORA'!$W$3:$AP$3,0)),"?"))</f>
        <v/>
      </c>
      <c r="O15" s="20" t="n"/>
      <c r="P15" s="27">
        <f>IF(OR($C15="",O15=""),"",IFERROR(INDEX('LAMINA_HORA'!$C$5:$V$114,MATCH($C15,'LAMINA_HORA'!$A$5:$A$114,0),MATCH(O15,'LAMINA_HORA'!$C$3:$V$3,0)),"?"))</f>
        <v/>
      </c>
      <c r="Q15" s="27">
        <f>IF(OR($C15="",O15=""),"",IFERROR(INDEX('LAMINA_HORA'!$W$5:$AP$114,MATCH($C15,'LAMINA_HORA'!$A$5:$A$114,0),MATCH(O15,'LAMINA_HORA'!$W$3:$AP$3,0)),"?"))</f>
        <v/>
      </c>
      <c r="R15" s="20" t="n"/>
      <c r="S15" s="27">
        <f>IF(OR($C15="",R15=""),"",IFERROR(INDEX('LAMINA_HORA'!$C$5:$V$114,MATCH($C15,'LAMINA_HORA'!$A$5:$A$114,0),MATCH(R15,'LAMINA_HORA'!$C$3:$V$3,0)),"?"))</f>
        <v/>
      </c>
      <c r="T15" s="27">
        <f>IF(OR($C15="",R15=""),"",IFERROR(INDEX('LAMINA_HORA'!$W$5:$AP$114,MATCH($C15,'LAMINA_HORA'!$A$5:$A$114,0),MATCH(R15,'LAMINA_HORA'!$W$3:$AP$3,0)),"?"))</f>
        <v/>
      </c>
      <c r="U15" s="20" t="n"/>
      <c r="V15" s="27">
        <f>IF(OR($C15="",U15=""),"",IFERROR(INDEX('LAMINA_HORA'!$C$5:$V$114,MATCH($C15,'LAMINA_HORA'!$A$5:$A$114,0),MATCH(U15,'LAMINA_HORA'!$C$3:$V$3,0)),"?"))</f>
        <v/>
      </c>
      <c r="W15" s="27">
        <f>IF(OR($C15="",U15=""),"",IFERROR(INDEX('LAMINA_HORA'!$W$5:$AP$114,MATCH($C15,'LAMINA_HORA'!$A$5:$A$114,0),MATCH(U15,'LAMINA_HORA'!$W$3:$AP$3,0)),"?"))</f>
        <v/>
      </c>
      <c r="X15" s="20" t="n"/>
      <c r="Y15" s="27">
        <f>IF(OR($C15="",X15=""),"",IFERROR(INDEX('LAMINA_HORA'!$C$5:$V$114,MATCH($C15,'LAMINA_HORA'!$A$5:$A$114,0),MATCH(X15,'LAMINA_HORA'!$C$3:$V$3,0)),"?"))</f>
        <v/>
      </c>
      <c r="Z15" s="27">
        <f>IF(OR($C15="",X15=""),"",IFERROR(INDEX('LAMINA_HORA'!$W$5:$AP$114,MATCH($C15,'LAMINA_HORA'!$A$5:$A$114,0),MATCH(X15,'LAMINA_HORA'!$W$3:$AP$3,0)),"?"))</f>
        <v/>
      </c>
      <c r="AA15" s="20" t="n"/>
      <c r="AB15" s="27">
        <f>IF(OR($C15="",AA15=""),"",IFERROR(INDEX('LAMINA_HORA'!$C$5:$V$114,MATCH($C15,'LAMINA_HORA'!$A$5:$A$114,0),MATCH(AA15,'LAMINA_HORA'!$C$3:$V$3,0)),"?"))</f>
        <v/>
      </c>
      <c r="AC15" s="27">
        <f>IF(OR($C15="",AA15=""),"",IFERROR(INDEX('LAMINA_HORA'!$W$5:$AP$114,MATCH($C15,'LAMINA_HORA'!$A$5:$A$114,0),MATCH(AA15,'LAMINA_HORA'!$W$3:$AP$3,0)),"?"))</f>
        <v/>
      </c>
      <c r="AD15" s="13">
        <f>SUM(J15,M15,P15,S15,V15,Y15,AB15)</f>
        <v/>
      </c>
      <c r="AE15" s="15">
        <f>IF(OR($D15="",AD15=""),"",AD15*$D15*10)</f>
        <v/>
      </c>
      <c r="AF15" s="28" t="n"/>
      <c r="AG15" s="15">
        <f>IF(OR(AE15="",AF15=""),"",AE15*AF15)</f>
        <v/>
      </c>
      <c r="AH15" s="28" t="n"/>
      <c r="AI15" s="20" t="n"/>
      <c r="AJ15" s="19" t="n"/>
    </row>
    <row r="16">
      <c r="A16" s="6" t="inlineStr">
        <is>
          <t>R5</t>
        </is>
      </c>
      <c r="B16" s="6" t="inlineStr">
        <is>
          <t>Pivô 12</t>
        </is>
      </c>
      <c r="C16" s="20" t="inlineStr">
        <is>
          <t>P12</t>
        </is>
      </c>
      <c r="D16" s="7" t="n">
        <v>150.01</v>
      </c>
      <c r="E16" s="20" t="n"/>
      <c r="F16" s="20" t="n"/>
      <c r="G16" s="20" t="n"/>
      <c r="H16" s="20" t="n"/>
      <c r="I16" s="20" t="n"/>
      <c r="J16" s="27">
        <f>IF(OR($C16="",I16=""),"",IFERROR(INDEX('LAMINA_HORA'!$C$5:$V$114,MATCH($C16,'LAMINA_HORA'!$A$5:$A$114,0),MATCH(I16,'LAMINA_HORA'!$C$3:$V$3,0)),"?"))</f>
        <v/>
      </c>
      <c r="K16" s="27">
        <f>IF(OR($C16="",I16=""),"",IFERROR(INDEX('LAMINA_HORA'!$W$5:$AP$114,MATCH($C16,'LAMINA_HORA'!$A$5:$A$114,0),MATCH(I16,'LAMINA_HORA'!$W$3:$AP$3,0)),"?"))</f>
        <v/>
      </c>
      <c r="L16" s="20" t="n"/>
      <c r="M16" s="27">
        <f>IF(OR($C16="",L16=""),"",IFERROR(INDEX('LAMINA_HORA'!$C$5:$V$114,MATCH($C16,'LAMINA_HORA'!$A$5:$A$114,0),MATCH(L16,'LAMINA_HORA'!$C$3:$V$3,0)),"?"))</f>
        <v/>
      </c>
      <c r="N16" s="27">
        <f>IF(OR($C16="",L16=""),"",IFERROR(INDEX('LAMINA_HORA'!$W$5:$AP$114,MATCH($C16,'LAMINA_HORA'!$A$5:$A$114,0),MATCH(L16,'LAMINA_HORA'!$W$3:$AP$3,0)),"?"))</f>
        <v/>
      </c>
      <c r="O16" s="20" t="n"/>
      <c r="P16" s="27">
        <f>IF(OR($C16="",O16=""),"",IFERROR(INDEX('LAMINA_HORA'!$C$5:$V$114,MATCH($C16,'LAMINA_HORA'!$A$5:$A$114,0),MATCH(O16,'LAMINA_HORA'!$C$3:$V$3,0)),"?"))</f>
        <v/>
      </c>
      <c r="Q16" s="27">
        <f>IF(OR($C16="",O16=""),"",IFERROR(INDEX('LAMINA_HORA'!$W$5:$AP$114,MATCH($C16,'LAMINA_HORA'!$A$5:$A$114,0),MATCH(O16,'LAMINA_HORA'!$W$3:$AP$3,0)),"?"))</f>
        <v/>
      </c>
      <c r="R16" s="20" t="n"/>
      <c r="S16" s="27">
        <f>IF(OR($C16="",R16=""),"",IFERROR(INDEX('LAMINA_HORA'!$C$5:$V$114,MATCH($C16,'LAMINA_HORA'!$A$5:$A$114,0),MATCH(R16,'LAMINA_HORA'!$C$3:$V$3,0)),"?"))</f>
        <v/>
      </c>
      <c r="T16" s="27">
        <f>IF(OR($C16="",R16=""),"",IFERROR(INDEX('LAMINA_HORA'!$W$5:$AP$114,MATCH($C16,'LAMINA_HORA'!$A$5:$A$114,0),MATCH(R16,'LAMINA_HORA'!$W$3:$AP$3,0)),"?"))</f>
        <v/>
      </c>
      <c r="U16" s="20" t="n"/>
      <c r="V16" s="27">
        <f>IF(OR($C16="",U16=""),"",IFERROR(INDEX('LAMINA_HORA'!$C$5:$V$114,MATCH($C16,'LAMINA_HORA'!$A$5:$A$114,0),MATCH(U16,'LAMINA_HORA'!$C$3:$V$3,0)),"?"))</f>
        <v/>
      </c>
      <c r="W16" s="27">
        <f>IF(OR($C16="",U16=""),"",IFERROR(INDEX('LAMINA_HORA'!$W$5:$AP$114,MATCH($C16,'LAMINA_HORA'!$A$5:$A$114,0),MATCH(U16,'LAMINA_HORA'!$W$3:$AP$3,0)),"?"))</f>
        <v/>
      </c>
      <c r="X16" s="20" t="n"/>
      <c r="Y16" s="27">
        <f>IF(OR($C16="",X16=""),"",IFERROR(INDEX('LAMINA_HORA'!$C$5:$V$114,MATCH($C16,'LAMINA_HORA'!$A$5:$A$114,0),MATCH(X16,'LAMINA_HORA'!$C$3:$V$3,0)),"?"))</f>
        <v/>
      </c>
      <c r="Z16" s="27">
        <f>IF(OR($C16="",X16=""),"",IFERROR(INDEX('LAMINA_HORA'!$W$5:$AP$114,MATCH($C16,'LAMINA_HORA'!$A$5:$A$114,0),MATCH(X16,'LAMINA_HORA'!$W$3:$AP$3,0)),"?"))</f>
        <v/>
      </c>
      <c r="AA16" s="20" t="n"/>
      <c r="AB16" s="27">
        <f>IF(OR($C16="",AA16=""),"",IFERROR(INDEX('LAMINA_HORA'!$C$5:$V$114,MATCH($C16,'LAMINA_HORA'!$A$5:$A$114,0),MATCH(AA16,'LAMINA_HORA'!$C$3:$V$3,0)),"?"))</f>
        <v/>
      </c>
      <c r="AC16" s="27">
        <f>IF(OR($C16="",AA16=""),"",IFERROR(INDEX('LAMINA_HORA'!$W$5:$AP$114,MATCH($C16,'LAMINA_HORA'!$A$5:$A$114,0),MATCH(AA16,'LAMINA_HORA'!$W$3:$AP$3,0)),"?"))</f>
        <v/>
      </c>
      <c r="AD16" s="13">
        <f>SUM(J16,M16,P16,S16,V16,Y16,AB16)</f>
        <v/>
      </c>
      <c r="AE16" s="15">
        <f>IF(OR($D16="",AD16=""),"",AD16*$D16*10)</f>
        <v/>
      </c>
      <c r="AF16" s="28" t="n"/>
      <c r="AG16" s="15">
        <f>IF(OR(AE16="",AF16=""),"",AE16*AF16)</f>
        <v/>
      </c>
      <c r="AH16" s="28" t="n"/>
      <c r="AI16" s="20" t="n"/>
      <c r="AJ16" s="19" t="n"/>
    </row>
    <row r="17">
      <c r="A17" s="6" t="inlineStr">
        <is>
          <t>R5</t>
        </is>
      </c>
      <c r="B17" s="6" t="inlineStr">
        <is>
          <t>Pivô 13</t>
        </is>
      </c>
      <c r="C17" s="20" t="inlineStr">
        <is>
          <t>P13</t>
        </is>
      </c>
      <c r="D17" s="7" t="n">
        <v>71.3</v>
      </c>
      <c r="E17" s="20" t="n"/>
      <c r="F17" s="20" t="n"/>
      <c r="G17" s="20" t="n"/>
      <c r="H17" s="20" t="n"/>
      <c r="I17" s="20" t="n"/>
      <c r="J17" s="27">
        <f>IF(OR($C17="",I17=""),"",IFERROR(INDEX('LAMINA_HORA'!$C$5:$V$114,MATCH($C17,'LAMINA_HORA'!$A$5:$A$114,0),MATCH(I17,'LAMINA_HORA'!$C$3:$V$3,0)),"?"))</f>
        <v/>
      </c>
      <c r="K17" s="27">
        <f>IF(OR($C17="",I17=""),"",IFERROR(INDEX('LAMINA_HORA'!$W$5:$AP$114,MATCH($C17,'LAMINA_HORA'!$A$5:$A$114,0),MATCH(I17,'LAMINA_HORA'!$W$3:$AP$3,0)),"?"))</f>
        <v/>
      </c>
      <c r="L17" s="20" t="n"/>
      <c r="M17" s="27">
        <f>IF(OR($C17="",L17=""),"",IFERROR(INDEX('LAMINA_HORA'!$C$5:$V$114,MATCH($C17,'LAMINA_HORA'!$A$5:$A$114,0),MATCH(L17,'LAMINA_HORA'!$C$3:$V$3,0)),"?"))</f>
        <v/>
      </c>
      <c r="N17" s="27">
        <f>IF(OR($C17="",L17=""),"",IFERROR(INDEX('LAMINA_HORA'!$W$5:$AP$114,MATCH($C17,'LAMINA_HORA'!$A$5:$A$114,0),MATCH(L17,'LAMINA_HORA'!$W$3:$AP$3,0)),"?"))</f>
        <v/>
      </c>
      <c r="O17" s="20" t="n"/>
      <c r="P17" s="27">
        <f>IF(OR($C17="",O17=""),"",IFERROR(INDEX('LAMINA_HORA'!$C$5:$V$114,MATCH($C17,'LAMINA_HORA'!$A$5:$A$114,0),MATCH(O17,'LAMINA_HORA'!$C$3:$V$3,0)),"?"))</f>
        <v/>
      </c>
      <c r="Q17" s="27">
        <f>IF(OR($C17="",O17=""),"",IFERROR(INDEX('LAMINA_HORA'!$W$5:$AP$114,MATCH($C17,'LAMINA_HORA'!$A$5:$A$114,0),MATCH(O17,'LAMINA_HORA'!$W$3:$AP$3,0)),"?"))</f>
        <v/>
      </c>
      <c r="R17" s="20" t="n"/>
      <c r="S17" s="27">
        <f>IF(OR($C17="",R17=""),"",IFERROR(INDEX('LAMINA_HORA'!$C$5:$V$114,MATCH($C17,'LAMINA_HORA'!$A$5:$A$114,0),MATCH(R17,'LAMINA_HORA'!$C$3:$V$3,0)),"?"))</f>
        <v/>
      </c>
      <c r="T17" s="27">
        <f>IF(OR($C17="",R17=""),"",IFERROR(INDEX('LAMINA_HORA'!$W$5:$AP$114,MATCH($C17,'LAMINA_HORA'!$A$5:$A$114,0),MATCH(R17,'LAMINA_HORA'!$W$3:$AP$3,0)),"?"))</f>
        <v/>
      </c>
      <c r="U17" s="20" t="n"/>
      <c r="V17" s="27">
        <f>IF(OR($C17="",U17=""),"",IFERROR(INDEX('LAMINA_HORA'!$C$5:$V$114,MATCH($C17,'LAMINA_HORA'!$A$5:$A$114,0),MATCH(U17,'LAMINA_HORA'!$C$3:$V$3,0)),"?"))</f>
        <v/>
      </c>
      <c r="W17" s="27">
        <f>IF(OR($C17="",U17=""),"",IFERROR(INDEX('LAMINA_HORA'!$W$5:$AP$114,MATCH($C17,'LAMINA_HORA'!$A$5:$A$114,0),MATCH(U17,'LAMINA_HORA'!$W$3:$AP$3,0)),"?"))</f>
        <v/>
      </c>
      <c r="X17" s="20" t="n"/>
      <c r="Y17" s="27">
        <f>IF(OR($C17="",X17=""),"",IFERROR(INDEX('LAMINA_HORA'!$C$5:$V$114,MATCH($C17,'LAMINA_HORA'!$A$5:$A$114,0),MATCH(X17,'LAMINA_HORA'!$C$3:$V$3,0)),"?"))</f>
        <v/>
      </c>
      <c r="Z17" s="27">
        <f>IF(OR($C17="",X17=""),"",IFERROR(INDEX('LAMINA_HORA'!$W$5:$AP$114,MATCH($C17,'LAMINA_HORA'!$A$5:$A$114,0),MATCH(X17,'LAMINA_HORA'!$W$3:$AP$3,0)),"?"))</f>
        <v/>
      </c>
      <c r="AA17" s="20" t="n"/>
      <c r="AB17" s="27">
        <f>IF(OR($C17="",AA17=""),"",IFERROR(INDEX('LAMINA_HORA'!$C$5:$V$114,MATCH($C17,'LAMINA_HORA'!$A$5:$A$114,0),MATCH(AA17,'LAMINA_HORA'!$C$3:$V$3,0)),"?"))</f>
        <v/>
      </c>
      <c r="AC17" s="27">
        <f>IF(OR($C17="",AA17=""),"",IFERROR(INDEX('LAMINA_HORA'!$W$5:$AP$114,MATCH($C17,'LAMINA_HORA'!$A$5:$A$114,0),MATCH(AA17,'LAMINA_HORA'!$W$3:$AP$3,0)),"?"))</f>
        <v/>
      </c>
      <c r="AD17" s="13">
        <f>SUM(J17,M17,P17,S17,V17,Y17,AB17)</f>
        <v/>
      </c>
      <c r="AE17" s="15">
        <f>IF(OR($D17="",AD17=""),"",AD17*$D17*10)</f>
        <v/>
      </c>
      <c r="AF17" s="28" t="n"/>
      <c r="AG17" s="15">
        <f>IF(OR(AE17="",AF17=""),"",AE17*AF17)</f>
        <v/>
      </c>
      <c r="AH17" s="28" t="n"/>
      <c r="AI17" s="20" t="n"/>
      <c r="AJ17" s="19" t="n"/>
    </row>
    <row r="18">
      <c r="A18" s="6" t="inlineStr">
        <is>
          <t>R6</t>
        </is>
      </c>
      <c r="B18" s="6" t="inlineStr">
        <is>
          <t>Pivô 14</t>
        </is>
      </c>
      <c r="C18" s="20" t="inlineStr">
        <is>
          <t>P14</t>
        </is>
      </c>
      <c r="D18" s="7" t="n">
        <v>150.01</v>
      </c>
      <c r="E18" s="20" t="n"/>
      <c r="F18" s="20" t="n"/>
      <c r="G18" s="20" t="n"/>
      <c r="H18" s="20" t="n"/>
      <c r="I18" s="20" t="n"/>
      <c r="J18" s="27">
        <f>IF(OR($C18="",I18=""),"",IFERROR(INDEX('LAMINA_HORA'!$C$5:$V$114,MATCH($C18,'LAMINA_HORA'!$A$5:$A$114,0),MATCH(I18,'LAMINA_HORA'!$C$3:$V$3,0)),"?"))</f>
        <v/>
      </c>
      <c r="K18" s="27">
        <f>IF(OR($C18="",I18=""),"",IFERROR(INDEX('LAMINA_HORA'!$W$5:$AP$114,MATCH($C18,'LAMINA_HORA'!$A$5:$A$114,0),MATCH(I18,'LAMINA_HORA'!$W$3:$AP$3,0)),"?"))</f>
        <v/>
      </c>
      <c r="L18" s="20" t="n"/>
      <c r="M18" s="27">
        <f>IF(OR($C18="",L18=""),"",IFERROR(INDEX('LAMINA_HORA'!$C$5:$V$114,MATCH($C18,'LAMINA_HORA'!$A$5:$A$114,0),MATCH(L18,'LAMINA_HORA'!$C$3:$V$3,0)),"?"))</f>
        <v/>
      </c>
      <c r="N18" s="27">
        <f>IF(OR($C18="",L18=""),"",IFERROR(INDEX('LAMINA_HORA'!$W$5:$AP$114,MATCH($C18,'LAMINA_HORA'!$A$5:$A$114,0),MATCH(L18,'LAMINA_HORA'!$W$3:$AP$3,0)),"?"))</f>
        <v/>
      </c>
      <c r="O18" s="20" t="n"/>
      <c r="P18" s="27">
        <f>IF(OR($C18="",O18=""),"",IFERROR(INDEX('LAMINA_HORA'!$C$5:$V$114,MATCH($C18,'LAMINA_HORA'!$A$5:$A$114,0),MATCH(O18,'LAMINA_HORA'!$C$3:$V$3,0)),"?"))</f>
        <v/>
      </c>
      <c r="Q18" s="27">
        <f>IF(OR($C18="",O18=""),"",IFERROR(INDEX('LAMINA_HORA'!$W$5:$AP$114,MATCH($C18,'LAMINA_HORA'!$A$5:$A$114,0),MATCH(O18,'LAMINA_HORA'!$W$3:$AP$3,0)),"?"))</f>
        <v/>
      </c>
      <c r="R18" s="20" t="n"/>
      <c r="S18" s="27">
        <f>IF(OR($C18="",R18=""),"",IFERROR(INDEX('LAMINA_HORA'!$C$5:$V$114,MATCH($C18,'LAMINA_HORA'!$A$5:$A$114,0),MATCH(R18,'LAMINA_HORA'!$C$3:$V$3,0)),"?"))</f>
        <v/>
      </c>
      <c r="T18" s="27">
        <f>IF(OR($C18="",R18=""),"",IFERROR(INDEX('LAMINA_HORA'!$W$5:$AP$114,MATCH($C18,'LAMINA_HORA'!$A$5:$A$114,0),MATCH(R18,'LAMINA_HORA'!$W$3:$AP$3,0)),"?"))</f>
        <v/>
      </c>
      <c r="U18" s="20" t="n"/>
      <c r="V18" s="27">
        <f>IF(OR($C18="",U18=""),"",IFERROR(INDEX('LAMINA_HORA'!$C$5:$V$114,MATCH($C18,'LAMINA_HORA'!$A$5:$A$114,0),MATCH(U18,'LAMINA_HORA'!$C$3:$V$3,0)),"?"))</f>
        <v/>
      </c>
      <c r="W18" s="27">
        <f>IF(OR($C18="",U18=""),"",IFERROR(INDEX('LAMINA_HORA'!$W$5:$AP$114,MATCH($C18,'LAMINA_HORA'!$A$5:$A$114,0),MATCH(U18,'LAMINA_HORA'!$W$3:$AP$3,0)),"?"))</f>
        <v/>
      </c>
      <c r="X18" s="20" t="n"/>
      <c r="Y18" s="27">
        <f>IF(OR($C18="",X18=""),"",IFERROR(INDEX('LAMINA_HORA'!$C$5:$V$114,MATCH($C18,'LAMINA_HORA'!$A$5:$A$114,0),MATCH(X18,'LAMINA_HORA'!$C$3:$V$3,0)),"?"))</f>
        <v/>
      </c>
      <c r="Z18" s="27">
        <f>IF(OR($C18="",X18=""),"",IFERROR(INDEX('LAMINA_HORA'!$W$5:$AP$114,MATCH($C18,'LAMINA_HORA'!$A$5:$A$114,0),MATCH(X18,'LAMINA_HORA'!$W$3:$AP$3,0)),"?"))</f>
        <v/>
      </c>
      <c r="AA18" s="20" t="n"/>
      <c r="AB18" s="27">
        <f>IF(OR($C18="",AA18=""),"",IFERROR(INDEX('LAMINA_HORA'!$C$5:$V$114,MATCH($C18,'LAMINA_HORA'!$A$5:$A$114,0),MATCH(AA18,'LAMINA_HORA'!$C$3:$V$3,0)),"?"))</f>
        <v/>
      </c>
      <c r="AC18" s="27">
        <f>IF(OR($C18="",AA18=""),"",IFERROR(INDEX('LAMINA_HORA'!$W$5:$AP$114,MATCH($C18,'LAMINA_HORA'!$A$5:$A$114,0),MATCH(AA18,'LAMINA_HORA'!$W$3:$AP$3,0)),"?"))</f>
        <v/>
      </c>
      <c r="AD18" s="13">
        <f>SUM(J18,M18,P18,S18,V18,Y18,AB18)</f>
        <v/>
      </c>
      <c r="AE18" s="15">
        <f>IF(OR($D18="",AD18=""),"",AD18*$D18*10)</f>
        <v/>
      </c>
      <c r="AF18" s="28" t="n"/>
      <c r="AG18" s="15">
        <f>IF(OR(AE18="",AF18=""),"",AE18*AF18)</f>
        <v/>
      </c>
      <c r="AH18" s="28" t="n"/>
      <c r="AI18" s="20" t="n"/>
      <c r="AJ18" s="19" t="n"/>
    </row>
    <row r="19">
      <c r="A19" s="6" t="inlineStr">
        <is>
          <t>R1</t>
        </is>
      </c>
      <c r="B19" s="6" t="inlineStr">
        <is>
          <t>Pivô 15</t>
        </is>
      </c>
      <c r="C19" s="20" t="inlineStr">
        <is>
          <t>P15</t>
        </is>
      </c>
      <c r="D19" s="7" t="n">
        <v>150.01</v>
      </c>
      <c r="E19" s="20" t="n"/>
      <c r="F19" s="20" t="n"/>
      <c r="G19" s="20" t="n"/>
      <c r="H19" s="20" t="n"/>
      <c r="I19" s="20" t="n"/>
      <c r="J19" s="27">
        <f>IF(OR($C19="",I19=""),"",IFERROR(INDEX('LAMINA_HORA'!$C$5:$V$114,MATCH($C19,'LAMINA_HORA'!$A$5:$A$114,0),MATCH(I19,'LAMINA_HORA'!$C$3:$V$3,0)),"?"))</f>
        <v/>
      </c>
      <c r="K19" s="27">
        <f>IF(OR($C19="",I19=""),"",IFERROR(INDEX('LAMINA_HORA'!$W$5:$AP$114,MATCH($C19,'LAMINA_HORA'!$A$5:$A$114,0),MATCH(I19,'LAMINA_HORA'!$W$3:$AP$3,0)),"?"))</f>
        <v/>
      </c>
      <c r="L19" s="20" t="n"/>
      <c r="M19" s="27">
        <f>IF(OR($C19="",L19=""),"",IFERROR(INDEX('LAMINA_HORA'!$C$5:$V$114,MATCH($C19,'LAMINA_HORA'!$A$5:$A$114,0),MATCH(L19,'LAMINA_HORA'!$C$3:$V$3,0)),"?"))</f>
        <v/>
      </c>
      <c r="N19" s="27">
        <f>IF(OR($C19="",L19=""),"",IFERROR(INDEX('LAMINA_HORA'!$W$5:$AP$114,MATCH($C19,'LAMINA_HORA'!$A$5:$A$114,0),MATCH(L19,'LAMINA_HORA'!$W$3:$AP$3,0)),"?"))</f>
        <v/>
      </c>
      <c r="O19" s="20" t="n"/>
      <c r="P19" s="27">
        <f>IF(OR($C19="",O19=""),"",IFERROR(INDEX('LAMINA_HORA'!$C$5:$V$114,MATCH($C19,'LAMINA_HORA'!$A$5:$A$114,0),MATCH(O19,'LAMINA_HORA'!$C$3:$V$3,0)),"?"))</f>
        <v/>
      </c>
      <c r="Q19" s="27">
        <f>IF(OR($C19="",O19=""),"",IFERROR(INDEX('LAMINA_HORA'!$W$5:$AP$114,MATCH($C19,'LAMINA_HORA'!$A$5:$A$114,0),MATCH(O19,'LAMINA_HORA'!$W$3:$AP$3,0)),"?"))</f>
        <v/>
      </c>
      <c r="R19" s="20" t="n"/>
      <c r="S19" s="27">
        <f>IF(OR($C19="",R19=""),"",IFERROR(INDEX('LAMINA_HORA'!$C$5:$V$114,MATCH($C19,'LAMINA_HORA'!$A$5:$A$114,0),MATCH(R19,'LAMINA_HORA'!$C$3:$V$3,0)),"?"))</f>
        <v/>
      </c>
      <c r="T19" s="27">
        <f>IF(OR($C19="",R19=""),"",IFERROR(INDEX('LAMINA_HORA'!$W$5:$AP$114,MATCH($C19,'LAMINA_HORA'!$A$5:$A$114,0),MATCH(R19,'LAMINA_HORA'!$W$3:$AP$3,0)),"?"))</f>
        <v/>
      </c>
      <c r="U19" s="20" t="n"/>
      <c r="V19" s="27">
        <f>IF(OR($C19="",U19=""),"",IFERROR(INDEX('LAMINA_HORA'!$C$5:$V$114,MATCH($C19,'LAMINA_HORA'!$A$5:$A$114,0),MATCH(U19,'LAMINA_HORA'!$C$3:$V$3,0)),"?"))</f>
        <v/>
      </c>
      <c r="W19" s="27">
        <f>IF(OR($C19="",U19=""),"",IFERROR(INDEX('LAMINA_HORA'!$W$5:$AP$114,MATCH($C19,'LAMINA_HORA'!$A$5:$A$114,0),MATCH(U19,'LAMINA_HORA'!$W$3:$AP$3,0)),"?"))</f>
        <v/>
      </c>
      <c r="X19" s="20" t="n"/>
      <c r="Y19" s="27">
        <f>IF(OR($C19="",X19=""),"",IFERROR(INDEX('LAMINA_HORA'!$C$5:$V$114,MATCH($C19,'LAMINA_HORA'!$A$5:$A$114,0),MATCH(X19,'LAMINA_HORA'!$C$3:$V$3,0)),"?"))</f>
        <v/>
      </c>
      <c r="Z19" s="27">
        <f>IF(OR($C19="",X19=""),"",IFERROR(INDEX('LAMINA_HORA'!$W$5:$AP$114,MATCH($C19,'LAMINA_HORA'!$A$5:$A$114,0),MATCH(X19,'LAMINA_HORA'!$W$3:$AP$3,0)),"?"))</f>
        <v/>
      </c>
      <c r="AA19" s="20" t="n"/>
      <c r="AB19" s="27">
        <f>IF(OR($C19="",AA19=""),"",IFERROR(INDEX('LAMINA_HORA'!$C$5:$V$114,MATCH($C19,'LAMINA_HORA'!$A$5:$A$114,0),MATCH(AA19,'LAMINA_HORA'!$C$3:$V$3,0)),"?"))</f>
        <v/>
      </c>
      <c r="AC19" s="27">
        <f>IF(OR($C19="",AA19=""),"",IFERROR(INDEX('LAMINA_HORA'!$W$5:$AP$114,MATCH($C19,'LAMINA_HORA'!$A$5:$A$114,0),MATCH(AA19,'LAMINA_HORA'!$W$3:$AP$3,0)),"?"))</f>
        <v/>
      </c>
      <c r="AD19" s="13">
        <f>SUM(J19,M19,P19,S19,V19,Y19,AB19)</f>
        <v/>
      </c>
      <c r="AE19" s="15">
        <f>IF(OR($D19="",AD19=""),"",AD19*$D19*10)</f>
        <v/>
      </c>
      <c r="AF19" s="28" t="n"/>
      <c r="AG19" s="15">
        <f>IF(OR(AE19="",AF19=""),"",AE19*AF19)</f>
        <v/>
      </c>
      <c r="AH19" s="28" t="n"/>
      <c r="AI19" s="20" t="n"/>
      <c r="AJ19" s="19" t="n"/>
    </row>
    <row r="20">
      <c r="A20" s="6" t="inlineStr">
        <is>
          <t>R1</t>
        </is>
      </c>
      <c r="B20" s="6" t="inlineStr">
        <is>
          <t>Pivô 16</t>
        </is>
      </c>
      <c r="C20" s="20" t="inlineStr">
        <is>
          <t>P16</t>
        </is>
      </c>
      <c r="D20" s="7" t="n">
        <v>150.01</v>
      </c>
      <c r="E20" s="20" t="n"/>
      <c r="F20" s="20" t="n"/>
      <c r="G20" s="20" t="n"/>
      <c r="H20" s="20" t="n"/>
      <c r="I20" s="20" t="n"/>
      <c r="J20" s="27">
        <f>IF(OR($C20="",I20=""),"",IFERROR(INDEX('LAMINA_HORA'!$C$5:$V$114,MATCH($C20,'LAMINA_HORA'!$A$5:$A$114,0),MATCH(I20,'LAMINA_HORA'!$C$3:$V$3,0)),"?"))</f>
        <v/>
      </c>
      <c r="K20" s="27">
        <f>IF(OR($C20="",I20=""),"",IFERROR(INDEX('LAMINA_HORA'!$W$5:$AP$114,MATCH($C20,'LAMINA_HORA'!$A$5:$A$114,0),MATCH(I20,'LAMINA_HORA'!$W$3:$AP$3,0)),"?"))</f>
        <v/>
      </c>
      <c r="L20" s="20" t="n"/>
      <c r="M20" s="27">
        <f>IF(OR($C20="",L20=""),"",IFERROR(INDEX('LAMINA_HORA'!$C$5:$V$114,MATCH($C20,'LAMINA_HORA'!$A$5:$A$114,0),MATCH(L20,'LAMINA_HORA'!$C$3:$V$3,0)),"?"))</f>
        <v/>
      </c>
      <c r="N20" s="27">
        <f>IF(OR($C20="",L20=""),"",IFERROR(INDEX('LAMINA_HORA'!$W$5:$AP$114,MATCH($C20,'LAMINA_HORA'!$A$5:$A$114,0),MATCH(L20,'LAMINA_HORA'!$W$3:$AP$3,0)),"?"))</f>
        <v/>
      </c>
      <c r="O20" s="20" t="n"/>
      <c r="P20" s="27">
        <f>IF(OR($C20="",O20=""),"",IFERROR(INDEX('LAMINA_HORA'!$C$5:$V$114,MATCH($C20,'LAMINA_HORA'!$A$5:$A$114,0),MATCH(O20,'LAMINA_HORA'!$C$3:$V$3,0)),"?"))</f>
        <v/>
      </c>
      <c r="Q20" s="27">
        <f>IF(OR($C20="",O20=""),"",IFERROR(INDEX('LAMINA_HORA'!$W$5:$AP$114,MATCH($C20,'LAMINA_HORA'!$A$5:$A$114,0),MATCH(O20,'LAMINA_HORA'!$W$3:$AP$3,0)),"?"))</f>
        <v/>
      </c>
      <c r="R20" s="20" t="n"/>
      <c r="S20" s="27">
        <f>IF(OR($C20="",R20=""),"",IFERROR(INDEX('LAMINA_HORA'!$C$5:$V$114,MATCH($C20,'LAMINA_HORA'!$A$5:$A$114,0),MATCH(R20,'LAMINA_HORA'!$C$3:$V$3,0)),"?"))</f>
        <v/>
      </c>
      <c r="T20" s="27">
        <f>IF(OR($C20="",R20=""),"",IFERROR(INDEX('LAMINA_HORA'!$W$5:$AP$114,MATCH($C20,'LAMINA_HORA'!$A$5:$A$114,0),MATCH(R20,'LAMINA_HORA'!$W$3:$AP$3,0)),"?"))</f>
        <v/>
      </c>
      <c r="U20" s="20" t="n"/>
      <c r="V20" s="27">
        <f>IF(OR($C20="",U20=""),"",IFERROR(INDEX('LAMINA_HORA'!$C$5:$V$114,MATCH($C20,'LAMINA_HORA'!$A$5:$A$114,0),MATCH(U20,'LAMINA_HORA'!$C$3:$V$3,0)),"?"))</f>
        <v/>
      </c>
      <c r="W20" s="27">
        <f>IF(OR($C20="",U20=""),"",IFERROR(INDEX('LAMINA_HORA'!$W$5:$AP$114,MATCH($C20,'LAMINA_HORA'!$A$5:$A$114,0),MATCH(U20,'LAMINA_HORA'!$W$3:$AP$3,0)),"?"))</f>
        <v/>
      </c>
      <c r="X20" s="20" t="n"/>
      <c r="Y20" s="27">
        <f>IF(OR($C20="",X20=""),"",IFERROR(INDEX('LAMINA_HORA'!$C$5:$V$114,MATCH($C20,'LAMINA_HORA'!$A$5:$A$114,0),MATCH(X20,'LAMINA_HORA'!$C$3:$V$3,0)),"?"))</f>
        <v/>
      </c>
      <c r="Z20" s="27">
        <f>IF(OR($C20="",X20=""),"",IFERROR(INDEX('LAMINA_HORA'!$W$5:$AP$114,MATCH($C20,'LAMINA_HORA'!$A$5:$A$114,0),MATCH(X20,'LAMINA_HORA'!$W$3:$AP$3,0)),"?"))</f>
        <v/>
      </c>
      <c r="AA20" s="20" t="n"/>
      <c r="AB20" s="27">
        <f>IF(OR($C20="",AA20=""),"",IFERROR(INDEX('LAMINA_HORA'!$C$5:$V$114,MATCH($C20,'LAMINA_HORA'!$A$5:$A$114,0),MATCH(AA20,'LAMINA_HORA'!$C$3:$V$3,0)),"?"))</f>
        <v/>
      </c>
      <c r="AC20" s="27">
        <f>IF(OR($C20="",AA20=""),"",IFERROR(INDEX('LAMINA_HORA'!$W$5:$AP$114,MATCH($C20,'LAMINA_HORA'!$A$5:$A$114,0),MATCH(AA20,'LAMINA_HORA'!$W$3:$AP$3,0)),"?"))</f>
        <v/>
      </c>
      <c r="AD20" s="13">
        <f>SUM(J20,M20,P20,S20,V20,Y20,AB20)</f>
        <v/>
      </c>
      <c r="AE20" s="15">
        <f>IF(OR($D20="",AD20=""),"",AD20*$D20*10)</f>
        <v/>
      </c>
      <c r="AF20" s="28" t="n"/>
      <c r="AG20" s="15">
        <f>IF(OR(AE20="",AF20=""),"",AE20*AF20)</f>
        <v/>
      </c>
      <c r="AH20" s="28" t="n"/>
      <c r="AI20" s="20" t="n"/>
      <c r="AJ20" s="19" t="n"/>
    </row>
    <row r="22">
      <c r="A22" s="29" t="inlineStr">
        <is>
          <t>Lamina e horas vem da aba LAMINA_HORA por Cod L/H + percentimetro (INDEX/MATCH). Energia/custo dependem de CE (kWh/m3) e tarifa -&gt; PENDENTE. 'Gerar programacao' automatica: macro/script (PENDENTE). Percentimetro NAO reduz vazao proporcionalmente.</t>
        </is>
      </c>
    </row>
  </sheetData>
  <mergeCells count="8">
    <mergeCell ref="A22:AJ22"/>
    <mergeCell ref="U3:W3"/>
    <mergeCell ref="R3:T3"/>
    <mergeCell ref="X3:Z3"/>
    <mergeCell ref="I3:K3"/>
    <mergeCell ref="L3:N3"/>
    <mergeCell ref="AA3:AC3"/>
    <mergeCell ref="O3:Q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ADB"/>
    <outlinePr summaryBelow="1" summaryRight="1"/>
    <pageSetUpPr/>
  </sheetPr>
  <dimension ref="A1:AJ22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9" customWidth="1" min="4" max="4"/>
    <col width="8" customWidth="1" min="5" max="5"/>
    <col width="14" customWidth="1" min="6" max="6"/>
    <col width="6" customWidth="1" min="7" max="7"/>
    <col width="8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 ht="20" customHeight="1">
      <c r="A1" s="1" t="inlineStr">
        <is>
          <t>MODULO 2 (Karitel) - por casa de bomba</t>
        </is>
      </c>
    </row>
    <row r="2">
      <c r="A2" s="2" t="inlineStr">
        <is>
          <t>Visualizacao ligada a mesma base.</t>
        </is>
      </c>
    </row>
    <row r="3">
      <c r="I3" s="25">
        <f>IF('PARAMETROS'!$B$14="","Dia 1",'PARAMETROS'!$B$14+0)</f>
        <v/>
      </c>
      <c r="L3" s="25">
        <f>IF('PARAMETROS'!$B$14="","Dia 2",'PARAMETROS'!$B$14+1)</f>
        <v/>
      </c>
      <c r="O3" s="25">
        <f>IF('PARAMETROS'!$B$14="","Dia 3",'PARAMETROS'!$B$14+2)</f>
        <v/>
      </c>
      <c r="R3" s="25">
        <f>IF('PARAMETROS'!$B$14="","Dia 4",'PARAMETROS'!$B$14+3)</f>
        <v/>
      </c>
      <c r="U3" s="25">
        <f>IF('PARAMETROS'!$B$14="","Dia 5",'PARAMETROS'!$B$14+4)</f>
        <v/>
      </c>
      <c r="X3" s="25">
        <f>IF('PARAMETROS'!$B$14="","Dia 6",'PARAMETROS'!$B$14+5)</f>
        <v/>
      </c>
      <c r="AA3" s="25">
        <f>IF('PARAMETROS'!$B$14="","Dia 7",'PARAMETROS'!$B$14+6)</f>
        <v/>
      </c>
    </row>
    <row r="4" ht="28" customHeight="1">
      <c r="A4" s="4" t="inlineStr">
        <is>
          <t>Casa b.</t>
        </is>
      </c>
      <c r="B4" s="4" t="inlineStr">
        <is>
          <t>Pivo</t>
        </is>
      </c>
      <c r="C4" s="4" t="inlineStr">
        <is>
          <t>Cod L/H</t>
        </is>
      </c>
      <c r="D4" s="4" t="inlineStr">
        <is>
          <t>Area (ha)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DAE</t>
        </is>
      </c>
      <c r="H4" s="4" t="inlineStr">
        <is>
          <t>Meta (mm)</t>
        </is>
      </c>
      <c r="I4" s="26" t="inlineStr">
        <is>
          <t>%</t>
        </is>
      </c>
      <c r="J4" s="26" t="inlineStr">
        <is>
          <t>Lam</t>
        </is>
      </c>
      <c r="K4" s="26" t="inlineStr">
        <is>
          <t>h</t>
        </is>
      </c>
      <c r="L4" s="26" t="inlineStr">
        <is>
          <t>%</t>
        </is>
      </c>
      <c r="M4" s="26" t="inlineStr">
        <is>
          <t>Lam</t>
        </is>
      </c>
      <c r="N4" s="26" t="inlineStr">
        <is>
          <t>h</t>
        </is>
      </c>
      <c r="O4" s="26" t="inlineStr">
        <is>
          <t>%</t>
        </is>
      </c>
      <c r="P4" s="26" t="inlineStr">
        <is>
          <t>Lam</t>
        </is>
      </c>
      <c r="Q4" s="26" t="inlineStr">
        <is>
          <t>h</t>
        </is>
      </c>
      <c r="R4" s="26" t="inlineStr">
        <is>
          <t>%</t>
        </is>
      </c>
      <c r="S4" s="26" t="inlineStr">
        <is>
          <t>Lam</t>
        </is>
      </c>
      <c r="T4" s="26" t="inlineStr">
        <is>
          <t>h</t>
        </is>
      </c>
      <c r="U4" s="26" t="inlineStr">
        <is>
          <t>%</t>
        </is>
      </c>
      <c r="V4" s="26" t="inlineStr">
        <is>
          <t>Lam</t>
        </is>
      </c>
      <c r="W4" s="26" t="inlineStr">
        <is>
          <t>h</t>
        </is>
      </c>
      <c r="X4" s="26" t="inlineStr">
        <is>
          <t>%</t>
        </is>
      </c>
      <c r="Y4" s="26" t="inlineStr">
        <is>
          <t>Lam</t>
        </is>
      </c>
      <c r="Z4" s="26" t="inlineStr">
        <is>
          <t>h</t>
        </is>
      </c>
      <c r="AA4" s="26" t="inlineStr">
        <is>
          <t>%</t>
        </is>
      </c>
      <c r="AB4" s="26" t="inlineStr">
        <is>
          <t>Lam</t>
        </is>
      </c>
      <c r="AC4" s="26" t="inlineStr">
        <is>
          <t>h</t>
        </is>
      </c>
      <c r="AD4" s="4" t="inlineStr">
        <is>
          <t>Lam total (mm)</t>
        </is>
      </c>
      <c r="AE4" s="4" t="inlineStr">
        <is>
          <t>Vol (m3)</t>
        </is>
      </c>
      <c r="AF4" s="4" t="inlineStr">
        <is>
          <t>CE (kWh/m3)</t>
        </is>
      </c>
      <c r="AG4" s="4" t="inlineStr">
        <is>
          <t>Energia (kWh)</t>
        </is>
      </c>
      <c r="AH4" s="4" t="inlineStr">
        <is>
          <t>Custo (R$)</t>
        </is>
      </c>
      <c r="AI4" s="4" t="inlineStr">
        <is>
          <t>Atend.</t>
        </is>
      </c>
      <c r="AJ4" s="4" t="inlineStr">
        <is>
          <t>Pendencias</t>
        </is>
      </c>
    </row>
    <row r="5">
      <c r="A5" s="6" t="inlineStr">
        <is>
          <t>R8</t>
        </is>
      </c>
      <c r="B5" s="6" t="inlineStr">
        <is>
          <t>Pivô 35</t>
        </is>
      </c>
      <c r="C5" s="20" t="inlineStr">
        <is>
          <t>P35</t>
        </is>
      </c>
      <c r="D5" s="7" t="n">
        <v>150.54</v>
      </c>
      <c r="E5" s="20" t="n"/>
      <c r="F5" s="20" t="n"/>
      <c r="G5" s="20" t="n"/>
      <c r="H5" s="20" t="n"/>
      <c r="I5" s="20" t="n"/>
      <c r="J5" s="27">
        <f>IF(OR($C5="",I5=""),"",IFERROR(INDEX('LAMINA_HORA'!$C$5:$V$114,MATCH($C5,'LAMINA_HORA'!$A$5:$A$114,0),MATCH(I5,'LAMINA_HORA'!$C$3:$V$3,0)),"?"))</f>
        <v/>
      </c>
      <c r="K5" s="27">
        <f>IF(OR($C5="",I5=""),"",IFERROR(INDEX('LAMINA_HORA'!$W$5:$AP$114,MATCH($C5,'LAMINA_HORA'!$A$5:$A$114,0),MATCH(I5,'LAMINA_HORA'!$W$3:$AP$3,0)),"?"))</f>
        <v/>
      </c>
      <c r="L5" s="20" t="n"/>
      <c r="M5" s="27">
        <f>IF(OR($C5="",L5=""),"",IFERROR(INDEX('LAMINA_HORA'!$C$5:$V$114,MATCH($C5,'LAMINA_HORA'!$A$5:$A$114,0),MATCH(L5,'LAMINA_HORA'!$C$3:$V$3,0)),"?"))</f>
        <v/>
      </c>
      <c r="N5" s="27">
        <f>IF(OR($C5="",L5=""),"",IFERROR(INDEX('LAMINA_HORA'!$W$5:$AP$114,MATCH($C5,'LAMINA_HORA'!$A$5:$A$114,0),MATCH(L5,'LAMINA_HORA'!$W$3:$AP$3,0)),"?"))</f>
        <v/>
      </c>
      <c r="O5" s="20" t="n"/>
      <c r="P5" s="27">
        <f>IF(OR($C5="",O5=""),"",IFERROR(INDEX('LAMINA_HORA'!$C$5:$V$114,MATCH($C5,'LAMINA_HORA'!$A$5:$A$114,0),MATCH(O5,'LAMINA_HORA'!$C$3:$V$3,0)),"?"))</f>
        <v/>
      </c>
      <c r="Q5" s="27">
        <f>IF(OR($C5="",O5=""),"",IFERROR(INDEX('LAMINA_HORA'!$W$5:$AP$114,MATCH($C5,'LAMINA_HORA'!$A$5:$A$114,0),MATCH(O5,'LAMINA_HORA'!$W$3:$AP$3,0)),"?"))</f>
        <v/>
      </c>
      <c r="R5" s="20" t="n"/>
      <c r="S5" s="27">
        <f>IF(OR($C5="",R5=""),"",IFERROR(INDEX('LAMINA_HORA'!$C$5:$V$114,MATCH($C5,'LAMINA_HORA'!$A$5:$A$114,0),MATCH(R5,'LAMINA_HORA'!$C$3:$V$3,0)),"?"))</f>
        <v/>
      </c>
      <c r="T5" s="27">
        <f>IF(OR($C5="",R5=""),"",IFERROR(INDEX('LAMINA_HORA'!$W$5:$AP$114,MATCH($C5,'LAMINA_HORA'!$A$5:$A$114,0),MATCH(R5,'LAMINA_HORA'!$W$3:$AP$3,0)),"?"))</f>
        <v/>
      </c>
      <c r="U5" s="20" t="n"/>
      <c r="V5" s="27">
        <f>IF(OR($C5="",U5=""),"",IFERROR(INDEX('LAMINA_HORA'!$C$5:$V$114,MATCH($C5,'LAMINA_HORA'!$A$5:$A$114,0),MATCH(U5,'LAMINA_HORA'!$C$3:$V$3,0)),"?"))</f>
        <v/>
      </c>
      <c r="W5" s="27">
        <f>IF(OR($C5="",U5=""),"",IFERROR(INDEX('LAMINA_HORA'!$W$5:$AP$114,MATCH($C5,'LAMINA_HORA'!$A$5:$A$114,0),MATCH(U5,'LAMINA_HORA'!$W$3:$AP$3,0)),"?"))</f>
        <v/>
      </c>
      <c r="X5" s="20" t="n"/>
      <c r="Y5" s="27">
        <f>IF(OR($C5="",X5=""),"",IFERROR(INDEX('LAMINA_HORA'!$C$5:$V$114,MATCH($C5,'LAMINA_HORA'!$A$5:$A$114,0),MATCH(X5,'LAMINA_HORA'!$C$3:$V$3,0)),"?"))</f>
        <v/>
      </c>
      <c r="Z5" s="27">
        <f>IF(OR($C5="",X5=""),"",IFERROR(INDEX('LAMINA_HORA'!$W$5:$AP$114,MATCH($C5,'LAMINA_HORA'!$A$5:$A$114,0),MATCH(X5,'LAMINA_HORA'!$W$3:$AP$3,0)),"?"))</f>
        <v/>
      </c>
      <c r="AA5" s="20" t="n"/>
      <c r="AB5" s="27">
        <f>IF(OR($C5="",AA5=""),"",IFERROR(INDEX('LAMINA_HORA'!$C$5:$V$114,MATCH($C5,'LAMINA_HORA'!$A$5:$A$114,0),MATCH(AA5,'LAMINA_HORA'!$C$3:$V$3,0)),"?"))</f>
        <v/>
      </c>
      <c r="AC5" s="27">
        <f>IF(OR($C5="",AA5=""),"",IFERROR(INDEX('LAMINA_HORA'!$W$5:$AP$114,MATCH($C5,'LAMINA_HORA'!$A$5:$A$114,0),MATCH(AA5,'LAMINA_HORA'!$W$3:$AP$3,0)),"?"))</f>
        <v/>
      </c>
      <c r="AD5" s="13">
        <f>SUM(J5,M5,P5,S5,V5,Y5,AB5)</f>
        <v/>
      </c>
      <c r="AE5" s="15">
        <f>IF(OR($D5="",AD5=""),"",AD5*$D5*10)</f>
        <v/>
      </c>
      <c r="AF5" s="28" t="n"/>
      <c r="AG5" s="15">
        <f>IF(OR(AE5="",AF5=""),"",AE5*AF5)</f>
        <v/>
      </c>
      <c r="AH5" s="28" t="n"/>
      <c r="AI5" s="20" t="n"/>
      <c r="AJ5" s="19" t="n"/>
    </row>
    <row r="6">
      <c r="A6" s="6" t="inlineStr">
        <is>
          <t>R8</t>
        </is>
      </c>
      <c r="B6" s="6" t="inlineStr">
        <is>
          <t>Pivô 36</t>
        </is>
      </c>
      <c r="C6" s="20" t="inlineStr">
        <is>
          <t>P36</t>
        </is>
      </c>
      <c r="D6" s="7" t="n">
        <v>150.54</v>
      </c>
      <c r="E6" s="20" t="n"/>
      <c r="F6" s="20" t="n"/>
      <c r="G6" s="20" t="n"/>
      <c r="H6" s="20" t="n"/>
      <c r="I6" s="20" t="n"/>
      <c r="J6" s="27">
        <f>IF(OR($C6="",I6=""),"",IFERROR(INDEX('LAMINA_HORA'!$C$5:$V$114,MATCH($C6,'LAMINA_HORA'!$A$5:$A$114,0),MATCH(I6,'LAMINA_HORA'!$C$3:$V$3,0)),"?"))</f>
        <v/>
      </c>
      <c r="K6" s="27">
        <f>IF(OR($C6="",I6=""),"",IFERROR(INDEX('LAMINA_HORA'!$W$5:$AP$114,MATCH($C6,'LAMINA_HORA'!$A$5:$A$114,0),MATCH(I6,'LAMINA_HORA'!$W$3:$AP$3,0)),"?"))</f>
        <v/>
      </c>
      <c r="L6" s="20" t="n"/>
      <c r="M6" s="27">
        <f>IF(OR($C6="",L6=""),"",IFERROR(INDEX('LAMINA_HORA'!$C$5:$V$114,MATCH($C6,'LAMINA_HORA'!$A$5:$A$114,0),MATCH(L6,'LAMINA_HORA'!$C$3:$V$3,0)),"?"))</f>
        <v/>
      </c>
      <c r="N6" s="27">
        <f>IF(OR($C6="",L6=""),"",IFERROR(INDEX('LAMINA_HORA'!$W$5:$AP$114,MATCH($C6,'LAMINA_HORA'!$A$5:$A$114,0),MATCH(L6,'LAMINA_HORA'!$W$3:$AP$3,0)),"?"))</f>
        <v/>
      </c>
      <c r="O6" s="20" t="n"/>
      <c r="P6" s="27">
        <f>IF(OR($C6="",O6=""),"",IFERROR(INDEX('LAMINA_HORA'!$C$5:$V$114,MATCH($C6,'LAMINA_HORA'!$A$5:$A$114,0),MATCH(O6,'LAMINA_HORA'!$C$3:$V$3,0)),"?"))</f>
        <v/>
      </c>
      <c r="Q6" s="27">
        <f>IF(OR($C6="",O6=""),"",IFERROR(INDEX('LAMINA_HORA'!$W$5:$AP$114,MATCH($C6,'LAMINA_HORA'!$A$5:$A$114,0),MATCH(O6,'LAMINA_HORA'!$W$3:$AP$3,0)),"?"))</f>
        <v/>
      </c>
      <c r="R6" s="20" t="n"/>
      <c r="S6" s="27">
        <f>IF(OR($C6="",R6=""),"",IFERROR(INDEX('LAMINA_HORA'!$C$5:$V$114,MATCH($C6,'LAMINA_HORA'!$A$5:$A$114,0),MATCH(R6,'LAMINA_HORA'!$C$3:$V$3,0)),"?"))</f>
        <v/>
      </c>
      <c r="T6" s="27">
        <f>IF(OR($C6="",R6=""),"",IFERROR(INDEX('LAMINA_HORA'!$W$5:$AP$114,MATCH($C6,'LAMINA_HORA'!$A$5:$A$114,0),MATCH(R6,'LAMINA_HORA'!$W$3:$AP$3,0)),"?"))</f>
        <v/>
      </c>
      <c r="U6" s="20" t="n"/>
      <c r="V6" s="27">
        <f>IF(OR($C6="",U6=""),"",IFERROR(INDEX('LAMINA_HORA'!$C$5:$V$114,MATCH($C6,'LAMINA_HORA'!$A$5:$A$114,0),MATCH(U6,'LAMINA_HORA'!$C$3:$V$3,0)),"?"))</f>
        <v/>
      </c>
      <c r="W6" s="27">
        <f>IF(OR($C6="",U6=""),"",IFERROR(INDEX('LAMINA_HORA'!$W$5:$AP$114,MATCH($C6,'LAMINA_HORA'!$A$5:$A$114,0),MATCH(U6,'LAMINA_HORA'!$W$3:$AP$3,0)),"?"))</f>
        <v/>
      </c>
      <c r="X6" s="20" t="n"/>
      <c r="Y6" s="27">
        <f>IF(OR($C6="",X6=""),"",IFERROR(INDEX('LAMINA_HORA'!$C$5:$V$114,MATCH($C6,'LAMINA_HORA'!$A$5:$A$114,0),MATCH(X6,'LAMINA_HORA'!$C$3:$V$3,0)),"?"))</f>
        <v/>
      </c>
      <c r="Z6" s="27">
        <f>IF(OR($C6="",X6=""),"",IFERROR(INDEX('LAMINA_HORA'!$W$5:$AP$114,MATCH($C6,'LAMINA_HORA'!$A$5:$A$114,0),MATCH(X6,'LAMINA_HORA'!$W$3:$AP$3,0)),"?"))</f>
        <v/>
      </c>
      <c r="AA6" s="20" t="n"/>
      <c r="AB6" s="27">
        <f>IF(OR($C6="",AA6=""),"",IFERROR(INDEX('LAMINA_HORA'!$C$5:$V$114,MATCH($C6,'LAMINA_HORA'!$A$5:$A$114,0),MATCH(AA6,'LAMINA_HORA'!$C$3:$V$3,0)),"?"))</f>
        <v/>
      </c>
      <c r="AC6" s="27">
        <f>IF(OR($C6="",AA6=""),"",IFERROR(INDEX('LAMINA_HORA'!$W$5:$AP$114,MATCH($C6,'LAMINA_HORA'!$A$5:$A$114,0),MATCH(AA6,'LAMINA_HORA'!$W$3:$AP$3,0)),"?"))</f>
        <v/>
      </c>
      <c r="AD6" s="13">
        <f>SUM(J6,M6,P6,S6,V6,Y6,AB6)</f>
        <v/>
      </c>
      <c r="AE6" s="15">
        <f>IF(OR($D6="",AD6=""),"",AD6*$D6*10)</f>
        <v/>
      </c>
      <c r="AF6" s="28" t="n"/>
      <c r="AG6" s="15">
        <f>IF(OR(AE6="",AF6=""),"",AE6*AF6)</f>
        <v/>
      </c>
      <c r="AH6" s="28" t="n"/>
      <c r="AI6" s="20" t="n"/>
      <c r="AJ6" s="19" t="n"/>
    </row>
    <row r="7">
      <c r="A7" s="6" t="inlineStr">
        <is>
          <t>R8</t>
        </is>
      </c>
      <c r="B7" s="6" t="inlineStr">
        <is>
          <t>Pivô 37</t>
        </is>
      </c>
      <c r="C7" s="20" t="inlineStr">
        <is>
          <t>P37</t>
        </is>
      </c>
      <c r="D7" s="7" t="n">
        <v>72</v>
      </c>
      <c r="E7" s="20" t="n"/>
      <c r="F7" s="20" t="n"/>
      <c r="G7" s="20" t="n"/>
      <c r="H7" s="20" t="n"/>
      <c r="I7" s="20" t="n"/>
      <c r="J7" s="27">
        <f>IF(OR($C7="",I7=""),"",IFERROR(INDEX('LAMINA_HORA'!$C$5:$V$114,MATCH($C7,'LAMINA_HORA'!$A$5:$A$114,0),MATCH(I7,'LAMINA_HORA'!$C$3:$V$3,0)),"?"))</f>
        <v/>
      </c>
      <c r="K7" s="27">
        <f>IF(OR($C7="",I7=""),"",IFERROR(INDEX('LAMINA_HORA'!$W$5:$AP$114,MATCH($C7,'LAMINA_HORA'!$A$5:$A$114,0),MATCH(I7,'LAMINA_HORA'!$W$3:$AP$3,0)),"?"))</f>
        <v/>
      </c>
      <c r="L7" s="20" t="n"/>
      <c r="M7" s="27">
        <f>IF(OR($C7="",L7=""),"",IFERROR(INDEX('LAMINA_HORA'!$C$5:$V$114,MATCH($C7,'LAMINA_HORA'!$A$5:$A$114,0),MATCH(L7,'LAMINA_HORA'!$C$3:$V$3,0)),"?"))</f>
        <v/>
      </c>
      <c r="N7" s="27">
        <f>IF(OR($C7="",L7=""),"",IFERROR(INDEX('LAMINA_HORA'!$W$5:$AP$114,MATCH($C7,'LAMINA_HORA'!$A$5:$A$114,0),MATCH(L7,'LAMINA_HORA'!$W$3:$AP$3,0)),"?"))</f>
        <v/>
      </c>
      <c r="O7" s="20" t="n"/>
      <c r="P7" s="27">
        <f>IF(OR($C7="",O7=""),"",IFERROR(INDEX('LAMINA_HORA'!$C$5:$V$114,MATCH($C7,'LAMINA_HORA'!$A$5:$A$114,0),MATCH(O7,'LAMINA_HORA'!$C$3:$V$3,0)),"?"))</f>
        <v/>
      </c>
      <c r="Q7" s="27">
        <f>IF(OR($C7="",O7=""),"",IFERROR(INDEX('LAMINA_HORA'!$W$5:$AP$114,MATCH($C7,'LAMINA_HORA'!$A$5:$A$114,0),MATCH(O7,'LAMINA_HORA'!$W$3:$AP$3,0)),"?"))</f>
        <v/>
      </c>
      <c r="R7" s="20" t="n"/>
      <c r="S7" s="27">
        <f>IF(OR($C7="",R7=""),"",IFERROR(INDEX('LAMINA_HORA'!$C$5:$V$114,MATCH($C7,'LAMINA_HORA'!$A$5:$A$114,0),MATCH(R7,'LAMINA_HORA'!$C$3:$V$3,0)),"?"))</f>
        <v/>
      </c>
      <c r="T7" s="27">
        <f>IF(OR($C7="",R7=""),"",IFERROR(INDEX('LAMINA_HORA'!$W$5:$AP$114,MATCH($C7,'LAMINA_HORA'!$A$5:$A$114,0),MATCH(R7,'LAMINA_HORA'!$W$3:$AP$3,0)),"?"))</f>
        <v/>
      </c>
      <c r="U7" s="20" t="n"/>
      <c r="V7" s="27">
        <f>IF(OR($C7="",U7=""),"",IFERROR(INDEX('LAMINA_HORA'!$C$5:$V$114,MATCH($C7,'LAMINA_HORA'!$A$5:$A$114,0),MATCH(U7,'LAMINA_HORA'!$C$3:$V$3,0)),"?"))</f>
        <v/>
      </c>
      <c r="W7" s="27">
        <f>IF(OR($C7="",U7=""),"",IFERROR(INDEX('LAMINA_HORA'!$W$5:$AP$114,MATCH($C7,'LAMINA_HORA'!$A$5:$A$114,0),MATCH(U7,'LAMINA_HORA'!$W$3:$AP$3,0)),"?"))</f>
        <v/>
      </c>
      <c r="X7" s="20" t="n"/>
      <c r="Y7" s="27">
        <f>IF(OR($C7="",X7=""),"",IFERROR(INDEX('LAMINA_HORA'!$C$5:$V$114,MATCH($C7,'LAMINA_HORA'!$A$5:$A$114,0),MATCH(X7,'LAMINA_HORA'!$C$3:$V$3,0)),"?"))</f>
        <v/>
      </c>
      <c r="Z7" s="27">
        <f>IF(OR($C7="",X7=""),"",IFERROR(INDEX('LAMINA_HORA'!$W$5:$AP$114,MATCH($C7,'LAMINA_HORA'!$A$5:$A$114,0),MATCH(X7,'LAMINA_HORA'!$W$3:$AP$3,0)),"?"))</f>
        <v/>
      </c>
      <c r="AA7" s="20" t="n"/>
      <c r="AB7" s="27">
        <f>IF(OR($C7="",AA7=""),"",IFERROR(INDEX('LAMINA_HORA'!$C$5:$V$114,MATCH($C7,'LAMINA_HORA'!$A$5:$A$114,0),MATCH(AA7,'LAMINA_HORA'!$C$3:$V$3,0)),"?"))</f>
        <v/>
      </c>
      <c r="AC7" s="27">
        <f>IF(OR($C7="",AA7=""),"",IFERROR(INDEX('LAMINA_HORA'!$W$5:$AP$114,MATCH($C7,'LAMINA_HORA'!$A$5:$A$114,0),MATCH(AA7,'LAMINA_HORA'!$W$3:$AP$3,0)),"?"))</f>
        <v/>
      </c>
      <c r="AD7" s="13">
        <f>SUM(J7,M7,P7,S7,V7,Y7,AB7)</f>
        <v/>
      </c>
      <c r="AE7" s="15">
        <f>IF(OR($D7="",AD7=""),"",AD7*$D7*10)</f>
        <v/>
      </c>
      <c r="AF7" s="28" t="n"/>
      <c r="AG7" s="15">
        <f>IF(OR(AE7="",AF7=""),"",AE7*AF7)</f>
        <v/>
      </c>
      <c r="AH7" s="28" t="n"/>
      <c r="AI7" s="20" t="n"/>
      <c r="AJ7" s="19" t="n"/>
    </row>
    <row r="8">
      <c r="A8" s="6" t="inlineStr">
        <is>
          <t>R8</t>
        </is>
      </c>
      <c r="B8" s="6" t="inlineStr">
        <is>
          <t>Pivô 38</t>
        </is>
      </c>
      <c r="C8" s="20" t="inlineStr">
        <is>
          <t>P38</t>
        </is>
      </c>
      <c r="D8" s="7" t="n">
        <v>141</v>
      </c>
      <c r="E8" s="20" t="n"/>
      <c r="F8" s="20" t="n"/>
      <c r="G8" s="20" t="n"/>
      <c r="H8" s="20" t="n"/>
      <c r="I8" s="20" t="n"/>
      <c r="J8" s="27">
        <f>IF(OR($C8="",I8=""),"",IFERROR(INDEX('LAMINA_HORA'!$C$5:$V$114,MATCH($C8,'LAMINA_HORA'!$A$5:$A$114,0),MATCH(I8,'LAMINA_HORA'!$C$3:$V$3,0)),"?"))</f>
        <v/>
      </c>
      <c r="K8" s="27">
        <f>IF(OR($C8="",I8=""),"",IFERROR(INDEX('LAMINA_HORA'!$W$5:$AP$114,MATCH($C8,'LAMINA_HORA'!$A$5:$A$114,0),MATCH(I8,'LAMINA_HORA'!$W$3:$AP$3,0)),"?"))</f>
        <v/>
      </c>
      <c r="L8" s="20" t="n"/>
      <c r="M8" s="27">
        <f>IF(OR($C8="",L8=""),"",IFERROR(INDEX('LAMINA_HORA'!$C$5:$V$114,MATCH($C8,'LAMINA_HORA'!$A$5:$A$114,0),MATCH(L8,'LAMINA_HORA'!$C$3:$V$3,0)),"?"))</f>
        <v/>
      </c>
      <c r="N8" s="27">
        <f>IF(OR($C8="",L8=""),"",IFERROR(INDEX('LAMINA_HORA'!$W$5:$AP$114,MATCH($C8,'LAMINA_HORA'!$A$5:$A$114,0),MATCH(L8,'LAMINA_HORA'!$W$3:$AP$3,0)),"?"))</f>
        <v/>
      </c>
      <c r="O8" s="20" t="n"/>
      <c r="P8" s="27">
        <f>IF(OR($C8="",O8=""),"",IFERROR(INDEX('LAMINA_HORA'!$C$5:$V$114,MATCH($C8,'LAMINA_HORA'!$A$5:$A$114,0),MATCH(O8,'LAMINA_HORA'!$C$3:$V$3,0)),"?"))</f>
        <v/>
      </c>
      <c r="Q8" s="27">
        <f>IF(OR($C8="",O8=""),"",IFERROR(INDEX('LAMINA_HORA'!$W$5:$AP$114,MATCH($C8,'LAMINA_HORA'!$A$5:$A$114,0),MATCH(O8,'LAMINA_HORA'!$W$3:$AP$3,0)),"?"))</f>
        <v/>
      </c>
      <c r="R8" s="20" t="n"/>
      <c r="S8" s="27">
        <f>IF(OR($C8="",R8=""),"",IFERROR(INDEX('LAMINA_HORA'!$C$5:$V$114,MATCH($C8,'LAMINA_HORA'!$A$5:$A$114,0),MATCH(R8,'LAMINA_HORA'!$C$3:$V$3,0)),"?"))</f>
        <v/>
      </c>
      <c r="T8" s="27">
        <f>IF(OR($C8="",R8=""),"",IFERROR(INDEX('LAMINA_HORA'!$W$5:$AP$114,MATCH($C8,'LAMINA_HORA'!$A$5:$A$114,0),MATCH(R8,'LAMINA_HORA'!$W$3:$AP$3,0)),"?"))</f>
        <v/>
      </c>
      <c r="U8" s="20" t="n"/>
      <c r="V8" s="27">
        <f>IF(OR($C8="",U8=""),"",IFERROR(INDEX('LAMINA_HORA'!$C$5:$V$114,MATCH($C8,'LAMINA_HORA'!$A$5:$A$114,0),MATCH(U8,'LAMINA_HORA'!$C$3:$V$3,0)),"?"))</f>
        <v/>
      </c>
      <c r="W8" s="27">
        <f>IF(OR($C8="",U8=""),"",IFERROR(INDEX('LAMINA_HORA'!$W$5:$AP$114,MATCH($C8,'LAMINA_HORA'!$A$5:$A$114,0),MATCH(U8,'LAMINA_HORA'!$W$3:$AP$3,0)),"?"))</f>
        <v/>
      </c>
      <c r="X8" s="20" t="n"/>
      <c r="Y8" s="27">
        <f>IF(OR($C8="",X8=""),"",IFERROR(INDEX('LAMINA_HORA'!$C$5:$V$114,MATCH($C8,'LAMINA_HORA'!$A$5:$A$114,0),MATCH(X8,'LAMINA_HORA'!$C$3:$V$3,0)),"?"))</f>
        <v/>
      </c>
      <c r="Z8" s="27">
        <f>IF(OR($C8="",X8=""),"",IFERROR(INDEX('LAMINA_HORA'!$W$5:$AP$114,MATCH($C8,'LAMINA_HORA'!$A$5:$A$114,0),MATCH(X8,'LAMINA_HORA'!$W$3:$AP$3,0)),"?"))</f>
        <v/>
      </c>
      <c r="AA8" s="20" t="n"/>
      <c r="AB8" s="27">
        <f>IF(OR($C8="",AA8=""),"",IFERROR(INDEX('LAMINA_HORA'!$C$5:$V$114,MATCH($C8,'LAMINA_HORA'!$A$5:$A$114,0),MATCH(AA8,'LAMINA_HORA'!$C$3:$V$3,0)),"?"))</f>
        <v/>
      </c>
      <c r="AC8" s="27">
        <f>IF(OR($C8="",AA8=""),"",IFERROR(INDEX('LAMINA_HORA'!$W$5:$AP$114,MATCH($C8,'LAMINA_HORA'!$A$5:$A$114,0),MATCH(AA8,'LAMINA_HORA'!$W$3:$AP$3,0)),"?"))</f>
        <v/>
      </c>
      <c r="AD8" s="13">
        <f>SUM(J8,M8,P8,S8,V8,Y8,AB8)</f>
        <v/>
      </c>
      <c r="AE8" s="15">
        <f>IF(OR($D8="",AD8=""),"",AD8*$D8*10)</f>
        <v/>
      </c>
      <c r="AF8" s="28" t="n"/>
      <c r="AG8" s="15">
        <f>IF(OR(AE8="",AF8=""),"",AE8*AF8)</f>
        <v/>
      </c>
      <c r="AH8" s="28" t="n"/>
      <c r="AI8" s="20" t="n"/>
      <c r="AJ8" s="19" t="n"/>
    </row>
    <row r="9">
      <c r="A9" s="6" t="inlineStr">
        <is>
          <t>R10</t>
        </is>
      </c>
      <c r="B9" s="6" t="inlineStr">
        <is>
          <t>Pivô 39</t>
        </is>
      </c>
      <c r="C9" s="20" t="inlineStr">
        <is>
          <t>P39</t>
        </is>
      </c>
      <c r="D9" s="7" t="n">
        <v>100.65</v>
      </c>
      <c r="E9" s="20" t="n"/>
      <c r="F9" s="20" t="n"/>
      <c r="G9" s="20" t="n"/>
      <c r="H9" s="20" t="n"/>
      <c r="I9" s="20" t="n"/>
      <c r="J9" s="27">
        <f>IF(OR($C9="",I9=""),"",IFERROR(INDEX('LAMINA_HORA'!$C$5:$V$114,MATCH($C9,'LAMINA_HORA'!$A$5:$A$114,0),MATCH(I9,'LAMINA_HORA'!$C$3:$V$3,0)),"?"))</f>
        <v/>
      </c>
      <c r="K9" s="27">
        <f>IF(OR($C9="",I9=""),"",IFERROR(INDEX('LAMINA_HORA'!$W$5:$AP$114,MATCH($C9,'LAMINA_HORA'!$A$5:$A$114,0),MATCH(I9,'LAMINA_HORA'!$W$3:$AP$3,0)),"?"))</f>
        <v/>
      </c>
      <c r="L9" s="20" t="n"/>
      <c r="M9" s="27">
        <f>IF(OR($C9="",L9=""),"",IFERROR(INDEX('LAMINA_HORA'!$C$5:$V$114,MATCH($C9,'LAMINA_HORA'!$A$5:$A$114,0),MATCH(L9,'LAMINA_HORA'!$C$3:$V$3,0)),"?"))</f>
        <v/>
      </c>
      <c r="N9" s="27">
        <f>IF(OR($C9="",L9=""),"",IFERROR(INDEX('LAMINA_HORA'!$W$5:$AP$114,MATCH($C9,'LAMINA_HORA'!$A$5:$A$114,0),MATCH(L9,'LAMINA_HORA'!$W$3:$AP$3,0)),"?"))</f>
        <v/>
      </c>
      <c r="O9" s="20" t="n"/>
      <c r="P9" s="27">
        <f>IF(OR($C9="",O9=""),"",IFERROR(INDEX('LAMINA_HORA'!$C$5:$V$114,MATCH($C9,'LAMINA_HORA'!$A$5:$A$114,0),MATCH(O9,'LAMINA_HORA'!$C$3:$V$3,0)),"?"))</f>
        <v/>
      </c>
      <c r="Q9" s="27">
        <f>IF(OR($C9="",O9=""),"",IFERROR(INDEX('LAMINA_HORA'!$W$5:$AP$114,MATCH($C9,'LAMINA_HORA'!$A$5:$A$114,0),MATCH(O9,'LAMINA_HORA'!$W$3:$AP$3,0)),"?"))</f>
        <v/>
      </c>
      <c r="R9" s="20" t="n"/>
      <c r="S9" s="27">
        <f>IF(OR($C9="",R9=""),"",IFERROR(INDEX('LAMINA_HORA'!$C$5:$V$114,MATCH($C9,'LAMINA_HORA'!$A$5:$A$114,0),MATCH(R9,'LAMINA_HORA'!$C$3:$V$3,0)),"?"))</f>
        <v/>
      </c>
      <c r="T9" s="27">
        <f>IF(OR($C9="",R9=""),"",IFERROR(INDEX('LAMINA_HORA'!$W$5:$AP$114,MATCH($C9,'LAMINA_HORA'!$A$5:$A$114,0),MATCH(R9,'LAMINA_HORA'!$W$3:$AP$3,0)),"?"))</f>
        <v/>
      </c>
      <c r="U9" s="20" t="n"/>
      <c r="V9" s="27">
        <f>IF(OR($C9="",U9=""),"",IFERROR(INDEX('LAMINA_HORA'!$C$5:$V$114,MATCH($C9,'LAMINA_HORA'!$A$5:$A$114,0),MATCH(U9,'LAMINA_HORA'!$C$3:$V$3,0)),"?"))</f>
        <v/>
      </c>
      <c r="W9" s="27">
        <f>IF(OR($C9="",U9=""),"",IFERROR(INDEX('LAMINA_HORA'!$W$5:$AP$114,MATCH($C9,'LAMINA_HORA'!$A$5:$A$114,0),MATCH(U9,'LAMINA_HORA'!$W$3:$AP$3,0)),"?"))</f>
        <v/>
      </c>
      <c r="X9" s="20" t="n"/>
      <c r="Y9" s="27">
        <f>IF(OR($C9="",X9=""),"",IFERROR(INDEX('LAMINA_HORA'!$C$5:$V$114,MATCH($C9,'LAMINA_HORA'!$A$5:$A$114,0),MATCH(X9,'LAMINA_HORA'!$C$3:$V$3,0)),"?"))</f>
        <v/>
      </c>
      <c r="Z9" s="27">
        <f>IF(OR($C9="",X9=""),"",IFERROR(INDEX('LAMINA_HORA'!$W$5:$AP$114,MATCH($C9,'LAMINA_HORA'!$A$5:$A$114,0),MATCH(X9,'LAMINA_HORA'!$W$3:$AP$3,0)),"?"))</f>
        <v/>
      </c>
      <c r="AA9" s="20" t="n"/>
      <c r="AB9" s="27">
        <f>IF(OR($C9="",AA9=""),"",IFERROR(INDEX('LAMINA_HORA'!$C$5:$V$114,MATCH($C9,'LAMINA_HORA'!$A$5:$A$114,0),MATCH(AA9,'LAMINA_HORA'!$C$3:$V$3,0)),"?"))</f>
        <v/>
      </c>
      <c r="AC9" s="27">
        <f>IF(OR($C9="",AA9=""),"",IFERROR(INDEX('LAMINA_HORA'!$W$5:$AP$114,MATCH($C9,'LAMINA_HORA'!$A$5:$A$114,0),MATCH(AA9,'LAMINA_HORA'!$W$3:$AP$3,0)),"?"))</f>
        <v/>
      </c>
      <c r="AD9" s="13">
        <f>SUM(J9,M9,P9,S9,V9,Y9,AB9)</f>
        <v/>
      </c>
      <c r="AE9" s="15">
        <f>IF(OR($D9="",AD9=""),"",AD9*$D9*10)</f>
        <v/>
      </c>
      <c r="AF9" s="28" t="n"/>
      <c r="AG9" s="15">
        <f>IF(OR(AE9="",AF9=""),"",AE9*AF9)</f>
        <v/>
      </c>
      <c r="AH9" s="28" t="n"/>
      <c r="AI9" s="20" t="n"/>
      <c r="AJ9" s="19" t="n"/>
    </row>
    <row r="10">
      <c r="A10" s="6" t="inlineStr">
        <is>
          <t>R10</t>
        </is>
      </c>
      <c r="B10" s="6" t="inlineStr">
        <is>
          <t>Pivô 40</t>
        </is>
      </c>
      <c r="C10" s="20" t="inlineStr">
        <is>
          <t>P40</t>
        </is>
      </c>
      <c r="D10" s="7" t="n">
        <v>150.54</v>
      </c>
      <c r="E10" s="20" t="n"/>
      <c r="F10" s="20" t="n"/>
      <c r="G10" s="20" t="n"/>
      <c r="H10" s="20" t="n"/>
      <c r="I10" s="20" t="n"/>
      <c r="J10" s="27">
        <f>IF(OR($C10="",I10=""),"",IFERROR(INDEX('LAMINA_HORA'!$C$5:$V$114,MATCH($C10,'LAMINA_HORA'!$A$5:$A$114,0),MATCH(I10,'LAMINA_HORA'!$C$3:$V$3,0)),"?"))</f>
        <v/>
      </c>
      <c r="K10" s="27">
        <f>IF(OR($C10="",I10=""),"",IFERROR(INDEX('LAMINA_HORA'!$W$5:$AP$114,MATCH($C10,'LAMINA_HORA'!$A$5:$A$114,0),MATCH(I10,'LAMINA_HORA'!$W$3:$AP$3,0)),"?"))</f>
        <v/>
      </c>
      <c r="L10" s="20" t="n"/>
      <c r="M10" s="27">
        <f>IF(OR($C10="",L10=""),"",IFERROR(INDEX('LAMINA_HORA'!$C$5:$V$114,MATCH($C10,'LAMINA_HORA'!$A$5:$A$114,0),MATCH(L10,'LAMINA_HORA'!$C$3:$V$3,0)),"?"))</f>
        <v/>
      </c>
      <c r="N10" s="27">
        <f>IF(OR($C10="",L10=""),"",IFERROR(INDEX('LAMINA_HORA'!$W$5:$AP$114,MATCH($C10,'LAMINA_HORA'!$A$5:$A$114,0),MATCH(L10,'LAMINA_HORA'!$W$3:$AP$3,0)),"?"))</f>
        <v/>
      </c>
      <c r="O10" s="20" t="n"/>
      <c r="P10" s="27">
        <f>IF(OR($C10="",O10=""),"",IFERROR(INDEX('LAMINA_HORA'!$C$5:$V$114,MATCH($C10,'LAMINA_HORA'!$A$5:$A$114,0),MATCH(O10,'LAMINA_HORA'!$C$3:$V$3,0)),"?"))</f>
        <v/>
      </c>
      <c r="Q10" s="27">
        <f>IF(OR($C10="",O10=""),"",IFERROR(INDEX('LAMINA_HORA'!$W$5:$AP$114,MATCH($C10,'LAMINA_HORA'!$A$5:$A$114,0),MATCH(O10,'LAMINA_HORA'!$W$3:$AP$3,0)),"?"))</f>
        <v/>
      </c>
      <c r="R10" s="20" t="n"/>
      <c r="S10" s="27">
        <f>IF(OR($C10="",R10=""),"",IFERROR(INDEX('LAMINA_HORA'!$C$5:$V$114,MATCH($C10,'LAMINA_HORA'!$A$5:$A$114,0),MATCH(R10,'LAMINA_HORA'!$C$3:$V$3,0)),"?"))</f>
        <v/>
      </c>
      <c r="T10" s="27">
        <f>IF(OR($C10="",R10=""),"",IFERROR(INDEX('LAMINA_HORA'!$W$5:$AP$114,MATCH($C10,'LAMINA_HORA'!$A$5:$A$114,0),MATCH(R10,'LAMINA_HORA'!$W$3:$AP$3,0)),"?"))</f>
        <v/>
      </c>
      <c r="U10" s="20" t="n"/>
      <c r="V10" s="27">
        <f>IF(OR($C10="",U10=""),"",IFERROR(INDEX('LAMINA_HORA'!$C$5:$V$114,MATCH($C10,'LAMINA_HORA'!$A$5:$A$114,0),MATCH(U10,'LAMINA_HORA'!$C$3:$V$3,0)),"?"))</f>
        <v/>
      </c>
      <c r="W10" s="27">
        <f>IF(OR($C10="",U10=""),"",IFERROR(INDEX('LAMINA_HORA'!$W$5:$AP$114,MATCH($C10,'LAMINA_HORA'!$A$5:$A$114,0),MATCH(U10,'LAMINA_HORA'!$W$3:$AP$3,0)),"?"))</f>
        <v/>
      </c>
      <c r="X10" s="20" t="n"/>
      <c r="Y10" s="27">
        <f>IF(OR($C10="",X10=""),"",IFERROR(INDEX('LAMINA_HORA'!$C$5:$V$114,MATCH($C10,'LAMINA_HORA'!$A$5:$A$114,0),MATCH(X10,'LAMINA_HORA'!$C$3:$V$3,0)),"?"))</f>
        <v/>
      </c>
      <c r="Z10" s="27">
        <f>IF(OR($C10="",X10=""),"",IFERROR(INDEX('LAMINA_HORA'!$W$5:$AP$114,MATCH($C10,'LAMINA_HORA'!$A$5:$A$114,0),MATCH(X10,'LAMINA_HORA'!$W$3:$AP$3,0)),"?"))</f>
        <v/>
      </c>
      <c r="AA10" s="20" t="n"/>
      <c r="AB10" s="27">
        <f>IF(OR($C10="",AA10=""),"",IFERROR(INDEX('LAMINA_HORA'!$C$5:$V$114,MATCH($C10,'LAMINA_HORA'!$A$5:$A$114,0),MATCH(AA10,'LAMINA_HORA'!$C$3:$V$3,0)),"?"))</f>
        <v/>
      </c>
      <c r="AC10" s="27">
        <f>IF(OR($C10="",AA10=""),"",IFERROR(INDEX('LAMINA_HORA'!$W$5:$AP$114,MATCH($C10,'LAMINA_HORA'!$A$5:$A$114,0),MATCH(AA10,'LAMINA_HORA'!$W$3:$AP$3,0)),"?"))</f>
        <v/>
      </c>
      <c r="AD10" s="13">
        <f>SUM(J10,M10,P10,S10,V10,Y10,AB10)</f>
        <v/>
      </c>
      <c r="AE10" s="15">
        <f>IF(OR($D10="",AD10=""),"",AD10*$D10*10)</f>
        <v/>
      </c>
      <c r="AF10" s="28" t="n"/>
      <c r="AG10" s="15">
        <f>IF(OR(AE10="",AF10=""),"",AE10*AF10)</f>
        <v/>
      </c>
      <c r="AH10" s="28" t="n"/>
      <c r="AI10" s="20" t="n"/>
      <c r="AJ10" s="19" t="n"/>
    </row>
    <row r="11">
      <c r="A11" s="6" t="inlineStr">
        <is>
          <t>R9</t>
        </is>
      </c>
      <c r="B11" s="6" t="inlineStr">
        <is>
          <t>Pivô 41</t>
        </is>
      </c>
      <c r="C11" s="20" t="inlineStr">
        <is>
          <t>P41</t>
        </is>
      </c>
      <c r="D11" s="7" t="n">
        <v>138.55</v>
      </c>
      <c r="E11" s="20" t="n"/>
      <c r="F11" s="20" t="n"/>
      <c r="G11" s="20" t="n"/>
      <c r="H11" s="20" t="n"/>
      <c r="I11" s="20" t="n"/>
      <c r="J11" s="27">
        <f>IF(OR($C11="",I11=""),"",IFERROR(INDEX('LAMINA_HORA'!$C$5:$V$114,MATCH($C11,'LAMINA_HORA'!$A$5:$A$114,0),MATCH(I11,'LAMINA_HORA'!$C$3:$V$3,0)),"?"))</f>
        <v/>
      </c>
      <c r="K11" s="27">
        <f>IF(OR($C11="",I11=""),"",IFERROR(INDEX('LAMINA_HORA'!$W$5:$AP$114,MATCH($C11,'LAMINA_HORA'!$A$5:$A$114,0),MATCH(I11,'LAMINA_HORA'!$W$3:$AP$3,0)),"?"))</f>
        <v/>
      </c>
      <c r="L11" s="20" t="n"/>
      <c r="M11" s="27">
        <f>IF(OR($C11="",L11=""),"",IFERROR(INDEX('LAMINA_HORA'!$C$5:$V$114,MATCH($C11,'LAMINA_HORA'!$A$5:$A$114,0),MATCH(L11,'LAMINA_HORA'!$C$3:$V$3,0)),"?"))</f>
        <v/>
      </c>
      <c r="N11" s="27">
        <f>IF(OR($C11="",L11=""),"",IFERROR(INDEX('LAMINA_HORA'!$W$5:$AP$114,MATCH($C11,'LAMINA_HORA'!$A$5:$A$114,0),MATCH(L11,'LAMINA_HORA'!$W$3:$AP$3,0)),"?"))</f>
        <v/>
      </c>
      <c r="O11" s="20" t="n"/>
      <c r="P11" s="27">
        <f>IF(OR($C11="",O11=""),"",IFERROR(INDEX('LAMINA_HORA'!$C$5:$V$114,MATCH($C11,'LAMINA_HORA'!$A$5:$A$114,0),MATCH(O11,'LAMINA_HORA'!$C$3:$V$3,0)),"?"))</f>
        <v/>
      </c>
      <c r="Q11" s="27">
        <f>IF(OR($C11="",O11=""),"",IFERROR(INDEX('LAMINA_HORA'!$W$5:$AP$114,MATCH($C11,'LAMINA_HORA'!$A$5:$A$114,0),MATCH(O11,'LAMINA_HORA'!$W$3:$AP$3,0)),"?"))</f>
        <v/>
      </c>
      <c r="R11" s="20" t="n"/>
      <c r="S11" s="27">
        <f>IF(OR($C11="",R11=""),"",IFERROR(INDEX('LAMINA_HORA'!$C$5:$V$114,MATCH($C11,'LAMINA_HORA'!$A$5:$A$114,0),MATCH(R11,'LAMINA_HORA'!$C$3:$V$3,0)),"?"))</f>
        <v/>
      </c>
      <c r="T11" s="27">
        <f>IF(OR($C11="",R11=""),"",IFERROR(INDEX('LAMINA_HORA'!$W$5:$AP$114,MATCH($C11,'LAMINA_HORA'!$A$5:$A$114,0),MATCH(R11,'LAMINA_HORA'!$W$3:$AP$3,0)),"?"))</f>
        <v/>
      </c>
      <c r="U11" s="20" t="n"/>
      <c r="V11" s="27">
        <f>IF(OR($C11="",U11=""),"",IFERROR(INDEX('LAMINA_HORA'!$C$5:$V$114,MATCH($C11,'LAMINA_HORA'!$A$5:$A$114,0),MATCH(U11,'LAMINA_HORA'!$C$3:$V$3,0)),"?"))</f>
        <v/>
      </c>
      <c r="W11" s="27">
        <f>IF(OR($C11="",U11=""),"",IFERROR(INDEX('LAMINA_HORA'!$W$5:$AP$114,MATCH($C11,'LAMINA_HORA'!$A$5:$A$114,0),MATCH(U11,'LAMINA_HORA'!$W$3:$AP$3,0)),"?"))</f>
        <v/>
      </c>
      <c r="X11" s="20" t="n"/>
      <c r="Y11" s="27">
        <f>IF(OR($C11="",X11=""),"",IFERROR(INDEX('LAMINA_HORA'!$C$5:$V$114,MATCH($C11,'LAMINA_HORA'!$A$5:$A$114,0),MATCH(X11,'LAMINA_HORA'!$C$3:$V$3,0)),"?"))</f>
        <v/>
      </c>
      <c r="Z11" s="27">
        <f>IF(OR($C11="",X11=""),"",IFERROR(INDEX('LAMINA_HORA'!$W$5:$AP$114,MATCH($C11,'LAMINA_HORA'!$A$5:$A$114,0),MATCH(X11,'LAMINA_HORA'!$W$3:$AP$3,0)),"?"))</f>
        <v/>
      </c>
      <c r="AA11" s="20" t="n"/>
      <c r="AB11" s="27">
        <f>IF(OR($C11="",AA11=""),"",IFERROR(INDEX('LAMINA_HORA'!$C$5:$V$114,MATCH($C11,'LAMINA_HORA'!$A$5:$A$114,0),MATCH(AA11,'LAMINA_HORA'!$C$3:$V$3,0)),"?"))</f>
        <v/>
      </c>
      <c r="AC11" s="27">
        <f>IF(OR($C11="",AA11=""),"",IFERROR(INDEX('LAMINA_HORA'!$W$5:$AP$114,MATCH($C11,'LAMINA_HORA'!$A$5:$A$114,0),MATCH(AA11,'LAMINA_HORA'!$W$3:$AP$3,0)),"?"))</f>
        <v/>
      </c>
      <c r="AD11" s="13">
        <f>SUM(J11,M11,P11,S11,V11,Y11,AB11)</f>
        <v/>
      </c>
      <c r="AE11" s="15">
        <f>IF(OR($D11="",AD11=""),"",AD11*$D11*10)</f>
        <v/>
      </c>
      <c r="AF11" s="28" t="n"/>
      <c r="AG11" s="15">
        <f>IF(OR(AE11="",AF11=""),"",AE11*AF11)</f>
        <v/>
      </c>
      <c r="AH11" s="28" t="n"/>
      <c r="AI11" s="20" t="n"/>
      <c r="AJ11" s="19" t="n"/>
    </row>
    <row r="12">
      <c r="A12" s="6" t="inlineStr">
        <is>
          <t>R9</t>
        </is>
      </c>
      <c r="B12" s="6" t="inlineStr">
        <is>
          <t>Pivô 42</t>
        </is>
      </c>
      <c r="C12" s="20" t="inlineStr">
        <is>
          <t>P42</t>
        </is>
      </c>
      <c r="D12" s="7" t="n">
        <v>100.65</v>
      </c>
      <c r="E12" s="20" t="n"/>
      <c r="F12" s="20" t="n"/>
      <c r="G12" s="20" t="n"/>
      <c r="H12" s="20" t="n"/>
      <c r="I12" s="20" t="n"/>
      <c r="J12" s="27">
        <f>IF(OR($C12="",I12=""),"",IFERROR(INDEX('LAMINA_HORA'!$C$5:$V$114,MATCH($C12,'LAMINA_HORA'!$A$5:$A$114,0),MATCH(I12,'LAMINA_HORA'!$C$3:$V$3,0)),"?"))</f>
        <v/>
      </c>
      <c r="K12" s="27">
        <f>IF(OR($C12="",I12=""),"",IFERROR(INDEX('LAMINA_HORA'!$W$5:$AP$114,MATCH($C12,'LAMINA_HORA'!$A$5:$A$114,0),MATCH(I12,'LAMINA_HORA'!$W$3:$AP$3,0)),"?"))</f>
        <v/>
      </c>
      <c r="L12" s="20" t="n"/>
      <c r="M12" s="27">
        <f>IF(OR($C12="",L12=""),"",IFERROR(INDEX('LAMINA_HORA'!$C$5:$V$114,MATCH($C12,'LAMINA_HORA'!$A$5:$A$114,0),MATCH(L12,'LAMINA_HORA'!$C$3:$V$3,0)),"?"))</f>
        <v/>
      </c>
      <c r="N12" s="27">
        <f>IF(OR($C12="",L12=""),"",IFERROR(INDEX('LAMINA_HORA'!$W$5:$AP$114,MATCH($C12,'LAMINA_HORA'!$A$5:$A$114,0),MATCH(L12,'LAMINA_HORA'!$W$3:$AP$3,0)),"?"))</f>
        <v/>
      </c>
      <c r="O12" s="20" t="n"/>
      <c r="P12" s="27">
        <f>IF(OR($C12="",O12=""),"",IFERROR(INDEX('LAMINA_HORA'!$C$5:$V$114,MATCH($C12,'LAMINA_HORA'!$A$5:$A$114,0),MATCH(O12,'LAMINA_HORA'!$C$3:$V$3,0)),"?"))</f>
        <v/>
      </c>
      <c r="Q12" s="27">
        <f>IF(OR($C12="",O12=""),"",IFERROR(INDEX('LAMINA_HORA'!$W$5:$AP$114,MATCH($C12,'LAMINA_HORA'!$A$5:$A$114,0),MATCH(O12,'LAMINA_HORA'!$W$3:$AP$3,0)),"?"))</f>
        <v/>
      </c>
      <c r="R12" s="20" t="n"/>
      <c r="S12" s="27">
        <f>IF(OR($C12="",R12=""),"",IFERROR(INDEX('LAMINA_HORA'!$C$5:$V$114,MATCH($C12,'LAMINA_HORA'!$A$5:$A$114,0),MATCH(R12,'LAMINA_HORA'!$C$3:$V$3,0)),"?"))</f>
        <v/>
      </c>
      <c r="T12" s="27">
        <f>IF(OR($C12="",R12=""),"",IFERROR(INDEX('LAMINA_HORA'!$W$5:$AP$114,MATCH($C12,'LAMINA_HORA'!$A$5:$A$114,0),MATCH(R12,'LAMINA_HORA'!$W$3:$AP$3,0)),"?"))</f>
        <v/>
      </c>
      <c r="U12" s="20" t="n"/>
      <c r="V12" s="27">
        <f>IF(OR($C12="",U12=""),"",IFERROR(INDEX('LAMINA_HORA'!$C$5:$V$114,MATCH($C12,'LAMINA_HORA'!$A$5:$A$114,0),MATCH(U12,'LAMINA_HORA'!$C$3:$V$3,0)),"?"))</f>
        <v/>
      </c>
      <c r="W12" s="27">
        <f>IF(OR($C12="",U12=""),"",IFERROR(INDEX('LAMINA_HORA'!$W$5:$AP$114,MATCH($C12,'LAMINA_HORA'!$A$5:$A$114,0),MATCH(U12,'LAMINA_HORA'!$W$3:$AP$3,0)),"?"))</f>
        <v/>
      </c>
      <c r="X12" s="20" t="n"/>
      <c r="Y12" s="27">
        <f>IF(OR($C12="",X12=""),"",IFERROR(INDEX('LAMINA_HORA'!$C$5:$V$114,MATCH($C12,'LAMINA_HORA'!$A$5:$A$114,0),MATCH(X12,'LAMINA_HORA'!$C$3:$V$3,0)),"?"))</f>
        <v/>
      </c>
      <c r="Z12" s="27">
        <f>IF(OR($C12="",X12=""),"",IFERROR(INDEX('LAMINA_HORA'!$W$5:$AP$114,MATCH($C12,'LAMINA_HORA'!$A$5:$A$114,0),MATCH(X12,'LAMINA_HORA'!$W$3:$AP$3,0)),"?"))</f>
        <v/>
      </c>
      <c r="AA12" s="20" t="n"/>
      <c r="AB12" s="27">
        <f>IF(OR($C12="",AA12=""),"",IFERROR(INDEX('LAMINA_HORA'!$C$5:$V$114,MATCH($C12,'LAMINA_HORA'!$A$5:$A$114,0),MATCH(AA12,'LAMINA_HORA'!$C$3:$V$3,0)),"?"))</f>
        <v/>
      </c>
      <c r="AC12" s="27">
        <f>IF(OR($C12="",AA12=""),"",IFERROR(INDEX('LAMINA_HORA'!$W$5:$AP$114,MATCH($C12,'LAMINA_HORA'!$A$5:$A$114,0),MATCH(AA12,'LAMINA_HORA'!$W$3:$AP$3,0)),"?"))</f>
        <v/>
      </c>
      <c r="AD12" s="13">
        <f>SUM(J12,M12,P12,S12,V12,Y12,AB12)</f>
        <v/>
      </c>
      <c r="AE12" s="15">
        <f>IF(OR($D12="",AD12=""),"",AD12*$D12*10)</f>
        <v/>
      </c>
      <c r="AF12" s="28" t="n"/>
      <c r="AG12" s="15">
        <f>IF(OR(AE12="",AF12=""),"",AE12*AF12)</f>
        <v/>
      </c>
      <c r="AH12" s="28" t="n"/>
      <c r="AI12" s="20" t="n"/>
      <c r="AJ12" s="19" t="n"/>
    </row>
    <row r="13">
      <c r="A13" s="6" t="inlineStr">
        <is>
          <t>R9</t>
        </is>
      </c>
      <c r="B13" s="6" t="inlineStr">
        <is>
          <t>Pivô 43</t>
        </is>
      </c>
      <c r="C13" s="20" t="inlineStr">
        <is>
          <t>P43</t>
        </is>
      </c>
      <c r="D13" s="7" t="n">
        <v>138.55</v>
      </c>
      <c r="E13" s="20" t="n"/>
      <c r="F13" s="20" t="n"/>
      <c r="G13" s="20" t="n"/>
      <c r="H13" s="20" t="n"/>
      <c r="I13" s="20" t="n"/>
      <c r="J13" s="27">
        <f>IF(OR($C13="",I13=""),"",IFERROR(INDEX('LAMINA_HORA'!$C$5:$V$114,MATCH($C13,'LAMINA_HORA'!$A$5:$A$114,0),MATCH(I13,'LAMINA_HORA'!$C$3:$V$3,0)),"?"))</f>
        <v/>
      </c>
      <c r="K13" s="27">
        <f>IF(OR($C13="",I13=""),"",IFERROR(INDEX('LAMINA_HORA'!$W$5:$AP$114,MATCH($C13,'LAMINA_HORA'!$A$5:$A$114,0),MATCH(I13,'LAMINA_HORA'!$W$3:$AP$3,0)),"?"))</f>
        <v/>
      </c>
      <c r="L13" s="20" t="n"/>
      <c r="M13" s="27">
        <f>IF(OR($C13="",L13=""),"",IFERROR(INDEX('LAMINA_HORA'!$C$5:$V$114,MATCH($C13,'LAMINA_HORA'!$A$5:$A$114,0),MATCH(L13,'LAMINA_HORA'!$C$3:$V$3,0)),"?"))</f>
        <v/>
      </c>
      <c r="N13" s="27">
        <f>IF(OR($C13="",L13=""),"",IFERROR(INDEX('LAMINA_HORA'!$W$5:$AP$114,MATCH($C13,'LAMINA_HORA'!$A$5:$A$114,0),MATCH(L13,'LAMINA_HORA'!$W$3:$AP$3,0)),"?"))</f>
        <v/>
      </c>
      <c r="O13" s="20" t="n"/>
      <c r="P13" s="27">
        <f>IF(OR($C13="",O13=""),"",IFERROR(INDEX('LAMINA_HORA'!$C$5:$V$114,MATCH($C13,'LAMINA_HORA'!$A$5:$A$114,0),MATCH(O13,'LAMINA_HORA'!$C$3:$V$3,0)),"?"))</f>
        <v/>
      </c>
      <c r="Q13" s="27">
        <f>IF(OR($C13="",O13=""),"",IFERROR(INDEX('LAMINA_HORA'!$W$5:$AP$114,MATCH($C13,'LAMINA_HORA'!$A$5:$A$114,0),MATCH(O13,'LAMINA_HORA'!$W$3:$AP$3,0)),"?"))</f>
        <v/>
      </c>
      <c r="R13" s="20" t="n"/>
      <c r="S13" s="27">
        <f>IF(OR($C13="",R13=""),"",IFERROR(INDEX('LAMINA_HORA'!$C$5:$V$114,MATCH($C13,'LAMINA_HORA'!$A$5:$A$114,0),MATCH(R13,'LAMINA_HORA'!$C$3:$V$3,0)),"?"))</f>
        <v/>
      </c>
      <c r="T13" s="27">
        <f>IF(OR($C13="",R13=""),"",IFERROR(INDEX('LAMINA_HORA'!$W$5:$AP$114,MATCH($C13,'LAMINA_HORA'!$A$5:$A$114,0),MATCH(R13,'LAMINA_HORA'!$W$3:$AP$3,0)),"?"))</f>
        <v/>
      </c>
      <c r="U13" s="20" t="n"/>
      <c r="V13" s="27">
        <f>IF(OR($C13="",U13=""),"",IFERROR(INDEX('LAMINA_HORA'!$C$5:$V$114,MATCH($C13,'LAMINA_HORA'!$A$5:$A$114,0),MATCH(U13,'LAMINA_HORA'!$C$3:$V$3,0)),"?"))</f>
        <v/>
      </c>
      <c r="W13" s="27">
        <f>IF(OR($C13="",U13=""),"",IFERROR(INDEX('LAMINA_HORA'!$W$5:$AP$114,MATCH($C13,'LAMINA_HORA'!$A$5:$A$114,0),MATCH(U13,'LAMINA_HORA'!$W$3:$AP$3,0)),"?"))</f>
        <v/>
      </c>
      <c r="X13" s="20" t="n"/>
      <c r="Y13" s="27">
        <f>IF(OR($C13="",X13=""),"",IFERROR(INDEX('LAMINA_HORA'!$C$5:$V$114,MATCH($C13,'LAMINA_HORA'!$A$5:$A$114,0),MATCH(X13,'LAMINA_HORA'!$C$3:$V$3,0)),"?"))</f>
        <v/>
      </c>
      <c r="Z13" s="27">
        <f>IF(OR($C13="",X13=""),"",IFERROR(INDEX('LAMINA_HORA'!$W$5:$AP$114,MATCH($C13,'LAMINA_HORA'!$A$5:$A$114,0),MATCH(X13,'LAMINA_HORA'!$W$3:$AP$3,0)),"?"))</f>
        <v/>
      </c>
      <c r="AA13" s="20" t="n"/>
      <c r="AB13" s="27">
        <f>IF(OR($C13="",AA13=""),"",IFERROR(INDEX('LAMINA_HORA'!$C$5:$V$114,MATCH($C13,'LAMINA_HORA'!$A$5:$A$114,0),MATCH(AA13,'LAMINA_HORA'!$C$3:$V$3,0)),"?"))</f>
        <v/>
      </c>
      <c r="AC13" s="27">
        <f>IF(OR($C13="",AA13=""),"",IFERROR(INDEX('LAMINA_HORA'!$W$5:$AP$114,MATCH($C13,'LAMINA_HORA'!$A$5:$A$114,0),MATCH(AA13,'LAMINA_HORA'!$W$3:$AP$3,0)),"?"))</f>
        <v/>
      </c>
      <c r="AD13" s="13">
        <f>SUM(J13,M13,P13,S13,V13,Y13,AB13)</f>
        <v/>
      </c>
      <c r="AE13" s="15">
        <f>IF(OR($D13="",AD13=""),"",AD13*$D13*10)</f>
        <v/>
      </c>
      <c r="AF13" s="28" t="n"/>
      <c r="AG13" s="15">
        <f>IF(OR(AE13="",AF13=""),"",AE13*AF13)</f>
        <v/>
      </c>
      <c r="AH13" s="28" t="n"/>
      <c r="AI13" s="20" t="n"/>
      <c r="AJ13" s="19" t="n"/>
    </row>
    <row r="14">
      <c r="A14" s="6" t="inlineStr">
        <is>
          <t>R11</t>
        </is>
      </c>
      <c r="B14" s="6" t="inlineStr">
        <is>
          <t>Pivô 45</t>
        </is>
      </c>
      <c r="C14" s="20" t="inlineStr">
        <is>
          <t>P45</t>
        </is>
      </c>
      <c r="D14" s="7" t="n">
        <v>123.47</v>
      </c>
      <c r="E14" s="20" t="n"/>
      <c r="F14" s="20" t="n"/>
      <c r="G14" s="20" t="n"/>
      <c r="H14" s="20" t="n"/>
      <c r="I14" s="20" t="n"/>
      <c r="J14" s="27">
        <f>IF(OR($C14="",I14=""),"",IFERROR(INDEX('LAMINA_HORA'!$C$5:$V$114,MATCH($C14,'LAMINA_HORA'!$A$5:$A$114,0),MATCH(I14,'LAMINA_HORA'!$C$3:$V$3,0)),"?"))</f>
        <v/>
      </c>
      <c r="K14" s="27">
        <f>IF(OR($C14="",I14=""),"",IFERROR(INDEX('LAMINA_HORA'!$W$5:$AP$114,MATCH($C14,'LAMINA_HORA'!$A$5:$A$114,0),MATCH(I14,'LAMINA_HORA'!$W$3:$AP$3,0)),"?"))</f>
        <v/>
      </c>
      <c r="L14" s="20" t="n"/>
      <c r="M14" s="27">
        <f>IF(OR($C14="",L14=""),"",IFERROR(INDEX('LAMINA_HORA'!$C$5:$V$114,MATCH($C14,'LAMINA_HORA'!$A$5:$A$114,0),MATCH(L14,'LAMINA_HORA'!$C$3:$V$3,0)),"?"))</f>
        <v/>
      </c>
      <c r="N14" s="27">
        <f>IF(OR($C14="",L14=""),"",IFERROR(INDEX('LAMINA_HORA'!$W$5:$AP$114,MATCH($C14,'LAMINA_HORA'!$A$5:$A$114,0),MATCH(L14,'LAMINA_HORA'!$W$3:$AP$3,0)),"?"))</f>
        <v/>
      </c>
      <c r="O14" s="20" t="n"/>
      <c r="P14" s="27">
        <f>IF(OR($C14="",O14=""),"",IFERROR(INDEX('LAMINA_HORA'!$C$5:$V$114,MATCH($C14,'LAMINA_HORA'!$A$5:$A$114,0),MATCH(O14,'LAMINA_HORA'!$C$3:$V$3,0)),"?"))</f>
        <v/>
      </c>
      <c r="Q14" s="27">
        <f>IF(OR($C14="",O14=""),"",IFERROR(INDEX('LAMINA_HORA'!$W$5:$AP$114,MATCH($C14,'LAMINA_HORA'!$A$5:$A$114,0),MATCH(O14,'LAMINA_HORA'!$W$3:$AP$3,0)),"?"))</f>
        <v/>
      </c>
      <c r="R14" s="20" t="n"/>
      <c r="S14" s="27">
        <f>IF(OR($C14="",R14=""),"",IFERROR(INDEX('LAMINA_HORA'!$C$5:$V$114,MATCH($C14,'LAMINA_HORA'!$A$5:$A$114,0),MATCH(R14,'LAMINA_HORA'!$C$3:$V$3,0)),"?"))</f>
        <v/>
      </c>
      <c r="T14" s="27">
        <f>IF(OR($C14="",R14=""),"",IFERROR(INDEX('LAMINA_HORA'!$W$5:$AP$114,MATCH($C14,'LAMINA_HORA'!$A$5:$A$114,0),MATCH(R14,'LAMINA_HORA'!$W$3:$AP$3,0)),"?"))</f>
        <v/>
      </c>
      <c r="U14" s="20" t="n"/>
      <c r="V14" s="27">
        <f>IF(OR($C14="",U14=""),"",IFERROR(INDEX('LAMINA_HORA'!$C$5:$V$114,MATCH($C14,'LAMINA_HORA'!$A$5:$A$114,0),MATCH(U14,'LAMINA_HORA'!$C$3:$V$3,0)),"?"))</f>
        <v/>
      </c>
      <c r="W14" s="27">
        <f>IF(OR($C14="",U14=""),"",IFERROR(INDEX('LAMINA_HORA'!$W$5:$AP$114,MATCH($C14,'LAMINA_HORA'!$A$5:$A$114,0),MATCH(U14,'LAMINA_HORA'!$W$3:$AP$3,0)),"?"))</f>
        <v/>
      </c>
      <c r="X14" s="20" t="n"/>
      <c r="Y14" s="27">
        <f>IF(OR($C14="",X14=""),"",IFERROR(INDEX('LAMINA_HORA'!$C$5:$V$114,MATCH($C14,'LAMINA_HORA'!$A$5:$A$114,0),MATCH(X14,'LAMINA_HORA'!$C$3:$V$3,0)),"?"))</f>
        <v/>
      </c>
      <c r="Z14" s="27">
        <f>IF(OR($C14="",X14=""),"",IFERROR(INDEX('LAMINA_HORA'!$W$5:$AP$114,MATCH($C14,'LAMINA_HORA'!$A$5:$A$114,0),MATCH(X14,'LAMINA_HORA'!$W$3:$AP$3,0)),"?"))</f>
        <v/>
      </c>
      <c r="AA14" s="20" t="n"/>
      <c r="AB14" s="27">
        <f>IF(OR($C14="",AA14=""),"",IFERROR(INDEX('LAMINA_HORA'!$C$5:$V$114,MATCH($C14,'LAMINA_HORA'!$A$5:$A$114,0),MATCH(AA14,'LAMINA_HORA'!$C$3:$V$3,0)),"?"))</f>
        <v/>
      </c>
      <c r="AC14" s="27">
        <f>IF(OR($C14="",AA14=""),"",IFERROR(INDEX('LAMINA_HORA'!$W$5:$AP$114,MATCH($C14,'LAMINA_HORA'!$A$5:$A$114,0),MATCH(AA14,'LAMINA_HORA'!$W$3:$AP$3,0)),"?"))</f>
        <v/>
      </c>
      <c r="AD14" s="13">
        <f>SUM(J14,M14,P14,S14,V14,Y14,AB14)</f>
        <v/>
      </c>
      <c r="AE14" s="15">
        <f>IF(OR($D14="",AD14=""),"",AD14*$D14*10)</f>
        <v/>
      </c>
      <c r="AF14" s="28" t="n"/>
      <c r="AG14" s="15">
        <f>IF(OR(AE14="",AF14=""),"",AE14*AF14)</f>
        <v/>
      </c>
      <c r="AH14" s="28" t="n"/>
      <c r="AI14" s="20" t="n"/>
      <c r="AJ14" s="19" t="n"/>
    </row>
    <row r="15">
      <c r="A15" s="6" t="inlineStr">
        <is>
          <t>R11</t>
        </is>
      </c>
      <c r="B15" s="6" t="inlineStr">
        <is>
          <t>Pivô 46</t>
        </is>
      </c>
      <c r="C15" s="20" t="inlineStr">
        <is>
          <t>P46</t>
        </is>
      </c>
      <c r="D15" s="7" t="n">
        <v>159.45</v>
      </c>
      <c r="E15" s="20" t="n"/>
      <c r="F15" s="20" t="n"/>
      <c r="G15" s="20" t="n"/>
      <c r="H15" s="20" t="n"/>
      <c r="I15" s="20" t="n"/>
      <c r="J15" s="27">
        <f>IF(OR($C15="",I15=""),"",IFERROR(INDEX('LAMINA_HORA'!$C$5:$V$114,MATCH($C15,'LAMINA_HORA'!$A$5:$A$114,0),MATCH(I15,'LAMINA_HORA'!$C$3:$V$3,0)),"?"))</f>
        <v/>
      </c>
      <c r="K15" s="27">
        <f>IF(OR($C15="",I15=""),"",IFERROR(INDEX('LAMINA_HORA'!$W$5:$AP$114,MATCH($C15,'LAMINA_HORA'!$A$5:$A$114,0),MATCH(I15,'LAMINA_HORA'!$W$3:$AP$3,0)),"?"))</f>
        <v/>
      </c>
      <c r="L15" s="20" t="n"/>
      <c r="M15" s="27">
        <f>IF(OR($C15="",L15=""),"",IFERROR(INDEX('LAMINA_HORA'!$C$5:$V$114,MATCH($C15,'LAMINA_HORA'!$A$5:$A$114,0),MATCH(L15,'LAMINA_HORA'!$C$3:$V$3,0)),"?"))</f>
        <v/>
      </c>
      <c r="N15" s="27">
        <f>IF(OR($C15="",L15=""),"",IFERROR(INDEX('LAMINA_HORA'!$W$5:$AP$114,MATCH($C15,'LAMINA_HORA'!$A$5:$A$114,0),MATCH(L15,'LAMINA_HORA'!$W$3:$AP$3,0)),"?"))</f>
        <v/>
      </c>
      <c r="O15" s="20" t="n"/>
      <c r="P15" s="27">
        <f>IF(OR($C15="",O15=""),"",IFERROR(INDEX('LAMINA_HORA'!$C$5:$V$114,MATCH($C15,'LAMINA_HORA'!$A$5:$A$114,0),MATCH(O15,'LAMINA_HORA'!$C$3:$V$3,0)),"?"))</f>
        <v/>
      </c>
      <c r="Q15" s="27">
        <f>IF(OR($C15="",O15=""),"",IFERROR(INDEX('LAMINA_HORA'!$W$5:$AP$114,MATCH($C15,'LAMINA_HORA'!$A$5:$A$114,0),MATCH(O15,'LAMINA_HORA'!$W$3:$AP$3,0)),"?"))</f>
        <v/>
      </c>
      <c r="R15" s="20" t="n"/>
      <c r="S15" s="27">
        <f>IF(OR($C15="",R15=""),"",IFERROR(INDEX('LAMINA_HORA'!$C$5:$V$114,MATCH($C15,'LAMINA_HORA'!$A$5:$A$114,0),MATCH(R15,'LAMINA_HORA'!$C$3:$V$3,0)),"?"))</f>
        <v/>
      </c>
      <c r="T15" s="27">
        <f>IF(OR($C15="",R15=""),"",IFERROR(INDEX('LAMINA_HORA'!$W$5:$AP$114,MATCH($C15,'LAMINA_HORA'!$A$5:$A$114,0),MATCH(R15,'LAMINA_HORA'!$W$3:$AP$3,0)),"?"))</f>
        <v/>
      </c>
      <c r="U15" s="20" t="n"/>
      <c r="V15" s="27">
        <f>IF(OR($C15="",U15=""),"",IFERROR(INDEX('LAMINA_HORA'!$C$5:$V$114,MATCH($C15,'LAMINA_HORA'!$A$5:$A$114,0),MATCH(U15,'LAMINA_HORA'!$C$3:$V$3,0)),"?"))</f>
        <v/>
      </c>
      <c r="W15" s="27">
        <f>IF(OR($C15="",U15=""),"",IFERROR(INDEX('LAMINA_HORA'!$W$5:$AP$114,MATCH($C15,'LAMINA_HORA'!$A$5:$A$114,0),MATCH(U15,'LAMINA_HORA'!$W$3:$AP$3,0)),"?"))</f>
        <v/>
      </c>
      <c r="X15" s="20" t="n"/>
      <c r="Y15" s="27">
        <f>IF(OR($C15="",X15=""),"",IFERROR(INDEX('LAMINA_HORA'!$C$5:$V$114,MATCH($C15,'LAMINA_HORA'!$A$5:$A$114,0),MATCH(X15,'LAMINA_HORA'!$C$3:$V$3,0)),"?"))</f>
        <v/>
      </c>
      <c r="Z15" s="27">
        <f>IF(OR($C15="",X15=""),"",IFERROR(INDEX('LAMINA_HORA'!$W$5:$AP$114,MATCH($C15,'LAMINA_HORA'!$A$5:$A$114,0),MATCH(X15,'LAMINA_HORA'!$W$3:$AP$3,0)),"?"))</f>
        <v/>
      </c>
      <c r="AA15" s="20" t="n"/>
      <c r="AB15" s="27">
        <f>IF(OR($C15="",AA15=""),"",IFERROR(INDEX('LAMINA_HORA'!$C$5:$V$114,MATCH($C15,'LAMINA_HORA'!$A$5:$A$114,0),MATCH(AA15,'LAMINA_HORA'!$C$3:$V$3,0)),"?"))</f>
        <v/>
      </c>
      <c r="AC15" s="27">
        <f>IF(OR($C15="",AA15=""),"",IFERROR(INDEX('LAMINA_HORA'!$W$5:$AP$114,MATCH($C15,'LAMINA_HORA'!$A$5:$A$114,0),MATCH(AA15,'LAMINA_HORA'!$W$3:$AP$3,0)),"?"))</f>
        <v/>
      </c>
      <c r="AD15" s="13">
        <f>SUM(J15,M15,P15,S15,V15,Y15,AB15)</f>
        <v/>
      </c>
      <c r="AE15" s="15">
        <f>IF(OR($D15="",AD15=""),"",AD15*$D15*10)</f>
        <v/>
      </c>
      <c r="AF15" s="28" t="n"/>
      <c r="AG15" s="15">
        <f>IF(OR(AE15="",AF15=""),"",AE15*AF15)</f>
        <v/>
      </c>
      <c r="AH15" s="28" t="n"/>
      <c r="AI15" s="20" t="n"/>
      <c r="AJ15" s="19" t="n"/>
    </row>
    <row r="16">
      <c r="A16" s="6" t="inlineStr">
        <is>
          <t>R11</t>
        </is>
      </c>
      <c r="B16" s="6" t="inlineStr">
        <is>
          <t>Pivô 47</t>
        </is>
      </c>
      <c r="C16" s="20" t="inlineStr">
        <is>
          <t>P47</t>
        </is>
      </c>
      <c r="D16" s="7" t="n">
        <v>159.45</v>
      </c>
      <c r="E16" s="20" t="n"/>
      <c r="F16" s="20" t="n"/>
      <c r="G16" s="20" t="n"/>
      <c r="H16" s="20" t="n"/>
      <c r="I16" s="20" t="n"/>
      <c r="J16" s="27">
        <f>IF(OR($C16="",I16=""),"",IFERROR(INDEX('LAMINA_HORA'!$C$5:$V$114,MATCH($C16,'LAMINA_HORA'!$A$5:$A$114,0),MATCH(I16,'LAMINA_HORA'!$C$3:$V$3,0)),"?"))</f>
        <v/>
      </c>
      <c r="K16" s="27">
        <f>IF(OR($C16="",I16=""),"",IFERROR(INDEX('LAMINA_HORA'!$W$5:$AP$114,MATCH($C16,'LAMINA_HORA'!$A$5:$A$114,0),MATCH(I16,'LAMINA_HORA'!$W$3:$AP$3,0)),"?"))</f>
        <v/>
      </c>
      <c r="L16" s="20" t="n"/>
      <c r="M16" s="27">
        <f>IF(OR($C16="",L16=""),"",IFERROR(INDEX('LAMINA_HORA'!$C$5:$V$114,MATCH($C16,'LAMINA_HORA'!$A$5:$A$114,0),MATCH(L16,'LAMINA_HORA'!$C$3:$V$3,0)),"?"))</f>
        <v/>
      </c>
      <c r="N16" s="27">
        <f>IF(OR($C16="",L16=""),"",IFERROR(INDEX('LAMINA_HORA'!$W$5:$AP$114,MATCH($C16,'LAMINA_HORA'!$A$5:$A$114,0),MATCH(L16,'LAMINA_HORA'!$W$3:$AP$3,0)),"?"))</f>
        <v/>
      </c>
      <c r="O16" s="20" t="n"/>
      <c r="P16" s="27">
        <f>IF(OR($C16="",O16=""),"",IFERROR(INDEX('LAMINA_HORA'!$C$5:$V$114,MATCH($C16,'LAMINA_HORA'!$A$5:$A$114,0),MATCH(O16,'LAMINA_HORA'!$C$3:$V$3,0)),"?"))</f>
        <v/>
      </c>
      <c r="Q16" s="27">
        <f>IF(OR($C16="",O16=""),"",IFERROR(INDEX('LAMINA_HORA'!$W$5:$AP$114,MATCH($C16,'LAMINA_HORA'!$A$5:$A$114,0),MATCH(O16,'LAMINA_HORA'!$W$3:$AP$3,0)),"?"))</f>
        <v/>
      </c>
      <c r="R16" s="20" t="n"/>
      <c r="S16" s="27">
        <f>IF(OR($C16="",R16=""),"",IFERROR(INDEX('LAMINA_HORA'!$C$5:$V$114,MATCH($C16,'LAMINA_HORA'!$A$5:$A$114,0),MATCH(R16,'LAMINA_HORA'!$C$3:$V$3,0)),"?"))</f>
        <v/>
      </c>
      <c r="T16" s="27">
        <f>IF(OR($C16="",R16=""),"",IFERROR(INDEX('LAMINA_HORA'!$W$5:$AP$114,MATCH($C16,'LAMINA_HORA'!$A$5:$A$114,0),MATCH(R16,'LAMINA_HORA'!$W$3:$AP$3,0)),"?"))</f>
        <v/>
      </c>
      <c r="U16" s="20" t="n"/>
      <c r="V16" s="27">
        <f>IF(OR($C16="",U16=""),"",IFERROR(INDEX('LAMINA_HORA'!$C$5:$V$114,MATCH($C16,'LAMINA_HORA'!$A$5:$A$114,0),MATCH(U16,'LAMINA_HORA'!$C$3:$V$3,0)),"?"))</f>
        <v/>
      </c>
      <c r="W16" s="27">
        <f>IF(OR($C16="",U16=""),"",IFERROR(INDEX('LAMINA_HORA'!$W$5:$AP$114,MATCH($C16,'LAMINA_HORA'!$A$5:$A$114,0),MATCH(U16,'LAMINA_HORA'!$W$3:$AP$3,0)),"?"))</f>
        <v/>
      </c>
      <c r="X16" s="20" t="n"/>
      <c r="Y16" s="27">
        <f>IF(OR($C16="",X16=""),"",IFERROR(INDEX('LAMINA_HORA'!$C$5:$V$114,MATCH($C16,'LAMINA_HORA'!$A$5:$A$114,0),MATCH(X16,'LAMINA_HORA'!$C$3:$V$3,0)),"?"))</f>
        <v/>
      </c>
      <c r="Z16" s="27">
        <f>IF(OR($C16="",X16=""),"",IFERROR(INDEX('LAMINA_HORA'!$W$5:$AP$114,MATCH($C16,'LAMINA_HORA'!$A$5:$A$114,0),MATCH(X16,'LAMINA_HORA'!$W$3:$AP$3,0)),"?"))</f>
        <v/>
      </c>
      <c r="AA16" s="20" t="n"/>
      <c r="AB16" s="27">
        <f>IF(OR($C16="",AA16=""),"",IFERROR(INDEX('LAMINA_HORA'!$C$5:$V$114,MATCH($C16,'LAMINA_HORA'!$A$5:$A$114,0),MATCH(AA16,'LAMINA_HORA'!$C$3:$V$3,0)),"?"))</f>
        <v/>
      </c>
      <c r="AC16" s="27">
        <f>IF(OR($C16="",AA16=""),"",IFERROR(INDEX('LAMINA_HORA'!$W$5:$AP$114,MATCH($C16,'LAMINA_HORA'!$A$5:$A$114,0),MATCH(AA16,'LAMINA_HORA'!$W$3:$AP$3,0)),"?"))</f>
        <v/>
      </c>
      <c r="AD16" s="13">
        <f>SUM(J16,M16,P16,S16,V16,Y16,AB16)</f>
        <v/>
      </c>
      <c r="AE16" s="15">
        <f>IF(OR($D16="",AD16=""),"",AD16*$D16*10)</f>
        <v/>
      </c>
      <c r="AF16" s="28" t="n"/>
      <c r="AG16" s="15">
        <f>IF(OR(AE16="",AF16=""),"",AE16*AF16)</f>
        <v/>
      </c>
      <c r="AH16" s="28" t="n"/>
      <c r="AI16" s="20" t="n"/>
      <c r="AJ16" s="19" t="n"/>
    </row>
    <row r="17">
      <c r="A17" s="6" t="inlineStr">
        <is>
          <t>R11</t>
        </is>
      </c>
      <c r="B17" s="6" t="inlineStr">
        <is>
          <t>Pivô 48</t>
        </is>
      </c>
      <c r="C17" s="20" t="inlineStr">
        <is>
          <t>P48</t>
        </is>
      </c>
      <c r="D17" s="7" t="n">
        <v>159.45</v>
      </c>
      <c r="E17" s="20" t="n"/>
      <c r="F17" s="20" t="n"/>
      <c r="G17" s="20" t="n"/>
      <c r="H17" s="20" t="n"/>
      <c r="I17" s="20" t="n"/>
      <c r="J17" s="27">
        <f>IF(OR($C17="",I17=""),"",IFERROR(INDEX('LAMINA_HORA'!$C$5:$V$114,MATCH($C17,'LAMINA_HORA'!$A$5:$A$114,0),MATCH(I17,'LAMINA_HORA'!$C$3:$V$3,0)),"?"))</f>
        <v/>
      </c>
      <c r="K17" s="27">
        <f>IF(OR($C17="",I17=""),"",IFERROR(INDEX('LAMINA_HORA'!$W$5:$AP$114,MATCH($C17,'LAMINA_HORA'!$A$5:$A$114,0),MATCH(I17,'LAMINA_HORA'!$W$3:$AP$3,0)),"?"))</f>
        <v/>
      </c>
      <c r="L17" s="20" t="n"/>
      <c r="M17" s="27">
        <f>IF(OR($C17="",L17=""),"",IFERROR(INDEX('LAMINA_HORA'!$C$5:$V$114,MATCH($C17,'LAMINA_HORA'!$A$5:$A$114,0),MATCH(L17,'LAMINA_HORA'!$C$3:$V$3,0)),"?"))</f>
        <v/>
      </c>
      <c r="N17" s="27">
        <f>IF(OR($C17="",L17=""),"",IFERROR(INDEX('LAMINA_HORA'!$W$5:$AP$114,MATCH($C17,'LAMINA_HORA'!$A$5:$A$114,0),MATCH(L17,'LAMINA_HORA'!$W$3:$AP$3,0)),"?"))</f>
        <v/>
      </c>
      <c r="O17" s="20" t="n"/>
      <c r="P17" s="27">
        <f>IF(OR($C17="",O17=""),"",IFERROR(INDEX('LAMINA_HORA'!$C$5:$V$114,MATCH($C17,'LAMINA_HORA'!$A$5:$A$114,0),MATCH(O17,'LAMINA_HORA'!$C$3:$V$3,0)),"?"))</f>
        <v/>
      </c>
      <c r="Q17" s="27">
        <f>IF(OR($C17="",O17=""),"",IFERROR(INDEX('LAMINA_HORA'!$W$5:$AP$114,MATCH($C17,'LAMINA_HORA'!$A$5:$A$114,0),MATCH(O17,'LAMINA_HORA'!$W$3:$AP$3,0)),"?"))</f>
        <v/>
      </c>
      <c r="R17" s="20" t="n"/>
      <c r="S17" s="27">
        <f>IF(OR($C17="",R17=""),"",IFERROR(INDEX('LAMINA_HORA'!$C$5:$V$114,MATCH($C17,'LAMINA_HORA'!$A$5:$A$114,0),MATCH(R17,'LAMINA_HORA'!$C$3:$V$3,0)),"?"))</f>
        <v/>
      </c>
      <c r="T17" s="27">
        <f>IF(OR($C17="",R17=""),"",IFERROR(INDEX('LAMINA_HORA'!$W$5:$AP$114,MATCH($C17,'LAMINA_HORA'!$A$5:$A$114,0),MATCH(R17,'LAMINA_HORA'!$W$3:$AP$3,0)),"?"))</f>
        <v/>
      </c>
      <c r="U17" s="20" t="n"/>
      <c r="V17" s="27">
        <f>IF(OR($C17="",U17=""),"",IFERROR(INDEX('LAMINA_HORA'!$C$5:$V$114,MATCH($C17,'LAMINA_HORA'!$A$5:$A$114,0),MATCH(U17,'LAMINA_HORA'!$C$3:$V$3,0)),"?"))</f>
        <v/>
      </c>
      <c r="W17" s="27">
        <f>IF(OR($C17="",U17=""),"",IFERROR(INDEX('LAMINA_HORA'!$W$5:$AP$114,MATCH($C17,'LAMINA_HORA'!$A$5:$A$114,0),MATCH(U17,'LAMINA_HORA'!$W$3:$AP$3,0)),"?"))</f>
        <v/>
      </c>
      <c r="X17" s="20" t="n"/>
      <c r="Y17" s="27">
        <f>IF(OR($C17="",X17=""),"",IFERROR(INDEX('LAMINA_HORA'!$C$5:$V$114,MATCH($C17,'LAMINA_HORA'!$A$5:$A$114,0),MATCH(X17,'LAMINA_HORA'!$C$3:$V$3,0)),"?"))</f>
        <v/>
      </c>
      <c r="Z17" s="27">
        <f>IF(OR($C17="",X17=""),"",IFERROR(INDEX('LAMINA_HORA'!$W$5:$AP$114,MATCH($C17,'LAMINA_HORA'!$A$5:$A$114,0),MATCH(X17,'LAMINA_HORA'!$W$3:$AP$3,0)),"?"))</f>
        <v/>
      </c>
      <c r="AA17" s="20" t="n"/>
      <c r="AB17" s="27">
        <f>IF(OR($C17="",AA17=""),"",IFERROR(INDEX('LAMINA_HORA'!$C$5:$V$114,MATCH($C17,'LAMINA_HORA'!$A$5:$A$114,0),MATCH(AA17,'LAMINA_HORA'!$C$3:$V$3,0)),"?"))</f>
        <v/>
      </c>
      <c r="AC17" s="27">
        <f>IF(OR($C17="",AA17=""),"",IFERROR(INDEX('LAMINA_HORA'!$W$5:$AP$114,MATCH($C17,'LAMINA_HORA'!$A$5:$A$114,0),MATCH(AA17,'LAMINA_HORA'!$W$3:$AP$3,0)),"?"))</f>
        <v/>
      </c>
      <c r="AD17" s="13">
        <f>SUM(J17,M17,P17,S17,V17,Y17,AB17)</f>
        <v/>
      </c>
      <c r="AE17" s="15">
        <f>IF(OR($D17="",AD17=""),"",AD17*$D17*10)</f>
        <v/>
      </c>
      <c r="AF17" s="28" t="n"/>
      <c r="AG17" s="15">
        <f>IF(OR(AE17="",AF17=""),"",AE17*AF17)</f>
        <v/>
      </c>
      <c r="AH17" s="28" t="n"/>
      <c r="AI17" s="20" t="n"/>
      <c r="AJ17" s="19" t="n"/>
    </row>
    <row r="18">
      <c r="A18" s="6" t="inlineStr">
        <is>
          <t>R11</t>
        </is>
      </c>
      <c r="B18" s="6" t="inlineStr">
        <is>
          <t>Pivô 49</t>
        </is>
      </c>
      <c r="C18" s="20" t="inlineStr">
        <is>
          <t>P49</t>
        </is>
      </c>
      <c r="D18" s="7" t="n">
        <v>124.31</v>
      </c>
      <c r="E18" s="20" t="n"/>
      <c r="F18" s="20" t="n"/>
      <c r="G18" s="20" t="n"/>
      <c r="H18" s="20" t="n"/>
      <c r="I18" s="20" t="n"/>
      <c r="J18" s="27">
        <f>IF(OR($C18="",I18=""),"",IFERROR(INDEX('LAMINA_HORA'!$C$5:$V$114,MATCH($C18,'LAMINA_HORA'!$A$5:$A$114,0),MATCH(I18,'LAMINA_HORA'!$C$3:$V$3,0)),"?"))</f>
        <v/>
      </c>
      <c r="K18" s="27">
        <f>IF(OR($C18="",I18=""),"",IFERROR(INDEX('LAMINA_HORA'!$W$5:$AP$114,MATCH($C18,'LAMINA_HORA'!$A$5:$A$114,0),MATCH(I18,'LAMINA_HORA'!$W$3:$AP$3,0)),"?"))</f>
        <v/>
      </c>
      <c r="L18" s="20" t="n"/>
      <c r="M18" s="27">
        <f>IF(OR($C18="",L18=""),"",IFERROR(INDEX('LAMINA_HORA'!$C$5:$V$114,MATCH($C18,'LAMINA_HORA'!$A$5:$A$114,0),MATCH(L18,'LAMINA_HORA'!$C$3:$V$3,0)),"?"))</f>
        <v/>
      </c>
      <c r="N18" s="27">
        <f>IF(OR($C18="",L18=""),"",IFERROR(INDEX('LAMINA_HORA'!$W$5:$AP$114,MATCH($C18,'LAMINA_HORA'!$A$5:$A$114,0),MATCH(L18,'LAMINA_HORA'!$W$3:$AP$3,0)),"?"))</f>
        <v/>
      </c>
      <c r="O18" s="20" t="n"/>
      <c r="P18" s="27">
        <f>IF(OR($C18="",O18=""),"",IFERROR(INDEX('LAMINA_HORA'!$C$5:$V$114,MATCH($C18,'LAMINA_HORA'!$A$5:$A$114,0),MATCH(O18,'LAMINA_HORA'!$C$3:$V$3,0)),"?"))</f>
        <v/>
      </c>
      <c r="Q18" s="27">
        <f>IF(OR($C18="",O18=""),"",IFERROR(INDEX('LAMINA_HORA'!$W$5:$AP$114,MATCH($C18,'LAMINA_HORA'!$A$5:$A$114,0),MATCH(O18,'LAMINA_HORA'!$W$3:$AP$3,0)),"?"))</f>
        <v/>
      </c>
      <c r="R18" s="20" t="n"/>
      <c r="S18" s="27">
        <f>IF(OR($C18="",R18=""),"",IFERROR(INDEX('LAMINA_HORA'!$C$5:$V$114,MATCH($C18,'LAMINA_HORA'!$A$5:$A$114,0),MATCH(R18,'LAMINA_HORA'!$C$3:$V$3,0)),"?"))</f>
        <v/>
      </c>
      <c r="T18" s="27">
        <f>IF(OR($C18="",R18=""),"",IFERROR(INDEX('LAMINA_HORA'!$W$5:$AP$114,MATCH($C18,'LAMINA_HORA'!$A$5:$A$114,0),MATCH(R18,'LAMINA_HORA'!$W$3:$AP$3,0)),"?"))</f>
        <v/>
      </c>
      <c r="U18" s="20" t="n"/>
      <c r="V18" s="27">
        <f>IF(OR($C18="",U18=""),"",IFERROR(INDEX('LAMINA_HORA'!$C$5:$V$114,MATCH($C18,'LAMINA_HORA'!$A$5:$A$114,0),MATCH(U18,'LAMINA_HORA'!$C$3:$V$3,0)),"?"))</f>
        <v/>
      </c>
      <c r="W18" s="27">
        <f>IF(OR($C18="",U18=""),"",IFERROR(INDEX('LAMINA_HORA'!$W$5:$AP$114,MATCH($C18,'LAMINA_HORA'!$A$5:$A$114,0),MATCH(U18,'LAMINA_HORA'!$W$3:$AP$3,0)),"?"))</f>
        <v/>
      </c>
      <c r="X18" s="20" t="n"/>
      <c r="Y18" s="27">
        <f>IF(OR($C18="",X18=""),"",IFERROR(INDEX('LAMINA_HORA'!$C$5:$V$114,MATCH($C18,'LAMINA_HORA'!$A$5:$A$114,0),MATCH(X18,'LAMINA_HORA'!$C$3:$V$3,0)),"?"))</f>
        <v/>
      </c>
      <c r="Z18" s="27">
        <f>IF(OR($C18="",X18=""),"",IFERROR(INDEX('LAMINA_HORA'!$W$5:$AP$114,MATCH($C18,'LAMINA_HORA'!$A$5:$A$114,0),MATCH(X18,'LAMINA_HORA'!$W$3:$AP$3,0)),"?"))</f>
        <v/>
      </c>
      <c r="AA18" s="20" t="n"/>
      <c r="AB18" s="27">
        <f>IF(OR($C18="",AA18=""),"",IFERROR(INDEX('LAMINA_HORA'!$C$5:$V$114,MATCH($C18,'LAMINA_HORA'!$A$5:$A$114,0),MATCH(AA18,'LAMINA_HORA'!$C$3:$V$3,0)),"?"))</f>
        <v/>
      </c>
      <c r="AC18" s="27">
        <f>IF(OR($C18="",AA18=""),"",IFERROR(INDEX('LAMINA_HORA'!$W$5:$AP$114,MATCH($C18,'LAMINA_HORA'!$A$5:$A$114,0),MATCH(AA18,'LAMINA_HORA'!$W$3:$AP$3,0)),"?"))</f>
        <v/>
      </c>
      <c r="AD18" s="13">
        <f>SUM(J18,M18,P18,S18,V18,Y18,AB18)</f>
        <v/>
      </c>
      <c r="AE18" s="15">
        <f>IF(OR($D18="",AD18=""),"",AD18*$D18*10)</f>
        <v/>
      </c>
      <c r="AF18" s="28" t="n"/>
      <c r="AG18" s="15">
        <f>IF(OR(AE18="",AF18=""),"",AE18*AF18)</f>
        <v/>
      </c>
      <c r="AH18" s="28" t="n"/>
      <c r="AI18" s="20" t="n"/>
      <c r="AJ18" s="19" t="n"/>
    </row>
    <row r="19">
      <c r="A19" s="6" t="inlineStr">
        <is>
          <t>R12</t>
        </is>
      </c>
      <c r="B19" s="6" t="inlineStr">
        <is>
          <t>Pivô 52</t>
        </is>
      </c>
      <c r="C19" s="20" t="inlineStr">
        <is>
          <t>P52</t>
        </is>
      </c>
      <c r="D19" s="7" t="n">
        <v>159.45</v>
      </c>
      <c r="E19" s="20" t="n"/>
      <c r="F19" s="20" t="n"/>
      <c r="G19" s="20" t="n"/>
      <c r="H19" s="20" t="n"/>
      <c r="I19" s="20" t="n"/>
      <c r="J19" s="27">
        <f>IF(OR($C19="",I19=""),"",IFERROR(INDEX('LAMINA_HORA'!$C$5:$V$114,MATCH($C19,'LAMINA_HORA'!$A$5:$A$114,0),MATCH(I19,'LAMINA_HORA'!$C$3:$V$3,0)),"?"))</f>
        <v/>
      </c>
      <c r="K19" s="27">
        <f>IF(OR($C19="",I19=""),"",IFERROR(INDEX('LAMINA_HORA'!$W$5:$AP$114,MATCH($C19,'LAMINA_HORA'!$A$5:$A$114,0),MATCH(I19,'LAMINA_HORA'!$W$3:$AP$3,0)),"?"))</f>
        <v/>
      </c>
      <c r="L19" s="20" t="n"/>
      <c r="M19" s="27">
        <f>IF(OR($C19="",L19=""),"",IFERROR(INDEX('LAMINA_HORA'!$C$5:$V$114,MATCH($C19,'LAMINA_HORA'!$A$5:$A$114,0),MATCH(L19,'LAMINA_HORA'!$C$3:$V$3,0)),"?"))</f>
        <v/>
      </c>
      <c r="N19" s="27">
        <f>IF(OR($C19="",L19=""),"",IFERROR(INDEX('LAMINA_HORA'!$W$5:$AP$114,MATCH($C19,'LAMINA_HORA'!$A$5:$A$114,0),MATCH(L19,'LAMINA_HORA'!$W$3:$AP$3,0)),"?"))</f>
        <v/>
      </c>
      <c r="O19" s="20" t="n"/>
      <c r="P19" s="27">
        <f>IF(OR($C19="",O19=""),"",IFERROR(INDEX('LAMINA_HORA'!$C$5:$V$114,MATCH($C19,'LAMINA_HORA'!$A$5:$A$114,0),MATCH(O19,'LAMINA_HORA'!$C$3:$V$3,0)),"?"))</f>
        <v/>
      </c>
      <c r="Q19" s="27">
        <f>IF(OR($C19="",O19=""),"",IFERROR(INDEX('LAMINA_HORA'!$W$5:$AP$114,MATCH($C19,'LAMINA_HORA'!$A$5:$A$114,0),MATCH(O19,'LAMINA_HORA'!$W$3:$AP$3,0)),"?"))</f>
        <v/>
      </c>
      <c r="R19" s="20" t="n"/>
      <c r="S19" s="27">
        <f>IF(OR($C19="",R19=""),"",IFERROR(INDEX('LAMINA_HORA'!$C$5:$V$114,MATCH($C19,'LAMINA_HORA'!$A$5:$A$114,0),MATCH(R19,'LAMINA_HORA'!$C$3:$V$3,0)),"?"))</f>
        <v/>
      </c>
      <c r="T19" s="27">
        <f>IF(OR($C19="",R19=""),"",IFERROR(INDEX('LAMINA_HORA'!$W$5:$AP$114,MATCH($C19,'LAMINA_HORA'!$A$5:$A$114,0),MATCH(R19,'LAMINA_HORA'!$W$3:$AP$3,0)),"?"))</f>
        <v/>
      </c>
      <c r="U19" s="20" t="n"/>
      <c r="V19" s="27">
        <f>IF(OR($C19="",U19=""),"",IFERROR(INDEX('LAMINA_HORA'!$C$5:$V$114,MATCH($C19,'LAMINA_HORA'!$A$5:$A$114,0),MATCH(U19,'LAMINA_HORA'!$C$3:$V$3,0)),"?"))</f>
        <v/>
      </c>
      <c r="W19" s="27">
        <f>IF(OR($C19="",U19=""),"",IFERROR(INDEX('LAMINA_HORA'!$W$5:$AP$114,MATCH($C19,'LAMINA_HORA'!$A$5:$A$114,0),MATCH(U19,'LAMINA_HORA'!$W$3:$AP$3,0)),"?"))</f>
        <v/>
      </c>
      <c r="X19" s="20" t="n"/>
      <c r="Y19" s="27">
        <f>IF(OR($C19="",X19=""),"",IFERROR(INDEX('LAMINA_HORA'!$C$5:$V$114,MATCH($C19,'LAMINA_HORA'!$A$5:$A$114,0),MATCH(X19,'LAMINA_HORA'!$C$3:$V$3,0)),"?"))</f>
        <v/>
      </c>
      <c r="Z19" s="27">
        <f>IF(OR($C19="",X19=""),"",IFERROR(INDEX('LAMINA_HORA'!$W$5:$AP$114,MATCH($C19,'LAMINA_HORA'!$A$5:$A$114,0),MATCH(X19,'LAMINA_HORA'!$W$3:$AP$3,0)),"?"))</f>
        <v/>
      </c>
      <c r="AA19" s="20" t="n"/>
      <c r="AB19" s="27">
        <f>IF(OR($C19="",AA19=""),"",IFERROR(INDEX('LAMINA_HORA'!$C$5:$V$114,MATCH($C19,'LAMINA_HORA'!$A$5:$A$114,0),MATCH(AA19,'LAMINA_HORA'!$C$3:$V$3,0)),"?"))</f>
        <v/>
      </c>
      <c r="AC19" s="27">
        <f>IF(OR($C19="",AA19=""),"",IFERROR(INDEX('LAMINA_HORA'!$W$5:$AP$114,MATCH($C19,'LAMINA_HORA'!$A$5:$A$114,0),MATCH(AA19,'LAMINA_HORA'!$W$3:$AP$3,0)),"?"))</f>
        <v/>
      </c>
      <c r="AD19" s="13">
        <f>SUM(J19,M19,P19,S19,V19,Y19,AB19)</f>
        <v/>
      </c>
      <c r="AE19" s="15">
        <f>IF(OR($D19="",AD19=""),"",AD19*$D19*10)</f>
        <v/>
      </c>
      <c r="AF19" s="28" t="n"/>
      <c r="AG19" s="15">
        <f>IF(OR(AE19="",AF19=""),"",AE19*AF19)</f>
        <v/>
      </c>
      <c r="AH19" s="28" t="n"/>
      <c r="AI19" s="20" t="n"/>
      <c r="AJ19" s="19" t="n"/>
    </row>
    <row r="20">
      <c r="A20" s="6" t="inlineStr">
        <is>
          <t>R12</t>
        </is>
      </c>
      <c r="B20" s="6" t="inlineStr">
        <is>
          <t>Pivô 73</t>
        </is>
      </c>
      <c r="C20" s="20" t="inlineStr">
        <is>
          <t>P73</t>
        </is>
      </c>
      <c r="D20" s="7" t="n">
        <v>159.45</v>
      </c>
      <c r="E20" s="20" t="n"/>
      <c r="F20" s="20" t="n"/>
      <c r="G20" s="20" t="n"/>
      <c r="H20" s="20" t="n"/>
      <c r="I20" s="20" t="n"/>
      <c r="J20" s="27">
        <f>IF(OR($C20="",I20=""),"",IFERROR(INDEX('LAMINA_HORA'!$C$5:$V$114,MATCH($C20,'LAMINA_HORA'!$A$5:$A$114,0),MATCH(I20,'LAMINA_HORA'!$C$3:$V$3,0)),"?"))</f>
        <v/>
      </c>
      <c r="K20" s="27">
        <f>IF(OR($C20="",I20=""),"",IFERROR(INDEX('LAMINA_HORA'!$W$5:$AP$114,MATCH($C20,'LAMINA_HORA'!$A$5:$A$114,0),MATCH(I20,'LAMINA_HORA'!$W$3:$AP$3,0)),"?"))</f>
        <v/>
      </c>
      <c r="L20" s="20" t="n"/>
      <c r="M20" s="27">
        <f>IF(OR($C20="",L20=""),"",IFERROR(INDEX('LAMINA_HORA'!$C$5:$V$114,MATCH($C20,'LAMINA_HORA'!$A$5:$A$114,0),MATCH(L20,'LAMINA_HORA'!$C$3:$V$3,0)),"?"))</f>
        <v/>
      </c>
      <c r="N20" s="27">
        <f>IF(OR($C20="",L20=""),"",IFERROR(INDEX('LAMINA_HORA'!$W$5:$AP$114,MATCH($C20,'LAMINA_HORA'!$A$5:$A$114,0),MATCH(L20,'LAMINA_HORA'!$W$3:$AP$3,0)),"?"))</f>
        <v/>
      </c>
      <c r="O20" s="20" t="n"/>
      <c r="P20" s="27">
        <f>IF(OR($C20="",O20=""),"",IFERROR(INDEX('LAMINA_HORA'!$C$5:$V$114,MATCH($C20,'LAMINA_HORA'!$A$5:$A$114,0),MATCH(O20,'LAMINA_HORA'!$C$3:$V$3,0)),"?"))</f>
        <v/>
      </c>
      <c r="Q20" s="27">
        <f>IF(OR($C20="",O20=""),"",IFERROR(INDEX('LAMINA_HORA'!$W$5:$AP$114,MATCH($C20,'LAMINA_HORA'!$A$5:$A$114,0),MATCH(O20,'LAMINA_HORA'!$W$3:$AP$3,0)),"?"))</f>
        <v/>
      </c>
      <c r="R20" s="20" t="n"/>
      <c r="S20" s="27">
        <f>IF(OR($C20="",R20=""),"",IFERROR(INDEX('LAMINA_HORA'!$C$5:$V$114,MATCH($C20,'LAMINA_HORA'!$A$5:$A$114,0),MATCH(R20,'LAMINA_HORA'!$C$3:$V$3,0)),"?"))</f>
        <v/>
      </c>
      <c r="T20" s="27">
        <f>IF(OR($C20="",R20=""),"",IFERROR(INDEX('LAMINA_HORA'!$W$5:$AP$114,MATCH($C20,'LAMINA_HORA'!$A$5:$A$114,0),MATCH(R20,'LAMINA_HORA'!$W$3:$AP$3,0)),"?"))</f>
        <v/>
      </c>
      <c r="U20" s="20" t="n"/>
      <c r="V20" s="27">
        <f>IF(OR($C20="",U20=""),"",IFERROR(INDEX('LAMINA_HORA'!$C$5:$V$114,MATCH($C20,'LAMINA_HORA'!$A$5:$A$114,0),MATCH(U20,'LAMINA_HORA'!$C$3:$V$3,0)),"?"))</f>
        <v/>
      </c>
      <c r="W20" s="27">
        <f>IF(OR($C20="",U20=""),"",IFERROR(INDEX('LAMINA_HORA'!$W$5:$AP$114,MATCH($C20,'LAMINA_HORA'!$A$5:$A$114,0),MATCH(U20,'LAMINA_HORA'!$W$3:$AP$3,0)),"?"))</f>
        <v/>
      </c>
      <c r="X20" s="20" t="n"/>
      <c r="Y20" s="27">
        <f>IF(OR($C20="",X20=""),"",IFERROR(INDEX('LAMINA_HORA'!$C$5:$V$114,MATCH($C20,'LAMINA_HORA'!$A$5:$A$114,0),MATCH(X20,'LAMINA_HORA'!$C$3:$V$3,0)),"?"))</f>
        <v/>
      </c>
      <c r="Z20" s="27">
        <f>IF(OR($C20="",X20=""),"",IFERROR(INDEX('LAMINA_HORA'!$W$5:$AP$114,MATCH($C20,'LAMINA_HORA'!$A$5:$A$114,0),MATCH(X20,'LAMINA_HORA'!$W$3:$AP$3,0)),"?"))</f>
        <v/>
      </c>
      <c r="AA20" s="20" t="n"/>
      <c r="AB20" s="27">
        <f>IF(OR($C20="",AA20=""),"",IFERROR(INDEX('LAMINA_HORA'!$C$5:$V$114,MATCH($C20,'LAMINA_HORA'!$A$5:$A$114,0),MATCH(AA20,'LAMINA_HORA'!$C$3:$V$3,0)),"?"))</f>
        <v/>
      </c>
      <c r="AC20" s="27">
        <f>IF(OR($C20="",AA20=""),"",IFERROR(INDEX('LAMINA_HORA'!$W$5:$AP$114,MATCH($C20,'LAMINA_HORA'!$A$5:$A$114,0),MATCH(AA20,'LAMINA_HORA'!$W$3:$AP$3,0)),"?"))</f>
        <v/>
      </c>
      <c r="AD20" s="13">
        <f>SUM(J20,M20,P20,S20,V20,Y20,AB20)</f>
        <v/>
      </c>
      <c r="AE20" s="15">
        <f>IF(OR($D20="",AD20=""),"",AD20*$D20*10)</f>
        <v/>
      </c>
      <c r="AF20" s="28" t="n"/>
      <c r="AG20" s="15">
        <f>IF(OR(AE20="",AF20=""),"",AE20*AF20)</f>
        <v/>
      </c>
      <c r="AH20" s="28" t="n"/>
      <c r="AI20" s="20" t="n"/>
      <c r="AJ20" s="19" t="n"/>
    </row>
    <row r="22">
      <c r="A22" s="29" t="inlineStr">
        <is>
          <t>Lamina e horas vem da aba LAMINA_HORA por Cod L/H + percentimetro (INDEX/MATCH). Energia/custo dependem de CE (kWh/m3) e tarifa -&gt; PENDENTE. 'Gerar programacao' automatica: macro/script (PENDENTE). Percentimetro NAO reduz vazao proporcionalmente.</t>
        </is>
      </c>
    </row>
  </sheetData>
  <mergeCells count="8">
    <mergeCell ref="A22:AJ22"/>
    <mergeCell ref="U3:W3"/>
    <mergeCell ref="R3:T3"/>
    <mergeCell ref="X3:Z3"/>
    <mergeCell ref="I3:K3"/>
    <mergeCell ref="L3:N3"/>
    <mergeCell ref="AA3:AC3"/>
    <mergeCell ref="O3:Q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AADB"/>
    <outlinePr summaryBelow="1" summaryRight="1"/>
    <pageSetUpPr/>
  </sheetPr>
  <dimension ref="A1:AJ22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9" customWidth="1" min="4" max="4"/>
    <col width="8" customWidth="1" min="5" max="5"/>
    <col width="14" customWidth="1" min="6" max="6"/>
    <col width="6" customWidth="1" min="7" max="7"/>
    <col width="8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 ht="20" customHeight="1">
      <c r="A1" s="1" t="inlineStr">
        <is>
          <t>MODULO 3 (Karitel) - por casa de bomba</t>
        </is>
      </c>
    </row>
    <row r="2">
      <c r="A2" s="2" t="inlineStr">
        <is>
          <t>Visualizacao ligada a mesma base.</t>
        </is>
      </c>
    </row>
    <row r="3">
      <c r="I3" s="25">
        <f>IF('PARAMETROS'!$B$14="","Dia 1",'PARAMETROS'!$B$14+0)</f>
        <v/>
      </c>
      <c r="L3" s="25">
        <f>IF('PARAMETROS'!$B$14="","Dia 2",'PARAMETROS'!$B$14+1)</f>
        <v/>
      </c>
      <c r="O3" s="25">
        <f>IF('PARAMETROS'!$B$14="","Dia 3",'PARAMETROS'!$B$14+2)</f>
        <v/>
      </c>
      <c r="R3" s="25">
        <f>IF('PARAMETROS'!$B$14="","Dia 4",'PARAMETROS'!$B$14+3)</f>
        <v/>
      </c>
      <c r="U3" s="25">
        <f>IF('PARAMETROS'!$B$14="","Dia 5",'PARAMETROS'!$B$14+4)</f>
        <v/>
      </c>
      <c r="X3" s="25">
        <f>IF('PARAMETROS'!$B$14="","Dia 6",'PARAMETROS'!$B$14+5)</f>
        <v/>
      </c>
      <c r="AA3" s="25">
        <f>IF('PARAMETROS'!$B$14="","Dia 7",'PARAMETROS'!$B$14+6)</f>
        <v/>
      </c>
    </row>
    <row r="4" ht="28" customHeight="1">
      <c r="A4" s="4" t="inlineStr">
        <is>
          <t>Casa b.</t>
        </is>
      </c>
      <c r="B4" s="4" t="inlineStr">
        <is>
          <t>Pivo</t>
        </is>
      </c>
      <c r="C4" s="4" t="inlineStr">
        <is>
          <t>Cod L/H</t>
        </is>
      </c>
      <c r="D4" s="4" t="inlineStr">
        <is>
          <t>Area (ha)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DAE</t>
        </is>
      </c>
      <c r="H4" s="4" t="inlineStr">
        <is>
          <t>Meta (mm)</t>
        </is>
      </c>
      <c r="I4" s="26" t="inlineStr">
        <is>
          <t>%</t>
        </is>
      </c>
      <c r="J4" s="26" t="inlineStr">
        <is>
          <t>Lam</t>
        </is>
      </c>
      <c r="K4" s="26" t="inlineStr">
        <is>
          <t>h</t>
        </is>
      </c>
      <c r="L4" s="26" t="inlineStr">
        <is>
          <t>%</t>
        </is>
      </c>
      <c r="M4" s="26" t="inlineStr">
        <is>
          <t>Lam</t>
        </is>
      </c>
      <c r="N4" s="26" t="inlineStr">
        <is>
          <t>h</t>
        </is>
      </c>
      <c r="O4" s="26" t="inlineStr">
        <is>
          <t>%</t>
        </is>
      </c>
      <c r="P4" s="26" t="inlineStr">
        <is>
          <t>Lam</t>
        </is>
      </c>
      <c r="Q4" s="26" t="inlineStr">
        <is>
          <t>h</t>
        </is>
      </c>
      <c r="R4" s="26" t="inlineStr">
        <is>
          <t>%</t>
        </is>
      </c>
      <c r="S4" s="26" t="inlineStr">
        <is>
          <t>Lam</t>
        </is>
      </c>
      <c r="T4" s="26" t="inlineStr">
        <is>
          <t>h</t>
        </is>
      </c>
      <c r="U4" s="26" t="inlineStr">
        <is>
          <t>%</t>
        </is>
      </c>
      <c r="V4" s="26" t="inlineStr">
        <is>
          <t>Lam</t>
        </is>
      </c>
      <c r="W4" s="26" t="inlineStr">
        <is>
          <t>h</t>
        </is>
      </c>
      <c r="X4" s="26" t="inlineStr">
        <is>
          <t>%</t>
        </is>
      </c>
      <c r="Y4" s="26" t="inlineStr">
        <is>
          <t>Lam</t>
        </is>
      </c>
      <c r="Z4" s="26" t="inlineStr">
        <is>
          <t>h</t>
        </is>
      </c>
      <c r="AA4" s="26" t="inlineStr">
        <is>
          <t>%</t>
        </is>
      </c>
      <c r="AB4" s="26" t="inlineStr">
        <is>
          <t>Lam</t>
        </is>
      </c>
      <c r="AC4" s="26" t="inlineStr">
        <is>
          <t>h</t>
        </is>
      </c>
      <c r="AD4" s="4" t="inlineStr">
        <is>
          <t>Lam total (mm)</t>
        </is>
      </c>
      <c r="AE4" s="4" t="inlineStr">
        <is>
          <t>Vol (m3)</t>
        </is>
      </c>
      <c r="AF4" s="4" t="inlineStr">
        <is>
          <t>CE (kWh/m3)</t>
        </is>
      </c>
      <c r="AG4" s="4" t="inlineStr">
        <is>
          <t>Energia (kWh)</t>
        </is>
      </c>
      <c r="AH4" s="4" t="inlineStr">
        <is>
          <t>Custo (R$)</t>
        </is>
      </c>
      <c r="AI4" s="4" t="inlineStr">
        <is>
          <t>Atend.</t>
        </is>
      </c>
      <c r="AJ4" s="4" t="inlineStr">
        <is>
          <t>Pendencias</t>
        </is>
      </c>
    </row>
    <row r="5">
      <c r="A5" s="6" t="inlineStr">
        <is>
          <t>R13</t>
        </is>
      </c>
      <c r="B5" s="6" t="inlineStr">
        <is>
          <t>Pivô 44</t>
        </is>
      </c>
      <c r="C5" s="20" t="inlineStr">
        <is>
          <t>P44</t>
        </is>
      </c>
      <c r="D5" s="7" t="n">
        <v>74.68000000000001</v>
      </c>
      <c r="E5" s="20" t="n"/>
      <c r="F5" s="20" t="n"/>
      <c r="G5" s="20" t="n"/>
      <c r="H5" s="20" t="n"/>
      <c r="I5" s="20" t="n"/>
      <c r="J5" s="27">
        <f>IF(OR($C5="",I5=""),"",IFERROR(INDEX('LAMINA_HORA'!$C$5:$V$114,MATCH($C5,'LAMINA_HORA'!$A$5:$A$114,0),MATCH(I5,'LAMINA_HORA'!$C$3:$V$3,0)),"?"))</f>
        <v/>
      </c>
      <c r="K5" s="27">
        <f>IF(OR($C5="",I5=""),"",IFERROR(INDEX('LAMINA_HORA'!$W$5:$AP$114,MATCH($C5,'LAMINA_HORA'!$A$5:$A$114,0),MATCH(I5,'LAMINA_HORA'!$W$3:$AP$3,0)),"?"))</f>
        <v/>
      </c>
      <c r="L5" s="20" t="n"/>
      <c r="M5" s="27">
        <f>IF(OR($C5="",L5=""),"",IFERROR(INDEX('LAMINA_HORA'!$C$5:$V$114,MATCH($C5,'LAMINA_HORA'!$A$5:$A$114,0),MATCH(L5,'LAMINA_HORA'!$C$3:$V$3,0)),"?"))</f>
        <v/>
      </c>
      <c r="N5" s="27">
        <f>IF(OR($C5="",L5=""),"",IFERROR(INDEX('LAMINA_HORA'!$W$5:$AP$114,MATCH($C5,'LAMINA_HORA'!$A$5:$A$114,0),MATCH(L5,'LAMINA_HORA'!$W$3:$AP$3,0)),"?"))</f>
        <v/>
      </c>
      <c r="O5" s="20" t="n"/>
      <c r="P5" s="27">
        <f>IF(OR($C5="",O5=""),"",IFERROR(INDEX('LAMINA_HORA'!$C$5:$V$114,MATCH($C5,'LAMINA_HORA'!$A$5:$A$114,0),MATCH(O5,'LAMINA_HORA'!$C$3:$V$3,0)),"?"))</f>
        <v/>
      </c>
      <c r="Q5" s="27">
        <f>IF(OR($C5="",O5=""),"",IFERROR(INDEX('LAMINA_HORA'!$W$5:$AP$114,MATCH($C5,'LAMINA_HORA'!$A$5:$A$114,0),MATCH(O5,'LAMINA_HORA'!$W$3:$AP$3,0)),"?"))</f>
        <v/>
      </c>
      <c r="R5" s="20" t="n"/>
      <c r="S5" s="27">
        <f>IF(OR($C5="",R5=""),"",IFERROR(INDEX('LAMINA_HORA'!$C$5:$V$114,MATCH($C5,'LAMINA_HORA'!$A$5:$A$114,0),MATCH(R5,'LAMINA_HORA'!$C$3:$V$3,0)),"?"))</f>
        <v/>
      </c>
      <c r="T5" s="27">
        <f>IF(OR($C5="",R5=""),"",IFERROR(INDEX('LAMINA_HORA'!$W$5:$AP$114,MATCH($C5,'LAMINA_HORA'!$A$5:$A$114,0),MATCH(R5,'LAMINA_HORA'!$W$3:$AP$3,0)),"?"))</f>
        <v/>
      </c>
      <c r="U5" s="20" t="n"/>
      <c r="V5" s="27">
        <f>IF(OR($C5="",U5=""),"",IFERROR(INDEX('LAMINA_HORA'!$C$5:$V$114,MATCH($C5,'LAMINA_HORA'!$A$5:$A$114,0),MATCH(U5,'LAMINA_HORA'!$C$3:$V$3,0)),"?"))</f>
        <v/>
      </c>
      <c r="W5" s="27">
        <f>IF(OR($C5="",U5=""),"",IFERROR(INDEX('LAMINA_HORA'!$W$5:$AP$114,MATCH($C5,'LAMINA_HORA'!$A$5:$A$114,0),MATCH(U5,'LAMINA_HORA'!$W$3:$AP$3,0)),"?"))</f>
        <v/>
      </c>
      <c r="X5" s="20" t="n"/>
      <c r="Y5" s="27">
        <f>IF(OR($C5="",X5=""),"",IFERROR(INDEX('LAMINA_HORA'!$C$5:$V$114,MATCH($C5,'LAMINA_HORA'!$A$5:$A$114,0),MATCH(X5,'LAMINA_HORA'!$C$3:$V$3,0)),"?"))</f>
        <v/>
      </c>
      <c r="Z5" s="27">
        <f>IF(OR($C5="",X5=""),"",IFERROR(INDEX('LAMINA_HORA'!$W$5:$AP$114,MATCH($C5,'LAMINA_HORA'!$A$5:$A$114,0),MATCH(X5,'LAMINA_HORA'!$W$3:$AP$3,0)),"?"))</f>
        <v/>
      </c>
      <c r="AA5" s="20" t="n"/>
      <c r="AB5" s="27">
        <f>IF(OR($C5="",AA5=""),"",IFERROR(INDEX('LAMINA_HORA'!$C$5:$V$114,MATCH($C5,'LAMINA_HORA'!$A$5:$A$114,0),MATCH(AA5,'LAMINA_HORA'!$C$3:$V$3,0)),"?"))</f>
        <v/>
      </c>
      <c r="AC5" s="27">
        <f>IF(OR($C5="",AA5=""),"",IFERROR(INDEX('LAMINA_HORA'!$W$5:$AP$114,MATCH($C5,'LAMINA_HORA'!$A$5:$A$114,0),MATCH(AA5,'LAMINA_HORA'!$W$3:$AP$3,0)),"?"))</f>
        <v/>
      </c>
      <c r="AD5" s="13">
        <f>SUM(J5,M5,P5,S5,V5,Y5,AB5)</f>
        <v/>
      </c>
      <c r="AE5" s="15">
        <f>IF(OR($D5="",AD5=""),"",AD5*$D5*10)</f>
        <v/>
      </c>
      <c r="AF5" s="28" t="n"/>
      <c r="AG5" s="15">
        <f>IF(OR(AE5="",AF5=""),"",AE5*AF5)</f>
        <v/>
      </c>
      <c r="AH5" s="28" t="n"/>
      <c r="AI5" s="20" t="n"/>
      <c r="AJ5" s="19" t="n"/>
    </row>
    <row r="6">
      <c r="A6" s="6" t="inlineStr">
        <is>
          <t>R14</t>
        </is>
      </c>
      <c r="B6" s="6" t="inlineStr">
        <is>
          <t>Pivô 50</t>
        </is>
      </c>
      <c r="C6" s="20" t="inlineStr">
        <is>
          <t>P50</t>
        </is>
      </c>
      <c r="D6" s="7" t="n">
        <v>120.31</v>
      </c>
      <c r="E6" s="20" t="n"/>
      <c r="F6" s="20" t="n"/>
      <c r="G6" s="20" t="n"/>
      <c r="H6" s="20" t="n"/>
      <c r="I6" s="20" t="n"/>
      <c r="J6" s="27">
        <f>IF(OR($C6="",I6=""),"",IFERROR(INDEX('LAMINA_HORA'!$C$5:$V$114,MATCH($C6,'LAMINA_HORA'!$A$5:$A$114,0),MATCH(I6,'LAMINA_HORA'!$C$3:$V$3,0)),"?"))</f>
        <v/>
      </c>
      <c r="K6" s="27">
        <f>IF(OR($C6="",I6=""),"",IFERROR(INDEX('LAMINA_HORA'!$W$5:$AP$114,MATCH($C6,'LAMINA_HORA'!$A$5:$A$114,0),MATCH(I6,'LAMINA_HORA'!$W$3:$AP$3,0)),"?"))</f>
        <v/>
      </c>
      <c r="L6" s="20" t="n"/>
      <c r="M6" s="27">
        <f>IF(OR($C6="",L6=""),"",IFERROR(INDEX('LAMINA_HORA'!$C$5:$V$114,MATCH($C6,'LAMINA_HORA'!$A$5:$A$114,0),MATCH(L6,'LAMINA_HORA'!$C$3:$V$3,0)),"?"))</f>
        <v/>
      </c>
      <c r="N6" s="27">
        <f>IF(OR($C6="",L6=""),"",IFERROR(INDEX('LAMINA_HORA'!$W$5:$AP$114,MATCH($C6,'LAMINA_HORA'!$A$5:$A$114,0),MATCH(L6,'LAMINA_HORA'!$W$3:$AP$3,0)),"?"))</f>
        <v/>
      </c>
      <c r="O6" s="20" t="n"/>
      <c r="P6" s="27">
        <f>IF(OR($C6="",O6=""),"",IFERROR(INDEX('LAMINA_HORA'!$C$5:$V$114,MATCH($C6,'LAMINA_HORA'!$A$5:$A$114,0),MATCH(O6,'LAMINA_HORA'!$C$3:$V$3,0)),"?"))</f>
        <v/>
      </c>
      <c r="Q6" s="27">
        <f>IF(OR($C6="",O6=""),"",IFERROR(INDEX('LAMINA_HORA'!$W$5:$AP$114,MATCH($C6,'LAMINA_HORA'!$A$5:$A$114,0),MATCH(O6,'LAMINA_HORA'!$W$3:$AP$3,0)),"?"))</f>
        <v/>
      </c>
      <c r="R6" s="20" t="n"/>
      <c r="S6" s="27">
        <f>IF(OR($C6="",R6=""),"",IFERROR(INDEX('LAMINA_HORA'!$C$5:$V$114,MATCH($C6,'LAMINA_HORA'!$A$5:$A$114,0),MATCH(R6,'LAMINA_HORA'!$C$3:$V$3,0)),"?"))</f>
        <v/>
      </c>
      <c r="T6" s="27">
        <f>IF(OR($C6="",R6=""),"",IFERROR(INDEX('LAMINA_HORA'!$W$5:$AP$114,MATCH($C6,'LAMINA_HORA'!$A$5:$A$114,0),MATCH(R6,'LAMINA_HORA'!$W$3:$AP$3,0)),"?"))</f>
        <v/>
      </c>
      <c r="U6" s="20" t="n"/>
      <c r="V6" s="27">
        <f>IF(OR($C6="",U6=""),"",IFERROR(INDEX('LAMINA_HORA'!$C$5:$V$114,MATCH($C6,'LAMINA_HORA'!$A$5:$A$114,0),MATCH(U6,'LAMINA_HORA'!$C$3:$V$3,0)),"?"))</f>
        <v/>
      </c>
      <c r="W6" s="27">
        <f>IF(OR($C6="",U6=""),"",IFERROR(INDEX('LAMINA_HORA'!$W$5:$AP$114,MATCH($C6,'LAMINA_HORA'!$A$5:$A$114,0),MATCH(U6,'LAMINA_HORA'!$W$3:$AP$3,0)),"?"))</f>
        <v/>
      </c>
      <c r="X6" s="20" t="n"/>
      <c r="Y6" s="27">
        <f>IF(OR($C6="",X6=""),"",IFERROR(INDEX('LAMINA_HORA'!$C$5:$V$114,MATCH($C6,'LAMINA_HORA'!$A$5:$A$114,0),MATCH(X6,'LAMINA_HORA'!$C$3:$V$3,0)),"?"))</f>
        <v/>
      </c>
      <c r="Z6" s="27">
        <f>IF(OR($C6="",X6=""),"",IFERROR(INDEX('LAMINA_HORA'!$W$5:$AP$114,MATCH($C6,'LAMINA_HORA'!$A$5:$A$114,0),MATCH(X6,'LAMINA_HORA'!$W$3:$AP$3,0)),"?"))</f>
        <v/>
      </c>
      <c r="AA6" s="20" t="n"/>
      <c r="AB6" s="27">
        <f>IF(OR($C6="",AA6=""),"",IFERROR(INDEX('LAMINA_HORA'!$C$5:$V$114,MATCH($C6,'LAMINA_HORA'!$A$5:$A$114,0),MATCH(AA6,'LAMINA_HORA'!$C$3:$V$3,0)),"?"))</f>
        <v/>
      </c>
      <c r="AC6" s="27">
        <f>IF(OR($C6="",AA6=""),"",IFERROR(INDEX('LAMINA_HORA'!$W$5:$AP$114,MATCH($C6,'LAMINA_HORA'!$A$5:$A$114,0),MATCH(AA6,'LAMINA_HORA'!$W$3:$AP$3,0)),"?"))</f>
        <v/>
      </c>
      <c r="AD6" s="13">
        <f>SUM(J6,M6,P6,S6,V6,Y6,AB6)</f>
        <v/>
      </c>
      <c r="AE6" s="15">
        <f>IF(OR($D6="",AD6=""),"",AD6*$D6*10)</f>
        <v/>
      </c>
      <c r="AF6" s="28" t="n"/>
      <c r="AG6" s="15">
        <f>IF(OR(AE6="",AF6=""),"",AE6*AF6)</f>
        <v/>
      </c>
      <c r="AH6" s="28" t="n"/>
      <c r="AI6" s="20" t="n"/>
      <c r="AJ6" s="19" t="n"/>
    </row>
    <row r="7">
      <c r="A7" s="6" t="inlineStr">
        <is>
          <t>R14</t>
        </is>
      </c>
      <c r="B7" s="6" t="inlineStr">
        <is>
          <t>Pivô 51</t>
        </is>
      </c>
      <c r="C7" s="20" t="inlineStr">
        <is>
          <t>P51</t>
        </is>
      </c>
      <c r="D7" s="7" t="n">
        <v>119.34</v>
      </c>
      <c r="E7" s="20" t="n"/>
      <c r="F7" s="20" t="n"/>
      <c r="G7" s="20" t="n"/>
      <c r="H7" s="20" t="n"/>
      <c r="I7" s="20" t="n"/>
      <c r="J7" s="27">
        <f>IF(OR($C7="",I7=""),"",IFERROR(INDEX('LAMINA_HORA'!$C$5:$V$114,MATCH($C7,'LAMINA_HORA'!$A$5:$A$114,0),MATCH(I7,'LAMINA_HORA'!$C$3:$V$3,0)),"?"))</f>
        <v/>
      </c>
      <c r="K7" s="27">
        <f>IF(OR($C7="",I7=""),"",IFERROR(INDEX('LAMINA_HORA'!$W$5:$AP$114,MATCH($C7,'LAMINA_HORA'!$A$5:$A$114,0),MATCH(I7,'LAMINA_HORA'!$W$3:$AP$3,0)),"?"))</f>
        <v/>
      </c>
      <c r="L7" s="20" t="n"/>
      <c r="M7" s="27">
        <f>IF(OR($C7="",L7=""),"",IFERROR(INDEX('LAMINA_HORA'!$C$5:$V$114,MATCH($C7,'LAMINA_HORA'!$A$5:$A$114,0),MATCH(L7,'LAMINA_HORA'!$C$3:$V$3,0)),"?"))</f>
        <v/>
      </c>
      <c r="N7" s="27">
        <f>IF(OR($C7="",L7=""),"",IFERROR(INDEX('LAMINA_HORA'!$W$5:$AP$114,MATCH($C7,'LAMINA_HORA'!$A$5:$A$114,0),MATCH(L7,'LAMINA_HORA'!$W$3:$AP$3,0)),"?"))</f>
        <v/>
      </c>
      <c r="O7" s="20" t="n"/>
      <c r="P7" s="27">
        <f>IF(OR($C7="",O7=""),"",IFERROR(INDEX('LAMINA_HORA'!$C$5:$V$114,MATCH($C7,'LAMINA_HORA'!$A$5:$A$114,0),MATCH(O7,'LAMINA_HORA'!$C$3:$V$3,0)),"?"))</f>
        <v/>
      </c>
      <c r="Q7" s="27">
        <f>IF(OR($C7="",O7=""),"",IFERROR(INDEX('LAMINA_HORA'!$W$5:$AP$114,MATCH($C7,'LAMINA_HORA'!$A$5:$A$114,0),MATCH(O7,'LAMINA_HORA'!$W$3:$AP$3,0)),"?"))</f>
        <v/>
      </c>
      <c r="R7" s="20" t="n"/>
      <c r="S7" s="27">
        <f>IF(OR($C7="",R7=""),"",IFERROR(INDEX('LAMINA_HORA'!$C$5:$V$114,MATCH($C7,'LAMINA_HORA'!$A$5:$A$114,0),MATCH(R7,'LAMINA_HORA'!$C$3:$V$3,0)),"?"))</f>
        <v/>
      </c>
      <c r="T7" s="27">
        <f>IF(OR($C7="",R7=""),"",IFERROR(INDEX('LAMINA_HORA'!$W$5:$AP$114,MATCH($C7,'LAMINA_HORA'!$A$5:$A$114,0),MATCH(R7,'LAMINA_HORA'!$W$3:$AP$3,0)),"?"))</f>
        <v/>
      </c>
      <c r="U7" s="20" t="n"/>
      <c r="V7" s="27">
        <f>IF(OR($C7="",U7=""),"",IFERROR(INDEX('LAMINA_HORA'!$C$5:$V$114,MATCH($C7,'LAMINA_HORA'!$A$5:$A$114,0),MATCH(U7,'LAMINA_HORA'!$C$3:$V$3,0)),"?"))</f>
        <v/>
      </c>
      <c r="W7" s="27">
        <f>IF(OR($C7="",U7=""),"",IFERROR(INDEX('LAMINA_HORA'!$W$5:$AP$114,MATCH($C7,'LAMINA_HORA'!$A$5:$A$114,0),MATCH(U7,'LAMINA_HORA'!$W$3:$AP$3,0)),"?"))</f>
        <v/>
      </c>
      <c r="X7" s="20" t="n"/>
      <c r="Y7" s="27">
        <f>IF(OR($C7="",X7=""),"",IFERROR(INDEX('LAMINA_HORA'!$C$5:$V$114,MATCH($C7,'LAMINA_HORA'!$A$5:$A$114,0),MATCH(X7,'LAMINA_HORA'!$C$3:$V$3,0)),"?"))</f>
        <v/>
      </c>
      <c r="Z7" s="27">
        <f>IF(OR($C7="",X7=""),"",IFERROR(INDEX('LAMINA_HORA'!$W$5:$AP$114,MATCH($C7,'LAMINA_HORA'!$A$5:$A$114,0),MATCH(X7,'LAMINA_HORA'!$W$3:$AP$3,0)),"?"))</f>
        <v/>
      </c>
      <c r="AA7" s="20" t="n"/>
      <c r="AB7" s="27">
        <f>IF(OR($C7="",AA7=""),"",IFERROR(INDEX('LAMINA_HORA'!$C$5:$V$114,MATCH($C7,'LAMINA_HORA'!$A$5:$A$114,0),MATCH(AA7,'LAMINA_HORA'!$C$3:$V$3,0)),"?"))</f>
        <v/>
      </c>
      <c r="AC7" s="27">
        <f>IF(OR($C7="",AA7=""),"",IFERROR(INDEX('LAMINA_HORA'!$W$5:$AP$114,MATCH($C7,'LAMINA_HORA'!$A$5:$A$114,0),MATCH(AA7,'LAMINA_HORA'!$W$3:$AP$3,0)),"?"))</f>
        <v/>
      </c>
      <c r="AD7" s="13">
        <f>SUM(J7,M7,P7,S7,V7,Y7,AB7)</f>
        <v/>
      </c>
      <c r="AE7" s="15">
        <f>IF(OR($D7="",AD7=""),"",AD7*$D7*10)</f>
        <v/>
      </c>
      <c r="AF7" s="28" t="n"/>
      <c r="AG7" s="15">
        <f>IF(OR(AE7="",AF7=""),"",AE7*AF7)</f>
        <v/>
      </c>
      <c r="AH7" s="28" t="n"/>
      <c r="AI7" s="20" t="n"/>
      <c r="AJ7" s="19" t="n"/>
    </row>
    <row r="8">
      <c r="A8" s="6" t="inlineStr">
        <is>
          <t>R13</t>
        </is>
      </c>
      <c r="B8" s="6" t="inlineStr">
        <is>
          <t>Pivô 53</t>
        </is>
      </c>
      <c r="C8" s="20" t="inlineStr">
        <is>
          <t>P53</t>
        </is>
      </c>
      <c r="D8" s="7" t="n">
        <v>74.68000000000001</v>
      </c>
      <c r="E8" s="20" t="n"/>
      <c r="F8" s="20" t="n"/>
      <c r="G8" s="20" t="n"/>
      <c r="H8" s="20" t="n"/>
      <c r="I8" s="20" t="n"/>
      <c r="J8" s="27">
        <f>IF(OR($C8="",I8=""),"",IFERROR(INDEX('LAMINA_HORA'!$C$5:$V$114,MATCH($C8,'LAMINA_HORA'!$A$5:$A$114,0),MATCH(I8,'LAMINA_HORA'!$C$3:$V$3,0)),"?"))</f>
        <v/>
      </c>
      <c r="K8" s="27">
        <f>IF(OR($C8="",I8=""),"",IFERROR(INDEX('LAMINA_HORA'!$W$5:$AP$114,MATCH($C8,'LAMINA_HORA'!$A$5:$A$114,0),MATCH(I8,'LAMINA_HORA'!$W$3:$AP$3,0)),"?"))</f>
        <v/>
      </c>
      <c r="L8" s="20" t="n"/>
      <c r="M8" s="27">
        <f>IF(OR($C8="",L8=""),"",IFERROR(INDEX('LAMINA_HORA'!$C$5:$V$114,MATCH($C8,'LAMINA_HORA'!$A$5:$A$114,0),MATCH(L8,'LAMINA_HORA'!$C$3:$V$3,0)),"?"))</f>
        <v/>
      </c>
      <c r="N8" s="27">
        <f>IF(OR($C8="",L8=""),"",IFERROR(INDEX('LAMINA_HORA'!$W$5:$AP$114,MATCH($C8,'LAMINA_HORA'!$A$5:$A$114,0),MATCH(L8,'LAMINA_HORA'!$W$3:$AP$3,0)),"?"))</f>
        <v/>
      </c>
      <c r="O8" s="20" t="n"/>
      <c r="P8" s="27">
        <f>IF(OR($C8="",O8=""),"",IFERROR(INDEX('LAMINA_HORA'!$C$5:$V$114,MATCH($C8,'LAMINA_HORA'!$A$5:$A$114,0),MATCH(O8,'LAMINA_HORA'!$C$3:$V$3,0)),"?"))</f>
        <v/>
      </c>
      <c r="Q8" s="27">
        <f>IF(OR($C8="",O8=""),"",IFERROR(INDEX('LAMINA_HORA'!$W$5:$AP$114,MATCH($C8,'LAMINA_HORA'!$A$5:$A$114,0),MATCH(O8,'LAMINA_HORA'!$W$3:$AP$3,0)),"?"))</f>
        <v/>
      </c>
      <c r="R8" s="20" t="n"/>
      <c r="S8" s="27">
        <f>IF(OR($C8="",R8=""),"",IFERROR(INDEX('LAMINA_HORA'!$C$5:$V$114,MATCH($C8,'LAMINA_HORA'!$A$5:$A$114,0),MATCH(R8,'LAMINA_HORA'!$C$3:$V$3,0)),"?"))</f>
        <v/>
      </c>
      <c r="T8" s="27">
        <f>IF(OR($C8="",R8=""),"",IFERROR(INDEX('LAMINA_HORA'!$W$5:$AP$114,MATCH($C8,'LAMINA_HORA'!$A$5:$A$114,0),MATCH(R8,'LAMINA_HORA'!$W$3:$AP$3,0)),"?"))</f>
        <v/>
      </c>
      <c r="U8" s="20" t="n"/>
      <c r="V8" s="27">
        <f>IF(OR($C8="",U8=""),"",IFERROR(INDEX('LAMINA_HORA'!$C$5:$V$114,MATCH($C8,'LAMINA_HORA'!$A$5:$A$114,0),MATCH(U8,'LAMINA_HORA'!$C$3:$V$3,0)),"?"))</f>
        <v/>
      </c>
      <c r="W8" s="27">
        <f>IF(OR($C8="",U8=""),"",IFERROR(INDEX('LAMINA_HORA'!$W$5:$AP$114,MATCH($C8,'LAMINA_HORA'!$A$5:$A$114,0),MATCH(U8,'LAMINA_HORA'!$W$3:$AP$3,0)),"?"))</f>
        <v/>
      </c>
      <c r="X8" s="20" t="n"/>
      <c r="Y8" s="27">
        <f>IF(OR($C8="",X8=""),"",IFERROR(INDEX('LAMINA_HORA'!$C$5:$V$114,MATCH($C8,'LAMINA_HORA'!$A$5:$A$114,0),MATCH(X8,'LAMINA_HORA'!$C$3:$V$3,0)),"?"))</f>
        <v/>
      </c>
      <c r="Z8" s="27">
        <f>IF(OR($C8="",X8=""),"",IFERROR(INDEX('LAMINA_HORA'!$W$5:$AP$114,MATCH($C8,'LAMINA_HORA'!$A$5:$A$114,0),MATCH(X8,'LAMINA_HORA'!$W$3:$AP$3,0)),"?"))</f>
        <v/>
      </c>
      <c r="AA8" s="20" t="n"/>
      <c r="AB8" s="27">
        <f>IF(OR($C8="",AA8=""),"",IFERROR(INDEX('LAMINA_HORA'!$C$5:$V$114,MATCH($C8,'LAMINA_HORA'!$A$5:$A$114,0),MATCH(AA8,'LAMINA_HORA'!$C$3:$V$3,0)),"?"))</f>
        <v/>
      </c>
      <c r="AC8" s="27">
        <f>IF(OR($C8="",AA8=""),"",IFERROR(INDEX('LAMINA_HORA'!$W$5:$AP$114,MATCH($C8,'LAMINA_HORA'!$A$5:$A$114,0),MATCH(AA8,'LAMINA_HORA'!$W$3:$AP$3,0)),"?"))</f>
        <v/>
      </c>
      <c r="AD8" s="13">
        <f>SUM(J8,M8,P8,S8,V8,Y8,AB8)</f>
        <v/>
      </c>
      <c r="AE8" s="15">
        <f>IF(OR($D8="",AD8=""),"",AD8*$D8*10)</f>
        <v/>
      </c>
      <c r="AF8" s="28" t="n"/>
      <c r="AG8" s="15">
        <f>IF(OR(AE8="",AF8=""),"",AE8*AF8)</f>
        <v/>
      </c>
      <c r="AH8" s="28" t="n"/>
      <c r="AI8" s="20" t="n"/>
      <c r="AJ8" s="19" t="n"/>
    </row>
    <row r="9">
      <c r="A9" s="6" t="inlineStr">
        <is>
          <t>R13</t>
        </is>
      </c>
      <c r="B9" s="6" t="inlineStr">
        <is>
          <t>Pivô 54</t>
        </is>
      </c>
      <c r="C9" s="20" t="inlineStr">
        <is>
          <t>P54</t>
        </is>
      </c>
      <c r="D9" s="7" t="n">
        <v>121.22</v>
      </c>
      <c r="E9" s="20" t="n"/>
      <c r="F9" s="20" t="n"/>
      <c r="G9" s="20" t="n"/>
      <c r="H9" s="20" t="n"/>
      <c r="I9" s="20" t="n"/>
      <c r="J9" s="27">
        <f>IF(OR($C9="",I9=""),"",IFERROR(INDEX('LAMINA_HORA'!$C$5:$V$114,MATCH($C9,'LAMINA_HORA'!$A$5:$A$114,0),MATCH(I9,'LAMINA_HORA'!$C$3:$V$3,0)),"?"))</f>
        <v/>
      </c>
      <c r="K9" s="27">
        <f>IF(OR($C9="",I9=""),"",IFERROR(INDEX('LAMINA_HORA'!$W$5:$AP$114,MATCH($C9,'LAMINA_HORA'!$A$5:$A$114,0),MATCH(I9,'LAMINA_HORA'!$W$3:$AP$3,0)),"?"))</f>
        <v/>
      </c>
      <c r="L9" s="20" t="n"/>
      <c r="M9" s="27">
        <f>IF(OR($C9="",L9=""),"",IFERROR(INDEX('LAMINA_HORA'!$C$5:$V$114,MATCH($C9,'LAMINA_HORA'!$A$5:$A$114,0),MATCH(L9,'LAMINA_HORA'!$C$3:$V$3,0)),"?"))</f>
        <v/>
      </c>
      <c r="N9" s="27">
        <f>IF(OR($C9="",L9=""),"",IFERROR(INDEX('LAMINA_HORA'!$W$5:$AP$114,MATCH($C9,'LAMINA_HORA'!$A$5:$A$114,0),MATCH(L9,'LAMINA_HORA'!$W$3:$AP$3,0)),"?"))</f>
        <v/>
      </c>
      <c r="O9" s="20" t="n"/>
      <c r="P9" s="27">
        <f>IF(OR($C9="",O9=""),"",IFERROR(INDEX('LAMINA_HORA'!$C$5:$V$114,MATCH($C9,'LAMINA_HORA'!$A$5:$A$114,0),MATCH(O9,'LAMINA_HORA'!$C$3:$V$3,0)),"?"))</f>
        <v/>
      </c>
      <c r="Q9" s="27">
        <f>IF(OR($C9="",O9=""),"",IFERROR(INDEX('LAMINA_HORA'!$W$5:$AP$114,MATCH($C9,'LAMINA_HORA'!$A$5:$A$114,0),MATCH(O9,'LAMINA_HORA'!$W$3:$AP$3,0)),"?"))</f>
        <v/>
      </c>
      <c r="R9" s="20" t="n"/>
      <c r="S9" s="27">
        <f>IF(OR($C9="",R9=""),"",IFERROR(INDEX('LAMINA_HORA'!$C$5:$V$114,MATCH($C9,'LAMINA_HORA'!$A$5:$A$114,0),MATCH(R9,'LAMINA_HORA'!$C$3:$V$3,0)),"?"))</f>
        <v/>
      </c>
      <c r="T9" s="27">
        <f>IF(OR($C9="",R9=""),"",IFERROR(INDEX('LAMINA_HORA'!$W$5:$AP$114,MATCH($C9,'LAMINA_HORA'!$A$5:$A$114,0),MATCH(R9,'LAMINA_HORA'!$W$3:$AP$3,0)),"?"))</f>
        <v/>
      </c>
      <c r="U9" s="20" t="n"/>
      <c r="V9" s="27">
        <f>IF(OR($C9="",U9=""),"",IFERROR(INDEX('LAMINA_HORA'!$C$5:$V$114,MATCH($C9,'LAMINA_HORA'!$A$5:$A$114,0),MATCH(U9,'LAMINA_HORA'!$C$3:$V$3,0)),"?"))</f>
        <v/>
      </c>
      <c r="W9" s="27">
        <f>IF(OR($C9="",U9=""),"",IFERROR(INDEX('LAMINA_HORA'!$W$5:$AP$114,MATCH($C9,'LAMINA_HORA'!$A$5:$A$114,0),MATCH(U9,'LAMINA_HORA'!$W$3:$AP$3,0)),"?"))</f>
        <v/>
      </c>
      <c r="X9" s="20" t="n"/>
      <c r="Y9" s="27">
        <f>IF(OR($C9="",X9=""),"",IFERROR(INDEX('LAMINA_HORA'!$C$5:$V$114,MATCH($C9,'LAMINA_HORA'!$A$5:$A$114,0),MATCH(X9,'LAMINA_HORA'!$C$3:$V$3,0)),"?"))</f>
        <v/>
      </c>
      <c r="Z9" s="27">
        <f>IF(OR($C9="",X9=""),"",IFERROR(INDEX('LAMINA_HORA'!$W$5:$AP$114,MATCH($C9,'LAMINA_HORA'!$A$5:$A$114,0),MATCH(X9,'LAMINA_HORA'!$W$3:$AP$3,0)),"?"))</f>
        <v/>
      </c>
      <c r="AA9" s="20" t="n"/>
      <c r="AB9" s="27">
        <f>IF(OR($C9="",AA9=""),"",IFERROR(INDEX('LAMINA_HORA'!$C$5:$V$114,MATCH($C9,'LAMINA_HORA'!$A$5:$A$114,0),MATCH(AA9,'LAMINA_HORA'!$C$3:$V$3,0)),"?"))</f>
        <v/>
      </c>
      <c r="AC9" s="27">
        <f>IF(OR($C9="",AA9=""),"",IFERROR(INDEX('LAMINA_HORA'!$W$5:$AP$114,MATCH($C9,'LAMINA_HORA'!$A$5:$A$114,0),MATCH(AA9,'LAMINA_HORA'!$W$3:$AP$3,0)),"?"))</f>
        <v/>
      </c>
      <c r="AD9" s="13">
        <f>SUM(J9,M9,P9,S9,V9,Y9,AB9)</f>
        <v/>
      </c>
      <c r="AE9" s="15">
        <f>IF(OR($D9="",AD9=""),"",AD9*$D9*10)</f>
        <v/>
      </c>
      <c r="AF9" s="28" t="n"/>
      <c r="AG9" s="15">
        <f>IF(OR(AE9="",AF9=""),"",AE9*AF9)</f>
        <v/>
      </c>
      <c r="AH9" s="28" t="n"/>
      <c r="AI9" s="20" t="n"/>
      <c r="AJ9" s="19" t="n"/>
    </row>
    <row r="10">
      <c r="A10" s="6" t="inlineStr">
        <is>
          <t>R13</t>
        </is>
      </c>
      <c r="B10" s="6" t="inlineStr">
        <is>
          <t>Pivô 55</t>
        </is>
      </c>
      <c r="C10" s="20" t="inlineStr">
        <is>
          <t>P55</t>
        </is>
      </c>
      <c r="D10" s="7" t="n">
        <v>151.33</v>
      </c>
      <c r="E10" s="20" t="n"/>
      <c r="F10" s="20" t="n"/>
      <c r="G10" s="20" t="n"/>
      <c r="H10" s="20" t="n"/>
      <c r="I10" s="20" t="n"/>
      <c r="J10" s="27">
        <f>IF(OR($C10="",I10=""),"",IFERROR(INDEX('LAMINA_HORA'!$C$5:$V$114,MATCH($C10,'LAMINA_HORA'!$A$5:$A$114,0),MATCH(I10,'LAMINA_HORA'!$C$3:$V$3,0)),"?"))</f>
        <v/>
      </c>
      <c r="K10" s="27">
        <f>IF(OR($C10="",I10=""),"",IFERROR(INDEX('LAMINA_HORA'!$W$5:$AP$114,MATCH($C10,'LAMINA_HORA'!$A$5:$A$114,0),MATCH(I10,'LAMINA_HORA'!$W$3:$AP$3,0)),"?"))</f>
        <v/>
      </c>
      <c r="L10" s="20" t="n"/>
      <c r="M10" s="27">
        <f>IF(OR($C10="",L10=""),"",IFERROR(INDEX('LAMINA_HORA'!$C$5:$V$114,MATCH($C10,'LAMINA_HORA'!$A$5:$A$114,0),MATCH(L10,'LAMINA_HORA'!$C$3:$V$3,0)),"?"))</f>
        <v/>
      </c>
      <c r="N10" s="27">
        <f>IF(OR($C10="",L10=""),"",IFERROR(INDEX('LAMINA_HORA'!$W$5:$AP$114,MATCH($C10,'LAMINA_HORA'!$A$5:$A$114,0),MATCH(L10,'LAMINA_HORA'!$W$3:$AP$3,0)),"?"))</f>
        <v/>
      </c>
      <c r="O10" s="20" t="n"/>
      <c r="P10" s="27">
        <f>IF(OR($C10="",O10=""),"",IFERROR(INDEX('LAMINA_HORA'!$C$5:$V$114,MATCH($C10,'LAMINA_HORA'!$A$5:$A$114,0),MATCH(O10,'LAMINA_HORA'!$C$3:$V$3,0)),"?"))</f>
        <v/>
      </c>
      <c r="Q10" s="27">
        <f>IF(OR($C10="",O10=""),"",IFERROR(INDEX('LAMINA_HORA'!$W$5:$AP$114,MATCH($C10,'LAMINA_HORA'!$A$5:$A$114,0),MATCH(O10,'LAMINA_HORA'!$W$3:$AP$3,0)),"?"))</f>
        <v/>
      </c>
      <c r="R10" s="20" t="n"/>
      <c r="S10" s="27">
        <f>IF(OR($C10="",R10=""),"",IFERROR(INDEX('LAMINA_HORA'!$C$5:$V$114,MATCH($C10,'LAMINA_HORA'!$A$5:$A$114,0),MATCH(R10,'LAMINA_HORA'!$C$3:$V$3,0)),"?"))</f>
        <v/>
      </c>
      <c r="T10" s="27">
        <f>IF(OR($C10="",R10=""),"",IFERROR(INDEX('LAMINA_HORA'!$W$5:$AP$114,MATCH($C10,'LAMINA_HORA'!$A$5:$A$114,0),MATCH(R10,'LAMINA_HORA'!$W$3:$AP$3,0)),"?"))</f>
        <v/>
      </c>
      <c r="U10" s="20" t="n"/>
      <c r="V10" s="27">
        <f>IF(OR($C10="",U10=""),"",IFERROR(INDEX('LAMINA_HORA'!$C$5:$V$114,MATCH($C10,'LAMINA_HORA'!$A$5:$A$114,0),MATCH(U10,'LAMINA_HORA'!$C$3:$V$3,0)),"?"))</f>
        <v/>
      </c>
      <c r="W10" s="27">
        <f>IF(OR($C10="",U10=""),"",IFERROR(INDEX('LAMINA_HORA'!$W$5:$AP$114,MATCH($C10,'LAMINA_HORA'!$A$5:$A$114,0),MATCH(U10,'LAMINA_HORA'!$W$3:$AP$3,0)),"?"))</f>
        <v/>
      </c>
      <c r="X10" s="20" t="n"/>
      <c r="Y10" s="27">
        <f>IF(OR($C10="",X10=""),"",IFERROR(INDEX('LAMINA_HORA'!$C$5:$V$114,MATCH($C10,'LAMINA_HORA'!$A$5:$A$114,0),MATCH(X10,'LAMINA_HORA'!$C$3:$V$3,0)),"?"))</f>
        <v/>
      </c>
      <c r="Z10" s="27">
        <f>IF(OR($C10="",X10=""),"",IFERROR(INDEX('LAMINA_HORA'!$W$5:$AP$114,MATCH($C10,'LAMINA_HORA'!$A$5:$A$114,0),MATCH(X10,'LAMINA_HORA'!$W$3:$AP$3,0)),"?"))</f>
        <v/>
      </c>
      <c r="AA10" s="20" t="n"/>
      <c r="AB10" s="27">
        <f>IF(OR($C10="",AA10=""),"",IFERROR(INDEX('LAMINA_HORA'!$C$5:$V$114,MATCH($C10,'LAMINA_HORA'!$A$5:$A$114,0),MATCH(AA10,'LAMINA_HORA'!$C$3:$V$3,0)),"?"))</f>
        <v/>
      </c>
      <c r="AC10" s="27">
        <f>IF(OR($C10="",AA10=""),"",IFERROR(INDEX('LAMINA_HORA'!$W$5:$AP$114,MATCH($C10,'LAMINA_HORA'!$A$5:$A$114,0),MATCH(AA10,'LAMINA_HORA'!$W$3:$AP$3,0)),"?"))</f>
        <v/>
      </c>
      <c r="AD10" s="13">
        <f>SUM(J10,M10,P10,S10,V10,Y10,AB10)</f>
        <v/>
      </c>
      <c r="AE10" s="15">
        <f>IF(OR($D10="",AD10=""),"",AD10*$D10*10)</f>
        <v/>
      </c>
      <c r="AF10" s="28" t="n"/>
      <c r="AG10" s="15">
        <f>IF(OR(AE10="",AF10=""),"",AE10*AF10)</f>
        <v/>
      </c>
      <c r="AH10" s="28" t="n"/>
      <c r="AI10" s="20" t="n"/>
      <c r="AJ10" s="19" t="n"/>
    </row>
    <row r="11">
      <c r="A11" s="6" t="inlineStr">
        <is>
          <t>R14</t>
        </is>
      </c>
      <c r="B11" s="6" t="inlineStr">
        <is>
          <t>Pivô 56</t>
        </is>
      </c>
      <c r="C11" s="20" t="inlineStr">
        <is>
          <t>P56</t>
        </is>
      </c>
      <c r="D11" s="7" t="n">
        <v>151.2</v>
      </c>
      <c r="E11" s="20" t="n"/>
      <c r="F11" s="20" t="n"/>
      <c r="G11" s="20" t="n"/>
      <c r="H11" s="20" t="n"/>
      <c r="I11" s="20" t="n"/>
      <c r="J11" s="27">
        <f>IF(OR($C11="",I11=""),"",IFERROR(INDEX('LAMINA_HORA'!$C$5:$V$114,MATCH($C11,'LAMINA_HORA'!$A$5:$A$114,0),MATCH(I11,'LAMINA_HORA'!$C$3:$V$3,0)),"?"))</f>
        <v/>
      </c>
      <c r="K11" s="27">
        <f>IF(OR($C11="",I11=""),"",IFERROR(INDEX('LAMINA_HORA'!$W$5:$AP$114,MATCH($C11,'LAMINA_HORA'!$A$5:$A$114,0),MATCH(I11,'LAMINA_HORA'!$W$3:$AP$3,0)),"?"))</f>
        <v/>
      </c>
      <c r="L11" s="20" t="n"/>
      <c r="M11" s="27">
        <f>IF(OR($C11="",L11=""),"",IFERROR(INDEX('LAMINA_HORA'!$C$5:$V$114,MATCH($C11,'LAMINA_HORA'!$A$5:$A$114,0),MATCH(L11,'LAMINA_HORA'!$C$3:$V$3,0)),"?"))</f>
        <v/>
      </c>
      <c r="N11" s="27">
        <f>IF(OR($C11="",L11=""),"",IFERROR(INDEX('LAMINA_HORA'!$W$5:$AP$114,MATCH($C11,'LAMINA_HORA'!$A$5:$A$114,0),MATCH(L11,'LAMINA_HORA'!$W$3:$AP$3,0)),"?"))</f>
        <v/>
      </c>
      <c r="O11" s="20" t="n"/>
      <c r="P11" s="27">
        <f>IF(OR($C11="",O11=""),"",IFERROR(INDEX('LAMINA_HORA'!$C$5:$V$114,MATCH($C11,'LAMINA_HORA'!$A$5:$A$114,0),MATCH(O11,'LAMINA_HORA'!$C$3:$V$3,0)),"?"))</f>
        <v/>
      </c>
      <c r="Q11" s="27">
        <f>IF(OR($C11="",O11=""),"",IFERROR(INDEX('LAMINA_HORA'!$W$5:$AP$114,MATCH($C11,'LAMINA_HORA'!$A$5:$A$114,0),MATCH(O11,'LAMINA_HORA'!$W$3:$AP$3,0)),"?"))</f>
        <v/>
      </c>
      <c r="R11" s="20" t="n"/>
      <c r="S11" s="27">
        <f>IF(OR($C11="",R11=""),"",IFERROR(INDEX('LAMINA_HORA'!$C$5:$V$114,MATCH($C11,'LAMINA_HORA'!$A$5:$A$114,0),MATCH(R11,'LAMINA_HORA'!$C$3:$V$3,0)),"?"))</f>
        <v/>
      </c>
      <c r="T11" s="27">
        <f>IF(OR($C11="",R11=""),"",IFERROR(INDEX('LAMINA_HORA'!$W$5:$AP$114,MATCH($C11,'LAMINA_HORA'!$A$5:$A$114,0),MATCH(R11,'LAMINA_HORA'!$W$3:$AP$3,0)),"?"))</f>
        <v/>
      </c>
      <c r="U11" s="20" t="n"/>
      <c r="V11" s="27">
        <f>IF(OR($C11="",U11=""),"",IFERROR(INDEX('LAMINA_HORA'!$C$5:$V$114,MATCH($C11,'LAMINA_HORA'!$A$5:$A$114,0),MATCH(U11,'LAMINA_HORA'!$C$3:$V$3,0)),"?"))</f>
        <v/>
      </c>
      <c r="W11" s="27">
        <f>IF(OR($C11="",U11=""),"",IFERROR(INDEX('LAMINA_HORA'!$W$5:$AP$114,MATCH($C11,'LAMINA_HORA'!$A$5:$A$114,0),MATCH(U11,'LAMINA_HORA'!$W$3:$AP$3,0)),"?"))</f>
        <v/>
      </c>
      <c r="X11" s="20" t="n"/>
      <c r="Y11" s="27">
        <f>IF(OR($C11="",X11=""),"",IFERROR(INDEX('LAMINA_HORA'!$C$5:$V$114,MATCH($C11,'LAMINA_HORA'!$A$5:$A$114,0),MATCH(X11,'LAMINA_HORA'!$C$3:$V$3,0)),"?"))</f>
        <v/>
      </c>
      <c r="Z11" s="27">
        <f>IF(OR($C11="",X11=""),"",IFERROR(INDEX('LAMINA_HORA'!$W$5:$AP$114,MATCH($C11,'LAMINA_HORA'!$A$5:$A$114,0),MATCH(X11,'LAMINA_HORA'!$W$3:$AP$3,0)),"?"))</f>
        <v/>
      </c>
      <c r="AA11" s="20" t="n"/>
      <c r="AB11" s="27">
        <f>IF(OR($C11="",AA11=""),"",IFERROR(INDEX('LAMINA_HORA'!$C$5:$V$114,MATCH($C11,'LAMINA_HORA'!$A$5:$A$114,0),MATCH(AA11,'LAMINA_HORA'!$C$3:$V$3,0)),"?"))</f>
        <v/>
      </c>
      <c r="AC11" s="27">
        <f>IF(OR($C11="",AA11=""),"",IFERROR(INDEX('LAMINA_HORA'!$W$5:$AP$114,MATCH($C11,'LAMINA_HORA'!$A$5:$A$114,0),MATCH(AA11,'LAMINA_HORA'!$W$3:$AP$3,0)),"?"))</f>
        <v/>
      </c>
      <c r="AD11" s="13">
        <f>SUM(J11,M11,P11,S11,V11,Y11,AB11)</f>
        <v/>
      </c>
      <c r="AE11" s="15">
        <f>IF(OR($D11="",AD11=""),"",AD11*$D11*10)</f>
        <v/>
      </c>
      <c r="AF11" s="28" t="n"/>
      <c r="AG11" s="15">
        <f>IF(OR(AE11="",AF11=""),"",AE11*AF11)</f>
        <v/>
      </c>
      <c r="AH11" s="28" t="n"/>
      <c r="AI11" s="20" t="n"/>
      <c r="AJ11" s="19" t="n"/>
    </row>
    <row r="12">
      <c r="A12" s="6" t="inlineStr">
        <is>
          <t>R15</t>
        </is>
      </c>
      <c r="B12" s="6" t="inlineStr">
        <is>
          <t>Pivô 57</t>
        </is>
      </c>
      <c r="C12" s="20" t="inlineStr">
        <is>
          <t>P57</t>
        </is>
      </c>
      <c r="D12" s="7" t="n">
        <v>150.24</v>
      </c>
      <c r="E12" s="20" t="n"/>
      <c r="F12" s="20" t="n"/>
      <c r="G12" s="20" t="n"/>
      <c r="H12" s="20" t="n"/>
      <c r="I12" s="20" t="n"/>
      <c r="J12" s="27">
        <f>IF(OR($C12="",I12=""),"",IFERROR(INDEX('LAMINA_HORA'!$C$5:$V$114,MATCH($C12,'LAMINA_HORA'!$A$5:$A$114,0),MATCH(I12,'LAMINA_HORA'!$C$3:$V$3,0)),"?"))</f>
        <v/>
      </c>
      <c r="K12" s="27">
        <f>IF(OR($C12="",I12=""),"",IFERROR(INDEX('LAMINA_HORA'!$W$5:$AP$114,MATCH($C12,'LAMINA_HORA'!$A$5:$A$114,0),MATCH(I12,'LAMINA_HORA'!$W$3:$AP$3,0)),"?"))</f>
        <v/>
      </c>
      <c r="L12" s="20" t="n"/>
      <c r="M12" s="27">
        <f>IF(OR($C12="",L12=""),"",IFERROR(INDEX('LAMINA_HORA'!$C$5:$V$114,MATCH($C12,'LAMINA_HORA'!$A$5:$A$114,0),MATCH(L12,'LAMINA_HORA'!$C$3:$V$3,0)),"?"))</f>
        <v/>
      </c>
      <c r="N12" s="27">
        <f>IF(OR($C12="",L12=""),"",IFERROR(INDEX('LAMINA_HORA'!$W$5:$AP$114,MATCH($C12,'LAMINA_HORA'!$A$5:$A$114,0),MATCH(L12,'LAMINA_HORA'!$W$3:$AP$3,0)),"?"))</f>
        <v/>
      </c>
      <c r="O12" s="20" t="n"/>
      <c r="P12" s="27">
        <f>IF(OR($C12="",O12=""),"",IFERROR(INDEX('LAMINA_HORA'!$C$5:$V$114,MATCH($C12,'LAMINA_HORA'!$A$5:$A$114,0),MATCH(O12,'LAMINA_HORA'!$C$3:$V$3,0)),"?"))</f>
        <v/>
      </c>
      <c r="Q12" s="27">
        <f>IF(OR($C12="",O12=""),"",IFERROR(INDEX('LAMINA_HORA'!$W$5:$AP$114,MATCH($C12,'LAMINA_HORA'!$A$5:$A$114,0),MATCH(O12,'LAMINA_HORA'!$W$3:$AP$3,0)),"?"))</f>
        <v/>
      </c>
      <c r="R12" s="20" t="n"/>
      <c r="S12" s="27">
        <f>IF(OR($C12="",R12=""),"",IFERROR(INDEX('LAMINA_HORA'!$C$5:$V$114,MATCH($C12,'LAMINA_HORA'!$A$5:$A$114,0),MATCH(R12,'LAMINA_HORA'!$C$3:$V$3,0)),"?"))</f>
        <v/>
      </c>
      <c r="T12" s="27">
        <f>IF(OR($C12="",R12=""),"",IFERROR(INDEX('LAMINA_HORA'!$W$5:$AP$114,MATCH($C12,'LAMINA_HORA'!$A$5:$A$114,0),MATCH(R12,'LAMINA_HORA'!$W$3:$AP$3,0)),"?"))</f>
        <v/>
      </c>
      <c r="U12" s="20" t="n"/>
      <c r="V12" s="27">
        <f>IF(OR($C12="",U12=""),"",IFERROR(INDEX('LAMINA_HORA'!$C$5:$V$114,MATCH($C12,'LAMINA_HORA'!$A$5:$A$114,0),MATCH(U12,'LAMINA_HORA'!$C$3:$V$3,0)),"?"))</f>
        <v/>
      </c>
      <c r="W12" s="27">
        <f>IF(OR($C12="",U12=""),"",IFERROR(INDEX('LAMINA_HORA'!$W$5:$AP$114,MATCH($C12,'LAMINA_HORA'!$A$5:$A$114,0),MATCH(U12,'LAMINA_HORA'!$W$3:$AP$3,0)),"?"))</f>
        <v/>
      </c>
      <c r="X12" s="20" t="n"/>
      <c r="Y12" s="27">
        <f>IF(OR($C12="",X12=""),"",IFERROR(INDEX('LAMINA_HORA'!$C$5:$V$114,MATCH($C12,'LAMINA_HORA'!$A$5:$A$114,0),MATCH(X12,'LAMINA_HORA'!$C$3:$V$3,0)),"?"))</f>
        <v/>
      </c>
      <c r="Z12" s="27">
        <f>IF(OR($C12="",X12=""),"",IFERROR(INDEX('LAMINA_HORA'!$W$5:$AP$114,MATCH($C12,'LAMINA_HORA'!$A$5:$A$114,0),MATCH(X12,'LAMINA_HORA'!$W$3:$AP$3,0)),"?"))</f>
        <v/>
      </c>
      <c r="AA12" s="20" t="n"/>
      <c r="AB12" s="27">
        <f>IF(OR($C12="",AA12=""),"",IFERROR(INDEX('LAMINA_HORA'!$C$5:$V$114,MATCH($C12,'LAMINA_HORA'!$A$5:$A$114,0),MATCH(AA12,'LAMINA_HORA'!$C$3:$V$3,0)),"?"))</f>
        <v/>
      </c>
      <c r="AC12" s="27">
        <f>IF(OR($C12="",AA12=""),"",IFERROR(INDEX('LAMINA_HORA'!$W$5:$AP$114,MATCH($C12,'LAMINA_HORA'!$A$5:$A$114,0),MATCH(AA12,'LAMINA_HORA'!$W$3:$AP$3,0)),"?"))</f>
        <v/>
      </c>
      <c r="AD12" s="13">
        <f>SUM(J12,M12,P12,S12,V12,Y12,AB12)</f>
        <v/>
      </c>
      <c r="AE12" s="15">
        <f>IF(OR($D12="",AD12=""),"",AD12*$D12*10)</f>
        <v/>
      </c>
      <c r="AF12" s="28" t="n"/>
      <c r="AG12" s="15">
        <f>IF(OR(AE12="",AF12=""),"",AE12*AF12)</f>
        <v/>
      </c>
      <c r="AH12" s="28" t="n"/>
      <c r="AI12" s="20" t="n"/>
      <c r="AJ12" s="19" t="n"/>
    </row>
    <row r="13">
      <c r="A13" s="6" t="inlineStr">
        <is>
          <t>R15</t>
        </is>
      </c>
      <c r="B13" s="6" t="inlineStr">
        <is>
          <t>Pivô 58</t>
        </is>
      </c>
      <c r="C13" s="20" t="inlineStr">
        <is>
          <t>P58</t>
        </is>
      </c>
      <c r="D13" s="7" t="n">
        <v>150.24</v>
      </c>
      <c r="E13" s="20" t="n"/>
      <c r="F13" s="20" t="n"/>
      <c r="G13" s="20" t="n"/>
      <c r="H13" s="20" t="n"/>
      <c r="I13" s="20" t="n"/>
      <c r="J13" s="27">
        <f>IF(OR($C13="",I13=""),"",IFERROR(INDEX('LAMINA_HORA'!$C$5:$V$114,MATCH($C13,'LAMINA_HORA'!$A$5:$A$114,0),MATCH(I13,'LAMINA_HORA'!$C$3:$V$3,0)),"?"))</f>
        <v/>
      </c>
      <c r="K13" s="27">
        <f>IF(OR($C13="",I13=""),"",IFERROR(INDEX('LAMINA_HORA'!$W$5:$AP$114,MATCH($C13,'LAMINA_HORA'!$A$5:$A$114,0),MATCH(I13,'LAMINA_HORA'!$W$3:$AP$3,0)),"?"))</f>
        <v/>
      </c>
      <c r="L13" s="20" t="n"/>
      <c r="M13" s="27">
        <f>IF(OR($C13="",L13=""),"",IFERROR(INDEX('LAMINA_HORA'!$C$5:$V$114,MATCH($C13,'LAMINA_HORA'!$A$5:$A$114,0),MATCH(L13,'LAMINA_HORA'!$C$3:$V$3,0)),"?"))</f>
        <v/>
      </c>
      <c r="N13" s="27">
        <f>IF(OR($C13="",L13=""),"",IFERROR(INDEX('LAMINA_HORA'!$W$5:$AP$114,MATCH($C13,'LAMINA_HORA'!$A$5:$A$114,0),MATCH(L13,'LAMINA_HORA'!$W$3:$AP$3,0)),"?"))</f>
        <v/>
      </c>
      <c r="O13" s="20" t="n"/>
      <c r="P13" s="27">
        <f>IF(OR($C13="",O13=""),"",IFERROR(INDEX('LAMINA_HORA'!$C$5:$V$114,MATCH($C13,'LAMINA_HORA'!$A$5:$A$114,0),MATCH(O13,'LAMINA_HORA'!$C$3:$V$3,0)),"?"))</f>
        <v/>
      </c>
      <c r="Q13" s="27">
        <f>IF(OR($C13="",O13=""),"",IFERROR(INDEX('LAMINA_HORA'!$W$5:$AP$114,MATCH($C13,'LAMINA_HORA'!$A$5:$A$114,0),MATCH(O13,'LAMINA_HORA'!$W$3:$AP$3,0)),"?"))</f>
        <v/>
      </c>
      <c r="R13" s="20" t="n"/>
      <c r="S13" s="27">
        <f>IF(OR($C13="",R13=""),"",IFERROR(INDEX('LAMINA_HORA'!$C$5:$V$114,MATCH($C13,'LAMINA_HORA'!$A$5:$A$114,0),MATCH(R13,'LAMINA_HORA'!$C$3:$V$3,0)),"?"))</f>
        <v/>
      </c>
      <c r="T13" s="27">
        <f>IF(OR($C13="",R13=""),"",IFERROR(INDEX('LAMINA_HORA'!$W$5:$AP$114,MATCH($C13,'LAMINA_HORA'!$A$5:$A$114,0),MATCH(R13,'LAMINA_HORA'!$W$3:$AP$3,0)),"?"))</f>
        <v/>
      </c>
      <c r="U13" s="20" t="n"/>
      <c r="V13" s="27">
        <f>IF(OR($C13="",U13=""),"",IFERROR(INDEX('LAMINA_HORA'!$C$5:$V$114,MATCH($C13,'LAMINA_HORA'!$A$5:$A$114,0),MATCH(U13,'LAMINA_HORA'!$C$3:$V$3,0)),"?"))</f>
        <v/>
      </c>
      <c r="W13" s="27">
        <f>IF(OR($C13="",U13=""),"",IFERROR(INDEX('LAMINA_HORA'!$W$5:$AP$114,MATCH($C13,'LAMINA_HORA'!$A$5:$A$114,0),MATCH(U13,'LAMINA_HORA'!$W$3:$AP$3,0)),"?"))</f>
        <v/>
      </c>
      <c r="X13" s="20" t="n"/>
      <c r="Y13" s="27">
        <f>IF(OR($C13="",X13=""),"",IFERROR(INDEX('LAMINA_HORA'!$C$5:$V$114,MATCH($C13,'LAMINA_HORA'!$A$5:$A$114,0),MATCH(X13,'LAMINA_HORA'!$C$3:$V$3,0)),"?"))</f>
        <v/>
      </c>
      <c r="Z13" s="27">
        <f>IF(OR($C13="",X13=""),"",IFERROR(INDEX('LAMINA_HORA'!$W$5:$AP$114,MATCH($C13,'LAMINA_HORA'!$A$5:$A$114,0),MATCH(X13,'LAMINA_HORA'!$W$3:$AP$3,0)),"?"))</f>
        <v/>
      </c>
      <c r="AA13" s="20" t="n"/>
      <c r="AB13" s="27">
        <f>IF(OR($C13="",AA13=""),"",IFERROR(INDEX('LAMINA_HORA'!$C$5:$V$114,MATCH($C13,'LAMINA_HORA'!$A$5:$A$114,0),MATCH(AA13,'LAMINA_HORA'!$C$3:$V$3,0)),"?"))</f>
        <v/>
      </c>
      <c r="AC13" s="27">
        <f>IF(OR($C13="",AA13=""),"",IFERROR(INDEX('LAMINA_HORA'!$W$5:$AP$114,MATCH($C13,'LAMINA_HORA'!$A$5:$A$114,0),MATCH(AA13,'LAMINA_HORA'!$W$3:$AP$3,0)),"?"))</f>
        <v/>
      </c>
      <c r="AD13" s="13">
        <f>SUM(J13,M13,P13,S13,V13,Y13,AB13)</f>
        <v/>
      </c>
      <c r="AE13" s="15">
        <f>IF(OR($D13="",AD13=""),"",AD13*$D13*10)</f>
        <v/>
      </c>
      <c r="AF13" s="28" t="n"/>
      <c r="AG13" s="15">
        <f>IF(OR(AE13="",AF13=""),"",AE13*AF13)</f>
        <v/>
      </c>
      <c r="AH13" s="28" t="n"/>
      <c r="AI13" s="20" t="n"/>
      <c r="AJ13" s="19" t="n"/>
    </row>
    <row r="14">
      <c r="A14" s="6" t="inlineStr">
        <is>
          <t>R15</t>
        </is>
      </c>
      <c r="B14" s="6" t="inlineStr">
        <is>
          <t>Pivô 59</t>
        </is>
      </c>
      <c r="C14" s="20" t="inlineStr">
        <is>
          <t>P59</t>
        </is>
      </c>
      <c r="D14" s="7" t="n">
        <v>144.4</v>
      </c>
      <c r="E14" s="20" t="n"/>
      <c r="F14" s="20" t="n"/>
      <c r="G14" s="20" t="n"/>
      <c r="H14" s="20" t="n"/>
      <c r="I14" s="20" t="n"/>
      <c r="J14" s="27">
        <f>IF(OR($C14="",I14=""),"",IFERROR(INDEX('LAMINA_HORA'!$C$5:$V$114,MATCH($C14,'LAMINA_HORA'!$A$5:$A$114,0),MATCH(I14,'LAMINA_HORA'!$C$3:$V$3,0)),"?"))</f>
        <v/>
      </c>
      <c r="K14" s="27">
        <f>IF(OR($C14="",I14=""),"",IFERROR(INDEX('LAMINA_HORA'!$W$5:$AP$114,MATCH($C14,'LAMINA_HORA'!$A$5:$A$114,0),MATCH(I14,'LAMINA_HORA'!$W$3:$AP$3,0)),"?"))</f>
        <v/>
      </c>
      <c r="L14" s="20" t="n"/>
      <c r="M14" s="27">
        <f>IF(OR($C14="",L14=""),"",IFERROR(INDEX('LAMINA_HORA'!$C$5:$V$114,MATCH($C14,'LAMINA_HORA'!$A$5:$A$114,0),MATCH(L14,'LAMINA_HORA'!$C$3:$V$3,0)),"?"))</f>
        <v/>
      </c>
      <c r="N14" s="27">
        <f>IF(OR($C14="",L14=""),"",IFERROR(INDEX('LAMINA_HORA'!$W$5:$AP$114,MATCH($C14,'LAMINA_HORA'!$A$5:$A$114,0),MATCH(L14,'LAMINA_HORA'!$W$3:$AP$3,0)),"?"))</f>
        <v/>
      </c>
      <c r="O14" s="20" t="n"/>
      <c r="P14" s="27">
        <f>IF(OR($C14="",O14=""),"",IFERROR(INDEX('LAMINA_HORA'!$C$5:$V$114,MATCH($C14,'LAMINA_HORA'!$A$5:$A$114,0),MATCH(O14,'LAMINA_HORA'!$C$3:$V$3,0)),"?"))</f>
        <v/>
      </c>
      <c r="Q14" s="27">
        <f>IF(OR($C14="",O14=""),"",IFERROR(INDEX('LAMINA_HORA'!$W$5:$AP$114,MATCH($C14,'LAMINA_HORA'!$A$5:$A$114,0),MATCH(O14,'LAMINA_HORA'!$W$3:$AP$3,0)),"?"))</f>
        <v/>
      </c>
      <c r="R14" s="20" t="n"/>
      <c r="S14" s="27">
        <f>IF(OR($C14="",R14=""),"",IFERROR(INDEX('LAMINA_HORA'!$C$5:$V$114,MATCH($C14,'LAMINA_HORA'!$A$5:$A$114,0),MATCH(R14,'LAMINA_HORA'!$C$3:$V$3,0)),"?"))</f>
        <v/>
      </c>
      <c r="T14" s="27">
        <f>IF(OR($C14="",R14=""),"",IFERROR(INDEX('LAMINA_HORA'!$W$5:$AP$114,MATCH($C14,'LAMINA_HORA'!$A$5:$A$114,0),MATCH(R14,'LAMINA_HORA'!$W$3:$AP$3,0)),"?"))</f>
        <v/>
      </c>
      <c r="U14" s="20" t="n"/>
      <c r="V14" s="27">
        <f>IF(OR($C14="",U14=""),"",IFERROR(INDEX('LAMINA_HORA'!$C$5:$V$114,MATCH($C14,'LAMINA_HORA'!$A$5:$A$114,0),MATCH(U14,'LAMINA_HORA'!$C$3:$V$3,0)),"?"))</f>
        <v/>
      </c>
      <c r="W14" s="27">
        <f>IF(OR($C14="",U14=""),"",IFERROR(INDEX('LAMINA_HORA'!$W$5:$AP$114,MATCH($C14,'LAMINA_HORA'!$A$5:$A$114,0),MATCH(U14,'LAMINA_HORA'!$W$3:$AP$3,0)),"?"))</f>
        <v/>
      </c>
      <c r="X14" s="20" t="n"/>
      <c r="Y14" s="27">
        <f>IF(OR($C14="",X14=""),"",IFERROR(INDEX('LAMINA_HORA'!$C$5:$V$114,MATCH($C14,'LAMINA_HORA'!$A$5:$A$114,0),MATCH(X14,'LAMINA_HORA'!$C$3:$V$3,0)),"?"))</f>
        <v/>
      </c>
      <c r="Z14" s="27">
        <f>IF(OR($C14="",X14=""),"",IFERROR(INDEX('LAMINA_HORA'!$W$5:$AP$114,MATCH($C14,'LAMINA_HORA'!$A$5:$A$114,0),MATCH(X14,'LAMINA_HORA'!$W$3:$AP$3,0)),"?"))</f>
        <v/>
      </c>
      <c r="AA14" s="20" t="n"/>
      <c r="AB14" s="27">
        <f>IF(OR($C14="",AA14=""),"",IFERROR(INDEX('LAMINA_HORA'!$C$5:$V$114,MATCH($C14,'LAMINA_HORA'!$A$5:$A$114,0),MATCH(AA14,'LAMINA_HORA'!$C$3:$V$3,0)),"?"))</f>
        <v/>
      </c>
      <c r="AC14" s="27">
        <f>IF(OR($C14="",AA14=""),"",IFERROR(INDEX('LAMINA_HORA'!$W$5:$AP$114,MATCH($C14,'LAMINA_HORA'!$A$5:$A$114,0),MATCH(AA14,'LAMINA_HORA'!$W$3:$AP$3,0)),"?"))</f>
        <v/>
      </c>
      <c r="AD14" s="13">
        <f>SUM(J14,M14,P14,S14,V14,Y14,AB14)</f>
        <v/>
      </c>
      <c r="AE14" s="15">
        <f>IF(OR($D14="",AD14=""),"",AD14*$D14*10)</f>
        <v/>
      </c>
      <c r="AF14" s="28" t="n"/>
      <c r="AG14" s="15">
        <f>IF(OR(AE14="",AF14=""),"",AE14*AF14)</f>
        <v/>
      </c>
      <c r="AH14" s="28" t="n"/>
      <c r="AI14" s="20" t="n"/>
      <c r="AJ14" s="19" t="n"/>
    </row>
    <row r="15">
      <c r="A15" s="6" t="inlineStr">
        <is>
          <t>R15</t>
        </is>
      </c>
      <c r="B15" s="6" t="inlineStr">
        <is>
          <t>Pivô 60</t>
        </is>
      </c>
      <c r="C15" s="20" t="inlineStr">
        <is>
          <t>P60</t>
        </is>
      </c>
      <c r="D15" s="7" t="n">
        <v>150.24</v>
      </c>
      <c r="E15" s="20" t="n"/>
      <c r="F15" s="20" t="n"/>
      <c r="G15" s="20" t="n"/>
      <c r="H15" s="20" t="n"/>
      <c r="I15" s="20" t="n"/>
      <c r="J15" s="27">
        <f>IF(OR($C15="",I15=""),"",IFERROR(INDEX('LAMINA_HORA'!$C$5:$V$114,MATCH($C15,'LAMINA_HORA'!$A$5:$A$114,0),MATCH(I15,'LAMINA_HORA'!$C$3:$V$3,0)),"?"))</f>
        <v/>
      </c>
      <c r="K15" s="27">
        <f>IF(OR($C15="",I15=""),"",IFERROR(INDEX('LAMINA_HORA'!$W$5:$AP$114,MATCH($C15,'LAMINA_HORA'!$A$5:$A$114,0),MATCH(I15,'LAMINA_HORA'!$W$3:$AP$3,0)),"?"))</f>
        <v/>
      </c>
      <c r="L15" s="20" t="n"/>
      <c r="M15" s="27">
        <f>IF(OR($C15="",L15=""),"",IFERROR(INDEX('LAMINA_HORA'!$C$5:$V$114,MATCH($C15,'LAMINA_HORA'!$A$5:$A$114,0),MATCH(L15,'LAMINA_HORA'!$C$3:$V$3,0)),"?"))</f>
        <v/>
      </c>
      <c r="N15" s="27">
        <f>IF(OR($C15="",L15=""),"",IFERROR(INDEX('LAMINA_HORA'!$W$5:$AP$114,MATCH($C15,'LAMINA_HORA'!$A$5:$A$114,0),MATCH(L15,'LAMINA_HORA'!$W$3:$AP$3,0)),"?"))</f>
        <v/>
      </c>
      <c r="O15" s="20" t="n"/>
      <c r="P15" s="27">
        <f>IF(OR($C15="",O15=""),"",IFERROR(INDEX('LAMINA_HORA'!$C$5:$V$114,MATCH($C15,'LAMINA_HORA'!$A$5:$A$114,0),MATCH(O15,'LAMINA_HORA'!$C$3:$V$3,0)),"?"))</f>
        <v/>
      </c>
      <c r="Q15" s="27">
        <f>IF(OR($C15="",O15=""),"",IFERROR(INDEX('LAMINA_HORA'!$W$5:$AP$114,MATCH($C15,'LAMINA_HORA'!$A$5:$A$114,0),MATCH(O15,'LAMINA_HORA'!$W$3:$AP$3,0)),"?"))</f>
        <v/>
      </c>
      <c r="R15" s="20" t="n"/>
      <c r="S15" s="27">
        <f>IF(OR($C15="",R15=""),"",IFERROR(INDEX('LAMINA_HORA'!$C$5:$V$114,MATCH($C15,'LAMINA_HORA'!$A$5:$A$114,0),MATCH(R15,'LAMINA_HORA'!$C$3:$V$3,0)),"?"))</f>
        <v/>
      </c>
      <c r="T15" s="27">
        <f>IF(OR($C15="",R15=""),"",IFERROR(INDEX('LAMINA_HORA'!$W$5:$AP$114,MATCH($C15,'LAMINA_HORA'!$A$5:$A$114,0),MATCH(R15,'LAMINA_HORA'!$W$3:$AP$3,0)),"?"))</f>
        <v/>
      </c>
      <c r="U15" s="20" t="n"/>
      <c r="V15" s="27">
        <f>IF(OR($C15="",U15=""),"",IFERROR(INDEX('LAMINA_HORA'!$C$5:$V$114,MATCH($C15,'LAMINA_HORA'!$A$5:$A$114,0),MATCH(U15,'LAMINA_HORA'!$C$3:$V$3,0)),"?"))</f>
        <v/>
      </c>
      <c r="W15" s="27">
        <f>IF(OR($C15="",U15=""),"",IFERROR(INDEX('LAMINA_HORA'!$W$5:$AP$114,MATCH($C15,'LAMINA_HORA'!$A$5:$A$114,0),MATCH(U15,'LAMINA_HORA'!$W$3:$AP$3,0)),"?"))</f>
        <v/>
      </c>
      <c r="X15" s="20" t="n"/>
      <c r="Y15" s="27">
        <f>IF(OR($C15="",X15=""),"",IFERROR(INDEX('LAMINA_HORA'!$C$5:$V$114,MATCH($C15,'LAMINA_HORA'!$A$5:$A$114,0),MATCH(X15,'LAMINA_HORA'!$C$3:$V$3,0)),"?"))</f>
        <v/>
      </c>
      <c r="Z15" s="27">
        <f>IF(OR($C15="",X15=""),"",IFERROR(INDEX('LAMINA_HORA'!$W$5:$AP$114,MATCH($C15,'LAMINA_HORA'!$A$5:$A$114,0),MATCH(X15,'LAMINA_HORA'!$W$3:$AP$3,0)),"?"))</f>
        <v/>
      </c>
      <c r="AA15" s="20" t="n"/>
      <c r="AB15" s="27">
        <f>IF(OR($C15="",AA15=""),"",IFERROR(INDEX('LAMINA_HORA'!$C$5:$V$114,MATCH($C15,'LAMINA_HORA'!$A$5:$A$114,0),MATCH(AA15,'LAMINA_HORA'!$C$3:$V$3,0)),"?"))</f>
        <v/>
      </c>
      <c r="AC15" s="27">
        <f>IF(OR($C15="",AA15=""),"",IFERROR(INDEX('LAMINA_HORA'!$W$5:$AP$114,MATCH($C15,'LAMINA_HORA'!$A$5:$A$114,0),MATCH(AA15,'LAMINA_HORA'!$W$3:$AP$3,0)),"?"))</f>
        <v/>
      </c>
      <c r="AD15" s="13">
        <f>SUM(J15,M15,P15,S15,V15,Y15,AB15)</f>
        <v/>
      </c>
      <c r="AE15" s="15">
        <f>IF(OR($D15="",AD15=""),"",AD15*$D15*10)</f>
        <v/>
      </c>
      <c r="AF15" s="28" t="n"/>
      <c r="AG15" s="15">
        <f>IF(OR(AE15="",AF15=""),"",AE15*AF15)</f>
        <v/>
      </c>
      <c r="AH15" s="28" t="n"/>
      <c r="AI15" s="20" t="n"/>
      <c r="AJ15" s="19" t="n"/>
    </row>
    <row r="16">
      <c r="A16" s="6" t="inlineStr">
        <is>
          <t>R16</t>
        </is>
      </c>
      <c r="B16" s="6" t="inlineStr">
        <is>
          <t>Pivô 61</t>
        </is>
      </c>
      <c r="C16" s="20" t="inlineStr">
        <is>
          <t>P61</t>
        </is>
      </c>
      <c r="D16" s="7" t="n">
        <v>145.71</v>
      </c>
      <c r="E16" s="20" t="n"/>
      <c r="F16" s="20" t="n"/>
      <c r="G16" s="20" t="n"/>
      <c r="H16" s="20" t="n"/>
      <c r="I16" s="20" t="n"/>
      <c r="J16" s="27">
        <f>IF(OR($C16="",I16=""),"",IFERROR(INDEX('LAMINA_HORA'!$C$5:$V$114,MATCH($C16,'LAMINA_HORA'!$A$5:$A$114,0),MATCH(I16,'LAMINA_HORA'!$C$3:$V$3,0)),"?"))</f>
        <v/>
      </c>
      <c r="K16" s="27">
        <f>IF(OR($C16="",I16=""),"",IFERROR(INDEX('LAMINA_HORA'!$W$5:$AP$114,MATCH($C16,'LAMINA_HORA'!$A$5:$A$114,0),MATCH(I16,'LAMINA_HORA'!$W$3:$AP$3,0)),"?"))</f>
        <v/>
      </c>
      <c r="L16" s="20" t="n"/>
      <c r="M16" s="27">
        <f>IF(OR($C16="",L16=""),"",IFERROR(INDEX('LAMINA_HORA'!$C$5:$V$114,MATCH($C16,'LAMINA_HORA'!$A$5:$A$114,0),MATCH(L16,'LAMINA_HORA'!$C$3:$V$3,0)),"?"))</f>
        <v/>
      </c>
      <c r="N16" s="27">
        <f>IF(OR($C16="",L16=""),"",IFERROR(INDEX('LAMINA_HORA'!$W$5:$AP$114,MATCH($C16,'LAMINA_HORA'!$A$5:$A$114,0),MATCH(L16,'LAMINA_HORA'!$W$3:$AP$3,0)),"?"))</f>
        <v/>
      </c>
      <c r="O16" s="20" t="n"/>
      <c r="P16" s="27">
        <f>IF(OR($C16="",O16=""),"",IFERROR(INDEX('LAMINA_HORA'!$C$5:$V$114,MATCH($C16,'LAMINA_HORA'!$A$5:$A$114,0),MATCH(O16,'LAMINA_HORA'!$C$3:$V$3,0)),"?"))</f>
        <v/>
      </c>
      <c r="Q16" s="27">
        <f>IF(OR($C16="",O16=""),"",IFERROR(INDEX('LAMINA_HORA'!$W$5:$AP$114,MATCH($C16,'LAMINA_HORA'!$A$5:$A$114,0),MATCH(O16,'LAMINA_HORA'!$W$3:$AP$3,0)),"?"))</f>
        <v/>
      </c>
      <c r="R16" s="20" t="n"/>
      <c r="S16" s="27">
        <f>IF(OR($C16="",R16=""),"",IFERROR(INDEX('LAMINA_HORA'!$C$5:$V$114,MATCH($C16,'LAMINA_HORA'!$A$5:$A$114,0),MATCH(R16,'LAMINA_HORA'!$C$3:$V$3,0)),"?"))</f>
        <v/>
      </c>
      <c r="T16" s="27">
        <f>IF(OR($C16="",R16=""),"",IFERROR(INDEX('LAMINA_HORA'!$W$5:$AP$114,MATCH($C16,'LAMINA_HORA'!$A$5:$A$114,0),MATCH(R16,'LAMINA_HORA'!$W$3:$AP$3,0)),"?"))</f>
        <v/>
      </c>
      <c r="U16" s="20" t="n"/>
      <c r="V16" s="27">
        <f>IF(OR($C16="",U16=""),"",IFERROR(INDEX('LAMINA_HORA'!$C$5:$V$114,MATCH($C16,'LAMINA_HORA'!$A$5:$A$114,0),MATCH(U16,'LAMINA_HORA'!$C$3:$V$3,0)),"?"))</f>
        <v/>
      </c>
      <c r="W16" s="27">
        <f>IF(OR($C16="",U16=""),"",IFERROR(INDEX('LAMINA_HORA'!$W$5:$AP$114,MATCH($C16,'LAMINA_HORA'!$A$5:$A$114,0),MATCH(U16,'LAMINA_HORA'!$W$3:$AP$3,0)),"?"))</f>
        <v/>
      </c>
      <c r="X16" s="20" t="n"/>
      <c r="Y16" s="27">
        <f>IF(OR($C16="",X16=""),"",IFERROR(INDEX('LAMINA_HORA'!$C$5:$V$114,MATCH($C16,'LAMINA_HORA'!$A$5:$A$114,0),MATCH(X16,'LAMINA_HORA'!$C$3:$V$3,0)),"?"))</f>
        <v/>
      </c>
      <c r="Z16" s="27">
        <f>IF(OR($C16="",X16=""),"",IFERROR(INDEX('LAMINA_HORA'!$W$5:$AP$114,MATCH($C16,'LAMINA_HORA'!$A$5:$A$114,0),MATCH(X16,'LAMINA_HORA'!$W$3:$AP$3,0)),"?"))</f>
        <v/>
      </c>
      <c r="AA16" s="20" t="n"/>
      <c r="AB16" s="27">
        <f>IF(OR($C16="",AA16=""),"",IFERROR(INDEX('LAMINA_HORA'!$C$5:$V$114,MATCH($C16,'LAMINA_HORA'!$A$5:$A$114,0),MATCH(AA16,'LAMINA_HORA'!$C$3:$V$3,0)),"?"))</f>
        <v/>
      </c>
      <c r="AC16" s="27">
        <f>IF(OR($C16="",AA16=""),"",IFERROR(INDEX('LAMINA_HORA'!$W$5:$AP$114,MATCH($C16,'LAMINA_HORA'!$A$5:$A$114,0),MATCH(AA16,'LAMINA_HORA'!$W$3:$AP$3,0)),"?"))</f>
        <v/>
      </c>
      <c r="AD16" s="13">
        <f>SUM(J16,M16,P16,S16,V16,Y16,AB16)</f>
        <v/>
      </c>
      <c r="AE16" s="15">
        <f>IF(OR($D16="",AD16=""),"",AD16*$D16*10)</f>
        <v/>
      </c>
      <c r="AF16" s="28" t="n"/>
      <c r="AG16" s="15">
        <f>IF(OR(AE16="",AF16=""),"",AE16*AF16)</f>
        <v/>
      </c>
      <c r="AH16" s="28" t="n"/>
      <c r="AI16" s="20" t="n"/>
      <c r="AJ16" s="19" t="n"/>
    </row>
    <row r="17">
      <c r="A17" s="6" t="inlineStr">
        <is>
          <t>R16</t>
        </is>
      </c>
      <c r="B17" s="6" t="inlineStr">
        <is>
          <t>Pivô 62</t>
        </is>
      </c>
      <c r="C17" s="20" t="inlineStr">
        <is>
          <t>P62</t>
        </is>
      </c>
      <c r="D17" s="7" t="n">
        <v>140.89</v>
      </c>
      <c r="E17" s="20" t="n"/>
      <c r="F17" s="20" t="n"/>
      <c r="G17" s="20" t="n"/>
      <c r="H17" s="20" t="n"/>
      <c r="I17" s="20" t="n"/>
      <c r="J17" s="27">
        <f>IF(OR($C17="",I17=""),"",IFERROR(INDEX('LAMINA_HORA'!$C$5:$V$114,MATCH($C17,'LAMINA_HORA'!$A$5:$A$114,0),MATCH(I17,'LAMINA_HORA'!$C$3:$V$3,0)),"?"))</f>
        <v/>
      </c>
      <c r="K17" s="27">
        <f>IF(OR($C17="",I17=""),"",IFERROR(INDEX('LAMINA_HORA'!$W$5:$AP$114,MATCH($C17,'LAMINA_HORA'!$A$5:$A$114,0),MATCH(I17,'LAMINA_HORA'!$W$3:$AP$3,0)),"?"))</f>
        <v/>
      </c>
      <c r="L17" s="20" t="n"/>
      <c r="M17" s="27">
        <f>IF(OR($C17="",L17=""),"",IFERROR(INDEX('LAMINA_HORA'!$C$5:$V$114,MATCH($C17,'LAMINA_HORA'!$A$5:$A$114,0),MATCH(L17,'LAMINA_HORA'!$C$3:$V$3,0)),"?"))</f>
        <v/>
      </c>
      <c r="N17" s="27">
        <f>IF(OR($C17="",L17=""),"",IFERROR(INDEX('LAMINA_HORA'!$W$5:$AP$114,MATCH($C17,'LAMINA_HORA'!$A$5:$A$114,0),MATCH(L17,'LAMINA_HORA'!$W$3:$AP$3,0)),"?"))</f>
        <v/>
      </c>
      <c r="O17" s="20" t="n"/>
      <c r="P17" s="27">
        <f>IF(OR($C17="",O17=""),"",IFERROR(INDEX('LAMINA_HORA'!$C$5:$V$114,MATCH($C17,'LAMINA_HORA'!$A$5:$A$114,0),MATCH(O17,'LAMINA_HORA'!$C$3:$V$3,0)),"?"))</f>
        <v/>
      </c>
      <c r="Q17" s="27">
        <f>IF(OR($C17="",O17=""),"",IFERROR(INDEX('LAMINA_HORA'!$W$5:$AP$114,MATCH($C17,'LAMINA_HORA'!$A$5:$A$114,0),MATCH(O17,'LAMINA_HORA'!$W$3:$AP$3,0)),"?"))</f>
        <v/>
      </c>
      <c r="R17" s="20" t="n"/>
      <c r="S17" s="27">
        <f>IF(OR($C17="",R17=""),"",IFERROR(INDEX('LAMINA_HORA'!$C$5:$V$114,MATCH($C17,'LAMINA_HORA'!$A$5:$A$114,0),MATCH(R17,'LAMINA_HORA'!$C$3:$V$3,0)),"?"))</f>
        <v/>
      </c>
      <c r="T17" s="27">
        <f>IF(OR($C17="",R17=""),"",IFERROR(INDEX('LAMINA_HORA'!$W$5:$AP$114,MATCH($C17,'LAMINA_HORA'!$A$5:$A$114,0),MATCH(R17,'LAMINA_HORA'!$W$3:$AP$3,0)),"?"))</f>
        <v/>
      </c>
      <c r="U17" s="20" t="n"/>
      <c r="V17" s="27">
        <f>IF(OR($C17="",U17=""),"",IFERROR(INDEX('LAMINA_HORA'!$C$5:$V$114,MATCH($C17,'LAMINA_HORA'!$A$5:$A$114,0),MATCH(U17,'LAMINA_HORA'!$C$3:$V$3,0)),"?"))</f>
        <v/>
      </c>
      <c r="W17" s="27">
        <f>IF(OR($C17="",U17=""),"",IFERROR(INDEX('LAMINA_HORA'!$W$5:$AP$114,MATCH($C17,'LAMINA_HORA'!$A$5:$A$114,0),MATCH(U17,'LAMINA_HORA'!$W$3:$AP$3,0)),"?"))</f>
        <v/>
      </c>
      <c r="X17" s="20" t="n"/>
      <c r="Y17" s="27">
        <f>IF(OR($C17="",X17=""),"",IFERROR(INDEX('LAMINA_HORA'!$C$5:$V$114,MATCH($C17,'LAMINA_HORA'!$A$5:$A$114,0),MATCH(X17,'LAMINA_HORA'!$C$3:$V$3,0)),"?"))</f>
        <v/>
      </c>
      <c r="Z17" s="27">
        <f>IF(OR($C17="",X17=""),"",IFERROR(INDEX('LAMINA_HORA'!$W$5:$AP$114,MATCH($C17,'LAMINA_HORA'!$A$5:$A$114,0),MATCH(X17,'LAMINA_HORA'!$W$3:$AP$3,0)),"?"))</f>
        <v/>
      </c>
      <c r="AA17" s="20" t="n"/>
      <c r="AB17" s="27">
        <f>IF(OR($C17="",AA17=""),"",IFERROR(INDEX('LAMINA_HORA'!$C$5:$V$114,MATCH($C17,'LAMINA_HORA'!$A$5:$A$114,0),MATCH(AA17,'LAMINA_HORA'!$C$3:$V$3,0)),"?"))</f>
        <v/>
      </c>
      <c r="AC17" s="27">
        <f>IF(OR($C17="",AA17=""),"",IFERROR(INDEX('LAMINA_HORA'!$W$5:$AP$114,MATCH($C17,'LAMINA_HORA'!$A$5:$A$114,0),MATCH(AA17,'LAMINA_HORA'!$W$3:$AP$3,0)),"?"))</f>
        <v/>
      </c>
      <c r="AD17" s="13">
        <f>SUM(J17,M17,P17,S17,V17,Y17,AB17)</f>
        <v/>
      </c>
      <c r="AE17" s="15">
        <f>IF(OR($D17="",AD17=""),"",AD17*$D17*10)</f>
        <v/>
      </c>
      <c r="AF17" s="28" t="n"/>
      <c r="AG17" s="15">
        <f>IF(OR(AE17="",AF17=""),"",AE17*AF17)</f>
        <v/>
      </c>
      <c r="AH17" s="28" t="n"/>
      <c r="AI17" s="20" t="n"/>
      <c r="AJ17" s="19" t="n"/>
    </row>
    <row r="18">
      <c r="A18" s="6" t="inlineStr">
        <is>
          <t>R18</t>
        </is>
      </c>
      <c r="B18" s="6" t="inlineStr">
        <is>
          <t>Pivô 63</t>
        </is>
      </c>
      <c r="C18" s="20" t="inlineStr">
        <is>
          <t>P63</t>
        </is>
      </c>
      <c r="D18" s="7" t="n">
        <v>80.15000000000001</v>
      </c>
      <c r="E18" s="20" t="n"/>
      <c r="F18" s="20" t="n"/>
      <c r="G18" s="20" t="n"/>
      <c r="H18" s="20" t="n"/>
      <c r="I18" s="20" t="n"/>
      <c r="J18" s="27">
        <f>IF(OR($C18="",I18=""),"",IFERROR(INDEX('LAMINA_HORA'!$C$5:$V$114,MATCH($C18,'LAMINA_HORA'!$A$5:$A$114,0),MATCH(I18,'LAMINA_HORA'!$C$3:$V$3,0)),"?"))</f>
        <v/>
      </c>
      <c r="K18" s="27">
        <f>IF(OR($C18="",I18=""),"",IFERROR(INDEX('LAMINA_HORA'!$W$5:$AP$114,MATCH($C18,'LAMINA_HORA'!$A$5:$A$114,0),MATCH(I18,'LAMINA_HORA'!$W$3:$AP$3,0)),"?"))</f>
        <v/>
      </c>
      <c r="L18" s="20" t="n"/>
      <c r="M18" s="27">
        <f>IF(OR($C18="",L18=""),"",IFERROR(INDEX('LAMINA_HORA'!$C$5:$V$114,MATCH($C18,'LAMINA_HORA'!$A$5:$A$114,0),MATCH(L18,'LAMINA_HORA'!$C$3:$V$3,0)),"?"))</f>
        <v/>
      </c>
      <c r="N18" s="27">
        <f>IF(OR($C18="",L18=""),"",IFERROR(INDEX('LAMINA_HORA'!$W$5:$AP$114,MATCH($C18,'LAMINA_HORA'!$A$5:$A$114,0),MATCH(L18,'LAMINA_HORA'!$W$3:$AP$3,0)),"?"))</f>
        <v/>
      </c>
      <c r="O18" s="20" t="n"/>
      <c r="P18" s="27">
        <f>IF(OR($C18="",O18=""),"",IFERROR(INDEX('LAMINA_HORA'!$C$5:$V$114,MATCH($C18,'LAMINA_HORA'!$A$5:$A$114,0),MATCH(O18,'LAMINA_HORA'!$C$3:$V$3,0)),"?"))</f>
        <v/>
      </c>
      <c r="Q18" s="27">
        <f>IF(OR($C18="",O18=""),"",IFERROR(INDEX('LAMINA_HORA'!$W$5:$AP$114,MATCH($C18,'LAMINA_HORA'!$A$5:$A$114,0),MATCH(O18,'LAMINA_HORA'!$W$3:$AP$3,0)),"?"))</f>
        <v/>
      </c>
      <c r="R18" s="20" t="n"/>
      <c r="S18" s="27">
        <f>IF(OR($C18="",R18=""),"",IFERROR(INDEX('LAMINA_HORA'!$C$5:$V$114,MATCH($C18,'LAMINA_HORA'!$A$5:$A$114,0),MATCH(R18,'LAMINA_HORA'!$C$3:$V$3,0)),"?"))</f>
        <v/>
      </c>
      <c r="T18" s="27">
        <f>IF(OR($C18="",R18=""),"",IFERROR(INDEX('LAMINA_HORA'!$W$5:$AP$114,MATCH($C18,'LAMINA_HORA'!$A$5:$A$114,0),MATCH(R18,'LAMINA_HORA'!$W$3:$AP$3,0)),"?"))</f>
        <v/>
      </c>
      <c r="U18" s="20" t="n"/>
      <c r="V18" s="27">
        <f>IF(OR($C18="",U18=""),"",IFERROR(INDEX('LAMINA_HORA'!$C$5:$V$114,MATCH($C18,'LAMINA_HORA'!$A$5:$A$114,0),MATCH(U18,'LAMINA_HORA'!$C$3:$V$3,0)),"?"))</f>
        <v/>
      </c>
      <c r="W18" s="27">
        <f>IF(OR($C18="",U18=""),"",IFERROR(INDEX('LAMINA_HORA'!$W$5:$AP$114,MATCH($C18,'LAMINA_HORA'!$A$5:$A$114,0),MATCH(U18,'LAMINA_HORA'!$W$3:$AP$3,0)),"?"))</f>
        <v/>
      </c>
      <c r="X18" s="20" t="n"/>
      <c r="Y18" s="27">
        <f>IF(OR($C18="",X18=""),"",IFERROR(INDEX('LAMINA_HORA'!$C$5:$V$114,MATCH($C18,'LAMINA_HORA'!$A$5:$A$114,0),MATCH(X18,'LAMINA_HORA'!$C$3:$V$3,0)),"?"))</f>
        <v/>
      </c>
      <c r="Z18" s="27">
        <f>IF(OR($C18="",X18=""),"",IFERROR(INDEX('LAMINA_HORA'!$W$5:$AP$114,MATCH($C18,'LAMINA_HORA'!$A$5:$A$114,0),MATCH(X18,'LAMINA_HORA'!$W$3:$AP$3,0)),"?"))</f>
        <v/>
      </c>
      <c r="AA18" s="20" t="n"/>
      <c r="AB18" s="27">
        <f>IF(OR($C18="",AA18=""),"",IFERROR(INDEX('LAMINA_HORA'!$C$5:$V$114,MATCH($C18,'LAMINA_HORA'!$A$5:$A$114,0),MATCH(AA18,'LAMINA_HORA'!$C$3:$V$3,0)),"?"))</f>
        <v/>
      </c>
      <c r="AC18" s="27">
        <f>IF(OR($C18="",AA18=""),"",IFERROR(INDEX('LAMINA_HORA'!$W$5:$AP$114,MATCH($C18,'LAMINA_HORA'!$A$5:$A$114,0),MATCH(AA18,'LAMINA_HORA'!$W$3:$AP$3,0)),"?"))</f>
        <v/>
      </c>
      <c r="AD18" s="13">
        <f>SUM(J18,M18,P18,S18,V18,Y18,AB18)</f>
        <v/>
      </c>
      <c r="AE18" s="15">
        <f>IF(OR($D18="",AD18=""),"",AD18*$D18*10)</f>
        <v/>
      </c>
      <c r="AF18" s="28" t="n"/>
      <c r="AG18" s="15">
        <f>IF(OR(AE18="",AF18=""),"",AE18*AF18)</f>
        <v/>
      </c>
      <c r="AH18" s="28" t="n"/>
      <c r="AI18" s="20" t="n"/>
      <c r="AJ18" s="19" t="n"/>
    </row>
    <row r="19">
      <c r="A19" s="6" t="inlineStr">
        <is>
          <t>R18</t>
        </is>
      </c>
      <c r="B19" s="6" t="inlineStr">
        <is>
          <t>Pivô 64</t>
        </is>
      </c>
      <c r="C19" s="20" t="inlineStr">
        <is>
          <t>P64</t>
        </is>
      </c>
      <c r="D19" s="7" t="n">
        <v>80.15000000000001</v>
      </c>
      <c r="E19" s="20" t="n"/>
      <c r="F19" s="20" t="n"/>
      <c r="G19" s="20" t="n"/>
      <c r="H19" s="20" t="n"/>
      <c r="I19" s="20" t="n"/>
      <c r="J19" s="27">
        <f>IF(OR($C19="",I19=""),"",IFERROR(INDEX('LAMINA_HORA'!$C$5:$V$114,MATCH($C19,'LAMINA_HORA'!$A$5:$A$114,0),MATCH(I19,'LAMINA_HORA'!$C$3:$V$3,0)),"?"))</f>
        <v/>
      </c>
      <c r="K19" s="27">
        <f>IF(OR($C19="",I19=""),"",IFERROR(INDEX('LAMINA_HORA'!$W$5:$AP$114,MATCH($C19,'LAMINA_HORA'!$A$5:$A$114,0),MATCH(I19,'LAMINA_HORA'!$W$3:$AP$3,0)),"?"))</f>
        <v/>
      </c>
      <c r="L19" s="20" t="n"/>
      <c r="M19" s="27">
        <f>IF(OR($C19="",L19=""),"",IFERROR(INDEX('LAMINA_HORA'!$C$5:$V$114,MATCH($C19,'LAMINA_HORA'!$A$5:$A$114,0),MATCH(L19,'LAMINA_HORA'!$C$3:$V$3,0)),"?"))</f>
        <v/>
      </c>
      <c r="N19" s="27">
        <f>IF(OR($C19="",L19=""),"",IFERROR(INDEX('LAMINA_HORA'!$W$5:$AP$114,MATCH($C19,'LAMINA_HORA'!$A$5:$A$114,0),MATCH(L19,'LAMINA_HORA'!$W$3:$AP$3,0)),"?"))</f>
        <v/>
      </c>
      <c r="O19" s="20" t="n"/>
      <c r="P19" s="27">
        <f>IF(OR($C19="",O19=""),"",IFERROR(INDEX('LAMINA_HORA'!$C$5:$V$114,MATCH($C19,'LAMINA_HORA'!$A$5:$A$114,0),MATCH(O19,'LAMINA_HORA'!$C$3:$V$3,0)),"?"))</f>
        <v/>
      </c>
      <c r="Q19" s="27">
        <f>IF(OR($C19="",O19=""),"",IFERROR(INDEX('LAMINA_HORA'!$W$5:$AP$114,MATCH($C19,'LAMINA_HORA'!$A$5:$A$114,0),MATCH(O19,'LAMINA_HORA'!$W$3:$AP$3,0)),"?"))</f>
        <v/>
      </c>
      <c r="R19" s="20" t="n"/>
      <c r="S19" s="27">
        <f>IF(OR($C19="",R19=""),"",IFERROR(INDEX('LAMINA_HORA'!$C$5:$V$114,MATCH($C19,'LAMINA_HORA'!$A$5:$A$114,0),MATCH(R19,'LAMINA_HORA'!$C$3:$V$3,0)),"?"))</f>
        <v/>
      </c>
      <c r="T19" s="27">
        <f>IF(OR($C19="",R19=""),"",IFERROR(INDEX('LAMINA_HORA'!$W$5:$AP$114,MATCH($C19,'LAMINA_HORA'!$A$5:$A$114,0),MATCH(R19,'LAMINA_HORA'!$W$3:$AP$3,0)),"?"))</f>
        <v/>
      </c>
      <c r="U19" s="20" t="n"/>
      <c r="V19" s="27">
        <f>IF(OR($C19="",U19=""),"",IFERROR(INDEX('LAMINA_HORA'!$C$5:$V$114,MATCH($C19,'LAMINA_HORA'!$A$5:$A$114,0),MATCH(U19,'LAMINA_HORA'!$C$3:$V$3,0)),"?"))</f>
        <v/>
      </c>
      <c r="W19" s="27">
        <f>IF(OR($C19="",U19=""),"",IFERROR(INDEX('LAMINA_HORA'!$W$5:$AP$114,MATCH($C19,'LAMINA_HORA'!$A$5:$A$114,0),MATCH(U19,'LAMINA_HORA'!$W$3:$AP$3,0)),"?"))</f>
        <v/>
      </c>
      <c r="X19" s="20" t="n"/>
      <c r="Y19" s="27">
        <f>IF(OR($C19="",X19=""),"",IFERROR(INDEX('LAMINA_HORA'!$C$5:$V$114,MATCH($C19,'LAMINA_HORA'!$A$5:$A$114,0),MATCH(X19,'LAMINA_HORA'!$C$3:$V$3,0)),"?"))</f>
        <v/>
      </c>
      <c r="Z19" s="27">
        <f>IF(OR($C19="",X19=""),"",IFERROR(INDEX('LAMINA_HORA'!$W$5:$AP$114,MATCH($C19,'LAMINA_HORA'!$A$5:$A$114,0),MATCH(X19,'LAMINA_HORA'!$W$3:$AP$3,0)),"?"))</f>
        <v/>
      </c>
      <c r="AA19" s="20" t="n"/>
      <c r="AB19" s="27">
        <f>IF(OR($C19="",AA19=""),"",IFERROR(INDEX('LAMINA_HORA'!$C$5:$V$114,MATCH($C19,'LAMINA_HORA'!$A$5:$A$114,0),MATCH(AA19,'LAMINA_HORA'!$C$3:$V$3,0)),"?"))</f>
        <v/>
      </c>
      <c r="AC19" s="27">
        <f>IF(OR($C19="",AA19=""),"",IFERROR(INDEX('LAMINA_HORA'!$W$5:$AP$114,MATCH($C19,'LAMINA_HORA'!$A$5:$A$114,0),MATCH(AA19,'LAMINA_HORA'!$W$3:$AP$3,0)),"?"))</f>
        <v/>
      </c>
      <c r="AD19" s="13">
        <f>SUM(J19,M19,P19,S19,V19,Y19,AB19)</f>
        <v/>
      </c>
      <c r="AE19" s="15">
        <f>IF(OR($D19="",AD19=""),"",AD19*$D19*10)</f>
        <v/>
      </c>
      <c r="AF19" s="28" t="n"/>
      <c r="AG19" s="15">
        <f>IF(OR(AE19="",AF19=""),"",AE19*AF19)</f>
        <v/>
      </c>
      <c r="AH19" s="28" t="n"/>
      <c r="AI19" s="20" t="n"/>
      <c r="AJ19" s="19" t="n"/>
    </row>
    <row r="20">
      <c r="A20" s="6" t="inlineStr">
        <is>
          <t>R18</t>
        </is>
      </c>
      <c r="B20" s="6" t="inlineStr">
        <is>
          <t>Pivô 65</t>
        </is>
      </c>
      <c r="C20" s="20" t="inlineStr">
        <is>
          <t>P65</t>
        </is>
      </c>
      <c r="D20" s="7" t="n">
        <v>150.24</v>
      </c>
      <c r="E20" s="20" t="n"/>
      <c r="F20" s="20" t="n"/>
      <c r="G20" s="20" t="n"/>
      <c r="H20" s="20" t="n"/>
      <c r="I20" s="20" t="n"/>
      <c r="J20" s="27">
        <f>IF(OR($C20="",I20=""),"",IFERROR(INDEX('LAMINA_HORA'!$C$5:$V$114,MATCH($C20,'LAMINA_HORA'!$A$5:$A$114,0),MATCH(I20,'LAMINA_HORA'!$C$3:$V$3,0)),"?"))</f>
        <v/>
      </c>
      <c r="K20" s="27">
        <f>IF(OR($C20="",I20=""),"",IFERROR(INDEX('LAMINA_HORA'!$W$5:$AP$114,MATCH($C20,'LAMINA_HORA'!$A$5:$A$114,0),MATCH(I20,'LAMINA_HORA'!$W$3:$AP$3,0)),"?"))</f>
        <v/>
      </c>
      <c r="L20" s="20" t="n"/>
      <c r="M20" s="27">
        <f>IF(OR($C20="",L20=""),"",IFERROR(INDEX('LAMINA_HORA'!$C$5:$V$114,MATCH($C20,'LAMINA_HORA'!$A$5:$A$114,0),MATCH(L20,'LAMINA_HORA'!$C$3:$V$3,0)),"?"))</f>
        <v/>
      </c>
      <c r="N20" s="27">
        <f>IF(OR($C20="",L20=""),"",IFERROR(INDEX('LAMINA_HORA'!$W$5:$AP$114,MATCH($C20,'LAMINA_HORA'!$A$5:$A$114,0),MATCH(L20,'LAMINA_HORA'!$W$3:$AP$3,0)),"?"))</f>
        <v/>
      </c>
      <c r="O20" s="20" t="n"/>
      <c r="P20" s="27">
        <f>IF(OR($C20="",O20=""),"",IFERROR(INDEX('LAMINA_HORA'!$C$5:$V$114,MATCH($C20,'LAMINA_HORA'!$A$5:$A$114,0),MATCH(O20,'LAMINA_HORA'!$C$3:$V$3,0)),"?"))</f>
        <v/>
      </c>
      <c r="Q20" s="27">
        <f>IF(OR($C20="",O20=""),"",IFERROR(INDEX('LAMINA_HORA'!$W$5:$AP$114,MATCH($C20,'LAMINA_HORA'!$A$5:$A$114,0),MATCH(O20,'LAMINA_HORA'!$W$3:$AP$3,0)),"?"))</f>
        <v/>
      </c>
      <c r="R20" s="20" t="n"/>
      <c r="S20" s="27">
        <f>IF(OR($C20="",R20=""),"",IFERROR(INDEX('LAMINA_HORA'!$C$5:$V$114,MATCH($C20,'LAMINA_HORA'!$A$5:$A$114,0),MATCH(R20,'LAMINA_HORA'!$C$3:$V$3,0)),"?"))</f>
        <v/>
      </c>
      <c r="T20" s="27">
        <f>IF(OR($C20="",R20=""),"",IFERROR(INDEX('LAMINA_HORA'!$W$5:$AP$114,MATCH($C20,'LAMINA_HORA'!$A$5:$A$114,0),MATCH(R20,'LAMINA_HORA'!$W$3:$AP$3,0)),"?"))</f>
        <v/>
      </c>
      <c r="U20" s="20" t="n"/>
      <c r="V20" s="27">
        <f>IF(OR($C20="",U20=""),"",IFERROR(INDEX('LAMINA_HORA'!$C$5:$V$114,MATCH($C20,'LAMINA_HORA'!$A$5:$A$114,0),MATCH(U20,'LAMINA_HORA'!$C$3:$V$3,0)),"?"))</f>
        <v/>
      </c>
      <c r="W20" s="27">
        <f>IF(OR($C20="",U20=""),"",IFERROR(INDEX('LAMINA_HORA'!$W$5:$AP$114,MATCH($C20,'LAMINA_HORA'!$A$5:$A$114,0),MATCH(U20,'LAMINA_HORA'!$W$3:$AP$3,0)),"?"))</f>
        <v/>
      </c>
      <c r="X20" s="20" t="n"/>
      <c r="Y20" s="27">
        <f>IF(OR($C20="",X20=""),"",IFERROR(INDEX('LAMINA_HORA'!$C$5:$V$114,MATCH($C20,'LAMINA_HORA'!$A$5:$A$114,0),MATCH(X20,'LAMINA_HORA'!$C$3:$V$3,0)),"?"))</f>
        <v/>
      </c>
      <c r="Z20" s="27">
        <f>IF(OR($C20="",X20=""),"",IFERROR(INDEX('LAMINA_HORA'!$W$5:$AP$114,MATCH($C20,'LAMINA_HORA'!$A$5:$A$114,0),MATCH(X20,'LAMINA_HORA'!$W$3:$AP$3,0)),"?"))</f>
        <v/>
      </c>
      <c r="AA20" s="20" t="n"/>
      <c r="AB20" s="27">
        <f>IF(OR($C20="",AA20=""),"",IFERROR(INDEX('LAMINA_HORA'!$C$5:$V$114,MATCH($C20,'LAMINA_HORA'!$A$5:$A$114,0),MATCH(AA20,'LAMINA_HORA'!$C$3:$V$3,0)),"?"))</f>
        <v/>
      </c>
      <c r="AC20" s="27">
        <f>IF(OR($C20="",AA20=""),"",IFERROR(INDEX('LAMINA_HORA'!$W$5:$AP$114,MATCH($C20,'LAMINA_HORA'!$A$5:$A$114,0),MATCH(AA20,'LAMINA_HORA'!$W$3:$AP$3,0)),"?"))</f>
        <v/>
      </c>
      <c r="AD20" s="13">
        <f>SUM(J20,M20,P20,S20,V20,Y20,AB20)</f>
        <v/>
      </c>
      <c r="AE20" s="15">
        <f>IF(OR($D20="",AD20=""),"",AD20*$D20*10)</f>
        <v/>
      </c>
      <c r="AF20" s="28" t="n"/>
      <c r="AG20" s="15">
        <f>IF(OR(AE20="",AF20=""),"",AE20*AF20)</f>
        <v/>
      </c>
      <c r="AH20" s="28" t="n"/>
      <c r="AI20" s="20" t="n"/>
      <c r="AJ20" s="19" t="n"/>
    </row>
    <row r="22">
      <c r="A22" s="29" t="inlineStr">
        <is>
          <t>Lamina e horas vem da aba LAMINA_HORA por Cod L/H + percentimetro (INDEX/MATCH). Energia/custo dependem de CE (kWh/m3) e tarifa -&gt; PENDENTE. 'Gerar programacao' automatica: macro/script (PENDENTE). Percentimetro NAO reduz vazao proporcionalmente.</t>
        </is>
      </c>
    </row>
  </sheetData>
  <mergeCells count="8">
    <mergeCell ref="A22:AJ22"/>
    <mergeCell ref="U3:W3"/>
    <mergeCell ref="R3:T3"/>
    <mergeCell ref="X3:Z3"/>
    <mergeCell ref="I3:K3"/>
    <mergeCell ref="L3:N3"/>
    <mergeCell ref="AA3:AC3"/>
    <mergeCell ref="O3:Q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ADB"/>
    <outlinePr summaryBelow="1" summaryRight="1"/>
    <pageSetUpPr/>
  </sheetPr>
  <dimension ref="A1:AJ22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9" customWidth="1" min="4" max="4"/>
    <col width="8" customWidth="1" min="5" max="5"/>
    <col width="14" customWidth="1" min="6" max="6"/>
    <col width="6" customWidth="1" min="7" max="7"/>
    <col width="8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 ht="20" customHeight="1">
      <c r="A1" s="1" t="inlineStr">
        <is>
          <t>RIO DO MEIO (RDM) - por casa de bomba</t>
        </is>
      </c>
    </row>
    <row r="2">
      <c r="A2" s="2" t="inlineStr">
        <is>
          <t>RDM nao desaparece dos resultados.</t>
        </is>
      </c>
    </row>
    <row r="3">
      <c r="I3" s="25">
        <f>IF('PARAMETROS'!$B$14="","Dia 1",'PARAMETROS'!$B$14+0)</f>
        <v/>
      </c>
      <c r="L3" s="25">
        <f>IF('PARAMETROS'!$B$14="","Dia 2",'PARAMETROS'!$B$14+1)</f>
        <v/>
      </c>
      <c r="O3" s="25">
        <f>IF('PARAMETROS'!$B$14="","Dia 3",'PARAMETROS'!$B$14+2)</f>
        <v/>
      </c>
      <c r="R3" s="25">
        <f>IF('PARAMETROS'!$B$14="","Dia 4",'PARAMETROS'!$B$14+3)</f>
        <v/>
      </c>
      <c r="U3" s="25">
        <f>IF('PARAMETROS'!$B$14="","Dia 5",'PARAMETROS'!$B$14+4)</f>
        <v/>
      </c>
      <c r="X3" s="25">
        <f>IF('PARAMETROS'!$B$14="","Dia 6",'PARAMETROS'!$B$14+5)</f>
        <v/>
      </c>
      <c r="AA3" s="25">
        <f>IF('PARAMETROS'!$B$14="","Dia 7",'PARAMETROS'!$B$14+6)</f>
        <v/>
      </c>
    </row>
    <row r="4" ht="28" customHeight="1">
      <c r="A4" s="4" t="inlineStr">
        <is>
          <t>Casa b.</t>
        </is>
      </c>
      <c r="B4" s="4" t="inlineStr">
        <is>
          <t>Pivo</t>
        </is>
      </c>
      <c r="C4" s="4" t="inlineStr">
        <is>
          <t>Cod L/H</t>
        </is>
      </c>
      <c r="D4" s="4" t="inlineStr">
        <is>
          <t>Area (ha)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DAE</t>
        </is>
      </c>
      <c r="H4" s="4" t="inlineStr">
        <is>
          <t>Meta (mm)</t>
        </is>
      </c>
      <c r="I4" s="26" t="inlineStr">
        <is>
          <t>%</t>
        </is>
      </c>
      <c r="J4" s="26" t="inlineStr">
        <is>
          <t>Lam</t>
        </is>
      </c>
      <c r="K4" s="26" t="inlineStr">
        <is>
          <t>h</t>
        </is>
      </c>
      <c r="L4" s="26" t="inlineStr">
        <is>
          <t>%</t>
        </is>
      </c>
      <c r="M4" s="26" t="inlineStr">
        <is>
          <t>Lam</t>
        </is>
      </c>
      <c r="N4" s="26" t="inlineStr">
        <is>
          <t>h</t>
        </is>
      </c>
      <c r="O4" s="26" t="inlineStr">
        <is>
          <t>%</t>
        </is>
      </c>
      <c r="P4" s="26" t="inlineStr">
        <is>
          <t>Lam</t>
        </is>
      </c>
      <c r="Q4" s="26" t="inlineStr">
        <is>
          <t>h</t>
        </is>
      </c>
      <c r="R4" s="26" t="inlineStr">
        <is>
          <t>%</t>
        </is>
      </c>
      <c r="S4" s="26" t="inlineStr">
        <is>
          <t>Lam</t>
        </is>
      </c>
      <c r="T4" s="26" t="inlineStr">
        <is>
          <t>h</t>
        </is>
      </c>
      <c r="U4" s="26" t="inlineStr">
        <is>
          <t>%</t>
        </is>
      </c>
      <c r="V4" s="26" t="inlineStr">
        <is>
          <t>Lam</t>
        </is>
      </c>
      <c r="W4" s="26" t="inlineStr">
        <is>
          <t>h</t>
        </is>
      </c>
      <c r="X4" s="26" t="inlineStr">
        <is>
          <t>%</t>
        </is>
      </c>
      <c r="Y4" s="26" t="inlineStr">
        <is>
          <t>Lam</t>
        </is>
      </c>
      <c r="Z4" s="26" t="inlineStr">
        <is>
          <t>h</t>
        </is>
      </c>
      <c r="AA4" s="26" t="inlineStr">
        <is>
          <t>%</t>
        </is>
      </c>
      <c r="AB4" s="26" t="inlineStr">
        <is>
          <t>Lam</t>
        </is>
      </c>
      <c r="AC4" s="26" t="inlineStr">
        <is>
          <t>h</t>
        </is>
      </c>
      <c r="AD4" s="4" t="inlineStr">
        <is>
          <t>Lam total (mm)</t>
        </is>
      </c>
      <c r="AE4" s="4" t="inlineStr">
        <is>
          <t>Vol (m3)</t>
        </is>
      </c>
      <c r="AF4" s="4" t="inlineStr">
        <is>
          <t>CE (kWh/m3)</t>
        </is>
      </c>
      <c r="AG4" s="4" t="inlineStr">
        <is>
          <t>Energia (kWh)</t>
        </is>
      </c>
      <c r="AH4" s="4" t="inlineStr">
        <is>
          <t>Custo (R$)</t>
        </is>
      </c>
      <c r="AI4" s="4" t="inlineStr">
        <is>
          <t>Atend.</t>
        </is>
      </c>
      <c r="AJ4" s="4" t="inlineStr">
        <is>
          <t>Pendencias</t>
        </is>
      </c>
    </row>
    <row r="5">
      <c r="A5" s="6" t="inlineStr">
        <is>
          <t>RM4</t>
        </is>
      </c>
      <c r="B5" s="6" t="inlineStr">
        <is>
          <t>Pivô 101</t>
        </is>
      </c>
      <c r="C5" s="20" t="inlineStr">
        <is>
          <t>P101</t>
        </is>
      </c>
      <c r="D5" s="7" t="n">
        <v>116.2</v>
      </c>
      <c r="E5" s="20" t="n"/>
      <c r="F5" s="20" t="n"/>
      <c r="G5" s="20" t="n"/>
      <c r="H5" s="20" t="n"/>
      <c r="I5" s="20" t="n"/>
      <c r="J5" s="27">
        <f>IF(OR($C5="",I5=""),"",IFERROR(INDEX('LAMINA_HORA'!$C$5:$V$114,MATCH($C5,'LAMINA_HORA'!$A$5:$A$114,0),MATCH(I5,'LAMINA_HORA'!$C$3:$V$3,0)),"?"))</f>
        <v/>
      </c>
      <c r="K5" s="27">
        <f>IF(OR($C5="",I5=""),"",IFERROR(INDEX('LAMINA_HORA'!$W$5:$AP$114,MATCH($C5,'LAMINA_HORA'!$A$5:$A$114,0),MATCH(I5,'LAMINA_HORA'!$W$3:$AP$3,0)),"?"))</f>
        <v/>
      </c>
      <c r="L5" s="20" t="n"/>
      <c r="M5" s="27">
        <f>IF(OR($C5="",L5=""),"",IFERROR(INDEX('LAMINA_HORA'!$C$5:$V$114,MATCH($C5,'LAMINA_HORA'!$A$5:$A$114,0),MATCH(L5,'LAMINA_HORA'!$C$3:$V$3,0)),"?"))</f>
        <v/>
      </c>
      <c r="N5" s="27">
        <f>IF(OR($C5="",L5=""),"",IFERROR(INDEX('LAMINA_HORA'!$W$5:$AP$114,MATCH($C5,'LAMINA_HORA'!$A$5:$A$114,0),MATCH(L5,'LAMINA_HORA'!$W$3:$AP$3,0)),"?"))</f>
        <v/>
      </c>
      <c r="O5" s="20" t="n"/>
      <c r="P5" s="27">
        <f>IF(OR($C5="",O5=""),"",IFERROR(INDEX('LAMINA_HORA'!$C$5:$V$114,MATCH($C5,'LAMINA_HORA'!$A$5:$A$114,0),MATCH(O5,'LAMINA_HORA'!$C$3:$V$3,0)),"?"))</f>
        <v/>
      </c>
      <c r="Q5" s="27">
        <f>IF(OR($C5="",O5=""),"",IFERROR(INDEX('LAMINA_HORA'!$W$5:$AP$114,MATCH($C5,'LAMINA_HORA'!$A$5:$A$114,0),MATCH(O5,'LAMINA_HORA'!$W$3:$AP$3,0)),"?"))</f>
        <v/>
      </c>
      <c r="R5" s="20" t="n"/>
      <c r="S5" s="27">
        <f>IF(OR($C5="",R5=""),"",IFERROR(INDEX('LAMINA_HORA'!$C$5:$V$114,MATCH($C5,'LAMINA_HORA'!$A$5:$A$114,0),MATCH(R5,'LAMINA_HORA'!$C$3:$V$3,0)),"?"))</f>
        <v/>
      </c>
      <c r="T5" s="27">
        <f>IF(OR($C5="",R5=""),"",IFERROR(INDEX('LAMINA_HORA'!$W$5:$AP$114,MATCH($C5,'LAMINA_HORA'!$A$5:$A$114,0),MATCH(R5,'LAMINA_HORA'!$W$3:$AP$3,0)),"?"))</f>
        <v/>
      </c>
      <c r="U5" s="20" t="n"/>
      <c r="V5" s="27">
        <f>IF(OR($C5="",U5=""),"",IFERROR(INDEX('LAMINA_HORA'!$C$5:$V$114,MATCH($C5,'LAMINA_HORA'!$A$5:$A$114,0),MATCH(U5,'LAMINA_HORA'!$C$3:$V$3,0)),"?"))</f>
        <v/>
      </c>
      <c r="W5" s="27">
        <f>IF(OR($C5="",U5=""),"",IFERROR(INDEX('LAMINA_HORA'!$W$5:$AP$114,MATCH($C5,'LAMINA_HORA'!$A$5:$A$114,0),MATCH(U5,'LAMINA_HORA'!$W$3:$AP$3,0)),"?"))</f>
        <v/>
      </c>
      <c r="X5" s="20" t="n"/>
      <c r="Y5" s="27">
        <f>IF(OR($C5="",X5=""),"",IFERROR(INDEX('LAMINA_HORA'!$C$5:$V$114,MATCH($C5,'LAMINA_HORA'!$A$5:$A$114,0),MATCH(X5,'LAMINA_HORA'!$C$3:$V$3,0)),"?"))</f>
        <v/>
      </c>
      <c r="Z5" s="27">
        <f>IF(OR($C5="",X5=""),"",IFERROR(INDEX('LAMINA_HORA'!$W$5:$AP$114,MATCH($C5,'LAMINA_HORA'!$A$5:$A$114,0),MATCH(X5,'LAMINA_HORA'!$W$3:$AP$3,0)),"?"))</f>
        <v/>
      </c>
      <c r="AA5" s="20" t="n"/>
      <c r="AB5" s="27">
        <f>IF(OR($C5="",AA5=""),"",IFERROR(INDEX('LAMINA_HORA'!$C$5:$V$114,MATCH($C5,'LAMINA_HORA'!$A$5:$A$114,0),MATCH(AA5,'LAMINA_HORA'!$C$3:$V$3,0)),"?"))</f>
        <v/>
      </c>
      <c r="AC5" s="27">
        <f>IF(OR($C5="",AA5=""),"",IFERROR(INDEX('LAMINA_HORA'!$W$5:$AP$114,MATCH($C5,'LAMINA_HORA'!$A$5:$A$114,0),MATCH(AA5,'LAMINA_HORA'!$W$3:$AP$3,0)),"?"))</f>
        <v/>
      </c>
      <c r="AD5" s="13">
        <f>SUM(J5,M5,P5,S5,V5,Y5,AB5)</f>
        <v/>
      </c>
      <c r="AE5" s="15">
        <f>IF(OR($D5="",AD5=""),"",AD5*$D5*10)</f>
        <v/>
      </c>
      <c r="AF5" s="28" t="n"/>
      <c r="AG5" s="15">
        <f>IF(OR(AE5="",AF5=""),"",AE5*AF5)</f>
        <v/>
      </c>
      <c r="AH5" s="28" t="n"/>
      <c r="AI5" s="20" t="n"/>
      <c r="AJ5" s="19" t="n"/>
    </row>
    <row r="6">
      <c r="A6" s="6" t="inlineStr">
        <is>
          <t>RM4</t>
        </is>
      </c>
      <c r="B6" s="6" t="inlineStr">
        <is>
          <t>Pivô 102</t>
        </is>
      </c>
      <c r="C6" s="20" t="inlineStr">
        <is>
          <t>P102</t>
        </is>
      </c>
      <c r="D6" s="7" t="n">
        <v>102.19</v>
      </c>
      <c r="E6" s="20" t="n"/>
      <c r="F6" s="20" t="n"/>
      <c r="G6" s="20" t="n"/>
      <c r="H6" s="20" t="n"/>
      <c r="I6" s="20" t="n"/>
      <c r="J6" s="27">
        <f>IF(OR($C6="",I6=""),"",IFERROR(INDEX('LAMINA_HORA'!$C$5:$V$114,MATCH($C6,'LAMINA_HORA'!$A$5:$A$114,0),MATCH(I6,'LAMINA_HORA'!$C$3:$V$3,0)),"?"))</f>
        <v/>
      </c>
      <c r="K6" s="27">
        <f>IF(OR($C6="",I6=""),"",IFERROR(INDEX('LAMINA_HORA'!$W$5:$AP$114,MATCH($C6,'LAMINA_HORA'!$A$5:$A$114,0),MATCH(I6,'LAMINA_HORA'!$W$3:$AP$3,0)),"?"))</f>
        <v/>
      </c>
      <c r="L6" s="20" t="n"/>
      <c r="M6" s="27">
        <f>IF(OR($C6="",L6=""),"",IFERROR(INDEX('LAMINA_HORA'!$C$5:$V$114,MATCH($C6,'LAMINA_HORA'!$A$5:$A$114,0),MATCH(L6,'LAMINA_HORA'!$C$3:$V$3,0)),"?"))</f>
        <v/>
      </c>
      <c r="N6" s="27">
        <f>IF(OR($C6="",L6=""),"",IFERROR(INDEX('LAMINA_HORA'!$W$5:$AP$114,MATCH($C6,'LAMINA_HORA'!$A$5:$A$114,0),MATCH(L6,'LAMINA_HORA'!$W$3:$AP$3,0)),"?"))</f>
        <v/>
      </c>
      <c r="O6" s="20" t="n"/>
      <c r="P6" s="27">
        <f>IF(OR($C6="",O6=""),"",IFERROR(INDEX('LAMINA_HORA'!$C$5:$V$114,MATCH($C6,'LAMINA_HORA'!$A$5:$A$114,0),MATCH(O6,'LAMINA_HORA'!$C$3:$V$3,0)),"?"))</f>
        <v/>
      </c>
      <c r="Q6" s="27">
        <f>IF(OR($C6="",O6=""),"",IFERROR(INDEX('LAMINA_HORA'!$W$5:$AP$114,MATCH($C6,'LAMINA_HORA'!$A$5:$A$114,0),MATCH(O6,'LAMINA_HORA'!$W$3:$AP$3,0)),"?"))</f>
        <v/>
      </c>
      <c r="R6" s="20" t="n"/>
      <c r="S6" s="27">
        <f>IF(OR($C6="",R6=""),"",IFERROR(INDEX('LAMINA_HORA'!$C$5:$V$114,MATCH($C6,'LAMINA_HORA'!$A$5:$A$114,0),MATCH(R6,'LAMINA_HORA'!$C$3:$V$3,0)),"?"))</f>
        <v/>
      </c>
      <c r="T6" s="27">
        <f>IF(OR($C6="",R6=""),"",IFERROR(INDEX('LAMINA_HORA'!$W$5:$AP$114,MATCH($C6,'LAMINA_HORA'!$A$5:$A$114,0),MATCH(R6,'LAMINA_HORA'!$W$3:$AP$3,0)),"?"))</f>
        <v/>
      </c>
      <c r="U6" s="20" t="n"/>
      <c r="V6" s="27">
        <f>IF(OR($C6="",U6=""),"",IFERROR(INDEX('LAMINA_HORA'!$C$5:$V$114,MATCH($C6,'LAMINA_HORA'!$A$5:$A$114,0),MATCH(U6,'LAMINA_HORA'!$C$3:$V$3,0)),"?"))</f>
        <v/>
      </c>
      <c r="W6" s="27">
        <f>IF(OR($C6="",U6=""),"",IFERROR(INDEX('LAMINA_HORA'!$W$5:$AP$114,MATCH($C6,'LAMINA_HORA'!$A$5:$A$114,0),MATCH(U6,'LAMINA_HORA'!$W$3:$AP$3,0)),"?"))</f>
        <v/>
      </c>
      <c r="X6" s="20" t="n"/>
      <c r="Y6" s="27">
        <f>IF(OR($C6="",X6=""),"",IFERROR(INDEX('LAMINA_HORA'!$C$5:$V$114,MATCH($C6,'LAMINA_HORA'!$A$5:$A$114,0),MATCH(X6,'LAMINA_HORA'!$C$3:$V$3,0)),"?"))</f>
        <v/>
      </c>
      <c r="Z6" s="27">
        <f>IF(OR($C6="",X6=""),"",IFERROR(INDEX('LAMINA_HORA'!$W$5:$AP$114,MATCH($C6,'LAMINA_HORA'!$A$5:$A$114,0),MATCH(X6,'LAMINA_HORA'!$W$3:$AP$3,0)),"?"))</f>
        <v/>
      </c>
      <c r="AA6" s="20" t="n"/>
      <c r="AB6" s="27">
        <f>IF(OR($C6="",AA6=""),"",IFERROR(INDEX('LAMINA_HORA'!$C$5:$V$114,MATCH($C6,'LAMINA_HORA'!$A$5:$A$114,0),MATCH(AA6,'LAMINA_HORA'!$C$3:$V$3,0)),"?"))</f>
        <v/>
      </c>
      <c r="AC6" s="27">
        <f>IF(OR($C6="",AA6=""),"",IFERROR(INDEX('LAMINA_HORA'!$W$5:$AP$114,MATCH($C6,'LAMINA_HORA'!$A$5:$A$114,0),MATCH(AA6,'LAMINA_HORA'!$W$3:$AP$3,0)),"?"))</f>
        <v/>
      </c>
      <c r="AD6" s="13">
        <f>SUM(J6,M6,P6,S6,V6,Y6,AB6)</f>
        <v/>
      </c>
      <c r="AE6" s="15">
        <f>IF(OR($D6="",AD6=""),"",AD6*$D6*10)</f>
        <v/>
      </c>
      <c r="AF6" s="28" t="n"/>
      <c r="AG6" s="15">
        <f>IF(OR(AE6="",AF6=""),"",AE6*AF6)</f>
        <v/>
      </c>
      <c r="AH6" s="28" t="n"/>
      <c r="AI6" s="20" t="n"/>
      <c r="AJ6" s="19" t="n"/>
    </row>
    <row r="7">
      <c r="A7" s="6" t="inlineStr">
        <is>
          <t>RM4</t>
        </is>
      </c>
      <c r="B7" s="6" t="inlineStr">
        <is>
          <t>Pivô 103</t>
        </is>
      </c>
      <c r="C7" s="20" t="inlineStr">
        <is>
          <t>P103</t>
        </is>
      </c>
      <c r="D7" s="7" t="n">
        <v>102.01</v>
      </c>
      <c r="E7" s="20" t="n"/>
      <c r="F7" s="20" t="n"/>
      <c r="G7" s="20" t="n"/>
      <c r="H7" s="20" t="n"/>
      <c r="I7" s="20" t="n"/>
      <c r="J7" s="27">
        <f>IF(OR($C7="",I7=""),"",IFERROR(INDEX('LAMINA_HORA'!$C$5:$V$114,MATCH($C7,'LAMINA_HORA'!$A$5:$A$114,0),MATCH(I7,'LAMINA_HORA'!$C$3:$V$3,0)),"?"))</f>
        <v/>
      </c>
      <c r="K7" s="27">
        <f>IF(OR($C7="",I7=""),"",IFERROR(INDEX('LAMINA_HORA'!$W$5:$AP$114,MATCH($C7,'LAMINA_HORA'!$A$5:$A$114,0),MATCH(I7,'LAMINA_HORA'!$W$3:$AP$3,0)),"?"))</f>
        <v/>
      </c>
      <c r="L7" s="20" t="n"/>
      <c r="M7" s="27">
        <f>IF(OR($C7="",L7=""),"",IFERROR(INDEX('LAMINA_HORA'!$C$5:$V$114,MATCH($C7,'LAMINA_HORA'!$A$5:$A$114,0),MATCH(L7,'LAMINA_HORA'!$C$3:$V$3,0)),"?"))</f>
        <v/>
      </c>
      <c r="N7" s="27">
        <f>IF(OR($C7="",L7=""),"",IFERROR(INDEX('LAMINA_HORA'!$W$5:$AP$114,MATCH($C7,'LAMINA_HORA'!$A$5:$A$114,0),MATCH(L7,'LAMINA_HORA'!$W$3:$AP$3,0)),"?"))</f>
        <v/>
      </c>
      <c r="O7" s="20" t="n"/>
      <c r="P7" s="27">
        <f>IF(OR($C7="",O7=""),"",IFERROR(INDEX('LAMINA_HORA'!$C$5:$V$114,MATCH($C7,'LAMINA_HORA'!$A$5:$A$114,0),MATCH(O7,'LAMINA_HORA'!$C$3:$V$3,0)),"?"))</f>
        <v/>
      </c>
      <c r="Q7" s="27">
        <f>IF(OR($C7="",O7=""),"",IFERROR(INDEX('LAMINA_HORA'!$W$5:$AP$114,MATCH($C7,'LAMINA_HORA'!$A$5:$A$114,0),MATCH(O7,'LAMINA_HORA'!$W$3:$AP$3,0)),"?"))</f>
        <v/>
      </c>
      <c r="R7" s="20" t="n"/>
      <c r="S7" s="27">
        <f>IF(OR($C7="",R7=""),"",IFERROR(INDEX('LAMINA_HORA'!$C$5:$V$114,MATCH($C7,'LAMINA_HORA'!$A$5:$A$114,0),MATCH(R7,'LAMINA_HORA'!$C$3:$V$3,0)),"?"))</f>
        <v/>
      </c>
      <c r="T7" s="27">
        <f>IF(OR($C7="",R7=""),"",IFERROR(INDEX('LAMINA_HORA'!$W$5:$AP$114,MATCH($C7,'LAMINA_HORA'!$A$5:$A$114,0),MATCH(R7,'LAMINA_HORA'!$W$3:$AP$3,0)),"?"))</f>
        <v/>
      </c>
      <c r="U7" s="20" t="n"/>
      <c r="V7" s="27">
        <f>IF(OR($C7="",U7=""),"",IFERROR(INDEX('LAMINA_HORA'!$C$5:$V$114,MATCH($C7,'LAMINA_HORA'!$A$5:$A$114,0),MATCH(U7,'LAMINA_HORA'!$C$3:$V$3,0)),"?"))</f>
        <v/>
      </c>
      <c r="W7" s="27">
        <f>IF(OR($C7="",U7=""),"",IFERROR(INDEX('LAMINA_HORA'!$W$5:$AP$114,MATCH($C7,'LAMINA_HORA'!$A$5:$A$114,0),MATCH(U7,'LAMINA_HORA'!$W$3:$AP$3,0)),"?"))</f>
        <v/>
      </c>
      <c r="X7" s="20" t="n"/>
      <c r="Y7" s="27">
        <f>IF(OR($C7="",X7=""),"",IFERROR(INDEX('LAMINA_HORA'!$C$5:$V$114,MATCH($C7,'LAMINA_HORA'!$A$5:$A$114,0),MATCH(X7,'LAMINA_HORA'!$C$3:$V$3,0)),"?"))</f>
        <v/>
      </c>
      <c r="Z7" s="27">
        <f>IF(OR($C7="",X7=""),"",IFERROR(INDEX('LAMINA_HORA'!$W$5:$AP$114,MATCH($C7,'LAMINA_HORA'!$A$5:$A$114,0),MATCH(X7,'LAMINA_HORA'!$W$3:$AP$3,0)),"?"))</f>
        <v/>
      </c>
      <c r="AA7" s="20" t="n"/>
      <c r="AB7" s="27">
        <f>IF(OR($C7="",AA7=""),"",IFERROR(INDEX('LAMINA_HORA'!$C$5:$V$114,MATCH($C7,'LAMINA_HORA'!$A$5:$A$114,0),MATCH(AA7,'LAMINA_HORA'!$C$3:$V$3,0)),"?"))</f>
        <v/>
      </c>
      <c r="AC7" s="27">
        <f>IF(OR($C7="",AA7=""),"",IFERROR(INDEX('LAMINA_HORA'!$W$5:$AP$114,MATCH($C7,'LAMINA_HORA'!$A$5:$A$114,0),MATCH(AA7,'LAMINA_HORA'!$W$3:$AP$3,0)),"?"))</f>
        <v/>
      </c>
      <c r="AD7" s="13">
        <f>SUM(J7,M7,P7,S7,V7,Y7,AB7)</f>
        <v/>
      </c>
      <c r="AE7" s="15">
        <f>IF(OR($D7="",AD7=""),"",AD7*$D7*10)</f>
        <v/>
      </c>
      <c r="AF7" s="28" t="n"/>
      <c r="AG7" s="15">
        <f>IF(OR(AE7="",AF7=""),"",AE7*AF7)</f>
        <v/>
      </c>
      <c r="AH7" s="28" t="n"/>
      <c r="AI7" s="20" t="n"/>
      <c r="AJ7" s="19" t="n"/>
    </row>
    <row r="8">
      <c r="A8" s="6" t="inlineStr">
        <is>
          <t>RM4</t>
        </is>
      </c>
      <c r="B8" s="6" t="inlineStr">
        <is>
          <t>Pivô 104</t>
        </is>
      </c>
      <c r="C8" s="20" t="inlineStr">
        <is>
          <t>P104</t>
        </is>
      </c>
      <c r="D8" s="7" t="n">
        <v>102.01</v>
      </c>
      <c r="E8" s="20" t="n"/>
      <c r="F8" s="20" t="n"/>
      <c r="G8" s="20" t="n"/>
      <c r="H8" s="20" t="n"/>
      <c r="I8" s="20" t="n"/>
      <c r="J8" s="27">
        <f>IF(OR($C8="",I8=""),"",IFERROR(INDEX('LAMINA_HORA'!$C$5:$V$114,MATCH($C8,'LAMINA_HORA'!$A$5:$A$114,0),MATCH(I8,'LAMINA_HORA'!$C$3:$V$3,0)),"?"))</f>
        <v/>
      </c>
      <c r="K8" s="27">
        <f>IF(OR($C8="",I8=""),"",IFERROR(INDEX('LAMINA_HORA'!$W$5:$AP$114,MATCH($C8,'LAMINA_HORA'!$A$5:$A$114,0),MATCH(I8,'LAMINA_HORA'!$W$3:$AP$3,0)),"?"))</f>
        <v/>
      </c>
      <c r="L8" s="20" t="n"/>
      <c r="M8" s="27">
        <f>IF(OR($C8="",L8=""),"",IFERROR(INDEX('LAMINA_HORA'!$C$5:$V$114,MATCH($C8,'LAMINA_HORA'!$A$5:$A$114,0),MATCH(L8,'LAMINA_HORA'!$C$3:$V$3,0)),"?"))</f>
        <v/>
      </c>
      <c r="N8" s="27">
        <f>IF(OR($C8="",L8=""),"",IFERROR(INDEX('LAMINA_HORA'!$W$5:$AP$114,MATCH($C8,'LAMINA_HORA'!$A$5:$A$114,0),MATCH(L8,'LAMINA_HORA'!$W$3:$AP$3,0)),"?"))</f>
        <v/>
      </c>
      <c r="O8" s="20" t="n"/>
      <c r="P8" s="27">
        <f>IF(OR($C8="",O8=""),"",IFERROR(INDEX('LAMINA_HORA'!$C$5:$V$114,MATCH($C8,'LAMINA_HORA'!$A$5:$A$114,0),MATCH(O8,'LAMINA_HORA'!$C$3:$V$3,0)),"?"))</f>
        <v/>
      </c>
      <c r="Q8" s="27">
        <f>IF(OR($C8="",O8=""),"",IFERROR(INDEX('LAMINA_HORA'!$W$5:$AP$114,MATCH($C8,'LAMINA_HORA'!$A$5:$A$114,0),MATCH(O8,'LAMINA_HORA'!$W$3:$AP$3,0)),"?"))</f>
        <v/>
      </c>
      <c r="R8" s="20" t="n"/>
      <c r="S8" s="27">
        <f>IF(OR($C8="",R8=""),"",IFERROR(INDEX('LAMINA_HORA'!$C$5:$V$114,MATCH($C8,'LAMINA_HORA'!$A$5:$A$114,0),MATCH(R8,'LAMINA_HORA'!$C$3:$V$3,0)),"?"))</f>
        <v/>
      </c>
      <c r="T8" s="27">
        <f>IF(OR($C8="",R8=""),"",IFERROR(INDEX('LAMINA_HORA'!$W$5:$AP$114,MATCH($C8,'LAMINA_HORA'!$A$5:$A$114,0),MATCH(R8,'LAMINA_HORA'!$W$3:$AP$3,0)),"?"))</f>
        <v/>
      </c>
      <c r="U8" s="20" t="n"/>
      <c r="V8" s="27">
        <f>IF(OR($C8="",U8=""),"",IFERROR(INDEX('LAMINA_HORA'!$C$5:$V$114,MATCH($C8,'LAMINA_HORA'!$A$5:$A$114,0),MATCH(U8,'LAMINA_HORA'!$C$3:$V$3,0)),"?"))</f>
        <v/>
      </c>
      <c r="W8" s="27">
        <f>IF(OR($C8="",U8=""),"",IFERROR(INDEX('LAMINA_HORA'!$W$5:$AP$114,MATCH($C8,'LAMINA_HORA'!$A$5:$A$114,0),MATCH(U8,'LAMINA_HORA'!$W$3:$AP$3,0)),"?"))</f>
        <v/>
      </c>
      <c r="X8" s="20" t="n"/>
      <c r="Y8" s="27">
        <f>IF(OR($C8="",X8=""),"",IFERROR(INDEX('LAMINA_HORA'!$C$5:$V$114,MATCH($C8,'LAMINA_HORA'!$A$5:$A$114,0),MATCH(X8,'LAMINA_HORA'!$C$3:$V$3,0)),"?"))</f>
        <v/>
      </c>
      <c r="Z8" s="27">
        <f>IF(OR($C8="",X8=""),"",IFERROR(INDEX('LAMINA_HORA'!$W$5:$AP$114,MATCH($C8,'LAMINA_HORA'!$A$5:$A$114,0),MATCH(X8,'LAMINA_HORA'!$W$3:$AP$3,0)),"?"))</f>
        <v/>
      </c>
      <c r="AA8" s="20" t="n"/>
      <c r="AB8" s="27">
        <f>IF(OR($C8="",AA8=""),"",IFERROR(INDEX('LAMINA_HORA'!$C$5:$V$114,MATCH($C8,'LAMINA_HORA'!$A$5:$A$114,0),MATCH(AA8,'LAMINA_HORA'!$C$3:$V$3,0)),"?"))</f>
        <v/>
      </c>
      <c r="AC8" s="27">
        <f>IF(OR($C8="",AA8=""),"",IFERROR(INDEX('LAMINA_HORA'!$W$5:$AP$114,MATCH($C8,'LAMINA_HORA'!$A$5:$A$114,0),MATCH(AA8,'LAMINA_HORA'!$W$3:$AP$3,0)),"?"))</f>
        <v/>
      </c>
      <c r="AD8" s="13">
        <f>SUM(J8,M8,P8,S8,V8,Y8,AB8)</f>
        <v/>
      </c>
      <c r="AE8" s="15">
        <f>IF(OR($D8="",AD8=""),"",AD8*$D8*10)</f>
        <v/>
      </c>
      <c r="AF8" s="28" t="n"/>
      <c r="AG8" s="15">
        <f>IF(OR(AE8="",AF8=""),"",AE8*AF8)</f>
        <v/>
      </c>
      <c r="AH8" s="28" t="n"/>
      <c r="AI8" s="20" t="n"/>
      <c r="AJ8" s="19" t="n"/>
    </row>
    <row r="9">
      <c r="A9" s="6" t="inlineStr">
        <is>
          <t>RM3</t>
        </is>
      </c>
      <c r="B9" s="6" t="inlineStr">
        <is>
          <t>Pivô 105</t>
        </is>
      </c>
      <c r="C9" s="20" t="inlineStr">
        <is>
          <t>P105</t>
        </is>
      </c>
      <c r="D9" s="7" t="n">
        <v>102.01</v>
      </c>
      <c r="E9" s="20" t="n"/>
      <c r="F9" s="20" t="n"/>
      <c r="G9" s="20" t="n"/>
      <c r="H9" s="20" t="n"/>
      <c r="I9" s="20" t="n"/>
      <c r="J9" s="27">
        <f>IF(OR($C9="",I9=""),"",IFERROR(INDEX('LAMINA_HORA'!$C$5:$V$114,MATCH($C9,'LAMINA_HORA'!$A$5:$A$114,0),MATCH(I9,'LAMINA_HORA'!$C$3:$V$3,0)),"?"))</f>
        <v/>
      </c>
      <c r="K9" s="27">
        <f>IF(OR($C9="",I9=""),"",IFERROR(INDEX('LAMINA_HORA'!$W$5:$AP$114,MATCH($C9,'LAMINA_HORA'!$A$5:$A$114,0),MATCH(I9,'LAMINA_HORA'!$W$3:$AP$3,0)),"?"))</f>
        <v/>
      </c>
      <c r="L9" s="20" t="n"/>
      <c r="M9" s="27">
        <f>IF(OR($C9="",L9=""),"",IFERROR(INDEX('LAMINA_HORA'!$C$5:$V$114,MATCH($C9,'LAMINA_HORA'!$A$5:$A$114,0),MATCH(L9,'LAMINA_HORA'!$C$3:$V$3,0)),"?"))</f>
        <v/>
      </c>
      <c r="N9" s="27">
        <f>IF(OR($C9="",L9=""),"",IFERROR(INDEX('LAMINA_HORA'!$W$5:$AP$114,MATCH($C9,'LAMINA_HORA'!$A$5:$A$114,0),MATCH(L9,'LAMINA_HORA'!$W$3:$AP$3,0)),"?"))</f>
        <v/>
      </c>
      <c r="O9" s="20" t="n"/>
      <c r="P9" s="27">
        <f>IF(OR($C9="",O9=""),"",IFERROR(INDEX('LAMINA_HORA'!$C$5:$V$114,MATCH($C9,'LAMINA_HORA'!$A$5:$A$114,0),MATCH(O9,'LAMINA_HORA'!$C$3:$V$3,0)),"?"))</f>
        <v/>
      </c>
      <c r="Q9" s="27">
        <f>IF(OR($C9="",O9=""),"",IFERROR(INDEX('LAMINA_HORA'!$W$5:$AP$114,MATCH($C9,'LAMINA_HORA'!$A$5:$A$114,0),MATCH(O9,'LAMINA_HORA'!$W$3:$AP$3,0)),"?"))</f>
        <v/>
      </c>
      <c r="R9" s="20" t="n"/>
      <c r="S9" s="27">
        <f>IF(OR($C9="",R9=""),"",IFERROR(INDEX('LAMINA_HORA'!$C$5:$V$114,MATCH($C9,'LAMINA_HORA'!$A$5:$A$114,0),MATCH(R9,'LAMINA_HORA'!$C$3:$V$3,0)),"?"))</f>
        <v/>
      </c>
      <c r="T9" s="27">
        <f>IF(OR($C9="",R9=""),"",IFERROR(INDEX('LAMINA_HORA'!$W$5:$AP$114,MATCH($C9,'LAMINA_HORA'!$A$5:$A$114,0),MATCH(R9,'LAMINA_HORA'!$W$3:$AP$3,0)),"?"))</f>
        <v/>
      </c>
      <c r="U9" s="20" t="n"/>
      <c r="V9" s="27">
        <f>IF(OR($C9="",U9=""),"",IFERROR(INDEX('LAMINA_HORA'!$C$5:$V$114,MATCH($C9,'LAMINA_HORA'!$A$5:$A$114,0),MATCH(U9,'LAMINA_HORA'!$C$3:$V$3,0)),"?"))</f>
        <v/>
      </c>
      <c r="W9" s="27">
        <f>IF(OR($C9="",U9=""),"",IFERROR(INDEX('LAMINA_HORA'!$W$5:$AP$114,MATCH($C9,'LAMINA_HORA'!$A$5:$A$114,0),MATCH(U9,'LAMINA_HORA'!$W$3:$AP$3,0)),"?"))</f>
        <v/>
      </c>
      <c r="X9" s="20" t="n"/>
      <c r="Y9" s="27">
        <f>IF(OR($C9="",X9=""),"",IFERROR(INDEX('LAMINA_HORA'!$C$5:$V$114,MATCH($C9,'LAMINA_HORA'!$A$5:$A$114,0),MATCH(X9,'LAMINA_HORA'!$C$3:$V$3,0)),"?"))</f>
        <v/>
      </c>
      <c r="Z9" s="27">
        <f>IF(OR($C9="",X9=""),"",IFERROR(INDEX('LAMINA_HORA'!$W$5:$AP$114,MATCH($C9,'LAMINA_HORA'!$A$5:$A$114,0),MATCH(X9,'LAMINA_HORA'!$W$3:$AP$3,0)),"?"))</f>
        <v/>
      </c>
      <c r="AA9" s="20" t="n"/>
      <c r="AB9" s="27">
        <f>IF(OR($C9="",AA9=""),"",IFERROR(INDEX('LAMINA_HORA'!$C$5:$V$114,MATCH($C9,'LAMINA_HORA'!$A$5:$A$114,0),MATCH(AA9,'LAMINA_HORA'!$C$3:$V$3,0)),"?"))</f>
        <v/>
      </c>
      <c r="AC9" s="27">
        <f>IF(OR($C9="",AA9=""),"",IFERROR(INDEX('LAMINA_HORA'!$W$5:$AP$114,MATCH($C9,'LAMINA_HORA'!$A$5:$A$114,0),MATCH(AA9,'LAMINA_HORA'!$W$3:$AP$3,0)),"?"))</f>
        <v/>
      </c>
      <c r="AD9" s="13">
        <f>SUM(J9,M9,P9,S9,V9,Y9,AB9)</f>
        <v/>
      </c>
      <c r="AE9" s="15">
        <f>IF(OR($D9="",AD9=""),"",AD9*$D9*10)</f>
        <v/>
      </c>
      <c r="AF9" s="28" t="n"/>
      <c r="AG9" s="15">
        <f>IF(OR(AE9="",AF9=""),"",AE9*AF9)</f>
        <v/>
      </c>
      <c r="AH9" s="28" t="n"/>
      <c r="AI9" s="20" t="n"/>
      <c r="AJ9" s="19" t="n"/>
    </row>
    <row r="10">
      <c r="A10" s="6" t="inlineStr">
        <is>
          <t>RM2</t>
        </is>
      </c>
      <c r="B10" s="6" t="inlineStr">
        <is>
          <t>Pivô 106</t>
        </is>
      </c>
      <c r="C10" s="20" t="inlineStr">
        <is>
          <t>P106</t>
        </is>
      </c>
      <c r="D10" s="7" t="n">
        <v>102.01</v>
      </c>
      <c r="E10" s="20" t="n"/>
      <c r="F10" s="20" t="n"/>
      <c r="G10" s="20" t="n"/>
      <c r="H10" s="20" t="n"/>
      <c r="I10" s="20" t="n"/>
      <c r="J10" s="27">
        <f>IF(OR($C10="",I10=""),"",IFERROR(INDEX('LAMINA_HORA'!$C$5:$V$114,MATCH($C10,'LAMINA_HORA'!$A$5:$A$114,0),MATCH(I10,'LAMINA_HORA'!$C$3:$V$3,0)),"?"))</f>
        <v/>
      </c>
      <c r="K10" s="27">
        <f>IF(OR($C10="",I10=""),"",IFERROR(INDEX('LAMINA_HORA'!$W$5:$AP$114,MATCH($C10,'LAMINA_HORA'!$A$5:$A$114,0),MATCH(I10,'LAMINA_HORA'!$W$3:$AP$3,0)),"?"))</f>
        <v/>
      </c>
      <c r="L10" s="20" t="n"/>
      <c r="M10" s="27">
        <f>IF(OR($C10="",L10=""),"",IFERROR(INDEX('LAMINA_HORA'!$C$5:$V$114,MATCH($C10,'LAMINA_HORA'!$A$5:$A$114,0),MATCH(L10,'LAMINA_HORA'!$C$3:$V$3,0)),"?"))</f>
        <v/>
      </c>
      <c r="N10" s="27">
        <f>IF(OR($C10="",L10=""),"",IFERROR(INDEX('LAMINA_HORA'!$W$5:$AP$114,MATCH($C10,'LAMINA_HORA'!$A$5:$A$114,0),MATCH(L10,'LAMINA_HORA'!$W$3:$AP$3,0)),"?"))</f>
        <v/>
      </c>
      <c r="O10" s="20" t="n"/>
      <c r="P10" s="27">
        <f>IF(OR($C10="",O10=""),"",IFERROR(INDEX('LAMINA_HORA'!$C$5:$V$114,MATCH($C10,'LAMINA_HORA'!$A$5:$A$114,0),MATCH(O10,'LAMINA_HORA'!$C$3:$V$3,0)),"?"))</f>
        <v/>
      </c>
      <c r="Q10" s="27">
        <f>IF(OR($C10="",O10=""),"",IFERROR(INDEX('LAMINA_HORA'!$W$5:$AP$114,MATCH($C10,'LAMINA_HORA'!$A$5:$A$114,0),MATCH(O10,'LAMINA_HORA'!$W$3:$AP$3,0)),"?"))</f>
        <v/>
      </c>
      <c r="R10" s="20" t="n"/>
      <c r="S10" s="27">
        <f>IF(OR($C10="",R10=""),"",IFERROR(INDEX('LAMINA_HORA'!$C$5:$V$114,MATCH($C10,'LAMINA_HORA'!$A$5:$A$114,0),MATCH(R10,'LAMINA_HORA'!$C$3:$V$3,0)),"?"))</f>
        <v/>
      </c>
      <c r="T10" s="27">
        <f>IF(OR($C10="",R10=""),"",IFERROR(INDEX('LAMINA_HORA'!$W$5:$AP$114,MATCH($C10,'LAMINA_HORA'!$A$5:$A$114,0),MATCH(R10,'LAMINA_HORA'!$W$3:$AP$3,0)),"?"))</f>
        <v/>
      </c>
      <c r="U10" s="20" t="n"/>
      <c r="V10" s="27">
        <f>IF(OR($C10="",U10=""),"",IFERROR(INDEX('LAMINA_HORA'!$C$5:$V$114,MATCH($C10,'LAMINA_HORA'!$A$5:$A$114,0),MATCH(U10,'LAMINA_HORA'!$C$3:$V$3,0)),"?"))</f>
        <v/>
      </c>
      <c r="W10" s="27">
        <f>IF(OR($C10="",U10=""),"",IFERROR(INDEX('LAMINA_HORA'!$W$5:$AP$114,MATCH($C10,'LAMINA_HORA'!$A$5:$A$114,0),MATCH(U10,'LAMINA_HORA'!$W$3:$AP$3,0)),"?"))</f>
        <v/>
      </c>
      <c r="X10" s="20" t="n"/>
      <c r="Y10" s="27">
        <f>IF(OR($C10="",X10=""),"",IFERROR(INDEX('LAMINA_HORA'!$C$5:$V$114,MATCH($C10,'LAMINA_HORA'!$A$5:$A$114,0),MATCH(X10,'LAMINA_HORA'!$C$3:$V$3,0)),"?"))</f>
        <v/>
      </c>
      <c r="Z10" s="27">
        <f>IF(OR($C10="",X10=""),"",IFERROR(INDEX('LAMINA_HORA'!$W$5:$AP$114,MATCH($C10,'LAMINA_HORA'!$A$5:$A$114,0),MATCH(X10,'LAMINA_HORA'!$W$3:$AP$3,0)),"?"))</f>
        <v/>
      </c>
      <c r="AA10" s="20" t="n"/>
      <c r="AB10" s="27">
        <f>IF(OR($C10="",AA10=""),"",IFERROR(INDEX('LAMINA_HORA'!$C$5:$V$114,MATCH($C10,'LAMINA_HORA'!$A$5:$A$114,0),MATCH(AA10,'LAMINA_HORA'!$C$3:$V$3,0)),"?"))</f>
        <v/>
      </c>
      <c r="AC10" s="27">
        <f>IF(OR($C10="",AA10=""),"",IFERROR(INDEX('LAMINA_HORA'!$W$5:$AP$114,MATCH($C10,'LAMINA_HORA'!$A$5:$A$114,0),MATCH(AA10,'LAMINA_HORA'!$W$3:$AP$3,0)),"?"))</f>
        <v/>
      </c>
      <c r="AD10" s="13">
        <f>SUM(J10,M10,P10,S10,V10,Y10,AB10)</f>
        <v/>
      </c>
      <c r="AE10" s="15">
        <f>IF(OR($D10="",AD10=""),"",AD10*$D10*10)</f>
        <v/>
      </c>
      <c r="AF10" s="28" t="n"/>
      <c r="AG10" s="15">
        <f>IF(OR(AE10="",AF10=""),"",AE10*AF10)</f>
        <v/>
      </c>
      <c r="AH10" s="28" t="n"/>
      <c r="AI10" s="20" t="n"/>
      <c r="AJ10" s="19" t="n"/>
    </row>
    <row r="11">
      <c r="A11" s="6" t="inlineStr">
        <is>
          <t>RM3</t>
        </is>
      </c>
      <c r="B11" s="6" t="inlineStr">
        <is>
          <t>Pivô 107</t>
        </is>
      </c>
      <c r="C11" s="20" t="inlineStr">
        <is>
          <t>P107</t>
        </is>
      </c>
      <c r="D11" s="7" t="n">
        <v>102.01</v>
      </c>
      <c r="E11" s="20" t="n"/>
      <c r="F11" s="20" t="n"/>
      <c r="G11" s="20" t="n"/>
      <c r="H11" s="20" t="n"/>
      <c r="I11" s="20" t="n"/>
      <c r="J11" s="27">
        <f>IF(OR($C11="",I11=""),"",IFERROR(INDEX('LAMINA_HORA'!$C$5:$V$114,MATCH($C11,'LAMINA_HORA'!$A$5:$A$114,0),MATCH(I11,'LAMINA_HORA'!$C$3:$V$3,0)),"?"))</f>
        <v/>
      </c>
      <c r="K11" s="27">
        <f>IF(OR($C11="",I11=""),"",IFERROR(INDEX('LAMINA_HORA'!$W$5:$AP$114,MATCH($C11,'LAMINA_HORA'!$A$5:$A$114,0),MATCH(I11,'LAMINA_HORA'!$W$3:$AP$3,0)),"?"))</f>
        <v/>
      </c>
      <c r="L11" s="20" t="n"/>
      <c r="M11" s="27">
        <f>IF(OR($C11="",L11=""),"",IFERROR(INDEX('LAMINA_HORA'!$C$5:$V$114,MATCH($C11,'LAMINA_HORA'!$A$5:$A$114,0),MATCH(L11,'LAMINA_HORA'!$C$3:$V$3,0)),"?"))</f>
        <v/>
      </c>
      <c r="N11" s="27">
        <f>IF(OR($C11="",L11=""),"",IFERROR(INDEX('LAMINA_HORA'!$W$5:$AP$114,MATCH($C11,'LAMINA_HORA'!$A$5:$A$114,0),MATCH(L11,'LAMINA_HORA'!$W$3:$AP$3,0)),"?"))</f>
        <v/>
      </c>
      <c r="O11" s="20" t="n"/>
      <c r="P11" s="27">
        <f>IF(OR($C11="",O11=""),"",IFERROR(INDEX('LAMINA_HORA'!$C$5:$V$114,MATCH($C11,'LAMINA_HORA'!$A$5:$A$114,0),MATCH(O11,'LAMINA_HORA'!$C$3:$V$3,0)),"?"))</f>
        <v/>
      </c>
      <c r="Q11" s="27">
        <f>IF(OR($C11="",O11=""),"",IFERROR(INDEX('LAMINA_HORA'!$W$5:$AP$114,MATCH($C11,'LAMINA_HORA'!$A$5:$A$114,0),MATCH(O11,'LAMINA_HORA'!$W$3:$AP$3,0)),"?"))</f>
        <v/>
      </c>
      <c r="R11" s="20" t="n"/>
      <c r="S11" s="27">
        <f>IF(OR($C11="",R11=""),"",IFERROR(INDEX('LAMINA_HORA'!$C$5:$V$114,MATCH($C11,'LAMINA_HORA'!$A$5:$A$114,0),MATCH(R11,'LAMINA_HORA'!$C$3:$V$3,0)),"?"))</f>
        <v/>
      </c>
      <c r="T11" s="27">
        <f>IF(OR($C11="",R11=""),"",IFERROR(INDEX('LAMINA_HORA'!$W$5:$AP$114,MATCH($C11,'LAMINA_HORA'!$A$5:$A$114,0),MATCH(R11,'LAMINA_HORA'!$W$3:$AP$3,0)),"?"))</f>
        <v/>
      </c>
      <c r="U11" s="20" t="n"/>
      <c r="V11" s="27">
        <f>IF(OR($C11="",U11=""),"",IFERROR(INDEX('LAMINA_HORA'!$C$5:$V$114,MATCH($C11,'LAMINA_HORA'!$A$5:$A$114,0),MATCH(U11,'LAMINA_HORA'!$C$3:$V$3,0)),"?"))</f>
        <v/>
      </c>
      <c r="W11" s="27">
        <f>IF(OR($C11="",U11=""),"",IFERROR(INDEX('LAMINA_HORA'!$W$5:$AP$114,MATCH($C11,'LAMINA_HORA'!$A$5:$A$114,0),MATCH(U11,'LAMINA_HORA'!$W$3:$AP$3,0)),"?"))</f>
        <v/>
      </c>
      <c r="X11" s="20" t="n"/>
      <c r="Y11" s="27">
        <f>IF(OR($C11="",X11=""),"",IFERROR(INDEX('LAMINA_HORA'!$C$5:$V$114,MATCH($C11,'LAMINA_HORA'!$A$5:$A$114,0),MATCH(X11,'LAMINA_HORA'!$C$3:$V$3,0)),"?"))</f>
        <v/>
      </c>
      <c r="Z11" s="27">
        <f>IF(OR($C11="",X11=""),"",IFERROR(INDEX('LAMINA_HORA'!$W$5:$AP$114,MATCH($C11,'LAMINA_HORA'!$A$5:$A$114,0),MATCH(X11,'LAMINA_HORA'!$W$3:$AP$3,0)),"?"))</f>
        <v/>
      </c>
      <c r="AA11" s="20" t="n"/>
      <c r="AB11" s="27">
        <f>IF(OR($C11="",AA11=""),"",IFERROR(INDEX('LAMINA_HORA'!$C$5:$V$114,MATCH($C11,'LAMINA_HORA'!$A$5:$A$114,0),MATCH(AA11,'LAMINA_HORA'!$C$3:$V$3,0)),"?"))</f>
        <v/>
      </c>
      <c r="AC11" s="27">
        <f>IF(OR($C11="",AA11=""),"",IFERROR(INDEX('LAMINA_HORA'!$W$5:$AP$114,MATCH($C11,'LAMINA_HORA'!$A$5:$A$114,0),MATCH(AA11,'LAMINA_HORA'!$W$3:$AP$3,0)),"?"))</f>
        <v/>
      </c>
      <c r="AD11" s="13">
        <f>SUM(J11,M11,P11,S11,V11,Y11,AB11)</f>
        <v/>
      </c>
      <c r="AE11" s="15">
        <f>IF(OR($D11="",AD11=""),"",AD11*$D11*10)</f>
        <v/>
      </c>
      <c r="AF11" s="28" t="n"/>
      <c r="AG11" s="15">
        <f>IF(OR(AE11="",AF11=""),"",AE11*AF11)</f>
        <v/>
      </c>
      <c r="AH11" s="28" t="n"/>
      <c r="AI11" s="20" t="n"/>
      <c r="AJ11" s="19" t="n"/>
    </row>
    <row r="12">
      <c r="A12" s="6" t="inlineStr">
        <is>
          <t>RM2</t>
        </is>
      </c>
      <c r="B12" s="6" t="inlineStr">
        <is>
          <t>Pivô 108</t>
        </is>
      </c>
      <c r="C12" s="20" t="inlineStr">
        <is>
          <t>P108</t>
        </is>
      </c>
      <c r="D12" s="7" t="n">
        <v>102.01</v>
      </c>
      <c r="E12" s="20" t="n"/>
      <c r="F12" s="20" t="n"/>
      <c r="G12" s="20" t="n"/>
      <c r="H12" s="20" t="n"/>
      <c r="I12" s="20" t="n"/>
      <c r="J12" s="27">
        <f>IF(OR($C12="",I12=""),"",IFERROR(INDEX('LAMINA_HORA'!$C$5:$V$114,MATCH($C12,'LAMINA_HORA'!$A$5:$A$114,0),MATCH(I12,'LAMINA_HORA'!$C$3:$V$3,0)),"?"))</f>
        <v/>
      </c>
      <c r="K12" s="27">
        <f>IF(OR($C12="",I12=""),"",IFERROR(INDEX('LAMINA_HORA'!$W$5:$AP$114,MATCH($C12,'LAMINA_HORA'!$A$5:$A$114,0),MATCH(I12,'LAMINA_HORA'!$W$3:$AP$3,0)),"?"))</f>
        <v/>
      </c>
      <c r="L12" s="20" t="n"/>
      <c r="M12" s="27">
        <f>IF(OR($C12="",L12=""),"",IFERROR(INDEX('LAMINA_HORA'!$C$5:$V$114,MATCH($C12,'LAMINA_HORA'!$A$5:$A$114,0),MATCH(L12,'LAMINA_HORA'!$C$3:$V$3,0)),"?"))</f>
        <v/>
      </c>
      <c r="N12" s="27">
        <f>IF(OR($C12="",L12=""),"",IFERROR(INDEX('LAMINA_HORA'!$W$5:$AP$114,MATCH($C12,'LAMINA_HORA'!$A$5:$A$114,0),MATCH(L12,'LAMINA_HORA'!$W$3:$AP$3,0)),"?"))</f>
        <v/>
      </c>
      <c r="O12" s="20" t="n"/>
      <c r="P12" s="27">
        <f>IF(OR($C12="",O12=""),"",IFERROR(INDEX('LAMINA_HORA'!$C$5:$V$114,MATCH($C12,'LAMINA_HORA'!$A$5:$A$114,0),MATCH(O12,'LAMINA_HORA'!$C$3:$V$3,0)),"?"))</f>
        <v/>
      </c>
      <c r="Q12" s="27">
        <f>IF(OR($C12="",O12=""),"",IFERROR(INDEX('LAMINA_HORA'!$W$5:$AP$114,MATCH($C12,'LAMINA_HORA'!$A$5:$A$114,0),MATCH(O12,'LAMINA_HORA'!$W$3:$AP$3,0)),"?"))</f>
        <v/>
      </c>
      <c r="R12" s="20" t="n"/>
      <c r="S12" s="27">
        <f>IF(OR($C12="",R12=""),"",IFERROR(INDEX('LAMINA_HORA'!$C$5:$V$114,MATCH($C12,'LAMINA_HORA'!$A$5:$A$114,0),MATCH(R12,'LAMINA_HORA'!$C$3:$V$3,0)),"?"))</f>
        <v/>
      </c>
      <c r="T12" s="27">
        <f>IF(OR($C12="",R12=""),"",IFERROR(INDEX('LAMINA_HORA'!$W$5:$AP$114,MATCH($C12,'LAMINA_HORA'!$A$5:$A$114,0),MATCH(R12,'LAMINA_HORA'!$W$3:$AP$3,0)),"?"))</f>
        <v/>
      </c>
      <c r="U12" s="20" t="n"/>
      <c r="V12" s="27">
        <f>IF(OR($C12="",U12=""),"",IFERROR(INDEX('LAMINA_HORA'!$C$5:$V$114,MATCH($C12,'LAMINA_HORA'!$A$5:$A$114,0),MATCH(U12,'LAMINA_HORA'!$C$3:$V$3,0)),"?"))</f>
        <v/>
      </c>
      <c r="W12" s="27">
        <f>IF(OR($C12="",U12=""),"",IFERROR(INDEX('LAMINA_HORA'!$W$5:$AP$114,MATCH($C12,'LAMINA_HORA'!$A$5:$A$114,0),MATCH(U12,'LAMINA_HORA'!$W$3:$AP$3,0)),"?"))</f>
        <v/>
      </c>
      <c r="X12" s="20" t="n"/>
      <c r="Y12" s="27">
        <f>IF(OR($C12="",X12=""),"",IFERROR(INDEX('LAMINA_HORA'!$C$5:$V$114,MATCH($C12,'LAMINA_HORA'!$A$5:$A$114,0),MATCH(X12,'LAMINA_HORA'!$C$3:$V$3,0)),"?"))</f>
        <v/>
      </c>
      <c r="Z12" s="27">
        <f>IF(OR($C12="",X12=""),"",IFERROR(INDEX('LAMINA_HORA'!$W$5:$AP$114,MATCH($C12,'LAMINA_HORA'!$A$5:$A$114,0),MATCH(X12,'LAMINA_HORA'!$W$3:$AP$3,0)),"?"))</f>
        <v/>
      </c>
      <c r="AA12" s="20" t="n"/>
      <c r="AB12" s="27">
        <f>IF(OR($C12="",AA12=""),"",IFERROR(INDEX('LAMINA_HORA'!$C$5:$V$114,MATCH($C12,'LAMINA_HORA'!$A$5:$A$114,0),MATCH(AA12,'LAMINA_HORA'!$C$3:$V$3,0)),"?"))</f>
        <v/>
      </c>
      <c r="AC12" s="27">
        <f>IF(OR($C12="",AA12=""),"",IFERROR(INDEX('LAMINA_HORA'!$W$5:$AP$114,MATCH($C12,'LAMINA_HORA'!$A$5:$A$114,0),MATCH(AA12,'LAMINA_HORA'!$W$3:$AP$3,0)),"?"))</f>
        <v/>
      </c>
      <c r="AD12" s="13">
        <f>SUM(J12,M12,P12,S12,V12,Y12,AB12)</f>
        <v/>
      </c>
      <c r="AE12" s="15">
        <f>IF(OR($D12="",AD12=""),"",AD12*$D12*10)</f>
        <v/>
      </c>
      <c r="AF12" s="28" t="n"/>
      <c r="AG12" s="15">
        <f>IF(OR(AE12="",AF12=""),"",AE12*AF12)</f>
        <v/>
      </c>
      <c r="AH12" s="28" t="n"/>
      <c r="AI12" s="20" t="n"/>
      <c r="AJ12" s="19" t="n"/>
    </row>
    <row r="13">
      <c r="A13" s="6" t="inlineStr">
        <is>
          <t>RM1</t>
        </is>
      </c>
      <c r="B13" s="6" t="inlineStr">
        <is>
          <t>Pivô 109</t>
        </is>
      </c>
      <c r="C13" s="20" t="inlineStr">
        <is>
          <t>P109</t>
        </is>
      </c>
      <c r="D13" s="7" t="n">
        <v>102.01</v>
      </c>
      <c r="E13" s="20" t="n"/>
      <c r="F13" s="20" t="n"/>
      <c r="G13" s="20" t="n"/>
      <c r="H13" s="20" t="n"/>
      <c r="I13" s="20" t="n"/>
      <c r="J13" s="27">
        <f>IF(OR($C13="",I13=""),"",IFERROR(INDEX('LAMINA_HORA'!$C$5:$V$114,MATCH($C13,'LAMINA_HORA'!$A$5:$A$114,0),MATCH(I13,'LAMINA_HORA'!$C$3:$V$3,0)),"?"))</f>
        <v/>
      </c>
      <c r="K13" s="27">
        <f>IF(OR($C13="",I13=""),"",IFERROR(INDEX('LAMINA_HORA'!$W$5:$AP$114,MATCH($C13,'LAMINA_HORA'!$A$5:$A$114,0),MATCH(I13,'LAMINA_HORA'!$W$3:$AP$3,0)),"?"))</f>
        <v/>
      </c>
      <c r="L13" s="20" t="n"/>
      <c r="M13" s="27">
        <f>IF(OR($C13="",L13=""),"",IFERROR(INDEX('LAMINA_HORA'!$C$5:$V$114,MATCH($C13,'LAMINA_HORA'!$A$5:$A$114,0),MATCH(L13,'LAMINA_HORA'!$C$3:$V$3,0)),"?"))</f>
        <v/>
      </c>
      <c r="N13" s="27">
        <f>IF(OR($C13="",L13=""),"",IFERROR(INDEX('LAMINA_HORA'!$W$5:$AP$114,MATCH($C13,'LAMINA_HORA'!$A$5:$A$114,0),MATCH(L13,'LAMINA_HORA'!$W$3:$AP$3,0)),"?"))</f>
        <v/>
      </c>
      <c r="O13" s="20" t="n"/>
      <c r="P13" s="27">
        <f>IF(OR($C13="",O13=""),"",IFERROR(INDEX('LAMINA_HORA'!$C$5:$V$114,MATCH($C13,'LAMINA_HORA'!$A$5:$A$114,0),MATCH(O13,'LAMINA_HORA'!$C$3:$V$3,0)),"?"))</f>
        <v/>
      </c>
      <c r="Q13" s="27">
        <f>IF(OR($C13="",O13=""),"",IFERROR(INDEX('LAMINA_HORA'!$W$5:$AP$114,MATCH($C13,'LAMINA_HORA'!$A$5:$A$114,0),MATCH(O13,'LAMINA_HORA'!$W$3:$AP$3,0)),"?"))</f>
        <v/>
      </c>
      <c r="R13" s="20" t="n"/>
      <c r="S13" s="27">
        <f>IF(OR($C13="",R13=""),"",IFERROR(INDEX('LAMINA_HORA'!$C$5:$V$114,MATCH($C13,'LAMINA_HORA'!$A$5:$A$114,0),MATCH(R13,'LAMINA_HORA'!$C$3:$V$3,0)),"?"))</f>
        <v/>
      </c>
      <c r="T13" s="27">
        <f>IF(OR($C13="",R13=""),"",IFERROR(INDEX('LAMINA_HORA'!$W$5:$AP$114,MATCH($C13,'LAMINA_HORA'!$A$5:$A$114,0),MATCH(R13,'LAMINA_HORA'!$W$3:$AP$3,0)),"?"))</f>
        <v/>
      </c>
      <c r="U13" s="20" t="n"/>
      <c r="V13" s="27">
        <f>IF(OR($C13="",U13=""),"",IFERROR(INDEX('LAMINA_HORA'!$C$5:$V$114,MATCH($C13,'LAMINA_HORA'!$A$5:$A$114,0),MATCH(U13,'LAMINA_HORA'!$C$3:$V$3,0)),"?"))</f>
        <v/>
      </c>
      <c r="W13" s="27">
        <f>IF(OR($C13="",U13=""),"",IFERROR(INDEX('LAMINA_HORA'!$W$5:$AP$114,MATCH($C13,'LAMINA_HORA'!$A$5:$A$114,0),MATCH(U13,'LAMINA_HORA'!$W$3:$AP$3,0)),"?"))</f>
        <v/>
      </c>
      <c r="X13" s="20" t="n"/>
      <c r="Y13" s="27">
        <f>IF(OR($C13="",X13=""),"",IFERROR(INDEX('LAMINA_HORA'!$C$5:$V$114,MATCH($C13,'LAMINA_HORA'!$A$5:$A$114,0),MATCH(X13,'LAMINA_HORA'!$C$3:$V$3,0)),"?"))</f>
        <v/>
      </c>
      <c r="Z13" s="27">
        <f>IF(OR($C13="",X13=""),"",IFERROR(INDEX('LAMINA_HORA'!$W$5:$AP$114,MATCH($C13,'LAMINA_HORA'!$A$5:$A$114,0),MATCH(X13,'LAMINA_HORA'!$W$3:$AP$3,0)),"?"))</f>
        <v/>
      </c>
      <c r="AA13" s="20" t="n"/>
      <c r="AB13" s="27">
        <f>IF(OR($C13="",AA13=""),"",IFERROR(INDEX('LAMINA_HORA'!$C$5:$V$114,MATCH($C13,'LAMINA_HORA'!$A$5:$A$114,0),MATCH(AA13,'LAMINA_HORA'!$C$3:$V$3,0)),"?"))</f>
        <v/>
      </c>
      <c r="AC13" s="27">
        <f>IF(OR($C13="",AA13=""),"",IFERROR(INDEX('LAMINA_HORA'!$W$5:$AP$114,MATCH($C13,'LAMINA_HORA'!$A$5:$A$114,0),MATCH(AA13,'LAMINA_HORA'!$W$3:$AP$3,0)),"?"))</f>
        <v/>
      </c>
      <c r="AD13" s="13">
        <f>SUM(J13,M13,P13,S13,V13,Y13,AB13)</f>
        <v/>
      </c>
      <c r="AE13" s="15">
        <f>IF(OR($D13="",AD13=""),"",AD13*$D13*10)</f>
        <v/>
      </c>
      <c r="AF13" s="28" t="n"/>
      <c r="AG13" s="15">
        <f>IF(OR(AE13="",AF13=""),"",AE13*AF13)</f>
        <v/>
      </c>
      <c r="AH13" s="28" t="n"/>
      <c r="AI13" s="20" t="n"/>
      <c r="AJ13" s="19" t="n"/>
    </row>
    <row r="14">
      <c r="A14" s="6" t="inlineStr">
        <is>
          <t>RM4</t>
        </is>
      </c>
      <c r="B14" s="6" t="inlineStr">
        <is>
          <t>Pivô 110</t>
        </is>
      </c>
      <c r="C14" s="20" t="inlineStr">
        <is>
          <t>P110</t>
        </is>
      </c>
      <c r="D14" s="7" t="n">
        <v>102.19</v>
      </c>
      <c r="E14" s="20" t="n"/>
      <c r="F14" s="20" t="n"/>
      <c r="G14" s="20" t="n"/>
      <c r="H14" s="20" t="n"/>
      <c r="I14" s="20" t="n"/>
      <c r="J14" s="27">
        <f>IF(OR($C14="",I14=""),"",IFERROR(INDEX('LAMINA_HORA'!$C$5:$V$114,MATCH($C14,'LAMINA_HORA'!$A$5:$A$114,0),MATCH(I14,'LAMINA_HORA'!$C$3:$V$3,0)),"?"))</f>
        <v/>
      </c>
      <c r="K14" s="27">
        <f>IF(OR($C14="",I14=""),"",IFERROR(INDEX('LAMINA_HORA'!$W$5:$AP$114,MATCH($C14,'LAMINA_HORA'!$A$5:$A$114,0),MATCH(I14,'LAMINA_HORA'!$W$3:$AP$3,0)),"?"))</f>
        <v/>
      </c>
      <c r="L14" s="20" t="n"/>
      <c r="M14" s="27">
        <f>IF(OR($C14="",L14=""),"",IFERROR(INDEX('LAMINA_HORA'!$C$5:$V$114,MATCH($C14,'LAMINA_HORA'!$A$5:$A$114,0),MATCH(L14,'LAMINA_HORA'!$C$3:$V$3,0)),"?"))</f>
        <v/>
      </c>
      <c r="N14" s="27">
        <f>IF(OR($C14="",L14=""),"",IFERROR(INDEX('LAMINA_HORA'!$W$5:$AP$114,MATCH($C14,'LAMINA_HORA'!$A$5:$A$114,0),MATCH(L14,'LAMINA_HORA'!$W$3:$AP$3,0)),"?"))</f>
        <v/>
      </c>
      <c r="O14" s="20" t="n"/>
      <c r="P14" s="27">
        <f>IF(OR($C14="",O14=""),"",IFERROR(INDEX('LAMINA_HORA'!$C$5:$V$114,MATCH($C14,'LAMINA_HORA'!$A$5:$A$114,0),MATCH(O14,'LAMINA_HORA'!$C$3:$V$3,0)),"?"))</f>
        <v/>
      </c>
      <c r="Q14" s="27">
        <f>IF(OR($C14="",O14=""),"",IFERROR(INDEX('LAMINA_HORA'!$W$5:$AP$114,MATCH($C14,'LAMINA_HORA'!$A$5:$A$114,0),MATCH(O14,'LAMINA_HORA'!$W$3:$AP$3,0)),"?"))</f>
        <v/>
      </c>
      <c r="R14" s="20" t="n"/>
      <c r="S14" s="27">
        <f>IF(OR($C14="",R14=""),"",IFERROR(INDEX('LAMINA_HORA'!$C$5:$V$114,MATCH($C14,'LAMINA_HORA'!$A$5:$A$114,0),MATCH(R14,'LAMINA_HORA'!$C$3:$V$3,0)),"?"))</f>
        <v/>
      </c>
      <c r="T14" s="27">
        <f>IF(OR($C14="",R14=""),"",IFERROR(INDEX('LAMINA_HORA'!$W$5:$AP$114,MATCH($C14,'LAMINA_HORA'!$A$5:$A$114,0),MATCH(R14,'LAMINA_HORA'!$W$3:$AP$3,0)),"?"))</f>
        <v/>
      </c>
      <c r="U14" s="20" t="n"/>
      <c r="V14" s="27">
        <f>IF(OR($C14="",U14=""),"",IFERROR(INDEX('LAMINA_HORA'!$C$5:$V$114,MATCH($C14,'LAMINA_HORA'!$A$5:$A$114,0),MATCH(U14,'LAMINA_HORA'!$C$3:$V$3,0)),"?"))</f>
        <v/>
      </c>
      <c r="W14" s="27">
        <f>IF(OR($C14="",U14=""),"",IFERROR(INDEX('LAMINA_HORA'!$W$5:$AP$114,MATCH($C14,'LAMINA_HORA'!$A$5:$A$114,0),MATCH(U14,'LAMINA_HORA'!$W$3:$AP$3,0)),"?"))</f>
        <v/>
      </c>
      <c r="X14" s="20" t="n"/>
      <c r="Y14" s="27">
        <f>IF(OR($C14="",X14=""),"",IFERROR(INDEX('LAMINA_HORA'!$C$5:$V$114,MATCH($C14,'LAMINA_HORA'!$A$5:$A$114,0),MATCH(X14,'LAMINA_HORA'!$C$3:$V$3,0)),"?"))</f>
        <v/>
      </c>
      <c r="Z14" s="27">
        <f>IF(OR($C14="",X14=""),"",IFERROR(INDEX('LAMINA_HORA'!$W$5:$AP$114,MATCH($C14,'LAMINA_HORA'!$A$5:$A$114,0),MATCH(X14,'LAMINA_HORA'!$W$3:$AP$3,0)),"?"))</f>
        <v/>
      </c>
      <c r="AA14" s="20" t="n"/>
      <c r="AB14" s="27">
        <f>IF(OR($C14="",AA14=""),"",IFERROR(INDEX('LAMINA_HORA'!$C$5:$V$114,MATCH($C14,'LAMINA_HORA'!$A$5:$A$114,0),MATCH(AA14,'LAMINA_HORA'!$C$3:$V$3,0)),"?"))</f>
        <v/>
      </c>
      <c r="AC14" s="27">
        <f>IF(OR($C14="",AA14=""),"",IFERROR(INDEX('LAMINA_HORA'!$W$5:$AP$114,MATCH($C14,'LAMINA_HORA'!$A$5:$A$114,0),MATCH(AA14,'LAMINA_HORA'!$W$3:$AP$3,0)),"?"))</f>
        <v/>
      </c>
      <c r="AD14" s="13">
        <f>SUM(J14,M14,P14,S14,V14,Y14,AB14)</f>
        <v/>
      </c>
      <c r="AE14" s="15">
        <f>IF(OR($D14="",AD14=""),"",AD14*$D14*10)</f>
        <v/>
      </c>
      <c r="AF14" s="28" t="n"/>
      <c r="AG14" s="15">
        <f>IF(OR(AE14="",AF14=""),"",AE14*AF14)</f>
        <v/>
      </c>
      <c r="AH14" s="28" t="n"/>
      <c r="AI14" s="20" t="n"/>
      <c r="AJ14" s="19" t="n"/>
    </row>
    <row r="15">
      <c r="A15" s="6" t="inlineStr">
        <is>
          <t>RM5</t>
        </is>
      </c>
      <c r="B15" s="6" t="inlineStr">
        <is>
          <t>Pivô 112</t>
        </is>
      </c>
      <c r="C15" s="20" t="inlineStr">
        <is>
          <t>P112</t>
        </is>
      </c>
      <c r="D15" s="7" t="n">
        <v>150.34</v>
      </c>
      <c r="E15" s="20" t="n"/>
      <c r="F15" s="20" t="n"/>
      <c r="G15" s="20" t="n"/>
      <c r="H15" s="20" t="n"/>
      <c r="I15" s="20" t="n"/>
      <c r="J15" s="27">
        <f>IF(OR($C15="",I15=""),"",IFERROR(INDEX('LAMINA_HORA'!$C$5:$V$114,MATCH($C15,'LAMINA_HORA'!$A$5:$A$114,0),MATCH(I15,'LAMINA_HORA'!$C$3:$V$3,0)),"?"))</f>
        <v/>
      </c>
      <c r="K15" s="27">
        <f>IF(OR($C15="",I15=""),"",IFERROR(INDEX('LAMINA_HORA'!$W$5:$AP$114,MATCH($C15,'LAMINA_HORA'!$A$5:$A$114,0),MATCH(I15,'LAMINA_HORA'!$W$3:$AP$3,0)),"?"))</f>
        <v/>
      </c>
      <c r="L15" s="20" t="n"/>
      <c r="M15" s="27">
        <f>IF(OR($C15="",L15=""),"",IFERROR(INDEX('LAMINA_HORA'!$C$5:$V$114,MATCH($C15,'LAMINA_HORA'!$A$5:$A$114,0),MATCH(L15,'LAMINA_HORA'!$C$3:$V$3,0)),"?"))</f>
        <v/>
      </c>
      <c r="N15" s="27">
        <f>IF(OR($C15="",L15=""),"",IFERROR(INDEX('LAMINA_HORA'!$W$5:$AP$114,MATCH($C15,'LAMINA_HORA'!$A$5:$A$114,0),MATCH(L15,'LAMINA_HORA'!$W$3:$AP$3,0)),"?"))</f>
        <v/>
      </c>
      <c r="O15" s="20" t="n"/>
      <c r="P15" s="27">
        <f>IF(OR($C15="",O15=""),"",IFERROR(INDEX('LAMINA_HORA'!$C$5:$V$114,MATCH($C15,'LAMINA_HORA'!$A$5:$A$114,0),MATCH(O15,'LAMINA_HORA'!$C$3:$V$3,0)),"?"))</f>
        <v/>
      </c>
      <c r="Q15" s="27">
        <f>IF(OR($C15="",O15=""),"",IFERROR(INDEX('LAMINA_HORA'!$W$5:$AP$114,MATCH($C15,'LAMINA_HORA'!$A$5:$A$114,0),MATCH(O15,'LAMINA_HORA'!$W$3:$AP$3,0)),"?"))</f>
        <v/>
      </c>
      <c r="R15" s="20" t="n"/>
      <c r="S15" s="27">
        <f>IF(OR($C15="",R15=""),"",IFERROR(INDEX('LAMINA_HORA'!$C$5:$V$114,MATCH($C15,'LAMINA_HORA'!$A$5:$A$114,0),MATCH(R15,'LAMINA_HORA'!$C$3:$V$3,0)),"?"))</f>
        <v/>
      </c>
      <c r="T15" s="27">
        <f>IF(OR($C15="",R15=""),"",IFERROR(INDEX('LAMINA_HORA'!$W$5:$AP$114,MATCH($C15,'LAMINA_HORA'!$A$5:$A$114,0),MATCH(R15,'LAMINA_HORA'!$W$3:$AP$3,0)),"?"))</f>
        <v/>
      </c>
      <c r="U15" s="20" t="n"/>
      <c r="V15" s="27">
        <f>IF(OR($C15="",U15=""),"",IFERROR(INDEX('LAMINA_HORA'!$C$5:$V$114,MATCH($C15,'LAMINA_HORA'!$A$5:$A$114,0),MATCH(U15,'LAMINA_HORA'!$C$3:$V$3,0)),"?"))</f>
        <v/>
      </c>
      <c r="W15" s="27">
        <f>IF(OR($C15="",U15=""),"",IFERROR(INDEX('LAMINA_HORA'!$W$5:$AP$114,MATCH($C15,'LAMINA_HORA'!$A$5:$A$114,0),MATCH(U15,'LAMINA_HORA'!$W$3:$AP$3,0)),"?"))</f>
        <v/>
      </c>
      <c r="X15" s="20" t="n"/>
      <c r="Y15" s="27">
        <f>IF(OR($C15="",X15=""),"",IFERROR(INDEX('LAMINA_HORA'!$C$5:$V$114,MATCH($C15,'LAMINA_HORA'!$A$5:$A$114,0),MATCH(X15,'LAMINA_HORA'!$C$3:$V$3,0)),"?"))</f>
        <v/>
      </c>
      <c r="Z15" s="27">
        <f>IF(OR($C15="",X15=""),"",IFERROR(INDEX('LAMINA_HORA'!$W$5:$AP$114,MATCH($C15,'LAMINA_HORA'!$A$5:$A$114,0),MATCH(X15,'LAMINA_HORA'!$W$3:$AP$3,0)),"?"))</f>
        <v/>
      </c>
      <c r="AA15" s="20" t="n"/>
      <c r="AB15" s="27">
        <f>IF(OR($C15="",AA15=""),"",IFERROR(INDEX('LAMINA_HORA'!$C$5:$V$114,MATCH($C15,'LAMINA_HORA'!$A$5:$A$114,0),MATCH(AA15,'LAMINA_HORA'!$C$3:$V$3,0)),"?"))</f>
        <v/>
      </c>
      <c r="AC15" s="27">
        <f>IF(OR($C15="",AA15=""),"",IFERROR(INDEX('LAMINA_HORA'!$W$5:$AP$114,MATCH($C15,'LAMINA_HORA'!$A$5:$A$114,0),MATCH(AA15,'LAMINA_HORA'!$W$3:$AP$3,0)),"?"))</f>
        <v/>
      </c>
      <c r="AD15" s="13">
        <f>SUM(J15,M15,P15,S15,V15,Y15,AB15)</f>
        <v/>
      </c>
      <c r="AE15" s="15">
        <f>IF(OR($D15="",AD15=""),"",AD15*$D15*10)</f>
        <v/>
      </c>
      <c r="AF15" s="28" t="n"/>
      <c r="AG15" s="15">
        <f>IF(OR(AE15="",AF15=""),"",AE15*AF15)</f>
        <v/>
      </c>
      <c r="AH15" s="28" t="n"/>
      <c r="AI15" s="20" t="n"/>
      <c r="AJ15" s="19" t="n"/>
    </row>
    <row r="16">
      <c r="A16" s="6" t="inlineStr">
        <is>
          <t>RM5</t>
        </is>
      </c>
      <c r="B16" s="6" t="inlineStr">
        <is>
          <t>Pivô 113</t>
        </is>
      </c>
      <c r="C16" s="20" t="inlineStr">
        <is>
          <t>P113</t>
        </is>
      </c>
      <c r="D16" s="7" t="n">
        <v>150.14</v>
      </c>
      <c r="E16" s="20" t="n"/>
      <c r="F16" s="20" t="n"/>
      <c r="G16" s="20" t="n"/>
      <c r="H16" s="20" t="n"/>
      <c r="I16" s="20" t="n"/>
      <c r="J16" s="27">
        <f>IF(OR($C16="",I16=""),"",IFERROR(INDEX('LAMINA_HORA'!$C$5:$V$114,MATCH($C16,'LAMINA_HORA'!$A$5:$A$114,0),MATCH(I16,'LAMINA_HORA'!$C$3:$V$3,0)),"?"))</f>
        <v/>
      </c>
      <c r="K16" s="27">
        <f>IF(OR($C16="",I16=""),"",IFERROR(INDEX('LAMINA_HORA'!$W$5:$AP$114,MATCH($C16,'LAMINA_HORA'!$A$5:$A$114,0),MATCH(I16,'LAMINA_HORA'!$W$3:$AP$3,0)),"?"))</f>
        <v/>
      </c>
      <c r="L16" s="20" t="n"/>
      <c r="M16" s="27">
        <f>IF(OR($C16="",L16=""),"",IFERROR(INDEX('LAMINA_HORA'!$C$5:$V$114,MATCH($C16,'LAMINA_HORA'!$A$5:$A$114,0),MATCH(L16,'LAMINA_HORA'!$C$3:$V$3,0)),"?"))</f>
        <v/>
      </c>
      <c r="N16" s="27">
        <f>IF(OR($C16="",L16=""),"",IFERROR(INDEX('LAMINA_HORA'!$W$5:$AP$114,MATCH($C16,'LAMINA_HORA'!$A$5:$A$114,0),MATCH(L16,'LAMINA_HORA'!$W$3:$AP$3,0)),"?"))</f>
        <v/>
      </c>
      <c r="O16" s="20" t="n"/>
      <c r="P16" s="27">
        <f>IF(OR($C16="",O16=""),"",IFERROR(INDEX('LAMINA_HORA'!$C$5:$V$114,MATCH($C16,'LAMINA_HORA'!$A$5:$A$114,0),MATCH(O16,'LAMINA_HORA'!$C$3:$V$3,0)),"?"))</f>
        <v/>
      </c>
      <c r="Q16" s="27">
        <f>IF(OR($C16="",O16=""),"",IFERROR(INDEX('LAMINA_HORA'!$W$5:$AP$114,MATCH($C16,'LAMINA_HORA'!$A$5:$A$114,0),MATCH(O16,'LAMINA_HORA'!$W$3:$AP$3,0)),"?"))</f>
        <v/>
      </c>
      <c r="R16" s="20" t="n"/>
      <c r="S16" s="27">
        <f>IF(OR($C16="",R16=""),"",IFERROR(INDEX('LAMINA_HORA'!$C$5:$V$114,MATCH($C16,'LAMINA_HORA'!$A$5:$A$114,0),MATCH(R16,'LAMINA_HORA'!$C$3:$V$3,0)),"?"))</f>
        <v/>
      </c>
      <c r="T16" s="27">
        <f>IF(OR($C16="",R16=""),"",IFERROR(INDEX('LAMINA_HORA'!$W$5:$AP$114,MATCH($C16,'LAMINA_HORA'!$A$5:$A$114,0),MATCH(R16,'LAMINA_HORA'!$W$3:$AP$3,0)),"?"))</f>
        <v/>
      </c>
      <c r="U16" s="20" t="n"/>
      <c r="V16" s="27">
        <f>IF(OR($C16="",U16=""),"",IFERROR(INDEX('LAMINA_HORA'!$C$5:$V$114,MATCH($C16,'LAMINA_HORA'!$A$5:$A$114,0),MATCH(U16,'LAMINA_HORA'!$C$3:$V$3,0)),"?"))</f>
        <v/>
      </c>
      <c r="W16" s="27">
        <f>IF(OR($C16="",U16=""),"",IFERROR(INDEX('LAMINA_HORA'!$W$5:$AP$114,MATCH($C16,'LAMINA_HORA'!$A$5:$A$114,0),MATCH(U16,'LAMINA_HORA'!$W$3:$AP$3,0)),"?"))</f>
        <v/>
      </c>
      <c r="X16" s="20" t="n"/>
      <c r="Y16" s="27">
        <f>IF(OR($C16="",X16=""),"",IFERROR(INDEX('LAMINA_HORA'!$C$5:$V$114,MATCH($C16,'LAMINA_HORA'!$A$5:$A$114,0),MATCH(X16,'LAMINA_HORA'!$C$3:$V$3,0)),"?"))</f>
        <v/>
      </c>
      <c r="Z16" s="27">
        <f>IF(OR($C16="",X16=""),"",IFERROR(INDEX('LAMINA_HORA'!$W$5:$AP$114,MATCH($C16,'LAMINA_HORA'!$A$5:$A$114,0),MATCH(X16,'LAMINA_HORA'!$W$3:$AP$3,0)),"?"))</f>
        <v/>
      </c>
      <c r="AA16" s="20" t="n"/>
      <c r="AB16" s="27">
        <f>IF(OR($C16="",AA16=""),"",IFERROR(INDEX('LAMINA_HORA'!$C$5:$V$114,MATCH($C16,'LAMINA_HORA'!$A$5:$A$114,0),MATCH(AA16,'LAMINA_HORA'!$C$3:$V$3,0)),"?"))</f>
        <v/>
      </c>
      <c r="AC16" s="27">
        <f>IF(OR($C16="",AA16=""),"",IFERROR(INDEX('LAMINA_HORA'!$W$5:$AP$114,MATCH($C16,'LAMINA_HORA'!$A$5:$A$114,0),MATCH(AA16,'LAMINA_HORA'!$W$3:$AP$3,0)),"?"))</f>
        <v/>
      </c>
      <c r="AD16" s="13">
        <f>SUM(J16,M16,P16,S16,V16,Y16,AB16)</f>
        <v/>
      </c>
      <c r="AE16" s="15">
        <f>IF(OR($D16="",AD16=""),"",AD16*$D16*10)</f>
        <v/>
      </c>
      <c r="AF16" s="28" t="n"/>
      <c r="AG16" s="15">
        <f>IF(OR(AE16="",AF16=""),"",AE16*AF16)</f>
        <v/>
      </c>
      <c r="AH16" s="28" t="n"/>
      <c r="AI16" s="20" t="n"/>
      <c r="AJ16" s="19" t="n"/>
    </row>
    <row r="17">
      <c r="A17" s="6" t="inlineStr">
        <is>
          <t>RM5</t>
        </is>
      </c>
      <c r="B17" s="6" t="inlineStr">
        <is>
          <t>Pivô 114</t>
        </is>
      </c>
      <c r="C17" s="20" t="inlineStr">
        <is>
          <t>P114</t>
        </is>
      </c>
      <c r="D17" s="7" t="n">
        <v>120.13</v>
      </c>
      <c r="E17" s="20" t="n"/>
      <c r="F17" s="20" t="n"/>
      <c r="G17" s="20" t="n"/>
      <c r="H17" s="20" t="n"/>
      <c r="I17" s="20" t="n"/>
      <c r="J17" s="27">
        <f>IF(OR($C17="",I17=""),"",IFERROR(INDEX('LAMINA_HORA'!$C$5:$V$114,MATCH($C17,'LAMINA_HORA'!$A$5:$A$114,0),MATCH(I17,'LAMINA_HORA'!$C$3:$V$3,0)),"?"))</f>
        <v/>
      </c>
      <c r="K17" s="27">
        <f>IF(OR($C17="",I17=""),"",IFERROR(INDEX('LAMINA_HORA'!$W$5:$AP$114,MATCH($C17,'LAMINA_HORA'!$A$5:$A$114,0),MATCH(I17,'LAMINA_HORA'!$W$3:$AP$3,0)),"?"))</f>
        <v/>
      </c>
      <c r="L17" s="20" t="n"/>
      <c r="M17" s="27">
        <f>IF(OR($C17="",L17=""),"",IFERROR(INDEX('LAMINA_HORA'!$C$5:$V$114,MATCH($C17,'LAMINA_HORA'!$A$5:$A$114,0),MATCH(L17,'LAMINA_HORA'!$C$3:$V$3,0)),"?"))</f>
        <v/>
      </c>
      <c r="N17" s="27">
        <f>IF(OR($C17="",L17=""),"",IFERROR(INDEX('LAMINA_HORA'!$W$5:$AP$114,MATCH($C17,'LAMINA_HORA'!$A$5:$A$114,0),MATCH(L17,'LAMINA_HORA'!$W$3:$AP$3,0)),"?"))</f>
        <v/>
      </c>
      <c r="O17" s="20" t="n"/>
      <c r="P17" s="27">
        <f>IF(OR($C17="",O17=""),"",IFERROR(INDEX('LAMINA_HORA'!$C$5:$V$114,MATCH($C17,'LAMINA_HORA'!$A$5:$A$114,0),MATCH(O17,'LAMINA_HORA'!$C$3:$V$3,0)),"?"))</f>
        <v/>
      </c>
      <c r="Q17" s="27">
        <f>IF(OR($C17="",O17=""),"",IFERROR(INDEX('LAMINA_HORA'!$W$5:$AP$114,MATCH($C17,'LAMINA_HORA'!$A$5:$A$114,0),MATCH(O17,'LAMINA_HORA'!$W$3:$AP$3,0)),"?"))</f>
        <v/>
      </c>
      <c r="R17" s="20" t="n"/>
      <c r="S17" s="27">
        <f>IF(OR($C17="",R17=""),"",IFERROR(INDEX('LAMINA_HORA'!$C$5:$V$114,MATCH($C17,'LAMINA_HORA'!$A$5:$A$114,0),MATCH(R17,'LAMINA_HORA'!$C$3:$V$3,0)),"?"))</f>
        <v/>
      </c>
      <c r="T17" s="27">
        <f>IF(OR($C17="",R17=""),"",IFERROR(INDEX('LAMINA_HORA'!$W$5:$AP$114,MATCH($C17,'LAMINA_HORA'!$A$5:$A$114,0),MATCH(R17,'LAMINA_HORA'!$W$3:$AP$3,0)),"?"))</f>
        <v/>
      </c>
      <c r="U17" s="20" t="n"/>
      <c r="V17" s="27">
        <f>IF(OR($C17="",U17=""),"",IFERROR(INDEX('LAMINA_HORA'!$C$5:$V$114,MATCH($C17,'LAMINA_HORA'!$A$5:$A$114,0),MATCH(U17,'LAMINA_HORA'!$C$3:$V$3,0)),"?"))</f>
        <v/>
      </c>
      <c r="W17" s="27">
        <f>IF(OR($C17="",U17=""),"",IFERROR(INDEX('LAMINA_HORA'!$W$5:$AP$114,MATCH($C17,'LAMINA_HORA'!$A$5:$A$114,0),MATCH(U17,'LAMINA_HORA'!$W$3:$AP$3,0)),"?"))</f>
        <v/>
      </c>
      <c r="X17" s="20" t="n"/>
      <c r="Y17" s="27">
        <f>IF(OR($C17="",X17=""),"",IFERROR(INDEX('LAMINA_HORA'!$C$5:$V$114,MATCH($C17,'LAMINA_HORA'!$A$5:$A$114,0),MATCH(X17,'LAMINA_HORA'!$C$3:$V$3,0)),"?"))</f>
        <v/>
      </c>
      <c r="Z17" s="27">
        <f>IF(OR($C17="",X17=""),"",IFERROR(INDEX('LAMINA_HORA'!$W$5:$AP$114,MATCH($C17,'LAMINA_HORA'!$A$5:$A$114,0),MATCH(X17,'LAMINA_HORA'!$W$3:$AP$3,0)),"?"))</f>
        <v/>
      </c>
      <c r="AA17" s="20" t="n"/>
      <c r="AB17" s="27">
        <f>IF(OR($C17="",AA17=""),"",IFERROR(INDEX('LAMINA_HORA'!$C$5:$V$114,MATCH($C17,'LAMINA_HORA'!$A$5:$A$114,0),MATCH(AA17,'LAMINA_HORA'!$C$3:$V$3,0)),"?"))</f>
        <v/>
      </c>
      <c r="AC17" s="27">
        <f>IF(OR($C17="",AA17=""),"",IFERROR(INDEX('LAMINA_HORA'!$W$5:$AP$114,MATCH($C17,'LAMINA_HORA'!$A$5:$A$114,0),MATCH(AA17,'LAMINA_HORA'!$W$3:$AP$3,0)),"?"))</f>
        <v/>
      </c>
      <c r="AD17" s="13">
        <f>SUM(J17,M17,P17,S17,V17,Y17,AB17)</f>
        <v/>
      </c>
      <c r="AE17" s="15">
        <f>IF(OR($D17="",AD17=""),"",AD17*$D17*10)</f>
        <v/>
      </c>
      <c r="AF17" s="28" t="n"/>
      <c r="AG17" s="15">
        <f>IF(OR(AE17="",AF17=""),"",AE17*AF17)</f>
        <v/>
      </c>
      <c r="AH17" s="28" t="n"/>
      <c r="AI17" s="20" t="n"/>
      <c r="AJ17" s="19" t="n"/>
    </row>
    <row r="18">
      <c r="A18" s="6" t="inlineStr">
        <is>
          <t>RM5</t>
        </is>
      </c>
      <c r="B18" s="6" t="inlineStr">
        <is>
          <t>Pivô 115</t>
        </is>
      </c>
      <c r="C18" s="20" t="inlineStr">
        <is>
          <t>P115</t>
        </is>
      </c>
      <c r="D18" s="7" t="n">
        <v>150.34</v>
      </c>
      <c r="E18" s="20" t="n"/>
      <c r="F18" s="20" t="n"/>
      <c r="G18" s="20" t="n"/>
      <c r="H18" s="20" t="n"/>
      <c r="I18" s="20" t="n"/>
      <c r="J18" s="27">
        <f>IF(OR($C18="",I18=""),"",IFERROR(INDEX('LAMINA_HORA'!$C$5:$V$114,MATCH($C18,'LAMINA_HORA'!$A$5:$A$114,0),MATCH(I18,'LAMINA_HORA'!$C$3:$V$3,0)),"?"))</f>
        <v/>
      </c>
      <c r="K18" s="27">
        <f>IF(OR($C18="",I18=""),"",IFERROR(INDEX('LAMINA_HORA'!$W$5:$AP$114,MATCH($C18,'LAMINA_HORA'!$A$5:$A$114,0),MATCH(I18,'LAMINA_HORA'!$W$3:$AP$3,0)),"?"))</f>
        <v/>
      </c>
      <c r="L18" s="20" t="n"/>
      <c r="M18" s="27">
        <f>IF(OR($C18="",L18=""),"",IFERROR(INDEX('LAMINA_HORA'!$C$5:$V$114,MATCH($C18,'LAMINA_HORA'!$A$5:$A$114,0),MATCH(L18,'LAMINA_HORA'!$C$3:$V$3,0)),"?"))</f>
        <v/>
      </c>
      <c r="N18" s="27">
        <f>IF(OR($C18="",L18=""),"",IFERROR(INDEX('LAMINA_HORA'!$W$5:$AP$114,MATCH($C18,'LAMINA_HORA'!$A$5:$A$114,0),MATCH(L18,'LAMINA_HORA'!$W$3:$AP$3,0)),"?"))</f>
        <v/>
      </c>
      <c r="O18" s="20" t="n"/>
      <c r="P18" s="27">
        <f>IF(OR($C18="",O18=""),"",IFERROR(INDEX('LAMINA_HORA'!$C$5:$V$114,MATCH($C18,'LAMINA_HORA'!$A$5:$A$114,0),MATCH(O18,'LAMINA_HORA'!$C$3:$V$3,0)),"?"))</f>
        <v/>
      </c>
      <c r="Q18" s="27">
        <f>IF(OR($C18="",O18=""),"",IFERROR(INDEX('LAMINA_HORA'!$W$5:$AP$114,MATCH($C18,'LAMINA_HORA'!$A$5:$A$114,0),MATCH(O18,'LAMINA_HORA'!$W$3:$AP$3,0)),"?"))</f>
        <v/>
      </c>
      <c r="R18" s="20" t="n"/>
      <c r="S18" s="27">
        <f>IF(OR($C18="",R18=""),"",IFERROR(INDEX('LAMINA_HORA'!$C$5:$V$114,MATCH($C18,'LAMINA_HORA'!$A$5:$A$114,0),MATCH(R18,'LAMINA_HORA'!$C$3:$V$3,0)),"?"))</f>
        <v/>
      </c>
      <c r="T18" s="27">
        <f>IF(OR($C18="",R18=""),"",IFERROR(INDEX('LAMINA_HORA'!$W$5:$AP$114,MATCH($C18,'LAMINA_HORA'!$A$5:$A$114,0),MATCH(R18,'LAMINA_HORA'!$W$3:$AP$3,0)),"?"))</f>
        <v/>
      </c>
      <c r="U18" s="20" t="n"/>
      <c r="V18" s="27">
        <f>IF(OR($C18="",U18=""),"",IFERROR(INDEX('LAMINA_HORA'!$C$5:$V$114,MATCH($C18,'LAMINA_HORA'!$A$5:$A$114,0),MATCH(U18,'LAMINA_HORA'!$C$3:$V$3,0)),"?"))</f>
        <v/>
      </c>
      <c r="W18" s="27">
        <f>IF(OR($C18="",U18=""),"",IFERROR(INDEX('LAMINA_HORA'!$W$5:$AP$114,MATCH($C18,'LAMINA_HORA'!$A$5:$A$114,0),MATCH(U18,'LAMINA_HORA'!$W$3:$AP$3,0)),"?"))</f>
        <v/>
      </c>
      <c r="X18" s="20" t="n"/>
      <c r="Y18" s="27">
        <f>IF(OR($C18="",X18=""),"",IFERROR(INDEX('LAMINA_HORA'!$C$5:$V$114,MATCH($C18,'LAMINA_HORA'!$A$5:$A$114,0),MATCH(X18,'LAMINA_HORA'!$C$3:$V$3,0)),"?"))</f>
        <v/>
      </c>
      <c r="Z18" s="27">
        <f>IF(OR($C18="",X18=""),"",IFERROR(INDEX('LAMINA_HORA'!$W$5:$AP$114,MATCH($C18,'LAMINA_HORA'!$A$5:$A$114,0),MATCH(X18,'LAMINA_HORA'!$W$3:$AP$3,0)),"?"))</f>
        <v/>
      </c>
      <c r="AA18" s="20" t="n"/>
      <c r="AB18" s="27">
        <f>IF(OR($C18="",AA18=""),"",IFERROR(INDEX('LAMINA_HORA'!$C$5:$V$114,MATCH($C18,'LAMINA_HORA'!$A$5:$A$114,0),MATCH(AA18,'LAMINA_HORA'!$C$3:$V$3,0)),"?"))</f>
        <v/>
      </c>
      <c r="AC18" s="27">
        <f>IF(OR($C18="",AA18=""),"",IFERROR(INDEX('LAMINA_HORA'!$W$5:$AP$114,MATCH($C18,'LAMINA_HORA'!$A$5:$A$114,0),MATCH(AA18,'LAMINA_HORA'!$W$3:$AP$3,0)),"?"))</f>
        <v/>
      </c>
      <c r="AD18" s="13">
        <f>SUM(J18,M18,P18,S18,V18,Y18,AB18)</f>
        <v/>
      </c>
      <c r="AE18" s="15">
        <f>IF(OR($D18="",AD18=""),"",AD18*$D18*10)</f>
        <v/>
      </c>
      <c r="AF18" s="28" t="n"/>
      <c r="AG18" s="15">
        <f>IF(OR(AE18="",AF18=""),"",AE18*AF18)</f>
        <v/>
      </c>
      <c r="AH18" s="28" t="n"/>
      <c r="AI18" s="20" t="n"/>
      <c r="AJ18" s="19" t="n"/>
    </row>
    <row r="19">
      <c r="A19" s="6" t="inlineStr">
        <is>
          <t>RM6</t>
        </is>
      </c>
      <c r="B19" s="6" t="inlineStr">
        <is>
          <t>Pivô 116</t>
        </is>
      </c>
      <c r="C19" s="20" t="inlineStr">
        <is>
          <t>P116</t>
        </is>
      </c>
      <c r="D19" s="7" t="n">
        <v>150.34</v>
      </c>
      <c r="E19" s="20" t="n"/>
      <c r="F19" s="20" t="n"/>
      <c r="G19" s="20" t="n"/>
      <c r="H19" s="20" t="n"/>
      <c r="I19" s="20" t="n"/>
      <c r="J19" s="27">
        <f>IF(OR($C19="",I19=""),"",IFERROR(INDEX('LAMINA_HORA'!$C$5:$V$114,MATCH($C19,'LAMINA_HORA'!$A$5:$A$114,0),MATCH(I19,'LAMINA_HORA'!$C$3:$V$3,0)),"?"))</f>
        <v/>
      </c>
      <c r="K19" s="27">
        <f>IF(OR($C19="",I19=""),"",IFERROR(INDEX('LAMINA_HORA'!$W$5:$AP$114,MATCH($C19,'LAMINA_HORA'!$A$5:$A$114,0),MATCH(I19,'LAMINA_HORA'!$W$3:$AP$3,0)),"?"))</f>
        <v/>
      </c>
      <c r="L19" s="20" t="n"/>
      <c r="M19" s="27">
        <f>IF(OR($C19="",L19=""),"",IFERROR(INDEX('LAMINA_HORA'!$C$5:$V$114,MATCH($C19,'LAMINA_HORA'!$A$5:$A$114,0),MATCH(L19,'LAMINA_HORA'!$C$3:$V$3,0)),"?"))</f>
        <v/>
      </c>
      <c r="N19" s="27">
        <f>IF(OR($C19="",L19=""),"",IFERROR(INDEX('LAMINA_HORA'!$W$5:$AP$114,MATCH($C19,'LAMINA_HORA'!$A$5:$A$114,0),MATCH(L19,'LAMINA_HORA'!$W$3:$AP$3,0)),"?"))</f>
        <v/>
      </c>
      <c r="O19" s="20" t="n"/>
      <c r="P19" s="27">
        <f>IF(OR($C19="",O19=""),"",IFERROR(INDEX('LAMINA_HORA'!$C$5:$V$114,MATCH($C19,'LAMINA_HORA'!$A$5:$A$114,0),MATCH(O19,'LAMINA_HORA'!$C$3:$V$3,0)),"?"))</f>
        <v/>
      </c>
      <c r="Q19" s="27">
        <f>IF(OR($C19="",O19=""),"",IFERROR(INDEX('LAMINA_HORA'!$W$5:$AP$114,MATCH($C19,'LAMINA_HORA'!$A$5:$A$114,0),MATCH(O19,'LAMINA_HORA'!$W$3:$AP$3,0)),"?"))</f>
        <v/>
      </c>
      <c r="R19" s="20" t="n"/>
      <c r="S19" s="27">
        <f>IF(OR($C19="",R19=""),"",IFERROR(INDEX('LAMINA_HORA'!$C$5:$V$114,MATCH($C19,'LAMINA_HORA'!$A$5:$A$114,0),MATCH(R19,'LAMINA_HORA'!$C$3:$V$3,0)),"?"))</f>
        <v/>
      </c>
      <c r="T19" s="27">
        <f>IF(OR($C19="",R19=""),"",IFERROR(INDEX('LAMINA_HORA'!$W$5:$AP$114,MATCH($C19,'LAMINA_HORA'!$A$5:$A$114,0),MATCH(R19,'LAMINA_HORA'!$W$3:$AP$3,0)),"?"))</f>
        <v/>
      </c>
      <c r="U19" s="20" t="n"/>
      <c r="V19" s="27">
        <f>IF(OR($C19="",U19=""),"",IFERROR(INDEX('LAMINA_HORA'!$C$5:$V$114,MATCH($C19,'LAMINA_HORA'!$A$5:$A$114,0),MATCH(U19,'LAMINA_HORA'!$C$3:$V$3,0)),"?"))</f>
        <v/>
      </c>
      <c r="W19" s="27">
        <f>IF(OR($C19="",U19=""),"",IFERROR(INDEX('LAMINA_HORA'!$W$5:$AP$114,MATCH($C19,'LAMINA_HORA'!$A$5:$A$114,0),MATCH(U19,'LAMINA_HORA'!$W$3:$AP$3,0)),"?"))</f>
        <v/>
      </c>
      <c r="X19" s="20" t="n"/>
      <c r="Y19" s="27">
        <f>IF(OR($C19="",X19=""),"",IFERROR(INDEX('LAMINA_HORA'!$C$5:$V$114,MATCH($C19,'LAMINA_HORA'!$A$5:$A$114,0),MATCH(X19,'LAMINA_HORA'!$C$3:$V$3,0)),"?"))</f>
        <v/>
      </c>
      <c r="Z19" s="27">
        <f>IF(OR($C19="",X19=""),"",IFERROR(INDEX('LAMINA_HORA'!$W$5:$AP$114,MATCH($C19,'LAMINA_HORA'!$A$5:$A$114,0),MATCH(X19,'LAMINA_HORA'!$W$3:$AP$3,0)),"?"))</f>
        <v/>
      </c>
      <c r="AA19" s="20" t="n"/>
      <c r="AB19" s="27">
        <f>IF(OR($C19="",AA19=""),"",IFERROR(INDEX('LAMINA_HORA'!$C$5:$V$114,MATCH($C19,'LAMINA_HORA'!$A$5:$A$114,0),MATCH(AA19,'LAMINA_HORA'!$C$3:$V$3,0)),"?"))</f>
        <v/>
      </c>
      <c r="AC19" s="27">
        <f>IF(OR($C19="",AA19=""),"",IFERROR(INDEX('LAMINA_HORA'!$W$5:$AP$114,MATCH($C19,'LAMINA_HORA'!$A$5:$A$114,0),MATCH(AA19,'LAMINA_HORA'!$W$3:$AP$3,0)),"?"))</f>
        <v/>
      </c>
      <c r="AD19" s="13">
        <f>SUM(J19,M19,P19,S19,V19,Y19,AB19)</f>
        <v/>
      </c>
      <c r="AE19" s="15">
        <f>IF(OR($D19="",AD19=""),"",AD19*$D19*10)</f>
        <v/>
      </c>
      <c r="AF19" s="28" t="n"/>
      <c r="AG19" s="15">
        <f>IF(OR(AE19="",AF19=""),"",AE19*AF19)</f>
        <v/>
      </c>
      <c r="AH19" s="28" t="n"/>
      <c r="AI19" s="20" t="n"/>
      <c r="AJ19" s="19" t="n"/>
    </row>
    <row r="20">
      <c r="A20" s="6" t="inlineStr">
        <is>
          <t>RM6</t>
        </is>
      </c>
      <c r="B20" s="6" t="inlineStr">
        <is>
          <t>Pivô 117</t>
        </is>
      </c>
      <c r="C20" s="20" t="inlineStr">
        <is>
          <t>P117</t>
        </is>
      </c>
      <c r="D20" s="7" t="n">
        <v>150.34</v>
      </c>
      <c r="E20" s="20" t="n"/>
      <c r="F20" s="20" t="n"/>
      <c r="G20" s="20" t="n"/>
      <c r="H20" s="20" t="n"/>
      <c r="I20" s="20" t="n"/>
      <c r="J20" s="27">
        <f>IF(OR($C20="",I20=""),"",IFERROR(INDEX('LAMINA_HORA'!$C$5:$V$114,MATCH($C20,'LAMINA_HORA'!$A$5:$A$114,0),MATCH(I20,'LAMINA_HORA'!$C$3:$V$3,0)),"?"))</f>
        <v/>
      </c>
      <c r="K20" s="27">
        <f>IF(OR($C20="",I20=""),"",IFERROR(INDEX('LAMINA_HORA'!$W$5:$AP$114,MATCH($C20,'LAMINA_HORA'!$A$5:$A$114,0),MATCH(I20,'LAMINA_HORA'!$W$3:$AP$3,0)),"?"))</f>
        <v/>
      </c>
      <c r="L20" s="20" t="n"/>
      <c r="M20" s="27">
        <f>IF(OR($C20="",L20=""),"",IFERROR(INDEX('LAMINA_HORA'!$C$5:$V$114,MATCH($C20,'LAMINA_HORA'!$A$5:$A$114,0),MATCH(L20,'LAMINA_HORA'!$C$3:$V$3,0)),"?"))</f>
        <v/>
      </c>
      <c r="N20" s="27">
        <f>IF(OR($C20="",L20=""),"",IFERROR(INDEX('LAMINA_HORA'!$W$5:$AP$114,MATCH($C20,'LAMINA_HORA'!$A$5:$A$114,0),MATCH(L20,'LAMINA_HORA'!$W$3:$AP$3,0)),"?"))</f>
        <v/>
      </c>
      <c r="O20" s="20" t="n"/>
      <c r="P20" s="27">
        <f>IF(OR($C20="",O20=""),"",IFERROR(INDEX('LAMINA_HORA'!$C$5:$V$114,MATCH($C20,'LAMINA_HORA'!$A$5:$A$114,0),MATCH(O20,'LAMINA_HORA'!$C$3:$V$3,0)),"?"))</f>
        <v/>
      </c>
      <c r="Q20" s="27">
        <f>IF(OR($C20="",O20=""),"",IFERROR(INDEX('LAMINA_HORA'!$W$5:$AP$114,MATCH($C20,'LAMINA_HORA'!$A$5:$A$114,0),MATCH(O20,'LAMINA_HORA'!$W$3:$AP$3,0)),"?"))</f>
        <v/>
      </c>
      <c r="R20" s="20" t="n"/>
      <c r="S20" s="27">
        <f>IF(OR($C20="",R20=""),"",IFERROR(INDEX('LAMINA_HORA'!$C$5:$V$114,MATCH($C20,'LAMINA_HORA'!$A$5:$A$114,0),MATCH(R20,'LAMINA_HORA'!$C$3:$V$3,0)),"?"))</f>
        <v/>
      </c>
      <c r="T20" s="27">
        <f>IF(OR($C20="",R20=""),"",IFERROR(INDEX('LAMINA_HORA'!$W$5:$AP$114,MATCH($C20,'LAMINA_HORA'!$A$5:$A$114,0),MATCH(R20,'LAMINA_HORA'!$W$3:$AP$3,0)),"?"))</f>
        <v/>
      </c>
      <c r="U20" s="20" t="n"/>
      <c r="V20" s="27">
        <f>IF(OR($C20="",U20=""),"",IFERROR(INDEX('LAMINA_HORA'!$C$5:$V$114,MATCH($C20,'LAMINA_HORA'!$A$5:$A$114,0),MATCH(U20,'LAMINA_HORA'!$C$3:$V$3,0)),"?"))</f>
        <v/>
      </c>
      <c r="W20" s="27">
        <f>IF(OR($C20="",U20=""),"",IFERROR(INDEX('LAMINA_HORA'!$W$5:$AP$114,MATCH($C20,'LAMINA_HORA'!$A$5:$A$114,0),MATCH(U20,'LAMINA_HORA'!$W$3:$AP$3,0)),"?"))</f>
        <v/>
      </c>
      <c r="X20" s="20" t="n"/>
      <c r="Y20" s="27">
        <f>IF(OR($C20="",X20=""),"",IFERROR(INDEX('LAMINA_HORA'!$C$5:$V$114,MATCH($C20,'LAMINA_HORA'!$A$5:$A$114,0),MATCH(X20,'LAMINA_HORA'!$C$3:$V$3,0)),"?"))</f>
        <v/>
      </c>
      <c r="Z20" s="27">
        <f>IF(OR($C20="",X20=""),"",IFERROR(INDEX('LAMINA_HORA'!$W$5:$AP$114,MATCH($C20,'LAMINA_HORA'!$A$5:$A$114,0),MATCH(X20,'LAMINA_HORA'!$W$3:$AP$3,0)),"?"))</f>
        <v/>
      </c>
      <c r="AA20" s="20" t="n"/>
      <c r="AB20" s="27">
        <f>IF(OR($C20="",AA20=""),"",IFERROR(INDEX('LAMINA_HORA'!$C$5:$V$114,MATCH($C20,'LAMINA_HORA'!$A$5:$A$114,0),MATCH(AA20,'LAMINA_HORA'!$C$3:$V$3,0)),"?"))</f>
        <v/>
      </c>
      <c r="AC20" s="27">
        <f>IF(OR($C20="",AA20=""),"",IFERROR(INDEX('LAMINA_HORA'!$W$5:$AP$114,MATCH($C20,'LAMINA_HORA'!$A$5:$A$114,0),MATCH(AA20,'LAMINA_HORA'!$W$3:$AP$3,0)),"?"))</f>
        <v/>
      </c>
      <c r="AD20" s="13">
        <f>SUM(J20,M20,P20,S20,V20,Y20,AB20)</f>
        <v/>
      </c>
      <c r="AE20" s="15">
        <f>IF(OR($D20="",AD20=""),"",AD20*$D20*10)</f>
        <v/>
      </c>
      <c r="AF20" s="28" t="n"/>
      <c r="AG20" s="15">
        <f>IF(OR(AE20="",AF20=""),"",AE20*AF20)</f>
        <v/>
      </c>
      <c r="AH20" s="28" t="n"/>
      <c r="AI20" s="20" t="n"/>
      <c r="AJ20" s="19" t="n"/>
    </row>
    <row r="22">
      <c r="A22" s="29" t="inlineStr">
        <is>
          <t>Lamina e horas vem da aba LAMINA_HORA por Cod L/H + percentimetro (INDEX/MATCH). Energia/custo dependem de CE (kWh/m3) e tarifa -&gt; PENDENTE. 'Gerar programacao' automatica: macro/script (PENDENTE). Percentimetro NAO reduz vazao proporcionalmente.</t>
        </is>
      </c>
    </row>
  </sheetData>
  <mergeCells count="8">
    <mergeCell ref="A22:AJ22"/>
    <mergeCell ref="U3:W3"/>
    <mergeCell ref="R3:T3"/>
    <mergeCell ref="X3:Z3"/>
    <mergeCell ref="I3:K3"/>
    <mergeCell ref="L3:N3"/>
    <mergeCell ref="AA3:AC3"/>
    <mergeCell ref="O3:Q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2" customWidth="1" min="4" max="4"/>
    <col width="18" customWidth="1" min="5" max="5"/>
    <col width="11" customWidth="1" min="6" max="6"/>
    <col width="14" customWidth="1" min="7" max="7"/>
    <col width="8" customWidth="1" min="8" max="8"/>
    <col width="14" customWidth="1" min="9" max="9"/>
    <col width="30" customWidth="1" min="10" max="10"/>
  </cols>
  <sheetData>
    <row r="1" ht="20" customHeight="1">
      <c r="A1" s="1" t="inlineStr">
        <is>
          <t>SOJA - cadastro e sequencia de plantio 26/27 (importado) + visao de demanda</t>
        </is>
      </c>
    </row>
    <row r="2">
      <c r="A2" s="2" t="inlineStr">
        <is>
          <t>Data de plantio = PLANEJADA (prompt: a data real prevalece quando houver). Ocupacao vem de VARIEDADES.</t>
        </is>
      </c>
    </row>
    <row r="4" ht="28" customHeight="1">
      <c r="A4" s="4" t="inlineStr">
        <is>
          <t>Fazenda</t>
        </is>
      </c>
      <c r="B4" s="4" t="inlineStr">
        <is>
          <t>Talhao</t>
        </is>
      </c>
      <c r="C4" s="4" t="inlineStr">
        <is>
          <t>Area (ha)</t>
        </is>
      </c>
      <c r="D4" s="4" t="inlineStr">
        <is>
          <t>Plantio plan.</t>
        </is>
      </c>
      <c r="E4" s="4" t="inlineStr">
        <is>
          <t>Variedade</t>
        </is>
      </c>
      <c r="F4" s="4" t="inlineStr">
        <is>
          <t>DAP</t>
        </is>
      </c>
      <c r="G4" s="4" t="inlineStr">
        <is>
          <t>Pop. plantio (sem/ha)</t>
        </is>
      </c>
      <c r="H4" s="4" t="inlineStr">
        <is>
          <t>Ocup (d)</t>
        </is>
      </c>
      <c r="I4" s="4" t="inlineStr">
        <is>
          <t>Colheita prev.</t>
        </is>
      </c>
      <c r="J4" s="4" t="inlineStr">
        <is>
          <t>Observacao</t>
        </is>
      </c>
    </row>
    <row r="5">
      <c r="A5" s="6" t="inlineStr">
        <is>
          <t>KARITEL</t>
        </is>
      </c>
      <c r="B5" s="6" t="inlineStr">
        <is>
          <t>66</t>
        </is>
      </c>
      <c r="C5" s="7" t="n">
        <v>100</v>
      </c>
      <c r="D5" s="8" t="n">
        <v>46286</v>
      </c>
      <c r="E5" s="5" t="inlineStr">
        <is>
          <t>NEO 761 I2X</t>
        </is>
      </c>
      <c r="F5" s="9">
        <f>IF($D5="","",DATA_REF-$D5)</f>
        <v/>
      </c>
      <c r="G5" s="30" t="n">
        <v>334650</v>
      </c>
      <c r="H5" s="9">
        <f>IFERROR(INDEX(VARIEDADES!$C$8:$C$25,MATCH($E5,VARIEDADES!$A$8:$A$25,0)),"?")</f>
        <v/>
      </c>
      <c r="I5" s="31">
        <f>IF(OR($D5="",$H5="",$H5="?"),"",$D5+$H5)</f>
        <v/>
      </c>
      <c r="J5" s="19" t="inlineStr"/>
    </row>
    <row r="6">
      <c r="A6" s="6" t="inlineStr">
        <is>
          <t>KARITEL</t>
        </is>
      </c>
      <c r="B6" s="6" t="inlineStr">
        <is>
          <t>67</t>
        </is>
      </c>
      <c r="C6" s="7" t="n">
        <v>80</v>
      </c>
      <c r="D6" s="8" t="n">
        <v>46286</v>
      </c>
      <c r="E6" s="5" t="inlineStr">
        <is>
          <t>NEO 761 I2X</t>
        </is>
      </c>
      <c r="F6" s="9">
        <f>IF($D6="","",DATA_REF-$D6)</f>
        <v/>
      </c>
      <c r="G6" s="30" t="n">
        <v>334650</v>
      </c>
      <c r="H6" s="9">
        <f>IFERROR(INDEX(VARIEDADES!$C$8:$C$25,MATCH($E6,VARIEDADES!$A$8:$A$25,0)),"?")</f>
        <v/>
      </c>
      <c r="I6" s="31">
        <f>IF(OR($D6="",$H6="",$H6="?"),"",$D6+$H6)</f>
        <v/>
      </c>
      <c r="J6" s="19" t="inlineStr"/>
    </row>
    <row r="7">
      <c r="A7" s="6" t="inlineStr">
        <is>
          <t>KARITEL</t>
        </is>
      </c>
      <c r="B7" s="6" t="inlineStr">
        <is>
          <t>6</t>
        </is>
      </c>
      <c r="C7" s="7" t="n">
        <v>150</v>
      </c>
      <c r="D7" s="8" t="n">
        <v>46289</v>
      </c>
      <c r="E7" s="5" t="inlineStr">
        <is>
          <t>COMBATE IPRO</t>
        </is>
      </c>
      <c r="F7" s="9">
        <f>IF($D7="","",DATA_REF-$D7)</f>
        <v/>
      </c>
      <c r="G7" s="30" t="n">
        <v>397700</v>
      </c>
      <c r="H7" s="9">
        <f>IFERROR(INDEX(VARIEDADES!$C$8:$C$25,MATCH($E7,VARIEDADES!$A$8:$A$25,0)),"?")</f>
        <v/>
      </c>
      <c r="I7" s="31">
        <f>IF(OR($D7="",$H7="",$H7="?"),"",$D7+$H7)</f>
        <v/>
      </c>
      <c r="J7" s="19" t="inlineStr"/>
    </row>
    <row r="8">
      <c r="A8" s="6" t="inlineStr">
        <is>
          <t>KARITEL</t>
        </is>
      </c>
      <c r="B8" s="6" t="inlineStr">
        <is>
          <t>5</t>
        </is>
      </c>
      <c r="C8" s="7" t="n">
        <v>150</v>
      </c>
      <c r="D8" s="8" t="n">
        <v>46289</v>
      </c>
      <c r="E8" s="5" t="inlineStr">
        <is>
          <t>COMBATE IPRO</t>
        </is>
      </c>
      <c r="F8" s="9">
        <f>IF($D8="","",DATA_REF-$D8)</f>
        <v/>
      </c>
      <c r="G8" s="30" t="n">
        <v>397700</v>
      </c>
      <c r="H8" s="9">
        <f>IFERROR(INDEX(VARIEDADES!$C$8:$C$25,MATCH($E8,VARIEDADES!$A$8:$A$25,0)),"?")</f>
        <v/>
      </c>
      <c r="I8" s="31">
        <f>IF(OR($D8="",$H8="",$H8="?"),"",$D8+$H8)</f>
        <v/>
      </c>
      <c r="J8" s="19" t="inlineStr"/>
    </row>
    <row r="9">
      <c r="A9" s="6" t="inlineStr">
        <is>
          <t>KARITEL</t>
        </is>
      </c>
      <c r="B9" s="6" t="inlineStr">
        <is>
          <t>2</t>
        </is>
      </c>
      <c r="C9" s="7" t="n">
        <v>124</v>
      </c>
      <c r="D9" s="8" t="n">
        <v>46287</v>
      </c>
      <c r="E9" s="5" t="inlineStr">
        <is>
          <t>CZ 37B07 I2X</t>
        </is>
      </c>
      <c r="F9" s="9">
        <f>IF($D9="","",DATA_REF-$D9)</f>
        <v/>
      </c>
      <c r="G9" s="30" t="n">
        <v>417100</v>
      </c>
      <c r="H9" s="9">
        <f>IFERROR(INDEX(VARIEDADES!$C$8:$C$25,MATCH($E9,VARIEDADES!$A$8:$A$25,0)),"?")</f>
        <v/>
      </c>
      <c r="I9" s="31">
        <f>IF(OR($D9="",$H9="",$H9="?"),"",$D9+$H9)</f>
        <v/>
      </c>
      <c r="J9" s="19" t="inlineStr"/>
    </row>
    <row r="10">
      <c r="A10" s="6" t="inlineStr">
        <is>
          <t>KARITEL</t>
        </is>
      </c>
      <c r="B10" s="6" t="inlineStr">
        <is>
          <t>4</t>
        </is>
      </c>
      <c r="C10" s="7" t="n">
        <v>63</v>
      </c>
      <c r="D10" s="8" t="n">
        <v>46288</v>
      </c>
      <c r="E10" s="5" t="inlineStr">
        <is>
          <t>COMBATE IPRO</t>
        </is>
      </c>
      <c r="F10" s="9">
        <f>IF($D10="","",DATA_REF-$D10)</f>
        <v/>
      </c>
      <c r="G10" s="30" t="n">
        <v>397700</v>
      </c>
      <c r="H10" s="9">
        <f>IFERROR(INDEX(VARIEDADES!$C$8:$C$25,MATCH($E10,VARIEDADES!$A$8:$A$25,0)),"?")</f>
        <v/>
      </c>
      <c r="I10" s="31">
        <f>IF(OR($D10="",$H10="",$H10="?"),"",$D10+$H10)</f>
        <v/>
      </c>
      <c r="J10" s="19" t="inlineStr"/>
    </row>
    <row r="11">
      <c r="A11" s="6" t="inlineStr">
        <is>
          <t>KARITEL</t>
        </is>
      </c>
      <c r="B11" s="6" t="inlineStr">
        <is>
          <t>68</t>
        </is>
      </c>
      <c r="C11" s="7" t="n">
        <v>80</v>
      </c>
      <c r="D11" s="8" t="n">
        <v>46290</v>
      </c>
      <c r="E11" s="5" t="inlineStr">
        <is>
          <t>COMPLETA IPRO</t>
        </is>
      </c>
      <c r="F11" s="9">
        <f>IF($D11="","",DATA_REF-$D11)</f>
        <v/>
      </c>
      <c r="G11" s="30" t="n">
        <v>232800</v>
      </c>
      <c r="H11" s="9">
        <f>IFERROR(INDEX(VARIEDADES!$C$8:$C$25,MATCH($E11,VARIEDADES!$A$8:$A$25,0)),"?")</f>
        <v/>
      </c>
      <c r="I11" s="31">
        <f>IF(OR($D11="",$H11="",$H11="?"),"",$D11+$H11)</f>
        <v/>
      </c>
      <c r="J11" s="19" t="inlineStr"/>
    </row>
    <row r="12">
      <c r="A12" s="6" t="inlineStr">
        <is>
          <t>KARITEL</t>
        </is>
      </c>
      <c r="B12" s="6" t="inlineStr">
        <is>
          <t>63</t>
        </is>
      </c>
      <c r="C12" s="7" t="n">
        <v>80</v>
      </c>
      <c r="D12" s="8" t="n">
        <v>46294</v>
      </c>
      <c r="E12" s="5" t="inlineStr">
        <is>
          <t>NEO 761 I2X</t>
        </is>
      </c>
      <c r="F12" s="9">
        <f>IF($D12="","",DATA_REF-$D12)</f>
        <v/>
      </c>
      <c r="G12" s="30" t="n">
        <v>334650</v>
      </c>
      <c r="H12" s="9">
        <f>IFERROR(INDEX(VARIEDADES!$C$8:$C$25,MATCH($E12,VARIEDADES!$A$8:$A$25,0)),"?")</f>
        <v/>
      </c>
      <c r="I12" s="31">
        <f>IF(OR($D12="",$H12="",$H12="?"),"",$D12+$H12)</f>
        <v/>
      </c>
      <c r="J12" s="19" t="inlineStr"/>
    </row>
    <row r="13">
      <c r="A13" s="6" t="inlineStr">
        <is>
          <t>KARITEL</t>
        </is>
      </c>
      <c r="B13" s="6" t="inlineStr">
        <is>
          <t>64</t>
        </is>
      </c>
      <c r="C13" s="7" t="n">
        <v>80</v>
      </c>
      <c r="D13" s="8" t="n">
        <v>46295</v>
      </c>
      <c r="E13" s="5" t="inlineStr">
        <is>
          <t>NEO 761 I2X</t>
        </is>
      </c>
      <c r="F13" s="9">
        <f>IF($D13="","",DATA_REF-$D13)</f>
        <v/>
      </c>
      <c r="G13" s="30" t="n">
        <v>334650</v>
      </c>
      <c r="H13" s="9">
        <f>IFERROR(INDEX(VARIEDADES!$C$8:$C$25,MATCH($E13,VARIEDADES!$A$8:$A$25,0)),"?")</f>
        <v/>
      </c>
      <c r="I13" s="31">
        <f>IF(OR($D13="",$H13="",$H13="?"),"",$D13+$H13)</f>
        <v/>
      </c>
      <c r="J13" s="19" t="inlineStr"/>
    </row>
    <row r="14">
      <c r="A14" s="6" t="inlineStr">
        <is>
          <t>KARITEL</t>
        </is>
      </c>
      <c r="B14" s="6" t="inlineStr">
        <is>
          <t>65</t>
        </is>
      </c>
      <c r="C14" s="7" t="n">
        <v>150</v>
      </c>
      <c r="D14" s="8" t="n">
        <v>46295</v>
      </c>
      <c r="E14" s="5" t="inlineStr">
        <is>
          <t>NEO 761 I2X</t>
        </is>
      </c>
      <c r="F14" s="9">
        <f>IF($D14="","",DATA_REF-$D14)</f>
        <v/>
      </c>
      <c r="G14" s="30" t="n">
        <v>334650</v>
      </c>
      <c r="H14" s="9">
        <f>IFERROR(INDEX(VARIEDADES!$C$8:$C$25,MATCH($E14,VARIEDADES!$A$8:$A$25,0)),"?")</f>
        <v/>
      </c>
      <c r="I14" s="31">
        <f>IF(OR($D14="",$H14="",$H14="?"),"",$D14+$H14)</f>
        <v/>
      </c>
      <c r="J14" s="19" t="inlineStr"/>
    </row>
    <row r="15">
      <c r="A15" s="6" t="inlineStr">
        <is>
          <t>RDM</t>
        </is>
      </c>
      <c r="B15" s="6" t="inlineStr">
        <is>
          <t>104</t>
        </is>
      </c>
      <c r="C15" s="7" t="n">
        <v>100</v>
      </c>
      <c r="D15" s="8" t="n">
        <v>46291</v>
      </c>
      <c r="E15" s="5" t="inlineStr">
        <is>
          <t>COMBATE IPRO</t>
        </is>
      </c>
      <c r="F15" s="9">
        <f>IF($D15="","",DATA_REF-$D15)</f>
        <v/>
      </c>
      <c r="G15" s="30" t="n">
        <v>397700</v>
      </c>
      <c r="H15" s="9">
        <f>IFERROR(INDEX(VARIEDADES!$C$8:$C$25,MATCH($E15,VARIEDADES!$A$8:$A$25,0)),"?")</f>
        <v/>
      </c>
      <c r="I15" s="31">
        <f>IF(OR($D15="",$H15="",$H15="?"),"",$D15+$H15)</f>
        <v/>
      </c>
      <c r="J15" s="19" t="inlineStr"/>
    </row>
    <row r="16">
      <c r="A16" s="6" t="inlineStr">
        <is>
          <t>RDM</t>
        </is>
      </c>
      <c r="B16" s="6" t="inlineStr">
        <is>
          <t>110</t>
        </is>
      </c>
      <c r="C16" s="7" t="n">
        <v>100</v>
      </c>
      <c r="D16" s="8" t="n">
        <v>46290</v>
      </c>
      <c r="E16" s="5" t="inlineStr">
        <is>
          <t>NEO 690 I2X</t>
        </is>
      </c>
      <c r="F16" s="9">
        <f>IF($D16="","",DATA_REF-$D16)</f>
        <v/>
      </c>
      <c r="G16" s="30" t="n">
        <v>407400</v>
      </c>
      <c r="H16" s="9">
        <f>IFERROR(INDEX(VARIEDADES!$C$8:$C$25,MATCH($E16,VARIEDADES!$A$8:$A$25,0)),"?")</f>
        <v/>
      </c>
      <c r="I16" s="31">
        <f>IF(OR($D16="",$H16="",$H16="?"),"",$D16+$H16)</f>
        <v/>
      </c>
      <c r="J16" s="19" t="inlineStr"/>
    </row>
    <row r="17">
      <c r="A17" s="6" t="inlineStr">
        <is>
          <t>RDM</t>
        </is>
      </c>
      <c r="B17" s="6" t="inlineStr">
        <is>
          <t>106</t>
        </is>
      </c>
      <c r="C17" s="7" t="n">
        <v>100</v>
      </c>
      <c r="D17" s="8" t="n">
        <v>46291</v>
      </c>
      <c r="E17" s="5" t="inlineStr">
        <is>
          <t>NEO 761 I2X</t>
        </is>
      </c>
      <c r="F17" s="9">
        <f>IF($D17="","",DATA_REF-$D17)</f>
        <v/>
      </c>
      <c r="G17" s="30" t="n">
        <v>334650</v>
      </c>
      <c r="H17" s="9">
        <f>IFERROR(INDEX(VARIEDADES!$C$8:$C$25,MATCH($E17,VARIEDADES!$A$8:$A$25,0)),"?")</f>
        <v/>
      </c>
      <c r="I17" s="31">
        <f>IF(OR($D17="",$H17="",$H17="?"),"",$D17+$H17)</f>
        <v/>
      </c>
      <c r="J17" s="19" t="inlineStr"/>
    </row>
    <row r="18">
      <c r="A18" s="6" t="inlineStr">
        <is>
          <t>RDM</t>
        </is>
      </c>
      <c r="B18" s="6" t="inlineStr">
        <is>
          <t>105</t>
        </is>
      </c>
      <c r="C18" s="7" t="n">
        <v>100</v>
      </c>
      <c r="D18" s="8" t="n">
        <v>46293</v>
      </c>
      <c r="E18" s="5" t="inlineStr">
        <is>
          <t>COMBATE IPRO</t>
        </is>
      </c>
      <c r="F18" s="9">
        <f>IF($D18="","",DATA_REF-$D18)</f>
        <v/>
      </c>
      <c r="G18" s="30" t="n">
        <v>397700</v>
      </c>
      <c r="H18" s="9">
        <f>IFERROR(INDEX(VARIEDADES!$C$8:$C$25,MATCH($E18,VARIEDADES!$A$8:$A$25,0)),"?")</f>
        <v/>
      </c>
      <c r="I18" s="31">
        <f>IF(OR($D18="",$H18="",$H18="?"),"",$D18+$H18)</f>
        <v/>
      </c>
      <c r="J18" s="19" t="inlineStr"/>
    </row>
    <row r="19">
      <c r="A19" s="6" t="inlineStr">
        <is>
          <t>RDM</t>
        </is>
      </c>
      <c r="B19" s="6" t="inlineStr">
        <is>
          <t>107</t>
        </is>
      </c>
      <c r="C19" s="7" t="n">
        <v>100</v>
      </c>
      <c r="D19" s="8" t="n">
        <v>46293</v>
      </c>
      <c r="E19" s="5" t="inlineStr">
        <is>
          <t>NEO 761 I2X</t>
        </is>
      </c>
      <c r="F19" s="9">
        <f>IF($D19="","",DATA_REF-$D19)</f>
        <v/>
      </c>
      <c r="G19" s="30" t="n">
        <v>334650</v>
      </c>
      <c r="H19" s="9">
        <f>IFERROR(INDEX(VARIEDADES!$C$8:$C$25,MATCH($E19,VARIEDADES!$A$8:$A$25,0)),"?")</f>
        <v/>
      </c>
      <c r="I19" s="31">
        <f>IF(OR($D19="",$H19="",$H19="?"),"",$D19+$H19)</f>
        <v/>
      </c>
      <c r="J19" s="19" t="inlineStr"/>
    </row>
    <row r="20">
      <c r="A20" s="6" t="inlineStr">
        <is>
          <t>RDM</t>
        </is>
      </c>
      <c r="B20" s="6" t="inlineStr">
        <is>
          <t>109</t>
        </is>
      </c>
      <c r="C20" s="7" t="n">
        <v>100</v>
      </c>
      <c r="D20" s="8" t="n">
        <v>46290</v>
      </c>
      <c r="E20" s="5" t="inlineStr">
        <is>
          <t>NEO 690 I2X</t>
        </is>
      </c>
      <c r="F20" s="9">
        <f>IF($D20="","",DATA_REF-$D20)</f>
        <v/>
      </c>
      <c r="G20" s="30" t="n">
        <v>407400</v>
      </c>
      <c r="H20" s="9">
        <f>IFERROR(INDEX(VARIEDADES!$C$8:$C$25,MATCH($E20,VARIEDADES!$A$8:$A$25,0)),"?")</f>
        <v/>
      </c>
      <c r="I20" s="31">
        <f>IF(OR($D20="",$H20="",$H20="?"),"",$D20+$H20)</f>
        <v/>
      </c>
      <c r="J20" s="19" t="inlineStr"/>
    </row>
    <row r="21">
      <c r="A21" s="6" t="inlineStr">
        <is>
          <t>KARITEL</t>
        </is>
      </c>
      <c r="B21" s="6" t="inlineStr">
        <is>
          <t>3</t>
        </is>
      </c>
      <c r="C21" s="7" t="n">
        <v>150</v>
      </c>
      <c r="D21" s="8" t="n">
        <v>46288</v>
      </c>
      <c r="E21" s="5" t="inlineStr">
        <is>
          <t>COMBATE IPRO</t>
        </is>
      </c>
      <c r="F21" s="9">
        <f>IF($D21="","",DATA_REF-$D21)</f>
        <v/>
      </c>
      <c r="G21" s="30" t="n">
        <v>397700</v>
      </c>
      <c r="H21" s="9">
        <f>IFERROR(INDEX(VARIEDADES!$C$8:$C$25,MATCH($E21,VARIEDADES!$A$8:$A$25,0)),"?")</f>
        <v/>
      </c>
      <c r="I21" s="31">
        <f>IF(OR($D21="",$H21="",$H21="?"),"",$D21+$H21)</f>
        <v/>
      </c>
      <c r="J21" s="19" t="inlineStr"/>
    </row>
    <row r="22">
      <c r="A22" s="6" t="inlineStr">
        <is>
          <t>KARITEL</t>
        </is>
      </c>
      <c r="B22" s="6" t="inlineStr">
        <is>
          <t>72</t>
        </is>
      </c>
      <c r="C22" s="7" t="n">
        <v>125</v>
      </c>
      <c r="D22" s="8" t="n">
        <v>46294</v>
      </c>
      <c r="E22" s="5" t="inlineStr">
        <is>
          <t>COMBATE IPRO</t>
        </is>
      </c>
      <c r="F22" s="9">
        <f>IF($D22="","",DATA_REF-$D22)</f>
        <v/>
      </c>
      <c r="G22" s="30" t="n">
        <v>397700</v>
      </c>
      <c r="H22" s="9">
        <f>IFERROR(INDEX(VARIEDADES!$C$8:$C$25,MATCH($E22,VARIEDADES!$A$8:$A$25,0)),"?")</f>
        <v/>
      </c>
      <c r="I22" s="31">
        <f>IF(OR($D22="",$H22="",$H22="?"),"",$D22+$H22)</f>
        <v/>
      </c>
      <c r="J22" s="19" t="inlineStr"/>
    </row>
    <row r="23">
      <c r="A23" s="6" t="inlineStr">
        <is>
          <t>KARITEL</t>
        </is>
      </c>
      <c r="B23" s="6" t="inlineStr">
        <is>
          <t>44</t>
        </is>
      </c>
      <c r="C23" s="7" t="n">
        <v>75</v>
      </c>
      <c r="D23" s="8" t="n">
        <v>46296</v>
      </c>
      <c r="E23" s="5" t="inlineStr">
        <is>
          <t>NEO 761 I2X</t>
        </is>
      </c>
      <c r="F23" s="9">
        <f>IF($D23="","",DATA_REF-$D23)</f>
        <v/>
      </c>
      <c r="G23" s="30" t="n">
        <v>334650</v>
      </c>
      <c r="H23" s="9">
        <f>IFERROR(INDEX(VARIEDADES!$C$8:$C$25,MATCH($E23,VARIEDADES!$A$8:$A$25,0)),"?")</f>
        <v/>
      </c>
      <c r="I23" s="31">
        <f>IF(OR($D23="",$H23="",$H23="?"),"",$D23+$H23)</f>
        <v/>
      </c>
      <c r="J23" s="19" t="inlineStr"/>
    </row>
    <row r="24">
      <c r="A24" s="6" t="inlineStr">
        <is>
          <t>KARITEL</t>
        </is>
      </c>
      <c r="B24" s="6" t="inlineStr">
        <is>
          <t>73</t>
        </is>
      </c>
      <c r="C24" s="7" t="n">
        <v>160</v>
      </c>
      <c r="D24" s="8" t="n">
        <v>46296</v>
      </c>
      <c r="E24" s="5" t="inlineStr">
        <is>
          <t>ATAQUE I2X</t>
        </is>
      </c>
      <c r="F24" s="9">
        <f>IF($D24="","",DATA_REF-$D24)</f>
        <v/>
      </c>
      <c r="G24" s="30" t="n">
        <v>213400</v>
      </c>
      <c r="H24" s="9">
        <f>IFERROR(INDEX(VARIEDADES!$C$8:$C$25,MATCH($E24,VARIEDADES!$A$8:$A$25,0)),"?")</f>
        <v/>
      </c>
      <c r="I24" s="31">
        <f>IF(OR($D24="",$H24="",$H24="?"),"",$D24+$H24)</f>
        <v/>
      </c>
      <c r="J24" s="19" t="inlineStr"/>
    </row>
    <row r="25">
      <c r="A25" s="6" t="inlineStr">
        <is>
          <t>KARITEL</t>
        </is>
      </c>
      <c r="B25" s="6" t="inlineStr">
        <is>
          <t>15</t>
        </is>
      </c>
      <c r="C25" s="7" t="n">
        <v>150</v>
      </c>
      <c r="D25" s="8" t="n">
        <v>46297</v>
      </c>
      <c r="E25" s="5" t="inlineStr">
        <is>
          <t>CZ 37B07 I2X</t>
        </is>
      </c>
      <c r="F25" s="9">
        <f>IF($D25="","",DATA_REF-$D25)</f>
        <v/>
      </c>
      <c r="G25" s="30" t="n">
        <v>417100</v>
      </c>
      <c r="H25" s="9">
        <f>IFERROR(INDEX(VARIEDADES!$C$8:$C$25,MATCH($E25,VARIEDADES!$A$8:$A$25,0)),"?")</f>
        <v/>
      </c>
      <c r="I25" s="31">
        <f>IF(OR($D25="",$H25="",$H25="?"),"",$D25+$H25)</f>
        <v/>
      </c>
      <c r="J25" s="19" t="inlineStr"/>
    </row>
    <row r="26">
      <c r="A26" s="6" t="inlineStr">
        <is>
          <t>KARITEL</t>
        </is>
      </c>
      <c r="B26" s="6" t="inlineStr">
        <is>
          <t>17</t>
        </is>
      </c>
      <c r="C26" s="7" t="n">
        <v>150</v>
      </c>
      <c r="D26" s="8" t="n">
        <v>46297</v>
      </c>
      <c r="E26" s="5" t="inlineStr">
        <is>
          <t>CZ 37B07 I2X</t>
        </is>
      </c>
      <c r="F26" s="9">
        <f>IF($D26="","",DATA_REF-$D26)</f>
        <v/>
      </c>
      <c r="G26" s="30" t="n">
        <v>417100</v>
      </c>
      <c r="H26" s="9">
        <f>IFERROR(INDEX(VARIEDADES!$C$8:$C$25,MATCH($E26,VARIEDADES!$A$8:$A$25,0)),"?")</f>
        <v/>
      </c>
      <c r="I26" s="31">
        <f>IF(OR($D26="",$H26="",$H26="?"),"",$D26+$H26)</f>
        <v/>
      </c>
      <c r="J26" s="19" t="inlineStr"/>
    </row>
    <row r="27">
      <c r="A27" s="6" t="inlineStr">
        <is>
          <t>KARITEL</t>
        </is>
      </c>
      <c r="B27" s="6" t="inlineStr">
        <is>
          <t>19</t>
        </is>
      </c>
      <c r="C27" s="7" t="n">
        <v>150</v>
      </c>
      <c r="D27" s="8" t="n">
        <v>46298</v>
      </c>
      <c r="E27" s="5" t="inlineStr">
        <is>
          <t>NEO 761 I2X</t>
        </is>
      </c>
      <c r="F27" s="9">
        <f>IF($D27="","",DATA_REF-$D27)</f>
        <v/>
      </c>
      <c r="G27" s="30" t="n">
        <v>334650</v>
      </c>
      <c r="H27" s="9">
        <f>IFERROR(INDEX(VARIEDADES!$C$8:$C$25,MATCH($E27,VARIEDADES!$A$8:$A$25,0)),"?")</f>
        <v/>
      </c>
      <c r="I27" s="31">
        <f>IF(OR($D27="",$H27="",$H27="?"),"",$D27+$H27)</f>
        <v/>
      </c>
      <c r="J27" s="19" t="inlineStr"/>
    </row>
    <row r="28">
      <c r="A28" s="6" t="inlineStr">
        <is>
          <t>KARITEL</t>
        </is>
      </c>
      <c r="B28" s="6" t="inlineStr">
        <is>
          <t>21</t>
        </is>
      </c>
      <c r="C28" s="7" t="n">
        <v>150</v>
      </c>
      <c r="D28" s="8" t="n">
        <v>46298</v>
      </c>
      <c r="E28" s="5" t="inlineStr">
        <is>
          <t>NEO 761 I2X</t>
        </is>
      </c>
      <c r="F28" s="9">
        <f>IF($D28="","",DATA_REF-$D28)</f>
        <v/>
      </c>
      <c r="G28" s="30" t="n">
        <v>334650</v>
      </c>
      <c r="H28" s="9">
        <f>IFERROR(INDEX(VARIEDADES!$C$8:$C$25,MATCH($E28,VARIEDADES!$A$8:$A$25,0)),"?")</f>
        <v/>
      </c>
      <c r="I28" s="31">
        <f>IF(OR($D28="",$H28="",$H28="?"),"",$D28+$H28)</f>
        <v/>
      </c>
      <c r="J28" s="19" t="inlineStr"/>
    </row>
    <row r="29">
      <c r="A29" s="6" t="inlineStr">
        <is>
          <t>KARITEL</t>
        </is>
      </c>
      <c r="B29" s="6" t="inlineStr">
        <is>
          <t>20</t>
        </is>
      </c>
      <c r="C29" s="7" t="n">
        <v>150</v>
      </c>
      <c r="D29" s="8" t="n">
        <v>46299</v>
      </c>
      <c r="E29" s="5" t="inlineStr">
        <is>
          <t>NEO 761 I2X</t>
        </is>
      </c>
      <c r="F29" s="9">
        <f>IF($D29="","",DATA_REF-$D29)</f>
        <v/>
      </c>
      <c r="G29" s="30" t="n">
        <v>334650</v>
      </c>
      <c r="H29" s="9">
        <f>IFERROR(INDEX(VARIEDADES!$C$8:$C$25,MATCH($E29,VARIEDADES!$A$8:$A$25,0)),"?")</f>
        <v/>
      </c>
      <c r="I29" s="31">
        <f>IF(OR($D29="",$H29="",$H29="?"),"",$D29+$H29)</f>
        <v/>
      </c>
      <c r="J29" s="19" t="inlineStr"/>
    </row>
    <row r="30">
      <c r="A30" s="6" t="inlineStr">
        <is>
          <t>KARITEL</t>
        </is>
      </c>
      <c r="B30" s="6" t="inlineStr">
        <is>
          <t>22</t>
        </is>
      </c>
      <c r="C30" s="7" t="n">
        <v>150</v>
      </c>
      <c r="D30" s="8" t="n">
        <v>46299</v>
      </c>
      <c r="E30" s="5" t="inlineStr">
        <is>
          <t>NEO 761 I2X</t>
        </is>
      </c>
      <c r="F30" s="9">
        <f>IF($D30="","",DATA_REF-$D30)</f>
        <v/>
      </c>
      <c r="G30" s="30" t="n">
        <v>334650</v>
      </c>
      <c r="H30" s="9">
        <f>IFERROR(INDEX(VARIEDADES!$C$8:$C$25,MATCH($E30,VARIEDADES!$A$8:$A$25,0)),"?")</f>
        <v/>
      </c>
      <c r="I30" s="31">
        <f>IF(OR($D30="",$H30="",$H30="?"),"",$D30+$H30)</f>
        <v/>
      </c>
      <c r="J30" s="19" t="inlineStr"/>
    </row>
    <row r="31">
      <c r="A31" s="6" t="inlineStr">
        <is>
          <t>KARITEL</t>
        </is>
      </c>
      <c r="B31" s="6" t="inlineStr">
        <is>
          <t>24</t>
        </is>
      </c>
      <c r="C31" s="7" t="n">
        <v>150</v>
      </c>
      <c r="D31" s="8" t="n">
        <v>46300</v>
      </c>
      <c r="E31" s="5" t="inlineStr">
        <is>
          <t>BMX Olimpo IPRO</t>
        </is>
      </c>
      <c r="F31" s="9">
        <f>IF($D31="","",DATA_REF-$D31)</f>
        <v/>
      </c>
      <c r="G31" s="30" t="n">
        <v>234740</v>
      </c>
      <c r="H31" s="9">
        <f>IFERROR(INDEX(VARIEDADES!$C$8:$C$25,MATCH($E31,VARIEDADES!$A$8:$A$25,0)),"?")</f>
        <v/>
      </c>
      <c r="I31" s="31">
        <f>IF(OR($D31="",$H31="",$H31="?"),"",$D31+$H31)</f>
        <v/>
      </c>
      <c r="J31" s="19" t="inlineStr"/>
    </row>
    <row r="32">
      <c r="A32" s="6" t="inlineStr">
        <is>
          <t>KARITEL</t>
        </is>
      </c>
      <c r="B32" s="6" t="inlineStr">
        <is>
          <t>26</t>
        </is>
      </c>
      <c r="C32" s="7" t="n">
        <v>150</v>
      </c>
      <c r="D32" s="8" t="n">
        <v>46302</v>
      </c>
      <c r="E32" s="5" t="inlineStr">
        <is>
          <t>ST 76KA72</t>
        </is>
      </c>
      <c r="F32" s="9">
        <f>IF($D32="","",DATA_REF-$D32)</f>
        <v/>
      </c>
      <c r="G32" s="30" t="n">
        <v>269757</v>
      </c>
      <c r="H32" s="9">
        <f>IFERROR(INDEX(VARIEDADES!$C$8:$C$25,MATCH($E32,VARIEDADES!$A$8:$A$25,0)),"?")</f>
        <v/>
      </c>
      <c r="I32" s="31">
        <f>IF(OR($D32="",$H32="",$H32="?"),"",$D32+$H32)</f>
        <v/>
      </c>
      <c r="J32" s="19" t="inlineStr"/>
    </row>
    <row r="33">
      <c r="A33" s="6" t="inlineStr">
        <is>
          <t>KARITEL</t>
        </is>
      </c>
      <c r="B33" s="6" t="inlineStr">
        <is>
          <t>33</t>
        </is>
      </c>
      <c r="C33" s="7" t="n">
        <v>138</v>
      </c>
      <c r="D33" s="8" t="n">
        <v>46302</v>
      </c>
      <c r="E33" s="5" t="inlineStr">
        <is>
          <t>ATAQUE I2X</t>
        </is>
      </c>
      <c r="F33" s="9">
        <f>IF($D33="","",DATA_REF-$D33)</f>
        <v/>
      </c>
      <c r="G33" s="30" t="n">
        <v>213400</v>
      </c>
      <c r="H33" s="9">
        <f>IFERROR(INDEX(VARIEDADES!$C$8:$C$25,MATCH($E33,VARIEDADES!$A$8:$A$25,0)),"?")</f>
        <v/>
      </c>
      <c r="I33" s="31">
        <f>IF(OR($D33="",$H33="",$H33="?"),"",$D33+$H33)</f>
        <v/>
      </c>
      <c r="J33" s="19" t="inlineStr"/>
    </row>
    <row r="34">
      <c r="A34" s="6" t="inlineStr">
        <is>
          <t>KARITEL</t>
        </is>
      </c>
      <c r="B34" s="6" t="inlineStr">
        <is>
          <t>35</t>
        </is>
      </c>
      <c r="C34" s="7" t="n">
        <v>150</v>
      </c>
      <c r="D34" s="8" t="n">
        <v>46303</v>
      </c>
      <c r="E34" s="5" t="inlineStr">
        <is>
          <t>COMPLETA IPRO</t>
        </is>
      </c>
      <c r="F34" s="9">
        <f>IF($D34="","",DATA_REF-$D34)</f>
        <v/>
      </c>
      <c r="G34" s="30" t="n">
        <v>232800</v>
      </c>
      <c r="H34" s="9">
        <f>IFERROR(INDEX(VARIEDADES!$C$8:$C$25,MATCH($E34,VARIEDADES!$A$8:$A$25,0)),"?")</f>
        <v/>
      </c>
      <c r="I34" s="31">
        <f>IF(OR($D34="",$H34="",$H34="?"),"",$D34+$H34)</f>
        <v/>
      </c>
      <c r="J34" s="19" t="inlineStr"/>
    </row>
    <row r="35">
      <c r="A35" s="6" t="inlineStr">
        <is>
          <t>KARITEL</t>
        </is>
      </c>
      <c r="B35" s="6" t="inlineStr">
        <is>
          <t>36</t>
        </is>
      </c>
      <c r="C35" s="7" t="n">
        <v>150</v>
      </c>
      <c r="D35" s="8" t="n">
        <v>46303</v>
      </c>
      <c r="E35" s="5" t="inlineStr">
        <is>
          <t>COMPLETA IPRO</t>
        </is>
      </c>
      <c r="F35" s="9">
        <f>IF($D35="","",DATA_REF-$D35)</f>
        <v/>
      </c>
      <c r="G35" s="30" t="n">
        <v>232800</v>
      </c>
      <c r="H35" s="9">
        <f>IFERROR(INDEX(VARIEDADES!$C$8:$C$25,MATCH($E35,VARIEDADES!$A$8:$A$25,0)),"?")</f>
        <v/>
      </c>
      <c r="I35" s="31">
        <f>IF(OR($D35="",$H35="",$H35="?"),"",$D35+$H35)</f>
        <v/>
      </c>
      <c r="J35" s="19" t="inlineStr"/>
    </row>
    <row r="36">
      <c r="A36" s="6" t="inlineStr">
        <is>
          <t>KARITEL</t>
        </is>
      </c>
      <c r="B36" s="6" t="inlineStr">
        <is>
          <t>12</t>
        </is>
      </c>
      <c r="C36" s="7" t="n">
        <v>150</v>
      </c>
      <c r="D36" s="8" t="n">
        <v>46304</v>
      </c>
      <c r="E36" s="5" t="inlineStr">
        <is>
          <t>COMBATE IPRO</t>
        </is>
      </c>
      <c r="F36" s="9">
        <f>IF($D36="","",DATA_REF-$D36)</f>
        <v/>
      </c>
      <c r="G36" s="30" t="n">
        <v>397700</v>
      </c>
      <c r="H36" s="9">
        <f>IFERROR(INDEX(VARIEDADES!$C$8:$C$25,MATCH($E36,VARIEDADES!$A$8:$A$25,0)),"?")</f>
        <v/>
      </c>
      <c r="I36" s="31">
        <f>IF(OR($D36="",$H36="",$H36="?"),"",$D36+$H36)</f>
        <v/>
      </c>
      <c r="J36" s="19" t="inlineStr"/>
    </row>
    <row r="37">
      <c r="A37" s="6" t="inlineStr">
        <is>
          <t>KARITEL</t>
        </is>
      </c>
      <c r="B37" s="6" t="inlineStr">
        <is>
          <t>13</t>
        </is>
      </c>
      <c r="C37" s="7" t="n">
        <v>71</v>
      </c>
      <c r="D37" s="8" t="n">
        <v>46304</v>
      </c>
      <c r="E37" s="5" t="inlineStr">
        <is>
          <t>COMBATE IPRO</t>
        </is>
      </c>
      <c r="F37" s="9">
        <f>IF($D37="","",DATA_REF-$D37)</f>
        <v/>
      </c>
      <c r="G37" s="30" t="n">
        <v>397700</v>
      </c>
      <c r="H37" s="9">
        <f>IFERROR(INDEX(VARIEDADES!$C$8:$C$25,MATCH($E37,VARIEDADES!$A$8:$A$25,0)),"?")</f>
        <v/>
      </c>
      <c r="I37" s="31">
        <f>IF(OR($D37="",$H37="",$H37="?"),"",$D37+$H37)</f>
        <v/>
      </c>
      <c r="J37" s="19" t="inlineStr"/>
    </row>
    <row r="38">
      <c r="A38" s="6" t="inlineStr">
        <is>
          <t>KARITEL</t>
        </is>
      </c>
      <c r="B38" s="6" t="inlineStr">
        <is>
          <t>37</t>
        </is>
      </c>
      <c r="C38" s="7" t="n">
        <v>72</v>
      </c>
      <c r="D38" s="8" t="n">
        <v>46304</v>
      </c>
      <c r="E38" s="5" t="inlineStr">
        <is>
          <t>COMPLETA IPRO</t>
        </is>
      </c>
      <c r="F38" s="9">
        <f>IF($D38="","",DATA_REF-$D38)</f>
        <v/>
      </c>
      <c r="G38" s="30" t="n">
        <v>232800</v>
      </c>
      <c r="H38" s="9">
        <f>IFERROR(INDEX(VARIEDADES!$C$8:$C$25,MATCH($E38,VARIEDADES!$A$8:$A$25,0)),"?")</f>
        <v/>
      </c>
      <c r="I38" s="31">
        <f>IF(OR($D38="",$H38="",$H38="?"),"",$D38+$H38)</f>
        <v/>
      </c>
      <c r="J38" s="19" t="inlineStr"/>
    </row>
    <row r="39">
      <c r="A39" s="6" t="inlineStr">
        <is>
          <t>KARITEL</t>
        </is>
      </c>
      <c r="B39" s="6" t="inlineStr">
        <is>
          <t>38</t>
        </is>
      </c>
      <c r="C39" s="7" t="n">
        <v>141</v>
      </c>
      <c r="D39" s="8" t="n">
        <v>46304</v>
      </c>
      <c r="E39" s="5" t="inlineStr">
        <is>
          <t>COMPLETA IPRO</t>
        </is>
      </c>
      <c r="F39" s="9">
        <f>IF($D39="","",DATA_REF-$D39)</f>
        <v/>
      </c>
      <c r="G39" s="30" t="n">
        <v>232800</v>
      </c>
      <c r="H39" s="9">
        <f>IFERROR(INDEX(VARIEDADES!$C$8:$C$25,MATCH($E39,VARIEDADES!$A$8:$A$25,0)),"?")</f>
        <v/>
      </c>
      <c r="I39" s="31">
        <f>IF(OR($D39="",$H39="",$H39="?"),"",$D39+$H39)</f>
        <v/>
      </c>
      <c r="J39" s="19" t="inlineStr"/>
    </row>
    <row r="40">
      <c r="A40" s="6" t="inlineStr">
        <is>
          <t>KARITEL</t>
        </is>
      </c>
      <c r="B40" s="6" t="inlineStr">
        <is>
          <t>40</t>
        </is>
      </c>
      <c r="C40" s="7" t="n">
        <v>150</v>
      </c>
      <c r="D40" s="8" t="n">
        <v>46305</v>
      </c>
      <c r="E40" s="5" t="inlineStr">
        <is>
          <t>BMX Olimpo IPRO</t>
        </is>
      </c>
      <c r="F40" s="9">
        <f>IF($D40="","",DATA_REF-$D40)</f>
        <v/>
      </c>
      <c r="G40" s="30" t="n">
        <v>234740</v>
      </c>
      <c r="H40" s="9">
        <f>IFERROR(INDEX(VARIEDADES!$C$8:$C$25,MATCH($E40,VARIEDADES!$A$8:$A$25,0)),"?")</f>
        <v/>
      </c>
      <c r="I40" s="31">
        <f>IF(OR($D40="",$H40="",$H40="?"),"",$D40+$H40)</f>
        <v/>
      </c>
      <c r="J40" s="19" t="inlineStr"/>
    </row>
    <row r="41">
      <c r="A41" s="6" t="inlineStr">
        <is>
          <t>KARITEL</t>
        </is>
      </c>
      <c r="B41" s="6" t="inlineStr">
        <is>
          <t>41</t>
        </is>
      </c>
      <c r="C41" s="7" t="n">
        <v>138</v>
      </c>
      <c r="D41" s="8" t="n">
        <v>46305</v>
      </c>
      <c r="E41" s="5" t="inlineStr">
        <is>
          <t>NEO 761 I2X</t>
        </is>
      </c>
      <c r="F41" s="9">
        <f>IF($D41="","",DATA_REF-$D41)</f>
        <v/>
      </c>
      <c r="G41" s="30" t="n">
        <v>334650</v>
      </c>
      <c r="H41" s="9">
        <f>IFERROR(INDEX(VARIEDADES!$C$8:$C$25,MATCH($E41,VARIEDADES!$A$8:$A$25,0)),"?")</f>
        <v/>
      </c>
      <c r="I41" s="31">
        <f>IF(OR($D41="",$H41="",$H41="?"),"",$D41+$H41)</f>
        <v/>
      </c>
      <c r="J41" s="19" t="inlineStr"/>
    </row>
    <row r="42">
      <c r="A42" s="6" t="inlineStr">
        <is>
          <t>KARITEL</t>
        </is>
      </c>
      <c r="B42" s="6" t="inlineStr">
        <is>
          <t>42</t>
        </is>
      </c>
      <c r="C42" s="7" t="n">
        <v>100</v>
      </c>
      <c r="D42" s="8" t="n">
        <v>46307</v>
      </c>
      <c r="E42" s="5" t="inlineStr">
        <is>
          <t>BMX Olimpo IPRO</t>
        </is>
      </c>
      <c r="F42" s="9">
        <f>IF($D42="","",DATA_REF-$D42)</f>
        <v/>
      </c>
      <c r="G42" s="30" t="n">
        <v>234740</v>
      </c>
      <c r="H42" s="9">
        <f>IFERROR(INDEX(VARIEDADES!$C$8:$C$25,MATCH($E42,VARIEDADES!$A$8:$A$25,0)),"?")</f>
        <v/>
      </c>
      <c r="I42" s="31">
        <f>IF(OR($D42="",$H42="",$H42="?"),"",$D42+$H42)</f>
        <v/>
      </c>
      <c r="J42" s="19" t="inlineStr"/>
    </row>
    <row r="43">
      <c r="A43" s="6" t="inlineStr">
        <is>
          <t>KARITEL</t>
        </is>
      </c>
      <c r="B43" s="6" t="inlineStr">
        <is>
          <t>43</t>
        </is>
      </c>
      <c r="C43" s="7" t="n">
        <v>138</v>
      </c>
      <c r="D43" s="8" t="n">
        <v>46307</v>
      </c>
      <c r="E43" s="5" t="inlineStr">
        <is>
          <t>NEO 761 I2X</t>
        </is>
      </c>
      <c r="F43" s="9">
        <f>IF($D43="","",DATA_REF-$D43)</f>
        <v/>
      </c>
      <c r="G43" s="30" t="n">
        <v>334650</v>
      </c>
      <c r="H43" s="9">
        <f>IFERROR(INDEX(VARIEDADES!$C$8:$C$25,MATCH($E43,VARIEDADES!$A$8:$A$25,0)),"?")</f>
        <v/>
      </c>
      <c r="I43" s="31">
        <f>IF(OR($D43="",$H43="",$H43="?"),"",$D43+$H43)</f>
        <v/>
      </c>
      <c r="J43" s="19" t="inlineStr"/>
    </row>
    <row r="44">
      <c r="A44" s="6" t="inlineStr">
        <is>
          <t>RDM</t>
        </is>
      </c>
      <c r="B44" s="6" t="inlineStr">
        <is>
          <t>125</t>
        </is>
      </c>
      <c r="C44" s="7" t="n">
        <v>100</v>
      </c>
      <c r="D44" s="8" t="n">
        <v>46308</v>
      </c>
      <c r="E44" s="5" t="inlineStr">
        <is>
          <t>NEO 761 I2X</t>
        </is>
      </c>
      <c r="F44" s="9">
        <f>IF($D44="","",DATA_REF-$D44)</f>
        <v/>
      </c>
      <c r="G44" s="30" t="n">
        <v>334650</v>
      </c>
      <c r="H44" s="9">
        <f>IFERROR(INDEX(VARIEDADES!$C$8:$C$25,MATCH($E44,VARIEDADES!$A$8:$A$25,0)),"?")</f>
        <v/>
      </c>
      <c r="I44" s="31">
        <f>IF(OR($D44="",$H44="",$H44="?"),"",$D44+$H44)</f>
        <v/>
      </c>
      <c r="J44" s="19" t="inlineStr"/>
    </row>
    <row r="45">
      <c r="A45" s="6" t="inlineStr">
        <is>
          <t>RDM</t>
        </is>
      </c>
      <c r="B45" s="6" t="inlineStr">
        <is>
          <t>127</t>
        </is>
      </c>
      <c r="C45" s="7" t="n">
        <v>100</v>
      </c>
      <c r="D45" s="8" t="n">
        <v>46308</v>
      </c>
      <c r="E45" s="5" t="inlineStr">
        <is>
          <t>NEO 761 I2X</t>
        </is>
      </c>
      <c r="F45" s="9">
        <f>IF($D45="","",DATA_REF-$D45)</f>
        <v/>
      </c>
      <c r="G45" s="30" t="n">
        <v>334650</v>
      </c>
      <c r="H45" s="9">
        <f>IFERROR(INDEX(VARIEDADES!$C$8:$C$25,MATCH($E45,VARIEDADES!$A$8:$A$25,0)),"?")</f>
        <v/>
      </c>
      <c r="I45" s="31">
        <f>IF(OR($D45="",$H45="",$H45="?"),"",$D45+$H45)</f>
        <v/>
      </c>
      <c r="J45" s="19" t="inlineStr"/>
    </row>
    <row r="46">
      <c r="A46" s="6" t="inlineStr">
        <is>
          <t>RDM</t>
        </is>
      </c>
      <c r="B46" s="6" t="inlineStr">
        <is>
          <t>129</t>
        </is>
      </c>
      <c r="C46" s="7" t="n">
        <v>100</v>
      </c>
      <c r="D46" s="8" t="n">
        <v>46308</v>
      </c>
      <c r="E46" s="5" t="inlineStr">
        <is>
          <t>NEO 761 I2X</t>
        </is>
      </c>
      <c r="F46" s="9">
        <f>IF($D46="","",DATA_REF-$D46)</f>
        <v/>
      </c>
      <c r="G46" s="30" t="n">
        <v>334650</v>
      </c>
      <c r="H46" s="9">
        <f>IFERROR(INDEX(VARIEDADES!$C$8:$C$25,MATCH($E46,VARIEDADES!$A$8:$A$25,0)),"?")</f>
        <v/>
      </c>
      <c r="I46" s="31">
        <f>IF(OR($D46="",$H46="",$H46="?"),"",$D46+$H46)</f>
        <v/>
      </c>
      <c r="J46" s="19" t="inlineStr"/>
    </row>
    <row r="47">
      <c r="A47" s="6" t="inlineStr">
        <is>
          <t>RDM</t>
        </is>
      </c>
      <c r="B47" s="6" t="inlineStr">
        <is>
          <t>133</t>
        </is>
      </c>
      <c r="C47" s="7" t="n">
        <v>100</v>
      </c>
      <c r="D47" s="8" t="n">
        <v>46308</v>
      </c>
      <c r="E47" s="5" t="inlineStr">
        <is>
          <t>NEO 761 I2X</t>
        </is>
      </c>
      <c r="F47" s="9">
        <f>IF($D47="","",DATA_REF-$D47)</f>
        <v/>
      </c>
      <c r="G47" s="30" t="n">
        <v>334650</v>
      </c>
      <c r="H47" s="9">
        <f>IFERROR(INDEX(VARIEDADES!$C$8:$C$25,MATCH($E47,VARIEDADES!$A$8:$A$25,0)),"?")</f>
        <v/>
      </c>
      <c r="I47" s="31">
        <f>IF(OR($D47="",$H47="",$H47="?"),"",$D47+$H47)</f>
        <v/>
      </c>
      <c r="J47" s="19" t="inlineStr"/>
    </row>
    <row r="48">
      <c r="A48" s="6" t="inlineStr">
        <is>
          <t>RDM</t>
        </is>
      </c>
      <c r="B48" s="6" t="inlineStr">
        <is>
          <t>121</t>
        </is>
      </c>
      <c r="C48" s="7" t="n">
        <v>145</v>
      </c>
      <c r="D48" s="8" t="n">
        <v>46309</v>
      </c>
      <c r="E48" s="5" t="inlineStr">
        <is>
          <t>BMX Olimpo IPRO</t>
        </is>
      </c>
      <c r="F48" s="9">
        <f>IF($D48="","",DATA_REF-$D48)</f>
        <v/>
      </c>
      <c r="G48" s="30" t="n">
        <v>234740</v>
      </c>
      <c r="H48" s="9">
        <f>IFERROR(INDEX(VARIEDADES!$C$8:$C$25,MATCH($E48,VARIEDADES!$A$8:$A$25,0)),"?")</f>
        <v/>
      </c>
      <c r="I48" s="31">
        <f>IF(OR($D48="",$H48="",$H48="?"),"",$D48+$H48)</f>
        <v/>
      </c>
      <c r="J48" s="19" t="inlineStr"/>
    </row>
    <row r="49">
      <c r="A49" s="6" t="inlineStr">
        <is>
          <t>RDM</t>
        </is>
      </c>
      <c r="B49" s="6" t="inlineStr">
        <is>
          <t>122</t>
        </is>
      </c>
      <c r="C49" s="7" t="n">
        <v>150</v>
      </c>
      <c r="D49" s="8" t="n">
        <v>46309</v>
      </c>
      <c r="E49" s="5" t="inlineStr">
        <is>
          <t>NEO 761 I2X</t>
        </is>
      </c>
      <c r="F49" s="9">
        <f>IF($D49="","",DATA_REF-$D49)</f>
        <v/>
      </c>
      <c r="G49" s="30" t="n">
        <v>334650</v>
      </c>
      <c r="H49" s="9">
        <f>IFERROR(INDEX(VARIEDADES!$C$8:$C$25,MATCH($E49,VARIEDADES!$A$8:$A$25,0)),"?")</f>
        <v/>
      </c>
      <c r="I49" s="31">
        <f>IF(OR($D49="",$H49="",$H49="?"),"",$D49+$H49)</f>
        <v/>
      </c>
      <c r="J49" s="19" t="inlineStr"/>
    </row>
    <row r="50">
      <c r="A50" s="6" t="inlineStr">
        <is>
          <t>RDM</t>
        </is>
      </c>
      <c r="B50" s="6" t="inlineStr">
        <is>
          <t>123</t>
        </is>
      </c>
      <c r="C50" s="7" t="n">
        <v>148</v>
      </c>
      <c r="D50" s="8" t="n">
        <v>46310</v>
      </c>
      <c r="E50" s="5" t="inlineStr">
        <is>
          <t>NEO 761 I2X</t>
        </is>
      </c>
      <c r="F50" s="9">
        <f>IF($D50="","",DATA_REF-$D50)</f>
        <v/>
      </c>
      <c r="G50" s="30" t="n">
        <v>334650</v>
      </c>
      <c r="H50" s="9">
        <f>IFERROR(INDEX(VARIEDADES!$C$8:$C$25,MATCH($E50,VARIEDADES!$A$8:$A$25,0)),"?")</f>
        <v/>
      </c>
      <c r="I50" s="31">
        <f>IF(OR($D50="",$H50="",$H50="?"),"",$D50+$H50)</f>
        <v/>
      </c>
      <c r="J50" s="19" t="inlineStr"/>
    </row>
    <row r="51">
      <c r="A51" s="6" t="inlineStr">
        <is>
          <t>RDM</t>
        </is>
      </c>
      <c r="B51" s="6" t="inlineStr">
        <is>
          <t>124</t>
        </is>
      </c>
      <c r="C51" s="7" t="n">
        <v>150</v>
      </c>
      <c r="D51" s="8" t="n">
        <v>46310</v>
      </c>
      <c r="E51" s="5" t="inlineStr">
        <is>
          <t>BMX Olimpo IPRO</t>
        </is>
      </c>
      <c r="F51" s="9">
        <f>IF($D51="","",DATA_REF-$D51)</f>
        <v/>
      </c>
      <c r="G51" s="30" t="n">
        <v>234740</v>
      </c>
      <c r="H51" s="9">
        <f>IFERROR(INDEX(VARIEDADES!$C$8:$C$25,MATCH($E51,VARIEDADES!$A$8:$A$25,0)),"?")</f>
        <v/>
      </c>
      <c r="I51" s="31">
        <f>IF(OR($D51="",$H51="",$H51="?"),"",$D51+$H51)</f>
        <v/>
      </c>
      <c r="J51" s="19" t="inlineStr"/>
    </row>
    <row r="52">
      <c r="A52" s="6" t="inlineStr">
        <is>
          <t>KARITEL</t>
        </is>
      </c>
      <c r="B52" s="6" t="inlineStr">
        <is>
          <t>16</t>
        </is>
      </c>
      <c r="C52" s="7" t="n">
        <v>150</v>
      </c>
      <c r="D52" s="8" t="n">
        <v>46311</v>
      </c>
      <c r="E52" s="5" t="inlineStr">
        <is>
          <t>ATAQUE I2X</t>
        </is>
      </c>
      <c r="F52" s="9">
        <f>IF($D52="","",DATA_REF-$D52)</f>
        <v/>
      </c>
      <c r="G52" s="30" t="n">
        <v>213400</v>
      </c>
      <c r="H52" s="9">
        <f>IFERROR(INDEX(VARIEDADES!$C$8:$C$25,MATCH($E52,VARIEDADES!$A$8:$A$25,0)),"?")</f>
        <v/>
      </c>
      <c r="I52" s="31">
        <f>IF(OR($D52="",$H52="",$H52="?"),"",$D52+$H52)</f>
        <v/>
      </c>
      <c r="J52" s="19" t="inlineStr"/>
    </row>
    <row r="53">
      <c r="A53" s="6" t="inlineStr">
        <is>
          <t>KARITEL</t>
        </is>
      </c>
      <c r="B53" s="6" t="inlineStr">
        <is>
          <t>47</t>
        </is>
      </c>
      <c r="C53" s="7" t="n">
        <v>160</v>
      </c>
      <c r="D53" s="8" t="n">
        <v>46312</v>
      </c>
      <c r="E53" s="5" t="inlineStr">
        <is>
          <t>M8434 12X</t>
        </is>
      </c>
      <c r="F53" s="9">
        <f>IF($D53="","",DATA_REF-$D53)</f>
        <v/>
      </c>
      <c r="G53" s="30" t="n">
        <v>237650</v>
      </c>
      <c r="H53" s="9">
        <f>IFERROR(INDEX(VARIEDADES!$C$8:$C$25,MATCH($E53,VARIEDADES!$A$8:$A$25,0)),"?")</f>
        <v/>
      </c>
      <c r="I53" s="31">
        <f>IF(OR($D53="",$H53="",$H53="?"),"",$D53+$H53)</f>
        <v/>
      </c>
      <c r="J53" s="19" t="inlineStr"/>
    </row>
    <row r="54">
      <c r="A54" s="6" t="inlineStr">
        <is>
          <t>KARITEL</t>
        </is>
      </c>
      <c r="B54" s="6" t="inlineStr">
        <is>
          <t>48</t>
        </is>
      </c>
      <c r="C54" s="7" t="n">
        <v>160</v>
      </c>
      <c r="D54" s="8" t="n">
        <v>46314</v>
      </c>
      <c r="E54" s="5" t="inlineStr">
        <is>
          <t>M8434 12X</t>
        </is>
      </c>
      <c r="F54" s="9">
        <f>IF($D54="","",DATA_REF-$D54)</f>
        <v/>
      </c>
      <c r="G54" s="30" t="n">
        <v>237650</v>
      </c>
      <c r="H54" s="9">
        <f>IFERROR(INDEX(VARIEDADES!$C$8:$C$25,MATCH($E54,VARIEDADES!$A$8:$A$25,0)),"?")</f>
        <v/>
      </c>
      <c r="I54" s="31">
        <f>IF(OR($D54="",$H54="",$H54="?"),"",$D54+$H54)</f>
        <v/>
      </c>
      <c r="J54" s="19" t="inlineStr"/>
    </row>
    <row r="55">
      <c r="A55" s="6" t="inlineStr">
        <is>
          <t>KARITEL</t>
        </is>
      </c>
      <c r="B55" s="6" t="inlineStr">
        <is>
          <t>49</t>
        </is>
      </c>
      <c r="C55" s="7" t="n">
        <v>125</v>
      </c>
      <c r="D55" s="8" t="n">
        <v>46314</v>
      </c>
      <c r="E55" s="5" t="inlineStr">
        <is>
          <t>M8434 12X</t>
        </is>
      </c>
      <c r="F55" s="9">
        <f>IF($D55="","",DATA_REF-$D55)</f>
        <v/>
      </c>
      <c r="G55" s="30" t="n">
        <v>237650</v>
      </c>
      <c r="H55" s="9">
        <f>IFERROR(INDEX(VARIEDADES!$C$8:$C$25,MATCH($E55,VARIEDADES!$A$8:$A$25,0)),"?")</f>
        <v/>
      </c>
      <c r="I55" s="31">
        <f>IF(OR($D55="",$H55="",$H55="?"),"",$D55+$H55)</f>
        <v/>
      </c>
      <c r="J55" s="19" t="inlineStr"/>
    </row>
    <row r="56">
      <c r="A56" s="6" t="inlineStr">
        <is>
          <t>KARITEL</t>
        </is>
      </c>
      <c r="B56" s="6" t="inlineStr">
        <is>
          <t>56</t>
        </is>
      </c>
      <c r="C56" s="7" t="n">
        <v>95</v>
      </c>
      <c r="D56" s="8" t="n">
        <v>46315</v>
      </c>
      <c r="E56" s="5" t="inlineStr">
        <is>
          <t>BMX Olimpo IPRO</t>
        </is>
      </c>
      <c r="F56" s="9">
        <f>IF($D56="","",DATA_REF-$D56)</f>
        <v/>
      </c>
      <c r="G56" s="30" t="n">
        <v>234740</v>
      </c>
      <c r="H56" s="9">
        <f>IFERROR(INDEX(VARIEDADES!$C$8:$C$25,MATCH($E56,VARIEDADES!$A$8:$A$25,0)),"?")</f>
        <v/>
      </c>
      <c r="I56" s="31">
        <f>IF(OR($D56="",$H56="",$H56="?"),"",$D56+$H56)</f>
        <v/>
      </c>
      <c r="J56" s="19" t="inlineStr"/>
    </row>
    <row r="57">
      <c r="A57" s="6" t="inlineStr">
        <is>
          <t>KARITEL</t>
        </is>
      </c>
      <c r="B57" s="6" t="inlineStr">
        <is>
          <t>56</t>
        </is>
      </c>
      <c r="C57" s="7" t="n">
        <v>55</v>
      </c>
      <c r="D57" s="8" t="n">
        <v>46315</v>
      </c>
      <c r="E57" s="5" t="inlineStr">
        <is>
          <t>CZ 48B18 IPRO</t>
        </is>
      </c>
      <c r="F57" s="9">
        <f>IF($D57="","",DATA_REF-$D57)</f>
        <v/>
      </c>
      <c r="G57" s="30" t="n">
        <v>268690</v>
      </c>
      <c r="H57" s="9">
        <f>IFERROR(INDEX(VARIEDADES!$C$8:$C$25,MATCH($E57,VARIEDADES!$A$8:$A$25,0)),"?")</f>
        <v/>
      </c>
      <c r="I57" s="31">
        <f>IF(OR($D57="",$H57="",$H57="?"),"",$D57+$H57)</f>
        <v/>
      </c>
      <c r="J57" s="19" t="inlineStr"/>
    </row>
    <row r="58">
      <c r="A58" s="6" t="inlineStr">
        <is>
          <t>KARITEL</t>
        </is>
      </c>
      <c r="B58" s="6" t="inlineStr">
        <is>
          <t>58</t>
        </is>
      </c>
      <c r="C58" s="7" t="n">
        <v>150</v>
      </c>
      <c r="D58" s="8" t="n">
        <v>46315</v>
      </c>
      <c r="E58" s="5" t="inlineStr">
        <is>
          <t>BMX Olimpo IPRO</t>
        </is>
      </c>
      <c r="F58" s="9">
        <f>IF($D58="","",DATA_REF-$D58)</f>
        <v/>
      </c>
      <c r="G58" s="30" t="n">
        <v>234740</v>
      </c>
      <c r="H58" s="9">
        <f>IFERROR(INDEX(VARIEDADES!$C$8:$C$25,MATCH($E58,VARIEDADES!$A$8:$A$25,0)),"?")</f>
        <v/>
      </c>
      <c r="I58" s="31">
        <f>IF(OR($D58="",$H58="",$H58="?"),"",$D58+$H58)</f>
        <v/>
      </c>
      <c r="J58" s="19" t="inlineStr"/>
    </row>
    <row r="59">
      <c r="A59" s="6" t="inlineStr">
        <is>
          <t>KARITEL</t>
        </is>
      </c>
      <c r="B59" s="6" t="inlineStr">
        <is>
          <t>51</t>
        </is>
      </c>
      <c r="C59" s="7" t="n">
        <v>120</v>
      </c>
      <c r="D59" s="8" t="n">
        <v>46316</v>
      </c>
      <c r="E59" s="5" t="inlineStr">
        <is>
          <t>CZ 48B18 IPRO</t>
        </is>
      </c>
      <c r="F59" s="9">
        <f>IF($D59="","",DATA_REF-$D59)</f>
        <v/>
      </c>
      <c r="G59" s="30" t="n">
        <v>268690</v>
      </c>
      <c r="H59" s="9">
        <f>IFERROR(INDEX(VARIEDADES!$C$8:$C$25,MATCH($E59,VARIEDADES!$A$8:$A$25,0)),"?")</f>
        <v/>
      </c>
      <c r="I59" s="31">
        <f>IF(OR($D59="",$H59="",$H59="?"),"",$D59+$H59)</f>
        <v/>
      </c>
      <c r="J59" s="19" t="inlineStr"/>
    </row>
    <row r="60">
      <c r="A60" s="6" t="inlineStr">
        <is>
          <t>KARITEL</t>
        </is>
      </c>
      <c r="B60" s="6" t="inlineStr">
        <is>
          <t>54</t>
        </is>
      </c>
      <c r="C60" s="7" t="n">
        <v>120</v>
      </c>
      <c r="D60" s="8" t="n">
        <v>46316</v>
      </c>
      <c r="E60" s="5" t="inlineStr">
        <is>
          <t>CZ 48B18 IPRO</t>
        </is>
      </c>
      <c r="F60" s="9">
        <f>IF($D60="","",DATA_REF-$D60)</f>
        <v/>
      </c>
      <c r="G60" s="30" t="n">
        <v>268690</v>
      </c>
      <c r="H60" s="9">
        <f>IFERROR(INDEX(VARIEDADES!$C$8:$C$25,MATCH($E60,VARIEDADES!$A$8:$A$25,0)),"?")</f>
        <v/>
      </c>
      <c r="I60" s="31">
        <f>IF(OR($D60="",$H60="",$H60="?"),"",$D60+$H60)</f>
        <v/>
      </c>
      <c r="J60" s="19" t="inlineStr"/>
    </row>
    <row r="61">
      <c r="A61" s="6" t="inlineStr">
        <is>
          <t>KARITEL</t>
        </is>
      </c>
      <c r="B61" s="6" t="inlineStr">
        <is>
          <t>53</t>
        </is>
      </c>
      <c r="C61" s="7" t="n">
        <v>75</v>
      </c>
      <c r="D61" s="8" t="n">
        <v>46317</v>
      </c>
      <c r="E61" s="5" t="inlineStr">
        <is>
          <t>CZ 48B18 IPRO</t>
        </is>
      </c>
      <c r="F61" s="9">
        <f>IF($D61="","",DATA_REF-$D61)</f>
        <v/>
      </c>
      <c r="G61" s="30" t="n">
        <v>268690</v>
      </c>
      <c r="H61" s="9">
        <f>IFERROR(INDEX(VARIEDADES!$C$8:$C$25,MATCH($E61,VARIEDADES!$A$8:$A$25,0)),"?")</f>
        <v/>
      </c>
      <c r="I61" s="31">
        <f>IF(OR($D61="",$H61="",$H61="?"),"",$D61+$H61)</f>
        <v/>
      </c>
      <c r="J61" s="19" t="inlineStr"/>
    </row>
    <row r="62">
      <c r="A62" s="6" t="inlineStr">
        <is>
          <t>KARITEL</t>
        </is>
      </c>
      <c r="B62" s="6" t="inlineStr">
        <is>
          <t>55</t>
        </is>
      </c>
      <c r="C62" s="7" t="n">
        <v>150</v>
      </c>
      <c r="D62" s="8" t="n">
        <v>46318</v>
      </c>
      <c r="E62" s="5" t="inlineStr">
        <is>
          <t>CZ 48B18 IPRO</t>
        </is>
      </c>
      <c r="F62" s="9">
        <f>IF($D62="","",DATA_REF-$D62)</f>
        <v/>
      </c>
      <c r="G62" s="30" t="n">
        <v>268690</v>
      </c>
      <c r="H62" s="9">
        <f>IFERROR(INDEX(VARIEDADES!$C$8:$C$25,MATCH($E62,VARIEDADES!$A$8:$A$25,0)),"?")</f>
        <v/>
      </c>
      <c r="I62" s="31">
        <f>IF(OR($D62="",$H62="",$H62="?"),"",$D62+$H62)</f>
        <v/>
      </c>
      <c r="J62" s="19" t="inlineStr"/>
    </row>
    <row r="63">
      <c r="A63" s="6" t="inlineStr">
        <is>
          <t>KARITEL</t>
        </is>
      </c>
      <c r="B63" s="6" t="inlineStr">
        <is>
          <t>14</t>
        </is>
      </c>
      <c r="C63" s="7" t="n">
        <v>150</v>
      </c>
      <c r="D63" s="8" t="n">
        <v>46319</v>
      </c>
      <c r="E63" s="5" t="inlineStr">
        <is>
          <t>COMBATE IPRO</t>
        </is>
      </c>
      <c r="F63" s="9">
        <f>IF($D63="","",DATA_REF-$D63)</f>
        <v/>
      </c>
      <c r="G63" s="30" t="n">
        <v>397700</v>
      </c>
      <c r="H63" s="9">
        <f>IFERROR(INDEX(VARIEDADES!$C$8:$C$25,MATCH($E63,VARIEDADES!$A$8:$A$25,0)),"?")</f>
        <v/>
      </c>
      <c r="I63" s="31">
        <f>IF(OR($D63="",$H63="",$H63="?"),"",$D63+$H63)</f>
        <v/>
      </c>
      <c r="J63" s="19" t="inlineStr"/>
    </row>
    <row r="64">
      <c r="A64" s="6" t="inlineStr">
        <is>
          <t>KARITEL</t>
        </is>
      </c>
      <c r="B64" s="6" t="inlineStr">
        <is>
          <t>DRIPP</t>
        </is>
      </c>
      <c r="C64" s="7" t="n">
        <v>40</v>
      </c>
      <c r="D64" s="8" t="n">
        <v>46327</v>
      </c>
      <c r="E64" s="5" t="inlineStr">
        <is>
          <t>MURALHA IPRO</t>
        </is>
      </c>
      <c r="F64" s="9">
        <f>IF($D64="","",DATA_REF-$D64)</f>
        <v/>
      </c>
      <c r="G64" s="30" t="n">
        <v>234677</v>
      </c>
      <c r="H64" s="9">
        <f>IFERROR(INDEX(VARIEDADES!$C$8:$C$25,MATCH($E64,VARIEDADES!$A$8:$A$25,0)),"?")</f>
        <v/>
      </c>
      <c r="I64" s="31">
        <f>IF(OR($D64="",$H64="",$H64="?"),"",$D64+$H64)</f>
        <v/>
      </c>
      <c r="J64" s="19" t="inlineStr"/>
    </row>
    <row r="65">
      <c r="A65" s="6" t="inlineStr">
        <is>
          <t>KARITEL</t>
        </is>
      </c>
      <c r="B65" s="6" t="inlineStr">
        <is>
          <t>K01</t>
        </is>
      </c>
      <c r="C65" s="7" t="n">
        <v>70</v>
      </c>
      <c r="D65" s="8" t="n">
        <v>46327</v>
      </c>
      <c r="E65" s="5" t="inlineStr">
        <is>
          <t>BMX DOMINIO IPRO</t>
        </is>
      </c>
      <c r="F65" s="9">
        <f>IF($D65="","",DATA_REF-$D65)</f>
        <v/>
      </c>
      <c r="G65" s="30" t="n">
        <v>236680</v>
      </c>
      <c r="H65" s="9">
        <f>IFERROR(INDEX(VARIEDADES!$C$8:$C$25,MATCH($E65,VARIEDADES!$A$8:$A$25,0)),"?")</f>
        <v/>
      </c>
      <c r="I65" s="31">
        <f>IF(OR($D65="",$H65="",$H65="?"),"",$D65+$H65)</f>
        <v/>
      </c>
      <c r="J65" s="19" t="inlineStr"/>
    </row>
    <row r="66">
      <c r="A66" s="6" t="inlineStr">
        <is>
          <t>KARITEL</t>
        </is>
      </c>
      <c r="B66" s="6" t="inlineStr">
        <is>
          <t>K02</t>
        </is>
      </c>
      <c r="C66" s="7" t="n">
        <v>134</v>
      </c>
      <c r="D66" s="8" t="n">
        <v>46327</v>
      </c>
      <c r="E66" s="5" t="inlineStr">
        <is>
          <t>BMX DOMINIO IPRO</t>
        </is>
      </c>
      <c r="F66" s="9">
        <f>IF($D66="","",DATA_REF-$D66)</f>
        <v/>
      </c>
      <c r="G66" s="30" t="n">
        <v>236680</v>
      </c>
      <c r="H66" s="9">
        <f>IFERROR(INDEX(VARIEDADES!$C$8:$C$25,MATCH($E66,VARIEDADES!$A$8:$A$25,0)),"?")</f>
        <v/>
      </c>
      <c r="I66" s="31">
        <f>IF(OR($D66="",$H66="",$H66="?"),"",$D66+$H66)</f>
        <v/>
      </c>
      <c r="J66" s="19" t="inlineStr"/>
    </row>
    <row r="67">
      <c r="A67" s="6" t="inlineStr">
        <is>
          <t>KARITEL</t>
        </is>
      </c>
      <c r="B67" s="6" t="inlineStr">
        <is>
          <t>K10</t>
        </is>
      </c>
      <c r="C67" s="7" t="n">
        <v>83</v>
      </c>
      <c r="D67" s="8" t="n">
        <v>46327</v>
      </c>
      <c r="E67" s="5" t="inlineStr">
        <is>
          <t>ATAQUE I2X</t>
        </is>
      </c>
      <c r="F67" s="9">
        <f>IF($D67="","",DATA_REF-$D67)</f>
        <v/>
      </c>
      <c r="G67" s="30" t="n">
        <v>213400</v>
      </c>
      <c r="H67" s="9">
        <f>IFERROR(INDEX(VARIEDADES!$C$8:$C$25,MATCH($E67,VARIEDADES!$A$8:$A$25,0)),"?")</f>
        <v/>
      </c>
      <c r="I67" s="31">
        <f>IF(OR($D67="",$H67="",$H67="?"),"",$D67+$H67)</f>
        <v/>
      </c>
      <c r="J67" s="19" t="inlineStr"/>
    </row>
    <row r="68">
      <c r="A68" s="6" t="inlineStr">
        <is>
          <t>KARITEL</t>
        </is>
      </c>
      <c r="B68" s="6" t="inlineStr">
        <is>
          <t>K10</t>
        </is>
      </c>
      <c r="C68" s="7" t="n">
        <v>13</v>
      </c>
      <c r="D68" s="8" t="n">
        <v>46327</v>
      </c>
      <c r="E68" s="5" t="inlineStr">
        <is>
          <t>ATAQUE I2X</t>
        </is>
      </c>
      <c r="F68" s="9">
        <f>IF($D68="","",DATA_REF-$D68)</f>
        <v/>
      </c>
      <c r="G68" s="30" t="n">
        <v>213400</v>
      </c>
      <c r="H68" s="9">
        <f>IFERROR(INDEX(VARIEDADES!$C$8:$C$25,MATCH($E68,VARIEDADES!$A$8:$A$25,0)),"?")</f>
        <v/>
      </c>
      <c r="I68" s="31">
        <f>IF(OR($D68="",$H68="",$H68="?"),"",$D68+$H68)</f>
        <v/>
      </c>
      <c r="J68" s="19" t="inlineStr"/>
    </row>
    <row r="69">
      <c r="A69" s="6" t="inlineStr">
        <is>
          <t>KARITEL</t>
        </is>
      </c>
      <c r="B69" s="6" t="inlineStr">
        <is>
          <t>K03</t>
        </is>
      </c>
      <c r="C69" s="7" t="n">
        <v>77</v>
      </c>
      <c r="D69" s="8" t="n">
        <v>46328</v>
      </c>
      <c r="E69" s="5" t="inlineStr">
        <is>
          <t>MURALHA IPRO</t>
        </is>
      </c>
      <c r="F69" s="9">
        <f>IF($D69="","",DATA_REF-$D69)</f>
        <v/>
      </c>
      <c r="G69" s="30" t="n">
        <v>234677</v>
      </c>
      <c r="H69" s="9">
        <f>IFERROR(INDEX(VARIEDADES!$C$8:$C$25,MATCH($E69,VARIEDADES!$A$8:$A$25,0)),"?")</f>
        <v/>
      </c>
      <c r="I69" s="31">
        <f>IF(OR($D69="",$H69="",$H69="?"),"",$D69+$H69)</f>
        <v/>
      </c>
      <c r="J69" s="19" t="inlineStr"/>
    </row>
    <row r="70">
      <c r="A70" s="6" t="inlineStr">
        <is>
          <t>KARITEL</t>
        </is>
      </c>
      <c r="B70" s="6" t="inlineStr">
        <is>
          <t>K11</t>
        </is>
      </c>
      <c r="C70" s="7" t="n">
        <v>75</v>
      </c>
      <c r="D70" s="8" t="n">
        <v>46328</v>
      </c>
      <c r="E70" s="5" t="inlineStr">
        <is>
          <t>BMX DOMINIO IPRO</t>
        </is>
      </c>
      <c r="F70" s="9">
        <f>IF($D70="","",DATA_REF-$D70)</f>
        <v/>
      </c>
      <c r="G70" s="30" t="n">
        <v>236680</v>
      </c>
      <c r="H70" s="9">
        <f>IFERROR(INDEX(VARIEDADES!$C$8:$C$25,MATCH($E70,VARIEDADES!$A$8:$A$25,0)),"?")</f>
        <v/>
      </c>
      <c r="I70" s="31">
        <f>IF(OR($D70="",$H70="",$H70="?"),"",$D70+$H70)</f>
        <v/>
      </c>
      <c r="J70" s="19" t="inlineStr"/>
    </row>
    <row r="71">
      <c r="A71" s="6" t="inlineStr">
        <is>
          <t>KARITEL</t>
        </is>
      </c>
      <c r="B71" s="6" t="inlineStr">
        <is>
          <t>K21</t>
        </is>
      </c>
      <c r="C71" s="7" t="n">
        <v>213</v>
      </c>
      <c r="D71" s="8" t="n">
        <v>46329</v>
      </c>
      <c r="E71" s="5" t="inlineStr">
        <is>
          <t>BMX DOMINIO IPRO</t>
        </is>
      </c>
      <c r="F71" s="9">
        <f>IF($D71="","",DATA_REF-$D71)</f>
        <v/>
      </c>
      <c r="G71" s="30" t="n">
        <v>236680</v>
      </c>
      <c r="H71" s="9">
        <f>IFERROR(INDEX(VARIEDADES!$C$8:$C$25,MATCH($E71,VARIEDADES!$A$8:$A$25,0)),"?")</f>
        <v/>
      </c>
      <c r="I71" s="31">
        <f>IF(OR($D71="",$H71="",$H71="?"),"",$D71+$H71)</f>
        <v/>
      </c>
      <c r="J71" s="19" t="inlineStr"/>
    </row>
    <row r="72">
      <c r="A72" s="6" t="inlineStr">
        <is>
          <t>KARITEL</t>
        </is>
      </c>
      <c r="B72" s="6" t="inlineStr">
        <is>
          <t>K22</t>
        </is>
      </c>
      <c r="C72" s="7" t="n">
        <v>110</v>
      </c>
      <c r="D72" s="8" t="n">
        <v>46329</v>
      </c>
      <c r="E72" s="5" t="inlineStr">
        <is>
          <t>BMX DOMINIO IPRO</t>
        </is>
      </c>
      <c r="F72" s="9">
        <f>IF($D72="","",DATA_REF-$D72)</f>
        <v/>
      </c>
      <c r="G72" s="30" t="n">
        <v>236680</v>
      </c>
      <c r="H72" s="9">
        <f>IFERROR(INDEX(VARIEDADES!$C$8:$C$25,MATCH($E72,VARIEDADES!$A$8:$A$25,0)),"?")</f>
        <v/>
      </c>
      <c r="I72" s="31">
        <f>IF(OR($D72="",$H72="",$H72="?"),"",$D72+$H72)</f>
        <v/>
      </c>
      <c r="J72" s="19" t="inlineStr"/>
    </row>
    <row r="73">
      <c r="A73" s="6" t="inlineStr">
        <is>
          <t>KARITEL</t>
        </is>
      </c>
      <c r="B73" s="6" t="inlineStr">
        <is>
          <t>K23</t>
        </is>
      </c>
      <c r="C73" s="7" t="n">
        <v>40</v>
      </c>
      <c r="D73" s="8" t="n">
        <v>46329</v>
      </c>
      <c r="E73" s="5" t="inlineStr">
        <is>
          <t>BMX DOMINIO IPRO</t>
        </is>
      </c>
      <c r="F73" s="9">
        <f>IF($D73="","",DATA_REF-$D73)</f>
        <v/>
      </c>
      <c r="G73" s="30" t="n">
        <v>236680</v>
      </c>
      <c r="H73" s="9">
        <f>IFERROR(INDEX(VARIEDADES!$C$8:$C$25,MATCH($E73,VARIEDADES!$A$8:$A$25,0)),"?")</f>
        <v/>
      </c>
      <c r="I73" s="31">
        <f>IF(OR($D73="",$H73="",$H73="?"),"",$D73+$H73)</f>
        <v/>
      </c>
      <c r="J73" s="19" t="inlineStr"/>
    </row>
    <row r="74">
      <c r="A74" s="6" t="inlineStr">
        <is>
          <t>KARITEL</t>
        </is>
      </c>
      <c r="B74" s="6" t="inlineStr">
        <is>
          <t>K24</t>
        </is>
      </c>
      <c r="C74" s="7" t="n">
        <v>59</v>
      </c>
      <c r="D74" s="8" t="n">
        <v>46330</v>
      </c>
      <c r="E74" s="5" t="inlineStr">
        <is>
          <t>BMX DOMINIO IPRO</t>
        </is>
      </c>
      <c r="F74" s="9">
        <f>IF($D74="","",DATA_REF-$D74)</f>
        <v/>
      </c>
      <c r="G74" s="30" t="n">
        <v>236680</v>
      </c>
      <c r="H74" s="9">
        <f>IFERROR(INDEX(VARIEDADES!$C$8:$C$25,MATCH($E74,VARIEDADES!$A$8:$A$25,0)),"?")</f>
        <v/>
      </c>
      <c r="I74" s="31">
        <f>IF(OR($D74="",$H74="",$H74="?"),"",$D74+$H74)</f>
        <v/>
      </c>
      <c r="J74" s="19" t="inlineStr"/>
    </row>
    <row r="75">
      <c r="A75" s="6" t="inlineStr">
        <is>
          <t>KARITEL</t>
        </is>
      </c>
      <c r="B75" s="6" t="inlineStr">
        <is>
          <t>K25</t>
        </is>
      </c>
      <c r="C75" s="7" t="n">
        <v>27</v>
      </c>
      <c r="D75" s="8" t="n">
        <v>46330</v>
      </c>
      <c r="E75" s="5" t="inlineStr">
        <is>
          <t>BMX DOMINIO IPRO</t>
        </is>
      </c>
      <c r="F75" s="9">
        <f>IF($D75="","",DATA_REF-$D75)</f>
        <v/>
      </c>
      <c r="G75" s="30" t="n">
        <v>236680</v>
      </c>
      <c r="H75" s="9">
        <f>IFERROR(INDEX(VARIEDADES!$C$8:$C$25,MATCH($E75,VARIEDADES!$A$8:$A$25,0)),"?")</f>
        <v/>
      </c>
      <c r="I75" s="31">
        <f>IF(OR($D75="",$H75="",$H75="?"),"",$D75+$H75)</f>
        <v/>
      </c>
      <c r="J75" s="19" t="inlineStr"/>
    </row>
    <row r="76">
      <c r="A76" s="6" t="inlineStr">
        <is>
          <t>KARITEL</t>
        </is>
      </c>
      <c r="B76" s="6" t="inlineStr">
        <is>
          <t>K25</t>
        </is>
      </c>
      <c r="C76" s="7" t="n">
        <v>171</v>
      </c>
      <c r="D76" s="8" t="n">
        <v>46330</v>
      </c>
      <c r="E76" s="5" t="inlineStr">
        <is>
          <t>BMX DOMINIO IPRO</t>
        </is>
      </c>
      <c r="F76" s="9">
        <f>IF($D76="","",DATA_REF-$D76)</f>
        <v/>
      </c>
      <c r="G76" s="30" t="n">
        <v>236680</v>
      </c>
      <c r="H76" s="9">
        <f>IFERROR(INDEX(VARIEDADES!$C$8:$C$25,MATCH($E76,VARIEDADES!$A$8:$A$25,0)),"?")</f>
        <v/>
      </c>
      <c r="I76" s="31">
        <f>IF(OR($D76="",$H76="",$H76="?"),"",$D76+$H76)</f>
        <v/>
      </c>
      <c r="J76" s="19" t="inlineStr"/>
    </row>
    <row r="77">
      <c r="A77" s="6" t="inlineStr">
        <is>
          <t>KARITEL</t>
        </is>
      </c>
      <c r="B77" s="6" t="inlineStr">
        <is>
          <t>K27</t>
        </is>
      </c>
      <c r="C77" s="7" t="n">
        <v>313</v>
      </c>
      <c r="D77" s="8" t="n">
        <v>46330</v>
      </c>
      <c r="E77" s="5" t="inlineStr">
        <is>
          <t>BMX DOMINIO IPRO</t>
        </is>
      </c>
      <c r="F77" s="9">
        <f>IF($D77="","",DATA_REF-$D77)</f>
        <v/>
      </c>
      <c r="G77" s="30" t="n">
        <v>236680</v>
      </c>
      <c r="H77" s="9">
        <f>IFERROR(INDEX(VARIEDADES!$C$8:$C$25,MATCH($E77,VARIEDADES!$A$8:$A$25,0)),"?")</f>
        <v/>
      </c>
      <c r="I77" s="31">
        <f>IF(OR($D77="",$H77="",$H77="?"),"",$D77+$H77)</f>
        <v/>
      </c>
      <c r="J77" s="19" t="inlineStr"/>
    </row>
    <row r="78">
      <c r="A78" s="6" t="inlineStr">
        <is>
          <t>KARITEL</t>
        </is>
      </c>
      <c r="B78" s="6" t="inlineStr">
        <is>
          <t>46</t>
        </is>
      </c>
      <c r="C78" s="7" t="n">
        <v>160</v>
      </c>
      <c r="D78" s="8" t="n">
        <v>46331</v>
      </c>
      <c r="E78" s="5" t="inlineStr">
        <is>
          <t>M8434 12X</t>
        </is>
      </c>
      <c r="F78" s="9">
        <f>IF($D78="","",DATA_REF-$D78)</f>
        <v/>
      </c>
      <c r="G78" s="30" t="n">
        <v>237650</v>
      </c>
      <c r="H78" s="9">
        <f>IFERROR(INDEX(VARIEDADES!$C$8:$C$25,MATCH($E78,VARIEDADES!$A$8:$A$25,0)),"?")</f>
        <v/>
      </c>
      <c r="I78" s="31">
        <f>IF(OR($D78="",$H78="",$H78="?"),"",$D78+$H78)</f>
        <v/>
      </c>
      <c r="J78" s="19" t="inlineStr"/>
    </row>
    <row r="79">
      <c r="A79" s="6" t="inlineStr">
        <is>
          <t>KARITEL</t>
        </is>
      </c>
      <c r="B79" s="6" t="inlineStr">
        <is>
          <t>52</t>
        </is>
      </c>
      <c r="C79" s="7" t="n">
        <v>160</v>
      </c>
      <c r="D79" s="8" t="n">
        <v>46331</v>
      </c>
      <c r="E79" s="5" t="inlineStr">
        <is>
          <t>M8434 12X</t>
        </is>
      </c>
      <c r="F79" s="9">
        <f>IF($D79="","",DATA_REF-$D79)</f>
        <v/>
      </c>
      <c r="G79" s="30" t="n">
        <v>237650</v>
      </c>
      <c r="H79" s="9">
        <f>IFERROR(INDEX(VARIEDADES!$C$8:$C$25,MATCH($E79,VARIEDADES!$A$8:$A$25,0)),"?")</f>
        <v/>
      </c>
      <c r="I79" s="31">
        <f>IF(OR($D79="",$H79="",$H79="?"),"",$D79+$H79)</f>
        <v/>
      </c>
      <c r="J79" s="19" t="inlineStr"/>
    </row>
    <row r="80">
      <c r="A80" s="6" t="inlineStr">
        <is>
          <t>RDM</t>
        </is>
      </c>
      <c r="B80" s="6" t="inlineStr">
        <is>
          <t>R01</t>
        </is>
      </c>
      <c r="C80" s="7" t="n">
        <v>71</v>
      </c>
      <c r="D80" s="8" t="n">
        <v>46331</v>
      </c>
      <c r="E80" s="5" t="inlineStr">
        <is>
          <t>BMX DOMINIO IPRO</t>
        </is>
      </c>
      <c r="F80" s="9">
        <f>IF($D80="","",DATA_REF-$D80)</f>
        <v/>
      </c>
      <c r="G80" s="30" t="n">
        <v>236680</v>
      </c>
      <c r="H80" s="9">
        <f>IFERROR(INDEX(VARIEDADES!$C$8:$C$25,MATCH($E80,VARIEDADES!$A$8:$A$25,0)),"?")</f>
        <v/>
      </c>
      <c r="I80" s="31">
        <f>IF(OR($D80="",$H80="",$H80="?"),"",$D80+$H80)</f>
        <v/>
      </c>
      <c r="J80" s="19" t="inlineStr"/>
    </row>
    <row r="81">
      <c r="A81" s="6" t="inlineStr">
        <is>
          <t>RDM</t>
        </is>
      </c>
      <c r="B81" s="6" t="inlineStr">
        <is>
          <t>R02</t>
        </is>
      </c>
      <c r="C81" s="7" t="n">
        <v>38</v>
      </c>
      <c r="D81" s="8" t="n">
        <v>46331</v>
      </c>
      <c r="E81" s="5" t="inlineStr">
        <is>
          <t>BMX DOMINIO IPRO</t>
        </is>
      </c>
      <c r="F81" s="9">
        <f>IF($D81="","",DATA_REF-$D81)</f>
        <v/>
      </c>
      <c r="G81" s="30" t="n">
        <v>236680</v>
      </c>
      <c r="H81" s="9">
        <f>IFERROR(INDEX(VARIEDADES!$C$8:$C$25,MATCH($E81,VARIEDADES!$A$8:$A$25,0)),"?")</f>
        <v/>
      </c>
      <c r="I81" s="31">
        <f>IF(OR($D81="",$H81="",$H81="?"),"",$D81+$H81)</f>
        <v/>
      </c>
      <c r="J81" s="19" t="inlineStr"/>
    </row>
    <row r="82">
      <c r="A82" s="6" t="inlineStr">
        <is>
          <t>RDM</t>
        </is>
      </c>
      <c r="B82" s="6" t="inlineStr">
        <is>
          <t>R03</t>
        </is>
      </c>
      <c r="C82" s="7" t="n">
        <v>162</v>
      </c>
      <c r="D82" s="8" t="n">
        <v>46332</v>
      </c>
      <c r="E82" s="5" t="inlineStr">
        <is>
          <t>BMX DOMINIO IPRO</t>
        </is>
      </c>
      <c r="F82" s="9">
        <f>IF($D82="","",DATA_REF-$D82)</f>
        <v/>
      </c>
      <c r="G82" s="30" t="n">
        <v>236680</v>
      </c>
      <c r="H82" s="9">
        <f>IFERROR(INDEX(VARIEDADES!$C$8:$C$25,MATCH($E82,VARIEDADES!$A$8:$A$25,0)),"?")</f>
        <v/>
      </c>
      <c r="I82" s="31">
        <f>IF(OR($D82="",$H82="",$H82="?"),"",$D82+$H82)</f>
        <v/>
      </c>
      <c r="J82" s="19" t="inlineStr"/>
    </row>
    <row r="83">
      <c r="A83" s="6" t="inlineStr">
        <is>
          <t>RDM</t>
        </is>
      </c>
      <c r="B83" s="6" t="inlineStr">
        <is>
          <t>R04</t>
        </is>
      </c>
      <c r="C83" s="7" t="n">
        <v>240</v>
      </c>
      <c r="D83" s="8" t="n">
        <v>46332</v>
      </c>
      <c r="E83" s="5" t="inlineStr">
        <is>
          <t>BMX DOMINIO IPRO</t>
        </is>
      </c>
      <c r="F83" s="9">
        <f>IF($D83="","",DATA_REF-$D83)</f>
        <v/>
      </c>
      <c r="G83" s="30" t="n">
        <v>236680</v>
      </c>
      <c r="H83" s="9">
        <f>IFERROR(INDEX(VARIEDADES!$C$8:$C$25,MATCH($E83,VARIEDADES!$A$8:$A$25,0)),"?")</f>
        <v/>
      </c>
      <c r="I83" s="31">
        <f>IF(OR($D83="",$H83="",$H83="?"),"",$D83+$H83)</f>
        <v/>
      </c>
      <c r="J83" s="19" t="inlineStr"/>
    </row>
    <row r="84">
      <c r="A84" s="6" t="inlineStr">
        <is>
          <t>RDM</t>
        </is>
      </c>
      <c r="B84" s="6" t="inlineStr">
        <is>
          <t>R05</t>
        </is>
      </c>
      <c r="C84" s="7" t="n">
        <v>37</v>
      </c>
      <c r="D84" s="8" t="n">
        <v>46332</v>
      </c>
      <c r="E84" s="5" t="inlineStr">
        <is>
          <t>BMX DOMINIO IPRO</t>
        </is>
      </c>
      <c r="F84" s="9">
        <f>IF($D84="","",DATA_REF-$D84)</f>
        <v/>
      </c>
      <c r="G84" s="30" t="n">
        <v>236680</v>
      </c>
      <c r="H84" s="9">
        <f>IFERROR(INDEX(VARIEDADES!$C$8:$C$25,MATCH($E84,VARIEDADES!$A$8:$A$25,0)),"?")</f>
        <v/>
      </c>
      <c r="I84" s="31">
        <f>IF(OR($D84="",$H84="",$H84="?"),"",$D84+$H84)</f>
        <v/>
      </c>
      <c r="J84" s="19" t="inlineStr"/>
    </row>
    <row r="85">
      <c r="A85" s="6" t="inlineStr">
        <is>
          <t>KARITEL</t>
        </is>
      </c>
      <c r="B85" s="6" t="inlineStr">
        <is>
          <t>45</t>
        </is>
      </c>
      <c r="C85" s="7" t="n">
        <v>123</v>
      </c>
      <c r="D85" s="8" t="n">
        <v>46338</v>
      </c>
      <c r="E85" s="5" t="inlineStr">
        <is>
          <t>CZ 58B10 I2X</t>
        </is>
      </c>
      <c r="F85" s="9">
        <f>IF($D85="","",DATA_REF-$D85)</f>
        <v/>
      </c>
      <c r="G85" s="30" t="n">
        <v>232800</v>
      </c>
      <c r="H85" s="9">
        <f>IFERROR(INDEX(VARIEDADES!$C$8:$C$25,MATCH($E85,VARIEDADES!$A$8:$A$25,0)),"?")</f>
        <v/>
      </c>
      <c r="I85" s="31">
        <f>IF(OR($D85="",$H85="",$H85="?"),"",$D85+$H85)</f>
        <v/>
      </c>
      <c r="J85" s="19" t="inlineStr"/>
    </row>
    <row r="86">
      <c r="A86" s="6" t="inlineStr">
        <is>
          <t>KARITEL</t>
        </is>
      </c>
      <c r="B86" s="6" t="inlineStr">
        <is>
          <t>60</t>
        </is>
      </c>
      <c r="C86" s="7" t="n">
        <v>150</v>
      </c>
      <c r="D86" s="8" t="n">
        <v>46350</v>
      </c>
      <c r="E86" s="5" t="inlineStr">
        <is>
          <t>BMX Olimpo IPRO</t>
        </is>
      </c>
      <c r="F86" s="9">
        <f>IF($D86="","",DATA_REF-$D86)</f>
        <v/>
      </c>
      <c r="G86" s="30" t="n">
        <v>234740</v>
      </c>
      <c r="H86" s="9">
        <f>IFERROR(INDEX(VARIEDADES!$C$8:$C$25,MATCH($E86,VARIEDADES!$A$8:$A$25,0)),"?")</f>
        <v/>
      </c>
      <c r="I86" s="31">
        <f>IF(OR($D86="",$H86="",$H86="?"),"",$D86+$H86)</f>
        <v/>
      </c>
      <c r="J86" s="19" t="inlineStr"/>
    </row>
    <row r="87">
      <c r="A87" s="6" t="inlineStr">
        <is>
          <t>KARITEL</t>
        </is>
      </c>
      <c r="B87" s="6" t="inlineStr">
        <is>
          <t>50</t>
        </is>
      </c>
      <c r="C87" s="7" t="n">
        <v>120</v>
      </c>
      <c r="D87" s="8" t="n">
        <v>46352</v>
      </c>
      <c r="E87" s="5" t="inlineStr">
        <is>
          <t>CZ 48B18 IPRO</t>
        </is>
      </c>
      <c r="F87" s="9">
        <f>IF($D87="","",DATA_REF-$D87)</f>
        <v/>
      </c>
      <c r="G87" s="30" t="n">
        <v>268690</v>
      </c>
      <c r="H87" s="9">
        <f>IFERROR(INDEX(VARIEDADES!$C$8:$C$25,MATCH($E87,VARIEDADES!$A$8:$A$25,0)),"?")</f>
        <v/>
      </c>
      <c r="I87" s="31">
        <f>IF(OR($D87="",$H87="",$H87="?"),"",$D87+$H87)</f>
        <v/>
      </c>
      <c r="J87" s="19" t="inlineStr"/>
    </row>
    <row r="88">
      <c r="A88" s="6" t="inlineStr">
        <is>
          <t>KARITEL</t>
        </is>
      </c>
      <c r="B88" s="6" t="inlineStr">
        <is>
          <t>57</t>
        </is>
      </c>
      <c r="C88" s="7" t="n">
        <v>150</v>
      </c>
      <c r="D88" s="8" t="n">
        <v>46354</v>
      </c>
      <c r="E88" s="5" t="inlineStr">
        <is>
          <t>BMX Olimpo IPRO</t>
        </is>
      </c>
      <c r="F88" s="9">
        <f>IF($D88="","",DATA_REF-$D88)</f>
        <v/>
      </c>
      <c r="G88" s="30" t="n">
        <v>234740</v>
      </c>
      <c r="H88" s="9">
        <f>IFERROR(INDEX(VARIEDADES!$C$8:$C$25,MATCH($E88,VARIEDADES!$A$8:$A$25,0)),"?")</f>
        <v/>
      </c>
      <c r="I88" s="31">
        <f>IF(OR($D88="",$H88="",$H88="?"),"",$D88+$H88)</f>
        <v/>
      </c>
      <c r="J88" s="19" t="inlineStr"/>
    </row>
    <row r="89">
      <c r="A89" s="6" t="inlineStr">
        <is>
          <t>KARITEL</t>
        </is>
      </c>
      <c r="B89" s="6" t="inlineStr">
        <is>
          <t>59</t>
        </is>
      </c>
      <c r="C89" s="7" t="n">
        <v>143</v>
      </c>
      <c r="D89" s="8" t="n">
        <v>46354</v>
      </c>
      <c r="E89" s="5" t="inlineStr">
        <is>
          <t>BMX Olimpo IPRO</t>
        </is>
      </c>
      <c r="F89" s="9">
        <f>IF($D89="","",DATA_REF-$D89)</f>
        <v/>
      </c>
      <c r="G89" s="30" t="n">
        <v>234740</v>
      </c>
      <c r="H89" s="9">
        <f>IFERROR(INDEX(VARIEDADES!$C$8:$C$25,MATCH($E89,VARIEDADES!$A$8:$A$25,0)),"?")</f>
        <v/>
      </c>
      <c r="I89" s="31">
        <f>IF(OR($D89="",$H89="",$H89="?"),"",$D89+$H89)</f>
        <v/>
      </c>
      <c r="J89" s="19" t="inlineStr"/>
    </row>
    <row r="90">
      <c r="A90" s="6" t="inlineStr">
        <is>
          <t>KARITEL</t>
        </is>
      </c>
      <c r="B90" s="6" t="inlineStr">
        <is>
          <t>61</t>
        </is>
      </c>
      <c r="C90" s="7" t="n">
        <v>145</v>
      </c>
      <c r="D90" s="8" t="n">
        <v>46368</v>
      </c>
      <c r="E90" s="5" t="inlineStr">
        <is>
          <t>BMX Olimpo IPRO</t>
        </is>
      </c>
      <c r="F90" s="9">
        <f>IF($D90="","",DATA_REF-$D90)</f>
        <v/>
      </c>
      <c r="G90" s="30" t="n">
        <v>234740</v>
      </c>
      <c r="H90" s="9">
        <f>IFERROR(INDEX(VARIEDADES!$C$8:$C$25,MATCH($E90,VARIEDADES!$A$8:$A$25,0)),"?")</f>
        <v/>
      </c>
      <c r="I90" s="31">
        <f>IF(OR($D90="",$H90="",$H90="?"),"",$D90+$H90)</f>
        <v/>
      </c>
      <c r="J90" s="19" t="inlineStr"/>
    </row>
    <row r="92">
      <c r="A92" s="19" t="inlineStr">
        <is>
          <t>Colheita prev. = plantio + ocupacao operacional (previsao). Substituir pela colheita real. Nao derivar ciclo so pelo GRM. Curvas de Kc diarias: PENDENTE (aba de cultura).</t>
        </is>
      </c>
      <c r="B92" s="22" t="n"/>
      <c r="C92" s="22" t="n"/>
      <c r="D92" s="22" t="n"/>
      <c r="E92" s="22" t="n"/>
      <c r="F92" s="22" t="n"/>
      <c r="G92" s="22" t="n"/>
      <c r="H92" s="22" t="n"/>
      <c r="I92" s="22" t="n"/>
      <c r="J92" s="23" t="n"/>
    </row>
  </sheetData>
  <mergeCells count="1">
    <mergeCell ref="A92:J9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7" customWidth="1" min="4" max="4"/>
    <col width="9" customWidth="1" min="5" max="5"/>
    <col width="9" customWidth="1" min="6" max="6"/>
    <col width="7" customWidth="1" min="7" max="7"/>
    <col width="9" customWidth="1" min="8" max="8"/>
    <col width="11" customWidth="1" min="9" max="9"/>
    <col width="11" customWidth="1" min="10" max="10"/>
    <col width="9" customWidth="1" min="11" max="11"/>
    <col width="6" customWidth="1" min="12" max="12"/>
    <col width="11" customWidth="1" min="13" max="13"/>
    <col width="11" customWidth="1" min="14" max="14"/>
    <col width="12" customWidth="1" min="15" max="15"/>
    <col width="16" customWidth="1" min="16" max="16"/>
  </cols>
  <sheetData>
    <row r="1" ht="20" customHeight="1">
      <c r="A1" s="1" t="inlineStr">
        <is>
          <t>ALGODAO - visao de manejo e demanda</t>
        </is>
      </c>
    </row>
    <row r="2">
      <c r="A2" s="2" t="inlineStr">
        <is>
          <t>Aprofundamento. Curvas ate 180d x ocupacao 195/210d: mostrar diferenca, NAO esticar curva. Consumo/manejo algodao: PENDENTE.</t>
        </is>
      </c>
    </row>
    <row r="4" ht="28" customHeight="1">
      <c r="A4" s="4" t="inlineStr">
        <is>
          <t>Parcela</t>
        </is>
      </c>
      <c r="B4" s="4" t="inlineStr">
        <is>
          <t>Variedade</t>
        </is>
      </c>
      <c r="C4" s="4" t="inlineStr">
        <is>
          <t>Data</t>
        </is>
      </c>
      <c r="D4" s="4" t="inlineStr">
        <is>
          <t>DAP</t>
        </is>
      </c>
      <c r="E4" s="4" t="inlineStr">
        <is>
          <t>Estadio</t>
        </is>
      </c>
      <c r="F4" s="4" t="inlineStr">
        <is>
          <t>ETo (mm)</t>
        </is>
      </c>
      <c r="G4" s="4" t="inlineStr">
        <is>
          <t>Kc</t>
        </is>
      </c>
      <c r="H4" s="4" t="inlineStr">
        <is>
          <t>ETc (mm)</t>
        </is>
      </c>
      <c r="I4" s="4" t="inlineStr">
        <is>
          <t>Chuva ef (mm)</t>
        </is>
      </c>
      <c r="J4" s="4" t="inlineStr">
        <is>
          <t>Irrig liq (mm)</t>
        </is>
      </c>
      <c r="K4" s="4" t="inlineStr">
        <is>
          <t>Dr (mm)</t>
        </is>
      </c>
      <c r="L4" s="4" t="inlineStr">
        <is>
          <t>Ks</t>
        </is>
      </c>
      <c r="M4" s="4" t="inlineStr">
        <is>
          <t>Nec liq (mm)</t>
        </is>
      </c>
      <c r="N4" s="4" t="inlineStr">
        <is>
          <t>Nec bruta (mm)</t>
        </is>
      </c>
      <c r="O4" s="4" t="inlineStr">
        <is>
          <t>Modo</t>
        </is>
      </c>
      <c r="P4" s="4" t="inlineStr">
        <is>
          <t>Obs</t>
        </is>
      </c>
    </row>
    <row r="5">
      <c r="A5" s="10" t="n"/>
      <c r="B5" s="10" t="n"/>
      <c r="C5" s="32" t="n"/>
      <c r="F5" s="12" t="n"/>
      <c r="G5" s="11" t="n"/>
      <c r="H5" s="13">
        <f>IF(OR(G5="",F5=""),"",G5*F5)</f>
        <v/>
      </c>
      <c r="K5" s="12" t="n"/>
      <c r="L5" s="13">
        <f>IF(K5="","",MAX(0,K5))</f>
        <v/>
      </c>
      <c r="M5" s="13">
        <f>IF(L5="","",L5/EF_APLIC)</f>
        <v/>
      </c>
    </row>
    <row r="6">
      <c r="A6" s="10" t="n"/>
      <c r="B6" s="10" t="n"/>
      <c r="C6" s="32" t="n"/>
      <c r="F6" s="12" t="n"/>
      <c r="G6" s="11" t="n"/>
      <c r="H6" s="13">
        <f>IF(OR(G6="",F6=""),"",G6*F6)</f>
        <v/>
      </c>
      <c r="K6" s="12" t="n"/>
      <c r="L6" s="13">
        <f>IF(K6="","",MAX(0,K6))</f>
        <v/>
      </c>
      <c r="M6" s="13">
        <f>IF(L6="","",L6/EF_APLIC)</f>
        <v/>
      </c>
    </row>
    <row r="7">
      <c r="A7" s="10" t="n"/>
      <c r="B7" s="10" t="n"/>
      <c r="C7" s="32" t="n"/>
      <c r="F7" s="12" t="n"/>
      <c r="G7" s="11" t="n"/>
      <c r="H7" s="13">
        <f>IF(OR(G7="",F7=""),"",G7*F7)</f>
        <v/>
      </c>
      <c r="K7" s="12" t="n"/>
      <c r="L7" s="13">
        <f>IF(K7="","",MAX(0,K7))</f>
        <v/>
      </c>
      <c r="M7" s="13">
        <f>IF(L7="","",L7/EF_APLIC)</f>
        <v/>
      </c>
    </row>
    <row r="8">
      <c r="A8" s="10" t="n"/>
      <c r="B8" s="10" t="n"/>
      <c r="C8" s="32" t="n"/>
      <c r="F8" s="12" t="n"/>
      <c r="G8" s="11" t="n"/>
      <c r="H8" s="13">
        <f>IF(OR(G8="",F8=""),"",G8*F8)</f>
        <v/>
      </c>
      <c r="K8" s="12" t="n"/>
      <c r="L8" s="13">
        <f>IF(K8="","",MAX(0,K8))</f>
        <v/>
      </c>
      <c r="M8" s="13">
        <f>IF(L8="","",L8/EF_APLIC)</f>
        <v/>
      </c>
    </row>
    <row r="9">
      <c r="A9" s="10" t="n"/>
      <c r="B9" s="10" t="n"/>
      <c r="C9" s="32" t="n"/>
      <c r="F9" s="12" t="n"/>
      <c r="G9" s="11" t="n"/>
      <c r="H9" s="13">
        <f>IF(OR(G9="",F9=""),"",G9*F9)</f>
        <v/>
      </c>
      <c r="K9" s="12" t="n"/>
      <c r="L9" s="13">
        <f>IF(K9="","",MAX(0,K9))</f>
        <v/>
      </c>
      <c r="M9" s="13">
        <f>IF(L9="","",L9/EF_APLIC)</f>
        <v/>
      </c>
    </row>
    <row r="10">
      <c r="A10" s="10" t="n"/>
      <c r="B10" s="10" t="n"/>
      <c r="C10" s="32" t="n"/>
      <c r="F10" s="12" t="n"/>
      <c r="G10" s="11" t="n"/>
      <c r="H10" s="13">
        <f>IF(OR(G10="",F10=""),"",G10*F10)</f>
        <v/>
      </c>
      <c r="K10" s="12" t="n"/>
      <c r="L10" s="13">
        <f>IF(K10="","",MAX(0,K10))</f>
        <v/>
      </c>
      <c r="M10" s="13">
        <f>IF(L10="","",L10/EF_APLIC)</f>
        <v/>
      </c>
    </row>
    <row r="11">
      <c r="A11" s="10" t="n"/>
      <c r="B11" s="10" t="n"/>
      <c r="C11" s="32" t="n"/>
      <c r="F11" s="12" t="n"/>
      <c r="G11" s="11" t="n"/>
      <c r="H11" s="13">
        <f>IF(OR(G11="",F11=""),"",G11*F11)</f>
        <v/>
      </c>
      <c r="K11" s="12" t="n"/>
      <c r="L11" s="13">
        <f>IF(K11="","",MAX(0,K11))</f>
        <v/>
      </c>
      <c r="M11" s="13">
        <f>IF(L11="","",L11/EF_APLIC)</f>
        <v/>
      </c>
    </row>
    <row r="12">
      <c r="A12" s="10" t="n"/>
      <c r="B12" s="10" t="n"/>
      <c r="C12" s="32" t="n"/>
      <c r="F12" s="12" t="n"/>
      <c r="G12" s="11" t="n"/>
      <c r="H12" s="13">
        <f>IF(OR(G12="",F12=""),"",G12*F12)</f>
        <v/>
      </c>
      <c r="K12" s="12" t="n"/>
      <c r="L12" s="13">
        <f>IF(K12="","",MAX(0,K12))</f>
        <v/>
      </c>
      <c r="M12" s="13">
        <f>IF(L12="","",L12/EF_APLIC)</f>
        <v/>
      </c>
    </row>
    <row r="13">
      <c r="A13" s="10" t="n"/>
      <c r="B13" s="10" t="n"/>
      <c r="C13" s="32" t="n"/>
      <c r="F13" s="12" t="n"/>
      <c r="G13" s="11" t="n"/>
      <c r="H13" s="13">
        <f>IF(OR(G13="",F13=""),"",G13*F13)</f>
        <v/>
      </c>
      <c r="K13" s="12" t="n"/>
      <c r="L13" s="13">
        <f>IF(K13="","",MAX(0,K13))</f>
        <v/>
      </c>
      <c r="M13" s="13">
        <f>IF(L13="","",L13/EF_APLIC)</f>
        <v/>
      </c>
    </row>
    <row r="14">
      <c r="A14" s="10" t="n"/>
      <c r="B14" s="10" t="n"/>
      <c r="C14" s="32" t="n"/>
      <c r="F14" s="12" t="n"/>
      <c r="G14" s="11" t="n"/>
      <c r="H14" s="13">
        <f>IF(OR(G14="",F14=""),"",G14*F14)</f>
        <v/>
      </c>
      <c r="K14" s="12" t="n"/>
      <c r="L14" s="13">
        <f>IF(K14="","",MAX(0,K14))</f>
        <v/>
      </c>
      <c r="M14" s="13">
        <f>IF(L14="","",L14/EF_APLIC)</f>
        <v/>
      </c>
    </row>
    <row r="15">
      <c r="A15" s="10" t="n"/>
      <c r="B15" s="10" t="n"/>
      <c r="C15" s="32" t="n"/>
      <c r="F15" s="12" t="n"/>
      <c r="G15" s="11" t="n"/>
      <c r="H15" s="13">
        <f>IF(OR(G15="",F15=""),"",G15*F15)</f>
        <v/>
      </c>
      <c r="K15" s="12" t="n"/>
      <c r="L15" s="13">
        <f>IF(K15="","",MAX(0,K15))</f>
        <v/>
      </c>
      <c r="M15" s="13">
        <f>IF(L15="","",L15/EF_APLIC)</f>
        <v/>
      </c>
    </row>
    <row r="18">
      <c r="A18" s="33" t="inlineStr">
        <is>
          <t>Modos: Meta operacional | Demanda por ETc | Balanco hidrico. Lamina bruta = liquida/0,90. Curvas de Kc e parametros proprios: PENDENTE.</t>
        </is>
      </c>
    </row>
  </sheetData>
  <mergeCells count="1">
    <mergeCell ref="A18:P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Q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7" customWidth="1" min="4" max="4"/>
    <col width="9" customWidth="1" min="5" max="5"/>
    <col width="9" customWidth="1" min="6" max="6"/>
    <col width="7" customWidth="1" min="7" max="7"/>
    <col width="9" customWidth="1" min="8" max="8"/>
    <col width="11" customWidth="1" min="9" max="9"/>
    <col width="11" customWidth="1" min="10" max="10"/>
    <col width="9" customWidth="1" min="11" max="11"/>
    <col width="6" customWidth="1" min="12" max="12"/>
    <col width="11" customWidth="1" min="13" max="13"/>
    <col width="11" customWidth="1" min="14" max="14"/>
    <col width="12" customWidth="1" min="15" max="15"/>
    <col width="16" customWidth="1" min="16" max="16"/>
  </cols>
  <sheetData>
    <row r="1" ht="20" customHeight="1">
      <c r="A1" s="1" t="inlineStr">
        <is>
          <t>TABACO - visao de manejo e demanda</t>
        </is>
      </c>
    </row>
    <row r="2">
      <c r="A2" s="2" t="inlineStr">
        <is>
          <t>Separar viveiro/campo. Usar DAT. Curvas proprias: PENDENTE (nao copiar soja/algodao).</t>
        </is>
      </c>
    </row>
    <row r="4" ht="28" customHeight="1">
      <c r="A4" s="4" t="inlineStr">
        <is>
          <t>Parcela</t>
        </is>
      </c>
      <c r="B4" s="4" t="inlineStr">
        <is>
          <t>Variedade</t>
        </is>
      </c>
      <c r="C4" s="4" t="inlineStr">
        <is>
          <t>Data</t>
        </is>
      </c>
      <c r="D4" s="4" t="inlineStr">
        <is>
          <t>DAP</t>
        </is>
      </c>
      <c r="E4" s="4" t="inlineStr">
        <is>
          <t>DAT</t>
        </is>
      </c>
      <c r="F4" s="4" t="inlineStr">
        <is>
          <t>Estadio</t>
        </is>
      </c>
      <c r="G4" s="4" t="inlineStr">
        <is>
          <t>ETo (mm)</t>
        </is>
      </c>
      <c r="H4" s="4" t="inlineStr">
        <is>
          <t>Kc</t>
        </is>
      </c>
      <c r="I4" s="4" t="inlineStr">
        <is>
          <t>ETc (mm)</t>
        </is>
      </c>
      <c r="J4" s="4" t="inlineStr">
        <is>
          <t>Chuva ef (mm)</t>
        </is>
      </c>
      <c r="K4" s="4" t="inlineStr">
        <is>
          <t>Irrig liq (mm)</t>
        </is>
      </c>
      <c r="L4" s="4" t="inlineStr">
        <is>
          <t>Dr (mm)</t>
        </is>
      </c>
      <c r="M4" s="4" t="inlineStr">
        <is>
          <t>Ks</t>
        </is>
      </c>
      <c r="N4" s="4" t="inlineStr">
        <is>
          <t>Nec liq (mm)</t>
        </is>
      </c>
      <c r="O4" s="4" t="inlineStr">
        <is>
          <t>Nec bruta (mm)</t>
        </is>
      </c>
      <c r="P4" s="4" t="inlineStr">
        <is>
          <t>Modo</t>
        </is>
      </c>
      <c r="Q4" s="4" t="inlineStr">
        <is>
          <t>Obs</t>
        </is>
      </c>
    </row>
    <row r="5">
      <c r="A5" s="10" t="n"/>
      <c r="B5" s="10" t="n"/>
      <c r="C5" s="32" t="n"/>
      <c r="G5" s="12" t="n"/>
      <c r="H5" s="11" t="n"/>
      <c r="I5" s="13">
        <f>IF(OR(H5="",G5=""),"",H5*G5)</f>
        <v/>
      </c>
      <c r="L5" s="12" t="n"/>
      <c r="M5" s="13">
        <f>IF(L5="","",MAX(0,L5))</f>
        <v/>
      </c>
      <c r="N5" s="13">
        <f>IF(M5="","",M5/EF_APLIC)</f>
        <v/>
      </c>
    </row>
    <row r="6">
      <c r="A6" s="10" t="n"/>
      <c r="B6" s="10" t="n"/>
      <c r="C6" s="32" t="n"/>
      <c r="G6" s="12" t="n"/>
      <c r="H6" s="11" t="n"/>
      <c r="I6" s="13">
        <f>IF(OR(H6="",G6=""),"",H6*G6)</f>
        <v/>
      </c>
      <c r="L6" s="12" t="n"/>
      <c r="M6" s="13">
        <f>IF(L6="","",MAX(0,L6))</f>
        <v/>
      </c>
      <c r="N6" s="13">
        <f>IF(M6="","",M6/EF_APLIC)</f>
        <v/>
      </c>
    </row>
    <row r="7">
      <c r="A7" s="10" t="n"/>
      <c r="B7" s="10" t="n"/>
      <c r="C7" s="32" t="n"/>
      <c r="G7" s="12" t="n"/>
      <c r="H7" s="11" t="n"/>
      <c r="I7" s="13">
        <f>IF(OR(H7="",G7=""),"",H7*G7)</f>
        <v/>
      </c>
      <c r="L7" s="12" t="n"/>
      <c r="M7" s="13">
        <f>IF(L7="","",MAX(0,L7))</f>
        <v/>
      </c>
      <c r="N7" s="13">
        <f>IF(M7="","",M7/EF_APLIC)</f>
        <v/>
      </c>
    </row>
    <row r="8">
      <c r="A8" s="10" t="n"/>
      <c r="B8" s="10" t="n"/>
      <c r="C8" s="32" t="n"/>
      <c r="G8" s="12" t="n"/>
      <c r="H8" s="11" t="n"/>
      <c r="I8" s="13">
        <f>IF(OR(H8="",G8=""),"",H8*G8)</f>
        <v/>
      </c>
      <c r="L8" s="12" t="n"/>
      <c r="M8" s="13">
        <f>IF(L8="","",MAX(0,L8))</f>
        <v/>
      </c>
      <c r="N8" s="13">
        <f>IF(M8="","",M8/EF_APLIC)</f>
        <v/>
      </c>
    </row>
    <row r="9">
      <c r="A9" s="10" t="n"/>
      <c r="B9" s="10" t="n"/>
      <c r="C9" s="32" t="n"/>
      <c r="G9" s="12" t="n"/>
      <c r="H9" s="11" t="n"/>
      <c r="I9" s="13">
        <f>IF(OR(H9="",G9=""),"",H9*G9)</f>
        <v/>
      </c>
      <c r="L9" s="12" t="n"/>
      <c r="M9" s="13">
        <f>IF(L9="","",MAX(0,L9))</f>
        <v/>
      </c>
      <c r="N9" s="13">
        <f>IF(M9="","",M9/EF_APLIC)</f>
        <v/>
      </c>
    </row>
    <row r="10">
      <c r="A10" s="10" t="n"/>
      <c r="B10" s="10" t="n"/>
      <c r="C10" s="32" t="n"/>
      <c r="G10" s="12" t="n"/>
      <c r="H10" s="11" t="n"/>
      <c r="I10" s="13">
        <f>IF(OR(H10="",G10=""),"",H10*G10)</f>
        <v/>
      </c>
      <c r="L10" s="12" t="n"/>
      <c r="M10" s="13">
        <f>IF(L10="","",MAX(0,L10))</f>
        <v/>
      </c>
      <c r="N10" s="13">
        <f>IF(M10="","",M10/EF_APLIC)</f>
        <v/>
      </c>
    </row>
    <row r="11">
      <c r="A11" s="10" t="n"/>
      <c r="B11" s="10" t="n"/>
      <c r="C11" s="32" t="n"/>
      <c r="G11" s="12" t="n"/>
      <c r="H11" s="11" t="n"/>
      <c r="I11" s="13">
        <f>IF(OR(H11="",G11=""),"",H11*G11)</f>
        <v/>
      </c>
      <c r="L11" s="12" t="n"/>
      <c r="M11" s="13">
        <f>IF(L11="","",MAX(0,L11))</f>
        <v/>
      </c>
      <c r="N11" s="13">
        <f>IF(M11="","",M11/EF_APLIC)</f>
        <v/>
      </c>
    </row>
    <row r="12">
      <c r="A12" s="10" t="n"/>
      <c r="B12" s="10" t="n"/>
      <c r="C12" s="32" t="n"/>
      <c r="G12" s="12" t="n"/>
      <c r="H12" s="11" t="n"/>
      <c r="I12" s="13">
        <f>IF(OR(H12="",G12=""),"",H12*G12)</f>
        <v/>
      </c>
      <c r="L12" s="12" t="n"/>
      <c r="M12" s="13">
        <f>IF(L12="","",MAX(0,L12))</f>
        <v/>
      </c>
      <c r="N12" s="13">
        <f>IF(M12="","",M12/EF_APLIC)</f>
        <v/>
      </c>
    </row>
    <row r="13">
      <c r="A13" s="10" t="n"/>
      <c r="B13" s="10" t="n"/>
      <c r="C13" s="32" t="n"/>
      <c r="G13" s="12" t="n"/>
      <c r="H13" s="11" t="n"/>
      <c r="I13" s="13">
        <f>IF(OR(H13="",G13=""),"",H13*G13)</f>
        <v/>
      </c>
      <c r="L13" s="12" t="n"/>
      <c r="M13" s="13">
        <f>IF(L13="","",MAX(0,L13))</f>
        <v/>
      </c>
      <c r="N13" s="13">
        <f>IF(M13="","",M13/EF_APLIC)</f>
        <v/>
      </c>
    </row>
    <row r="14">
      <c r="A14" s="10" t="n"/>
      <c r="B14" s="10" t="n"/>
      <c r="C14" s="32" t="n"/>
      <c r="G14" s="12" t="n"/>
      <c r="H14" s="11" t="n"/>
      <c r="I14" s="13">
        <f>IF(OR(H14="",G14=""),"",H14*G14)</f>
        <v/>
      </c>
      <c r="L14" s="12" t="n"/>
      <c r="M14" s="13">
        <f>IF(L14="","",MAX(0,L14))</f>
        <v/>
      </c>
      <c r="N14" s="13">
        <f>IF(M14="","",M14/EF_APLIC)</f>
        <v/>
      </c>
    </row>
    <row r="15">
      <c r="A15" s="10" t="n"/>
      <c r="B15" s="10" t="n"/>
      <c r="C15" s="32" t="n"/>
      <c r="G15" s="12" t="n"/>
      <c r="H15" s="11" t="n"/>
      <c r="I15" s="13">
        <f>IF(OR(H15="",G15=""),"",H15*G15)</f>
        <v/>
      </c>
      <c r="L15" s="12" t="n"/>
      <c r="M15" s="13">
        <f>IF(L15="","",MAX(0,L15))</f>
        <v/>
      </c>
      <c r="N15" s="13">
        <f>IF(M15="","",M15/EF_APLIC)</f>
        <v/>
      </c>
    </row>
    <row r="18">
      <c r="A18" s="33" t="inlineStr">
        <is>
          <t>Modos: Meta operacional | Demanda por ETc | Balanco hidrico. Lamina bruta = liquida/0,90. Curvas de Kc e parametros proprios: PENDENTE.</t>
        </is>
      </c>
    </row>
  </sheetData>
  <mergeCells count="1">
    <mergeCell ref="A18:P1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43C0C"/>
    <outlinePr summaryBelow="1" summaryRight="1"/>
    <pageSetUpPr/>
  </sheetPr>
  <dimension ref="A1:P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7" customWidth="1" min="4" max="4"/>
    <col width="9" customWidth="1" min="5" max="5"/>
    <col width="9" customWidth="1" min="6" max="6"/>
    <col width="7" customWidth="1" min="7" max="7"/>
    <col width="9" customWidth="1" min="8" max="8"/>
    <col width="11" customWidth="1" min="9" max="9"/>
    <col width="11" customWidth="1" min="10" max="10"/>
    <col width="9" customWidth="1" min="11" max="11"/>
    <col width="6" customWidth="1" min="12" max="12"/>
    <col width="11" customWidth="1" min="13" max="13"/>
    <col width="11" customWidth="1" min="14" max="14"/>
    <col width="12" customWidth="1" min="15" max="15"/>
    <col width="16" customWidth="1" min="16" max="16"/>
  </cols>
  <sheetData>
    <row r="1" ht="20" customHeight="1">
      <c r="A1" s="1" t="inlineStr">
        <is>
          <t>CACAU - visao de manejo e demanda</t>
        </is>
      </c>
    </row>
    <row r="2">
      <c r="A2" s="2" t="inlineStr">
        <is>
          <t>Perene: historico continuo, sem encerramento anual. Curvas proprias: PENDENTE.</t>
        </is>
      </c>
    </row>
    <row r="4" ht="28" customHeight="1">
      <c r="A4" s="4" t="inlineStr">
        <is>
          <t>Parcela</t>
        </is>
      </c>
      <c r="B4" s="4" t="inlineStr">
        <is>
          <t>Variedade</t>
        </is>
      </c>
      <c r="C4" s="4" t="inlineStr">
        <is>
          <t>Data</t>
        </is>
      </c>
      <c r="D4" s="4" t="inlineStr">
        <is>
          <t>DAP</t>
        </is>
      </c>
      <c r="E4" s="4" t="inlineStr">
        <is>
          <t>Estadio</t>
        </is>
      </c>
      <c r="F4" s="4" t="inlineStr">
        <is>
          <t>ETo (mm)</t>
        </is>
      </c>
      <c r="G4" s="4" t="inlineStr">
        <is>
          <t>Kc</t>
        </is>
      </c>
      <c r="H4" s="4" t="inlineStr">
        <is>
          <t>ETc (mm)</t>
        </is>
      </c>
      <c r="I4" s="4" t="inlineStr">
        <is>
          <t>Chuva ef (mm)</t>
        </is>
      </c>
      <c r="J4" s="4" t="inlineStr">
        <is>
          <t>Irrig liq (mm)</t>
        </is>
      </c>
      <c r="K4" s="4" t="inlineStr">
        <is>
          <t>Dr (mm)</t>
        </is>
      </c>
      <c r="L4" s="4" t="inlineStr">
        <is>
          <t>Ks</t>
        </is>
      </c>
      <c r="M4" s="4" t="inlineStr">
        <is>
          <t>Nec liq (mm)</t>
        </is>
      </c>
      <c r="N4" s="4" t="inlineStr">
        <is>
          <t>Nec bruta (mm)</t>
        </is>
      </c>
      <c r="O4" s="4" t="inlineStr">
        <is>
          <t>Modo</t>
        </is>
      </c>
      <c r="P4" s="4" t="inlineStr">
        <is>
          <t>Obs</t>
        </is>
      </c>
    </row>
    <row r="5">
      <c r="A5" s="10" t="n"/>
      <c r="B5" s="10" t="n"/>
      <c r="C5" s="32" t="n"/>
      <c r="F5" s="12" t="n"/>
      <c r="G5" s="11" t="n"/>
      <c r="H5" s="13">
        <f>IF(OR(G5="",F5=""),"",G5*F5)</f>
        <v/>
      </c>
      <c r="K5" s="12" t="n"/>
      <c r="L5" s="13">
        <f>IF(K5="","",MAX(0,K5))</f>
        <v/>
      </c>
      <c r="M5" s="13">
        <f>IF(L5="","",L5/EF_APLIC)</f>
        <v/>
      </c>
    </row>
    <row r="6">
      <c r="A6" s="10" t="n"/>
      <c r="B6" s="10" t="n"/>
      <c r="C6" s="32" t="n"/>
      <c r="F6" s="12" t="n"/>
      <c r="G6" s="11" t="n"/>
      <c r="H6" s="13">
        <f>IF(OR(G6="",F6=""),"",G6*F6)</f>
        <v/>
      </c>
      <c r="K6" s="12" t="n"/>
      <c r="L6" s="13">
        <f>IF(K6="","",MAX(0,K6))</f>
        <v/>
      </c>
      <c r="M6" s="13">
        <f>IF(L6="","",L6/EF_APLIC)</f>
        <v/>
      </c>
    </row>
    <row r="7">
      <c r="A7" s="10" t="n"/>
      <c r="B7" s="10" t="n"/>
      <c r="C7" s="32" t="n"/>
      <c r="F7" s="12" t="n"/>
      <c r="G7" s="11" t="n"/>
      <c r="H7" s="13">
        <f>IF(OR(G7="",F7=""),"",G7*F7)</f>
        <v/>
      </c>
      <c r="K7" s="12" t="n"/>
      <c r="L7" s="13">
        <f>IF(K7="","",MAX(0,K7))</f>
        <v/>
      </c>
      <c r="M7" s="13">
        <f>IF(L7="","",L7/EF_APLIC)</f>
        <v/>
      </c>
    </row>
    <row r="8">
      <c r="A8" s="10" t="n"/>
      <c r="B8" s="10" t="n"/>
      <c r="C8" s="32" t="n"/>
      <c r="F8" s="12" t="n"/>
      <c r="G8" s="11" t="n"/>
      <c r="H8" s="13">
        <f>IF(OR(G8="",F8=""),"",G8*F8)</f>
        <v/>
      </c>
      <c r="K8" s="12" t="n"/>
      <c r="L8" s="13">
        <f>IF(K8="","",MAX(0,K8))</f>
        <v/>
      </c>
      <c r="M8" s="13">
        <f>IF(L8="","",L8/EF_APLIC)</f>
        <v/>
      </c>
    </row>
    <row r="9">
      <c r="A9" s="10" t="n"/>
      <c r="B9" s="10" t="n"/>
      <c r="C9" s="32" t="n"/>
      <c r="F9" s="12" t="n"/>
      <c r="G9" s="11" t="n"/>
      <c r="H9" s="13">
        <f>IF(OR(G9="",F9=""),"",G9*F9)</f>
        <v/>
      </c>
      <c r="K9" s="12" t="n"/>
      <c r="L9" s="13">
        <f>IF(K9="","",MAX(0,K9))</f>
        <v/>
      </c>
      <c r="M9" s="13">
        <f>IF(L9="","",L9/EF_APLIC)</f>
        <v/>
      </c>
    </row>
    <row r="10">
      <c r="A10" s="10" t="n"/>
      <c r="B10" s="10" t="n"/>
      <c r="C10" s="32" t="n"/>
      <c r="F10" s="12" t="n"/>
      <c r="G10" s="11" t="n"/>
      <c r="H10" s="13">
        <f>IF(OR(G10="",F10=""),"",G10*F10)</f>
        <v/>
      </c>
      <c r="K10" s="12" t="n"/>
      <c r="L10" s="13">
        <f>IF(K10="","",MAX(0,K10))</f>
        <v/>
      </c>
      <c r="M10" s="13">
        <f>IF(L10="","",L10/EF_APLIC)</f>
        <v/>
      </c>
    </row>
    <row r="11">
      <c r="A11" s="10" t="n"/>
      <c r="B11" s="10" t="n"/>
      <c r="C11" s="32" t="n"/>
      <c r="F11" s="12" t="n"/>
      <c r="G11" s="11" t="n"/>
      <c r="H11" s="13">
        <f>IF(OR(G11="",F11=""),"",G11*F11)</f>
        <v/>
      </c>
      <c r="K11" s="12" t="n"/>
      <c r="L11" s="13">
        <f>IF(K11="","",MAX(0,K11))</f>
        <v/>
      </c>
      <c r="M11" s="13">
        <f>IF(L11="","",L11/EF_APLIC)</f>
        <v/>
      </c>
    </row>
    <row r="12">
      <c r="A12" s="10" t="n"/>
      <c r="B12" s="10" t="n"/>
      <c r="C12" s="32" t="n"/>
      <c r="F12" s="12" t="n"/>
      <c r="G12" s="11" t="n"/>
      <c r="H12" s="13">
        <f>IF(OR(G12="",F12=""),"",G12*F12)</f>
        <v/>
      </c>
      <c r="K12" s="12" t="n"/>
      <c r="L12" s="13">
        <f>IF(K12="","",MAX(0,K12))</f>
        <v/>
      </c>
      <c r="M12" s="13">
        <f>IF(L12="","",L12/EF_APLIC)</f>
        <v/>
      </c>
    </row>
    <row r="13">
      <c r="A13" s="10" t="n"/>
      <c r="B13" s="10" t="n"/>
      <c r="C13" s="32" t="n"/>
      <c r="F13" s="12" t="n"/>
      <c r="G13" s="11" t="n"/>
      <c r="H13" s="13">
        <f>IF(OR(G13="",F13=""),"",G13*F13)</f>
        <v/>
      </c>
      <c r="K13" s="12" t="n"/>
      <c r="L13" s="13">
        <f>IF(K13="","",MAX(0,K13))</f>
        <v/>
      </c>
      <c r="M13" s="13">
        <f>IF(L13="","",L13/EF_APLIC)</f>
        <v/>
      </c>
    </row>
    <row r="14">
      <c r="A14" s="10" t="n"/>
      <c r="B14" s="10" t="n"/>
      <c r="C14" s="32" t="n"/>
      <c r="F14" s="12" t="n"/>
      <c r="G14" s="11" t="n"/>
      <c r="H14" s="13">
        <f>IF(OR(G14="",F14=""),"",G14*F14)</f>
        <v/>
      </c>
      <c r="K14" s="12" t="n"/>
      <c r="L14" s="13">
        <f>IF(K14="","",MAX(0,K14))</f>
        <v/>
      </c>
      <c r="M14" s="13">
        <f>IF(L14="","",L14/EF_APLIC)</f>
        <v/>
      </c>
    </row>
    <row r="15">
      <c r="A15" s="10" t="n"/>
      <c r="B15" s="10" t="n"/>
      <c r="C15" s="32" t="n"/>
      <c r="F15" s="12" t="n"/>
      <c r="G15" s="11" t="n"/>
      <c r="H15" s="13">
        <f>IF(OR(G15="",F15=""),"",G15*F15)</f>
        <v/>
      </c>
      <c r="K15" s="12" t="n"/>
      <c r="L15" s="13">
        <f>IF(K15="","",MAX(0,K15))</f>
        <v/>
      </c>
      <c r="M15" s="13">
        <f>IF(L15="","",L15/EF_APLIC)</f>
        <v/>
      </c>
    </row>
    <row r="18">
      <c r="A18" s="33" t="inlineStr">
        <is>
          <t>Modos: Meta operacional | Demanda por ETc | Balanco hidrico. Lamina bruta = liquida/0,90. Curvas de Kc e parametros proprios: PENDENTE.</t>
        </is>
      </c>
    </row>
  </sheetData>
  <mergeCells count="1">
    <mergeCell ref="A18:P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D966"/>
    <outlinePr summaryBelow="1" summaryRight="1"/>
    <pageSetUpPr/>
  </sheetPr>
  <dimension ref="A1:P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7" customWidth="1" min="4" max="4"/>
    <col width="9" customWidth="1" min="5" max="5"/>
    <col width="9" customWidth="1" min="6" max="6"/>
    <col width="7" customWidth="1" min="7" max="7"/>
    <col width="9" customWidth="1" min="8" max="8"/>
    <col width="11" customWidth="1" min="9" max="9"/>
    <col width="11" customWidth="1" min="10" max="10"/>
    <col width="9" customWidth="1" min="11" max="11"/>
    <col width="6" customWidth="1" min="12" max="12"/>
    <col width="11" customWidth="1" min="13" max="13"/>
    <col width="11" customWidth="1" min="14" max="14"/>
    <col width="12" customWidth="1" min="15" max="15"/>
    <col width="16" customWidth="1" min="16" max="16"/>
  </cols>
  <sheetData>
    <row r="1" ht="20" customHeight="1">
      <c r="A1" s="1" t="inlineStr">
        <is>
          <t>MILHO - visao de manejo e demanda</t>
        </is>
      </c>
    </row>
    <row r="2">
      <c r="A2" s="2" t="inlineStr">
        <is>
          <t>Distinguir grao x semente, hibridos, finalidade. Curvas: PENDENTE.</t>
        </is>
      </c>
    </row>
    <row r="4" ht="28" customHeight="1">
      <c r="A4" s="4" t="inlineStr">
        <is>
          <t>Parcela</t>
        </is>
      </c>
      <c r="B4" s="4" t="inlineStr">
        <is>
          <t>Variedade</t>
        </is>
      </c>
      <c r="C4" s="4" t="inlineStr">
        <is>
          <t>Data</t>
        </is>
      </c>
      <c r="D4" s="4" t="inlineStr">
        <is>
          <t>DAP</t>
        </is>
      </c>
      <c r="E4" s="4" t="inlineStr">
        <is>
          <t>Estadio</t>
        </is>
      </c>
      <c r="F4" s="4" t="inlineStr">
        <is>
          <t>ETo (mm)</t>
        </is>
      </c>
      <c r="G4" s="4" t="inlineStr">
        <is>
          <t>Kc</t>
        </is>
      </c>
      <c r="H4" s="4" t="inlineStr">
        <is>
          <t>ETc (mm)</t>
        </is>
      </c>
      <c r="I4" s="4" t="inlineStr">
        <is>
          <t>Chuva ef (mm)</t>
        </is>
      </c>
      <c r="J4" s="4" t="inlineStr">
        <is>
          <t>Irrig liq (mm)</t>
        </is>
      </c>
      <c r="K4" s="4" t="inlineStr">
        <is>
          <t>Dr (mm)</t>
        </is>
      </c>
      <c r="L4" s="4" t="inlineStr">
        <is>
          <t>Ks</t>
        </is>
      </c>
      <c r="M4" s="4" t="inlineStr">
        <is>
          <t>Nec liq (mm)</t>
        </is>
      </c>
      <c r="N4" s="4" t="inlineStr">
        <is>
          <t>Nec bruta (mm)</t>
        </is>
      </c>
      <c r="O4" s="4" t="inlineStr">
        <is>
          <t>Modo</t>
        </is>
      </c>
      <c r="P4" s="4" t="inlineStr">
        <is>
          <t>Obs</t>
        </is>
      </c>
    </row>
    <row r="5">
      <c r="A5" s="10" t="n"/>
      <c r="B5" s="10" t="n"/>
      <c r="C5" s="32" t="n"/>
      <c r="F5" s="12" t="n"/>
      <c r="G5" s="11" t="n"/>
      <c r="H5" s="13">
        <f>IF(OR(G5="",F5=""),"",G5*F5)</f>
        <v/>
      </c>
      <c r="K5" s="12" t="n"/>
      <c r="L5" s="13">
        <f>IF(K5="","",MAX(0,K5))</f>
        <v/>
      </c>
      <c r="M5" s="13">
        <f>IF(L5="","",L5/EF_APLIC)</f>
        <v/>
      </c>
    </row>
    <row r="6">
      <c r="A6" s="10" t="n"/>
      <c r="B6" s="10" t="n"/>
      <c r="C6" s="32" t="n"/>
      <c r="F6" s="12" t="n"/>
      <c r="G6" s="11" t="n"/>
      <c r="H6" s="13">
        <f>IF(OR(G6="",F6=""),"",G6*F6)</f>
        <v/>
      </c>
      <c r="K6" s="12" t="n"/>
      <c r="L6" s="13">
        <f>IF(K6="","",MAX(0,K6))</f>
        <v/>
      </c>
      <c r="M6" s="13">
        <f>IF(L6="","",L6/EF_APLIC)</f>
        <v/>
      </c>
    </row>
    <row r="7">
      <c r="A7" s="10" t="n"/>
      <c r="B7" s="10" t="n"/>
      <c r="C7" s="32" t="n"/>
      <c r="F7" s="12" t="n"/>
      <c r="G7" s="11" t="n"/>
      <c r="H7" s="13">
        <f>IF(OR(G7="",F7=""),"",G7*F7)</f>
        <v/>
      </c>
      <c r="K7" s="12" t="n"/>
      <c r="L7" s="13">
        <f>IF(K7="","",MAX(0,K7))</f>
        <v/>
      </c>
      <c r="M7" s="13">
        <f>IF(L7="","",L7/EF_APLIC)</f>
        <v/>
      </c>
    </row>
    <row r="8">
      <c r="A8" s="10" t="n"/>
      <c r="B8" s="10" t="n"/>
      <c r="C8" s="32" t="n"/>
      <c r="F8" s="12" t="n"/>
      <c r="G8" s="11" t="n"/>
      <c r="H8" s="13">
        <f>IF(OR(G8="",F8=""),"",G8*F8)</f>
        <v/>
      </c>
      <c r="K8" s="12" t="n"/>
      <c r="L8" s="13">
        <f>IF(K8="","",MAX(0,K8))</f>
        <v/>
      </c>
      <c r="M8" s="13">
        <f>IF(L8="","",L8/EF_APLIC)</f>
        <v/>
      </c>
    </row>
    <row r="9">
      <c r="A9" s="10" t="n"/>
      <c r="B9" s="10" t="n"/>
      <c r="C9" s="32" t="n"/>
      <c r="F9" s="12" t="n"/>
      <c r="G9" s="11" t="n"/>
      <c r="H9" s="13">
        <f>IF(OR(G9="",F9=""),"",G9*F9)</f>
        <v/>
      </c>
      <c r="K9" s="12" t="n"/>
      <c r="L9" s="13">
        <f>IF(K9="","",MAX(0,K9))</f>
        <v/>
      </c>
      <c r="M9" s="13">
        <f>IF(L9="","",L9/EF_APLIC)</f>
        <v/>
      </c>
    </row>
    <row r="10">
      <c r="A10" s="10" t="n"/>
      <c r="B10" s="10" t="n"/>
      <c r="C10" s="32" t="n"/>
      <c r="F10" s="12" t="n"/>
      <c r="G10" s="11" t="n"/>
      <c r="H10" s="13">
        <f>IF(OR(G10="",F10=""),"",G10*F10)</f>
        <v/>
      </c>
      <c r="K10" s="12" t="n"/>
      <c r="L10" s="13">
        <f>IF(K10="","",MAX(0,K10))</f>
        <v/>
      </c>
      <c r="M10" s="13">
        <f>IF(L10="","",L10/EF_APLIC)</f>
        <v/>
      </c>
    </row>
    <row r="11">
      <c r="A11" s="10" t="n"/>
      <c r="B11" s="10" t="n"/>
      <c r="C11" s="32" t="n"/>
      <c r="F11" s="12" t="n"/>
      <c r="G11" s="11" t="n"/>
      <c r="H11" s="13">
        <f>IF(OR(G11="",F11=""),"",G11*F11)</f>
        <v/>
      </c>
      <c r="K11" s="12" t="n"/>
      <c r="L11" s="13">
        <f>IF(K11="","",MAX(0,K11))</f>
        <v/>
      </c>
      <c r="M11" s="13">
        <f>IF(L11="","",L11/EF_APLIC)</f>
        <v/>
      </c>
    </row>
    <row r="12">
      <c r="A12" s="10" t="n"/>
      <c r="B12" s="10" t="n"/>
      <c r="C12" s="32" t="n"/>
      <c r="F12" s="12" t="n"/>
      <c r="G12" s="11" t="n"/>
      <c r="H12" s="13">
        <f>IF(OR(G12="",F12=""),"",G12*F12)</f>
        <v/>
      </c>
      <c r="K12" s="12" t="n"/>
      <c r="L12" s="13">
        <f>IF(K12="","",MAX(0,K12))</f>
        <v/>
      </c>
      <c r="M12" s="13">
        <f>IF(L12="","",L12/EF_APLIC)</f>
        <v/>
      </c>
    </row>
    <row r="13">
      <c r="A13" s="10" t="n"/>
      <c r="B13" s="10" t="n"/>
      <c r="C13" s="32" t="n"/>
      <c r="F13" s="12" t="n"/>
      <c r="G13" s="11" t="n"/>
      <c r="H13" s="13">
        <f>IF(OR(G13="",F13=""),"",G13*F13)</f>
        <v/>
      </c>
      <c r="K13" s="12" t="n"/>
      <c r="L13" s="13">
        <f>IF(K13="","",MAX(0,K13))</f>
        <v/>
      </c>
      <c r="M13" s="13">
        <f>IF(L13="","",L13/EF_APLIC)</f>
        <v/>
      </c>
    </row>
    <row r="14">
      <c r="A14" s="10" t="n"/>
      <c r="B14" s="10" t="n"/>
      <c r="C14" s="32" t="n"/>
      <c r="F14" s="12" t="n"/>
      <c r="G14" s="11" t="n"/>
      <c r="H14" s="13">
        <f>IF(OR(G14="",F14=""),"",G14*F14)</f>
        <v/>
      </c>
      <c r="K14" s="12" t="n"/>
      <c r="L14" s="13">
        <f>IF(K14="","",MAX(0,K14))</f>
        <v/>
      </c>
      <c r="M14" s="13">
        <f>IF(L14="","",L14/EF_APLIC)</f>
        <v/>
      </c>
    </row>
    <row r="15">
      <c r="A15" s="10" t="n"/>
      <c r="B15" s="10" t="n"/>
      <c r="C15" s="32" t="n"/>
      <c r="F15" s="12" t="n"/>
      <c r="G15" s="11" t="n"/>
      <c r="H15" s="13">
        <f>IF(OR(G15="",F15=""),"",G15*F15)</f>
        <v/>
      </c>
      <c r="K15" s="12" t="n"/>
      <c r="L15" s="13">
        <f>IF(K15="","",MAX(0,K15))</f>
        <v/>
      </c>
      <c r="M15" s="13">
        <f>IF(L15="","",L15/EF_APLIC)</f>
        <v/>
      </c>
    </row>
    <row r="18">
      <c r="A18" s="33" t="inlineStr">
        <is>
          <t>Modos: Meta operacional | Demanda por ETc | Balanco hidrico. Lamina bruta = liquida/0,90. Curvas de Kc e parametros proprios: PENDENTE.</t>
        </is>
      </c>
    </row>
  </sheetData>
  <mergeCells count="1">
    <mergeCell ref="A18:P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E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5" customWidth="1" min="3" max="3"/>
    <col width="13" customWidth="1" min="4" max="4"/>
    <col width="40" customWidth="1" min="5" max="5"/>
  </cols>
  <sheetData>
    <row r="1" ht="20" customHeight="1">
      <c r="A1" s="1" t="inlineStr">
        <is>
          <t>VARIEDADES - cultivar, maturidade, ciclo e ocupacao</t>
        </is>
      </c>
    </row>
    <row r="2">
      <c r="A2" s="2" t="inlineStr">
        <is>
          <t>Parametros LOCAIS informados por Mateus Cotrim. Nao sao dados oficiais de fabricante. Revisavel.</t>
        </is>
      </c>
    </row>
    <row r="6">
      <c r="A6" s="34" t="inlineStr">
        <is>
          <t>SOJA</t>
        </is>
      </c>
    </row>
    <row r="7" ht="28" customHeight="1">
      <c r="A7" s="4" t="inlineStr">
        <is>
          <t>Variedade</t>
        </is>
      </c>
      <c r="B7" s="4" t="inlineStr">
        <is>
          <t>GRM informado</t>
        </is>
      </c>
      <c r="C7" s="4" t="inlineStr">
        <is>
          <t>Ocupacao (dias)</t>
        </is>
      </c>
      <c r="D7" s="4" t="inlineStr">
        <is>
          <t>Tipo</t>
        </is>
      </c>
      <c r="E7" s="4" t="inlineStr">
        <is>
          <t>Observacao</t>
        </is>
      </c>
    </row>
    <row r="8">
      <c r="A8" s="17" t="inlineStr">
        <is>
          <t>CZ 37B07 I2X</t>
        </is>
      </c>
      <c r="B8" s="27" t="n">
        <v>7</v>
      </c>
      <c r="C8" s="9" t="n">
        <v>108</v>
      </c>
      <c r="D8" s="24" t="inlineStr">
        <is>
          <t>informado</t>
        </is>
      </c>
      <c r="E8" s="19" t="inlineStr"/>
    </row>
    <row r="9">
      <c r="A9" s="17" t="inlineStr">
        <is>
          <t>COMBATE IPRO</t>
        </is>
      </c>
      <c r="B9" s="27" t="n">
        <v>7.4</v>
      </c>
      <c r="C9" s="9" t="n">
        <v>114</v>
      </c>
      <c r="D9" s="24" t="inlineStr">
        <is>
          <t>informado</t>
        </is>
      </c>
      <c r="E9" s="19" t="inlineStr"/>
    </row>
    <row r="10">
      <c r="A10" s="17" t="inlineStr">
        <is>
          <t>ATAQUE I2X</t>
        </is>
      </c>
      <c r="B10" s="27" t="n">
        <v>8.199999999999999</v>
      </c>
      <c r="C10" s="9" t="n">
        <v>140</v>
      </c>
      <c r="D10" s="24" t="inlineStr">
        <is>
          <t>informado</t>
        </is>
      </c>
      <c r="E10" s="19" t="inlineStr"/>
    </row>
    <row r="11">
      <c r="A11" s="17" t="inlineStr">
        <is>
          <t>NEO 761 I2X</t>
        </is>
      </c>
      <c r="B11" s="27" t="n">
        <v>7.6</v>
      </c>
      <c r="C11" s="9" t="n">
        <v>116</v>
      </c>
      <c r="D11" s="24" t="inlineStr">
        <is>
          <t>informado</t>
        </is>
      </c>
      <c r="E11" s="19" t="inlineStr"/>
    </row>
    <row r="12">
      <c r="A12" s="17" t="inlineStr">
        <is>
          <t>BMX Olimpo IPRO</t>
        </is>
      </c>
      <c r="B12" s="27" t="n">
        <v>7.7</v>
      </c>
      <c r="C12" s="9" t="n">
        <v>122</v>
      </c>
      <c r="D12" s="24" t="inlineStr">
        <is>
          <t>informado</t>
        </is>
      </c>
      <c r="E12" s="19" t="inlineStr"/>
    </row>
    <row r="13">
      <c r="A13" s="17" t="inlineStr">
        <is>
          <t>NEO 690 I2X</t>
        </is>
      </c>
      <c r="B13" s="27" t="n">
        <v>6.9</v>
      </c>
      <c r="C13" s="9" t="n">
        <v>108</v>
      </c>
      <c r="D13" s="24" t="inlineStr">
        <is>
          <t>informado</t>
        </is>
      </c>
      <c r="E13" s="19" t="inlineStr"/>
    </row>
    <row r="14">
      <c r="A14" s="17" t="inlineStr">
        <is>
          <t>CZ 48B18 IPRO</t>
        </is>
      </c>
      <c r="B14" s="27" t="n">
        <v>8.1</v>
      </c>
      <c r="C14" s="9" t="n">
        <v>125</v>
      </c>
      <c r="D14" s="24" t="inlineStr">
        <is>
          <t>informado</t>
        </is>
      </c>
      <c r="E14" s="19" t="inlineStr"/>
    </row>
    <row r="15">
      <c r="A15" s="17" t="inlineStr">
        <is>
          <t>M8434 12X</t>
        </is>
      </c>
      <c r="B15" s="27" t="n">
        <v>8.4</v>
      </c>
      <c r="C15" s="9" t="n">
        <v>130</v>
      </c>
      <c r="D15" s="24" t="inlineStr">
        <is>
          <t>informado</t>
        </is>
      </c>
      <c r="E15" s="19" t="inlineStr">
        <is>
          <t>Grafia '12X' a conferir.</t>
        </is>
      </c>
    </row>
    <row r="16">
      <c r="A16" s="17" t="inlineStr">
        <is>
          <t>CZ 58B10 I2X</t>
        </is>
      </c>
      <c r="B16" s="27" t="n">
        <v>8.1</v>
      </c>
      <c r="C16" s="9" t="n">
        <v>125</v>
      </c>
      <c r="D16" s="24" t="inlineStr">
        <is>
          <t>informado</t>
        </is>
      </c>
      <c r="E16" s="19" t="inlineStr"/>
    </row>
    <row r="17">
      <c r="A17" s="17" t="inlineStr">
        <is>
          <t>COMPLETA IPRO</t>
        </is>
      </c>
      <c r="B17" s="27" t="n">
        <v>7.9</v>
      </c>
      <c r="C17" s="9" t="n">
        <v>120</v>
      </c>
      <c r="D17" s="24" t="inlineStr">
        <is>
          <t>informado</t>
        </is>
      </c>
      <c r="E17" s="19" t="inlineStr"/>
    </row>
    <row r="18">
      <c r="A18" s="17" t="inlineStr">
        <is>
          <t>MURALHA IPRO</t>
        </is>
      </c>
      <c r="B18" s="27" t="n">
        <v>8.199999999999999</v>
      </c>
      <c r="C18" s="9" t="n">
        <v>125</v>
      </c>
      <c r="D18" s="24" t="inlineStr">
        <is>
          <t>informado</t>
        </is>
      </c>
      <c r="E18" s="19" t="inlineStr"/>
    </row>
    <row r="19">
      <c r="A19" s="17" t="inlineStr">
        <is>
          <t>BMX DOMINIO IPRO</t>
        </is>
      </c>
      <c r="B19" s="27" t="n">
        <v>8.4</v>
      </c>
      <c r="C19" s="9" t="n">
        <v>130</v>
      </c>
      <c r="D19" s="24" t="inlineStr">
        <is>
          <t>informado</t>
        </is>
      </c>
      <c r="E19" s="19" t="inlineStr"/>
    </row>
    <row r="20">
      <c r="A20" s="17" t="inlineStr">
        <is>
          <t>GUEPARDO</t>
        </is>
      </c>
      <c r="B20" s="27" t="n">
        <v>6.7</v>
      </c>
      <c r="C20" s="9" t="n">
        <v>105</v>
      </c>
      <c r="D20" s="24" t="inlineStr">
        <is>
          <t>informado</t>
        </is>
      </c>
      <c r="E20" s="19" t="inlineStr"/>
    </row>
    <row r="21">
      <c r="A21" s="17" t="inlineStr">
        <is>
          <t>NEO 780 CE</t>
        </is>
      </c>
      <c r="B21" s="27" t="n">
        <v>7.8</v>
      </c>
      <c r="C21" s="9" t="n">
        <v>120</v>
      </c>
      <c r="D21" s="24" t="inlineStr">
        <is>
          <t>informado</t>
        </is>
      </c>
      <c r="E21" s="19" t="inlineStr"/>
    </row>
    <row r="22">
      <c r="A22" s="17" t="inlineStr">
        <is>
          <t>ST 76KA72</t>
        </is>
      </c>
      <c r="B22" s="27" t="n">
        <v>7.6</v>
      </c>
      <c r="C22" s="9" t="n">
        <v>116</v>
      </c>
      <c r="D22" s="24" t="inlineStr">
        <is>
          <t>informado</t>
        </is>
      </c>
      <c r="E22" s="19" t="inlineStr"/>
    </row>
    <row r="23">
      <c r="A23" s="17" t="inlineStr">
        <is>
          <t>SPARTA I2X</t>
        </is>
      </c>
      <c r="B23" s="27" t="n">
        <v>7.7</v>
      </c>
      <c r="C23" s="9" t="n">
        <v>120</v>
      </c>
      <c r="D23" s="24" t="inlineStr">
        <is>
          <t>informado</t>
        </is>
      </c>
      <c r="E23" s="19" t="inlineStr"/>
    </row>
    <row r="24">
      <c r="A24" s="17" t="inlineStr">
        <is>
          <t>NEO 811 I2X</t>
        </is>
      </c>
      <c r="B24" s="27" t="n">
        <v>8.1</v>
      </c>
      <c r="C24" s="9" t="n">
        <v>125</v>
      </c>
      <c r="D24" s="24" t="inlineStr">
        <is>
          <t>informado</t>
        </is>
      </c>
      <c r="E24" s="19" t="inlineStr"/>
    </row>
    <row r="25">
      <c r="A25" s="35" t="inlineStr">
        <is>
          <t>BMX Olimpo IPRO/CZ 48B18 IPRO</t>
        </is>
      </c>
      <c r="B25" s="28" t="inlineStr">
        <is>
          <t>nao informado</t>
        </is>
      </c>
      <c r="C25" s="36" t="n">
        <v>125</v>
      </c>
      <c r="D25" s="24" t="inlineStr">
        <is>
          <t>combinado</t>
        </is>
      </c>
      <c r="E25" s="19" t="inlineStr">
        <is>
          <t>Registro combinado. Dividir parcela por variedade/area. Nao inventar GRM medio.</t>
        </is>
      </c>
    </row>
    <row r="27">
      <c r="A27" s="34" t="inlineStr">
        <is>
          <t>ALGODAO</t>
        </is>
      </c>
    </row>
    <row r="28" ht="28" customHeight="1">
      <c r="A28" s="4" t="inlineStr">
        <is>
          <t>Variedade</t>
        </is>
      </c>
      <c r="B28" s="4" t="inlineStr">
        <is>
          <t>Classe</t>
        </is>
      </c>
      <c r="C28" s="4" t="inlineStr">
        <is>
          <t>Ocupacao (dias)</t>
        </is>
      </c>
      <c r="D28" s="4" t="inlineStr">
        <is>
          <t>Tipo</t>
        </is>
      </c>
      <c r="E28" s="4" t="inlineStr">
        <is>
          <t>Observacao</t>
        </is>
      </c>
    </row>
    <row r="29">
      <c r="A29" s="17" t="inlineStr">
        <is>
          <t>DP 1949 B3RF</t>
        </is>
      </c>
      <c r="B29" s="16" t="inlineStr">
        <is>
          <t>Medio</t>
        </is>
      </c>
      <c r="C29" s="9" t="n">
        <v>195</v>
      </c>
      <c r="D29" s="24" t="inlineStr">
        <is>
          <t>informado</t>
        </is>
      </c>
      <c r="E29" s="19" t="inlineStr"/>
    </row>
    <row r="30">
      <c r="A30" s="17" t="inlineStr">
        <is>
          <t>FM 911 GLTP</t>
        </is>
      </c>
      <c r="B30" s="16" t="inlineStr">
        <is>
          <t>Precoce</t>
        </is>
      </c>
      <c r="C30" s="9" t="n">
        <v>180</v>
      </c>
      <c r="D30" s="24" t="inlineStr">
        <is>
          <t>informado</t>
        </is>
      </c>
      <c r="E30" s="19" t="inlineStr"/>
    </row>
    <row r="31">
      <c r="A31" s="17" t="inlineStr">
        <is>
          <t>FM 912 GLTP</t>
        </is>
      </c>
      <c r="B31" s="16" t="inlineStr">
        <is>
          <t>Precoce</t>
        </is>
      </c>
      <c r="C31" s="9" t="n">
        <v>180</v>
      </c>
      <c r="D31" s="24" t="inlineStr">
        <is>
          <t>informado</t>
        </is>
      </c>
      <c r="E31" s="19" t="inlineStr"/>
    </row>
    <row r="32">
      <c r="A32" s="17" t="inlineStr">
        <is>
          <t>FM 974 GLT</t>
        </is>
      </c>
      <c r="B32" s="16" t="inlineStr">
        <is>
          <t>Medio</t>
        </is>
      </c>
      <c r="C32" s="9" t="n">
        <v>195</v>
      </c>
      <c r="D32" s="24" t="inlineStr">
        <is>
          <t>informado</t>
        </is>
      </c>
      <c r="E32" s="19" t="inlineStr"/>
    </row>
    <row r="33">
      <c r="A33" s="17" t="inlineStr">
        <is>
          <t>FM 985 GLTP</t>
        </is>
      </c>
      <c r="B33" s="16" t="inlineStr">
        <is>
          <t>Tardio</t>
        </is>
      </c>
      <c r="C33" s="9" t="n">
        <v>210</v>
      </c>
      <c r="D33" s="24" t="inlineStr">
        <is>
          <t>informado</t>
        </is>
      </c>
      <c r="E33" s="19" t="inlineStr"/>
    </row>
    <row r="34">
      <c r="A34" s="17" t="inlineStr">
        <is>
          <t>FM 990 STP</t>
        </is>
      </c>
      <c r="B34" s="16" t="inlineStr">
        <is>
          <t>Tardio</t>
        </is>
      </c>
      <c r="C34" s="9" t="n">
        <v>210</v>
      </c>
      <c r="D34" s="24" t="inlineStr">
        <is>
          <t>informado</t>
        </is>
      </c>
      <c r="E34" s="19" t="inlineStr"/>
    </row>
    <row r="35">
      <c r="A35" s="17" t="inlineStr">
        <is>
          <t>TMG 33 B3RF</t>
        </is>
      </c>
      <c r="B35" s="16" t="inlineStr">
        <is>
          <t>Precoce</t>
        </is>
      </c>
      <c r="C35" s="9" t="n">
        <v>180</v>
      </c>
      <c r="D35" s="24" t="inlineStr">
        <is>
          <t>informado</t>
        </is>
      </c>
      <c r="E35" s="19" t="inlineStr"/>
    </row>
    <row r="36">
      <c r="A36" s="17" t="inlineStr">
        <is>
          <t>DP 2111 B3RF</t>
        </is>
      </c>
      <c r="B36" s="16" t="inlineStr">
        <is>
          <t>Precoce</t>
        </is>
      </c>
      <c r="C36" s="9" t="n">
        <v>180</v>
      </c>
      <c r="D36" s="24" t="inlineStr">
        <is>
          <t>informado</t>
        </is>
      </c>
      <c r="E36" s="19" t="inlineStr"/>
    </row>
    <row r="37">
      <c r="A37" s="17" t="inlineStr">
        <is>
          <t>TMG 38 B3RF</t>
        </is>
      </c>
      <c r="B37" s="16" t="inlineStr">
        <is>
          <t>Tardio</t>
        </is>
      </c>
      <c r="C37" s="9" t="n">
        <v>210</v>
      </c>
      <c r="D37" s="24" t="inlineStr">
        <is>
          <t>informado</t>
        </is>
      </c>
      <c r="E37" s="19" t="inlineStr"/>
    </row>
    <row r="38">
      <c r="A38" s="17" t="inlineStr">
        <is>
          <t>IMA 5901 B2RF</t>
        </is>
      </c>
      <c r="B38" s="16" t="inlineStr">
        <is>
          <t>Medio</t>
        </is>
      </c>
      <c r="C38" s="9" t="n">
        <v>195</v>
      </c>
      <c r="D38" s="24" t="inlineStr">
        <is>
          <t>informado</t>
        </is>
      </c>
      <c r="E38" s="19" t="inlineStr"/>
    </row>
    <row r="39">
      <c r="A39" s="17" t="inlineStr">
        <is>
          <t>IMA 5801 B2RF</t>
        </is>
      </c>
      <c r="B39" s="16" t="inlineStr">
        <is>
          <t>Medio</t>
        </is>
      </c>
      <c r="C39" s="9" t="n">
        <v>195</v>
      </c>
      <c r="D39" s="24" t="inlineStr">
        <is>
          <t>informado</t>
        </is>
      </c>
      <c r="E39" s="19" t="inlineStr"/>
    </row>
    <row r="40">
      <c r="A40" s="17" t="inlineStr">
        <is>
          <t>DP 2176 B3RF</t>
        </is>
      </c>
      <c r="B40" s="16" t="inlineStr">
        <is>
          <t>Tardio</t>
        </is>
      </c>
      <c r="C40" s="9" t="n">
        <v>210</v>
      </c>
      <c r="D40" s="24" t="inlineStr">
        <is>
          <t>informado</t>
        </is>
      </c>
      <c r="E40" s="19" t="inlineStr"/>
    </row>
    <row r="41">
      <c r="A41" s="17" t="inlineStr">
        <is>
          <t>DP 2104 B3XF</t>
        </is>
      </c>
      <c r="B41" s="16" t="inlineStr">
        <is>
          <t>Medio</t>
        </is>
      </c>
      <c r="C41" s="9" t="n">
        <v>195</v>
      </c>
      <c r="D41" s="24" t="inlineStr">
        <is>
          <t>informado</t>
        </is>
      </c>
      <c r="E41" s="19" t="inlineStr"/>
    </row>
    <row r="42">
      <c r="A42" s="17" t="inlineStr">
        <is>
          <t>TMG 83 B3XF</t>
        </is>
      </c>
      <c r="B42" s="16" t="inlineStr">
        <is>
          <t>Medio</t>
        </is>
      </c>
      <c r="C42" s="9" t="n">
        <v>195</v>
      </c>
      <c r="D42" s="24" t="inlineStr">
        <is>
          <t>informado</t>
        </is>
      </c>
      <c r="E42" s="19" t="inlineStr"/>
    </row>
    <row r="43">
      <c r="A43" s="17" t="inlineStr">
        <is>
          <t>FM 933 STP</t>
        </is>
      </c>
      <c r="B43" s="16" t="inlineStr">
        <is>
          <t>Medio</t>
        </is>
      </c>
      <c r="C43" s="9" t="n">
        <v>195</v>
      </c>
      <c r="D43" s="24" t="inlineStr">
        <is>
          <t>informado</t>
        </is>
      </c>
      <c r="E43" s="19" t="inlineStr"/>
    </row>
    <row r="44">
      <c r="A44" s="17" t="inlineStr">
        <is>
          <t>FM 979 STP</t>
        </is>
      </c>
      <c r="B44" s="16" t="inlineStr">
        <is>
          <t>Tardio</t>
        </is>
      </c>
      <c r="C44" s="9" t="n">
        <v>210</v>
      </c>
      <c r="D44" s="24" t="inlineStr">
        <is>
          <t>informado</t>
        </is>
      </c>
      <c r="E44" s="19" t="inlineStr"/>
    </row>
    <row r="45">
      <c r="A45" s="17" t="inlineStr">
        <is>
          <t>FM 945 STP</t>
        </is>
      </c>
      <c r="B45" s="16" t="inlineStr">
        <is>
          <t>Medio</t>
        </is>
      </c>
      <c r="C45" s="9" t="n">
        <v>195</v>
      </c>
      <c r="D45" s="24" t="inlineStr">
        <is>
          <t>informado</t>
        </is>
      </c>
      <c r="E45" s="19" t="inlineStr"/>
    </row>
    <row r="46">
      <c r="A46" s="17" t="inlineStr">
        <is>
          <t>TAURA B3XF</t>
        </is>
      </c>
      <c r="B46" s="16" t="inlineStr">
        <is>
          <t>Precoce</t>
        </is>
      </c>
      <c r="C46" s="9" t="n">
        <v>180</v>
      </c>
      <c r="D46" s="24" t="inlineStr">
        <is>
          <t>informado</t>
        </is>
      </c>
      <c r="E46" s="19" t="inlineStr"/>
    </row>
    <row r="47">
      <c r="A47" s="17" t="inlineStr">
        <is>
          <t>IMA 3479 B2RF</t>
        </is>
      </c>
      <c r="B47" s="16" t="inlineStr">
        <is>
          <t>Medio</t>
        </is>
      </c>
      <c r="C47" s="9" t="n">
        <v>195</v>
      </c>
      <c r="D47" s="24" t="inlineStr">
        <is>
          <t>informado</t>
        </is>
      </c>
      <c r="E47" s="19" t="inlineStr"/>
    </row>
    <row r="48">
      <c r="A48" s="17" t="inlineStr">
        <is>
          <t>IMA 563 B3XF</t>
        </is>
      </c>
      <c r="B48" s="16" t="inlineStr">
        <is>
          <t>Medio</t>
        </is>
      </c>
      <c r="C48" s="9" t="n">
        <v>195</v>
      </c>
      <c r="D48" s="24" t="inlineStr">
        <is>
          <t>informado</t>
        </is>
      </c>
      <c r="E48" s="19" t="inlineStr"/>
    </row>
    <row r="49">
      <c r="A49" s="17" t="inlineStr">
        <is>
          <t>ST APEX 2156 B3RF</t>
        </is>
      </c>
      <c r="B49" s="16" t="inlineStr">
        <is>
          <t>Medio</t>
        </is>
      </c>
      <c r="C49" s="9" t="n">
        <v>195</v>
      </c>
      <c r="D49" s="24" t="inlineStr">
        <is>
          <t>informado</t>
        </is>
      </c>
      <c r="E49" s="19" t="inlineStr"/>
    </row>
    <row r="50">
      <c r="A50" s="17" t="inlineStr">
        <is>
          <t>BS 2441 STP</t>
        </is>
      </c>
      <c r="B50" s="16" t="inlineStr">
        <is>
          <t>Precoce</t>
        </is>
      </c>
      <c r="C50" s="9" t="n">
        <v>180</v>
      </c>
      <c r="D50" s="24" t="inlineStr">
        <is>
          <t>informado</t>
        </is>
      </c>
      <c r="E50" s="19" t="inlineStr"/>
    </row>
    <row r="51">
      <c r="A51" s="17" t="inlineStr">
        <is>
          <t>BS 2453 GLTP</t>
        </is>
      </c>
      <c r="B51" s="16" t="inlineStr">
        <is>
          <t>Tardio</t>
        </is>
      </c>
      <c r="C51" s="9" t="n">
        <v>210</v>
      </c>
      <c r="D51" s="24" t="inlineStr">
        <is>
          <t>informado</t>
        </is>
      </c>
      <c r="E51" s="19" t="inlineStr"/>
    </row>
    <row r="52">
      <c r="A52" s="17" t="inlineStr">
        <is>
          <t>IMA 707 B3XF</t>
        </is>
      </c>
      <c r="B52" s="16" t="inlineStr">
        <is>
          <t>Medio</t>
        </is>
      </c>
      <c r="C52" s="9" t="n">
        <v>195</v>
      </c>
      <c r="D52" s="24" t="inlineStr">
        <is>
          <t>informado</t>
        </is>
      </c>
      <c r="E52" s="19" t="inlineStr"/>
    </row>
    <row r="53">
      <c r="A53" s="17" t="inlineStr">
        <is>
          <t>IMA 497 B3XF</t>
        </is>
      </c>
      <c r="B53" s="16" t="inlineStr">
        <is>
          <t>Medio</t>
        </is>
      </c>
      <c r="C53" s="9" t="n">
        <v>195</v>
      </c>
      <c r="D53" s="24" t="inlineStr">
        <is>
          <t>informado</t>
        </is>
      </c>
      <c r="E53" s="19" t="inlineStr"/>
    </row>
    <row r="54">
      <c r="A54" s="17" t="inlineStr">
        <is>
          <t>IMA 3764 B2RF</t>
        </is>
      </c>
      <c r="B54" s="16" t="inlineStr">
        <is>
          <t>Tardio</t>
        </is>
      </c>
      <c r="C54" s="9" t="n">
        <v>210</v>
      </c>
      <c r="D54" s="24" t="inlineStr">
        <is>
          <t>informado</t>
        </is>
      </c>
      <c r="E54" s="19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5496"/>
    <outlinePr summaryBelow="1" summaryRight="1"/>
    <pageSetUpPr/>
  </sheetPr>
  <dimension ref="A1:M1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1" customWidth="1" min="3" max="3"/>
    <col width="10" customWidth="1" min="4" max="4"/>
    <col width="8" customWidth="1" min="5" max="5"/>
    <col width="11" customWidth="1" min="6" max="6"/>
    <col width="12" customWidth="1" min="7" max="7"/>
    <col width="11" customWidth="1" min="8" max="8"/>
    <col width="10" customWidth="1" min="9" max="9"/>
    <col width="11" customWidth="1" min="10" max="10"/>
    <col width="10" customWidth="1" min="11" max="11"/>
    <col width="12" customWidth="1" min="12" max="12"/>
    <col width="38" customWidth="1" min="13" max="13"/>
  </cols>
  <sheetData>
    <row r="1" ht="20" customHeight="1">
      <c r="A1" s="1" t="inlineStr">
        <is>
          <t>PIVOS - cadastro tecnico e consumo especifico (importado)</t>
        </is>
      </c>
    </row>
    <row r="2">
      <c r="A2" s="2" t="inlineStr">
        <is>
          <t>Vazao e potencia importadas. 'Pot (kW)' = cv x 0,7457 (mecanica, sem rendimento do motor). CE (kWh/m3) PENDENTE.</t>
        </is>
      </c>
    </row>
    <row r="4" ht="28" customHeight="1">
      <c r="A4" s="4" t="inlineStr">
        <is>
          <t>Pivo</t>
        </is>
      </c>
      <c r="B4" s="4" t="inlineStr">
        <is>
          <t>Cod L/H</t>
        </is>
      </c>
      <c r="C4" s="4" t="inlineStr">
        <is>
          <t>Fazenda</t>
        </is>
      </c>
      <c r="D4" s="4" t="inlineStr">
        <is>
          <t>Modulo</t>
        </is>
      </c>
      <c r="E4" s="4" t="inlineStr">
        <is>
          <t>Casa b.</t>
        </is>
      </c>
      <c r="F4" s="4" t="inlineStr">
        <is>
          <t>Area (ha)</t>
        </is>
      </c>
      <c r="G4" s="4" t="inlineStr">
        <is>
          <t>Vazao (m3/h)</t>
        </is>
      </c>
      <c r="H4" s="4" t="inlineStr">
        <is>
          <t>Pot (cv)</t>
        </is>
      </c>
      <c r="I4" s="4" t="inlineStr">
        <is>
          <t>Pot (kW)</t>
        </is>
      </c>
      <c r="J4" s="4" t="inlineStr">
        <is>
          <t>Vazao disp (m3/h)</t>
        </is>
      </c>
      <c r="K4" s="4" t="inlineStr">
        <is>
          <t>CE (kWh/m3)</t>
        </is>
      </c>
      <c r="L4" s="4" t="inlineStr">
        <is>
          <t>Setor</t>
        </is>
      </c>
      <c r="M4" s="4" t="inlineStr">
        <is>
          <t>Observacao</t>
        </is>
      </c>
    </row>
    <row r="5">
      <c r="A5" s="5" t="inlineStr">
        <is>
          <t>Pivô 01</t>
        </is>
      </c>
      <c r="B5" s="20" t="inlineStr">
        <is>
          <t>P1</t>
        </is>
      </c>
      <c r="C5" s="6" t="inlineStr">
        <is>
          <t>Karitel</t>
        </is>
      </c>
      <c r="D5" s="6" t="inlineStr">
        <is>
          <t>Módulo 01</t>
        </is>
      </c>
      <c r="E5" s="6" t="inlineStr">
        <is>
          <t>R0</t>
        </is>
      </c>
      <c r="F5" s="7" t="n">
        <v>150.01</v>
      </c>
      <c r="G5" s="7" t="n">
        <v>714.33</v>
      </c>
      <c r="H5" s="30" t="n">
        <v>200</v>
      </c>
      <c r="I5" s="37" t="n">
        <v>149.1399744</v>
      </c>
      <c r="J5" s="15">
        <f>IF($G5="","",$G5*FATOR_HID)</f>
        <v/>
      </c>
      <c r="K5" s="28" t="inlineStr">
        <is>
          <t>PENDENTE</t>
        </is>
      </c>
      <c r="L5" s="20" t="inlineStr">
        <is>
          <t>Circulo</t>
        </is>
      </c>
      <c r="M5" s="19" t="inlineStr"/>
    </row>
    <row r="6">
      <c r="A6" s="5" t="inlineStr">
        <is>
          <t>Pivô 02</t>
        </is>
      </c>
      <c r="B6" s="20" t="inlineStr">
        <is>
          <t>P2</t>
        </is>
      </c>
      <c r="C6" s="6" t="inlineStr">
        <is>
          <t>Karitel</t>
        </is>
      </c>
      <c r="D6" s="6" t="inlineStr">
        <is>
          <t>Módulo 01</t>
        </is>
      </c>
      <c r="E6" s="6" t="inlineStr">
        <is>
          <t>R0</t>
        </is>
      </c>
      <c r="F6" s="7" t="n">
        <v>123.72</v>
      </c>
      <c r="G6" s="7" t="n">
        <v>523.8</v>
      </c>
      <c r="H6" s="30" t="n">
        <v>200</v>
      </c>
      <c r="I6" s="37" t="n">
        <v>149.1399744</v>
      </c>
      <c r="J6" s="15">
        <f>IF($G6="","",$G6*FATOR_HID)</f>
        <v/>
      </c>
      <c r="K6" s="28" t="inlineStr">
        <is>
          <t>PENDENTE</t>
        </is>
      </c>
      <c r="L6" s="20" t="inlineStr">
        <is>
          <t>Circulo</t>
        </is>
      </c>
      <c r="M6" s="19" t="inlineStr"/>
    </row>
    <row r="7">
      <c r="A7" s="5" t="inlineStr">
        <is>
          <t>Pivô 03</t>
        </is>
      </c>
      <c r="B7" s="20" t="inlineStr">
        <is>
          <t>P3</t>
        </is>
      </c>
      <c r="C7" s="6" t="inlineStr">
        <is>
          <t>Karitel</t>
        </is>
      </c>
      <c r="D7" s="6" t="inlineStr">
        <is>
          <t>Módulo 01</t>
        </is>
      </c>
      <c r="E7" s="6" t="inlineStr">
        <is>
          <t>R0</t>
        </is>
      </c>
      <c r="F7" s="7" t="n">
        <v>150.01</v>
      </c>
      <c r="G7" s="7" t="n">
        <v>714.33</v>
      </c>
      <c r="H7" s="30" t="n">
        <v>200</v>
      </c>
      <c r="I7" s="37" t="n">
        <v>149.1399744</v>
      </c>
      <c r="J7" s="15">
        <f>IF($G7="","",$G7*FATOR_HID)</f>
        <v/>
      </c>
      <c r="K7" s="28" t="inlineStr">
        <is>
          <t>PENDENTE</t>
        </is>
      </c>
      <c r="L7" s="20" t="inlineStr">
        <is>
          <t>Circulo</t>
        </is>
      </c>
      <c r="M7" s="19" t="inlineStr"/>
    </row>
    <row r="8">
      <c r="A8" s="5" t="inlineStr">
        <is>
          <t>Pivô 04</t>
        </is>
      </c>
      <c r="B8" s="20" t="inlineStr">
        <is>
          <t>P4</t>
        </is>
      </c>
      <c r="C8" s="6" t="inlineStr">
        <is>
          <t>Karitel</t>
        </is>
      </c>
      <c r="D8" s="6" t="inlineStr">
        <is>
          <t>Módulo 01</t>
        </is>
      </c>
      <c r="E8" s="6" t="inlineStr">
        <is>
          <t>R0</t>
        </is>
      </c>
      <c r="F8" s="7" t="n">
        <v>62.76</v>
      </c>
      <c r="G8" s="7" t="n">
        <v>290</v>
      </c>
      <c r="H8" s="30" t="n">
        <v>40</v>
      </c>
      <c r="I8" s="37" t="n">
        <v>29.82799488</v>
      </c>
      <c r="J8" s="15">
        <f>IF($G8="","",$G8*FATOR_HID)</f>
        <v/>
      </c>
      <c r="K8" s="28" t="inlineStr">
        <is>
          <t>PENDENTE</t>
        </is>
      </c>
      <c r="L8" s="20" t="inlineStr">
        <is>
          <t>Circulo</t>
        </is>
      </c>
      <c r="M8" s="19" t="inlineStr"/>
    </row>
    <row r="9">
      <c r="A9" s="5" t="inlineStr">
        <is>
          <t>Pivô 05</t>
        </is>
      </c>
      <c r="B9" s="20" t="inlineStr">
        <is>
          <t>P5</t>
        </is>
      </c>
      <c r="C9" s="6" t="inlineStr">
        <is>
          <t>Karitel</t>
        </is>
      </c>
      <c r="D9" s="6" t="inlineStr">
        <is>
          <t>Módulo 01</t>
        </is>
      </c>
      <c r="E9" s="6" t="inlineStr">
        <is>
          <t>R1</t>
        </is>
      </c>
      <c r="F9" s="7" t="n">
        <v>150.01</v>
      </c>
      <c r="G9" s="7" t="n">
        <v>692.9</v>
      </c>
      <c r="H9" s="30" t="n">
        <v>250</v>
      </c>
      <c r="I9" s="37" t="n">
        <v>186.424968</v>
      </c>
      <c r="J9" s="15">
        <f>IF($G9="","",$G9*FATOR_HID)</f>
        <v/>
      </c>
      <c r="K9" s="28" t="inlineStr">
        <is>
          <t>PENDENTE</t>
        </is>
      </c>
      <c r="L9" s="20" t="inlineStr">
        <is>
          <t>Circulo</t>
        </is>
      </c>
      <c r="M9" s="19" t="inlineStr"/>
    </row>
    <row r="10">
      <c r="A10" s="5" t="inlineStr">
        <is>
          <t>Pivô 06</t>
        </is>
      </c>
      <c r="B10" s="20" t="inlineStr">
        <is>
          <t>P6</t>
        </is>
      </c>
      <c r="C10" s="6" t="inlineStr">
        <is>
          <t>Karitel</t>
        </is>
      </c>
      <c r="D10" s="6" t="inlineStr">
        <is>
          <t>Módulo 01</t>
        </is>
      </c>
      <c r="E10" s="6" t="inlineStr">
        <is>
          <t>R1</t>
        </is>
      </c>
      <c r="F10" s="7" t="n">
        <v>150.01</v>
      </c>
      <c r="G10" s="7" t="n">
        <v>641</v>
      </c>
      <c r="H10" s="30" t="n">
        <v>250</v>
      </c>
      <c r="I10" s="37" t="n">
        <v>186.424968</v>
      </c>
      <c r="J10" s="15">
        <f>IF($G10="","",$G10*FATOR_HID)</f>
        <v/>
      </c>
      <c r="K10" s="28" t="inlineStr">
        <is>
          <t>PENDENTE</t>
        </is>
      </c>
      <c r="L10" s="20" t="inlineStr">
        <is>
          <t>Circulo</t>
        </is>
      </c>
      <c r="M10" s="19" t="inlineStr"/>
    </row>
    <row r="11">
      <c r="A11" s="5" t="inlineStr">
        <is>
          <t>Pivô 07</t>
        </is>
      </c>
      <c r="B11" s="20" t="inlineStr">
        <is>
          <t>P7</t>
        </is>
      </c>
      <c r="C11" s="6" t="inlineStr">
        <is>
          <t>Karitel</t>
        </is>
      </c>
      <c r="D11" s="6" t="inlineStr">
        <is>
          <t>Módulo 01</t>
        </is>
      </c>
      <c r="E11" s="6" t="inlineStr">
        <is>
          <t>R2</t>
        </is>
      </c>
      <c r="F11" s="7" t="n">
        <v>120.13</v>
      </c>
      <c r="G11" s="7" t="n">
        <v>572.05</v>
      </c>
      <c r="H11" s="30" t="n">
        <v>250</v>
      </c>
      <c r="I11" s="37" t="n">
        <v>186.424968</v>
      </c>
      <c r="J11" s="15">
        <f>IF($G11="","",$G11*FATOR_HID)</f>
        <v/>
      </c>
      <c r="K11" s="28" t="inlineStr">
        <is>
          <t>PENDENTE</t>
        </is>
      </c>
      <c r="L11" s="20" t="inlineStr">
        <is>
          <t>Circulo</t>
        </is>
      </c>
      <c r="M11" s="19" t="inlineStr"/>
    </row>
    <row r="12">
      <c r="A12" s="5" t="inlineStr">
        <is>
          <t>Pivô 08</t>
        </is>
      </c>
      <c r="B12" s="20" t="inlineStr">
        <is>
          <t>P8</t>
        </is>
      </c>
      <c r="C12" s="6" t="inlineStr">
        <is>
          <t>Karitel</t>
        </is>
      </c>
      <c r="D12" s="6" t="inlineStr">
        <is>
          <t>Módulo 01</t>
        </is>
      </c>
      <c r="E12" s="6" t="inlineStr">
        <is>
          <t>R2</t>
        </is>
      </c>
      <c r="F12" s="7" t="n">
        <v>150.01</v>
      </c>
      <c r="G12" s="7" t="n">
        <v>714.33</v>
      </c>
      <c r="H12" s="30" t="n">
        <v>250</v>
      </c>
      <c r="I12" s="37" t="n">
        <v>186.424968</v>
      </c>
      <c r="J12" s="15">
        <f>IF($G12="","",$G12*FATOR_HID)</f>
        <v/>
      </c>
      <c r="K12" s="28" t="inlineStr">
        <is>
          <t>PENDENTE</t>
        </is>
      </c>
      <c r="L12" s="20" t="inlineStr">
        <is>
          <t>Circulo</t>
        </is>
      </c>
      <c r="M12" s="19" t="inlineStr"/>
    </row>
    <row r="13">
      <c r="A13" s="5" t="inlineStr">
        <is>
          <t>Pivô 09</t>
        </is>
      </c>
      <c r="B13" s="20" t="inlineStr">
        <is>
          <t>P9</t>
        </is>
      </c>
      <c r="C13" s="6" t="inlineStr">
        <is>
          <t>Karitel</t>
        </is>
      </c>
      <c r="D13" s="6" t="inlineStr">
        <is>
          <t>Módulo 01</t>
        </is>
      </c>
      <c r="E13" s="6" t="inlineStr">
        <is>
          <t>R3</t>
        </is>
      </c>
      <c r="F13" s="7" t="n">
        <v>120.13</v>
      </c>
      <c r="G13" s="7" t="n">
        <v>572.5</v>
      </c>
      <c r="H13" s="30" t="n">
        <v>200</v>
      </c>
      <c r="I13" s="37" t="n">
        <v>149.1399744</v>
      </c>
      <c r="J13" s="15">
        <f>IF($G13="","",$G13*FATOR_HID)</f>
        <v/>
      </c>
      <c r="K13" s="28" t="inlineStr">
        <is>
          <t>PENDENTE</t>
        </is>
      </c>
      <c r="L13" s="20" t="inlineStr">
        <is>
          <t>Circulo</t>
        </is>
      </c>
      <c r="M13" s="19" t="inlineStr"/>
    </row>
    <row r="14">
      <c r="A14" s="5" t="inlineStr">
        <is>
          <t>Pivô 10</t>
        </is>
      </c>
      <c r="B14" s="20" t="inlineStr">
        <is>
          <t>P10</t>
        </is>
      </c>
      <c r="C14" s="6" t="inlineStr">
        <is>
          <t>Karitel</t>
        </is>
      </c>
      <c r="D14" s="6" t="inlineStr">
        <is>
          <t>Módulo 01</t>
        </is>
      </c>
      <c r="E14" s="6" t="inlineStr">
        <is>
          <t>R3</t>
        </is>
      </c>
      <c r="F14" s="7" t="n">
        <v>150.01</v>
      </c>
      <c r="G14" s="7" t="n">
        <v>714.33</v>
      </c>
      <c r="H14" s="30" t="n">
        <v>250</v>
      </c>
      <c r="I14" s="37" t="n">
        <v>186.424968</v>
      </c>
      <c r="J14" s="15">
        <f>IF($G14="","",$G14*FATOR_HID)</f>
        <v/>
      </c>
      <c r="K14" s="28" t="inlineStr">
        <is>
          <t>PENDENTE</t>
        </is>
      </c>
      <c r="L14" s="20" t="inlineStr">
        <is>
          <t>Circulo</t>
        </is>
      </c>
      <c r="M14" s="19" t="inlineStr"/>
    </row>
    <row r="15">
      <c r="A15" s="5" t="inlineStr">
        <is>
          <t>Pivô 11</t>
        </is>
      </c>
      <c r="B15" s="20" t="inlineStr">
        <is>
          <t>P11</t>
        </is>
      </c>
      <c r="C15" s="6" t="inlineStr">
        <is>
          <t>Karitel</t>
        </is>
      </c>
      <c r="D15" s="6" t="inlineStr">
        <is>
          <t>Módulo 01</t>
        </is>
      </c>
      <c r="E15" s="6" t="inlineStr">
        <is>
          <t>R5</t>
        </is>
      </c>
      <c r="F15" s="7" t="n">
        <v>121.12</v>
      </c>
      <c r="G15" s="7" t="n">
        <v>547.92</v>
      </c>
      <c r="H15" s="30" t="n">
        <v>200</v>
      </c>
      <c r="I15" s="37" t="n">
        <v>149.1399744</v>
      </c>
      <c r="J15" s="15">
        <f>IF($G15="","",$G15*FATOR_HID)</f>
        <v/>
      </c>
      <c r="K15" s="28" t="inlineStr">
        <is>
          <t>PENDENTE</t>
        </is>
      </c>
      <c r="L15" s="20" t="inlineStr">
        <is>
          <t>Circulo</t>
        </is>
      </c>
      <c r="M15" s="19" t="inlineStr"/>
    </row>
    <row r="16">
      <c r="A16" s="5" t="inlineStr">
        <is>
          <t>Pivô 12</t>
        </is>
      </c>
      <c r="B16" s="20" t="inlineStr">
        <is>
          <t>P12</t>
        </is>
      </c>
      <c r="C16" s="6" t="inlineStr">
        <is>
          <t>Karitel</t>
        </is>
      </c>
      <c r="D16" s="6" t="inlineStr">
        <is>
          <t>Módulo 01</t>
        </is>
      </c>
      <c r="E16" s="6" t="inlineStr">
        <is>
          <t>R5</t>
        </is>
      </c>
      <c r="F16" s="7" t="n">
        <v>150.01</v>
      </c>
      <c r="G16" s="7" t="n">
        <v>714.33</v>
      </c>
      <c r="H16" s="30" t="n">
        <v>250</v>
      </c>
      <c r="I16" s="37" t="n">
        <v>186.424968</v>
      </c>
      <c r="J16" s="15">
        <f>IF($G16="","",$G16*FATOR_HID)</f>
        <v/>
      </c>
      <c r="K16" s="28" t="inlineStr">
        <is>
          <t>PENDENTE</t>
        </is>
      </c>
      <c r="L16" s="20" t="inlineStr">
        <is>
          <t>Circulo</t>
        </is>
      </c>
      <c r="M16" s="19" t="inlineStr"/>
    </row>
    <row r="17">
      <c r="A17" s="5" t="inlineStr">
        <is>
          <t>Pivô 13</t>
        </is>
      </c>
      <c r="B17" s="20" t="inlineStr">
        <is>
          <t>P13</t>
        </is>
      </c>
      <c r="C17" s="6" t="inlineStr">
        <is>
          <t>Karitel</t>
        </is>
      </c>
      <c r="D17" s="6" t="inlineStr">
        <is>
          <t>Módulo 01</t>
        </is>
      </c>
      <c r="E17" s="6" t="inlineStr">
        <is>
          <t>R5</t>
        </is>
      </c>
      <c r="F17" s="7" t="n">
        <v>71.3</v>
      </c>
      <c r="G17" s="7" t="n">
        <v>339.52</v>
      </c>
      <c r="H17" s="30" t="n">
        <v>75</v>
      </c>
      <c r="I17" s="37" t="n">
        <v>111.9</v>
      </c>
      <c r="J17" s="15">
        <f>IF($G17="","",$G17*FATOR_HID)</f>
        <v/>
      </c>
      <c r="K17" s="28" t="inlineStr">
        <is>
          <t>PENDENTE</t>
        </is>
      </c>
      <c r="L17" s="20" t="inlineStr">
        <is>
          <t>Circulo</t>
        </is>
      </c>
      <c r="M17" s="19" t="inlineStr"/>
    </row>
    <row r="18">
      <c r="A18" s="5" t="inlineStr">
        <is>
          <t>Pivô 14</t>
        </is>
      </c>
      <c r="B18" s="20" t="inlineStr">
        <is>
          <t>P14</t>
        </is>
      </c>
      <c r="C18" s="6" t="inlineStr">
        <is>
          <t>Karitel</t>
        </is>
      </c>
      <c r="D18" s="6" t="inlineStr">
        <is>
          <t>Módulo 01</t>
        </is>
      </c>
      <c r="E18" s="6" t="inlineStr">
        <is>
          <t>R6</t>
        </is>
      </c>
      <c r="F18" s="7" t="n">
        <v>150.01</v>
      </c>
      <c r="G18" s="7" t="n">
        <v>614.33</v>
      </c>
      <c r="H18" s="30" t="n">
        <v>75</v>
      </c>
      <c r="I18" s="37" t="n">
        <v>55.9274904</v>
      </c>
      <c r="J18" s="15">
        <f>IF($G18="","",$G18*FATOR_HID)</f>
        <v/>
      </c>
      <c r="K18" s="28" t="inlineStr">
        <is>
          <t>PENDENTE</t>
        </is>
      </c>
      <c r="L18" s="20" t="inlineStr">
        <is>
          <t>Circulo</t>
        </is>
      </c>
      <c r="M18" s="19" t="inlineStr"/>
    </row>
    <row r="19">
      <c r="A19" s="5" t="inlineStr">
        <is>
          <t>Pivô 15</t>
        </is>
      </c>
      <c r="B19" s="20" t="inlineStr">
        <is>
          <t>P15</t>
        </is>
      </c>
      <c r="C19" s="6" t="inlineStr">
        <is>
          <t>Karitel</t>
        </is>
      </c>
      <c r="D19" s="6" t="inlineStr">
        <is>
          <t>Módulo 01</t>
        </is>
      </c>
      <c r="E19" s="6" t="inlineStr">
        <is>
          <t>R1</t>
        </is>
      </c>
      <c r="F19" s="7" t="n">
        <v>150.01</v>
      </c>
      <c r="G19" s="7" t="n">
        <v>714.33</v>
      </c>
      <c r="H19" s="30" t="n">
        <v>200</v>
      </c>
      <c r="I19" s="37" t="n">
        <v>149.1399744</v>
      </c>
      <c r="J19" s="15">
        <f>IF($G19="","",$G19*FATOR_HID)</f>
        <v/>
      </c>
      <c r="K19" s="28" t="inlineStr">
        <is>
          <t>PENDENTE</t>
        </is>
      </c>
      <c r="L19" s="20" t="inlineStr">
        <is>
          <t>Circulo</t>
        </is>
      </c>
      <c r="M19" s="19" t="inlineStr"/>
    </row>
    <row r="20">
      <c r="A20" s="5" t="inlineStr">
        <is>
          <t>Pivô 16</t>
        </is>
      </c>
      <c r="B20" s="20" t="inlineStr">
        <is>
          <t>P16</t>
        </is>
      </c>
      <c r="C20" s="6" t="inlineStr">
        <is>
          <t>Karitel</t>
        </is>
      </c>
      <c r="D20" s="6" t="inlineStr">
        <is>
          <t>Módulo 01</t>
        </is>
      </c>
      <c r="E20" s="6" t="inlineStr">
        <is>
          <t>R1</t>
        </is>
      </c>
      <c r="F20" s="7" t="n">
        <v>150.01</v>
      </c>
      <c r="G20" s="7" t="n">
        <v>714.33</v>
      </c>
      <c r="H20" s="30" t="n">
        <v>250</v>
      </c>
      <c r="I20" s="37" t="n">
        <v>186.424968</v>
      </c>
      <c r="J20" s="15">
        <f>IF($G20="","",$G20*FATOR_HID)</f>
        <v/>
      </c>
      <c r="K20" s="28" t="inlineStr">
        <is>
          <t>PENDENTE</t>
        </is>
      </c>
      <c r="L20" s="20" t="inlineStr">
        <is>
          <t>Circulo</t>
        </is>
      </c>
      <c r="M20" s="19" t="inlineStr"/>
    </row>
    <row r="21">
      <c r="A21" s="5" t="inlineStr">
        <is>
          <t>Pivô 17</t>
        </is>
      </c>
      <c r="B21" s="20" t="inlineStr">
        <is>
          <t>P17</t>
        </is>
      </c>
      <c r="C21" s="6" t="inlineStr">
        <is>
          <t>Karitel</t>
        </is>
      </c>
      <c r="D21" s="6" t="inlineStr">
        <is>
          <t>Módulo 01</t>
        </is>
      </c>
      <c r="E21" s="6" t="inlineStr">
        <is>
          <t>R2</t>
        </is>
      </c>
      <c r="F21" s="7" t="n">
        <v>150.01</v>
      </c>
      <c r="G21" s="7" t="n">
        <v>714.33</v>
      </c>
      <c r="H21" s="30" t="n">
        <v>200</v>
      </c>
      <c r="I21" s="37" t="n">
        <v>149.1399744</v>
      </c>
      <c r="J21" s="15">
        <f>IF($G21="","",$G21*FATOR_HID)</f>
        <v/>
      </c>
      <c r="K21" s="28" t="inlineStr">
        <is>
          <t>PENDENTE</t>
        </is>
      </c>
      <c r="L21" s="20" t="inlineStr">
        <is>
          <t>Circulo</t>
        </is>
      </c>
      <c r="M21" s="19" t="inlineStr"/>
    </row>
    <row r="22">
      <c r="A22" s="5" t="inlineStr">
        <is>
          <t>Pivô 18</t>
        </is>
      </c>
      <c r="B22" s="20" t="inlineStr">
        <is>
          <t>P18</t>
        </is>
      </c>
      <c r="C22" s="6" t="inlineStr">
        <is>
          <t>Karitel</t>
        </is>
      </c>
      <c r="D22" s="6" t="inlineStr">
        <is>
          <t>Módulo 01</t>
        </is>
      </c>
      <c r="E22" s="6" t="inlineStr">
        <is>
          <t>R2</t>
        </is>
      </c>
      <c r="F22" s="7" t="n">
        <v>150.01</v>
      </c>
      <c r="G22" s="7" t="n">
        <v>714.33</v>
      </c>
      <c r="H22" s="30" t="n">
        <v>200</v>
      </c>
      <c r="I22" s="37" t="n">
        <v>149.1399744</v>
      </c>
      <c r="J22" s="15">
        <f>IF($G22="","",$G22*FATOR_HID)</f>
        <v/>
      </c>
      <c r="K22" s="28" t="inlineStr">
        <is>
          <t>PENDENTE</t>
        </is>
      </c>
      <c r="L22" s="20" t="inlineStr">
        <is>
          <t>Circulo</t>
        </is>
      </c>
      <c r="M22" s="19" t="inlineStr"/>
    </row>
    <row r="23">
      <c r="A23" s="5" t="inlineStr">
        <is>
          <t>Pivô 19</t>
        </is>
      </c>
      <c r="B23" s="20" t="inlineStr">
        <is>
          <t>P19</t>
        </is>
      </c>
      <c r="C23" s="6" t="inlineStr">
        <is>
          <t>Karitel</t>
        </is>
      </c>
      <c r="D23" s="6" t="inlineStr">
        <is>
          <t>Módulo 01</t>
        </is>
      </c>
      <c r="E23" s="6" t="inlineStr">
        <is>
          <t>R3</t>
        </is>
      </c>
      <c r="F23" s="7" t="n">
        <v>150.01</v>
      </c>
      <c r="G23" s="7" t="n">
        <v>714.33</v>
      </c>
      <c r="H23" s="30" t="n">
        <v>200</v>
      </c>
      <c r="I23" s="37" t="n">
        <v>149.1399744</v>
      </c>
      <c r="J23" s="15">
        <f>IF($G23="","",$G23*FATOR_HID)</f>
        <v/>
      </c>
      <c r="K23" s="28" t="inlineStr">
        <is>
          <t>PENDENTE</t>
        </is>
      </c>
      <c r="L23" s="20" t="inlineStr">
        <is>
          <t>Circulo</t>
        </is>
      </c>
      <c r="M23" s="19" t="inlineStr"/>
    </row>
    <row r="24">
      <c r="A24" s="5" t="inlineStr">
        <is>
          <t>Pivô 20</t>
        </is>
      </c>
      <c r="B24" s="20" t="inlineStr">
        <is>
          <t>P20</t>
        </is>
      </c>
      <c r="C24" s="6" t="inlineStr">
        <is>
          <t>Karitel</t>
        </is>
      </c>
      <c r="D24" s="6" t="inlineStr">
        <is>
          <t>Módulo 01</t>
        </is>
      </c>
      <c r="E24" s="6" t="inlineStr">
        <is>
          <t>R3</t>
        </is>
      </c>
      <c r="F24" s="7" t="n">
        <v>150.01</v>
      </c>
      <c r="G24" s="7" t="n">
        <v>714.33</v>
      </c>
      <c r="H24" s="30" t="n">
        <v>100</v>
      </c>
      <c r="I24" s="37" t="n">
        <v>74.5699872</v>
      </c>
      <c r="J24" s="15">
        <f>IF($G24="","",$G24*FATOR_HID)</f>
        <v/>
      </c>
      <c r="K24" s="28" t="inlineStr">
        <is>
          <t>PENDENTE</t>
        </is>
      </c>
      <c r="L24" s="20" t="inlineStr">
        <is>
          <t>Circulo</t>
        </is>
      </c>
      <c r="M24" s="19" t="inlineStr"/>
    </row>
    <row r="25">
      <c r="A25" s="5" t="inlineStr">
        <is>
          <t>Pivô 21</t>
        </is>
      </c>
      <c r="B25" s="20" t="inlineStr">
        <is>
          <t>P21</t>
        </is>
      </c>
      <c r="C25" s="6" t="inlineStr">
        <is>
          <t>Karitel</t>
        </is>
      </c>
      <c r="D25" s="6" t="inlineStr">
        <is>
          <t>Módulo 01</t>
        </is>
      </c>
      <c r="E25" s="6" t="inlineStr">
        <is>
          <t>R4</t>
        </is>
      </c>
      <c r="F25" s="7" t="n">
        <v>150.01</v>
      </c>
      <c r="G25" s="7" t="n">
        <v>714.33</v>
      </c>
      <c r="H25" s="30" t="n">
        <v>200</v>
      </c>
      <c r="I25" s="37" t="n">
        <v>149.1399744</v>
      </c>
      <c r="J25" s="15">
        <f>IF($G25="","",$G25*FATOR_HID)</f>
        <v/>
      </c>
      <c r="K25" s="28" t="inlineStr">
        <is>
          <t>PENDENTE</t>
        </is>
      </c>
      <c r="L25" s="20" t="inlineStr">
        <is>
          <t>Circulo</t>
        </is>
      </c>
      <c r="M25" s="19" t="inlineStr"/>
    </row>
    <row r="26">
      <c r="A26" s="5" t="inlineStr">
        <is>
          <t>Pivô 22</t>
        </is>
      </c>
      <c r="B26" s="20" t="inlineStr">
        <is>
          <t>P22</t>
        </is>
      </c>
      <c r="C26" s="6" t="inlineStr">
        <is>
          <t>Karitel</t>
        </is>
      </c>
      <c r="D26" s="6" t="inlineStr">
        <is>
          <t>Módulo 01</t>
        </is>
      </c>
      <c r="E26" s="6" t="inlineStr">
        <is>
          <t>R4</t>
        </is>
      </c>
      <c r="F26" s="7" t="n">
        <v>150.01</v>
      </c>
      <c r="G26" s="7" t="n">
        <v>714.33</v>
      </c>
      <c r="H26" s="30" t="n">
        <v>200</v>
      </c>
      <c r="I26" s="37" t="n">
        <v>149.1399744</v>
      </c>
      <c r="J26" s="15">
        <f>IF($G26="","",$G26*FATOR_HID)</f>
        <v/>
      </c>
      <c r="K26" s="28" t="inlineStr">
        <is>
          <t>PENDENTE</t>
        </is>
      </c>
      <c r="L26" s="20" t="inlineStr">
        <is>
          <t>Circulo</t>
        </is>
      </c>
      <c r="M26" s="19" t="inlineStr"/>
    </row>
    <row r="27">
      <c r="A27" s="5" t="inlineStr">
        <is>
          <t>Pivô 23</t>
        </is>
      </c>
      <c r="B27" s="20" t="inlineStr">
        <is>
          <t>P23</t>
        </is>
      </c>
      <c r="C27" s="6" t="inlineStr">
        <is>
          <t>Karitel</t>
        </is>
      </c>
      <c r="D27" s="6" t="inlineStr">
        <is>
          <t>Módulo 01</t>
        </is>
      </c>
      <c r="E27" s="6" t="inlineStr">
        <is>
          <t>R6</t>
        </is>
      </c>
      <c r="F27" s="7" t="n">
        <v>150.01</v>
      </c>
      <c r="G27" s="7" t="n">
        <v>602.63</v>
      </c>
      <c r="H27" s="30" t="n">
        <v>200</v>
      </c>
      <c r="I27" s="37" t="n">
        <v>149.1399744</v>
      </c>
      <c r="J27" s="15">
        <f>IF($G27="","",$G27*FATOR_HID)</f>
        <v/>
      </c>
      <c r="K27" s="28" t="inlineStr">
        <is>
          <t>PENDENTE</t>
        </is>
      </c>
      <c r="L27" s="20" t="inlineStr">
        <is>
          <t>Circulo</t>
        </is>
      </c>
      <c r="M27" s="19" t="inlineStr"/>
    </row>
    <row r="28">
      <c r="A28" s="5" t="inlineStr">
        <is>
          <t>Pivô 24</t>
        </is>
      </c>
      <c r="B28" s="20" t="inlineStr">
        <is>
          <t>P24</t>
        </is>
      </c>
      <c r="C28" s="6" t="inlineStr">
        <is>
          <t>Karitel</t>
        </is>
      </c>
      <c r="D28" s="6" t="inlineStr">
        <is>
          <t>Módulo 01</t>
        </is>
      </c>
      <c r="E28" s="6" t="inlineStr">
        <is>
          <t>R6</t>
        </is>
      </c>
      <c r="F28" s="7" t="n">
        <v>150.01</v>
      </c>
      <c r="G28" s="7" t="n">
        <v>714.33</v>
      </c>
      <c r="H28" s="30" t="n">
        <v>250</v>
      </c>
      <c r="I28" s="37" t="n">
        <v>186.424968</v>
      </c>
      <c r="J28" s="15">
        <f>IF($G28="","",$G28*FATOR_HID)</f>
        <v/>
      </c>
      <c r="K28" s="28" t="inlineStr">
        <is>
          <t>PENDENTE</t>
        </is>
      </c>
      <c r="L28" s="20" t="inlineStr">
        <is>
          <t>Circulo</t>
        </is>
      </c>
      <c r="M28" s="19" t="inlineStr"/>
    </row>
    <row r="29">
      <c r="A29" s="5" t="inlineStr">
        <is>
          <t>Pivô 25</t>
        </is>
      </c>
      <c r="B29" s="20" t="inlineStr">
        <is>
          <t>P25</t>
        </is>
      </c>
      <c r="C29" s="6" t="inlineStr">
        <is>
          <t>Karitel</t>
        </is>
      </c>
      <c r="D29" s="6" t="inlineStr">
        <is>
          <t>Módulo 01</t>
        </is>
      </c>
      <c r="E29" s="6" t="inlineStr">
        <is>
          <t>R7</t>
        </is>
      </c>
      <c r="F29" s="7" t="n">
        <v>99.7</v>
      </c>
      <c r="G29" s="7" t="n">
        <v>474.76</v>
      </c>
      <c r="H29" s="30" t="n">
        <v>100</v>
      </c>
      <c r="I29" s="37" t="n">
        <v>74.5699872</v>
      </c>
      <c r="J29" s="15">
        <f>IF($G29="","",$G29*FATOR_HID)</f>
        <v/>
      </c>
      <c r="K29" s="28" t="inlineStr">
        <is>
          <t>PENDENTE</t>
        </is>
      </c>
      <c r="L29" s="20" t="inlineStr">
        <is>
          <t>Circulo</t>
        </is>
      </c>
      <c r="M29" s="19" t="inlineStr"/>
    </row>
    <row r="30">
      <c r="A30" s="5" t="inlineStr">
        <is>
          <t>Pivô 26</t>
        </is>
      </c>
      <c r="B30" s="20" t="inlineStr">
        <is>
          <t>P26</t>
        </is>
      </c>
      <c r="C30" s="6" t="inlineStr">
        <is>
          <t>Karitel</t>
        </is>
      </c>
      <c r="D30" s="6" t="inlineStr">
        <is>
          <t>Módulo 01</t>
        </is>
      </c>
      <c r="E30" s="6" t="inlineStr">
        <is>
          <t>R7</t>
        </is>
      </c>
      <c r="F30" s="7" t="n">
        <v>150.01</v>
      </c>
      <c r="G30" s="7" t="n">
        <v>650.04</v>
      </c>
      <c r="H30" s="30" t="n">
        <v>250</v>
      </c>
      <c r="I30" s="37" t="n">
        <v>186.424968</v>
      </c>
      <c r="J30" s="15">
        <f>IF($G30="","",$G30*FATOR_HID)</f>
        <v/>
      </c>
      <c r="K30" s="28" t="inlineStr">
        <is>
          <t>PENDENTE</t>
        </is>
      </c>
      <c r="L30" s="20" t="inlineStr">
        <is>
          <t>Circulo</t>
        </is>
      </c>
      <c r="M30" s="19" t="inlineStr"/>
    </row>
    <row r="31">
      <c r="A31" s="5" t="inlineStr">
        <is>
          <t>Pivô 27</t>
        </is>
      </c>
      <c r="B31" s="20" t="inlineStr">
        <is>
          <t>P27</t>
        </is>
      </c>
      <c r="C31" s="6" t="inlineStr">
        <is>
          <t>Karitel</t>
        </is>
      </c>
      <c r="D31" s="6" t="inlineStr">
        <is>
          <t>Módulo 01</t>
        </is>
      </c>
      <c r="E31" s="6" t="inlineStr">
        <is>
          <t>R7</t>
        </is>
      </c>
      <c r="F31" s="7" t="n">
        <v>99.14</v>
      </c>
      <c r="G31" s="7" t="n">
        <v>472.1</v>
      </c>
      <c r="H31" s="30" t="n">
        <v>100</v>
      </c>
      <c r="I31" s="37" t="n">
        <v>74.5699872</v>
      </c>
      <c r="J31" s="15">
        <f>IF($G31="","",$G31*FATOR_HID)</f>
        <v/>
      </c>
      <c r="K31" s="28" t="inlineStr">
        <is>
          <t>PENDENTE</t>
        </is>
      </c>
      <c r="L31" s="20" t="inlineStr">
        <is>
          <t>Circulo</t>
        </is>
      </c>
      <c r="M31" s="19" t="inlineStr"/>
    </row>
    <row r="32">
      <c r="A32" s="5" t="inlineStr">
        <is>
          <t>Pivô 28</t>
        </is>
      </c>
      <c r="B32" s="20" t="inlineStr">
        <is>
          <t>P28</t>
        </is>
      </c>
      <c r="C32" s="6" t="inlineStr">
        <is>
          <t>Karitel</t>
        </is>
      </c>
      <c r="D32" s="6" t="inlineStr">
        <is>
          <t>Módulo 01</t>
        </is>
      </c>
      <c r="E32" s="6" t="inlineStr">
        <is>
          <t>R7</t>
        </is>
      </c>
      <c r="F32" s="7" t="n">
        <v>132.99</v>
      </c>
      <c r="G32" s="7" t="n">
        <v>633.29</v>
      </c>
      <c r="H32" s="30" t="n">
        <v>200</v>
      </c>
      <c r="I32" s="37" t="n">
        <v>149.1399744</v>
      </c>
      <c r="J32" s="15">
        <f>IF($G32="","",$G32*FATOR_HID)</f>
        <v/>
      </c>
      <c r="K32" s="28" t="inlineStr">
        <is>
          <t>PENDENTE</t>
        </is>
      </c>
      <c r="L32" s="20" t="inlineStr">
        <is>
          <t>Circulo</t>
        </is>
      </c>
      <c r="M32" s="19" t="inlineStr"/>
    </row>
    <row r="33">
      <c r="A33" s="5" t="inlineStr">
        <is>
          <t>Pivô 29</t>
        </is>
      </c>
      <c r="B33" s="20" t="inlineStr">
        <is>
          <t>P29</t>
        </is>
      </c>
      <c r="C33" s="6" t="inlineStr">
        <is>
          <t>Karitel</t>
        </is>
      </c>
      <c r="D33" s="6" t="inlineStr">
        <is>
          <t>Módulo 01</t>
        </is>
      </c>
      <c r="E33" s="6" t="inlineStr">
        <is>
          <t>R7</t>
        </is>
      </c>
      <c r="F33" s="7" t="n">
        <v>78.55</v>
      </c>
      <c r="G33" s="7" t="n">
        <v>374.05</v>
      </c>
      <c r="H33" s="30" t="n">
        <v>100</v>
      </c>
      <c r="I33" s="37" t="n">
        <v>74.5699872</v>
      </c>
      <c r="J33" s="15">
        <f>IF($G33="","",$G33*FATOR_HID)</f>
        <v/>
      </c>
      <c r="K33" s="28" t="inlineStr">
        <is>
          <t>PENDENTE</t>
        </is>
      </c>
      <c r="L33" s="20" t="inlineStr">
        <is>
          <t>Circulo</t>
        </is>
      </c>
      <c r="M33" s="19" t="inlineStr"/>
    </row>
    <row r="34">
      <c r="A34" s="5" t="inlineStr">
        <is>
          <t>Pivô 30</t>
        </is>
      </c>
      <c r="B34" s="20" t="inlineStr">
        <is>
          <t>P30</t>
        </is>
      </c>
      <c r="C34" s="6" t="inlineStr">
        <is>
          <t>Karitel</t>
        </is>
      </c>
      <c r="D34" s="6" t="inlineStr">
        <is>
          <t>Módulo 01</t>
        </is>
      </c>
      <c r="E34" s="6" t="inlineStr">
        <is>
          <t>C3Z3/R7</t>
        </is>
      </c>
      <c r="F34" s="7" t="n">
        <v>150.01</v>
      </c>
      <c r="G34" s="7" t="n">
        <v>664.33</v>
      </c>
      <c r="H34" s="30" t="n">
        <v>121.74</v>
      </c>
      <c r="I34" s="37" t="n">
        <v>90.78150241728</v>
      </c>
      <c r="J34" s="15">
        <f>IF($G34="","",$G34*FATOR_HID)</f>
        <v/>
      </c>
      <c r="K34" s="28" t="inlineStr">
        <is>
          <t>PENDENTE</t>
        </is>
      </c>
      <c r="L34" s="20" t="inlineStr">
        <is>
          <t>Circulo</t>
        </is>
      </c>
      <c r="M34" s="19" t="inlineStr"/>
    </row>
    <row r="35">
      <c r="A35" s="5" t="inlineStr">
        <is>
          <t>Pivô 31</t>
        </is>
      </c>
      <c r="B35" s="20" t="inlineStr">
        <is>
          <t>P31</t>
        </is>
      </c>
      <c r="C35" s="6" t="inlineStr">
        <is>
          <t>Karitel</t>
        </is>
      </c>
      <c r="D35" s="6" t="inlineStr">
        <is>
          <t>Módulo 01</t>
        </is>
      </c>
      <c r="E35" s="6" t="inlineStr">
        <is>
          <t>C3Z3/R7</t>
        </is>
      </c>
      <c r="F35" s="7" t="n">
        <v>150.01</v>
      </c>
      <c r="G35" s="7" t="n">
        <v>645.04</v>
      </c>
      <c r="H35" s="30" t="n">
        <v>125</v>
      </c>
      <c r="I35" s="37" t="n">
        <v>93.212484</v>
      </c>
      <c r="J35" s="15">
        <f>IF($G35="","",$G35*FATOR_HID)</f>
        <v/>
      </c>
      <c r="K35" s="28" t="inlineStr">
        <is>
          <t>PENDENTE</t>
        </is>
      </c>
      <c r="L35" s="20" t="inlineStr">
        <is>
          <t>Circulo</t>
        </is>
      </c>
      <c r="M35" s="19" t="inlineStr"/>
    </row>
    <row r="36">
      <c r="A36" s="5" t="inlineStr">
        <is>
          <t>Pivô 32</t>
        </is>
      </c>
      <c r="B36" s="20" t="inlineStr">
        <is>
          <t>P32</t>
        </is>
      </c>
      <c r="C36" s="6" t="inlineStr">
        <is>
          <t>Karitel</t>
        </is>
      </c>
      <c r="D36" s="6" t="inlineStr">
        <is>
          <t>Módulo 01</t>
        </is>
      </c>
      <c r="E36" s="6" t="inlineStr">
        <is>
          <t>C3Z3/R7</t>
        </is>
      </c>
      <c r="F36" s="7" t="n">
        <v>138.03</v>
      </c>
      <c r="G36" s="7" t="n">
        <v>657.29</v>
      </c>
      <c r="H36" s="30" t="n">
        <v>125</v>
      </c>
      <c r="I36" s="37" t="n">
        <v>93.212484</v>
      </c>
      <c r="J36" s="15">
        <f>IF($G36="","",$G36*FATOR_HID)</f>
        <v/>
      </c>
      <c r="K36" s="28" t="inlineStr">
        <is>
          <t>PENDENTE</t>
        </is>
      </c>
      <c r="L36" s="20" t="inlineStr">
        <is>
          <t>Circulo</t>
        </is>
      </c>
      <c r="M36" s="19" t="inlineStr"/>
    </row>
    <row r="37">
      <c r="A37" s="5" t="inlineStr">
        <is>
          <t>Pivô 33</t>
        </is>
      </c>
      <c r="B37" s="20" t="inlineStr">
        <is>
          <t>P33</t>
        </is>
      </c>
      <c r="C37" s="6" t="inlineStr">
        <is>
          <t>Karitel</t>
        </is>
      </c>
      <c r="D37" s="6" t="inlineStr">
        <is>
          <t>Módulo 01</t>
        </is>
      </c>
      <c r="E37" s="6" t="inlineStr">
        <is>
          <t>C3Z3/R7</t>
        </is>
      </c>
      <c r="F37" s="7" t="n">
        <v>137.67</v>
      </c>
      <c r="G37" s="7" t="n">
        <v>590.01</v>
      </c>
      <c r="H37" s="30" t="n">
        <v>147</v>
      </c>
      <c r="I37" s="37" t="n">
        <v>109.617881184</v>
      </c>
      <c r="J37" s="15">
        <f>IF($G37="","",$G37*FATOR_HID)</f>
        <v/>
      </c>
      <c r="K37" s="28" t="inlineStr">
        <is>
          <t>PENDENTE</t>
        </is>
      </c>
      <c r="L37" s="20" t="inlineStr">
        <is>
          <t>Circulo</t>
        </is>
      </c>
      <c r="M37" s="19" t="inlineStr"/>
    </row>
    <row r="38">
      <c r="A38" s="5" t="inlineStr">
        <is>
          <t>Pivô 34</t>
        </is>
      </c>
      <c r="B38" s="20" t="inlineStr">
        <is>
          <t>P34</t>
        </is>
      </c>
      <c r="C38" s="6" t="inlineStr">
        <is>
          <t>Karitel</t>
        </is>
      </c>
      <c r="D38" s="6" t="inlineStr">
        <is>
          <t>Módulo 01</t>
        </is>
      </c>
      <c r="E38" s="6" t="inlineStr">
        <is>
          <t>C3Z3/R7</t>
        </is>
      </c>
      <c r="F38" s="7" t="n">
        <v>150.01</v>
      </c>
      <c r="G38" s="7" t="n">
        <v>714.33</v>
      </c>
      <c r="H38" s="30" t="n">
        <v>150</v>
      </c>
      <c r="I38" s="37" t="n">
        <v>111.8549808</v>
      </c>
      <c r="J38" s="15">
        <f>IF($G38="","",$G38*FATOR_HID)</f>
        <v/>
      </c>
      <c r="K38" s="28" t="inlineStr">
        <is>
          <t>PENDENTE</t>
        </is>
      </c>
      <c r="L38" s="20" t="inlineStr">
        <is>
          <t>Circulo</t>
        </is>
      </c>
      <c r="M38" s="19" t="inlineStr"/>
    </row>
    <row r="39">
      <c r="A39" s="5" t="inlineStr">
        <is>
          <t>Pivô 75</t>
        </is>
      </c>
      <c r="B39" s="20" t="inlineStr">
        <is>
          <t>P75</t>
        </is>
      </c>
      <c r="C39" s="6" t="inlineStr">
        <is>
          <t>Karitel</t>
        </is>
      </c>
      <c r="D39" s="6" t="inlineStr">
        <is>
          <t>Módulo 01</t>
        </is>
      </c>
      <c r="E39" s="6" t="inlineStr">
        <is>
          <t>C3Z3/R7</t>
        </is>
      </c>
      <c r="F39" s="7" t="n">
        <v>82</v>
      </c>
      <c r="G39" s="7" t="n"/>
      <c r="H39" s="30" t="n"/>
      <c r="I39" s="37" t="n"/>
      <c r="J39" s="15">
        <f>IF($G39="","",$G39*FATOR_HID)</f>
        <v/>
      </c>
      <c r="K39" s="28" t="inlineStr">
        <is>
          <t>PENDENTE</t>
        </is>
      </c>
      <c r="L39" s="20" t="inlineStr">
        <is>
          <t>Circulo</t>
        </is>
      </c>
      <c r="M39" s="19" t="inlineStr"/>
    </row>
    <row r="40">
      <c r="A40" s="5" t="inlineStr">
        <is>
          <t>Pivô 76</t>
        </is>
      </c>
      <c r="B40" s="20" t="inlineStr">
        <is>
          <t>P76</t>
        </is>
      </c>
      <c r="C40" s="6" t="inlineStr">
        <is>
          <t>Karitel</t>
        </is>
      </c>
      <c r="D40" s="6" t="inlineStr">
        <is>
          <t>Módulo 01</t>
        </is>
      </c>
      <c r="E40" s="6" t="inlineStr">
        <is>
          <t>C3Z3/R7</t>
        </is>
      </c>
      <c r="F40" s="7" t="n">
        <v>75</v>
      </c>
      <c r="G40" s="7" t="n"/>
      <c r="H40" s="30" t="n"/>
      <c r="I40" s="37" t="n"/>
      <c r="J40" s="15">
        <f>IF($G40="","",$G40*FATOR_HID)</f>
        <v/>
      </c>
      <c r="K40" s="28" t="inlineStr">
        <is>
          <t>PENDENTE</t>
        </is>
      </c>
      <c r="L40" s="20" t="inlineStr">
        <is>
          <t>Circulo</t>
        </is>
      </c>
      <c r="M40" s="19" t="inlineStr"/>
    </row>
    <row r="41">
      <c r="A41" s="5" t="inlineStr">
        <is>
          <t>Pivô 35</t>
        </is>
      </c>
      <c r="B41" s="20" t="inlineStr">
        <is>
          <t>P35</t>
        </is>
      </c>
      <c r="C41" s="6" t="inlineStr">
        <is>
          <t>Karitel</t>
        </is>
      </c>
      <c r="D41" s="6" t="inlineStr">
        <is>
          <t>Módulo 02</t>
        </is>
      </c>
      <c r="E41" s="6" t="inlineStr">
        <is>
          <t>R8</t>
        </is>
      </c>
      <c r="F41" s="7" t="n">
        <v>150.54</v>
      </c>
      <c r="G41" s="7" t="n">
        <v>641.6799999999999</v>
      </c>
      <c r="H41" s="30" t="n">
        <v>235</v>
      </c>
      <c r="I41" s="37" t="n">
        <v>175.23946992</v>
      </c>
      <c r="J41" s="15">
        <f>IF($G41="","",$G41*FATOR_HID)</f>
        <v/>
      </c>
      <c r="K41" s="28" t="inlineStr">
        <is>
          <t>PENDENTE</t>
        </is>
      </c>
      <c r="L41" s="20" t="inlineStr">
        <is>
          <t>Circulo</t>
        </is>
      </c>
      <c r="M41" s="19" t="inlineStr"/>
    </row>
    <row r="42">
      <c r="A42" s="5" t="inlineStr">
        <is>
          <t>Pivô 36</t>
        </is>
      </c>
      <c r="B42" s="20" t="inlineStr">
        <is>
          <t>P36</t>
        </is>
      </c>
      <c r="C42" s="6" t="inlineStr">
        <is>
          <t>Karitel</t>
        </is>
      </c>
      <c r="D42" s="6" t="inlineStr">
        <is>
          <t>Módulo 02</t>
        </is>
      </c>
      <c r="E42" s="6" t="inlineStr">
        <is>
          <t>R8</t>
        </is>
      </c>
      <c r="F42" s="7" t="n">
        <v>150.54</v>
      </c>
      <c r="G42" s="7" t="n">
        <v>716.86</v>
      </c>
      <c r="H42" s="30" t="n">
        <v>220</v>
      </c>
      <c r="I42" s="37" t="n">
        <v>164.05397184</v>
      </c>
      <c r="J42" s="15">
        <f>IF($G42="","",$G42*FATOR_HID)</f>
        <v/>
      </c>
      <c r="K42" s="28" t="inlineStr">
        <is>
          <t>PENDENTE</t>
        </is>
      </c>
      <c r="L42" s="20" t="inlineStr">
        <is>
          <t>Circulo</t>
        </is>
      </c>
      <c r="M42" s="19" t="inlineStr"/>
    </row>
    <row r="43">
      <c r="A43" s="5" t="inlineStr">
        <is>
          <t>Pivô 37</t>
        </is>
      </c>
      <c r="B43" s="20" t="inlineStr">
        <is>
          <t>P37</t>
        </is>
      </c>
      <c r="C43" s="6" t="inlineStr">
        <is>
          <t>Karitel</t>
        </is>
      </c>
      <c r="D43" s="6" t="inlineStr">
        <is>
          <t>Módulo 02</t>
        </is>
      </c>
      <c r="E43" s="6" t="inlineStr">
        <is>
          <t>R8</t>
        </is>
      </c>
      <c r="F43" s="7" t="n">
        <v>72</v>
      </c>
      <c r="G43" s="7" t="n">
        <v>517.97</v>
      </c>
      <c r="H43" s="30" t="n">
        <v>150</v>
      </c>
      <c r="I43" s="37" t="n">
        <v>111.8549808</v>
      </c>
      <c r="J43" s="15">
        <f>IF($G43="","",$G43*FATOR_HID)</f>
        <v/>
      </c>
      <c r="K43" s="28" t="inlineStr">
        <is>
          <t>PENDENTE</t>
        </is>
      </c>
      <c r="L43" s="20" t="inlineStr">
        <is>
          <t>Circulo</t>
        </is>
      </c>
      <c r="M43" s="19" t="inlineStr"/>
    </row>
    <row r="44">
      <c r="A44" s="5" t="inlineStr">
        <is>
          <t>Pivô 38</t>
        </is>
      </c>
      <c r="B44" s="20" t="inlineStr">
        <is>
          <t>P38</t>
        </is>
      </c>
      <c r="C44" s="6" t="inlineStr">
        <is>
          <t>Karitel</t>
        </is>
      </c>
      <c r="D44" s="6" t="inlineStr">
        <is>
          <t>Módulo 02</t>
        </is>
      </c>
      <c r="E44" s="6" t="inlineStr">
        <is>
          <t>R8</t>
        </is>
      </c>
      <c r="F44" s="7" t="n">
        <v>141</v>
      </c>
      <c r="G44" s="7" t="n">
        <v>716.86</v>
      </c>
      <c r="H44" s="30" t="n">
        <v>221</v>
      </c>
      <c r="I44" s="37" t="n">
        <v>164.799671712</v>
      </c>
      <c r="J44" s="15">
        <f>IF($G44="","",$G44*FATOR_HID)</f>
        <v/>
      </c>
      <c r="K44" s="28" t="inlineStr">
        <is>
          <t>PENDENTE</t>
        </is>
      </c>
      <c r="L44" s="20" t="inlineStr">
        <is>
          <t>Circulo</t>
        </is>
      </c>
      <c r="M44" s="19" t="inlineStr"/>
    </row>
    <row r="45">
      <c r="A45" s="5" t="inlineStr">
        <is>
          <t>Pivô 39</t>
        </is>
      </c>
      <c r="B45" s="20" t="inlineStr">
        <is>
          <t>P39</t>
        </is>
      </c>
      <c r="C45" s="6" t="inlineStr">
        <is>
          <t>Karitel</t>
        </is>
      </c>
      <c r="D45" s="6" t="inlineStr">
        <is>
          <t>Módulo 02</t>
        </is>
      </c>
      <c r="E45" s="6" t="inlineStr">
        <is>
          <t>R10</t>
        </is>
      </c>
      <c r="F45" s="7" t="n">
        <v>100.65</v>
      </c>
      <c r="G45" s="7" t="n">
        <v>479.29</v>
      </c>
      <c r="H45" s="30" t="n">
        <v>150</v>
      </c>
      <c r="I45" s="37" t="n">
        <v>111.8549808</v>
      </c>
      <c r="J45" s="15">
        <f>IF($G45="","",$G45*FATOR_HID)</f>
        <v/>
      </c>
      <c r="K45" s="28" t="inlineStr">
        <is>
          <t>PENDENTE</t>
        </is>
      </c>
      <c r="L45" s="20" t="inlineStr">
        <is>
          <t>Circulo</t>
        </is>
      </c>
      <c r="M45" s="19" t="inlineStr"/>
    </row>
    <row r="46">
      <c r="A46" s="5" t="inlineStr">
        <is>
          <t>Pivô 40</t>
        </is>
      </c>
      <c r="B46" s="20" t="inlineStr">
        <is>
          <t>P40</t>
        </is>
      </c>
      <c r="C46" s="6" t="inlineStr">
        <is>
          <t>Karitel</t>
        </is>
      </c>
      <c r="D46" s="6" t="inlineStr">
        <is>
          <t>Módulo 02</t>
        </is>
      </c>
      <c r="E46" s="6" t="inlineStr">
        <is>
          <t>R10</t>
        </is>
      </c>
      <c r="F46" s="7" t="n">
        <v>150.54</v>
      </c>
      <c r="G46" s="7" t="n">
        <v>716.86</v>
      </c>
      <c r="H46" s="30" t="n">
        <v>215</v>
      </c>
      <c r="I46" s="37" t="n">
        <v>160.32547248</v>
      </c>
      <c r="J46" s="15">
        <f>IF($G46="","",$G46*FATOR_HID)</f>
        <v/>
      </c>
      <c r="K46" s="28" t="inlineStr">
        <is>
          <t>PENDENTE</t>
        </is>
      </c>
      <c r="L46" s="20" t="inlineStr">
        <is>
          <t>Circulo</t>
        </is>
      </c>
      <c r="M46" s="19" t="inlineStr"/>
    </row>
    <row r="47">
      <c r="A47" s="5" t="inlineStr">
        <is>
          <t>Pivô 41</t>
        </is>
      </c>
      <c r="B47" s="20" t="inlineStr">
        <is>
          <t>P41</t>
        </is>
      </c>
      <c r="C47" s="6" t="inlineStr">
        <is>
          <t>Karitel</t>
        </is>
      </c>
      <c r="D47" s="6" t="inlineStr">
        <is>
          <t>Módulo 02</t>
        </is>
      </c>
      <c r="E47" s="6" t="inlineStr">
        <is>
          <t>R9</t>
        </is>
      </c>
      <c r="F47" s="7" t="n">
        <v>138.55</v>
      </c>
      <c r="G47" s="7" t="n">
        <v>659.74</v>
      </c>
      <c r="H47" s="30" t="n">
        <v>199</v>
      </c>
      <c r="I47" s="37" t="n">
        <v>148.394274528</v>
      </c>
      <c r="J47" s="15">
        <f>IF($G47="","",$G47*FATOR_HID)</f>
        <v/>
      </c>
      <c r="K47" s="28" t="inlineStr">
        <is>
          <t>PENDENTE</t>
        </is>
      </c>
      <c r="L47" s="20" t="inlineStr">
        <is>
          <t>Circulo</t>
        </is>
      </c>
      <c r="M47" s="19" t="inlineStr"/>
    </row>
    <row r="48">
      <c r="A48" s="5" t="inlineStr">
        <is>
          <t>Pivô 42</t>
        </is>
      </c>
      <c r="B48" s="20" t="inlineStr">
        <is>
          <t>P42</t>
        </is>
      </c>
      <c r="C48" s="6" t="inlineStr">
        <is>
          <t>Karitel</t>
        </is>
      </c>
      <c r="D48" s="6" t="inlineStr">
        <is>
          <t>Módulo 02</t>
        </is>
      </c>
      <c r="E48" s="6" t="inlineStr">
        <is>
          <t>R9</t>
        </is>
      </c>
      <c r="F48" s="7" t="n">
        <v>100.65</v>
      </c>
      <c r="G48" s="7" t="n">
        <v>479.29</v>
      </c>
      <c r="H48" s="30" t="n">
        <v>150</v>
      </c>
      <c r="I48" s="37" t="n">
        <v>111.8549808</v>
      </c>
      <c r="J48" s="15">
        <f>IF($G48="","",$G48*FATOR_HID)</f>
        <v/>
      </c>
      <c r="K48" s="28" t="inlineStr">
        <is>
          <t>PENDENTE</t>
        </is>
      </c>
      <c r="L48" s="20" t="inlineStr">
        <is>
          <t>Circulo</t>
        </is>
      </c>
      <c r="M48" s="19" t="inlineStr"/>
    </row>
    <row r="49">
      <c r="A49" s="5" t="inlineStr">
        <is>
          <t>Pivô 43</t>
        </is>
      </c>
      <c r="B49" s="20" t="inlineStr">
        <is>
          <t>P43</t>
        </is>
      </c>
      <c r="C49" s="6" t="inlineStr">
        <is>
          <t>Karitel</t>
        </is>
      </c>
      <c r="D49" s="6" t="inlineStr">
        <is>
          <t>Módulo 02</t>
        </is>
      </c>
      <c r="E49" s="6" t="inlineStr">
        <is>
          <t>R9</t>
        </is>
      </c>
      <c r="F49" s="7" t="n">
        <v>138.55</v>
      </c>
      <c r="G49" s="7" t="n">
        <v>659.74</v>
      </c>
      <c r="H49" s="30" t="n">
        <v>199</v>
      </c>
      <c r="I49" s="37" t="n">
        <v>148.394274528</v>
      </c>
      <c r="J49" s="15">
        <f>IF($G49="","",$G49*FATOR_HID)</f>
        <v/>
      </c>
      <c r="K49" s="28" t="inlineStr">
        <is>
          <t>PENDENTE</t>
        </is>
      </c>
      <c r="L49" s="20" t="inlineStr">
        <is>
          <t>Circulo</t>
        </is>
      </c>
      <c r="M49" s="19" t="inlineStr"/>
    </row>
    <row r="50">
      <c r="A50" s="5" t="inlineStr">
        <is>
          <t>Pivô 45</t>
        </is>
      </c>
      <c r="B50" s="20" t="inlineStr">
        <is>
          <t>P45</t>
        </is>
      </c>
      <c r="C50" s="6" t="inlineStr">
        <is>
          <t>Karitel</t>
        </is>
      </c>
      <c r="D50" s="6" t="inlineStr">
        <is>
          <t>Módulo 02</t>
        </is>
      </c>
      <c r="E50" s="6" t="inlineStr">
        <is>
          <t>R11</t>
        </is>
      </c>
      <c r="F50" s="7" t="n">
        <v>123.47</v>
      </c>
      <c r="G50" s="7" t="n">
        <v>587.9299999999999</v>
      </c>
      <c r="H50" s="30" t="n">
        <v>219</v>
      </c>
      <c r="I50" s="37" t="n">
        <v>163.308271968</v>
      </c>
      <c r="J50" s="15">
        <f>IF($G50="","",$G50*FATOR_HID)</f>
        <v/>
      </c>
      <c r="K50" s="28" t="inlineStr">
        <is>
          <t>PENDENTE</t>
        </is>
      </c>
      <c r="L50" s="20" t="inlineStr">
        <is>
          <t>Circulo</t>
        </is>
      </c>
      <c r="M50" s="19" t="inlineStr"/>
    </row>
    <row r="51">
      <c r="A51" s="5" t="inlineStr">
        <is>
          <t>Pivô 46</t>
        </is>
      </c>
      <c r="B51" s="20" t="inlineStr">
        <is>
          <t>P46</t>
        </is>
      </c>
      <c r="C51" s="6" t="inlineStr">
        <is>
          <t>Karitel</t>
        </is>
      </c>
      <c r="D51" s="6" t="inlineStr">
        <is>
          <t>Módulo 02</t>
        </is>
      </c>
      <c r="E51" s="6" t="inlineStr">
        <is>
          <t>R11</t>
        </is>
      </c>
      <c r="F51" s="7" t="n">
        <v>159.45</v>
      </c>
      <c r="G51" s="7" t="n">
        <v>759.3</v>
      </c>
      <c r="H51" s="30" t="n">
        <v>242</v>
      </c>
      <c r="I51" s="37" t="n">
        <v>180.459369024</v>
      </c>
      <c r="J51" s="15">
        <f>IF($G51="","",$G51*FATOR_HID)</f>
        <v/>
      </c>
      <c r="K51" s="28" t="inlineStr">
        <is>
          <t>PENDENTE</t>
        </is>
      </c>
      <c r="L51" s="20" t="inlineStr">
        <is>
          <t>Circulo</t>
        </is>
      </c>
      <c r="M51" s="19" t="inlineStr"/>
    </row>
    <row r="52">
      <c r="A52" s="5" t="inlineStr">
        <is>
          <t>Pivô 47</t>
        </is>
      </c>
      <c r="B52" s="20" t="inlineStr">
        <is>
          <t>P47</t>
        </is>
      </c>
      <c r="C52" s="6" t="inlineStr">
        <is>
          <t>Karitel</t>
        </is>
      </c>
      <c r="D52" s="6" t="inlineStr">
        <is>
          <t>Módulo 02</t>
        </is>
      </c>
      <c r="E52" s="6" t="inlineStr">
        <is>
          <t>R11</t>
        </is>
      </c>
      <c r="F52" s="7" t="n">
        <v>159.45</v>
      </c>
      <c r="G52" s="7" t="n">
        <v>721.34</v>
      </c>
      <c r="H52" s="30" t="n">
        <v>300</v>
      </c>
      <c r="I52" s="37" t="n">
        <v>223.7099616</v>
      </c>
      <c r="J52" s="15">
        <f>IF($G52="","",$G52*FATOR_HID)</f>
        <v/>
      </c>
      <c r="K52" s="28" t="inlineStr">
        <is>
          <t>PENDENTE</t>
        </is>
      </c>
      <c r="L52" s="20" t="inlineStr">
        <is>
          <t>Circulo</t>
        </is>
      </c>
      <c r="M52" s="19" t="inlineStr"/>
    </row>
    <row r="53">
      <c r="A53" s="5" t="inlineStr">
        <is>
          <t>Pivô 48</t>
        </is>
      </c>
      <c r="B53" s="20" t="inlineStr">
        <is>
          <t>P48</t>
        </is>
      </c>
      <c r="C53" s="6" t="inlineStr">
        <is>
          <t>Karitel</t>
        </is>
      </c>
      <c r="D53" s="6" t="inlineStr">
        <is>
          <t>Módulo 02</t>
        </is>
      </c>
      <c r="E53" s="6" t="inlineStr">
        <is>
          <t>R11</t>
        </is>
      </c>
      <c r="F53" s="7" t="n">
        <v>159.45</v>
      </c>
      <c r="G53" s="7" t="n">
        <v>759.3</v>
      </c>
      <c r="H53" s="30" t="n">
        <v>211</v>
      </c>
      <c r="I53" s="37" t="n">
        <v>157.342672992</v>
      </c>
      <c r="J53" s="15">
        <f>IF($G53="","",$G53*FATOR_HID)</f>
        <v/>
      </c>
      <c r="K53" s="28" t="inlineStr">
        <is>
          <t>PENDENTE</t>
        </is>
      </c>
      <c r="L53" s="20" t="inlineStr">
        <is>
          <t>Circulo</t>
        </is>
      </c>
      <c r="M53" s="19" t="inlineStr"/>
    </row>
    <row r="54">
      <c r="A54" s="5" t="inlineStr">
        <is>
          <t>Pivô 49</t>
        </is>
      </c>
      <c r="B54" s="20" t="inlineStr">
        <is>
          <t>P49</t>
        </is>
      </c>
      <c r="C54" s="6" t="inlineStr">
        <is>
          <t>Karitel</t>
        </is>
      </c>
      <c r="D54" s="6" t="inlineStr">
        <is>
          <t>Módulo 02</t>
        </is>
      </c>
      <c r="E54" s="6" t="inlineStr">
        <is>
          <t>R11</t>
        </is>
      </c>
      <c r="F54" s="7" t="n">
        <v>124.31</v>
      </c>
      <c r="G54" s="7" t="n">
        <v>591.97</v>
      </c>
      <c r="H54" s="30" t="n">
        <v>197</v>
      </c>
      <c r="I54" s="37" t="n">
        <v>146.902874784</v>
      </c>
      <c r="J54" s="15">
        <f>IF($G54="","",$G54*FATOR_HID)</f>
        <v/>
      </c>
      <c r="K54" s="28" t="inlineStr">
        <is>
          <t>PENDENTE</t>
        </is>
      </c>
      <c r="L54" s="20" t="inlineStr">
        <is>
          <t>Circulo</t>
        </is>
      </c>
      <c r="M54" s="19" t="inlineStr"/>
    </row>
    <row r="55">
      <c r="A55" s="5" t="inlineStr">
        <is>
          <t>Pivô 52</t>
        </is>
      </c>
      <c r="B55" s="20" t="inlineStr">
        <is>
          <t>P52</t>
        </is>
      </c>
      <c r="C55" s="6" t="inlineStr">
        <is>
          <t>Karitel</t>
        </is>
      </c>
      <c r="D55" s="6" t="inlineStr">
        <is>
          <t>Módulo 02</t>
        </is>
      </c>
      <c r="E55" s="6" t="inlineStr">
        <is>
          <t>R12</t>
        </is>
      </c>
      <c r="F55" s="7" t="n">
        <v>159.45</v>
      </c>
      <c r="G55" s="7" t="n">
        <v>759.3</v>
      </c>
      <c r="H55" s="30" t="n">
        <v>252</v>
      </c>
      <c r="I55" s="37" t="n">
        <v>187.916367744</v>
      </c>
      <c r="J55" s="15">
        <f>IF($G55="","",$G55*FATOR_HID)</f>
        <v/>
      </c>
      <c r="K55" s="28" t="inlineStr">
        <is>
          <t>PENDENTE</t>
        </is>
      </c>
      <c r="L55" s="20" t="inlineStr">
        <is>
          <t>Circulo</t>
        </is>
      </c>
      <c r="M55" s="19" t="inlineStr"/>
    </row>
    <row r="56">
      <c r="A56" s="5" t="inlineStr">
        <is>
          <t>Pivô 73</t>
        </is>
      </c>
      <c r="B56" s="20" t="inlineStr">
        <is>
          <t>P73</t>
        </is>
      </c>
      <c r="C56" s="6" t="inlineStr">
        <is>
          <t>Karitel</t>
        </is>
      </c>
      <c r="D56" s="6" t="inlineStr">
        <is>
          <t>Módulo 02</t>
        </is>
      </c>
      <c r="E56" s="6" t="inlineStr">
        <is>
          <t>R12</t>
        </is>
      </c>
      <c r="F56" s="7" t="n">
        <v>159.45</v>
      </c>
      <c r="G56" s="7" t="n">
        <v>683.37</v>
      </c>
      <c r="H56" s="30" t="n">
        <v>300</v>
      </c>
      <c r="I56" s="37" t="n">
        <v>223.7099616</v>
      </c>
      <c r="J56" s="15">
        <f>IF($G56="","",$G56*FATOR_HID)</f>
        <v/>
      </c>
      <c r="K56" s="28" t="inlineStr">
        <is>
          <t>PENDENTE</t>
        </is>
      </c>
      <c r="L56" s="20" t="inlineStr">
        <is>
          <t>Circulo</t>
        </is>
      </c>
      <c r="M56" s="19" t="inlineStr"/>
    </row>
    <row r="57">
      <c r="A57" s="5" t="inlineStr">
        <is>
          <t>Pivô 74</t>
        </is>
      </c>
      <c r="B57" s="20" t="inlineStr">
        <is>
          <t>P74</t>
        </is>
      </c>
      <c r="C57" s="6" t="inlineStr">
        <is>
          <t>Karitel</t>
        </is>
      </c>
      <c r="D57" s="6" t="inlineStr">
        <is>
          <t>Módulo 02</t>
        </is>
      </c>
      <c r="E57" s="6" t="inlineStr">
        <is>
          <t>R12</t>
        </is>
      </c>
      <c r="F57" s="7" t="n">
        <v>159.45</v>
      </c>
      <c r="G57" s="7" t="n">
        <v>759.3</v>
      </c>
      <c r="H57" s="30" t="n">
        <v>300</v>
      </c>
      <c r="I57" s="37" t="n">
        <v>223.7099616</v>
      </c>
      <c r="J57" s="15">
        <f>IF($G57="","",$G57*FATOR_HID)</f>
        <v/>
      </c>
      <c r="K57" s="28" t="inlineStr">
        <is>
          <t>PENDENTE</t>
        </is>
      </c>
      <c r="L57" s="20" t="inlineStr">
        <is>
          <t>Circulo</t>
        </is>
      </c>
      <c r="M57" s="19" t="inlineStr"/>
    </row>
    <row r="58">
      <c r="A58" s="5" t="inlineStr">
        <is>
          <t>Pivô 44</t>
        </is>
      </c>
      <c r="B58" s="20" t="inlineStr">
        <is>
          <t>P44</t>
        </is>
      </c>
      <c r="C58" s="6" t="inlineStr">
        <is>
          <t>Karitel</t>
        </is>
      </c>
      <c r="D58" s="6" t="inlineStr">
        <is>
          <t>Módulo 03</t>
        </is>
      </c>
      <c r="E58" s="6" t="inlineStr">
        <is>
          <t>R13</t>
        </is>
      </c>
      <c r="F58" s="7" t="n">
        <v>74.68000000000001</v>
      </c>
      <c r="G58" s="7" t="n">
        <v>550.14</v>
      </c>
      <c r="H58" s="30" t="n">
        <v>75</v>
      </c>
      <c r="I58" s="37" t="n">
        <v>55.9274904</v>
      </c>
      <c r="J58" s="15">
        <f>IF($G58="","",$G58*FATOR_HID)</f>
        <v/>
      </c>
      <c r="K58" s="28" t="inlineStr">
        <is>
          <t>PENDENTE</t>
        </is>
      </c>
      <c r="L58" s="20" t="inlineStr">
        <is>
          <t>Circulo</t>
        </is>
      </c>
      <c r="M58" s="19" t="inlineStr"/>
    </row>
    <row r="59">
      <c r="A59" s="5" t="inlineStr">
        <is>
          <t>Pivô 50</t>
        </is>
      </c>
      <c r="B59" s="20" t="inlineStr">
        <is>
          <t>P50</t>
        </is>
      </c>
      <c r="C59" s="6" t="inlineStr">
        <is>
          <t>Karitel</t>
        </is>
      </c>
      <c r="D59" s="6" t="inlineStr">
        <is>
          <t>Módulo 03</t>
        </is>
      </c>
      <c r="E59" s="6" t="inlineStr">
        <is>
          <t>R14</t>
        </is>
      </c>
      <c r="F59" s="7" t="n">
        <v>120.31</v>
      </c>
      <c r="G59" s="7" t="n">
        <v>572.9</v>
      </c>
      <c r="H59" s="30" t="n">
        <v>150</v>
      </c>
      <c r="I59" s="37" t="n">
        <v>111.8549808</v>
      </c>
      <c r="J59" s="15">
        <f>IF($G59="","",$G59*FATOR_HID)</f>
        <v/>
      </c>
      <c r="K59" s="28" t="inlineStr">
        <is>
          <t>PENDENTE</t>
        </is>
      </c>
      <c r="L59" s="20" t="inlineStr">
        <is>
          <t>Circulo</t>
        </is>
      </c>
      <c r="M59" s="19" t="inlineStr"/>
    </row>
    <row r="60">
      <c r="A60" s="5" t="inlineStr">
        <is>
          <t>Pivô 51</t>
        </is>
      </c>
      <c r="B60" s="20" t="inlineStr">
        <is>
          <t>P51</t>
        </is>
      </c>
      <c r="C60" s="6" t="inlineStr">
        <is>
          <t>Karitel</t>
        </is>
      </c>
      <c r="D60" s="6" t="inlineStr">
        <is>
          <t>Módulo 03</t>
        </is>
      </c>
      <c r="E60" s="6" t="inlineStr">
        <is>
          <t>R14</t>
        </is>
      </c>
      <c r="F60" s="7" t="n">
        <v>119.34</v>
      </c>
      <c r="G60" s="7" t="n">
        <v>550.14</v>
      </c>
      <c r="H60" s="30" t="n">
        <v>150</v>
      </c>
      <c r="I60" s="37" t="n">
        <v>111.8549808</v>
      </c>
      <c r="J60" s="15">
        <f>IF($G60="","",$G60*FATOR_HID)</f>
        <v/>
      </c>
      <c r="K60" s="28" t="inlineStr">
        <is>
          <t>PENDENTE</t>
        </is>
      </c>
      <c r="L60" s="20" t="inlineStr">
        <is>
          <t>Circulo</t>
        </is>
      </c>
      <c r="M60" s="19" t="inlineStr"/>
    </row>
    <row r="61">
      <c r="A61" s="5" t="inlineStr">
        <is>
          <t>Pivô 53</t>
        </is>
      </c>
      <c r="B61" s="20" t="inlineStr">
        <is>
          <t>P53</t>
        </is>
      </c>
      <c r="C61" s="6" t="inlineStr">
        <is>
          <t>Karitel</t>
        </is>
      </c>
      <c r="D61" s="6" t="inlineStr">
        <is>
          <t>Módulo 03</t>
        </is>
      </c>
      <c r="E61" s="6" t="inlineStr">
        <is>
          <t>R13</t>
        </is>
      </c>
      <c r="F61" s="7" t="n">
        <v>74.68000000000001</v>
      </c>
      <c r="G61" s="7" t="n">
        <v>550.14</v>
      </c>
      <c r="H61" s="30" t="n">
        <v>75</v>
      </c>
      <c r="I61" s="37" t="n">
        <v>55.9274904</v>
      </c>
      <c r="J61" s="15">
        <f>IF($G61="","",$G61*FATOR_HID)</f>
        <v/>
      </c>
      <c r="K61" s="28" t="inlineStr">
        <is>
          <t>PENDENTE</t>
        </is>
      </c>
      <c r="L61" s="20" t="inlineStr">
        <is>
          <t>Circulo</t>
        </is>
      </c>
      <c r="M61" s="19" t="inlineStr"/>
    </row>
    <row r="62">
      <c r="A62" s="5" t="inlineStr">
        <is>
          <t>Pivô 54</t>
        </is>
      </c>
      <c r="B62" s="20" t="inlineStr">
        <is>
          <t>P54</t>
        </is>
      </c>
      <c r="C62" s="6" t="inlineStr">
        <is>
          <t>Karitel</t>
        </is>
      </c>
      <c r="D62" s="6" t="inlineStr">
        <is>
          <t>Módulo 03</t>
        </is>
      </c>
      <c r="E62" s="6" t="inlineStr">
        <is>
          <t>R13</t>
        </is>
      </c>
      <c r="F62" s="7" t="n">
        <v>121.22</v>
      </c>
      <c r="G62" s="7" t="n">
        <v>577.24</v>
      </c>
      <c r="H62" s="30" t="n">
        <v>150</v>
      </c>
      <c r="I62" s="37" t="n">
        <v>111.8549808</v>
      </c>
      <c r="J62" s="15">
        <f>IF($G62="","",$G62*FATOR_HID)</f>
        <v/>
      </c>
      <c r="K62" s="28" t="inlineStr">
        <is>
          <t>PENDENTE</t>
        </is>
      </c>
      <c r="L62" s="20" t="inlineStr">
        <is>
          <t>Circulo</t>
        </is>
      </c>
      <c r="M62" s="19" t="inlineStr"/>
    </row>
    <row r="63">
      <c r="A63" s="5" t="inlineStr">
        <is>
          <t>Pivô 55</t>
        </is>
      </c>
      <c r="B63" s="20" t="inlineStr">
        <is>
          <t>P55</t>
        </is>
      </c>
      <c r="C63" s="6" t="inlineStr">
        <is>
          <t>Karitel</t>
        </is>
      </c>
      <c r="D63" s="6" t="inlineStr">
        <is>
          <t>Módulo 03</t>
        </is>
      </c>
      <c r="E63" s="6" t="inlineStr">
        <is>
          <t>R13</t>
        </is>
      </c>
      <c r="F63" s="7" t="n">
        <v>151.33</v>
      </c>
      <c r="G63" s="7" t="n">
        <v>720.62</v>
      </c>
      <c r="H63" s="30" t="n">
        <v>300</v>
      </c>
      <c r="I63" s="37" t="n">
        <v>223.7099616</v>
      </c>
      <c r="J63" s="15">
        <f>IF($G63="","",$G63*FATOR_HID)</f>
        <v/>
      </c>
      <c r="K63" s="28" t="inlineStr">
        <is>
          <t>PENDENTE</t>
        </is>
      </c>
      <c r="L63" s="20" t="inlineStr">
        <is>
          <t>Circulo</t>
        </is>
      </c>
      <c r="M63" s="19" t="inlineStr"/>
    </row>
    <row r="64">
      <c r="A64" s="5" t="inlineStr">
        <is>
          <t>Pivô 56</t>
        </is>
      </c>
      <c r="B64" s="20" t="inlineStr">
        <is>
          <t>P56</t>
        </is>
      </c>
      <c r="C64" s="6" t="inlineStr">
        <is>
          <t>Karitel</t>
        </is>
      </c>
      <c r="D64" s="6" t="inlineStr">
        <is>
          <t>Módulo 03</t>
        </is>
      </c>
      <c r="E64" s="6" t="inlineStr">
        <is>
          <t>R14</t>
        </is>
      </c>
      <c r="F64" s="7" t="n">
        <v>151.2</v>
      </c>
      <c r="G64" s="7" t="n">
        <v>720</v>
      </c>
      <c r="H64" s="30" t="n">
        <v>150</v>
      </c>
      <c r="I64" s="37" t="n">
        <v>111.8549808</v>
      </c>
      <c r="J64" s="15">
        <f>IF($G64="","",$G64*FATOR_HID)</f>
        <v/>
      </c>
      <c r="K64" s="28" t="inlineStr">
        <is>
          <t>PENDENTE</t>
        </is>
      </c>
      <c r="L64" s="20" t="inlineStr">
        <is>
          <t>Circulo</t>
        </is>
      </c>
      <c r="M64" s="19" t="inlineStr"/>
    </row>
    <row r="65">
      <c r="A65" s="5" t="inlineStr">
        <is>
          <t>Pivô 57</t>
        </is>
      </c>
      <c r="B65" s="20" t="inlineStr">
        <is>
          <t>P57</t>
        </is>
      </c>
      <c r="C65" s="6" t="inlineStr">
        <is>
          <t>Karitel</t>
        </is>
      </c>
      <c r="D65" s="6" t="inlineStr">
        <is>
          <t>Módulo 03</t>
        </is>
      </c>
      <c r="E65" s="6" t="inlineStr">
        <is>
          <t>R15</t>
        </is>
      </c>
      <c r="F65" s="7" t="n">
        <v>150.24</v>
      </c>
      <c r="G65" s="7" t="n">
        <v>715.4299999999999</v>
      </c>
      <c r="H65" s="30" t="n">
        <v>200</v>
      </c>
      <c r="I65" s="37" t="n">
        <v>149.1399744</v>
      </c>
      <c r="J65" s="15">
        <f>IF($G65="","",$G65*FATOR_HID)</f>
        <v/>
      </c>
      <c r="K65" s="28" t="inlineStr">
        <is>
          <t>PENDENTE</t>
        </is>
      </c>
      <c r="L65" s="20" t="inlineStr">
        <is>
          <t>Circulo</t>
        </is>
      </c>
      <c r="M65" s="19" t="inlineStr"/>
    </row>
    <row r="66">
      <c r="A66" s="5" t="inlineStr">
        <is>
          <t>Pivô 58</t>
        </is>
      </c>
      <c r="B66" s="20" t="inlineStr">
        <is>
          <t>P58</t>
        </is>
      </c>
      <c r="C66" s="6" t="inlineStr">
        <is>
          <t>Karitel</t>
        </is>
      </c>
      <c r="D66" s="6" t="inlineStr">
        <is>
          <t>Módulo 03</t>
        </is>
      </c>
      <c r="E66" s="6" t="inlineStr">
        <is>
          <t>R15</t>
        </is>
      </c>
      <c r="F66" s="7" t="n">
        <v>150.24</v>
      </c>
      <c r="G66" s="7" t="n">
        <v>715.4299999999999</v>
      </c>
      <c r="H66" s="30" t="n">
        <v>150</v>
      </c>
      <c r="I66" s="37" t="n">
        <v>111.8549808</v>
      </c>
      <c r="J66" s="15">
        <f>IF($G66="","",$G66*FATOR_HID)</f>
        <v/>
      </c>
      <c r="K66" s="28" t="inlineStr">
        <is>
          <t>PENDENTE</t>
        </is>
      </c>
      <c r="L66" s="20" t="inlineStr">
        <is>
          <t>Circulo</t>
        </is>
      </c>
      <c r="M66" s="19" t="inlineStr"/>
    </row>
    <row r="67">
      <c r="A67" s="5" t="inlineStr">
        <is>
          <t>Pivô 59</t>
        </is>
      </c>
      <c r="B67" s="20" t="inlineStr">
        <is>
          <t>P59</t>
        </is>
      </c>
      <c r="C67" s="6" t="inlineStr">
        <is>
          <t>Karitel</t>
        </is>
      </c>
      <c r="D67" s="6" t="inlineStr">
        <is>
          <t>Módulo 03</t>
        </is>
      </c>
      <c r="E67" s="6" t="inlineStr">
        <is>
          <t>R15</t>
        </is>
      </c>
      <c r="F67" s="7" t="n">
        <v>144.4</v>
      </c>
      <c r="G67" s="7" t="n">
        <v>687.62</v>
      </c>
      <c r="H67" s="30" t="n">
        <v>175</v>
      </c>
      <c r="I67" s="37" t="n">
        <v>130.4974776</v>
      </c>
      <c r="J67" s="15">
        <f>IF($G67="","",$G67*FATOR_HID)</f>
        <v/>
      </c>
      <c r="K67" s="28" t="inlineStr">
        <is>
          <t>PENDENTE</t>
        </is>
      </c>
      <c r="L67" s="20" t="inlineStr">
        <is>
          <t>Circulo</t>
        </is>
      </c>
      <c r="M67" s="19" t="inlineStr"/>
    </row>
    <row r="68">
      <c r="A68" s="5" t="inlineStr">
        <is>
          <t>Pivô 60</t>
        </is>
      </c>
      <c r="B68" s="20" t="inlineStr">
        <is>
          <t>P60</t>
        </is>
      </c>
      <c r="C68" s="6" t="inlineStr">
        <is>
          <t>Karitel</t>
        </is>
      </c>
      <c r="D68" s="6" t="inlineStr">
        <is>
          <t>Módulo 03</t>
        </is>
      </c>
      <c r="E68" s="6" t="inlineStr">
        <is>
          <t>R15</t>
        </is>
      </c>
      <c r="F68" s="7" t="n">
        <v>150.24</v>
      </c>
      <c r="G68" s="7" t="n">
        <v>701.12</v>
      </c>
      <c r="H68" s="30" t="n">
        <v>175</v>
      </c>
      <c r="I68" s="37" t="n">
        <v>130.4974776</v>
      </c>
      <c r="J68" s="15">
        <f>IF($G68="","",$G68*FATOR_HID)</f>
        <v/>
      </c>
      <c r="K68" s="28" t="inlineStr">
        <is>
          <t>PENDENTE</t>
        </is>
      </c>
      <c r="L68" s="20" t="inlineStr">
        <is>
          <t>Circulo</t>
        </is>
      </c>
      <c r="M68" s="19" t="inlineStr"/>
    </row>
    <row r="69">
      <c r="A69" s="5" t="inlineStr">
        <is>
          <t>Pivô 61</t>
        </is>
      </c>
      <c r="B69" s="20" t="inlineStr">
        <is>
          <t>P61</t>
        </is>
      </c>
      <c r="C69" s="6" t="inlineStr">
        <is>
          <t>Karitel</t>
        </is>
      </c>
      <c r="D69" s="6" t="inlineStr">
        <is>
          <t>Módulo 03</t>
        </is>
      </c>
      <c r="E69" s="6" t="inlineStr">
        <is>
          <t>R16</t>
        </is>
      </c>
      <c r="F69" s="7" t="n">
        <v>145.71</v>
      </c>
      <c r="G69" s="7" t="n">
        <v>693.86</v>
      </c>
      <c r="H69" s="30" t="n">
        <v>175</v>
      </c>
      <c r="I69" s="37" t="n">
        <v>130.4974776</v>
      </c>
      <c r="J69" s="15">
        <f>IF($G69="","",$G69*FATOR_HID)</f>
        <v/>
      </c>
      <c r="K69" s="28" t="inlineStr">
        <is>
          <t>PENDENTE</t>
        </is>
      </c>
      <c r="L69" s="20" t="inlineStr">
        <is>
          <t>Circulo</t>
        </is>
      </c>
      <c r="M69" s="19" t="inlineStr"/>
    </row>
    <row r="70">
      <c r="A70" s="5" t="inlineStr">
        <is>
          <t>Pivô 62</t>
        </is>
      </c>
      <c r="B70" s="20" t="inlineStr">
        <is>
          <t>P62</t>
        </is>
      </c>
      <c r="C70" s="6" t="inlineStr">
        <is>
          <t>Karitel</t>
        </is>
      </c>
      <c r="D70" s="6" t="inlineStr">
        <is>
          <t>Módulo 03</t>
        </is>
      </c>
      <c r="E70" s="6" t="inlineStr">
        <is>
          <t>R16</t>
        </is>
      </c>
      <c r="F70" s="7" t="n">
        <v>140.89</v>
      </c>
      <c r="G70" s="7" t="n">
        <v>670.9</v>
      </c>
      <c r="H70" s="30" t="n">
        <v>175</v>
      </c>
      <c r="I70" s="37" t="n">
        <v>130.4974776</v>
      </c>
      <c r="J70" s="15">
        <f>IF($G70="","",$G70*FATOR_HID)</f>
        <v/>
      </c>
      <c r="K70" s="28" t="inlineStr">
        <is>
          <t>PENDENTE</t>
        </is>
      </c>
      <c r="L70" s="20" t="inlineStr">
        <is>
          <t>Circulo</t>
        </is>
      </c>
      <c r="M70" s="19" t="inlineStr"/>
    </row>
    <row r="71">
      <c r="A71" s="5" t="inlineStr">
        <is>
          <t>Pivô 63</t>
        </is>
      </c>
      <c r="B71" s="20" t="inlineStr">
        <is>
          <t>P63</t>
        </is>
      </c>
      <c r="C71" s="6" t="inlineStr">
        <is>
          <t>Karitel</t>
        </is>
      </c>
      <c r="D71" s="6" t="inlineStr">
        <is>
          <t>Módulo 03</t>
        </is>
      </c>
      <c r="E71" s="6" t="inlineStr">
        <is>
          <t>R18</t>
        </is>
      </c>
      <c r="F71" s="7" t="n">
        <v>80.15000000000001</v>
      </c>
      <c r="G71" s="7" t="n">
        <v>383.71</v>
      </c>
      <c r="H71" s="30" t="n">
        <v>100</v>
      </c>
      <c r="I71" s="37" t="n">
        <v>74.5699872</v>
      </c>
      <c r="J71" s="15">
        <f>IF($G71="","",$G71*FATOR_HID)</f>
        <v/>
      </c>
      <c r="K71" s="28" t="inlineStr">
        <is>
          <t>PENDENTE</t>
        </is>
      </c>
      <c r="L71" s="20" t="inlineStr">
        <is>
          <t>Circulo</t>
        </is>
      </c>
      <c r="M71" s="19" t="inlineStr">
        <is>
          <t>Plantio parcial possivel (ver SOJA: talhao 63 = 80 ha).</t>
        </is>
      </c>
    </row>
    <row r="72">
      <c r="A72" s="5" t="inlineStr">
        <is>
          <t>Pivô 64</t>
        </is>
      </c>
      <c r="B72" s="20" t="inlineStr">
        <is>
          <t>P64</t>
        </is>
      </c>
      <c r="C72" s="6" t="inlineStr">
        <is>
          <t>Karitel</t>
        </is>
      </c>
      <c r="D72" s="6" t="inlineStr">
        <is>
          <t>Módulo 03</t>
        </is>
      </c>
      <c r="E72" s="6" t="inlineStr">
        <is>
          <t>R18</t>
        </is>
      </c>
      <c r="F72" s="7" t="n">
        <v>80.15000000000001</v>
      </c>
      <c r="G72" s="7" t="n">
        <v>383.71</v>
      </c>
      <c r="H72" s="30" t="n">
        <v>75</v>
      </c>
      <c r="I72" s="37" t="n">
        <v>55.9274904</v>
      </c>
      <c r="J72" s="15">
        <f>IF($G72="","",$G72*FATOR_HID)</f>
        <v/>
      </c>
      <c r="K72" s="28" t="inlineStr">
        <is>
          <t>PENDENTE</t>
        </is>
      </c>
      <c r="L72" s="20" t="inlineStr">
        <is>
          <t>Circulo</t>
        </is>
      </c>
      <c r="M72" s="19" t="inlineStr"/>
    </row>
    <row r="73">
      <c r="A73" s="5" t="inlineStr">
        <is>
          <t>Pivô 65</t>
        </is>
      </c>
      <c r="B73" s="20" t="inlineStr">
        <is>
          <t>P65</t>
        </is>
      </c>
      <c r="C73" s="6" t="inlineStr">
        <is>
          <t>Karitel</t>
        </is>
      </c>
      <c r="D73" s="6" t="inlineStr">
        <is>
          <t>Módulo 03</t>
        </is>
      </c>
      <c r="E73" s="6" t="inlineStr">
        <is>
          <t>R18</t>
        </is>
      </c>
      <c r="F73" s="7" t="n">
        <v>150.24</v>
      </c>
      <c r="G73" s="7" t="n">
        <v>692.3</v>
      </c>
      <c r="H73" s="30" t="n">
        <v>200</v>
      </c>
      <c r="I73" s="37" t="n">
        <v>149.1399744</v>
      </c>
      <c r="J73" s="15">
        <f>IF($G73="","",$G73*FATOR_HID)</f>
        <v/>
      </c>
      <c r="K73" s="28" t="inlineStr">
        <is>
          <t>PENDENTE</t>
        </is>
      </c>
      <c r="L73" s="20" t="inlineStr">
        <is>
          <t>Circulo</t>
        </is>
      </c>
      <c r="M73" s="19" t="inlineStr"/>
    </row>
    <row r="74">
      <c r="A74" s="5" t="inlineStr">
        <is>
          <t>Pivô 66</t>
        </is>
      </c>
      <c r="B74" s="20" t="inlineStr">
        <is>
          <t>P66</t>
        </is>
      </c>
      <c r="C74" s="6" t="inlineStr">
        <is>
          <t>Karitel</t>
        </is>
      </c>
      <c r="D74" s="6" t="inlineStr">
        <is>
          <t>Módulo 03</t>
        </is>
      </c>
      <c r="E74" s="6" t="inlineStr">
        <is>
          <t>R15</t>
        </is>
      </c>
      <c r="F74" s="7" t="n">
        <v>100.86</v>
      </c>
      <c r="G74" s="7" t="n">
        <v>480.29</v>
      </c>
      <c r="H74" s="30" t="n">
        <v>175</v>
      </c>
      <c r="I74" s="37" t="n">
        <v>130.4974776</v>
      </c>
      <c r="J74" s="15">
        <f>IF($G74="","",$G74*FATOR_HID)</f>
        <v/>
      </c>
      <c r="K74" s="28" t="inlineStr">
        <is>
          <t>PENDENTE</t>
        </is>
      </c>
      <c r="L74" s="20" t="inlineStr">
        <is>
          <t>Circulo</t>
        </is>
      </c>
      <c r="M74" s="19" t="inlineStr"/>
    </row>
    <row r="75">
      <c r="A75" s="5" t="inlineStr">
        <is>
          <t>Pivô 67</t>
        </is>
      </c>
      <c r="B75" s="20" t="inlineStr">
        <is>
          <t>P67</t>
        </is>
      </c>
      <c r="C75" s="6" t="inlineStr">
        <is>
          <t>Karitel</t>
        </is>
      </c>
      <c r="D75" s="6" t="inlineStr">
        <is>
          <t>Módulo 03</t>
        </is>
      </c>
      <c r="E75" s="6" t="inlineStr">
        <is>
          <t>R16</t>
        </is>
      </c>
      <c r="F75" s="7" t="n">
        <v>80.25</v>
      </c>
      <c r="G75" s="7" t="n">
        <v>382.14</v>
      </c>
      <c r="H75" s="30" t="n">
        <v>175</v>
      </c>
      <c r="I75" s="37" t="n">
        <v>130.4974776</v>
      </c>
      <c r="J75" s="15">
        <f>IF($G75="","",$G75*FATOR_HID)</f>
        <v/>
      </c>
      <c r="K75" s="28" t="inlineStr">
        <is>
          <t>PENDENTE</t>
        </is>
      </c>
      <c r="L75" s="20" t="inlineStr">
        <is>
          <t>Circulo</t>
        </is>
      </c>
      <c r="M75" s="19" t="inlineStr"/>
    </row>
    <row r="76">
      <c r="A76" s="5" t="inlineStr">
        <is>
          <t>Pivô 68</t>
        </is>
      </c>
      <c r="B76" s="20" t="inlineStr">
        <is>
          <t>P68</t>
        </is>
      </c>
      <c r="C76" s="6" t="inlineStr">
        <is>
          <t>Karitel</t>
        </is>
      </c>
      <c r="D76" s="6" t="inlineStr">
        <is>
          <t>Módulo 03</t>
        </is>
      </c>
      <c r="E76" s="6" t="inlineStr">
        <is>
          <t>R16</t>
        </is>
      </c>
      <c r="F76" s="7" t="n">
        <v>80.25</v>
      </c>
      <c r="G76" s="7" t="n">
        <v>382.14</v>
      </c>
      <c r="H76" s="30" t="n">
        <v>175</v>
      </c>
      <c r="I76" s="37" t="n">
        <v>130.4974776</v>
      </c>
      <c r="J76" s="15">
        <f>IF($G76="","",$G76*FATOR_HID)</f>
        <v/>
      </c>
      <c r="K76" s="28" t="inlineStr">
        <is>
          <t>PENDENTE</t>
        </is>
      </c>
      <c r="L76" s="20" t="inlineStr">
        <is>
          <t>Circulo</t>
        </is>
      </c>
      <c r="M76" s="19" t="inlineStr"/>
    </row>
    <row r="77">
      <c r="A77" s="5" t="inlineStr">
        <is>
          <t>Pivô 69</t>
        </is>
      </c>
      <c r="B77" s="20" t="inlineStr">
        <is>
          <t>P69</t>
        </is>
      </c>
      <c r="C77" s="6" t="inlineStr">
        <is>
          <t>Karitel</t>
        </is>
      </c>
      <c r="D77" s="6" t="inlineStr">
        <is>
          <t>Módulo 03</t>
        </is>
      </c>
      <c r="E77" s="6" t="inlineStr">
        <is>
          <t>R17</t>
        </is>
      </c>
      <c r="F77" s="7" t="n">
        <v>80.25</v>
      </c>
      <c r="G77" s="7" t="n">
        <v>382.14</v>
      </c>
      <c r="H77" s="30" t="n">
        <v>175</v>
      </c>
      <c r="I77" s="37" t="n">
        <v>130.4974776</v>
      </c>
      <c r="J77" s="15">
        <f>IF($G77="","",$G77*FATOR_HID)</f>
        <v/>
      </c>
      <c r="K77" s="28" t="inlineStr">
        <is>
          <t>PENDENTE</t>
        </is>
      </c>
      <c r="L77" s="20" t="inlineStr">
        <is>
          <t>Circulo</t>
        </is>
      </c>
      <c r="M77" s="19" t="inlineStr"/>
    </row>
    <row r="78">
      <c r="A78" s="5" t="inlineStr">
        <is>
          <t>Pivô 70</t>
        </is>
      </c>
      <c r="B78" s="20" t="inlineStr">
        <is>
          <t>P70</t>
        </is>
      </c>
      <c r="C78" s="6" t="inlineStr">
        <is>
          <t>Karitel</t>
        </is>
      </c>
      <c r="D78" s="6" t="inlineStr">
        <is>
          <t>Módulo 03</t>
        </is>
      </c>
      <c r="E78" s="6" t="inlineStr">
        <is>
          <t>R17</t>
        </is>
      </c>
      <c r="F78" s="7" t="n">
        <v>150.24</v>
      </c>
      <c r="G78" s="7" t="n">
        <v>715.4299999999999</v>
      </c>
      <c r="H78" s="30" t="n">
        <v>175</v>
      </c>
      <c r="I78" s="37" t="n">
        <v>130.4974776</v>
      </c>
      <c r="J78" s="15">
        <f>IF($G78="","",$G78*FATOR_HID)</f>
        <v/>
      </c>
      <c r="K78" s="28" t="inlineStr">
        <is>
          <t>PENDENTE</t>
        </is>
      </c>
      <c r="L78" s="20" t="inlineStr">
        <is>
          <t>Circulo</t>
        </is>
      </c>
      <c r="M78" s="19" t="inlineStr"/>
    </row>
    <row r="79">
      <c r="A79" s="5" t="inlineStr">
        <is>
          <t>Pivô 71</t>
        </is>
      </c>
      <c r="B79" s="20" t="inlineStr">
        <is>
          <t>P71</t>
        </is>
      </c>
      <c r="C79" s="6" t="inlineStr">
        <is>
          <t>Karitel</t>
        </is>
      </c>
      <c r="D79" s="6" t="inlineStr">
        <is>
          <t>Módulo 03</t>
        </is>
      </c>
      <c r="E79" s="6" t="inlineStr">
        <is>
          <t>R17</t>
        </is>
      </c>
      <c r="F79" s="7" t="n">
        <v>40.23</v>
      </c>
      <c r="G79" s="7" t="n">
        <v>191.57</v>
      </c>
      <c r="H79" s="30" t="n">
        <v>40</v>
      </c>
      <c r="I79" s="37" t="n">
        <v>29.82799488</v>
      </c>
      <c r="J79" s="15">
        <f>IF($G79="","",$G79*FATOR_HID)</f>
        <v/>
      </c>
      <c r="K79" s="28" t="inlineStr">
        <is>
          <t>PENDENTE</t>
        </is>
      </c>
      <c r="L79" s="20" t="inlineStr">
        <is>
          <t>Circulo</t>
        </is>
      </c>
      <c r="M79" s="19" t="inlineStr"/>
    </row>
    <row r="80">
      <c r="A80" s="5" t="inlineStr">
        <is>
          <t>Pivô 72</t>
        </is>
      </c>
      <c r="B80" s="20" t="inlineStr">
        <is>
          <t>P72</t>
        </is>
      </c>
      <c r="C80" s="6" t="inlineStr">
        <is>
          <t>Karitel</t>
        </is>
      </c>
      <c r="D80" s="6" t="inlineStr">
        <is>
          <t>Módulo 03</t>
        </is>
      </c>
      <c r="E80" s="6" t="inlineStr">
        <is>
          <t>R17</t>
        </is>
      </c>
      <c r="F80" s="7" t="n">
        <v>125.51</v>
      </c>
      <c r="G80" s="7" t="n">
        <v>597.67</v>
      </c>
      <c r="H80" s="30" t="n">
        <v>175</v>
      </c>
      <c r="I80" s="37" t="n">
        <v>130.4974776</v>
      </c>
      <c r="J80" s="15">
        <f>IF($G80="","",$G80*FATOR_HID)</f>
        <v/>
      </c>
      <c r="K80" s="28" t="inlineStr">
        <is>
          <t>PENDENTE</t>
        </is>
      </c>
      <c r="L80" s="20" t="inlineStr">
        <is>
          <t>Circulo</t>
        </is>
      </c>
      <c r="M80" s="19" t="inlineStr"/>
    </row>
    <row r="81">
      <c r="A81" s="5" t="inlineStr">
        <is>
          <t>Pivô 101</t>
        </is>
      </c>
      <c r="B81" s="20" t="inlineStr">
        <is>
          <t>P101</t>
        </is>
      </c>
      <c r="C81" s="6" t="inlineStr">
        <is>
          <t>RDM</t>
        </is>
      </c>
      <c r="D81" s="6" t="inlineStr">
        <is>
          <t>Módulo 01</t>
        </is>
      </c>
      <c r="E81" s="6" t="inlineStr">
        <is>
          <t>RM4</t>
        </is>
      </c>
      <c r="F81" s="7" t="n">
        <v>116.2</v>
      </c>
      <c r="G81" s="7" t="n">
        <v>552.48</v>
      </c>
      <c r="H81" s="30" t="n">
        <v>150</v>
      </c>
      <c r="I81" s="37" t="n">
        <v>111.8549808</v>
      </c>
      <c r="J81" s="15">
        <f>IF($G81="","",$G81*FATOR_HID)</f>
        <v/>
      </c>
      <c r="K81" s="28" t="inlineStr">
        <is>
          <t>PENDENTE</t>
        </is>
      </c>
      <c r="L81" s="20" t="inlineStr">
        <is>
          <t>Circulo</t>
        </is>
      </c>
      <c r="M81" s="19" t="inlineStr"/>
    </row>
    <row r="82">
      <c r="A82" s="5" t="inlineStr">
        <is>
          <t>Pivô 102</t>
        </is>
      </c>
      <c r="B82" s="20" t="inlineStr">
        <is>
          <t>P102</t>
        </is>
      </c>
      <c r="C82" s="6" t="inlineStr">
        <is>
          <t>RDM</t>
        </is>
      </c>
      <c r="D82" s="6" t="inlineStr">
        <is>
          <t>Módulo 01</t>
        </is>
      </c>
      <c r="E82" s="6" t="inlineStr">
        <is>
          <t>RM4</t>
        </is>
      </c>
      <c r="F82" s="7" t="n">
        <v>102.19</v>
      </c>
      <c r="G82" s="7" t="n">
        <v>486.62</v>
      </c>
      <c r="H82" s="30" t="n">
        <v>125</v>
      </c>
      <c r="I82" s="37" t="n">
        <v>93.212484</v>
      </c>
      <c r="J82" s="15">
        <f>IF($G82="","",$G82*FATOR_HID)</f>
        <v/>
      </c>
      <c r="K82" s="28" t="inlineStr">
        <is>
          <t>PENDENTE</t>
        </is>
      </c>
      <c r="L82" s="20" t="inlineStr">
        <is>
          <t>Circulo</t>
        </is>
      </c>
      <c r="M82" s="19" t="inlineStr"/>
    </row>
    <row r="83">
      <c r="A83" s="5" t="inlineStr">
        <is>
          <t>Pivô 103</t>
        </is>
      </c>
      <c r="B83" s="20" t="inlineStr">
        <is>
          <t>P103</t>
        </is>
      </c>
      <c r="C83" s="6" t="inlineStr">
        <is>
          <t>RDM</t>
        </is>
      </c>
      <c r="D83" s="6" t="inlineStr">
        <is>
          <t>Módulo 01</t>
        </is>
      </c>
      <c r="E83" s="6" t="inlineStr">
        <is>
          <t>RM4</t>
        </is>
      </c>
      <c r="F83" s="7" t="n">
        <v>102.01</v>
      </c>
      <c r="G83" s="7" t="n">
        <v>485.76</v>
      </c>
      <c r="H83" s="30" t="n">
        <v>100</v>
      </c>
      <c r="I83" s="37" t="n">
        <v>74.5699872</v>
      </c>
      <c r="J83" s="15">
        <f>IF($G83="","",$G83*FATOR_HID)</f>
        <v/>
      </c>
      <c r="K83" s="28" t="inlineStr">
        <is>
          <t>PENDENTE</t>
        </is>
      </c>
      <c r="L83" s="20" t="inlineStr">
        <is>
          <t>Circulo</t>
        </is>
      </c>
      <c r="M83" s="19" t="inlineStr"/>
    </row>
    <row r="84">
      <c r="A84" s="5" t="inlineStr">
        <is>
          <t>Pivô 104</t>
        </is>
      </c>
      <c r="B84" s="20" t="inlineStr">
        <is>
          <t>P104</t>
        </is>
      </c>
      <c r="C84" s="6" t="inlineStr">
        <is>
          <t>RDM</t>
        </is>
      </c>
      <c r="D84" s="6" t="inlineStr">
        <is>
          <t>Módulo 01</t>
        </is>
      </c>
      <c r="E84" s="6" t="inlineStr">
        <is>
          <t>RM4</t>
        </is>
      </c>
      <c r="F84" s="7" t="n">
        <v>102.01</v>
      </c>
      <c r="G84" s="7" t="n">
        <v>485.76</v>
      </c>
      <c r="H84" s="30" t="n">
        <v>100</v>
      </c>
      <c r="I84" s="37" t="n">
        <v>74.5699872</v>
      </c>
      <c r="J84" s="15">
        <f>IF($G84="","",$G84*FATOR_HID)</f>
        <v/>
      </c>
      <c r="K84" s="28" t="inlineStr">
        <is>
          <t>PENDENTE</t>
        </is>
      </c>
      <c r="L84" s="20" t="inlineStr">
        <is>
          <t>Circulo</t>
        </is>
      </c>
      <c r="M84" s="19" t="inlineStr"/>
    </row>
    <row r="85">
      <c r="A85" s="5" t="inlineStr">
        <is>
          <t>Pivô 105</t>
        </is>
      </c>
      <c r="B85" s="20" t="inlineStr">
        <is>
          <t>P105</t>
        </is>
      </c>
      <c r="C85" s="6" t="inlineStr">
        <is>
          <t>RDM</t>
        </is>
      </c>
      <c r="D85" s="6" t="inlineStr">
        <is>
          <t>Módulo 01</t>
        </is>
      </c>
      <c r="E85" s="6" t="inlineStr">
        <is>
          <t>RM3</t>
        </is>
      </c>
      <c r="F85" s="7" t="n">
        <v>102.01</v>
      </c>
      <c r="G85" s="7" t="n">
        <v>485.76</v>
      </c>
      <c r="H85" s="30" t="n">
        <v>100</v>
      </c>
      <c r="I85" s="37" t="n">
        <v>74.5699872</v>
      </c>
      <c r="J85" s="15">
        <f>IF($G85="","",$G85*FATOR_HID)</f>
        <v/>
      </c>
      <c r="K85" s="28" t="inlineStr">
        <is>
          <t>PENDENTE</t>
        </is>
      </c>
      <c r="L85" s="20" t="inlineStr">
        <is>
          <t>Circulo</t>
        </is>
      </c>
      <c r="M85" s="19" t="inlineStr"/>
    </row>
    <row r="86">
      <c r="A86" s="5" t="inlineStr">
        <is>
          <t>Pivô 106</t>
        </is>
      </c>
      <c r="B86" s="20" t="inlineStr">
        <is>
          <t>P106</t>
        </is>
      </c>
      <c r="C86" s="6" t="inlineStr">
        <is>
          <t>RDM</t>
        </is>
      </c>
      <c r="D86" s="6" t="inlineStr">
        <is>
          <t>Módulo 01</t>
        </is>
      </c>
      <c r="E86" s="6" t="inlineStr">
        <is>
          <t>RM2</t>
        </is>
      </c>
      <c r="F86" s="7" t="n">
        <v>102.01</v>
      </c>
      <c r="G86" s="7" t="n">
        <v>485.76</v>
      </c>
      <c r="H86" s="30" t="n">
        <v>100</v>
      </c>
      <c r="I86" s="37" t="n">
        <v>74.5699872</v>
      </c>
      <c r="J86" s="15">
        <f>IF($G86="","",$G86*FATOR_HID)</f>
        <v/>
      </c>
      <c r="K86" s="28" t="inlineStr">
        <is>
          <t>PENDENTE</t>
        </is>
      </c>
      <c r="L86" s="20" t="inlineStr">
        <is>
          <t>Circulo</t>
        </is>
      </c>
      <c r="M86" s="19" t="inlineStr"/>
    </row>
    <row r="87">
      <c r="A87" s="5" t="inlineStr">
        <is>
          <t>Pivô 107</t>
        </is>
      </c>
      <c r="B87" s="20" t="inlineStr">
        <is>
          <t>P107</t>
        </is>
      </c>
      <c r="C87" s="6" t="inlineStr">
        <is>
          <t>RDM</t>
        </is>
      </c>
      <c r="D87" s="6" t="inlineStr">
        <is>
          <t>Módulo 01</t>
        </is>
      </c>
      <c r="E87" s="6" t="inlineStr">
        <is>
          <t>RM3</t>
        </is>
      </c>
      <c r="F87" s="7" t="n">
        <v>102.01</v>
      </c>
      <c r="G87" s="7" t="n">
        <v>485.76</v>
      </c>
      <c r="H87" s="30" t="n">
        <v>125</v>
      </c>
      <c r="I87" s="37" t="n">
        <v>93.212484</v>
      </c>
      <c r="J87" s="15">
        <f>IF($G87="","",$G87*FATOR_HID)</f>
        <v/>
      </c>
      <c r="K87" s="28" t="inlineStr">
        <is>
          <t>PENDENTE</t>
        </is>
      </c>
      <c r="L87" s="20" t="inlineStr">
        <is>
          <t>Circulo</t>
        </is>
      </c>
      <c r="M87" s="19" t="inlineStr"/>
    </row>
    <row r="88">
      <c r="A88" s="5" t="inlineStr">
        <is>
          <t>Pivô 108</t>
        </is>
      </c>
      <c r="B88" s="20" t="inlineStr">
        <is>
          <t>P108</t>
        </is>
      </c>
      <c r="C88" s="6" t="inlineStr">
        <is>
          <t>RDM</t>
        </is>
      </c>
      <c r="D88" s="6" t="inlineStr">
        <is>
          <t>Módulo 01</t>
        </is>
      </c>
      <c r="E88" s="6" t="inlineStr">
        <is>
          <t>RM2</t>
        </is>
      </c>
      <c r="F88" s="7" t="n">
        <v>102.01</v>
      </c>
      <c r="G88" s="7" t="n">
        <v>485.76</v>
      </c>
      <c r="H88" s="30" t="n">
        <v>100</v>
      </c>
      <c r="I88" s="37" t="n">
        <v>74.5699872</v>
      </c>
      <c r="J88" s="15">
        <f>IF($G88="","",$G88*FATOR_HID)</f>
        <v/>
      </c>
      <c r="K88" s="28" t="inlineStr">
        <is>
          <t>PENDENTE</t>
        </is>
      </c>
      <c r="L88" s="20" t="inlineStr">
        <is>
          <t>Circulo</t>
        </is>
      </c>
      <c r="M88" s="19" t="inlineStr"/>
    </row>
    <row r="89">
      <c r="A89" s="5" t="inlineStr">
        <is>
          <t>Pivô 109</t>
        </is>
      </c>
      <c r="B89" s="20" t="inlineStr">
        <is>
          <t>P109</t>
        </is>
      </c>
      <c r="C89" s="6" t="inlineStr">
        <is>
          <t>RDM</t>
        </is>
      </c>
      <c r="D89" s="6" t="inlineStr">
        <is>
          <t>Módulo 01</t>
        </is>
      </c>
      <c r="E89" s="6" t="inlineStr">
        <is>
          <t>RM1</t>
        </is>
      </c>
      <c r="F89" s="7" t="n">
        <v>102.01</v>
      </c>
      <c r="G89" s="7" t="n">
        <v>485.76</v>
      </c>
      <c r="H89" s="30" t="n">
        <v>125</v>
      </c>
      <c r="I89" s="37" t="n">
        <v>93.212484</v>
      </c>
      <c r="J89" s="15">
        <f>IF($G89="","",$G89*FATOR_HID)</f>
        <v/>
      </c>
      <c r="K89" s="28" t="inlineStr">
        <is>
          <t>PENDENTE</t>
        </is>
      </c>
      <c r="L89" s="20" t="inlineStr">
        <is>
          <t>Circulo</t>
        </is>
      </c>
      <c r="M89" s="19" t="inlineStr"/>
    </row>
    <row r="90">
      <c r="A90" s="5" t="inlineStr">
        <is>
          <t>Pivô 110</t>
        </is>
      </c>
      <c r="B90" s="20" t="inlineStr">
        <is>
          <t>P110</t>
        </is>
      </c>
      <c r="C90" s="6" t="inlineStr">
        <is>
          <t>RDM</t>
        </is>
      </c>
      <c r="D90" s="6" t="inlineStr">
        <is>
          <t>Módulo 01</t>
        </is>
      </c>
      <c r="E90" s="6" t="inlineStr">
        <is>
          <t>RM4</t>
        </is>
      </c>
      <c r="F90" s="7" t="n">
        <v>102.19</v>
      </c>
      <c r="G90" s="7" t="n">
        <v>485.62</v>
      </c>
      <c r="H90" s="30" t="n">
        <v>125</v>
      </c>
      <c r="I90" s="37" t="n">
        <v>93.212484</v>
      </c>
      <c r="J90" s="15">
        <f>IF($G90="","",$G90*FATOR_HID)</f>
        <v/>
      </c>
      <c r="K90" s="28" t="inlineStr">
        <is>
          <t>PENDENTE</t>
        </is>
      </c>
      <c r="L90" s="20" t="inlineStr">
        <is>
          <t>Circulo</t>
        </is>
      </c>
      <c r="M90" s="19" t="inlineStr"/>
    </row>
    <row r="91">
      <c r="A91" s="5" t="inlineStr">
        <is>
          <t>Pivô 112</t>
        </is>
      </c>
      <c r="B91" s="20" t="inlineStr">
        <is>
          <t>P112</t>
        </is>
      </c>
      <c r="C91" s="6" t="inlineStr">
        <is>
          <t>RDM</t>
        </is>
      </c>
      <c r="D91" s="6" t="inlineStr">
        <is>
          <t>Módulo 02</t>
        </is>
      </c>
      <c r="E91" s="6" t="inlineStr">
        <is>
          <t>RM5</t>
        </is>
      </c>
      <c r="F91" s="7" t="n">
        <v>150.34</v>
      </c>
      <c r="G91" s="7" t="n">
        <v>715.9</v>
      </c>
      <c r="H91" s="30" t="n">
        <v>175</v>
      </c>
      <c r="I91" s="37" t="n">
        <v>130.4974776</v>
      </c>
      <c r="J91" s="15">
        <f>IF($G91="","",$G91*FATOR_HID)</f>
        <v/>
      </c>
      <c r="K91" s="28" t="inlineStr">
        <is>
          <t>PENDENTE</t>
        </is>
      </c>
      <c r="L91" s="20" t="inlineStr">
        <is>
          <t>Circulo</t>
        </is>
      </c>
      <c r="M91" s="19" t="inlineStr"/>
    </row>
    <row r="92">
      <c r="A92" s="5" t="inlineStr">
        <is>
          <t>Pivô 113</t>
        </is>
      </c>
      <c r="B92" s="20" t="inlineStr">
        <is>
          <t>P113</t>
        </is>
      </c>
      <c r="C92" s="6" t="inlineStr">
        <is>
          <t>RDM</t>
        </is>
      </c>
      <c r="D92" s="6" t="inlineStr">
        <is>
          <t>Módulo 02</t>
        </is>
      </c>
      <c r="E92" s="6" t="inlineStr">
        <is>
          <t>RM5</t>
        </is>
      </c>
      <c r="F92" s="7" t="n">
        <v>150.14</v>
      </c>
      <c r="G92" s="7" t="n">
        <v>714.95</v>
      </c>
      <c r="H92" s="30" t="n">
        <v>175</v>
      </c>
      <c r="I92" s="37" t="n">
        <v>130.4974776</v>
      </c>
      <c r="J92" s="15">
        <f>IF($G92="","",$G92*FATOR_HID)</f>
        <v/>
      </c>
      <c r="K92" s="28" t="inlineStr">
        <is>
          <t>PENDENTE</t>
        </is>
      </c>
      <c r="L92" s="20" t="inlineStr">
        <is>
          <t>Circulo</t>
        </is>
      </c>
      <c r="M92" s="19" t="inlineStr"/>
    </row>
    <row r="93">
      <c r="A93" s="5" t="inlineStr">
        <is>
          <t>Pivô 114</t>
        </is>
      </c>
      <c r="B93" s="20" t="inlineStr">
        <is>
          <t>P114</t>
        </is>
      </c>
      <c r="C93" s="6" t="inlineStr">
        <is>
          <t>RDM</t>
        </is>
      </c>
      <c r="D93" s="6" t="inlineStr">
        <is>
          <t>Módulo 02</t>
        </is>
      </c>
      <c r="E93" s="6" t="inlineStr">
        <is>
          <t>RM5</t>
        </is>
      </c>
      <c r="F93" s="7" t="n">
        <v>120.13</v>
      </c>
      <c r="G93" s="7" t="n">
        <v>572.05</v>
      </c>
      <c r="H93" s="30" t="n">
        <v>150</v>
      </c>
      <c r="I93" s="37" t="n">
        <v>111.8549808</v>
      </c>
      <c r="J93" s="15">
        <f>IF($G93="","",$G93*FATOR_HID)</f>
        <v/>
      </c>
      <c r="K93" s="28" t="inlineStr">
        <is>
          <t>PENDENTE</t>
        </is>
      </c>
      <c r="L93" s="20" t="inlineStr">
        <is>
          <t>Circulo</t>
        </is>
      </c>
      <c r="M93" s="19" t="inlineStr"/>
    </row>
    <row r="94">
      <c r="A94" s="5" t="inlineStr">
        <is>
          <t>Pivô 115</t>
        </is>
      </c>
      <c r="B94" s="20" t="inlineStr">
        <is>
          <t>P115</t>
        </is>
      </c>
      <c r="C94" s="6" t="inlineStr">
        <is>
          <t>RDM</t>
        </is>
      </c>
      <c r="D94" s="6" t="inlineStr">
        <is>
          <t>Módulo 02</t>
        </is>
      </c>
      <c r="E94" s="6" t="inlineStr">
        <is>
          <t>RM5</t>
        </is>
      </c>
      <c r="F94" s="7" t="n">
        <v>150.34</v>
      </c>
      <c r="G94" s="7" t="n">
        <v>715.9</v>
      </c>
      <c r="H94" s="30" t="n">
        <v>175</v>
      </c>
      <c r="I94" s="37" t="n">
        <v>130.4974776</v>
      </c>
      <c r="J94" s="15">
        <f>IF($G94="","",$G94*FATOR_HID)</f>
        <v/>
      </c>
      <c r="K94" s="28" t="inlineStr">
        <is>
          <t>PENDENTE</t>
        </is>
      </c>
      <c r="L94" s="20" t="inlineStr">
        <is>
          <t>Circulo</t>
        </is>
      </c>
      <c r="M94" s="19" t="inlineStr"/>
    </row>
    <row r="95">
      <c r="A95" s="5" t="inlineStr">
        <is>
          <t>Pivô 116</t>
        </is>
      </c>
      <c r="B95" s="20" t="inlineStr">
        <is>
          <t>P116</t>
        </is>
      </c>
      <c r="C95" s="6" t="inlineStr">
        <is>
          <t>RDM</t>
        </is>
      </c>
      <c r="D95" s="6" t="inlineStr">
        <is>
          <t>Módulo 02</t>
        </is>
      </c>
      <c r="E95" s="6" t="inlineStr">
        <is>
          <t>RM6</t>
        </is>
      </c>
      <c r="F95" s="7" t="n">
        <v>150.34</v>
      </c>
      <c r="G95" s="7" t="n">
        <v>701.59</v>
      </c>
      <c r="H95" s="30" t="n">
        <v>175</v>
      </c>
      <c r="I95" s="37" t="n">
        <v>130.4974776</v>
      </c>
      <c r="J95" s="15">
        <f>IF($G95="","",$G95*FATOR_HID)</f>
        <v/>
      </c>
      <c r="K95" s="28" t="inlineStr">
        <is>
          <t>PENDENTE</t>
        </is>
      </c>
      <c r="L95" s="20" t="inlineStr">
        <is>
          <t>Circulo</t>
        </is>
      </c>
      <c r="M95" s="19" t="inlineStr"/>
    </row>
    <row r="96">
      <c r="A96" s="5" t="inlineStr">
        <is>
          <t>Pivô 117</t>
        </is>
      </c>
      <c r="B96" s="20" t="inlineStr">
        <is>
          <t>P117</t>
        </is>
      </c>
      <c r="C96" s="6" t="inlineStr">
        <is>
          <t>RDM</t>
        </is>
      </c>
      <c r="D96" s="6" t="inlineStr">
        <is>
          <t>Módulo 02</t>
        </is>
      </c>
      <c r="E96" s="6" t="inlineStr">
        <is>
          <t>RM6</t>
        </is>
      </c>
      <c r="F96" s="7" t="n">
        <v>150.34</v>
      </c>
      <c r="G96" s="7" t="n">
        <v>715.9</v>
      </c>
      <c r="H96" s="30" t="n">
        <v>175</v>
      </c>
      <c r="I96" s="37" t="n">
        <v>130.4974776</v>
      </c>
      <c r="J96" s="15">
        <f>IF($G96="","",$G96*FATOR_HID)</f>
        <v/>
      </c>
      <c r="K96" s="28" t="inlineStr">
        <is>
          <t>PENDENTE</t>
        </is>
      </c>
      <c r="L96" s="20" t="inlineStr">
        <is>
          <t>Circulo</t>
        </is>
      </c>
      <c r="M96" s="19" t="inlineStr"/>
    </row>
    <row r="97">
      <c r="A97" s="5" t="inlineStr">
        <is>
          <t>Pivô 118</t>
        </is>
      </c>
      <c r="B97" s="20" t="inlineStr">
        <is>
          <t>P118</t>
        </is>
      </c>
      <c r="C97" s="6" t="inlineStr">
        <is>
          <t>RDM</t>
        </is>
      </c>
      <c r="D97" s="6" t="inlineStr">
        <is>
          <t>Módulo 02</t>
        </is>
      </c>
      <c r="E97" s="6" t="inlineStr">
        <is>
          <t>RM6</t>
        </is>
      </c>
      <c r="F97" s="7" t="n">
        <v>150.14</v>
      </c>
      <c r="G97" s="7" t="n">
        <v>694.9299999999999</v>
      </c>
      <c r="H97" s="30" t="n">
        <v>175</v>
      </c>
      <c r="I97" s="37" t="n">
        <v>130.4974776</v>
      </c>
      <c r="J97" s="15">
        <f>IF($G97="","",$G97*FATOR_HID)</f>
        <v/>
      </c>
      <c r="K97" s="28" t="inlineStr">
        <is>
          <t>PENDENTE</t>
        </is>
      </c>
      <c r="L97" s="20" t="inlineStr">
        <is>
          <t>Circulo</t>
        </is>
      </c>
      <c r="M97" s="19" t="inlineStr"/>
    </row>
    <row r="98">
      <c r="A98" s="5" t="inlineStr">
        <is>
          <t>Pivô 119</t>
        </is>
      </c>
      <c r="B98" s="20" t="inlineStr">
        <is>
          <t>P119</t>
        </is>
      </c>
      <c r="C98" s="6" t="inlineStr">
        <is>
          <t>RDM</t>
        </is>
      </c>
      <c r="D98" s="6" t="inlineStr">
        <is>
          <t>Módulo 02</t>
        </is>
      </c>
      <c r="E98" s="6" t="inlineStr">
        <is>
          <t>RM6</t>
        </is>
      </c>
      <c r="F98" s="7" t="n">
        <v>150.34</v>
      </c>
      <c r="G98" s="7" t="n">
        <v>715.9</v>
      </c>
      <c r="H98" s="30" t="n">
        <v>200</v>
      </c>
      <c r="I98" s="37" t="n">
        <v>149.1399744</v>
      </c>
      <c r="J98" s="15">
        <f>IF($G98="","",$G98*FATOR_HID)</f>
        <v/>
      </c>
      <c r="K98" s="28" t="inlineStr">
        <is>
          <t>PENDENTE</t>
        </is>
      </c>
      <c r="L98" s="20" t="inlineStr">
        <is>
          <t>Circulo</t>
        </is>
      </c>
      <c r="M98" s="19" t="inlineStr"/>
    </row>
    <row r="99">
      <c r="A99" s="5" t="inlineStr">
        <is>
          <t>Pivô 120</t>
        </is>
      </c>
      <c r="B99" s="20" t="inlineStr">
        <is>
          <t>P120</t>
        </is>
      </c>
      <c r="C99" s="6" t="inlineStr">
        <is>
          <t>RDM</t>
        </is>
      </c>
      <c r="D99" s="6" t="inlineStr">
        <is>
          <t>Módulo 02</t>
        </is>
      </c>
      <c r="E99" s="6" t="inlineStr">
        <is>
          <t>RM7</t>
        </is>
      </c>
      <c r="F99" s="7" t="n">
        <v>150.34</v>
      </c>
      <c r="G99" s="7" t="n">
        <v>715.9</v>
      </c>
      <c r="H99" s="30" t="n">
        <v>200</v>
      </c>
      <c r="I99" s="37" t="n">
        <v>149.1399744</v>
      </c>
      <c r="J99" s="15">
        <f>IF($G99="","",$G99*FATOR_HID)</f>
        <v/>
      </c>
      <c r="K99" s="28" t="inlineStr">
        <is>
          <t>PENDENTE</t>
        </is>
      </c>
      <c r="L99" s="20" t="inlineStr">
        <is>
          <t>Circulo</t>
        </is>
      </c>
      <c r="M99" s="19" t="inlineStr"/>
    </row>
    <row r="100">
      <c r="A100" s="5" t="inlineStr">
        <is>
          <t>Pivô 121</t>
        </is>
      </c>
      <c r="B100" s="20" t="inlineStr">
        <is>
          <t>P121</t>
        </is>
      </c>
      <c r="C100" s="6" t="inlineStr">
        <is>
          <t>RDM</t>
        </is>
      </c>
      <c r="D100" s="6" t="inlineStr">
        <is>
          <t>Módulo 02</t>
        </is>
      </c>
      <c r="E100" s="6" t="inlineStr">
        <is>
          <t>RM7</t>
        </is>
      </c>
      <c r="F100" s="7" t="n">
        <v>150.34</v>
      </c>
      <c r="G100" s="7" t="n">
        <v>715.9</v>
      </c>
      <c r="H100" s="30" t="n">
        <v>175</v>
      </c>
      <c r="I100" s="37" t="n">
        <v>130.4974776</v>
      </c>
      <c r="J100" s="15">
        <f>IF($G100="","",$G100*FATOR_HID)</f>
        <v/>
      </c>
      <c r="K100" s="28" t="inlineStr">
        <is>
          <t>PENDENTE</t>
        </is>
      </c>
      <c r="L100" s="20" t="inlineStr">
        <is>
          <t>Circulo</t>
        </is>
      </c>
      <c r="M100" s="19" t="inlineStr"/>
    </row>
    <row r="101">
      <c r="A101" s="5" t="inlineStr">
        <is>
          <t>Pivô 122</t>
        </is>
      </c>
      <c r="B101" s="20" t="inlineStr">
        <is>
          <t>P122</t>
        </is>
      </c>
      <c r="C101" s="6" t="inlineStr">
        <is>
          <t>RDM</t>
        </is>
      </c>
      <c r="D101" s="6" t="inlineStr">
        <is>
          <t>Módulo 02</t>
        </is>
      </c>
      <c r="E101" s="6" t="inlineStr">
        <is>
          <t>RM7</t>
        </is>
      </c>
      <c r="F101" s="7" t="n">
        <v>150.14</v>
      </c>
      <c r="G101" s="7" t="n">
        <v>714.95</v>
      </c>
      <c r="H101" s="30" t="n">
        <v>200</v>
      </c>
      <c r="I101" s="37" t="n">
        <v>149.1399744</v>
      </c>
      <c r="J101" s="15">
        <f>IF($G101="","",$G101*FATOR_HID)</f>
        <v/>
      </c>
      <c r="K101" s="28" t="inlineStr">
        <is>
          <t>PENDENTE</t>
        </is>
      </c>
      <c r="L101" s="20" t="inlineStr">
        <is>
          <t>Circulo</t>
        </is>
      </c>
      <c r="M101" s="19" t="inlineStr"/>
    </row>
    <row r="102">
      <c r="A102" s="5" t="inlineStr">
        <is>
          <t>Pivô 123</t>
        </is>
      </c>
      <c r="B102" s="20" t="inlineStr">
        <is>
          <t>P123</t>
        </is>
      </c>
      <c r="C102" s="6" t="inlineStr">
        <is>
          <t>RDM</t>
        </is>
      </c>
      <c r="D102" s="6" t="inlineStr">
        <is>
          <t>Módulo 02</t>
        </is>
      </c>
      <c r="E102" s="6" t="inlineStr">
        <is>
          <t>RM7</t>
        </is>
      </c>
      <c r="F102" s="7" t="n">
        <v>150.34</v>
      </c>
      <c r="G102" s="7" t="n">
        <v>715.9</v>
      </c>
      <c r="H102" s="30" t="n">
        <v>175</v>
      </c>
      <c r="I102" s="37" t="n">
        <v>130.4974776</v>
      </c>
      <c r="J102" s="15">
        <f>IF($G102="","",$G102*FATOR_HID)</f>
        <v/>
      </c>
      <c r="K102" s="28" t="inlineStr">
        <is>
          <t>PENDENTE</t>
        </is>
      </c>
      <c r="L102" s="20" t="inlineStr">
        <is>
          <t>Circulo</t>
        </is>
      </c>
      <c r="M102" s="19" t="inlineStr"/>
    </row>
    <row r="103">
      <c r="A103" s="5" t="inlineStr">
        <is>
          <t>Pivô 124</t>
        </is>
      </c>
      <c r="B103" s="20" t="inlineStr">
        <is>
          <t>P124</t>
        </is>
      </c>
      <c r="C103" s="6" t="inlineStr">
        <is>
          <t>RDM</t>
        </is>
      </c>
      <c r="D103" s="6" t="inlineStr">
        <is>
          <t>Módulo 02</t>
        </is>
      </c>
      <c r="E103" s="6" t="inlineStr">
        <is>
          <t>RM7</t>
        </is>
      </c>
      <c r="F103" s="7" t="n">
        <v>150.14</v>
      </c>
      <c r="G103" s="7" t="n">
        <v>700.65</v>
      </c>
      <c r="H103" s="30" t="n">
        <v>175</v>
      </c>
      <c r="I103" s="37" t="n">
        <v>130.4974776</v>
      </c>
      <c r="J103" s="15">
        <f>IF($G103="","",$G103*FATOR_HID)</f>
        <v/>
      </c>
      <c r="K103" s="28" t="inlineStr">
        <is>
          <t>PENDENTE</t>
        </is>
      </c>
      <c r="L103" s="20" t="inlineStr">
        <is>
          <t>Circulo</t>
        </is>
      </c>
      <c r="M103" s="19" t="inlineStr"/>
    </row>
    <row r="104">
      <c r="A104" s="5" t="inlineStr">
        <is>
          <t>Pivô 125</t>
        </is>
      </c>
      <c r="B104" s="20" t="inlineStr">
        <is>
          <t>P125</t>
        </is>
      </c>
      <c r="C104" s="6" t="inlineStr">
        <is>
          <t>RDM</t>
        </is>
      </c>
      <c r="D104" s="6" t="inlineStr">
        <is>
          <t>Módulo 02</t>
        </is>
      </c>
      <c r="E104" s="6" t="inlineStr">
        <is>
          <t>RM7</t>
        </is>
      </c>
      <c r="F104" s="7" t="n">
        <v>100.79</v>
      </c>
      <c r="G104" s="7" t="n">
        <v>479.95</v>
      </c>
      <c r="H104" s="30" t="n">
        <v>175</v>
      </c>
      <c r="I104" s="37" t="n">
        <v>130.4974776</v>
      </c>
      <c r="J104" s="15">
        <f>IF($G104="","",$G104*FATOR_HID)</f>
        <v/>
      </c>
      <c r="K104" s="28" t="inlineStr">
        <is>
          <t>PENDENTE</t>
        </is>
      </c>
      <c r="L104" s="20" t="inlineStr">
        <is>
          <t>Circulo</t>
        </is>
      </c>
      <c r="M104" s="19" t="inlineStr"/>
    </row>
    <row r="105">
      <c r="A105" s="5" t="inlineStr">
        <is>
          <t>Pivô 126</t>
        </is>
      </c>
      <c r="B105" s="20" t="inlineStr">
        <is>
          <t>P126</t>
        </is>
      </c>
      <c r="C105" s="6" t="inlineStr">
        <is>
          <t>RDM</t>
        </is>
      </c>
      <c r="D105" s="6" t="inlineStr">
        <is>
          <t>Módulo 02</t>
        </is>
      </c>
      <c r="E105" s="6" t="inlineStr">
        <is>
          <t>RM7</t>
        </is>
      </c>
      <c r="F105" s="7" t="n">
        <v>140.57</v>
      </c>
      <c r="G105" s="7" t="n">
        <v>669.39</v>
      </c>
      <c r="H105" s="30" t="n">
        <v>175</v>
      </c>
      <c r="I105" s="37" t="n">
        <v>130.4974776</v>
      </c>
      <c r="J105" s="15">
        <f>IF($G105="","",$G105*FATOR_HID)</f>
        <v/>
      </c>
      <c r="K105" s="28" t="inlineStr">
        <is>
          <t>PENDENTE</t>
        </is>
      </c>
      <c r="L105" s="20" t="inlineStr">
        <is>
          <t>Circulo</t>
        </is>
      </c>
      <c r="M105" s="19" t="inlineStr"/>
    </row>
    <row r="106">
      <c r="A106" s="5" t="inlineStr">
        <is>
          <t>Pivô 127</t>
        </is>
      </c>
      <c r="B106" s="20" t="inlineStr">
        <is>
          <t>P127</t>
        </is>
      </c>
      <c r="C106" s="6" t="inlineStr">
        <is>
          <t>RDM</t>
        </is>
      </c>
      <c r="D106" s="6" t="inlineStr">
        <is>
          <t>Módulo 02</t>
        </is>
      </c>
      <c r="E106" s="6" t="inlineStr">
        <is>
          <t>RM7</t>
        </is>
      </c>
      <c r="F106" s="7" t="n">
        <v>102.43</v>
      </c>
      <c r="G106" s="7" t="n">
        <v>487.76</v>
      </c>
      <c r="H106" s="30" t="n">
        <v>200</v>
      </c>
      <c r="I106" s="37" t="n">
        <v>149.1399744</v>
      </c>
      <c r="J106" s="15">
        <f>IF($G106="","",$G106*FATOR_HID)</f>
        <v/>
      </c>
      <c r="K106" s="28" t="inlineStr">
        <is>
          <t>PENDENTE</t>
        </is>
      </c>
      <c r="L106" s="20" t="inlineStr">
        <is>
          <t>Circulo</t>
        </is>
      </c>
      <c r="M106" s="19" t="inlineStr"/>
    </row>
    <row r="107">
      <c r="A107" s="5" t="inlineStr">
        <is>
          <t>Pivô 128</t>
        </is>
      </c>
      <c r="B107" s="20" t="inlineStr">
        <is>
          <t>P128</t>
        </is>
      </c>
      <c r="C107" s="6" t="inlineStr">
        <is>
          <t>RDM</t>
        </is>
      </c>
      <c r="D107" s="6" t="inlineStr">
        <is>
          <t>Módulo 02</t>
        </is>
      </c>
      <c r="E107" s="6" t="inlineStr">
        <is>
          <t>RM6</t>
        </is>
      </c>
      <c r="F107" s="7" t="n">
        <v>140.57</v>
      </c>
      <c r="G107" s="7" t="n">
        <v>669.39</v>
      </c>
      <c r="H107" s="30" t="n">
        <v>175</v>
      </c>
      <c r="I107" s="37" t="n">
        <v>130.4974776</v>
      </c>
      <c r="J107" s="15">
        <f>IF($G107="","",$G107*FATOR_HID)</f>
        <v/>
      </c>
      <c r="K107" s="28" t="inlineStr">
        <is>
          <t>PENDENTE</t>
        </is>
      </c>
      <c r="L107" s="20" t="inlineStr">
        <is>
          <t>Circulo</t>
        </is>
      </c>
      <c r="M107" s="19" t="inlineStr"/>
    </row>
    <row r="108">
      <c r="A108" s="5" t="inlineStr">
        <is>
          <t>Pivô 129</t>
        </is>
      </c>
      <c r="B108" s="20" t="inlineStr">
        <is>
          <t>P129</t>
        </is>
      </c>
      <c r="C108" s="6" t="inlineStr">
        <is>
          <t>RDM</t>
        </is>
      </c>
      <c r="D108" s="6" t="inlineStr">
        <is>
          <t>Módulo 02</t>
        </is>
      </c>
      <c r="E108" s="6" t="inlineStr">
        <is>
          <t>RM6</t>
        </is>
      </c>
      <c r="F108" s="7" t="n">
        <v>102.43</v>
      </c>
      <c r="G108" s="7" t="n">
        <v>487.76</v>
      </c>
      <c r="H108" s="30" t="n">
        <v>200</v>
      </c>
      <c r="I108" s="37" t="n">
        <v>149.1399744</v>
      </c>
      <c r="J108" s="15">
        <f>IF($G108="","",$G108*FATOR_HID)</f>
        <v/>
      </c>
      <c r="K108" s="28" t="inlineStr">
        <is>
          <t>PENDENTE</t>
        </is>
      </c>
      <c r="L108" s="20" t="inlineStr">
        <is>
          <t>Circulo</t>
        </is>
      </c>
      <c r="M108" s="19" t="inlineStr"/>
    </row>
    <row r="109">
      <c r="A109" s="5" t="inlineStr">
        <is>
          <t>Pivô 130</t>
        </is>
      </c>
      <c r="B109" s="20" t="inlineStr">
        <is>
          <t>P130</t>
        </is>
      </c>
      <c r="C109" s="6" t="inlineStr">
        <is>
          <t>RDM</t>
        </is>
      </c>
      <c r="D109" s="6" t="inlineStr">
        <is>
          <t>Módulo 02</t>
        </is>
      </c>
      <c r="E109" s="6" t="inlineStr">
        <is>
          <t>RM6</t>
        </is>
      </c>
      <c r="F109" s="7" t="n">
        <v>150.14</v>
      </c>
      <c r="G109" s="7" t="n">
        <v>714.95</v>
      </c>
      <c r="H109" s="30" t="n">
        <v>200</v>
      </c>
      <c r="I109" s="37" t="n">
        <v>149.1399744</v>
      </c>
      <c r="J109" s="15">
        <f>IF($G109="","",$G109*FATOR_HID)</f>
        <v/>
      </c>
      <c r="K109" s="28" t="inlineStr">
        <is>
          <t>PENDENTE</t>
        </is>
      </c>
      <c r="L109" s="20" t="inlineStr">
        <is>
          <t>Circulo</t>
        </is>
      </c>
      <c r="M109" s="19" t="inlineStr"/>
    </row>
    <row r="110">
      <c r="A110" s="5" t="inlineStr">
        <is>
          <t>Pivô 131</t>
        </is>
      </c>
      <c r="B110" s="20" t="inlineStr">
        <is>
          <t>P131</t>
        </is>
      </c>
      <c r="C110" s="6" t="inlineStr">
        <is>
          <t>RDM</t>
        </is>
      </c>
      <c r="D110" s="6" t="inlineStr">
        <is>
          <t>Módulo 02</t>
        </is>
      </c>
      <c r="E110" s="6" t="inlineStr">
        <is>
          <t>RM5</t>
        </is>
      </c>
      <c r="F110" s="7" t="n">
        <v>100.1</v>
      </c>
      <c r="G110" s="7" t="n">
        <v>762.67</v>
      </c>
      <c r="H110" s="30" t="n">
        <v>200</v>
      </c>
      <c r="I110" s="37" t="n">
        <v>149.1399744</v>
      </c>
      <c r="J110" s="15">
        <f>IF($G110="","",$G110*FATOR_HID)</f>
        <v/>
      </c>
      <c r="K110" s="28" t="inlineStr">
        <is>
          <t>PENDENTE</t>
        </is>
      </c>
      <c r="L110" s="20" t="inlineStr">
        <is>
          <t>Circulo</t>
        </is>
      </c>
      <c r="M110" s="19" t="inlineStr"/>
    </row>
    <row r="111">
      <c r="A111" s="5" t="inlineStr">
        <is>
          <t>Pivô 132</t>
        </is>
      </c>
      <c r="B111" s="20" t="inlineStr">
        <is>
          <t>P132</t>
        </is>
      </c>
      <c r="C111" s="6" t="inlineStr">
        <is>
          <t>RDM</t>
        </is>
      </c>
      <c r="D111" s="6" t="inlineStr">
        <is>
          <t>Módulo 02</t>
        </is>
      </c>
      <c r="E111" s="6" t="inlineStr">
        <is>
          <t>RM5</t>
        </is>
      </c>
      <c r="F111" s="7" t="n">
        <v>100.1</v>
      </c>
      <c r="G111" s="7" t="n">
        <v>762.67</v>
      </c>
      <c r="H111" s="30" t="n">
        <v>200</v>
      </c>
      <c r="I111" s="37" t="n">
        <v>149.1399744</v>
      </c>
      <c r="J111" s="15">
        <f>IF($G111="","",$G111*FATOR_HID)</f>
        <v/>
      </c>
      <c r="K111" s="28" t="inlineStr">
        <is>
          <t>PENDENTE</t>
        </is>
      </c>
      <c r="L111" s="20" t="inlineStr">
        <is>
          <t>Circulo</t>
        </is>
      </c>
      <c r="M111" s="19" t="inlineStr"/>
    </row>
    <row r="112">
      <c r="A112" s="5" t="inlineStr">
        <is>
          <t>Pivô 133</t>
        </is>
      </c>
      <c r="B112" s="20" t="inlineStr">
        <is>
          <t>P133</t>
        </is>
      </c>
      <c r="C112" s="6" t="inlineStr">
        <is>
          <t>RDM</t>
        </is>
      </c>
      <c r="D112" s="6" t="inlineStr">
        <is>
          <t>Módulo 02</t>
        </is>
      </c>
      <c r="E112" s="6" t="inlineStr">
        <is>
          <t>RM7</t>
        </is>
      </c>
      <c r="F112" s="7" t="n">
        <v>101.12</v>
      </c>
      <c r="G112" s="7" t="n">
        <v>481.52</v>
      </c>
      <c r="H112" s="30" t="n">
        <v>200</v>
      </c>
      <c r="I112" s="37" t="n">
        <v>149.1399744</v>
      </c>
      <c r="J112" s="15">
        <f>IF($G112="","",$G112*FATOR_HID)</f>
        <v/>
      </c>
      <c r="K112" s="28" t="inlineStr">
        <is>
          <t>PENDENTE</t>
        </is>
      </c>
      <c r="L112" s="20" t="inlineStr">
        <is>
          <t>Circulo</t>
        </is>
      </c>
      <c r="M112" s="19" t="inlineStr"/>
    </row>
    <row r="114">
      <c r="A114" s="19" t="inlineStr">
        <is>
          <t>CE = consumo especifico (kWh/m3). PENDENTE: depende de 'Consumo medio SOJA/ALGODAO/MILHO'. Nao preencher com media do modulo. Cod L/H liga a aba LAMINA_HORA (conferir PA/PB em Karitel).</t>
        </is>
      </c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3" t="n"/>
    </row>
  </sheetData>
  <mergeCells count="1">
    <mergeCell ref="A114:M1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AP1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Matriz de consulta usada pela PROGRAMACAO (INDEX/MATCH). Percentimetro e regulagem de movimento, NAO reducao proporcional de vazao.</t>
        </is>
      </c>
    </row>
    <row r="3">
      <c r="A3" s="33" t="inlineStr">
        <is>
          <t>(linha de indices p/ MATCH)</t>
        </is>
      </c>
      <c r="C3" s="38" t="n">
        <v>100</v>
      </c>
      <c r="D3" s="38" t="n">
        <v>95</v>
      </c>
      <c r="E3" s="38" t="n">
        <v>90</v>
      </c>
      <c r="F3" s="38" t="n">
        <v>85</v>
      </c>
      <c r="G3" s="38" t="n">
        <v>80</v>
      </c>
      <c r="H3" s="38" t="n">
        <v>75</v>
      </c>
      <c r="I3" s="38" t="n">
        <v>70</v>
      </c>
      <c r="J3" s="38" t="n">
        <v>65</v>
      </c>
      <c r="K3" s="38" t="n">
        <v>60</v>
      </c>
      <c r="L3" s="38" t="n">
        <v>55</v>
      </c>
      <c r="M3" s="38" t="n">
        <v>50</v>
      </c>
      <c r="N3" s="38" t="n">
        <v>45</v>
      </c>
      <c r="O3" s="38" t="n">
        <v>40</v>
      </c>
      <c r="P3" s="38" t="n">
        <v>35</v>
      </c>
      <c r="Q3" s="38" t="n">
        <v>30</v>
      </c>
      <c r="R3" s="38" t="n">
        <v>25</v>
      </c>
      <c r="S3" s="38" t="n">
        <v>20</v>
      </c>
      <c r="T3" s="38" t="n">
        <v>15</v>
      </c>
      <c r="U3" s="38" t="n">
        <v>10</v>
      </c>
      <c r="V3" s="38" t="n">
        <v>5</v>
      </c>
      <c r="W3" s="38" t="n">
        <v>100</v>
      </c>
      <c r="X3" s="38" t="n">
        <v>95</v>
      </c>
      <c r="Y3" s="38" t="n">
        <v>90</v>
      </c>
      <c r="Z3" s="38" t="n">
        <v>85</v>
      </c>
      <c r="AA3" s="38" t="n">
        <v>80</v>
      </c>
      <c r="AB3" s="38" t="n">
        <v>75</v>
      </c>
      <c r="AC3" s="38" t="n">
        <v>70</v>
      </c>
      <c r="AD3" s="38" t="n">
        <v>65</v>
      </c>
      <c r="AE3" s="38" t="n">
        <v>60</v>
      </c>
      <c r="AF3" s="38" t="n">
        <v>55</v>
      </c>
      <c r="AG3" s="38" t="n">
        <v>50</v>
      </c>
      <c r="AH3" s="38" t="n">
        <v>45</v>
      </c>
      <c r="AI3" s="38" t="n">
        <v>40</v>
      </c>
      <c r="AJ3" s="38" t="n">
        <v>35</v>
      </c>
      <c r="AK3" s="38" t="n">
        <v>30</v>
      </c>
      <c r="AL3" s="38" t="n">
        <v>25</v>
      </c>
      <c r="AM3" s="38" t="n">
        <v>20</v>
      </c>
      <c r="AN3" s="38" t="n">
        <v>15</v>
      </c>
      <c r="AO3" s="38" t="n">
        <v>10</v>
      </c>
      <c r="AP3" s="38" t="n">
        <v>5</v>
      </c>
    </row>
    <row r="4" ht="28" customHeight="1">
      <c r="A4" s="4" t="inlineStr">
        <is>
          <t>Cod</t>
        </is>
      </c>
      <c r="B4" s="4" t="inlineStr">
        <is>
          <t>Fazenda</t>
        </is>
      </c>
      <c r="C4" s="4" t="inlineStr">
        <is>
          <t>L 100%</t>
        </is>
      </c>
      <c r="D4" s="4" t="inlineStr">
        <is>
          <t>L 95%</t>
        </is>
      </c>
      <c r="E4" s="4" t="inlineStr">
        <is>
          <t>L 90%</t>
        </is>
      </c>
      <c r="F4" s="4" t="inlineStr">
        <is>
          <t>L 85%</t>
        </is>
      </c>
      <c r="G4" s="4" t="inlineStr">
        <is>
          <t>L 80%</t>
        </is>
      </c>
      <c r="H4" s="4" t="inlineStr">
        <is>
          <t>L 75%</t>
        </is>
      </c>
      <c r="I4" s="4" t="inlineStr">
        <is>
          <t>L 70%</t>
        </is>
      </c>
      <c r="J4" s="4" t="inlineStr">
        <is>
          <t>L 65%</t>
        </is>
      </c>
      <c r="K4" s="4" t="inlineStr">
        <is>
          <t>L 60%</t>
        </is>
      </c>
      <c r="L4" s="4" t="inlineStr">
        <is>
          <t>L 55%</t>
        </is>
      </c>
      <c r="M4" s="4" t="inlineStr">
        <is>
          <t>L 50%</t>
        </is>
      </c>
      <c r="N4" s="4" t="inlineStr">
        <is>
          <t>L 45%</t>
        </is>
      </c>
      <c r="O4" s="4" t="inlineStr">
        <is>
          <t>L 40%</t>
        </is>
      </c>
      <c r="P4" s="4" t="inlineStr">
        <is>
          <t>L 35%</t>
        </is>
      </c>
      <c r="Q4" s="4" t="inlineStr">
        <is>
          <t>L 30%</t>
        </is>
      </c>
      <c r="R4" s="4" t="inlineStr">
        <is>
          <t>L 25%</t>
        </is>
      </c>
      <c r="S4" s="4" t="inlineStr">
        <is>
          <t>L 20%</t>
        </is>
      </c>
      <c r="T4" s="4" t="inlineStr">
        <is>
          <t>L 15%</t>
        </is>
      </c>
      <c r="U4" s="4" t="inlineStr">
        <is>
          <t>L 10%</t>
        </is>
      </c>
      <c r="V4" s="4" t="inlineStr">
        <is>
          <t>L 5%</t>
        </is>
      </c>
      <c r="W4" s="26" t="inlineStr">
        <is>
          <t>H 100%</t>
        </is>
      </c>
      <c r="X4" s="26" t="inlineStr">
        <is>
          <t>H 95%</t>
        </is>
      </c>
      <c r="Y4" s="26" t="inlineStr">
        <is>
          <t>H 90%</t>
        </is>
      </c>
      <c r="Z4" s="26" t="inlineStr">
        <is>
          <t>H 85%</t>
        </is>
      </c>
      <c r="AA4" s="26" t="inlineStr">
        <is>
          <t>H 80%</t>
        </is>
      </c>
      <c r="AB4" s="26" t="inlineStr">
        <is>
          <t>H 75%</t>
        </is>
      </c>
      <c r="AC4" s="26" t="inlineStr">
        <is>
          <t>H 70%</t>
        </is>
      </c>
      <c r="AD4" s="26" t="inlineStr">
        <is>
          <t>H 65%</t>
        </is>
      </c>
      <c r="AE4" s="26" t="inlineStr">
        <is>
          <t>H 60%</t>
        </is>
      </c>
      <c r="AF4" s="26" t="inlineStr">
        <is>
          <t>H 55%</t>
        </is>
      </c>
      <c r="AG4" s="26" t="inlineStr">
        <is>
          <t>H 50%</t>
        </is>
      </c>
      <c r="AH4" s="26" t="inlineStr">
        <is>
          <t>H 45%</t>
        </is>
      </c>
      <c r="AI4" s="26" t="inlineStr">
        <is>
          <t>H 40%</t>
        </is>
      </c>
      <c r="AJ4" s="26" t="inlineStr">
        <is>
          <t>H 35%</t>
        </is>
      </c>
      <c r="AK4" s="26" t="inlineStr">
        <is>
          <t>H 30%</t>
        </is>
      </c>
      <c r="AL4" s="26" t="inlineStr">
        <is>
          <t>H 25%</t>
        </is>
      </c>
      <c r="AM4" s="26" t="inlineStr">
        <is>
          <t>H 20%</t>
        </is>
      </c>
      <c r="AN4" s="26" t="inlineStr">
        <is>
          <t>H 15%</t>
        </is>
      </c>
      <c r="AO4" s="26" t="inlineStr">
        <is>
          <t>H 10%</t>
        </is>
      </c>
      <c r="AP4" s="26" t="inlineStr">
        <is>
          <t>H 5%</t>
        </is>
      </c>
    </row>
    <row r="5">
      <c r="A5" s="6" t="inlineStr">
        <is>
          <t>PA</t>
        </is>
      </c>
      <c r="B5" s="6" t="inlineStr">
        <is>
          <t>Karitel</t>
        </is>
      </c>
      <c r="C5" s="39" t="n">
        <v>6.06</v>
      </c>
      <c r="D5" s="39" t="n">
        <v>6.378947368421053</v>
      </c>
      <c r="E5" s="39" t="n">
        <v>6.733333333333333</v>
      </c>
      <c r="F5" s="39" t="n">
        <v>7.129411764705882</v>
      </c>
      <c r="G5" s="39" t="n">
        <v>7.574999999999999</v>
      </c>
      <c r="H5" s="39" t="n">
        <v>8.08</v>
      </c>
      <c r="I5" s="39" t="n">
        <v>8.657142857142857</v>
      </c>
      <c r="J5" s="39" t="n">
        <v>9.323076923076922</v>
      </c>
      <c r="K5" s="39" t="n">
        <v>10.1</v>
      </c>
      <c r="L5" s="39" t="n">
        <v>11.01818181818182</v>
      </c>
      <c r="M5" s="39" t="n">
        <v>12.12</v>
      </c>
      <c r="N5" s="39" t="n">
        <v>13.46666666666667</v>
      </c>
      <c r="O5" s="39" t="n">
        <v>15.15</v>
      </c>
      <c r="P5" s="39" t="n">
        <v>17.31428571428571</v>
      </c>
      <c r="Q5" s="39" t="n">
        <v>20.2</v>
      </c>
      <c r="R5" s="39" t="n">
        <v>24.24</v>
      </c>
      <c r="S5" s="39" t="n">
        <v>30.3</v>
      </c>
      <c r="T5" s="39" t="n">
        <v>40.4</v>
      </c>
      <c r="U5" s="39" t="n">
        <v>60.59999999999999</v>
      </c>
      <c r="V5" s="39" t="n">
        <v>121.2</v>
      </c>
      <c r="W5" s="39" t="n">
        <v>13.54</v>
      </c>
      <c r="X5" s="39" t="n">
        <v>14.25263157894737</v>
      </c>
      <c r="Y5" s="39" t="n">
        <v>15.04444444444444</v>
      </c>
      <c r="Z5" s="39" t="n">
        <v>15.92941176470588</v>
      </c>
      <c r="AA5" s="39" t="n">
        <v>16.925</v>
      </c>
      <c r="AB5" s="39" t="n">
        <v>18.05333333333333</v>
      </c>
      <c r="AC5" s="39" t="n">
        <v>19.34285714285714</v>
      </c>
      <c r="AD5" s="39" t="n">
        <v>20.83076923076923</v>
      </c>
      <c r="AE5" s="39" t="n">
        <v>22.56666666666667</v>
      </c>
      <c r="AF5" s="39" t="n">
        <v>24.61818181818181</v>
      </c>
      <c r="AG5" s="39" t="n">
        <v>27.08</v>
      </c>
      <c r="AH5" s="39" t="n">
        <v>30.08888888888889</v>
      </c>
      <c r="AI5" s="39" t="n">
        <v>33.84999999999999</v>
      </c>
      <c r="AJ5" s="39" t="n">
        <v>38.68571428571428</v>
      </c>
      <c r="AK5" s="39" t="n">
        <v>45.13333333333333</v>
      </c>
      <c r="AL5" s="39" t="n">
        <v>54.16</v>
      </c>
      <c r="AM5" s="39" t="n">
        <v>67.69999999999999</v>
      </c>
      <c r="AN5" s="39" t="n">
        <v>90.26666666666667</v>
      </c>
      <c r="AO5" s="39" t="n">
        <v>135.4</v>
      </c>
      <c r="AP5" s="39" t="n">
        <v>270.8</v>
      </c>
    </row>
    <row r="6">
      <c r="A6" s="6" t="inlineStr">
        <is>
          <t>PB</t>
        </is>
      </c>
      <c r="B6" s="6" t="inlineStr">
        <is>
          <t>Karitel</t>
        </is>
      </c>
      <c r="C6" s="39" t="n">
        <v>6.06</v>
      </c>
      <c r="D6" s="39" t="n">
        <v>6.378947368421053</v>
      </c>
      <c r="E6" s="39" t="n">
        <v>6.733333333333333</v>
      </c>
      <c r="F6" s="39" t="n">
        <v>7.129411764705882</v>
      </c>
      <c r="G6" s="39" t="n">
        <v>7.574999999999999</v>
      </c>
      <c r="H6" s="39" t="n">
        <v>8.08</v>
      </c>
      <c r="I6" s="39" t="n">
        <v>8.657142857142857</v>
      </c>
      <c r="J6" s="39" t="n">
        <v>9.323076923076922</v>
      </c>
      <c r="K6" s="39" t="n">
        <v>10.1</v>
      </c>
      <c r="L6" s="39" t="n">
        <v>11.01818181818182</v>
      </c>
      <c r="M6" s="39" t="n">
        <v>12.12</v>
      </c>
      <c r="N6" s="39" t="n">
        <v>13.46666666666667</v>
      </c>
      <c r="O6" s="39" t="n">
        <v>15.15</v>
      </c>
      <c r="P6" s="39" t="n">
        <v>17.31428571428571</v>
      </c>
      <c r="Q6" s="39" t="n">
        <v>20.2</v>
      </c>
      <c r="R6" s="39" t="n">
        <v>24.24</v>
      </c>
      <c r="S6" s="39" t="n">
        <v>30.3</v>
      </c>
      <c r="T6" s="39" t="n">
        <v>40.4</v>
      </c>
      <c r="U6" s="39" t="n">
        <v>60.59999999999999</v>
      </c>
      <c r="V6" s="39" t="n">
        <v>121.2</v>
      </c>
      <c r="W6" s="39" t="n">
        <v>13.54</v>
      </c>
      <c r="X6" s="39" t="n">
        <v>14.25263157894737</v>
      </c>
      <c r="Y6" s="39" t="n">
        <v>15.04444444444444</v>
      </c>
      <c r="Z6" s="39" t="n">
        <v>15.92941176470588</v>
      </c>
      <c r="AA6" s="39" t="n">
        <v>16.925</v>
      </c>
      <c r="AB6" s="39" t="n">
        <v>18.05333333333333</v>
      </c>
      <c r="AC6" s="39" t="n">
        <v>19.34285714285714</v>
      </c>
      <c r="AD6" s="39" t="n">
        <v>20.83076923076923</v>
      </c>
      <c r="AE6" s="39" t="n">
        <v>22.56666666666667</v>
      </c>
      <c r="AF6" s="39" t="n">
        <v>24.61818181818181</v>
      </c>
      <c r="AG6" s="39" t="n">
        <v>27.08</v>
      </c>
      <c r="AH6" s="39" t="n">
        <v>30.08888888888889</v>
      </c>
      <c r="AI6" s="39" t="n">
        <v>33.84999999999999</v>
      </c>
      <c r="AJ6" s="39" t="n">
        <v>38.68571428571428</v>
      </c>
      <c r="AK6" s="39" t="n">
        <v>45.13333333333333</v>
      </c>
      <c r="AL6" s="39" t="n">
        <v>54.16</v>
      </c>
      <c r="AM6" s="39" t="n">
        <v>67.69999999999999</v>
      </c>
      <c r="AN6" s="39" t="n">
        <v>90.26666666666667</v>
      </c>
      <c r="AO6" s="39" t="n">
        <v>135.4</v>
      </c>
      <c r="AP6" s="39" t="n">
        <v>270.8</v>
      </c>
    </row>
    <row r="7">
      <c r="A7" s="6" t="inlineStr">
        <is>
          <t>P1</t>
        </is>
      </c>
      <c r="B7" s="6" t="inlineStr">
        <is>
          <t>Karitel</t>
        </is>
      </c>
      <c r="C7" s="39" t="n">
        <v>5.61</v>
      </c>
      <c r="D7" s="39" t="n">
        <v>5.905263157894738</v>
      </c>
      <c r="E7" s="39" t="n">
        <v>6.233333333333333</v>
      </c>
      <c r="F7" s="39" t="n">
        <v>6.600000000000001</v>
      </c>
      <c r="G7" s="39" t="n">
        <v>7.0125</v>
      </c>
      <c r="H7" s="39" t="n">
        <v>7.48</v>
      </c>
      <c r="I7" s="39" t="n">
        <v>8.014285714285716</v>
      </c>
      <c r="J7" s="39" t="n">
        <v>8.63076923076923</v>
      </c>
      <c r="K7" s="39" t="n">
        <v>9.350000000000001</v>
      </c>
      <c r="L7" s="39" t="n">
        <v>10.2</v>
      </c>
      <c r="M7" s="39" t="n">
        <v>11.22</v>
      </c>
      <c r="N7" s="39" t="n">
        <v>12.46666666666667</v>
      </c>
      <c r="O7" s="39" t="n">
        <v>14.025</v>
      </c>
      <c r="P7" s="39" t="n">
        <v>16.02857142857143</v>
      </c>
      <c r="Q7" s="39" t="n">
        <v>18.7</v>
      </c>
      <c r="R7" s="39" t="n">
        <v>22.44</v>
      </c>
      <c r="S7" s="39" t="n">
        <v>28.05</v>
      </c>
      <c r="T7" s="39" t="n">
        <v>37.40000000000001</v>
      </c>
      <c r="U7" s="39" t="n">
        <v>56.1</v>
      </c>
      <c r="V7" s="39" t="n">
        <v>112.2</v>
      </c>
      <c r="W7" s="39" t="n">
        <v>15.11</v>
      </c>
      <c r="X7" s="39" t="n">
        <v>15.90526315789474</v>
      </c>
      <c r="Y7" s="39" t="n">
        <v>16.78888888888889</v>
      </c>
      <c r="Z7" s="39" t="n">
        <v>17.77647058823529</v>
      </c>
      <c r="AA7" s="39" t="n">
        <v>18.8875</v>
      </c>
      <c r="AB7" s="39" t="n">
        <v>20.14666666666666</v>
      </c>
      <c r="AC7" s="39" t="n">
        <v>21.58571428571429</v>
      </c>
      <c r="AD7" s="39" t="n">
        <v>23.24615384615385</v>
      </c>
      <c r="AE7" s="39" t="n">
        <v>25.18333333333333</v>
      </c>
      <c r="AF7" s="39" t="n">
        <v>27.47272727272727</v>
      </c>
      <c r="AG7" s="39" t="n">
        <v>30.22</v>
      </c>
      <c r="AH7" s="39" t="n">
        <v>33.57777777777778</v>
      </c>
      <c r="AI7" s="39" t="n">
        <v>37.775</v>
      </c>
      <c r="AJ7" s="39" t="n">
        <v>43.17142857142857</v>
      </c>
      <c r="AK7" s="39" t="n">
        <v>50.36666666666667</v>
      </c>
      <c r="AL7" s="39" t="n">
        <v>60.44</v>
      </c>
      <c r="AM7" s="39" t="n">
        <v>75.55</v>
      </c>
      <c r="AN7" s="39" t="n">
        <v>100.7333333333333</v>
      </c>
      <c r="AO7" s="39" t="n">
        <v>151.1</v>
      </c>
      <c r="AP7" s="39" t="n">
        <v>302.2</v>
      </c>
    </row>
    <row r="8">
      <c r="A8" s="6" t="inlineStr">
        <is>
          <t>P2</t>
        </is>
      </c>
      <c r="B8" s="6" t="inlineStr">
        <is>
          <t>Karitel</t>
        </is>
      </c>
      <c r="C8" s="39" t="n">
        <v>5.15</v>
      </c>
      <c r="D8" s="39" t="n">
        <v>5.421052631578948</v>
      </c>
      <c r="E8" s="39" t="n">
        <v>5.722222222222222</v>
      </c>
      <c r="F8" s="39" t="n">
        <v>6.058823529411765</v>
      </c>
      <c r="G8" s="39" t="n">
        <v>6.4375</v>
      </c>
      <c r="H8" s="39" t="n">
        <v>6.866666666666667</v>
      </c>
      <c r="I8" s="39" t="n">
        <v>7.357142857142859</v>
      </c>
      <c r="J8" s="39" t="n">
        <v>7.923076923076923</v>
      </c>
      <c r="K8" s="39" t="n">
        <v>8.583333333333334</v>
      </c>
      <c r="L8" s="39" t="n">
        <v>9.363636363636363</v>
      </c>
      <c r="M8" s="39" t="n">
        <v>10.3</v>
      </c>
      <c r="N8" s="39" t="n">
        <v>11.44444444444444</v>
      </c>
      <c r="O8" s="39" t="n">
        <v>12.875</v>
      </c>
      <c r="P8" s="39" t="n">
        <v>14.71428571428572</v>
      </c>
      <c r="Q8" s="39" t="n">
        <v>17.16666666666667</v>
      </c>
      <c r="R8" s="39" t="n">
        <v>20.6</v>
      </c>
      <c r="S8" s="39" t="n">
        <v>25.75</v>
      </c>
      <c r="T8" s="39" t="n">
        <v>34.33333333333334</v>
      </c>
      <c r="U8" s="39" t="n">
        <v>51.5</v>
      </c>
      <c r="V8" s="39" t="n">
        <v>103</v>
      </c>
      <c r="W8" s="39" t="n">
        <v>13.56</v>
      </c>
      <c r="X8" s="39" t="n">
        <v>14.27368421052632</v>
      </c>
      <c r="Y8" s="39" t="n">
        <v>15.06666666666667</v>
      </c>
      <c r="Z8" s="39" t="n">
        <v>15.95294117647059</v>
      </c>
      <c r="AA8" s="39" t="n">
        <v>16.95</v>
      </c>
      <c r="AB8" s="39" t="n">
        <v>18.08</v>
      </c>
      <c r="AC8" s="39" t="n">
        <v>19.37142857142857</v>
      </c>
      <c r="AD8" s="39" t="n">
        <v>20.86153846153846</v>
      </c>
      <c r="AE8" s="39" t="n">
        <v>22.6</v>
      </c>
      <c r="AF8" s="39" t="n">
        <v>24.65454545454545</v>
      </c>
      <c r="AG8" s="39" t="n">
        <v>27.12</v>
      </c>
      <c r="AH8" s="39" t="n">
        <v>30.13333333333333</v>
      </c>
      <c r="AI8" s="39" t="n">
        <v>33.9</v>
      </c>
      <c r="AJ8" s="39" t="n">
        <v>38.74285714285715</v>
      </c>
      <c r="AK8" s="39" t="n">
        <v>45.2</v>
      </c>
      <c r="AL8" s="39" t="n">
        <v>54.24</v>
      </c>
      <c r="AM8" s="39" t="n">
        <v>67.8</v>
      </c>
      <c r="AN8" s="39" t="n">
        <v>90.40000000000001</v>
      </c>
      <c r="AO8" s="39" t="n">
        <v>135.6</v>
      </c>
      <c r="AP8" s="39" t="n">
        <v>271.2</v>
      </c>
    </row>
    <row r="9">
      <c r="A9" s="6" t="inlineStr">
        <is>
          <t>P3</t>
        </is>
      </c>
      <c r="B9" s="6" t="inlineStr">
        <is>
          <t>Karitel</t>
        </is>
      </c>
      <c r="C9" s="39" t="n">
        <v>6.105</v>
      </c>
      <c r="D9" s="39" t="n">
        <v>6.426315789473685</v>
      </c>
      <c r="E9" s="39" t="n">
        <v>6.783333333333333</v>
      </c>
      <c r="F9" s="39" t="n">
        <v>7.182352941176472</v>
      </c>
      <c r="G9" s="39" t="n">
        <v>7.631250000000001</v>
      </c>
      <c r="H9" s="39" t="n">
        <v>8.140000000000001</v>
      </c>
      <c r="I9" s="39" t="n">
        <v>8.721428571428573</v>
      </c>
      <c r="J9" s="39" t="n">
        <v>9.392307692307693</v>
      </c>
      <c r="K9" s="39" t="n">
        <v>10.175</v>
      </c>
      <c r="L9" s="39" t="n">
        <v>11.1</v>
      </c>
      <c r="M9" s="39" t="n">
        <v>12.21</v>
      </c>
      <c r="N9" s="39" t="n">
        <v>13.56666666666667</v>
      </c>
      <c r="O9" s="39" t="n">
        <v>15.2625</v>
      </c>
      <c r="P9" s="39" t="n">
        <v>17.44285714285715</v>
      </c>
      <c r="Q9" s="39" t="n">
        <v>20.35</v>
      </c>
      <c r="R9" s="39" t="n">
        <v>24.42</v>
      </c>
      <c r="S9" s="39" t="n">
        <v>30.525</v>
      </c>
      <c r="T9" s="39" t="n">
        <v>40.7</v>
      </c>
      <c r="U9" s="39" t="n">
        <v>61.05</v>
      </c>
      <c r="V9" s="39" t="n">
        <v>122.1</v>
      </c>
      <c r="W9" s="39" t="n">
        <v>15.11</v>
      </c>
      <c r="X9" s="39" t="n">
        <v>15.90526315789474</v>
      </c>
      <c r="Y9" s="39" t="n">
        <v>16.78888888888889</v>
      </c>
      <c r="Z9" s="39" t="n">
        <v>17.77647058823529</v>
      </c>
      <c r="AA9" s="39" t="n">
        <v>18.8875</v>
      </c>
      <c r="AB9" s="39" t="n">
        <v>20.14666666666666</v>
      </c>
      <c r="AC9" s="39" t="n">
        <v>21.58571428571429</v>
      </c>
      <c r="AD9" s="39" t="n">
        <v>23.24615384615385</v>
      </c>
      <c r="AE9" s="39" t="n">
        <v>25.18333333333333</v>
      </c>
      <c r="AF9" s="39" t="n">
        <v>27.47272727272727</v>
      </c>
      <c r="AG9" s="39" t="n">
        <v>30.22</v>
      </c>
      <c r="AH9" s="39" t="n">
        <v>33.57777777777778</v>
      </c>
      <c r="AI9" s="39" t="n">
        <v>37.775</v>
      </c>
      <c r="AJ9" s="39" t="n">
        <v>43.17142857142857</v>
      </c>
      <c r="AK9" s="39" t="n">
        <v>50.36666666666667</v>
      </c>
      <c r="AL9" s="39" t="n">
        <v>60.44</v>
      </c>
      <c r="AM9" s="39" t="n">
        <v>75.55</v>
      </c>
      <c r="AN9" s="39" t="n">
        <v>100.7333333333333</v>
      </c>
      <c r="AO9" s="39" t="n">
        <v>151.1</v>
      </c>
      <c r="AP9" s="39" t="n">
        <v>302.2</v>
      </c>
    </row>
    <row r="10">
      <c r="A10" s="6" t="inlineStr">
        <is>
          <t>P4</t>
        </is>
      </c>
      <c r="B10" s="6" t="inlineStr">
        <is>
          <t>Karitel</t>
        </is>
      </c>
      <c r="C10" s="39" t="n">
        <v>3.78</v>
      </c>
      <c r="D10" s="39" t="n">
        <v>3.978947368421053</v>
      </c>
      <c r="E10" s="39" t="n">
        <v>4.199999999999999</v>
      </c>
      <c r="F10" s="39" t="n">
        <v>4.447058823529412</v>
      </c>
      <c r="G10" s="39" t="n">
        <v>4.725</v>
      </c>
      <c r="H10" s="39" t="n">
        <v>5.04</v>
      </c>
      <c r="I10" s="39" t="n">
        <v>5.4</v>
      </c>
      <c r="J10" s="39" t="n">
        <v>5.815384615384615</v>
      </c>
      <c r="K10" s="39" t="n">
        <v>6.3</v>
      </c>
      <c r="L10" s="39" t="n">
        <v>6.872727272727272</v>
      </c>
      <c r="M10" s="39" t="n">
        <v>7.56</v>
      </c>
      <c r="N10" s="39" t="n">
        <v>8.399999999999999</v>
      </c>
      <c r="O10" s="39" t="n">
        <v>9.449999999999999</v>
      </c>
      <c r="P10" s="39" t="n">
        <v>10.8</v>
      </c>
      <c r="Q10" s="39" t="n">
        <v>12.6</v>
      </c>
      <c r="R10" s="39" t="n">
        <v>15.12</v>
      </c>
      <c r="S10" s="39" t="n">
        <v>18.9</v>
      </c>
      <c r="T10" s="39" t="n">
        <v>25.2</v>
      </c>
      <c r="U10" s="39" t="n">
        <v>37.8</v>
      </c>
      <c r="V10" s="39" t="n">
        <v>75.59999999999999</v>
      </c>
      <c r="W10" s="39" t="n">
        <v>9.859999999999999</v>
      </c>
      <c r="X10" s="39" t="n">
        <v>10.37894736842105</v>
      </c>
      <c r="Y10" s="39" t="n">
        <v>10.95555555555555</v>
      </c>
      <c r="Z10" s="39" t="n">
        <v>11.6</v>
      </c>
      <c r="AA10" s="39" t="n">
        <v>12.325</v>
      </c>
      <c r="AB10" s="39" t="n">
        <v>13.14666666666667</v>
      </c>
      <c r="AC10" s="39" t="n">
        <v>14.08571428571429</v>
      </c>
      <c r="AD10" s="39" t="n">
        <v>15.16923076923077</v>
      </c>
      <c r="AE10" s="39" t="n">
        <v>16.43333333333333</v>
      </c>
      <c r="AF10" s="39" t="n">
        <v>17.92727272727273</v>
      </c>
      <c r="AG10" s="39" t="n">
        <v>19.72</v>
      </c>
      <c r="AH10" s="39" t="n">
        <v>21.91111111111111</v>
      </c>
      <c r="AI10" s="39" t="n">
        <v>24.65</v>
      </c>
      <c r="AJ10" s="39" t="n">
        <v>28.17142857142857</v>
      </c>
      <c r="AK10" s="39" t="n">
        <v>32.86666666666667</v>
      </c>
      <c r="AL10" s="39" t="n">
        <v>39.44</v>
      </c>
      <c r="AM10" s="39" t="n">
        <v>49.3</v>
      </c>
      <c r="AN10" s="39" t="n">
        <v>65.73333333333333</v>
      </c>
      <c r="AO10" s="39" t="n">
        <v>98.59999999999999</v>
      </c>
      <c r="AP10" s="39" t="n">
        <v>197.2</v>
      </c>
    </row>
    <row r="11">
      <c r="A11" s="6" t="inlineStr">
        <is>
          <t>P5</t>
        </is>
      </c>
      <c r="B11" s="6" t="inlineStr">
        <is>
          <t>Karitel</t>
        </is>
      </c>
      <c r="C11" s="39" t="n">
        <v>5.82</v>
      </c>
      <c r="D11" s="39" t="n">
        <v>6.126315789473685</v>
      </c>
      <c r="E11" s="39" t="n">
        <v>6.466666666666667</v>
      </c>
      <c r="F11" s="39" t="n">
        <v>6.847058823529412</v>
      </c>
      <c r="G11" s="39" t="n">
        <v>7.275</v>
      </c>
      <c r="H11" s="39" t="n">
        <v>7.760000000000001</v>
      </c>
      <c r="I11" s="39" t="n">
        <v>8.314285714285715</v>
      </c>
      <c r="J11" s="39" t="n">
        <v>8.953846153846154</v>
      </c>
      <c r="K11" s="39" t="n">
        <v>9.700000000000001</v>
      </c>
      <c r="L11" s="39" t="n">
        <v>10.58181818181818</v>
      </c>
      <c r="M11" s="39" t="n">
        <v>11.64</v>
      </c>
      <c r="N11" s="39" t="n">
        <v>12.93333333333333</v>
      </c>
      <c r="O11" s="39" t="n">
        <v>14.55</v>
      </c>
      <c r="P11" s="39" t="n">
        <v>16.62857142857143</v>
      </c>
      <c r="Q11" s="39" t="n">
        <v>19.4</v>
      </c>
      <c r="R11" s="39" t="n">
        <v>23.28</v>
      </c>
      <c r="S11" s="39" t="n">
        <v>29.1</v>
      </c>
      <c r="T11" s="39" t="n">
        <v>38.8</v>
      </c>
      <c r="U11" s="39" t="n">
        <v>58.2</v>
      </c>
      <c r="V11" s="39" t="n">
        <v>116.4</v>
      </c>
      <c r="W11" s="39" t="n">
        <v>15.11</v>
      </c>
      <c r="X11" s="39" t="n">
        <v>15.90526315789474</v>
      </c>
      <c r="Y11" s="39" t="n">
        <v>16.78888888888889</v>
      </c>
      <c r="Z11" s="39" t="n">
        <v>17.77647058823529</v>
      </c>
      <c r="AA11" s="39" t="n">
        <v>18.8875</v>
      </c>
      <c r="AB11" s="39" t="n">
        <v>20.14666666666666</v>
      </c>
      <c r="AC11" s="39" t="n">
        <v>21.58571428571429</v>
      </c>
      <c r="AD11" s="39" t="n">
        <v>23.24615384615385</v>
      </c>
      <c r="AE11" s="39" t="n">
        <v>25.18333333333333</v>
      </c>
      <c r="AF11" s="39" t="n">
        <v>27.47272727272727</v>
      </c>
      <c r="AG11" s="39" t="n">
        <v>30.22</v>
      </c>
      <c r="AH11" s="39" t="n">
        <v>33.57777777777778</v>
      </c>
      <c r="AI11" s="39" t="n">
        <v>37.775</v>
      </c>
      <c r="AJ11" s="39" t="n">
        <v>43.17142857142857</v>
      </c>
      <c r="AK11" s="39" t="n">
        <v>50.36666666666667</v>
      </c>
      <c r="AL11" s="39" t="n">
        <v>60.44</v>
      </c>
      <c r="AM11" s="39" t="n">
        <v>75.55</v>
      </c>
      <c r="AN11" s="39" t="n">
        <v>100.7333333333333</v>
      </c>
      <c r="AO11" s="39" t="n">
        <v>151.1</v>
      </c>
      <c r="AP11" s="39" t="n">
        <v>302.2</v>
      </c>
    </row>
    <row r="12">
      <c r="A12" s="6" t="inlineStr">
        <is>
          <t>P6</t>
        </is>
      </c>
      <c r="B12" s="6" t="inlineStr">
        <is>
          <t>Karitel</t>
        </is>
      </c>
      <c r="C12" s="39" t="n">
        <v>6.12</v>
      </c>
      <c r="D12" s="39" t="n">
        <v>6.442105263157895</v>
      </c>
      <c r="E12" s="39" t="n">
        <v>6.8</v>
      </c>
      <c r="F12" s="39" t="n">
        <v>7.2</v>
      </c>
      <c r="G12" s="39" t="n">
        <v>7.649999999999999</v>
      </c>
      <c r="H12" s="39" t="n">
        <v>8.16</v>
      </c>
      <c r="I12" s="39" t="n">
        <v>8.742857142857144</v>
      </c>
      <c r="J12" s="39" t="n">
        <v>9.415384615384616</v>
      </c>
      <c r="K12" s="39" t="n">
        <v>10.2</v>
      </c>
      <c r="L12" s="39" t="n">
        <v>11.12727272727273</v>
      </c>
      <c r="M12" s="39" t="n">
        <v>12.24</v>
      </c>
      <c r="N12" s="39" t="n">
        <v>13.6</v>
      </c>
      <c r="O12" s="39" t="n">
        <v>15.3</v>
      </c>
      <c r="P12" s="39" t="n">
        <v>17.48571428571429</v>
      </c>
      <c r="Q12" s="39" t="n">
        <v>20.4</v>
      </c>
      <c r="R12" s="39" t="n">
        <v>24.48</v>
      </c>
      <c r="S12" s="39" t="n">
        <v>30.6</v>
      </c>
      <c r="T12" s="39" t="n">
        <v>40.8</v>
      </c>
      <c r="U12" s="39" t="n">
        <v>61.2</v>
      </c>
      <c r="V12" s="39" t="n">
        <v>122.4</v>
      </c>
      <c r="W12" s="39" t="n">
        <v>15.11</v>
      </c>
      <c r="X12" s="39" t="n">
        <v>15.90526315789474</v>
      </c>
      <c r="Y12" s="39" t="n">
        <v>16.78888888888889</v>
      </c>
      <c r="Z12" s="39" t="n">
        <v>17.77647058823529</v>
      </c>
      <c r="AA12" s="39" t="n">
        <v>18.8875</v>
      </c>
      <c r="AB12" s="39" t="n">
        <v>20.14666666666666</v>
      </c>
      <c r="AC12" s="39" t="n">
        <v>21.58571428571429</v>
      </c>
      <c r="AD12" s="39" t="n">
        <v>23.24615384615385</v>
      </c>
      <c r="AE12" s="39" t="n">
        <v>25.18333333333333</v>
      </c>
      <c r="AF12" s="39" t="n">
        <v>27.47272727272727</v>
      </c>
      <c r="AG12" s="39" t="n">
        <v>30.22</v>
      </c>
      <c r="AH12" s="39" t="n">
        <v>33.57777777777778</v>
      </c>
      <c r="AI12" s="39" t="n">
        <v>37.775</v>
      </c>
      <c r="AJ12" s="39" t="n">
        <v>43.17142857142857</v>
      </c>
      <c r="AK12" s="39" t="n">
        <v>50.36666666666667</v>
      </c>
      <c r="AL12" s="39" t="n">
        <v>60.44</v>
      </c>
      <c r="AM12" s="39" t="n">
        <v>75.55</v>
      </c>
      <c r="AN12" s="39" t="n">
        <v>100.7333333333333</v>
      </c>
      <c r="AO12" s="39" t="n">
        <v>151.1</v>
      </c>
      <c r="AP12" s="39" t="n">
        <v>302.2</v>
      </c>
    </row>
    <row r="13">
      <c r="A13" s="6" t="inlineStr">
        <is>
          <t>P7</t>
        </is>
      </c>
      <c r="B13" s="6" t="inlineStr">
        <is>
          <t>Karitel</t>
        </is>
      </c>
      <c r="C13" s="39" t="n">
        <v>5.76</v>
      </c>
      <c r="D13" s="39" t="n">
        <v>6.063157894736842</v>
      </c>
      <c r="E13" s="39" t="n">
        <v>6.399999999999999</v>
      </c>
      <c r="F13" s="39" t="n">
        <v>6.776470588235294</v>
      </c>
      <c r="G13" s="39" t="n">
        <v>7.199999999999999</v>
      </c>
      <c r="H13" s="39" t="n">
        <v>7.68</v>
      </c>
      <c r="I13" s="39" t="n">
        <v>8.22857142857143</v>
      </c>
      <c r="J13" s="39" t="n">
        <v>8.86153846153846</v>
      </c>
      <c r="K13" s="39" t="n">
        <v>9.6</v>
      </c>
      <c r="L13" s="39" t="n">
        <v>10.47272727272727</v>
      </c>
      <c r="M13" s="39" t="n">
        <v>11.52</v>
      </c>
      <c r="N13" s="39" t="n">
        <v>12.8</v>
      </c>
      <c r="O13" s="39" t="n">
        <v>14.4</v>
      </c>
      <c r="P13" s="39" t="n">
        <v>16.45714285714286</v>
      </c>
      <c r="Q13" s="39" t="n">
        <v>19.2</v>
      </c>
      <c r="R13" s="39" t="n">
        <v>23.04</v>
      </c>
      <c r="S13" s="39" t="n">
        <v>28.8</v>
      </c>
      <c r="T13" s="39" t="n">
        <v>38.4</v>
      </c>
      <c r="U13" s="39" t="n">
        <v>57.59999999999999</v>
      </c>
      <c r="V13" s="39" t="n">
        <v>115.2</v>
      </c>
      <c r="W13" s="39" t="n">
        <v>13.26</v>
      </c>
      <c r="X13" s="39" t="n">
        <v>13.95789473684211</v>
      </c>
      <c r="Y13" s="39" t="n">
        <v>14.73333333333333</v>
      </c>
      <c r="Z13" s="39" t="n">
        <v>15.6</v>
      </c>
      <c r="AA13" s="39" t="n">
        <v>16.575</v>
      </c>
      <c r="AB13" s="39" t="n">
        <v>17.68</v>
      </c>
      <c r="AC13" s="39" t="n">
        <v>18.94285714285714</v>
      </c>
      <c r="AD13" s="39" t="n">
        <v>20.4</v>
      </c>
      <c r="AE13" s="39" t="n">
        <v>22.1</v>
      </c>
      <c r="AF13" s="39" t="n">
        <v>24.10909090909091</v>
      </c>
      <c r="AG13" s="39" t="n">
        <v>26.52</v>
      </c>
      <c r="AH13" s="39" t="n">
        <v>29.46666666666667</v>
      </c>
      <c r="AI13" s="39" t="n">
        <v>33.15</v>
      </c>
      <c r="AJ13" s="39" t="n">
        <v>37.88571428571429</v>
      </c>
      <c r="AK13" s="39" t="n">
        <v>44.2</v>
      </c>
      <c r="AL13" s="39" t="n">
        <v>53.04</v>
      </c>
      <c r="AM13" s="39" t="n">
        <v>66.3</v>
      </c>
      <c r="AN13" s="39" t="n">
        <v>88.40000000000001</v>
      </c>
      <c r="AO13" s="39" t="n">
        <v>132.6</v>
      </c>
      <c r="AP13" s="39" t="n">
        <v>265.2</v>
      </c>
    </row>
    <row r="14">
      <c r="A14" s="6" t="inlineStr">
        <is>
          <t>P8</t>
        </is>
      </c>
      <c r="B14" s="6" t="inlineStr">
        <is>
          <t>Karitel</t>
        </is>
      </c>
      <c r="C14" s="39" t="n">
        <v>6.58</v>
      </c>
      <c r="D14" s="39" t="n">
        <v>6.926315789473684</v>
      </c>
      <c r="E14" s="39" t="n">
        <v>7.311111111111111</v>
      </c>
      <c r="F14" s="39" t="n">
        <v>7.741176470588235</v>
      </c>
      <c r="G14" s="39" t="n">
        <v>8.225</v>
      </c>
      <c r="H14" s="39" t="n">
        <v>8.773333333333333</v>
      </c>
      <c r="I14" s="39" t="n">
        <v>9.4</v>
      </c>
      <c r="J14" s="39" t="n">
        <v>10.12307692307692</v>
      </c>
      <c r="K14" s="39" t="n">
        <v>10.96666666666667</v>
      </c>
      <c r="L14" s="39" t="n">
        <v>11.96363636363636</v>
      </c>
      <c r="M14" s="39" t="n">
        <v>13.16</v>
      </c>
      <c r="N14" s="39" t="n">
        <v>14.62222222222222</v>
      </c>
      <c r="O14" s="39" t="n">
        <v>16.45</v>
      </c>
      <c r="P14" s="39" t="n">
        <v>18.8</v>
      </c>
      <c r="Q14" s="39" t="n">
        <v>21.93333333333333</v>
      </c>
      <c r="R14" s="39" t="n">
        <v>26.32</v>
      </c>
      <c r="S14" s="39" t="n">
        <v>32.9</v>
      </c>
      <c r="T14" s="39" t="n">
        <v>43.86666666666667</v>
      </c>
      <c r="U14" s="39" t="n">
        <v>65.8</v>
      </c>
      <c r="V14" s="39" t="n">
        <v>131.6</v>
      </c>
      <c r="W14" s="39" t="n">
        <v>15.11</v>
      </c>
      <c r="X14" s="39" t="n">
        <v>15.90526315789474</v>
      </c>
      <c r="Y14" s="39" t="n">
        <v>16.78888888888889</v>
      </c>
      <c r="Z14" s="39" t="n">
        <v>17.77647058823529</v>
      </c>
      <c r="AA14" s="39" t="n">
        <v>18.8875</v>
      </c>
      <c r="AB14" s="39" t="n">
        <v>20.14666666666666</v>
      </c>
      <c r="AC14" s="39" t="n">
        <v>21.58571428571429</v>
      </c>
      <c r="AD14" s="39" t="n">
        <v>23.24615384615385</v>
      </c>
      <c r="AE14" s="39" t="n">
        <v>25.18333333333333</v>
      </c>
      <c r="AF14" s="39" t="n">
        <v>27.47272727272727</v>
      </c>
      <c r="AG14" s="39" t="n">
        <v>30.22</v>
      </c>
      <c r="AH14" s="39" t="n">
        <v>33.57777777777778</v>
      </c>
      <c r="AI14" s="39" t="n">
        <v>37.775</v>
      </c>
      <c r="AJ14" s="39" t="n">
        <v>43.17142857142857</v>
      </c>
      <c r="AK14" s="39" t="n">
        <v>50.36666666666667</v>
      </c>
      <c r="AL14" s="39" t="n">
        <v>60.44</v>
      </c>
      <c r="AM14" s="39" t="n">
        <v>75.55</v>
      </c>
      <c r="AN14" s="39" t="n">
        <v>100.7333333333333</v>
      </c>
      <c r="AO14" s="39" t="n">
        <v>151.1</v>
      </c>
      <c r="AP14" s="39" t="n">
        <v>302.2</v>
      </c>
    </row>
    <row r="15">
      <c r="A15" s="6" t="inlineStr">
        <is>
          <t>P9</t>
        </is>
      </c>
      <c r="B15" s="6" t="inlineStr">
        <is>
          <t>Karitel</t>
        </is>
      </c>
      <c r="C15" s="39" t="n">
        <v>5.82</v>
      </c>
      <c r="D15" s="39" t="n">
        <v>6.126315789473685</v>
      </c>
      <c r="E15" s="39" t="n">
        <v>6.466666666666667</v>
      </c>
      <c r="F15" s="39" t="n">
        <v>6.847058823529412</v>
      </c>
      <c r="G15" s="39" t="n">
        <v>7.275</v>
      </c>
      <c r="H15" s="39" t="n">
        <v>7.760000000000001</v>
      </c>
      <c r="I15" s="39" t="n">
        <v>8.314285714285715</v>
      </c>
      <c r="J15" s="39" t="n">
        <v>8.953846153846154</v>
      </c>
      <c r="K15" s="39" t="n">
        <v>9.700000000000001</v>
      </c>
      <c r="L15" s="39" t="n">
        <v>10.58181818181818</v>
      </c>
      <c r="M15" s="39" t="n">
        <v>11.64</v>
      </c>
      <c r="N15" s="39" t="n">
        <v>12.93333333333333</v>
      </c>
      <c r="O15" s="39" t="n">
        <v>14.55</v>
      </c>
      <c r="P15" s="39" t="n">
        <v>16.62857142857143</v>
      </c>
      <c r="Q15" s="39" t="n">
        <v>19.4</v>
      </c>
      <c r="R15" s="39" t="n">
        <v>23.28</v>
      </c>
      <c r="S15" s="39" t="n">
        <v>29.1</v>
      </c>
      <c r="T15" s="39" t="n">
        <v>38.8</v>
      </c>
      <c r="U15" s="39" t="n">
        <v>58.2</v>
      </c>
      <c r="V15" s="39" t="n">
        <v>116.4</v>
      </c>
      <c r="W15" s="39" t="n">
        <v>13.26</v>
      </c>
      <c r="X15" s="39" t="n">
        <v>13.95789473684211</v>
      </c>
      <c r="Y15" s="39" t="n">
        <v>14.73333333333333</v>
      </c>
      <c r="Z15" s="39" t="n">
        <v>15.6</v>
      </c>
      <c r="AA15" s="39" t="n">
        <v>16.575</v>
      </c>
      <c r="AB15" s="39" t="n">
        <v>17.68</v>
      </c>
      <c r="AC15" s="39" t="n">
        <v>18.94285714285714</v>
      </c>
      <c r="AD15" s="39" t="n">
        <v>20.4</v>
      </c>
      <c r="AE15" s="39" t="n">
        <v>22.1</v>
      </c>
      <c r="AF15" s="39" t="n">
        <v>24.10909090909091</v>
      </c>
      <c r="AG15" s="39" t="n">
        <v>26.52</v>
      </c>
      <c r="AH15" s="39" t="n">
        <v>29.46666666666667</v>
      </c>
      <c r="AI15" s="39" t="n">
        <v>33.15</v>
      </c>
      <c r="AJ15" s="39" t="n">
        <v>37.88571428571429</v>
      </c>
      <c r="AK15" s="39" t="n">
        <v>44.2</v>
      </c>
      <c r="AL15" s="39" t="n">
        <v>53.04</v>
      </c>
      <c r="AM15" s="39" t="n">
        <v>66.3</v>
      </c>
      <c r="AN15" s="39" t="n">
        <v>88.40000000000001</v>
      </c>
      <c r="AO15" s="39" t="n">
        <v>132.6</v>
      </c>
      <c r="AP15" s="39" t="n">
        <v>265.2</v>
      </c>
    </row>
    <row r="16">
      <c r="A16" s="6" t="inlineStr">
        <is>
          <t>P10</t>
        </is>
      </c>
      <c r="B16" s="6" t="inlineStr">
        <is>
          <t>Karitel</t>
        </is>
      </c>
      <c r="C16" s="39" t="n">
        <v>5.83</v>
      </c>
      <c r="D16" s="39" t="n">
        <v>6.136842105263158</v>
      </c>
      <c r="E16" s="39" t="n">
        <v>6.477777777777778</v>
      </c>
      <c r="F16" s="39" t="n">
        <v>6.858823529411765</v>
      </c>
      <c r="G16" s="39" t="n">
        <v>7.2875</v>
      </c>
      <c r="H16" s="39" t="n">
        <v>7.773333333333333</v>
      </c>
      <c r="I16" s="39" t="n">
        <v>8.328571428571429</v>
      </c>
      <c r="J16" s="39" t="n">
        <v>8.969230769230769</v>
      </c>
      <c r="K16" s="39" t="n">
        <v>9.716666666666667</v>
      </c>
      <c r="L16" s="39" t="n">
        <v>10.6</v>
      </c>
      <c r="M16" s="39" t="n">
        <v>11.66</v>
      </c>
      <c r="N16" s="39" t="n">
        <v>12.95555555555556</v>
      </c>
      <c r="O16" s="39" t="n">
        <v>14.575</v>
      </c>
      <c r="P16" s="39" t="n">
        <v>16.65714285714286</v>
      </c>
      <c r="Q16" s="39" t="n">
        <v>19.43333333333333</v>
      </c>
      <c r="R16" s="39" t="n">
        <v>23.32</v>
      </c>
      <c r="S16" s="39" t="n">
        <v>29.15</v>
      </c>
      <c r="T16" s="39" t="n">
        <v>38.86666666666667</v>
      </c>
      <c r="U16" s="39" t="n">
        <v>58.3</v>
      </c>
      <c r="V16" s="39" t="n">
        <v>116.6</v>
      </c>
      <c r="W16" s="39" t="n">
        <v>15.11</v>
      </c>
      <c r="X16" s="39" t="n">
        <v>15.90526315789474</v>
      </c>
      <c r="Y16" s="39" t="n">
        <v>16.78888888888889</v>
      </c>
      <c r="Z16" s="39" t="n">
        <v>17.77647058823529</v>
      </c>
      <c r="AA16" s="39" t="n">
        <v>18.8875</v>
      </c>
      <c r="AB16" s="39" t="n">
        <v>20.14666666666666</v>
      </c>
      <c r="AC16" s="39" t="n">
        <v>21.58571428571429</v>
      </c>
      <c r="AD16" s="39" t="n">
        <v>23.24615384615385</v>
      </c>
      <c r="AE16" s="39" t="n">
        <v>25.18333333333333</v>
      </c>
      <c r="AF16" s="39" t="n">
        <v>27.47272727272727</v>
      </c>
      <c r="AG16" s="39" t="n">
        <v>30.22</v>
      </c>
      <c r="AH16" s="39" t="n">
        <v>33.57777777777778</v>
      </c>
      <c r="AI16" s="39" t="n">
        <v>37.775</v>
      </c>
      <c r="AJ16" s="39" t="n">
        <v>43.17142857142857</v>
      </c>
      <c r="AK16" s="39" t="n">
        <v>50.36666666666667</v>
      </c>
      <c r="AL16" s="39" t="n">
        <v>60.44</v>
      </c>
      <c r="AM16" s="39" t="n">
        <v>75.55</v>
      </c>
      <c r="AN16" s="39" t="n">
        <v>100.7333333333333</v>
      </c>
      <c r="AO16" s="39" t="n">
        <v>151.1</v>
      </c>
      <c r="AP16" s="39" t="n">
        <v>302.2</v>
      </c>
    </row>
    <row r="17">
      <c r="A17" s="6" t="inlineStr">
        <is>
          <t>P11</t>
        </is>
      </c>
      <c r="B17" s="6" t="inlineStr">
        <is>
          <t>Karitel</t>
        </is>
      </c>
      <c r="C17" s="39" t="n">
        <v>5.82</v>
      </c>
      <c r="D17" s="39" t="n">
        <v>6.126315789473685</v>
      </c>
      <c r="E17" s="39" t="n">
        <v>6.466666666666667</v>
      </c>
      <c r="F17" s="39" t="n">
        <v>6.847058823529412</v>
      </c>
      <c r="G17" s="39" t="n">
        <v>7.275</v>
      </c>
      <c r="H17" s="39" t="n">
        <v>7.760000000000001</v>
      </c>
      <c r="I17" s="39" t="n">
        <v>8.314285714285715</v>
      </c>
      <c r="J17" s="39" t="n">
        <v>8.953846153846154</v>
      </c>
      <c r="K17" s="39" t="n">
        <v>9.700000000000001</v>
      </c>
      <c r="L17" s="39" t="n">
        <v>10.58181818181818</v>
      </c>
      <c r="M17" s="39" t="n">
        <v>11.64</v>
      </c>
      <c r="N17" s="39" t="n">
        <v>12.93333333333333</v>
      </c>
      <c r="O17" s="39" t="n">
        <v>14.55</v>
      </c>
      <c r="P17" s="39" t="n">
        <v>16.62857142857143</v>
      </c>
      <c r="Q17" s="39" t="n">
        <v>19.4</v>
      </c>
      <c r="R17" s="39" t="n">
        <v>23.28</v>
      </c>
      <c r="S17" s="39" t="n">
        <v>29.1</v>
      </c>
      <c r="T17" s="39" t="n">
        <v>38.8</v>
      </c>
      <c r="U17" s="39" t="n">
        <v>58.2</v>
      </c>
      <c r="V17" s="39" t="n">
        <v>116.4</v>
      </c>
      <c r="W17" s="39" t="n">
        <v>13.57</v>
      </c>
      <c r="X17" s="39" t="n">
        <v>14.28421052631579</v>
      </c>
      <c r="Y17" s="39" t="n">
        <v>15.07777777777778</v>
      </c>
      <c r="Z17" s="39" t="n">
        <v>15.96470588235294</v>
      </c>
      <c r="AA17" s="39" t="n">
        <v>16.9625</v>
      </c>
      <c r="AB17" s="39" t="n">
        <v>18.09333333333333</v>
      </c>
      <c r="AC17" s="39" t="n">
        <v>19.38571428571429</v>
      </c>
      <c r="AD17" s="39" t="n">
        <v>20.87692307692308</v>
      </c>
      <c r="AE17" s="39" t="n">
        <v>22.61666666666667</v>
      </c>
      <c r="AF17" s="39" t="n">
        <v>24.67272727272727</v>
      </c>
      <c r="AG17" s="39" t="n">
        <v>27.14</v>
      </c>
      <c r="AH17" s="39" t="n">
        <v>30.15555555555556</v>
      </c>
      <c r="AI17" s="39" t="n">
        <v>33.925</v>
      </c>
      <c r="AJ17" s="39" t="n">
        <v>38.77142857142857</v>
      </c>
      <c r="AK17" s="39" t="n">
        <v>45.23333333333333</v>
      </c>
      <c r="AL17" s="39" t="n">
        <v>54.28</v>
      </c>
      <c r="AM17" s="39" t="n">
        <v>67.84999999999999</v>
      </c>
      <c r="AN17" s="39" t="n">
        <v>90.46666666666667</v>
      </c>
      <c r="AO17" s="39" t="n">
        <v>135.7</v>
      </c>
      <c r="AP17" s="39" t="n">
        <v>271.4</v>
      </c>
    </row>
    <row r="18">
      <c r="A18" s="6" t="inlineStr">
        <is>
          <t>P12</t>
        </is>
      </c>
      <c r="B18" s="6" t="inlineStr">
        <is>
          <t>Karitel</t>
        </is>
      </c>
      <c r="C18" s="39" t="n">
        <v>6.54</v>
      </c>
      <c r="D18" s="39" t="n">
        <v>6.88421052631579</v>
      </c>
      <c r="E18" s="39" t="n">
        <v>7.266666666666667</v>
      </c>
      <c r="F18" s="39" t="n">
        <v>7.694117647058824</v>
      </c>
      <c r="G18" s="39" t="n">
        <v>8.174999999999999</v>
      </c>
      <c r="H18" s="39" t="n">
        <v>8.720000000000001</v>
      </c>
      <c r="I18" s="39" t="n">
        <v>9.342857142857143</v>
      </c>
      <c r="J18" s="39" t="n">
        <v>10.06153846153846</v>
      </c>
      <c r="K18" s="39" t="n">
        <v>10.9</v>
      </c>
      <c r="L18" s="39" t="n">
        <v>11.89090909090909</v>
      </c>
      <c r="M18" s="39" t="n">
        <v>13.08</v>
      </c>
      <c r="N18" s="39" t="n">
        <v>14.53333333333333</v>
      </c>
      <c r="O18" s="39" t="n">
        <v>16.35</v>
      </c>
      <c r="P18" s="39" t="n">
        <v>18.68571428571429</v>
      </c>
      <c r="Q18" s="39" t="n">
        <v>21.8</v>
      </c>
      <c r="R18" s="39" t="n">
        <v>26.16</v>
      </c>
      <c r="S18" s="39" t="n">
        <v>32.7</v>
      </c>
      <c r="T18" s="39" t="n">
        <v>43.6</v>
      </c>
      <c r="U18" s="39" t="n">
        <v>65.39999999999999</v>
      </c>
      <c r="V18" s="39" t="n">
        <v>130.8</v>
      </c>
      <c r="W18" s="39" t="n">
        <v>15.11</v>
      </c>
      <c r="X18" s="39" t="n">
        <v>15.90526315789474</v>
      </c>
      <c r="Y18" s="39" t="n">
        <v>16.78888888888889</v>
      </c>
      <c r="Z18" s="39" t="n">
        <v>17.77647058823529</v>
      </c>
      <c r="AA18" s="39" t="n">
        <v>18.8875</v>
      </c>
      <c r="AB18" s="39" t="n">
        <v>20.14666666666666</v>
      </c>
      <c r="AC18" s="39" t="n">
        <v>21.58571428571429</v>
      </c>
      <c r="AD18" s="39" t="n">
        <v>23.24615384615385</v>
      </c>
      <c r="AE18" s="39" t="n">
        <v>25.18333333333333</v>
      </c>
      <c r="AF18" s="39" t="n">
        <v>27.47272727272727</v>
      </c>
      <c r="AG18" s="39" t="n">
        <v>30.22</v>
      </c>
      <c r="AH18" s="39" t="n">
        <v>33.57777777777778</v>
      </c>
      <c r="AI18" s="39" t="n">
        <v>37.775</v>
      </c>
      <c r="AJ18" s="39" t="n">
        <v>43.17142857142857</v>
      </c>
      <c r="AK18" s="39" t="n">
        <v>50.36666666666667</v>
      </c>
      <c r="AL18" s="39" t="n">
        <v>60.44</v>
      </c>
      <c r="AM18" s="39" t="n">
        <v>75.55</v>
      </c>
      <c r="AN18" s="39" t="n">
        <v>100.7333333333333</v>
      </c>
      <c r="AO18" s="39" t="n">
        <v>151.1</v>
      </c>
      <c r="AP18" s="39" t="n">
        <v>302.2</v>
      </c>
    </row>
    <row r="19">
      <c r="A19" s="6" t="inlineStr">
        <is>
          <t>P13</t>
        </is>
      </c>
      <c r="B19" s="6" t="inlineStr">
        <is>
          <t>Karitel</t>
        </is>
      </c>
      <c r="C19" s="39" t="n">
        <v>4.62</v>
      </c>
      <c r="D19" s="39" t="n">
        <v>4.863157894736842</v>
      </c>
      <c r="E19" s="39" t="n">
        <v>5.133333333333334</v>
      </c>
      <c r="F19" s="39" t="n">
        <v>5.435294117647059</v>
      </c>
      <c r="G19" s="39" t="n">
        <v>5.774999999999999</v>
      </c>
      <c r="H19" s="39" t="n">
        <v>6.16</v>
      </c>
      <c r="I19" s="39" t="n">
        <v>6.600000000000001</v>
      </c>
      <c r="J19" s="39" t="n">
        <v>7.107692307692307</v>
      </c>
      <c r="K19" s="39" t="n">
        <v>7.7</v>
      </c>
      <c r="L19" s="39" t="n">
        <v>8.4</v>
      </c>
      <c r="M19" s="39" t="n">
        <v>9.24</v>
      </c>
      <c r="N19" s="39" t="n">
        <v>10.26666666666667</v>
      </c>
      <c r="O19" s="39" t="n">
        <v>11.55</v>
      </c>
      <c r="P19" s="39" t="n">
        <v>13.2</v>
      </c>
      <c r="Q19" s="39" t="n">
        <v>15.4</v>
      </c>
      <c r="R19" s="39" t="n">
        <v>18.48</v>
      </c>
      <c r="S19" s="39" t="n">
        <v>23.1</v>
      </c>
      <c r="T19" s="39" t="n">
        <v>30.8</v>
      </c>
      <c r="U19" s="39" t="n">
        <v>46.2</v>
      </c>
      <c r="V19" s="39" t="n">
        <v>92.39999999999999</v>
      </c>
      <c r="W19" s="39" t="n">
        <v>10.02</v>
      </c>
      <c r="X19" s="39" t="n">
        <v>10.54736842105263</v>
      </c>
      <c r="Y19" s="39" t="n">
        <v>11.13333333333333</v>
      </c>
      <c r="Z19" s="39" t="n">
        <v>11.78823529411765</v>
      </c>
      <c r="AA19" s="39" t="n">
        <v>12.525</v>
      </c>
      <c r="AB19" s="39" t="n">
        <v>13.36</v>
      </c>
      <c r="AC19" s="39" t="n">
        <v>14.31428571428571</v>
      </c>
      <c r="AD19" s="39" t="n">
        <v>15.41538461538461</v>
      </c>
      <c r="AE19" s="39" t="n">
        <v>16.7</v>
      </c>
      <c r="AF19" s="39" t="n">
        <v>18.21818181818182</v>
      </c>
      <c r="AG19" s="39" t="n">
        <v>20.04</v>
      </c>
      <c r="AH19" s="39" t="n">
        <v>22.26666666666667</v>
      </c>
      <c r="AI19" s="39" t="n">
        <v>25.05</v>
      </c>
      <c r="AJ19" s="39" t="n">
        <v>28.62857142857143</v>
      </c>
      <c r="AK19" s="39" t="n">
        <v>33.4</v>
      </c>
      <c r="AL19" s="39" t="n">
        <v>40.08</v>
      </c>
      <c r="AM19" s="39" t="n">
        <v>50.09999999999999</v>
      </c>
      <c r="AN19" s="39" t="n">
        <v>66.8</v>
      </c>
      <c r="AO19" s="39" t="n">
        <v>100.2</v>
      </c>
      <c r="AP19" s="39" t="n">
        <v>200.4</v>
      </c>
    </row>
    <row r="20">
      <c r="A20" s="6" t="inlineStr">
        <is>
          <t>P14</t>
        </is>
      </c>
      <c r="B20" s="6" t="inlineStr">
        <is>
          <t>Karitel</t>
        </is>
      </c>
      <c r="C20" s="39" t="n">
        <v>6.3</v>
      </c>
      <c r="D20" s="39" t="n">
        <v>6.631578947368421</v>
      </c>
      <c r="E20" s="39" t="n">
        <v>7</v>
      </c>
      <c r="F20" s="39" t="n">
        <v>7.411764705882353</v>
      </c>
      <c r="G20" s="39" t="n">
        <v>7.874999999999999</v>
      </c>
      <c r="H20" s="39" t="n">
        <v>8.4</v>
      </c>
      <c r="I20" s="39" t="n">
        <v>9</v>
      </c>
      <c r="J20" s="39" t="n">
        <v>9.692307692307692</v>
      </c>
      <c r="K20" s="39" t="n">
        <v>10.5</v>
      </c>
      <c r="L20" s="39" t="n">
        <v>11.45454545454545</v>
      </c>
      <c r="M20" s="39" t="n">
        <v>12.6</v>
      </c>
      <c r="N20" s="39" t="n">
        <v>14</v>
      </c>
      <c r="O20" s="39" t="n">
        <v>15.75</v>
      </c>
      <c r="P20" s="39" t="n">
        <v>18</v>
      </c>
      <c r="Q20" s="39" t="n">
        <v>21</v>
      </c>
      <c r="R20" s="39" t="n">
        <v>25.2</v>
      </c>
      <c r="S20" s="39" t="n">
        <v>31.5</v>
      </c>
      <c r="T20" s="39" t="n">
        <v>42</v>
      </c>
      <c r="U20" s="39" t="n">
        <v>62.99999999999999</v>
      </c>
      <c r="V20" s="39" t="n">
        <v>126</v>
      </c>
      <c r="W20" s="39" t="n">
        <v>15.11</v>
      </c>
      <c r="X20" s="39" t="n">
        <v>15.90526315789474</v>
      </c>
      <c r="Y20" s="39" t="n">
        <v>16.78888888888889</v>
      </c>
      <c r="Z20" s="39" t="n">
        <v>17.77647058823529</v>
      </c>
      <c r="AA20" s="39" t="n">
        <v>18.8875</v>
      </c>
      <c r="AB20" s="39" t="n">
        <v>20.14666666666666</v>
      </c>
      <c r="AC20" s="39" t="n">
        <v>21.58571428571429</v>
      </c>
      <c r="AD20" s="39" t="n">
        <v>23.24615384615385</v>
      </c>
      <c r="AE20" s="39" t="n">
        <v>25.18333333333333</v>
      </c>
      <c r="AF20" s="39" t="n">
        <v>27.47272727272727</v>
      </c>
      <c r="AG20" s="39" t="n">
        <v>30.22</v>
      </c>
      <c r="AH20" s="39" t="n">
        <v>33.57777777777778</v>
      </c>
      <c r="AI20" s="39" t="n">
        <v>37.775</v>
      </c>
      <c r="AJ20" s="39" t="n">
        <v>43.17142857142857</v>
      </c>
      <c r="AK20" s="39" t="n">
        <v>50.36666666666667</v>
      </c>
      <c r="AL20" s="39" t="n">
        <v>60.44</v>
      </c>
      <c r="AM20" s="39" t="n">
        <v>75.55</v>
      </c>
      <c r="AN20" s="39" t="n">
        <v>100.7333333333333</v>
      </c>
      <c r="AO20" s="39" t="n">
        <v>151.1</v>
      </c>
      <c r="AP20" s="39" t="n">
        <v>302.2</v>
      </c>
    </row>
    <row r="21">
      <c r="A21" s="6" t="inlineStr">
        <is>
          <t>P15</t>
        </is>
      </c>
      <c r="B21" s="6" t="inlineStr">
        <is>
          <t>Karitel</t>
        </is>
      </c>
      <c r="C21" s="39" t="n">
        <v>7.205</v>
      </c>
      <c r="D21" s="39" t="n">
        <v>7.58421052631579</v>
      </c>
      <c r="E21" s="39" t="n">
        <v>8.005555555555555</v>
      </c>
      <c r="F21" s="39" t="n">
        <v>8.476470588235294</v>
      </c>
      <c r="G21" s="39" t="n">
        <v>9.00625</v>
      </c>
      <c r="H21" s="39" t="n">
        <v>9.606666666666667</v>
      </c>
      <c r="I21" s="39" t="n">
        <v>10.29285714285714</v>
      </c>
      <c r="J21" s="39" t="n">
        <v>11.08461538461538</v>
      </c>
      <c r="K21" s="39" t="n">
        <v>12.00833333333333</v>
      </c>
      <c r="L21" s="39" t="n">
        <v>13.1</v>
      </c>
      <c r="M21" s="39" t="n">
        <v>14.41</v>
      </c>
      <c r="N21" s="39" t="n">
        <v>16.01111111111111</v>
      </c>
      <c r="O21" s="39" t="n">
        <v>18.0125</v>
      </c>
      <c r="P21" s="39" t="n">
        <v>20.58571428571429</v>
      </c>
      <c r="Q21" s="39" t="n">
        <v>24.01666666666667</v>
      </c>
      <c r="R21" s="39" t="n">
        <v>28.82</v>
      </c>
      <c r="S21" s="39" t="n">
        <v>36.025</v>
      </c>
      <c r="T21" s="39" t="n">
        <v>48.03333333333334</v>
      </c>
      <c r="U21" s="39" t="n">
        <v>72.05</v>
      </c>
      <c r="V21" s="39" t="n">
        <v>144.1</v>
      </c>
      <c r="W21" s="39" t="n">
        <v>15.11</v>
      </c>
      <c r="X21" s="39" t="n">
        <v>15.90526315789474</v>
      </c>
      <c r="Y21" s="39" t="n">
        <v>16.78888888888889</v>
      </c>
      <c r="Z21" s="39" t="n">
        <v>17.77647058823529</v>
      </c>
      <c r="AA21" s="39" t="n">
        <v>18.8875</v>
      </c>
      <c r="AB21" s="39" t="n">
        <v>20.14666666666666</v>
      </c>
      <c r="AC21" s="39" t="n">
        <v>21.58571428571429</v>
      </c>
      <c r="AD21" s="39" t="n">
        <v>23.24615384615385</v>
      </c>
      <c r="AE21" s="39" t="n">
        <v>25.18333333333333</v>
      </c>
      <c r="AF21" s="39" t="n">
        <v>27.47272727272727</v>
      </c>
      <c r="AG21" s="39" t="n">
        <v>30.22</v>
      </c>
      <c r="AH21" s="39" t="n">
        <v>33.57777777777778</v>
      </c>
      <c r="AI21" s="39" t="n">
        <v>37.775</v>
      </c>
      <c r="AJ21" s="39" t="n">
        <v>43.17142857142857</v>
      </c>
      <c r="AK21" s="39" t="n">
        <v>50.36666666666667</v>
      </c>
      <c r="AL21" s="39" t="n">
        <v>60.44</v>
      </c>
      <c r="AM21" s="39" t="n">
        <v>75.55</v>
      </c>
      <c r="AN21" s="39" t="n">
        <v>100.7333333333333</v>
      </c>
      <c r="AO21" s="39" t="n">
        <v>151.1</v>
      </c>
      <c r="AP21" s="39" t="n">
        <v>302.2</v>
      </c>
    </row>
    <row r="22">
      <c r="A22" s="6" t="inlineStr">
        <is>
          <t>P16</t>
        </is>
      </c>
      <c r="B22" s="6" t="inlineStr">
        <is>
          <t>Karitel</t>
        </is>
      </c>
      <c r="C22" s="39" t="n">
        <v>7.19</v>
      </c>
      <c r="D22" s="39" t="n">
        <v>7.56842105263158</v>
      </c>
      <c r="E22" s="39" t="n">
        <v>7.988888888888889</v>
      </c>
      <c r="F22" s="39" t="n">
        <v>8.458823529411765</v>
      </c>
      <c r="G22" s="39" t="n">
        <v>8.987500000000001</v>
      </c>
      <c r="H22" s="39" t="n">
        <v>9.586666666666668</v>
      </c>
      <c r="I22" s="39" t="n">
        <v>10.27142857142857</v>
      </c>
      <c r="J22" s="39" t="n">
        <v>11.06153846153846</v>
      </c>
      <c r="K22" s="39" t="n">
        <v>11.98333333333333</v>
      </c>
      <c r="L22" s="39" t="n">
        <v>13.07272727272727</v>
      </c>
      <c r="M22" s="39" t="n">
        <v>14.38</v>
      </c>
      <c r="N22" s="39" t="n">
        <v>15.97777777777778</v>
      </c>
      <c r="O22" s="39" t="n">
        <v>17.975</v>
      </c>
      <c r="P22" s="39" t="n">
        <v>20.54285714285714</v>
      </c>
      <c r="Q22" s="39" t="n">
        <v>23.96666666666667</v>
      </c>
      <c r="R22" s="39" t="n">
        <v>28.76</v>
      </c>
      <c r="S22" s="39" t="n">
        <v>35.95</v>
      </c>
      <c r="T22" s="39" t="n">
        <v>47.93333333333334</v>
      </c>
      <c r="U22" s="39" t="n">
        <v>71.90000000000001</v>
      </c>
      <c r="V22" s="39" t="n">
        <v>143.8</v>
      </c>
      <c r="W22" s="39" t="n">
        <v>15.11</v>
      </c>
      <c r="X22" s="39" t="n">
        <v>15.90526315789474</v>
      </c>
      <c r="Y22" s="39" t="n">
        <v>16.78888888888889</v>
      </c>
      <c r="Z22" s="39" t="n">
        <v>17.77647058823529</v>
      </c>
      <c r="AA22" s="39" t="n">
        <v>18.8875</v>
      </c>
      <c r="AB22" s="39" t="n">
        <v>20.14666666666666</v>
      </c>
      <c r="AC22" s="39" t="n">
        <v>21.58571428571429</v>
      </c>
      <c r="AD22" s="39" t="n">
        <v>23.24615384615385</v>
      </c>
      <c r="AE22" s="39" t="n">
        <v>25.18333333333333</v>
      </c>
      <c r="AF22" s="39" t="n">
        <v>27.47272727272727</v>
      </c>
      <c r="AG22" s="39" t="n">
        <v>30.22</v>
      </c>
      <c r="AH22" s="39" t="n">
        <v>33.57777777777778</v>
      </c>
      <c r="AI22" s="39" t="n">
        <v>37.775</v>
      </c>
      <c r="AJ22" s="39" t="n">
        <v>43.17142857142857</v>
      </c>
      <c r="AK22" s="39" t="n">
        <v>50.36666666666667</v>
      </c>
      <c r="AL22" s="39" t="n">
        <v>60.44</v>
      </c>
      <c r="AM22" s="39" t="n">
        <v>75.55</v>
      </c>
      <c r="AN22" s="39" t="n">
        <v>100.7333333333333</v>
      </c>
      <c r="AO22" s="39" t="n">
        <v>151.1</v>
      </c>
      <c r="AP22" s="39" t="n">
        <v>302.2</v>
      </c>
    </row>
    <row r="23">
      <c r="A23" s="6" t="inlineStr">
        <is>
          <t>P17</t>
        </is>
      </c>
      <c r="B23" s="6" t="inlineStr">
        <is>
          <t>Karitel</t>
        </is>
      </c>
      <c r="C23" s="39" t="n">
        <v>5.94</v>
      </c>
      <c r="D23" s="39" t="n">
        <v>6.252631578947369</v>
      </c>
      <c r="E23" s="39" t="n">
        <v>6.600000000000001</v>
      </c>
      <c r="F23" s="39" t="n">
        <v>6.988235294117648</v>
      </c>
      <c r="G23" s="39" t="n">
        <v>7.425</v>
      </c>
      <c r="H23" s="39" t="n">
        <v>7.920000000000001</v>
      </c>
      <c r="I23" s="39" t="n">
        <v>8.485714285714288</v>
      </c>
      <c r="J23" s="39" t="n">
        <v>9.138461538461538</v>
      </c>
      <c r="K23" s="39" t="n">
        <v>9.9</v>
      </c>
      <c r="L23" s="39" t="n">
        <v>10.8</v>
      </c>
      <c r="M23" s="39" t="n">
        <v>11.88</v>
      </c>
      <c r="N23" s="39" t="n">
        <v>13.2</v>
      </c>
      <c r="O23" s="39" t="n">
        <v>14.85</v>
      </c>
      <c r="P23" s="39" t="n">
        <v>16.97142857142858</v>
      </c>
      <c r="Q23" s="39" t="n">
        <v>19.8</v>
      </c>
      <c r="R23" s="39" t="n">
        <v>23.76</v>
      </c>
      <c r="S23" s="39" t="n">
        <v>29.7</v>
      </c>
      <c r="T23" s="39" t="n">
        <v>39.6</v>
      </c>
      <c r="U23" s="39" t="n">
        <v>59.4</v>
      </c>
      <c r="V23" s="39" t="n">
        <v>118.8</v>
      </c>
      <c r="W23" s="39" t="n">
        <v>15.11</v>
      </c>
      <c r="X23" s="39" t="n">
        <v>15.90526315789474</v>
      </c>
      <c r="Y23" s="39" t="n">
        <v>16.78888888888889</v>
      </c>
      <c r="Z23" s="39" t="n">
        <v>17.77647058823529</v>
      </c>
      <c r="AA23" s="39" t="n">
        <v>18.8875</v>
      </c>
      <c r="AB23" s="39" t="n">
        <v>20.14666666666666</v>
      </c>
      <c r="AC23" s="39" t="n">
        <v>21.58571428571429</v>
      </c>
      <c r="AD23" s="39" t="n">
        <v>23.24615384615385</v>
      </c>
      <c r="AE23" s="39" t="n">
        <v>25.18333333333333</v>
      </c>
      <c r="AF23" s="39" t="n">
        <v>27.47272727272727</v>
      </c>
      <c r="AG23" s="39" t="n">
        <v>30.22</v>
      </c>
      <c r="AH23" s="39" t="n">
        <v>33.57777777777778</v>
      </c>
      <c r="AI23" s="39" t="n">
        <v>37.775</v>
      </c>
      <c r="AJ23" s="39" t="n">
        <v>43.17142857142857</v>
      </c>
      <c r="AK23" s="39" t="n">
        <v>50.36666666666667</v>
      </c>
      <c r="AL23" s="39" t="n">
        <v>60.44</v>
      </c>
      <c r="AM23" s="39" t="n">
        <v>75.55</v>
      </c>
      <c r="AN23" s="39" t="n">
        <v>100.7333333333333</v>
      </c>
      <c r="AO23" s="39" t="n">
        <v>151.1</v>
      </c>
      <c r="AP23" s="39" t="n">
        <v>302.2</v>
      </c>
    </row>
    <row r="24">
      <c r="A24" s="6" t="inlineStr">
        <is>
          <t>P18</t>
        </is>
      </c>
      <c r="B24" s="6" t="inlineStr">
        <is>
          <t>Karitel</t>
        </is>
      </c>
      <c r="C24" s="39" t="n">
        <v>6.58</v>
      </c>
      <c r="D24" s="39" t="n">
        <v>6.926315789473684</v>
      </c>
      <c r="E24" s="39" t="n">
        <v>7.311111111111111</v>
      </c>
      <c r="F24" s="39" t="n">
        <v>7.741176470588235</v>
      </c>
      <c r="G24" s="39" t="n">
        <v>8.225</v>
      </c>
      <c r="H24" s="39" t="n">
        <v>8.773333333333333</v>
      </c>
      <c r="I24" s="39" t="n">
        <v>9.4</v>
      </c>
      <c r="J24" s="39" t="n">
        <v>10.12307692307692</v>
      </c>
      <c r="K24" s="39" t="n">
        <v>10.96666666666667</v>
      </c>
      <c r="L24" s="39" t="n">
        <v>11.96363636363636</v>
      </c>
      <c r="M24" s="39" t="n">
        <v>13.16</v>
      </c>
      <c r="N24" s="39" t="n">
        <v>14.62222222222222</v>
      </c>
      <c r="O24" s="39" t="n">
        <v>16.45</v>
      </c>
      <c r="P24" s="39" t="n">
        <v>18.8</v>
      </c>
      <c r="Q24" s="39" t="n">
        <v>21.93333333333333</v>
      </c>
      <c r="R24" s="39" t="n">
        <v>26.32</v>
      </c>
      <c r="S24" s="39" t="n">
        <v>32.9</v>
      </c>
      <c r="T24" s="39" t="n">
        <v>43.86666666666667</v>
      </c>
      <c r="U24" s="39" t="n">
        <v>65.8</v>
      </c>
      <c r="V24" s="39" t="n">
        <v>131.6</v>
      </c>
      <c r="W24" s="39" t="n">
        <v>15.11</v>
      </c>
      <c r="X24" s="39" t="n">
        <v>15.90526315789474</v>
      </c>
      <c r="Y24" s="39" t="n">
        <v>16.78888888888889</v>
      </c>
      <c r="Z24" s="39" t="n">
        <v>17.77647058823529</v>
      </c>
      <c r="AA24" s="39" t="n">
        <v>18.8875</v>
      </c>
      <c r="AB24" s="39" t="n">
        <v>20.14666666666666</v>
      </c>
      <c r="AC24" s="39" t="n">
        <v>21.58571428571429</v>
      </c>
      <c r="AD24" s="39" t="n">
        <v>23.24615384615385</v>
      </c>
      <c r="AE24" s="39" t="n">
        <v>25.18333333333333</v>
      </c>
      <c r="AF24" s="39" t="n">
        <v>27.47272727272727</v>
      </c>
      <c r="AG24" s="39" t="n">
        <v>30.22</v>
      </c>
      <c r="AH24" s="39" t="n">
        <v>33.57777777777778</v>
      </c>
      <c r="AI24" s="39" t="n">
        <v>37.775</v>
      </c>
      <c r="AJ24" s="39" t="n">
        <v>43.17142857142857</v>
      </c>
      <c r="AK24" s="39" t="n">
        <v>50.36666666666667</v>
      </c>
      <c r="AL24" s="39" t="n">
        <v>60.44</v>
      </c>
      <c r="AM24" s="39" t="n">
        <v>75.55</v>
      </c>
      <c r="AN24" s="39" t="n">
        <v>100.7333333333333</v>
      </c>
      <c r="AO24" s="39" t="n">
        <v>151.1</v>
      </c>
      <c r="AP24" s="39" t="n">
        <v>302.2</v>
      </c>
    </row>
    <row r="25">
      <c r="A25" s="6" t="inlineStr">
        <is>
          <t>P19</t>
        </is>
      </c>
      <c r="B25" s="6" t="inlineStr">
        <is>
          <t>Karitel</t>
        </is>
      </c>
      <c r="C25" s="39" t="n">
        <v>6.3</v>
      </c>
      <c r="D25" s="39" t="n">
        <v>6.631578947368421</v>
      </c>
      <c r="E25" s="39" t="n">
        <v>7</v>
      </c>
      <c r="F25" s="39" t="n">
        <v>7.411764705882353</v>
      </c>
      <c r="G25" s="39" t="n">
        <v>7.874999999999999</v>
      </c>
      <c r="H25" s="39" t="n">
        <v>8.4</v>
      </c>
      <c r="I25" s="39" t="n">
        <v>9</v>
      </c>
      <c r="J25" s="39" t="n">
        <v>9.692307692307692</v>
      </c>
      <c r="K25" s="39" t="n">
        <v>10.5</v>
      </c>
      <c r="L25" s="39" t="n">
        <v>11.45454545454545</v>
      </c>
      <c r="M25" s="39" t="n">
        <v>12.6</v>
      </c>
      <c r="N25" s="39" t="n">
        <v>14</v>
      </c>
      <c r="O25" s="39" t="n">
        <v>15.75</v>
      </c>
      <c r="P25" s="39" t="n">
        <v>18</v>
      </c>
      <c r="Q25" s="39" t="n">
        <v>21</v>
      </c>
      <c r="R25" s="39" t="n">
        <v>25.2</v>
      </c>
      <c r="S25" s="39" t="n">
        <v>31.5</v>
      </c>
      <c r="T25" s="39" t="n">
        <v>42</v>
      </c>
      <c r="U25" s="39" t="n">
        <v>62.99999999999999</v>
      </c>
      <c r="V25" s="39" t="n">
        <v>126</v>
      </c>
      <c r="W25" s="39" t="n">
        <v>15.11</v>
      </c>
      <c r="X25" s="39" t="n">
        <v>15.90526315789474</v>
      </c>
      <c r="Y25" s="39" t="n">
        <v>16.78888888888889</v>
      </c>
      <c r="Z25" s="39" t="n">
        <v>17.77647058823529</v>
      </c>
      <c r="AA25" s="39" t="n">
        <v>18.8875</v>
      </c>
      <c r="AB25" s="39" t="n">
        <v>20.14666666666666</v>
      </c>
      <c r="AC25" s="39" t="n">
        <v>21.58571428571429</v>
      </c>
      <c r="AD25" s="39" t="n">
        <v>23.24615384615385</v>
      </c>
      <c r="AE25" s="39" t="n">
        <v>25.18333333333333</v>
      </c>
      <c r="AF25" s="39" t="n">
        <v>27.47272727272727</v>
      </c>
      <c r="AG25" s="39" t="n">
        <v>30.22</v>
      </c>
      <c r="AH25" s="39" t="n">
        <v>33.57777777777778</v>
      </c>
      <c r="AI25" s="39" t="n">
        <v>37.775</v>
      </c>
      <c r="AJ25" s="39" t="n">
        <v>43.17142857142857</v>
      </c>
      <c r="AK25" s="39" t="n">
        <v>50.36666666666667</v>
      </c>
      <c r="AL25" s="39" t="n">
        <v>60.44</v>
      </c>
      <c r="AM25" s="39" t="n">
        <v>75.55</v>
      </c>
      <c r="AN25" s="39" t="n">
        <v>100.7333333333333</v>
      </c>
      <c r="AO25" s="39" t="n">
        <v>151.1</v>
      </c>
      <c r="AP25" s="39" t="n">
        <v>302.2</v>
      </c>
    </row>
    <row r="26">
      <c r="A26" s="6" t="inlineStr">
        <is>
          <t>P20</t>
        </is>
      </c>
      <c r="B26" s="6" t="inlineStr">
        <is>
          <t>Karitel</t>
        </is>
      </c>
      <c r="C26" s="39" t="n">
        <v>7.21</v>
      </c>
      <c r="D26" s="39" t="n">
        <v>7.589473684210526</v>
      </c>
      <c r="E26" s="39" t="n">
        <v>8.011111111111111</v>
      </c>
      <c r="F26" s="39" t="n">
        <v>8.482352941176471</v>
      </c>
      <c r="G26" s="39" t="n">
        <v>9.012499999999999</v>
      </c>
      <c r="H26" s="39" t="n">
        <v>9.613333333333333</v>
      </c>
      <c r="I26" s="39" t="n">
        <v>10.3</v>
      </c>
      <c r="J26" s="39" t="n">
        <v>11.09230769230769</v>
      </c>
      <c r="K26" s="39" t="n">
        <v>12.01666666666667</v>
      </c>
      <c r="L26" s="39" t="n">
        <v>13.10909090909091</v>
      </c>
      <c r="M26" s="39" t="n">
        <v>14.42</v>
      </c>
      <c r="N26" s="39" t="n">
        <v>16.02222222222222</v>
      </c>
      <c r="O26" s="39" t="n">
        <v>18.025</v>
      </c>
      <c r="P26" s="39" t="n">
        <v>20.6</v>
      </c>
      <c r="Q26" s="39" t="n">
        <v>24.03333333333333</v>
      </c>
      <c r="R26" s="39" t="n">
        <v>28.84</v>
      </c>
      <c r="S26" s="39" t="n">
        <v>36.05</v>
      </c>
      <c r="T26" s="39" t="n">
        <v>48.06666666666667</v>
      </c>
      <c r="U26" s="39" t="n">
        <v>72.09999999999999</v>
      </c>
      <c r="V26" s="39" t="n">
        <v>144.2</v>
      </c>
      <c r="W26" s="39" t="n">
        <v>15.11</v>
      </c>
      <c r="X26" s="39" t="n">
        <v>15.90526315789474</v>
      </c>
      <c r="Y26" s="39" t="n">
        <v>16.78888888888889</v>
      </c>
      <c r="Z26" s="39" t="n">
        <v>17.77647058823529</v>
      </c>
      <c r="AA26" s="39" t="n">
        <v>18.8875</v>
      </c>
      <c r="AB26" s="39" t="n">
        <v>20.14666666666666</v>
      </c>
      <c r="AC26" s="39" t="n">
        <v>21.58571428571429</v>
      </c>
      <c r="AD26" s="39" t="n">
        <v>23.24615384615385</v>
      </c>
      <c r="AE26" s="39" t="n">
        <v>25.18333333333333</v>
      </c>
      <c r="AF26" s="39" t="n">
        <v>27.47272727272727</v>
      </c>
      <c r="AG26" s="39" t="n">
        <v>30.22</v>
      </c>
      <c r="AH26" s="39" t="n">
        <v>33.57777777777778</v>
      </c>
      <c r="AI26" s="39" t="n">
        <v>37.775</v>
      </c>
      <c r="AJ26" s="39" t="n">
        <v>43.17142857142857</v>
      </c>
      <c r="AK26" s="39" t="n">
        <v>50.36666666666667</v>
      </c>
      <c r="AL26" s="39" t="n">
        <v>60.44</v>
      </c>
      <c r="AM26" s="39" t="n">
        <v>75.55</v>
      </c>
      <c r="AN26" s="39" t="n">
        <v>100.7333333333333</v>
      </c>
      <c r="AO26" s="39" t="n">
        <v>151.1</v>
      </c>
      <c r="AP26" s="39" t="n">
        <v>302.2</v>
      </c>
    </row>
    <row r="27">
      <c r="A27" s="6" t="inlineStr">
        <is>
          <t>P21</t>
        </is>
      </c>
      <c r="B27" s="6" t="inlineStr">
        <is>
          <t>Karitel</t>
        </is>
      </c>
      <c r="C27" s="39" t="n">
        <v>6.93</v>
      </c>
      <c r="D27" s="39" t="n">
        <v>7.294736842105263</v>
      </c>
      <c r="E27" s="39" t="n">
        <v>7.699999999999999</v>
      </c>
      <c r="F27" s="39" t="n">
        <v>8.152941176470588</v>
      </c>
      <c r="G27" s="39" t="n">
        <v>8.6625</v>
      </c>
      <c r="H27" s="39" t="n">
        <v>9.24</v>
      </c>
      <c r="I27" s="39" t="n">
        <v>9.9</v>
      </c>
      <c r="J27" s="39" t="n">
        <v>10.66153846153846</v>
      </c>
      <c r="K27" s="39" t="n">
        <v>11.55</v>
      </c>
      <c r="L27" s="39" t="n">
        <v>12.6</v>
      </c>
      <c r="M27" s="39" t="n">
        <v>13.86</v>
      </c>
      <c r="N27" s="39" t="n">
        <v>15.4</v>
      </c>
      <c r="O27" s="39" t="n">
        <v>17.325</v>
      </c>
      <c r="P27" s="39" t="n">
        <v>19.8</v>
      </c>
      <c r="Q27" s="39" t="n">
        <v>23.1</v>
      </c>
      <c r="R27" s="39" t="n">
        <v>27.72</v>
      </c>
      <c r="S27" s="39" t="n">
        <v>34.65</v>
      </c>
      <c r="T27" s="39" t="n">
        <v>46.2</v>
      </c>
      <c r="U27" s="39" t="n">
        <v>69.3</v>
      </c>
      <c r="V27" s="39" t="n">
        <v>138.6</v>
      </c>
      <c r="W27" s="39" t="n">
        <v>15.11</v>
      </c>
      <c r="X27" s="39" t="n">
        <v>15.90526315789474</v>
      </c>
      <c r="Y27" s="39" t="n">
        <v>16.78888888888889</v>
      </c>
      <c r="Z27" s="39" t="n">
        <v>17.77647058823529</v>
      </c>
      <c r="AA27" s="39" t="n">
        <v>18.8875</v>
      </c>
      <c r="AB27" s="39" t="n">
        <v>20.14666666666666</v>
      </c>
      <c r="AC27" s="39" t="n">
        <v>21.58571428571429</v>
      </c>
      <c r="AD27" s="39" t="n">
        <v>23.24615384615385</v>
      </c>
      <c r="AE27" s="39" t="n">
        <v>25.18333333333333</v>
      </c>
      <c r="AF27" s="39" t="n">
        <v>27.47272727272727</v>
      </c>
      <c r="AG27" s="39" t="n">
        <v>30.22</v>
      </c>
      <c r="AH27" s="39" t="n">
        <v>33.57777777777778</v>
      </c>
      <c r="AI27" s="39" t="n">
        <v>37.775</v>
      </c>
      <c r="AJ27" s="39" t="n">
        <v>43.17142857142857</v>
      </c>
      <c r="AK27" s="39" t="n">
        <v>50.36666666666667</v>
      </c>
      <c r="AL27" s="39" t="n">
        <v>60.44</v>
      </c>
      <c r="AM27" s="39" t="n">
        <v>75.55</v>
      </c>
      <c r="AN27" s="39" t="n">
        <v>100.7333333333333</v>
      </c>
      <c r="AO27" s="39" t="n">
        <v>151.1</v>
      </c>
      <c r="AP27" s="39" t="n">
        <v>302.2</v>
      </c>
    </row>
    <row r="28">
      <c r="A28" s="6" t="inlineStr">
        <is>
          <t>P22</t>
        </is>
      </c>
      <c r="B28" s="6" t="inlineStr">
        <is>
          <t>Karitel</t>
        </is>
      </c>
      <c r="C28" s="39" t="n">
        <v>4.62</v>
      </c>
      <c r="D28" s="39" t="n">
        <v>4.863157894736842</v>
      </c>
      <c r="E28" s="39" t="n">
        <v>5.133333333333334</v>
      </c>
      <c r="F28" s="39" t="n">
        <v>5.435294117647059</v>
      </c>
      <c r="G28" s="39" t="n">
        <v>5.774999999999999</v>
      </c>
      <c r="H28" s="39" t="n">
        <v>6.16</v>
      </c>
      <c r="I28" s="39" t="n">
        <v>6.600000000000001</v>
      </c>
      <c r="J28" s="39" t="n">
        <v>7.107692307692307</v>
      </c>
      <c r="K28" s="39" t="n">
        <v>7.7</v>
      </c>
      <c r="L28" s="39" t="n">
        <v>8.4</v>
      </c>
      <c r="M28" s="39" t="n">
        <v>9.24</v>
      </c>
      <c r="N28" s="39" t="n">
        <v>10.26666666666667</v>
      </c>
      <c r="O28" s="39" t="n">
        <v>11.55</v>
      </c>
      <c r="P28" s="39" t="n">
        <v>13.2</v>
      </c>
      <c r="Q28" s="39" t="n">
        <v>15.4</v>
      </c>
      <c r="R28" s="39" t="n">
        <v>18.48</v>
      </c>
      <c r="S28" s="39" t="n">
        <v>23.1</v>
      </c>
      <c r="T28" s="39" t="n">
        <v>30.8</v>
      </c>
      <c r="U28" s="39" t="n">
        <v>46.2</v>
      </c>
      <c r="V28" s="39" t="n">
        <v>92.39999999999999</v>
      </c>
      <c r="W28" s="39" t="n">
        <v>15.11</v>
      </c>
      <c r="X28" s="39" t="n">
        <v>15.90526315789474</v>
      </c>
      <c r="Y28" s="39" t="n">
        <v>16.78888888888889</v>
      </c>
      <c r="Z28" s="39" t="n">
        <v>17.77647058823529</v>
      </c>
      <c r="AA28" s="39" t="n">
        <v>18.8875</v>
      </c>
      <c r="AB28" s="39" t="n">
        <v>20.14666666666666</v>
      </c>
      <c r="AC28" s="39" t="n">
        <v>21.58571428571429</v>
      </c>
      <c r="AD28" s="39" t="n">
        <v>23.24615384615385</v>
      </c>
      <c r="AE28" s="39" t="n">
        <v>25.18333333333333</v>
      </c>
      <c r="AF28" s="39" t="n">
        <v>27.47272727272727</v>
      </c>
      <c r="AG28" s="39" t="n">
        <v>30.22</v>
      </c>
      <c r="AH28" s="39" t="n">
        <v>33.57777777777778</v>
      </c>
      <c r="AI28" s="39" t="n">
        <v>37.775</v>
      </c>
      <c r="AJ28" s="39" t="n">
        <v>43.17142857142857</v>
      </c>
      <c r="AK28" s="39" t="n">
        <v>50.36666666666667</v>
      </c>
      <c r="AL28" s="39" t="n">
        <v>60.44</v>
      </c>
      <c r="AM28" s="39" t="n">
        <v>75.55</v>
      </c>
      <c r="AN28" s="39" t="n">
        <v>100.7333333333333</v>
      </c>
      <c r="AO28" s="39" t="n">
        <v>151.1</v>
      </c>
      <c r="AP28" s="39" t="n">
        <v>302.2</v>
      </c>
    </row>
    <row r="29">
      <c r="A29" s="6" t="inlineStr">
        <is>
          <t>P23</t>
        </is>
      </c>
      <c r="B29" s="6" t="inlineStr">
        <is>
          <t>Karitel</t>
        </is>
      </c>
      <c r="C29" s="39" t="n">
        <v>5.7</v>
      </c>
      <c r="D29" s="39" t="n">
        <v>6.000000000000001</v>
      </c>
      <c r="E29" s="39" t="n">
        <v>6.333333333333333</v>
      </c>
      <c r="F29" s="39" t="n">
        <v>6.705882352941177</v>
      </c>
      <c r="G29" s="39" t="n">
        <v>7.125</v>
      </c>
      <c r="H29" s="39" t="n">
        <v>7.600000000000001</v>
      </c>
      <c r="I29" s="39" t="n">
        <v>8.142857142857144</v>
      </c>
      <c r="J29" s="39" t="n">
        <v>8.76923076923077</v>
      </c>
      <c r="K29" s="39" t="n">
        <v>9.5</v>
      </c>
      <c r="L29" s="39" t="n">
        <v>10.36363636363636</v>
      </c>
      <c r="M29" s="39" t="n">
        <v>11.4</v>
      </c>
      <c r="N29" s="39" t="n">
        <v>12.66666666666667</v>
      </c>
      <c r="O29" s="39" t="n">
        <v>14.25</v>
      </c>
      <c r="P29" s="39" t="n">
        <v>16.28571428571429</v>
      </c>
      <c r="Q29" s="39" t="n">
        <v>19</v>
      </c>
      <c r="R29" s="39" t="n">
        <v>22.8</v>
      </c>
      <c r="S29" s="39" t="n">
        <v>28.5</v>
      </c>
      <c r="T29" s="39" t="n">
        <v>38</v>
      </c>
      <c r="U29" s="39" t="n">
        <v>57</v>
      </c>
      <c r="V29" s="39" t="n">
        <v>114</v>
      </c>
      <c r="W29" s="39" t="n">
        <v>15.11</v>
      </c>
      <c r="X29" s="39" t="n">
        <v>15.90526315789474</v>
      </c>
      <c r="Y29" s="39" t="n">
        <v>16.78888888888889</v>
      </c>
      <c r="Z29" s="39" t="n">
        <v>17.77647058823529</v>
      </c>
      <c r="AA29" s="39" t="n">
        <v>18.8875</v>
      </c>
      <c r="AB29" s="39" t="n">
        <v>20.14666666666666</v>
      </c>
      <c r="AC29" s="39" t="n">
        <v>21.58571428571429</v>
      </c>
      <c r="AD29" s="39" t="n">
        <v>23.24615384615385</v>
      </c>
      <c r="AE29" s="39" t="n">
        <v>25.18333333333333</v>
      </c>
      <c r="AF29" s="39" t="n">
        <v>27.47272727272727</v>
      </c>
      <c r="AG29" s="39" t="n">
        <v>30.22</v>
      </c>
      <c r="AH29" s="39" t="n">
        <v>33.57777777777778</v>
      </c>
      <c r="AI29" s="39" t="n">
        <v>37.775</v>
      </c>
      <c r="AJ29" s="39" t="n">
        <v>43.17142857142857</v>
      </c>
      <c r="AK29" s="39" t="n">
        <v>50.36666666666667</v>
      </c>
      <c r="AL29" s="39" t="n">
        <v>60.44</v>
      </c>
      <c r="AM29" s="39" t="n">
        <v>75.55</v>
      </c>
      <c r="AN29" s="39" t="n">
        <v>100.7333333333333</v>
      </c>
      <c r="AO29" s="39" t="n">
        <v>151.1</v>
      </c>
      <c r="AP29" s="39" t="n">
        <v>302.2</v>
      </c>
    </row>
    <row r="30">
      <c r="A30" s="6" t="inlineStr">
        <is>
          <t>P24</t>
        </is>
      </c>
      <c r="B30" s="6" t="inlineStr">
        <is>
          <t>Karitel</t>
        </is>
      </c>
      <c r="C30" s="39" t="n">
        <v>6.79</v>
      </c>
      <c r="D30" s="39" t="n">
        <v>7.147368421052632</v>
      </c>
      <c r="E30" s="39" t="n">
        <v>7.544444444444444</v>
      </c>
      <c r="F30" s="39" t="n">
        <v>7.988235294117647</v>
      </c>
      <c r="G30" s="39" t="n">
        <v>8.487499999999999</v>
      </c>
      <c r="H30" s="39" t="n">
        <v>9.053333333333333</v>
      </c>
      <c r="I30" s="39" t="n">
        <v>9.700000000000001</v>
      </c>
      <c r="J30" s="39" t="n">
        <v>10.44615384615385</v>
      </c>
      <c r="K30" s="39" t="n">
        <v>11.31666666666667</v>
      </c>
      <c r="L30" s="39" t="n">
        <v>12.34545454545454</v>
      </c>
      <c r="M30" s="39" t="n">
        <v>13.58</v>
      </c>
      <c r="N30" s="39" t="n">
        <v>15.08888888888889</v>
      </c>
      <c r="O30" s="39" t="n">
        <v>16.975</v>
      </c>
      <c r="P30" s="39" t="n">
        <v>19.4</v>
      </c>
      <c r="Q30" s="39" t="n">
        <v>22.63333333333333</v>
      </c>
      <c r="R30" s="39" t="n">
        <v>27.16</v>
      </c>
      <c r="S30" s="39" t="n">
        <v>33.95</v>
      </c>
      <c r="T30" s="39" t="n">
        <v>45.26666666666667</v>
      </c>
      <c r="U30" s="39" t="n">
        <v>67.89999999999999</v>
      </c>
      <c r="V30" s="39" t="n">
        <v>135.8</v>
      </c>
      <c r="W30" s="39" t="n">
        <v>15.11</v>
      </c>
      <c r="X30" s="39" t="n">
        <v>15.90526315789474</v>
      </c>
      <c r="Y30" s="39" t="n">
        <v>16.78888888888889</v>
      </c>
      <c r="Z30" s="39" t="n">
        <v>17.77647058823529</v>
      </c>
      <c r="AA30" s="39" t="n">
        <v>18.8875</v>
      </c>
      <c r="AB30" s="39" t="n">
        <v>20.14666666666666</v>
      </c>
      <c r="AC30" s="39" t="n">
        <v>21.58571428571429</v>
      </c>
      <c r="AD30" s="39" t="n">
        <v>23.24615384615385</v>
      </c>
      <c r="AE30" s="39" t="n">
        <v>25.18333333333333</v>
      </c>
      <c r="AF30" s="39" t="n">
        <v>27.47272727272727</v>
      </c>
      <c r="AG30" s="39" t="n">
        <v>30.22</v>
      </c>
      <c r="AH30" s="39" t="n">
        <v>33.57777777777778</v>
      </c>
      <c r="AI30" s="39" t="n">
        <v>37.775</v>
      </c>
      <c r="AJ30" s="39" t="n">
        <v>43.17142857142857</v>
      </c>
      <c r="AK30" s="39" t="n">
        <v>50.36666666666667</v>
      </c>
      <c r="AL30" s="39" t="n">
        <v>60.44</v>
      </c>
      <c r="AM30" s="39" t="n">
        <v>75.55</v>
      </c>
      <c r="AN30" s="39" t="n">
        <v>100.7333333333333</v>
      </c>
      <c r="AO30" s="39" t="n">
        <v>151.1</v>
      </c>
      <c r="AP30" s="39" t="n">
        <v>302.2</v>
      </c>
    </row>
    <row r="31">
      <c r="A31" s="6" t="inlineStr">
        <is>
          <t>P25</t>
        </is>
      </c>
      <c r="B31" s="6" t="inlineStr">
        <is>
          <t>Karitel</t>
        </is>
      </c>
      <c r="C31" s="39" t="n">
        <v>5.8</v>
      </c>
      <c r="D31" s="39" t="n">
        <v>6.105263157894737</v>
      </c>
      <c r="E31" s="39" t="n">
        <v>6.444444444444444</v>
      </c>
      <c r="F31" s="39" t="n">
        <v>6.823529411764706</v>
      </c>
      <c r="G31" s="39" t="n">
        <v>7.249999999999999</v>
      </c>
      <c r="H31" s="39" t="n">
        <v>7.733333333333333</v>
      </c>
      <c r="I31" s="39" t="n">
        <v>8.285714285714286</v>
      </c>
      <c r="J31" s="39" t="n">
        <v>8.923076923076923</v>
      </c>
      <c r="K31" s="39" t="n">
        <v>9.666666666666666</v>
      </c>
      <c r="L31" s="39" t="n">
        <v>10.54545454545454</v>
      </c>
      <c r="M31" s="39" t="n">
        <v>11.6</v>
      </c>
      <c r="N31" s="39" t="n">
        <v>12.88888888888889</v>
      </c>
      <c r="O31" s="39" t="n">
        <v>14.5</v>
      </c>
      <c r="P31" s="39" t="n">
        <v>16.57142857142857</v>
      </c>
      <c r="Q31" s="39" t="n">
        <v>19.33333333333333</v>
      </c>
      <c r="R31" s="39" t="n">
        <v>23.2</v>
      </c>
      <c r="S31" s="39" t="n">
        <v>29</v>
      </c>
      <c r="T31" s="39" t="n">
        <v>38.66666666666666</v>
      </c>
      <c r="U31" s="39" t="n">
        <v>57.99999999999999</v>
      </c>
      <c r="V31" s="39" t="n">
        <v>116</v>
      </c>
      <c r="W31" s="39" t="n">
        <v>12.17</v>
      </c>
      <c r="X31" s="39" t="n">
        <v>12.81052631578947</v>
      </c>
      <c r="Y31" s="39" t="n">
        <v>13.52222222222222</v>
      </c>
      <c r="Z31" s="39" t="n">
        <v>14.31764705882353</v>
      </c>
      <c r="AA31" s="39" t="n">
        <v>15.2125</v>
      </c>
      <c r="AB31" s="39" t="n">
        <v>16.22666666666667</v>
      </c>
      <c r="AC31" s="39" t="n">
        <v>17.38571428571429</v>
      </c>
      <c r="AD31" s="39" t="n">
        <v>18.72307692307692</v>
      </c>
      <c r="AE31" s="39" t="n">
        <v>20.28333333333333</v>
      </c>
      <c r="AF31" s="39" t="n">
        <v>22.12727272727273</v>
      </c>
      <c r="AG31" s="39" t="n">
        <v>24.34</v>
      </c>
      <c r="AH31" s="39" t="n">
        <v>27.04444444444444</v>
      </c>
      <c r="AI31" s="39" t="n">
        <v>30.425</v>
      </c>
      <c r="AJ31" s="39" t="n">
        <v>34.77142857142857</v>
      </c>
      <c r="AK31" s="39" t="n">
        <v>40.56666666666667</v>
      </c>
      <c r="AL31" s="39" t="n">
        <v>48.68</v>
      </c>
      <c r="AM31" s="39" t="n">
        <v>60.84999999999999</v>
      </c>
      <c r="AN31" s="39" t="n">
        <v>81.13333333333334</v>
      </c>
      <c r="AO31" s="39" t="n">
        <v>121.7</v>
      </c>
      <c r="AP31" s="39" t="n">
        <v>243.4</v>
      </c>
    </row>
    <row r="32">
      <c r="A32" s="6" t="inlineStr">
        <is>
          <t>P26</t>
        </is>
      </c>
      <c r="B32" s="6" t="inlineStr">
        <is>
          <t>Karitel</t>
        </is>
      </c>
      <c r="C32" s="39" t="n">
        <v>5.46</v>
      </c>
      <c r="D32" s="39" t="n">
        <v>5.747368421052632</v>
      </c>
      <c r="E32" s="39" t="n">
        <v>6.066666666666666</v>
      </c>
      <c r="F32" s="39" t="n">
        <v>6.423529411764706</v>
      </c>
      <c r="G32" s="39" t="n">
        <v>6.824999999999999</v>
      </c>
      <c r="H32" s="39" t="n">
        <v>7.28</v>
      </c>
      <c r="I32" s="39" t="n">
        <v>7.800000000000001</v>
      </c>
      <c r="J32" s="39" t="n">
        <v>8.4</v>
      </c>
      <c r="K32" s="39" t="n">
        <v>9.1</v>
      </c>
      <c r="L32" s="39" t="n">
        <v>9.927272727272726</v>
      </c>
      <c r="M32" s="39" t="n">
        <v>10.92</v>
      </c>
      <c r="N32" s="39" t="n">
        <v>12.13333333333333</v>
      </c>
      <c r="O32" s="39" t="n">
        <v>13.65</v>
      </c>
      <c r="P32" s="39" t="n">
        <v>15.6</v>
      </c>
      <c r="Q32" s="39" t="n">
        <v>18.2</v>
      </c>
      <c r="R32" s="39" t="n">
        <v>21.84</v>
      </c>
      <c r="S32" s="39" t="n">
        <v>27.3</v>
      </c>
      <c r="T32" s="39" t="n">
        <v>36.4</v>
      </c>
      <c r="U32" s="39" t="n">
        <v>54.59999999999999</v>
      </c>
      <c r="V32" s="39" t="n">
        <v>109.2</v>
      </c>
      <c r="W32" s="39" t="n">
        <v>15.11</v>
      </c>
      <c r="X32" s="39" t="n">
        <v>15.90526315789474</v>
      </c>
      <c r="Y32" s="39" t="n">
        <v>16.78888888888889</v>
      </c>
      <c r="Z32" s="39" t="n">
        <v>17.77647058823529</v>
      </c>
      <c r="AA32" s="39" t="n">
        <v>18.8875</v>
      </c>
      <c r="AB32" s="39" t="n">
        <v>20.14666666666666</v>
      </c>
      <c r="AC32" s="39" t="n">
        <v>21.58571428571429</v>
      </c>
      <c r="AD32" s="39" t="n">
        <v>23.24615384615385</v>
      </c>
      <c r="AE32" s="39" t="n">
        <v>25.18333333333333</v>
      </c>
      <c r="AF32" s="39" t="n">
        <v>27.47272727272727</v>
      </c>
      <c r="AG32" s="39" t="n">
        <v>30.22</v>
      </c>
      <c r="AH32" s="39" t="n">
        <v>33.57777777777778</v>
      </c>
      <c r="AI32" s="39" t="n">
        <v>37.775</v>
      </c>
      <c r="AJ32" s="39" t="n">
        <v>43.17142857142857</v>
      </c>
      <c r="AK32" s="39" t="n">
        <v>50.36666666666667</v>
      </c>
      <c r="AL32" s="39" t="n">
        <v>60.44</v>
      </c>
      <c r="AM32" s="39" t="n">
        <v>75.55</v>
      </c>
      <c r="AN32" s="39" t="n">
        <v>100.7333333333333</v>
      </c>
      <c r="AO32" s="39" t="n">
        <v>151.1</v>
      </c>
      <c r="AP32" s="39" t="n">
        <v>302.2</v>
      </c>
    </row>
    <row r="33">
      <c r="A33" s="6" t="inlineStr">
        <is>
          <t>P27</t>
        </is>
      </c>
      <c r="B33" s="6" t="inlineStr">
        <is>
          <t>Karitel</t>
        </is>
      </c>
      <c r="C33" s="39" t="n">
        <v>4.4</v>
      </c>
      <c r="D33" s="39" t="n">
        <v>4.631578947368421</v>
      </c>
      <c r="E33" s="39" t="n">
        <v>4.888888888888889</v>
      </c>
      <c r="F33" s="39" t="n">
        <v>5.176470588235294</v>
      </c>
      <c r="G33" s="39" t="n">
        <v>5.5</v>
      </c>
      <c r="H33" s="39" t="n">
        <v>5.866666666666667</v>
      </c>
      <c r="I33" s="39" t="n">
        <v>6.285714285714286</v>
      </c>
      <c r="J33" s="39" t="n">
        <v>6.769230769230769</v>
      </c>
      <c r="K33" s="39" t="n">
        <v>7.333333333333334</v>
      </c>
      <c r="L33" s="39" t="n">
        <v>8</v>
      </c>
      <c r="M33" s="39" t="n">
        <v>8.800000000000001</v>
      </c>
      <c r="N33" s="39" t="n">
        <v>9.777777777777779</v>
      </c>
      <c r="O33" s="39" t="n">
        <v>11</v>
      </c>
      <c r="P33" s="39" t="n">
        <v>12.57142857142857</v>
      </c>
      <c r="Q33" s="39" t="n">
        <v>14.66666666666667</v>
      </c>
      <c r="R33" s="39" t="n">
        <v>17.6</v>
      </c>
      <c r="S33" s="39" t="n">
        <v>22</v>
      </c>
      <c r="T33" s="39" t="n">
        <v>29.33333333333334</v>
      </c>
      <c r="U33" s="39" t="n">
        <v>44</v>
      </c>
      <c r="V33" s="39" t="n">
        <v>88</v>
      </c>
      <c r="W33" s="39" t="n">
        <v>12.17</v>
      </c>
      <c r="X33" s="39" t="n">
        <v>12.81052631578947</v>
      </c>
      <c r="Y33" s="39" t="n">
        <v>13.52222222222222</v>
      </c>
      <c r="Z33" s="39" t="n">
        <v>14.31764705882353</v>
      </c>
      <c r="AA33" s="39" t="n">
        <v>15.2125</v>
      </c>
      <c r="AB33" s="39" t="n">
        <v>16.22666666666667</v>
      </c>
      <c r="AC33" s="39" t="n">
        <v>17.38571428571429</v>
      </c>
      <c r="AD33" s="39" t="n">
        <v>18.72307692307692</v>
      </c>
      <c r="AE33" s="39" t="n">
        <v>20.28333333333333</v>
      </c>
      <c r="AF33" s="39" t="n">
        <v>22.12727272727273</v>
      </c>
      <c r="AG33" s="39" t="n">
        <v>24.34</v>
      </c>
      <c r="AH33" s="39" t="n">
        <v>27.04444444444444</v>
      </c>
      <c r="AI33" s="39" t="n">
        <v>30.425</v>
      </c>
      <c r="AJ33" s="39" t="n">
        <v>34.77142857142857</v>
      </c>
      <c r="AK33" s="39" t="n">
        <v>40.56666666666667</v>
      </c>
      <c r="AL33" s="39" t="n">
        <v>48.68</v>
      </c>
      <c r="AM33" s="39" t="n">
        <v>60.84999999999999</v>
      </c>
      <c r="AN33" s="39" t="n">
        <v>81.13333333333334</v>
      </c>
      <c r="AO33" s="39" t="n">
        <v>121.7</v>
      </c>
      <c r="AP33" s="39" t="n">
        <v>243.4</v>
      </c>
    </row>
    <row r="34">
      <c r="A34" s="6" t="inlineStr">
        <is>
          <t>P28</t>
        </is>
      </c>
      <c r="B34" s="6" t="inlineStr">
        <is>
          <t>Karitel</t>
        </is>
      </c>
      <c r="C34" s="39" t="n">
        <v>6.435</v>
      </c>
      <c r="D34" s="39" t="n">
        <v>6.773684210526316</v>
      </c>
      <c r="E34" s="39" t="n">
        <v>7.149999999999999</v>
      </c>
      <c r="F34" s="39" t="n">
        <v>7.570588235294117</v>
      </c>
      <c r="G34" s="39" t="n">
        <v>8.043749999999999</v>
      </c>
      <c r="H34" s="39" t="n">
        <v>8.58</v>
      </c>
      <c r="I34" s="39" t="n">
        <v>9.192857142857143</v>
      </c>
      <c r="J34" s="39" t="n">
        <v>9.899999999999999</v>
      </c>
      <c r="K34" s="39" t="n">
        <v>10.725</v>
      </c>
      <c r="L34" s="39" t="n">
        <v>11.7</v>
      </c>
      <c r="M34" s="39" t="n">
        <v>12.87</v>
      </c>
      <c r="N34" s="39" t="n">
        <v>14.3</v>
      </c>
      <c r="O34" s="39" t="n">
        <v>16.0875</v>
      </c>
      <c r="P34" s="39" t="n">
        <v>18.38571428571429</v>
      </c>
      <c r="Q34" s="39" t="n">
        <v>21.45</v>
      </c>
      <c r="R34" s="39" t="n">
        <v>25.74</v>
      </c>
      <c r="S34" s="39" t="n">
        <v>32.175</v>
      </c>
      <c r="T34" s="39" t="n">
        <v>42.9</v>
      </c>
      <c r="U34" s="39" t="n">
        <v>64.34999999999999</v>
      </c>
      <c r="V34" s="39" t="n">
        <v>128.7</v>
      </c>
      <c r="W34" s="39" t="n">
        <v>14.13</v>
      </c>
      <c r="X34" s="39" t="n">
        <v>14.87368421052632</v>
      </c>
      <c r="Y34" s="39" t="n">
        <v>15.7</v>
      </c>
      <c r="Z34" s="39" t="n">
        <v>16.62352941176471</v>
      </c>
      <c r="AA34" s="39" t="n">
        <v>17.6625</v>
      </c>
      <c r="AB34" s="39" t="n">
        <v>18.84</v>
      </c>
      <c r="AC34" s="39" t="n">
        <v>20.18571428571429</v>
      </c>
      <c r="AD34" s="39" t="n">
        <v>21.73846153846154</v>
      </c>
      <c r="AE34" s="39" t="n">
        <v>23.55</v>
      </c>
      <c r="AF34" s="39" t="n">
        <v>25.69090909090909</v>
      </c>
      <c r="AG34" s="39" t="n">
        <v>28.26</v>
      </c>
      <c r="AH34" s="39" t="n">
        <v>31.4</v>
      </c>
      <c r="AI34" s="39" t="n">
        <v>35.325</v>
      </c>
      <c r="AJ34" s="39" t="n">
        <v>40.37142857142857</v>
      </c>
      <c r="AK34" s="39" t="n">
        <v>47.1</v>
      </c>
      <c r="AL34" s="39" t="n">
        <v>56.52</v>
      </c>
      <c r="AM34" s="39" t="n">
        <v>70.65000000000001</v>
      </c>
      <c r="AN34" s="39" t="n">
        <v>94.2</v>
      </c>
      <c r="AO34" s="39" t="n">
        <v>141.3</v>
      </c>
      <c r="AP34" s="39" t="n">
        <v>282.6</v>
      </c>
    </row>
    <row r="35">
      <c r="A35" s="6" t="inlineStr">
        <is>
          <t>P29</t>
        </is>
      </c>
      <c r="B35" s="6" t="inlineStr">
        <is>
          <t>Karitel</t>
        </is>
      </c>
      <c r="C35" s="39" t="n">
        <v>5.14</v>
      </c>
      <c r="D35" s="39" t="n">
        <v>5.410526315789474</v>
      </c>
      <c r="E35" s="39" t="n">
        <v>5.71111111111111</v>
      </c>
      <c r="F35" s="39" t="n">
        <v>6.047058823529412</v>
      </c>
      <c r="G35" s="39" t="n">
        <v>6.424999999999999</v>
      </c>
      <c r="H35" s="39" t="n">
        <v>6.853333333333333</v>
      </c>
      <c r="I35" s="39" t="n">
        <v>7.342857142857143</v>
      </c>
      <c r="J35" s="39" t="n">
        <v>7.907692307692307</v>
      </c>
      <c r="K35" s="39" t="n">
        <v>8.566666666666666</v>
      </c>
      <c r="L35" s="39" t="n">
        <v>9.345454545454544</v>
      </c>
      <c r="M35" s="39" t="n">
        <v>10.28</v>
      </c>
      <c r="N35" s="39" t="n">
        <v>11.42222222222222</v>
      </c>
      <c r="O35" s="39" t="n">
        <v>12.85</v>
      </c>
      <c r="P35" s="39" t="n">
        <v>14.68571428571429</v>
      </c>
      <c r="Q35" s="39" t="n">
        <v>17.13333333333333</v>
      </c>
      <c r="R35" s="39" t="n">
        <v>20.56</v>
      </c>
      <c r="S35" s="39" t="n">
        <v>25.7</v>
      </c>
      <c r="T35" s="39" t="n">
        <v>34.26666666666667</v>
      </c>
      <c r="U35" s="39" t="n">
        <v>51.39999999999999</v>
      </c>
      <c r="V35" s="39" t="n">
        <v>102.8</v>
      </c>
      <c r="W35" s="39" t="n">
        <v>10.79</v>
      </c>
      <c r="X35" s="39" t="n">
        <v>11.35789473684211</v>
      </c>
      <c r="Y35" s="39" t="n">
        <v>11.98888888888889</v>
      </c>
      <c r="Z35" s="39" t="n">
        <v>12.69411764705882</v>
      </c>
      <c r="AA35" s="39" t="n">
        <v>13.4875</v>
      </c>
      <c r="AB35" s="39" t="n">
        <v>14.38666666666666</v>
      </c>
      <c r="AC35" s="39" t="n">
        <v>15.41428571428571</v>
      </c>
      <c r="AD35" s="39" t="n">
        <v>16.6</v>
      </c>
      <c r="AE35" s="39" t="n">
        <v>17.98333333333333</v>
      </c>
      <c r="AF35" s="39" t="n">
        <v>19.61818181818181</v>
      </c>
      <c r="AG35" s="39" t="n">
        <v>21.58</v>
      </c>
      <c r="AH35" s="39" t="n">
        <v>23.97777777777777</v>
      </c>
      <c r="AI35" s="39" t="n">
        <v>26.975</v>
      </c>
      <c r="AJ35" s="39" t="n">
        <v>30.82857142857143</v>
      </c>
      <c r="AK35" s="39" t="n">
        <v>35.96666666666667</v>
      </c>
      <c r="AL35" s="39" t="n">
        <v>43.16</v>
      </c>
      <c r="AM35" s="39" t="n">
        <v>53.95</v>
      </c>
      <c r="AN35" s="39" t="n">
        <v>71.93333333333334</v>
      </c>
      <c r="AO35" s="39" t="n">
        <v>107.9</v>
      </c>
      <c r="AP35" s="39" t="n">
        <v>215.8</v>
      </c>
    </row>
    <row r="36">
      <c r="A36" s="6" t="inlineStr">
        <is>
          <t>P30</t>
        </is>
      </c>
      <c r="B36" s="6" t="inlineStr">
        <is>
          <t>Karitel</t>
        </is>
      </c>
      <c r="C36" s="39" t="n">
        <v>6.36</v>
      </c>
      <c r="D36" s="39" t="n">
        <v>6.694736842105264</v>
      </c>
      <c r="E36" s="39" t="n">
        <v>7.066666666666666</v>
      </c>
      <c r="F36" s="39" t="n">
        <v>7.482352941176472</v>
      </c>
      <c r="G36" s="39" t="n">
        <v>7.95</v>
      </c>
      <c r="H36" s="39" t="n">
        <v>8.48</v>
      </c>
      <c r="I36" s="39" t="n">
        <v>9.085714285714287</v>
      </c>
      <c r="J36" s="39" t="n">
        <v>9.784615384615385</v>
      </c>
      <c r="K36" s="39" t="n">
        <v>10.6</v>
      </c>
      <c r="L36" s="39" t="n">
        <v>11.56363636363636</v>
      </c>
      <c r="M36" s="39" t="n">
        <v>12.72</v>
      </c>
      <c r="N36" s="39" t="n">
        <v>14.13333333333333</v>
      </c>
      <c r="O36" s="39" t="n">
        <v>15.9</v>
      </c>
      <c r="P36" s="39" t="n">
        <v>18.17142857142857</v>
      </c>
      <c r="Q36" s="39" t="n">
        <v>21.2</v>
      </c>
      <c r="R36" s="39" t="n">
        <v>25.44</v>
      </c>
      <c r="S36" s="39" t="n">
        <v>31.8</v>
      </c>
      <c r="T36" s="39" t="n">
        <v>42.40000000000001</v>
      </c>
      <c r="U36" s="39" t="n">
        <v>63.6</v>
      </c>
      <c r="V36" s="39" t="n">
        <v>127.2</v>
      </c>
      <c r="W36" s="39" t="n">
        <v>15.11</v>
      </c>
      <c r="X36" s="39" t="n">
        <v>15.90526315789474</v>
      </c>
      <c r="Y36" s="39" t="n">
        <v>16.78888888888889</v>
      </c>
      <c r="Z36" s="39" t="n">
        <v>17.77647058823529</v>
      </c>
      <c r="AA36" s="39" t="n">
        <v>18.8875</v>
      </c>
      <c r="AB36" s="39" t="n">
        <v>20.14666666666666</v>
      </c>
      <c r="AC36" s="39" t="n">
        <v>21.58571428571429</v>
      </c>
      <c r="AD36" s="39" t="n">
        <v>23.24615384615385</v>
      </c>
      <c r="AE36" s="39" t="n">
        <v>25.18333333333333</v>
      </c>
      <c r="AF36" s="39" t="n">
        <v>27.47272727272727</v>
      </c>
      <c r="AG36" s="39" t="n">
        <v>30.22</v>
      </c>
      <c r="AH36" s="39" t="n">
        <v>33.57777777777778</v>
      </c>
      <c r="AI36" s="39" t="n">
        <v>37.775</v>
      </c>
      <c r="AJ36" s="39" t="n">
        <v>43.17142857142857</v>
      </c>
      <c r="AK36" s="39" t="n">
        <v>50.36666666666667</v>
      </c>
      <c r="AL36" s="39" t="n">
        <v>60.44</v>
      </c>
      <c r="AM36" s="39" t="n">
        <v>75.55</v>
      </c>
      <c r="AN36" s="39" t="n">
        <v>100.7333333333333</v>
      </c>
      <c r="AO36" s="39" t="n">
        <v>151.1</v>
      </c>
      <c r="AP36" s="39" t="n">
        <v>302.2</v>
      </c>
    </row>
    <row r="37">
      <c r="A37" s="6" t="inlineStr">
        <is>
          <t>P31</t>
        </is>
      </c>
      <c r="B37" s="6" t="inlineStr">
        <is>
          <t>Karitel</t>
        </is>
      </c>
      <c r="C37" s="39" t="n">
        <v>6.42</v>
      </c>
      <c r="D37" s="39" t="n">
        <v>6.757894736842106</v>
      </c>
      <c r="E37" s="39" t="n">
        <v>7.133333333333333</v>
      </c>
      <c r="F37" s="39" t="n">
        <v>7.552941176470588</v>
      </c>
      <c r="G37" s="39" t="n">
        <v>8.024999999999999</v>
      </c>
      <c r="H37" s="39" t="n">
        <v>8.56</v>
      </c>
      <c r="I37" s="39" t="n">
        <v>9.171428571428573</v>
      </c>
      <c r="J37" s="39" t="n">
        <v>9.876923076923077</v>
      </c>
      <c r="K37" s="39" t="n">
        <v>10.7</v>
      </c>
      <c r="L37" s="39" t="n">
        <v>11.67272727272727</v>
      </c>
      <c r="M37" s="39" t="n">
        <v>12.84</v>
      </c>
      <c r="N37" s="39" t="n">
        <v>14.26666666666667</v>
      </c>
      <c r="O37" s="39" t="n">
        <v>16.05</v>
      </c>
      <c r="P37" s="39" t="n">
        <v>18.34285714285715</v>
      </c>
      <c r="Q37" s="39" t="n">
        <v>21.4</v>
      </c>
      <c r="R37" s="39" t="n">
        <v>25.68</v>
      </c>
      <c r="S37" s="39" t="n">
        <v>32.09999999999999</v>
      </c>
      <c r="T37" s="39" t="n">
        <v>42.8</v>
      </c>
      <c r="U37" s="39" t="n">
        <v>64.19999999999999</v>
      </c>
      <c r="V37" s="39" t="n">
        <v>128.4</v>
      </c>
      <c r="W37" s="39" t="n">
        <v>15.11</v>
      </c>
      <c r="X37" s="39" t="n">
        <v>15.90526315789474</v>
      </c>
      <c r="Y37" s="39" t="n">
        <v>16.78888888888889</v>
      </c>
      <c r="Z37" s="39" t="n">
        <v>17.77647058823529</v>
      </c>
      <c r="AA37" s="39" t="n">
        <v>18.8875</v>
      </c>
      <c r="AB37" s="39" t="n">
        <v>20.14666666666666</v>
      </c>
      <c r="AC37" s="39" t="n">
        <v>21.58571428571429</v>
      </c>
      <c r="AD37" s="39" t="n">
        <v>23.24615384615385</v>
      </c>
      <c r="AE37" s="39" t="n">
        <v>25.18333333333333</v>
      </c>
      <c r="AF37" s="39" t="n">
        <v>27.47272727272727</v>
      </c>
      <c r="AG37" s="39" t="n">
        <v>30.22</v>
      </c>
      <c r="AH37" s="39" t="n">
        <v>33.57777777777778</v>
      </c>
      <c r="AI37" s="39" t="n">
        <v>37.775</v>
      </c>
      <c r="AJ37" s="39" t="n">
        <v>43.17142857142857</v>
      </c>
      <c r="AK37" s="39" t="n">
        <v>50.36666666666667</v>
      </c>
      <c r="AL37" s="39" t="n">
        <v>60.44</v>
      </c>
      <c r="AM37" s="39" t="n">
        <v>75.55</v>
      </c>
      <c r="AN37" s="39" t="n">
        <v>100.7333333333333</v>
      </c>
      <c r="AO37" s="39" t="n">
        <v>151.1</v>
      </c>
      <c r="AP37" s="39" t="n">
        <v>302.2</v>
      </c>
    </row>
    <row r="38">
      <c r="A38" s="6" t="inlineStr">
        <is>
          <t>P32</t>
        </is>
      </c>
      <c r="B38" s="6" t="inlineStr">
        <is>
          <t>Karitel</t>
        </is>
      </c>
      <c r="C38" s="39" t="n">
        <v>6.695</v>
      </c>
      <c r="D38" s="39" t="n">
        <v>7.047368421052632</v>
      </c>
      <c r="E38" s="39" t="n">
        <v>7.438888888888889</v>
      </c>
      <c r="F38" s="39" t="n">
        <v>7.876470588235295</v>
      </c>
      <c r="G38" s="39" t="n">
        <v>8.36875</v>
      </c>
      <c r="H38" s="39" t="n">
        <v>8.926666666666668</v>
      </c>
      <c r="I38" s="39" t="n">
        <v>9.564285714285715</v>
      </c>
      <c r="J38" s="39" t="n">
        <v>10.3</v>
      </c>
      <c r="K38" s="39" t="n">
        <v>11.15833333333333</v>
      </c>
      <c r="L38" s="39" t="n">
        <v>12.17272727272727</v>
      </c>
      <c r="M38" s="39" t="n">
        <v>13.39</v>
      </c>
      <c r="N38" s="39" t="n">
        <v>14.87777777777778</v>
      </c>
      <c r="O38" s="39" t="n">
        <v>16.7375</v>
      </c>
      <c r="P38" s="39" t="n">
        <v>19.12857142857143</v>
      </c>
      <c r="Q38" s="39" t="n">
        <v>22.31666666666667</v>
      </c>
      <c r="R38" s="39" t="n">
        <v>26.78</v>
      </c>
      <c r="S38" s="39" t="n">
        <v>33.475</v>
      </c>
      <c r="T38" s="39" t="n">
        <v>44.63333333333334</v>
      </c>
      <c r="U38" s="39" t="n">
        <v>66.95</v>
      </c>
      <c r="V38" s="39" t="n">
        <v>133.9</v>
      </c>
      <c r="W38" s="39" t="n">
        <v>14.5</v>
      </c>
      <c r="X38" s="39" t="n">
        <v>15.26315789473684</v>
      </c>
      <c r="Y38" s="39" t="n">
        <v>16.11111111111111</v>
      </c>
      <c r="Z38" s="39" t="n">
        <v>17.05882352941176</v>
      </c>
      <c r="AA38" s="39" t="n">
        <v>18.125</v>
      </c>
      <c r="AB38" s="39" t="n">
        <v>19.33333333333333</v>
      </c>
      <c r="AC38" s="39" t="n">
        <v>20.71428571428572</v>
      </c>
      <c r="AD38" s="39" t="n">
        <v>22.30769230769231</v>
      </c>
      <c r="AE38" s="39" t="n">
        <v>24.16666666666667</v>
      </c>
      <c r="AF38" s="39" t="n">
        <v>26.36363636363636</v>
      </c>
      <c r="AG38" s="39" t="n">
        <v>29</v>
      </c>
      <c r="AH38" s="39" t="n">
        <v>32.22222222222221</v>
      </c>
      <c r="AI38" s="39" t="n">
        <v>36.25</v>
      </c>
      <c r="AJ38" s="39" t="n">
        <v>41.42857142857142</v>
      </c>
      <c r="AK38" s="39" t="n">
        <v>48.33333333333334</v>
      </c>
      <c r="AL38" s="39" t="n">
        <v>57.99999999999999</v>
      </c>
      <c r="AM38" s="39" t="n">
        <v>72.5</v>
      </c>
      <c r="AN38" s="39" t="n">
        <v>96.66666666666664</v>
      </c>
      <c r="AO38" s="39" t="n">
        <v>145</v>
      </c>
      <c r="AP38" s="39" t="n">
        <v>289.9999999999999</v>
      </c>
    </row>
    <row r="39">
      <c r="A39" s="6" t="inlineStr">
        <is>
          <t>P33</t>
        </is>
      </c>
      <c r="B39" s="6" t="inlineStr">
        <is>
          <t>Karitel</t>
        </is>
      </c>
      <c r="C39" s="39" t="n">
        <v>6</v>
      </c>
      <c r="D39" s="39" t="n">
        <v>6.315789473684211</v>
      </c>
      <c r="E39" s="39" t="n">
        <v>6.666666666666666</v>
      </c>
      <c r="F39" s="39" t="n">
        <v>7.058823529411764</v>
      </c>
      <c r="G39" s="39" t="n">
        <v>7.5</v>
      </c>
      <c r="H39" s="39" t="n">
        <v>8</v>
      </c>
      <c r="I39" s="39" t="n">
        <v>8.571428571428571</v>
      </c>
      <c r="J39" s="39" t="n">
        <v>9.23076923076923</v>
      </c>
      <c r="K39" s="39" t="n">
        <v>10</v>
      </c>
      <c r="L39" s="39" t="n">
        <v>10.90909090909091</v>
      </c>
      <c r="M39" s="39" t="n">
        <v>12</v>
      </c>
      <c r="N39" s="39" t="n">
        <v>13.33333333333333</v>
      </c>
      <c r="O39" s="39" t="n">
        <v>15</v>
      </c>
      <c r="P39" s="39" t="n">
        <v>17.14285714285714</v>
      </c>
      <c r="Q39" s="39" t="n">
        <v>20</v>
      </c>
      <c r="R39" s="39" t="n">
        <v>24</v>
      </c>
      <c r="S39" s="39" t="n">
        <v>30</v>
      </c>
      <c r="T39" s="39" t="n">
        <v>40</v>
      </c>
      <c r="U39" s="39" t="n">
        <v>60</v>
      </c>
      <c r="V39" s="39" t="n">
        <v>120</v>
      </c>
      <c r="W39" s="39" t="n">
        <v>14.18</v>
      </c>
      <c r="X39" s="39" t="n">
        <v>14.92631578947369</v>
      </c>
      <c r="Y39" s="39" t="n">
        <v>15.75555555555555</v>
      </c>
      <c r="Z39" s="39" t="n">
        <v>16.68235294117647</v>
      </c>
      <c r="AA39" s="39" t="n">
        <v>17.725</v>
      </c>
      <c r="AB39" s="39" t="n">
        <v>18.90666666666667</v>
      </c>
      <c r="AC39" s="39" t="n">
        <v>20.25714285714286</v>
      </c>
      <c r="AD39" s="39" t="n">
        <v>21.81538461538461</v>
      </c>
      <c r="AE39" s="39" t="n">
        <v>23.63333333333333</v>
      </c>
      <c r="AF39" s="39" t="n">
        <v>25.78181818181818</v>
      </c>
      <c r="AG39" s="39" t="n">
        <v>28.36</v>
      </c>
      <c r="AH39" s="39" t="n">
        <v>31.51111111111111</v>
      </c>
      <c r="AI39" s="39" t="n">
        <v>35.45</v>
      </c>
      <c r="AJ39" s="39" t="n">
        <v>40.51428571428572</v>
      </c>
      <c r="AK39" s="39" t="n">
        <v>47.26666666666667</v>
      </c>
      <c r="AL39" s="39" t="n">
        <v>56.72000000000001</v>
      </c>
      <c r="AM39" s="39" t="n">
        <v>70.89999999999999</v>
      </c>
      <c r="AN39" s="39" t="n">
        <v>94.53333333333335</v>
      </c>
      <c r="AO39" s="39" t="n">
        <v>141.8</v>
      </c>
      <c r="AP39" s="39" t="n">
        <v>283.6</v>
      </c>
    </row>
    <row r="40">
      <c r="A40" s="6" t="inlineStr">
        <is>
          <t>P34</t>
        </is>
      </c>
      <c r="B40" s="6" t="inlineStr">
        <is>
          <t>Karitel</t>
        </is>
      </c>
      <c r="C40" s="39" t="n">
        <v>6.72</v>
      </c>
      <c r="D40" s="39" t="n">
        <v>7.073684210526316</v>
      </c>
      <c r="E40" s="39" t="n">
        <v>7.466666666666666</v>
      </c>
      <c r="F40" s="39" t="n">
        <v>7.905882352941177</v>
      </c>
      <c r="G40" s="39" t="n">
        <v>8.399999999999999</v>
      </c>
      <c r="H40" s="39" t="n">
        <v>8.959999999999999</v>
      </c>
      <c r="I40" s="39" t="n">
        <v>9.6</v>
      </c>
      <c r="J40" s="39" t="n">
        <v>10.33846153846154</v>
      </c>
      <c r="K40" s="39" t="n">
        <v>11.2</v>
      </c>
      <c r="L40" s="39" t="n">
        <v>12.21818181818182</v>
      </c>
      <c r="M40" s="39" t="n">
        <v>13.44</v>
      </c>
      <c r="N40" s="39" t="n">
        <v>14.93333333333333</v>
      </c>
      <c r="O40" s="39" t="n">
        <v>16.8</v>
      </c>
      <c r="P40" s="39" t="n">
        <v>19.2</v>
      </c>
      <c r="Q40" s="39" t="n">
        <v>22.4</v>
      </c>
      <c r="R40" s="39" t="n">
        <v>26.88</v>
      </c>
      <c r="S40" s="39" t="n">
        <v>33.59999999999999</v>
      </c>
      <c r="T40" s="39" t="n">
        <v>44.8</v>
      </c>
      <c r="U40" s="39" t="n">
        <v>67.19999999999999</v>
      </c>
      <c r="V40" s="39" t="n">
        <v>134.4</v>
      </c>
      <c r="W40" s="39" t="n">
        <v>15.11</v>
      </c>
      <c r="X40" s="39" t="n">
        <v>15.90526315789474</v>
      </c>
      <c r="Y40" s="39" t="n">
        <v>16.78888888888889</v>
      </c>
      <c r="Z40" s="39" t="n">
        <v>17.77647058823529</v>
      </c>
      <c r="AA40" s="39" t="n">
        <v>18.8875</v>
      </c>
      <c r="AB40" s="39" t="n">
        <v>20.14666666666666</v>
      </c>
      <c r="AC40" s="39" t="n">
        <v>21.58571428571429</v>
      </c>
      <c r="AD40" s="39" t="n">
        <v>23.24615384615385</v>
      </c>
      <c r="AE40" s="39" t="n">
        <v>25.18333333333333</v>
      </c>
      <c r="AF40" s="39" t="n">
        <v>27.47272727272727</v>
      </c>
      <c r="AG40" s="39" t="n">
        <v>30.22</v>
      </c>
      <c r="AH40" s="39" t="n">
        <v>33.57777777777778</v>
      </c>
      <c r="AI40" s="39" t="n">
        <v>37.775</v>
      </c>
      <c r="AJ40" s="39" t="n">
        <v>43.17142857142857</v>
      </c>
      <c r="AK40" s="39" t="n">
        <v>50.36666666666667</v>
      </c>
      <c r="AL40" s="39" t="n">
        <v>60.44</v>
      </c>
      <c r="AM40" s="39" t="n">
        <v>75.55</v>
      </c>
      <c r="AN40" s="39" t="n">
        <v>100.7333333333333</v>
      </c>
      <c r="AO40" s="39" t="n">
        <v>151.1</v>
      </c>
      <c r="AP40" s="39" t="n">
        <v>302.2</v>
      </c>
    </row>
    <row r="41">
      <c r="A41" s="6" t="inlineStr">
        <is>
          <t>P35</t>
        </is>
      </c>
      <c r="B41" s="6" t="inlineStr">
        <is>
          <t>Karitel</t>
        </is>
      </c>
      <c r="C41" s="39" t="n">
        <v>7.08</v>
      </c>
      <c r="D41" s="39" t="n">
        <v>7.452631578947368</v>
      </c>
      <c r="E41" s="39" t="n">
        <v>7.866666666666666</v>
      </c>
      <c r="F41" s="39" t="n">
        <v>8.329411764705883</v>
      </c>
      <c r="G41" s="39" t="n">
        <v>8.85</v>
      </c>
      <c r="H41" s="39" t="n">
        <v>9.44</v>
      </c>
      <c r="I41" s="39" t="n">
        <v>10.11428571428572</v>
      </c>
      <c r="J41" s="39" t="n">
        <v>10.89230769230769</v>
      </c>
      <c r="K41" s="39" t="n">
        <v>11.8</v>
      </c>
      <c r="L41" s="39" t="n">
        <v>12.87272727272727</v>
      </c>
      <c r="M41" s="39" t="n">
        <v>14.16</v>
      </c>
      <c r="N41" s="39" t="n">
        <v>15.73333333333333</v>
      </c>
      <c r="O41" s="39" t="n">
        <v>17.7</v>
      </c>
      <c r="P41" s="39" t="n">
        <v>20.22857142857143</v>
      </c>
      <c r="Q41" s="39" t="n">
        <v>23.6</v>
      </c>
      <c r="R41" s="39" t="n">
        <v>28.32</v>
      </c>
      <c r="S41" s="39" t="n">
        <v>35.4</v>
      </c>
      <c r="T41" s="39" t="n">
        <v>47.2</v>
      </c>
      <c r="U41" s="39" t="n">
        <v>70.8</v>
      </c>
      <c r="V41" s="39" t="n">
        <v>141.6</v>
      </c>
      <c r="W41" s="39" t="n">
        <v>15.58</v>
      </c>
      <c r="X41" s="39" t="n">
        <v>16.4</v>
      </c>
      <c r="Y41" s="39" t="n">
        <v>17.31111111111111</v>
      </c>
      <c r="Z41" s="39" t="n">
        <v>18.32941176470588</v>
      </c>
      <c r="AA41" s="39" t="n">
        <v>19.475</v>
      </c>
      <c r="AB41" s="39" t="n">
        <v>20.77333333333333</v>
      </c>
      <c r="AC41" s="39" t="n">
        <v>22.25714285714286</v>
      </c>
      <c r="AD41" s="39" t="n">
        <v>23.96923076923077</v>
      </c>
      <c r="AE41" s="39" t="n">
        <v>25.96666666666667</v>
      </c>
      <c r="AF41" s="39" t="n">
        <v>28.32727272727272</v>
      </c>
      <c r="AG41" s="39" t="n">
        <v>31.16</v>
      </c>
      <c r="AH41" s="39" t="n">
        <v>34.62222222222222</v>
      </c>
      <c r="AI41" s="39" t="n">
        <v>38.95</v>
      </c>
      <c r="AJ41" s="39" t="n">
        <v>44.51428571428572</v>
      </c>
      <c r="AK41" s="39" t="n">
        <v>51.93333333333334</v>
      </c>
      <c r="AL41" s="39" t="n">
        <v>62.32</v>
      </c>
      <c r="AM41" s="39" t="n">
        <v>77.89999999999999</v>
      </c>
      <c r="AN41" s="39" t="n">
        <v>103.8666666666667</v>
      </c>
      <c r="AO41" s="39" t="n">
        <v>155.8</v>
      </c>
      <c r="AP41" s="39" t="n">
        <v>311.6</v>
      </c>
    </row>
    <row r="42">
      <c r="A42" s="6" t="inlineStr">
        <is>
          <t>P36</t>
        </is>
      </c>
      <c r="B42" s="6" t="inlineStr">
        <is>
          <t>Karitel</t>
        </is>
      </c>
      <c r="C42" s="39" t="n">
        <v>7.14</v>
      </c>
      <c r="D42" s="39" t="n">
        <v>7.515789473684211</v>
      </c>
      <c r="E42" s="39" t="n">
        <v>7.933333333333333</v>
      </c>
      <c r="F42" s="39" t="n">
        <v>8.4</v>
      </c>
      <c r="G42" s="39" t="n">
        <v>8.924999999999999</v>
      </c>
      <c r="H42" s="39" t="n">
        <v>9.52</v>
      </c>
      <c r="I42" s="39" t="n">
        <v>10.2</v>
      </c>
      <c r="J42" s="39" t="n">
        <v>10.98461538461538</v>
      </c>
      <c r="K42" s="39" t="n">
        <v>11.9</v>
      </c>
      <c r="L42" s="39" t="n">
        <v>12.98181818181818</v>
      </c>
      <c r="M42" s="39" t="n">
        <v>14.28</v>
      </c>
      <c r="N42" s="39" t="n">
        <v>15.86666666666667</v>
      </c>
      <c r="O42" s="39" t="n">
        <v>17.85</v>
      </c>
      <c r="P42" s="39" t="n">
        <v>20.4</v>
      </c>
      <c r="Q42" s="39" t="n">
        <v>23.8</v>
      </c>
      <c r="R42" s="39" t="n">
        <v>28.56</v>
      </c>
      <c r="S42" s="39" t="n">
        <v>35.7</v>
      </c>
      <c r="T42" s="39" t="n">
        <v>47.6</v>
      </c>
      <c r="U42" s="39" t="n">
        <v>71.39999999999999</v>
      </c>
      <c r="V42" s="39" t="n">
        <v>142.8</v>
      </c>
      <c r="W42" s="39" t="n">
        <v>15.58</v>
      </c>
      <c r="X42" s="39" t="n">
        <v>16.4</v>
      </c>
      <c r="Y42" s="39" t="n">
        <v>17.31111111111111</v>
      </c>
      <c r="Z42" s="39" t="n">
        <v>18.32941176470588</v>
      </c>
      <c r="AA42" s="39" t="n">
        <v>19.475</v>
      </c>
      <c r="AB42" s="39" t="n">
        <v>20.77333333333333</v>
      </c>
      <c r="AC42" s="39" t="n">
        <v>22.25714285714286</v>
      </c>
      <c r="AD42" s="39" t="n">
        <v>23.96923076923077</v>
      </c>
      <c r="AE42" s="39" t="n">
        <v>25.96666666666667</v>
      </c>
      <c r="AF42" s="39" t="n">
        <v>28.32727272727272</v>
      </c>
      <c r="AG42" s="39" t="n">
        <v>31.16</v>
      </c>
      <c r="AH42" s="39" t="n">
        <v>34.62222222222222</v>
      </c>
      <c r="AI42" s="39" t="n">
        <v>38.95</v>
      </c>
      <c r="AJ42" s="39" t="n">
        <v>44.51428571428572</v>
      </c>
      <c r="AK42" s="39" t="n">
        <v>51.93333333333334</v>
      </c>
      <c r="AL42" s="39" t="n">
        <v>62.32</v>
      </c>
      <c r="AM42" s="39" t="n">
        <v>77.89999999999999</v>
      </c>
      <c r="AN42" s="39" t="n">
        <v>103.8666666666667</v>
      </c>
      <c r="AO42" s="39" t="n">
        <v>155.8</v>
      </c>
      <c r="AP42" s="39" t="n">
        <v>311.6</v>
      </c>
    </row>
    <row r="43">
      <c r="A43" s="6" t="inlineStr">
        <is>
          <t>P37</t>
        </is>
      </c>
      <c r="B43" s="6" t="inlineStr">
        <is>
          <t>Karitel</t>
        </is>
      </c>
      <c r="C43" s="39" t="n">
        <v>8.640000000000001</v>
      </c>
      <c r="D43" s="39" t="n">
        <v>9.094736842105265</v>
      </c>
      <c r="E43" s="39" t="n">
        <v>9.6</v>
      </c>
      <c r="F43" s="39" t="n">
        <v>10.16470588235294</v>
      </c>
      <c r="G43" s="39" t="n">
        <v>10.8</v>
      </c>
      <c r="H43" s="39" t="n">
        <v>12.12631578947369</v>
      </c>
      <c r="I43" s="39" t="n">
        <v>12.34285714285715</v>
      </c>
      <c r="J43" s="39" t="n">
        <v>13.29230769230769</v>
      </c>
      <c r="K43" s="39" t="n">
        <v>14.4</v>
      </c>
      <c r="L43" s="39" t="n">
        <v>15.70909090909091</v>
      </c>
      <c r="M43" s="39" t="n">
        <v>17.28</v>
      </c>
      <c r="N43" s="39" t="n">
        <v>19.2</v>
      </c>
      <c r="O43" s="39" t="n">
        <v>21.6</v>
      </c>
      <c r="P43" s="39" t="n">
        <v>24.68571428571429</v>
      </c>
      <c r="Q43" s="39" t="n">
        <v>28.8</v>
      </c>
      <c r="R43" s="39" t="n">
        <v>34.56</v>
      </c>
      <c r="S43" s="39" t="n">
        <v>43.2</v>
      </c>
      <c r="T43" s="39" t="n">
        <v>57.60000000000001</v>
      </c>
      <c r="U43" s="39" t="n">
        <v>86.40000000000001</v>
      </c>
      <c r="V43" s="39" t="n">
        <v>172.8</v>
      </c>
      <c r="W43" s="39" t="n">
        <v>10.61</v>
      </c>
      <c r="X43" s="39" t="n">
        <v>11.16842105263158</v>
      </c>
      <c r="Y43" s="39" t="n">
        <v>11.78888888888889</v>
      </c>
      <c r="Z43" s="39" t="n">
        <v>12.48235294117647</v>
      </c>
      <c r="AA43" s="39" t="n">
        <v>13.2625</v>
      </c>
      <c r="AB43" s="39" t="n">
        <v>14.14666666666667</v>
      </c>
      <c r="AC43" s="39" t="n">
        <v>15.15714285714286</v>
      </c>
      <c r="AD43" s="39" t="n">
        <v>16.32307692307692</v>
      </c>
      <c r="AE43" s="39" t="n">
        <v>17.68333333333333</v>
      </c>
      <c r="AF43" s="39" t="n">
        <v>19.29090909090909</v>
      </c>
      <c r="AG43" s="39" t="n">
        <v>21.22</v>
      </c>
      <c r="AH43" s="39" t="n">
        <v>23.57777777777778</v>
      </c>
      <c r="AI43" s="39" t="n">
        <v>26.525</v>
      </c>
      <c r="AJ43" s="39" t="n">
        <v>30.31428571428571</v>
      </c>
      <c r="AK43" s="39" t="n">
        <v>35.36666666666667</v>
      </c>
      <c r="AL43" s="39" t="n">
        <v>42.44</v>
      </c>
      <c r="AM43" s="39" t="n">
        <v>53.05</v>
      </c>
      <c r="AN43" s="39" t="n">
        <v>70.73333333333333</v>
      </c>
      <c r="AO43" s="39" t="n">
        <v>106.1</v>
      </c>
      <c r="AP43" s="39" t="n">
        <v>212.2</v>
      </c>
    </row>
    <row r="44">
      <c r="A44" s="6" t="inlineStr">
        <is>
          <t>P38</t>
        </is>
      </c>
      <c r="B44" s="6" t="inlineStr">
        <is>
          <t>Karitel</t>
        </is>
      </c>
      <c r="C44" s="39" t="n">
        <v>7.91</v>
      </c>
      <c r="D44" s="39" t="n">
        <v>8.326315789473684</v>
      </c>
      <c r="E44" s="39" t="n">
        <v>8.78888888888889</v>
      </c>
      <c r="F44" s="39" t="n">
        <v>9.305882352941177</v>
      </c>
      <c r="G44" s="39" t="n">
        <v>9.887499999999999</v>
      </c>
      <c r="H44" s="39" t="n">
        <v>10.54666666666667</v>
      </c>
      <c r="I44" s="39" t="n">
        <v>11.3</v>
      </c>
      <c r="J44" s="39" t="n">
        <v>12.16923076923077</v>
      </c>
      <c r="K44" s="39" t="n">
        <v>13.18333333333333</v>
      </c>
      <c r="L44" s="39" t="n">
        <v>14.38181818181818</v>
      </c>
      <c r="M44" s="39" t="n">
        <v>15.82</v>
      </c>
      <c r="N44" s="39" t="n">
        <v>17.57777777777778</v>
      </c>
      <c r="O44" s="39" t="n">
        <v>19.775</v>
      </c>
      <c r="P44" s="39" t="n">
        <v>22.6</v>
      </c>
      <c r="Q44" s="39" t="n">
        <v>26.36666666666667</v>
      </c>
      <c r="R44" s="39" t="n">
        <v>31.64</v>
      </c>
      <c r="S44" s="39" t="n">
        <v>39.55</v>
      </c>
      <c r="T44" s="39" t="n">
        <v>52.73333333333333</v>
      </c>
      <c r="U44" s="39" t="n">
        <v>79.09999999999999</v>
      </c>
      <c r="V44" s="39" t="n">
        <v>158.2</v>
      </c>
      <c r="W44" s="39" t="n">
        <v>14.5</v>
      </c>
      <c r="X44" s="39" t="n">
        <v>15.26315789473684</v>
      </c>
      <c r="Y44" s="39" t="n">
        <v>16.11111111111111</v>
      </c>
      <c r="Z44" s="39" t="n">
        <v>17.05882352941176</v>
      </c>
      <c r="AA44" s="39" t="n">
        <v>18.125</v>
      </c>
      <c r="AB44" s="39" t="n">
        <v>19.33333333333333</v>
      </c>
      <c r="AC44" s="39" t="n">
        <v>20.71428571428572</v>
      </c>
      <c r="AD44" s="39" t="n">
        <v>22.30769230769231</v>
      </c>
      <c r="AE44" s="39" t="n">
        <v>24.16666666666667</v>
      </c>
      <c r="AF44" s="39" t="n">
        <v>26.36363636363636</v>
      </c>
      <c r="AG44" s="39" t="n">
        <v>29</v>
      </c>
      <c r="AH44" s="39" t="n">
        <v>32.22222222222221</v>
      </c>
      <c r="AI44" s="39" t="n">
        <v>36.25</v>
      </c>
      <c r="AJ44" s="39" t="n">
        <v>41.42857142857142</v>
      </c>
      <c r="AK44" s="39" t="n">
        <v>48.33333333333334</v>
      </c>
      <c r="AL44" s="39" t="n">
        <v>57.99999999999999</v>
      </c>
      <c r="AM44" s="39" t="n">
        <v>72.5</v>
      </c>
      <c r="AN44" s="39" t="n">
        <v>96.66666666666664</v>
      </c>
      <c r="AO44" s="39" t="n">
        <v>145</v>
      </c>
      <c r="AP44" s="39" t="n">
        <v>289.9999999999999</v>
      </c>
    </row>
    <row r="45">
      <c r="A45" s="6" t="inlineStr">
        <is>
          <t>P39</t>
        </is>
      </c>
      <c r="B45" s="6" t="inlineStr">
        <is>
          <t>Karitel</t>
        </is>
      </c>
      <c r="C45" s="39" t="n">
        <v>5.76</v>
      </c>
      <c r="D45" s="39" t="n">
        <v>6.063157894736842</v>
      </c>
      <c r="E45" s="39" t="n">
        <v>6.399999999999999</v>
      </c>
      <c r="F45" s="39" t="n">
        <v>6.776470588235294</v>
      </c>
      <c r="G45" s="39" t="n">
        <v>7.199999999999999</v>
      </c>
      <c r="H45" s="39" t="n">
        <v>7.68</v>
      </c>
      <c r="I45" s="39" t="n">
        <v>8.22857142857143</v>
      </c>
      <c r="J45" s="39" t="n">
        <v>8.86153846153846</v>
      </c>
      <c r="K45" s="39" t="n">
        <v>9.6</v>
      </c>
      <c r="L45" s="39" t="n">
        <v>10.47272727272727</v>
      </c>
      <c r="M45" s="39" t="n">
        <v>11.52</v>
      </c>
      <c r="N45" s="39" t="n">
        <v>12.8</v>
      </c>
      <c r="O45" s="39" t="n">
        <v>14.4</v>
      </c>
      <c r="P45" s="39" t="n">
        <v>16.45714285714286</v>
      </c>
      <c r="Q45" s="39" t="n">
        <v>19.2</v>
      </c>
      <c r="R45" s="39" t="n">
        <v>23.04</v>
      </c>
      <c r="S45" s="39" t="n">
        <v>28.8</v>
      </c>
      <c r="T45" s="39" t="n">
        <v>38.4</v>
      </c>
      <c r="U45" s="39" t="n">
        <v>57.59999999999999</v>
      </c>
      <c r="V45" s="39" t="n">
        <v>115.2</v>
      </c>
      <c r="W45" s="39" t="n">
        <v>12.62</v>
      </c>
      <c r="X45" s="39" t="n">
        <v>13.28421052631579</v>
      </c>
      <c r="Y45" s="39" t="n">
        <v>14.02222222222222</v>
      </c>
      <c r="Z45" s="39" t="n">
        <v>14.84705882352941</v>
      </c>
      <c r="AA45" s="39" t="n">
        <v>15.775</v>
      </c>
      <c r="AB45" s="39" t="n">
        <v>16.82666666666666</v>
      </c>
      <c r="AC45" s="39" t="n">
        <v>18.02857142857143</v>
      </c>
      <c r="AD45" s="39" t="n">
        <v>19.41538461538461</v>
      </c>
      <c r="AE45" s="39" t="n">
        <v>21.03333333333333</v>
      </c>
      <c r="AF45" s="39" t="n">
        <v>22.94545454545454</v>
      </c>
      <c r="AG45" s="39" t="n">
        <v>25.24</v>
      </c>
      <c r="AH45" s="39" t="n">
        <v>28.04444444444444</v>
      </c>
      <c r="AI45" s="39" t="n">
        <v>31.55</v>
      </c>
      <c r="AJ45" s="39" t="n">
        <v>36.05714285714286</v>
      </c>
      <c r="AK45" s="39" t="n">
        <v>42.06666666666666</v>
      </c>
      <c r="AL45" s="39" t="n">
        <v>50.48</v>
      </c>
      <c r="AM45" s="39" t="n">
        <v>63.09999999999999</v>
      </c>
      <c r="AN45" s="39" t="n">
        <v>84.13333333333333</v>
      </c>
      <c r="AO45" s="39" t="n">
        <v>126.2</v>
      </c>
      <c r="AP45" s="39" t="n">
        <v>252.4</v>
      </c>
    </row>
    <row r="46">
      <c r="A46" s="6" t="inlineStr">
        <is>
          <t>P40</t>
        </is>
      </c>
      <c r="B46" s="6" t="inlineStr">
        <is>
          <t>Karitel</t>
        </is>
      </c>
      <c r="C46" s="39" t="n">
        <v>7</v>
      </c>
      <c r="D46" s="39" t="n">
        <v>7.36842105263158</v>
      </c>
      <c r="E46" s="39" t="n">
        <v>7.777777777777778</v>
      </c>
      <c r="F46" s="39" t="n">
        <v>8.23529411764706</v>
      </c>
      <c r="G46" s="39" t="n">
        <v>8.75</v>
      </c>
      <c r="H46" s="39" t="n">
        <v>9.333333333333334</v>
      </c>
      <c r="I46" s="39" t="n">
        <v>10</v>
      </c>
      <c r="J46" s="39" t="n">
        <v>10.76923076923077</v>
      </c>
      <c r="K46" s="39" t="n">
        <v>11.66666666666667</v>
      </c>
      <c r="L46" s="39" t="n">
        <v>12.72727272727273</v>
      </c>
      <c r="M46" s="39" t="n">
        <v>14</v>
      </c>
      <c r="N46" s="39" t="n">
        <v>15.55555555555556</v>
      </c>
      <c r="O46" s="39" t="n">
        <v>17.5</v>
      </c>
      <c r="P46" s="39" t="n">
        <v>20</v>
      </c>
      <c r="Q46" s="39" t="n">
        <v>23.33333333333334</v>
      </c>
      <c r="R46" s="39" t="n">
        <v>28</v>
      </c>
      <c r="S46" s="39" t="n">
        <v>35</v>
      </c>
      <c r="T46" s="39" t="n">
        <v>46.66666666666667</v>
      </c>
      <c r="U46" s="39" t="n">
        <v>70</v>
      </c>
      <c r="V46" s="39" t="n">
        <v>140</v>
      </c>
      <c r="W46" s="39" t="n">
        <v>15.58</v>
      </c>
      <c r="X46" s="39" t="n">
        <v>16.4</v>
      </c>
      <c r="Y46" s="39" t="n">
        <v>17.31111111111111</v>
      </c>
      <c r="Z46" s="39" t="n">
        <v>18.32941176470588</v>
      </c>
      <c r="AA46" s="39" t="n">
        <v>19.475</v>
      </c>
      <c r="AB46" s="39" t="n">
        <v>20.77333333333333</v>
      </c>
      <c r="AC46" s="39" t="n">
        <v>22.25714285714286</v>
      </c>
      <c r="AD46" s="39" t="n">
        <v>23.96923076923077</v>
      </c>
      <c r="AE46" s="39" t="n">
        <v>25.96666666666667</v>
      </c>
      <c r="AF46" s="39" t="n">
        <v>28.32727272727272</v>
      </c>
      <c r="AG46" s="39" t="n">
        <v>31.16</v>
      </c>
      <c r="AH46" s="39" t="n">
        <v>34.62222222222222</v>
      </c>
      <c r="AI46" s="39" t="n">
        <v>38.95</v>
      </c>
      <c r="AJ46" s="39" t="n">
        <v>44.51428571428572</v>
      </c>
      <c r="AK46" s="39" t="n">
        <v>51.93333333333334</v>
      </c>
      <c r="AL46" s="39" t="n">
        <v>62.32</v>
      </c>
      <c r="AM46" s="39" t="n">
        <v>77.89999999999999</v>
      </c>
      <c r="AN46" s="39" t="n">
        <v>103.8666666666667</v>
      </c>
      <c r="AO46" s="39" t="n">
        <v>155.8</v>
      </c>
      <c r="AP46" s="39" t="n">
        <v>311.6</v>
      </c>
    </row>
    <row r="47">
      <c r="A47" s="6" t="inlineStr">
        <is>
          <t>P41</t>
        </is>
      </c>
      <c r="B47" s="6" t="inlineStr">
        <is>
          <t>Karitel</t>
        </is>
      </c>
      <c r="C47" s="39" t="n">
        <v>6.51</v>
      </c>
      <c r="D47" s="39" t="n">
        <v>6.852631578947369</v>
      </c>
      <c r="E47" s="39" t="n">
        <v>7.233333333333333</v>
      </c>
      <c r="F47" s="39" t="n">
        <v>7.658823529411765</v>
      </c>
      <c r="G47" s="39" t="n">
        <v>8.137499999999999</v>
      </c>
      <c r="H47" s="39" t="n">
        <v>8.68</v>
      </c>
      <c r="I47" s="39" t="n">
        <v>9.300000000000001</v>
      </c>
      <c r="J47" s="39" t="n">
        <v>10.01538461538462</v>
      </c>
      <c r="K47" s="39" t="n">
        <v>10.85</v>
      </c>
      <c r="L47" s="39" t="n">
        <v>11.83636363636363</v>
      </c>
      <c r="M47" s="39" t="n">
        <v>13.02</v>
      </c>
      <c r="N47" s="39" t="n">
        <v>14.46666666666667</v>
      </c>
      <c r="O47" s="39" t="n">
        <v>16.275</v>
      </c>
      <c r="P47" s="39" t="n">
        <v>18.6</v>
      </c>
      <c r="Q47" s="39" t="n">
        <v>21.7</v>
      </c>
      <c r="R47" s="39" t="n">
        <v>26.04</v>
      </c>
      <c r="S47" s="39" t="n">
        <v>32.55</v>
      </c>
      <c r="T47" s="39" t="n">
        <v>43.4</v>
      </c>
      <c r="U47" s="39" t="n">
        <v>65.09999999999999</v>
      </c>
      <c r="V47" s="39" t="n">
        <v>130.2</v>
      </c>
      <c r="W47" s="39" t="n">
        <v>14.92</v>
      </c>
      <c r="X47" s="39" t="n">
        <v>15.70526315789474</v>
      </c>
      <c r="Y47" s="39" t="n">
        <v>16.57777777777778</v>
      </c>
      <c r="Z47" s="39" t="n">
        <v>17.55294117647059</v>
      </c>
      <c r="AA47" s="39" t="n">
        <v>18.65</v>
      </c>
      <c r="AB47" s="39" t="n">
        <v>19.89333333333333</v>
      </c>
      <c r="AC47" s="39" t="n">
        <v>21.31428571428572</v>
      </c>
      <c r="AD47" s="39" t="n">
        <v>22.95384615384615</v>
      </c>
      <c r="AE47" s="39" t="n">
        <v>24.86666666666667</v>
      </c>
      <c r="AF47" s="39" t="n">
        <v>27.12727272727273</v>
      </c>
      <c r="AG47" s="39" t="n">
        <v>29.84</v>
      </c>
      <c r="AH47" s="39" t="n">
        <v>33.15555555555555</v>
      </c>
      <c r="AI47" s="39" t="n">
        <v>37.3</v>
      </c>
      <c r="AJ47" s="39" t="n">
        <v>42.62857142857143</v>
      </c>
      <c r="AK47" s="39" t="n">
        <v>49.73333333333333</v>
      </c>
      <c r="AL47" s="39" t="n">
        <v>59.67999999999999</v>
      </c>
      <c r="AM47" s="39" t="n">
        <v>74.59999999999999</v>
      </c>
      <c r="AN47" s="39" t="n">
        <v>99.46666666666665</v>
      </c>
      <c r="AO47" s="39" t="n">
        <v>149.2</v>
      </c>
      <c r="AP47" s="39" t="n">
        <v>298.3999999999999</v>
      </c>
    </row>
    <row r="48">
      <c r="A48" s="6" t="inlineStr">
        <is>
          <t>P42</t>
        </is>
      </c>
      <c r="B48" s="6" t="inlineStr">
        <is>
          <t>Karitel</t>
        </is>
      </c>
      <c r="C48" s="39" t="n">
        <v>6</v>
      </c>
      <c r="D48" s="39" t="n">
        <v>6.315789473684211</v>
      </c>
      <c r="E48" s="39" t="n">
        <v>6.666666666666666</v>
      </c>
      <c r="F48" s="39" t="n">
        <v>7.058823529411764</v>
      </c>
      <c r="G48" s="39" t="n">
        <v>7.5</v>
      </c>
      <c r="H48" s="39" t="n">
        <v>8</v>
      </c>
      <c r="I48" s="39" t="n">
        <v>8.571428571428571</v>
      </c>
      <c r="J48" s="39" t="n">
        <v>9.23076923076923</v>
      </c>
      <c r="K48" s="39" t="n">
        <v>10</v>
      </c>
      <c r="L48" s="39" t="n">
        <v>10.90909090909091</v>
      </c>
      <c r="M48" s="39" t="n">
        <v>12</v>
      </c>
      <c r="N48" s="39" t="n">
        <v>13.33333333333333</v>
      </c>
      <c r="O48" s="39" t="n">
        <v>15</v>
      </c>
      <c r="P48" s="39" t="n">
        <v>17.14285714285714</v>
      </c>
      <c r="Q48" s="39" t="n">
        <v>20</v>
      </c>
      <c r="R48" s="39" t="n">
        <v>24</v>
      </c>
      <c r="S48" s="39" t="n">
        <v>30</v>
      </c>
      <c r="T48" s="39" t="n">
        <v>40</v>
      </c>
      <c r="U48" s="39" t="n">
        <v>60</v>
      </c>
      <c r="V48" s="39" t="n">
        <v>120</v>
      </c>
      <c r="W48" s="39" t="n">
        <v>12.62</v>
      </c>
      <c r="X48" s="39" t="n">
        <v>13.28421052631579</v>
      </c>
      <c r="Y48" s="39" t="n">
        <v>14.02222222222222</v>
      </c>
      <c r="Z48" s="39" t="n">
        <v>14.84705882352941</v>
      </c>
      <c r="AA48" s="39" t="n">
        <v>15.775</v>
      </c>
      <c r="AB48" s="39" t="n">
        <v>16.82666666666666</v>
      </c>
      <c r="AC48" s="39" t="n">
        <v>18.02857142857143</v>
      </c>
      <c r="AD48" s="39" t="n">
        <v>19.41538461538461</v>
      </c>
      <c r="AE48" s="39" t="n">
        <v>21.03333333333333</v>
      </c>
      <c r="AF48" s="39" t="n">
        <v>22.94545454545454</v>
      </c>
      <c r="AG48" s="39" t="n">
        <v>25.24</v>
      </c>
      <c r="AH48" s="39" t="n">
        <v>28.04444444444444</v>
      </c>
      <c r="AI48" s="39" t="n">
        <v>31.55</v>
      </c>
      <c r="AJ48" s="39" t="n">
        <v>36.05714285714286</v>
      </c>
      <c r="AK48" s="39" t="n">
        <v>42.06666666666666</v>
      </c>
      <c r="AL48" s="39" t="n">
        <v>50.48</v>
      </c>
      <c r="AM48" s="39" t="n">
        <v>63.09999999999999</v>
      </c>
      <c r="AN48" s="39" t="n">
        <v>84.13333333333333</v>
      </c>
      <c r="AO48" s="39" t="n">
        <v>126.2</v>
      </c>
      <c r="AP48" s="39" t="n">
        <v>252.4</v>
      </c>
    </row>
    <row r="49">
      <c r="A49" s="6" t="inlineStr">
        <is>
          <t>P43</t>
        </is>
      </c>
      <c r="B49" s="6" t="inlineStr">
        <is>
          <t>Karitel</t>
        </is>
      </c>
      <c r="C49" s="39" t="n">
        <v>6.58</v>
      </c>
      <c r="D49" s="39" t="n">
        <v>6.926315789473684</v>
      </c>
      <c r="E49" s="39" t="n">
        <v>7.311111111111111</v>
      </c>
      <c r="F49" s="39" t="n">
        <v>7.741176470588235</v>
      </c>
      <c r="G49" s="39" t="n">
        <v>8.225</v>
      </c>
      <c r="H49" s="39" t="n">
        <v>8.773333333333333</v>
      </c>
      <c r="I49" s="39" t="n">
        <v>9.4</v>
      </c>
      <c r="J49" s="39" t="n">
        <v>10.12307692307692</v>
      </c>
      <c r="K49" s="39" t="n">
        <v>10.96666666666667</v>
      </c>
      <c r="L49" s="39" t="n">
        <v>11.96363636363636</v>
      </c>
      <c r="M49" s="39" t="n">
        <v>13.16</v>
      </c>
      <c r="N49" s="39" t="n">
        <v>14.62222222222222</v>
      </c>
      <c r="O49" s="39" t="n">
        <v>16.45</v>
      </c>
      <c r="P49" s="39" t="n">
        <v>18.8</v>
      </c>
      <c r="Q49" s="39" t="n">
        <v>21.93333333333333</v>
      </c>
      <c r="R49" s="39" t="n">
        <v>26.32</v>
      </c>
      <c r="S49" s="39" t="n">
        <v>32.9</v>
      </c>
      <c r="T49" s="39" t="n">
        <v>43.86666666666667</v>
      </c>
      <c r="U49" s="39" t="n">
        <v>65.8</v>
      </c>
      <c r="V49" s="39" t="n">
        <v>131.6</v>
      </c>
      <c r="W49" s="39" t="n">
        <v>14.92</v>
      </c>
      <c r="X49" s="39" t="n">
        <v>15.70526315789474</v>
      </c>
      <c r="Y49" s="39" t="n">
        <v>16.57777777777778</v>
      </c>
      <c r="Z49" s="39" t="n">
        <v>17.55294117647059</v>
      </c>
      <c r="AA49" s="39" t="n">
        <v>18.65</v>
      </c>
      <c r="AB49" s="39" t="n">
        <v>19.89333333333333</v>
      </c>
      <c r="AC49" s="39" t="n">
        <v>21.31428571428572</v>
      </c>
      <c r="AD49" s="39" t="n">
        <v>22.95384615384615</v>
      </c>
      <c r="AE49" s="39" t="n">
        <v>24.86666666666667</v>
      </c>
      <c r="AF49" s="39" t="n">
        <v>27.12727272727273</v>
      </c>
      <c r="AG49" s="39" t="n">
        <v>29.84</v>
      </c>
      <c r="AH49" s="39" t="n">
        <v>33.15555555555555</v>
      </c>
      <c r="AI49" s="39" t="n">
        <v>37.3</v>
      </c>
      <c r="AJ49" s="39" t="n">
        <v>42.62857142857143</v>
      </c>
      <c r="AK49" s="39" t="n">
        <v>49.73333333333333</v>
      </c>
      <c r="AL49" s="39" t="n">
        <v>59.67999999999999</v>
      </c>
      <c r="AM49" s="39" t="n">
        <v>74.59999999999999</v>
      </c>
      <c r="AN49" s="39" t="n">
        <v>99.46666666666665</v>
      </c>
      <c r="AO49" s="39" t="n">
        <v>149.2</v>
      </c>
      <c r="AP49" s="39" t="n">
        <v>298.3999999999999</v>
      </c>
    </row>
    <row r="50">
      <c r="A50" s="6" t="inlineStr">
        <is>
          <t>P44</t>
        </is>
      </c>
      <c r="B50" s="6" t="inlineStr">
        <is>
          <t>Karitel</t>
        </is>
      </c>
      <c r="C50" s="39" t="n">
        <v>5.8</v>
      </c>
      <c r="D50" s="39" t="n">
        <v>6.105263157894737</v>
      </c>
      <c r="E50" s="39" t="n">
        <v>6.444444444444444</v>
      </c>
      <c r="F50" s="39" t="n">
        <v>6.823529411764706</v>
      </c>
      <c r="G50" s="39" t="n">
        <v>7.249999999999999</v>
      </c>
      <c r="H50" s="39" t="n">
        <v>7.733333333333333</v>
      </c>
      <c r="I50" s="39" t="n">
        <v>8.285714285714286</v>
      </c>
      <c r="J50" s="39" t="n">
        <v>8.923076923076923</v>
      </c>
      <c r="K50" s="39" t="n">
        <v>9.666666666666666</v>
      </c>
      <c r="L50" s="39" t="n">
        <v>10.54545454545454</v>
      </c>
      <c r="M50" s="39" t="n">
        <v>11.6</v>
      </c>
      <c r="N50" s="39" t="n">
        <v>12.88888888888889</v>
      </c>
      <c r="O50" s="39" t="n">
        <v>14.5</v>
      </c>
      <c r="P50" s="39" t="n">
        <v>16.57142857142857</v>
      </c>
      <c r="Q50" s="39" t="n">
        <v>19.33333333333333</v>
      </c>
      <c r="R50" s="39" t="n">
        <v>23.2</v>
      </c>
      <c r="S50" s="39" t="n">
        <v>29</v>
      </c>
      <c r="T50" s="39" t="n">
        <v>38.66666666666666</v>
      </c>
      <c r="U50" s="39" t="n">
        <v>57.99999999999999</v>
      </c>
      <c r="V50" s="39" t="n">
        <v>116</v>
      </c>
      <c r="W50" s="39" t="n">
        <v>11.06</v>
      </c>
      <c r="X50" s="39" t="n">
        <v>11.6421052631579</v>
      </c>
      <c r="Y50" s="39" t="n">
        <v>12.28888888888889</v>
      </c>
      <c r="Z50" s="39" t="n">
        <v>13.01176470588235</v>
      </c>
      <c r="AA50" s="39" t="n">
        <v>13.825</v>
      </c>
      <c r="AB50" s="39" t="n">
        <v>14.74666666666667</v>
      </c>
      <c r="AC50" s="39" t="n">
        <v>15.8</v>
      </c>
      <c r="AD50" s="39" t="n">
        <v>17.01538461538462</v>
      </c>
      <c r="AE50" s="39" t="n">
        <v>18.43333333333333</v>
      </c>
      <c r="AF50" s="39" t="n">
        <v>20.10909090909091</v>
      </c>
      <c r="AG50" s="39" t="n">
        <v>22.12</v>
      </c>
      <c r="AH50" s="39" t="n">
        <v>24.57777777777778</v>
      </c>
      <c r="AI50" s="39" t="n">
        <v>27.65</v>
      </c>
      <c r="AJ50" s="39" t="n">
        <v>31.6</v>
      </c>
      <c r="AK50" s="39" t="n">
        <v>36.86666666666667</v>
      </c>
      <c r="AL50" s="39" t="n">
        <v>44.24</v>
      </c>
      <c r="AM50" s="39" t="n">
        <v>55.3</v>
      </c>
      <c r="AN50" s="39" t="n">
        <v>73.73333333333333</v>
      </c>
      <c r="AO50" s="39" t="n">
        <v>110.6</v>
      </c>
      <c r="AP50" s="39" t="n">
        <v>221.2</v>
      </c>
    </row>
    <row r="51">
      <c r="A51" s="6" t="inlineStr">
        <is>
          <t>P45</t>
        </is>
      </c>
      <c r="B51" s="6" t="inlineStr">
        <is>
          <t>Karitel</t>
        </is>
      </c>
      <c r="C51" s="39" t="n">
        <v>6.49</v>
      </c>
      <c r="D51" s="39" t="n">
        <v>6.831578947368421</v>
      </c>
      <c r="E51" s="39" t="n">
        <v>7.211111111111111</v>
      </c>
      <c r="F51" s="39" t="n">
        <v>7.635294117647059</v>
      </c>
      <c r="G51" s="39" t="n">
        <v>8.112499999999999</v>
      </c>
      <c r="H51" s="39" t="n">
        <v>8.653333333333334</v>
      </c>
      <c r="I51" s="39" t="n">
        <v>9.271428571428572</v>
      </c>
      <c r="J51" s="39" t="n">
        <v>9.984615384615385</v>
      </c>
      <c r="K51" s="39" t="n">
        <v>10.81666666666667</v>
      </c>
      <c r="L51" s="39" t="n">
        <v>11.8</v>
      </c>
      <c r="M51" s="39" t="n">
        <v>12.98</v>
      </c>
      <c r="N51" s="39" t="n">
        <v>14.42222222222222</v>
      </c>
      <c r="O51" s="39" t="n">
        <v>16.225</v>
      </c>
      <c r="P51" s="39" t="n">
        <v>18.54285714285714</v>
      </c>
      <c r="Q51" s="39" t="n">
        <v>21.63333333333334</v>
      </c>
      <c r="R51" s="39" t="n">
        <v>25.96</v>
      </c>
      <c r="S51" s="39" t="n">
        <v>32.45</v>
      </c>
      <c r="T51" s="39" t="n">
        <v>43.26666666666667</v>
      </c>
      <c r="U51" s="39" t="n">
        <v>64.89999999999999</v>
      </c>
      <c r="V51" s="39" t="n">
        <v>129.8</v>
      </c>
      <c r="W51" s="39" t="n">
        <v>14.05</v>
      </c>
      <c r="X51" s="39" t="n">
        <v>14.78947368421053</v>
      </c>
      <c r="Y51" s="39" t="n">
        <v>15.61111111111111</v>
      </c>
      <c r="Z51" s="39" t="n">
        <v>16.52941176470588</v>
      </c>
      <c r="AA51" s="39" t="n">
        <v>17.5625</v>
      </c>
      <c r="AB51" s="39" t="n">
        <v>18.73333333333333</v>
      </c>
      <c r="AC51" s="39" t="n">
        <v>20.07142857142857</v>
      </c>
      <c r="AD51" s="39" t="n">
        <v>21.61538461538462</v>
      </c>
      <c r="AE51" s="39" t="n">
        <v>23.41666666666667</v>
      </c>
      <c r="AF51" s="39" t="n">
        <v>25.54545454545454</v>
      </c>
      <c r="AG51" s="39" t="n">
        <v>28.1</v>
      </c>
      <c r="AH51" s="39" t="n">
        <v>31.22222222222222</v>
      </c>
      <c r="AI51" s="39" t="n">
        <v>35.125</v>
      </c>
      <c r="AJ51" s="39" t="n">
        <v>40.14285714285715</v>
      </c>
      <c r="AK51" s="39" t="n">
        <v>46.83333333333334</v>
      </c>
      <c r="AL51" s="39" t="n">
        <v>56.2</v>
      </c>
      <c r="AM51" s="39" t="n">
        <v>70.25</v>
      </c>
      <c r="AN51" s="39" t="n">
        <v>93.66666666666667</v>
      </c>
      <c r="AO51" s="39" t="n">
        <v>140.5</v>
      </c>
      <c r="AP51" s="39" t="n">
        <v>281</v>
      </c>
    </row>
    <row r="52">
      <c r="A52" s="6" t="inlineStr">
        <is>
          <t>P46</t>
        </is>
      </c>
      <c r="B52" s="6" t="inlineStr">
        <is>
          <t>Karitel</t>
        </is>
      </c>
      <c r="C52" s="39" t="n">
        <v>6.37</v>
      </c>
      <c r="D52" s="39" t="n">
        <v>6.705263157894738</v>
      </c>
      <c r="E52" s="39" t="n">
        <v>7.077777777777778</v>
      </c>
      <c r="F52" s="39" t="n">
        <v>7.494117647058824</v>
      </c>
      <c r="G52" s="39" t="n">
        <v>7.962499999999999</v>
      </c>
      <c r="H52" s="39" t="n">
        <v>8.493333333333334</v>
      </c>
      <c r="I52" s="39" t="n">
        <v>9.100000000000001</v>
      </c>
      <c r="J52" s="39" t="n">
        <v>9.800000000000001</v>
      </c>
      <c r="K52" s="39" t="n">
        <v>10.61666666666667</v>
      </c>
      <c r="L52" s="39" t="n">
        <v>11.58181818181818</v>
      </c>
      <c r="M52" s="39" t="n">
        <v>12.74</v>
      </c>
      <c r="N52" s="39" t="n">
        <v>14.15555555555556</v>
      </c>
      <c r="O52" s="39" t="n">
        <v>15.925</v>
      </c>
      <c r="P52" s="39" t="n">
        <v>18.2</v>
      </c>
      <c r="Q52" s="39" t="n">
        <v>21.23333333333333</v>
      </c>
      <c r="R52" s="39" t="n">
        <v>25.48</v>
      </c>
      <c r="S52" s="39" t="n">
        <v>31.85</v>
      </c>
      <c r="T52" s="39" t="n">
        <v>42.46666666666667</v>
      </c>
      <c r="U52" s="39" t="n">
        <v>63.7</v>
      </c>
      <c r="V52" s="39" t="n">
        <v>127.4</v>
      </c>
      <c r="W52" s="39" t="n">
        <v>16.05</v>
      </c>
      <c r="X52" s="39" t="n">
        <v>16.89473684210526</v>
      </c>
      <c r="Y52" s="39" t="n">
        <v>17.83333333333333</v>
      </c>
      <c r="Z52" s="39" t="n">
        <v>18.88235294117647</v>
      </c>
      <c r="AA52" s="39" t="n">
        <v>20.0625</v>
      </c>
      <c r="AB52" s="39" t="n">
        <v>21.4</v>
      </c>
      <c r="AC52" s="39" t="n">
        <v>22.92857142857143</v>
      </c>
      <c r="AD52" s="39" t="n">
        <v>24.69230769230769</v>
      </c>
      <c r="AE52" s="39" t="n">
        <v>26.75</v>
      </c>
      <c r="AF52" s="39" t="n">
        <v>29.18181818181818</v>
      </c>
      <c r="AG52" s="39" t="n">
        <v>32.1</v>
      </c>
      <c r="AH52" s="39" t="n">
        <v>35.66666666666666</v>
      </c>
      <c r="AI52" s="39" t="n">
        <v>40.125</v>
      </c>
      <c r="AJ52" s="39" t="n">
        <v>45.85714285714286</v>
      </c>
      <c r="AK52" s="39" t="n">
        <v>53.50000000000001</v>
      </c>
      <c r="AL52" s="39" t="n">
        <v>64.2</v>
      </c>
      <c r="AM52" s="39" t="n">
        <v>80.25</v>
      </c>
      <c r="AN52" s="39" t="n">
        <v>107</v>
      </c>
      <c r="AO52" s="39" t="n">
        <v>160.5</v>
      </c>
      <c r="AP52" s="39" t="n">
        <v>321</v>
      </c>
    </row>
    <row r="53">
      <c r="A53" s="6" t="inlineStr">
        <is>
          <t>P47</t>
        </is>
      </c>
      <c r="B53" s="6" t="inlineStr">
        <is>
          <t>Karitel</t>
        </is>
      </c>
      <c r="C53" s="39" t="n">
        <v>7.07</v>
      </c>
      <c r="D53" s="39" t="n">
        <v>7.442105263157895</v>
      </c>
      <c r="E53" s="39" t="n">
        <v>7.855555555555556</v>
      </c>
      <c r="F53" s="39" t="n">
        <v>8.31764705882353</v>
      </c>
      <c r="G53" s="39" t="n">
        <v>8.8375</v>
      </c>
      <c r="H53" s="39" t="n">
        <v>9.426666666666668</v>
      </c>
      <c r="I53" s="39" t="n">
        <v>10.1</v>
      </c>
      <c r="J53" s="39" t="n">
        <v>10.87692307692308</v>
      </c>
      <c r="K53" s="39" t="n">
        <v>11.78333333333333</v>
      </c>
      <c r="L53" s="39" t="n">
        <v>12.85454545454545</v>
      </c>
      <c r="M53" s="39" t="n">
        <v>14.14</v>
      </c>
      <c r="N53" s="39" t="n">
        <v>15.71111111111111</v>
      </c>
      <c r="O53" s="39" t="n">
        <v>17.675</v>
      </c>
      <c r="P53" s="39" t="n">
        <v>20.2</v>
      </c>
      <c r="Q53" s="39" t="n">
        <v>23.56666666666667</v>
      </c>
      <c r="R53" s="39" t="n">
        <v>28.28</v>
      </c>
      <c r="S53" s="39" t="n">
        <v>35.35</v>
      </c>
      <c r="T53" s="39" t="n">
        <v>47.13333333333334</v>
      </c>
      <c r="U53" s="39" t="n">
        <v>70.7</v>
      </c>
      <c r="V53" s="39" t="n">
        <v>141.4</v>
      </c>
      <c r="W53" s="39" t="n">
        <v>16.05</v>
      </c>
      <c r="X53" s="39" t="n">
        <v>16.89473684210526</v>
      </c>
      <c r="Y53" s="39" t="n">
        <v>17.83333333333333</v>
      </c>
      <c r="Z53" s="39" t="n">
        <v>18.88235294117647</v>
      </c>
      <c r="AA53" s="39" t="n">
        <v>20.0625</v>
      </c>
      <c r="AB53" s="39" t="n">
        <v>21.4</v>
      </c>
      <c r="AC53" s="39" t="n">
        <v>22.92857142857143</v>
      </c>
      <c r="AD53" s="39" t="n">
        <v>24.69230769230769</v>
      </c>
      <c r="AE53" s="39" t="n">
        <v>26.75</v>
      </c>
      <c r="AF53" s="39" t="n">
        <v>29.18181818181818</v>
      </c>
      <c r="AG53" s="39" t="n">
        <v>32.1</v>
      </c>
      <c r="AH53" s="39" t="n">
        <v>35.66666666666666</v>
      </c>
      <c r="AI53" s="39" t="n">
        <v>40.125</v>
      </c>
      <c r="AJ53" s="39" t="n">
        <v>45.85714285714286</v>
      </c>
      <c r="AK53" s="39" t="n">
        <v>53.50000000000001</v>
      </c>
      <c r="AL53" s="39" t="n">
        <v>64.2</v>
      </c>
      <c r="AM53" s="39" t="n">
        <v>80.25</v>
      </c>
      <c r="AN53" s="39" t="n">
        <v>107</v>
      </c>
      <c r="AO53" s="39" t="n">
        <v>160.5</v>
      </c>
      <c r="AP53" s="39" t="n">
        <v>321</v>
      </c>
    </row>
    <row r="54">
      <c r="A54" s="6" t="inlineStr">
        <is>
          <t>P48</t>
        </is>
      </c>
      <c r="B54" s="6" t="inlineStr">
        <is>
          <t>Karitel</t>
        </is>
      </c>
      <c r="C54" s="39" t="n">
        <v>6.8</v>
      </c>
      <c r="D54" s="39" t="n">
        <v>7.157894736842105</v>
      </c>
      <c r="E54" s="39" t="n">
        <v>7.555555555555555</v>
      </c>
      <c r="F54" s="39" t="n">
        <v>8</v>
      </c>
      <c r="G54" s="39" t="n">
        <v>8.5</v>
      </c>
      <c r="H54" s="39" t="n">
        <v>9.066666666666666</v>
      </c>
      <c r="I54" s="39" t="n">
        <v>9.714285714285715</v>
      </c>
      <c r="J54" s="39" t="n">
        <v>10.46153846153846</v>
      </c>
      <c r="K54" s="39" t="n">
        <v>11.33333333333333</v>
      </c>
      <c r="L54" s="39" t="n">
        <v>12.36363636363636</v>
      </c>
      <c r="M54" s="39" t="n">
        <v>13.6</v>
      </c>
      <c r="N54" s="39" t="n">
        <v>15.11111111111111</v>
      </c>
      <c r="O54" s="39" t="n">
        <v>17</v>
      </c>
      <c r="P54" s="39" t="n">
        <v>19.42857142857143</v>
      </c>
      <c r="Q54" s="39" t="n">
        <v>22.66666666666667</v>
      </c>
      <c r="R54" s="39" t="n">
        <v>27.2</v>
      </c>
      <c r="S54" s="39" t="n">
        <v>34</v>
      </c>
      <c r="T54" s="39" t="n">
        <v>45.33333333333334</v>
      </c>
      <c r="U54" s="39" t="n">
        <v>68</v>
      </c>
      <c r="V54" s="39" t="n">
        <v>136</v>
      </c>
      <c r="W54" s="39" t="n">
        <v>16.05</v>
      </c>
      <c r="X54" s="39" t="n">
        <v>16.89473684210526</v>
      </c>
      <c r="Y54" s="39" t="n">
        <v>17.83333333333333</v>
      </c>
      <c r="Z54" s="39" t="n">
        <v>18.88235294117647</v>
      </c>
      <c r="AA54" s="39" t="n">
        <v>20.0625</v>
      </c>
      <c r="AB54" s="39" t="n">
        <v>21.4</v>
      </c>
      <c r="AC54" s="39" t="n">
        <v>22.92857142857143</v>
      </c>
      <c r="AD54" s="39" t="n">
        <v>24.69230769230769</v>
      </c>
      <c r="AE54" s="39" t="n">
        <v>26.75</v>
      </c>
      <c r="AF54" s="39" t="n">
        <v>29.18181818181818</v>
      </c>
      <c r="AG54" s="39" t="n">
        <v>32.1</v>
      </c>
      <c r="AH54" s="39" t="n">
        <v>35.66666666666666</v>
      </c>
      <c r="AI54" s="39" t="n">
        <v>40.125</v>
      </c>
      <c r="AJ54" s="39" t="n">
        <v>45.85714285714286</v>
      </c>
      <c r="AK54" s="39" t="n">
        <v>53.50000000000001</v>
      </c>
      <c r="AL54" s="39" t="n">
        <v>64.2</v>
      </c>
      <c r="AM54" s="39" t="n">
        <v>80.25</v>
      </c>
      <c r="AN54" s="39" t="n">
        <v>107</v>
      </c>
      <c r="AO54" s="39" t="n">
        <v>160.5</v>
      </c>
      <c r="AP54" s="39" t="n">
        <v>321</v>
      </c>
    </row>
    <row r="55">
      <c r="A55" s="6" t="inlineStr">
        <is>
          <t>P49</t>
        </is>
      </c>
      <c r="B55" s="6" t="inlineStr">
        <is>
          <t>Karitel</t>
        </is>
      </c>
      <c r="C55" s="39" t="n">
        <v>6.72</v>
      </c>
      <c r="D55" s="39" t="n">
        <v>7.073684210526316</v>
      </c>
      <c r="E55" s="39" t="n">
        <v>7.466666666666666</v>
      </c>
      <c r="F55" s="39" t="n">
        <v>7.905882352941177</v>
      </c>
      <c r="G55" s="39" t="n">
        <v>8.399999999999999</v>
      </c>
      <c r="H55" s="39" t="n">
        <v>8.959999999999999</v>
      </c>
      <c r="I55" s="39" t="n">
        <v>9.6</v>
      </c>
      <c r="J55" s="39" t="n">
        <v>10.33846153846154</v>
      </c>
      <c r="K55" s="39" t="n">
        <v>11.2</v>
      </c>
      <c r="L55" s="39" t="n">
        <v>12.21818181818182</v>
      </c>
      <c r="M55" s="39" t="n">
        <v>13.44</v>
      </c>
      <c r="N55" s="39" t="n">
        <v>14.93333333333333</v>
      </c>
      <c r="O55" s="39" t="n">
        <v>16.8</v>
      </c>
      <c r="P55" s="39" t="n">
        <v>19.2</v>
      </c>
      <c r="Q55" s="39" t="n">
        <v>22.4</v>
      </c>
      <c r="R55" s="39" t="n">
        <v>26.88</v>
      </c>
      <c r="S55" s="39" t="n">
        <v>33.59999999999999</v>
      </c>
      <c r="T55" s="39" t="n">
        <v>44.8</v>
      </c>
      <c r="U55" s="39" t="n">
        <v>67.19999999999999</v>
      </c>
      <c r="V55" s="39" t="n">
        <v>134.4</v>
      </c>
      <c r="W55" s="39" t="n">
        <v>14.1</v>
      </c>
      <c r="X55" s="39" t="n">
        <v>14.8421052631579</v>
      </c>
      <c r="Y55" s="39" t="n">
        <v>15.66666666666667</v>
      </c>
      <c r="Z55" s="39" t="n">
        <v>16.58823529411765</v>
      </c>
      <c r="AA55" s="39" t="n">
        <v>17.625</v>
      </c>
      <c r="AB55" s="39" t="n">
        <v>18.8</v>
      </c>
      <c r="AC55" s="39" t="n">
        <v>20.14285714285714</v>
      </c>
      <c r="AD55" s="39" t="n">
        <v>21.69230769230769</v>
      </c>
      <c r="AE55" s="39" t="n">
        <v>23.5</v>
      </c>
      <c r="AF55" s="39" t="n">
        <v>25.63636363636363</v>
      </c>
      <c r="AG55" s="39" t="n">
        <v>28.2</v>
      </c>
      <c r="AH55" s="39" t="n">
        <v>31.33333333333333</v>
      </c>
      <c r="AI55" s="39" t="n">
        <v>35.25</v>
      </c>
      <c r="AJ55" s="39" t="n">
        <v>40.28571428571428</v>
      </c>
      <c r="AK55" s="39" t="n">
        <v>47</v>
      </c>
      <c r="AL55" s="39" t="n">
        <v>56.39999999999999</v>
      </c>
      <c r="AM55" s="39" t="n">
        <v>70.5</v>
      </c>
      <c r="AN55" s="39" t="n">
        <v>93.99999999999999</v>
      </c>
      <c r="AO55" s="39" t="n">
        <v>141</v>
      </c>
      <c r="AP55" s="39" t="n">
        <v>281.9999999999999</v>
      </c>
    </row>
    <row r="56">
      <c r="A56" s="6" t="inlineStr">
        <is>
          <t>P50</t>
        </is>
      </c>
      <c r="B56" s="6" t="inlineStr">
        <is>
          <t>Karitel</t>
        </is>
      </c>
      <c r="C56" s="39" t="n">
        <v>6.18</v>
      </c>
      <c r="D56" s="39" t="n">
        <v>6.505263157894737</v>
      </c>
      <c r="E56" s="39" t="n">
        <v>6.866666666666666</v>
      </c>
      <c r="F56" s="39" t="n">
        <v>7.270588235294118</v>
      </c>
      <c r="G56" s="39" t="n">
        <v>7.725</v>
      </c>
      <c r="H56" s="39" t="n">
        <v>8.24</v>
      </c>
      <c r="I56" s="39" t="n">
        <v>8.828571428571429</v>
      </c>
      <c r="J56" s="39" t="n">
        <v>9.507692307692308</v>
      </c>
      <c r="K56" s="39" t="n">
        <v>10.3</v>
      </c>
      <c r="L56" s="39" t="n">
        <v>11.23636363636363</v>
      </c>
      <c r="M56" s="39" t="n">
        <v>12.36</v>
      </c>
      <c r="N56" s="39" t="n">
        <v>13.73333333333333</v>
      </c>
      <c r="O56" s="39" t="n">
        <v>15.45</v>
      </c>
      <c r="P56" s="39" t="n">
        <v>17.65714285714286</v>
      </c>
      <c r="Q56" s="39" t="n">
        <v>20.6</v>
      </c>
      <c r="R56" s="39" t="n">
        <v>24.72</v>
      </c>
      <c r="S56" s="39" t="n">
        <v>30.9</v>
      </c>
      <c r="T56" s="39" t="n">
        <v>41.2</v>
      </c>
      <c r="U56" s="39" t="n">
        <v>61.8</v>
      </c>
      <c r="V56" s="39" t="n">
        <v>123.6</v>
      </c>
      <c r="W56" s="39" t="n">
        <v>13.26</v>
      </c>
      <c r="X56" s="39" t="n">
        <v>13.95789473684211</v>
      </c>
      <c r="Y56" s="39" t="n">
        <v>14.73333333333333</v>
      </c>
      <c r="Z56" s="39" t="n">
        <v>15.6</v>
      </c>
      <c r="AA56" s="39" t="n">
        <v>16.575</v>
      </c>
      <c r="AB56" s="39" t="n">
        <v>17.68</v>
      </c>
      <c r="AC56" s="39" t="n">
        <v>18.94285714285714</v>
      </c>
      <c r="AD56" s="39" t="n">
        <v>20.4</v>
      </c>
      <c r="AE56" s="39" t="n">
        <v>22.1</v>
      </c>
      <c r="AF56" s="39" t="n">
        <v>24.10909090909091</v>
      </c>
      <c r="AG56" s="39" t="n">
        <v>26.52</v>
      </c>
      <c r="AH56" s="39" t="n">
        <v>29.46666666666667</v>
      </c>
      <c r="AI56" s="39" t="n">
        <v>33.15</v>
      </c>
      <c r="AJ56" s="39" t="n">
        <v>37.88571428571429</v>
      </c>
      <c r="AK56" s="39" t="n">
        <v>44.2</v>
      </c>
      <c r="AL56" s="39" t="n">
        <v>53.04</v>
      </c>
      <c r="AM56" s="39" t="n">
        <v>66.3</v>
      </c>
      <c r="AN56" s="39" t="n">
        <v>88.40000000000001</v>
      </c>
      <c r="AO56" s="39" t="n">
        <v>132.6</v>
      </c>
      <c r="AP56" s="39" t="n">
        <v>265.2</v>
      </c>
    </row>
    <row r="57">
      <c r="A57" s="6" t="inlineStr">
        <is>
          <t>P51</t>
        </is>
      </c>
      <c r="B57" s="6" t="inlineStr">
        <is>
          <t>Karitel</t>
        </is>
      </c>
      <c r="C57" s="39" t="n">
        <v>5.995</v>
      </c>
      <c r="D57" s="39" t="n">
        <v>6.310526315789474</v>
      </c>
      <c r="E57" s="39" t="n">
        <v>6.661111111111111</v>
      </c>
      <c r="F57" s="39" t="n">
        <v>7.052941176470589</v>
      </c>
      <c r="G57" s="39" t="n">
        <v>7.493749999999999</v>
      </c>
      <c r="H57" s="39" t="n">
        <v>7.993333333333333</v>
      </c>
      <c r="I57" s="39" t="n">
        <v>8.564285714285715</v>
      </c>
      <c r="J57" s="39" t="n">
        <v>9.223076923076922</v>
      </c>
      <c r="K57" s="39" t="n">
        <v>9.991666666666667</v>
      </c>
      <c r="L57" s="39" t="n">
        <v>10.9</v>
      </c>
      <c r="M57" s="39" t="n">
        <v>11.99</v>
      </c>
      <c r="N57" s="39" t="n">
        <v>13.32222222222222</v>
      </c>
      <c r="O57" s="39" t="n">
        <v>14.9875</v>
      </c>
      <c r="P57" s="39" t="n">
        <v>17.12857142857143</v>
      </c>
      <c r="Q57" s="39" t="n">
        <v>19.98333333333333</v>
      </c>
      <c r="R57" s="39" t="n">
        <v>23.98</v>
      </c>
      <c r="S57" s="39" t="n">
        <v>29.975</v>
      </c>
      <c r="T57" s="39" t="n">
        <v>39.96666666666667</v>
      </c>
      <c r="U57" s="39" t="n">
        <v>59.95</v>
      </c>
      <c r="V57" s="39" t="n">
        <v>119.9</v>
      </c>
      <c r="W57" s="39" t="n">
        <v>13.26</v>
      </c>
      <c r="X57" s="39" t="n">
        <v>13.95789473684211</v>
      </c>
      <c r="Y57" s="39" t="n">
        <v>14.73333333333333</v>
      </c>
      <c r="Z57" s="39" t="n">
        <v>15.6</v>
      </c>
      <c r="AA57" s="39" t="n">
        <v>16.575</v>
      </c>
      <c r="AB57" s="39" t="n">
        <v>17.68</v>
      </c>
      <c r="AC57" s="39" t="n">
        <v>18.94285714285714</v>
      </c>
      <c r="AD57" s="39" t="n">
        <v>20.4</v>
      </c>
      <c r="AE57" s="39" t="n">
        <v>22.1</v>
      </c>
      <c r="AF57" s="39" t="n">
        <v>24.10909090909091</v>
      </c>
      <c r="AG57" s="39" t="n">
        <v>26.52</v>
      </c>
      <c r="AH57" s="39" t="n">
        <v>29.46666666666667</v>
      </c>
      <c r="AI57" s="39" t="n">
        <v>33.15</v>
      </c>
      <c r="AJ57" s="39" t="n">
        <v>37.88571428571429</v>
      </c>
      <c r="AK57" s="39" t="n">
        <v>44.2</v>
      </c>
      <c r="AL57" s="39" t="n">
        <v>53.04</v>
      </c>
      <c r="AM57" s="39" t="n">
        <v>66.3</v>
      </c>
      <c r="AN57" s="39" t="n">
        <v>88.40000000000001</v>
      </c>
      <c r="AO57" s="39" t="n">
        <v>132.6</v>
      </c>
      <c r="AP57" s="39" t="n">
        <v>265.2</v>
      </c>
    </row>
    <row r="58">
      <c r="A58" s="6" t="inlineStr">
        <is>
          <t>P52</t>
        </is>
      </c>
      <c r="B58" s="6" t="inlineStr">
        <is>
          <t>Karitel</t>
        </is>
      </c>
      <c r="C58" s="39" t="n">
        <v>6.435</v>
      </c>
      <c r="D58" s="39" t="n">
        <v>6.773684210526316</v>
      </c>
      <c r="E58" s="39" t="n">
        <v>7.149999999999999</v>
      </c>
      <c r="F58" s="39" t="n">
        <v>7.570588235294117</v>
      </c>
      <c r="G58" s="39" t="n">
        <v>8.043749999999999</v>
      </c>
      <c r="H58" s="39" t="n">
        <v>8.58</v>
      </c>
      <c r="I58" s="39" t="n">
        <v>9.192857142857143</v>
      </c>
      <c r="J58" s="39" t="n">
        <v>9.899999999999999</v>
      </c>
      <c r="K58" s="39" t="n">
        <v>10.725</v>
      </c>
      <c r="L58" s="39" t="n">
        <v>11.7</v>
      </c>
      <c r="M58" s="39" t="n">
        <v>12.87</v>
      </c>
      <c r="N58" s="39" t="n">
        <v>14.3</v>
      </c>
      <c r="O58" s="39" t="n">
        <v>16.0875</v>
      </c>
      <c r="P58" s="39" t="n">
        <v>18.38571428571429</v>
      </c>
      <c r="Q58" s="39" t="n">
        <v>21.45</v>
      </c>
      <c r="R58" s="39" t="n">
        <v>25.74</v>
      </c>
      <c r="S58" s="39" t="n">
        <v>32.175</v>
      </c>
      <c r="T58" s="39" t="n">
        <v>42.9</v>
      </c>
      <c r="U58" s="39" t="n">
        <v>64.34999999999999</v>
      </c>
      <c r="V58" s="39" t="n">
        <v>128.7</v>
      </c>
      <c r="W58" s="39" t="n">
        <v>16.05</v>
      </c>
      <c r="X58" s="39" t="n">
        <v>16.89473684210526</v>
      </c>
      <c r="Y58" s="39" t="n">
        <v>17.83333333333333</v>
      </c>
      <c r="Z58" s="39" t="n">
        <v>18.88235294117647</v>
      </c>
      <c r="AA58" s="39" t="n">
        <v>20.0625</v>
      </c>
      <c r="AB58" s="39" t="n">
        <v>21.4</v>
      </c>
      <c r="AC58" s="39" t="n">
        <v>22.92857142857143</v>
      </c>
      <c r="AD58" s="39" t="n">
        <v>24.69230769230769</v>
      </c>
      <c r="AE58" s="39" t="n">
        <v>26.75</v>
      </c>
      <c r="AF58" s="39" t="n">
        <v>29.18181818181818</v>
      </c>
      <c r="AG58" s="39" t="n">
        <v>32.1</v>
      </c>
      <c r="AH58" s="39" t="n">
        <v>35.66666666666666</v>
      </c>
      <c r="AI58" s="39" t="n">
        <v>40.125</v>
      </c>
      <c r="AJ58" s="39" t="n">
        <v>45.85714285714286</v>
      </c>
      <c r="AK58" s="39" t="n">
        <v>53.50000000000001</v>
      </c>
      <c r="AL58" s="39" t="n">
        <v>64.2</v>
      </c>
      <c r="AM58" s="39" t="n">
        <v>80.25</v>
      </c>
      <c r="AN58" s="39" t="n">
        <v>107</v>
      </c>
      <c r="AO58" s="39" t="n">
        <v>160.5</v>
      </c>
      <c r="AP58" s="39" t="n">
        <v>321</v>
      </c>
    </row>
    <row r="59">
      <c r="A59" s="6" t="inlineStr">
        <is>
          <t>P53</t>
        </is>
      </c>
      <c r="B59" s="6" t="inlineStr">
        <is>
          <t>Karitel</t>
        </is>
      </c>
      <c r="C59" s="39" t="n">
        <v>5.04</v>
      </c>
      <c r="D59" s="39" t="n">
        <v>5.305263157894737</v>
      </c>
      <c r="E59" s="39" t="n">
        <v>5.6</v>
      </c>
      <c r="F59" s="39" t="n">
        <v>5.929411764705883</v>
      </c>
      <c r="G59" s="39" t="n">
        <v>6.3</v>
      </c>
      <c r="H59" s="39" t="n">
        <v>6.72</v>
      </c>
      <c r="I59" s="39" t="n">
        <v>7.2</v>
      </c>
      <c r="J59" s="39" t="n">
        <v>7.753846153846154</v>
      </c>
      <c r="K59" s="39" t="n">
        <v>8.4</v>
      </c>
      <c r="L59" s="39" t="n">
        <v>9.163636363636362</v>
      </c>
      <c r="M59" s="39" t="n">
        <v>10.08</v>
      </c>
      <c r="N59" s="39" t="n">
        <v>11.2</v>
      </c>
      <c r="O59" s="39" t="n">
        <v>12.6</v>
      </c>
      <c r="P59" s="39" t="n">
        <v>14.4</v>
      </c>
      <c r="Q59" s="39" t="n">
        <v>16.8</v>
      </c>
      <c r="R59" s="39" t="n">
        <v>20.16</v>
      </c>
      <c r="S59" s="39" t="n">
        <v>25.2</v>
      </c>
      <c r="T59" s="39" t="n">
        <v>33.6</v>
      </c>
      <c r="U59" s="39" t="n">
        <v>50.4</v>
      </c>
      <c r="V59" s="39" t="n">
        <v>100.8</v>
      </c>
      <c r="W59" s="39" t="n">
        <v>10.94</v>
      </c>
      <c r="X59" s="39" t="n">
        <v>11.51578947368421</v>
      </c>
      <c r="Y59" s="39" t="n">
        <v>12.15555555555556</v>
      </c>
      <c r="Z59" s="39" t="n">
        <v>12.87058823529412</v>
      </c>
      <c r="AA59" s="39" t="n">
        <v>13.675</v>
      </c>
      <c r="AB59" s="39" t="n">
        <v>14.58666666666667</v>
      </c>
      <c r="AC59" s="39" t="n">
        <v>15.62857142857143</v>
      </c>
      <c r="AD59" s="39" t="n">
        <v>16.83076923076923</v>
      </c>
      <c r="AE59" s="39" t="n">
        <v>18.23333333333333</v>
      </c>
      <c r="AF59" s="39" t="n">
        <v>19.89090909090909</v>
      </c>
      <c r="AG59" s="39" t="n">
        <v>21.88</v>
      </c>
      <c r="AH59" s="39" t="n">
        <v>24.31111111111111</v>
      </c>
      <c r="AI59" s="39" t="n">
        <v>27.35</v>
      </c>
      <c r="AJ59" s="39" t="n">
        <v>31.25714285714286</v>
      </c>
      <c r="AK59" s="39" t="n">
        <v>36.46666666666667</v>
      </c>
      <c r="AL59" s="39" t="n">
        <v>43.76</v>
      </c>
      <c r="AM59" s="39" t="n">
        <v>54.7</v>
      </c>
      <c r="AN59" s="39" t="n">
        <v>72.93333333333334</v>
      </c>
      <c r="AO59" s="39" t="n">
        <v>109.4</v>
      </c>
      <c r="AP59" s="39" t="n">
        <v>218.8</v>
      </c>
    </row>
    <row r="60">
      <c r="A60" s="6" t="inlineStr">
        <is>
          <t>P54</t>
        </is>
      </c>
      <c r="B60" s="6" t="inlineStr">
        <is>
          <t>Karitel</t>
        </is>
      </c>
      <c r="C60" s="39" t="n">
        <v>5.9</v>
      </c>
      <c r="D60" s="39" t="n">
        <v>6.210526315789474</v>
      </c>
      <c r="E60" s="39" t="n">
        <v>6.555555555555555</v>
      </c>
      <c r="F60" s="39" t="n">
        <v>6.941176470588236</v>
      </c>
      <c r="G60" s="39" t="n">
        <v>7.375</v>
      </c>
      <c r="H60" s="39" t="n">
        <v>7.866666666666667</v>
      </c>
      <c r="I60" s="39" t="n">
        <v>8.428571428571429</v>
      </c>
      <c r="J60" s="39" t="n">
        <v>9.076923076923077</v>
      </c>
      <c r="K60" s="39" t="n">
        <v>9.833333333333334</v>
      </c>
      <c r="L60" s="39" t="n">
        <v>10.72727272727273</v>
      </c>
      <c r="M60" s="39" t="n">
        <v>11.8</v>
      </c>
      <c r="N60" s="39" t="n">
        <v>13.11111111111111</v>
      </c>
      <c r="O60" s="39" t="n">
        <v>14.75</v>
      </c>
      <c r="P60" s="39" t="n">
        <v>16.85714285714286</v>
      </c>
      <c r="Q60" s="39" t="n">
        <v>19.66666666666667</v>
      </c>
      <c r="R60" s="39" t="n">
        <v>23.6</v>
      </c>
      <c r="S60" s="39" t="n">
        <v>29.5</v>
      </c>
      <c r="T60" s="39" t="n">
        <v>39.33333333333334</v>
      </c>
      <c r="U60" s="39" t="n">
        <v>59</v>
      </c>
      <c r="V60" s="39" t="n">
        <v>118</v>
      </c>
      <c r="W60" s="39" t="n">
        <v>13.57</v>
      </c>
      <c r="X60" s="39" t="n">
        <v>14.28421052631579</v>
      </c>
      <c r="Y60" s="39" t="n">
        <v>15.07777777777778</v>
      </c>
      <c r="Z60" s="39" t="n">
        <v>15.96470588235294</v>
      </c>
      <c r="AA60" s="39" t="n">
        <v>16.9625</v>
      </c>
      <c r="AB60" s="39" t="n">
        <v>18.09333333333333</v>
      </c>
      <c r="AC60" s="39" t="n">
        <v>19.38571428571429</v>
      </c>
      <c r="AD60" s="39" t="n">
        <v>20.87692307692308</v>
      </c>
      <c r="AE60" s="39" t="n">
        <v>22.61666666666667</v>
      </c>
      <c r="AF60" s="39" t="n">
        <v>24.67272727272727</v>
      </c>
      <c r="AG60" s="39" t="n">
        <v>27.14</v>
      </c>
      <c r="AH60" s="39" t="n">
        <v>30.15555555555556</v>
      </c>
      <c r="AI60" s="39" t="n">
        <v>33.925</v>
      </c>
      <c r="AJ60" s="39" t="n">
        <v>38.77142857142857</v>
      </c>
      <c r="AK60" s="39" t="n">
        <v>45.23333333333333</v>
      </c>
      <c r="AL60" s="39" t="n">
        <v>54.28</v>
      </c>
      <c r="AM60" s="39" t="n">
        <v>67.84999999999999</v>
      </c>
      <c r="AN60" s="39" t="n">
        <v>90.46666666666667</v>
      </c>
      <c r="AO60" s="39" t="n">
        <v>135.7</v>
      </c>
      <c r="AP60" s="39" t="n">
        <v>271.4</v>
      </c>
    </row>
    <row r="61">
      <c r="A61" s="6" t="inlineStr">
        <is>
          <t>P55</t>
        </is>
      </c>
      <c r="B61" s="6" t="inlineStr">
        <is>
          <t>Karitel</t>
        </is>
      </c>
      <c r="C61" s="39" t="n">
        <v>6.42</v>
      </c>
      <c r="D61" s="39" t="n">
        <v>6.757894736842106</v>
      </c>
      <c r="E61" s="39" t="n">
        <v>7.133333333333333</v>
      </c>
      <c r="F61" s="39" t="n">
        <v>7.552941176470588</v>
      </c>
      <c r="G61" s="39" t="n">
        <v>8.024999999999999</v>
      </c>
      <c r="H61" s="39" t="n">
        <v>8.56</v>
      </c>
      <c r="I61" s="39" t="n">
        <v>9.171428571428573</v>
      </c>
      <c r="J61" s="39" t="n">
        <v>9.876923076923077</v>
      </c>
      <c r="K61" s="39" t="n">
        <v>10.7</v>
      </c>
      <c r="L61" s="39" t="n">
        <v>11.67272727272727</v>
      </c>
      <c r="M61" s="39" t="n">
        <v>12.84</v>
      </c>
      <c r="N61" s="39" t="n">
        <v>14.26666666666667</v>
      </c>
      <c r="O61" s="39" t="n">
        <v>16.05</v>
      </c>
      <c r="P61" s="39" t="n">
        <v>18.34285714285715</v>
      </c>
      <c r="Q61" s="39" t="n">
        <v>21.4</v>
      </c>
      <c r="R61" s="39" t="n">
        <v>25.68</v>
      </c>
      <c r="S61" s="39" t="n">
        <v>32.09999999999999</v>
      </c>
      <c r="T61" s="39" t="n">
        <v>42.8</v>
      </c>
      <c r="U61" s="39" t="n">
        <v>64.19999999999999</v>
      </c>
      <c r="V61" s="39" t="n">
        <v>128.4</v>
      </c>
      <c r="W61" s="39" t="n">
        <v>15.11</v>
      </c>
      <c r="X61" s="39" t="n">
        <v>15.90526315789474</v>
      </c>
      <c r="Y61" s="39" t="n">
        <v>16.78888888888889</v>
      </c>
      <c r="Z61" s="39" t="n">
        <v>17.77647058823529</v>
      </c>
      <c r="AA61" s="39" t="n">
        <v>18.8875</v>
      </c>
      <c r="AB61" s="39" t="n">
        <v>20.14666666666666</v>
      </c>
      <c r="AC61" s="39" t="n">
        <v>21.58571428571429</v>
      </c>
      <c r="AD61" s="39" t="n">
        <v>23.24615384615385</v>
      </c>
      <c r="AE61" s="39" t="n">
        <v>25.18333333333333</v>
      </c>
      <c r="AF61" s="39" t="n">
        <v>27.47272727272727</v>
      </c>
      <c r="AG61" s="39" t="n">
        <v>30.22</v>
      </c>
      <c r="AH61" s="39" t="n">
        <v>33.57777777777778</v>
      </c>
      <c r="AI61" s="39" t="n">
        <v>37.775</v>
      </c>
      <c r="AJ61" s="39" t="n">
        <v>43.17142857142857</v>
      </c>
      <c r="AK61" s="39" t="n">
        <v>50.36666666666667</v>
      </c>
      <c r="AL61" s="39" t="n">
        <v>60.44</v>
      </c>
      <c r="AM61" s="39" t="n">
        <v>75.55</v>
      </c>
      <c r="AN61" s="39" t="n">
        <v>100.7333333333333</v>
      </c>
      <c r="AO61" s="39" t="n">
        <v>151.1</v>
      </c>
      <c r="AP61" s="39" t="n">
        <v>302.2</v>
      </c>
    </row>
    <row r="62">
      <c r="A62" s="6" t="inlineStr">
        <is>
          <t>P56</t>
        </is>
      </c>
      <c r="B62" s="6" t="inlineStr">
        <is>
          <t>Karitel</t>
        </is>
      </c>
      <c r="C62" s="39" t="n">
        <v>5.775</v>
      </c>
      <c r="D62" s="39" t="n">
        <v>6.078947368421053</v>
      </c>
      <c r="E62" s="39" t="n">
        <v>6.416666666666667</v>
      </c>
      <c r="F62" s="39" t="n">
        <v>6.794117647058824</v>
      </c>
      <c r="G62" s="39" t="n">
        <v>7.21875</v>
      </c>
      <c r="H62" s="39" t="n">
        <v>7.7</v>
      </c>
      <c r="I62" s="39" t="n">
        <v>8.250000000000002</v>
      </c>
      <c r="J62" s="39" t="n">
        <v>8.884615384615385</v>
      </c>
      <c r="K62" s="39" t="n">
        <v>9.625000000000002</v>
      </c>
      <c r="L62" s="39" t="n">
        <v>10.5</v>
      </c>
      <c r="M62" s="39" t="n">
        <v>11.55</v>
      </c>
      <c r="N62" s="39" t="n">
        <v>12.83333333333333</v>
      </c>
      <c r="O62" s="39" t="n">
        <v>14.4375</v>
      </c>
      <c r="P62" s="39" t="n">
        <v>16.5</v>
      </c>
      <c r="Q62" s="39" t="n">
        <v>19.25</v>
      </c>
      <c r="R62" s="39" t="n">
        <v>23.1</v>
      </c>
      <c r="S62" s="39" t="n">
        <v>28.875</v>
      </c>
      <c r="T62" s="39" t="n">
        <v>38.50000000000001</v>
      </c>
      <c r="U62" s="39" t="n">
        <v>57.75</v>
      </c>
      <c r="V62" s="39" t="n">
        <v>115.5</v>
      </c>
      <c r="W62" s="39" t="n">
        <v>15.57</v>
      </c>
      <c r="X62" s="39" t="n">
        <v>16.38947368421053</v>
      </c>
      <c r="Y62" s="39" t="n">
        <v>17.3</v>
      </c>
      <c r="Z62" s="39" t="n">
        <v>18.31764705882353</v>
      </c>
      <c r="AA62" s="39" t="n">
        <v>19.4625</v>
      </c>
      <c r="AB62" s="39" t="n">
        <v>20.76</v>
      </c>
      <c r="AC62" s="39" t="n">
        <v>22.24285714285714</v>
      </c>
      <c r="AD62" s="39" t="n">
        <v>23.95384615384615</v>
      </c>
      <c r="AE62" s="39" t="n">
        <v>25.95</v>
      </c>
      <c r="AF62" s="39" t="n">
        <v>28.30909090909091</v>
      </c>
      <c r="AG62" s="39" t="n">
        <v>31.14</v>
      </c>
      <c r="AH62" s="39" t="n">
        <v>34.6</v>
      </c>
      <c r="AI62" s="39" t="n">
        <v>38.925</v>
      </c>
      <c r="AJ62" s="39" t="n">
        <v>44.48571428571429</v>
      </c>
      <c r="AK62" s="39" t="n">
        <v>51.90000000000001</v>
      </c>
      <c r="AL62" s="39" t="n">
        <v>62.28</v>
      </c>
      <c r="AM62" s="39" t="n">
        <v>77.84999999999999</v>
      </c>
      <c r="AN62" s="39" t="n">
        <v>103.8</v>
      </c>
      <c r="AO62" s="39" t="n">
        <v>155.7</v>
      </c>
      <c r="AP62" s="39" t="n">
        <v>311.4</v>
      </c>
    </row>
    <row r="63">
      <c r="A63" s="6" t="inlineStr">
        <is>
          <t>P57</t>
        </is>
      </c>
      <c r="B63" s="6" t="inlineStr">
        <is>
          <t>Karitel</t>
        </is>
      </c>
      <c r="C63" s="39" t="n">
        <v>6.65</v>
      </c>
      <c r="D63" s="39" t="n">
        <v>7.000000000000001</v>
      </c>
      <c r="E63" s="39" t="n">
        <v>7.388888888888889</v>
      </c>
      <c r="F63" s="39" t="n">
        <v>7.823529411764707</v>
      </c>
      <c r="G63" s="39" t="n">
        <v>8.3125</v>
      </c>
      <c r="H63" s="39" t="n">
        <v>8.866666666666667</v>
      </c>
      <c r="I63" s="39" t="n">
        <v>9.500000000000002</v>
      </c>
      <c r="J63" s="39" t="n">
        <v>10.23076923076923</v>
      </c>
      <c r="K63" s="39" t="n">
        <v>11.08333333333333</v>
      </c>
      <c r="L63" s="39" t="n">
        <v>12.09090909090909</v>
      </c>
      <c r="M63" s="39" t="n">
        <v>13.3</v>
      </c>
      <c r="N63" s="39" t="n">
        <v>14.77777777777778</v>
      </c>
      <c r="O63" s="39" t="n">
        <v>16.625</v>
      </c>
      <c r="P63" s="39" t="n">
        <v>19</v>
      </c>
      <c r="Q63" s="39" t="n">
        <v>22.16666666666667</v>
      </c>
      <c r="R63" s="39" t="n">
        <v>26.6</v>
      </c>
      <c r="S63" s="39" t="n">
        <v>33.25</v>
      </c>
      <c r="T63" s="39" t="n">
        <v>44.33333333333334</v>
      </c>
      <c r="U63" s="39" t="n">
        <v>66.5</v>
      </c>
      <c r="V63" s="39" t="n">
        <v>133</v>
      </c>
      <c r="W63" s="39" t="n">
        <v>15.11</v>
      </c>
      <c r="X63" s="39" t="n">
        <v>15.90526315789474</v>
      </c>
      <c r="Y63" s="39" t="n">
        <v>16.78888888888889</v>
      </c>
      <c r="Z63" s="39" t="n">
        <v>17.77647058823529</v>
      </c>
      <c r="AA63" s="39" t="n">
        <v>18.8875</v>
      </c>
      <c r="AB63" s="39" t="n">
        <v>20.14666666666666</v>
      </c>
      <c r="AC63" s="39" t="n">
        <v>21.58571428571429</v>
      </c>
      <c r="AD63" s="39" t="n">
        <v>23.24615384615385</v>
      </c>
      <c r="AE63" s="39" t="n">
        <v>25.18333333333333</v>
      </c>
      <c r="AF63" s="39" t="n">
        <v>27.47272727272727</v>
      </c>
      <c r="AG63" s="39" t="n">
        <v>30.22</v>
      </c>
      <c r="AH63" s="39" t="n">
        <v>33.57777777777778</v>
      </c>
      <c r="AI63" s="39" t="n">
        <v>37.775</v>
      </c>
      <c r="AJ63" s="39" t="n">
        <v>43.17142857142857</v>
      </c>
      <c r="AK63" s="39" t="n">
        <v>50.36666666666667</v>
      </c>
      <c r="AL63" s="39" t="n">
        <v>60.44</v>
      </c>
      <c r="AM63" s="39" t="n">
        <v>75.55</v>
      </c>
      <c r="AN63" s="39" t="n">
        <v>100.7333333333333</v>
      </c>
      <c r="AO63" s="39" t="n">
        <v>151.1</v>
      </c>
      <c r="AP63" s="39" t="n">
        <v>302.2</v>
      </c>
    </row>
    <row r="64">
      <c r="A64" s="6" t="inlineStr">
        <is>
          <t>P58</t>
        </is>
      </c>
      <c r="B64" s="6" t="inlineStr">
        <is>
          <t>Karitel</t>
        </is>
      </c>
      <c r="C64" s="39" t="n">
        <v>6.65</v>
      </c>
      <c r="D64" s="39" t="n">
        <v>7.000000000000001</v>
      </c>
      <c r="E64" s="39" t="n">
        <v>7.388888888888889</v>
      </c>
      <c r="F64" s="39" t="n">
        <v>7.823529411764707</v>
      </c>
      <c r="G64" s="39" t="n">
        <v>8.3125</v>
      </c>
      <c r="H64" s="39" t="n">
        <v>8.866666666666667</v>
      </c>
      <c r="I64" s="39" t="n">
        <v>9.500000000000002</v>
      </c>
      <c r="J64" s="39" t="n">
        <v>10.23076923076923</v>
      </c>
      <c r="K64" s="39" t="n">
        <v>11.08333333333333</v>
      </c>
      <c r="L64" s="39" t="n">
        <v>12.09090909090909</v>
      </c>
      <c r="M64" s="39" t="n">
        <v>13.3</v>
      </c>
      <c r="N64" s="39" t="n">
        <v>14.77777777777778</v>
      </c>
      <c r="O64" s="39" t="n">
        <v>16.625</v>
      </c>
      <c r="P64" s="39" t="n">
        <v>19</v>
      </c>
      <c r="Q64" s="39" t="n">
        <v>22.16666666666667</v>
      </c>
      <c r="R64" s="39" t="n">
        <v>26.6</v>
      </c>
      <c r="S64" s="39" t="n">
        <v>33.25</v>
      </c>
      <c r="T64" s="39" t="n">
        <v>44.33333333333334</v>
      </c>
      <c r="U64" s="39" t="n">
        <v>66.5</v>
      </c>
      <c r="V64" s="39" t="n">
        <v>133</v>
      </c>
      <c r="W64" s="39" t="n">
        <v>15.11</v>
      </c>
      <c r="X64" s="39" t="n">
        <v>15.90526315789474</v>
      </c>
      <c r="Y64" s="39" t="n">
        <v>16.78888888888889</v>
      </c>
      <c r="Z64" s="39" t="n">
        <v>17.77647058823529</v>
      </c>
      <c r="AA64" s="39" t="n">
        <v>18.8875</v>
      </c>
      <c r="AB64" s="39" t="n">
        <v>20.14666666666666</v>
      </c>
      <c r="AC64" s="39" t="n">
        <v>21.58571428571429</v>
      </c>
      <c r="AD64" s="39" t="n">
        <v>23.24615384615385</v>
      </c>
      <c r="AE64" s="39" t="n">
        <v>25.18333333333333</v>
      </c>
      <c r="AF64" s="39" t="n">
        <v>27.47272727272727</v>
      </c>
      <c r="AG64" s="39" t="n">
        <v>30.22</v>
      </c>
      <c r="AH64" s="39" t="n">
        <v>33.57777777777778</v>
      </c>
      <c r="AI64" s="39" t="n">
        <v>37.775</v>
      </c>
      <c r="AJ64" s="39" t="n">
        <v>43.17142857142857</v>
      </c>
      <c r="AK64" s="39" t="n">
        <v>50.36666666666667</v>
      </c>
      <c r="AL64" s="39" t="n">
        <v>60.44</v>
      </c>
      <c r="AM64" s="39" t="n">
        <v>75.55</v>
      </c>
      <c r="AN64" s="39" t="n">
        <v>100.7333333333333</v>
      </c>
      <c r="AO64" s="39" t="n">
        <v>151.1</v>
      </c>
      <c r="AP64" s="39" t="n">
        <v>302.2</v>
      </c>
    </row>
    <row r="65">
      <c r="A65" s="6" t="inlineStr">
        <is>
          <t>P59</t>
        </is>
      </c>
      <c r="B65" s="6" t="inlineStr">
        <is>
          <t>Karitel</t>
        </is>
      </c>
      <c r="C65" s="39" t="n">
        <v>6.16</v>
      </c>
      <c r="D65" s="39" t="n">
        <v>6.48421052631579</v>
      </c>
      <c r="E65" s="39" t="n">
        <v>6.844444444444444</v>
      </c>
      <c r="F65" s="39" t="n">
        <v>7.247058823529412</v>
      </c>
      <c r="G65" s="39" t="n">
        <v>7.7</v>
      </c>
      <c r="H65" s="39" t="n">
        <v>8.213333333333333</v>
      </c>
      <c r="I65" s="39" t="n">
        <v>8.800000000000001</v>
      </c>
      <c r="J65" s="39" t="n">
        <v>9.476923076923077</v>
      </c>
      <c r="K65" s="39" t="n">
        <v>10.26666666666667</v>
      </c>
      <c r="L65" s="39" t="n">
        <v>11.2</v>
      </c>
      <c r="M65" s="39" t="n">
        <v>12.32</v>
      </c>
      <c r="N65" s="39" t="n">
        <v>13.68888888888889</v>
      </c>
      <c r="O65" s="39" t="n">
        <v>15.4</v>
      </c>
      <c r="P65" s="39" t="n">
        <v>17.6</v>
      </c>
      <c r="Q65" s="39" t="n">
        <v>20.53333333333333</v>
      </c>
      <c r="R65" s="39" t="n">
        <v>24.64</v>
      </c>
      <c r="S65" s="39" t="n">
        <v>30.8</v>
      </c>
      <c r="T65" s="39" t="n">
        <v>41.06666666666667</v>
      </c>
      <c r="U65" s="39" t="n">
        <v>61.6</v>
      </c>
      <c r="V65" s="39" t="n">
        <v>123.2</v>
      </c>
      <c r="W65" s="39" t="n">
        <v>14.8</v>
      </c>
      <c r="X65" s="39" t="n">
        <v>15.57894736842105</v>
      </c>
      <c r="Y65" s="39" t="n">
        <v>16.44444444444445</v>
      </c>
      <c r="Z65" s="39" t="n">
        <v>17.41176470588236</v>
      </c>
      <c r="AA65" s="39" t="n">
        <v>18.5</v>
      </c>
      <c r="AB65" s="39" t="n">
        <v>19.73333333333333</v>
      </c>
      <c r="AC65" s="39" t="n">
        <v>21.14285714285715</v>
      </c>
      <c r="AD65" s="39" t="n">
        <v>22.76923076923077</v>
      </c>
      <c r="AE65" s="39" t="n">
        <v>24.66666666666667</v>
      </c>
      <c r="AF65" s="39" t="n">
        <v>26.90909090909091</v>
      </c>
      <c r="AG65" s="39" t="n">
        <v>29.6</v>
      </c>
      <c r="AH65" s="39" t="n">
        <v>32.88888888888889</v>
      </c>
      <c r="AI65" s="39" t="n">
        <v>37</v>
      </c>
      <c r="AJ65" s="39" t="n">
        <v>42.28571428571428</v>
      </c>
      <c r="AK65" s="39" t="n">
        <v>49.33333333333334</v>
      </c>
      <c r="AL65" s="39" t="n">
        <v>59.2</v>
      </c>
      <c r="AM65" s="39" t="n">
        <v>74</v>
      </c>
      <c r="AN65" s="39" t="n">
        <v>98.66666666666666</v>
      </c>
      <c r="AO65" s="39" t="n">
        <v>148</v>
      </c>
      <c r="AP65" s="39" t="n">
        <v>295.9999999999999</v>
      </c>
    </row>
    <row r="66">
      <c r="A66" s="6" t="inlineStr">
        <is>
          <t>P60</t>
        </is>
      </c>
      <c r="B66" s="6" t="inlineStr">
        <is>
          <t>Karitel</t>
        </is>
      </c>
      <c r="C66" s="39" t="n">
        <v>6.37</v>
      </c>
      <c r="D66" s="39" t="n">
        <v>6.705263157894738</v>
      </c>
      <c r="E66" s="39" t="n">
        <v>7.077777777777778</v>
      </c>
      <c r="F66" s="39" t="n">
        <v>7.494117647058824</v>
      </c>
      <c r="G66" s="39" t="n">
        <v>7.962499999999999</v>
      </c>
      <c r="H66" s="39" t="n">
        <v>8.493333333333334</v>
      </c>
      <c r="I66" s="39" t="n">
        <v>9.100000000000001</v>
      </c>
      <c r="J66" s="39" t="n">
        <v>9.800000000000001</v>
      </c>
      <c r="K66" s="39" t="n">
        <v>10.61666666666667</v>
      </c>
      <c r="L66" s="39" t="n">
        <v>11.58181818181818</v>
      </c>
      <c r="M66" s="39" t="n">
        <v>12.74</v>
      </c>
      <c r="N66" s="39" t="n">
        <v>14.15555555555556</v>
      </c>
      <c r="O66" s="39" t="n">
        <v>15.925</v>
      </c>
      <c r="P66" s="39" t="n">
        <v>18.2</v>
      </c>
      <c r="Q66" s="39" t="n">
        <v>21.23333333333333</v>
      </c>
      <c r="R66" s="39" t="n">
        <v>25.48</v>
      </c>
      <c r="S66" s="39" t="n">
        <v>31.85</v>
      </c>
      <c r="T66" s="39" t="n">
        <v>42.46666666666667</v>
      </c>
      <c r="U66" s="39" t="n">
        <v>63.7</v>
      </c>
      <c r="V66" s="39" t="n">
        <v>127.4</v>
      </c>
      <c r="W66" s="39" t="n">
        <v>15.11</v>
      </c>
      <c r="X66" s="39" t="n">
        <v>15.90526315789474</v>
      </c>
      <c r="Y66" s="39" t="n">
        <v>16.78888888888889</v>
      </c>
      <c r="Z66" s="39" t="n">
        <v>17.77647058823529</v>
      </c>
      <c r="AA66" s="39" t="n">
        <v>18.8875</v>
      </c>
      <c r="AB66" s="39" t="n">
        <v>20.14666666666666</v>
      </c>
      <c r="AC66" s="39" t="n">
        <v>21.58571428571429</v>
      </c>
      <c r="AD66" s="39" t="n">
        <v>23.24615384615385</v>
      </c>
      <c r="AE66" s="39" t="n">
        <v>25.18333333333333</v>
      </c>
      <c r="AF66" s="39" t="n">
        <v>27.47272727272727</v>
      </c>
      <c r="AG66" s="39" t="n">
        <v>30.22</v>
      </c>
      <c r="AH66" s="39" t="n">
        <v>33.57777777777778</v>
      </c>
      <c r="AI66" s="39" t="n">
        <v>37.775</v>
      </c>
      <c r="AJ66" s="39" t="n">
        <v>43.17142857142857</v>
      </c>
      <c r="AK66" s="39" t="n">
        <v>50.36666666666667</v>
      </c>
      <c r="AL66" s="39" t="n">
        <v>60.44</v>
      </c>
      <c r="AM66" s="39" t="n">
        <v>75.55</v>
      </c>
      <c r="AN66" s="39" t="n">
        <v>100.7333333333333</v>
      </c>
      <c r="AO66" s="39" t="n">
        <v>151.1</v>
      </c>
      <c r="AP66" s="39" t="n">
        <v>302.2</v>
      </c>
    </row>
    <row r="67">
      <c r="A67" s="6" t="inlineStr">
        <is>
          <t>P61</t>
        </is>
      </c>
      <c r="B67" s="6" t="inlineStr">
        <is>
          <t>Karitel</t>
        </is>
      </c>
      <c r="C67" s="39" t="n">
        <v>6.23</v>
      </c>
      <c r="D67" s="39" t="n">
        <v>6.557894736842106</v>
      </c>
      <c r="E67" s="39" t="n">
        <v>6.922222222222222</v>
      </c>
      <c r="F67" s="39" t="n">
        <v>7.329411764705883</v>
      </c>
      <c r="G67" s="39" t="n">
        <v>7.787500000000001</v>
      </c>
      <c r="H67" s="39" t="n">
        <v>8.306666666666667</v>
      </c>
      <c r="I67" s="39" t="n">
        <v>8.9</v>
      </c>
      <c r="J67" s="39" t="n">
        <v>9.584615384615384</v>
      </c>
      <c r="K67" s="39" t="n">
        <v>10.38333333333333</v>
      </c>
      <c r="L67" s="39" t="n">
        <v>11.32727272727273</v>
      </c>
      <c r="M67" s="39" t="n">
        <v>12.46</v>
      </c>
      <c r="N67" s="39" t="n">
        <v>13.84444444444444</v>
      </c>
      <c r="O67" s="39" t="n">
        <v>15.575</v>
      </c>
      <c r="P67" s="39" t="n">
        <v>17.8</v>
      </c>
      <c r="Q67" s="39" t="n">
        <v>20.76666666666667</v>
      </c>
      <c r="R67" s="39" t="n">
        <v>24.92</v>
      </c>
      <c r="S67" s="39" t="n">
        <v>31.15</v>
      </c>
      <c r="T67" s="39" t="n">
        <v>41.53333333333334</v>
      </c>
      <c r="U67" s="39" t="n">
        <v>62.3</v>
      </c>
      <c r="V67" s="39" t="n">
        <v>124.6</v>
      </c>
      <c r="W67" s="39" t="n">
        <v>14.8</v>
      </c>
      <c r="X67" s="39" t="n">
        <v>15.57894736842105</v>
      </c>
      <c r="Y67" s="39" t="n">
        <v>16.44444444444445</v>
      </c>
      <c r="Z67" s="39" t="n">
        <v>17.41176470588236</v>
      </c>
      <c r="AA67" s="39" t="n">
        <v>18.5</v>
      </c>
      <c r="AB67" s="39" t="n">
        <v>19.73333333333333</v>
      </c>
      <c r="AC67" s="39" t="n">
        <v>21.14285714285715</v>
      </c>
      <c r="AD67" s="39" t="n">
        <v>22.76923076923077</v>
      </c>
      <c r="AE67" s="39" t="n">
        <v>24.66666666666667</v>
      </c>
      <c r="AF67" s="39" t="n">
        <v>26.90909090909091</v>
      </c>
      <c r="AG67" s="39" t="n">
        <v>29.6</v>
      </c>
      <c r="AH67" s="39" t="n">
        <v>32.88888888888889</v>
      </c>
      <c r="AI67" s="39" t="n">
        <v>37</v>
      </c>
      <c r="AJ67" s="39" t="n">
        <v>42.28571428571428</v>
      </c>
      <c r="AK67" s="39" t="n">
        <v>49.33333333333334</v>
      </c>
      <c r="AL67" s="39" t="n">
        <v>59.2</v>
      </c>
      <c r="AM67" s="39" t="n">
        <v>74</v>
      </c>
      <c r="AN67" s="39" t="n">
        <v>98.66666666666666</v>
      </c>
      <c r="AO67" s="39" t="n">
        <v>148</v>
      </c>
      <c r="AP67" s="39" t="n">
        <v>295.9999999999999</v>
      </c>
    </row>
    <row r="68">
      <c r="A68" s="6" t="inlineStr">
        <is>
          <t>P62</t>
        </is>
      </c>
      <c r="B68" s="6" t="inlineStr">
        <is>
          <t>Karitel</t>
        </is>
      </c>
      <c r="C68" s="39" t="n">
        <v>6.435</v>
      </c>
      <c r="D68" s="39" t="n">
        <v>6.773684210526316</v>
      </c>
      <c r="E68" s="39" t="n">
        <v>7.149999999999999</v>
      </c>
      <c r="F68" s="39" t="n">
        <v>7.570588235294117</v>
      </c>
      <c r="G68" s="39" t="n">
        <v>8.043749999999999</v>
      </c>
      <c r="H68" s="39" t="n">
        <v>8.58</v>
      </c>
      <c r="I68" s="39" t="n">
        <v>9.192857142857143</v>
      </c>
      <c r="J68" s="39" t="n">
        <v>9.899999999999999</v>
      </c>
      <c r="K68" s="39" t="n">
        <v>10.725</v>
      </c>
      <c r="L68" s="39" t="n">
        <v>11.7</v>
      </c>
      <c r="M68" s="39" t="n">
        <v>12.87</v>
      </c>
      <c r="N68" s="39" t="n">
        <v>14.3</v>
      </c>
      <c r="O68" s="39" t="n">
        <v>16.0875</v>
      </c>
      <c r="P68" s="39" t="n">
        <v>18.38571428571429</v>
      </c>
      <c r="Q68" s="39" t="n">
        <v>21.45</v>
      </c>
      <c r="R68" s="39" t="n">
        <v>25.74</v>
      </c>
      <c r="S68" s="39" t="n">
        <v>32.175</v>
      </c>
      <c r="T68" s="39" t="n">
        <v>42.9</v>
      </c>
      <c r="U68" s="39" t="n">
        <v>64.34999999999999</v>
      </c>
      <c r="V68" s="39" t="n">
        <v>128.7</v>
      </c>
      <c r="W68" s="39" t="n">
        <v>14.65</v>
      </c>
      <c r="X68" s="39" t="n">
        <v>15.42105263157895</v>
      </c>
      <c r="Y68" s="39" t="n">
        <v>16.27777777777778</v>
      </c>
      <c r="Z68" s="39" t="n">
        <v>17.23529411764706</v>
      </c>
      <c r="AA68" s="39" t="n">
        <v>18.3125</v>
      </c>
      <c r="AB68" s="39" t="n">
        <v>19.53333333333333</v>
      </c>
      <c r="AC68" s="39" t="n">
        <v>20.92857142857143</v>
      </c>
      <c r="AD68" s="39" t="n">
        <v>22.53846153846154</v>
      </c>
      <c r="AE68" s="39" t="n">
        <v>24.41666666666667</v>
      </c>
      <c r="AF68" s="39" t="n">
        <v>26.63636363636363</v>
      </c>
      <c r="AG68" s="39" t="n">
        <v>29.3</v>
      </c>
      <c r="AH68" s="39" t="n">
        <v>32.55555555555555</v>
      </c>
      <c r="AI68" s="39" t="n">
        <v>36.625</v>
      </c>
      <c r="AJ68" s="39" t="n">
        <v>41.85714285714285</v>
      </c>
      <c r="AK68" s="39" t="n">
        <v>48.83333333333334</v>
      </c>
      <c r="AL68" s="39" t="n">
        <v>58.59999999999999</v>
      </c>
      <c r="AM68" s="39" t="n">
        <v>73.25</v>
      </c>
      <c r="AN68" s="39" t="n">
        <v>97.66666666666666</v>
      </c>
      <c r="AO68" s="39" t="n">
        <v>146.5</v>
      </c>
      <c r="AP68" s="39" t="n">
        <v>292.9999999999999</v>
      </c>
    </row>
    <row r="69">
      <c r="A69" s="6" t="inlineStr">
        <is>
          <t>P63</t>
        </is>
      </c>
      <c r="B69" s="6" t="inlineStr">
        <is>
          <t>Karitel</t>
        </is>
      </c>
      <c r="C69" s="39" t="n">
        <v>3.535</v>
      </c>
      <c r="D69" s="39" t="n">
        <v>3.721052631578948</v>
      </c>
      <c r="E69" s="39" t="n">
        <v>3.927777777777778</v>
      </c>
      <c r="F69" s="39" t="n">
        <v>4.158823529411765</v>
      </c>
      <c r="G69" s="39" t="n">
        <v>4.41875</v>
      </c>
      <c r="H69" s="39" t="n">
        <v>4.713333333333334</v>
      </c>
      <c r="I69" s="39" t="n">
        <v>5.050000000000001</v>
      </c>
      <c r="J69" s="39" t="n">
        <v>5.438461538461539</v>
      </c>
      <c r="K69" s="39" t="n">
        <v>5.891666666666667</v>
      </c>
      <c r="L69" s="39" t="n">
        <v>6.427272727272727</v>
      </c>
      <c r="M69" s="39" t="n">
        <v>7.07</v>
      </c>
      <c r="N69" s="39" t="n">
        <v>7.855555555555556</v>
      </c>
      <c r="O69" s="39" t="n">
        <v>8.8375</v>
      </c>
      <c r="P69" s="39" t="n">
        <v>10.1</v>
      </c>
      <c r="Q69" s="39" t="n">
        <v>11.78333333333333</v>
      </c>
      <c r="R69" s="39" t="n">
        <v>14.14</v>
      </c>
      <c r="S69" s="39" t="n">
        <v>17.675</v>
      </c>
      <c r="T69" s="39" t="n">
        <v>23.56666666666667</v>
      </c>
      <c r="U69" s="39" t="n">
        <v>35.35</v>
      </c>
      <c r="V69" s="39" t="n">
        <v>70.7</v>
      </c>
      <c r="W69" s="39" t="n">
        <v>7.33</v>
      </c>
      <c r="X69" s="39" t="n">
        <v>7.715789473684211</v>
      </c>
      <c r="Y69" s="39" t="n">
        <v>8.144444444444444</v>
      </c>
      <c r="Z69" s="39" t="n">
        <v>8.623529411764705</v>
      </c>
      <c r="AA69" s="39" t="n">
        <v>9.1625</v>
      </c>
      <c r="AB69" s="39" t="n">
        <v>9.773333333333333</v>
      </c>
      <c r="AC69" s="39" t="n">
        <v>10.47142857142857</v>
      </c>
      <c r="AD69" s="39" t="n">
        <v>11.27692307692308</v>
      </c>
      <c r="AE69" s="39" t="n">
        <v>12.21666666666667</v>
      </c>
      <c r="AF69" s="39" t="n">
        <v>13.32727272727273</v>
      </c>
      <c r="AG69" s="39" t="n">
        <v>14.66</v>
      </c>
      <c r="AH69" s="39" t="n">
        <v>16.28888888888889</v>
      </c>
      <c r="AI69" s="39" t="n">
        <v>18.325</v>
      </c>
      <c r="AJ69" s="39" t="n">
        <v>20.94285714285714</v>
      </c>
      <c r="AK69" s="39" t="n">
        <v>24.43333333333333</v>
      </c>
      <c r="AL69" s="39" t="n">
        <v>29.32</v>
      </c>
      <c r="AM69" s="39" t="n">
        <v>36.65</v>
      </c>
      <c r="AN69" s="39" t="n">
        <v>48.86666666666666</v>
      </c>
      <c r="AO69" s="39" t="n">
        <v>73.3</v>
      </c>
      <c r="AP69" s="39" t="n">
        <v>146.6</v>
      </c>
    </row>
    <row r="70">
      <c r="A70" s="6" t="inlineStr">
        <is>
          <t>P64</t>
        </is>
      </c>
      <c r="B70" s="6" t="inlineStr">
        <is>
          <t>Karitel</t>
        </is>
      </c>
      <c r="C70" s="39" t="n">
        <v>5.25</v>
      </c>
      <c r="D70" s="39" t="n">
        <v>5.526315789473684</v>
      </c>
      <c r="E70" s="39" t="n">
        <v>5.833333333333333</v>
      </c>
      <c r="F70" s="39" t="n">
        <v>6.176470588235294</v>
      </c>
      <c r="G70" s="39" t="n">
        <v>6.5625</v>
      </c>
      <c r="H70" s="39" t="n">
        <v>7</v>
      </c>
      <c r="I70" s="39" t="n">
        <v>7.500000000000001</v>
      </c>
      <c r="J70" s="39" t="n">
        <v>8.076923076923077</v>
      </c>
      <c r="K70" s="39" t="n">
        <v>8.75</v>
      </c>
      <c r="L70" s="39" t="n">
        <v>9.545454545454545</v>
      </c>
      <c r="M70" s="39" t="n">
        <v>10.5</v>
      </c>
      <c r="N70" s="39" t="n">
        <v>11.66666666666667</v>
      </c>
      <c r="O70" s="39" t="n">
        <v>13.125</v>
      </c>
      <c r="P70" s="39" t="n">
        <v>15</v>
      </c>
      <c r="Q70" s="39" t="n">
        <v>17.5</v>
      </c>
      <c r="R70" s="39" t="n">
        <v>21</v>
      </c>
      <c r="S70" s="39" t="n">
        <v>26.25</v>
      </c>
      <c r="T70" s="39" t="n">
        <v>35</v>
      </c>
      <c r="U70" s="39" t="n">
        <v>52.5</v>
      </c>
      <c r="V70" s="39" t="n">
        <v>105</v>
      </c>
      <c r="W70" s="39" t="n">
        <v>11.22</v>
      </c>
      <c r="X70" s="39" t="n">
        <v>11.81052631578948</v>
      </c>
      <c r="Y70" s="39" t="n">
        <v>12.46666666666667</v>
      </c>
      <c r="Z70" s="39" t="n">
        <v>13.2</v>
      </c>
      <c r="AA70" s="39" t="n">
        <v>14.025</v>
      </c>
      <c r="AB70" s="39" t="n">
        <v>14.96</v>
      </c>
      <c r="AC70" s="39" t="n">
        <v>16.02857142857143</v>
      </c>
      <c r="AD70" s="39" t="n">
        <v>17.26153846153846</v>
      </c>
      <c r="AE70" s="39" t="n">
        <v>18.7</v>
      </c>
      <c r="AF70" s="39" t="n">
        <v>20.4</v>
      </c>
      <c r="AG70" s="39" t="n">
        <v>22.44</v>
      </c>
      <c r="AH70" s="39" t="n">
        <v>24.93333333333333</v>
      </c>
      <c r="AI70" s="39" t="n">
        <v>28.05</v>
      </c>
      <c r="AJ70" s="39" t="n">
        <v>32.05714285714286</v>
      </c>
      <c r="AK70" s="39" t="n">
        <v>37.40000000000001</v>
      </c>
      <c r="AL70" s="39" t="n">
        <v>44.88000000000001</v>
      </c>
      <c r="AM70" s="39" t="n">
        <v>56.1</v>
      </c>
      <c r="AN70" s="39" t="n">
        <v>74.80000000000003</v>
      </c>
      <c r="AO70" s="39" t="n">
        <v>112.2</v>
      </c>
      <c r="AP70" s="39" t="n">
        <v>224.4000000000001</v>
      </c>
    </row>
    <row r="71">
      <c r="A71" s="6" t="inlineStr">
        <is>
          <t>P65</t>
        </is>
      </c>
      <c r="B71" s="6" t="inlineStr">
        <is>
          <t>Karitel</t>
        </is>
      </c>
      <c r="C71" s="39" t="n">
        <v>7.14</v>
      </c>
      <c r="D71" s="39" t="n">
        <v>7.515789473684211</v>
      </c>
      <c r="E71" s="39" t="n">
        <v>7.933333333333333</v>
      </c>
      <c r="F71" s="39" t="n">
        <v>8.4</v>
      </c>
      <c r="G71" s="39" t="n">
        <v>8.924999999999999</v>
      </c>
      <c r="H71" s="39" t="n">
        <v>9.52</v>
      </c>
      <c r="I71" s="39" t="n">
        <v>10.2</v>
      </c>
      <c r="J71" s="39" t="n">
        <v>10.98461538461538</v>
      </c>
      <c r="K71" s="39" t="n">
        <v>11.9</v>
      </c>
      <c r="L71" s="39" t="n">
        <v>12.98181818181818</v>
      </c>
      <c r="M71" s="39" t="n">
        <v>14.28</v>
      </c>
      <c r="N71" s="39" t="n">
        <v>15.86666666666667</v>
      </c>
      <c r="O71" s="39" t="n">
        <v>17.85</v>
      </c>
      <c r="P71" s="39" t="n">
        <v>20.4</v>
      </c>
      <c r="Q71" s="39" t="n">
        <v>23.8</v>
      </c>
      <c r="R71" s="39" t="n">
        <v>28.56</v>
      </c>
      <c r="S71" s="39" t="n">
        <v>35.7</v>
      </c>
      <c r="T71" s="39" t="n">
        <v>47.6</v>
      </c>
      <c r="U71" s="39" t="n">
        <v>71.39999999999999</v>
      </c>
      <c r="V71" s="39" t="n">
        <v>142.8</v>
      </c>
      <c r="W71" s="39" t="n">
        <v>15.47</v>
      </c>
      <c r="X71" s="39" t="n">
        <v>16.28421052631579</v>
      </c>
      <c r="Y71" s="39" t="n">
        <v>17.18888888888889</v>
      </c>
      <c r="Z71" s="39" t="n">
        <v>18.2</v>
      </c>
      <c r="AA71" s="39" t="n">
        <v>19.3375</v>
      </c>
      <c r="AB71" s="39" t="n">
        <v>20.62666666666667</v>
      </c>
      <c r="AC71" s="39" t="n">
        <v>22.1</v>
      </c>
      <c r="AD71" s="39" t="n">
        <v>23.8</v>
      </c>
      <c r="AE71" s="39" t="n">
        <v>25.78333333333333</v>
      </c>
      <c r="AF71" s="39" t="n">
        <v>28.12727272727273</v>
      </c>
      <c r="AG71" s="39" t="n">
        <v>30.94</v>
      </c>
      <c r="AH71" s="39" t="n">
        <v>34.37777777777778</v>
      </c>
      <c r="AI71" s="39" t="n">
        <v>38.675</v>
      </c>
      <c r="AJ71" s="39" t="n">
        <v>44.2</v>
      </c>
      <c r="AK71" s="39" t="n">
        <v>51.56666666666667</v>
      </c>
      <c r="AL71" s="39" t="n">
        <v>61.88</v>
      </c>
      <c r="AM71" s="39" t="n">
        <v>77.34999999999999</v>
      </c>
      <c r="AN71" s="39" t="n">
        <v>103.1333333333333</v>
      </c>
      <c r="AO71" s="39" t="n">
        <v>154.7</v>
      </c>
      <c r="AP71" s="39" t="n">
        <v>309.4</v>
      </c>
    </row>
    <row r="72">
      <c r="A72" s="6" t="inlineStr">
        <is>
          <t>P66</t>
        </is>
      </c>
      <c r="B72" s="6" t="inlineStr">
        <is>
          <t>Karitel</t>
        </is>
      </c>
      <c r="C72" s="39" t="n">
        <v>5.665</v>
      </c>
      <c r="D72" s="39" t="n">
        <v>5.963157894736843</v>
      </c>
      <c r="E72" s="39" t="n">
        <v>6.294444444444444</v>
      </c>
      <c r="F72" s="39" t="n">
        <v>6.664705882352941</v>
      </c>
      <c r="G72" s="39" t="n">
        <v>7.08125</v>
      </c>
      <c r="H72" s="39" t="n">
        <v>7.553333333333334</v>
      </c>
      <c r="I72" s="39" t="n">
        <v>8.092857142857143</v>
      </c>
      <c r="J72" s="39" t="n">
        <v>8.715384615384615</v>
      </c>
      <c r="K72" s="39" t="n">
        <v>9.441666666666666</v>
      </c>
      <c r="L72" s="39" t="n">
        <v>10.3</v>
      </c>
      <c r="M72" s="39" t="n">
        <v>11.33</v>
      </c>
      <c r="N72" s="39" t="n">
        <v>12.58888888888889</v>
      </c>
      <c r="O72" s="39" t="n">
        <v>14.1625</v>
      </c>
      <c r="P72" s="39" t="n">
        <v>16.18571428571429</v>
      </c>
      <c r="Q72" s="39" t="n">
        <v>18.88333333333333</v>
      </c>
      <c r="R72" s="39" t="n">
        <v>22.66</v>
      </c>
      <c r="S72" s="39" t="n">
        <v>28.325</v>
      </c>
      <c r="T72" s="39" t="n">
        <v>37.76666666666667</v>
      </c>
      <c r="U72" s="39" t="n">
        <v>56.65</v>
      </c>
      <c r="V72" s="39" t="n">
        <v>113.3</v>
      </c>
      <c r="W72" s="39" t="n">
        <v>12.33</v>
      </c>
      <c r="X72" s="39" t="n">
        <v>12.97894736842105</v>
      </c>
      <c r="Y72" s="39" t="n">
        <v>13.7</v>
      </c>
      <c r="Z72" s="39" t="n">
        <v>14.50588235294118</v>
      </c>
      <c r="AA72" s="39" t="n">
        <v>15.4125</v>
      </c>
      <c r="AB72" s="39" t="n">
        <v>16.44</v>
      </c>
      <c r="AC72" s="39" t="n">
        <v>17.61428571428571</v>
      </c>
      <c r="AD72" s="39" t="n">
        <v>18.96923076923077</v>
      </c>
      <c r="AE72" s="39" t="n">
        <v>20.55</v>
      </c>
      <c r="AF72" s="39" t="n">
        <v>22.41818181818182</v>
      </c>
      <c r="AG72" s="39" t="n">
        <v>24.66</v>
      </c>
      <c r="AH72" s="39" t="n">
        <v>27.4</v>
      </c>
      <c r="AI72" s="39" t="n">
        <v>30.825</v>
      </c>
      <c r="AJ72" s="39" t="n">
        <v>35.22857142857143</v>
      </c>
      <c r="AK72" s="39" t="n">
        <v>41.1</v>
      </c>
      <c r="AL72" s="39" t="n">
        <v>49.31999999999999</v>
      </c>
      <c r="AM72" s="39" t="n">
        <v>61.65</v>
      </c>
      <c r="AN72" s="39" t="n">
        <v>82.19999999999999</v>
      </c>
      <c r="AO72" s="39" t="n">
        <v>123.3</v>
      </c>
      <c r="AP72" s="39" t="n">
        <v>246.6</v>
      </c>
    </row>
    <row r="73">
      <c r="A73" s="6" t="inlineStr">
        <is>
          <t>P67</t>
        </is>
      </c>
      <c r="B73" s="6" t="inlineStr">
        <is>
          <t>Karitel</t>
        </is>
      </c>
      <c r="C73" s="39" t="n">
        <v>4.85</v>
      </c>
      <c r="D73" s="39" t="n">
        <v>5.105263157894736</v>
      </c>
      <c r="E73" s="39" t="n">
        <v>5.388888888888888</v>
      </c>
      <c r="F73" s="39" t="n">
        <v>5.705882352941177</v>
      </c>
      <c r="G73" s="39" t="n">
        <v>6.062499999999999</v>
      </c>
      <c r="H73" s="39" t="n">
        <v>6.466666666666666</v>
      </c>
      <c r="I73" s="39" t="n">
        <v>6.928571428571429</v>
      </c>
      <c r="J73" s="39" t="n">
        <v>7.461538461538461</v>
      </c>
      <c r="K73" s="39" t="n">
        <v>8.083333333333334</v>
      </c>
      <c r="L73" s="39" t="n">
        <v>8.818181818181817</v>
      </c>
      <c r="M73" s="39" t="n">
        <v>9.699999999999999</v>
      </c>
      <c r="N73" s="39" t="n">
        <v>10.77777777777778</v>
      </c>
      <c r="O73" s="39" t="n">
        <v>12.125</v>
      </c>
      <c r="P73" s="39" t="n">
        <v>13.85714285714286</v>
      </c>
      <c r="Q73" s="39" t="n">
        <v>16.16666666666667</v>
      </c>
      <c r="R73" s="39" t="n">
        <v>19.4</v>
      </c>
      <c r="S73" s="39" t="n">
        <v>24.25</v>
      </c>
      <c r="T73" s="39" t="n">
        <v>32.33333333333334</v>
      </c>
      <c r="U73" s="39" t="n">
        <v>48.49999999999999</v>
      </c>
      <c r="V73" s="39" t="n">
        <v>96.99999999999999</v>
      </c>
      <c r="W73" s="39" t="n">
        <v>10.94</v>
      </c>
      <c r="X73" s="39" t="n">
        <v>11.51578947368421</v>
      </c>
      <c r="Y73" s="39" t="n">
        <v>12.15555555555556</v>
      </c>
      <c r="Z73" s="39" t="n">
        <v>12.87058823529412</v>
      </c>
      <c r="AA73" s="39" t="n">
        <v>13.675</v>
      </c>
      <c r="AB73" s="39" t="n">
        <v>14.58666666666667</v>
      </c>
      <c r="AC73" s="39" t="n">
        <v>15.62857142857143</v>
      </c>
      <c r="AD73" s="39" t="n">
        <v>16.83076923076923</v>
      </c>
      <c r="AE73" s="39" t="n">
        <v>18.23333333333333</v>
      </c>
      <c r="AF73" s="39" t="n">
        <v>19.89090909090909</v>
      </c>
      <c r="AG73" s="39" t="n">
        <v>21.88</v>
      </c>
      <c r="AH73" s="39" t="n">
        <v>24.31111111111111</v>
      </c>
      <c r="AI73" s="39" t="n">
        <v>27.35</v>
      </c>
      <c r="AJ73" s="39" t="n">
        <v>31.25714285714286</v>
      </c>
      <c r="AK73" s="39" t="n">
        <v>36.46666666666667</v>
      </c>
      <c r="AL73" s="39" t="n">
        <v>43.76</v>
      </c>
      <c r="AM73" s="39" t="n">
        <v>54.7</v>
      </c>
      <c r="AN73" s="39" t="n">
        <v>72.93333333333334</v>
      </c>
      <c r="AO73" s="39" t="n">
        <v>109.4</v>
      </c>
      <c r="AP73" s="39" t="n">
        <v>218.8</v>
      </c>
    </row>
    <row r="74">
      <c r="A74" s="6" t="inlineStr">
        <is>
          <t>P68</t>
        </is>
      </c>
      <c r="B74" s="6" t="inlineStr">
        <is>
          <t>Karitel</t>
        </is>
      </c>
      <c r="C74" s="39" t="n">
        <v>5</v>
      </c>
      <c r="D74" s="39" t="n">
        <v>5.263157894736842</v>
      </c>
      <c r="E74" s="39" t="n">
        <v>5.555555555555555</v>
      </c>
      <c r="F74" s="39" t="n">
        <v>5.882352941176471</v>
      </c>
      <c r="G74" s="39" t="n">
        <v>6.25</v>
      </c>
      <c r="H74" s="39" t="n">
        <v>6.666666666666667</v>
      </c>
      <c r="I74" s="39" t="n">
        <v>7.142857142857143</v>
      </c>
      <c r="J74" s="39" t="n">
        <v>7.692307692307692</v>
      </c>
      <c r="K74" s="39" t="n">
        <v>8.333333333333334</v>
      </c>
      <c r="L74" s="39" t="n">
        <v>9.09090909090909</v>
      </c>
      <c r="M74" s="39" t="n">
        <v>10</v>
      </c>
      <c r="N74" s="39" t="n">
        <v>11.11111111111111</v>
      </c>
      <c r="O74" s="39" t="n">
        <v>12.5</v>
      </c>
      <c r="P74" s="39" t="n">
        <v>14.28571428571429</v>
      </c>
      <c r="Q74" s="39" t="n">
        <v>16.66666666666667</v>
      </c>
      <c r="R74" s="39" t="n">
        <v>20</v>
      </c>
      <c r="S74" s="39" t="n">
        <v>25</v>
      </c>
      <c r="T74" s="39" t="n">
        <v>33.33333333333334</v>
      </c>
      <c r="U74" s="39" t="n">
        <v>50</v>
      </c>
      <c r="V74" s="39" t="n">
        <v>100</v>
      </c>
      <c r="W74" s="39" t="n">
        <v>10.94</v>
      </c>
      <c r="X74" s="39" t="n">
        <v>11.51578947368421</v>
      </c>
      <c r="Y74" s="39" t="n">
        <v>12.15555555555556</v>
      </c>
      <c r="Z74" s="39" t="n">
        <v>12.87058823529412</v>
      </c>
      <c r="AA74" s="39" t="n">
        <v>13.675</v>
      </c>
      <c r="AB74" s="39" t="n">
        <v>14.58666666666667</v>
      </c>
      <c r="AC74" s="39" t="n">
        <v>15.62857142857143</v>
      </c>
      <c r="AD74" s="39" t="n">
        <v>16.83076923076923</v>
      </c>
      <c r="AE74" s="39" t="n">
        <v>18.23333333333333</v>
      </c>
      <c r="AF74" s="39" t="n">
        <v>19.89090909090909</v>
      </c>
      <c r="AG74" s="39" t="n">
        <v>21.88</v>
      </c>
      <c r="AH74" s="39" t="n">
        <v>24.31111111111111</v>
      </c>
      <c r="AI74" s="39" t="n">
        <v>27.35</v>
      </c>
      <c r="AJ74" s="39" t="n">
        <v>31.25714285714286</v>
      </c>
      <c r="AK74" s="39" t="n">
        <v>36.46666666666667</v>
      </c>
      <c r="AL74" s="39" t="n">
        <v>43.76</v>
      </c>
      <c r="AM74" s="39" t="n">
        <v>54.7</v>
      </c>
      <c r="AN74" s="39" t="n">
        <v>72.93333333333334</v>
      </c>
      <c r="AO74" s="39" t="n">
        <v>109.4</v>
      </c>
      <c r="AP74" s="39" t="n">
        <v>218.8</v>
      </c>
    </row>
    <row r="75">
      <c r="A75" s="6" t="inlineStr">
        <is>
          <t>P69</t>
        </is>
      </c>
      <c r="B75" s="6" t="inlineStr">
        <is>
          <t>Karitel</t>
        </is>
      </c>
      <c r="C75" s="39" t="n">
        <v>4.45</v>
      </c>
      <c r="D75" s="39" t="n">
        <v>4.68421052631579</v>
      </c>
      <c r="E75" s="39" t="n">
        <v>4.944444444444445</v>
      </c>
      <c r="F75" s="39" t="n">
        <v>5.235294117647059</v>
      </c>
      <c r="G75" s="39" t="n">
        <v>5.5625</v>
      </c>
      <c r="H75" s="39" t="n">
        <v>5.933333333333334</v>
      </c>
      <c r="I75" s="39" t="n">
        <v>6.357142857142858</v>
      </c>
      <c r="J75" s="39" t="n">
        <v>6.846153846153846</v>
      </c>
      <c r="K75" s="39" t="n">
        <v>7.416666666666667</v>
      </c>
      <c r="L75" s="39" t="n">
        <v>8.09090909090909</v>
      </c>
      <c r="M75" s="39" t="n">
        <v>8.9</v>
      </c>
      <c r="N75" s="39" t="n">
        <v>9.888888888888889</v>
      </c>
      <c r="O75" s="39" t="n">
        <v>11.125</v>
      </c>
      <c r="P75" s="39" t="n">
        <v>12.71428571428572</v>
      </c>
      <c r="Q75" s="39" t="n">
        <v>14.83333333333333</v>
      </c>
      <c r="R75" s="39" t="n">
        <v>17.8</v>
      </c>
      <c r="S75" s="39" t="n">
        <v>22.25</v>
      </c>
      <c r="T75" s="39" t="n">
        <v>29.66666666666667</v>
      </c>
      <c r="U75" s="39" t="n">
        <v>44.5</v>
      </c>
      <c r="V75" s="39" t="n">
        <v>89</v>
      </c>
      <c r="W75" s="39" t="n">
        <v>10.94</v>
      </c>
      <c r="X75" s="39" t="n">
        <v>11.51578947368421</v>
      </c>
      <c r="Y75" s="39" t="n">
        <v>12.15555555555556</v>
      </c>
      <c r="Z75" s="39" t="n">
        <v>12.87058823529412</v>
      </c>
      <c r="AA75" s="39" t="n">
        <v>13.675</v>
      </c>
      <c r="AB75" s="39" t="n">
        <v>14.58666666666667</v>
      </c>
      <c r="AC75" s="39" t="n">
        <v>15.62857142857143</v>
      </c>
      <c r="AD75" s="39" t="n">
        <v>16.83076923076923</v>
      </c>
      <c r="AE75" s="39" t="n">
        <v>18.23333333333333</v>
      </c>
      <c r="AF75" s="39" t="n">
        <v>19.89090909090909</v>
      </c>
      <c r="AG75" s="39" t="n">
        <v>21.88</v>
      </c>
      <c r="AH75" s="39" t="n">
        <v>24.31111111111111</v>
      </c>
      <c r="AI75" s="39" t="n">
        <v>27.35</v>
      </c>
      <c r="AJ75" s="39" t="n">
        <v>31.25714285714286</v>
      </c>
      <c r="AK75" s="39" t="n">
        <v>36.46666666666667</v>
      </c>
      <c r="AL75" s="39" t="n">
        <v>43.76</v>
      </c>
      <c r="AM75" s="39" t="n">
        <v>54.7</v>
      </c>
      <c r="AN75" s="39" t="n">
        <v>72.93333333333334</v>
      </c>
      <c r="AO75" s="39" t="n">
        <v>109.4</v>
      </c>
      <c r="AP75" s="39" t="n">
        <v>218.8</v>
      </c>
    </row>
    <row r="76">
      <c r="A76" s="6" t="inlineStr">
        <is>
          <t>P70</t>
        </is>
      </c>
      <c r="B76" s="6" t="inlineStr">
        <is>
          <t>Karitel</t>
        </is>
      </c>
      <c r="C76" s="39" t="n">
        <v>6.93</v>
      </c>
      <c r="D76" s="39" t="n">
        <v>7.294736842105263</v>
      </c>
      <c r="E76" s="39" t="n">
        <v>7.699999999999999</v>
      </c>
      <c r="F76" s="39" t="n">
        <v>8.152941176470588</v>
      </c>
      <c r="G76" s="39" t="n">
        <v>8.6625</v>
      </c>
      <c r="H76" s="39" t="n">
        <v>9.24</v>
      </c>
      <c r="I76" s="39" t="n">
        <v>9.9</v>
      </c>
      <c r="J76" s="39" t="n">
        <v>10.66153846153846</v>
      </c>
      <c r="K76" s="39" t="n">
        <v>11.55</v>
      </c>
      <c r="L76" s="39" t="n">
        <v>12.6</v>
      </c>
      <c r="M76" s="39" t="n">
        <v>13.86</v>
      </c>
      <c r="N76" s="39" t="n">
        <v>15.4</v>
      </c>
      <c r="O76" s="39" t="n">
        <v>17.325</v>
      </c>
      <c r="P76" s="39" t="n">
        <v>19.8</v>
      </c>
      <c r="Q76" s="39" t="n">
        <v>23.1</v>
      </c>
      <c r="R76" s="39" t="n">
        <v>27.72</v>
      </c>
      <c r="S76" s="39" t="n">
        <v>34.65</v>
      </c>
      <c r="T76" s="39" t="n">
        <v>46.2</v>
      </c>
      <c r="U76" s="39" t="n">
        <v>69.3</v>
      </c>
      <c r="V76" s="39" t="n">
        <v>138.6</v>
      </c>
      <c r="W76" s="39" t="n">
        <v>15.11</v>
      </c>
      <c r="X76" s="39" t="n">
        <v>15.90526315789474</v>
      </c>
      <c r="Y76" s="39" t="n">
        <v>16.78888888888889</v>
      </c>
      <c r="Z76" s="39" t="n">
        <v>17.77647058823529</v>
      </c>
      <c r="AA76" s="39" t="n">
        <v>18.8875</v>
      </c>
      <c r="AB76" s="39" t="n">
        <v>20.14666666666666</v>
      </c>
      <c r="AC76" s="39" t="n">
        <v>21.58571428571429</v>
      </c>
      <c r="AD76" s="39" t="n">
        <v>23.24615384615385</v>
      </c>
      <c r="AE76" s="39" t="n">
        <v>25.18333333333333</v>
      </c>
      <c r="AF76" s="39" t="n">
        <v>27.47272727272727</v>
      </c>
      <c r="AG76" s="39" t="n">
        <v>30.22</v>
      </c>
      <c r="AH76" s="39" t="n">
        <v>33.57777777777778</v>
      </c>
      <c r="AI76" s="39" t="n">
        <v>37.775</v>
      </c>
      <c r="AJ76" s="39" t="n">
        <v>43.17142857142857</v>
      </c>
      <c r="AK76" s="39" t="n">
        <v>50.36666666666667</v>
      </c>
      <c r="AL76" s="39" t="n">
        <v>60.44</v>
      </c>
      <c r="AM76" s="39" t="n">
        <v>75.55</v>
      </c>
      <c r="AN76" s="39" t="n">
        <v>100.7333333333333</v>
      </c>
      <c r="AO76" s="39" t="n">
        <v>151.1</v>
      </c>
      <c r="AP76" s="39" t="n">
        <v>302.2</v>
      </c>
    </row>
    <row r="77">
      <c r="A77" s="6" t="inlineStr">
        <is>
          <t>P71</t>
        </is>
      </c>
      <c r="B77" s="6" t="inlineStr">
        <is>
          <t>Karitel</t>
        </is>
      </c>
      <c r="C77" s="39" t="n">
        <v>4.85</v>
      </c>
      <c r="D77" s="39" t="n">
        <v>5.105263157894736</v>
      </c>
      <c r="E77" s="39" t="n">
        <v>5.388888888888888</v>
      </c>
      <c r="F77" s="39" t="n">
        <v>5.705882352941177</v>
      </c>
      <c r="G77" s="39" t="n">
        <v>6.062499999999999</v>
      </c>
      <c r="H77" s="39" t="n">
        <v>6.466666666666666</v>
      </c>
      <c r="I77" s="39" t="n">
        <v>6.928571428571429</v>
      </c>
      <c r="J77" s="39" t="n">
        <v>7.461538461538461</v>
      </c>
      <c r="K77" s="39" t="n">
        <v>8.083333333333334</v>
      </c>
      <c r="L77" s="39" t="n">
        <v>8.818181818181817</v>
      </c>
      <c r="M77" s="39" t="n">
        <v>9.699999999999999</v>
      </c>
      <c r="N77" s="39" t="n">
        <v>10.77777777777778</v>
      </c>
      <c r="O77" s="39" t="n">
        <v>12.125</v>
      </c>
      <c r="P77" s="39" t="n">
        <v>13.85714285714286</v>
      </c>
      <c r="Q77" s="39" t="n">
        <v>16.16666666666667</v>
      </c>
      <c r="R77" s="39" t="n">
        <v>19.4</v>
      </c>
      <c r="S77" s="39" t="n">
        <v>24.25</v>
      </c>
      <c r="T77" s="39" t="n">
        <v>32.33333333333334</v>
      </c>
      <c r="U77" s="39" t="n">
        <v>48.49999999999999</v>
      </c>
      <c r="V77" s="39" t="n">
        <v>96.99999999999999</v>
      </c>
      <c r="W77" s="39" t="n">
        <v>7.39</v>
      </c>
      <c r="X77" s="39" t="n">
        <v>7.778947368421052</v>
      </c>
      <c r="Y77" s="39" t="n">
        <v>8.21111111111111</v>
      </c>
      <c r="Z77" s="39" t="n">
        <v>8.694117647058823</v>
      </c>
      <c r="AA77" s="39" t="n">
        <v>9.237499999999999</v>
      </c>
      <c r="AB77" s="39" t="n">
        <v>9.853333333333333</v>
      </c>
      <c r="AC77" s="39" t="n">
        <v>10.55714285714286</v>
      </c>
      <c r="AD77" s="39" t="n">
        <v>11.36923076923077</v>
      </c>
      <c r="AE77" s="39" t="n">
        <v>12.31666666666667</v>
      </c>
      <c r="AF77" s="39" t="n">
        <v>13.43636363636363</v>
      </c>
      <c r="AG77" s="39" t="n">
        <v>14.78</v>
      </c>
      <c r="AH77" s="39" t="n">
        <v>16.42222222222222</v>
      </c>
      <c r="AI77" s="39" t="n">
        <v>18.475</v>
      </c>
      <c r="AJ77" s="39" t="n">
        <v>21.11428571428571</v>
      </c>
      <c r="AK77" s="39" t="n">
        <v>24.63333333333333</v>
      </c>
      <c r="AL77" s="39" t="n">
        <v>29.56</v>
      </c>
      <c r="AM77" s="39" t="n">
        <v>36.95</v>
      </c>
      <c r="AN77" s="39" t="n">
        <v>49.26666666666667</v>
      </c>
      <c r="AO77" s="39" t="n">
        <v>73.89999999999999</v>
      </c>
      <c r="AP77" s="39" t="n">
        <v>147.8</v>
      </c>
    </row>
    <row r="78">
      <c r="A78" s="6" t="inlineStr">
        <is>
          <t>P72</t>
        </is>
      </c>
      <c r="B78" s="6" t="inlineStr">
        <is>
          <t>Karitel</t>
        </is>
      </c>
      <c r="C78" s="39" t="n">
        <v>6.12</v>
      </c>
      <c r="D78" s="39" t="n">
        <v>6.442105263157895</v>
      </c>
      <c r="E78" s="39" t="n">
        <v>6.8</v>
      </c>
      <c r="F78" s="39" t="n">
        <v>7.2</v>
      </c>
      <c r="G78" s="39" t="n">
        <v>7.649999999999999</v>
      </c>
      <c r="H78" s="39" t="n">
        <v>8.16</v>
      </c>
      <c r="I78" s="39" t="n">
        <v>8.742857142857144</v>
      </c>
      <c r="J78" s="39" t="n">
        <v>9.415384615384616</v>
      </c>
      <c r="K78" s="39" t="n">
        <v>10.2</v>
      </c>
      <c r="L78" s="39" t="n">
        <v>11.12727272727273</v>
      </c>
      <c r="M78" s="39" t="n">
        <v>12.24</v>
      </c>
      <c r="N78" s="39" t="n">
        <v>13.6</v>
      </c>
      <c r="O78" s="39" t="n">
        <v>15.3</v>
      </c>
      <c r="P78" s="39" t="n">
        <v>17.48571428571429</v>
      </c>
      <c r="Q78" s="39" t="n">
        <v>20.4</v>
      </c>
      <c r="R78" s="39" t="n">
        <v>24.48</v>
      </c>
      <c r="S78" s="39" t="n">
        <v>30.6</v>
      </c>
      <c r="T78" s="39" t="n">
        <v>40.8</v>
      </c>
      <c r="U78" s="39" t="n">
        <v>61.2</v>
      </c>
      <c r="V78" s="39" t="n">
        <v>122.4</v>
      </c>
      <c r="W78" s="39" t="n">
        <v>13.88</v>
      </c>
      <c r="X78" s="39" t="n">
        <v>14.61052631578947</v>
      </c>
      <c r="Y78" s="39" t="n">
        <v>15.42222222222222</v>
      </c>
      <c r="Z78" s="39" t="n">
        <v>16.32941176470588</v>
      </c>
      <c r="AA78" s="39" t="n">
        <v>17.35</v>
      </c>
      <c r="AB78" s="39" t="n">
        <v>18.50666666666667</v>
      </c>
      <c r="AC78" s="39" t="n">
        <v>19.82857142857143</v>
      </c>
      <c r="AD78" s="39" t="n">
        <v>21.35384615384615</v>
      </c>
      <c r="AE78" s="39" t="n">
        <v>23.13333333333334</v>
      </c>
      <c r="AF78" s="39" t="n">
        <v>25.23636363636363</v>
      </c>
      <c r="AG78" s="39" t="n">
        <v>27.76</v>
      </c>
      <c r="AH78" s="39" t="n">
        <v>30.84444444444444</v>
      </c>
      <c r="AI78" s="39" t="n">
        <v>34.7</v>
      </c>
      <c r="AJ78" s="39" t="n">
        <v>39.65714285714286</v>
      </c>
      <c r="AK78" s="39" t="n">
        <v>46.26666666666667</v>
      </c>
      <c r="AL78" s="39" t="n">
        <v>55.52</v>
      </c>
      <c r="AM78" s="39" t="n">
        <v>69.40000000000001</v>
      </c>
      <c r="AN78" s="39" t="n">
        <v>92.53333333333333</v>
      </c>
      <c r="AO78" s="39" t="n">
        <v>138.8</v>
      </c>
      <c r="AP78" s="39" t="n">
        <v>277.6</v>
      </c>
    </row>
    <row r="79">
      <c r="A79" s="6" t="inlineStr">
        <is>
          <t>P73</t>
        </is>
      </c>
      <c r="B79" s="6" t="inlineStr">
        <is>
          <t>Karitel</t>
        </is>
      </c>
      <c r="C79" s="39" t="n">
        <v>6.76</v>
      </c>
      <c r="D79" s="39" t="n">
        <v>7.11578947368421</v>
      </c>
      <c r="E79" s="39" t="n">
        <v>7.511111111111111</v>
      </c>
      <c r="F79" s="39" t="n">
        <v>7.952941176470588</v>
      </c>
      <c r="G79" s="39" t="n">
        <v>8.449999999999999</v>
      </c>
      <c r="H79" s="39" t="n">
        <v>9.013333333333334</v>
      </c>
      <c r="I79" s="39" t="n">
        <v>9.657142857142857</v>
      </c>
      <c r="J79" s="39" t="n">
        <v>10.4</v>
      </c>
      <c r="K79" s="39" t="n">
        <v>11.26666666666667</v>
      </c>
      <c r="L79" s="39" t="n">
        <v>12.29090909090909</v>
      </c>
      <c r="M79" s="39" t="n">
        <v>13.52</v>
      </c>
      <c r="N79" s="39" t="n">
        <v>15.02222222222222</v>
      </c>
      <c r="O79" s="39" t="n">
        <v>16.9</v>
      </c>
      <c r="P79" s="39" t="n">
        <v>19.31428571428571</v>
      </c>
      <c r="Q79" s="39" t="n">
        <v>22.53333333333333</v>
      </c>
      <c r="R79" s="39" t="n">
        <v>27.04</v>
      </c>
      <c r="S79" s="39" t="n">
        <v>33.8</v>
      </c>
      <c r="T79" s="39" t="n">
        <v>45.06666666666667</v>
      </c>
      <c r="U79" s="39" t="n">
        <v>67.59999999999999</v>
      </c>
      <c r="V79" s="39" t="n">
        <v>135.2</v>
      </c>
      <c r="W79" s="39" t="n">
        <v>16.05</v>
      </c>
      <c r="X79" s="39" t="n">
        <v>16.89473684210526</v>
      </c>
      <c r="Y79" s="39" t="n">
        <v>17.83333333333333</v>
      </c>
      <c r="Z79" s="39" t="n">
        <v>18.88235294117647</v>
      </c>
      <c r="AA79" s="39" t="n">
        <v>20.0625</v>
      </c>
      <c r="AB79" s="39" t="n">
        <v>21.4</v>
      </c>
      <c r="AC79" s="39" t="n">
        <v>22.92857142857143</v>
      </c>
      <c r="AD79" s="39" t="n">
        <v>24.69230769230769</v>
      </c>
      <c r="AE79" s="39" t="n">
        <v>26.75</v>
      </c>
      <c r="AF79" s="39" t="n">
        <v>29.18181818181818</v>
      </c>
      <c r="AG79" s="39" t="n">
        <v>32.1</v>
      </c>
      <c r="AH79" s="39" t="n">
        <v>35.66666666666666</v>
      </c>
      <c r="AI79" s="39" t="n">
        <v>40.125</v>
      </c>
      <c r="AJ79" s="39" t="n">
        <v>45.85714285714286</v>
      </c>
      <c r="AK79" s="39" t="n">
        <v>53.50000000000001</v>
      </c>
      <c r="AL79" s="39" t="n">
        <v>64.2</v>
      </c>
      <c r="AM79" s="39" t="n">
        <v>80.25</v>
      </c>
      <c r="AN79" s="39" t="n">
        <v>107</v>
      </c>
      <c r="AO79" s="39" t="n">
        <v>160.5</v>
      </c>
      <c r="AP79" s="39" t="n">
        <v>321</v>
      </c>
    </row>
    <row r="80">
      <c r="A80" s="6" t="inlineStr">
        <is>
          <t>P74</t>
        </is>
      </c>
      <c r="B80" s="6" t="inlineStr">
        <is>
          <t>Karitel</t>
        </is>
      </c>
      <c r="C80" s="39" t="n">
        <v>6.76</v>
      </c>
      <c r="D80" s="39" t="n">
        <v>7.11578947368421</v>
      </c>
      <c r="E80" s="39" t="n">
        <v>7.511111111111111</v>
      </c>
      <c r="F80" s="39" t="n">
        <v>7.952941176470588</v>
      </c>
      <c r="G80" s="39" t="n">
        <v>8.449999999999999</v>
      </c>
      <c r="H80" s="39" t="n">
        <v>9.013333333333334</v>
      </c>
      <c r="I80" s="39" t="n">
        <v>9.657142857142857</v>
      </c>
      <c r="J80" s="39" t="n">
        <v>10.4</v>
      </c>
      <c r="K80" s="39" t="n">
        <v>11.26666666666667</v>
      </c>
      <c r="L80" s="39" t="n">
        <v>12.29090909090909</v>
      </c>
      <c r="M80" s="39" t="n">
        <v>13.52</v>
      </c>
      <c r="N80" s="39" t="n">
        <v>15.02222222222222</v>
      </c>
      <c r="O80" s="39" t="n">
        <v>16.9</v>
      </c>
      <c r="P80" s="39" t="n">
        <v>19.31428571428571</v>
      </c>
      <c r="Q80" s="39" t="n">
        <v>22.53333333333333</v>
      </c>
      <c r="R80" s="39" t="n">
        <v>27.04</v>
      </c>
      <c r="S80" s="39" t="n">
        <v>33.8</v>
      </c>
      <c r="T80" s="39" t="n">
        <v>45.06666666666667</v>
      </c>
      <c r="U80" s="39" t="n">
        <v>67.59999999999999</v>
      </c>
      <c r="V80" s="39" t="n">
        <v>135.2</v>
      </c>
      <c r="W80" s="39" t="n">
        <v>16.05</v>
      </c>
      <c r="X80" s="39" t="n">
        <v>16.89473684210526</v>
      </c>
      <c r="Y80" s="39" t="n">
        <v>17.83333333333333</v>
      </c>
      <c r="Z80" s="39" t="n">
        <v>18.88235294117647</v>
      </c>
      <c r="AA80" s="39" t="n">
        <v>20.0625</v>
      </c>
      <c r="AB80" s="39" t="n">
        <v>21.4</v>
      </c>
      <c r="AC80" s="39" t="n">
        <v>22.92857142857143</v>
      </c>
      <c r="AD80" s="39" t="n">
        <v>24.69230769230769</v>
      </c>
      <c r="AE80" s="39" t="n">
        <v>26.75</v>
      </c>
      <c r="AF80" s="39" t="n">
        <v>29.18181818181818</v>
      </c>
      <c r="AG80" s="39" t="n">
        <v>32.1</v>
      </c>
      <c r="AH80" s="39" t="n">
        <v>35.66666666666666</v>
      </c>
      <c r="AI80" s="39" t="n">
        <v>40.125</v>
      </c>
      <c r="AJ80" s="39" t="n">
        <v>45.85714285714286</v>
      </c>
      <c r="AK80" s="39" t="n">
        <v>53.50000000000001</v>
      </c>
      <c r="AL80" s="39" t="n">
        <v>64.2</v>
      </c>
      <c r="AM80" s="39" t="n">
        <v>80.25</v>
      </c>
      <c r="AN80" s="39" t="n">
        <v>107</v>
      </c>
      <c r="AO80" s="39" t="n">
        <v>160.5</v>
      </c>
      <c r="AP80" s="39" t="n">
        <v>321</v>
      </c>
    </row>
    <row r="81">
      <c r="A81" s="6" t="inlineStr">
        <is>
          <t>P75</t>
        </is>
      </c>
      <c r="B81" s="6" t="inlineStr">
        <is>
          <t>Karitel</t>
        </is>
      </c>
      <c r="C81" s="39" t="n">
        <v>5.75</v>
      </c>
      <c r="D81" s="39" t="n">
        <v>6.052631578947369</v>
      </c>
      <c r="E81" s="39" t="n">
        <v>6.388888888888888</v>
      </c>
      <c r="F81" s="39" t="n">
        <v>6.764705882352941</v>
      </c>
      <c r="G81" s="39" t="n">
        <v>7.1875</v>
      </c>
      <c r="H81" s="39" t="n">
        <v>7.666666666666667</v>
      </c>
      <c r="I81" s="39" t="n">
        <v>8.214285714285715</v>
      </c>
      <c r="J81" s="39" t="n">
        <v>8.846153846153847</v>
      </c>
      <c r="K81" s="39" t="n">
        <v>9.583333333333334</v>
      </c>
      <c r="L81" s="39" t="n">
        <v>10.45454545454545</v>
      </c>
      <c r="M81" s="39" t="n">
        <v>11.5</v>
      </c>
      <c r="N81" s="39" t="n">
        <v>12.77777777777778</v>
      </c>
      <c r="O81" s="39" t="n">
        <v>14.375</v>
      </c>
      <c r="P81" s="39" t="n">
        <v>16.42857142857143</v>
      </c>
      <c r="Q81" s="39" t="n">
        <v>19.16666666666667</v>
      </c>
      <c r="R81" s="39" t="n">
        <v>23</v>
      </c>
      <c r="S81" s="39" t="n">
        <v>28.75</v>
      </c>
      <c r="T81" s="39" t="n">
        <v>38.33333333333334</v>
      </c>
      <c r="U81" s="39" t="n">
        <v>57.5</v>
      </c>
      <c r="V81" s="39" t="n">
        <v>115</v>
      </c>
      <c r="W81" s="39" t="n">
        <v>11.2</v>
      </c>
      <c r="X81" s="39" t="n">
        <v>11.78947368421053</v>
      </c>
      <c r="Y81" s="39" t="n">
        <v>12.44444444444444</v>
      </c>
      <c r="Z81" s="39" t="n">
        <v>13.17647058823529</v>
      </c>
      <c r="AA81" s="39" t="n">
        <v>14</v>
      </c>
      <c r="AB81" s="39" t="n">
        <v>14.93333333333333</v>
      </c>
      <c r="AC81" s="39" t="n">
        <v>16</v>
      </c>
      <c r="AD81" s="39" t="n">
        <v>17.23076923076923</v>
      </c>
      <c r="AE81" s="39" t="n">
        <v>18.66666666666667</v>
      </c>
      <c r="AF81" s="39" t="n">
        <v>20.36363636363636</v>
      </c>
      <c r="AG81" s="39" t="n">
        <v>22.4</v>
      </c>
      <c r="AH81" s="39" t="n">
        <v>24.88888888888889</v>
      </c>
      <c r="AI81" s="39" t="n">
        <v>28</v>
      </c>
      <c r="AJ81" s="39" t="n">
        <v>32</v>
      </c>
      <c r="AK81" s="39" t="n">
        <v>37.33333333333334</v>
      </c>
      <c r="AL81" s="39" t="n">
        <v>44.8</v>
      </c>
      <c r="AM81" s="39" t="n">
        <v>55.99999999999999</v>
      </c>
      <c r="AN81" s="39" t="n">
        <v>74.66666666666667</v>
      </c>
      <c r="AO81" s="39" t="n">
        <v>112</v>
      </c>
      <c r="AP81" s="39" t="n">
        <v>224</v>
      </c>
    </row>
    <row r="82">
      <c r="A82" s="6" t="inlineStr">
        <is>
          <t>P76</t>
        </is>
      </c>
      <c r="B82" s="6" t="inlineStr">
        <is>
          <t>Karitel</t>
        </is>
      </c>
      <c r="C82" s="39" t="n">
        <v>3.8</v>
      </c>
      <c r="D82" s="39" t="n">
        <v>4</v>
      </c>
      <c r="E82" s="39" t="n">
        <v>4.222222222222222</v>
      </c>
      <c r="F82" s="39" t="n">
        <v>4.470588235294118</v>
      </c>
      <c r="G82" s="39" t="n">
        <v>4.749999999999999</v>
      </c>
      <c r="H82" s="39" t="n">
        <v>5.066666666666666</v>
      </c>
      <c r="I82" s="39" t="n">
        <v>5.428571428571429</v>
      </c>
      <c r="J82" s="39" t="n">
        <v>5.846153846153846</v>
      </c>
      <c r="K82" s="39" t="n">
        <v>6.333333333333333</v>
      </c>
      <c r="L82" s="39" t="n">
        <v>6.909090909090908</v>
      </c>
      <c r="M82" s="39" t="n">
        <v>7.6</v>
      </c>
      <c r="N82" s="39" t="n">
        <v>8.444444444444445</v>
      </c>
      <c r="O82" s="39" t="n">
        <v>9.499999999999998</v>
      </c>
      <c r="P82" s="39" t="n">
        <v>10.85714285714286</v>
      </c>
      <c r="Q82" s="39" t="n">
        <v>12.66666666666667</v>
      </c>
      <c r="R82" s="39" t="n">
        <v>15.2</v>
      </c>
      <c r="S82" s="39" t="n">
        <v>19</v>
      </c>
      <c r="T82" s="39" t="n">
        <v>25.33333333333333</v>
      </c>
      <c r="U82" s="39" t="n">
        <v>37.99999999999999</v>
      </c>
      <c r="V82" s="39" t="n">
        <v>75.99999999999999</v>
      </c>
      <c r="W82" s="39" t="n">
        <v>7.9</v>
      </c>
      <c r="X82" s="39" t="n">
        <v>8.315789473684211</v>
      </c>
      <c r="Y82" s="39" t="n">
        <v>8.777777777777779</v>
      </c>
      <c r="Z82" s="39" t="n">
        <v>9.294117647058824</v>
      </c>
      <c r="AA82" s="39" t="n">
        <v>9.875</v>
      </c>
      <c r="AB82" s="39" t="n">
        <v>10.53333333333333</v>
      </c>
      <c r="AC82" s="39" t="n">
        <v>11.28571428571429</v>
      </c>
      <c r="AD82" s="39" t="n">
        <v>12.15384615384615</v>
      </c>
      <c r="AE82" s="39" t="n">
        <v>13.16666666666667</v>
      </c>
      <c r="AF82" s="39" t="n">
        <v>14.36363636363636</v>
      </c>
      <c r="AG82" s="39" t="n">
        <v>15.8</v>
      </c>
      <c r="AH82" s="39" t="n">
        <v>17.55555555555556</v>
      </c>
      <c r="AI82" s="39" t="n">
        <v>19.75</v>
      </c>
      <c r="AJ82" s="39" t="n">
        <v>22.57142857142858</v>
      </c>
      <c r="AK82" s="39" t="n">
        <v>26.33333333333334</v>
      </c>
      <c r="AL82" s="39" t="n">
        <v>31.6</v>
      </c>
      <c r="AM82" s="39" t="n">
        <v>39.5</v>
      </c>
      <c r="AN82" s="39" t="n">
        <v>52.66666666666668</v>
      </c>
      <c r="AO82" s="39" t="n">
        <v>79</v>
      </c>
      <c r="AP82" s="39" t="n">
        <v>158</v>
      </c>
    </row>
    <row r="83">
      <c r="A83" s="6" t="inlineStr">
        <is>
          <t>P101</t>
        </is>
      </c>
      <c r="B83" s="6" t="inlineStr">
        <is>
          <t>RDM</t>
        </is>
      </c>
      <c r="C83" s="39" t="n">
        <v>5.28</v>
      </c>
      <c r="D83" s="39" t="n">
        <v>5.557894736842106</v>
      </c>
      <c r="E83" s="39" t="n">
        <v>5.866666666666667</v>
      </c>
      <c r="F83" s="39" t="n">
        <v>6.211764705882353</v>
      </c>
      <c r="G83" s="39" t="n">
        <v>6.6</v>
      </c>
      <c r="H83" s="39" t="n">
        <v>7.04</v>
      </c>
      <c r="I83" s="39" t="n">
        <v>7.542857142857144</v>
      </c>
      <c r="J83" s="39" t="n">
        <v>8.123076923076923</v>
      </c>
      <c r="K83" s="39" t="n">
        <v>8.800000000000001</v>
      </c>
      <c r="L83" s="39" t="n">
        <v>9.6</v>
      </c>
      <c r="M83" s="39" t="n">
        <v>10.56</v>
      </c>
      <c r="N83" s="39" t="n">
        <v>11.73333333333333</v>
      </c>
      <c r="O83" s="39" t="n">
        <v>13.2</v>
      </c>
      <c r="P83" s="39" t="n">
        <v>15.08571428571429</v>
      </c>
      <c r="Q83" s="39" t="n">
        <v>17.6</v>
      </c>
      <c r="R83" s="39" t="n">
        <v>21.12</v>
      </c>
      <c r="S83" s="39" t="n">
        <v>26.4</v>
      </c>
      <c r="T83" s="39" t="n">
        <v>35.2</v>
      </c>
      <c r="U83" s="39" t="n">
        <v>52.8</v>
      </c>
      <c r="V83" s="39" t="n">
        <v>105.6</v>
      </c>
      <c r="W83" s="39" t="n">
        <v>13.26</v>
      </c>
      <c r="X83" s="39" t="n">
        <v>13.95789473684211</v>
      </c>
      <c r="Y83" s="39" t="n">
        <v>14.73333333333333</v>
      </c>
      <c r="Z83" s="39" t="n">
        <v>15.6</v>
      </c>
      <c r="AA83" s="39" t="n">
        <v>16.575</v>
      </c>
      <c r="AB83" s="39" t="n">
        <v>17.68</v>
      </c>
      <c r="AC83" s="39" t="n">
        <v>18.94285714285714</v>
      </c>
      <c r="AD83" s="39" t="n">
        <v>20.4</v>
      </c>
      <c r="AE83" s="39" t="n">
        <v>22.1</v>
      </c>
      <c r="AF83" s="39" t="n">
        <v>24.10909090909091</v>
      </c>
      <c r="AG83" s="39" t="n">
        <v>26.52</v>
      </c>
      <c r="AH83" s="39" t="n">
        <v>29.46666666666667</v>
      </c>
      <c r="AI83" s="39" t="n">
        <v>33.15</v>
      </c>
      <c r="AJ83" s="39" t="n">
        <v>37.88571428571429</v>
      </c>
      <c r="AK83" s="39" t="n">
        <v>44.2</v>
      </c>
      <c r="AL83" s="39" t="n">
        <v>53.04</v>
      </c>
      <c r="AM83" s="39" t="n">
        <v>66.3</v>
      </c>
      <c r="AN83" s="39" t="n">
        <v>88.40000000000001</v>
      </c>
      <c r="AO83" s="39" t="n">
        <v>132.6</v>
      </c>
      <c r="AP83" s="39" t="n">
        <v>265.2</v>
      </c>
    </row>
    <row r="84">
      <c r="A84" s="6" t="inlineStr">
        <is>
          <t>P102</t>
        </is>
      </c>
      <c r="B84" s="6" t="inlineStr">
        <is>
          <t>RDM</t>
        </is>
      </c>
      <c r="C84" s="39" t="n">
        <v>5.445</v>
      </c>
      <c r="D84" s="39" t="n">
        <v>5.731578947368422</v>
      </c>
      <c r="E84" s="39" t="n">
        <v>6.05</v>
      </c>
      <c r="F84" s="39" t="n">
        <v>6.405882352941177</v>
      </c>
      <c r="G84" s="39" t="n">
        <v>6.80625</v>
      </c>
      <c r="H84" s="39" t="n">
        <v>7.260000000000001</v>
      </c>
      <c r="I84" s="39" t="n">
        <v>7.778571428571429</v>
      </c>
      <c r="J84" s="39" t="n">
        <v>8.376923076923077</v>
      </c>
      <c r="K84" s="39" t="n">
        <v>9.075000000000001</v>
      </c>
      <c r="L84" s="39" t="n">
        <v>9.9</v>
      </c>
      <c r="M84" s="39" t="n">
        <v>10.89</v>
      </c>
      <c r="N84" s="39" t="n">
        <v>12.1</v>
      </c>
      <c r="O84" s="39" t="n">
        <v>13.6125</v>
      </c>
      <c r="P84" s="39" t="n">
        <v>15.55714285714286</v>
      </c>
      <c r="Q84" s="39" t="n">
        <v>18.15</v>
      </c>
      <c r="R84" s="39" t="n">
        <v>21.78</v>
      </c>
      <c r="S84" s="39" t="n">
        <v>27.225</v>
      </c>
      <c r="T84" s="39" t="n">
        <v>36.3</v>
      </c>
      <c r="U84" s="39" t="n">
        <v>54.45</v>
      </c>
      <c r="V84" s="39" t="n">
        <v>108.9</v>
      </c>
      <c r="W84" s="39" t="n">
        <v>12.18</v>
      </c>
      <c r="X84" s="39" t="n">
        <v>12.82105263157895</v>
      </c>
      <c r="Y84" s="39" t="n">
        <v>13.53333333333333</v>
      </c>
      <c r="Z84" s="39" t="n">
        <v>14.32941176470588</v>
      </c>
      <c r="AA84" s="39" t="n">
        <v>15.225</v>
      </c>
      <c r="AB84" s="39" t="n">
        <v>16.24</v>
      </c>
      <c r="AC84" s="39" t="n">
        <v>17.4</v>
      </c>
      <c r="AD84" s="39" t="n">
        <v>18.73846153846154</v>
      </c>
      <c r="AE84" s="39" t="n">
        <v>20.3</v>
      </c>
      <c r="AF84" s="39" t="n">
        <v>22.14545454545454</v>
      </c>
      <c r="AG84" s="39" t="n">
        <v>24.36</v>
      </c>
      <c r="AH84" s="39" t="n">
        <v>27.06666666666667</v>
      </c>
      <c r="AI84" s="39" t="n">
        <v>30.45</v>
      </c>
      <c r="AJ84" s="39" t="n">
        <v>34.8</v>
      </c>
      <c r="AK84" s="39" t="n">
        <v>40.6</v>
      </c>
      <c r="AL84" s="39" t="n">
        <v>48.72</v>
      </c>
      <c r="AM84" s="39" t="n">
        <v>60.9</v>
      </c>
      <c r="AN84" s="39" t="n">
        <v>81.2</v>
      </c>
      <c r="AO84" s="39" t="n">
        <v>121.8</v>
      </c>
      <c r="AP84" s="39" t="n">
        <v>243.6</v>
      </c>
    </row>
    <row r="85">
      <c r="A85" s="6" t="inlineStr">
        <is>
          <t>P103</t>
        </is>
      </c>
      <c r="B85" s="6" t="inlineStr">
        <is>
          <t>RDM</t>
        </is>
      </c>
      <c r="C85" s="39" t="n">
        <v>5.06</v>
      </c>
      <c r="D85" s="39" t="n">
        <v>5.326315789473684</v>
      </c>
      <c r="E85" s="39" t="n">
        <v>5.622222222222222</v>
      </c>
      <c r="F85" s="39" t="n">
        <v>5.952941176470588</v>
      </c>
      <c r="G85" s="39" t="n">
        <v>6.324999999999999</v>
      </c>
      <c r="H85" s="39" t="n">
        <v>6.746666666666666</v>
      </c>
      <c r="I85" s="39" t="n">
        <v>7.228571428571429</v>
      </c>
      <c r="J85" s="39" t="n">
        <v>7.784615384615384</v>
      </c>
      <c r="K85" s="39" t="n">
        <v>8.433333333333334</v>
      </c>
      <c r="L85" s="39" t="n">
        <v>9.199999999999999</v>
      </c>
      <c r="M85" s="39" t="n">
        <v>10.12</v>
      </c>
      <c r="N85" s="39" t="n">
        <v>11.24444444444444</v>
      </c>
      <c r="O85" s="39" t="n">
        <v>12.65</v>
      </c>
      <c r="P85" s="39" t="n">
        <v>14.45714285714286</v>
      </c>
      <c r="Q85" s="39" t="n">
        <v>16.86666666666667</v>
      </c>
      <c r="R85" s="39" t="n">
        <v>20.24</v>
      </c>
      <c r="S85" s="39" t="n">
        <v>25.3</v>
      </c>
      <c r="T85" s="39" t="n">
        <v>33.73333333333333</v>
      </c>
      <c r="U85" s="39" t="n">
        <v>50.59999999999999</v>
      </c>
      <c r="V85" s="39" t="n">
        <v>101.2</v>
      </c>
      <c r="W85" s="39" t="n">
        <v>12.18</v>
      </c>
      <c r="X85" s="39" t="n">
        <v>12.82105263157895</v>
      </c>
      <c r="Y85" s="39" t="n">
        <v>13.53333333333333</v>
      </c>
      <c r="Z85" s="39" t="n">
        <v>14.32941176470588</v>
      </c>
      <c r="AA85" s="39" t="n">
        <v>15.225</v>
      </c>
      <c r="AB85" s="39" t="n">
        <v>16.24</v>
      </c>
      <c r="AC85" s="39" t="n">
        <v>17.4</v>
      </c>
      <c r="AD85" s="39" t="n">
        <v>18.73846153846154</v>
      </c>
      <c r="AE85" s="39" t="n">
        <v>20.3</v>
      </c>
      <c r="AF85" s="39" t="n">
        <v>22.14545454545454</v>
      </c>
      <c r="AG85" s="39" t="n">
        <v>24.36</v>
      </c>
      <c r="AH85" s="39" t="n">
        <v>27.06666666666667</v>
      </c>
      <c r="AI85" s="39" t="n">
        <v>30.45</v>
      </c>
      <c r="AJ85" s="39" t="n">
        <v>34.8</v>
      </c>
      <c r="AK85" s="39" t="n">
        <v>40.6</v>
      </c>
      <c r="AL85" s="39" t="n">
        <v>48.72</v>
      </c>
      <c r="AM85" s="39" t="n">
        <v>60.9</v>
      </c>
      <c r="AN85" s="39" t="n">
        <v>81.2</v>
      </c>
      <c r="AO85" s="39" t="n">
        <v>121.8</v>
      </c>
      <c r="AP85" s="39" t="n">
        <v>243.6</v>
      </c>
    </row>
    <row r="86">
      <c r="A86" s="6" t="inlineStr">
        <is>
          <t>P104</t>
        </is>
      </c>
      <c r="B86" s="6" t="inlineStr">
        <is>
          <t>RDM</t>
        </is>
      </c>
      <c r="C86" s="39" t="n">
        <v>5.005</v>
      </c>
      <c r="D86" s="39" t="n">
        <v>5.268421052631579</v>
      </c>
      <c r="E86" s="39" t="n">
        <v>5.561111111111111</v>
      </c>
      <c r="F86" s="39" t="n">
        <v>5.888235294117647</v>
      </c>
      <c r="G86" s="39" t="n">
        <v>6.25625</v>
      </c>
      <c r="H86" s="39" t="n">
        <v>6.673333333333333</v>
      </c>
      <c r="I86" s="39" t="n">
        <v>7.15</v>
      </c>
      <c r="J86" s="39" t="n">
        <v>7.699999999999999</v>
      </c>
      <c r="K86" s="39" t="n">
        <v>8.341666666666667</v>
      </c>
      <c r="L86" s="39" t="n">
        <v>9.1</v>
      </c>
      <c r="M86" s="39" t="n">
        <v>10.01</v>
      </c>
      <c r="N86" s="39" t="n">
        <v>11.12222222222222</v>
      </c>
      <c r="O86" s="39" t="n">
        <v>12.5125</v>
      </c>
      <c r="P86" s="39" t="n">
        <v>14.3</v>
      </c>
      <c r="Q86" s="39" t="n">
        <v>16.68333333333333</v>
      </c>
      <c r="R86" s="39" t="n">
        <v>20.02</v>
      </c>
      <c r="S86" s="39" t="n">
        <v>25.025</v>
      </c>
      <c r="T86" s="39" t="n">
        <v>33.36666666666667</v>
      </c>
      <c r="U86" s="39" t="n">
        <v>50.05</v>
      </c>
      <c r="V86" s="39" t="n">
        <v>100.1</v>
      </c>
      <c r="W86" s="39" t="n">
        <v>12.18</v>
      </c>
      <c r="X86" s="39" t="n">
        <v>12.82105263157895</v>
      </c>
      <c r="Y86" s="39" t="n">
        <v>13.53333333333333</v>
      </c>
      <c r="Z86" s="39" t="n">
        <v>14.3294117647059</v>
      </c>
      <c r="AA86" s="39" t="n">
        <v>15.225</v>
      </c>
      <c r="AB86" s="39" t="n">
        <v>16.24</v>
      </c>
      <c r="AC86" s="39" t="n">
        <v>17.4</v>
      </c>
      <c r="AD86" s="39" t="n">
        <v>18.73846153846154</v>
      </c>
      <c r="AE86" s="39" t="n">
        <v>20.3</v>
      </c>
      <c r="AF86" s="39" t="n">
        <v>22.14545454545454</v>
      </c>
      <c r="AG86" s="39" t="n">
        <v>24.36</v>
      </c>
      <c r="AH86" s="39" t="n">
        <v>27.06666666666667</v>
      </c>
      <c r="AI86" s="39" t="n">
        <v>30.45</v>
      </c>
      <c r="AJ86" s="39" t="n">
        <v>34.8</v>
      </c>
      <c r="AK86" s="39" t="n">
        <v>40.6</v>
      </c>
      <c r="AL86" s="39" t="n">
        <v>48.72</v>
      </c>
      <c r="AM86" s="39" t="n">
        <v>60.9</v>
      </c>
      <c r="AN86" s="39" t="n">
        <v>81.2</v>
      </c>
      <c r="AO86" s="39" t="n">
        <v>121.8</v>
      </c>
      <c r="AP86" s="39" t="n">
        <v>243.6</v>
      </c>
    </row>
    <row r="87">
      <c r="A87" s="6" t="inlineStr">
        <is>
          <t>P105</t>
        </is>
      </c>
      <c r="B87" s="6" t="inlineStr">
        <is>
          <t>RDM</t>
        </is>
      </c>
      <c r="C87" s="39" t="n">
        <v>5.225</v>
      </c>
      <c r="D87" s="39" t="n">
        <v>5.5</v>
      </c>
      <c r="E87" s="39" t="n">
        <v>5.805555555555555</v>
      </c>
      <c r="F87" s="39" t="n">
        <v>6.147058823529411</v>
      </c>
      <c r="G87" s="39" t="n">
        <v>6.531249999999999</v>
      </c>
      <c r="H87" s="39" t="n">
        <v>6.966666666666666</v>
      </c>
      <c r="I87" s="39" t="n">
        <v>7.464285714285714</v>
      </c>
      <c r="J87" s="39" t="n">
        <v>8.038461538461538</v>
      </c>
      <c r="K87" s="39" t="n">
        <v>8.708333333333334</v>
      </c>
      <c r="L87" s="39" t="n">
        <v>9.499999999999998</v>
      </c>
      <c r="M87" s="39" t="n">
        <v>10.45</v>
      </c>
      <c r="N87" s="39" t="n">
        <v>11.61111111111111</v>
      </c>
      <c r="O87" s="39" t="n">
        <v>13.0625</v>
      </c>
      <c r="P87" s="39" t="n">
        <v>14.92857142857143</v>
      </c>
      <c r="Q87" s="39" t="n">
        <v>17.41666666666667</v>
      </c>
      <c r="R87" s="39" t="n">
        <v>20.9</v>
      </c>
      <c r="S87" s="39" t="n">
        <v>26.125</v>
      </c>
      <c r="T87" s="39" t="n">
        <v>34.83333333333334</v>
      </c>
      <c r="U87" s="39" t="n">
        <v>52.24999999999999</v>
      </c>
      <c r="V87" s="39" t="n">
        <v>104.5</v>
      </c>
      <c r="W87" s="39" t="n">
        <v>12.18</v>
      </c>
      <c r="X87" s="39" t="n">
        <v>12.82105263157895</v>
      </c>
      <c r="Y87" s="39" t="n">
        <v>13.53333333333333</v>
      </c>
      <c r="Z87" s="39" t="n">
        <v>14.32941176470588</v>
      </c>
      <c r="AA87" s="39" t="n">
        <v>15.225</v>
      </c>
      <c r="AB87" s="39" t="n">
        <v>16.24</v>
      </c>
      <c r="AC87" s="39" t="n">
        <v>17.4</v>
      </c>
      <c r="AD87" s="39" t="n">
        <v>18.73846153846154</v>
      </c>
      <c r="AE87" s="39" t="n">
        <v>20.3</v>
      </c>
      <c r="AF87" s="39" t="n">
        <v>22.14545454545454</v>
      </c>
      <c r="AG87" s="39" t="n">
        <v>24.36</v>
      </c>
      <c r="AH87" s="39" t="n">
        <v>27.06666666666667</v>
      </c>
      <c r="AI87" s="39" t="n">
        <v>30.45</v>
      </c>
      <c r="AJ87" s="39" t="n">
        <v>34.8</v>
      </c>
      <c r="AK87" s="39" t="n">
        <v>40.6</v>
      </c>
      <c r="AL87" s="39" t="n">
        <v>48.72</v>
      </c>
      <c r="AM87" s="39" t="n">
        <v>60.9</v>
      </c>
      <c r="AN87" s="39" t="n">
        <v>81.2</v>
      </c>
      <c r="AO87" s="39" t="n">
        <v>121.8</v>
      </c>
      <c r="AP87" s="39" t="n">
        <v>243.6</v>
      </c>
    </row>
    <row r="88">
      <c r="A88" s="6" t="inlineStr">
        <is>
          <t>P106</t>
        </is>
      </c>
      <c r="B88" s="6" t="inlineStr">
        <is>
          <t>RDM</t>
        </is>
      </c>
      <c r="C88" s="39" t="n">
        <v>5.34</v>
      </c>
      <c r="D88" s="39" t="n">
        <v>5.621052631578947</v>
      </c>
      <c r="E88" s="39" t="n">
        <v>5.933333333333333</v>
      </c>
      <c r="F88" s="39" t="n">
        <v>6.28235294117647</v>
      </c>
      <c r="G88" s="39" t="n">
        <v>6.675</v>
      </c>
      <c r="H88" s="39" t="n">
        <v>7.12</v>
      </c>
      <c r="I88" s="39" t="n">
        <v>7.628571428571429</v>
      </c>
      <c r="J88" s="39" t="n">
        <v>8.215384615384615</v>
      </c>
      <c r="K88" s="39" t="n">
        <v>8.9</v>
      </c>
      <c r="L88" s="39" t="n">
        <v>9.709090909090907</v>
      </c>
      <c r="M88" s="39" t="n">
        <v>10.68</v>
      </c>
      <c r="N88" s="39" t="n">
        <v>11.86666666666667</v>
      </c>
      <c r="O88" s="39" t="n">
        <v>13.35</v>
      </c>
      <c r="P88" s="39" t="n">
        <v>15.25714285714286</v>
      </c>
      <c r="Q88" s="39" t="n">
        <v>17.8</v>
      </c>
      <c r="R88" s="39" t="n">
        <v>21.36</v>
      </c>
      <c r="S88" s="39" t="n">
        <v>26.7</v>
      </c>
      <c r="T88" s="39" t="n">
        <v>35.6</v>
      </c>
      <c r="U88" s="39" t="n">
        <v>53.4</v>
      </c>
      <c r="V88" s="39" t="n">
        <v>106.8</v>
      </c>
      <c r="W88" s="39" t="n">
        <v>12.18</v>
      </c>
      <c r="X88" s="39" t="n">
        <v>12.82105263157895</v>
      </c>
      <c r="Y88" s="39" t="n">
        <v>13.53333333333333</v>
      </c>
      <c r="Z88" s="39" t="n">
        <v>14.32941176470588</v>
      </c>
      <c r="AA88" s="39" t="n">
        <v>15.225</v>
      </c>
      <c r="AB88" s="39" t="n">
        <v>16.24</v>
      </c>
      <c r="AC88" s="39" t="n">
        <v>17.4</v>
      </c>
      <c r="AD88" s="39" t="n">
        <v>18.73846153846154</v>
      </c>
      <c r="AE88" s="39" t="n">
        <v>20.3</v>
      </c>
      <c r="AF88" s="39" t="n">
        <v>22.14545454545454</v>
      </c>
      <c r="AG88" s="39" t="n">
        <v>24.36</v>
      </c>
      <c r="AH88" s="39" t="n">
        <v>27.06666666666667</v>
      </c>
      <c r="AI88" s="39" t="n">
        <v>30.45</v>
      </c>
      <c r="AJ88" s="39" t="n">
        <v>34.8</v>
      </c>
      <c r="AK88" s="39" t="n">
        <v>40.6</v>
      </c>
      <c r="AL88" s="39" t="n">
        <v>48.72</v>
      </c>
      <c r="AM88" s="39" t="n">
        <v>60.9</v>
      </c>
      <c r="AN88" s="39" t="n">
        <v>81.2</v>
      </c>
      <c r="AO88" s="39" t="n">
        <v>121.8</v>
      </c>
      <c r="AP88" s="39" t="n">
        <v>243.6</v>
      </c>
    </row>
    <row r="89">
      <c r="A89" s="6" t="inlineStr">
        <is>
          <t>P107</t>
        </is>
      </c>
      <c r="B89" s="6" t="inlineStr">
        <is>
          <t>RDM</t>
        </is>
      </c>
      <c r="C89" s="39" t="n">
        <v>5.225</v>
      </c>
      <c r="D89" s="39" t="n">
        <v>5.5</v>
      </c>
      <c r="E89" s="39" t="n">
        <v>5.805555555555555</v>
      </c>
      <c r="F89" s="39" t="n">
        <v>6.147058823529411</v>
      </c>
      <c r="G89" s="39" t="n">
        <v>6.531249999999999</v>
      </c>
      <c r="H89" s="39" t="n">
        <v>6.966666666666666</v>
      </c>
      <c r="I89" s="39" t="n">
        <v>7.464285714285714</v>
      </c>
      <c r="J89" s="39" t="n">
        <v>8.038461538461538</v>
      </c>
      <c r="K89" s="39" t="n">
        <v>8.708333333333334</v>
      </c>
      <c r="L89" s="39" t="n">
        <v>9.499999999999998</v>
      </c>
      <c r="M89" s="39" t="n">
        <v>10.45</v>
      </c>
      <c r="N89" s="39" t="n">
        <v>11.61111111111111</v>
      </c>
      <c r="O89" s="39" t="n">
        <v>13.0625</v>
      </c>
      <c r="P89" s="39" t="n">
        <v>14.92857142857143</v>
      </c>
      <c r="Q89" s="39" t="n">
        <v>17.41666666666667</v>
      </c>
      <c r="R89" s="39" t="n">
        <v>20.9</v>
      </c>
      <c r="S89" s="39" t="n">
        <v>26.125</v>
      </c>
      <c r="T89" s="39" t="n">
        <v>34.83333333333334</v>
      </c>
      <c r="U89" s="39" t="n">
        <v>52.24999999999999</v>
      </c>
      <c r="V89" s="39" t="n">
        <v>104.5</v>
      </c>
      <c r="W89" s="39" t="n">
        <v>12.18</v>
      </c>
      <c r="X89" s="39" t="n">
        <v>12.82105263157895</v>
      </c>
      <c r="Y89" s="39" t="n">
        <v>13.53333333333333</v>
      </c>
      <c r="Z89" s="39" t="n">
        <v>14.32941176470588</v>
      </c>
      <c r="AA89" s="39" t="n">
        <v>15.225</v>
      </c>
      <c r="AB89" s="39" t="n">
        <v>16.24</v>
      </c>
      <c r="AC89" s="39" t="n">
        <v>17.4</v>
      </c>
      <c r="AD89" s="39" t="n">
        <v>18.73846153846154</v>
      </c>
      <c r="AE89" s="39" t="n">
        <v>20.3</v>
      </c>
      <c r="AF89" s="39" t="n">
        <v>22.14545454545454</v>
      </c>
      <c r="AG89" s="39" t="n">
        <v>24.36</v>
      </c>
      <c r="AH89" s="39" t="n">
        <v>27.06666666666667</v>
      </c>
      <c r="AI89" s="39" t="n">
        <v>30.45</v>
      </c>
      <c r="AJ89" s="39" t="n">
        <v>34.8</v>
      </c>
      <c r="AK89" s="39" t="n">
        <v>40.6</v>
      </c>
      <c r="AL89" s="39" t="n">
        <v>48.72</v>
      </c>
      <c r="AM89" s="39" t="n">
        <v>60.9</v>
      </c>
      <c r="AN89" s="39" t="n">
        <v>81.2</v>
      </c>
      <c r="AO89" s="39" t="n">
        <v>121.8</v>
      </c>
      <c r="AP89" s="39" t="n">
        <v>243.6</v>
      </c>
    </row>
    <row r="90">
      <c r="A90" s="6" t="inlineStr">
        <is>
          <t>P108</t>
        </is>
      </c>
      <c r="B90" s="6" t="inlineStr">
        <is>
          <t>RDM</t>
        </is>
      </c>
      <c r="C90" s="39" t="n">
        <v>5.5</v>
      </c>
      <c r="D90" s="39" t="n">
        <v>5.789473684210527</v>
      </c>
      <c r="E90" s="39" t="n">
        <v>6.111111111111111</v>
      </c>
      <c r="F90" s="39" t="n">
        <v>6.470588235294118</v>
      </c>
      <c r="G90" s="39" t="n">
        <v>6.875</v>
      </c>
      <c r="H90" s="39" t="n">
        <v>7.333333333333333</v>
      </c>
      <c r="I90" s="39" t="n">
        <v>7.857142857142858</v>
      </c>
      <c r="J90" s="39" t="n">
        <v>8.461538461538462</v>
      </c>
      <c r="K90" s="39" t="n">
        <v>9.166666666666668</v>
      </c>
      <c r="L90" s="39" t="n">
        <v>10</v>
      </c>
      <c r="M90" s="39" t="n">
        <v>11</v>
      </c>
      <c r="N90" s="39" t="n">
        <v>12.22222222222222</v>
      </c>
      <c r="O90" s="39" t="n">
        <v>13.75</v>
      </c>
      <c r="P90" s="39" t="n">
        <v>15.71428571428572</v>
      </c>
      <c r="Q90" s="39" t="n">
        <v>18.33333333333334</v>
      </c>
      <c r="R90" s="39" t="n">
        <v>22</v>
      </c>
      <c r="S90" s="39" t="n">
        <v>27.5</v>
      </c>
      <c r="T90" s="39" t="n">
        <v>36.66666666666667</v>
      </c>
      <c r="U90" s="39" t="n">
        <v>55</v>
      </c>
      <c r="V90" s="39" t="n">
        <v>110</v>
      </c>
      <c r="W90" s="39" t="n">
        <v>12.18</v>
      </c>
      <c r="X90" s="39" t="n">
        <v>12.82105263157895</v>
      </c>
      <c r="Y90" s="39" t="n">
        <v>13.53333333333333</v>
      </c>
      <c r="Z90" s="39" t="n">
        <v>14.32941176470588</v>
      </c>
      <c r="AA90" s="39" t="n">
        <v>15.225</v>
      </c>
      <c r="AB90" s="39" t="n">
        <v>16.24</v>
      </c>
      <c r="AC90" s="39" t="n">
        <v>17.4</v>
      </c>
      <c r="AD90" s="39" t="n">
        <v>18.73846153846154</v>
      </c>
      <c r="AE90" s="39" t="n">
        <v>20.3</v>
      </c>
      <c r="AF90" s="39" t="n">
        <v>22.14545454545454</v>
      </c>
      <c r="AG90" s="39" t="n">
        <v>24.36</v>
      </c>
      <c r="AH90" s="39" t="n">
        <v>27.06666666666667</v>
      </c>
      <c r="AI90" s="39" t="n">
        <v>30.45</v>
      </c>
      <c r="AJ90" s="39" t="n">
        <v>34.8</v>
      </c>
      <c r="AK90" s="39" t="n">
        <v>40.6</v>
      </c>
      <c r="AL90" s="39" t="n">
        <v>48.72</v>
      </c>
      <c r="AM90" s="39" t="n">
        <v>60.9</v>
      </c>
      <c r="AN90" s="39" t="n">
        <v>81.2</v>
      </c>
      <c r="AO90" s="39" t="n">
        <v>121.8</v>
      </c>
      <c r="AP90" s="39" t="n">
        <v>243.6</v>
      </c>
    </row>
    <row r="91">
      <c r="A91" s="6" t="inlineStr">
        <is>
          <t>P109</t>
        </is>
      </c>
      <c r="B91" s="6" t="inlineStr">
        <is>
          <t>RDM</t>
        </is>
      </c>
      <c r="C91" s="39" t="n">
        <v>5.83</v>
      </c>
      <c r="D91" s="39" t="n">
        <v>6.136842105263158</v>
      </c>
      <c r="E91" s="39" t="n">
        <v>6.477777777777778</v>
      </c>
      <c r="F91" s="39" t="n">
        <v>6.858823529411765</v>
      </c>
      <c r="G91" s="39" t="n">
        <v>7.2875</v>
      </c>
      <c r="H91" s="39" t="n">
        <v>7.773333333333333</v>
      </c>
      <c r="I91" s="39" t="n">
        <v>8.328571428571429</v>
      </c>
      <c r="J91" s="39" t="n">
        <v>8.969230769230769</v>
      </c>
      <c r="K91" s="39" t="n">
        <v>9.716666666666667</v>
      </c>
      <c r="L91" s="39" t="n">
        <v>10.6</v>
      </c>
      <c r="M91" s="39" t="n">
        <v>11.66</v>
      </c>
      <c r="N91" s="39" t="n">
        <v>12.95555555555556</v>
      </c>
      <c r="O91" s="39" t="n">
        <v>14.575</v>
      </c>
      <c r="P91" s="39" t="n">
        <v>16.65714285714286</v>
      </c>
      <c r="Q91" s="39" t="n">
        <v>19.43333333333333</v>
      </c>
      <c r="R91" s="39" t="n">
        <v>23.32</v>
      </c>
      <c r="S91" s="39" t="n">
        <v>29.15</v>
      </c>
      <c r="T91" s="39" t="n">
        <v>38.86666666666667</v>
      </c>
      <c r="U91" s="39" t="n">
        <v>58.3</v>
      </c>
      <c r="V91" s="39" t="n">
        <v>116.6</v>
      </c>
      <c r="W91" s="39" t="n">
        <v>12.18</v>
      </c>
      <c r="X91" s="39" t="n">
        <v>12.82105263157895</v>
      </c>
      <c r="Y91" s="39" t="n">
        <v>13.5333333333333</v>
      </c>
      <c r="Z91" s="39" t="n">
        <v>14.32941176470588</v>
      </c>
      <c r="AA91" s="39" t="n">
        <v>15.225</v>
      </c>
      <c r="AB91" s="39" t="n">
        <v>16.24</v>
      </c>
      <c r="AC91" s="39" t="n">
        <v>17.4</v>
      </c>
      <c r="AD91" s="39" t="n">
        <v>18.73846153846154</v>
      </c>
      <c r="AE91" s="39" t="n">
        <v>20.3</v>
      </c>
      <c r="AF91" s="39" t="n">
        <v>22.14545454545454</v>
      </c>
      <c r="AG91" s="39" t="n">
        <v>24.36</v>
      </c>
      <c r="AH91" s="39" t="n">
        <v>27.06666666666667</v>
      </c>
      <c r="AI91" s="39" t="n">
        <v>30.45</v>
      </c>
      <c r="AJ91" s="39" t="n">
        <v>34.8</v>
      </c>
      <c r="AK91" s="39" t="n">
        <v>40.6</v>
      </c>
      <c r="AL91" s="39" t="n">
        <v>48.72</v>
      </c>
      <c r="AM91" s="39" t="n">
        <v>60.9</v>
      </c>
      <c r="AN91" s="39" t="n">
        <v>81.2</v>
      </c>
      <c r="AO91" s="39" t="n">
        <v>121.8</v>
      </c>
      <c r="AP91" s="39" t="n">
        <v>243.6</v>
      </c>
    </row>
    <row r="92">
      <c r="A92" s="6" t="inlineStr">
        <is>
          <t>P110</t>
        </is>
      </c>
      <c r="B92" s="6" t="inlineStr">
        <is>
          <t>RDM</t>
        </is>
      </c>
      <c r="C92" s="39" t="n">
        <v>5.4</v>
      </c>
      <c r="D92" s="39" t="n">
        <v>5.68421052631579</v>
      </c>
      <c r="E92" s="39" t="n">
        <v>6</v>
      </c>
      <c r="F92" s="39" t="n">
        <v>6.352941176470589</v>
      </c>
      <c r="G92" s="39" t="n">
        <v>6.75</v>
      </c>
      <c r="H92" s="39" t="n">
        <v>7.2</v>
      </c>
      <c r="I92" s="39" t="n">
        <v>7.714285714285715</v>
      </c>
      <c r="J92" s="39" t="n">
        <v>8.307692307692308</v>
      </c>
      <c r="K92" s="39" t="n">
        <v>9.000000000000002</v>
      </c>
      <c r="L92" s="39" t="n">
        <v>9.818181818181818</v>
      </c>
      <c r="M92" s="39" t="n">
        <v>10.8</v>
      </c>
      <c r="N92" s="39" t="n">
        <v>12</v>
      </c>
      <c r="O92" s="39" t="n">
        <v>13.5</v>
      </c>
      <c r="P92" s="39" t="n">
        <v>15.42857142857143</v>
      </c>
      <c r="Q92" s="39" t="n">
        <v>18</v>
      </c>
      <c r="R92" s="39" t="n">
        <v>21.6</v>
      </c>
      <c r="S92" s="39" t="n">
        <v>27</v>
      </c>
      <c r="T92" s="39" t="n">
        <v>36.00000000000001</v>
      </c>
      <c r="U92" s="39" t="n">
        <v>54</v>
      </c>
      <c r="V92" s="39" t="n">
        <v>108</v>
      </c>
      <c r="W92" s="39" t="n">
        <v>12.18</v>
      </c>
      <c r="X92" s="39" t="n">
        <v>12.82105263157895</v>
      </c>
      <c r="Y92" s="39" t="n">
        <v>13.53333333333333</v>
      </c>
      <c r="Z92" s="39" t="n">
        <v>14.32941176470588</v>
      </c>
      <c r="AA92" s="39" t="n">
        <v>15.225</v>
      </c>
      <c r="AB92" s="39" t="n">
        <v>16.24</v>
      </c>
      <c r="AC92" s="39" t="n">
        <v>17.4</v>
      </c>
      <c r="AD92" s="39" t="n">
        <v>18.73846153846154</v>
      </c>
      <c r="AE92" s="39" t="n">
        <v>20.3</v>
      </c>
      <c r="AF92" s="39" t="n">
        <v>22.14545454545454</v>
      </c>
      <c r="AG92" s="39" t="n">
        <v>24.36</v>
      </c>
      <c r="AH92" s="39" t="n">
        <v>27.0666666666667</v>
      </c>
      <c r="AI92" s="39" t="n">
        <v>30.45</v>
      </c>
      <c r="AJ92" s="39" t="n">
        <v>34.8</v>
      </c>
      <c r="AK92" s="39" t="n">
        <v>40.6</v>
      </c>
      <c r="AL92" s="39" t="n">
        <v>48.72</v>
      </c>
      <c r="AM92" s="39" t="n">
        <v>60.9</v>
      </c>
      <c r="AN92" s="39" t="n">
        <v>81.2</v>
      </c>
      <c r="AO92" s="39" t="n">
        <v>121.8</v>
      </c>
      <c r="AP92" s="39" t="n">
        <v>243.6</v>
      </c>
    </row>
    <row r="93">
      <c r="A93" s="6" t="inlineStr">
        <is>
          <t>P112</t>
        </is>
      </c>
      <c r="B93" s="6" t="inlineStr">
        <is>
          <t>RDM</t>
        </is>
      </c>
      <c r="C93" s="39" t="n">
        <v>6.16</v>
      </c>
      <c r="D93" s="39" t="n">
        <v>6.48421052631579</v>
      </c>
      <c r="E93" s="39" t="n">
        <v>6.844444444444444</v>
      </c>
      <c r="F93" s="39" t="n">
        <v>7.247058823529412</v>
      </c>
      <c r="G93" s="39" t="n">
        <v>7.7</v>
      </c>
      <c r="H93" s="39" t="n">
        <v>8.213333333333333</v>
      </c>
      <c r="I93" s="39" t="n">
        <v>8.800000000000001</v>
      </c>
      <c r="J93" s="39" t="n">
        <v>9.476923076923077</v>
      </c>
      <c r="K93" s="39" t="n">
        <v>10.26666666666667</v>
      </c>
      <c r="L93" s="39" t="n">
        <v>11.2</v>
      </c>
      <c r="M93" s="39" t="n">
        <v>12.32</v>
      </c>
      <c r="N93" s="39" t="n">
        <v>13.68888888888889</v>
      </c>
      <c r="O93" s="39" t="n">
        <v>15.4</v>
      </c>
      <c r="P93" s="39" t="n">
        <v>17.6</v>
      </c>
      <c r="Q93" s="39" t="n">
        <v>20.53333333333333</v>
      </c>
      <c r="R93" s="39" t="n">
        <v>24.64</v>
      </c>
      <c r="S93" s="39" t="n">
        <v>30.8</v>
      </c>
      <c r="T93" s="39" t="n">
        <v>41.06666666666667</v>
      </c>
      <c r="U93" s="39" t="n">
        <v>61.6</v>
      </c>
      <c r="V93" s="39" t="n">
        <v>123.2</v>
      </c>
      <c r="W93" s="39" t="n">
        <v>15.26</v>
      </c>
      <c r="X93" s="39" t="n">
        <v>16.06315789473684</v>
      </c>
      <c r="Y93" s="39" t="n">
        <v>16.95555555555556</v>
      </c>
      <c r="Z93" s="39" t="n">
        <v>17.95294117647059</v>
      </c>
      <c r="AA93" s="39" t="n">
        <v>19.075</v>
      </c>
      <c r="AB93" s="39" t="n">
        <v>20.34666666666667</v>
      </c>
      <c r="AC93" s="39" t="n">
        <v>21.8</v>
      </c>
      <c r="AD93" s="39" t="n">
        <v>23.47692307692308</v>
      </c>
      <c r="AE93" s="39" t="n">
        <v>25.43333333333333</v>
      </c>
      <c r="AF93" s="39" t="n">
        <v>27.74545454545454</v>
      </c>
      <c r="AG93" s="39" t="n">
        <v>30.52</v>
      </c>
      <c r="AH93" s="39" t="n">
        <v>33.91111111111111</v>
      </c>
      <c r="AI93" s="39" t="n">
        <v>38.15</v>
      </c>
      <c r="AJ93" s="39" t="n">
        <v>43.6</v>
      </c>
      <c r="AK93" s="39" t="n">
        <v>50.86666666666667</v>
      </c>
      <c r="AL93" s="39" t="n">
        <v>61.04</v>
      </c>
      <c r="AM93" s="39" t="n">
        <v>76.3</v>
      </c>
      <c r="AN93" s="39" t="n">
        <v>101.7333333333333</v>
      </c>
      <c r="AO93" s="39" t="n">
        <v>152.6</v>
      </c>
      <c r="AP93" s="39" t="n">
        <v>305.2</v>
      </c>
    </row>
    <row r="94">
      <c r="A94" s="6" t="inlineStr">
        <is>
          <t>P113</t>
        </is>
      </c>
      <c r="B94" s="6" t="inlineStr">
        <is>
          <t>RDM</t>
        </is>
      </c>
      <c r="C94" s="39" t="n">
        <v>6.23</v>
      </c>
      <c r="D94" s="39" t="n">
        <v>6.557894736842106</v>
      </c>
      <c r="E94" s="39" t="n">
        <v>6.922222222222222</v>
      </c>
      <c r="F94" s="39" t="n">
        <v>7.329411764705883</v>
      </c>
      <c r="G94" s="39" t="n">
        <v>7.787500000000001</v>
      </c>
      <c r="H94" s="39" t="n">
        <v>8.306666666666667</v>
      </c>
      <c r="I94" s="39" t="n">
        <v>8.9</v>
      </c>
      <c r="J94" s="39" t="n">
        <v>9.584615384615384</v>
      </c>
      <c r="K94" s="39" t="n">
        <v>10.38333333333333</v>
      </c>
      <c r="L94" s="39" t="n">
        <v>11.32727272727273</v>
      </c>
      <c r="M94" s="39" t="n">
        <v>12.46</v>
      </c>
      <c r="N94" s="39" t="n">
        <v>13.84444444444444</v>
      </c>
      <c r="O94" s="39" t="n">
        <v>15.575</v>
      </c>
      <c r="P94" s="39" t="n">
        <v>17.8</v>
      </c>
      <c r="Q94" s="39" t="n">
        <v>20.76666666666667</v>
      </c>
      <c r="R94" s="39" t="n">
        <v>24.92</v>
      </c>
      <c r="S94" s="39" t="n">
        <v>31.15</v>
      </c>
      <c r="T94" s="39" t="n">
        <v>41.53333333333334</v>
      </c>
      <c r="U94" s="39" t="n">
        <v>62.3</v>
      </c>
      <c r="V94" s="39" t="n">
        <v>124.6</v>
      </c>
      <c r="W94" s="39" t="n">
        <v>15.25</v>
      </c>
      <c r="X94" s="39" t="n">
        <v>16.05263157894737</v>
      </c>
      <c r="Y94" s="39" t="n">
        <v>16.94444444444444</v>
      </c>
      <c r="Z94" s="39" t="n">
        <v>17.94117647058824</v>
      </c>
      <c r="AA94" s="39" t="n">
        <v>19.0625</v>
      </c>
      <c r="AB94" s="39" t="n">
        <v>20.33333333333333</v>
      </c>
      <c r="AC94" s="39" t="n">
        <v>21.78571428571429</v>
      </c>
      <c r="AD94" s="39" t="n">
        <v>23.46153846153846</v>
      </c>
      <c r="AE94" s="39" t="n">
        <v>25.41666666666667</v>
      </c>
      <c r="AF94" s="39" t="n">
        <v>27.72727272727273</v>
      </c>
      <c r="AG94" s="39" t="n">
        <v>30.5</v>
      </c>
      <c r="AH94" s="39" t="n">
        <v>33.88888888888889</v>
      </c>
      <c r="AI94" s="39" t="n">
        <v>38.125</v>
      </c>
      <c r="AJ94" s="39" t="n">
        <v>43.57142857142858</v>
      </c>
      <c r="AK94" s="39" t="n">
        <v>50.83333333333334</v>
      </c>
      <c r="AL94" s="39" t="n">
        <v>61</v>
      </c>
      <c r="AM94" s="39" t="n">
        <v>76.25</v>
      </c>
      <c r="AN94" s="39" t="n">
        <v>101.6666666666667</v>
      </c>
      <c r="AO94" s="39" t="n">
        <v>152.5</v>
      </c>
      <c r="AP94" s="39" t="n">
        <v>305</v>
      </c>
    </row>
    <row r="95">
      <c r="A95" s="6" t="inlineStr">
        <is>
          <t>P114</t>
        </is>
      </c>
      <c r="B95" s="6" t="inlineStr">
        <is>
          <t>RDM</t>
        </is>
      </c>
      <c r="C95" s="39" t="n">
        <v>5.76</v>
      </c>
      <c r="D95" s="39" t="n">
        <v>6.063157894736842</v>
      </c>
      <c r="E95" s="39" t="n">
        <v>6.399999999999999</v>
      </c>
      <c r="F95" s="39" t="n">
        <v>6.776470588235294</v>
      </c>
      <c r="G95" s="39" t="n">
        <v>7.199999999999999</v>
      </c>
      <c r="H95" s="39" t="n">
        <v>7.68</v>
      </c>
      <c r="I95" s="39" t="n">
        <v>8.22857142857143</v>
      </c>
      <c r="J95" s="39" t="n">
        <v>8.86153846153846</v>
      </c>
      <c r="K95" s="39" t="n">
        <v>9.6</v>
      </c>
      <c r="L95" s="39" t="n">
        <v>10.47272727272727</v>
      </c>
      <c r="M95" s="39" t="n">
        <v>11.52</v>
      </c>
      <c r="N95" s="39" t="n">
        <v>12.8</v>
      </c>
      <c r="O95" s="39" t="n">
        <v>14.4</v>
      </c>
      <c r="P95" s="39" t="n">
        <v>16.45714285714286</v>
      </c>
      <c r="Q95" s="39" t="n">
        <v>19.2</v>
      </c>
      <c r="R95" s="39" t="n">
        <v>23.04</v>
      </c>
      <c r="S95" s="39" t="n">
        <v>28.8</v>
      </c>
      <c r="T95" s="39" t="n">
        <v>38.4</v>
      </c>
      <c r="U95" s="39" t="n">
        <v>57.59999999999999</v>
      </c>
      <c r="V95" s="39" t="n">
        <v>115.2</v>
      </c>
      <c r="W95" s="39" t="n">
        <v>13.26</v>
      </c>
      <c r="X95" s="39" t="n">
        <v>13.95789473684211</v>
      </c>
      <c r="Y95" s="39" t="n">
        <v>14.73333333333333</v>
      </c>
      <c r="Z95" s="39" t="n">
        <v>15.6</v>
      </c>
      <c r="AA95" s="39" t="n">
        <v>16.575</v>
      </c>
      <c r="AB95" s="39" t="n">
        <v>17.68</v>
      </c>
      <c r="AC95" s="39" t="n">
        <v>18.94285714285714</v>
      </c>
      <c r="AD95" s="39" t="n">
        <v>20.4</v>
      </c>
      <c r="AE95" s="39" t="n">
        <v>22.1</v>
      </c>
      <c r="AF95" s="39" t="n">
        <v>24.10909090909091</v>
      </c>
      <c r="AG95" s="39" t="n">
        <v>26.52</v>
      </c>
      <c r="AH95" s="39" t="n">
        <v>29.46666666666667</v>
      </c>
      <c r="AI95" s="39" t="n">
        <v>33.15</v>
      </c>
      <c r="AJ95" s="39" t="n">
        <v>37.88571428571429</v>
      </c>
      <c r="AK95" s="39" t="n">
        <v>44.2</v>
      </c>
      <c r="AL95" s="39" t="n">
        <v>53.04</v>
      </c>
      <c r="AM95" s="39" t="n">
        <v>66.3</v>
      </c>
      <c r="AN95" s="39" t="n">
        <v>88.40000000000001</v>
      </c>
      <c r="AO95" s="39" t="n">
        <v>132.6</v>
      </c>
      <c r="AP95" s="39" t="n">
        <v>265.2</v>
      </c>
    </row>
    <row r="96">
      <c r="A96" s="6" t="inlineStr">
        <is>
          <t>P115</t>
        </is>
      </c>
      <c r="B96" s="6" t="inlineStr">
        <is>
          <t>RDM</t>
        </is>
      </c>
      <c r="C96" s="39" t="n">
        <v>6.65</v>
      </c>
      <c r="D96" s="39" t="n">
        <v>7.000000000000001</v>
      </c>
      <c r="E96" s="39" t="n">
        <v>7.388888888888889</v>
      </c>
      <c r="F96" s="39" t="n">
        <v>7.823529411764707</v>
      </c>
      <c r="G96" s="39" t="n">
        <v>8.3125</v>
      </c>
      <c r="H96" s="39" t="n">
        <v>8.866666666666667</v>
      </c>
      <c r="I96" s="39" t="n">
        <v>9.500000000000002</v>
      </c>
      <c r="J96" s="39" t="n">
        <v>10.23076923076923</v>
      </c>
      <c r="K96" s="39" t="n">
        <v>11.08333333333333</v>
      </c>
      <c r="L96" s="39" t="n">
        <v>12.09090909090909</v>
      </c>
      <c r="M96" s="39" t="n">
        <v>13.3</v>
      </c>
      <c r="N96" s="39" t="n">
        <v>14.77777777777778</v>
      </c>
      <c r="O96" s="39" t="n">
        <v>16.625</v>
      </c>
      <c r="P96" s="39" t="n">
        <v>19</v>
      </c>
      <c r="Q96" s="39" t="n">
        <v>22.16666666666667</v>
      </c>
      <c r="R96" s="39" t="n">
        <v>26.6</v>
      </c>
      <c r="S96" s="39" t="n">
        <v>33.25</v>
      </c>
      <c r="T96" s="39" t="n">
        <v>44.33333333333334</v>
      </c>
      <c r="U96" s="39" t="n">
        <v>66.5</v>
      </c>
      <c r="V96" s="39" t="n">
        <v>133</v>
      </c>
      <c r="W96" s="39" t="n">
        <v>15.26</v>
      </c>
      <c r="X96" s="39" t="n">
        <v>16.06315789473684</v>
      </c>
      <c r="Y96" s="39" t="n">
        <v>16.95555555555556</v>
      </c>
      <c r="Z96" s="39" t="n">
        <v>17.95294117647059</v>
      </c>
      <c r="AA96" s="39" t="n">
        <v>19.075</v>
      </c>
      <c r="AB96" s="39" t="n">
        <v>20.34666666666667</v>
      </c>
      <c r="AC96" s="39" t="n">
        <v>21.8</v>
      </c>
      <c r="AD96" s="39" t="n">
        <v>23.47692307692308</v>
      </c>
      <c r="AE96" s="39" t="n">
        <v>25.43333333333333</v>
      </c>
      <c r="AF96" s="39" t="n">
        <v>27.74545454545454</v>
      </c>
      <c r="AG96" s="39" t="n">
        <v>30.52</v>
      </c>
      <c r="AH96" s="39" t="n">
        <v>33.91111111111111</v>
      </c>
      <c r="AI96" s="39" t="n">
        <v>38.15</v>
      </c>
      <c r="AJ96" s="39" t="n">
        <v>43.6</v>
      </c>
      <c r="AK96" s="39" t="n">
        <v>50.86666666666667</v>
      </c>
      <c r="AL96" s="39" t="n">
        <v>61.04</v>
      </c>
      <c r="AM96" s="39" t="n">
        <v>76.3</v>
      </c>
      <c r="AN96" s="39" t="n">
        <v>101.7333333333333</v>
      </c>
      <c r="AO96" s="39" t="n">
        <v>152.6</v>
      </c>
      <c r="AP96" s="39" t="n">
        <v>305.2</v>
      </c>
    </row>
    <row r="97">
      <c r="A97" s="6" t="inlineStr">
        <is>
          <t>P116</t>
        </is>
      </c>
      <c r="B97" s="6" t="inlineStr">
        <is>
          <t>RDM</t>
        </is>
      </c>
      <c r="C97" s="39" t="n">
        <v>6.93</v>
      </c>
      <c r="D97" s="39" t="n">
        <v>7.294736842105263</v>
      </c>
      <c r="E97" s="39" t="n">
        <v>7.699999999999999</v>
      </c>
      <c r="F97" s="39" t="n">
        <v>8.152941176470588</v>
      </c>
      <c r="G97" s="39" t="n">
        <v>8.6625</v>
      </c>
      <c r="H97" s="39" t="n">
        <v>9.24</v>
      </c>
      <c r="I97" s="39" t="n">
        <v>9.9</v>
      </c>
      <c r="J97" s="39" t="n">
        <v>10.66153846153846</v>
      </c>
      <c r="K97" s="39" t="n">
        <v>11.55</v>
      </c>
      <c r="L97" s="39" t="n">
        <v>12.6</v>
      </c>
      <c r="M97" s="39" t="n">
        <v>13.86</v>
      </c>
      <c r="N97" s="39" t="n">
        <v>15.4</v>
      </c>
      <c r="O97" s="39" t="n">
        <v>17.325</v>
      </c>
      <c r="P97" s="39" t="n">
        <v>19.8</v>
      </c>
      <c r="Q97" s="39" t="n">
        <v>23.1</v>
      </c>
      <c r="R97" s="39" t="n">
        <v>27.72</v>
      </c>
      <c r="S97" s="39" t="n">
        <v>34.65</v>
      </c>
      <c r="T97" s="39" t="n">
        <v>46.2</v>
      </c>
      <c r="U97" s="39" t="n">
        <v>69.3</v>
      </c>
      <c r="V97" s="39" t="n">
        <v>138.6</v>
      </c>
      <c r="W97" s="39" t="n">
        <v>15.26</v>
      </c>
      <c r="X97" s="39" t="n">
        <v>16.06315789473684</v>
      </c>
      <c r="Y97" s="39" t="n">
        <v>16.95555555555556</v>
      </c>
      <c r="Z97" s="39" t="n">
        <v>17.95294117647059</v>
      </c>
      <c r="AA97" s="39" t="n">
        <v>19.075</v>
      </c>
      <c r="AB97" s="39" t="n">
        <v>20.34666666666667</v>
      </c>
      <c r="AC97" s="39" t="n">
        <v>21.8</v>
      </c>
      <c r="AD97" s="39" t="n">
        <v>23.47692307692308</v>
      </c>
      <c r="AE97" s="39" t="n">
        <v>25.43333333333333</v>
      </c>
      <c r="AF97" s="39" t="n">
        <v>27.74545454545454</v>
      </c>
      <c r="AG97" s="39" t="n">
        <v>30.52</v>
      </c>
      <c r="AH97" s="39" t="n">
        <v>33.91111111111111</v>
      </c>
      <c r="AI97" s="39" t="n">
        <v>38.15</v>
      </c>
      <c r="AJ97" s="39" t="n">
        <v>43.6</v>
      </c>
      <c r="AK97" s="39" t="n">
        <v>50.86666666666667</v>
      </c>
      <c r="AL97" s="39" t="n">
        <v>61.04</v>
      </c>
      <c r="AM97" s="39" t="n">
        <v>76.3</v>
      </c>
      <c r="AN97" s="39" t="n">
        <v>101.7333333333333</v>
      </c>
      <c r="AO97" s="39" t="n">
        <v>152.6</v>
      </c>
      <c r="AP97" s="39" t="n">
        <v>305.2</v>
      </c>
    </row>
    <row r="98">
      <c r="A98" s="6" t="inlineStr">
        <is>
          <t>P117</t>
        </is>
      </c>
      <c r="B98" s="6" t="inlineStr">
        <is>
          <t>RDM</t>
        </is>
      </c>
      <c r="C98" s="39" t="n">
        <v>6.44</v>
      </c>
      <c r="D98" s="39" t="n">
        <v>6.778947368421053</v>
      </c>
      <c r="E98" s="39" t="n">
        <v>7.155555555555556</v>
      </c>
      <c r="F98" s="39" t="n">
        <v>7.576470588235295</v>
      </c>
      <c r="G98" s="39" t="n">
        <v>8.050000000000001</v>
      </c>
      <c r="H98" s="39" t="n">
        <v>8.586666666666668</v>
      </c>
      <c r="I98" s="39" t="n">
        <v>9.200000000000001</v>
      </c>
      <c r="J98" s="39" t="n">
        <v>9.907692307692308</v>
      </c>
      <c r="K98" s="39" t="n">
        <v>10.73333333333333</v>
      </c>
      <c r="L98" s="39" t="n">
        <v>11.70909090909091</v>
      </c>
      <c r="M98" s="39" t="n">
        <v>12.88</v>
      </c>
      <c r="N98" s="39" t="n">
        <v>14.31111111111111</v>
      </c>
      <c r="O98" s="39" t="n">
        <v>16.1</v>
      </c>
      <c r="P98" s="39" t="n">
        <v>18.4</v>
      </c>
      <c r="Q98" s="39" t="n">
        <v>21.46666666666667</v>
      </c>
      <c r="R98" s="39" t="n">
        <v>25.76</v>
      </c>
      <c r="S98" s="39" t="n">
        <v>32.2</v>
      </c>
      <c r="T98" s="39" t="n">
        <v>42.93333333333334</v>
      </c>
      <c r="U98" s="39" t="n">
        <v>64.40000000000001</v>
      </c>
      <c r="V98" s="39" t="n">
        <v>128.8</v>
      </c>
      <c r="W98" s="39" t="n">
        <v>15.26</v>
      </c>
      <c r="X98" s="39" t="n">
        <v>16.06315789473684</v>
      </c>
      <c r="Y98" s="39" t="n">
        <v>16.95555555555556</v>
      </c>
      <c r="Z98" s="39" t="n">
        <v>17.95294117647059</v>
      </c>
      <c r="AA98" s="39" t="n">
        <v>19.075</v>
      </c>
      <c r="AB98" s="39" t="n">
        <v>20.34666666666667</v>
      </c>
      <c r="AC98" s="39" t="n">
        <v>21.8</v>
      </c>
      <c r="AD98" s="39" t="n">
        <v>23.47692307692308</v>
      </c>
      <c r="AE98" s="39" t="n">
        <v>25.43333333333333</v>
      </c>
      <c r="AF98" s="39" t="n">
        <v>27.74545454545454</v>
      </c>
      <c r="AG98" s="39" t="n">
        <v>30.52</v>
      </c>
      <c r="AH98" s="39" t="n">
        <v>33.91111111111111</v>
      </c>
      <c r="AI98" s="39" t="n">
        <v>38.15</v>
      </c>
      <c r="AJ98" s="39" t="n">
        <v>43.6</v>
      </c>
      <c r="AK98" s="39" t="n">
        <v>50.86666666666667</v>
      </c>
      <c r="AL98" s="39" t="n">
        <v>61.04</v>
      </c>
      <c r="AM98" s="39" t="n">
        <v>76.3</v>
      </c>
      <c r="AN98" s="39" t="n">
        <v>101.7333333333333</v>
      </c>
      <c r="AO98" s="39" t="n">
        <v>152.6</v>
      </c>
      <c r="AP98" s="39" t="n">
        <v>305.2</v>
      </c>
    </row>
    <row r="99">
      <c r="A99" s="6" t="inlineStr">
        <is>
          <t>P118</t>
        </is>
      </c>
      <c r="B99" s="6" t="inlineStr">
        <is>
          <t>RDM</t>
        </is>
      </c>
      <c r="C99" s="39" t="n">
        <v>6.93</v>
      </c>
      <c r="D99" s="39" t="n">
        <v>7.294736842105263</v>
      </c>
      <c r="E99" s="39" t="n">
        <v>7.699999999999999</v>
      </c>
      <c r="F99" s="39" t="n">
        <v>8.152941176470588</v>
      </c>
      <c r="G99" s="39" t="n">
        <v>8.6625</v>
      </c>
      <c r="H99" s="39" t="n">
        <v>9.24</v>
      </c>
      <c r="I99" s="39" t="n">
        <v>9.9</v>
      </c>
      <c r="J99" s="39" t="n">
        <v>10.66153846153846</v>
      </c>
      <c r="K99" s="39" t="n">
        <v>11.55</v>
      </c>
      <c r="L99" s="39" t="n">
        <v>12.6</v>
      </c>
      <c r="M99" s="39" t="n">
        <v>13.86</v>
      </c>
      <c r="N99" s="39" t="n">
        <v>15.4</v>
      </c>
      <c r="O99" s="39" t="n">
        <v>17.325</v>
      </c>
      <c r="P99" s="39" t="n">
        <v>19.8</v>
      </c>
      <c r="Q99" s="39" t="n">
        <v>23.1</v>
      </c>
      <c r="R99" s="39" t="n">
        <v>27.72</v>
      </c>
      <c r="S99" s="39" t="n">
        <v>34.65</v>
      </c>
      <c r="T99" s="39" t="n">
        <v>46.2</v>
      </c>
      <c r="U99" s="39" t="n">
        <v>69.3</v>
      </c>
      <c r="V99" s="39" t="n">
        <v>138.6</v>
      </c>
      <c r="W99" s="39" t="n">
        <v>15.25</v>
      </c>
      <c r="X99" s="39" t="n">
        <v>16.05263157894737</v>
      </c>
      <c r="Y99" s="39" t="n">
        <v>16.94444444444444</v>
      </c>
      <c r="Z99" s="39" t="n">
        <v>17.94117647058824</v>
      </c>
      <c r="AA99" s="39" t="n">
        <v>19.0625</v>
      </c>
      <c r="AB99" s="39" t="n">
        <v>20.33333333333333</v>
      </c>
      <c r="AC99" s="39" t="n">
        <v>21.78571428571429</v>
      </c>
      <c r="AD99" s="39" t="n">
        <v>23.46153846153846</v>
      </c>
      <c r="AE99" s="39" t="n">
        <v>25.41666666666667</v>
      </c>
      <c r="AF99" s="39" t="n">
        <v>27.72727272727273</v>
      </c>
      <c r="AG99" s="39" t="n">
        <v>30.5</v>
      </c>
      <c r="AH99" s="39" t="n">
        <v>33.88888888888889</v>
      </c>
      <c r="AI99" s="39" t="n">
        <v>38.125</v>
      </c>
      <c r="AJ99" s="39" t="n">
        <v>43.57142857142858</v>
      </c>
      <c r="AK99" s="39" t="n">
        <v>50.83333333333334</v>
      </c>
      <c r="AL99" s="39" t="n">
        <v>61</v>
      </c>
      <c r="AM99" s="39" t="n">
        <v>76.25</v>
      </c>
      <c r="AN99" s="39" t="n">
        <v>101.6666666666667</v>
      </c>
      <c r="AO99" s="39" t="n">
        <v>152.5</v>
      </c>
      <c r="AP99" s="39" t="n">
        <v>305</v>
      </c>
    </row>
    <row r="100">
      <c r="A100" s="6" t="inlineStr">
        <is>
          <t>P119</t>
        </is>
      </c>
      <c r="B100" s="6" t="inlineStr">
        <is>
          <t>RDM</t>
        </is>
      </c>
      <c r="C100" s="39" t="n">
        <v>6.79</v>
      </c>
      <c r="D100" s="39" t="n">
        <v>7.147368421052632</v>
      </c>
      <c r="E100" s="39" t="n">
        <v>7.544444444444444</v>
      </c>
      <c r="F100" s="39" t="n">
        <v>7.988235294117647</v>
      </c>
      <c r="G100" s="39" t="n">
        <v>8.487499999999999</v>
      </c>
      <c r="H100" s="39" t="n">
        <v>9.053333333333333</v>
      </c>
      <c r="I100" s="39" t="n">
        <v>9.700000000000001</v>
      </c>
      <c r="J100" s="39" t="n">
        <v>10.44615384615385</v>
      </c>
      <c r="K100" s="39" t="n">
        <v>11.31666666666667</v>
      </c>
      <c r="L100" s="39" t="n">
        <v>12.34545454545454</v>
      </c>
      <c r="M100" s="39" t="n">
        <v>13.58</v>
      </c>
      <c r="N100" s="39" t="n">
        <v>15.08888888888889</v>
      </c>
      <c r="O100" s="39" t="n">
        <v>16.975</v>
      </c>
      <c r="P100" s="39" t="n">
        <v>19.4</v>
      </c>
      <c r="Q100" s="39" t="n">
        <v>22.63333333333333</v>
      </c>
      <c r="R100" s="39" t="n">
        <v>27.16</v>
      </c>
      <c r="S100" s="39" t="n">
        <v>33.95</v>
      </c>
      <c r="T100" s="39" t="n">
        <v>45.26666666666667</v>
      </c>
      <c r="U100" s="39" t="n">
        <v>67.89999999999999</v>
      </c>
      <c r="V100" s="39" t="n">
        <v>135.8</v>
      </c>
      <c r="W100" s="39" t="n">
        <v>15.26</v>
      </c>
      <c r="X100" s="39" t="n">
        <v>16.06315789473684</v>
      </c>
      <c r="Y100" s="39" t="n">
        <v>16.95555555555556</v>
      </c>
      <c r="Z100" s="39" t="n">
        <v>17.95294117647059</v>
      </c>
      <c r="AA100" s="39" t="n">
        <v>19.075</v>
      </c>
      <c r="AB100" s="39" t="n">
        <v>20.34666666666667</v>
      </c>
      <c r="AC100" s="39" t="n">
        <v>21.8</v>
      </c>
      <c r="AD100" s="39" t="n">
        <v>23.47692307692308</v>
      </c>
      <c r="AE100" s="39" t="n">
        <v>25.43333333333333</v>
      </c>
      <c r="AF100" s="39" t="n">
        <v>27.74545454545454</v>
      </c>
      <c r="AG100" s="39" t="n">
        <v>30.52</v>
      </c>
      <c r="AH100" s="39" t="n">
        <v>33.91111111111111</v>
      </c>
      <c r="AI100" s="39" t="n">
        <v>38.15</v>
      </c>
      <c r="AJ100" s="39" t="n">
        <v>43.6</v>
      </c>
      <c r="AK100" s="39" t="n">
        <v>50.86666666666667</v>
      </c>
      <c r="AL100" s="39" t="n">
        <v>61.04</v>
      </c>
      <c r="AM100" s="39" t="n">
        <v>76.3</v>
      </c>
      <c r="AN100" s="39" t="n">
        <v>101.7333333333333</v>
      </c>
      <c r="AO100" s="39" t="n">
        <v>152.6</v>
      </c>
      <c r="AP100" s="39" t="n">
        <v>305.2</v>
      </c>
    </row>
    <row r="101">
      <c r="A101" s="6" t="inlineStr">
        <is>
          <t>P120</t>
        </is>
      </c>
      <c r="B101" s="6" t="inlineStr">
        <is>
          <t>RDM</t>
        </is>
      </c>
      <c r="C101" s="39" t="n">
        <v>6.79</v>
      </c>
      <c r="D101" s="39" t="n">
        <v>7.147368421052632</v>
      </c>
      <c r="E101" s="39" t="n">
        <v>7.544444444444444</v>
      </c>
      <c r="F101" s="39" t="n">
        <v>7.988235294117647</v>
      </c>
      <c r="G101" s="39" t="n">
        <v>8.487499999999999</v>
      </c>
      <c r="H101" s="39" t="n">
        <v>9.053333333333333</v>
      </c>
      <c r="I101" s="39" t="n">
        <v>9.700000000000001</v>
      </c>
      <c r="J101" s="39" t="n">
        <v>10.44615384615385</v>
      </c>
      <c r="K101" s="39" t="n">
        <v>11.31666666666667</v>
      </c>
      <c r="L101" s="39" t="n">
        <v>12.34545454545454</v>
      </c>
      <c r="M101" s="39" t="n">
        <v>13.58</v>
      </c>
      <c r="N101" s="39" t="n">
        <v>15.08888888888889</v>
      </c>
      <c r="O101" s="39" t="n">
        <v>16.975</v>
      </c>
      <c r="P101" s="39" t="n">
        <v>19.4</v>
      </c>
      <c r="Q101" s="39" t="n">
        <v>22.63333333333333</v>
      </c>
      <c r="R101" s="39" t="n">
        <v>27.16</v>
      </c>
      <c r="S101" s="39" t="n">
        <v>33.95</v>
      </c>
      <c r="T101" s="39" t="n">
        <v>45.26666666666667</v>
      </c>
      <c r="U101" s="39" t="n">
        <v>67.89999999999999</v>
      </c>
      <c r="V101" s="39" t="n">
        <v>135.8</v>
      </c>
      <c r="W101" s="39" t="n">
        <v>15.26</v>
      </c>
      <c r="X101" s="39" t="n">
        <v>16.06315789473684</v>
      </c>
      <c r="Y101" s="39" t="n">
        <v>16.95555555555556</v>
      </c>
      <c r="Z101" s="39" t="n">
        <v>17.95294117647059</v>
      </c>
      <c r="AA101" s="39" t="n">
        <v>19.075</v>
      </c>
      <c r="AB101" s="39" t="n">
        <v>20.34666666666667</v>
      </c>
      <c r="AC101" s="39" t="n">
        <v>21.8</v>
      </c>
      <c r="AD101" s="39" t="n">
        <v>23.47692307692308</v>
      </c>
      <c r="AE101" s="39" t="n">
        <v>25.43333333333333</v>
      </c>
      <c r="AF101" s="39" t="n">
        <v>27.74545454545454</v>
      </c>
      <c r="AG101" s="39" t="n">
        <v>30.52</v>
      </c>
      <c r="AH101" s="39" t="n">
        <v>33.91111111111111</v>
      </c>
      <c r="AI101" s="39" t="n">
        <v>38.15</v>
      </c>
      <c r="AJ101" s="39" t="n">
        <v>43.6</v>
      </c>
      <c r="AK101" s="39" t="n">
        <v>50.86666666666667</v>
      </c>
      <c r="AL101" s="39" t="n">
        <v>61.04</v>
      </c>
      <c r="AM101" s="39" t="n">
        <v>76.3</v>
      </c>
      <c r="AN101" s="39" t="n">
        <v>101.7333333333333</v>
      </c>
      <c r="AO101" s="39" t="n">
        <v>152.6</v>
      </c>
      <c r="AP101" s="39" t="n">
        <v>305.2</v>
      </c>
    </row>
    <row r="102">
      <c r="A102" s="6" t="inlineStr">
        <is>
          <t>P121</t>
        </is>
      </c>
      <c r="B102" s="6" t="inlineStr">
        <is>
          <t>RDM</t>
        </is>
      </c>
      <c r="C102" s="39" t="n">
        <v>6.65</v>
      </c>
      <c r="D102" s="39" t="n">
        <v>7.000000000000001</v>
      </c>
      <c r="E102" s="39" t="n">
        <v>7.388888888888889</v>
      </c>
      <c r="F102" s="39" t="n">
        <v>7.823529411764707</v>
      </c>
      <c r="G102" s="39" t="n">
        <v>8.3125</v>
      </c>
      <c r="H102" s="39" t="n">
        <v>8.866666666666667</v>
      </c>
      <c r="I102" s="39" t="n">
        <v>9.500000000000002</v>
      </c>
      <c r="J102" s="39" t="n">
        <v>10.23076923076923</v>
      </c>
      <c r="K102" s="39" t="n">
        <v>11.08333333333333</v>
      </c>
      <c r="L102" s="39" t="n">
        <v>12.09090909090909</v>
      </c>
      <c r="M102" s="39" t="n">
        <v>13.3</v>
      </c>
      <c r="N102" s="39" t="n">
        <v>14.77777777777778</v>
      </c>
      <c r="O102" s="39" t="n">
        <v>16.625</v>
      </c>
      <c r="P102" s="39" t="n">
        <v>19</v>
      </c>
      <c r="Q102" s="39" t="n">
        <v>22.16666666666667</v>
      </c>
      <c r="R102" s="39" t="n">
        <v>26.6</v>
      </c>
      <c r="S102" s="39" t="n">
        <v>33.25</v>
      </c>
      <c r="T102" s="39" t="n">
        <v>44.33333333333334</v>
      </c>
      <c r="U102" s="39" t="n">
        <v>66.5</v>
      </c>
      <c r="V102" s="39" t="n">
        <v>133</v>
      </c>
      <c r="W102" s="39" t="n">
        <v>15.26</v>
      </c>
      <c r="X102" s="39" t="n">
        <v>16.06315789473684</v>
      </c>
      <c r="Y102" s="39" t="n">
        <v>16.95555555555556</v>
      </c>
      <c r="Z102" s="39" t="n">
        <v>17.95294117647059</v>
      </c>
      <c r="AA102" s="39" t="n">
        <v>19.075</v>
      </c>
      <c r="AB102" s="39" t="n">
        <v>20.34666666666667</v>
      </c>
      <c r="AC102" s="39" t="n">
        <v>21.8</v>
      </c>
      <c r="AD102" s="39" t="n">
        <v>23.47692307692308</v>
      </c>
      <c r="AE102" s="39" t="n">
        <v>25.43333333333333</v>
      </c>
      <c r="AF102" s="39" t="n">
        <v>27.74545454545454</v>
      </c>
      <c r="AG102" s="39" t="n">
        <v>30.52</v>
      </c>
      <c r="AH102" s="39" t="n">
        <v>33.91111111111111</v>
      </c>
      <c r="AI102" s="39" t="n">
        <v>38.15</v>
      </c>
      <c r="AJ102" s="39" t="n">
        <v>43.6</v>
      </c>
      <c r="AK102" s="39" t="n">
        <v>50.86666666666667</v>
      </c>
      <c r="AL102" s="39" t="n">
        <v>61.04</v>
      </c>
      <c r="AM102" s="39" t="n">
        <v>76.3</v>
      </c>
      <c r="AN102" s="39" t="n">
        <v>101.7333333333333</v>
      </c>
      <c r="AO102" s="39" t="n">
        <v>152.6</v>
      </c>
      <c r="AP102" s="39" t="n">
        <v>305.2</v>
      </c>
    </row>
    <row r="103">
      <c r="A103" s="6" t="inlineStr">
        <is>
          <t>P122</t>
        </is>
      </c>
      <c r="B103" s="6" t="inlineStr">
        <is>
          <t>RDM</t>
        </is>
      </c>
      <c r="C103" s="39" t="n">
        <v>6.37</v>
      </c>
      <c r="D103" s="39" t="n">
        <v>6.705263157894738</v>
      </c>
      <c r="E103" s="39" t="n">
        <v>7.077777777777778</v>
      </c>
      <c r="F103" s="39" t="n">
        <v>7.494117647058824</v>
      </c>
      <c r="G103" s="39" t="n">
        <v>7.962499999999999</v>
      </c>
      <c r="H103" s="39" t="n">
        <v>8.493333333333334</v>
      </c>
      <c r="I103" s="39" t="n">
        <v>9.100000000000001</v>
      </c>
      <c r="J103" s="39" t="n">
        <v>9.800000000000001</v>
      </c>
      <c r="K103" s="39" t="n">
        <v>10.61666666666667</v>
      </c>
      <c r="L103" s="39" t="n">
        <v>11.58181818181818</v>
      </c>
      <c r="M103" s="39" t="n">
        <v>12.74</v>
      </c>
      <c r="N103" s="39" t="n">
        <v>14.15555555555556</v>
      </c>
      <c r="O103" s="39" t="n">
        <v>15.925</v>
      </c>
      <c r="P103" s="39" t="n">
        <v>18.2</v>
      </c>
      <c r="Q103" s="39" t="n">
        <v>21.23333333333333</v>
      </c>
      <c r="R103" s="39" t="n">
        <v>25.48</v>
      </c>
      <c r="S103" s="39" t="n">
        <v>31.85</v>
      </c>
      <c r="T103" s="39" t="n">
        <v>42.46666666666667</v>
      </c>
      <c r="U103" s="39" t="n">
        <v>63.7</v>
      </c>
      <c r="V103" s="39" t="n">
        <v>127.4</v>
      </c>
      <c r="W103" s="39" t="n">
        <v>15.25</v>
      </c>
      <c r="X103" s="39" t="n">
        <v>16.05263157894737</v>
      </c>
      <c r="Y103" s="39" t="n">
        <v>16.94444444444444</v>
      </c>
      <c r="Z103" s="39" t="n">
        <v>17.94117647058824</v>
      </c>
      <c r="AA103" s="39" t="n">
        <v>19.0625</v>
      </c>
      <c r="AB103" s="39" t="n">
        <v>20.33333333333333</v>
      </c>
      <c r="AC103" s="39" t="n">
        <v>21.78571428571429</v>
      </c>
      <c r="AD103" s="39" t="n">
        <v>23.46153846153846</v>
      </c>
      <c r="AE103" s="39" t="n">
        <v>25.41666666666667</v>
      </c>
      <c r="AF103" s="39" t="n">
        <v>27.72727272727273</v>
      </c>
      <c r="AG103" s="39" t="n">
        <v>30.5</v>
      </c>
      <c r="AH103" s="39" t="n">
        <v>33.88888888888889</v>
      </c>
      <c r="AI103" s="39" t="n">
        <v>38.125</v>
      </c>
      <c r="AJ103" s="39" t="n">
        <v>43.57142857142858</v>
      </c>
      <c r="AK103" s="39" t="n">
        <v>50.83333333333334</v>
      </c>
      <c r="AL103" s="39" t="n">
        <v>61</v>
      </c>
      <c r="AM103" s="39" t="n">
        <v>76.25</v>
      </c>
      <c r="AN103" s="39" t="n">
        <v>101.6666666666667</v>
      </c>
      <c r="AO103" s="39" t="n">
        <v>152.5</v>
      </c>
      <c r="AP103" s="39" t="n">
        <v>305</v>
      </c>
    </row>
    <row r="104">
      <c r="A104" s="6" t="inlineStr">
        <is>
          <t>P123</t>
        </is>
      </c>
      <c r="B104" s="6" t="inlineStr">
        <is>
          <t>RDM</t>
        </is>
      </c>
      <c r="C104" s="39" t="n">
        <v>6.65</v>
      </c>
      <c r="D104" s="39" t="n">
        <v>7.000000000000001</v>
      </c>
      <c r="E104" s="39" t="n">
        <v>7.388888888888889</v>
      </c>
      <c r="F104" s="39" t="n">
        <v>7.823529411764707</v>
      </c>
      <c r="G104" s="39" t="n">
        <v>8.3125</v>
      </c>
      <c r="H104" s="39" t="n">
        <v>8.866666666666667</v>
      </c>
      <c r="I104" s="39" t="n">
        <v>9.500000000000002</v>
      </c>
      <c r="J104" s="39" t="n">
        <v>10.23076923076923</v>
      </c>
      <c r="K104" s="39" t="n">
        <v>11.08333333333333</v>
      </c>
      <c r="L104" s="39" t="n">
        <v>12.09090909090909</v>
      </c>
      <c r="M104" s="39" t="n">
        <v>13.3</v>
      </c>
      <c r="N104" s="39" t="n">
        <v>14.77777777777778</v>
      </c>
      <c r="O104" s="39" t="n">
        <v>16.625</v>
      </c>
      <c r="P104" s="39" t="n">
        <v>19</v>
      </c>
      <c r="Q104" s="39" t="n">
        <v>22.16666666666667</v>
      </c>
      <c r="R104" s="39" t="n">
        <v>26.6</v>
      </c>
      <c r="S104" s="39" t="n">
        <v>33.25</v>
      </c>
      <c r="T104" s="39" t="n">
        <v>44.33333333333334</v>
      </c>
      <c r="U104" s="39" t="n">
        <v>66.5</v>
      </c>
      <c r="V104" s="39" t="n">
        <v>133</v>
      </c>
      <c r="W104" s="39" t="n">
        <v>15.26</v>
      </c>
      <c r="X104" s="39" t="n">
        <v>16.06315789473684</v>
      </c>
      <c r="Y104" s="39" t="n">
        <v>16.95555555555556</v>
      </c>
      <c r="Z104" s="39" t="n">
        <v>17.95294117647059</v>
      </c>
      <c r="AA104" s="39" t="n">
        <v>19.075</v>
      </c>
      <c r="AB104" s="39" t="n">
        <v>20.34666666666667</v>
      </c>
      <c r="AC104" s="39" t="n">
        <v>21.8</v>
      </c>
      <c r="AD104" s="39" t="n">
        <v>23.47692307692308</v>
      </c>
      <c r="AE104" s="39" t="n">
        <v>25.43333333333333</v>
      </c>
      <c r="AF104" s="39" t="n">
        <v>27.74545454545454</v>
      </c>
      <c r="AG104" s="39" t="n">
        <v>30.52</v>
      </c>
      <c r="AH104" s="39" t="n">
        <v>33.91111111111111</v>
      </c>
      <c r="AI104" s="39" t="n">
        <v>38.15</v>
      </c>
      <c r="AJ104" s="39" t="n">
        <v>43.6</v>
      </c>
      <c r="AK104" s="39" t="n">
        <v>50.86666666666667</v>
      </c>
      <c r="AL104" s="39" t="n">
        <v>61.04</v>
      </c>
      <c r="AM104" s="39" t="n">
        <v>76.3</v>
      </c>
      <c r="AN104" s="39" t="n">
        <v>101.7333333333333</v>
      </c>
      <c r="AO104" s="39" t="n">
        <v>152.6</v>
      </c>
      <c r="AP104" s="39" t="n">
        <v>305.2</v>
      </c>
    </row>
    <row r="105">
      <c r="A105" s="6" t="inlineStr">
        <is>
          <t>P124</t>
        </is>
      </c>
      <c r="B105" s="6" t="inlineStr">
        <is>
          <t>RDM</t>
        </is>
      </c>
      <c r="C105" s="39" t="n">
        <v>6.3</v>
      </c>
      <c r="D105" s="39" t="n">
        <v>6.631578947368421</v>
      </c>
      <c r="E105" s="39" t="n">
        <v>7</v>
      </c>
      <c r="F105" s="39" t="n">
        <v>7.411764705882353</v>
      </c>
      <c r="G105" s="39" t="n">
        <v>7.874999999999999</v>
      </c>
      <c r="H105" s="39" t="n">
        <v>8.4</v>
      </c>
      <c r="I105" s="39" t="n">
        <v>9</v>
      </c>
      <c r="J105" s="39" t="n">
        <v>9.692307692307692</v>
      </c>
      <c r="K105" s="39" t="n">
        <v>10.5</v>
      </c>
      <c r="L105" s="39" t="n">
        <v>11.45454545454545</v>
      </c>
      <c r="M105" s="39" t="n">
        <v>12.6</v>
      </c>
      <c r="N105" s="39" t="n">
        <v>14</v>
      </c>
      <c r="O105" s="39" t="n">
        <v>15.75</v>
      </c>
      <c r="P105" s="39" t="n">
        <v>18</v>
      </c>
      <c r="Q105" s="39" t="n">
        <v>21</v>
      </c>
      <c r="R105" s="39" t="n">
        <v>25.2</v>
      </c>
      <c r="S105" s="39" t="n">
        <v>31.5</v>
      </c>
      <c r="T105" s="39" t="n">
        <v>42</v>
      </c>
      <c r="U105" s="39" t="n">
        <v>62.99999999999999</v>
      </c>
      <c r="V105" s="39" t="n">
        <v>126</v>
      </c>
      <c r="W105" s="39" t="n">
        <v>15.25</v>
      </c>
      <c r="X105" s="39" t="n">
        <v>16.05263157894737</v>
      </c>
      <c r="Y105" s="39" t="n">
        <v>16.94444444444444</v>
      </c>
      <c r="Z105" s="39" t="n">
        <v>17.94117647058824</v>
      </c>
      <c r="AA105" s="39" t="n">
        <v>19.0625</v>
      </c>
      <c r="AB105" s="39" t="n">
        <v>20.33333333333333</v>
      </c>
      <c r="AC105" s="39" t="n">
        <v>21.78571428571429</v>
      </c>
      <c r="AD105" s="39" t="n">
        <v>23.46153846153846</v>
      </c>
      <c r="AE105" s="39" t="n">
        <v>25.41666666666667</v>
      </c>
      <c r="AF105" s="39" t="n">
        <v>27.72727272727273</v>
      </c>
      <c r="AG105" s="39" t="n">
        <v>30.5</v>
      </c>
      <c r="AH105" s="39" t="n">
        <v>33.88888888888889</v>
      </c>
      <c r="AI105" s="39" t="n">
        <v>38.125</v>
      </c>
      <c r="AJ105" s="39" t="n">
        <v>43.57142857142858</v>
      </c>
      <c r="AK105" s="39" t="n">
        <v>50.83333333333334</v>
      </c>
      <c r="AL105" s="39" t="n">
        <v>61</v>
      </c>
      <c r="AM105" s="39" t="n">
        <v>76.25</v>
      </c>
      <c r="AN105" s="39" t="n">
        <v>101.6666666666667</v>
      </c>
      <c r="AO105" s="39" t="n">
        <v>152.5</v>
      </c>
      <c r="AP105" s="39" t="n">
        <v>305</v>
      </c>
    </row>
    <row r="106">
      <c r="A106" s="6" t="inlineStr">
        <is>
          <t>P125</t>
        </is>
      </c>
      <c r="B106" s="6" t="inlineStr">
        <is>
          <t>RDM</t>
        </is>
      </c>
      <c r="C106" s="39" t="n">
        <v>5.39</v>
      </c>
      <c r="D106" s="39" t="n">
        <v>5.673684210526316</v>
      </c>
      <c r="E106" s="39" t="n">
        <v>5.988888888888888</v>
      </c>
      <c r="F106" s="39" t="n">
        <v>6.341176470588235</v>
      </c>
      <c r="G106" s="39" t="n">
        <v>6.737499999999999</v>
      </c>
      <c r="H106" s="39" t="n">
        <v>7.186666666666667</v>
      </c>
      <c r="I106" s="39" t="n">
        <v>7.7</v>
      </c>
      <c r="J106" s="39" t="n">
        <v>8.292307692307691</v>
      </c>
      <c r="K106" s="39" t="n">
        <v>8.983333333333333</v>
      </c>
      <c r="L106" s="39" t="n">
        <v>9.799999999999999</v>
      </c>
      <c r="M106" s="39" t="n">
        <v>10.78</v>
      </c>
      <c r="N106" s="39" t="n">
        <v>11.97777777777778</v>
      </c>
      <c r="O106" s="39" t="n">
        <v>13.475</v>
      </c>
      <c r="P106" s="39" t="n">
        <v>15.4</v>
      </c>
      <c r="Q106" s="39" t="n">
        <v>17.96666666666667</v>
      </c>
      <c r="R106" s="39" t="n">
        <v>21.56</v>
      </c>
      <c r="S106" s="39" t="n">
        <v>26.95</v>
      </c>
      <c r="T106" s="39" t="n">
        <v>35.93333333333333</v>
      </c>
      <c r="U106" s="39" t="n">
        <v>53.89999999999999</v>
      </c>
      <c r="V106" s="39" t="n">
        <v>107.8</v>
      </c>
      <c r="W106" s="39" t="n">
        <v>12.33</v>
      </c>
      <c r="X106" s="39" t="n">
        <v>12.97894736842105</v>
      </c>
      <c r="Y106" s="39" t="n">
        <v>13.7</v>
      </c>
      <c r="Z106" s="39" t="n">
        <v>14.50588235294118</v>
      </c>
      <c r="AA106" s="39" t="n">
        <v>15.4125</v>
      </c>
      <c r="AB106" s="39" t="n">
        <v>16.44</v>
      </c>
      <c r="AC106" s="39" t="n">
        <v>17.61428571428571</v>
      </c>
      <c r="AD106" s="39" t="n">
        <v>18.96923076923077</v>
      </c>
      <c r="AE106" s="39" t="n">
        <v>20.55</v>
      </c>
      <c r="AF106" s="39" t="n">
        <v>22.41818181818182</v>
      </c>
      <c r="AG106" s="39" t="n">
        <v>24.66</v>
      </c>
      <c r="AH106" s="39" t="n">
        <v>27.4</v>
      </c>
      <c r="AI106" s="39" t="n">
        <v>30.825</v>
      </c>
      <c r="AJ106" s="39" t="n">
        <v>35.22857142857143</v>
      </c>
      <c r="AK106" s="39" t="n">
        <v>41.1</v>
      </c>
      <c r="AL106" s="39" t="n">
        <v>49.32</v>
      </c>
      <c r="AM106" s="39" t="n">
        <v>61.65</v>
      </c>
      <c r="AN106" s="39" t="n">
        <v>82.2</v>
      </c>
      <c r="AO106" s="39" t="n">
        <v>123.3</v>
      </c>
      <c r="AP106" s="39" t="n">
        <v>246.6</v>
      </c>
    </row>
    <row r="107">
      <c r="A107" s="6" t="inlineStr">
        <is>
          <t>P126</t>
        </is>
      </c>
      <c r="B107" s="6" t="inlineStr">
        <is>
          <t>RDM</t>
        </is>
      </c>
      <c r="C107" s="39" t="n">
        <v>6.11</v>
      </c>
      <c r="D107" s="39" t="n">
        <v>6.431578947368422</v>
      </c>
      <c r="E107" s="39" t="n">
        <v>6.788888888888889</v>
      </c>
      <c r="F107" s="39" t="n">
        <v>7.188235294117647</v>
      </c>
      <c r="G107" s="39" t="n">
        <v>7.6375</v>
      </c>
      <c r="H107" s="39" t="n">
        <v>8.146666666666667</v>
      </c>
      <c r="I107" s="39" t="n">
        <v>8.72857142857143</v>
      </c>
      <c r="J107" s="39" t="n">
        <v>9.4</v>
      </c>
      <c r="K107" s="39" t="n">
        <v>10.18333333333333</v>
      </c>
      <c r="L107" s="39" t="n">
        <v>11.10909090909091</v>
      </c>
      <c r="M107" s="39" t="n">
        <v>12.22</v>
      </c>
      <c r="N107" s="39" t="n">
        <v>13.57777777777778</v>
      </c>
      <c r="O107" s="39" t="n">
        <v>15.275</v>
      </c>
      <c r="P107" s="39" t="n">
        <v>17.45714285714286</v>
      </c>
      <c r="Q107" s="39" t="n">
        <v>20.36666666666667</v>
      </c>
      <c r="R107" s="39" t="n">
        <v>24.44</v>
      </c>
      <c r="S107" s="39" t="n">
        <v>30.55</v>
      </c>
      <c r="T107" s="39" t="n">
        <v>40.73333333333333</v>
      </c>
      <c r="U107" s="39" t="n">
        <v>61.1</v>
      </c>
      <c r="V107" s="39" t="n">
        <v>122.2</v>
      </c>
      <c r="W107" s="39" t="n">
        <v>14.64</v>
      </c>
      <c r="X107" s="39" t="n">
        <v>15.41052631578948</v>
      </c>
      <c r="Y107" s="39" t="n">
        <v>16.26666666666667</v>
      </c>
      <c r="Z107" s="39" t="n">
        <v>17.22352941176471</v>
      </c>
      <c r="AA107" s="39" t="n">
        <v>18.3</v>
      </c>
      <c r="AB107" s="39" t="n">
        <v>19.52</v>
      </c>
      <c r="AC107" s="39" t="n">
        <v>20.91428571428572</v>
      </c>
      <c r="AD107" s="39" t="n">
        <v>22.52307692307692</v>
      </c>
      <c r="AE107" s="39" t="n">
        <v>24.4</v>
      </c>
      <c r="AF107" s="39" t="n">
        <v>26.61818181818182</v>
      </c>
      <c r="AG107" s="39" t="n">
        <v>29.28</v>
      </c>
      <c r="AH107" s="39" t="n">
        <v>32.53333333333333</v>
      </c>
      <c r="AI107" s="39" t="n">
        <v>36.6</v>
      </c>
      <c r="AJ107" s="39" t="n">
        <v>41.82857142857144</v>
      </c>
      <c r="AK107" s="39" t="n">
        <v>48.8</v>
      </c>
      <c r="AL107" s="39" t="n">
        <v>58.56</v>
      </c>
      <c r="AM107" s="39" t="n">
        <v>73.2</v>
      </c>
      <c r="AN107" s="39" t="n">
        <v>97.60000000000001</v>
      </c>
      <c r="AO107" s="39" t="n">
        <v>146.4</v>
      </c>
      <c r="AP107" s="39" t="n">
        <v>292.8</v>
      </c>
    </row>
    <row r="108">
      <c r="A108" s="6" t="inlineStr">
        <is>
          <t>P127</t>
        </is>
      </c>
      <c r="B108" s="6" t="inlineStr">
        <is>
          <t>RDM</t>
        </is>
      </c>
      <c r="C108" s="39" t="n">
        <v>5.3</v>
      </c>
      <c r="D108" s="39" t="n">
        <v>5.578947368421053</v>
      </c>
      <c r="E108" s="39" t="n">
        <v>5.888888888888888</v>
      </c>
      <c r="F108" s="39" t="n">
        <v>6.235294117647059</v>
      </c>
      <c r="G108" s="39" t="n">
        <v>6.624999999999999</v>
      </c>
      <c r="H108" s="39" t="n">
        <v>7.066666666666666</v>
      </c>
      <c r="I108" s="39" t="n">
        <v>7.571428571428572</v>
      </c>
      <c r="J108" s="39" t="n">
        <v>8.153846153846153</v>
      </c>
      <c r="K108" s="39" t="n">
        <v>8.833333333333334</v>
      </c>
      <c r="L108" s="39" t="n">
        <v>9.636363636363635</v>
      </c>
      <c r="M108" s="39" t="n">
        <v>10.6</v>
      </c>
      <c r="N108" s="39" t="n">
        <v>11.77777777777778</v>
      </c>
      <c r="O108" s="39" t="n">
        <v>13.25</v>
      </c>
      <c r="P108" s="39" t="n">
        <v>15.14285714285714</v>
      </c>
      <c r="Q108" s="39" t="n">
        <v>17.66666666666667</v>
      </c>
      <c r="R108" s="39" t="n">
        <v>21.2</v>
      </c>
      <c r="S108" s="39" t="n">
        <v>26.5</v>
      </c>
      <c r="T108" s="39" t="n">
        <v>35.33333333333334</v>
      </c>
      <c r="U108" s="39" t="n">
        <v>52.99999999999999</v>
      </c>
      <c r="V108" s="39" t="n">
        <v>106</v>
      </c>
      <c r="W108" s="39" t="n">
        <v>12.33</v>
      </c>
      <c r="X108" s="39" t="n">
        <v>12.97894736842105</v>
      </c>
      <c r="Y108" s="39" t="n">
        <v>13.7</v>
      </c>
      <c r="Z108" s="39" t="n">
        <v>14.50588235294118</v>
      </c>
      <c r="AA108" s="39" t="n">
        <v>15.4125</v>
      </c>
      <c r="AB108" s="39" t="n">
        <v>16.44</v>
      </c>
      <c r="AC108" s="39" t="n">
        <v>17.61428571428571</v>
      </c>
      <c r="AD108" s="39" t="n">
        <v>18.96923076923077</v>
      </c>
      <c r="AE108" s="39" t="n">
        <v>20.55</v>
      </c>
      <c r="AF108" s="39" t="n">
        <v>22.41818181818182</v>
      </c>
      <c r="AG108" s="39" t="n">
        <v>24.66</v>
      </c>
      <c r="AH108" s="39" t="n">
        <v>27.4</v>
      </c>
      <c r="AI108" s="39" t="n">
        <v>30.825</v>
      </c>
      <c r="AJ108" s="39" t="n">
        <v>35.22857142857143</v>
      </c>
      <c r="AK108" s="39" t="n">
        <v>41.1</v>
      </c>
      <c r="AL108" s="39" t="n">
        <v>49.32</v>
      </c>
      <c r="AM108" s="39" t="n">
        <v>61.65</v>
      </c>
      <c r="AN108" s="39" t="n">
        <v>82.2</v>
      </c>
      <c r="AO108" s="39" t="n">
        <v>123.3</v>
      </c>
      <c r="AP108" s="39" t="n">
        <v>246.6</v>
      </c>
    </row>
    <row r="109">
      <c r="A109" s="6" t="inlineStr">
        <is>
          <t>P128</t>
        </is>
      </c>
      <c r="B109" s="6" t="inlineStr">
        <is>
          <t>RDM</t>
        </is>
      </c>
      <c r="C109" s="39" t="n">
        <v>5.72</v>
      </c>
      <c r="D109" s="39" t="n">
        <v>6.021052631578947</v>
      </c>
      <c r="E109" s="39" t="n">
        <v>6.355555555555555</v>
      </c>
      <c r="F109" s="39" t="n">
        <v>6.729411764705882</v>
      </c>
      <c r="G109" s="39" t="n">
        <v>7.149999999999999</v>
      </c>
      <c r="H109" s="39" t="n">
        <v>7.626666666666666</v>
      </c>
      <c r="I109" s="39" t="n">
        <v>8.171428571428571</v>
      </c>
      <c r="J109" s="39" t="n">
        <v>8.799999999999999</v>
      </c>
      <c r="K109" s="39" t="n">
        <v>9.533333333333333</v>
      </c>
      <c r="L109" s="39" t="n">
        <v>10.4</v>
      </c>
      <c r="M109" s="39" t="n">
        <v>11.44</v>
      </c>
      <c r="N109" s="39" t="n">
        <v>12.71111111111111</v>
      </c>
      <c r="O109" s="39" t="n">
        <v>14.3</v>
      </c>
      <c r="P109" s="39" t="n">
        <v>16.34285714285714</v>
      </c>
      <c r="Q109" s="39" t="n">
        <v>19.06666666666667</v>
      </c>
      <c r="R109" s="39" t="n">
        <v>22.88</v>
      </c>
      <c r="S109" s="39" t="n">
        <v>28.6</v>
      </c>
      <c r="T109" s="39" t="n">
        <v>38.13333333333333</v>
      </c>
      <c r="U109" s="39" t="n">
        <v>57.2</v>
      </c>
      <c r="V109" s="39" t="n">
        <v>114.4</v>
      </c>
      <c r="W109" s="39" t="n">
        <v>14.64</v>
      </c>
      <c r="X109" s="39" t="n">
        <v>15.41052631578948</v>
      </c>
      <c r="Y109" s="39" t="n">
        <v>16.26666666666667</v>
      </c>
      <c r="Z109" s="39" t="n">
        <v>17.22352941176471</v>
      </c>
      <c r="AA109" s="39" t="n">
        <v>18.3</v>
      </c>
      <c r="AB109" s="39" t="n">
        <v>19.52</v>
      </c>
      <c r="AC109" s="39" t="n">
        <v>20.91428571428572</v>
      </c>
      <c r="AD109" s="39" t="n">
        <v>22.52307692307692</v>
      </c>
      <c r="AE109" s="39" t="n">
        <v>24.4</v>
      </c>
      <c r="AF109" s="39" t="n">
        <v>26.61818181818182</v>
      </c>
      <c r="AG109" s="39" t="n">
        <v>29.28</v>
      </c>
      <c r="AH109" s="39" t="n">
        <v>32.53333333333333</v>
      </c>
      <c r="AI109" s="39" t="n">
        <v>36.6</v>
      </c>
      <c r="AJ109" s="39" t="n">
        <v>41.82857142857144</v>
      </c>
      <c r="AK109" s="39" t="n">
        <v>48.8</v>
      </c>
      <c r="AL109" s="39" t="n">
        <v>58.56</v>
      </c>
      <c r="AM109" s="39" t="n">
        <v>73.2</v>
      </c>
      <c r="AN109" s="39" t="n">
        <v>97.60000000000001</v>
      </c>
      <c r="AO109" s="39" t="n">
        <v>146.4</v>
      </c>
      <c r="AP109" s="39" t="n">
        <v>292.8</v>
      </c>
    </row>
    <row r="110">
      <c r="A110" s="6" t="inlineStr">
        <is>
          <t>P129</t>
        </is>
      </c>
      <c r="B110" s="6" t="inlineStr">
        <is>
          <t>RDM</t>
        </is>
      </c>
      <c r="C110" s="39" t="n">
        <v>5.55</v>
      </c>
      <c r="D110" s="39" t="n">
        <v>5.842105263157895</v>
      </c>
      <c r="E110" s="39" t="n">
        <v>6.166666666666666</v>
      </c>
      <c r="F110" s="39" t="n">
        <v>6.529411764705882</v>
      </c>
      <c r="G110" s="39" t="n">
        <v>6.937499999999999</v>
      </c>
      <c r="H110" s="39" t="n">
        <v>7.399999999999999</v>
      </c>
      <c r="I110" s="39" t="n">
        <v>7.928571428571429</v>
      </c>
      <c r="J110" s="39" t="n">
        <v>8.538461538461538</v>
      </c>
      <c r="K110" s="39" t="n">
        <v>9.25</v>
      </c>
      <c r="L110" s="39" t="n">
        <v>10.09090909090909</v>
      </c>
      <c r="M110" s="39" t="n">
        <v>11.1</v>
      </c>
      <c r="N110" s="39" t="n">
        <v>12.33333333333333</v>
      </c>
      <c r="O110" s="39" t="n">
        <v>13.875</v>
      </c>
      <c r="P110" s="39" t="n">
        <v>15.85714285714286</v>
      </c>
      <c r="Q110" s="39" t="n">
        <v>18.5</v>
      </c>
      <c r="R110" s="39" t="n">
        <v>22.2</v>
      </c>
      <c r="S110" s="39" t="n">
        <v>27.75</v>
      </c>
      <c r="T110" s="39" t="n">
        <v>37</v>
      </c>
      <c r="U110" s="39" t="n">
        <v>55.49999999999999</v>
      </c>
      <c r="V110" s="39" t="n">
        <v>111</v>
      </c>
      <c r="W110" s="39" t="n">
        <v>12.33</v>
      </c>
      <c r="X110" s="39" t="n">
        <v>12.97894736842105</v>
      </c>
      <c r="Y110" s="39" t="n">
        <v>13.7</v>
      </c>
      <c r="Z110" s="39" t="n">
        <v>14.50588235294118</v>
      </c>
      <c r="AA110" s="39" t="n">
        <v>15.4125</v>
      </c>
      <c r="AB110" s="39" t="n">
        <v>16.44</v>
      </c>
      <c r="AC110" s="39" t="n">
        <v>17.61428571428571</v>
      </c>
      <c r="AD110" s="39" t="n">
        <v>18.96923076923077</v>
      </c>
      <c r="AE110" s="39" t="n">
        <v>20.55</v>
      </c>
      <c r="AF110" s="39" t="n">
        <v>22.41818181818182</v>
      </c>
      <c r="AG110" s="39" t="n">
        <v>24.66</v>
      </c>
      <c r="AH110" s="39" t="n">
        <v>27.4</v>
      </c>
      <c r="AI110" s="39" t="n">
        <v>30.825</v>
      </c>
      <c r="AJ110" s="39" t="n">
        <v>35.22857142857143</v>
      </c>
      <c r="AK110" s="39" t="n">
        <v>41.1</v>
      </c>
      <c r="AL110" s="39" t="n">
        <v>49.32</v>
      </c>
      <c r="AM110" s="39" t="n">
        <v>61.65</v>
      </c>
      <c r="AN110" s="39" t="n">
        <v>82.2</v>
      </c>
      <c r="AO110" s="39" t="n">
        <v>123.3</v>
      </c>
      <c r="AP110" s="39" t="n">
        <v>246.6</v>
      </c>
    </row>
    <row r="111">
      <c r="A111" s="6" t="inlineStr">
        <is>
          <t>P130</t>
        </is>
      </c>
      <c r="B111" s="6" t="inlineStr">
        <is>
          <t>RDM</t>
        </is>
      </c>
      <c r="C111" s="39" t="n">
        <v>6.44</v>
      </c>
      <c r="D111" s="39" t="n">
        <v>6.778947368421053</v>
      </c>
      <c r="E111" s="39" t="n">
        <v>7.155555555555556</v>
      </c>
      <c r="F111" s="39" t="n">
        <v>7.576470588235295</v>
      </c>
      <c r="G111" s="39" t="n">
        <v>8.050000000000001</v>
      </c>
      <c r="H111" s="39" t="n">
        <v>8.586666666666668</v>
      </c>
      <c r="I111" s="39" t="n">
        <v>9.200000000000001</v>
      </c>
      <c r="J111" s="39" t="n">
        <v>9.907692307692308</v>
      </c>
      <c r="K111" s="39" t="n">
        <v>10.73333333333333</v>
      </c>
      <c r="L111" s="39" t="n">
        <v>11.70909090909091</v>
      </c>
      <c r="M111" s="39" t="n">
        <v>12.88</v>
      </c>
      <c r="N111" s="39" t="n">
        <v>14.31111111111111</v>
      </c>
      <c r="O111" s="39" t="n">
        <v>16.1</v>
      </c>
      <c r="P111" s="39" t="n">
        <v>18.4</v>
      </c>
      <c r="Q111" s="39" t="n">
        <v>21.46666666666667</v>
      </c>
      <c r="R111" s="39" t="n">
        <v>25.76</v>
      </c>
      <c r="S111" s="39" t="n">
        <v>32.2</v>
      </c>
      <c r="T111" s="39" t="n">
        <v>42.93333333333334</v>
      </c>
      <c r="U111" s="39" t="n">
        <v>64.40000000000001</v>
      </c>
      <c r="V111" s="39" t="n">
        <v>128.8</v>
      </c>
      <c r="W111" s="39" t="n">
        <v>15.25</v>
      </c>
      <c r="X111" s="39" t="n">
        <v>16.05263157894737</v>
      </c>
      <c r="Y111" s="39" t="n">
        <v>16.94444444444444</v>
      </c>
      <c r="Z111" s="39" t="n">
        <v>17.94117647058824</v>
      </c>
      <c r="AA111" s="39" t="n">
        <v>19.0625</v>
      </c>
      <c r="AB111" s="39" t="n">
        <v>20.33333333333333</v>
      </c>
      <c r="AC111" s="39" t="n">
        <v>21.78571428571429</v>
      </c>
      <c r="AD111" s="39" t="n">
        <v>23.46153846153846</v>
      </c>
      <c r="AE111" s="39" t="n">
        <v>25.41666666666667</v>
      </c>
      <c r="AF111" s="39" t="n">
        <v>27.72727272727273</v>
      </c>
      <c r="AG111" s="39" t="n">
        <v>30.5</v>
      </c>
      <c r="AH111" s="39" t="n">
        <v>33.88888888888889</v>
      </c>
      <c r="AI111" s="39" t="n">
        <v>38.125</v>
      </c>
      <c r="AJ111" s="39" t="n">
        <v>43.57142857142858</v>
      </c>
      <c r="AK111" s="39" t="n">
        <v>50.83333333333334</v>
      </c>
      <c r="AL111" s="39" t="n">
        <v>61</v>
      </c>
      <c r="AM111" s="39" t="n">
        <v>76.25</v>
      </c>
      <c r="AN111" s="39" t="n">
        <v>101.6666666666667</v>
      </c>
      <c r="AO111" s="39" t="n">
        <v>152.5</v>
      </c>
      <c r="AP111" s="39" t="n">
        <v>305</v>
      </c>
    </row>
    <row r="112">
      <c r="A112" s="6" t="inlineStr">
        <is>
          <t>P131</t>
        </is>
      </c>
      <c r="B112" s="6" t="inlineStr">
        <is>
          <t>RDM</t>
        </is>
      </c>
      <c r="C112" s="39" t="n">
        <v>8.16</v>
      </c>
      <c r="D112" s="39" t="n">
        <v>8.589473684210526</v>
      </c>
      <c r="E112" s="39" t="n">
        <v>9.066666666666666</v>
      </c>
      <c r="F112" s="39" t="n">
        <v>9.6</v>
      </c>
      <c r="G112" s="39" t="n">
        <v>10.2</v>
      </c>
      <c r="H112" s="39" t="n">
        <v>10.88</v>
      </c>
      <c r="I112" s="39" t="n">
        <v>11.65714285714286</v>
      </c>
      <c r="J112" s="39" t="n">
        <v>12.55384615384615</v>
      </c>
      <c r="K112" s="39" t="n">
        <v>13.6</v>
      </c>
      <c r="L112" s="39" t="n">
        <v>14.83636363636364</v>
      </c>
      <c r="M112" s="39" t="n">
        <v>16.32</v>
      </c>
      <c r="N112" s="39" t="n">
        <v>18.13333333333333</v>
      </c>
      <c r="O112" s="39" t="n">
        <v>20.4</v>
      </c>
      <c r="P112" s="39" t="n">
        <v>23.31428571428572</v>
      </c>
      <c r="Q112" s="39" t="n">
        <v>27.2</v>
      </c>
      <c r="R112" s="39" t="n">
        <v>32.64</v>
      </c>
      <c r="S112" s="39" t="n">
        <v>40.8</v>
      </c>
      <c r="T112" s="39" t="n">
        <v>54.40000000000001</v>
      </c>
      <c r="U112" s="39" t="n">
        <v>81.59999999999999</v>
      </c>
      <c r="V112" s="39" t="n">
        <v>163.2</v>
      </c>
      <c r="W112" s="39" t="n">
        <v>10.52</v>
      </c>
      <c r="X112" s="39" t="n">
        <v>11.07368421052632</v>
      </c>
      <c r="Y112" s="39" t="n">
        <v>11.68888888888889</v>
      </c>
      <c r="Z112" s="39" t="n">
        <v>12.37647058823529</v>
      </c>
      <c r="AA112" s="39" t="n">
        <v>13.15</v>
      </c>
      <c r="AB112" s="39" t="n">
        <v>14.02666666666667</v>
      </c>
      <c r="AC112" s="39" t="n">
        <v>15.02857142857143</v>
      </c>
      <c r="AD112" s="39" t="n">
        <v>16.18461538461538</v>
      </c>
      <c r="AE112" s="39" t="n">
        <v>17.53333333333333</v>
      </c>
      <c r="AF112" s="39" t="n">
        <v>19.12727272727273</v>
      </c>
      <c r="AG112" s="39" t="n">
        <v>21.04</v>
      </c>
      <c r="AH112" s="39" t="n">
        <v>23.37777777777778</v>
      </c>
      <c r="AI112" s="39" t="n">
        <v>26.3</v>
      </c>
      <c r="AJ112" s="39" t="n">
        <v>30.05714285714286</v>
      </c>
      <c r="AK112" s="39" t="n">
        <v>35.06666666666667</v>
      </c>
      <c r="AL112" s="39" t="n">
        <v>42.08</v>
      </c>
      <c r="AM112" s="39" t="n">
        <v>52.59999999999999</v>
      </c>
      <c r="AN112" s="39" t="n">
        <v>70.13333333333334</v>
      </c>
      <c r="AO112" s="39" t="n">
        <v>105.2</v>
      </c>
      <c r="AP112" s="39" t="n">
        <v>210.4</v>
      </c>
    </row>
    <row r="113">
      <c r="A113" s="6" t="inlineStr">
        <is>
          <t>P132</t>
        </is>
      </c>
      <c r="B113" s="6" t="inlineStr">
        <is>
          <t>RDM</t>
        </is>
      </c>
      <c r="C113" s="39" t="n">
        <v>7.68</v>
      </c>
      <c r="D113" s="39" t="n">
        <v>8.08421052631579</v>
      </c>
      <c r="E113" s="39" t="n">
        <v>8.533333333333333</v>
      </c>
      <c r="F113" s="39" t="n">
        <v>9.035294117647059</v>
      </c>
      <c r="G113" s="39" t="n">
        <v>9.6</v>
      </c>
      <c r="H113" s="39" t="n">
        <v>10.24</v>
      </c>
      <c r="I113" s="39" t="n">
        <v>10.97142857142857</v>
      </c>
      <c r="J113" s="39" t="n">
        <v>11.81538461538461</v>
      </c>
      <c r="K113" s="39" t="n">
        <v>12.8</v>
      </c>
      <c r="L113" s="39" t="n">
        <v>13.96363636363636</v>
      </c>
      <c r="M113" s="39" t="n">
        <v>15.36</v>
      </c>
      <c r="N113" s="39" t="n">
        <v>17.06666666666667</v>
      </c>
      <c r="O113" s="39" t="n">
        <v>19.2</v>
      </c>
      <c r="P113" s="39" t="n">
        <v>21.94285714285714</v>
      </c>
      <c r="Q113" s="39" t="n">
        <v>25.6</v>
      </c>
      <c r="R113" s="39" t="n">
        <v>30.72</v>
      </c>
      <c r="S113" s="39" t="n">
        <v>38.4</v>
      </c>
      <c r="T113" s="39" t="n">
        <v>51.2</v>
      </c>
      <c r="U113" s="39" t="n">
        <v>76.8</v>
      </c>
      <c r="V113" s="39" t="n">
        <v>153.6</v>
      </c>
      <c r="W113" s="39" t="n">
        <v>10.52</v>
      </c>
      <c r="X113" s="39" t="n">
        <v>11.07368421052632</v>
      </c>
      <c r="Y113" s="39" t="n">
        <v>11.68888888888889</v>
      </c>
      <c r="Z113" s="39" t="n">
        <v>12.37647058823529</v>
      </c>
      <c r="AA113" s="39" t="n">
        <v>13.15</v>
      </c>
      <c r="AB113" s="39" t="n">
        <v>14.02666666666667</v>
      </c>
      <c r="AC113" s="39" t="n">
        <v>15.02857142857143</v>
      </c>
      <c r="AD113" s="39" t="n">
        <v>16.18461538461538</v>
      </c>
      <c r="AE113" s="39" t="n">
        <v>17.53333333333333</v>
      </c>
      <c r="AF113" s="39" t="n">
        <v>19.12727272727273</v>
      </c>
      <c r="AG113" s="39" t="n">
        <v>21.04</v>
      </c>
      <c r="AH113" s="39" t="n">
        <v>23.37777777777778</v>
      </c>
      <c r="AI113" s="39" t="n">
        <v>26.3</v>
      </c>
      <c r="AJ113" s="39" t="n">
        <v>30.05714285714286</v>
      </c>
      <c r="AK113" s="39" t="n">
        <v>35.06666666666667</v>
      </c>
      <c r="AL113" s="39" t="n">
        <v>42.08</v>
      </c>
      <c r="AM113" s="39" t="n">
        <v>52.59999999999999</v>
      </c>
      <c r="AN113" s="39" t="n">
        <v>70.13333333333334</v>
      </c>
      <c r="AO113" s="39" t="n">
        <v>105.2</v>
      </c>
      <c r="AP113" s="39" t="n">
        <v>210.4</v>
      </c>
    </row>
    <row r="114">
      <c r="A114" s="6" t="inlineStr">
        <is>
          <t>P133</t>
        </is>
      </c>
      <c r="B114" s="6" t="inlineStr">
        <is>
          <t>RDM</t>
        </is>
      </c>
      <c r="C114" s="39" t="n">
        <v>5.445</v>
      </c>
      <c r="D114" s="39" t="n">
        <v>5.731578947368422</v>
      </c>
      <c r="E114" s="39" t="n">
        <v>6.05</v>
      </c>
      <c r="F114" s="39" t="n">
        <v>6.405882352941177</v>
      </c>
      <c r="G114" s="39" t="n">
        <v>6.80625</v>
      </c>
      <c r="H114" s="39" t="n">
        <v>7.260000000000001</v>
      </c>
      <c r="I114" s="39" t="n">
        <v>7.778571428571429</v>
      </c>
      <c r="J114" s="39" t="n">
        <v>8.376923076923077</v>
      </c>
      <c r="K114" s="39" t="n">
        <v>9.075000000000001</v>
      </c>
      <c r="L114" s="39" t="n">
        <v>9.9</v>
      </c>
      <c r="M114" s="39" t="n">
        <v>10.89</v>
      </c>
      <c r="N114" s="39" t="n">
        <v>12.1</v>
      </c>
      <c r="O114" s="39" t="n">
        <v>13.6125</v>
      </c>
      <c r="P114" s="39" t="n">
        <v>15.55714285714286</v>
      </c>
      <c r="Q114" s="39" t="n">
        <v>18.15</v>
      </c>
      <c r="R114" s="39" t="n">
        <v>21.78</v>
      </c>
      <c r="S114" s="39" t="n">
        <v>27.225</v>
      </c>
      <c r="T114" s="39" t="n">
        <v>36.3</v>
      </c>
      <c r="U114" s="39" t="n">
        <v>54.45</v>
      </c>
      <c r="V114" s="39" t="n">
        <v>108.9</v>
      </c>
      <c r="W114" s="39" t="n">
        <v>12.17</v>
      </c>
      <c r="X114" s="39" t="n">
        <v>12.81052631578947</v>
      </c>
      <c r="Y114" s="39" t="n">
        <v>13.52222222222222</v>
      </c>
      <c r="Z114" s="39" t="n">
        <v>14.31764705882353</v>
      </c>
      <c r="AA114" s="39" t="n">
        <v>15.2125</v>
      </c>
      <c r="AB114" s="39" t="n">
        <v>16.22666666666667</v>
      </c>
      <c r="AC114" s="39" t="n">
        <v>17.38571428571429</v>
      </c>
      <c r="AD114" s="39" t="n">
        <v>18.72307692307692</v>
      </c>
      <c r="AE114" s="39" t="n">
        <v>20.28333333333333</v>
      </c>
      <c r="AF114" s="39" t="n">
        <v>22.12727272727273</v>
      </c>
      <c r="AG114" s="39" t="n">
        <v>24.34</v>
      </c>
      <c r="AH114" s="39" t="n">
        <v>27.04444444444444</v>
      </c>
      <c r="AI114" s="39" t="n">
        <v>30.425</v>
      </c>
      <c r="AJ114" s="39" t="n">
        <v>34.77142857142857</v>
      </c>
      <c r="AK114" s="39" t="n">
        <v>40.56666666666667</v>
      </c>
      <c r="AL114" s="39" t="n">
        <v>48.68</v>
      </c>
      <c r="AM114" s="39" t="n">
        <v>60.84999999999999</v>
      </c>
      <c r="AN114" s="39" t="n">
        <v>81.13333333333334</v>
      </c>
      <c r="AO114" s="39" t="n">
        <v>121.7</v>
      </c>
      <c r="AP114" s="39" t="n">
        <v>243.4</v>
      </c>
    </row>
    <row r="116">
      <c r="A116" s="19" t="inlineStr">
        <is>
          <t>Lamina e horas crescem quando o percentimetro cai (pivo anda mais devagar). Linha 3 = indices para o MATCH.</t>
        </is>
      </c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2" t="n"/>
      <c r="AI116" s="22" t="n"/>
      <c r="AJ116" s="22" t="n"/>
      <c r="AK116" s="22" t="n"/>
      <c r="AL116" s="22" t="n"/>
      <c r="AM116" s="22" t="n"/>
      <c r="AN116" s="22" t="n"/>
      <c r="AO116" s="22" t="n"/>
      <c r="AP116" s="23" t="n"/>
    </row>
  </sheetData>
  <mergeCells count="1">
    <mergeCell ref="A116:AP1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F6000"/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4" customWidth="1" min="4" max="4"/>
    <col width="12" customWidth="1" min="5" max="5"/>
    <col width="12" customWidth="1" min="6" max="6"/>
    <col width="11" customWidth="1" min="7" max="7"/>
    <col width="13" customWidth="1" min="8" max="8"/>
    <col width="13" customWidth="1" min="9" max="9"/>
    <col width="11" customWidth="1" min="10" max="10"/>
    <col width="28" customWidth="1" min="11" max="11"/>
  </cols>
  <sheetData>
    <row r="1" ht="20" customHeight="1">
      <c r="A1" s="1" t="inlineStr">
        <is>
          <t>SOLO - parametros fisicos por pivo e camada</t>
        </is>
      </c>
    </row>
    <row r="2">
      <c r="A2" s="2" t="inlineStr">
        <is>
          <t>Cadastro do PIVO (nao por parcela). CAD camada = 1000*(tetaCC - tetaPMP)*espessura(m). PENDENTE de analises.</t>
        </is>
      </c>
    </row>
    <row r="4" ht="28" customHeight="1">
      <c r="A4" s="4" t="inlineStr">
        <is>
          <t>Pivo</t>
        </is>
      </c>
      <c r="B4" s="4" t="inlineStr">
        <is>
          <t>Camada (cm)</t>
        </is>
      </c>
      <c r="C4" s="4" t="inlineStr">
        <is>
          <t>Espessura (m)</t>
        </is>
      </c>
      <c r="D4" s="4" t="inlineStr">
        <is>
          <t>Textura</t>
        </is>
      </c>
      <c r="E4" s="4" t="inlineStr">
        <is>
          <t>tetaCC (m3/m3)</t>
        </is>
      </c>
      <c r="F4" s="4" t="inlineStr">
        <is>
          <t>tetaPMP (m3/m3)</t>
        </is>
      </c>
      <c r="G4" s="4" t="inlineStr">
        <is>
          <t>Ds (g/cm3)</t>
        </is>
      </c>
      <c r="H4" s="4" t="inlineStr">
        <is>
          <t>CAD camada (mm)</t>
        </is>
      </c>
      <c r="I4" s="4" t="inlineStr">
        <is>
          <t>CC&gt;PMP?</t>
        </is>
      </c>
      <c r="J4" s="4" t="inlineStr">
        <is>
          <t>Origem</t>
        </is>
      </c>
      <c r="K4" s="4" t="inlineStr">
        <is>
          <t>Obs</t>
        </is>
      </c>
    </row>
    <row r="5">
      <c r="A5" s="20" t="n"/>
      <c r="B5" s="20" t="n"/>
      <c r="C5" s="11" t="n"/>
      <c r="D5" s="40" t="n"/>
      <c r="E5" s="41" t="n"/>
      <c r="F5" s="41" t="n"/>
      <c r="G5" s="11" t="n"/>
      <c r="H5" s="13">
        <f>IF(OR($C5="",$E5="",$F5=""),"",1000*($E5-$F5)*$C5)</f>
        <v/>
      </c>
      <c r="I5" s="16">
        <f>IF(OR($E5="",$F5=""),"",IF($E5&gt;$F5,"OK","ERRO CC&lt;=PMP"))</f>
        <v/>
      </c>
      <c r="J5" s="20" t="n"/>
      <c r="K5" s="19" t="n"/>
    </row>
    <row r="6">
      <c r="A6" s="20" t="n"/>
      <c r="B6" s="20" t="n"/>
      <c r="C6" s="11" t="n"/>
      <c r="D6" s="40" t="n"/>
      <c r="E6" s="41" t="n"/>
      <c r="F6" s="41" t="n"/>
      <c r="G6" s="11" t="n"/>
      <c r="H6" s="13">
        <f>IF(OR($C6="",$E6="",$F6=""),"",1000*($E6-$F6)*$C6)</f>
        <v/>
      </c>
      <c r="I6" s="16">
        <f>IF(OR($E6="",$F6=""),"",IF($E6&gt;$F6,"OK","ERRO CC&lt;=PMP"))</f>
        <v/>
      </c>
      <c r="J6" s="20" t="n"/>
      <c r="K6" s="19" t="n"/>
    </row>
    <row r="7">
      <c r="A7" s="20" t="n"/>
      <c r="B7" s="20" t="n"/>
      <c r="C7" s="11" t="n"/>
      <c r="D7" s="40" t="n"/>
      <c r="E7" s="41" t="n"/>
      <c r="F7" s="41" t="n"/>
      <c r="G7" s="11" t="n"/>
      <c r="H7" s="13">
        <f>IF(OR($C7="",$E7="",$F7=""),"",1000*($E7-$F7)*$C7)</f>
        <v/>
      </c>
      <c r="I7" s="16">
        <f>IF(OR($E7="",$F7=""),"",IF($E7&gt;$F7,"OK","ERRO CC&lt;=PMP"))</f>
        <v/>
      </c>
      <c r="J7" s="20" t="n"/>
      <c r="K7" s="19" t="n"/>
    </row>
    <row r="8">
      <c r="A8" s="20" t="n"/>
      <c r="B8" s="20" t="n"/>
      <c r="C8" s="11" t="n"/>
      <c r="D8" s="40" t="n"/>
      <c r="E8" s="41" t="n"/>
      <c r="F8" s="41" t="n"/>
      <c r="G8" s="11" t="n"/>
      <c r="H8" s="13">
        <f>IF(OR($C8="",$E8="",$F8=""),"",1000*($E8-$F8)*$C8)</f>
        <v/>
      </c>
      <c r="I8" s="16">
        <f>IF(OR($E8="",$F8=""),"",IF($E8&gt;$F8,"OK","ERRO CC&lt;=PMP"))</f>
        <v/>
      </c>
      <c r="J8" s="20" t="n"/>
      <c r="K8" s="19" t="n"/>
    </row>
    <row r="9">
      <c r="A9" s="20" t="n"/>
      <c r="B9" s="20" t="n"/>
      <c r="C9" s="11" t="n"/>
      <c r="D9" s="40" t="n"/>
      <c r="E9" s="41" t="n"/>
      <c r="F9" s="41" t="n"/>
      <c r="G9" s="11" t="n"/>
      <c r="H9" s="13">
        <f>IF(OR($C9="",$E9="",$F9=""),"",1000*($E9-$F9)*$C9)</f>
        <v/>
      </c>
      <c r="I9" s="16">
        <f>IF(OR($E9="",$F9=""),"",IF($E9&gt;$F9,"OK","ERRO CC&lt;=PMP"))</f>
        <v/>
      </c>
      <c r="J9" s="20" t="n"/>
      <c r="K9" s="19" t="n"/>
    </row>
    <row r="10">
      <c r="A10" s="20" t="n"/>
      <c r="B10" s="20" t="n"/>
      <c r="C10" s="11" t="n"/>
      <c r="D10" s="40" t="n"/>
      <c r="E10" s="41" t="n"/>
      <c r="F10" s="41" t="n"/>
      <c r="G10" s="11" t="n"/>
      <c r="H10" s="13">
        <f>IF(OR($C10="",$E10="",$F10=""),"",1000*($E10-$F10)*$C10)</f>
        <v/>
      </c>
      <c r="I10" s="16">
        <f>IF(OR($E10="",$F10=""),"",IF($E10&gt;$F10,"OK","ERRO CC&lt;=PMP"))</f>
        <v/>
      </c>
      <c r="J10" s="20" t="n"/>
      <c r="K10" s="19" t="n"/>
    </row>
    <row r="11">
      <c r="A11" s="20" t="n"/>
      <c r="B11" s="20" t="n"/>
      <c r="C11" s="11" t="n"/>
      <c r="D11" s="40" t="n"/>
      <c r="E11" s="41" t="n"/>
      <c r="F11" s="41" t="n"/>
      <c r="G11" s="11" t="n"/>
      <c r="H11" s="13">
        <f>IF(OR($C11="",$E11="",$F11=""),"",1000*($E11-$F11)*$C11)</f>
        <v/>
      </c>
      <c r="I11" s="16">
        <f>IF(OR($E11="",$F11=""),"",IF($E11&gt;$F11,"OK","ERRO CC&lt;=PMP"))</f>
        <v/>
      </c>
      <c r="J11" s="20" t="n"/>
      <c r="K11" s="19" t="n"/>
    </row>
    <row r="12">
      <c r="A12" s="20" t="n"/>
      <c r="B12" s="20" t="n"/>
      <c r="C12" s="11" t="n"/>
      <c r="D12" s="40" t="n"/>
      <c r="E12" s="41" t="n"/>
      <c r="F12" s="41" t="n"/>
      <c r="G12" s="11" t="n"/>
      <c r="H12" s="13">
        <f>IF(OR($C12="",$E12="",$F12=""),"",1000*($E12-$F12)*$C12)</f>
        <v/>
      </c>
      <c r="I12" s="16">
        <f>IF(OR($E12="",$F12=""),"",IF($E12&gt;$F12,"OK","ERRO CC&lt;=PMP"))</f>
        <v/>
      </c>
      <c r="J12" s="20" t="n"/>
      <c r="K12" s="19" t="n"/>
    </row>
    <row r="13">
      <c r="A13" s="20" t="n"/>
      <c r="B13" s="20" t="n"/>
      <c r="C13" s="11" t="n"/>
      <c r="D13" s="40" t="n"/>
      <c r="E13" s="41" t="n"/>
      <c r="F13" s="41" t="n"/>
      <c r="G13" s="11" t="n"/>
      <c r="H13" s="13">
        <f>IF(OR($C13="",$E13="",$F13=""),"",1000*($E13-$F13)*$C13)</f>
        <v/>
      </c>
      <c r="I13" s="16">
        <f>IF(OR($E13="",$F13=""),"",IF($E13&gt;$F13,"OK","ERRO CC&lt;=PMP"))</f>
        <v/>
      </c>
      <c r="J13" s="20" t="n"/>
      <c r="K13" s="19" t="n"/>
    </row>
    <row r="14">
      <c r="A14" s="20" t="n"/>
      <c r="B14" s="20" t="n"/>
      <c r="C14" s="11" t="n"/>
      <c r="D14" s="40" t="n"/>
      <c r="E14" s="41" t="n"/>
      <c r="F14" s="41" t="n"/>
      <c r="G14" s="11" t="n"/>
      <c r="H14" s="13">
        <f>IF(OR($C14="",$E14="",$F14=""),"",1000*($E14-$F14)*$C14)</f>
        <v/>
      </c>
      <c r="I14" s="16">
        <f>IF(OR($E14="",$F14=""),"",IF($E14&gt;$F14,"OK","ERRO CC&lt;=PMP"))</f>
        <v/>
      </c>
      <c r="J14" s="20" t="n"/>
      <c r="K14" s="19" t="n"/>
    </row>
    <row r="15">
      <c r="A15" s="20" t="n"/>
      <c r="B15" s="20" t="n"/>
      <c r="C15" s="11" t="n"/>
      <c r="D15" s="40" t="n"/>
      <c r="E15" s="41" t="n"/>
      <c r="F15" s="41" t="n"/>
      <c r="G15" s="11" t="n"/>
      <c r="H15" s="13">
        <f>IF(OR($C15="",$E15="",$F15=""),"",1000*($E15-$F15)*$C15)</f>
        <v/>
      </c>
      <c r="I15" s="16">
        <f>IF(OR($E15="",$F15=""),"",IF($E15&gt;$F15,"OK","ERRO CC&lt;=PMP"))</f>
        <v/>
      </c>
      <c r="J15" s="20" t="n"/>
      <c r="K15" s="19" t="n"/>
    </row>
    <row r="16">
      <c r="A16" s="20" t="n"/>
      <c r="B16" s="20" t="n"/>
      <c r="C16" s="11" t="n"/>
      <c r="D16" s="40" t="n"/>
      <c r="E16" s="41" t="n"/>
      <c r="F16" s="41" t="n"/>
      <c r="G16" s="11" t="n"/>
      <c r="H16" s="13">
        <f>IF(OR($C16="",$E16="",$F16=""),"",1000*($E16-$F16)*$C16)</f>
        <v/>
      </c>
      <c r="I16" s="16">
        <f>IF(OR($E16="",$F16=""),"",IF($E16&gt;$F16,"OK","ERRO CC&lt;=PMP"))</f>
        <v/>
      </c>
      <c r="J16" s="20" t="n"/>
      <c r="K16" s="19" t="n"/>
    </row>
    <row r="17">
      <c r="A17" s="20" t="n"/>
      <c r="B17" s="20" t="n"/>
      <c r="C17" s="11" t="n"/>
      <c r="D17" s="40" t="n"/>
      <c r="E17" s="41" t="n"/>
      <c r="F17" s="41" t="n"/>
      <c r="G17" s="11" t="n"/>
      <c r="H17" s="13">
        <f>IF(OR($C17="",$E17="",$F17=""),"",1000*($E17-$F17)*$C17)</f>
        <v/>
      </c>
      <c r="I17" s="16">
        <f>IF(OR($E17="",$F17=""),"",IF($E17&gt;$F17,"OK","ERRO CC&lt;=PMP"))</f>
        <v/>
      </c>
      <c r="J17" s="20" t="n"/>
      <c r="K17" s="19" t="n"/>
    </row>
    <row r="18">
      <c r="A18" s="20" t="n"/>
      <c r="B18" s="20" t="n"/>
      <c r="C18" s="11" t="n"/>
      <c r="D18" s="40" t="n"/>
      <c r="E18" s="41" t="n"/>
      <c r="F18" s="41" t="n"/>
      <c r="G18" s="11" t="n"/>
      <c r="H18" s="13">
        <f>IF(OR($C18="",$E18="",$F18=""),"",1000*($E18-$F18)*$C18)</f>
        <v/>
      </c>
      <c r="I18" s="16">
        <f>IF(OR($E18="",$F18=""),"",IF($E18&gt;$F18,"OK","ERRO CC&lt;=PMP"))</f>
        <v/>
      </c>
      <c r="J18" s="20" t="n"/>
      <c r="K18" s="19" t="n"/>
    </row>
    <row r="19">
      <c r="A19" s="20" t="n"/>
      <c r="B19" s="20" t="n"/>
      <c r="C19" s="11" t="n"/>
      <c r="D19" s="40" t="n"/>
      <c r="E19" s="41" t="n"/>
      <c r="F19" s="41" t="n"/>
      <c r="G19" s="11" t="n"/>
      <c r="H19" s="13">
        <f>IF(OR($C19="",$E19="",$F19=""),"",1000*($E19-$F19)*$C19)</f>
        <v/>
      </c>
      <c r="I19" s="16">
        <f>IF(OR($E19="",$F19=""),"",IF($E19&gt;$F19,"OK","ERRO CC&lt;=PMP"))</f>
        <v/>
      </c>
      <c r="J19" s="20" t="n"/>
      <c r="K19" s="19" t="n"/>
    </row>
    <row r="20">
      <c r="A20" s="20" t="n"/>
      <c r="B20" s="20" t="n"/>
      <c r="C20" s="11" t="n"/>
      <c r="D20" s="40" t="n"/>
      <c r="E20" s="41" t="n"/>
      <c r="F20" s="41" t="n"/>
      <c r="G20" s="11" t="n"/>
      <c r="H20" s="13">
        <f>IF(OR($C20="",$E20="",$F20=""),"",1000*($E20-$F20)*$C20)</f>
        <v/>
      </c>
      <c r="I20" s="16">
        <f>IF(OR($E20="",$F20=""),"",IF($E20&gt;$F20,"OK","ERRO CC&lt;=PMP"))</f>
        <v/>
      </c>
      <c r="J20" s="20" t="n"/>
      <c r="K20" s="19" t="n"/>
    </row>
    <row r="21">
      <c r="A21" s="20" t="n"/>
      <c r="B21" s="20" t="n"/>
      <c r="C21" s="11" t="n"/>
      <c r="D21" s="40" t="n"/>
      <c r="E21" s="41" t="n"/>
      <c r="F21" s="41" t="n"/>
      <c r="G21" s="11" t="n"/>
      <c r="H21" s="13">
        <f>IF(OR($C21="",$E21="",$F21=""),"",1000*($E21-$F21)*$C21)</f>
        <v/>
      </c>
      <c r="I21" s="16">
        <f>IF(OR($E21="",$F21=""),"",IF($E21&gt;$F21,"OK","ERRO CC&lt;=PMP"))</f>
        <v/>
      </c>
      <c r="J21" s="20" t="n"/>
      <c r="K21" s="19" t="n"/>
    </row>
    <row r="24">
      <c r="A24" s="19" t="inlineStr">
        <is>
          <t>Camadas sugeridas 0-20/20-40/40-60. Normalizar % para fracao. Conversao gravimetrica-&gt;volumetrica: teta=w*Ds/ro_agua. PENDENTE: analises de solo por pivo.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3" t="n"/>
    </row>
  </sheetData>
  <mergeCells count="1">
    <mergeCell ref="A24:K2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385723"/>
    <outlinePr summaryBelow="1" summaryRight="1"/>
    <pageSetUpPr/>
  </sheetPr>
  <dimension ref="A1:J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3" customWidth="1" min="4" max="4"/>
    <col width="11" customWidth="1" min="5" max="5"/>
    <col width="10" customWidth="1" min="6" max="6"/>
    <col width="11" customWidth="1" min="7" max="7"/>
    <col width="12" customWidth="1" min="8" max="8"/>
    <col width="12" customWidth="1" min="9" max="9"/>
    <col width="30" customWidth="1" min="10" max="10"/>
  </cols>
  <sheetData>
    <row r="1" ht="20" customHeight="1">
      <c r="A1" s="1" t="inlineStr">
        <is>
          <t>UMIDADE - visitas, notas sensoriais e medicoes por camada</t>
        </is>
      </c>
    </row>
    <row r="2">
      <c r="A2" s="2" t="inlineStr">
        <is>
          <t>Nota sensorial e qualitativa. % da escala NAO vira mm sem calibracao. Manter historico.</t>
        </is>
      </c>
    </row>
    <row r="4" ht="28" customHeight="1">
      <c r="A4" s="4" t="inlineStr">
        <is>
          <t>Data</t>
        </is>
      </c>
      <c r="B4" s="4" t="inlineStr">
        <is>
          <t>Parcela</t>
        </is>
      </c>
      <c r="C4" s="4" t="inlineStr">
        <is>
          <t>Camada</t>
        </is>
      </c>
      <c r="D4" s="4" t="inlineStr">
        <is>
          <t>Responsavel</t>
        </is>
      </c>
      <c r="E4" s="4" t="inlineStr">
        <is>
          <t>Metodo</t>
        </is>
      </c>
      <c r="F4" s="4" t="inlineStr">
        <is>
          <t>Nota (1-10)</t>
        </is>
      </c>
      <c r="G4" s="4" t="inlineStr">
        <is>
          <t>% escala (ref)</t>
        </is>
      </c>
      <c r="H4" s="4" t="inlineStr">
        <is>
          <t>Umidade medida</t>
        </is>
      </c>
      <c r="I4" s="4" t="inlineStr">
        <is>
          <t>Usar no manejo?</t>
        </is>
      </c>
      <c r="J4" s="4" t="inlineStr">
        <is>
          <t>Obs</t>
        </is>
      </c>
    </row>
    <row r="5">
      <c r="A5" s="32" t="n"/>
      <c r="B5" s="20" t="n"/>
      <c r="C5" s="20" t="n"/>
      <c r="D5" s="20" t="n"/>
      <c r="E5" s="20" t="n"/>
      <c r="F5" s="42" t="n"/>
      <c r="G5" s="43">
        <f>IF($F5="","",IFERROR(INDEX('PARAMETROS'!$B$19:$B$33,MATCH($F5,'PARAMETROS'!$A$19:$A$33,0)),"fora escala"))</f>
        <v/>
      </c>
      <c r="H5" s="20" t="n"/>
      <c r="I5" s="20" t="n"/>
      <c r="J5" s="19" t="n"/>
    </row>
    <row r="6">
      <c r="A6" s="32" t="n"/>
      <c r="B6" s="20" t="n"/>
      <c r="C6" s="20" t="n"/>
      <c r="D6" s="20" t="n"/>
      <c r="E6" s="20" t="n"/>
      <c r="F6" s="42" t="n"/>
      <c r="G6" s="43">
        <f>IF($F6="","",IFERROR(INDEX('PARAMETROS'!$B$19:$B$33,MATCH($F6,'PARAMETROS'!$A$19:$A$33,0)),"fora escala"))</f>
        <v/>
      </c>
      <c r="H6" s="20" t="n"/>
      <c r="I6" s="20" t="n"/>
      <c r="J6" s="19" t="n"/>
    </row>
    <row r="7">
      <c r="A7" s="32" t="n"/>
      <c r="B7" s="20" t="n"/>
      <c r="C7" s="20" t="n"/>
      <c r="D7" s="20" t="n"/>
      <c r="E7" s="20" t="n"/>
      <c r="F7" s="42" t="n"/>
      <c r="G7" s="43">
        <f>IF($F7="","",IFERROR(INDEX('PARAMETROS'!$B$19:$B$33,MATCH($F7,'PARAMETROS'!$A$19:$A$33,0)),"fora escala"))</f>
        <v/>
      </c>
      <c r="H7" s="20" t="n"/>
      <c r="I7" s="20" t="n"/>
      <c r="J7" s="19" t="n"/>
    </row>
    <row r="8">
      <c r="A8" s="32" t="n"/>
      <c r="B8" s="20" t="n"/>
      <c r="C8" s="20" t="n"/>
      <c r="D8" s="20" t="n"/>
      <c r="E8" s="20" t="n"/>
      <c r="F8" s="42" t="n"/>
      <c r="G8" s="43">
        <f>IF($F8="","",IFERROR(INDEX('PARAMETROS'!$B$19:$B$33,MATCH($F8,'PARAMETROS'!$A$19:$A$33,0)),"fora escala"))</f>
        <v/>
      </c>
      <c r="H8" s="20" t="n"/>
      <c r="I8" s="20" t="n"/>
      <c r="J8" s="19" t="n"/>
    </row>
    <row r="9">
      <c r="A9" s="32" t="n"/>
      <c r="B9" s="20" t="n"/>
      <c r="C9" s="20" t="n"/>
      <c r="D9" s="20" t="n"/>
      <c r="E9" s="20" t="n"/>
      <c r="F9" s="42" t="n"/>
      <c r="G9" s="43">
        <f>IF($F9="","",IFERROR(INDEX('PARAMETROS'!$B$19:$B$33,MATCH($F9,'PARAMETROS'!$A$19:$A$33,0)),"fora escala"))</f>
        <v/>
      </c>
      <c r="H9" s="20" t="n"/>
      <c r="I9" s="20" t="n"/>
      <c r="J9" s="19" t="n"/>
    </row>
    <row r="10">
      <c r="A10" s="32" t="n"/>
      <c r="B10" s="20" t="n"/>
      <c r="C10" s="20" t="n"/>
      <c r="D10" s="20" t="n"/>
      <c r="E10" s="20" t="n"/>
      <c r="F10" s="42" t="n"/>
      <c r="G10" s="43">
        <f>IF($F10="","",IFERROR(INDEX('PARAMETROS'!$B$19:$B$33,MATCH($F10,'PARAMETROS'!$A$19:$A$33,0)),"fora escala"))</f>
        <v/>
      </c>
      <c r="H10" s="20" t="n"/>
      <c r="I10" s="20" t="n"/>
      <c r="J10" s="19" t="n"/>
    </row>
    <row r="11">
      <c r="A11" s="32" t="n"/>
      <c r="B11" s="20" t="n"/>
      <c r="C11" s="20" t="n"/>
      <c r="D11" s="20" t="n"/>
      <c r="E11" s="20" t="n"/>
      <c r="F11" s="42" t="n"/>
      <c r="G11" s="43">
        <f>IF($F11="","",IFERROR(INDEX('PARAMETROS'!$B$19:$B$33,MATCH($F11,'PARAMETROS'!$A$19:$A$33,0)),"fora escala"))</f>
        <v/>
      </c>
      <c r="H11" s="20" t="n"/>
      <c r="I11" s="20" t="n"/>
      <c r="J11" s="19" t="n"/>
    </row>
    <row r="12">
      <c r="A12" s="32" t="n"/>
      <c r="B12" s="20" t="n"/>
      <c r="C12" s="20" t="n"/>
      <c r="D12" s="20" t="n"/>
      <c r="E12" s="20" t="n"/>
      <c r="F12" s="42" t="n"/>
      <c r="G12" s="43">
        <f>IF($F12="","",IFERROR(INDEX('PARAMETROS'!$B$19:$B$33,MATCH($F12,'PARAMETROS'!$A$19:$A$33,0)),"fora escala"))</f>
        <v/>
      </c>
      <c r="H12" s="20" t="n"/>
      <c r="I12" s="20" t="n"/>
      <c r="J12" s="19" t="n"/>
    </row>
    <row r="13">
      <c r="A13" s="32" t="n"/>
      <c r="B13" s="20" t="n"/>
      <c r="C13" s="20" t="n"/>
      <c r="D13" s="20" t="n"/>
      <c r="E13" s="20" t="n"/>
      <c r="F13" s="42" t="n"/>
      <c r="G13" s="43">
        <f>IF($F13="","",IFERROR(INDEX('PARAMETROS'!$B$19:$B$33,MATCH($F13,'PARAMETROS'!$A$19:$A$33,0)),"fora escala"))</f>
        <v/>
      </c>
      <c r="H13" s="20" t="n"/>
      <c r="I13" s="20" t="n"/>
      <c r="J13" s="19" t="n"/>
    </row>
    <row r="14">
      <c r="A14" s="32" t="n"/>
      <c r="B14" s="20" t="n"/>
      <c r="C14" s="20" t="n"/>
      <c r="D14" s="20" t="n"/>
      <c r="E14" s="20" t="n"/>
      <c r="F14" s="42" t="n"/>
      <c r="G14" s="43">
        <f>IF($F14="","",IFERROR(INDEX('PARAMETROS'!$B$19:$B$33,MATCH($F14,'PARAMETROS'!$A$19:$A$33,0)),"fora escala"))</f>
        <v/>
      </c>
      <c r="H14" s="20" t="n"/>
      <c r="I14" s="20" t="n"/>
      <c r="J14" s="19" t="n"/>
    </row>
    <row r="15">
      <c r="A15" s="32" t="n"/>
      <c r="B15" s="20" t="n"/>
      <c r="C15" s="20" t="n"/>
      <c r="D15" s="20" t="n"/>
      <c r="E15" s="20" t="n"/>
      <c r="F15" s="42" t="n"/>
      <c r="G15" s="43">
        <f>IF($F15="","",IFERROR(INDEX('PARAMETROS'!$B$19:$B$33,MATCH($F15,'PARAMETROS'!$A$19:$A$33,0)),"fora escala"))</f>
        <v/>
      </c>
      <c r="H15" s="20" t="n"/>
      <c r="I15" s="20" t="n"/>
      <c r="J15" s="19" t="n"/>
    </row>
    <row r="16">
      <c r="A16" s="32" t="n"/>
      <c r="B16" s="20" t="n"/>
      <c r="C16" s="20" t="n"/>
      <c r="D16" s="20" t="n"/>
      <c r="E16" s="20" t="n"/>
      <c r="F16" s="42" t="n"/>
      <c r="G16" s="43">
        <f>IF($F16="","",IFERROR(INDEX('PARAMETROS'!$B$19:$B$33,MATCH($F16,'PARAMETROS'!$A$19:$A$33,0)),"fora escala"))</f>
        <v/>
      </c>
      <c r="H16" s="20" t="n"/>
      <c r="I16" s="20" t="n"/>
      <c r="J16" s="19" t="n"/>
    </row>
    <row r="17">
      <c r="A17" s="32" t="n"/>
      <c r="B17" s="20" t="n"/>
      <c r="C17" s="20" t="n"/>
      <c r="D17" s="20" t="n"/>
      <c r="E17" s="20" t="n"/>
      <c r="F17" s="42" t="n"/>
      <c r="G17" s="43">
        <f>IF($F17="","",IFERROR(INDEX('PARAMETROS'!$B$19:$B$33,MATCH($F17,'PARAMETROS'!$A$19:$A$33,0)),"fora escala"))</f>
        <v/>
      </c>
      <c r="H17" s="20" t="n"/>
      <c r="I17" s="20" t="n"/>
      <c r="J17" s="19" t="n"/>
    </row>
    <row r="18">
      <c r="A18" s="32" t="n"/>
      <c r="B18" s="20" t="n"/>
      <c r="C18" s="20" t="n"/>
      <c r="D18" s="20" t="n"/>
      <c r="E18" s="20" t="n"/>
      <c r="F18" s="42" t="n"/>
      <c r="G18" s="43">
        <f>IF($F18="","",IFERROR(INDEX('PARAMETROS'!$B$19:$B$33,MATCH($F18,'PARAMETROS'!$A$19:$A$33,0)),"fora escala"))</f>
        <v/>
      </c>
      <c r="H18" s="20" t="n"/>
      <c r="I18" s="20" t="n"/>
      <c r="J18" s="19" t="n"/>
    </row>
    <row r="19">
      <c r="A19" s="32" t="n"/>
      <c r="B19" s="20" t="n"/>
      <c r="C19" s="20" t="n"/>
      <c r="D19" s="20" t="n"/>
      <c r="E19" s="20" t="n"/>
      <c r="F19" s="42" t="n"/>
      <c r="G19" s="43">
        <f>IF($F19="","",IFERROR(INDEX('PARAMETROS'!$B$19:$B$33,MATCH($F19,'PARAMETROS'!$A$19:$A$33,0)),"fora escala"))</f>
        <v/>
      </c>
      <c r="H19" s="20" t="n"/>
      <c r="I19" s="20" t="n"/>
      <c r="J19" s="19" t="n"/>
    </row>
    <row r="22">
      <c r="A22" s="19" t="inlineStr">
        <is>
          <t>% da escala e referencia - calibracao PENDENTE; nao incorporar ao balanco como mm. Nota sem calibracao apoia prioridade humana (qualitativa).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3" t="n"/>
    </row>
  </sheetData>
  <mergeCells count="1">
    <mergeCell ref="A22:J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55" customWidth="1" min="4" max="4"/>
  </cols>
  <sheetData>
    <row r="1" ht="20" customHeight="1">
      <c r="A1" s="1" t="inlineStr">
        <is>
          <t>AGUA E ENERGIA - rede, armazenamento, fontes, limites e tarifas</t>
        </is>
      </c>
    </row>
    <row r="2">
      <c r="A2" s="2" t="inlineStr">
        <is>
          <t>Volume aplicado e volume captado/transferido em campos diferentes. Nao contar a mesma agua duas vezes.</t>
        </is>
      </c>
    </row>
    <row r="4" ht="28" customHeight="1">
      <c r="A4" s="4" t="inlineStr">
        <is>
          <t>Item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 / pendencia</t>
        </is>
      </c>
    </row>
    <row r="5">
      <c r="A5" s="17" t="inlineStr">
        <is>
          <t>Reservatorios cadastrados</t>
        </is>
      </c>
      <c r="B5" s="30">
        <f>COUNTA(RESERVATORIOS!$A$5:$A$40)</f>
        <v/>
      </c>
      <c r="C5" s="24" t="inlineStr">
        <is>
          <t>un</t>
        </is>
      </c>
      <c r="D5" s="19" t="inlineStr">
        <is>
          <t>Ver aba RESERVATORIOS (importado)</t>
        </is>
      </c>
    </row>
    <row r="6">
      <c r="A6" s="17" t="inlineStr">
        <is>
          <t>Bombas/captacoes cadastradas</t>
        </is>
      </c>
      <c r="B6" s="30">
        <f>COUNTA('DISPONIBILIDADE HIDRICA'!$A$5:$A$120)</f>
        <v/>
      </c>
      <c r="C6" s="24" t="inlineStr">
        <is>
          <t>un</t>
        </is>
      </c>
      <c r="D6" s="19" t="inlineStr">
        <is>
          <t>Ver DISPONIBILIDADE HIDRICA</t>
        </is>
      </c>
    </row>
    <row r="7">
      <c r="A7" s="17" t="inlineStr">
        <is>
          <t>Pivos cadastrados</t>
        </is>
      </c>
      <c r="B7" s="30">
        <f>COUNTA(PIVOS!$A$5:$A$120)</f>
        <v/>
      </c>
      <c r="C7" s="24" t="inlineStr">
        <is>
          <t>un</t>
        </is>
      </c>
      <c r="D7" s="19" t="inlineStr">
        <is>
          <t>Ver PIVOS</t>
        </is>
      </c>
    </row>
    <row r="8">
      <c r="A8" s="17" t="inlineStr">
        <is>
          <t>Tarifa ponta</t>
        </is>
      </c>
      <c r="B8" s="28" t="inlineStr">
        <is>
          <t>PENDENTE</t>
        </is>
      </c>
      <c r="C8" s="24" t="inlineStr">
        <is>
          <t>R$/kWh</t>
        </is>
      </c>
      <c r="D8" s="19" t="inlineStr">
        <is>
          <t>Confirmar - nao herdar de arquivos antigos</t>
        </is>
      </c>
    </row>
    <row r="9">
      <c r="A9" s="17" t="inlineStr">
        <is>
          <t>Tarifa fora ponta</t>
        </is>
      </c>
      <c r="B9" s="28" t="inlineStr">
        <is>
          <t>PENDENTE</t>
        </is>
      </c>
      <c r="C9" s="24" t="inlineStr">
        <is>
          <t>R$/kWh</t>
        </is>
      </c>
      <c r="D9" s="19" t="inlineStr">
        <is>
          <t>Confirmar</t>
        </is>
      </c>
    </row>
    <row r="10">
      <c r="A10" s="17" t="inlineStr">
        <is>
          <t>Horario de ponta</t>
        </is>
      </c>
      <c r="B10" s="28" t="inlineStr">
        <is>
          <t>PENDENTE</t>
        </is>
      </c>
      <c r="C10" s="24" t="inlineStr">
        <is>
          <t>hh:mm</t>
        </is>
      </c>
      <c r="D10" s="19" t="inlineStr">
        <is>
          <t>Configuravel por calendario (incl. fins de semana/feriados)</t>
        </is>
      </c>
    </row>
    <row r="11">
      <c r="A11" s="17" t="inlineStr">
        <is>
          <t>Demanda contratada</t>
        </is>
      </c>
      <c r="B11" s="20" t="inlineStr">
        <is>
          <t>10300 (ver PIVOS)</t>
        </is>
      </c>
      <c r="C11" s="24" t="inlineStr">
        <is>
          <t>kW?</t>
        </is>
      </c>
      <c r="D11" s="19" t="inlineStr">
        <is>
          <t>Conferir unidade: coluna 'Demanda do Contrato' do arquivo</t>
        </is>
      </c>
    </row>
    <row r="13">
      <c r="A13" s="19" t="inlineStr">
        <is>
          <t>Autonomia (saida&gt;entrada)=vol utilizavel/(vazao saida-vazao entrada). Se saida&lt;=entrada, cenario constante nao esgota.</t>
        </is>
      </c>
      <c r="B13" s="22" t="n"/>
      <c r="C13" s="22" t="n"/>
      <c r="D13" s="23" t="n"/>
    </row>
  </sheetData>
  <mergeCells count="1">
    <mergeCell ref="A13:D1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55A11"/>
    <outlinePr summaryBelow="1" summaryRight="1"/>
    <pageSetUpPr/>
  </sheetPr>
  <dimension ref="A1:K1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1" customWidth="1" min="3" max="3"/>
    <col width="7" customWidth="1" min="4" max="4"/>
    <col width="12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26" customWidth="1" min="11" max="11"/>
  </cols>
  <sheetData>
    <row r="1" ht="20" customHeight="1">
      <c r="A1" s="1" t="inlineStr">
        <is>
          <t>DISPONIBILIDADE HIDRICA - bombas, captacoes, elevatorias e pocos (importado)</t>
        </is>
      </c>
    </row>
    <row r="2">
      <c r="A2" s="2" t="inlineStr">
        <is>
          <t>Vazao disponivel = SE disponivel=SIM: vazao x fator hidraulico (0,90); SE NAO: 0. Fator aplicado 1x. 'NAO' nao prova defeito - registrar motivo.</t>
        </is>
      </c>
    </row>
    <row r="4" ht="28" customHeight="1">
      <c r="A4" s="4" t="inlineStr">
        <is>
          <t>Estrutura</t>
        </is>
      </c>
      <c r="B4" s="4" t="inlineStr">
        <is>
          <t>Bomba</t>
        </is>
      </c>
      <c r="C4" s="4" t="inlineStr">
        <is>
          <t>Modulo</t>
        </is>
      </c>
      <c r="D4" s="4" t="inlineStr">
        <is>
          <t>Faz</t>
        </is>
      </c>
      <c r="E4" s="4" t="inlineStr">
        <is>
          <t>Vazao nom (m3/h)</t>
        </is>
      </c>
      <c r="F4" s="4" t="inlineStr">
        <is>
          <t>Disp? (SIM/NAO)</t>
        </is>
      </c>
      <c r="G4" s="4" t="inlineStr">
        <is>
          <t>Vazao disp (m3/h)</t>
        </is>
      </c>
      <c r="H4" s="4" t="inlineStr">
        <is>
          <t>Pot (kW)</t>
        </is>
      </c>
      <c r="I4" s="4" t="inlineStr">
        <is>
          <t>Situacao</t>
        </is>
      </c>
      <c r="J4" s="4" t="inlineStr">
        <is>
          <t>Motivo</t>
        </is>
      </c>
      <c r="K4" s="4" t="inlineStr">
        <is>
          <t>Pivos/areas afetadas</t>
        </is>
      </c>
    </row>
    <row r="5">
      <c r="A5" s="5" t="inlineStr">
        <is>
          <t>Primavera 01</t>
        </is>
      </c>
      <c r="B5" s="6" t="inlineStr">
        <is>
          <t>B1</t>
        </is>
      </c>
      <c r="C5" s="6" t="inlineStr">
        <is>
          <t>Módulo 01</t>
        </is>
      </c>
      <c r="D5" s="6" t="inlineStr">
        <is>
          <t>Kar</t>
        </is>
      </c>
      <c r="E5" s="7" t="n">
        <v>803</v>
      </c>
      <c r="F5" s="20" t="inlineStr">
        <is>
          <t>SIM</t>
        </is>
      </c>
      <c r="G5" s="15">
        <f>IF(OR($E5="",$F5=""),"",IF(UPPER($F5)="SIM",$E5*FATOR_HID,0))</f>
        <v/>
      </c>
      <c r="H5" s="37" t="n">
        <v>184</v>
      </c>
      <c r="I5" s="20" t="inlineStr">
        <is>
          <t>Disponivel</t>
        </is>
      </c>
      <c r="J5" s="10" t="inlineStr"/>
      <c r="K5" s="19" t="inlineStr"/>
    </row>
    <row r="6">
      <c r="A6" s="5" t="inlineStr">
        <is>
          <t>Primavera 01</t>
        </is>
      </c>
      <c r="B6" s="6" t="inlineStr">
        <is>
          <t>B2</t>
        </is>
      </c>
      <c r="C6" s="6" t="inlineStr">
        <is>
          <t>Módulo 01</t>
        </is>
      </c>
      <c r="D6" s="6" t="inlineStr">
        <is>
          <t>Kar</t>
        </is>
      </c>
      <c r="E6" s="7" t="n">
        <v>803</v>
      </c>
      <c r="F6" s="20" t="inlineStr">
        <is>
          <t>SIM</t>
        </is>
      </c>
      <c r="G6" s="15">
        <f>IF(OR($E6="",$F6=""),"",IF(UPPER($F6)="SIM",$E6*FATOR_HID,0))</f>
        <v/>
      </c>
      <c r="H6" s="37" t="n">
        <v>184</v>
      </c>
      <c r="I6" s="20" t="inlineStr">
        <is>
          <t>Disponivel</t>
        </is>
      </c>
      <c r="J6" s="10" t="inlineStr"/>
      <c r="K6" s="19" t="inlineStr"/>
    </row>
    <row r="7">
      <c r="A7" s="5" t="inlineStr">
        <is>
          <t>Primavera 01</t>
        </is>
      </c>
      <c r="B7" s="6" t="inlineStr">
        <is>
          <t>B3</t>
        </is>
      </c>
      <c r="C7" s="6" t="inlineStr">
        <is>
          <t>Módulo 01</t>
        </is>
      </c>
      <c r="D7" s="6" t="inlineStr">
        <is>
          <t>Kar</t>
        </is>
      </c>
      <c r="E7" s="7" t="n">
        <v>803</v>
      </c>
      <c r="F7" s="20" t="inlineStr">
        <is>
          <t>SIM</t>
        </is>
      </c>
      <c r="G7" s="15">
        <f>IF(OR($E7="",$F7=""),"",IF(UPPER($F7)="SIM",$E7*FATOR_HID,0))</f>
        <v/>
      </c>
      <c r="H7" s="37" t="n">
        <v>184</v>
      </c>
      <c r="I7" s="20" t="inlineStr">
        <is>
          <t>Disponivel</t>
        </is>
      </c>
      <c r="J7" s="10" t="inlineStr"/>
      <c r="K7" s="19" t="inlineStr"/>
    </row>
    <row r="8">
      <c r="A8" s="5" t="inlineStr">
        <is>
          <t>Primavera 02</t>
        </is>
      </c>
      <c r="B8" s="6" t="inlineStr">
        <is>
          <t>B1</t>
        </is>
      </c>
      <c r="C8" s="6" t="inlineStr">
        <is>
          <t>Módulo 01</t>
        </is>
      </c>
      <c r="D8" s="6" t="inlineStr">
        <is>
          <t>Kar</t>
        </is>
      </c>
      <c r="E8" s="7" t="n">
        <v>786</v>
      </c>
      <c r="F8" s="20" t="inlineStr">
        <is>
          <t>SIM</t>
        </is>
      </c>
      <c r="G8" s="15">
        <f>IF(OR($E8="",$F8=""),"",IF(UPPER($F8)="SIM",$E8*FATOR_HID,0))</f>
        <v/>
      </c>
      <c r="H8" s="37" t="n">
        <v>184</v>
      </c>
      <c r="I8" s="20" t="inlineStr">
        <is>
          <t>Disponivel</t>
        </is>
      </c>
      <c r="J8" s="10" t="inlineStr"/>
      <c r="K8" s="19" t="inlineStr"/>
    </row>
    <row r="9">
      <c r="A9" s="5" t="inlineStr">
        <is>
          <t>Primavera 02</t>
        </is>
      </c>
      <c r="B9" s="6" t="inlineStr">
        <is>
          <t>B2</t>
        </is>
      </c>
      <c r="C9" s="6" t="inlineStr">
        <is>
          <t>Módulo 01</t>
        </is>
      </c>
      <c r="D9" s="6" t="inlineStr">
        <is>
          <t>Kar</t>
        </is>
      </c>
      <c r="E9" s="7" t="n">
        <v>786</v>
      </c>
      <c r="F9" s="20" t="inlineStr">
        <is>
          <t>SIM</t>
        </is>
      </c>
      <c r="G9" s="15">
        <f>IF(OR($E9="",$F9=""),"",IF(UPPER($F9)="SIM",$E9*FATOR_HID,0))</f>
        <v/>
      </c>
      <c r="H9" s="37" t="n">
        <v>184</v>
      </c>
      <c r="I9" s="20" t="inlineStr">
        <is>
          <t>Disponivel</t>
        </is>
      </c>
      <c r="J9" s="10" t="inlineStr"/>
      <c r="K9" s="19" t="inlineStr"/>
    </row>
    <row r="10">
      <c r="A10" s="5" t="inlineStr">
        <is>
          <t>Primavera 02</t>
        </is>
      </c>
      <c r="B10" s="6" t="inlineStr">
        <is>
          <t>B3</t>
        </is>
      </c>
      <c r="C10" s="6" t="inlineStr">
        <is>
          <t>Módulo 01</t>
        </is>
      </c>
      <c r="D10" s="6" t="inlineStr">
        <is>
          <t>Kar</t>
        </is>
      </c>
      <c r="E10" s="7" t="n">
        <v>786</v>
      </c>
      <c r="F10" s="20" t="inlineStr">
        <is>
          <t>SIM</t>
        </is>
      </c>
      <c r="G10" s="15">
        <f>IF(OR($E10="",$F10=""),"",IF(UPPER($F10)="SIM",$E10*FATOR_HID,0))</f>
        <v/>
      </c>
      <c r="H10" s="37" t="n">
        <v>184</v>
      </c>
      <c r="I10" s="20" t="inlineStr">
        <is>
          <t>Disponivel</t>
        </is>
      </c>
      <c r="J10" s="10" t="inlineStr"/>
      <c r="K10" s="19" t="inlineStr"/>
    </row>
    <row r="11">
      <c r="A11" s="5" t="inlineStr">
        <is>
          <t>Primavera 02</t>
        </is>
      </c>
      <c r="B11" s="6" t="inlineStr">
        <is>
          <t>B4</t>
        </is>
      </c>
      <c r="C11" s="6" t="inlineStr">
        <is>
          <t>Módulo 01</t>
        </is>
      </c>
      <c r="D11" s="6" t="inlineStr">
        <is>
          <t>Kar</t>
        </is>
      </c>
      <c r="E11" s="7" t="n">
        <v>786</v>
      </c>
      <c r="F11" s="20" t="inlineStr">
        <is>
          <t>SIM</t>
        </is>
      </c>
      <c r="G11" s="15">
        <f>IF(OR($E11="",$F11=""),"",IF(UPPER($F11)="SIM",$E11*FATOR_HID,0))</f>
        <v/>
      </c>
      <c r="H11" s="37" t="n">
        <v>184</v>
      </c>
      <c r="I11" s="20" t="inlineStr">
        <is>
          <t>Disponivel</t>
        </is>
      </c>
      <c r="J11" s="10" t="inlineStr"/>
      <c r="K11" s="19" t="inlineStr"/>
    </row>
    <row r="12">
      <c r="A12" s="5" t="inlineStr">
        <is>
          <t>Primavera 02</t>
        </is>
      </c>
      <c r="B12" s="6" t="inlineStr">
        <is>
          <t>B5</t>
        </is>
      </c>
      <c r="C12" s="6" t="inlineStr">
        <is>
          <t>Módulo 01</t>
        </is>
      </c>
      <c r="D12" s="6" t="inlineStr">
        <is>
          <t>Kar</t>
        </is>
      </c>
      <c r="E12" s="7" t="n">
        <v>786</v>
      </c>
      <c r="F12" s="20" t="inlineStr">
        <is>
          <t>SIM</t>
        </is>
      </c>
      <c r="G12" s="15">
        <f>IF(OR($E12="",$F12=""),"",IF(UPPER($F12)="SIM",$E12*FATOR_HID,0))</f>
        <v/>
      </c>
      <c r="H12" s="37" t="n">
        <v>184</v>
      </c>
      <c r="I12" s="20" t="inlineStr">
        <is>
          <t>Disponivel</t>
        </is>
      </c>
      <c r="J12" s="10" t="inlineStr"/>
      <c r="K12" s="19" t="inlineStr"/>
    </row>
    <row r="13">
      <c r="A13" s="5" t="inlineStr">
        <is>
          <t>Bom Nome</t>
        </is>
      </c>
      <c r="B13" s="6" t="inlineStr">
        <is>
          <t>B1</t>
        </is>
      </c>
      <c r="C13" s="6" t="inlineStr">
        <is>
          <t>Módulo 01</t>
        </is>
      </c>
      <c r="D13" s="6" t="inlineStr">
        <is>
          <t>Kar</t>
        </is>
      </c>
      <c r="E13" s="7" t="n">
        <v>560</v>
      </c>
      <c r="F13" s="20" t="inlineStr">
        <is>
          <t>SIM</t>
        </is>
      </c>
      <c r="G13" s="15">
        <f>IF(OR($E13="",$F13=""),"",IF(UPPER($F13)="SIM",$E13*FATOR_HID,0))</f>
        <v/>
      </c>
      <c r="H13" s="37" t="n">
        <v>184</v>
      </c>
      <c r="I13" s="20" t="inlineStr">
        <is>
          <t>Disponivel</t>
        </is>
      </c>
      <c r="J13" s="10" t="inlineStr"/>
      <c r="K13" s="19" t="inlineStr"/>
    </row>
    <row r="14">
      <c r="A14" s="5" t="inlineStr">
        <is>
          <t>Bom Nome</t>
        </is>
      </c>
      <c r="B14" s="6" t="inlineStr">
        <is>
          <t>B2</t>
        </is>
      </c>
      <c r="C14" s="6" t="inlineStr">
        <is>
          <t>Módulo 01</t>
        </is>
      </c>
      <c r="D14" s="6" t="inlineStr">
        <is>
          <t>Kar</t>
        </is>
      </c>
      <c r="E14" s="7" t="n">
        <v>560</v>
      </c>
      <c r="F14" s="20" t="inlineStr">
        <is>
          <t>SIM</t>
        </is>
      </c>
      <c r="G14" s="15">
        <f>IF(OR($E14="",$F14=""),"",IF(UPPER($F14)="SIM",$E14*FATOR_HID,0))</f>
        <v/>
      </c>
      <c r="H14" s="37" t="n">
        <v>184</v>
      </c>
      <c r="I14" s="20" t="inlineStr">
        <is>
          <t>Disponivel</t>
        </is>
      </c>
      <c r="J14" s="10" t="inlineStr"/>
      <c r="K14" s="19" t="inlineStr"/>
    </row>
    <row r="15">
      <c r="A15" s="5" t="inlineStr">
        <is>
          <t>Bom Nome</t>
        </is>
      </c>
      <c r="B15" s="6" t="inlineStr">
        <is>
          <t>B3</t>
        </is>
      </c>
      <c r="C15" s="6" t="inlineStr">
        <is>
          <t>Módulo 01</t>
        </is>
      </c>
      <c r="D15" s="6" t="inlineStr">
        <is>
          <t>Kar</t>
        </is>
      </c>
      <c r="E15" s="7" t="n">
        <v>560</v>
      </c>
      <c r="F15" s="20" t="inlineStr">
        <is>
          <t>SIM</t>
        </is>
      </c>
      <c r="G15" s="15">
        <f>IF(OR($E15="",$F15=""),"",IF(UPPER($F15)="SIM",$E15*FATOR_HID,0))</f>
        <v/>
      </c>
      <c r="H15" s="37" t="n">
        <v>184</v>
      </c>
      <c r="I15" s="20" t="inlineStr">
        <is>
          <t>Disponivel</t>
        </is>
      </c>
      <c r="J15" s="10" t="inlineStr"/>
      <c r="K15" s="19" t="inlineStr"/>
    </row>
    <row r="16">
      <c r="A16" s="5" t="inlineStr">
        <is>
          <t>Bom Nome</t>
        </is>
      </c>
      <c r="B16" s="6" t="inlineStr">
        <is>
          <t>B4</t>
        </is>
      </c>
      <c r="C16" s="6" t="inlineStr">
        <is>
          <t>Módulo 01</t>
        </is>
      </c>
      <c r="D16" s="6" t="inlineStr">
        <is>
          <t>Kar</t>
        </is>
      </c>
      <c r="E16" s="7" t="n">
        <v>560</v>
      </c>
      <c r="F16" s="20" t="inlineStr">
        <is>
          <t>SIM</t>
        </is>
      </c>
      <c r="G16" s="15">
        <f>IF(OR($E16="",$F16=""),"",IF(UPPER($F16)="SIM",$E16*FATOR_HID,0))</f>
        <v/>
      </c>
      <c r="H16" s="37" t="n">
        <v>184</v>
      </c>
      <c r="I16" s="20" t="inlineStr">
        <is>
          <t>Disponivel</t>
        </is>
      </c>
      <c r="J16" s="10" t="inlineStr"/>
      <c r="K16" s="19" t="inlineStr"/>
    </row>
    <row r="17">
      <c r="A17" s="5" t="inlineStr">
        <is>
          <t>Bom Nome</t>
        </is>
      </c>
      <c r="B17" s="6" t="inlineStr">
        <is>
          <t>B5</t>
        </is>
      </c>
      <c r="C17" s="6" t="inlineStr">
        <is>
          <t>Módulo 01</t>
        </is>
      </c>
      <c r="D17" s="6" t="inlineStr">
        <is>
          <t>Kar</t>
        </is>
      </c>
      <c r="E17" s="7" t="n">
        <v>560</v>
      </c>
      <c r="F17" s="20" t="inlineStr">
        <is>
          <t>SIM</t>
        </is>
      </c>
      <c r="G17" s="15">
        <f>IF(OR($E17="",$F17=""),"",IF(UPPER($F17)="SIM",$E17*FATOR_HID,0))</f>
        <v/>
      </c>
      <c r="H17" s="37" t="n">
        <v>184</v>
      </c>
      <c r="I17" s="20" t="inlineStr">
        <is>
          <t>Disponivel</t>
        </is>
      </c>
      <c r="J17" s="10" t="inlineStr"/>
      <c r="K17" s="19" t="inlineStr"/>
    </row>
    <row r="18">
      <c r="A18" s="5" t="inlineStr">
        <is>
          <t>Bom Nome</t>
        </is>
      </c>
      <c r="B18" s="6" t="inlineStr">
        <is>
          <t>B6</t>
        </is>
      </c>
      <c r="C18" s="6" t="inlineStr">
        <is>
          <t>Módulo 01</t>
        </is>
      </c>
      <c r="D18" s="6" t="inlineStr">
        <is>
          <t>Kar</t>
        </is>
      </c>
      <c r="E18" s="7" t="n">
        <v>560</v>
      </c>
      <c r="F18" s="20" t="inlineStr">
        <is>
          <t>SIM</t>
        </is>
      </c>
      <c r="G18" s="15">
        <f>IF(OR($E18="",$F18=""),"",IF(UPPER($F18)="SIM",$E18*FATOR_HID,0))</f>
        <v/>
      </c>
      <c r="H18" s="37" t="n">
        <v>184</v>
      </c>
      <c r="I18" s="20" t="inlineStr">
        <is>
          <t>Disponivel</t>
        </is>
      </c>
      <c r="J18" s="10" t="inlineStr"/>
      <c r="K18" s="19" t="inlineStr"/>
    </row>
    <row r="19">
      <c r="A19" s="5" t="inlineStr">
        <is>
          <t>Bom Nome</t>
        </is>
      </c>
      <c r="B19" s="6" t="inlineStr">
        <is>
          <t>B7</t>
        </is>
      </c>
      <c r="C19" s="6" t="inlineStr">
        <is>
          <t>Módulo 01</t>
        </is>
      </c>
      <c r="D19" s="6" t="inlineStr">
        <is>
          <t>Kar</t>
        </is>
      </c>
      <c r="E19" s="7" t="n">
        <v>560</v>
      </c>
      <c r="F19" s="20" t="inlineStr">
        <is>
          <t>SIM</t>
        </is>
      </c>
      <c r="G19" s="15">
        <f>IF(OR($E19="",$F19=""),"",IF(UPPER($F19)="SIM",$E19*FATOR_HID,0))</f>
        <v/>
      </c>
      <c r="H19" s="37" t="n">
        <v>184</v>
      </c>
      <c r="I19" s="20" t="inlineStr">
        <is>
          <t>Disponivel</t>
        </is>
      </c>
      <c r="J19" s="10" t="inlineStr"/>
      <c r="K19" s="19" t="inlineStr"/>
    </row>
    <row r="20">
      <c r="A20" s="5" t="inlineStr">
        <is>
          <t>Bom Nome</t>
        </is>
      </c>
      <c r="B20" s="6" t="inlineStr">
        <is>
          <t>B8</t>
        </is>
      </c>
      <c r="C20" s="6" t="inlineStr">
        <is>
          <t>Módulo 01</t>
        </is>
      </c>
      <c r="D20" s="6" t="inlineStr">
        <is>
          <t>Kar</t>
        </is>
      </c>
      <c r="E20" s="7" t="n">
        <v>560</v>
      </c>
      <c r="F20" s="20" t="inlineStr">
        <is>
          <t>SIM</t>
        </is>
      </c>
      <c r="G20" s="15">
        <f>IF(OR($E20="",$F20=""),"",IF(UPPER($F20)="SIM",$E20*FATOR_HID,0))</f>
        <v/>
      </c>
      <c r="H20" s="37" t="n">
        <v>184</v>
      </c>
      <c r="I20" s="20" t="inlineStr">
        <is>
          <t>Disponivel</t>
        </is>
      </c>
      <c r="J20" s="10" t="inlineStr"/>
      <c r="K20" s="19" t="inlineStr"/>
    </row>
    <row r="21">
      <c r="A21" s="5" t="inlineStr">
        <is>
          <t>Bom Nome</t>
        </is>
      </c>
      <c r="B21" s="6" t="inlineStr">
        <is>
          <t>B9</t>
        </is>
      </c>
      <c r="C21" s="6" t="inlineStr">
        <is>
          <t>Módulo 01</t>
        </is>
      </c>
      <c r="D21" s="6" t="inlineStr">
        <is>
          <t>Kar</t>
        </is>
      </c>
      <c r="E21" s="7" t="n">
        <v>560</v>
      </c>
      <c r="F21" s="20" t="inlineStr">
        <is>
          <t>SIM</t>
        </is>
      </c>
      <c r="G21" s="15">
        <f>IF(OR($E21="",$F21=""),"",IF(UPPER($F21)="SIM",$E21*FATOR_HID,0))</f>
        <v/>
      </c>
      <c r="H21" s="37" t="n">
        <v>184</v>
      </c>
      <c r="I21" s="20" t="inlineStr">
        <is>
          <t>Disponivel</t>
        </is>
      </c>
      <c r="J21" s="10" t="inlineStr"/>
      <c r="K21" s="19" t="inlineStr"/>
    </row>
    <row r="22">
      <c r="A22" s="5" t="inlineStr">
        <is>
          <t>Bom Nome</t>
        </is>
      </c>
      <c r="B22" s="6" t="inlineStr">
        <is>
          <t>B10</t>
        </is>
      </c>
      <c r="C22" s="6" t="inlineStr">
        <is>
          <t>Módulo 01</t>
        </is>
      </c>
      <c r="D22" s="6" t="inlineStr">
        <is>
          <t>Kar</t>
        </is>
      </c>
      <c r="E22" s="7" t="n">
        <v>560</v>
      </c>
      <c r="F22" s="20" t="inlineStr">
        <is>
          <t>SIM</t>
        </is>
      </c>
      <c r="G22" s="15">
        <f>IF(OR($E22="",$F22=""),"",IF(UPPER($F22)="SIM",$E22*FATOR_HID,0))</f>
        <v/>
      </c>
      <c r="H22" s="37" t="n">
        <v>184</v>
      </c>
      <c r="I22" s="20" t="inlineStr">
        <is>
          <t>Disponivel</t>
        </is>
      </c>
      <c r="J22" s="10" t="inlineStr"/>
      <c r="K22" s="19" t="inlineStr"/>
    </row>
    <row r="23">
      <c r="A23" s="5" t="inlineStr">
        <is>
          <t>Bom Nome</t>
        </is>
      </c>
      <c r="B23" s="6" t="inlineStr">
        <is>
          <t>B11</t>
        </is>
      </c>
      <c r="C23" s="6" t="inlineStr">
        <is>
          <t>Módulo 01</t>
        </is>
      </c>
      <c r="D23" s="6" t="inlineStr">
        <is>
          <t>Kar</t>
        </is>
      </c>
      <c r="E23" s="7" t="n">
        <v>560</v>
      </c>
      <c r="F23" s="20" t="inlineStr">
        <is>
          <t>SIM</t>
        </is>
      </c>
      <c r="G23" s="15">
        <f>IF(OR($E23="",$F23=""),"",IF(UPPER($F23)="SIM",$E23*FATOR_HID,0))</f>
        <v/>
      </c>
      <c r="H23" s="37" t="n">
        <v>184</v>
      </c>
      <c r="I23" s="20" t="inlineStr">
        <is>
          <t>Disponivel</t>
        </is>
      </c>
      <c r="J23" s="10" t="inlineStr"/>
      <c r="K23" s="19" t="inlineStr"/>
    </row>
    <row r="24">
      <c r="A24" s="5" t="inlineStr">
        <is>
          <t>Bom Nome</t>
        </is>
      </c>
      <c r="B24" s="6" t="inlineStr">
        <is>
          <t>B12</t>
        </is>
      </c>
      <c r="C24" s="6" t="inlineStr">
        <is>
          <t>Módulo 01</t>
        </is>
      </c>
      <c r="D24" s="6" t="inlineStr">
        <is>
          <t>Kar</t>
        </is>
      </c>
      <c r="E24" s="7" t="n">
        <v>560</v>
      </c>
      <c r="F24" s="20" t="inlineStr">
        <is>
          <t>SIM</t>
        </is>
      </c>
      <c r="G24" s="15">
        <f>IF(OR($E24="",$F24=""),"",IF(UPPER($F24)="SIM",$E24*FATOR_HID,0))</f>
        <v/>
      </c>
      <c r="H24" s="37" t="n">
        <v>184</v>
      </c>
      <c r="I24" s="20" t="inlineStr">
        <is>
          <t>Disponivel</t>
        </is>
      </c>
      <c r="J24" s="10" t="inlineStr"/>
      <c r="K24" s="19" t="inlineStr"/>
    </row>
    <row r="25">
      <c r="A25" s="5" t="inlineStr">
        <is>
          <t>Garfo</t>
        </is>
      </c>
      <c r="B25" s="6" t="inlineStr">
        <is>
          <t>B1</t>
        </is>
      </c>
      <c r="C25" s="6" t="inlineStr">
        <is>
          <t>Módulo 02</t>
        </is>
      </c>
      <c r="D25" s="6" t="inlineStr">
        <is>
          <t>Kar</t>
        </is>
      </c>
      <c r="E25" s="7" t="n">
        <v>650</v>
      </c>
      <c r="F25" s="20" t="inlineStr">
        <is>
          <t>SIM</t>
        </is>
      </c>
      <c r="G25" s="15">
        <f>IF(OR($E25="",$F25=""),"",IF(UPPER($F25)="SIM",$E25*FATOR_HID,0))</f>
        <v/>
      </c>
      <c r="H25" s="37" t="n">
        <v>184</v>
      </c>
      <c r="I25" s="20" t="inlineStr">
        <is>
          <t>Disponivel</t>
        </is>
      </c>
      <c r="J25" s="10" t="inlineStr"/>
      <c r="K25" s="19" t="inlineStr"/>
    </row>
    <row r="26">
      <c r="A26" s="5" t="inlineStr">
        <is>
          <t>Garfo</t>
        </is>
      </c>
      <c r="B26" s="6" t="inlineStr">
        <is>
          <t>B2</t>
        </is>
      </c>
      <c r="C26" s="6" t="inlineStr">
        <is>
          <t>Módulo 02</t>
        </is>
      </c>
      <c r="D26" s="6" t="inlineStr">
        <is>
          <t>Kar</t>
        </is>
      </c>
      <c r="E26" s="7" t="n">
        <v>650</v>
      </c>
      <c r="F26" s="20" t="inlineStr">
        <is>
          <t>SIM</t>
        </is>
      </c>
      <c r="G26" s="15">
        <f>IF(OR($E26="",$F26=""),"",IF(UPPER($F26)="SIM",$E26*FATOR_HID,0))</f>
        <v/>
      </c>
      <c r="H26" s="37" t="n">
        <v>184</v>
      </c>
      <c r="I26" s="20" t="inlineStr">
        <is>
          <t>Disponivel</t>
        </is>
      </c>
      <c r="J26" s="10" t="inlineStr"/>
      <c r="K26" s="19" t="inlineStr"/>
    </row>
    <row r="27">
      <c r="A27" s="5" t="inlineStr">
        <is>
          <t>Garfo</t>
        </is>
      </c>
      <c r="B27" s="6" t="inlineStr">
        <is>
          <t>B3</t>
        </is>
      </c>
      <c r="C27" s="6" t="inlineStr">
        <is>
          <t>Módulo 02</t>
        </is>
      </c>
      <c r="D27" s="6" t="inlineStr">
        <is>
          <t>Kar</t>
        </is>
      </c>
      <c r="E27" s="7" t="n">
        <v>650</v>
      </c>
      <c r="F27" s="20" t="inlineStr">
        <is>
          <t>SIM</t>
        </is>
      </c>
      <c r="G27" s="15">
        <f>IF(OR($E27="",$F27=""),"",IF(UPPER($F27)="SIM",$E27*FATOR_HID,0))</f>
        <v/>
      </c>
      <c r="H27" s="37" t="n">
        <v>184</v>
      </c>
      <c r="I27" s="20" t="inlineStr">
        <is>
          <t>Disponivel</t>
        </is>
      </c>
      <c r="J27" s="10" t="inlineStr"/>
      <c r="K27" s="19" t="inlineStr"/>
    </row>
    <row r="28">
      <c r="A28" s="5" t="inlineStr">
        <is>
          <t>Garfo</t>
        </is>
      </c>
      <c r="B28" s="6" t="inlineStr">
        <is>
          <t>B4</t>
        </is>
      </c>
      <c r="C28" s="6" t="inlineStr">
        <is>
          <t>Módulo 02</t>
        </is>
      </c>
      <c r="D28" s="6" t="inlineStr">
        <is>
          <t>Kar</t>
        </is>
      </c>
      <c r="E28" s="7" t="n">
        <v>650</v>
      </c>
      <c r="F28" s="20" t="inlineStr">
        <is>
          <t>SIM</t>
        </is>
      </c>
      <c r="G28" s="15">
        <f>IF(OR($E28="",$F28=""),"",IF(UPPER($F28)="SIM",$E28*FATOR_HID,0))</f>
        <v/>
      </c>
      <c r="H28" s="37" t="n">
        <v>184</v>
      </c>
      <c r="I28" s="20" t="inlineStr">
        <is>
          <t>Disponivel</t>
        </is>
      </c>
      <c r="J28" s="10" t="inlineStr"/>
      <c r="K28" s="19" t="inlineStr"/>
    </row>
    <row r="29">
      <c r="A29" s="5" t="inlineStr">
        <is>
          <t>Garfo</t>
        </is>
      </c>
      <c r="B29" s="6" t="inlineStr">
        <is>
          <t>B5</t>
        </is>
      </c>
      <c r="C29" s="6" t="inlineStr">
        <is>
          <t>Módulo 02</t>
        </is>
      </c>
      <c r="D29" s="6" t="inlineStr">
        <is>
          <t>Kar</t>
        </is>
      </c>
      <c r="E29" s="7" t="n">
        <v>650</v>
      </c>
      <c r="F29" s="20" t="inlineStr">
        <is>
          <t>SIM</t>
        </is>
      </c>
      <c r="G29" s="15">
        <f>IF(OR($E29="",$F29=""),"",IF(UPPER($F29)="SIM",$E29*FATOR_HID,0))</f>
        <v/>
      </c>
      <c r="H29" s="37" t="n">
        <v>184</v>
      </c>
      <c r="I29" s="20" t="inlineStr">
        <is>
          <t>Disponivel</t>
        </is>
      </c>
      <c r="J29" s="10" t="inlineStr"/>
      <c r="K29" s="19" t="inlineStr"/>
    </row>
    <row r="30">
      <c r="A30" s="5" t="inlineStr">
        <is>
          <t>Garfo</t>
        </is>
      </c>
      <c r="B30" s="6" t="inlineStr">
        <is>
          <t>B6</t>
        </is>
      </c>
      <c r="C30" s="6" t="inlineStr">
        <is>
          <t>Módulo 02</t>
        </is>
      </c>
      <c r="D30" s="6" t="inlineStr">
        <is>
          <t>Kar</t>
        </is>
      </c>
      <c r="E30" s="7" t="n">
        <v>650</v>
      </c>
      <c r="F30" s="20" t="inlineStr">
        <is>
          <t>SIM</t>
        </is>
      </c>
      <c r="G30" s="15">
        <f>IF(OR($E30="",$F30=""),"",IF(UPPER($F30)="SIM",$E30*FATOR_HID,0))</f>
        <v/>
      </c>
      <c r="H30" s="37" t="n">
        <v>184</v>
      </c>
      <c r="I30" s="20" t="inlineStr">
        <is>
          <t>Disponivel</t>
        </is>
      </c>
      <c r="J30" s="10" t="inlineStr"/>
      <c r="K30" s="19" t="inlineStr"/>
    </row>
    <row r="31">
      <c r="A31" s="5" t="inlineStr">
        <is>
          <t>Garfo</t>
        </is>
      </c>
      <c r="B31" s="6" t="inlineStr">
        <is>
          <t>B7</t>
        </is>
      </c>
      <c r="C31" s="6" t="inlineStr">
        <is>
          <t>Módulo 02</t>
        </is>
      </c>
      <c r="D31" s="6" t="inlineStr">
        <is>
          <t>Kar</t>
        </is>
      </c>
      <c r="E31" s="7" t="n">
        <v>650</v>
      </c>
      <c r="F31" s="20" t="inlineStr">
        <is>
          <t>SIM</t>
        </is>
      </c>
      <c r="G31" s="15">
        <f>IF(OR($E31="",$F31=""),"",IF(UPPER($F31)="SIM",$E31*FATOR_HID,0))</f>
        <v/>
      </c>
      <c r="H31" s="37" t="n">
        <v>184</v>
      </c>
      <c r="I31" s="20" t="inlineStr">
        <is>
          <t>Disponivel</t>
        </is>
      </c>
      <c r="J31" s="10" t="inlineStr"/>
      <c r="K31" s="19" t="inlineStr"/>
    </row>
    <row r="32">
      <c r="A32" s="5" t="inlineStr">
        <is>
          <t>Garfo</t>
        </is>
      </c>
      <c r="B32" s="6" t="inlineStr">
        <is>
          <t>B8</t>
        </is>
      </c>
      <c r="C32" s="6" t="inlineStr">
        <is>
          <t>Módulo 02</t>
        </is>
      </c>
      <c r="D32" s="6" t="inlineStr">
        <is>
          <t>Kar</t>
        </is>
      </c>
      <c r="E32" s="7" t="n">
        <v>650</v>
      </c>
      <c r="F32" s="20" t="inlineStr">
        <is>
          <t>SIM</t>
        </is>
      </c>
      <c r="G32" s="15">
        <f>IF(OR($E32="",$F32=""),"",IF(UPPER($F32)="SIM",$E32*FATOR_HID,0))</f>
        <v/>
      </c>
      <c r="H32" s="37" t="n">
        <v>184</v>
      </c>
      <c r="I32" s="20" t="inlineStr">
        <is>
          <t>Disponivel</t>
        </is>
      </c>
      <c r="J32" s="10" t="inlineStr"/>
      <c r="K32" s="19" t="inlineStr"/>
    </row>
    <row r="33">
      <c r="A33" s="5" t="inlineStr">
        <is>
          <t>Garfo</t>
        </is>
      </c>
      <c r="B33" s="6" t="inlineStr">
        <is>
          <t>B9</t>
        </is>
      </c>
      <c r="C33" s="6" t="inlineStr">
        <is>
          <t>Módulo 02</t>
        </is>
      </c>
      <c r="D33" s="6" t="inlineStr">
        <is>
          <t>Kar</t>
        </is>
      </c>
      <c r="E33" s="7" t="n">
        <v>650</v>
      </c>
      <c r="F33" s="20" t="inlineStr">
        <is>
          <t>SIM</t>
        </is>
      </c>
      <c r="G33" s="15">
        <f>IF(OR($E33="",$F33=""),"",IF(UPPER($F33)="SIM",$E33*FATOR_HID,0))</f>
        <v/>
      </c>
      <c r="H33" s="37" t="n">
        <v>184</v>
      </c>
      <c r="I33" s="20" t="inlineStr">
        <is>
          <t>Disponivel</t>
        </is>
      </c>
      <c r="J33" s="10" t="inlineStr"/>
      <c r="K33" s="19" t="inlineStr"/>
    </row>
    <row r="34">
      <c r="A34" s="5" t="inlineStr">
        <is>
          <t>Garfo</t>
        </is>
      </c>
      <c r="B34" s="6" t="inlineStr">
        <is>
          <t>B10</t>
        </is>
      </c>
      <c r="C34" s="6" t="inlineStr">
        <is>
          <t>Módulo 02</t>
        </is>
      </c>
      <c r="D34" s="6" t="inlineStr">
        <is>
          <t>Kar</t>
        </is>
      </c>
      <c r="E34" s="7" t="n">
        <v>650</v>
      </c>
      <c r="F34" s="20" t="inlineStr">
        <is>
          <t>SIM</t>
        </is>
      </c>
      <c r="G34" s="15">
        <f>IF(OR($E34="",$F34=""),"",IF(UPPER($F34)="SIM",$E34*FATOR_HID,0))</f>
        <v/>
      </c>
      <c r="H34" s="37" t="n">
        <v>184</v>
      </c>
      <c r="I34" s="20" t="inlineStr">
        <is>
          <t>Disponivel</t>
        </is>
      </c>
      <c r="J34" s="10" t="inlineStr"/>
      <c r="K34" s="19" t="inlineStr"/>
    </row>
    <row r="35">
      <c r="A35" s="5" t="inlineStr">
        <is>
          <t>Karitel</t>
        </is>
      </c>
      <c r="B35" s="6" t="inlineStr">
        <is>
          <t>B1</t>
        </is>
      </c>
      <c r="C35" s="6" t="inlineStr">
        <is>
          <t>Módulo 02</t>
        </is>
      </c>
      <c r="D35" s="6" t="inlineStr">
        <is>
          <t>Kar</t>
        </is>
      </c>
      <c r="E35" s="7" t="n">
        <v>650</v>
      </c>
      <c r="F35" s="20" t="inlineStr">
        <is>
          <t>SIM</t>
        </is>
      </c>
      <c r="G35" s="15">
        <f>IF(OR($E35="",$F35=""),"",IF(UPPER($F35)="SIM",$E35*FATOR_HID,0))</f>
        <v/>
      </c>
      <c r="H35" s="37" t="n">
        <v>184</v>
      </c>
      <c r="I35" s="20" t="inlineStr">
        <is>
          <t>Disponivel</t>
        </is>
      </c>
      <c r="J35" s="10" t="inlineStr"/>
      <c r="K35" s="19" t="inlineStr"/>
    </row>
    <row r="36">
      <c r="A36" s="5" t="inlineStr">
        <is>
          <t>Karitel</t>
        </is>
      </c>
      <c r="B36" s="6" t="inlineStr">
        <is>
          <t>B2</t>
        </is>
      </c>
      <c r="C36" s="6" t="inlineStr">
        <is>
          <t>Módulo 02</t>
        </is>
      </c>
      <c r="D36" s="6" t="inlineStr">
        <is>
          <t>Kar</t>
        </is>
      </c>
      <c r="E36" s="7" t="n">
        <v>650</v>
      </c>
      <c r="F36" s="20" t="inlineStr">
        <is>
          <t>SIM</t>
        </is>
      </c>
      <c r="G36" s="15">
        <f>IF(OR($E36="",$F36=""),"",IF(UPPER($F36)="SIM",$E36*FATOR_HID,0))</f>
        <v/>
      </c>
      <c r="H36" s="37" t="n">
        <v>184</v>
      </c>
      <c r="I36" s="20" t="inlineStr">
        <is>
          <t>Disponivel</t>
        </is>
      </c>
      <c r="J36" s="10" t="inlineStr"/>
      <c r="K36" s="19" t="inlineStr"/>
    </row>
    <row r="37">
      <c r="A37" s="5" t="inlineStr">
        <is>
          <t>Karitel</t>
        </is>
      </c>
      <c r="B37" s="6" t="inlineStr">
        <is>
          <t>B3</t>
        </is>
      </c>
      <c r="C37" s="6" t="inlineStr">
        <is>
          <t>Módulo 02</t>
        </is>
      </c>
      <c r="D37" s="6" t="inlineStr">
        <is>
          <t>Kar</t>
        </is>
      </c>
      <c r="E37" s="7" t="n">
        <v>650</v>
      </c>
      <c r="F37" s="20" t="inlineStr">
        <is>
          <t>SIM</t>
        </is>
      </c>
      <c r="G37" s="15">
        <f>IF(OR($E37="",$F37=""),"",IF(UPPER($F37)="SIM",$E37*FATOR_HID,0))</f>
        <v/>
      </c>
      <c r="H37" s="37" t="n">
        <v>184</v>
      </c>
      <c r="I37" s="20" t="inlineStr">
        <is>
          <t>Disponivel</t>
        </is>
      </c>
      <c r="J37" s="10" t="inlineStr"/>
      <c r="K37" s="19" t="inlineStr"/>
    </row>
    <row r="38">
      <c r="A38" s="5" t="inlineStr">
        <is>
          <t>Karitel</t>
        </is>
      </c>
      <c r="B38" s="6" t="inlineStr">
        <is>
          <t>B4</t>
        </is>
      </c>
      <c r="C38" s="6" t="inlineStr">
        <is>
          <t>Módulo 02</t>
        </is>
      </c>
      <c r="D38" s="6" t="inlineStr">
        <is>
          <t>Kar</t>
        </is>
      </c>
      <c r="E38" s="7" t="n">
        <v>650</v>
      </c>
      <c r="F38" s="20" t="inlineStr">
        <is>
          <t>SIM</t>
        </is>
      </c>
      <c r="G38" s="15">
        <f>IF(OR($E38="",$F38=""),"",IF(UPPER($F38)="SIM",$E38*FATOR_HID,0))</f>
        <v/>
      </c>
      <c r="H38" s="37" t="n">
        <v>184</v>
      </c>
      <c r="I38" s="20" t="inlineStr">
        <is>
          <t>Disponivel</t>
        </is>
      </c>
      <c r="J38" s="10" t="inlineStr"/>
      <c r="K38" s="19" t="inlineStr"/>
    </row>
    <row r="39">
      <c r="A39" s="5" t="inlineStr">
        <is>
          <t>Karitel</t>
        </is>
      </c>
      <c r="B39" s="6" t="inlineStr">
        <is>
          <t>B5</t>
        </is>
      </c>
      <c r="C39" s="6" t="inlineStr">
        <is>
          <t>Módulo 02</t>
        </is>
      </c>
      <c r="D39" s="6" t="inlineStr">
        <is>
          <t>Kar</t>
        </is>
      </c>
      <c r="E39" s="7" t="n">
        <v>650</v>
      </c>
      <c r="F39" s="20" t="inlineStr">
        <is>
          <t>SIM</t>
        </is>
      </c>
      <c r="G39" s="15">
        <f>IF(OR($E39="",$F39=""),"",IF(UPPER($F39)="SIM",$E39*FATOR_HID,0))</f>
        <v/>
      </c>
      <c r="H39" s="37" t="n">
        <v>184</v>
      </c>
      <c r="I39" s="20" t="inlineStr">
        <is>
          <t>Disponivel</t>
        </is>
      </c>
      <c r="J39" s="10" t="inlineStr"/>
      <c r="K39" s="19" t="inlineStr"/>
    </row>
    <row r="40">
      <c r="A40" s="5" t="inlineStr">
        <is>
          <t>Karitel</t>
        </is>
      </c>
      <c r="B40" s="6" t="inlineStr">
        <is>
          <t>B6</t>
        </is>
      </c>
      <c r="C40" s="6" t="inlineStr">
        <is>
          <t>Módulo 02</t>
        </is>
      </c>
      <c r="D40" s="6" t="inlineStr">
        <is>
          <t>Kar</t>
        </is>
      </c>
      <c r="E40" s="7" t="n">
        <v>650</v>
      </c>
      <c r="F40" s="20" t="inlineStr">
        <is>
          <t>SIM</t>
        </is>
      </c>
      <c r="G40" s="15">
        <f>IF(OR($E40="",$F40=""),"",IF(UPPER($F40)="SIM",$E40*FATOR_HID,0))</f>
        <v/>
      </c>
      <c r="H40" s="37" t="n">
        <v>184</v>
      </c>
      <c r="I40" s="20" t="inlineStr">
        <is>
          <t>Disponivel</t>
        </is>
      </c>
      <c r="J40" s="10" t="inlineStr"/>
      <c r="K40" s="19" t="inlineStr"/>
    </row>
    <row r="41">
      <c r="A41" s="5" t="inlineStr">
        <is>
          <t>Karitel</t>
        </is>
      </c>
      <c r="B41" s="6" t="inlineStr">
        <is>
          <t>B7</t>
        </is>
      </c>
      <c r="C41" s="6" t="inlineStr">
        <is>
          <t>Módulo 02</t>
        </is>
      </c>
      <c r="D41" s="6" t="inlineStr">
        <is>
          <t>Kar</t>
        </is>
      </c>
      <c r="E41" s="7" t="n">
        <v>650</v>
      </c>
      <c r="F41" s="20" t="inlineStr">
        <is>
          <t>SIM</t>
        </is>
      </c>
      <c r="G41" s="15">
        <f>IF(OR($E41="",$F41=""),"",IF(UPPER($F41)="SIM",$E41*FATOR_HID,0))</f>
        <v/>
      </c>
      <c r="H41" s="37" t="n">
        <v>184</v>
      </c>
      <c r="I41" s="20" t="inlineStr">
        <is>
          <t>Disponivel</t>
        </is>
      </c>
      <c r="J41" s="10" t="inlineStr"/>
      <c r="K41" s="19" t="inlineStr"/>
    </row>
    <row r="42">
      <c r="A42" s="5" t="inlineStr">
        <is>
          <t>Karitel</t>
        </is>
      </c>
      <c r="B42" s="6" t="inlineStr">
        <is>
          <t>B8</t>
        </is>
      </c>
      <c r="C42" s="6" t="inlineStr">
        <is>
          <t>Módulo 02</t>
        </is>
      </c>
      <c r="D42" s="6" t="inlineStr">
        <is>
          <t>Kar</t>
        </is>
      </c>
      <c r="E42" s="7" t="n">
        <v>650</v>
      </c>
      <c r="F42" s="20" t="inlineStr">
        <is>
          <t>SIM</t>
        </is>
      </c>
      <c r="G42" s="15">
        <f>IF(OR($E42="",$F42=""),"",IF(UPPER($F42)="SIM",$E42*FATOR_HID,0))</f>
        <v/>
      </c>
      <c r="H42" s="37" t="n">
        <v>184</v>
      </c>
      <c r="I42" s="20" t="inlineStr">
        <is>
          <t>Disponivel</t>
        </is>
      </c>
      <c r="J42" s="10" t="inlineStr"/>
      <c r="K42" s="19" t="inlineStr"/>
    </row>
    <row r="43">
      <c r="A43" s="5" t="inlineStr">
        <is>
          <t>Karitel</t>
        </is>
      </c>
      <c r="B43" s="6" t="inlineStr">
        <is>
          <t>B9</t>
        </is>
      </c>
      <c r="C43" s="6" t="inlineStr">
        <is>
          <t>Módulo 02</t>
        </is>
      </c>
      <c r="D43" s="6" t="inlineStr">
        <is>
          <t>Kar</t>
        </is>
      </c>
      <c r="E43" s="7" t="n">
        <v>650</v>
      </c>
      <c r="F43" s="20" t="inlineStr">
        <is>
          <t>SIM</t>
        </is>
      </c>
      <c r="G43" s="15">
        <f>IF(OR($E43="",$F43=""),"",IF(UPPER($F43)="SIM",$E43*FATOR_HID,0))</f>
        <v/>
      </c>
      <c r="H43" s="37" t="n">
        <v>184</v>
      </c>
      <c r="I43" s="20" t="inlineStr">
        <is>
          <t>Disponivel</t>
        </is>
      </c>
      <c r="J43" s="10" t="inlineStr"/>
      <c r="K43" s="19" t="inlineStr"/>
    </row>
    <row r="44">
      <c r="A44" s="5" t="inlineStr">
        <is>
          <t>Karitel</t>
        </is>
      </c>
      <c r="B44" s="6" t="inlineStr">
        <is>
          <t>B10</t>
        </is>
      </c>
      <c r="C44" s="6" t="inlineStr">
        <is>
          <t>Módulo 02</t>
        </is>
      </c>
      <c r="D44" s="6" t="inlineStr">
        <is>
          <t>Kar</t>
        </is>
      </c>
      <c r="E44" s="7" t="n">
        <v>650</v>
      </c>
      <c r="F44" s="20" t="inlineStr">
        <is>
          <t>SIM</t>
        </is>
      </c>
      <c r="G44" s="15">
        <f>IF(OR($E44="",$F44=""),"",IF(UPPER($F44)="SIM",$E44*FATOR_HID,0))</f>
        <v/>
      </c>
      <c r="H44" s="37" t="n">
        <v>184</v>
      </c>
      <c r="I44" s="20" t="inlineStr">
        <is>
          <t>Disponivel</t>
        </is>
      </c>
      <c r="J44" s="10" t="inlineStr"/>
      <c r="K44" s="19" t="inlineStr"/>
    </row>
    <row r="45">
      <c r="A45" s="5" t="inlineStr">
        <is>
          <t>Primavera 03</t>
        </is>
      </c>
      <c r="B45" s="6" t="inlineStr">
        <is>
          <t>B1</t>
        </is>
      </c>
      <c r="C45" s="6" t="inlineStr">
        <is>
          <t>Módulo 01</t>
        </is>
      </c>
      <c r="D45" s="6" t="inlineStr">
        <is>
          <t>Kar</t>
        </is>
      </c>
      <c r="E45" s="7" t="n">
        <v>900</v>
      </c>
      <c r="F45" s="20" t="inlineStr">
        <is>
          <t>SIM</t>
        </is>
      </c>
      <c r="G45" s="15">
        <f>IF(OR($E45="",$F45=""),"",IF(UPPER($F45)="SIM",$E45*FATOR_HID,0))</f>
        <v/>
      </c>
      <c r="H45" s="37" t="n">
        <v>147</v>
      </c>
      <c r="I45" s="20" t="inlineStr">
        <is>
          <t>Disponivel</t>
        </is>
      </c>
      <c r="J45" s="10" t="inlineStr"/>
      <c r="K45" s="19" t="inlineStr"/>
    </row>
    <row r="46">
      <c r="A46" s="5" t="inlineStr">
        <is>
          <t>Primavera 03</t>
        </is>
      </c>
      <c r="B46" s="6" t="inlineStr">
        <is>
          <t>B2</t>
        </is>
      </c>
      <c r="C46" s="6" t="inlineStr">
        <is>
          <t>Módulo 01</t>
        </is>
      </c>
      <c r="D46" s="6" t="inlineStr">
        <is>
          <t>Kar</t>
        </is>
      </c>
      <c r="E46" s="7" t="n">
        <v>900</v>
      </c>
      <c r="F46" s="20" t="inlineStr">
        <is>
          <t>SIM</t>
        </is>
      </c>
      <c r="G46" s="15">
        <f>IF(OR($E46="",$F46=""),"",IF(UPPER($F46)="SIM",$E46*FATOR_HID,0))</f>
        <v/>
      </c>
      <c r="H46" s="37" t="n">
        <v>147</v>
      </c>
      <c r="I46" s="20" t="inlineStr">
        <is>
          <t>Disponivel</t>
        </is>
      </c>
      <c r="J46" s="10" t="inlineStr"/>
      <c r="K46" s="19" t="inlineStr"/>
    </row>
    <row r="47">
      <c r="A47" s="5" t="inlineStr">
        <is>
          <t>Primavera 03</t>
        </is>
      </c>
      <c r="B47" s="6" t="inlineStr">
        <is>
          <t>B3</t>
        </is>
      </c>
      <c r="C47" s="6" t="inlineStr">
        <is>
          <t>Módulo 01</t>
        </is>
      </c>
      <c r="D47" s="6" t="inlineStr">
        <is>
          <t>Kar</t>
        </is>
      </c>
      <c r="E47" s="7" t="n">
        <v>900</v>
      </c>
      <c r="F47" s="20" t="inlineStr">
        <is>
          <t>SIM</t>
        </is>
      </c>
      <c r="G47" s="15">
        <f>IF(OR($E47="",$F47=""),"",IF(UPPER($F47)="SIM",$E47*FATOR_HID,0))</f>
        <v/>
      </c>
      <c r="H47" s="37" t="n">
        <v>147</v>
      </c>
      <c r="I47" s="20" t="inlineStr">
        <is>
          <t>Disponivel</t>
        </is>
      </c>
      <c r="J47" s="10" t="inlineStr"/>
      <c r="K47" s="19" t="inlineStr"/>
    </row>
    <row r="48">
      <c r="A48" s="5" t="inlineStr">
        <is>
          <t>Primavera 03</t>
        </is>
      </c>
      <c r="B48" s="6" t="inlineStr">
        <is>
          <t>B4</t>
        </is>
      </c>
      <c r="C48" s="6" t="inlineStr">
        <is>
          <t>Módulo 01</t>
        </is>
      </c>
      <c r="D48" s="6" t="inlineStr">
        <is>
          <t>Kar</t>
        </is>
      </c>
      <c r="E48" s="7" t="n">
        <v>900</v>
      </c>
      <c r="F48" s="20" t="inlineStr">
        <is>
          <t>SIM</t>
        </is>
      </c>
      <c r="G48" s="15">
        <f>IF(OR($E48="",$F48=""),"",IF(UPPER($F48)="SIM",$E48*FATOR_HID,0))</f>
        <v/>
      </c>
      <c r="H48" s="37" t="n">
        <v>147</v>
      </c>
      <c r="I48" s="20" t="inlineStr">
        <is>
          <t>Disponivel</t>
        </is>
      </c>
      <c r="J48" s="10" t="inlineStr"/>
      <c r="K48" s="19" t="inlineStr"/>
    </row>
    <row r="49">
      <c r="A49" s="5" t="inlineStr">
        <is>
          <t>Primavera 03</t>
        </is>
      </c>
      <c r="B49" s="6" t="inlineStr">
        <is>
          <t>B5</t>
        </is>
      </c>
      <c r="C49" s="6" t="inlineStr">
        <is>
          <t>Módulo 01</t>
        </is>
      </c>
      <c r="D49" s="6" t="inlineStr">
        <is>
          <t>Kar</t>
        </is>
      </c>
      <c r="E49" s="7" t="n">
        <v>900</v>
      </c>
      <c r="F49" s="20" t="inlineStr">
        <is>
          <t>SIM</t>
        </is>
      </c>
      <c r="G49" s="15">
        <f>IF(OR($E49="",$F49=""),"",IF(UPPER($F49)="SIM",$E49*FATOR_HID,0))</f>
        <v/>
      </c>
      <c r="H49" s="37" t="n">
        <v>147</v>
      </c>
      <c r="I49" s="20" t="inlineStr">
        <is>
          <t>Disponivel</t>
        </is>
      </c>
      <c r="J49" s="10" t="inlineStr"/>
      <c r="K49" s="19" t="inlineStr"/>
    </row>
    <row r="50">
      <c r="A50" s="5" t="inlineStr">
        <is>
          <t>Primavera 03</t>
        </is>
      </c>
      <c r="B50" s="6" t="inlineStr">
        <is>
          <t>B6</t>
        </is>
      </c>
      <c r="C50" s="6" t="inlineStr">
        <is>
          <t>Módulo 01</t>
        </is>
      </c>
      <c r="D50" s="6" t="inlineStr">
        <is>
          <t>Kar</t>
        </is>
      </c>
      <c r="E50" s="7" t="n">
        <v>900</v>
      </c>
      <c r="F50" s="20" t="inlineStr">
        <is>
          <t>SIM</t>
        </is>
      </c>
      <c r="G50" s="15">
        <f>IF(OR($E50="",$F50=""),"",IF(UPPER($F50)="SIM",$E50*FATOR_HID,0))</f>
        <v/>
      </c>
      <c r="H50" s="37" t="n">
        <v>147</v>
      </c>
      <c r="I50" s="20" t="inlineStr">
        <is>
          <t>Disponivel</t>
        </is>
      </c>
      <c r="J50" s="10" t="inlineStr"/>
      <c r="K50" s="19" t="inlineStr"/>
    </row>
    <row r="51">
      <c r="A51" s="5" t="inlineStr">
        <is>
          <t>Primavera 03</t>
        </is>
      </c>
      <c r="B51" s="6" t="inlineStr">
        <is>
          <t>B7</t>
        </is>
      </c>
      <c r="C51" s="6" t="inlineStr">
        <is>
          <t>Módulo 01</t>
        </is>
      </c>
      <c r="D51" s="6" t="inlineStr">
        <is>
          <t>Kar</t>
        </is>
      </c>
      <c r="E51" s="7" t="n">
        <v>900</v>
      </c>
      <c r="F51" s="20" t="inlineStr">
        <is>
          <t>SIM</t>
        </is>
      </c>
      <c r="G51" s="15">
        <f>IF(OR($E51="",$F51=""),"",IF(UPPER($F51)="SIM",$E51*FATOR_HID,0))</f>
        <v/>
      </c>
      <c r="H51" s="37" t="n">
        <v>147</v>
      </c>
      <c r="I51" s="20" t="inlineStr">
        <is>
          <t>Disponivel</t>
        </is>
      </c>
      <c r="J51" s="10" t="inlineStr"/>
      <c r="K51" s="19" t="inlineStr"/>
    </row>
    <row r="52">
      <c r="A52" s="5" t="inlineStr">
        <is>
          <t>Unificada 4/5</t>
        </is>
      </c>
      <c r="B52" s="6" t="inlineStr">
        <is>
          <t>B2</t>
        </is>
      </c>
      <c r="C52" s="6" t="inlineStr">
        <is>
          <t>Módulo 01</t>
        </is>
      </c>
      <c r="D52" s="6" t="inlineStr">
        <is>
          <t>Kar</t>
        </is>
      </c>
      <c r="E52" s="7" t="n">
        <v>930</v>
      </c>
      <c r="F52" s="20" t="inlineStr">
        <is>
          <t>SIM</t>
        </is>
      </c>
      <c r="G52" s="15">
        <f>IF(OR($E52="",$F52=""),"",IF(UPPER($F52)="SIM",$E52*FATOR_HID,0))</f>
        <v/>
      </c>
      <c r="H52" s="37" t="n">
        <v>368</v>
      </c>
      <c r="I52" s="20" t="inlineStr">
        <is>
          <t>Disponivel</t>
        </is>
      </c>
      <c r="J52" s="10" t="inlineStr"/>
      <c r="K52" s="19" t="inlineStr"/>
    </row>
    <row r="53">
      <c r="A53" s="5" t="inlineStr">
        <is>
          <t>Unificada 4/5</t>
        </is>
      </c>
      <c r="B53" s="6" t="inlineStr">
        <is>
          <t>B4</t>
        </is>
      </c>
      <c r="C53" s="6" t="inlineStr">
        <is>
          <t>Módulo 01</t>
        </is>
      </c>
      <c r="D53" s="6" t="inlineStr">
        <is>
          <t>Kar</t>
        </is>
      </c>
      <c r="E53" s="7" t="n">
        <v>930</v>
      </c>
      <c r="F53" s="20" t="inlineStr">
        <is>
          <t>SIM</t>
        </is>
      </c>
      <c r="G53" s="15">
        <f>IF(OR($E53="",$F53=""),"",IF(UPPER($F53)="SIM",$E53*FATOR_HID,0))</f>
        <v/>
      </c>
      <c r="H53" s="37" t="n">
        <v>368</v>
      </c>
      <c r="I53" s="20" t="inlineStr">
        <is>
          <t>Disponivel</t>
        </is>
      </c>
      <c r="J53" s="10" t="inlineStr"/>
      <c r="K53" s="19" t="inlineStr"/>
    </row>
    <row r="54">
      <c r="A54" s="5" t="inlineStr">
        <is>
          <t>Unificada 4/5</t>
        </is>
      </c>
      <c r="B54" s="6" t="inlineStr">
        <is>
          <t>B6</t>
        </is>
      </c>
      <c r="C54" s="6" t="inlineStr">
        <is>
          <t>Módulo 01</t>
        </is>
      </c>
      <c r="D54" s="6" t="inlineStr">
        <is>
          <t>Kar</t>
        </is>
      </c>
      <c r="E54" s="7" t="n">
        <v>930</v>
      </c>
      <c r="F54" s="20" t="inlineStr">
        <is>
          <t>SIM</t>
        </is>
      </c>
      <c r="G54" s="15">
        <f>IF(OR($E54="",$F54=""),"",IF(UPPER($F54)="SIM",$E54*FATOR_HID,0))</f>
        <v/>
      </c>
      <c r="H54" s="37" t="n">
        <v>368</v>
      </c>
      <c r="I54" s="20" t="inlineStr">
        <is>
          <t>Disponivel</t>
        </is>
      </c>
      <c r="J54" s="10" t="inlineStr"/>
      <c r="K54" s="19" t="inlineStr"/>
    </row>
    <row r="55">
      <c r="A55" s="5" t="inlineStr">
        <is>
          <t>Unificada 4/5</t>
        </is>
      </c>
      <c r="B55" s="6" t="inlineStr">
        <is>
          <t>B8</t>
        </is>
      </c>
      <c r="C55" s="6" t="inlineStr">
        <is>
          <t>Módulo 01</t>
        </is>
      </c>
      <c r="D55" s="6" t="inlineStr">
        <is>
          <t>Kar</t>
        </is>
      </c>
      <c r="E55" s="7" t="n">
        <v>930</v>
      </c>
      <c r="F55" s="20" t="inlineStr">
        <is>
          <t>SIM</t>
        </is>
      </c>
      <c r="G55" s="15">
        <f>IF(OR($E55="",$F55=""),"",IF(UPPER($F55)="SIM",$E55*FATOR_HID,0))</f>
        <v/>
      </c>
      <c r="H55" s="37" t="n">
        <v>368</v>
      </c>
      <c r="I55" s="20" t="inlineStr">
        <is>
          <t>Disponivel</t>
        </is>
      </c>
      <c r="J55" s="10" t="inlineStr"/>
      <c r="K55" s="19" t="inlineStr"/>
    </row>
    <row r="56">
      <c r="A56" s="5" t="inlineStr">
        <is>
          <t>Unificada 4/5</t>
        </is>
      </c>
      <c r="B56" s="6" t="inlineStr">
        <is>
          <t>B10</t>
        </is>
      </c>
      <c r="C56" s="6" t="inlineStr">
        <is>
          <t>Módulo 01</t>
        </is>
      </c>
      <c r="D56" s="6" t="inlineStr">
        <is>
          <t>Kar</t>
        </is>
      </c>
      <c r="E56" s="7" t="n">
        <v>930</v>
      </c>
      <c r="F56" s="20" t="inlineStr">
        <is>
          <t>SIM</t>
        </is>
      </c>
      <c r="G56" s="15">
        <f>IF(OR($E56="",$F56=""),"",IF(UPPER($F56)="SIM",$E56*FATOR_HID,0))</f>
        <v/>
      </c>
      <c r="H56" s="37" t="n">
        <v>368</v>
      </c>
      <c r="I56" s="20" t="inlineStr">
        <is>
          <t>Disponivel</t>
        </is>
      </c>
      <c r="J56" s="10" t="inlineStr"/>
      <c r="K56" s="19" t="inlineStr"/>
    </row>
    <row r="57">
      <c r="A57" s="5" t="inlineStr">
        <is>
          <t>Unificada 4/5</t>
        </is>
      </c>
      <c r="B57" s="6" t="inlineStr">
        <is>
          <t>B12</t>
        </is>
      </c>
      <c r="C57" s="6" t="inlineStr">
        <is>
          <t>Módulo 01</t>
        </is>
      </c>
      <c r="D57" s="6" t="inlineStr">
        <is>
          <t>Kar</t>
        </is>
      </c>
      <c r="E57" s="7" t="n">
        <v>930</v>
      </c>
      <c r="F57" s="20" t="inlineStr">
        <is>
          <t>SIM</t>
        </is>
      </c>
      <c r="G57" s="15">
        <f>IF(OR($E57="",$F57=""),"",IF(UPPER($F57)="SIM",$E57*FATOR_HID,0))</f>
        <v/>
      </c>
      <c r="H57" s="37" t="n">
        <v>368</v>
      </c>
      <c r="I57" s="20" t="inlineStr">
        <is>
          <t>Disponivel</t>
        </is>
      </c>
      <c r="J57" s="10" t="inlineStr"/>
      <c r="K57" s="19" t="inlineStr"/>
    </row>
    <row r="58">
      <c r="A58" s="5" t="inlineStr">
        <is>
          <t>Unificada 4/5</t>
        </is>
      </c>
      <c r="B58" s="6" t="inlineStr">
        <is>
          <t>B14</t>
        </is>
      </c>
      <c r="C58" s="6" t="inlineStr">
        <is>
          <t>Módulo 01</t>
        </is>
      </c>
      <c r="D58" s="6" t="inlineStr">
        <is>
          <t>Kar</t>
        </is>
      </c>
      <c r="E58" s="7" t="n">
        <v>930</v>
      </c>
      <c r="F58" s="20" t="inlineStr">
        <is>
          <t>SIM</t>
        </is>
      </c>
      <c r="G58" s="15">
        <f>IF(OR($E58="",$F58=""),"",IF(UPPER($F58)="SIM",$E58*FATOR_HID,0))</f>
        <v/>
      </c>
      <c r="H58" s="37" t="n">
        <v>368</v>
      </c>
      <c r="I58" s="20" t="inlineStr">
        <is>
          <t>Disponivel</t>
        </is>
      </c>
      <c r="J58" s="10" t="inlineStr"/>
      <c r="K58" s="19" t="inlineStr"/>
    </row>
    <row r="59">
      <c r="A59" s="5" t="inlineStr">
        <is>
          <t>Unificada 4/5</t>
        </is>
      </c>
      <c r="B59" s="6" t="inlineStr">
        <is>
          <t>B16</t>
        </is>
      </c>
      <c r="C59" s="6" t="inlineStr">
        <is>
          <t>Módulo 01</t>
        </is>
      </c>
      <c r="D59" s="6" t="inlineStr">
        <is>
          <t>Kar</t>
        </is>
      </c>
      <c r="E59" s="7" t="n">
        <v>930</v>
      </c>
      <c r="F59" s="20" t="inlineStr">
        <is>
          <t>SIM</t>
        </is>
      </c>
      <c r="G59" s="15">
        <f>IF(OR($E59="",$F59=""),"",IF(UPPER($F59)="SIM",$E59*FATOR_HID,0))</f>
        <v/>
      </c>
      <c r="H59" s="37" t="n">
        <v>368</v>
      </c>
      <c r="I59" s="20" t="inlineStr">
        <is>
          <t>Disponivel</t>
        </is>
      </c>
      <c r="J59" s="10" t="inlineStr"/>
      <c r="K59" s="19" t="inlineStr"/>
    </row>
    <row r="60">
      <c r="A60" s="5" t="inlineStr">
        <is>
          <t>Unificada 4/5</t>
        </is>
      </c>
      <c r="B60" s="6" t="inlineStr">
        <is>
          <t>B18</t>
        </is>
      </c>
      <c r="C60" s="6" t="inlineStr">
        <is>
          <t>Módulo 01</t>
        </is>
      </c>
      <c r="D60" s="6" t="inlineStr">
        <is>
          <t>Kar</t>
        </is>
      </c>
      <c r="E60" s="7" t="n">
        <v>930</v>
      </c>
      <c r="F60" s="20" t="inlineStr">
        <is>
          <t>SIM</t>
        </is>
      </c>
      <c r="G60" s="15">
        <f>IF(OR($E60="",$F60=""),"",IF(UPPER($F60)="SIM",$E60*FATOR_HID,0))</f>
        <v/>
      </c>
      <c r="H60" s="37" t="n">
        <v>368</v>
      </c>
      <c r="I60" s="20" t="inlineStr">
        <is>
          <t>Disponivel</t>
        </is>
      </c>
      <c r="J60" s="10" t="inlineStr"/>
      <c r="K60" s="19" t="inlineStr"/>
    </row>
    <row r="61">
      <c r="A61" s="5" t="inlineStr">
        <is>
          <t>Unificada 4/5</t>
        </is>
      </c>
      <c r="B61" s="6" t="inlineStr">
        <is>
          <t>B20</t>
        </is>
      </c>
      <c r="C61" s="6" t="inlineStr">
        <is>
          <t>Módulo 01</t>
        </is>
      </c>
      <c r="D61" s="6" t="inlineStr">
        <is>
          <t>Kar</t>
        </is>
      </c>
      <c r="E61" s="7" t="n">
        <v>930</v>
      </c>
      <c r="F61" s="20" t="inlineStr">
        <is>
          <t>SIM</t>
        </is>
      </c>
      <c r="G61" s="15">
        <f>IF(OR($E61="",$F61=""),"",IF(UPPER($F61)="SIM",$E61*FATOR_HID,0))</f>
        <v/>
      </c>
      <c r="H61" s="37" t="n">
        <v>368</v>
      </c>
      <c r="I61" s="20" t="inlineStr">
        <is>
          <t>Disponivel</t>
        </is>
      </c>
      <c r="J61" s="10" t="inlineStr"/>
      <c r="K61" s="19" t="inlineStr"/>
    </row>
    <row r="62">
      <c r="A62" s="5" t="inlineStr">
        <is>
          <t>Unificada 4/5</t>
        </is>
      </c>
      <c r="B62" s="6" t="inlineStr">
        <is>
          <t>B22</t>
        </is>
      </c>
      <c r="C62" s="6" t="inlineStr">
        <is>
          <t>Módulo 01</t>
        </is>
      </c>
      <c r="D62" s="6" t="inlineStr">
        <is>
          <t>Kar</t>
        </is>
      </c>
      <c r="E62" s="7" t="n">
        <v>930</v>
      </c>
      <c r="F62" s="20" t="inlineStr">
        <is>
          <t>SIM</t>
        </is>
      </c>
      <c r="G62" s="15">
        <f>IF(OR($E62="",$F62=""),"",IF(UPPER($F62)="SIM",$E62*FATOR_HID,0))</f>
        <v/>
      </c>
      <c r="H62" s="37" t="n">
        <v>368</v>
      </c>
      <c r="I62" s="20" t="inlineStr">
        <is>
          <t>Disponivel</t>
        </is>
      </c>
      <c r="J62" s="10" t="inlineStr"/>
      <c r="K62" s="19" t="inlineStr"/>
    </row>
    <row r="63">
      <c r="A63" s="5" t="inlineStr">
        <is>
          <t>Unificada 4/5</t>
        </is>
      </c>
      <c r="B63" s="6" t="inlineStr">
        <is>
          <t>B24</t>
        </is>
      </c>
      <c r="C63" s="6" t="inlineStr">
        <is>
          <t>Módulo 01</t>
        </is>
      </c>
      <c r="D63" s="6" t="inlineStr">
        <is>
          <t>Kar</t>
        </is>
      </c>
      <c r="E63" s="7" t="n">
        <v>930</v>
      </c>
      <c r="F63" s="20" t="inlineStr">
        <is>
          <t>SIM</t>
        </is>
      </c>
      <c r="G63" s="15">
        <f>IF(OR($E63="",$F63=""),"",IF(UPPER($F63)="SIM",$E63*FATOR_HID,0))</f>
        <v/>
      </c>
      <c r="H63" s="37" t="n">
        <v>368</v>
      </c>
      <c r="I63" s="20" t="inlineStr">
        <is>
          <t>Disponivel</t>
        </is>
      </c>
      <c r="J63" s="10" t="inlineStr"/>
      <c r="K63" s="19" t="inlineStr"/>
    </row>
    <row r="64">
      <c r="A64" s="5" t="inlineStr">
        <is>
          <t>Unificada 4/5</t>
        </is>
      </c>
      <c r="B64" s="6" t="inlineStr">
        <is>
          <t>B26</t>
        </is>
      </c>
      <c r="C64" s="6" t="inlineStr">
        <is>
          <t>Módulo 01</t>
        </is>
      </c>
      <c r="D64" s="6" t="inlineStr">
        <is>
          <t>Kar</t>
        </is>
      </c>
      <c r="E64" s="7" t="n">
        <v>930</v>
      </c>
      <c r="F64" s="20" t="inlineStr">
        <is>
          <t>SIM</t>
        </is>
      </c>
      <c r="G64" s="15">
        <f>IF(OR($E64="",$F64=""),"",IF(UPPER($F64)="SIM",$E64*FATOR_HID,0))</f>
        <v/>
      </c>
      <c r="H64" s="37" t="n">
        <v>368</v>
      </c>
      <c r="I64" s="20" t="inlineStr">
        <is>
          <t>Disponivel</t>
        </is>
      </c>
      <c r="J64" s="10" t="inlineStr"/>
      <c r="K64" s="19" t="inlineStr"/>
    </row>
    <row r="65">
      <c r="A65" s="5" t="inlineStr">
        <is>
          <t>Unificada 4/5</t>
        </is>
      </c>
      <c r="B65" s="6" t="inlineStr">
        <is>
          <t>B28</t>
        </is>
      </c>
      <c r="C65" s="6" t="inlineStr">
        <is>
          <t>Módulo 01</t>
        </is>
      </c>
      <c r="D65" s="6" t="inlineStr">
        <is>
          <t>Kar</t>
        </is>
      </c>
      <c r="E65" s="7" t="n">
        <v>930</v>
      </c>
      <c r="F65" s="20" t="inlineStr">
        <is>
          <t>SIM</t>
        </is>
      </c>
      <c r="G65" s="15">
        <f>IF(OR($E65="",$F65=""),"",IF(UPPER($F65)="SIM",$E65*FATOR_HID,0))</f>
        <v/>
      </c>
      <c r="H65" s="37" t="n">
        <v>368</v>
      </c>
      <c r="I65" s="20" t="inlineStr">
        <is>
          <t>Disponivel</t>
        </is>
      </c>
      <c r="J65" s="10" t="inlineStr"/>
      <c r="K65" s="19" t="inlineStr"/>
    </row>
    <row r="66">
      <c r="A66" s="5" t="inlineStr">
        <is>
          <t>Elevatória G e K</t>
        </is>
      </c>
      <c r="B66" s="6" t="inlineStr">
        <is>
          <t>B1</t>
        </is>
      </c>
      <c r="C66" s="6" t="inlineStr">
        <is>
          <t>Módulo 02</t>
        </is>
      </c>
      <c r="D66" s="6" t="inlineStr">
        <is>
          <t>Kar</t>
        </is>
      </c>
      <c r="E66" s="7" t="n">
        <v>542</v>
      </c>
      <c r="F66" s="20" t="inlineStr">
        <is>
          <t>SIM</t>
        </is>
      </c>
      <c r="G66" s="15">
        <f>IF(OR($E66="",$F66=""),"",IF(UPPER($F66)="SIM",$E66*FATOR_HID,0))</f>
        <v/>
      </c>
      <c r="H66" s="37" t="n">
        <v>184</v>
      </c>
      <c r="I66" s="20" t="inlineStr">
        <is>
          <t>Disponivel</t>
        </is>
      </c>
      <c r="J66" s="10" t="inlineStr"/>
      <c r="K66" s="19" t="inlineStr"/>
    </row>
    <row r="67">
      <c r="A67" s="5" t="inlineStr">
        <is>
          <t>Elevatória G e K</t>
        </is>
      </c>
      <c r="B67" s="6" t="inlineStr">
        <is>
          <t>B2</t>
        </is>
      </c>
      <c r="C67" s="6" t="inlineStr">
        <is>
          <t>Módulo 02</t>
        </is>
      </c>
      <c r="D67" s="6" t="inlineStr">
        <is>
          <t>Kar</t>
        </is>
      </c>
      <c r="E67" s="7" t="n">
        <v>542</v>
      </c>
      <c r="F67" s="20" t="inlineStr">
        <is>
          <t>SIM</t>
        </is>
      </c>
      <c r="G67" s="15">
        <f>IF(OR($E67="",$F67=""),"",IF(UPPER($F67)="SIM",$E67*FATOR_HID,0))</f>
        <v/>
      </c>
      <c r="H67" s="37" t="n">
        <v>184</v>
      </c>
      <c r="I67" s="20" t="inlineStr">
        <is>
          <t>Disponivel</t>
        </is>
      </c>
      <c r="J67" s="10" t="inlineStr"/>
      <c r="K67" s="19" t="inlineStr"/>
    </row>
    <row r="68">
      <c r="A68" s="5" t="inlineStr">
        <is>
          <t>Elevatória G e K</t>
        </is>
      </c>
      <c r="B68" s="6" t="inlineStr">
        <is>
          <t>B3</t>
        </is>
      </c>
      <c r="C68" s="6" t="inlineStr">
        <is>
          <t>Módulo 02</t>
        </is>
      </c>
      <c r="D68" s="6" t="inlineStr">
        <is>
          <t>Kar</t>
        </is>
      </c>
      <c r="E68" s="7" t="n">
        <v>542</v>
      </c>
      <c r="F68" s="20" t="inlineStr">
        <is>
          <t>SIM</t>
        </is>
      </c>
      <c r="G68" s="15">
        <f>IF(OR($E68="",$F68=""),"",IF(UPPER($F68)="SIM",$E68*FATOR_HID,0))</f>
        <v/>
      </c>
      <c r="H68" s="37" t="n">
        <v>184</v>
      </c>
      <c r="I68" s="20" t="inlineStr">
        <is>
          <t>Disponivel</t>
        </is>
      </c>
      <c r="J68" s="10" t="inlineStr"/>
      <c r="K68" s="19" t="inlineStr"/>
    </row>
    <row r="69">
      <c r="A69" s="5" t="inlineStr">
        <is>
          <t>Elevatória G e K</t>
        </is>
      </c>
      <c r="B69" s="6" t="inlineStr">
        <is>
          <t>B4</t>
        </is>
      </c>
      <c r="C69" s="6" t="inlineStr">
        <is>
          <t>Módulo 02</t>
        </is>
      </c>
      <c r="D69" s="6" t="inlineStr">
        <is>
          <t>Kar</t>
        </is>
      </c>
      <c r="E69" s="7" t="n">
        <v>542</v>
      </c>
      <c r="F69" s="20" t="inlineStr">
        <is>
          <t>SIM</t>
        </is>
      </c>
      <c r="G69" s="15">
        <f>IF(OR($E69="",$F69=""),"",IF(UPPER($F69)="SIM",$E69*FATOR_HID,0))</f>
        <v/>
      </c>
      <c r="H69" s="37" t="n">
        <v>184</v>
      </c>
      <c r="I69" s="20" t="inlineStr">
        <is>
          <t>Disponivel</t>
        </is>
      </c>
      <c r="J69" s="10" t="inlineStr"/>
      <c r="K69" s="19" t="inlineStr"/>
    </row>
    <row r="70">
      <c r="A70" s="5" t="inlineStr">
        <is>
          <t>Elevatória G e K</t>
        </is>
      </c>
      <c r="B70" s="6" t="inlineStr">
        <is>
          <t>B5</t>
        </is>
      </c>
      <c r="C70" s="6" t="inlineStr">
        <is>
          <t>Módulo 02</t>
        </is>
      </c>
      <c r="D70" s="6" t="inlineStr">
        <is>
          <t>Kar</t>
        </is>
      </c>
      <c r="E70" s="7" t="n">
        <v>542</v>
      </c>
      <c r="F70" s="20" t="inlineStr">
        <is>
          <t>SIM</t>
        </is>
      </c>
      <c r="G70" s="15">
        <f>IF(OR($E70="",$F70=""),"",IF(UPPER($F70)="SIM",$E70*FATOR_HID,0))</f>
        <v/>
      </c>
      <c r="H70" s="37" t="n">
        <v>184</v>
      </c>
      <c r="I70" s="20" t="inlineStr">
        <is>
          <t>Disponivel</t>
        </is>
      </c>
      <c r="J70" s="10" t="inlineStr"/>
      <c r="K70" s="19" t="inlineStr"/>
    </row>
    <row r="71">
      <c r="A71" s="5" t="inlineStr">
        <is>
          <t>Elevatória G e K</t>
        </is>
      </c>
      <c r="B71" s="6" t="inlineStr">
        <is>
          <t>B6</t>
        </is>
      </c>
      <c r="C71" s="6" t="inlineStr">
        <is>
          <t>Módulo 02</t>
        </is>
      </c>
      <c r="D71" s="6" t="inlineStr">
        <is>
          <t>Kar</t>
        </is>
      </c>
      <c r="E71" s="7" t="n">
        <v>542</v>
      </c>
      <c r="F71" s="20" t="inlineStr">
        <is>
          <t>SIM</t>
        </is>
      </c>
      <c r="G71" s="15">
        <f>IF(OR($E71="",$F71=""),"",IF(UPPER($F71)="SIM",$E71*FATOR_HID,0))</f>
        <v/>
      </c>
      <c r="H71" s="37" t="n">
        <v>184</v>
      </c>
      <c r="I71" s="20" t="inlineStr">
        <is>
          <t>Disponivel</t>
        </is>
      </c>
      <c r="J71" s="10" t="inlineStr"/>
      <c r="K71" s="19" t="inlineStr"/>
    </row>
    <row r="72">
      <c r="A72" s="5" t="inlineStr">
        <is>
          <t>Elevatória G e K</t>
        </is>
      </c>
      <c r="B72" s="6" t="inlineStr">
        <is>
          <t>B7</t>
        </is>
      </c>
      <c r="C72" s="6" t="inlineStr">
        <is>
          <t>Módulo 02</t>
        </is>
      </c>
      <c r="D72" s="6" t="inlineStr">
        <is>
          <t>Kar</t>
        </is>
      </c>
      <c r="E72" s="7" t="n">
        <v>542</v>
      </c>
      <c r="F72" s="20" t="inlineStr">
        <is>
          <t>SIM</t>
        </is>
      </c>
      <c r="G72" s="15">
        <f>IF(OR($E72="",$F72=""),"",IF(UPPER($F72)="SIM",$E72*FATOR_HID,0))</f>
        <v/>
      </c>
      <c r="H72" s="37" t="n">
        <v>184</v>
      </c>
      <c r="I72" s="20" t="inlineStr">
        <is>
          <t>Disponivel</t>
        </is>
      </c>
      <c r="J72" s="10" t="inlineStr"/>
      <c r="K72" s="19" t="inlineStr"/>
    </row>
    <row r="73">
      <c r="A73" s="5" t="inlineStr">
        <is>
          <t>Elevatória G e K</t>
        </is>
      </c>
      <c r="B73" s="6" t="inlineStr">
        <is>
          <t>B8</t>
        </is>
      </c>
      <c r="C73" s="6" t="inlineStr">
        <is>
          <t>Módulo 02</t>
        </is>
      </c>
      <c r="D73" s="6" t="inlineStr">
        <is>
          <t>Kar</t>
        </is>
      </c>
      <c r="E73" s="7" t="n">
        <v>542</v>
      </c>
      <c r="F73" s="20" t="inlineStr">
        <is>
          <t>SIM</t>
        </is>
      </c>
      <c r="G73" s="15">
        <f>IF(OR($E73="",$F73=""),"",IF(UPPER($F73)="SIM",$E73*FATOR_HID,0))</f>
        <v/>
      </c>
      <c r="H73" s="37" t="n">
        <v>184</v>
      </c>
      <c r="I73" s="20" t="inlineStr">
        <is>
          <t>Disponivel</t>
        </is>
      </c>
      <c r="J73" s="10" t="inlineStr"/>
      <c r="K73" s="19" t="inlineStr"/>
    </row>
    <row r="74">
      <c r="A74" s="5" t="inlineStr">
        <is>
          <t>Elevatória G e K</t>
        </is>
      </c>
      <c r="B74" s="6" t="inlineStr">
        <is>
          <t>B9</t>
        </is>
      </c>
      <c r="C74" s="6" t="inlineStr">
        <is>
          <t>Módulo 02</t>
        </is>
      </c>
      <c r="D74" s="6" t="inlineStr">
        <is>
          <t>Kar</t>
        </is>
      </c>
      <c r="E74" s="7" t="n">
        <v>542</v>
      </c>
      <c r="F74" s="20" t="inlineStr">
        <is>
          <t>SIM</t>
        </is>
      </c>
      <c r="G74" s="15">
        <f>IF(OR($E74="",$F74=""),"",IF(UPPER($F74)="SIM",$E74*FATOR_HID,0))</f>
        <v/>
      </c>
      <c r="H74" s="37" t="n">
        <v>184</v>
      </c>
      <c r="I74" s="20" t="inlineStr">
        <is>
          <t>Disponivel</t>
        </is>
      </c>
      <c r="J74" s="10" t="inlineStr"/>
      <c r="K74" s="19" t="inlineStr"/>
    </row>
    <row r="75">
      <c r="A75" s="5" t="inlineStr">
        <is>
          <t>Elevatória G e K</t>
        </is>
      </c>
      <c r="B75" s="6" t="inlineStr">
        <is>
          <t>B10</t>
        </is>
      </c>
      <c r="C75" s="6" t="inlineStr">
        <is>
          <t>Módulo 02</t>
        </is>
      </c>
      <c r="D75" s="6" t="inlineStr">
        <is>
          <t>Kar</t>
        </is>
      </c>
      <c r="E75" s="7" t="n">
        <v>542</v>
      </c>
      <c r="F75" s="20" t="inlineStr">
        <is>
          <t>SIM</t>
        </is>
      </c>
      <c r="G75" s="15">
        <f>IF(OR($E75="",$F75=""),"",IF(UPPER($F75)="SIM",$E75*FATOR_HID,0))</f>
        <v/>
      </c>
      <c r="H75" s="37" t="n">
        <v>184</v>
      </c>
      <c r="I75" s="20" t="inlineStr">
        <is>
          <t>Disponivel</t>
        </is>
      </c>
      <c r="J75" s="10" t="inlineStr"/>
      <c r="K75" s="19" t="inlineStr"/>
    </row>
    <row r="76">
      <c r="A76" s="5" t="inlineStr">
        <is>
          <t>Elevatória G e K</t>
        </is>
      </c>
      <c r="B76" s="6" t="inlineStr">
        <is>
          <t>B11</t>
        </is>
      </c>
      <c r="C76" s="6" t="inlineStr">
        <is>
          <t>Módulo 02</t>
        </is>
      </c>
      <c r="D76" s="6" t="inlineStr">
        <is>
          <t>Kar</t>
        </is>
      </c>
      <c r="E76" s="7" t="n">
        <v>542</v>
      </c>
      <c r="F76" s="20" t="inlineStr">
        <is>
          <t>SIM</t>
        </is>
      </c>
      <c r="G76" s="15">
        <f>IF(OR($E76="",$F76=""),"",IF(UPPER($F76)="SIM",$E76*FATOR_HID,0))</f>
        <v/>
      </c>
      <c r="H76" s="37" t="n">
        <v>184</v>
      </c>
      <c r="I76" s="20" t="inlineStr">
        <is>
          <t>Disponivel</t>
        </is>
      </c>
      <c r="J76" s="10" t="inlineStr"/>
      <c r="K76" s="19" t="inlineStr"/>
    </row>
    <row r="77">
      <c r="A77" s="5" t="inlineStr">
        <is>
          <t>Elevatória G e K</t>
        </is>
      </c>
      <c r="B77" s="6" t="inlineStr">
        <is>
          <t>B12</t>
        </is>
      </c>
      <c r="C77" s="6" t="inlineStr">
        <is>
          <t>Módulo 02</t>
        </is>
      </c>
      <c r="D77" s="6" t="inlineStr">
        <is>
          <t>Kar</t>
        </is>
      </c>
      <c r="E77" s="7" t="n">
        <v>542</v>
      </c>
      <c r="F77" s="20" t="inlineStr">
        <is>
          <t>SIM</t>
        </is>
      </c>
      <c r="G77" s="15">
        <f>IF(OR($E77="",$F77=""),"",IF(UPPER($F77)="SIM",$E77*FATOR_HID,0))</f>
        <v/>
      </c>
      <c r="H77" s="37" t="n">
        <v>184</v>
      </c>
      <c r="I77" s="20" t="inlineStr">
        <is>
          <t>Disponivel</t>
        </is>
      </c>
      <c r="J77" s="10" t="inlineStr"/>
      <c r="K77" s="19" t="inlineStr"/>
    </row>
    <row r="78">
      <c r="A78" s="5" t="inlineStr">
        <is>
          <t>Elevatória G e K</t>
        </is>
      </c>
      <c r="B78" s="6" t="inlineStr">
        <is>
          <t>B13</t>
        </is>
      </c>
      <c r="C78" s="6" t="inlineStr">
        <is>
          <t>Módulo 02</t>
        </is>
      </c>
      <c r="D78" s="6" t="inlineStr">
        <is>
          <t>Kar</t>
        </is>
      </c>
      <c r="E78" s="7" t="n">
        <v>542</v>
      </c>
      <c r="F78" s="20" t="inlineStr">
        <is>
          <t>SIM</t>
        </is>
      </c>
      <c r="G78" s="15">
        <f>IF(OR($E78="",$F78=""),"",IF(UPPER($F78)="SIM",$E78*FATOR_HID,0))</f>
        <v/>
      </c>
      <c r="H78" s="37" t="n">
        <v>184</v>
      </c>
      <c r="I78" s="20" t="inlineStr">
        <is>
          <t>Disponivel</t>
        </is>
      </c>
      <c r="J78" s="10" t="inlineStr"/>
      <c r="K78" s="19" t="inlineStr"/>
    </row>
    <row r="79">
      <c r="A79" s="5" t="inlineStr">
        <is>
          <t>Elevatória G e K</t>
        </is>
      </c>
      <c r="B79" s="6" t="inlineStr">
        <is>
          <t>B14</t>
        </is>
      </c>
      <c r="C79" s="6" t="inlineStr">
        <is>
          <t>Módulo 02</t>
        </is>
      </c>
      <c r="D79" s="6" t="inlineStr">
        <is>
          <t>Kar</t>
        </is>
      </c>
      <c r="E79" s="7" t="n">
        <v>542</v>
      </c>
      <c r="F79" s="20" t="inlineStr">
        <is>
          <t>SIM</t>
        </is>
      </c>
      <c r="G79" s="15">
        <f>IF(OR($E79="",$F79=""),"",IF(UPPER($F79)="SIM",$E79*FATOR_HID,0))</f>
        <v/>
      </c>
      <c r="H79" s="37" t="n">
        <v>184</v>
      </c>
      <c r="I79" s="20" t="inlineStr">
        <is>
          <t>Disponivel</t>
        </is>
      </c>
      <c r="J79" s="10" t="inlineStr"/>
      <c r="K79" s="19" t="inlineStr"/>
    </row>
    <row r="80">
      <c r="A80" s="5" t="inlineStr">
        <is>
          <t>Elevatória G e K</t>
        </is>
      </c>
      <c r="B80" s="6" t="inlineStr">
        <is>
          <t>B15</t>
        </is>
      </c>
      <c r="C80" s="6" t="inlineStr">
        <is>
          <t>Módulo 02</t>
        </is>
      </c>
      <c r="D80" s="6" t="inlineStr">
        <is>
          <t>Kar</t>
        </is>
      </c>
      <c r="E80" s="7" t="n">
        <v>542</v>
      </c>
      <c r="F80" s="20" t="inlineStr">
        <is>
          <t>SIM</t>
        </is>
      </c>
      <c r="G80" s="15">
        <f>IF(OR($E80="",$F80=""),"",IF(UPPER($F80)="SIM",$E80*FATOR_HID,0))</f>
        <v/>
      </c>
      <c r="H80" s="37" t="n">
        <v>184</v>
      </c>
      <c r="I80" s="20" t="inlineStr">
        <is>
          <t>Disponivel</t>
        </is>
      </c>
      <c r="J80" s="10" t="inlineStr"/>
      <c r="K80" s="19" t="inlineStr"/>
    </row>
    <row r="81">
      <c r="A81" s="5" t="inlineStr">
        <is>
          <t>Elevatória G e K</t>
        </is>
      </c>
      <c r="B81" s="6" t="inlineStr">
        <is>
          <t>B16</t>
        </is>
      </c>
      <c r="C81" s="6" t="inlineStr">
        <is>
          <t>Módulo 02</t>
        </is>
      </c>
      <c r="D81" s="6" t="inlineStr">
        <is>
          <t>Kar</t>
        </is>
      </c>
      <c r="E81" s="7" t="n">
        <v>542</v>
      </c>
      <c r="F81" s="20" t="inlineStr">
        <is>
          <t>SIM</t>
        </is>
      </c>
      <c r="G81" s="15">
        <f>IF(OR($E81="",$F81=""),"",IF(UPPER($F81)="SIM",$E81*FATOR_HID,0))</f>
        <v/>
      </c>
      <c r="H81" s="37" t="n">
        <v>184</v>
      </c>
      <c r="I81" s="20" t="inlineStr">
        <is>
          <t>Disponivel</t>
        </is>
      </c>
      <c r="J81" s="10" t="inlineStr"/>
      <c r="K81" s="19" t="inlineStr"/>
    </row>
    <row r="82">
      <c r="A82" s="5" t="inlineStr">
        <is>
          <t>Elevatória G e K</t>
        </is>
      </c>
      <c r="B82" s="6" t="inlineStr">
        <is>
          <t>B17</t>
        </is>
      </c>
      <c r="C82" s="6" t="inlineStr">
        <is>
          <t>Módulo 02</t>
        </is>
      </c>
      <c r="D82" s="6" t="inlineStr">
        <is>
          <t>Kar</t>
        </is>
      </c>
      <c r="E82" s="7" t="n">
        <v>542</v>
      </c>
      <c r="F82" s="20" t="inlineStr">
        <is>
          <t>SIM</t>
        </is>
      </c>
      <c r="G82" s="15">
        <f>IF(OR($E82="",$F82=""),"",IF(UPPER($F82)="SIM",$E82*FATOR_HID,0))</f>
        <v/>
      </c>
      <c r="H82" s="37" t="n">
        <v>184</v>
      </c>
      <c r="I82" s="20" t="inlineStr">
        <is>
          <t>Disponivel</t>
        </is>
      </c>
      <c r="J82" s="10" t="inlineStr"/>
      <c r="K82" s="19" t="inlineStr"/>
    </row>
    <row r="83">
      <c r="A83" s="5" t="inlineStr">
        <is>
          <t>Elevatória G e K</t>
        </is>
      </c>
      <c r="B83" s="6" t="inlineStr">
        <is>
          <t>B18</t>
        </is>
      </c>
      <c r="C83" s="6" t="inlineStr">
        <is>
          <t>Módulo 02</t>
        </is>
      </c>
      <c r="D83" s="6" t="inlineStr">
        <is>
          <t>Kar</t>
        </is>
      </c>
      <c r="E83" s="7" t="n">
        <v>542</v>
      </c>
      <c r="F83" s="20" t="inlineStr">
        <is>
          <t>SIM</t>
        </is>
      </c>
      <c r="G83" s="15">
        <f>IF(OR($E83="",$F83=""),"",IF(UPPER($F83)="SIM",$E83*FATOR_HID,0))</f>
        <v/>
      </c>
      <c r="H83" s="37" t="n">
        <v>184</v>
      </c>
      <c r="I83" s="20" t="inlineStr">
        <is>
          <t>Disponivel</t>
        </is>
      </c>
      <c r="J83" s="10" t="inlineStr"/>
      <c r="K83" s="19" t="inlineStr"/>
    </row>
    <row r="84">
      <c r="A84" s="5" t="inlineStr">
        <is>
          <t>Elevatória G e K</t>
        </is>
      </c>
      <c r="B84" s="6" t="inlineStr">
        <is>
          <t>B19</t>
        </is>
      </c>
      <c r="C84" s="6" t="inlineStr">
        <is>
          <t>Módulo 02</t>
        </is>
      </c>
      <c r="D84" s="6" t="inlineStr">
        <is>
          <t>Kar</t>
        </is>
      </c>
      <c r="E84" s="7" t="n">
        <v>542</v>
      </c>
      <c r="F84" s="20" t="inlineStr">
        <is>
          <t>SIM</t>
        </is>
      </c>
      <c r="G84" s="15">
        <f>IF(OR($E84="",$F84=""),"",IF(UPPER($F84)="SIM",$E84*FATOR_HID,0))</f>
        <v/>
      </c>
      <c r="H84" s="37" t="n">
        <v>184</v>
      </c>
      <c r="I84" s="20" t="inlineStr">
        <is>
          <t>Disponivel</t>
        </is>
      </c>
      <c r="J84" s="10" t="inlineStr"/>
      <c r="K84" s="19" t="inlineStr"/>
    </row>
    <row r="85">
      <c r="A85" s="5" t="inlineStr">
        <is>
          <t>Elevatória G e K</t>
        </is>
      </c>
      <c r="B85" s="6" t="inlineStr">
        <is>
          <t>B20</t>
        </is>
      </c>
      <c r="C85" s="6" t="inlineStr">
        <is>
          <t>Módulo 02</t>
        </is>
      </c>
      <c r="D85" s="6" t="inlineStr">
        <is>
          <t>Kar</t>
        </is>
      </c>
      <c r="E85" s="7" t="n">
        <v>542</v>
      </c>
      <c r="F85" s="20" t="inlineStr">
        <is>
          <t>SIM</t>
        </is>
      </c>
      <c r="G85" s="15">
        <f>IF(OR($E85="",$F85=""),"",IF(UPPER($F85)="SIM",$E85*FATOR_HID,0))</f>
        <v/>
      </c>
      <c r="H85" s="37" t="n">
        <v>184</v>
      </c>
      <c r="I85" s="20" t="inlineStr">
        <is>
          <t>Disponivel</t>
        </is>
      </c>
      <c r="J85" s="10" t="inlineStr"/>
      <c r="K85" s="19" t="inlineStr"/>
    </row>
    <row r="86">
      <c r="A86" s="5" t="inlineStr">
        <is>
          <t>Elevatória G e K</t>
        </is>
      </c>
      <c r="B86" s="6" t="inlineStr">
        <is>
          <t>B21</t>
        </is>
      </c>
      <c r="C86" s="6" t="inlineStr">
        <is>
          <t>Módulo 02</t>
        </is>
      </c>
      <c r="D86" s="6" t="inlineStr">
        <is>
          <t>Kar</t>
        </is>
      </c>
      <c r="E86" s="7" t="n">
        <v>542</v>
      </c>
      <c r="F86" s="20" t="inlineStr">
        <is>
          <t>SIM</t>
        </is>
      </c>
      <c r="G86" s="15">
        <f>IF(OR($E86="",$F86=""),"",IF(UPPER($F86)="SIM",$E86*FATOR_HID,0))</f>
        <v/>
      </c>
      <c r="H86" s="37" t="n">
        <v>184</v>
      </c>
      <c r="I86" s="20" t="inlineStr">
        <is>
          <t>Disponivel</t>
        </is>
      </c>
      <c r="J86" s="10" t="inlineStr"/>
      <c r="K86" s="19" t="inlineStr"/>
    </row>
    <row r="87">
      <c r="A87" s="5" t="inlineStr">
        <is>
          <t>Elevatória G e K</t>
        </is>
      </c>
      <c r="B87" s="6" t="inlineStr">
        <is>
          <t>B22</t>
        </is>
      </c>
      <c r="C87" s="6" t="inlineStr">
        <is>
          <t>Módulo 02</t>
        </is>
      </c>
      <c r="D87" s="6" t="inlineStr">
        <is>
          <t>Kar</t>
        </is>
      </c>
      <c r="E87" s="7" t="n">
        <v>542</v>
      </c>
      <c r="F87" s="20" t="inlineStr">
        <is>
          <t>SIM</t>
        </is>
      </c>
      <c r="G87" s="15">
        <f>IF(OR($E87="",$F87=""),"",IF(UPPER($F87)="SIM",$E87*FATOR_HID,0))</f>
        <v/>
      </c>
      <c r="H87" s="37" t="n">
        <v>184</v>
      </c>
      <c r="I87" s="20" t="inlineStr">
        <is>
          <t>Disponivel</t>
        </is>
      </c>
      <c r="J87" s="10" t="inlineStr"/>
      <c r="K87" s="19" t="inlineStr"/>
    </row>
    <row r="88">
      <c r="A88" s="5" t="inlineStr">
        <is>
          <t>Elevatória G e K</t>
        </is>
      </c>
      <c r="B88" s="6" t="inlineStr">
        <is>
          <t>B23</t>
        </is>
      </c>
      <c r="C88" s="6" t="inlineStr">
        <is>
          <t>Módulo 02</t>
        </is>
      </c>
      <c r="D88" s="6" t="inlineStr">
        <is>
          <t>Kar</t>
        </is>
      </c>
      <c r="E88" s="7" t="n">
        <v>542</v>
      </c>
      <c r="F88" s="20" t="inlineStr">
        <is>
          <t>SIM</t>
        </is>
      </c>
      <c r="G88" s="15">
        <f>IF(OR($E88="",$F88=""),"",IF(UPPER($F88)="SIM",$E88*FATOR_HID,0))</f>
        <v/>
      </c>
      <c r="H88" s="37" t="n">
        <v>184</v>
      </c>
      <c r="I88" s="20" t="inlineStr">
        <is>
          <t>Disponivel</t>
        </is>
      </c>
      <c r="J88" s="10" t="inlineStr"/>
      <c r="K88" s="19" t="inlineStr"/>
    </row>
    <row r="89">
      <c r="A89" s="5" t="inlineStr">
        <is>
          <t>Elevatória G e K</t>
        </is>
      </c>
      <c r="B89" s="6" t="inlineStr">
        <is>
          <t>B24</t>
        </is>
      </c>
      <c r="C89" s="6" t="inlineStr">
        <is>
          <t>Módulo 02</t>
        </is>
      </c>
      <c r="D89" s="6" t="inlineStr">
        <is>
          <t>Kar</t>
        </is>
      </c>
      <c r="E89" s="7" t="n">
        <v>542</v>
      </c>
      <c r="F89" s="20" t="inlineStr">
        <is>
          <t>SIM</t>
        </is>
      </c>
      <c r="G89" s="15">
        <f>IF(OR($E89="",$F89=""),"",IF(UPPER($F89)="SIM",$E89*FATOR_HID,0))</f>
        <v/>
      </c>
      <c r="H89" s="37" t="n">
        <v>184</v>
      </c>
      <c r="I89" s="20" t="inlineStr">
        <is>
          <t>Disponivel</t>
        </is>
      </c>
      <c r="J89" s="10" t="inlineStr"/>
      <c r="K89" s="19" t="inlineStr"/>
    </row>
    <row r="90">
      <c r="A90" s="5" t="inlineStr">
        <is>
          <t>R12 - Transposição</t>
        </is>
      </c>
      <c r="B90" s="6" t="inlineStr">
        <is>
          <t>B1</t>
        </is>
      </c>
      <c r="C90" s="6" t="inlineStr">
        <is>
          <t>Módulo 02</t>
        </is>
      </c>
      <c r="D90" s="6" t="inlineStr">
        <is>
          <t>Kar</t>
        </is>
      </c>
      <c r="E90" s="7" t="n">
        <v>700</v>
      </c>
      <c r="F90" s="20" t="inlineStr">
        <is>
          <t>SIM</t>
        </is>
      </c>
      <c r="G90" s="15">
        <f>IF(OR($E90="",$F90=""),"",IF(UPPER($F90)="SIM",$E90*FATOR_HID,0))</f>
        <v/>
      </c>
      <c r="H90" s="37" t="n">
        <v>74.5699872</v>
      </c>
      <c r="I90" s="20" t="inlineStr">
        <is>
          <t>Disponivel</t>
        </is>
      </c>
      <c r="J90" s="10" t="inlineStr"/>
      <c r="K90" s="19" t="inlineStr"/>
    </row>
    <row r="91">
      <c r="A91" s="5" t="inlineStr">
        <is>
          <t>R12 - Transposição</t>
        </is>
      </c>
      <c r="B91" s="6" t="inlineStr">
        <is>
          <t>B2</t>
        </is>
      </c>
      <c r="C91" s="6" t="inlineStr">
        <is>
          <t>Módulo 02</t>
        </is>
      </c>
      <c r="D91" s="6" t="inlineStr">
        <is>
          <t>Kar</t>
        </is>
      </c>
      <c r="E91" s="7" t="n">
        <v>700</v>
      </c>
      <c r="F91" s="20" t="inlineStr">
        <is>
          <t>SIM</t>
        </is>
      </c>
      <c r="G91" s="15">
        <f>IF(OR($E91="",$F91=""),"",IF(UPPER($F91)="SIM",$E91*FATOR_HID,0))</f>
        <v/>
      </c>
      <c r="H91" s="37" t="n">
        <v>74.5699872</v>
      </c>
      <c r="I91" s="20" t="inlineStr">
        <is>
          <t>Disponivel</t>
        </is>
      </c>
      <c r="J91" s="10" t="inlineStr"/>
      <c r="K91" s="19" t="inlineStr"/>
    </row>
    <row r="92">
      <c r="A92" s="5" t="inlineStr">
        <is>
          <t>R12 - Transposição</t>
        </is>
      </c>
      <c r="B92" s="6" t="inlineStr">
        <is>
          <t>B3</t>
        </is>
      </c>
      <c r="C92" s="6" t="inlineStr">
        <is>
          <t>Módulo 02</t>
        </is>
      </c>
      <c r="D92" s="6" t="inlineStr">
        <is>
          <t>Kar</t>
        </is>
      </c>
      <c r="E92" s="7" t="n">
        <v>700</v>
      </c>
      <c r="F92" s="20" t="inlineStr">
        <is>
          <t>SIM</t>
        </is>
      </c>
      <c r="G92" s="15">
        <f>IF(OR($E92="",$F92=""),"",IF(UPPER($F92)="SIM",$E92*FATOR_HID,0))</f>
        <v/>
      </c>
      <c r="H92" s="37" t="n">
        <v>74.5699872</v>
      </c>
      <c r="I92" s="20" t="inlineStr">
        <is>
          <t>Disponivel</t>
        </is>
      </c>
      <c r="J92" s="10" t="inlineStr"/>
      <c r="K92" s="19" t="inlineStr"/>
    </row>
    <row r="93">
      <c r="A93" s="5" t="inlineStr">
        <is>
          <t>Balça - M2/M1</t>
        </is>
      </c>
      <c r="B93" s="6" t="inlineStr">
        <is>
          <t>B1/B2</t>
        </is>
      </c>
      <c r="C93" s="6" t="inlineStr">
        <is>
          <t>Módulo 02</t>
        </is>
      </c>
      <c r="D93" s="6" t="inlineStr">
        <is>
          <t>Kar</t>
        </is>
      </c>
      <c r="E93" s="7" t="n">
        <v>6500</v>
      </c>
      <c r="F93" s="20" t="inlineStr">
        <is>
          <t>SIM</t>
        </is>
      </c>
      <c r="G93" s="15">
        <f>IF(OR($E93="",$F93=""),"",IF(UPPER($F93)="SIM",$E93*FATOR_HID,0))</f>
        <v/>
      </c>
      <c r="H93" s="37" t="n">
        <v>223.7099616</v>
      </c>
      <c r="I93" s="20" t="inlineStr">
        <is>
          <t>Disponivel</t>
        </is>
      </c>
      <c r="J93" s="10" t="inlineStr"/>
      <c r="K93" s="19" t="inlineStr"/>
    </row>
    <row r="94">
      <c r="A94" s="5" t="inlineStr">
        <is>
          <t>Balça - R16</t>
        </is>
      </c>
      <c r="B94" s="6" t="inlineStr">
        <is>
          <t>B1/B2</t>
        </is>
      </c>
      <c r="C94" s="6" t="inlineStr">
        <is>
          <t>Módulo 02</t>
        </is>
      </c>
      <c r="D94" s="6" t="inlineStr">
        <is>
          <t>Kar</t>
        </is>
      </c>
      <c r="E94" s="7" t="n">
        <v>3500</v>
      </c>
      <c r="F94" s="20" t="inlineStr">
        <is>
          <t>SIM</t>
        </is>
      </c>
      <c r="G94" s="15">
        <f>IF(OR($E94="",$F94=""),"",IF(UPPER($F94)="SIM",$E94*FATOR_HID,0))</f>
        <v/>
      </c>
      <c r="H94" s="37" t="n">
        <v>111.8549808</v>
      </c>
      <c r="I94" s="20" t="inlineStr">
        <is>
          <t>Disponivel</t>
        </is>
      </c>
      <c r="J94" s="10" t="inlineStr"/>
      <c r="K94" s="19" t="inlineStr"/>
    </row>
    <row r="95">
      <c r="A95" s="5" t="inlineStr">
        <is>
          <t>PRM 01</t>
        </is>
      </c>
      <c r="B95" s="6" t="inlineStr">
        <is>
          <t>B1</t>
        </is>
      </c>
      <c r="C95" s="6" t="inlineStr">
        <is>
          <t>Módulo 01</t>
        </is>
      </c>
      <c r="D95" s="6" t="inlineStr">
        <is>
          <t>Rdm</t>
        </is>
      </c>
      <c r="E95" s="7" t="n">
        <v>600</v>
      </c>
      <c r="F95" s="20" t="inlineStr">
        <is>
          <t>SIM</t>
        </is>
      </c>
      <c r="G95" s="15">
        <f>IF(OR($E95="",$F95=""),"",IF(UPPER($F95)="SIM",$E95*FATOR_HID,0))</f>
        <v/>
      </c>
      <c r="H95" s="37" t="n">
        <v>208.79596416</v>
      </c>
      <c r="I95" s="20" t="inlineStr">
        <is>
          <t>Disponivel</t>
        </is>
      </c>
      <c r="J95" s="10" t="inlineStr"/>
      <c r="K95" s="19" t="inlineStr"/>
    </row>
    <row r="96">
      <c r="A96" s="5" t="inlineStr">
        <is>
          <t>PRM 02</t>
        </is>
      </c>
      <c r="B96" s="6" t="inlineStr">
        <is>
          <t>B1</t>
        </is>
      </c>
      <c r="C96" s="6" t="inlineStr">
        <is>
          <t>Módulo 01</t>
        </is>
      </c>
      <c r="D96" s="6" t="inlineStr">
        <is>
          <t>Rdm</t>
        </is>
      </c>
      <c r="E96" s="7" t="n">
        <v>500</v>
      </c>
      <c r="F96" s="20" t="inlineStr">
        <is>
          <t>SIM</t>
        </is>
      </c>
      <c r="G96" s="15">
        <f>IF(OR($E96="",$F96=""),"",IF(UPPER($F96)="SIM",$E96*FATOR_HID,0))</f>
        <v/>
      </c>
      <c r="H96" s="37" t="n">
        <v>208.79596416</v>
      </c>
      <c r="I96" s="20" t="inlineStr">
        <is>
          <t>Disponivel</t>
        </is>
      </c>
      <c r="J96" s="10" t="inlineStr"/>
      <c r="K96" s="19" t="inlineStr"/>
    </row>
    <row r="97">
      <c r="A97" s="5" t="inlineStr">
        <is>
          <t>PRM 03</t>
        </is>
      </c>
      <c r="B97" s="6" t="inlineStr">
        <is>
          <t>B1</t>
        </is>
      </c>
      <c r="C97" s="6" t="inlineStr">
        <is>
          <t>Módulo 01</t>
        </is>
      </c>
      <c r="D97" s="6" t="inlineStr">
        <is>
          <t>Rdm</t>
        </is>
      </c>
      <c r="E97" s="7" t="n">
        <v>500</v>
      </c>
      <c r="F97" s="20" t="inlineStr">
        <is>
          <t>SIM</t>
        </is>
      </c>
      <c r="G97" s="15">
        <f>IF(OR($E97="",$F97=""),"",IF(UPPER($F97)="SIM",$E97*FATOR_HID,0))</f>
        <v/>
      </c>
      <c r="H97" s="37" t="n">
        <v>208.79596416</v>
      </c>
      <c r="I97" s="20" t="inlineStr">
        <is>
          <t>Disponivel</t>
        </is>
      </c>
      <c r="J97" s="10" t="inlineStr"/>
      <c r="K97" s="19" t="inlineStr"/>
    </row>
    <row r="98">
      <c r="A98" s="5" t="inlineStr">
        <is>
          <t>PRM 04</t>
        </is>
      </c>
      <c r="B98" s="6" t="inlineStr">
        <is>
          <t>B1</t>
        </is>
      </c>
      <c r="C98" s="6" t="inlineStr">
        <is>
          <t>Módulo 01</t>
        </is>
      </c>
      <c r="D98" s="6" t="inlineStr">
        <is>
          <t>Rdm</t>
        </is>
      </c>
      <c r="E98" s="7" t="n">
        <v>500</v>
      </c>
      <c r="F98" s="20" t="inlineStr">
        <is>
          <t>SIM</t>
        </is>
      </c>
      <c r="G98" s="15">
        <f>IF(OR($E98="",$F98=""),"",IF(UPPER($F98)="SIM",$E98*FATOR_HID,0))</f>
        <v/>
      </c>
      <c r="H98" s="37" t="n">
        <v>208.79596416</v>
      </c>
      <c r="I98" s="20" t="inlineStr">
        <is>
          <t>Disponivel</t>
        </is>
      </c>
      <c r="J98" s="10" t="inlineStr"/>
      <c r="K98" s="19" t="inlineStr"/>
    </row>
    <row r="99">
      <c r="A99" s="5" t="inlineStr">
        <is>
          <t>PRM 05</t>
        </is>
      </c>
      <c r="B99" s="6" t="inlineStr">
        <is>
          <t>B1</t>
        </is>
      </c>
      <c r="C99" s="6" t="inlineStr">
        <is>
          <t>Módulo 01</t>
        </is>
      </c>
      <c r="D99" s="6" t="inlineStr">
        <is>
          <t>Rdm</t>
        </is>
      </c>
      <c r="E99" s="7" t="n">
        <v>135</v>
      </c>
      <c r="F99" s="20" t="inlineStr">
        <is>
          <t>SIM</t>
        </is>
      </c>
      <c r="G99" s="15">
        <f>IF(OR($E99="",$F99=""),"",IF(UPPER($F99)="SIM",$E99*FATOR_HID,0))</f>
        <v/>
      </c>
      <c r="H99" s="37" t="n">
        <v>85.75548528</v>
      </c>
      <c r="I99" s="20" t="inlineStr">
        <is>
          <t>Disponivel</t>
        </is>
      </c>
      <c r="J99" s="10" t="inlineStr"/>
      <c r="K99" s="19" t="inlineStr"/>
    </row>
    <row r="100">
      <c r="A100" s="5" t="inlineStr">
        <is>
          <t>PRM 06</t>
        </is>
      </c>
      <c r="B100" s="6" t="inlineStr">
        <is>
          <t>B1</t>
        </is>
      </c>
      <c r="C100" s="6" t="inlineStr">
        <is>
          <t>Módulo 01</t>
        </is>
      </c>
      <c r="D100" s="6" t="inlineStr">
        <is>
          <t>Rdm</t>
        </is>
      </c>
      <c r="E100" s="7" t="n">
        <v>395</v>
      </c>
      <c r="F100" s="20" t="inlineStr">
        <is>
          <t>SIM</t>
        </is>
      </c>
      <c r="G100" s="15">
        <f>IF(OR($E100="",$F100=""),"",IF(UPPER($F100)="SIM",$E100*FATOR_HID,0))</f>
        <v/>
      </c>
      <c r="H100" s="37" t="n">
        <v>208.79596416</v>
      </c>
      <c r="I100" s="20" t="inlineStr">
        <is>
          <t>Disponivel</t>
        </is>
      </c>
      <c r="J100" s="10" t="inlineStr"/>
      <c r="K100" s="19" t="inlineStr"/>
    </row>
    <row r="101">
      <c r="A101" s="5" t="inlineStr">
        <is>
          <t>PRM 07</t>
        </is>
      </c>
      <c r="B101" s="6" t="inlineStr">
        <is>
          <t>B1</t>
        </is>
      </c>
      <c r="C101" s="6" t="inlineStr">
        <is>
          <t>Módulo 02</t>
        </is>
      </c>
      <c r="D101" s="6" t="inlineStr">
        <is>
          <t>Rdm</t>
        </is>
      </c>
      <c r="E101" s="7" t="n">
        <v>233</v>
      </c>
      <c r="F101" s="20" t="inlineStr">
        <is>
          <t>SIM</t>
        </is>
      </c>
      <c r="G101" s="15">
        <f>IF(OR($E101="",$F101=""),"",IF(UPPER($F101)="SIM",$E101*FATOR_HID,0))</f>
        <v/>
      </c>
      <c r="H101" s="37" t="n">
        <v>96.94098336</v>
      </c>
      <c r="I101" s="20" t="inlineStr">
        <is>
          <t>Disponivel</t>
        </is>
      </c>
      <c r="J101" s="10" t="inlineStr"/>
      <c r="K101" s="19" t="inlineStr"/>
    </row>
    <row r="102">
      <c r="A102" s="5" t="inlineStr">
        <is>
          <t>PRM 08</t>
        </is>
      </c>
      <c r="B102" s="6" t="inlineStr">
        <is>
          <t>B1</t>
        </is>
      </c>
      <c r="C102" s="6" t="inlineStr">
        <is>
          <t>Módulo 02</t>
        </is>
      </c>
      <c r="D102" s="6" t="inlineStr">
        <is>
          <t>Rdm</t>
        </is>
      </c>
      <c r="E102" s="7" t="n">
        <v>390</v>
      </c>
      <c r="F102" s="20" t="inlineStr">
        <is>
          <t>SIM</t>
        </is>
      </c>
      <c r="G102" s="15">
        <f>IF(OR($E102="",$F102=""),"",IF(UPPER($F102)="SIM",$E102*FATOR_HID,0))</f>
        <v/>
      </c>
      <c r="H102" s="37" t="n">
        <v>208.79596416</v>
      </c>
      <c r="I102" s="20" t="inlineStr">
        <is>
          <t>Disponivel</t>
        </is>
      </c>
      <c r="J102" s="10" t="inlineStr"/>
      <c r="K102" s="19" t="inlineStr"/>
    </row>
    <row r="103">
      <c r="A103" s="5" t="inlineStr">
        <is>
          <t>PRM 09</t>
        </is>
      </c>
      <c r="B103" s="6" t="inlineStr">
        <is>
          <t>B1</t>
        </is>
      </c>
      <c r="C103" s="6" t="inlineStr">
        <is>
          <t>Módulo 02</t>
        </is>
      </c>
      <c r="D103" s="6" t="inlineStr">
        <is>
          <t>Rdm</t>
        </is>
      </c>
      <c r="E103" s="7" t="n">
        <v>300</v>
      </c>
      <c r="F103" s="20" t="inlineStr">
        <is>
          <t>SIM</t>
        </is>
      </c>
      <c r="G103" s="15">
        <f>IF(OR($E103="",$F103=""),"",IF(UPPER($F103)="SIM",$E103*FATOR_HID,0))</f>
        <v/>
      </c>
      <c r="H103" s="37" t="n">
        <v>208.79596416</v>
      </c>
      <c r="I103" s="20" t="inlineStr">
        <is>
          <t>Disponivel</t>
        </is>
      </c>
      <c r="J103" s="10" t="inlineStr"/>
      <c r="K103" s="19" t="inlineStr"/>
    </row>
    <row r="104">
      <c r="A104" s="5" t="inlineStr">
        <is>
          <t>PRM 10</t>
        </is>
      </c>
      <c r="B104" s="6" t="inlineStr">
        <is>
          <t>B1</t>
        </is>
      </c>
      <c r="C104" s="6" t="inlineStr">
        <is>
          <t>Módulo 02</t>
        </is>
      </c>
      <c r="D104" s="6" t="inlineStr">
        <is>
          <t>Rdm</t>
        </is>
      </c>
      <c r="E104" s="7" t="n">
        <v>190</v>
      </c>
      <c r="F104" s="20" t="inlineStr">
        <is>
          <t>SIM</t>
        </is>
      </c>
      <c r="G104" s="15">
        <f>IF(OR($E104="",$F104=""),"",IF(UPPER($F104)="SIM",$E104*FATOR_HID,0))</f>
        <v/>
      </c>
      <c r="H104" s="37" t="n">
        <v>208.79596416</v>
      </c>
      <c r="I104" s="20" t="inlineStr">
        <is>
          <t>Disponivel</t>
        </is>
      </c>
      <c r="J104" s="10" t="inlineStr"/>
      <c r="K104" s="19" t="inlineStr"/>
    </row>
    <row r="105">
      <c r="A105" s="5" t="inlineStr">
        <is>
          <t>PRM 11</t>
        </is>
      </c>
      <c r="B105" s="6" t="inlineStr">
        <is>
          <t>B1</t>
        </is>
      </c>
      <c r="C105" s="6" t="inlineStr">
        <is>
          <t>Módulo 02</t>
        </is>
      </c>
      <c r="D105" s="6" t="inlineStr">
        <is>
          <t>Rdm</t>
        </is>
      </c>
      <c r="E105" s="7" t="n">
        <v>650</v>
      </c>
      <c r="F105" s="20" t="inlineStr">
        <is>
          <t>SIM</t>
        </is>
      </c>
      <c r="G105" s="15">
        <f>IF(OR($E105="",$F105=""),"",IF(UPPER($F105)="SIM",$E105*FATOR_HID,0))</f>
        <v/>
      </c>
      <c r="H105" s="37" t="n">
        <v>208.79596416</v>
      </c>
      <c r="I105" s="20" t="inlineStr">
        <is>
          <t>Disponivel</t>
        </is>
      </c>
      <c r="J105" s="10" t="inlineStr"/>
      <c r="K105" s="19" t="inlineStr"/>
    </row>
    <row r="106">
      <c r="A106" s="5" t="inlineStr">
        <is>
          <t>PRM 12</t>
        </is>
      </c>
      <c r="B106" s="6" t="inlineStr">
        <is>
          <t>B1</t>
        </is>
      </c>
      <c r="C106" s="6" t="inlineStr">
        <is>
          <t>Módulo 02</t>
        </is>
      </c>
      <c r="D106" s="6" t="inlineStr">
        <is>
          <t>Rdm</t>
        </is>
      </c>
      <c r="E106" s="7" t="n">
        <v>350</v>
      </c>
      <c r="F106" s="20" t="inlineStr">
        <is>
          <t>SIM</t>
        </is>
      </c>
      <c r="G106" s="15">
        <f>IF(OR($E106="",$F106=""),"",IF(UPPER($F106)="SIM",$E106*FATOR_HID,0))</f>
        <v/>
      </c>
      <c r="H106" s="37" t="n">
        <v>208.79596416</v>
      </c>
      <c r="I106" s="20" t="inlineStr">
        <is>
          <t>Disponivel</t>
        </is>
      </c>
      <c r="J106" s="10" t="inlineStr"/>
      <c r="K106" s="19" t="inlineStr"/>
    </row>
    <row r="107">
      <c r="A107" s="5" t="inlineStr">
        <is>
          <t>PRM 13</t>
        </is>
      </c>
      <c r="B107" s="6" t="inlineStr">
        <is>
          <t>B1</t>
        </is>
      </c>
      <c r="C107" s="6" t="inlineStr">
        <is>
          <t>Módulo 02</t>
        </is>
      </c>
      <c r="D107" s="6" t="inlineStr">
        <is>
          <t>Rdm</t>
        </is>
      </c>
      <c r="E107" s="7" t="n">
        <v>410</v>
      </c>
      <c r="F107" s="20" t="inlineStr">
        <is>
          <t>SIM</t>
        </is>
      </c>
      <c r="G107" s="15">
        <f>IF(OR($E107="",$F107=""),"",IF(UPPER($F107)="SIM",$E107*FATOR_HID,0))</f>
        <v/>
      </c>
      <c r="H107" s="37" t="n">
        <v>208.79596416</v>
      </c>
      <c r="I107" s="20" t="inlineStr">
        <is>
          <t>Disponivel</t>
        </is>
      </c>
      <c r="J107" s="10" t="inlineStr"/>
      <c r="K107" s="19" t="inlineStr"/>
    </row>
    <row r="108">
      <c r="A108" s="5" t="inlineStr">
        <is>
          <t>PRM 19</t>
        </is>
      </c>
      <c r="B108" s="6" t="inlineStr">
        <is>
          <t>B1</t>
        </is>
      </c>
      <c r="C108" s="6" t="inlineStr">
        <is>
          <t>Módulo 02</t>
        </is>
      </c>
      <c r="D108" s="6" t="inlineStr">
        <is>
          <t>Rdm</t>
        </is>
      </c>
      <c r="E108" s="7" t="n">
        <v>500</v>
      </c>
      <c r="F108" s="20" t="inlineStr">
        <is>
          <t>SIM</t>
        </is>
      </c>
      <c r="G108" s="15">
        <f>IF(OR($E108="",$F108=""),"",IF(UPPER($F108)="SIM",$E108*FATOR_HID,0))</f>
        <v/>
      </c>
      <c r="H108" s="37" t="n">
        <v>208.79596416</v>
      </c>
      <c r="I108" s="20" t="inlineStr">
        <is>
          <t>Disponivel</t>
        </is>
      </c>
      <c r="J108" s="10" t="inlineStr"/>
      <c r="K108" s="19" t="inlineStr"/>
    </row>
    <row r="109">
      <c r="A109" s="5" t="inlineStr">
        <is>
          <t>PK 10</t>
        </is>
      </c>
      <c r="B109" s="6" t="inlineStr">
        <is>
          <t>B1</t>
        </is>
      </c>
      <c r="C109" s="6" t="inlineStr">
        <is>
          <t>Módulo 03</t>
        </is>
      </c>
      <c r="D109" s="6" t="inlineStr">
        <is>
          <t>Kar</t>
        </is>
      </c>
      <c r="E109" s="7" t="n">
        <v>280</v>
      </c>
      <c r="F109" s="20" t="inlineStr">
        <is>
          <t>SIM</t>
        </is>
      </c>
      <c r="G109" s="15">
        <f>IF(OR($E109="",$F109=""),"",IF(UPPER($F109)="SIM",$E109*FATOR_HID,0))</f>
        <v/>
      </c>
      <c r="H109" s="37" t="n">
        <v>208.79596416</v>
      </c>
      <c r="I109" s="20" t="inlineStr">
        <is>
          <t>Disponivel</t>
        </is>
      </c>
      <c r="J109" s="10" t="inlineStr"/>
      <c r="K109" s="19" t="inlineStr"/>
    </row>
    <row r="110">
      <c r="A110" s="5" t="inlineStr">
        <is>
          <t>PK 11</t>
        </is>
      </c>
      <c r="B110" s="6" t="inlineStr">
        <is>
          <t>B1</t>
        </is>
      </c>
      <c r="C110" s="6" t="inlineStr">
        <is>
          <t>Módulo 03</t>
        </is>
      </c>
      <c r="D110" s="6" t="inlineStr">
        <is>
          <t>Kar</t>
        </is>
      </c>
      <c r="E110" s="7" t="n"/>
      <c r="F110" s="20" t="inlineStr">
        <is>
          <t>SIM</t>
        </is>
      </c>
      <c r="G110" s="15">
        <f>IF(OR($E110="",$F110=""),"",IF(UPPER($F110)="SIM",$E110*FATOR_HID,0))</f>
        <v/>
      </c>
      <c r="H110" s="37" t="n">
        <v>208.79596416</v>
      </c>
      <c r="I110" s="20" t="inlineStr">
        <is>
          <t>Disponivel</t>
        </is>
      </c>
      <c r="J110" s="10" t="inlineStr"/>
      <c r="K110" s="19" t="inlineStr"/>
    </row>
    <row r="111">
      <c r="A111" s="5" t="inlineStr">
        <is>
          <t>PK 12</t>
        </is>
      </c>
      <c r="B111" s="6" t="inlineStr">
        <is>
          <t>B1</t>
        </is>
      </c>
      <c r="C111" s="6" t="inlineStr">
        <is>
          <t>Módulo 03</t>
        </is>
      </c>
      <c r="D111" s="6" t="inlineStr">
        <is>
          <t>Kar</t>
        </is>
      </c>
      <c r="E111" s="7" t="n">
        <v>374</v>
      </c>
      <c r="F111" s="20" t="inlineStr">
        <is>
          <t>SIM</t>
        </is>
      </c>
      <c r="G111" s="15">
        <f>IF(OR($E111="",$F111=""),"",IF(UPPER($F111)="SIM",$E111*FATOR_HID,0))</f>
        <v/>
      </c>
      <c r="H111" s="37" t="n">
        <v>246.08095776</v>
      </c>
      <c r="I111" s="20" t="inlineStr">
        <is>
          <t>Disponivel</t>
        </is>
      </c>
      <c r="J111" s="10" t="inlineStr"/>
      <c r="K111" s="19" t="inlineStr"/>
    </row>
    <row r="112">
      <c r="A112" s="5" t="inlineStr">
        <is>
          <t>PK 13</t>
        </is>
      </c>
      <c r="B112" s="6" t="inlineStr">
        <is>
          <t>B1</t>
        </is>
      </c>
      <c r="C112" s="6" t="inlineStr">
        <is>
          <t>Módulo 03</t>
        </is>
      </c>
      <c r="D112" s="6" t="inlineStr">
        <is>
          <t>Kar</t>
        </is>
      </c>
      <c r="E112" s="7" t="n">
        <v>394.5</v>
      </c>
      <c r="F112" s="20" t="inlineStr">
        <is>
          <t>SIM</t>
        </is>
      </c>
      <c r="G112" s="15">
        <f>IF(OR($E112="",$F112=""),"",IF(UPPER($F112)="SIM",$E112*FATOR_HID,0))</f>
        <v/>
      </c>
      <c r="H112" s="37" t="n">
        <v>246.08095776</v>
      </c>
      <c r="I112" s="20" t="inlineStr">
        <is>
          <t>Disponivel</t>
        </is>
      </c>
      <c r="J112" s="10" t="inlineStr"/>
      <c r="K112" s="19" t="inlineStr"/>
    </row>
    <row r="113">
      <c r="A113" s="5" t="inlineStr">
        <is>
          <t>PK 14</t>
        </is>
      </c>
      <c r="B113" s="6" t="inlineStr">
        <is>
          <t>B1</t>
        </is>
      </c>
      <c r="C113" s="6" t="inlineStr">
        <is>
          <t>Módulo 03</t>
        </is>
      </c>
      <c r="D113" s="6" t="inlineStr">
        <is>
          <t>Kar</t>
        </is>
      </c>
      <c r="E113" s="7" t="n">
        <v>366</v>
      </c>
      <c r="F113" s="20" t="inlineStr">
        <is>
          <t>SIM</t>
        </is>
      </c>
      <c r="G113" s="15">
        <f>IF(OR($E113="",$F113=""),"",IF(UPPER($F113)="SIM",$E113*FATOR_HID,0))</f>
        <v/>
      </c>
      <c r="H113" s="37" t="n">
        <v>208.79596416</v>
      </c>
      <c r="I113" s="20" t="inlineStr">
        <is>
          <t>Disponivel</t>
        </is>
      </c>
      <c r="J113" s="10" t="inlineStr"/>
      <c r="K113" s="19" t="inlineStr"/>
    </row>
    <row r="114">
      <c r="A114" s="5" t="inlineStr">
        <is>
          <t>PK 15</t>
        </is>
      </c>
      <c r="B114" s="6" t="inlineStr">
        <is>
          <t>B1</t>
        </is>
      </c>
      <c r="C114" s="6" t="inlineStr">
        <is>
          <t>Módulo 03</t>
        </is>
      </c>
      <c r="D114" s="6" t="inlineStr">
        <is>
          <t>Kar</t>
        </is>
      </c>
      <c r="E114" s="7" t="n">
        <v>205</v>
      </c>
      <c r="F114" s="20" t="inlineStr">
        <is>
          <t>SIM</t>
        </is>
      </c>
      <c r="G114" s="15">
        <f>IF(OR($E114="",$F114=""),"",IF(UPPER($F114)="SIM",$E114*FATOR_HID,0))</f>
        <v/>
      </c>
      <c r="H114" s="37" t="n">
        <v>134.22597696</v>
      </c>
      <c r="I114" s="20" t="inlineStr">
        <is>
          <t>Disponivel</t>
        </is>
      </c>
      <c r="J114" s="10" t="inlineStr"/>
      <c r="K114" s="19" t="inlineStr"/>
    </row>
    <row r="115">
      <c r="A115" s="5" t="inlineStr">
        <is>
          <t>PK 16</t>
        </is>
      </c>
      <c r="B115" s="6" t="inlineStr">
        <is>
          <t>B1</t>
        </is>
      </c>
      <c r="C115" s="6" t="inlineStr">
        <is>
          <t>Módulo 03</t>
        </is>
      </c>
      <c r="D115" s="6" t="inlineStr">
        <is>
          <t>Kar</t>
        </is>
      </c>
      <c r="E115" s="7" t="n">
        <v>242</v>
      </c>
      <c r="F115" s="20" t="inlineStr">
        <is>
          <t>SIM</t>
        </is>
      </c>
      <c r="G115" s="15">
        <f>IF(OR($E115="",$F115=""),"",IF(UPPER($F115)="SIM",$E115*FATOR_HID,0))</f>
        <v/>
      </c>
      <c r="H115" s="37" t="n">
        <v>134.22597696</v>
      </c>
      <c r="I115" s="20" t="inlineStr">
        <is>
          <t>Disponivel</t>
        </is>
      </c>
      <c r="J115" s="10" t="inlineStr"/>
      <c r="K115" s="19" t="inlineStr"/>
    </row>
    <row r="117">
      <c r="A117" s="19" t="inlineStr">
        <is>
          <t>Situacoes: Disponivel / Operacao parcial / Indisponivel / Manutencao programada / Nao confirmado. NAO somar captacao+transferencia+pressurizacao como entradas independentes. Conjuntos em paralelo exigem capacidade validada da configuracao.</t>
        </is>
      </c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3" t="n"/>
    </row>
  </sheetData>
  <mergeCells count="1">
    <mergeCell ref="A117:K11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6E43"/>
    <outlinePr summaryBelow="1" summaryRight="1"/>
    <pageSetUpPr/>
  </sheetPr>
  <dimension ref="A1:K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26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</cols>
  <sheetData>
    <row r="1" ht="20" customHeight="1">
      <c r="A1" s="1" t="inlineStr">
        <is>
          <t>RESERVATORIOS - capacidade, vazao e autonomia (importado)</t>
        </is>
      </c>
    </row>
    <row r="2">
      <c r="A2" s="2" t="inlineStr">
        <is>
          <t>Volume = inicial + entradas - saidas - perdas. Nao esconder falta de agua zerando saldo negativo. Volume atual: leitura de campo (PENDENTE).</t>
        </is>
      </c>
    </row>
    <row r="4" ht="28" customHeight="1">
      <c r="A4" s="4" t="inlineStr">
        <is>
          <t>Reserv</t>
        </is>
      </c>
      <c r="B4" s="4" t="inlineStr">
        <is>
          <t>Modulo</t>
        </is>
      </c>
      <c r="C4" s="4" t="inlineStr">
        <is>
          <t>Pivos abastecidos</t>
        </is>
      </c>
      <c r="D4" s="4" t="inlineStr">
        <is>
          <t>Ha irrig</t>
        </is>
      </c>
      <c r="E4" s="4" t="inlineStr">
        <is>
          <t>Capacidade (m3)</t>
        </is>
      </c>
      <c r="F4" s="4" t="inlineStr">
        <is>
          <t>Vazao (m3/h)</t>
        </is>
      </c>
      <c r="G4" s="4" t="inlineStr">
        <is>
          <t>Autonomia (h) orig</t>
        </is>
      </c>
      <c r="H4" s="4" t="inlineStr">
        <is>
          <t>Vol atual (m3)</t>
        </is>
      </c>
      <c r="I4" s="4" t="inlineStr">
        <is>
          <t>Min oper (m3)</t>
        </is>
      </c>
      <c r="J4" s="4" t="inlineStr">
        <is>
          <t>Vol utiliz (m3)</t>
        </is>
      </c>
      <c r="K4" s="4" t="inlineStr">
        <is>
          <t>Observacao</t>
        </is>
      </c>
    </row>
    <row r="5">
      <c r="A5" s="6" t="inlineStr">
        <is>
          <t>R0</t>
        </is>
      </c>
      <c r="B5" s="6" t="inlineStr">
        <is>
          <t>Módulo 01</t>
        </is>
      </c>
      <c r="C5" s="5" t="inlineStr">
        <is>
          <t>01 - 02 - 03 - 04</t>
        </is>
      </c>
      <c r="D5" s="7" t="n">
        <v>486.5</v>
      </c>
      <c r="E5" s="30" t="n">
        <v>19153</v>
      </c>
      <c r="F5" s="7" t="n">
        <v>2242.46</v>
      </c>
      <c r="G5" s="37" t="n">
        <v>8.541066507317856</v>
      </c>
      <c r="H5" s="44" t="n"/>
      <c r="I5" s="44" t="n"/>
      <c r="J5" s="45">
        <f>IF(OR($H5="",$I5=""),"",MAX(0,$H5-$I5))</f>
        <v/>
      </c>
      <c r="K5" s="19" t="inlineStr"/>
    </row>
    <row r="6">
      <c r="A6" s="6" t="inlineStr">
        <is>
          <t>R1</t>
        </is>
      </c>
      <c r="B6" s="6" t="inlineStr">
        <is>
          <t>Módulo 01</t>
        </is>
      </c>
      <c r="C6" s="5" t="inlineStr">
        <is>
          <t>05 - 06 - 15 - 16</t>
        </is>
      </c>
      <c r="D6" s="7" t="n">
        <v>600.04</v>
      </c>
      <c r="E6" s="30" t="n">
        <v>19153</v>
      </c>
      <c r="F6" s="7" t="n">
        <v>2762.56</v>
      </c>
      <c r="G6" s="37" t="n">
        <v>6.933062087339279</v>
      </c>
      <c r="H6" s="44" t="n"/>
      <c r="I6" s="44" t="n"/>
      <c r="J6" s="45">
        <f>IF(OR($H6="",$I6=""),"",MAX(0,$H6-$I6))</f>
        <v/>
      </c>
      <c r="K6" s="19" t="inlineStr"/>
    </row>
    <row r="7">
      <c r="A7" s="6" t="inlineStr">
        <is>
          <t>R2</t>
        </is>
      </c>
      <c r="B7" s="6" t="inlineStr">
        <is>
          <t>Módulo 01</t>
        </is>
      </c>
      <c r="C7" s="5" t="inlineStr">
        <is>
          <t>07 - 08 - 17 - 18</t>
        </is>
      </c>
      <c r="D7" s="7" t="n">
        <v>570.16</v>
      </c>
      <c r="E7" s="30" t="n">
        <v>35575.25</v>
      </c>
      <c r="F7" s="7" t="n">
        <v>2715.04</v>
      </c>
      <c r="G7" s="37" t="n">
        <v>13.10302978961636</v>
      </c>
      <c r="H7" s="44" t="n"/>
      <c r="I7" s="44" t="n"/>
      <c r="J7" s="45">
        <f>IF(OR($H7="",$I7=""),"",MAX(0,$H7-$I7))</f>
        <v/>
      </c>
      <c r="K7" s="19" t="inlineStr"/>
    </row>
    <row r="8">
      <c r="A8" s="6" t="inlineStr">
        <is>
          <t>R3</t>
        </is>
      </c>
      <c r="B8" s="6" t="inlineStr">
        <is>
          <t>Módulo 01</t>
        </is>
      </c>
      <c r="C8" s="5" t="inlineStr">
        <is>
          <t>09 - 10 - 19 - 20</t>
        </is>
      </c>
      <c r="D8" s="7" t="n">
        <v>570.16</v>
      </c>
      <c r="E8" s="30" t="n">
        <v>54073</v>
      </c>
      <c r="F8" s="7" t="n">
        <v>2715.49</v>
      </c>
      <c r="G8" s="37" t="n">
        <v>19.91279658551495</v>
      </c>
      <c r="H8" s="44" t="n"/>
      <c r="I8" s="44" t="n"/>
      <c r="J8" s="45">
        <f>IF(OR($H8="",$I8=""),"",MAX(0,$H8-$I8))</f>
        <v/>
      </c>
      <c r="K8" s="19" t="inlineStr"/>
    </row>
    <row r="9">
      <c r="A9" s="6" t="inlineStr">
        <is>
          <t>R4</t>
        </is>
      </c>
      <c r="B9" s="6" t="inlineStr">
        <is>
          <t>Módulo 01</t>
        </is>
      </c>
      <c r="C9" s="5" t="inlineStr">
        <is>
          <t>21 - 22</t>
        </is>
      </c>
      <c r="D9" s="7" t="n">
        <v>300.02</v>
      </c>
      <c r="E9" s="30" t="n">
        <v>19060.98</v>
      </c>
      <c r="F9" s="7" t="n">
        <v>1428.66</v>
      </c>
      <c r="G9" s="37" t="n">
        <v>13.3418588047541</v>
      </c>
      <c r="H9" s="44" t="n"/>
      <c r="I9" s="44" t="n"/>
      <c r="J9" s="45">
        <f>IF(OR($H9="",$I9=""),"",MAX(0,$H9-$I9))</f>
        <v/>
      </c>
      <c r="K9" s="19" t="inlineStr"/>
    </row>
    <row r="10">
      <c r="A10" s="6" t="inlineStr">
        <is>
          <t>R5</t>
        </is>
      </c>
      <c r="B10" s="6" t="inlineStr">
        <is>
          <t>Módulo 01</t>
        </is>
      </c>
      <c r="C10" s="5" t="inlineStr">
        <is>
          <t>11 - 12   13</t>
        </is>
      </c>
      <c r="D10" s="7" t="n">
        <v>342.43</v>
      </c>
      <c r="E10" s="30" t="n">
        <v>20006</v>
      </c>
      <c r="F10" s="7" t="n">
        <v>1601.77</v>
      </c>
      <c r="G10" s="37" t="n">
        <v>12.48993301160591</v>
      </c>
      <c r="H10" s="44" t="n"/>
      <c r="I10" s="44" t="n"/>
      <c r="J10" s="45">
        <f>IF(OR($H10="",$I10=""),"",MAX(0,$H10-$I10))</f>
        <v/>
      </c>
      <c r="K10" s="19" t="inlineStr"/>
    </row>
    <row r="11">
      <c r="A11" s="6" t="inlineStr">
        <is>
          <t>R6</t>
        </is>
      </c>
      <c r="B11" s="6" t="inlineStr">
        <is>
          <t>Módulo 01</t>
        </is>
      </c>
      <c r="C11" s="5" t="inlineStr">
        <is>
          <t>14 - 23 - 24</t>
        </is>
      </c>
      <c r="D11" s="7" t="n">
        <v>450.03</v>
      </c>
      <c r="E11" s="30" t="n">
        <v>17398</v>
      </c>
      <c r="F11" s="7" t="n">
        <v>1931.29</v>
      </c>
      <c r="G11" s="37" t="n">
        <v>9.008486555618266</v>
      </c>
      <c r="H11" s="44" t="n"/>
      <c r="I11" s="44" t="n"/>
      <c r="J11" s="45">
        <f>IF(OR($H11="",$I11=""),"",MAX(0,$H11-$I11))</f>
        <v/>
      </c>
      <c r="K11" s="19" t="inlineStr"/>
    </row>
    <row r="12">
      <c r="A12" s="6" t="inlineStr">
        <is>
          <t>R7</t>
        </is>
      </c>
      <c r="B12" s="6" t="inlineStr">
        <is>
          <t>Módulo 01</t>
        </is>
      </c>
      <c r="C12" s="5" t="inlineStr">
        <is>
          <t>25 - 26 - 27 - 28 - 29</t>
        </is>
      </c>
      <c r="D12" s="7" t="n">
        <v>560.39</v>
      </c>
      <c r="E12" s="30" t="n">
        <v>74924</v>
      </c>
      <c r="F12" s="7" t="n">
        <v>2604.24</v>
      </c>
      <c r="G12" s="37" t="n">
        <v>28.77000583663564</v>
      </c>
      <c r="H12" s="44" t="n"/>
      <c r="I12" s="44" t="n"/>
      <c r="J12" s="45">
        <f>IF(OR($H12="",$I12=""),"",MAX(0,$H12-$I12))</f>
        <v/>
      </c>
      <c r="K12" s="19" t="inlineStr"/>
    </row>
    <row r="13">
      <c r="A13" s="6" t="inlineStr">
        <is>
          <t>C3Z3</t>
        </is>
      </c>
      <c r="B13" s="6" t="inlineStr">
        <is>
          <t>Módulo 01</t>
        </is>
      </c>
      <c r="C13" s="5" t="inlineStr">
        <is>
          <t>30 - 31 - 32 - 33 - 34</t>
        </is>
      </c>
      <c r="D13" s="7" t="n">
        <v>725.7299999999999</v>
      </c>
      <c r="E13" s="30" t="n"/>
      <c r="F13" s="7" t="n">
        <v>3271</v>
      </c>
      <c r="G13" s="37" t="n">
        <v>22.90553347600122</v>
      </c>
      <c r="H13" s="44" t="n"/>
      <c r="I13" s="44" t="n"/>
      <c r="J13" s="45">
        <f>IF(OR($H13="",$I13=""),"",MAX(0,$H13-$I13))</f>
        <v/>
      </c>
      <c r="K13" s="19" t="inlineStr"/>
    </row>
    <row r="14">
      <c r="A14" s="6" t="inlineStr">
        <is>
          <t>R8</t>
        </is>
      </c>
      <c r="B14" s="6" t="inlineStr">
        <is>
          <t>Módulo 02</t>
        </is>
      </c>
      <c r="C14" s="5" t="inlineStr">
        <is>
          <t>35 - 36 - 37 - 38</t>
        </is>
      </c>
      <c r="D14" s="7" t="n">
        <v>514.0799999999999</v>
      </c>
      <c r="E14" s="30" t="n">
        <v>43203</v>
      </c>
      <c r="F14" s="7" t="n">
        <v>2593.37</v>
      </c>
      <c r="G14" s="37" t="n">
        <v>16.65901895988617</v>
      </c>
      <c r="H14" s="44" t="n"/>
      <c r="I14" s="44" t="n"/>
      <c r="J14" s="45">
        <f>IF(OR($H14="",$I14=""),"",MAX(0,$H14-$I14))</f>
        <v/>
      </c>
      <c r="K14" s="19" t="inlineStr"/>
    </row>
    <row r="15">
      <c r="A15" s="6" t="inlineStr">
        <is>
          <t>R9</t>
        </is>
      </c>
      <c r="B15" s="6" t="inlineStr">
        <is>
          <t>Módulo 02</t>
        </is>
      </c>
      <c r="C15" s="5" t="inlineStr">
        <is>
          <t>41 - 42 - 43</t>
        </is>
      </c>
      <c r="D15" s="7" t="n">
        <v>377.75</v>
      </c>
      <c r="E15" s="30" t="n">
        <v>27135</v>
      </c>
      <c r="F15" s="7" t="n">
        <v>1798.77</v>
      </c>
      <c r="G15" s="37" t="n">
        <v>15.0853082940009</v>
      </c>
      <c r="H15" s="44" t="n"/>
      <c r="I15" s="44" t="n"/>
      <c r="J15" s="45">
        <f>IF(OR($H15="",$I15=""),"",MAX(0,$H15-$I15))</f>
        <v/>
      </c>
      <c r="K15" s="19" t="inlineStr"/>
    </row>
    <row r="16">
      <c r="A16" s="6" t="inlineStr">
        <is>
          <t>R10</t>
        </is>
      </c>
      <c r="B16" s="6" t="inlineStr">
        <is>
          <t>Módulo 02</t>
        </is>
      </c>
      <c r="C16" s="5" t="inlineStr">
        <is>
          <t>39 - 40</t>
        </is>
      </c>
      <c r="D16" s="7" t="n">
        <v>251.19</v>
      </c>
      <c r="E16" s="30" t="n">
        <v>18060</v>
      </c>
      <c r="F16" s="7" t="n">
        <v>1196.15</v>
      </c>
      <c r="G16" s="37" t="n">
        <v>15.09844083099946</v>
      </c>
      <c r="H16" s="44" t="n"/>
      <c r="I16" s="44" t="n"/>
      <c r="J16" s="45">
        <f>IF(OR($H16="",$I16=""),"",MAX(0,$H16-$I16))</f>
        <v/>
      </c>
      <c r="K16" s="19" t="inlineStr"/>
    </row>
    <row r="17">
      <c r="A17" s="6" t="inlineStr">
        <is>
          <t>R11</t>
        </is>
      </c>
      <c r="B17" s="6" t="inlineStr">
        <is>
          <t>Módulo 02</t>
        </is>
      </c>
      <c r="C17" s="5" t="inlineStr">
        <is>
          <t>45 - 46 - 47 - 48 - 49</t>
        </is>
      </c>
      <c r="D17" s="7" t="n">
        <v>762.1099999999999</v>
      </c>
      <c r="E17" s="30" t="n">
        <v>62246</v>
      </c>
      <c r="F17" s="7" t="n">
        <v>3591.21</v>
      </c>
      <c r="G17" s="37" t="n">
        <v>17.33287666274041</v>
      </c>
      <c r="H17" s="44" t="n"/>
      <c r="I17" s="44" t="n"/>
      <c r="J17" s="45">
        <f>IF(OR($H17="",$I17=""),"",MAX(0,$H17-$I17))</f>
        <v/>
      </c>
      <c r="K17" s="19" t="inlineStr"/>
    </row>
    <row r="18">
      <c r="A18" s="6" t="inlineStr">
        <is>
          <t>R12</t>
        </is>
      </c>
      <c r="B18" s="6" t="inlineStr">
        <is>
          <t>Módulo 02</t>
        </is>
      </c>
      <c r="C18" s="5" t="inlineStr">
        <is>
          <t>52 - 73 - 74</t>
        </is>
      </c>
      <c r="D18" s="7" t="n">
        <v>1131.66</v>
      </c>
      <c r="E18" s="30" t="n">
        <v>79396</v>
      </c>
      <c r="F18" s="7" t="n">
        <v>1990.76</v>
      </c>
      <c r="G18" s="37" t="n">
        <v>39.88225602282545</v>
      </c>
      <c r="H18" s="44" t="n"/>
      <c r="I18" s="44" t="n"/>
      <c r="J18" s="45">
        <f>IF(OR($H18="",$I18=""),"",MAX(0,$H18-$I18))</f>
        <v/>
      </c>
      <c r="K18" s="19" t="inlineStr"/>
    </row>
    <row r="19">
      <c r="A19" s="6" t="inlineStr">
        <is>
          <t>R13</t>
        </is>
      </c>
      <c r="B19" s="6" t="inlineStr">
        <is>
          <t>Módulo 03</t>
        </is>
      </c>
      <c r="C19" s="5" t="inlineStr">
        <is>
          <t>44 - 53 - 54 - 55</t>
        </is>
      </c>
      <c r="D19" s="7" t="n">
        <v>437.8000000000001</v>
      </c>
      <c r="E19" s="30" t="n">
        <v>82650</v>
      </c>
      <c r="F19" s="7" t="n">
        <v>2261.11</v>
      </c>
      <c r="G19" s="37" t="n">
        <v>36.55284351491083</v>
      </c>
      <c r="H19" s="44" t="n"/>
      <c r="I19" s="44" t="n"/>
      <c r="J19" s="45">
        <f>IF(OR($H19="",$I19=""),"",MAX(0,$H19-$I19))</f>
        <v/>
      </c>
      <c r="K19" s="19" t="inlineStr"/>
    </row>
    <row r="20">
      <c r="A20" s="6" t="inlineStr">
        <is>
          <t>R14</t>
        </is>
      </c>
      <c r="B20" s="6" t="inlineStr">
        <is>
          <t>Módulo 03</t>
        </is>
      </c>
      <c r="C20" s="5" t="inlineStr">
        <is>
          <t>50 - 51 - 56</t>
        </is>
      </c>
      <c r="D20" s="7" t="n">
        <v>440.12</v>
      </c>
      <c r="E20" s="30" t="n"/>
      <c r="F20" s="7" t="n">
        <v>2019.91</v>
      </c>
      <c r="G20" s="37" t="n">
        <v>40.91766464842492</v>
      </c>
      <c r="H20" s="44" t="n"/>
      <c r="I20" s="44" t="n"/>
      <c r="J20" s="45">
        <f>IF(OR($H20="",$I20=""),"",MAX(0,$H20-$I20))</f>
        <v/>
      </c>
      <c r="K20" s="19" t="inlineStr"/>
    </row>
    <row r="21">
      <c r="A21" s="6" t="inlineStr">
        <is>
          <t>R15</t>
        </is>
      </c>
      <c r="B21" s="6" t="inlineStr">
        <is>
          <t>Módulo 03</t>
        </is>
      </c>
      <c r="C21" s="5" t="inlineStr">
        <is>
          <t>57 - 58 - 59 - 60 - 66</t>
        </is>
      </c>
      <c r="D21" s="7" t="n">
        <v>695.98</v>
      </c>
      <c r="E21" s="30" t="n"/>
      <c r="F21" s="7" t="n">
        <v>3299.89</v>
      </c>
      <c r="G21" s="37" t="n"/>
      <c r="H21" s="44" t="n"/>
      <c r="I21" s="44" t="n"/>
      <c r="J21" s="45">
        <f>IF(OR($H21="",$I21=""),"",MAX(0,$H21-$I21))</f>
        <v/>
      </c>
      <c r="K21" s="19" t="inlineStr"/>
    </row>
    <row r="22">
      <c r="A22" s="6" t="inlineStr">
        <is>
          <t>R16</t>
        </is>
      </c>
      <c r="B22" s="6" t="inlineStr">
        <is>
          <t>Módulo 03</t>
        </is>
      </c>
      <c r="C22" s="5" t="inlineStr">
        <is>
          <t>61 - 62 - 67 - 68</t>
        </is>
      </c>
      <c r="D22" s="7" t="n">
        <v>447.1</v>
      </c>
      <c r="E22" s="30" t="n"/>
      <c r="F22" s="7" t="n">
        <v>2129.04</v>
      </c>
      <c r="G22" s="37" t="n"/>
      <c r="H22" s="44" t="n"/>
      <c r="I22" s="44" t="n"/>
      <c r="J22" s="45">
        <f>IF(OR($H22="",$I22=""),"",MAX(0,$H22-$I22))</f>
        <v/>
      </c>
      <c r="K22" s="19" t="inlineStr"/>
    </row>
    <row r="23">
      <c r="A23" s="6" t="inlineStr">
        <is>
          <t>R17</t>
        </is>
      </c>
      <c r="B23" s="6" t="inlineStr">
        <is>
          <t>Módulo 03</t>
        </is>
      </c>
      <c r="C23" s="5" t="inlineStr">
        <is>
          <t>69 - 70 - 71 - 72</t>
        </is>
      </c>
      <c r="D23" s="7" t="n">
        <v>396.26</v>
      </c>
      <c r="E23" s="30" t="n"/>
      <c r="F23" s="7" t="n">
        <v>1886.81</v>
      </c>
      <c r="G23" s="37" t="n"/>
      <c r="H23" s="44" t="n"/>
      <c r="I23" s="44" t="n"/>
      <c r="J23" s="45">
        <f>IF(OR($H23="",$I23=""),"",MAX(0,$H23-$I23))</f>
        <v/>
      </c>
      <c r="K23" s="19" t="inlineStr"/>
    </row>
    <row r="24">
      <c r="A24" s="6" t="inlineStr">
        <is>
          <t>RM1</t>
        </is>
      </c>
      <c r="B24" s="6" t="inlineStr">
        <is>
          <t>Módulo 01</t>
        </is>
      </c>
      <c r="C24" s="5" t="inlineStr">
        <is>
          <t>109</t>
        </is>
      </c>
      <c r="D24" s="7" t="n">
        <v>102.1</v>
      </c>
      <c r="E24" s="30" t="n"/>
      <c r="F24" s="7" t="n">
        <v>382.14</v>
      </c>
      <c r="G24" s="37" t="n"/>
      <c r="H24" s="44" t="n"/>
      <c r="I24" s="44" t="n"/>
      <c r="J24" s="45">
        <f>IF(OR($H24="",$I24=""),"",MAX(0,$H24-$I24))</f>
        <v/>
      </c>
      <c r="K24" s="19" t="inlineStr"/>
    </row>
    <row r="25">
      <c r="A25" s="6" t="inlineStr">
        <is>
          <t>RM2</t>
        </is>
      </c>
      <c r="B25" s="6" t="inlineStr">
        <is>
          <t>Módulo 01</t>
        </is>
      </c>
      <c r="C25" s="5" t="inlineStr">
        <is>
          <t>106 - 108</t>
        </is>
      </c>
      <c r="D25" s="7" t="n">
        <v>221.14</v>
      </c>
      <c r="E25" s="30" t="n"/>
      <c r="F25" s="7" t="n">
        <v>1053.04</v>
      </c>
      <c r="G25" s="37" t="n"/>
      <c r="H25" s="44" t="n"/>
      <c r="I25" s="44" t="n"/>
      <c r="J25" s="45">
        <f>IF(OR($H25="",$I25=""),"",MAX(0,$H25-$I25))</f>
        <v/>
      </c>
      <c r="K25" s="19" t="inlineStr"/>
    </row>
    <row r="26">
      <c r="A26" s="6" t="inlineStr">
        <is>
          <t>RM3</t>
        </is>
      </c>
      <c r="B26" s="6" t="inlineStr">
        <is>
          <t>Módulo 01</t>
        </is>
      </c>
      <c r="C26" s="5" t="inlineStr">
        <is>
          <t>105 - 107</t>
        </is>
      </c>
      <c r="D26" s="7" t="n">
        <v>246.57</v>
      </c>
      <c r="E26" s="30" t="n"/>
      <c r="F26" s="7" t="n">
        <v>1174.15</v>
      </c>
      <c r="G26" s="37" t="n"/>
      <c r="H26" s="44" t="n"/>
      <c r="I26" s="44" t="n"/>
      <c r="J26" s="45">
        <f>IF(OR($H26="",$I26=""),"",MAX(0,$H26-$I26))</f>
        <v/>
      </c>
      <c r="K26" s="19" t="inlineStr"/>
    </row>
    <row r="27">
      <c r="A27" s="6" t="inlineStr">
        <is>
          <t>RM4</t>
        </is>
      </c>
      <c r="B27" s="6" t="inlineStr">
        <is>
          <t>Módulo 01</t>
        </is>
      </c>
      <c r="C27" s="5" t="inlineStr">
        <is>
          <t>101 - 102 - 103 - 104 - 110</t>
        </is>
      </c>
      <c r="D27" s="7" t="n">
        <v>675.37</v>
      </c>
      <c r="E27" s="30" t="n"/>
      <c r="F27" s="7" t="n">
        <v>3201.74</v>
      </c>
      <c r="G27" s="37" t="n"/>
      <c r="H27" s="44" t="n"/>
      <c r="I27" s="44" t="n"/>
      <c r="J27" s="45">
        <f>IF(OR($H27="",$I27=""),"",MAX(0,$H27-$I27))</f>
        <v/>
      </c>
      <c r="K27" s="19" t="inlineStr"/>
    </row>
    <row r="28">
      <c r="A28" s="6" t="inlineStr">
        <is>
          <t>RM5</t>
        </is>
      </c>
      <c r="B28" s="6" t="inlineStr">
        <is>
          <t>Módulo 02</t>
        </is>
      </c>
      <c r="C28" s="5" t="inlineStr">
        <is>
          <t>112 - 113 - 114 - 115 - 131 - 132</t>
        </is>
      </c>
      <c r="D28" s="7" t="n">
        <v>432.18</v>
      </c>
      <c r="E28" s="30" t="n"/>
      <c r="F28" s="7" t="n">
        <v>2057.15</v>
      </c>
      <c r="G28" s="37" t="n"/>
      <c r="H28" s="44" t="n"/>
      <c r="I28" s="44" t="n"/>
      <c r="J28" s="45">
        <f>IF(OR($H28="",$I28=""),"",MAX(0,$H28-$I28))</f>
        <v/>
      </c>
      <c r="K28" s="19" t="inlineStr"/>
    </row>
    <row r="29">
      <c r="A29" s="6" t="inlineStr">
        <is>
          <t>RM6</t>
        </is>
      </c>
      <c r="B29" s="6" t="inlineStr">
        <is>
          <t>Módulo 02</t>
        </is>
      </c>
      <c r="C29" s="5" t="inlineStr">
        <is>
          <t>116 - 117 - 118 - 119  128 - 129  - 130</t>
        </is>
      </c>
      <c r="D29" s="7" t="n">
        <v>708.9</v>
      </c>
      <c r="E29" s="30" t="n"/>
      <c r="F29" s="7" t="n">
        <v>4077.29</v>
      </c>
      <c r="G29" s="37" t="n"/>
      <c r="H29" s="44" t="n"/>
      <c r="I29" s="44" t="n"/>
      <c r="J29" s="45">
        <f>IF(OR($H29="",$I29=""),"",MAX(0,$H29-$I29))</f>
        <v/>
      </c>
      <c r="K29" s="19" t="inlineStr"/>
    </row>
    <row r="30">
      <c r="A30" s="6" t="inlineStr">
        <is>
          <t>RM7</t>
        </is>
      </c>
      <c r="B30" s="6" t="inlineStr">
        <is>
          <t>Módulo 02</t>
        </is>
      </c>
      <c r="C30" s="5" t="inlineStr">
        <is>
          <t>120 - 121 - 122 - 123  124 - 125 - 126 - 127 - 133</t>
        </is>
      </c>
      <c r="D30" s="7" t="n">
        <v>1080.98</v>
      </c>
      <c r="E30" s="30" t="n"/>
      <c r="F30" s="7" t="n">
        <v>5126.490000000001</v>
      </c>
      <c r="G30" s="37" t="n"/>
      <c r="H30" s="44" t="n"/>
      <c r="I30" s="44" t="n"/>
      <c r="J30" s="45">
        <f>IF(OR($H30="",$I30=""),"",MAX(0,$H30-$I30))</f>
        <v/>
      </c>
      <c r="K30" s="19" t="inlineStr"/>
    </row>
    <row r="32">
      <c r="A32" s="19" t="inlineStr">
        <is>
          <t>Autonomia (saida&gt;entrada constante)=vol utilizavel/(vazao saida-vazao entrada). Capacidade de alguns reservatorios ausente no arquivo -&gt; conferir. Transferencias internas NAO sao entradas externas novas.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3" t="n"/>
    </row>
  </sheetData>
  <mergeCells count="1">
    <mergeCell ref="A32:K3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38135"/>
    <outlinePr summaryBelow="1" summaryRight="1"/>
    <pageSetUpPr/>
  </sheetPr>
  <dimension ref="A1:M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5" customWidth="1" min="4" max="4"/>
    <col width="15" customWidth="1" min="5" max="5"/>
    <col width="8" customWidth="1" min="6" max="6"/>
    <col width="8" customWidth="1" min="7" max="7"/>
    <col width="13" customWidth="1" min="8" max="8"/>
    <col width="11" customWidth="1" min="9" max="9"/>
    <col width="11" customWidth="1" min="10" max="10"/>
    <col width="11" customWidth="1" min="11" max="11"/>
    <col width="10" customWidth="1" min="12" max="12"/>
    <col width="22" customWidth="1" min="13" max="13"/>
  </cols>
  <sheetData>
    <row r="1" ht="20" customHeight="1">
      <c r="A1" s="1" t="inlineStr">
        <is>
          <t>REALIZADO - eventos executados (planejado NAO e realizado)</t>
        </is>
      </c>
    </row>
    <row r="2">
      <c r="A2" s="2" t="inlineStr">
        <is>
          <t>Volume=lam bruta*area*10. Horas=volume/vazao. Lam liq=lam bruta*0,90.</t>
        </is>
      </c>
    </row>
    <row r="4" ht="28" customHeight="1">
      <c r="A4" s="4" t="inlineStr">
        <is>
          <t>ID</t>
        </is>
      </c>
      <c r="B4" s="4" t="inlineStr">
        <is>
          <t>Pivo</t>
        </is>
      </c>
      <c r="C4" s="4" t="inlineStr">
        <is>
          <t>Parcela</t>
        </is>
      </c>
      <c r="D4" s="4" t="inlineStr">
        <is>
          <t>Inicio</t>
        </is>
      </c>
      <c r="E4" s="4" t="inlineStr">
        <is>
          <t>Fim</t>
        </is>
      </c>
      <c r="F4" s="4" t="inlineStr">
        <is>
          <t>% percent</t>
        </is>
      </c>
      <c r="G4" s="4" t="inlineStr">
        <is>
          <t>Horas</t>
        </is>
      </c>
      <c r="H4" s="4" t="inlineStr">
        <is>
          <t>Vazao (m3/h)</t>
        </is>
      </c>
      <c r="I4" s="4" t="inlineStr">
        <is>
          <t>Area (ha)</t>
        </is>
      </c>
      <c r="J4" s="4" t="inlineStr">
        <is>
          <t>Lam bruta (mm)</t>
        </is>
      </c>
      <c r="K4" s="4" t="inlineStr">
        <is>
          <t>Volume (m3)</t>
        </is>
      </c>
      <c r="L4" s="4" t="inlineStr">
        <is>
          <t>Lam liq (mm)</t>
        </is>
      </c>
      <c r="M4" s="4" t="inlineStr">
        <is>
          <t>Situacao/obs</t>
        </is>
      </c>
    </row>
    <row r="5">
      <c r="A5" s="20" t="n"/>
      <c r="B5" s="20" t="n"/>
      <c r="C5" s="20" t="n"/>
      <c r="D5" s="46" t="n"/>
      <c r="E5" s="46" t="n"/>
      <c r="F5" s="20" t="n"/>
      <c r="G5" s="12" t="n"/>
      <c r="H5" s="21" t="n"/>
      <c r="I5" s="21" t="n"/>
      <c r="J5" s="12" t="n"/>
      <c r="K5" s="15">
        <f>IF(OR($J5="",$I5=""),"",$J5*$I5*10)</f>
        <v/>
      </c>
      <c r="L5" s="13">
        <f>IF($J5="","",$J5*EF_APLIC)</f>
        <v/>
      </c>
      <c r="M5" s="19" t="n"/>
    </row>
    <row r="6">
      <c r="A6" s="20" t="n"/>
      <c r="B6" s="20" t="n"/>
      <c r="C6" s="20" t="n"/>
      <c r="D6" s="46" t="n"/>
      <c r="E6" s="46" t="n"/>
      <c r="F6" s="20" t="n"/>
      <c r="G6" s="12" t="n"/>
      <c r="H6" s="21" t="n"/>
      <c r="I6" s="21" t="n"/>
      <c r="J6" s="12" t="n"/>
      <c r="K6" s="15">
        <f>IF(OR($J6="",$I6=""),"",$J6*$I6*10)</f>
        <v/>
      </c>
      <c r="L6" s="13">
        <f>IF($J6="","",$J6*EF_APLIC)</f>
        <v/>
      </c>
      <c r="M6" s="19" t="n"/>
    </row>
    <row r="7">
      <c r="A7" s="20" t="n"/>
      <c r="B7" s="20" t="n"/>
      <c r="C7" s="20" t="n"/>
      <c r="D7" s="46" t="n"/>
      <c r="E7" s="46" t="n"/>
      <c r="F7" s="20" t="n"/>
      <c r="G7" s="12" t="n"/>
      <c r="H7" s="21" t="n"/>
      <c r="I7" s="21" t="n"/>
      <c r="J7" s="12" t="n"/>
      <c r="K7" s="15">
        <f>IF(OR($J7="",$I7=""),"",$J7*$I7*10)</f>
        <v/>
      </c>
      <c r="L7" s="13">
        <f>IF($J7="","",$J7*EF_APLIC)</f>
        <v/>
      </c>
      <c r="M7" s="19" t="n"/>
    </row>
    <row r="8">
      <c r="A8" s="20" t="n"/>
      <c r="B8" s="20" t="n"/>
      <c r="C8" s="20" t="n"/>
      <c r="D8" s="46" t="n"/>
      <c r="E8" s="46" t="n"/>
      <c r="F8" s="20" t="n"/>
      <c r="G8" s="12" t="n"/>
      <c r="H8" s="21" t="n"/>
      <c r="I8" s="21" t="n"/>
      <c r="J8" s="12" t="n"/>
      <c r="K8" s="15">
        <f>IF(OR($J8="",$I8=""),"",$J8*$I8*10)</f>
        <v/>
      </c>
      <c r="L8" s="13">
        <f>IF($J8="","",$J8*EF_APLIC)</f>
        <v/>
      </c>
      <c r="M8" s="19" t="n"/>
    </row>
    <row r="9">
      <c r="A9" s="20" t="n"/>
      <c r="B9" s="20" t="n"/>
      <c r="C9" s="20" t="n"/>
      <c r="D9" s="46" t="n"/>
      <c r="E9" s="46" t="n"/>
      <c r="F9" s="20" t="n"/>
      <c r="G9" s="12" t="n"/>
      <c r="H9" s="21" t="n"/>
      <c r="I9" s="21" t="n"/>
      <c r="J9" s="12" t="n"/>
      <c r="K9" s="15">
        <f>IF(OR($J9="",$I9=""),"",$J9*$I9*10)</f>
        <v/>
      </c>
      <c r="L9" s="13">
        <f>IF($J9="","",$J9*EF_APLIC)</f>
        <v/>
      </c>
      <c r="M9" s="19" t="n"/>
    </row>
    <row r="10">
      <c r="A10" s="20" t="n"/>
      <c r="B10" s="20" t="n"/>
      <c r="C10" s="20" t="n"/>
      <c r="D10" s="46" t="n"/>
      <c r="E10" s="46" t="n"/>
      <c r="F10" s="20" t="n"/>
      <c r="G10" s="12" t="n"/>
      <c r="H10" s="21" t="n"/>
      <c r="I10" s="21" t="n"/>
      <c r="J10" s="12" t="n"/>
      <c r="K10" s="15">
        <f>IF(OR($J10="",$I10=""),"",$J10*$I10*10)</f>
        <v/>
      </c>
      <c r="L10" s="13">
        <f>IF($J10="","",$J10*EF_APLIC)</f>
        <v/>
      </c>
      <c r="M10" s="19" t="n"/>
    </row>
    <row r="11">
      <c r="A11" s="20" t="n"/>
      <c r="B11" s="20" t="n"/>
      <c r="C11" s="20" t="n"/>
      <c r="D11" s="46" t="n"/>
      <c r="E11" s="46" t="n"/>
      <c r="F11" s="20" t="n"/>
      <c r="G11" s="12" t="n"/>
      <c r="H11" s="21" t="n"/>
      <c r="I11" s="21" t="n"/>
      <c r="J11" s="12" t="n"/>
      <c r="K11" s="15">
        <f>IF(OR($J11="",$I11=""),"",$J11*$I11*10)</f>
        <v/>
      </c>
      <c r="L11" s="13">
        <f>IF($J11="","",$J11*EF_APLIC)</f>
        <v/>
      </c>
      <c r="M11" s="19" t="n"/>
    </row>
    <row r="12">
      <c r="A12" s="20" t="n"/>
      <c r="B12" s="20" t="n"/>
      <c r="C12" s="20" t="n"/>
      <c r="D12" s="46" t="n"/>
      <c r="E12" s="46" t="n"/>
      <c r="F12" s="20" t="n"/>
      <c r="G12" s="12" t="n"/>
      <c r="H12" s="21" t="n"/>
      <c r="I12" s="21" t="n"/>
      <c r="J12" s="12" t="n"/>
      <c r="K12" s="15">
        <f>IF(OR($J12="",$I12=""),"",$J12*$I12*10)</f>
        <v/>
      </c>
      <c r="L12" s="13">
        <f>IF($J12="","",$J12*EF_APLIC)</f>
        <v/>
      </c>
      <c r="M12" s="19" t="n"/>
    </row>
    <row r="13">
      <c r="A13" s="20" t="n"/>
      <c r="B13" s="20" t="n"/>
      <c r="C13" s="20" t="n"/>
      <c r="D13" s="46" t="n"/>
      <c r="E13" s="46" t="n"/>
      <c r="F13" s="20" t="n"/>
      <c r="G13" s="12" t="n"/>
      <c r="H13" s="21" t="n"/>
      <c r="I13" s="21" t="n"/>
      <c r="J13" s="12" t="n"/>
      <c r="K13" s="15">
        <f>IF(OR($J13="",$I13=""),"",$J13*$I13*10)</f>
        <v/>
      </c>
      <c r="L13" s="13">
        <f>IF($J13="","",$J13*EF_APLIC)</f>
        <v/>
      </c>
      <c r="M13" s="19" t="n"/>
    </row>
    <row r="14">
      <c r="A14" s="20" t="n"/>
      <c r="B14" s="20" t="n"/>
      <c r="C14" s="20" t="n"/>
      <c r="D14" s="46" t="n"/>
      <c r="E14" s="46" t="n"/>
      <c r="F14" s="20" t="n"/>
      <c r="G14" s="12" t="n"/>
      <c r="H14" s="21" t="n"/>
      <c r="I14" s="21" t="n"/>
      <c r="J14" s="12" t="n"/>
      <c r="K14" s="15">
        <f>IF(OR($J14="",$I14=""),"",$J14*$I14*10)</f>
        <v/>
      </c>
      <c r="L14" s="13">
        <f>IF($J14="","",$J14*EF_APLIC)</f>
        <v/>
      </c>
      <c r="M14" s="19" t="n"/>
    </row>
    <row r="15">
      <c r="A15" s="20" t="n"/>
      <c r="B15" s="20" t="n"/>
      <c r="C15" s="20" t="n"/>
      <c r="D15" s="46" t="n"/>
      <c r="E15" s="46" t="n"/>
      <c r="F15" s="20" t="n"/>
      <c r="G15" s="12" t="n"/>
      <c r="H15" s="21" t="n"/>
      <c r="I15" s="21" t="n"/>
      <c r="J15" s="12" t="n"/>
      <c r="K15" s="15">
        <f>IF(OR($J15="",$I15=""),"",$J15*$I15*10)</f>
        <v/>
      </c>
      <c r="L15" s="13">
        <f>IF($J15="","",$J15*EF_APLIC)</f>
        <v/>
      </c>
      <c r="M15" s="19" t="n"/>
    </row>
    <row r="16">
      <c r="A16" s="20" t="n"/>
      <c r="B16" s="20" t="n"/>
      <c r="C16" s="20" t="n"/>
      <c r="D16" s="46" t="n"/>
      <c r="E16" s="46" t="n"/>
      <c r="F16" s="20" t="n"/>
      <c r="G16" s="12" t="n"/>
      <c r="H16" s="21" t="n"/>
      <c r="I16" s="21" t="n"/>
      <c r="J16" s="12" t="n"/>
      <c r="K16" s="15">
        <f>IF(OR($J16="",$I16=""),"",$J16*$I16*10)</f>
        <v/>
      </c>
      <c r="L16" s="13">
        <f>IF($J16="","",$J16*EF_APLIC)</f>
        <v/>
      </c>
      <c r="M16" s="19" t="n"/>
    </row>
    <row r="17">
      <c r="A17" s="20" t="n"/>
      <c r="B17" s="20" t="n"/>
      <c r="C17" s="20" t="n"/>
      <c r="D17" s="46" t="n"/>
      <c r="E17" s="46" t="n"/>
      <c r="F17" s="20" t="n"/>
      <c r="G17" s="12" t="n"/>
      <c r="H17" s="21" t="n"/>
      <c r="I17" s="21" t="n"/>
      <c r="J17" s="12" t="n"/>
      <c r="K17" s="15">
        <f>IF(OR($J17="",$I17=""),"",$J17*$I17*10)</f>
        <v/>
      </c>
      <c r="L17" s="13">
        <f>IF($J17="","",$J17*EF_APLIC)</f>
        <v/>
      </c>
      <c r="M17" s="19" t="n"/>
    </row>
    <row r="18">
      <c r="A18" s="20" t="n"/>
      <c r="B18" s="20" t="n"/>
      <c r="C18" s="20" t="n"/>
      <c r="D18" s="46" t="n"/>
      <c r="E18" s="46" t="n"/>
      <c r="F18" s="20" t="n"/>
      <c r="G18" s="12" t="n"/>
      <c r="H18" s="21" t="n"/>
      <c r="I18" s="21" t="n"/>
      <c r="J18" s="12" t="n"/>
      <c r="K18" s="15">
        <f>IF(OR($J18="",$I18=""),"",$J18*$I18*10)</f>
        <v/>
      </c>
      <c r="L18" s="13">
        <f>IF($J18="","",$J18*EF_APLIC)</f>
        <v/>
      </c>
      <c r="M18" s="19" t="n"/>
    </row>
    <row r="19">
      <c r="A19" s="20" t="n"/>
      <c r="B19" s="20" t="n"/>
      <c r="C19" s="20" t="n"/>
      <c r="D19" s="46" t="n"/>
      <c r="E19" s="46" t="n"/>
      <c r="F19" s="20" t="n"/>
      <c r="G19" s="12" t="n"/>
      <c r="H19" s="21" t="n"/>
      <c r="I19" s="21" t="n"/>
      <c r="J19" s="12" t="n"/>
      <c r="K19" s="15">
        <f>IF(OR($J19="",$I19=""),"",$J19*$I19*10)</f>
        <v/>
      </c>
      <c r="L19" s="13">
        <f>IF($J19="","",$J19*EF_APLIC)</f>
        <v/>
      </c>
      <c r="M19" s="19" t="n"/>
    </row>
    <row r="22">
      <c r="A22" s="19" t="inlineStr">
        <is>
          <t>Estados: programado/iniciado/concluido/parcial/cancelado/interrompido. Nao repor automaticamente o total atrasado.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3" t="n"/>
    </row>
  </sheetData>
  <mergeCells count="1">
    <mergeCell ref="A22:M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43C0C"/>
    <outlinePr summaryBelow="1" summaryRight="1"/>
    <pageSetUpPr/>
  </sheetPr>
  <dimension ref="A1:M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5" customWidth="1" min="3" max="3"/>
    <col width="9" customWidth="1" min="4" max="4"/>
    <col width="11" customWidth="1" min="5" max="5"/>
    <col width="15" customWidth="1" min="6" max="6"/>
    <col width="18" customWidth="1" min="7" max="7"/>
    <col width="14" customWidth="1" min="8" max="8"/>
    <col width="12" customWidth="1" min="9" max="9"/>
    <col width="11" customWidth="1" min="10" max="10"/>
    <col width="13" customWidth="1" min="11" max="11"/>
    <col width="13" customWidth="1" min="12" max="12"/>
    <col width="12" customWidth="1" min="13" max="13"/>
  </cols>
  <sheetData>
    <row r="1" ht="20" customHeight="1">
      <c r="A1" s="1" t="inlineStr">
        <is>
          <t>OCORRENCIAS - falhas, causas, impacto e providencias</t>
        </is>
      </c>
    </row>
    <row r="2">
      <c r="A2" s="2" t="inlineStr">
        <is>
          <t>Nao atribuir causa sem evidencia.</t>
        </is>
      </c>
    </row>
    <row r="4" ht="28" customHeight="1">
      <c r="A4" s="4" t="inlineStr">
        <is>
          <t>ID</t>
        </is>
      </c>
      <c r="B4" s="4" t="inlineStr">
        <is>
          <t>Evento</t>
        </is>
      </c>
      <c r="C4" s="4" t="inlineStr">
        <is>
          <t>Data/hora</t>
        </is>
      </c>
      <c r="D4" s="4" t="inlineStr">
        <is>
          <t>Pivo</t>
        </is>
      </c>
      <c r="E4" s="4" t="inlineStr">
        <is>
          <t>Casa b.</t>
        </is>
      </c>
      <c r="F4" s="4" t="inlineStr">
        <is>
          <t>Tipo</t>
        </is>
      </c>
      <c r="G4" s="4" t="inlineStr">
        <is>
          <t>Descricao</t>
        </is>
      </c>
      <c r="H4" s="4" t="inlineStr">
        <is>
          <t>Causa (susp/conf)</t>
        </is>
      </c>
      <c r="I4" s="4" t="inlineStr">
        <is>
          <t>Responsavel</t>
        </is>
      </c>
      <c r="J4" s="4" t="inlineStr">
        <is>
          <t>H paradas</t>
        </is>
      </c>
      <c r="K4" s="4" t="inlineStr">
        <is>
          <t>Area nao at (ha)</t>
        </is>
      </c>
      <c r="L4" s="4" t="inlineStr">
        <is>
          <t>Vol nao apl (m3)</t>
        </is>
      </c>
      <c r="M4" s="4" t="inlineStr">
        <is>
          <t>Situacao</t>
        </is>
      </c>
    </row>
    <row r="5">
      <c r="A5" s="10" t="n"/>
      <c r="B5" s="10" t="n"/>
      <c r="C5" s="46" t="n"/>
      <c r="D5" s="10" t="n"/>
      <c r="E5" s="10" t="n"/>
      <c r="F5" s="10" t="n"/>
      <c r="G5" s="10" t="n"/>
      <c r="H5" s="10" t="n"/>
      <c r="I5" s="10" t="n"/>
      <c r="J5" s="12" t="n"/>
      <c r="K5" s="21" t="n"/>
      <c r="L5" s="21" t="n"/>
      <c r="M5" s="10" t="n"/>
    </row>
    <row r="6">
      <c r="A6" s="10" t="n"/>
      <c r="B6" s="10" t="n"/>
      <c r="C6" s="46" t="n"/>
      <c r="D6" s="10" t="n"/>
      <c r="E6" s="10" t="n"/>
      <c r="F6" s="10" t="n"/>
      <c r="G6" s="10" t="n"/>
      <c r="H6" s="10" t="n"/>
      <c r="I6" s="10" t="n"/>
      <c r="J6" s="12" t="n"/>
      <c r="K6" s="21" t="n"/>
      <c r="L6" s="21" t="n"/>
      <c r="M6" s="10" t="n"/>
    </row>
    <row r="7">
      <c r="A7" s="10" t="n"/>
      <c r="B7" s="10" t="n"/>
      <c r="C7" s="46" t="n"/>
      <c r="D7" s="10" t="n"/>
      <c r="E7" s="10" t="n"/>
      <c r="F7" s="10" t="n"/>
      <c r="G7" s="10" t="n"/>
      <c r="H7" s="10" t="n"/>
      <c r="I7" s="10" t="n"/>
      <c r="J7" s="12" t="n"/>
      <c r="K7" s="21" t="n"/>
      <c r="L7" s="21" t="n"/>
      <c r="M7" s="10" t="n"/>
    </row>
    <row r="8">
      <c r="A8" s="10" t="n"/>
      <c r="B8" s="10" t="n"/>
      <c r="C8" s="46" t="n"/>
      <c r="D8" s="10" t="n"/>
      <c r="E8" s="10" t="n"/>
      <c r="F8" s="10" t="n"/>
      <c r="G8" s="10" t="n"/>
      <c r="H8" s="10" t="n"/>
      <c r="I8" s="10" t="n"/>
      <c r="J8" s="12" t="n"/>
      <c r="K8" s="21" t="n"/>
      <c r="L8" s="21" t="n"/>
      <c r="M8" s="10" t="n"/>
    </row>
    <row r="9">
      <c r="A9" s="10" t="n"/>
      <c r="B9" s="10" t="n"/>
      <c r="C9" s="46" t="n"/>
      <c r="D9" s="10" t="n"/>
      <c r="E9" s="10" t="n"/>
      <c r="F9" s="10" t="n"/>
      <c r="G9" s="10" t="n"/>
      <c r="H9" s="10" t="n"/>
      <c r="I9" s="10" t="n"/>
      <c r="J9" s="12" t="n"/>
      <c r="K9" s="21" t="n"/>
      <c r="L9" s="21" t="n"/>
      <c r="M9" s="10" t="n"/>
    </row>
    <row r="10">
      <c r="A10" s="10" t="n"/>
      <c r="B10" s="10" t="n"/>
      <c r="C10" s="46" t="n"/>
      <c r="D10" s="10" t="n"/>
      <c r="E10" s="10" t="n"/>
      <c r="F10" s="10" t="n"/>
      <c r="G10" s="10" t="n"/>
      <c r="H10" s="10" t="n"/>
      <c r="I10" s="10" t="n"/>
      <c r="J10" s="12" t="n"/>
      <c r="K10" s="21" t="n"/>
      <c r="L10" s="21" t="n"/>
      <c r="M10" s="10" t="n"/>
    </row>
    <row r="11">
      <c r="A11" s="10" t="n"/>
      <c r="B11" s="10" t="n"/>
      <c r="C11" s="46" t="n"/>
      <c r="D11" s="10" t="n"/>
      <c r="E11" s="10" t="n"/>
      <c r="F11" s="10" t="n"/>
      <c r="G11" s="10" t="n"/>
      <c r="H11" s="10" t="n"/>
      <c r="I11" s="10" t="n"/>
      <c r="J11" s="12" t="n"/>
      <c r="K11" s="21" t="n"/>
      <c r="L11" s="21" t="n"/>
      <c r="M11" s="10" t="n"/>
    </row>
    <row r="12">
      <c r="A12" s="10" t="n"/>
      <c r="B12" s="10" t="n"/>
      <c r="C12" s="46" t="n"/>
      <c r="D12" s="10" t="n"/>
      <c r="E12" s="10" t="n"/>
      <c r="F12" s="10" t="n"/>
      <c r="G12" s="10" t="n"/>
      <c r="H12" s="10" t="n"/>
      <c r="I12" s="10" t="n"/>
      <c r="J12" s="12" t="n"/>
      <c r="K12" s="21" t="n"/>
      <c r="L12" s="21" t="n"/>
      <c r="M12" s="10" t="n"/>
    </row>
    <row r="13">
      <c r="A13" s="10" t="n"/>
      <c r="B13" s="10" t="n"/>
      <c r="C13" s="46" t="n"/>
      <c r="D13" s="10" t="n"/>
      <c r="E13" s="10" t="n"/>
      <c r="F13" s="10" t="n"/>
      <c r="G13" s="10" t="n"/>
      <c r="H13" s="10" t="n"/>
      <c r="I13" s="10" t="n"/>
      <c r="J13" s="12" t="n"/>
      <c r="K13" s="21" t="n"/>
      <c r="L13" s="21" t="n"/>
      <c r="M13" s="10" t="n"/>
    </row>
    <row r="14">
      <c r="A14" s="10" t="n"/>
      <c r="B14" s="10" t="n"/>
      <c r="C14" s="46" t="n"/>
      <c r="D14" s="10" t="n"/>
      <c r="E14" s="10" t="n"/>
      <c r="F14" s="10" t="n"/>
      <c r="G14" s="10" t="n"/>
      <c r="H14" s="10" t="n"/>
      <c r="I14" s="10" t="n"/>
      <c r="J14" s="12" t="n"/>
      <c r="K14" s="21" t="n"/>
      <c r="L14" s="21" t="n"/>
      <c r="M14" s="10" t="n"/>
    </row>
    <row r="15">
      <c r="A15" s="10" t="n"/>
      <c r="B15" s="10" t="n"/>
      <c r="C15" s="46" t="n"/>
      <c r="D15" s="10" t="n"/>
      <c r="E15" s="10" t="n"/>
      <c r="F15" s="10" t="n"/>
      <c r="G15" s="10" t="n"/>
      <c r="H15" s="10" t="n"/>
      <c r="I15" s="10" t="n"/>
      <c r="J15" s="12" t="n"/>
      <c r="K15" s="21" t="n"/>
      <c r="L15" s="21" t="n"/>
      <c r="M15" s="10" t="n"/>
    </row>
    <row r="16">
      <c r="A16" s="10" t="n"/>
      <c r="B16" s="10" t="n"/>
      <c r="C16" s="46" t="n"/>
      <c r="D16" s="10" t="n"/>
      <c r="E16" s="10" t="n"/>
      <c r="F16" s="10" t="n"/>
      <c r="G16" s="10" t="n"/>
      <c r="H16" s="10" t="n"/>
      <c r="I16" s="10" t="n"/>
      <c r="J16" s="12" t="n"/>
      <c r="K16" s="21" t="n"/>
      <c r="L16" s="21" t="n"/>
      <c r="M16" s="10" t="n"/>
    </row>
    <row r="17">
      <c r="A17" s="10" t="n"/>
      <c r="B17" s="10" t="n"/>
      <c r="C17" s="46" t="n"/>
      <c r="D17" s="10" t="n"/>
      <c r="E17" s="10" t="n"/>
      <c r="F17" s="10" t="n"/>
      <c r="G17" s="10" t="n"/>
      <c r="H17" s="10" t="n"/>
      <c r="I17" s="10" t="n"/>
      <c r="J17" s="12" t="n"/>
      <c r="K17" s="21" t="n"/>
      <c r="L17" s="21" t="n"/>
      <c r="M17" s="10" t="n"/>
    </row>
    <row r="20">
      <c r="A20" s="19" t="inlineStr">
        <is>
          <t>Tipos: falta de agua, falha eletrica, falha mecanica, falta de pressao, impedimento fisico, manutencao, conflito operacional, outro.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3" t="n"/>
    </row>
  </sheetData>
  <mergeCells count="1">
    <mergeCell ref="A20:M20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30A0"/>
    <outlinePr summaryBelow="1" summaryRight="1"/>
    <pageSetUpPr/>
  </sheetPr>
  <dimension ref="A1:L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3" customWidth="1" min="3" max="3"/>
    <col width="12" customWidth="1" min="4" max="4"/>
    <col width="13" customWidth="1" min="5" max="5"/>
    <col width="13" customWidth="1" min="6" max="6"/>
    <col width="14" customWidth="1" min="7" max="7"/>
    <col width="10" customWidth="1" min="8" max="8"/>
    <col width="13" customWidth="1" min="9" max="9"/>
    <col width="12" customWidth="1" min="10" max="10"/>
    <col width="13" customWidth="1" min="11" max="11"/>
    <col width="26" customWidth="1" min="12" max="12"/>
  </cols>
  <sheetData>
    <row r="1" ht="20" customHeight="1">
      <c r="A1" s="1" t="inlineStr">
        <is>
          <t>CUSTOS - energia e indicadores por evento (R$/ha, R$/(mm.ha))</t>
        </is>
      </c>
    </row>
    <row r="2">
      <c r="A2" s="2" t="inlineStr">
        <is>
          <t>Denominadores explicitos. Nao calcular indicador de volume/area zero. Tarifas e CE: PENDENTE.</t>
        </is>
      </c>
    </row>
    <row r="4" ht="28" customHeight="1">
      <c r="A4" s="4" t="inlineStr">
        <is>
          <t>Evento</t>
        </is>
      </c>
      <c r="B4" s="4" t="inlineStr">
        <is>
          <t>Pivo</t>
        </is>
      </c>
      <c r="C4" s="4" t="inlineStr">
        <is>
          <t>Volume (m3)</t>
        </is>
      </c>
      <c r="D4" s="4" t="inlineStr">
        <is>
          <t>CE (kWh/m3)</t>
        </is>
      </c>
      <c r="E4" s="4" t="inlineStr">
        <is>
          <t>Energia (kWh)</t>
        </is>
      </c>
      <c r="F4" s="4" t="inlineStr">
        <is>
          <t>Tarifa (R$/kWh)</t>
        </is>
      </c>
      <c r="G4" s="4" t="inlineStr">
        <is>
          <t>Custo energia (R$)</t>
        </is>
      </c>
      <c r="H4" s="4" t="inlineStr">
        <is>
          <t>Area (ha)</t>
        </is>
      </c>
      <c r="I4" s="4" t="inlineStr">
        <is>
          <t>Lam bruta (mm)</t>
        </is>
      </c>
      <c r="J4" s="4" t="inlineStr">
        <is>
          <t>R$/ha</t>
        </is>
      </c>
      <c r="K4" s="4" t="inlineStr">
        <is>
          <t>R$/(mm.ha)</t>
        </is>
      </c>
      <c r="L4" s="4" t="inlineStr">
        <is>
          <t>Obs</t>
        </is>
      </c>
    </row>
    <row r="5">
      <c r="A5" s="20" t="n"/>
      <c r="B5" s="20" t="n"/>
      <c r="C5" s="21" t="n"/>
      <c r="D5" s="47" t="n"/>
      <c r="E5" s="15">
        <f>IF(OR($C5="",$D5=""),"",$C5*$D5)</f>
        <v/>
      </c>
      <c r="F5" s="47" t="n"/>
      <c r="G5" s="48">
        <f>IF(OR($E5="",$F5=""),"",$E5*$F5)</f>
        <v/>
      </c>
      <c r="H5" s="21" t="n"/>
      <c r="I5" s="12" t="n"/>
      <c r="J5" s="48">
        <f>IF(OR($G5="",$H5="",$H5=0),"",$G5/$H5)</f>
        <v/>
      </c>
      <c r="K5" s="48">
        <f>IF(OR($G5="",$H5="",$I5="",$H5=0,$I5=0),"",$G5/($H5*$I5))</f>
        <v/>
      </c>
      <c r="L5" s="19" t="n"/>
    </row>
    <row r="6">
      <c r="A6" s="20" t="n"/>
      <c r="B6" s="20" t="n"/>
      <c r="C6" s="21" t="n"/>
      <c r="D6" s="47" t="n"/>
      <c r="E6" s="15">
        <f>IF(OR($C6="",$D6=""),"",$C6*$D6)</f>
        <v/>
      </c>
      <c r="F6" s="47" t="n"/>
      <c r="G6" s="48">
        <f>IF(OR($E6="",$F6=""),"",$E6*$F6)</f>
        <v/>
      </c>
      <c r="H6" s="21" t="n"/>
      <c r="I6" s="12" t="n"/>
      <c r="J6" s="48">
        <f>IF(OR($G6="",$H6="",$H6=0),"",$G6/$H6)</f>
        <v/>
      </c>
      <c r="K6" s="48">
        <f>IF(OR($G6="",$H6="",$I6="",$H6=0,$I6=0),"",$G6/($H6*$I6))</f>
        <v/>
      </c>
      <c r="L6" s="19" t="n"/>
    </row>
    <row r="7">
      <c r="A7" s="20" t="n"/>
      <c r="B7" s="20" t="n"/>
      <c r="C7" s="21" t="n"/>
      <c r="D7" s="47" t="n"/>
      <c r="E7" s="15">
        <f>IF(OR($C7="",$D7=""),"",$C7*$D7)</f>
        <v/>
      </c>
      <c r="F7" s="47" t="n"/>
      <c r="G7" s="48">
        <f>IF(OR($E7="",$F7=""),"",$E7*$F7)</f>
        <v/>
      </c>
      <c r="H7" s="21" t="n"/>
      <c r="I7" s="12" t="n"/>
      <c r="J7" s="48">
        <f>IF(OR($G7="",$H7="",$H7=0),"",$G7/$H7)</f>
        <v/>
      </c>
      <c r="K7" s="48">
        <f>IF(OR($G7="",$H7="",$I7="",$H7=0,$I7=0),"",$G7/($H7*$I7))</f>
        <v/>
      </c>
      <c r="L7" s="19" t="n"/>
    </row>
    <row r="8">
      <c r="A8" s="20" t="n"/>
      <c r="B8" s="20" t="n"/>
      <c r="C8" s="21" t="n"/>
      <c r="D8" s="47" t="n"/>
      <c r="E8" s="15">
        <f>IF(OR($C8="",$D8=""),"",$C8*$D8)</f>
        <v/>
      </c>
      <c r="F8" s="47" t="n"/>
      <c r="G8" s="48">
        <f>IF(OR($E8="",$F8=""),"",$E8*$F8)</f>
        <v/>
      </c>
      <c r="H8" s="21" t="n"/>
      <c r="I8" s="12" t="n"/>
      <c r="J8" s="48">
        <f>IF(OR($G8="",$H8="",$H8=0),"",$G8/$H8)</f>
        <v/>
      </c>
      <c r="K8" s="48">
        <f>IF(OR($G8="",$H8="",$I8="",$H8=0,$I8=0),"",$G8/($H8*$I8))</f>
        <v/>
      </c>
      <c r="L8" s="19" t="n"/>
    </row>
    <row r="9">
      <c r="A9" s="20" t="n"/>
      <c r="B9" s="20" t="n"/>
      <c r="C9" s="21" t="n"/>
      <c r="D9" s="47" t="n"/>
      <c r="E9" s="15">
        <f>IF(OR($C9="",$D9=""),"",$C9*$D9)</f>
        <v/>
      </c>
      <c r="F9" s="47" t="n"/>
      <c r="G9" s="48">
        <f>IF(OR($E9="",$F9=""),"",$E9*$F9)</f>
        <v/>
      </c>
      <c r="H9" s="21" t="n"/>
      <c r="I9" s="12" t="n"/>
      <c r="J9" s="48">
        <f>IF(OR($G9="",$H9="",$H9=0),"",$G9/$H9)</f>
        <v/>
      </c>
      <c r="K9" s="48">
        <f>IF(OR($G9="",$H9="",$I9="",$H9=0,$I9=0),"",$G9/($H9*$I9))</f>
        <v/>
      </c>
      <c r="L9" s="19" t="n"/>
    </row>
    <row r="10">
      <c r="A10" s="20" t="n"/>
      <c r="B10" s="20" t="n"/>
      <c r="C10" s="21" t="n"/>
      <c r="D10" s="47" t="n"/>
      <c r="E10" s="15">
        <f>IF(OR($C10="",$D10=""),"",$C10*$D10)</f>
        <v/>
      </c>
      <c r="F10" s="47" t="n"/>
      <c r="G10" s="48">
        <f>IF(OR($E10="",$F10=""),"",$E10*$F10)</f>
        <v/>
      </c>
      <c r="H10" s="21" t="n"/>
      <c r="I10" s="12" t="n"/>
      <c r="J10" s="48">
        <f>IF(OR($G10="",$H10="",$H10=0),"",$G10/$H10)</f>
        <v/>
      </c>
      <c r="K10" s="48">
        <f>IF(OR($G10="",$H10="",$I10="",$H10=0,$I10=0),"",$G10/($H10*$I10))</f>
        <v/>
      </c>
      <c r="L10" s="19" t="n"/>
    </row>
    <row r="11">
      <c r="A11" s="20" t="n"/>
      <c r="B11" s="20" t="n"/>
      <c r="C11" s="21" t="n"/>
      <c r="D11" s="47" t="n"/>
      <c r="E11" s="15">
        <f>IF(OR($C11="",$D11=""),"",$C11*$D11)</f>
        <v/>
      </c>
      <c r="F11" s="47" t="n"/>
      <c r="G11" s="48">
        <f>IF(OR($E11="",$F11=""),"",$E11*$F11)</f>
        <v/>
      </c>
      <c r="H11" s="21" t="n"/>
      <c r="I11" s="12" t="n"/>
      <c r="J11" s="48">
        <f>IF(OR($G11="",$H11="",$H11=0),"",$G11/$H11)</f>
        <v/>
      </c>
      <c r="K11" s="48">
        <f>IF(OR($G11="",$H11="",$I11="",$H11=0,$I11=0),"",$G11/($H11*$I11))</f>
        <v/>
      </c>
      <c r="L11" s="19" t="n"/>
    </row>
    <row r="12">
      <c r="A12" s="20" t="n"/>
      <c r="B12" s="20" t="n"/>
      <c r="C12" s="21" t="n"/>
      <c r="D12" s="47" t="n"/>
      <c r="E12" s="15">
        <f>IF(OR($C12="",$D12=""),"",$C12*$D12)</f>
        <v/>
      </c>
      <c r="F12" s="47" t="n"/>
      <c r="G12" s="48">
        <f>IF(OR($E12="",$F12=""),"",$E12*$F12)</f>
        <v/>
      </c>
      <c r="H12" s="21" t="n"/>
      <c r="I12" s="12" t="n"/>
      <c r="J12" s="48">
        <f>IF(OR($G12="",$H12="",$H12=0),"",$G12/$H12)</f>
        <v/>
      </c>
      <c r="K12" s="48">
        <f>IF(OR($G12="",$H12="",$I12="",$H12=0,$I12=0),"",$G12/($H12*$I12))</f>
        <v/>
      </c>
      <c r="L12" s="19" t="n"/>
    </row>
    <row r="13">
      <c r="A13" s="20" t="n"/>
      <c r="B13" s="20" t="n"/>
      <c r="C13" s="21" t="n"/>
      <c r="D13" s="47" t="n"/>
      <c r="E13" s="15">
        <f>IF(OR($C13="",$D13=""),"",$C13*$D13)</f>
        <v/>
      </c>
      <c r="F13" s="47" t="n"/>
      <c r="G13" s="48">
        <f>IF(OR($E13="",$F13=""),"",$E13*$F13)</f>
        <v/>
      </c>
      <c r="H13" s="21" t="n"/>
      <c r="I13" s="12" t="n"/>
      <c r="J13" s="48">
        <f>IF(OR($G13="",$H13="",$H13=0),"",$G13/$H13)</f>
        <v/>
      </c>
      <c r="K13" s="48">
        <f>IF(OR($G13="",$H13="",$I13="",$H13=0,$I13=0),"",$G13/($H13*$I13))</f>
        <v/>
      </c>
      <c r="L13" s="19" t="n"/>
    </row>
    <row r="14">
      <c r="A14" s="20" t="n"/>
      <c r="B14" s="20" t="n"/>
      <c r="C14" s="21" t="n"/>
      <c r="D14" s="47" t="n"/>
      <c r="E14" s="15">
        <f>IF(OR($C14="",$D14=""),"",$C14*$D14)</f>
        <v/>
      </c>
      <c r="F14" s="47" t="n"/>
      <c r="G14" s="48">
        <f>IF(OR($E14="",$F14=""),"",$E14*$F14)</f>
        <v/>
      </c>
      <c r="H14" s="21" t="n"/>
      <c r="I14" s="12" t="n"/>
      <c r="J14" s="48">
        <f>IF(OR($G14="",$H14="",$H14=0),"",$G14/$H14)</f>
        <v/>
      </c>
      <c r="K14" s="48">
        <f>IF(OR($G14="",$H14="",$I14="",$H14=0,$I14=0),"",$G14/($H14*$I14))</f>
        <v/>
      </c>
      <c r="L14" s="19" t="n"/>
    </row>
    <row r="15">
      <c r="A15" s="20" t="n"/>
      <c r="B15" s="20" t="n"/>
      <c r="C15" s="21" t="n"/>
      <c r="D15" s="47" t="n"/>
      <c r="E15" s="15">
        <f>IF(OR($C15="",$D15=""),"",$C15*$D15)</f>
        <v/>
      </c>
      <c r="F15" s="47" t="n"/>
      <c r="G15" s="48">
        <f>IF(OR($E15="",$F15=""),"",$E15*$F15)</f>
        <v/>
      </c>
      <c r="H15" s="21" t="n"/>
      <c r="I15" s="12" t="n"/>
      <c r="J15" s="48">
        <f>IF(OR($G15="",$H15="",$H15=0),"",$G15/$H15)</f>
        <v/>
      </c>
      <c r="K15" s="48">
        <f>IF(OR($G15="",$H15="",$I15="",$H15=0,$I15=0),"",$G15/($H15*$I15))</f>
        <v/>
      </c>
      <c r="L15" s="19" t="n"/>
    </row>
    <row r="16">
      <c r="A16" s="20" t="n"/>
      <c r="B16" s="20" t="n"/>
      <c r="C16" s="21" t="n"/>
      <c r="D16" s="47" t="n"/>
      <c r="E16" s="15">
        <f>IF(OR($C16="",$D16=""),"",$C16*$D16)</f>
        <v/>
      </c>
      <c r="F16" s="47" t="n"/>
      <c r="G16" s="48">
        <f>IF(OR($E16="",$F16=""),"",$E16*$F16)</f>
        <v/>
      </c>
      <c r="H16" s="21" t="n"/>
      <c r="I16" s="12" t="n"/>
      <c r="J16" s="48">
        <f>IF(OR($G16="",$H16="",$H16=0),"",$G16/$H16)</f>
        <v/>
      </c>
      <c r="K16" s="48">
        <f>IF(OR($G16="",$H16="",$I16="",$H16=0,$I16=0),"",$G16/($H16*$I16))</f>
        <v/>
      </c>
      <c r="L16" s="19" t="n"/>
    </row>
    <row r="17">
      <c r="A17" s="20" t="n"/>
      <c r="B17" s="20" t="n"/>
      <c r="C17" s="21" t="n"/>
      <c r="D17" s="47" t="n"/>
      <c r="E17" s="15">
        <f>IF(OR($C17="",$D17=""),"",$C17*$D17)</f>
        <v/>
      </c>
      <c r="F17" s="47" t="n"/>
      <c r="G17" s="48">
        <f>IF(OR($E17="",$F17=""),"",$E17*$F17)</f>
        <v/>
      </c>
      <c r="H17" s="21" t="n"/>
      <c r="I17" s="12" t="n"/>
      <c r="J17" s="48">
        <f>IF(OR($G17="",$H17="",$H17=0),"",$G17/$H17)</f>
        <v/>
      </c>
      <c r="K17" s="48">
        <f>IF(OR($G17="",$H17="",$I17="",$H17=0,$I17=0),"",$G17/($H17*$I17))</f>
        <v/>
      </c>
      <c r="L17" s="19" t="n"/>
    </row>
    <row r="18">
      <c r="A18" s="20" t="n"/>
      <c r="B18" s="20" t="n"/>
      <c r="C18" s="21" t="n"/>
      <c r="D18" s="47" t="n"/>
      <c r="E18" s="15">
        <f>IF(OR($C18="",$D18=""),"",$C18*$D18)</f>
        <v/>
      </c>
      <c r="F18" s="47" t="n"/>
      <c r="G18" s="48">
        <f>IF(OR($E18="",$F18=""),"",$E18*$F18)</f>
        <v/>
      </c>
      <c r="H18" s="21" t="n"/>
      <c r="I18" s="12" t="n"/>
      <c r="J18" s="48">
        <f>IF(OR($G18="",$H18="",$H18=0),"",$G18/$H18)</f>
        <v/>
      </c>
      <c r="K18" s="48">
        <f>IF(OR($G18="",$H18="",$I18="",$H18=0,$I18=0),"",$G18/($H18*$I18))</f>
        <v/>
      </c>
      <c r="L18" s="19" t="n"/>
    </row>
    <row r="19">
      <c r="A19" s="20" t="n"/>
      <c r="B19" s="20" t="n"/>
      <c r="C19" s="21" t="n"/>
      <c r="D19" s="47" t="n"/>
      <c r="E19" s="15">
        <f>IF(OR($C19="",$D19=""),"",$C19*$D19)</f>
        <v/>
      </c>
      <c r="F19" s="47" t="n"/>
      <c r="G19" s="48">
        <f>IF(OR($E19="",$F19=""),"",$E19*$F19)</f>
        <v/>
      </c>
      <c r="H19" s="21" t="n"/>
      <c r="I19" s="12" t="n"/>
      <c r="J19" s="48">
        <f>IF(OR($G19="",$H19="",$H19=0),"",$G19/$H19)</f>
        <v/>
      </c>
      <c r="K19" s="48">
        <f>IF(OR($G19="",$H19="",$I19="",$H19=0,$I19=0),"",$G19/($H19*$I19))</f>
        <v/>
      </c>
      <c r="L19" s="19" t="n"/>
    </row>
    <row r="22">
      <c r="A22" s="19" t="inlineStr">
        <is>
          <t>R$/(mm.ha) bruto = custo/soma(area*lam bruta). Custo variavel por volume: R$/(mm.ha)=10*R$/m3. Nao declarar custo total com componentes pendentes.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3" t="n"/>
    </row>
  </sheetData>
  <mergeCells count="1">
    <mergeCell ref="A22:L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0000"/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  <col width="58" customWidth="1" min="4" max="4"/>
  </cols>
  <sheetData>
    <row r="1" ht="20" customHeight="1">
      <c r="A1" s="1" t="inlineStr">
        <is>
          <t>PARAMETROS - ajustes globais (fonte unica de verdade)</t>
        </is>
      </c>
    </row>
    <row r="2">
      <c r="A2" s="2" t="inlineStr">
        <is>
          <t>Altere aqui; as demais abas leem destas celulas.</t>
        </is>
      </c>
    </row>
    <row r="4" ht="28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Origem / observacao</t>
        </is>
      </c>
    </row>
    <row r="5">
      <c r="A5" s="17" t="inlineStr">
        <is>
          <t>Eficiencia de aplicacao</t>
        </is>
      </c>
      <c r="B5" s="11" t="n">
        <v>0.9</v>
      </c>
      <c r="C5" s="24" t="inlineStr">
        <is>
          <t>fracao</t>
        </is>
      </c>
      <c r="D5" s="19" t="inlineStr">
        <is>
          <t>Prompt 1. Centralizado. NAO usar 0,85.</t>
        </is>
      </c>
    </row>
    <row r="6">
      <c r="A6" s="17" t="inlineStr">
        <is>
          <t>Fator hidraulico (capacidade)</t>
        </is>
      </c>
      <c r="B6" s="11" t="n">
        <v>0.9</v>
      </c>
      <c r="C6" s="24" t="inlineStr">
        <is>
          <t>fracao</t>
        </is>
      </c>
      <c r="D6" s="19" t="inlineStr">
        <is>
          <t>Prompt 13. Independente da eficiencia. Aplicar 1x sobre a vazao de referencia.</t>
        </is>
      </c>
    </row>
    <row r="7">
      <c r="A7" s="17" t="inlineStr">
        <is>
          <t>Meta operacional semanal</t>
        </is>
      </c>
      <c r="B7" s="40" t="n">
        <v>30</v>
      </c>
      <c r="C7" s="24" t="inlineStr">
        <is>
          <t>mm</t>
        </is>
      </c>
      <c r="D7" s="19" t="inlineStr">
        <is>
          <t>Prompt 6. Editavel. Nao e recomendacao universal.</t>
        </is>
      </c>
    </row>
    <row r="8">
      <c r="A8" s="17" t="inlineStr">
        <is>
          <t>Meta - base declarada</t>
        </is>
      </c>
      <c r="B8" s="20" t="inlineStr">
        <is>
          <t>LIQUIDA</t>
        </is>
      </c>
      <c r="C8" s="24" t="inlineStr">
        <is>
          <t>texto</t>
        </is>
      </c>
      <c r="D8" s="19" t="inlineStr">
        <is>
          <t>30 liq=33,33 bruta; 30 bruta=27 liq.</t>
        </is>
      </c>
    </row>
    <row r="9">
      <c r="A9" s="17" t="inlineStr">
        <is>
          <t>Gatilho de acompanhamento (% AFD)</t>
        </is>
      </c>
      <c r="B9" s="11" t="n">
        <v>0.8</v>
      </c>
      <c r="C9" s="24" t="inlineStr">
        <is>
          <t>fracao</t>
        </is>
      </c>
      <c r="D9" s="19" t="inlineStr">
        <is>
          <t>Dr&gt;=gatilho*AFD -&gt; Acompanhar/Reavaliar.</t>
        </is>
      </c>
    </row>
    <row r="10">
      <c r="A10" s="17" t="inlineStr">
        <is>
          <t>Data de referencia (fixa)</t>
        </is>
      </c>
      <c r="B10" s="18" t="n">
        <v>46300</v>
      </c>
      <c r="C10" s="24" t="inlineStr">
        <is>
          <t>data</t>
        </is>
      </c>
      <c r="D10" s="19" t="inlineStr">
        <is>
          <t>Base de DAP/DAE e do grafico. Nao deixar HOJE() mudar semanas encerradas.</t>
        </is>
      </c>
    </row>
    <row r="11">
      <c r="A11" s="17" t="inlineStr">
        <is>
          <t>p padrao (depleccao manejavel)</t>
        </is>
      </c>
      <c r="B11" s="11" t="n">
        <v>0.5</v>
      </c>
      <c r="C11" s="24" t="inlineStr">
        <is>
          <t>fracao</t>
        </is>
      </c>
      <c r="D11" s="19" t="inlineStr">
        <is>
          <t>PENDENTE validar por cultura/fase/solo.</t>
        </is>
      </c>
    </row>
    <row r="12">
      <c r="A12" s="17" t="inlineStr">
        <is>
          <t>Metodo de ETc</t>
        </is>
      </c>
      <c r="B12" s="20" t="inlineStr">
        <is>
          <t>Kc unico</t>
        </is>
      </c>
      <c r="C12" s="24" t="inlineStr">
        <is>
          <t>texto</t>
        </is>
      </c>
      <c r="D12" s="19" t="inlineStr">
        <is>
          <t>Kc unico: ETa=Ks*Kc*ETo.</t>
        </is>
      </c>
    </row>
    <row r="13">
      <c r="A13" s="17" t="inlineStr">
        <is>
          <t>Metodo de chuva efetiva</t>
        </is>
      </c>
      <c r="B13" s="20" t="inlineStr">
        <is>
          <t>A definir</t>
        </is>
      </c>
      <c r="C13" s="24" t="inlineStr">
        <is>
          <t>texto</t>
        </is>
      </c>
      <c r="D13" s="19" t="inlineStr">
        <is>
          <t>PENDENTE (ex. USDA-SCS).</t>
        </is>
      </c>
    </row>
    <row r="14">
      <c r="A14" s="17" t="inlineStr">
        <is>
          <t>Inicio da semana (programacao)</t>
        </is>
      </c>
      <c r="B14" s="18" t="n">
        <v>46300</v>
      </c>
      <c r="C14" s="24" t="inlineStr">
        <is>
          <t>data</t>
        </is>
      </c>
      <c r="D14" s="19" t="inlineStr">
        <is>
          <t>Grade de 7 dias parte desta data.</t>
        </is>
      </c>
    </row>
    <row r="15">
      <c r="A15" s="17" t="inlineStr">
        <is>
          <t>cv -&gt; kW (fator)</t>
        </is>
      </c>
      <c r="B15" s="11" t="n">
        <v>0.7457</v>
      </c>
      <c r="C15" s="24" t="inlineStr">
        <is>
          <t>kW/cv</t>
        </is>
      </c>
      <c r="D15" s="19" t="inlineStr">
        <is>
          <t>Conversao mecanica. NAO inclui rendimento do motor.</t>
        </is>
      </c>
    </row>
    <row r="17">
      <c r="A17" s="49" t="inlineStr">
        <is>
          <t>ESCALA SENSORIAL DE UMIDADE (transcrita da imagem - prompt 8)</t>
        </is>
      </c>
    </row>
    <row r="18" ht="28" customHeight="1">
      <c r="A18" s="4" t="inlineStr">
        <is>
          <t>Nota</t>
        </is>
      </c>
      <c r="B18" s="4" t="inlineStr">
        <is>
          <t>% exibido</t>
        </is>
      </c>
      <c r="C18" s="4" t="inlineStr"/>
      <c r="D18" s="4" t="inlineStr">
        <is>
          <t>Observacao</t>
        </is>
      </c>
    </row>
    <row r="19">
      <c r="A19" s="27" t="n">
        <v>1</v>
      </c>
      <c r="B19" s="43" t="n">
        <v>1</v>
      </c>
      <c r="D19" s="19" t="inlineStr"/>
    </row>
    <row r="20">
      <c r="A20" s="27" t="n">
        <v>1.5</v>
      </c>
      <c r="B20" s="43" t="n">
        <v>0.96</v>
      </c>
      <c r="D20" s="19" t="inlineStr"/>
    </row>
    <row r="21">
      <c r="A21" s="27" t="n">
        <v>2</v>
      </c>
      <c r="B21" s="43" t="n">
        <v>0.92</v>
      </c>
      <c r="D21" s="19" t="inlineStr"/>
    </row>
    <row r="22">
      <c r="A22" s="27" t="n">
        <v>2.5</v>
      </c>
      <c r="B22" s="43" t="n">
        <v>0.88</v>
      </c>
      <c r="D22" s="19" t="inlineStr"/>
    </row>
    <row r="23">
      <c r="A23" s="27" t="n">
        <v>3</v>
      </c>
      <c r="B23" s="43" t="n">
        <v>0.83</v>
      </c>
      <c r="D23" s="19" t="inlineStr"/>
    </row>
    <row r="24">
      <c r="A24" s="27" t="n">
        <v>3.5</v>
      </c>
      <c r="B24" s="43" t="n">
        <v>0.79</v>
      </c>
      <c r="D24" s="19" t="inlineStr"/>
    </row>
    <row r="25">
      <c r="A25" s="27" t="n">
        <v>4</v>
      </c>
      <c r="B25" s="43" t="n">
        <v>0.75</v>
      </c>
      <c r="D25" s="19" t="inlineStr"/>
    </row>
    <row r="26">
      <c r="A26" s="27" t="n">
        <v>4.5</v>
      </c>
      <c r="B26" s="43" t="n">
        <v>0.71</v>
      </c>
      <c r="D26" s="19" t="inlineStr"/>
    </row>
    <row r="27">
      <c r="A27" s="27" t="n">
        <v>5</v>
      </c>
      <c r="B27" s="43" t="n">
        <v>0.67</v>
      </c>
      <c r="D27" s="19" t="inlineStr"/>
    </row>
    <row r="28">
      <c r="A28" s="27" t="n">
        <v>5.5</v>
      </c>
      <c r="B28" s="43" t="n">
        <v>0.63</v>
      </c>
      <c r="D28" s="19" t="inlineStr"/>
    </row>
    <row r="29">
      <c r="A29" s="27" t="n">
        <v>6</v>
      </c>
      <c r="B29" s="43" t="n">
        <v>0.58</v>
      </c>
      <c r="D29" s="19" t="inlineStr"/>
    </row>
    <row r="30">
      <c r="A30" s="27" t="n">
        <v>6.5</v>
      </c>
      <c r="B30" s="43" t="n">
        <v>0.54</v>
      </c>
      <c r="D30" s="19" t="inlineStr"/>
    </row>
    <row r="31">
      <c r="A31" s="27" t="n">
        <v>7</v>
      </c>
      <c r="B31" s="43" t="n">
        <v>0.5</v>
      </c>
      <c r="D31" s="19" t="inlineStr"/>
    </row>
    <row r="32">
      <c r="A32" s="27" t="n">
        <v>7.5</v>
      </c>
      <c r="B32" s="43" t="n">
        <v>0.43</v>
      </c>
      <c r="D32" s="19" t="inlineStr"/>
    </row>
    <row r="33">
      <c r="A33" s="27" t="n">
        <v>8</v>
      </c>
      <c r="B33" s="43" t="n">
        <v>0.35</v>
      </c>
      <c r="D33" s="19" t="inlineStr"/>
    </row>
    <row r="34">
      <c r="A34" s="28" t="inlineStr">
        <is>
          <t>8,5 a 10</t>
        </is>
      </c>
      <c r="B34" s="28" t="inlineStr">
        <is>
          <t>PENDENTE</t>
        </is>
      </c>
      <c r="D34" s="19" t="inlineStr">
        <is>
          <t>Nao visivel na imagem. Nao extrapolar.</t>
        </is>
      </c>
    </row>
    <row r="35" ht="26" customHeight="1">
      <c r="A35" s="29" t="inlineStr">
        <is>
          <t>ATENCAO: o % da escala NAO e % da CC nem da agua disponivel. Exige calibracao antes de virar mm no balanco.</t>
        </is>
      </c>
    </row>
  </sheetData>
  <mergeCells count="1">
    <mergeCell ref="A35:D35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00B050"/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2" customWidth="1" min="4" max="4"/>
    <col width="10" customWidth="1" min="5" max="5"/>
    <col width="34" customWidth="1" min="6" max="6"/>
  </cols>
  <sheetData>
    <row r="1" ht="20" customHeight="1">
      <c r="A1" s="1" t="inlineStr">
        <is>
          <t>VALIDACAO - conferencias numericas (prompt secao 17)</t>
        </is>
      </c>
    </row>
    <row r="2">
      <c r="A2" s="2" t="inlineStr">
        <is>
          <t>Formulas vivas. Status compara calculado x esperado.</t>
        </is>
      </c>
    </row>
    <row r="4" ht="28" customHeight="1">
      <c r="A4" s="4" t="inlineStr">
        <is>
          <t>Verificacao</t>
        </is>
      </c>
      <c r="B4" s="4" t="inlineStr">
        <is>
          <t>Calculado</t>
        </is>
      </c>
      <c r="C4" s="4" t="inlineStr">
        <is>
          <t>Esperado</t>
        </is>
      </c>
      <c r="D4" s="4" t="inlineStr">
        <is>
          <t>Dif</t>
        </is>
      </c>
      <c r="E4" s="4" t="inlineStr">
        <is>
          <t>Status</t>
        </is>
      </c>
      <c r="F4" s="4" t="inlineStr">
        <is>
          <t>Nota</t>
        </is>
      </c>
    </row>
    <row r="5">
      <c r="A5" s="17" t="inlineStr">
        <is>
          <t>Lam bruta: 30 liq / 0,90</t>
        </is>
      </c>
      <c r="B5" s="50">
        <f>30/EF_APLIC</f>
        <v/>
      </c>
      <c r="C5" s="51" t="n">
        <v>33.333333</v>
      </c>
      <c r="D5" s="52">
        <f>$B5-$C5</f>
        <v/>
      </c>
      <c r="E5" s="16">
        <f>IF(ABS($B5-$C5)&lt;0.01,"OK","VERIFICAR")</f>
        <v/>
      </c>
      <c r="F5" s="19" t="inlineStr">
        <is>
          <t>33,333... mm</t>
        </is>
      </c>
    </row>
    <row r="6">
      <c r="A6" s="17" t="inlineStr">
        <is>
          <t>Volume: 33,33mm x 100ha x 10</t>
        </is>
      </c>
      <c r="B6" s="15">
        <f>(30/EF_APLIC)*100*10</f>
        <v/>
      </c>
      <c r="C6" s="53" t="n">
        <v>33333.333333</v>
      </c>
      <c r="D6" s="52">
        <f>$B6-$C6</f>
        <v/>
      </c>
      <c r="E6" s="16">
        <f>IF(ABS($B6-$C6)&lt;0.01,"OK","VERIFICAR")</f>
        <v/>
      </c>
      <c r="F6" s="19" t="inlineStr">
        <is>
          <t>33.333,33 m3</t>
        </is>
      </c>
    </row>
    <row r="7">
      <c r="A7" s="17" t="inlineStr">
        <is>
          <t>Horas: 33.333,33 / 500 m3/h</t>
        </is>
      </c>
      <c r="B7" s="50">
        <f>((30/EF_APLIC)*100*10)/500</f>
        <v/>
      </c>
      <c r="C7" s="51" t="n">
        <v>66.666667</v>
      </c>
      <c r="D7" s="52">
        <f>$B7-$C7</f>
        <v/>
      </c>
      <c r="E7" s="16">
        <f>IF(ABS($B7-$C7)&lt;0.01,"OK","VERIFICAR")</f>
        <v/>
      </c>
      <c r="F7" s="19" t="inlineStr">
        <is>
          <t>66,666... h</t>
        </is>
      </c>
    </row>
    <row r="8">
      <c r="A8" s="17" t="inlineStr">
        <is>
          <t>Energia: 33.333,33 x 0,80 kWh/m3</t>
        </is>
      </c>
      <c r="B8" s="15">
        <f>((30/EF_APLIC)*100*10)*0.8</f>
        <v/>
      </c>
      <c r="C8" s="53" t="n">
        <v>26666.666667</v>
      </c>
      <c r="D8" s="52">
        <f>$B8-$C8</f>
        <v/>
      </c>
      <c r="E8" s="16">
        <f>IF(ABS($B8-$C8)&lt;0.01,"OK","VERIFICAR")</f>
        <v/>
      </c>
      <c r="F8" s="19" t="inlineStr">
        <is>
          <t>CE 0,80 = teste</t>
        </is>
      </c>
    </row>
    <row r="9">
      <c r="A9" s="17" t="inlineStr">
        <is>
          <t>30 bruto -&gt; liquido</t>
        </is>
      </c>
      <c r="B9" s="50">
        <f>30*EF_APLIC</f>
        <v/>
      </c>
      <c r="C9" s="51" t="n">
        <v>27</v>
      </c>
      <c r="D9" s="52">
        <f>$B9-$C9</f>
        <v/>
      </c>
      <c r="E9" s="16">
        <f>IF(ABS($B9-$C9)&lt;0.01,"OK","VERIFICAR")</f>
        <v/>
      </c>
      <c r="F9" s="19" t="inlineStr">
        <is>
          <t>27 mm</t>
        </is>
      </c>
    </row>
    <row r="10">
      <c r="A10" s="17" t="inlineStr">
        <is>
          <t>Vazao disp: 650 x 0,90 (SIM)</t>
        </is>
      </c>
      <c r="B10" s="13">
        <f>650*FATOR_HID</f>
        <v/>
      </c>
      <c r="C10" s="54" t="n">
        <v>585</v>
      </c>
      <c r="D10" s="52">
        <f>$B10-$C10</f>
        <v/>
      </c>
      <c r="E10" s="16">
        <f>IF(ABS($B10-$C10)&lt;0.01,"OK","VERIFICAR")</f>
        <v/>
      </c>
      <c r="F10" s="19" t="inlineStr">
        <is>
          <t>585 m3/h</t>
        </is>
      </c>
    </row>
    <row r="11">
      <c r="A11" s="17" t="inlineStr">
        <is>
          <t>Vazao disp: indisponivel</t>
        </is>
      </c>
      <c r="B11" s="13">
        <f>0*FATOR_HID</f>
        <v/>
      </c>
      <c r="C11" s="54" t="n">
        <v>0</v>
      </c>
      <c r="D11" s="52">
        <f>$B11-$C11</f>
        <v/>
      </c>
      <c r="E11" s="16">
        <f>IF(ABS($B11-$C11)&lt;0.01,"OK","VERIFICAR")</f>
        <v/>
      </c>
      <c r="F11" s="19" t="inlineStr">
        <is>
          <t>zero no intervalo</t>
        </is>
      </c>
    </row>
    <row r="12">
      <c r="A12" s="17" t="inlineStr">
        <is>
          <t>R$/(mm.ha)=10 x R$/m3 (0,045)</t>
        </is>
      </c>
      <c r="B12" s="50">
        <f>10*0.045</f>
        <v/>
      </c>
      <c r="C12" s="51" t="n">
        <v>0.45</v>
      </c>
      <c r="D12" s="52">
        <f>$B12-$C12</f>
        <v/>
      </c>
      <c r="E12" s="16">
        <f>IF(ABS($B12-$C12)&lt;0.01,"OK","VERIFICAR")</f>
        <v/>
      </c>
      <c r="F12" s="19" t="inlineStr">
        <is>
          <t>custo por volume</t>
        </is>
      </c>
    </row>
    <row r="13">
      <c r="A13" s="17" t="inlineStr">
        <is>
          <t>Ks: Dr=AFD (30/30/60)</t>
        </is>
      </c>
      <c r="B13" s="14">
        <f>IF(30&lt;=30,1,IF(30&gt;=60,0,(60-30)/(60-30)))</f>
        <v/>
      </c>
      <c r="C13" s="55" t="n">
        <v>1</v>
      </c>
      <c r="D13" s="52">
        <f>$B13-$C13</f>
        <v/>
      </c>
      <c r="E13" s="16">
        <f>IF(ABS($B13-$C13)&lt;0.01,"OK","VERIFICAR")</f>
        <v/>
      </c>
      <c r="F13" s="19" t="inlineStr">
        <is>
          <t>Dr=AFD -&gt; 1</t>
        </is>
      </c>
    </row>
    <row r="14">
      <c r="A14" s="17" t="inlineStr">
        <is>
          <t>Ks: Dr=CAD (60/30/60)</t>
        </is>
      </c>
      <c r="B14" s="14">
        <f>IF(60&lt;=30,1,IF(60&gt;=60,0,(60-60)/(60-30)))</f>
        <v/>
      </c>
      <c r="C14" s="55" t="n">
        <v>0</v>
      </c>
      <c r="D14" s="52">
        <f>$B14-$C14</f>
        <v/>
      </c>
      <c r="E14" s="16">
        <f>IF(ABS($B14-$C14)&lt;0.01,"OK","VERIFICAR")</f>
        <v/>
      </c>
      <c r="F14" s="19" t="inlineStr">
        <is>
          <t>Dr=CAD -&gt; 0</t>
        </is>
      </c>
    </row>
    <row r="15">
      <c r="A15" s="17" t="inlineStr">
        <is>
          <t>PIVOS: vazao disp P01 = vazao*0,90</t>
        </is>
      </c>
      <c r="B15" s="15">
        <f>PIVOS!$G$5*0.9</f>
        <v/>
      </c>
      <c r="C15" s="53">
        <f>PIVOS!$J$5</f>
        <v/>
      </c>
      <c r="D15" s="52">
        <f>$B15-$C15</f>
        <v/>
      </c>
      <c r="E15" s="16">
        <f>IF(ABS($B15-$C15)&lt;0.01,"OK","VERIFICAR")</f>
        <v/>
      </c>
      <c r="F15" s="19" t="inlineStr">
        <is>
          <t>coerencia do calculo importado</t>
        </is>
      </c>
    </row>
    <row r="17">
      <c r="A17" s="56" t="inlineStr">
        <is>
          <t>RESULTADO GERAL</t>
        </is>
      </c>
      <c r="B17" s="57">
        <f>IF(COUNTIF($E$5:$E$15,"VERIFICAR")=0,"TODAS OK","VERIFICAR ITENS")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30" customWidth="1" min="3" max="3"/>
    <col width="14" customWidth="1" min="4" max="4"/>
    <col width="46" customWidth="1" min="5" max="5"/>
  </cols>
  <sheetData>
    <row r="1" ht="20" customHeight="1">
      <c r="A1" s="1" t="inlineStr">
        <is>
          <t>FONTES - rastreabilidade da importacao</t>
        </is>
      </c>
    </row>
    <row r="2">
      <c r="A2" s="2" t="inlineStr">
        <is>
          <t>Arquivo, aba, linhas e data. Dados originais preservados; divergencias sinalizadas.</t>
        </is>
      </c>
    </row>
    <row r="4" ht="28" customHeight="1">
      <c r="A4" s="4" t="inlineStr">
        <is>
          <t>#</t>
        </is>
      </c>
      <c r="B4" s="4" t="inlineStr">
        <is>
          <t>Arquivo</t>
        </is>
      </c>
      <c r="C4" s="4" t="inlineStr">
        <is>
          <t>Aba</t>
        </is>
      </c>
      <c r="D4" s="4" t="inlineStr">
        <is>
          <t>Linhas</t>
        </is>
      </c>
      <c r="E4" s="4" t="inlineStr">
        <is>
          <t>Conteudo / observacao</t>
        </is>
      </c>
    </row>
    <row r="5">
      <c r="A5" s="16" t="n">
        <v>1</v>
      </c>
      <c r="B5" s="58" t="inlineStr">
        <is>
          <t>LAMINA E HORA PIVOS_Atualizacao (2).xlsx</t>
        </is>
      </c>
      <c r="C5" s="59" t="inlineStr">
        <is>
          <t>Karitel</t>
        </is>
      </c>
      <c r="D5" s="59" t="inlineStr">
        <is>
          <t>1-159</t>
        </is>
      </c>
      <c r="E5" s="19" t="inlineStr">
        <is>
          <t>Lamina (mm) e horas por percentimetro - 78 pivos (PA,PB,P1..P76). Importado p/ LAMINA_HORA.</t>
        </is>
      </c>
    </row>
    <row r="6">
      <c r="A6" s="16" t="n">
        <v>2</v>
      </c>
      <c r="B6" s="58" t="inlineStr">
        <is>
          <t>LAMINA E HORA PIVOS_Atualizacao (2).xlsx</t>
        </is>
      </c>
      <c r="C6" s="59" t="inlineStr">
        <is>
          <t>RDM</t>
        </is>
      </c>
      <c r="D6" s="59" t="inlineStr">
        <is>
          <t>1-66</t>
        </is>
      </c>
      <c r="E6" s="19" t="inlineStr">
        <is>
          <t>Lamina e horas - 32 pivos (P101..P133).</t>
        </is>
      </c>
    </row>
    <row r="7">
      <c r="A7" s="16" t="n">
        <v>3</v>
      </c>
      <c r="B7" s="58" t="inlineStr">
        <is>
          <t>informacoes pivos e reservatorios...xlsx</t>
        </is>
      </c>
      <c r="C7" s="59" t="inlineStr">
        <is>
          <t>Infor_Pivos</t>
        </is>
      </c>
      <c r="D7" s="59" t="inlineStr">
        <is>
          <t>2-109</t>
        </is>
      </c>
      <c r="E7" s="19" t="inlineStr">
        <is>
          <t>108 pivos: area, vazao, potencia (cv/kW), modulo, casa de bomba. -&gt; PIVOS.</t>
        </is>
      </c>
    </row>
    <row r="8">
      <c r="A8" s="16" t="n">
        <v>4</v>
      </c>
      <c r="B8" s="58" t="inlineStr">
        <is>
          <t>informacoes pivos e reservatorios...xlsx</t>
        </is>
      </c>
      <c r="C8" s="59" t="inlineStr">
        <is>
          <t>Infor. Reservatorios e C.Bombas</t>
        </is>
      </c>
      <c r="D8" s="59" t="inlineStr">
        <is>
          <t>2-28</t>
        </is>
      </c>
      <c r="E8" s="19" t="inlineStr">
        <is>
          <t>26 reservatorios: capacidade, vazao, pivos abastecidos. -&gt; RESERVATORIOS.</t>
        </is>
      </c>
    </row>
    <row r="9">
      <c r="A9" s="16" t="n">
        <v>5</v>
      </c>
      <c r="B9" s="58" t="inlineStr">
        <is>
          <t>informacoes pivos e reservatorios...xlsx</t>
        </is>
      </c>
      <c r="C9" s="59" t="inlineStr">
        <is>
          <t>Infor. Cap.. Elev.. e Pocos</t>
        </is>
      </c>
      <c r="D9" s="59" t="inlineStr">
        <is>
          <t>2-112</t>
        </is>
      </c>
      <c r="E9" s="19" t="inlineStr">
        <is>
          <t>111 bombas/captacoes/elevatorias/pocos. -&gt; DISPONIBILIDADE HIDRICA.</t>
        </is>
      </c>
    </row>
    <row r="10">
      <c r="A10" s="16" t="n">
        <v>6</v>
      </c>
      <c r="B10" s="58" t="inlineStr">
        <is>
          <t>Soja 26-27 sequencia de plantio...vs.3.xlsx</t>
        </is>
      </c>
      <c r="C10" s="59" t="inlineStr">
        <is>
          <t>VERSAO 3</t>
        </is>
      </c>
      <c r="D10" s="59" t="inlineStr">
        <is>
          <t>2-87</t>
        </is>
      </c>
      <c r="E10" s="19" t="inlineStr">
        <is>
          <t>86 talhoes de soja 26/27: data de plantio PLANEJADA, variedade, populacao. -&gt; SOJA / MANEJO.</t>
        </is>
      </c>
    </row>
    <row r="11">
      <c r="A11" s="16" t="n">
        <v>7</v>
      </c>
      <c r="B11" s="58" t="inlineStr">
        <is>
          <t>ROTACAO DE CULTURAS BIENAL 26-28 v.20.xlsx</t>
        </is>
      </c>
      <c r="C11" s="59" t="inlineStr">
        <is>
          <t>varias</t>
        </is>
      </c>
      <c r="D11" s="59" t="inlineStr">
        <is>
          <t>-</t>
        </is>
      </c>
      <c r="E11" s="19" t="inlineStr">
        <is>
          <t>Rotacao bienal, escalonamento e cadastro de talhoes. Importacao parcial - consolidar depois.</t>
        </is>
      </c>
    </row>
    <row r="13">
      <c r="B13" s="60" t="inlineStr">
        <is>
          <t>Data da importacao: 05/10/2026.  'Energia (kwh)' nos arquivos = potencia kW (cv x 0,7457), nao energia.</t>
        </is>
      </c>
      <c r="C13" s="22" t="n"/>
      <c r="D13" s="22" t="n"/>
      <c r="E13" s="23" t="n"/>
    </row>
  </sheetData>
  <mergeCells count="1">
    <mergeCell ref="B13:E1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C00000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32" customWidth="1" min="3" max="3"/>
    <col width="50" customWidth="1" min="4" max="4"/>
  </cols>
  <sheetData>
    <row r="1" ht="20" customHeight="1">
      <c r="A1" s="1" t="inlineStr">
        <is>
          <t>PENDENCIAS - o que falta (atualizado apos 4 arquivos recebidos)</t>
        </is>
      </c>
    </row>
    <row r="2">
      <c r="A2" s="2" t="inlineStr">
        <is>
          <t>Verde = resolvido. Vermelho = aguarda dado.</t>
        </is>
      </c>
    </row>
    <row r="4" ht="28" customHeight="1">
      <c r="A4" s="4" t="inlineStr">
        <is>
          <t>#</t>
        </is>
      </c>
      <c r="B4" s="4" t="inlineStr">
        <is>
          <t>Item</t>
        </is>
      </c>
      <c r="C4" s="4" t="inlineStr">
        <is>
          <t>Origem esperada</t>
        </is>
      </c>
      <c r="D4" s="4" t="inlineStr">
        <is>
          <t>Situacao / efeito</t>
        </is>
      </c>
    </row>
    <row r="5">
      <c r="A5" s="16" t="n">
        <v>1</v>
      </c>
      <c r="B5" s="61" t="inlineStr">
        <is>
          <t>RESOLVIDO: cadastro de pivos (area, vazao, potencia)</t>
        </is>
      </c>
      <c r="C5" s="19" t="inlineStr">
        <is>
          <t>informacoes pivos...xlsx</t>
        </is>
      </c>
      <c r="D5" s="62" t="inlineStr">
        <is>
          <t>OK - importado em PIVOS</t>
        </is>
      </c>
    </row>
    <row r="6">
      <c r="A6" s="16" t="n">
        <v>2</v>
      </c>
      <c r="B6" s="61" t="inlineStr">
        <is>
          <t>RESOLVIDO: rede hidraulica (bombas/captacoes/reservatorios)</t>
        </is>
      </c>
      <c r="C6" s="19" t="inlineStr">
        <is>
          <t>informacoes pivos...xlsx</t>
        </is>
      </c>
      <c r="D6" s="62" t="inlineStr">
        <is>
          <t>OK - DISPONIBILIDADE HIDRICA e RESERVATORIOS</t>
        </is>
      </c>
    </row>
    <row r="7">
      <c r="A7" s="16" t="n">
        <v>3</v>
      </c>
      <c r="B7" s="61" t="inlineStr">
        <is>
          <t>RESOLVIDO: lamina x percentimetro e horas</t>
        </is>
      </c>
      <c r="C7" s="19" t="inlineStr">
        <is>
          <t>LAMINA E HORA PIVOS.xlsx</t>
        </is>
      </c>
      <c r="D7" s="62" t="inlineStr">
        <is>
          <t>OK - LAMINA_HORA + PROGRAMACAO</t>
        </is>
      </c>
    </row>
    <row r="8">
      <c r="A8" s="16" t="n">
        <v>4</v>
      </c>
      <c r="B8" s="61" t="inlineStr">
        <is>
          <t>RESOLVIDO: sequencia de plantio soja 26/27</t>
        </is>
      </c>
      <c r="C8" s="19" t="inlineStr">
        <is>
          <t>Soja 26-27 sequencia vs.3.xlsx</t>
        </is>
      </c>
      <c r="D8" s="62" t="inlineStr">
        <is>
          <t>OK - SOJA + MANEJO (data PLANEJADA)</t>
        </is>
      </c>
    </row>
    <row r="9">
      <c r="A9" s="16" t="n">
        <v>5</v>
      </c>
      <c r="B9" s="63" t="inlineStr">
        <is>
          <t>Consumo especifico CE (kWh/m3) por pivo</t>
        </is>
      </c>
      <c r="C9" s="19" t="inlineStr">
        <is>
          <t>Consumo medio SOJA/ALGODAO/MILHO.xlsx</t>
        </is>
      </c>
      <c r="D9" s="19" t="inlineStr">
        <is>
          <t>PENDENTE - energia e custo por evento ficam sem valor</t>
        </is>
      </c>
    </row>
    <row r="10">
      <c r="A10" s="16" t="n">
        <v>6</v>
      </c>
      <c r="B10" s="63" t="inlineStr">
        <is>
          <t>Manejo e consumo de ALGODAO</t>
        </is>
      </c>
      <c r="C10" s="19" t="inlineStr">
        <is>
          <t>MANEJO ALGODAO.xlsx</t>
        </is>
      </c>
      <c r="D10" s="19" t="inlineStr">
        <is>
          <t>PENDENTE - aba ALGODAO so com estrutura</t>
        </is>
      </c>
    </row>
    <row r="11">
      <c r="A11" s="16" t="n">
        <v>7</v>
      </c>
      <c r="B11" s="63" t="inlineStr">
        <is>
          <t>Data REAL de plantio (temos a planejada)</t>
        </is>
      </c>
      <c r="C11" s="19" t="inlineStr">
        <is>
          <t>DATA REAL DE PLANTIO DE SOJA.xlsx</t>
        </is>
      </c>
      <c r="D11" s="19" t="inlineStr">
        <is>
          <t>PENDENTE - DAP usa data planejada por enquanto</t>
        </is>
      </c>
    </row>
    <row r="12">
      <c r="A12" s="16" t="n">
        <v>8</v>
      </c>
      <c r="B12" s="63" t="inlineStr">
        <is>
          <t>Parametros de solo (CC/PMP/Ds) por pivo</t>
        </is>
      </c>
      <c r="C12" s="19" t="inlineStr">
        <is>
          <t>analises de solo</t>
        </is>
      </c>
      <c r="D12" s="19" t="inlineStr">
        <is>
          <t>PENDENTE - CAD/AFD reais; MANEJO sem balanco completo</t>
        </is>
      </c>
    </row>
    <row r="13">
      <c r="A13" s="16" t="n">
        <v>9</v>
      </c>
      <c r="B13" s="63" t="inlineStr">
        <is>
          <t>Curvas de Kc por cultura/fase</t>
        </is>
      </c>
      <c r="C13" s="19" t="inlineStr">
        <is>
          <t>Cronograma/consumos</t>
        </is>
      </c>
      <c r="D13" s="19" t="inlineStr">
        <is>
          <t>PENDENTE - Kc entra manual nas abas de cultura</t>
        </is>
      </c>
    </row>
    <row r="14">
      <c r="A14" s="16" t="n">
        <v>10</v>
      </c>
      <c r="B14" s="63" t="inlineStr">
        <is>
          <t>Tarifas de energia por posto e vigencia</t>
        </is>
      </c>
      <c r="C14" s="19" t="inlineStr">
        <is>
          <t>contrato/fatura</t>
        </is>
      </c>
      <c r="D14" s="19" t="inlineStr">
        <is>
          <t>PENDENTE - custo de energia</t>
        </is>
      </c>
    </row>
    <row r="15">
      <c r="A15" s="16" t="n">
        <v>11</v>
      </c>
      <c r="B15" s="63" t="inlineStr">
        <is>
          <t>Captacao especifica KARITEL (aba KARITEL)</t>
        </is>
      </c>
      <c r="C15" s="19" t="inlineStr">
        <is>
          <t>CAPTACAO E ELEVATORIAS - KARITEL.xlsx</t>
        </is>
      </c>
      <c r="D15" s="19" t="inlineStr">
        <is>
          <t>PENDENTE - conferir/complementar com o ja importado</t>
        </is>
      </c>
    </row>
    <row r="16">
      <c r="A16" s="16" t="n">
        <v>12</v>
      </c>
      <c r="B16" s="63" t="inlineStr">
        <is>
          <t>Imagem da escala sensorial (interface)</t>
        </is>
      </c>
      <c r="C16" s="19" t="inlineStr">
        <is>
          <t>image.png</t>
        </is>
      </c>
      <c r="D16" s="19" t="inlineStr">
        <is>
          <t>PENDENTE - escala transcrita; calibracao em aberto</t>
        </is>
      </c>
    </row>
    <row r="17">
      <c r="A17" s="16" t="n">
        <v>13</v>
      </c>
      <c r="B17" s="63" t="inlineStr">
        <is>
          <t>Rotina 'Gerar programacao' automatica</t>
        </is>
      </c>
      <c r="C17" s="19" t="inlineStr">
        <is>
          <t>desenvolvimento (macro/script)</t>
        </is>
      </c>
      <c r="D17" s="19" t="inlineStr">
        <is>
          <t>PENDENTE - grade e lookups prontos; falta distribuicao automatica</t>
        </is>
      </c>
    </row>
    <row r="18">
      <c r="A18" s="16" t="n">
        <v>14</v>
      </c>
      <c r="B18" s="63" t="inlineStr">
        <is>
          <t>Mapeamento Talhao x Pivo x Cod L/H</t>
        </is>
      </c>
      <c r="C18" s="19" t="inlineStr">
        <is>
          <t>conferir com equipe</t>
        </is>
      </c>
      <c r="D18" s="19" t="inlineStr">
        <is>
          <t>PENDENTE - 'Cod L/H' em PIVOS e um palpite editavel (conferir PA/PB)</t>
        </is>
      </c>
    </row>
    <row r="19">
      <c r="A19" s="16" t="n">
        <v>15</v>
      </c>
      <c r="B19" s="63" t="inlineStr">
        <is>
          <t>Parametros Ky por cultura/fase</t>
        </is>
      </c>
      <c r="C19" s="19" t="inlineStr">
        <is>
          <t>FAO-33 / fontes regionais</t>
        </is>
      </c>
      <c r="D19" s="19" t="inlineStr">
        <is>
          <t>PENDENTE - projecao de perda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2026-10-05T15:20:17Z</dcterms:created>
  <dcterms:modified xsi:type="dcterms:W3CDTF">2026-10-05T15:20:17Z</dcterms:modified>
</cp:coreProperties>
</file>