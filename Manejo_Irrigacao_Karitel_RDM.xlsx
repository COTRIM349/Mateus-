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IA-ME" sheetId="1" state="visible" r:id="rId1"/>
    <sheet name="SOJA" sheetId="2" state="visible" r:id="rId2"/>
    <sheet name="ALGODAO" sheetId="3" state="visible" r:id="rId3"/>
    <sheet name="TABACO" sheetId="4" state="visible" r:id="rId4"/>
    <sheet name="CACAU" sheetId="5" state="visible" r:id="rId5"/>
    <sheet name="MILHO" sheetId="6" state="visible" r:id="rId6"/>
    <sheet name="ENERGIA_MODULO" sheetId="7" state="visible" r:id="rId7"/>
    <sheet name="ETO_SEMANAL" sheetId="8" state="visible" r:id="rId8"/>
    <sheet name="CURVAS_KC" sheetId="9" state="visible" r:id="rId9"/>
    <sheet name="LAMINA_HORA" sheetId="10" state="visible" r:id="rId10"/>
    <sheet name="PARAMETROS" sheetId="11" state="visible" r:id="rId11"/>
  </sheets>
  <definedNames>
    <definedName name="EF_APLIC">'PARAMETROS'!$B$5</definedName>
    <definedName name="TURNO">'PARAMETROS'!$B$6</definedName>
    <definedName name="FRAC_ACOMP">'PARAMETROS'!$B$7</definedName>
    <definedName name="DATA_REF">'PARAMETROS'!$B$8</definedName>
    <definedName name="ETO_SEM">'ETO_SEMANAL'!$B$3</definedName>
    <definedName name="CHUVA_SEM">'ETO_SEMANAL'!$B$2</definedName>
    <definedName name="_xlnm._FilterDatabase" localSheetId="1" hidden="1">'SOJA'!$A$4:$AA$88</definedName>
    <definedName name="_xlnm._FilterDatabase" localSheetId="3" hidden="1">'TABACO'!$A$4:$AA$9</definedName>
    <definedName name="_xlnm._FilterDatabase" localSheetId="4" hidden="1">'CACAU'!$A$4:$AA$17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"/>
    <numFmt numFmtId="167" formatCode="#,##0.0"/>
    <numFmt numFmtId="168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7F7F7F"/>
      <sz val="9"/>
    </font>
    <font>
      <name val="Arial"/>
      <color rgb="00008000"/>
      <sz val="10"/>
    </font>
    <font>
      <name val="Arial"/>
      <color rgb="00000000"/>
      <sz val="9"/>
    </font>
    <font>
      <name val="Arial"/>
      <color rgb="00BFBFBF"/>
      <sz val="8"/>
    </font>
    <font>
      <name val="Arial"/>
      <b val="1"/>
      <color rgb="00C00000"/>
    </font>
    <font>
      <name val="Arial"/>
      <b val="1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AFAFA"/>
      </patternFill>
    </fill>
    <fill>
      <patternFill patternType="solid">
        <fgColor rgb="002E549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7" fontId="7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center" vertical="center" wrapText="1"/>
    </xf>
    <xf numFmtId="168" fontId="7" fillId="5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3" fontId="4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center" vertical="center" wrapText="1"/>
    </xf>
    <xf numFmtId="167" fontId="11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de Kc - SOJA</a:t>
            </a:r>
          </a:p>
        </rich>
      </tx>
    </title>
    <plotArea>
      <lineChart>
        <grouping val="standard"/>
        <ser>
          <idx val="0"/>
          <order val="0"/>
          <tx>
            <strRef>
              <f>'CURVAS_KC'!E4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'CURVAS_KC'!$A$5:$A$224</f>
            </numRef>
          </cat>
          <val>
            <numRef>
              <f>'CURVAS_KC'!$E$5:$E$224</f>
            </numRef>
          </val>
        </ser>
        <ser>
          <idx val="1"/>
          <order val="1"/>
          <tx>
            <strRef>
              <f>'CURVAS_KC'!F4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'CURVAS_KC'!$A$5:$A$224</f>
            </numRef>
          </cat>
          <val>
            <numRef>
              <f>'CURVAS_KC'!$F$5:$F$224</f>
            </numRef>
          </val>
        </ser>
        <ser>
          <idx val="2"/>
          <order val="2"/>
          <tx>
            <strRef>
              <f>'CURVAS_KC'!G4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'CURVAS_KC'!$A$5:$A$224</f>
            </numRef>
          </cat>
          <val>
            <numRef>
              <f>'CURVAS_KC'!$G$5:$G$224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DAE (dias)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de Kc - TABACO</a:t>
            </a:r>
          </a:p>
        </rich>
      </tx>
    </title>
    <plotArea>
      <lineChart>
        <grouping val="standard"/>
        <ser>
          <idx val="0"/>
          <order val="0"/>
          <tx>
            <strRef>
              <f>'CURVAS_KC'!I4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'CURVAS_KC'!$A$5:$A$224</f>
            </numRef>
          </cat>
          <val>
            <numRef>
              <f>'CURVAS_KC'!$I$5:$I$224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DAE (dias)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de Kc - CACAU</a:t>
            </a:r>
          </a:p>
        </rich>
      </tx>
    </title>
    <plotArea>
      <lineChart>
        <grouping val="standard"/>
        <ser>
          <idx val="0"/>
          <order val="0"/>
          <tx>
            <strRef>
              <f>'CURVAS_KC'!J4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'CURVAS_KC'!$A$5:$A$224</f>
            </numRef>
          </cat>
          <val>
            <numRef>
              <f>'CURVAS_KC'!$J$5:$J$224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DAE (dias)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de Kc - MILHO</a:t>
            </a:r>
          </a:p>
        </rich>
      </tx>
    </title>
    <plotArea>
      <lineChart>
        <grouping val="standard"/>
        <ser>
          <idx val="0"/>
          <order val="0"/>
          <tx>
            <strRef>
              <f>'CURVAS_KC'!H4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'CURVAS_KC'!$A$5:$A$224</f>
            </numRef>
          </cat>
          <val>
            <numRef>
              <f>'CURVAS_KC'!$H$5:$H$224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DAE (dias)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90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 ht="20" customHeight="1">
      <c r="A1" s="1" t="inlineStr">
        <is>
          <t>Manejo de Irrigacao Karitel/RDM - v7</t>
        </is>
      </c>
    </row>
    <row r="2">
      <c r="A2" s="2" t="inlineStr">
        <is>
          <t>So pivos plantados. ETo semanal. Kc linear por DAE.</t>
        </is>
      </c>
    </row>
    <row r="4" ht="40" customHeight="1">
      <c r="B4" s="3" t="inlineStr">
        <is>
          <t>SO PLANTADOS:  Cada aba de cultura mostra so os pivos JA PLANTADOS (filtro Plantado=SIM). Os nao plantados ficam ocultos.</t>
        </is>
      </c>
    </row>
    <row r="5" ht="40" customHeight="1">
      <c r="B5" s="3" t="inlineStr">
        <is>
          <t>AVISAR PLANTIO:  Para incluir um pivo: preencha a DATA DE PLANTIO real dele na aba da cultura. Ele vira Plantado=SIM. Depois use Dados &gt; Reaplicar (ou abra o filtro da coluna Plantado) para a lista atualizar.</t>
        </is>
      </c>
    </row>
    <row r="6" ht="40" customHeight="1">
      <c r="B6" s="3" t="inlineStr">
        <is>
          <t>EMERGENCIA:  Soja e algodao: DAE = DAP - 5 (5 dias de emergencia). Tabaco/cacau/milho: DAE = DAP.</t>
        </is>
      </c>
    </row>
    <row r="7" ht="40" customHeight="1">
      <c r="B7" s="3" t="inlineStr">
        <is>
          <t>Kc:  Coluna Kc = curva diaria (CURVAS_KC) pelo DAE. Cada aba tem o GRAFICO da curva de Kc da cultura.</t>
        </is>
      </c>
    </row>
    <row r="8" ht="40" customHeight="1">
      <c r="B8" s="3" t="inlineStr">
        <is>
          <t>SOMA DA ETO:  ETo acum = SOMA das ETos semanais (ETO_SEMANAL) desde a Ult.irrig ate hoje. ETc acum = Kc x ETo acum. Nec BRUTA = (ETc acum - chuva)/0,90.</t>
        </is>
      </c>
    </row>
    <row r="9" ht="40" customHeight="1">
      <c r="B9" s="3" t="inlineStr">
        <is>
          <t>EXECUCAO:  Nas parcelas IRRIGAR, digite o % (percentimetro) -&gt; Lamina (mm) e Horas.</t>
        </is>
      </c>
    </row>
    <row r="10" ht="40" customHeight="1">
      <c r="B10" s="3" t="inlineStr">
        <is>
          <t>ETO / IRRIGAR:  Atualize ETO_SEMANAL a cada semana (ETo e chuva). Ao irrigar um pivo, coloque a data em 'Ult.irrig' para zerar a soma e recomecar o acumulo.</t>
        </is>
      </c>
    </row>
    <row r="11" ht="40" customHeight="1">
      <c r="B11" s="3" t="inlineStr">
        <is>
          <t>MODULOS:  Coluna Modulo: M1 (1-34+75,76), M2 (R8-R12), M3 (R13-R18), RDM (101-133). De para filtrar/ordenar por modulo.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A8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14" customWidth="1" min="4" max="4"/>
    <col width="8" customWidth="1" min="5" max="5"/>
    <col width="7" customWidth="1" min="6" max="6"/>
    <col width="11" customWidth="1" min="7" max="7"/>
    <col width="9" customWidth="1" min="8" max="8"/>
    <col width="6" customWidth="1" min="9" max="9"/>
    <col width="6" customWidth="1" min="10" max="10"/>
    <col width="7" customWidth="1" min="11" max="11"/>
    <col width="11" customWidth="1" min="12" max="12"/>
    <col width="9" customWidth="1" min="13" max="13"/>
    <col width="9" customWidth="1" min="14" max="14"/>
    <col width="9" customWidth="1" min="15" max="15"/>
    <col width="8" customWidth="1" min="16" max="16"/>
    <col width="11" customWidth="1" min="17" max="17"/>
    <col width="6" customWidth="1" min="18" max="18"/>
    <col width="10" customWidth="1" min="19" max="19"/>
    <col width="7" customWidth="1" min="20" max="20"/>
    <col width="10" customWidth="1" min="21" max="21"/>
    <col width="11" customWidth="1" min="22" max="22"/>
    <col width="12" customWidth="1" min="23" max="23"/>
    <col width="10" customWidth="1" min="24" max="24"/>
    <col width="10" customWidth="1" min="25" max="25"/>
    <col width="11" customWidth="1" min="26" max="26"/>
    <col width="6" customWidth="1" min="27" max="27"/>
  </cols>
  <sheetData>
    <row r="1" ht="20" customHeight="1">
      <c r="A1" s="1" t="inlineStr">
        <is>
          <t>SOJA 26/27 - manejo</t>
        </is>
      </c>
    </row>
    <row r="2">
      <c r="A2" s="2" t="inlineStr">
        <is>
          <t>So pivos PLANTADOS (filtro Plantado=SIM). Avisar plantio = preencher Data plantio. Emergencia 5 dias. ETc=Kc(DAE)xETo semanal.</t>
        </is>
      </c>
    </row>
    <row r="4" ht="30" customHeight="1">
      <c r="A4" s="4" t="inlineStr">
        <is>
          <t>Pivo</t>
        </is>
      </c>
      <c r="B4" s="4" t="inlineStr">
        <is>
          <t>Modulo</t>
        </is>
      </c>
      <c r="C4" s="4" t="inlineStr">
        <is>
          <t>Casa b.</t>
        </is>
      </c>
      <c r="D4" s="4" t="inlineStr">
        <is>
          <t>Variedade</t>
        </is>
      </c>
      <c r="E4" s="4" t="inlineStr">
        <is>
          <t>Classe</t>
        </is>
      </c>
      <c r="F4" s="4" t="inlineStr">
        <is>
          <t>Area(ha)</t>
        </is>
      </c>
      <c r="G4" s="4" t="inlineStr">
        <is>
          <t>Data plantio</t>
        </is>
      </c>
      <c r="H4" s="4" t="inlineStr">
        <is>
          <t>Plantado?</t>
        </is>
      </c>
      <c r="I4" s="4" t="inlineStr">
        <is>
          <t>DAP</t>
        </is>
      </c>
      <c r="J4" s="4" t="inlineStr">
        <is>
          <t>DAE</t>
        </is>
      </c>
      <c r="K4" s="4" t="inlineStr">
        <is>
          <t>Kc</t>
        </is>
      </c>
      <c r="L4" s="4" t="inlineStr">
        <is>
          <t>Ult.irrig</t>
        </is>
      </c>
      <c r="M4" s="4" t="inlineStr">
        <is>
          <t>ETo acum</t>
        </is>
      </c>
      <c r="N4" s="4" t="inlineStr">
        <is>
          <t>Chuva acum</t>
        </is>
      </c>
      <c r="O4" s="4" t="inlineStr">
        <is>
          <t>ETc acum</t>
        </is>
      </c>
      <c r="P4" s="4" t="inlineStr">
        <is>
          <t>Nec liq (mm)</t>
        </is>
      </c>
      <c r="Q4" s="4" t="inlineStr">
        <is>
          <t>Nec BRUTA (mm)</t>
        </is>
      </c>
      <c r="R4" s="4" t="inlineStr">
        <is>
          <t>% aplic</t>
        </is>
      </c>
      <c r="S4" s="4" t="inlineStr">
        <is>
          <t>Lamina(mm)</t>
        </is>
      </c>
      <c r="T4" s="4" t="inlineStr">
        <is>
          <t>Horas</t>
        </is>
      </c>
      <c r="U4" s="4" t="inlineStr">
        <is>
          <t>CE(kWh/m3)</t>
        </is>
      </c>
      <c r="V4" s="4" t="inlineStr">
        <is>
          <t>Volume(m3)</t>
        </is>
      </c>
      <c r="W4" s="4" t="inlineStr">
        <is>
          <t>Energia(kWh)</t>
        </is>
      </c>
      <c r="X4" s="4" t="inlineStr">
        <is>
          <t>Decisao</t>
        </is>
      </c>
      <c r="Y4" s="4" t="inlineStr">
        <is>
          <t>Prioridade</t>
        </is>
      </c>
      <c r="Z4" s="4" t="inlineStr">
        <is>
          <t>Curva Kc</t>
        </is>
      </c>
      <c r="AA4" s="4" t="inlineStr">
        <is>
          <t>Cod</t>
        </is>
      </c>
    </row>
    <row r="5" hidden="1">
      <c r="A5" s="5" t="inlineStr">
        <is>
          <t>Pivô 01</t>
        </is>
      </c>
      <c r="B5" s="5" t="inlineStr">
        <is>
          <t>Modulo 1</t>
        </is>
      </c>
      <c r="C5" s="5" t="inlineStr">
        <is>
          <t>R0</t>
        </is>
      </c>
      <c r="D5" s="6" t="inlineStr">
        <is>
          <t>BMX DOMINIO IPRO</t>
        </is>
      </c>
      <c r="E5" s="7" t="inlineStr">
        <is>
          <t>MEDIA</t>
        </is>
      </c>
      <c r="F5" s="8" t="n">
        <v>70</v>
      </c>
      <c r="G5" s="9" t="n">
        <v>46327</v>
      </c>
      <c r="H5" s="10">
        <f>IF(OR($G5="",$G5&gt;DATA_REF),"NAO","SIM")</f>
        <v/>
      </c>
      <c r="I5" s="11">
        <f>IF(OR($G5="",$G5&gt;DATA_REF),"",DATA_REF-$G5)</f>
        <v/>
      </c>
      <c r="J5" s="11">
        <f>IF($I5="","",MAX(0,$I5-5))</f>
        <v/>
      </c>
      <c r="K5" s="12">
        <f>IF($Z5="","PENDENTE",IF($I5="","",IFERROR(INDEX(CURVAS_KC!$B$5:$J$224,MATCH(MIN(MAX($J5,1),220),CURVAS_KC!$A$5:$A$224,0),MATCH($Z5,CURVAS_KC!$B$4:$J$4,0)),"PENDENTE")))</f>
        <v/>
      </c>
      <c r="L5" s="9">
        <f>IF($G5="","",$G5)</f>
        <v/>
      </c>
      <c r="M5" s="13">
        <f>IF($L5="","",SUMIFS(ETO_SEMANAL!$B$6:$B$65,ETO_SEMANAL!$A$6:$A$65,"&gt;"&amp;$L5,ETO_SEMANAL!$A$6:$A$65,"&lt;="&amp;DATA_REF))</f>
        <v/>
      </c>
      <c r="N5" s="13">
        <f>IF($L5="","",SUMIFS(ETO_SEMANAL!$C$6:$C$65,ETO_SEMANAL!$A$6:$A$65,"&gt;"&amp;$L5,ETO_SEMANAL!$A$6:$A$65,"&lt;="&amp;DATA_REF))</f>
        <v/>
      </c>
      <c r="O5" s="13">
        <f>IF(OR($K5="",$K5="PENDENTE",$M5=""),"",$K5*$M5)</f>
        <v/>
      </c>
      <c r="P5" s="13">
        <f>IF($O5="","",MAX(0,$O5-N($N5)))</f>
        <v/>
      </c>
      <c r="Q5" s="14">
        <f>IF($P5="","",$P5/EF_APLIC)</f>
        <v/>
      </c>
      <c r="R5" s="7" t="n"/>
      <c r="S5" s="15">
        <f>IF(OR($AA5="",$R5=""),"",IFERROR(INDEX(LAMINA_HORA!$C$5:$V$114,MATCH($AA5,LAMINA_HORA!$A$5:$A$114,0),MATCH($R5,LAMINA_HORA!$C$3:$V$3,0)),"?"))</f>
        <v/>
      </c>
      <c r="T5" s="15">
        <f>IF(OR($AA5="",$R5=""),"",IFERROR(INDEX(LAMINA_HORA!$W$5:$AP$114,MATCH($AA5,LAMINA_HORA!$A$5:$A$114,0),MATCH($R5,LAMINA_HORA!$W$3:$AP$3,0)),"?"))</f>
        <v/>
      </c>
      <c r="U5" s="16" t="n">
        <v>0.513</v>
      </c>
      <c r="V5" s="17">
        <f>IF(OR($S5="",$S5="?",$F5=""),"",$S5*$F5*10)</f>
        <v/>
      </c>
      <c r="W5" s="17">
        <f>IF(OR($V5="",$U5=""),"",$V5*$U5)</f>
        <v/>
      </c>
      <c r="X5" s="10">
        <f>IF($K5="PENDENTE","Definir Kc",IF($P5="","-",IF($P5&gt;=TURNO,"IRRIGAR",IF($P5&gt;=TURNO*FRAC_ACOMP,"Acompanhar","Aguardar"))))</f>
        <v/>
      </c>
      <c r="Y5" s="10">
        <f>IF(OR($P5="",$P5=0),"-",IF($P5&gt;=2*TURNO,"Alta",IF($P5&gt;=TURNO,"Media","Baixa")))</f>
        <v/>
      </c>
      <c r="Z5" s="5" t="inlineStr">
        <is>
          <t>SOJA_MEDIA</t>
        </is>
      </c>
      <c r="AA5" s="7" t="inlineStr">
        <is>
          <t>P1</t>
        </is>
      </c>
    </row>
    <row r="6" hidden="1">
      <c r="A6" s="5" t="inlineStr">
        <is>
          <t>Pivô 01</t>
        </is>
      </c>
      <c r="B6" s="5" t="inlineStr">
        <is>
          <t>Modulo 1</t>
        </is>
      </c>
      <c r="C6" s="5" t="inlineStr">
        <is>
          <t>R0</t>
        </is>
      </c>
      <c r="D6" s="6" t="inlineStr">
        <is>
          <t>BMX DOMINIO IPRO</t>
        </is>
      </c>
      <c r="E6" s="7" t="inlineStr">
        <is>
          <t>MEDIA</t>
        </is>
      </c>
      <c r="F6" s="8" t="n">
        <v>71</v>
      </c>
      <c r="G6" s="9" t="n">
        <v>46331</v>
      </c>
      <c r="H6" s="10">
        <f>IF(OR($G6="",$G6&gt;DATA_REF),"NAO","SIM")</f>
        <v/>
      </c>
      <c r="I6" s="11">
        <f>IF(OR($G6="",$G6&gt;DATA_REF),"",DATA_REF-$G6)</f>
        <v/>
      </c>
      <c r="J6" s="11">
        <f>IF($I6="","",MAX(0,$I6-5))</f>
        <v/>
      </c>
      <c r="K6" s="12">
        <f>IF($Z6="","PENDENTE",IF($I6="","",IFERROR(INDEX(CURVAS_KC!$B$5:$J$224,MATCH(MIN(MAX($J6,1),220),CURVAS_KC!$A$5:$A$224,0),MATCH($Z6,CURVAS_KC!$B$4:$J$4,0)),"PENDENTE")))</f>
        <v/>
      </c>
      <c r="L6" s="9">
        <f>IF($G6="","",$G6)</f>
        <v/>
      </c>
      <c r="M6" s="13">
        <f>IF($L6="","",SUMIFS(ETO_SEMANAL!$B$6:$B$65,ETO_SEMANAL!$A$6:$A$65,"&gt;"&amp;$L6,ETO_SEMANAL!$A$6:$A$65,"&lt;="&amp;DATA_REF))</f>
        <v/>
      </c>
      <c r="N6" s="13">
        <f>IF($L6="","",SUMIFS(ETO_SEMANAL!$C$6:$C$65,ETO_SEMANAL!$A$6:$A$65,"&gt;"&amp;$L6,ETO_SEMANAL!$A$6:$A$65,"&lt;="&amp;DATA_REF))</f>
        <v/>
      </c>
      <c r="O6" s="13">
        <f>IF(OR($K6="",$K6="PENDENTE",$M6=""),"",$K6*$M6)</f>
        <v/>
      </c>
      <c r="P6" s="13">
        <f>IF($O6="","",MAX(0,$O6-N($N6)))</f>
        <v/>
      </c>
      <c r="Q6" s="14">
        <f>IF($P6="","",$P6/EF_APLIC)</f>
        <v/>
      </c>
      <c r="R6" s="7" t="n"/>
      <c r="S6" s="15">
        <f>IF(OR($AA6="",$R6=""),"",IFERROR(INDEX(LAMINA_HORA!$C$5:$V$114,MATCH($AA6,LAMINA_HORA!$A$5:$A$114,0),MATCH($R6,LAMINA_HORA!$C$3:$V$3,0)),"?"))</f>
        <v/>
      </c>
      <c r="T6" s="15">
        <f>IF(OR($AA6="",$R6=""),"",IFERROR(INDEX(LAMINA_HORA!$W$5:$AP$114,MATCH($AA6,LAMINA_HORA!$A$5:$A$114,0),MATCH($R6,LAMINA_HORA!$W$3:$AP$3,0)),"?"))</f>
        <v/>
      </c>
      <c r="U6" s="16" t="n">
        <v>0.513</v>
      </c>
      <c r="V6" s="17">
        <f>IF(OR($S6="",$S6="?",$F6=""),"",$S6*$F6*10)</f>
        <v/>
      </c>
      <c r="W6" s="17">
        <f>IF(OR($V6="",$U6=""),"",$V6*$U6)</f>
        <v/>
      </c>
      <c r="X6" s="10">
        <f>IF($K6="PENDENTE","Definir Kc",IF($P6="","-",IF($P6&gt;=TURNO,"IRRIGAR",IF($P6&gt;=TURNO*FRAC_ACOMP,"Acompanhar","Aguardar"))))</f>
        <v/>
      </c>
      <c r="Y6" s="10">
        <f>IF(OR($P6="",$P6=0),"-",IF($P6&gt;=2*TURNO,"Alta",IF($P6&gt;=TURNO,"Media","Baixa")))</f>
        <v/>
      </c>
      <c r="Z6" s="5" t="inlineStr">
        <is>
          <t>SOJA_MEDIA</t>
        </is>
      </c>
      <c r="AA6" s="7" t="inlineStr">
        <is>
          <t>P1</t>
        </is>
      </c>
    </row>
    <row r="7">
      <c r="A7" s="5" t="inlineStr">
        <is>
          <t>Pivô 02</t>
        </is>
      </c>
      <c r="B7" s="5" t="inlineStr">
        <is>
          <t>Modulo 1</t>
        </is>
      </c>
      <c r="C7" s="5" t="inlineStr">
        <is>
          <t>R0</t>
        </is>
      </c>
      <c r="D7" s="6" t="inlineStr">
        <is>
          <t>CZ 37B07 I2X</t>
        </is>
      </c>
      <c r="E7" s="7" t="inlineStr">
        <is>
          <t>PRECOCE</t>
        </is>
      </c>
      <c r="F7" s="8" t="n">
        <v>124</v>
      </c>
      <c r="G7" s="9" t="n">
        <v>46287</v>
      </c>
      <c r="H7" s="10">
        <f>IF(OR($G7="",$G7&gt;DATA_REF),"NAO","SIM")</f>
        <v/>
      </c>
      <c r="I7" s="11">
        <f>IF(OR($G7="",$G7&gt;DATA_REF),"",DATA_REF-$G7)</f>
        <v/>
      </c>
      <c r="J7" s="11">
        <f>IF($I7="","",MAX(0,$I7-5))</f>
        <v/>
      </c>
      <c r="K7" s="12">
        <f>IF($Z7="","PENDENTE",IF($I7="","",IFERROR(INDEX(CURVAS_KC!$B$5:$J$224,MATCH(MIN(MAX($J7,1),220),CURVAS_KC!$A$5:$A$224,0),MATCH($Z7,CURVAS_KC!$B$4:$J$4,0)),"PENDENTE")))</f>
        <v/>
      </c>
      <c r="L7" s="9">
        <f>IF($G7="","",$G7)</f>
        <v/>
      </c>
      <c r="M7" s="13">
        <f>IF($L7="","",SUMIFS(ETO_SEMANAL!$B$6:$B$65,ETO_SEMANAL!$A$6:$A$65,"&gt;"&amp;$L7,ETO_SEMANAL!$A$6:$A$65,"&lt;="&amp;DATA_REF))</f>
        <v/>
      </c>
      <c r="N7" s="13">
        <f>IF($L7="","",SUMIFS(ETO_SEMANAL!$C$6:$C$65,ETO_SEMANAL!$A$6:$A$65,"&gt;"&amp;$L7,ETO_SEMANAL!$A$6:$A$65,"&lt;="&amp;DATA_REF))</f>
        <v/>
      </c>
      <c r="O7" s="13">
        <f>IF(OR($K7="",$K7="PENDENTE",$M7=""),"",$K7*$M7)</f>
        <v/>
      </c>
      <c r="P7" s="13">
        <f>IF($O7="","",MAX(0,$O7-N($N7)))</f>
        <v/>
      </c>
      <c r="Q7" s="14">
        <f>IF($P7="","",$P7/EF_APLIC)</f>
        <v/>
      </c>
      <c r="R7" s="7" t="n"/>
      <c r="S7" s="15">
        <f>IF(OR($AA7="",$R7=""),"",IFERROR(INDEX(LAMINA_HORA!$C$5:$V$114,MATCH($AA7,LAMINA_HORA!$A$5:$A$114,0),MATCH($R7,LAMINA_HORA!$C$3:$V$3,0)),"?"))</f>
        <v/>
      </c>
      <c r="T7" s="15">
        <f>IF(OR($AA7="",$R7=""),"",IFERROR(INDEX(LAMINA_HORA!$W$5:$AP$114,MATCH($AA7,LAMINA_HORA!$A$5:$A$114,0),MATCH($R7,LAMINA_HORA!$W$3:$AP$3,0)),"?"))</f>
        <v/>
      </c>
      <c r="U7" s="16" t="n">
        <v>0.589</v>
      </c>
      <c r="V7" s="17">
        <f>IF(OR($S7="",$S7="?",$F7=""),"",$S7*$F7*10)</f>
        <v/>
      </c>
      <c r="W7" s="17">
        <f>IF(OR($V7="",$U7=""),"",$V7*$U7)</f>
        <v/>
      </c>
      <c r="X7" s="10">
        <f>IF($K7="PENDENTE","Definir Kc",IF($P7="","-",IF($P7&gt;=TURNO,"IRRIGAR",IF($P7&gt;=TURNO*FRAC_ACOMP,"Acompanhar","Aguardar"))))</f>
        <v/>
      </c>
      <c r="Y7" s="10">
        <f>IF(OR($P7="",$P7=0),"-",IF($P7&gt;=2*TURNO,"Alta",IF($P7&gt;=TURNO,"Media","Baixa")))</f>
        <v/>
      </c>
      <c r="Z7" s="5" t="inlineStr">
        <is>
          <t>SOJA_PRECOCE</t>
        </is>
      </c>
      <c r="AA7" s="7" t="inlineStr">
        <is>
          <t>P2</t>
        </is>
      </c>
    </row>
    <row r="8" hidden="1">
      <c r="A8" s="5" t="inlineStr">
        <is>
          <t>Pivô 02</t>
        </is>
      </c>
      <c r="B8" s="5" t="inlineStr">
        <is>
          <t>Modulo 1</t>
        </is>
      </c>
      <c r="C8" s="5" t="inlineStr">
        <is>
          <t>R0</t>
        </is>
      </c>
      <c r="D8" s="6" t="inlineStr">
        <is>
          <t>BMX DOMINIO IPRO</t>
        </is>
      </c>
      <c r="E8" s="7" t="inlineStr">
        <is>
          <t>MEDIA</t>
        </is>
      </c>
      <c r="F8" s="8" t="n">
        <v>134</v>
      </c>
      <c r="G8" s="9" t="n">
        <v>46327</v>
      </c>
      <c r="H8" s="10">
        <f>IF(OR($G8="",$G8&gt;DATA_REF),"NAO","SIM")</f>
        <v/>
      </c>
      <c r="I8" s="11">
        <f>IF(OR($G8="",$G8&gt;DATA_REF),"",DATA_REF-$G8)</f>
        <v/>
      </c>
      <c r="J8" s="11">
        <f>IF($I8="","",MAX(0,$I8-5))</f>
        <v/>
      </c>
      <c r="K8" s="12">
        <f>IF($Z8="","PENDENTE",IF($I8="","",IFERROR(INDEX(CURVAS_KC!$B$5:$J$224,MATCH(MIN(MAX($J8,1),220),CURVAS_KC!$A$5:$A$224,0),MATCH($Z8,CURVAS_KC!$B$4:$J$4,0)),"PENDENTE")))</f>
        <v/>
      </c>
      <c r="L8" s="9">
        <f>IF($G8="","",$G8)</f>
        <v/>
      </c>
      <c r="M8" s="13">
        <f>IF($L8="","",SUMIFS(ETO_SEMANAL!$B$6:$B$65,ETO_SEMANAL!$A$6:$A$65,"&gt;"&amp;$L8,ETO_SEMANAL!$A$6:$A$65,"&lt;="&amp;DATA_REF))</f>
        <v/>
      </c>
      <c r="N8" s="13">
        <f>IF($L8="","",SUMIFS(ETO_SEMANAL!$C$6:$C$65,ETO_SEMANAL!$A$6:$A$65,"&gt;"&amp;$L8,ETO_SEMANAL!$A$6:$A$65,"&lt;="&amp;DATA_REF))</f>
        <v/>
      </c>
      <c r="O8" s="13">
        <f>IF(OR($K8="",$K8="PENDENTE",$M8=""),"",$K8*$M8)</f>
        <v/>
      </c>
      <c r="P8" s="13">
        <f>IF($O8="","",MAX(0,$O8-N($N8)))</f>
        <v/>
      </c>
      <c r="Q8" s="14">
        <f>IF($P8="","",$P8/EF_APLIC)</f>
        <v/>
      </c>
      <c r="R8" s="7" t="n"/>
      <c r="S8" s="15">
        <f>IF(OR($AA8="",$R8=""),"",IFERROR(INDEX(LAMINA_HORA!$C$5:$V$114,MATCH($AA8,LAMINA_HORA!$A$5:$A$114,0),MATCH($R8,LAMINA_HORA!$C$3:$V$3,0)),"?"))</f>
        <v/>
      </c>
      <c r="T8" s="15">
        <f>IF(OR($AA8="",$R8=""),"",IFERROR(INDEX(LAMINA_HORA!$W$5:$AP$114,MATCH($AA8,LAMINA_HORA!$A$5:$A$114,0),MATCH($R8,LAMINA_HORA!$W$3:$AP$3,0)),"?"))</f>
        <v/>
      </c>
      <c r="U8" s="16" t="n">
        <v>0.589</v>
      </c>
      <c r="V8" s="17">
        <f>IF(OR($S8="",$S8="?",$F8=""),"",$S8*$F8*10)</f>
        <v/>
      </c>
      <c r="W8" s="17">
        <f>IF(OR($V8="",$U8=""),"",$V8*$U8)</f>
        <v/>
      </c>
      <c r="X8" s="10">
        <f>IF($K8="PENDENTE","Definir Kc",IF($P8="","-",IF($P8&gt;=TURNO,"IRRIGAR",IF($P8&gt;=TURNO*FRAC_ACOMP,"Acompanhar","Aguardar"))))</f>
        <v/>
      </c>
      <c r="Y8" s="10">
        <f>IF(OR($P8="",$P8=0),"-",IF($P8&gt;=2*TURNO,"Alta",IF($P8&gt;=TURNO,"Media","Baixa")))</f>
        <v/>
      </c>
      <c r="Z8" s="5" t="inlineStr">
        <is>
          <t>SOJA_MEDIA</t>
        </is>
      </c>
      <c r="AA8" s="7" t="inlineStr">
        <is>
          <t>P2</t>
        </is>
      </c>
    </row>
    <row r="9" hidden="1">
      <c r="A9" s="5" t="inlineStr">
        <is>
          <t>Pivô 02</t>
        </is>
      </c>
      <c r="B9" s="5" t="inlineStr">
        <is>
          <t>Modulo 1</t>
        </is>
      </c>
      <c r="C9" s="5" t="inlineStr">
        <is>
          <t>R0</t>
        </is>
      </c>
      <c r="D9" s="6" t="inlineStr">
        <is>
          <t>BMX DOMINIO IPRO</t>
        </is>
      </c>
      <c r="E9" s="7" t="inlineStr">
        <is>
          <t>MEDIA</t>
        </is>
      </c>
      <c r="F9" s="8" t="n">
        <v>38</v>
      </c>
      <c r="G9" s="9" t="n">
        <v>46331</v>
      </c>
      <c r="H9" s="10">
        <f>IF(OR($G9="",$G9&gt;DATA_REF),"NAO","SIM")</f>
        <v/>
      </c>
      <c r="I9" s="11">
        <f>IF(OR($G9="",$G9&gt;DATA_REF),"",DATA_REF-$G9)</f>
        <v/>
      </c>
      <c r="J9" s="11">
        <f>IF($I9="","",MAX(0,$I9-5))</f>
        <v/>
      </c>
      <c r="K9" s="12">
        <f>IF($Z9="","PENDENTE",IF($I9="","",IFERROR(INDEX(CURVAS_KC!$B$5:$J$224,MATCH(MIN(MAX($J9,1),220),CURVAS_KC!$A$5:$A$224,0),MATCH($Z9,CURVAS_KC!$B$4:$J$4,0)),"PENDENTE")))</f>
        <v/>
      </c>
      <c r="L9" s="9">
        <f>IF($G9="","",$G9)</f>
        <v/>
      </c>
      <c r="M9" s="13">
        <f>IF($L9="","",SUMIFS(ETO_SEMANAL!$B$6:$B$65,ETO_SEMANAL!$A$6:$A$65,"&gt;"&amp;$L9,ETO_SEMANAL!$A$6:$A$65,"&lt;="&amp;DATA_REF))</f>
        <v/>
      </c>
      <c r="N9" s="13">
        <f>IF($L9="","",SUMIFS(ETO_SEMANAL!$C$6:$C$65,ETO_SEMANAL!$A$6:$A$65,"&gt;"&amp;$L9,ETO_SEMANAL!$A$6:$A$65,"&lt;="&amp;DATA_REF))</f>
        <v/>
      </c>
      <c r="O9" s="13">
        <f>IF(OR($K9="",$K9="PENDENTE",$M9=""),"",$K9*$M9)</f>
        <v/>
      </c>
      <c r="P9" s="13">
        <f>IF($O9="","",MAX(0,$O9-N($N9)))</f>
        <v/>
      </c>
      <c r="Q9" s="14">
        <f>IF($P9="","",$P9/EF_APLIC)</f>
        <v/>
      </c>
      <c r="R9" s="7" t="n"/>
      <c r="S9" s="15">
        <f>IF(OR($AA9="",$R9=""),"",IFERROR(INDEX(LAMINA_HORA!$C$5:$V$114,MATCH($AA9,LAMINA_HORA!$A$5:$A$114,0),MATCH($R9,LAMINA_HORA!$C$3:$V$3,0)),"?"))</f>
        <v/>
      </c>
      <c r="T9" s="15">
        <f>IF(OR($AA9="",$R9=""),"",IFERROR(INDEX(LAMINA_HORA!$W$5:$AP$114,MATCH($AA9,LAMINA_HORA!$A$5:$A$114,0),MATCH($R9,LAMINA_HORA!$W$3:$AP$3,0)),"?"))</f>
        <v/>
      </c>
      <c r="U9" s="16" t="n">
        <v>0.589</v>
      </c>
      <c r="V9" s="17">
        <f>IF(OR($S9="",$S9="?",$F9=""),"",$S9*$F9*10)</f>
        <v/>
      </c>
      <c r="W9" s="17">
        <f>IF(OR($V9="",$U9=""),"",$V9*$U9)</f>
        <v/>
      </c>
      <c r="X9" s="10">
        <f>IF($K9="PENDENTE","Definir Kc",IF($P9="","-",IF($P9&gt;=TURNO,"IRRIGAR",IF($P9&gt;=TURNO*FRAC_ACOMP,"Acompanhar","Aguardar"))))</f>
        <v/>
      </c>
      <c r="Y9" s="10">
        <f>IF(OR($P9="",$P9=0),"-",IF($P9&gt;=2*TURNO,"Alta",IF($P9&gt;=TURNO,"Media","Baixa")))</f>
        <v/>
      </c>
      <c r="Z9" s="5" t="inlineStr">
        <is>
          <t>SOJA_MEDIA</t>
        </is>
      </c>
      <c r="AA9" s="7" t="inlineStr">
        <is>
          <t>P2</t>
        </is>
      </c>
    </row>
    <row r="10">
      <c r="A10" s="5" t="inlineStr">
        <is>
          <t>Pivô 03</t>
        </is>
      </c>
      <c r="B10" s="5" t="inlineStr">
        <is>
          <t>Modulo 1</t>
        </is>
      </c>
      <c r="C10" s="5" t="inlineStr">
        <is>
          <t>R0</t>
        </is>
      </c>
      <c r="D10" s="6" t="inlineStr">
        <is>
          <t>COMBATE IPRO</t>
        </is>
      </c>
      <c r="E10" s="7" t="inlineStr">
        <is>
          <t>PRECOCE</t>
        </is>
      </c>
      <c r="F10" s="8" t="n">
        <v>150</v>
      </c>
      <c r="G10" s="9" t="n">
        <v>46288</v>
      </c>
      <c r="H10" s="10">
        <f>IF(OR($G10="",$G10&gt;DATA_REF),"NAO","SIM")</f>
        <v/>
      </c>
      <c r="I10" s="11">
        <f>IF(OR($G10="",$G10&gt;DATA_REF),"",DATA_REF-$G10)</f>
        <v/>
      </c>
      <c r="J10" s="11">
        <f>IF($I10="","",MAX(0,$I10-5))</f>
        <v/>
      </c>
      <c r="K10" s="12">
        <f>IF($Z10="","PENDENTE",IF($I10="","",IFERROR(INDEX(CURVAS_KC!$B$5:$J$224,MATCH(MIN(MAX($J10,1),220),CURVAS_KC!$A$5:$A$224,0),MATCH($Z10,CURVAS_KC!$B$4:$J$4,0)),"PENDENTE")))</f>
        <v/>
      </c>
      <c r="L10" s="9">
        <f>IF($G10="","",$G10)</f>
        <v/>
      </c>
      <c r="M10" s="13">
        <f>IF($L10="","",SUMIFS(ETO_SEMANAL!$B$6:$B$65,ETO_SEMANAL!$A$6:$A$65,"&gt;"&amp;$L10,ETO_SEMANAL!$A$6:$A$65,"&lt;="&amp;DATA_REF))</f>
        <v/>
      </c>
      <c r="N10" s="13">
        <f>IF($L10="","",SUMIFS(ETO_SEMANAL!$C$6:$C$65,ETO_SEMANAL!$A$6:$A$65,"&gt;"&amp;$L10,ETO_SEMANAL!$A$6:$A$65,"&lt;="&amp;DATA_REF))</f>
        <v/>
      </c>
      <c r="O10" s="13">
        <f>IF(OR($K10="",$K10="PENDENTE",$M10=""),"",$K10*$M10)</f>
        <v/>
      </c>
      <c r="P10" s="13">
        <f>IF($O10="","",MAX(0,$O10-N($N10)))</f>
        <v/>
      </c>
      <c r="Q10" s="14">
        <f>IF($P10="","",$P10/EF_APLIC)</f>
        <v/>
      </c>
      <c r="R10" s="7" t="n"/>
      <c r="S10" s="15">
        <f>IF(OR($AA10="",$R10=""),"",IFERROR(INDEX(LAMINA_HORA!$C$5:$V$114,MATCH($AA10,LAMINA_HORA!$A$5:$A$114,0),MATCH($R10,LAMINA_HORA!$C$3:$V$3,0)),"?"))</f>
        <v/>
      </c>
      <c r="T10" s="15">
        <f>IF(OR($AA10="",$R10=""),"",IFERROR(INDEX(LAMINA_HORA!$W$5:$AP$114,MATCH($AA10,LAMINA_HORA!$A$5:$A$114,0),MATCH($R10,LAMINA_HORA!$W$3:$AP$3,0)),"?"))</f>
        <v/>
      </c>
      <c r="U10" s="16" t="n">
        <v>0.513</v>
      </c>
      <c r="V10" s="17">
        <f>IF(OR($S10="",$S10="?",$F10=""),"",$S10*$F10*10)</f>
        <v/>
      </c>
      <c r="W10" s="17">
        <f>IF(OR($V10="",$U10=""),"",$V10*$U10)</f>
        <v/>
      </c>
      <c r="X10" s="10">
        <f>IF($K10="PENDENTE","Definir Kc",IF($P10="","-",IF($P10&gt;=TURNO,"IRRIGAR",IF($P10&gt;=TURNO*FRAC_ACOMP,"Acompanhar","Aguardar"))))</f>
        <v/>
      </c>
      <c r="Y10" s="10">
        <f>IF(OR($P10="",$P10=0),"-",IF($P10&gt;=2*TURNO,"Alta",IF($P10&gt;=TURNO,"Media","Baixa")))</f>
        <v/>
      </c>
      <c r="Z10" s="5" t="inlineStr">
        <is>
          <t>SOJA_PRECOCE</t>
        </is>
      </c>
      <c r="AA10" s="7" t="inlineStr">
        <is>
          <t>P3</t>
        </is>
      </c>
    </row>
    <row r="11" hidden="1">
      <c r="A11" s="5" t="inlineStr">
        <is>
          <t>Pivô 03</t>
        </is>
      </c>
      <c r="B11" s="5" t="inlineStr">
        <is>
          <t>Modulo 1</t>
        </is>
      </c>
      <c r="C11" s="5" t="inlineStr">
        <is>
          <t>R0</t>
        </is>
      </c>
      <c r="D11" s="6" t="inlineStr">
        <is>
          <t>MURALHA IPRO</t>
        </is>
      </c>
      <c r="E11" s="7" t="inlineStr">
        <is>
          <t>MEDIA</t>
        </is>
      </c>
      <c r="F11" s="8" t="n">
        <v>77</v>
      </c>
      <c r="G11" s="9" t="n">
        <v>46328</v>
      </c>
      <c r="H11" s="10">
        <f>IF(OR($G11="",$G11&gt;DATA_REF),"NAO","SIM")</f>
        <v/>
      </c>
      <c r="I11" s="11">
        <f>IF(OR($G11="",$G11&gt;DATA_REF),"",DATA_REF-$G11)</f>
        <v/>
      </c>
      <c r="J11" s="11">
        <f>IF($I11="","",MAX(0,$I11-5))</f>
        <v/>
      </c>
      <c r="K11" s="12">
        <f>IF($Z11="","PENDENTE",IF($I11="","",IFERROR(INDEX(CURVAS_KC!$B$5:$J$224,MATCH(MIN(MAX($J11,1),220),CURVAS_KC!$A$5:$A$224,0),MATCH($Z11,CURVAS_KC!$B$4:$J$4,0)),"PENDENTE")))</f>
        <v/>
      </c>
      <c r="L11" s="9">
        <f>IF($G11="","",$G11)</f>
        <v/>
      </c>
      <c r="M11" s="13">
        <f>IF($L11="","",SUMIFS(ETO_SEMANAL!$B$6:$B$65,ETO_SEMANAL!$A$6:$A$65,"&gt;"&amp;$L11,ETO_SEMANAL!$A$6:$A$65,"&lt;="&amp;DATA_REF))</f>
        <v/>
      </c>
      <c r="N11" s="13">
        <f>IF($L11="","",SUMIFS(ETO_SEMANAL!$C$6:$C$65,ETO_SEMANAL!$A$6:$A$65,"&gt;"&amp;$L11,ETO_SEMANAL!$A$6:$A$65,"&lt;="&amp;DATA_REF))</f>
        <v/>
      </c>
      <c r="O11" s="13">
        <f>IF(OR($K11="",$K11="PENDENTE",$M11=""),"",$K11*$M11)</f>
        <v/>
      </c>
      <c r="P11" s="13">
        <f>IF($O11="","",MAX(0,$O11-N($N11)))</f>
        <v/>
      </c>
      <c r="Q11" s="14">
        <f>IF($P11="","",$P11/EF_APLIC)</f>
        <v/>
      </c>
      <c r="R11" s="7" t="n"/>
      <c r="S11" s="15">
        <f>IF(OR($AA11="",$R11=""),"",IFERROR(INDEX(LAMINA_HORA!$C$5:$V$114,MATCH($AA11,LAMINA_HORA!$A$5:$A$114,0),MATCH($R11,LAMINA_HORA!$C$3:$V$3,0)),"?"))</f>
        <v/>
      </c>
      <c r="T11" s="15">
        <f>IF(OR($AA11="",$R11=""),"",IFERROR(INDEX(LAMINA_HORA!$W$5:$AP$114,MATCH($AA11,LAMINA_HORA!$A$5:$A$114,0),MATCH($R11,LAMINA_HORA!$W$3:$AP$3,0)),"?"))</f>
        <v/>
      </c>
      <c r="U11" s="16" t="n">
        <v>0.513</v>
      </c>
      <c r="V11" s="17">
        <f>IF(OR($S11="",$S11="?",$F11=""),"",$S11*$F11*10)</f>
        <v/>
      </c>
      <c r="W11" s="17">
        <f>IF(OR($V11="",$U11=""),"",$V11*$U11)</f>
        <v/>
      </c>
      <c r="X11" s="10">
        <f>IF($K11="PENDENTE","Definir Kc",IF($P11="","-",IF($P11&gt;=TURNO,"IRRIGAR",IF($P11&gt;=TURNO*FRAC_ACOMP,"Acompanhar","Aguardar"))))</f>
        <v/>
      </c>
      <c r="Y11" s="10">
        <f>IF(OR($P11="",$P11=0),"-",IF($P11&gt;=2*TURNO,"Alta",IF($P11&gt;=TURNO,"Media","Baixa")))</f>
        <v/>
      </c>
      <c r="Z11" s="5" t="inlineStr">
        <is>
          <t>SOJA_MEDIA</t>
        </is>
      </c>
      <c r="AA11" s="7" t="inlineStr">
        <is>
          <t>P3</t>
        </is>
      </c>
    </row>
    <row r="12" hidden="1">
      <c r="A12" s="5" t="inlineStr">
        <is>
          <t>Pivô 03</t>
        </is>
      </c>
      <c r="B12" s="5" t="inlineStr">
        <is>
          <t>Modulo 1</t>
        </is>
      </c>
      <c r="C12" s="5" t="inlineStr">
        <is>
          <t>R0</t>
        </is>
      </c>
      <c r="D12" s="6" t="inlineStr">
        <is>
          <t>BMX DOMINIO IPRO</t>
        </is>
      </c>
      <c r="E12" s="7" t="inlineStr">
        <is>
          <t>MEDIA</t>
        </is>
      </c>
      <c r="F12" s="8" t="n">
        <v>162</v>
      </c>
      <c r="G12" s="9" t="n">
        <v>46332</v>
      </c>
      <c r="H12" s="10">
        <f>IF(OR($G12="",$G12&gt;DATA_REF),"NAO","SIM")</f>
        <v/>
      </c>
      <c r="I12" s="11">
        <f>IF(OR($G12="",$G12&gt;DATA_REF),"",DATA_REF-$G12)</f>
        <v/>
      </c>
      <c r="J12" s="11">
        <f>IF($I12="","",MAX(0,$I12-5))</f>
        <v/>
      </c>
      <c r="K12" s="12">
        <f>IF($Z12="","PENDENTE",IF($I12="","",IFERROR(INDEX(CURVAS_KC!$B$5:$J$224,MATCH(MIN(MAX($J12,1),220),CURVAS_KC!$A$5:$A$224,0),MATCH($Z12,CURVAS_KC!$B$4:$J$4,0)),"PENDENTE")))</f>
        <v/>
      </c>
      <c r="L12" s="9">
        <f>IF($G12="","",$G12)</f>
        <v/>
      </c>
      <c r="M12" s="13">
        <f>IF($L12="","",SUMIFS(ETO_SEMANAL!$B$6:$B$65,ETO_SEMANAL!$A$6:$A$65,"&gt;"&amp;$L12,ETO_SEMANAL!$A$6:$A$65,"&lt;="&amp;DATA_REF))</f>
        <v/>
      </c>
      <c r="N12" s="13">
        <f>IF($L12="","",SUMIFS(ETO_SEMANAL!$C$6:$C$65,ETO_SEMANAL!$A$6:$A$65,"&gt;"&amp;$L12,ETO_SEMANAL!$A$6:$A$65,"&lt;="&amp;DATA_REF))</f>
        <v/>
      </c>
      <c r="O12" s="13">
        <f>IF(OR($K12="",$K12="PENDENTE",$M12=""),"",$K12*$M12)</f>
        <v/>
      </c>
      <c r="P12" s="13">
        <f>IF($O12="","",MAX(0,$O12-N($N12)))</f>
        <v/>
      </c>
      <c r="Q12" s="14">
        <f>IF($P12="","",$P12/EF_APLIC)</f>
        <v/>
      </c>
      <c r="R12" s="7" t="n"/>
      <c r="S12" s="15">
        <f>IF(OR($AA12="",$R12=""),"",IFERROR(INDEX(LAMINA_HORA!$C$5:$V$114,MATCH($AA12,LAMINA_HORA!$A$5:$A$114,0),MATCH($R12,LAMINA_HORA!$C$3:$V$3,0)),"?"))</f>
        <v/>
      </c>
      <c r="T12" s="15">
        <f>IF(OR($AA12="",$R12=""),"",IFERROR(INDEX(LAMINA_HORA!$W$5:$AP$114,MATCH($AA12,LAMINA_HORA!$A$5:$A$114,0),MATCH($R12,LAMINA_HORA!$W$3:$AP$3,0)),"?"))</f>
        <v/>
      </c>
      <c r="U12" s="16" t="n">
        <v>0.513</v>
      </c>
      <c r="V12" s="17">
        <f>IF(OR($S12="",$S12="?",$F12=""),"",$S12*$F12*10)</f>
        <v/>
      </c>
      <c r="W12" s="17">
        <f>IF(OR($V12="",$U12=""),"",$V12*$U12)</f>
        <v/>
      </c>
      <c r="X12" s="10">
        <f>IF($K12="PENDENTE","Definir Kc",IF($P12="","-",IF($P12&gt;=TURNO,"IRRIGAR",IF($P12&gt;=TURNO*FRAC_ACOMP,"Acompanhar","Aguardar"))))</f>
        <v/>
      </c>
      <c r="Y12" s="10">
        <f>IF(OR($P12="",$P12=0),"-",IF($P12&gt;=2*TURNO,"Alta",IF($P12&gt;=TURNO,"Media","Baixa")))</f>
        <v/>
      </c>
      <c r="Z12" s="5" t="inlineStr">
        <is>
          <t>SOJA_MEDIA</t>
        </is>
      </c>
      <c r="AA12" s="7" t="inlineStr">
        <is>
          <t>P3</t>
        </is>
      </c>
    </row>
    <row r="13">
      <c r="A13" s="5" t="inlineStr">
        <is>
          <t>Pivô 04</t>
        </is>
      </c>
      <c r="B13" s="5" t="inlineStr">
        <is>
          <t>Modulo 1</t>
        </is>
      </c>
      <c r="C13" s="5" t="inlineStr">
        <is>
          <t>R0</t>
        </is>
      </c>
      <c r="D13" s="6" t="inlineStr">
        <is>
          <t>COMBATE IPRO</t>
        </is>
      </c>
      <c r="E13" s="7" t="inlineStr">
        <is>
          <t>PRECOCE</t>
        </is>
      </c>
      <c r="F13" s="8" t="n">
        <v>63</v>
      </c>
      <c r="G13" s="9" t="n">
        <v>46288</v>
      </c>
      <c r="H13" s="10">
        <f>IF(OR($G13="",$G13&gt;DATA_REF),"NAO","SIM")</f>
        <v/>
      </c>
      <c r="I13" s="11">
        <f>IF(OR($G13="",$G13&gt;DATA_REF),"",DATA_REF-$G13)</f>
        <v/>
      </c>
      <c r="J13" s="11">
        <f>IF($I13="","",MAX(0,$I13-5))</f>
        <v/>
      </c>
      <c r="K13" s="12">
        <f>IF($Z13="","PENDENTE",IF($I13="","",IFERROR(INDEX(CURVAS_KC!$B$5:$J$224,MATCH(MIN(MAX($J13,1),220),CURVAS_KC!$A$5:$A$224,0),MATCH($Z13,CURVAS_KC!$B$4:$J$4,0)),"PENDENTE")))</f>
        <v/>
      </c>
      <c r="L13" s="9">
        <f>IF($G13="","",$G13)</f>
        <v/>
      </c>
      <c r="M13" s="13">
        <f>IF($L13="","",SUMIFS(ETO_SEMANAL!$B$6:$B$65,ETO_SEMANAL!$A$6:$A$65,"&gt;"&amp;$L13,ETO_SEMANAL!$A$6:$A$65,"&lt;="&amp;DATA_REF))</f>
        <v/>
      </c>
      <c r="N13" s="13">
        <f>IF($L13="","",SUMIFS(ETO_SEMANAL!$C$6:$C$65,ETO_SEMANAL!$A$6:$A$65,"&gt;"&amp;$L13,ETO_SEMANAL!$A$6:$A$65,"&lt;="&amp;DATA_REF))</f>
        <v/>
      </c>
      <c r="O13" s="13">
        <f>IF(OR($K13="",$K13="PENDENTE",$M13=""),"",$K13*$M13)</f>
        <v/>
      </c>
      <c r="P13" s="13">
        <f>IF($O13="","",MAX(0,$O13-N($N13)))</f>
        <v/>
      </c>
      <c r="Q13" s="14">
        <f>IF($P13="","",$P13/EF_APLIC)</f>
        <v/>
      </c>
      <c r="R13" s="7" t="n"/>
      <c r="S13" s="15">
        <f>IF(OR($AA13="",$R13=""),"",IFERROR(INDEX(LAMINA_HORA!$C$5:$V$114,MATCH($AA13,LAMINA_HORA!$A$5:$A$114,0),MATCH($R13,LAMINA_HORA!$C$3:$V$3,0)),"?"))</f>
        <v/>
      </c>
      <c r="T13" s="15">
        <f>IF(OR($AA13="",$R13=""),"",IFERROR(INDEX(LAMINA_HORA!$W$5:$AP$114,MATCH($AA13,LAMINA_HORA!$A$5:$A$114,0),MATCH($R13,LAMINA_HORA!$W$3:$AP$3,0)),"?"))</f>
        <v/>
      </c>
      <c r="U13" s="16" t="n">
        <v>0.407</v>
      </c>
      <c r="V13" s="17">
        <f>IF(OR($S13="",$S13="?",$F13=""),"",$S13*$F13*10)</f>
        <v/>
      </c>
      <c r="W13" s="17">
        <f>IF(OR($V13="",$U13=""),"",$V13*$U13)</f>
        <v/>
      </c>
      <c r="X13" s="10">
        <f>IF($K13="PENDENTE","Definir Kc",IF($P13="","-",IF($P13&gt;=TURNO,"IRRIGAR",IF($P13&gt;=TURNO*FRAC_ACOMP,"Acompanhar","Aguardar"))))</f>
        <v/>
      </c>
      <c r="Y13" s="10">
        <f>IF(OR($P13="",$P13=0),"-",IF($P13&gt;=2*TURNO,"Alta",IF($P13&gt;=TURNO,"Media","Baixa")))</f>
        <v/>
      </c>
      <c r="Z13" s="5" t="inlineStr">
        <is>
          <t>SOJA_PRECOCE</t>
        </is>
      </c>
      <c r="AA13" s="7" t="inlineStr">
        <is>
          <t>P4</t>
        </is>
      </c>
    </row>
    <row r="14" hidden="1">
      <c r="A14" s="5" t="inlineStr">
        <is>
          <t>Pivô 04</t>
        </is>
      </c>
      <c r="B14" s="5" t="inlineStr">
        <is>
          <t>Modulo 1</t>
        </is>
      </c>
      <c r="C14" s="5" t="inlineStr">
        <is>
          <t>R0</t>
        </is>
      </c>
      <c r="D14" s="6" t="inlineStr">
        <is>
          <t>BMX DOMINIO IPRO</t>
        </is>
      </c>
      <c r="E14" s="7" t="inlineStr">
        <is>
          <t>MEDIA</t>
        </is>
      </c>
      <c r="F14" s="8" t="n">
        <v>240</v>
      </c>
      <c r="G14" s="9" t="n">
        <v>46332</v>
      </c>
      <c r="H14" s="10">
        <f>IF(OR($G14="",$G14&gt;DATA_REF),"NAO","SIM")</f>
        <v/>
      </c>
      <c r="I14" s="11">
        <f>IF(OR($G14="",$G14&gt;DATA_REF),"",DATA_REF-$G14)</f>
        <v/>
      </c>
      <c r="J14" s="11">
        <f>IF($I14="","",MAX(0,$I14-5))</f>
        <v/>
      </c>
      <c r="K14" s="12">
        <f>IF($Z14="","PENDENTE",IF($I14="","",IFERROR(INDEX(CURVAS_KC!$B$5:$J$224,MATCH(MIN(MAX($J14,1),220),CURVAS_KC!$A$5:$A$224,0),MATCH($Z14,CURVAS_KC!$B$4:$J$4,0)),"PENDENTE")))</f>
        <v/>
      </c>
      <c r="L14" s="9">
        <f>IF($G14="","",$G14)</f>
        <v/>
      </c>
      <c r="M14" s="13">
        <f>IF($L14="","",SUMIFS(ETO_SEMANAL!$B$6:$B$65,ETO_SEMANAL!$A$6:$A$65,"&gt;"&amp;$L14,ETO_SEMANAL!$A$6:$A$65,"&lt;="&amp;DATA_REF))</f>
        <v/>
      </c>
      <c r="N14" s="13">
        <f>IF($L14="","",SUMIFS(ETO_SEMANAL!$C$6:$C$65,ETO_SEMANAL!$A$6:$A$65,"&gt;"&amp;$L14,ETO_SEMANAL!$A$6:$A$65,"&lt;="&amp;DATA_REF))</f>
        <v/>
      </c>
      <c r="O14" s="13">
        <f>IF(OR($K14="",$K14="PENDENTE",$M14=""),"",$K14*$M14)</f>
        <v/>
      </c>
      <c r="P14" s="13">
        <f>IF($O14="","",MAX(0,$O14-N($N14)))</f>
        <v/>
      </c>
      <c r="Q14" s="14">
        <f>IF($P14="","",$P14/EF_APLIC)</f>
        <v/>
      </c>
      <c r="R14" s="7" t="n"/>
      <c r="S14" s="15">
        <f>IF(OR($AA14="",$R14=""),"",IFERROR(INDEX(LAMINA_HORA!$C$5:$V$114,MATCH($AA14,LAMINA_HORA!$A$5:$A$114,0),MATCH($R14,LAMINA_HORA!$C$3:$V$3,0)),"?"))</f>
        <v/>
      </c>
      <c r="T14" s="15">
        <f>IF(OR($AA14="",$R14=""),"",IFERROR(INDEX(LAMINA_HORA!$W$5:$AP$114,MATCH($AA14,LAMINA_HORA!$A$5:$A$114,0),MATCH($R14,LAMINA_HORA!$W$3:$AP$3,0)),"?"))</f>
        <v/>
      </c>
      <c r="U14" s="16" t="n">
        <v>0.407</v>
      </c>
      <c r="V14" s="17">
        <f>IF(OR($S14="",$S14="?",$F14=""),"",$S14*$F14*10)</f>
        <v/>
      </c>
      <c r="W14" s="17">
        <f>IF(OR($V14="",$U14=""),"",$V14*$U14)</f>
        <v/>
      </c>
      <c r="X14" s="10">
        <f>IF($K14="PENDENTE","Definir Kc",IF($P14="","-",IF($P14&gt;=TURNO,"IRRIGAR",IF($P14&gt;=TURNO*FRAC_ACOMP,"Acompanhar","Aguardar"))))</f>
        <v/>
      </c>
      <c r="Y14" s="10">
        <f>IF(OR($P14="",$P14=0),"-",IF($P14&gt;=2*TURNO,"Alta",IF($P14&gt;=TURNO,"Media","Baixa")))</f>
        <v/>
      </c>
      <c r="Z14" s="5" t="inlineStr">
        <is>
          <t>SOJA_MEDIA</t>
        </is>
      </c>
      <c r="AA14" s="7" t="inlineStr">
        <is>
          <t>P4</t>
        </is>
      </c>
    </row>
    <row r="15">
      <c r="A15" s="5" t="inlineStr">
        <is>
          <t>Pivô 05</t>
        </is>
      </c>
      <c r="B15" s="5" t="inlineStr">
        <is>
          <t>Modulo 1</t>
        </is>
      </c>
      <c r="C15" s="5" t="inlineStr">
        <is>
          <t>R1</t>
        </is>
      </c>
      <c r="D15" s="6" t="inlineStr">
        <is>
          <t>COMBATE IPRO</t>
        </is>
      </c>
      <c r="E15" s="7" t="inlineStr">
        <is>
          <t>PRECOCE</t>
        </is>
      </c>
      <c r="F15" s="8" t="n">
        <v>150</v>
      </c>
      <c r="G15" s="9" t="n">
        <v>46289</v>
      </c>
      <c r="H15" s="10">
        <f>IF(OR($G15="",$G15&gt;DATA_REF),"NAO","SIM")</f>
        <v/>
      </c>
      <c r="I15" s="11">
        <f>IF(OR($G15="",$G15&gt;DATA_REF),"",DATA_REF-$G15)</f>
        <v/>
      </c>
      <c r="J15" s="11">
        <f>IF($I15="","",MAX(0,$I15-5))</f>
        <v/>
      </c>
      <c r="K15" s="12">
        <f>IF($Z15="","PENDENTE",IF($I15="","",IFERROR(INDEX(CURVAS_KC!$B$5:$J$224,MATCH(MIN(MAX($J15,1),220),CURVAS_KC!$A$5:$A$224,0),MATCH($Z15,CURVAS_KC!$B$4:$J$4,0)),"PENDENTE")))</f>
        <v/>
      </c>
      <c r="L15" s="9">
        <f>IF($G15="","",$G15)</f>
        <v/>
      </c>
      <c r="M15" s="13">
        <f>IF($L15="","",SUMIFS(ETO_SEMANAL!$B$6:$B$65,ETO_SEMANAL!$A$6:$A$65,"&gt;"&amp;$L15,ETO_SEMANAL!$A$6:$A$65,"&lt;="&amp;DATA_REF))</f>
        <v/>
      </c>
      <c r="N15" s="13">
        <f>IF($L15="","",SUMIFS(ETO_SEMANAL!$C$6:$C$65,ETO_SEMANAL!$A$6:$A$65,"&gt;"&amp;$L15,ETO_SEMANAL!$A$6:$A$65,"&lt;="&amp;DATA_REF))</f>
        <v/>
      </c>
      <c r="O15" s="13">
        <f>IF(OR($K15="",$K15="PENDENTE",$M15=""),"",$K15*$M15)</f>
        <v/>
      </c>
      <c r="P15" s="13">
        <f>IF($O15="","",MAX(0,$O15-N($N15)))</f>
        <v/>
      </c>
      <c r="Q15" s="14">
        <f>IF($P15="","",$P15/EF_APLIC)</f>
        <v/>
      </c>
      <c r="R15" s="7" t="n"/>
      <c r="S15" s="15">
        <f>IF(OR($AA15="",$R15=""),"",IFERROR(INDEX(LAMINA_HORA!$C$5:$V$114,MATCH($AA15,LAMINA_HORA!$A$5:$A$114,0),MATCH($R15,LAMINA_HORA!$C$3:$V$3,0)),"?"))</f>
        <v/>
      </c>
      <c r="T15" s="15">
        <f>IF(OR($AA15="",$R15=""),"",IFERROR(INDEX(LAMINA_HORA!$W$5:$AP$114,MATCH($AA15,LAMINA_HORA!$A$5:$A$114,0),MATCH($R15,LAMINA_HORA!$W$3:$AP$3,0)),"?"))</f>
        <v/>
      </c>
      <c r="U15" s="16" t="n">
        <v>0.574</v>
      </c>
      <c r="V15" s="17">
        <f>IF(OR($S15="",$S15="?",$F15=""),"",$S15*$F15*10)</f>
        <v/>
      </c>
      <c r="W15" s="17">
        <f>IF(OR($V15="",$U15=""),"",$V15*$U15)</f>
        <v/>
      </c>
      <c r="X15" s="10">
        <f>IF($K15="PENDENTE","Definir Kc",IF($P15="","-",IF($P15&gt;=TURNO,"IRRIGAR",IF($P15&gt;=TURNO*FRAC_ACOMP,"Acompanhar","Aguardar"))))</f>
        <v/>
      </c>
      <c r="Y15" s="10">
        <f>IF(OR($P15="",$P15=0),"-",IF($P15&gt;=2*TURNO,"Alta",IF($P15&gt;=TURNO,"Media","Baixa")))</f>
        <v/>
      </c>
      <c r="Z15" s="5" t="inlineStr">
        <is>
          <t>SOJA_PRECOCE</t>
        </is>
      </c>
      <c r="AA15" s="7" t="inlineStr">
        <is>
          <t>P5</t>
        </is>
      </c>
    </row>
    <row r="16" hidden="1">
      <c r="A16" s="5" t="inlineStr">
        <is>
          <t>Pivô 05</t>
        </is>
      </c>
      <c r="B16" s="5" t="inlineStr">
        <is>
          <t>Modulo 1</t>
        </is>
      </c>
      <c r="C16" s="5" t="inlineStr">
        <is>
          <t>R1</t>
        </is>
      </c>
      <c r="D16" s="6" t="inlineStr">
        <is>
          <t>BMX DOMINIO IPRO</t>
        </is>
      </c>
      <c r="E16" s="7" t="inlineStr">
        <is>
          <t>MEDIA</t>
        </is>
      </c>
      <c r="F16" s="8" t="n">
        <v>37</v>
      </c>
      <c r="G16" s="9" t="n">
        <v>46332</v>
      </c>
      <c r="H16" s="10">
        <f>IF(OR($G16="",$G16&gt;DATA_REF),"NAO","SIM")</f>
        <v/>
      </c>
      <c r="I16" s="11">
        <f>IF(OR($G16="",$G16&gt;DATA_REF),"",DATA_REF-$G16)</f>
        <v/>
      </c>
      <c r="J16" s="11">
        <f>IF($I16="","",MAX(0,$I16-5))</f>
        <v/>
      </c>
      <c r="K16" s="12">
        <f>IF($Z16="","PENDENTE",IF($I16="","",IFERROR(INDEX(CURVAS_KC!$B$5:$J$224,MATCH(MIN(MAX($J16,1),220),CURVAS_KC!$A$5:$A$224,0),MATCH($Z16,CURVAS_KC!$B$4:$J$4,0)),"PENDENTE")))</f>
        <v/>
      </c>
      <c r="L16" s="9">
        <f>IF($G16="","",$G16)</f>
        <v/>
      </c>
      <c r="M16" s="13">
        <f>IF($L16="","",SUMIFS(ETO_SEMANAL!$B$6:$B$65,ETO_SEMANAL!$A$6:$A$65,"&gt;"&amp;$L16,ETO_SEMANAL!$A$6:$A$65,"&lt;="&amp;DATA_REF))</f>
        <v/>
      </c>
      <c r="N16" s="13">
        <f>IF($L16="","",SUMIFS(ETO_SEMANAL!$C$6:$C$65,ETO_SEMANAL!$A$6:$A$65,"&gt;"&amp;$L16,ETO_SEMANAL!$A$6:$A$65,"&lt;="&amp;DATA_REF))</f>
        <v/>
      </c>
      <c r="O16" s="13">
        <f>IF(OR($K16="",$K16="PENDENTE",$M16=""),"",$K16*$M16)</f>
        <v/>
      </c>
      <c r="P16" s="13">
        <f>IF($O16="","",MAX(0,$O16-N($N16)))</f>
        <v/>
      </c>
      <c r="Q16" s="14">
        <f>IF($P16="","",$P16/EF_APLIC)</f>
        <v/>
      </c>
      <c r="R16" s="7" t="n"/>
      <c r="S16" s="15">
        <f>IF(OR($AA16="",$R16=""),"",IFERROR(INDEX(LAMINA_HORA!$C$5:$V$114,MATCH($AA16,LAMINA_HORA!$A$5:$A$114,0),MATCH($R16,LAMINA_HORA!$C$3:$V$3,0)),"?"))</f>
        <v/>
      </c>
      <c r="T16" s="15">
        <f>IF(OR($AA16="",$R16=""),"",IFERROR(INDEX(LAMINA_HORA!$W$5:$AP$114,MATCH($AA16,LAMINA_HORA!$A$5:$A$114,0),MATCH($R16,LAMINA_HORA!$W$3:$AP$3,0)),"?"))</f>
        <v/>
      </c>
      <c r="U16" s="16" t="n">
        <v>0.574</v>
      </c>
      <c r="V16" s="17">
        <f>IF(OR($S16="",$S16="?",$F16=""),"",$S16*$F16*10)</f>
        <v/>
      </c>
      <c r="W16" s="17">
        <f>IF(OR($V16="",$U16=""),"",$V16*$U16)</f>
        <v/>
      </c>
      <c r="X16" s="10">
        <f>IF($K16="PENDENTE","Definir Kc",IF($P16="","-",IF($P16&gt;=TURNO,"IRRIGAR",IF($P16&gt;=TURNO*FRAC_ACOMP,"Acompanhar","Aguardar"))))</f>
        <v/>
      </c>
      <c r="Y16" s="10">
        <f>IF(OR($P16="",$P16=0),"-",IF($P16&gt;=2*TURNO,"Alta",IF($P16&gt;=TURNO,"Media","Baixa")))</f>
        <v/>
      </c>
      <c r="Z16" s="5" t="inlineStr">
        <is>
          <t>SOJA_MEDIA</t>
        </is>
      </c>
      <c r="AA16" s="7" t="inlineStr">
        <is>
          <t>P5</t>
        </is>
      </c>
    </row>
    <row r="17">
      <c r="A17" s="5" t="inlineStr">
        <is>
          <t>Pivô 06</t>
        </is>
      </c>
      <c r="B17" s="5" t="inlineStr">
        <is>
          <t>Modulo 1</t>
        </is>
      </c>
      <c r="C17" s="5" t="inlineStr">
        <is>
          <t>R1</t>
        </is>
      </c>
      <c r="D17" s="6" t="inlineStr">
        <is>
          <t>COMBATE IPRO</t>
        </is>
      </c>
      <c r="E17" s="7" t="inlineStr">
        <is>
          <t>PRECOCE</t>
        </is>
      </c>
      <c r="F17" s="8" t="n">
        <v>150</v>
      </c>
      <c r="G17" s="9" t="n">
        <v>46289</v>
      </c>
      <c r="H17" s="10">
        <f>IF(OR($G17="",$G17&gt;DATA_REF),"NAO","SIM")</f>
        <v/>
      </c>
      <c r="I17" s="11">
        <f>IF(OR($G17="",$G17&gt;DATA_REF),"",DATA_REF-$G17)</f>
        <v/>
      </c>
      <c r="J17" s="11">
        <f>IF($I17="","",MAX(0,$I17-5))</f>
        <v/>
      </c>
      <c r="K17" s="12">
        <f>IF($Z17="","PENDENTE",IF($I17="","",IFERROR(INDEX(CURVAS_KC!$B$5:$J$224,MATCH(MIN(MAX($J17,1),220),CURVAS_KC!$A$5:$A$224,0),MATCH($Z17,CURVAS_KC!$B$4:$J$4,0)),"PENDENTE")))</f>
        <v/>
      </c>
      <c r="L17" s="9">
        <f>IF($G17="","",$G17)</f>
        <v/>
      </c>
      <c r="M17" s="13">
        <f>IF($L17="","",SUMIFS(ETO_SEMANAL!$B$6:$B$65,ETO_SEMANAL!$A$6:$A$65,"&gt;"&amp;$L17,ETO_SEMANAL!$A$6:$A$65,"&lt;="&amp;DATA_REF))</f>
        <v/>
      </c>
      <c r="N17" s="13">
        <f>IF($L17="","",SUMIFS(ETO_SEMANAL!$C$6:$C$65,ETO_SEMANAL!$A$6:$A$65,"&gt;"&amp;$L17,ETO_SEMANAL!$A$6:$A$65,"&lt;="&amp;DATA_REF))</f>
        <v/>
      </c>
      <c r="O17" s="13">
        <f>IF(OR($K17="",$K17="PENDENTE",$M17=""),"",$K17*$M17)</f>
        <v/>
      </c>
      <c r="P17" s="13">
        <f>IF($O17="","",MAX(0,$O17-N($N17)))</f>
        <v/>
      </c>
      <c r="Q17" s="14">
        <f>IF($P17="","",$P17/EF_APLIC)</f>
        <v/>
      </c>
      <c r="R17" s="7" t="n"/>
      <c r="S17" s="15">
        <f>IF(OR($AA17="",$R17=""),"",IFERROR(INDEX(LAMINA_HORA!$C$5:$V$114,MATCH($AA17,LAMINA_HORA!$A$5:$A$114,0),MATCH($R17,LAMINA_HORA!$C$3:$V$3,0)),"?"))</f>
        <v/>
      </c>
      <c r="T17" s="15">
        <f>IF(OR($AA17="",$R17=""),"",IFERROR(INDEX(LAMINA_HORA!$W$5:$AP$114,MATCH($AA17,LAMINA_HORA!$A$5:$A$114,0),MATCH($R17,LAMINA_HORA!$W$3:$AP$3,0)),"?"))</f>
        <v/>
      </c>
      <c r="U17" s="16" t="n">
        <v>0.595</v>
      </c>
      <c r="V17" s="17">
        <f>IF(OR($S17="",$S17="?",$F17=""),"",$S17*$F17*10)</f>
        <v/>
      </c>
      <c r="W17" s="17">
        <f>IF(OR($V17="",$U17=""),"",$V17*$U17)</f>
        <v/>
      </c>
      <c r="X17" s="10">
        <f>IF($K17="PENDENTE","Definir Kc",IF($P17="","-",IF($P17&gt;=TURNO,"IRRIGAR",IF($P17&gt;=TURNO*FRAC_ACOMP,"Acompanhar","Aguardar"))))</f>
        <v/>
      </c>
      <c r="Y17" s="10">
        <f>IF(OR($P17="",$P17=0),"-",IF($P17&gt;=2*TURNO,"Alta",IF($P17&gt;=TURNO,"Media","Baixa")))</f>
        <v/>
      </c>
      <c r="Z17" s="5" t="inlineStr">
        <is>
          <t>SOJA_PRECOCE</t>
        </is>
      </c>
      <c r="AA17" s="7" t="inlineStr">
        <is>
          <t>P6</t>
        </is>
      </c>
    </row>
    <row r="18" hidden="1">
      <c r="A18" s="5" t="inlineStr">
        <is>
          <t>Pivô 10</t>
        </is>
      </c>
      <c r="B18" s="5" t="inlineStr">
        <is>
          <t>Modulo 1</t>
        </is>
      </c>
      <c r="C18" s="5" t="inlineStr">
        <is>
          <t>R3</t>
        </is>
      </c>
      <c r="D18" s="6" t="inlineStr">
        <is>
          <t>ATAQUE I2X</t>
        </is>
      </c>
      <c r="E18" s="7" t="inlineStr">
        <is>
          <t>TARDIA</t>
        </is>
      </c>
      <c r="F18" s="8" t="n">
        <v>13</v>
      </c>
      <c r="G18" s="9" t="n">
        <v>46327</v>
      </c>
      <c r="H18" s="10">
        <f>IF(OR($G18="",$G18&gt;DATA_REF),"NAO","SIM")</f>
        <v/>
      </c>
      <c r="I18" s="11">
        <f>IF(OR($G18="",$G18&gt;DATA_REF),"",DATA_REF-$G18)</f>
        <v/>
      </c>
      <c r="J18" s="11">
        <f>IF($I18="","",MAX(0,$I18-5))</f>
        <v/>
      </c>
      <c r="K18" s="12">
        <f>IF($Z18="","PENDENTE",IF($I18="","",IFERROR(INDEX(CURVAS_KC!$B$5:$J$224,MATCH(MIN(MAX($J18,1),220),CURVAS_KC!$A$5:$A$224,0),MATCH($Z18,CURVAS_KC!$B$4:$J$4,0)),"PENDENTE")))</f>
        <v/>
      </c>
      <c r="L18" s="9">
        <f>IF($G18="","",$G18)</f>
        <v/>
      </c>
      <c r="M18" s="13">
        <f>IF($L18="","",SUMIFS(ETO_SEMANAL!$B$6:$B$65,ETO_SEMANAL!$A$6:$A$65,"&gt;"&amp;$L18,ETO_SEMANAL!$A$6:$A$65,"&lt;="&amp;DATA_REF))</f>
        <v/>
      </c>
      <c r="N18" s="13">
        <f>IF($L18="","",SUMIFS(ETO_SEMANAL!$C$6:$C$65,ETO_SEMANAL!$A$6:$A$65,"&gt;"&amp;$L18,ETO_SEMANAL!$A$6:$A$65,"&lt;="&amp;DATA_REF))</f>
        <v/>
      </c>
      <c r="O18" s="13">
        <f>IF(OR($K18="",$K18="PENDENTE",$M18=""),"",$K18*$M18)</f>
        <v/>
      </c>
      <c r="P18" s="13">
        <f>IF($O18="","",MAX(0,$O18-N($N18)))</f>
        <v/>
      </c>
      <c r="Q18" s="14">
        <f>IF($P18="","",$P18/EF_APLIC)</f>
        <v/>
      </c>
      <c r="R18" s="7" t="n"/>
      <c r="S18" s="15">
        <f>IF(OR($AA18="",$R18=""),"",IFERROR(INDEX(LAMINA_HORA!$C$5:$V$114,MATCH($AA18,LAMINA_HORA!$A$5:$A$114,0),MATCH($R18,LAMINA_HORA!$C$3:$V$3,0)),"?"))</f>
        <v/>
      </c>
      <c r="T18" s="15">
        <f>IF(OR($AA18="",$R18=""),"",IFERROR(INDEX(LAMINA_HORA!$W$5:$AP$114,MATCH($AA18,LAMINA_HORA!$A$5:$A$114,0),MATCH($R18,LAMINA_HORA!$W$3:$AP$3,0)),"?"))</f>
        <v/>
      </c>
      <c r="U18" s="16" t="n">
        <v>0.5659999999999999</v>
      </c>
      <c r="V18" s="17">
        <f>IF(OR($S18="",$S18="?",$F18=""),"",$S18*$F18*10)</f>
        <v/>
      </c>
      <c r="W18" s="17">
        <f>IF(OR($V18="",$U18=""),"",$V18*$U18)</f>
        <v/>
      </c>
      <c r="X18" s="10">
        <f>IF($K18="PENDENTE","Definir Kc",IF($P18="","-",IF($P18&gt;=TURNO,"IRRIGAR",IF($P18&gt;=TURNO*FRAC_ACOMP,"Acompanhar","Aguardar"))))</f>
        <v/>
      </c>
      <c r="Y18" s="10">
        <f>IF(OR($P18="",$P18=0),"-",IF($P18&gt;=2*TURNO,"Alta",IF($P18&gt;=TURNO,"Media","Baixa")))</f>
        <v/>
      </c>
      <c r="Z18" s="5" t="inlineStr">
        <is>
          <t>SOJA_TARDIA</t>
        </is>
      </c>
      <c r="AA18" s="7" t="inlineStr">
        <is>
          <t>P10</t>
        </is>
      </c>
    </row>
    <row r="19" hidden="1">
      <c r="A19" s="5" t="inlineStr">
        <is>
          <t>Pivô 10</t>
        </is>
      </c>
      <c r="B19" s="5" t="inlineStr">
        <is>
          <t>Modulo 1</t>
        </is>
      </c>
      <c r="C19" s="5" t="inlineStr">
        <is>
          <t>R3</t>
        </is>
      </c>
      <c r="D19" s="6" t="inlineStr">
        <is>
          <t>ATAQUE I2X</t>
        </is>
      </c>
      <c r="E19" s="7" t="inlineStr">
        <is>
          <t>TARDIA</t>
        </is>
      </c>
      <c r="F19" s="8" t="n">
        <v>13</v>
      </c>
      <c r="G19" s="9" t="n">
        <v>46327</v>
      </c>
      <c r="H19" s="10">
        <f>IF(OR($G19="",$G19&gt;DATA_REF),"NAO","SIM")</f>
        <v/>
      </c>
      <c r="I19" s="11">
        <f>IF(OR($G19="",$G19&gt;DATA_REF),"",DATA_REF-$G19)</f>
        <v/>
      </c>
      <c r="J19" s="11">
        <f>IF($I19="","",MAX(0,$I19-5))</f>
        <v/>
      </c>
      <c r="K19" s="12">
        <f>IF($Z19="","PENDENTE",IF($I19="","",IFERROR(INDEX(CURVAS_KC!$B$5:$J$224,MATCH(MIN(MAX($J19,1),220),CURVAS_KC!$A$5:$A$224,0),MATCH($Z19,CURVAS_KC!$B$4:$J$4,0)),"PENDENTE")))</f>
        <v/>
      </c>
      <c r="L19" s="9">
        <f>IF($G19="","",$G19)</f>
        <v/>
      </c>
      <c r="M19" s="13">
        <f>IF($L19="","",SUMIFS(ETO_SEMANAL!$B$6:$B$65,ETO_SEMANAL!$A$6:$A$65,"&gt;"&amp;$L19,ETO_SEMANAL!$A$6:$A$65,"&lt;="&amp;DATA_REF))</f>
        <v/>
      </c>
      <c r="N19" s="13">
        <f>IF($L19="","",SUMIFS(ETO_SEMANAL!$C$6:$C$65,ETO_SEMANAL!$A$6:$A$65,"&gt;"&amp;$L19,ETO_SEMANAL!$A$6:$A$65,"&lt;="&amp;DATA_REF))</f>
        <v/>
      </c>
      <c r="O19" s="13">
        <f>IF(OR($K19="",$K19="PENDENTE",$M19=""),"",$K19*$M19)</f>
        <v/>
      </c>
      <c r="P19" s="13">
        <f>IF($O19="","",MAX(0,$O19-N($N19)))</f>
        <v/>
      </c>
      <c r="Q19" s="14">
        <f>IF($P19="","",$P19/EF_APLIC)</f>
        <v/>
      </c>
      <c r="R19" s="7" t="n"/>
      <c r="S19" s="15">
        <f>IF(OR($AA19="",$R19=""),"",IFERROR(INDEX(LAMINA_HORA!$C$5:$V$114,MATCH($AA19,LAMINA_HORA!$A$5:$A$114,0),MATCH($R19,LAMINA_HORA!$C$3:$V$3,0)),"?"))</f>
        <v/>
      </c>
      <c r="T19" s="15">
        <f>IF(OR($AA19="",$R19=""),"",IFERROR(INDEX(LAMINA_HORA!$W$5:$AP$114,MATCH($AA19,LAMINA_HORA!$A$5:$A$114,0),MATCH($R19,LAMINA_HORA!$W$3:$AP$3,0)),"?"))</f>
        <v/>
      </c>
      <c r="U19" s="16" t="n">
        <v>0.5659999999999999</v>
      </c>
      <c r="V19" s="17">
        <f>IF(OR($S19="",$S19="?",$F19=""),"",$S19*$F19*10)</f>
        <v/>
      </c>
      <c r="W19" s="17">
        <f>IF(OR($V19="",$U19=""),"",$V19*$U19)</f>
        <v/>
      </c>
      <c r="X19" s="10">
        <f>IF($K19="PENDENTE","Definir Kc",IF($P19="","-",IF($P19&gt;=TURNO,"IRRIGAR",IF($P19&gt;=TURNO*FRAC_ACOMP,"Acompanhar","Aguardar"))))</f>
        <v/>
      </c>
      <c r="Y19" s="10">
        <f>IF(OR($P19="",$P19=0),"-",IF($P19&gt;=2*TURNO,"Alta",IF($P19&gt;=TURNO,"Media","Baixa")))</f>
        <v/>
      </c>
      <c r="Z19" s="5" t="inlineStr">
        <is>
          <t>SOJA_TARDIA</t>
        </is>
      </c>
      <c r="AA19" s="7" t="inlineStr">
        <is>
          <t>P10</t>
        </is>
      </c>
    </row>
    <row r="20" hidden="1">
      <c r="A20" s="5" t="inlineStr">
        <is>
          <t>Pivô 11</t>
        </is>
      </c>
      <c r="B20" s="5" t="inlineStr">
        <is>
          <t>Modulo 1</t>
        </is>
      </c>
      <c r="C20" s="5" t="inlineStr">
        <is>
          <t>R5</t>
        </is>
      </c>
      <c r="D20" s="6" t="inlineStr">
        <is>
          <t>BMX DOMINIO IPRO</t>
        </is>
      </c>
      <c r="E20" s="7" t="inlineStr">
        <is>
          <t>MEDIA</t>
        </is>
      </c>
      <c r="F20" s="8" t="n">
        <v>75</v>
      </c>
      <c r="G20" s="9" t="n">
        <v>46328</v>
      </c>
      <c r="H20" s="10">
        <f>IF(OR($G20="",$G20&gt;DATA_REF),"NAO","SIM")</f>
        <v/>
      </c>
      <c r="I20" s="11">
        <f>IF(OR($G20="",$G20&gt;DATA_REF),"",DATA_REF-$G20)</f>
        <v/>
      </c>
      <c r="J20" s="11">
        <f>IF($I20="","",MAX(0,$I20-5))</f>
        <v/>
      </c>
      <c r="K20" s="12">
        <f>IF($Z20="","PENDENTE",IF($I20="","",IFERROR(INDEX(CURVAS_KC!$B$5:$J$224,MATCH(MIN(MAX($J20,1),220),CURVAS_KC!$A$5:$A$224,0),MATCH($Z20,CURVAS_KC!$B$4:$J$4,0)),"PENDENTE")))</f>
        <v/>
      </c>
      <c r="L20" s="9">
        <f>IF($G20="","",$G20)</f>
        <v/>
      </c>
      <c r="M20" s="13">
        <f>IF($L20="","",SUMIFS(ETO_SEMANAL!$B$6:$B$65,ETO_SEMANAL!$A$6:$A$65,"&gt;"&amp;$L20,ETO_SEMANAL!$A$6:$A$65,"&lt;="&amp;DATA_REF))</f>
        <v/>
      </c>
      <c r="N20" s="13">
        <f>IF($L20="","",SUMIFS(ETO_SEMANAL!$C$6:$C$65,ETO_SEMANAL!$A$6:$A$65,"&gt;"&amp;$L20,ETO_SEMANAL!$A$6:$A$65,"&lt;="&amp;DATA_REF))</f>
        <v/>
      </c>
      <c r="O20" s="13">
        <f>IF(OR($K20="",$K20="PENDENTE",$M20=""),"",$K20*$M20)</f>
        <v/>
      </c>
      <c r="P20" s="13">
        <f>IF($O20="","",MAX(0,$O20-N($N20)))</f>
        <v/>
      </c>
      <c r="Q20" s="14">
        <f>IF($P20="","",$P20/EF_APLIC)</f>
        <v/>
      </c>
      <c r="R20" s="7" t="n"/>
      <c r="S20" s="15">
        <f>IF(OR($AA20="",$R20=""),"",IFERROR(INDEX(LAMINA_HORA!$C$5:$V$114,MATCH($AA20,LAMINA_HORA!$A$5:$A$114,0),MATCH($R20,LAMINA_HORA!$C$3:$V$3,0)),"?"))</f>
        <v/>
      </c>
      <c r="T20" s="15">
        <f>IF(OR($AA20="",$R20=""),"",IFERROR(INDEX(LAMINA_HORA!$W$5:$AP$114,MATCH($AA20,LAMINA_HORA!$A$5:$A$114,0),MATCH($R20,LAMINA_HORA!$W$3:$AP$3,0)),"?"))</f>
        <v/>
      </c>
      <c r="U20" s="16" t="n">
        <v>0.577</v>
      </c>
      <c r="V20" s="17">
        <f>IF(OR($S20="",$S20="?",$F20=""),"",$S20*$F20*10)</f>
        <v/>
      </c>
      <c r="W20" s="17">
        <f>IF(OR($V20="",$U20=""),"",$V20*$U20)</f>
        <v/>
      </c>
      <c r="X20" s="10">
        <f>IF($K20="PENDENTE","Definir Kc",IF($P20="","-",IF($P20&gt;=TURNO,"IRRIGAR",IF($P20&gt;=TURNO*FRAC_ACOMP,"Acompanhar","Aguardar"))))</f>
        <v/>
      </c>
      <c r="Y20" s="10">
        <f>IF(OR($P20="",$P20=0),"-",IF($P20&gt;=2*TURNO,"Alta",IF($P20&gt;=TURNO,"Media","Baixa")))</f>
        <v/>
      </c>
      <c r="Z20" s="5" t="inlineStr">
        <is>
          <t>SOJA_MEDIA</t>
        </is>
      </c>
      <c r="AA20" s="7" t="inlineStr">
        <is>
          <t>P11</t>
        </is>
      </c>
    </row>
    <row r="21" hidden="1">
      <c r="A21" s="5" t="inlineStr">
        <is>
          <t>Pivô 12</t>
        </is>
      </c>
      <c r="B21" s="5" t="inlineStr">
        <is>
          <t>Modulo 1</t>
        </is>
      </c>
      <c r="C21" s="5" t="inlineStr">
        <is>
          <t>R5</t>
        </is>
      </c>
      <c r="D21" s="6" t="inlineStr">
        <is>
          <t>COMBATE IPRO</t>
        </is>
      </c>
      <c r="E21" s="7" t="inlineStr">
        <is>
          <t>PRECOCE</t>
        </is>
      </c>
      <c r="F21" s="8" t="n">
        <v>150</v>
      </c>
      <c r="G21" s="9" t="n">
        <v>46304</v>
      </c>
      <c r="H21" s="10">
        <f>IF(OR($G21="",$G21&gt;DATA_REF),"NAO","SIM")</f>
        <v/>
      </c>
      <c r="I21" s="11">
        <f>IF(OR($G21="",$G21&gt;DATA_REF),"",DATA_REF-$G21)</f>
        <v/>
      </c>
      <c r="J21" s="11">
        <f>IF($I21="","",MAX(0,$I21-5))</f>
        <v/>
      </c>
      <c r="K21" s="12">
        <f>IF($Z21="","PENDENTE",IF($I21="","",IFERROR(INDEX(CURVAS_KC!$B$5:$J$224,MATCH(MIN(MAX($J21,1),220),CURVAS_KC!$A$5:$A$224,0),MATCH($Z21,CURVAS_KC!$B$4:$J$4,0)),"PENDENTE")))</f>
        <v/>
      </c>
      <c r="L21" s="9">
        <f>IF($G21="","",$G21)</f>
        <v/>
      </c>
      <c r="M21" s="13">
        <f>IF($L21="","",SUMIFS(ETO_SEMANAL!$B$6:$B$65,ETO_SEMANAL!$A$6:$A$65,"&gt;"&amp;$L21,ETO_SEMANAL!$A$6:$A$65,"&lt;="&amp;DATA_REF))</f>
        <v/>
      </c>
      <c r="N21" s="13">
        <f>IF($L21="","",SUMIFS(ETO_SEMANAL!$C$6:$C$65,ETO_SEMANAL!$A$6:$A$65,"&gt;"&amp;$L21,ETO_SEMANAL!$A$6:$A$65,"&lt;="&amp;DATA_REF))</f>
        <v/>
      </c>
      <c r="O21" s="13">
        <f>IF(OR($K21="",$K21="PENDENTE",$M21=""),"",$K21*$M21)</f>
        <v/>
      </c>
      <c r="P21" s="13">
        <f>IF($O21="","",MAX(0,$O21-N($N21)))</f>
        <v/>
      </c>
      <c r="Q21" s="14">
        <f>IF($P21="","",$P21/EF_APLIC)</f>
        <v/>
      </c>
      <c r="R21" s="7" t="n"/>
      <c r="S21" s="15">
        <f>IF(OR($AA21="",$R21=""),"",IFERROR(INDEX(LAMINA_HORA!$C$5:$V$114,MATCH($AA21,LAMINA_HORA!$A$5:$A$114,0),MATCH($R21,LAMINA_HORA!$C$3:$V$3,0)),"?"))</f>
        <v/>
      </c>
      <c r="T21" s="15">
        <f>IF(OR($AA21="",$R21=""),"",IFERROR(INDEX(LAMINA_HORA!$W$5:$AP$114,MATCH($AA21,LAMINA_HORA!$A$5:$A$114,0),MATCH($R21,LAMINA_HORA!$W$3:$AP$3,0)),"?"))</f>
        <v/>
      </c>
      <c r="U21" s="16" t="n">
        <v>0.5659999999999999</v>
      </c>
      <c r="V21" s="17">
        <f>IF(OR($S21="",$S21="?",$F21=""),"",$S21*$F21*10)</f>
        <v/>
      </c>
      <c r="W21" s="17">
        <f>IF(OR($V21="",$U21=""),"",$V21*$U21)</f>
        <v/>
      </c>
      <c r="X21" s="10">
        <f>IF($K21="PENDENTE","Definir Kc",IF($P21="","-",IF($P21&gt;=TURNO,"IRRIGAR",IF($P21&gt;=TURNO*FRAC_ACOMP,"Acompanhar","Aguardar"))))</f>
        <v/>
      </c>
      <c r="Y21" s="10">
        <f>IF(OR($P21="",$P21=0),"-",IF($P21&gt;=2*TURNO,"Alta",IF($P21&gt;=TURNO,"Media","Baixa")))</f>
        <v/>
      </c>
      <c r="Z21" s="5" t="inlineStr">
        <is>
          <t>SOJA_PRECOCE</t>
        </is>
      </c>
      <c r="AA21" s="7" t="inlineStr">
        <is>
          <t>P12</t>
        </is>
      </c>
    </row>
    <row r="22" hidden="1">
      <c r="A22" s="5" t="inlineStr">
        <is>
          <t>Pivô 13</t>
        </is>
      </c>
      <c r="B22" s="5" t="inlineStr">
        <is>
          <t>Modulo 1</t>
        </is>
      </c>
      <c r="C22" s="5" t="inlineStr">
        <is>
          <t>R5</t>
        </is>
      </c>
      <c r="D22" s="6" t="inlineStr">
        <is>
          <t>COMBATE IPRO</t>
        </is>
      </c>
      <c r="E22" s="7" t="inlineStr">
        <is>
          <t>PRECOCE</t>
        </is>
      </c>
      <c r="F22" s="8" t="n">
        <v>71</v>
      </c>
      <c r="G22" s="9" t="n">
        <v>46304</v>
      </c>
      <c r="H22" s="10">
        <f>IF(OR($G22="",$G22&gt;DATA_REF),"NAO","SIM")</f>
        <v/>
      </c>
      <c r="I22" s="11">
        <f>IF(OR($G22="",$G22&gt;DATA_REF),"",DATA_REF-$G22)</f>
        <v/>
      </c>
      <c r="J22" s="11">
        <f>IF($I22="","",MAX(0,$I22-5))</f>
        <v/>
      </c>
      <c r="K22" s="12">
        <f>IF($Z22="","PENDENTE",IF($I22="","",IFERROR(INDEX(CURVAS_KC!$B$5:$J$224,MATCH(MIN(MAX($J22,1),220),CURVAS_KC!$A$5:$A$224,0),MATCH($Z22,CURVAS_KC!$B$4:$J$4,0)),"PENDENTE")))</f>
        <v/>
      </c>
      <c r="L22" s="9">
        <f>IF($G22="","",$G22)</f>
        <v/>
      </c>
      <c r="M22" s="13">
        <f>IF($L22="","",SUMIFS(ETO_SEMANAL!$B$6:$B$65,ETO_SEMANAL!$A$6:$A$65,"&gt;"&amp;$L22,ETO_SEMANAL!$A$6:$A$65,"&lt;="&amp;DATA_REF))</f>
        <v/>
      </c>
      <c r="N22" s="13">
        <f>IF($L22="","",SUMIFS(ETO_SEMANAL!$C$6:$C$65,ETO_SEMANAL!$A$6:$A$65,"&gt;"&amp;$L22,ETO_SEMANAL!$A$6:$A$65,"&lt;="&amp;DATA_REF))</f>
        <v/>
      </c>
      <c r="O22" s="13">
        <f>IF(OR($K22="",$K22="PENDENTE",$M22=""),"",$K22*$M22)</f>
        <v/>
      </c>
      <c r="P22" s="13">
        <f>IF($O22="","",MAX(0,$O22-N($N22)))</f>
        <v/>
      </c>
      <c r="Q22" s="14">
        <f>IF($P22="","",$P22/EF_APLIC)</f>
        <v/>
      </c>
      <c r="R22" s="7" t="n"/>
      <c r="S22" s="15">
        <f>IF(OR($AA22="",$R22=""),"",IFERROR(INDEX(LAMINA_HORA!$C$5:$V$114,MATCH($AA22,LAMINA_HORA!$A$5:$A$114,0),MATCH($R22,LAMINA_HORA!$C$3:$V$3,0)),"?"))</f>
        <v/>
      </c>
      <c r="T22" s="15">
        <f>IF(OR($AA22="",$R22=""),"",IFERROR(INDEX(LAMINA_HORA!$W$5:$AP$114,MATCH($AA22,LAMINA_HORA!$A$5:$A$114,0),MATCH($R22,LAMINA_HORA!$W$3:$AP$3,0)),"?"))</f>
        <v/>
      </c>
      <c r="U22" s="16" t="n">
        <v>0.634</v>
      </c>
      <c r="V22" s="17">
        <f>IF(OR($S22="",$S22="?",$F22=""),"",$S22*$F22*10)</f>
        <v/>
      </c>
      <c r="W22" s="17">
        <f>IF(OR($V22="",$U22=""),"",$V22*$U22)</f>
        <v/>
      </c>
      <c r="X22" s="10">
        <f>IF($K22="PENDENTE","Definir Kc",IF($P22="","-",IF($P22&gt;=TURNO,"IRRIGAR",IF($P22&gt;=TURNO*FRAC_ACOMP,"Acompanhar","Aguardar"))))</f>
        <v/>
      </c>
      <c r="Y22" s="10">
        <f>IF(OR($P22="",$P22=0),"-",IF($P22&gt;=2*TURNO,"Alta",IF($P22&gt;=TURNO,"Media","Baixa")))</f>
        <v/>
      </c>
      <c r="Z22" s="5" t="inlineStr">
        <is>
          <t>SOJA_PRECOCE</t>
        </is>
      </c>
      <c r="AA22" s="7" t="inlineStr">
        <is>
          <t>P13</t>
        </is>
      </c>
    </row>
    <row r="23" hidden="1">
      <c r="A23" s="5" t="inlineStr">
        <is>
          <t>Pivô 14</t>
        </is>
      </c>
      <c r="B23" s="5" t="inlineStr">
        <is>
          <t>Modulo 1</t>
        </is>
      </c>
      <c r="C23" s="5" t="inlineStr">
        <is>
          <t>R6</t>
        </is>
      </c>
      <c r="D23" s="6" t="inlineStr">
        <is>
          <t>COMBATE IPRO</t>
        </is>
      </c>
      <c r="E23" s="7" t="inlineStr">
        <is>
          <t>PRECOCE</t>
        </is>
      </c>
      <c r="F23" s="8" t="n">
        <v>150</v>
      </c>
      <c r="G23" s="9" t="n">
        <v>46319</v>
      </c>
      <c r="H23" s="10">
        <f>IF(OR($G23="",$G23&gt;DATA_REF),"NAO","SIM")</f>
        <v/>
      </c>
      <c r="I23" s="11">
        <f>IF(OR($G23="",$G23&gt;DATA_REF),"",DATA_REF-$G23)</f>
        <v/>
      </c>
      <c r="J23" s="11">
        <f>IF($I23="","",MAX(0,$I23-5))</f>
        <v/>
      </c>
      <c r="K23" s="12">
        <f>IF($Z23="","PENDENTE",IF($I23="","",IFERROR(INDEX(CURVAS_KC!$B$5:$J$224,MATCH(MIN(MAX($J23,1),220),CURVAS_KC!$A$5:$A$224,0),MATCH($Z23,CURVAS_KC!$B$4:$J$4,0)),"PENDENTE")))</f>
        <v/>
      </c>
      <c r="L23" s="9">
        <f>IF($G23="","",$G23)</f>
        <v/>
      </c>
      <c r="M23" s="13">
        <f>IF($L23="","",SUMIFS(ETO_SEMANAL!$B$6:$B$65,ETO_SEMANAL!$A$6:$A$65,"&gt;"&amp;$L23,ETO_SEMANAL!$A$6:$A$65,"&lt;="&amp;DATA_REF))</f>
        <v/>
      </c>
      <c r="N23" s="13">
        <f>IF($L23="","",SUMIFS(ETO_SEMANAL!$C$6:$C$65,ETO_SEMANAL!$A$6:$A$65,"&gt;"&amp;$L23,ETO_SEMANAL!$A$6:$A$65,"&lt;="&amp;DATA_REF))</f>
        <v/>
      </c>
      <c r="O23" s="13">
        <f>IF(OR($K23="",$K23="PENDENTE",$M23=""),"",$K23*$M23)</f>
        <v/>
      </c>
      <c r="P23" s="13">
        <f>IF($O23="","",MAX(0,$O23-N($N23)))</f>
        <v/>
      </c>
      <c r="Q23" s="14">
        <f>IF($P23="","",$P23/EF_APLIC)</f>
        <v/>
      </c>
      <c r="R23" s="7" t="n"/>
      <c r="S23" s="15">
        <f>IF(OR($AA23="",$R23=""),"",IFERROR(INDEX(LAMINA_HORA!$C$5:$V$114,MATCH($AA23,LAMINA_HORA!$A$5:$A$114,0),MATCH($R23,LAMINA_HORA!$C$3:$V$3,0)),"?"))</f>
        <v/>
      </c>
      <c r="T23" s="15">
        <f>IF(OR($AA23="",$R23=""),"",IFERROR(INDEX(LAMINA_HORA!$W$5:$AP$114,MATCH($AA23,LAMINA_HORA!$A$5:$A$114,0),MATCH($R23,LAMINA_HORA!$W$3:$AP$3,0)),"?"))</f>
        <v/>
      </c>
      <c r="U23" s="16" t="n">
        <v>0.396</v>
      </c>
      <c r="V23" s="17">
        <f>IF(OR($S23="",$S23="?",$F23=""),"",$S23*$F23*10)</f>
        <v/>
      </c>
      <c r="W23" s="17">
        <f>IF(OR($V23="",$U23=""),"",$V23*$U23)</f>
        <v/>
      </c>
      <c r="X23" s="10">
        <f>IF($K23="PENDENTE","Definir Kc",IF($P23="","-",IF($P23&gt;=TURNO,"IRRIGAR",IF($P23&gt;=TURNO*FRAC_ACOMP,"Acompanhar","Aguardar"))))</f>
        <v/>
      </c>
      <c r="Y23" s="10">
        <f>IF(OR($P23="",$P23=0),"-",IF($P23&gt;=2*TURNO,"Alta",IF($P23&gt;=TURNO,"Media","Baixa")))</f>
        <v/>
      </c>
      <c r="Z23" s="5" t="inlineStr">
        <is>
          <t>SOJA_PRECOCE</t>
        </is>
      </c>
      <c r="AA23" s="7" t="inlineStr">
        <is>
          <t>P14</t>
        </is>
      </c>
    </row>
    <row r="24">
      <c r="A24" s="5" t="inlineStr">
        <is>
          <t>Pivô 15</t>
        </is>
      </c>
      <c r="B24" s="5" t="inlineStr">
        <is>
          <t>Modulo 1</t>
        </is>
      </c>
      <c r="C24" s="5" t="inlineStr">
        <is>
          <t>R1</t>
        </is>
      </c>
      <c r="D24" s="6" t="inlineStr">
        <is>
          <t>CZ 37B07 I2X</t>
        </is>
      </c>
      <c r="E24" s="7" t="inlineStr">
        <is>
          <t>PRECOCE</t>
        </is>
      </c>
      <c r="F24" s="8" t="n">
        <v>150</v>
      </c>
      <c r="G24" s="9" t="n">
        <v>46297</v>
      </c>
      <c r="H24" s="10">
        <f>IF(OR($G24="",$G24&gt;DATA_REF),"NAO","SIM")</f>
        <v/>
      </c>
      <c r="I24" s="11">
        <f>IF(OR($G24="",$G24&gt;DATA_REF),"",DATA_REF-$G24)</f>
        <v/>
      </c>
      <c r="J24" s="11">
        <f>IF($I24="","",MAX(0,$I24-5))</f>
        <v/>
      </c>
      <c r="K24" s="12">
        <f>IF($Z24="","PENDENTE",IF($I24="","",IFERROR(INDEX(CURVAS_KC!$B$5:$J$224,MATCH(MIN(MAX($J24,1),220),CURVAS_KC!$A$5:$A$224,0),MATCH($Z24,CURVAS_KC!$B$4:$J$4,0)),"PENDENTE")))</f>
        <v/>
      </c>
      <c r="L24" s="9">
        <f>IF($G24="","",$G24)</f>
        <v/>
      </c>
      <c r="M24" s="13">
        <f>IF($L24="","",SUMIFS(ETO_SEMANAL!$B$6:$B$65,ETO_SEMANAL!$A$6:$A$65,"&gt;"&amp;$L24,ETO_SEMANAL!$A$6:$A$65,"&lt;="&amp;DATA_REF))</f>
        <v/>
      </c>
      <c r="N24" s="13">
        <f>IF($L24="","",SUMIFS(ETO_SEMANAL!$C$6:$C$65,ETO_SEMANAL!$A$6:$A$65,"&gt;"&amp;$L24,ETO_SEMANAL!$A$6:$A$65,"&lt;="&amp;DATA_REF))</f>
        <v/>
      </c>
      <c r="O24" s="13">
        <f>IF(OR($K24="",$K24="PENDENTE",$M24=""),"",$K24*$M24)</f>
        <v/>
      </c>
      <c r="P24" s="13">
        <f>IF($O24="","",MAX(0,$O24-N($N24)))</f>
        <v/>
      </c>
      <c r="Q24" s="14">
        <f>IF($P24="","",$P24/EF_APLIC)</f>
        <v/>
      </c>
      <c r="R24" s="7" t="n"/>
      <c r="S24" s="15">
        <f>IF(OR($AA24="",$R24=""),"",IFERROR(INDEX(LAMINA_HORA!$C$5:$V$114,MATCH($AA24,LAMINA_HORA!$A$5:$A$114,0),MATCH($R24,LAMINA_HORA!$C$3:$V$3,0)),"?"))</f>
        <v/>
      </c>
      <c r="T24" s="15">
        <f>IF(OR($AA24="",$R24=""),"",IFERROR(INDEX(LAMINA_HORA!$W$5:$AP$114,MATCH($AA24,LAMINA_HORA!$A$5:$A$114,0),MATCH($R24,LAMINA_HORA!$W$3:$AP$3,0)),"?"))</f>
        <v/>
      </c>
      <c r="U24" s="16" t="n">
        <v>0.513</v>
      </c>
      <c r="V24" s="17">
        <f>IF(OR($S24="",$S24="?",$F24=""),"",$S24*$F24*10)</f>
        <v/>
      </c>
      <c r="W24" s="17">
        <f>IF(OR($V24="",$U24=""),"",$V24*$U24)</f>
        <v/>
      </c>
      <c r="X24" s="10">
        <f>IF($K24="PENDENTE","Definir Kc",IF($P24="","-",IF($P24&gt;=TURNO,"IRRIGAR",IF($P24&gt;=TURNO*FRAC_ACOMP,"Acompanhar","Aguardar"))))</f>
        <v/>
      </c>
      <c r="Y24" s="10">
        <f>IF(OR($P24="",$P24=0),"-",IF($P24&gt;=2*TURNO,"Alta",IF($P24&gt;=TURNO,"Media","Baixa")))</f>
        <v/>
      </c>
      <c r="Z24" s="5" t="inlineStr">
        <is>
          <t>SOJA_PRECOCE</t>
        </is>
      </c>
      <c r="AA24" s="7" t="inlineStr">
        <is>
          <t>P15</t>
        </is>
      </c>
    </row>
    <row r="25" hidden="1">
      <c r="A25" s="5" t="inlineStr">
        <is>
          <t>Pivô 16</t>
        </is>
      </c>
      <c r="B25" s="5" t="inlineStr">
        <is>
          <t>Modulo 1</t>
        </is>
      </c>
      <c r="C25" s="5" t="inlineStr">
        <is>
          <t>R1</t>
        </is>
      </c>
      <c r="D25" s="6" t="inlineStr">
        <is>
          <t>ATAQUE I2X</t>
        </is>
      </c>
      <c r="E25" s="7" t="inlineStr">
        <is>
          <t>TARDIA</t>
        </is>
      </c>
      <c r="F25" s="8" t="n">
        <v>150</v>
      </c>
      <c r="G25" s="9" t="n">
        <v>46311</v>
      </c>
      <c r="H25" s="10">
        <f>IF(OR($G25="",$G25&gt;DATA_REF),"NAO","SIM")</f>
        <v/>
      </c>
      <c r="I25" s="11">
        <f>IF(OR($G25="",$G25&gt;DATA_REF),"",DATA_REF-$G25)</f>
        <v/>
      </c>
      <c r="J25" s="11">
        <f>IF($I25="","",MAX(0,$I25-5))</f>
        <v/>
      </c>
      <c r="K25" s="12">
        <f>IF($Z25="","PENDENTE",IF($I25="","",IFERROR(INDEX(CURVAS_KC!$B$5:$J$224,MATCH(MIN(MAX($J25,1),220),CURVAS_KC!$A$5:$A$224,0),MATCH($Z25,CURVAS_KC!$B$4:$J$4,0)),"PENDENTE")))</f>
        <v/>
      </c>
      <c r="L25" s="9">
        <f>IF($G25="","",$G25)</f>
        <v/>
      </c>
      <c r="M25" s="13">
        <f>IF($L25="","",SUMIFS(ETO_SEMANAL!$B$6:$B$65,ETO_SEMANAL!$A$6:$A$65,"&gt;"&amp;$L25,ETO_SEMANAL!$A$6:$A$65,"&lt;="&amp;DATA_REF))</f>
        <v/>
      </c>
      <c r="N25" s="13">
        <f>IF($L25="","",SUMIFS(ETO_SEMANAL!$C$6:$C$65,ETO_SEMANAL!$A$6:$A$65,"&gt;"&amp;$L25,ETO_SEMANAL!$A$6:$A$65,"&lt;="&amp;DATA_REF))</f>
        <v/>
      </c>
      <c r="O25" s="13">
        <f>IF(OR($K25="",$K25="PENDENTE",$M25=""),"",$K25*$M25)</f>
        <v/>
      </c>
      <c r="P25" s="13">
        <f>IF($O25="","",MAX(0,$O25-N($N25)))</f>
        <v/>
      </c>
      <c r="Q25" s="14">
        <f>IF($P25="","",$P25/EF_APLIC)</f>
        <v/>
      </c>
      <c r="R25" s="7" t="n"/>
      <c r="S25" s="15">
        <f>IF(OR($AA25="",$R25=""),"",IFERROR(INDEX(LAMINA_HORA!$C$5:$V$114,MATCH($AA25,LAMINA_HORA!$A$5:$A$114,0),MATCH($R25,LAMINA_HORA!$C$3:$V$3,0)),"?"))</f>
        <v/>
      </c>
      <c r="T25" s="15">
        <f>IF(OR($AA25="",$R25=""),"",IFERROR(INDEX(LAMINA_HORA!$W$5:$AP$114,MATCH($AA25,LAMINA_HORA!$A$5:$A$114,0),MATCH($R25,LAMINA_HORA!$W$3:$AP$3,0)),"?"))</f>
        <v/>
      </c>
      <c r="U25" s="16" t="n">
        <v>0.5659999999999999</v>
      </c>
      <c r="V25" s="17">
        <f>IF(OR($S25="",$S25="?",$F25=""),"",$S25*$F25*10)</f>
        <v/>
      </c>
      <c r="W25" s="17">
        <f>IF(OR($V25="",$U25=""),"",$V25*$U25)</f>
        <v/>
      </c>
      <c r="X25" s="10">
        <f>IF($K25="PENDENTE","Definir Kc",IF($P25="","-",IF($P25&gt;=TURNO,"IRRIGAR",IF($P25&gt;=TURNO*FRAC_ACOMP,"Acompanhar","Aguardar"))))</f>
        <v/>
      </c>
      <c r="Y25" s="10">
        <f>IF(OR($P25="",$P25=0),"-",IF($P25&gt;=2*TURNO,"Alta",IF($P25&gt;=TURNO,"Media","Baixa")))</f>
        <v/>
      </c>
      <c r="Z25" s="5" t="inlineStr">
        <is>
          <t>SOJA_TARDIA</t>
        </is>
      </c>
      <c r="AA25" s="7" t="inlineStr">
        <is>
          <t>P16</t>
        </is>
      </c>
    </row>
    <row r="26">
      <c r="A26" s="5" t="inlineStr">
        <is>
          <t>Pivô 17</t>
        </is>
      </c>
      <c r="B26" s="5" t="inlineStr">
        <is>
          <t>Modulo 1</t>
        </is>
      </c>
      <c r="C26" s="5" t="inlineStr">
        <is>
          <t>R2</t>
        </is>
      </c>
      <c r="D26" s="6" t="inlineStr">
        <is>
          <t>CZ 37B07 I2X</t>
        </is>
      </c>
      <c r="E26" s="7" t="inlineStr">
        <is>
          <t>PRECOCE</t>
        </is>
      </c>
      <c r="F26" s="8" t="n">
        <v>150</v>
      </c>
      <c r="G26" s="9" t="n">
        <v>46297</v>
      </c>
      <c r="H26" s="10">
        <f>IF(OR($G26="",$G26&gt;DATA_REF),"NAO","SIM")</f>
        <v/>
      </c>
      <c r="I26" s="11">
        <f>IF(OR($G26="",$G26&gt;DATA_REF),"",DATA_REF-$G26)</f>
        <v/>
      </c>
      <c r="J26" s="11">
        <f>IF($I26="","",MAX(0,$I26-5))</f>
        <v/>
      </c>
      <c r="K26" s="12">
        <f>IF($Z26="","PENDENTE",IF($I26="","",IFERROR(INDEX(CURVAS_KC!$B$5:$J$224,MATCH(MIN(MAX($J26,1),220),CURVAS_KC!$A$5:$A$224,0),MATCH($Z26,CURVAS_KC!$B$4:$J$4,0)),"PENDENTE")))</f>
        <v/>
      </c>
      <c r="L26" s="9">
        <f>IF($G26="","",$G26)</f>
        <v/>
      </c>
      <c r="M26" s="13">
        <f>IF($L26="","",SUMIFS(ETO_SEMANAL!$B$6:$B$65,ETO_SEMANAL!$A$6:$A$65,"&gt;"&amp;$L26,ETO_SEMANAL!$A$6:$A$65,"&lt;="&amp;DATA_REF))</f>
        <v/>
      </c>
      <c r="N26" s="13">
        <f>IF($L26="","",SUMIFS(ETO_SEMANAL!$C$6:$C$65,ETO_SEMANAL!$A$6:$A$65,"&gt;"&amp;$L26,ETO_SEMANAL!$A$6:$A$65,"&lt;="&amp;DATA_REF))</f>
        <v/>
      </c>
      <c r="O26" s="13">
        <f>IF(OR($K26="",$K26="PENDENTE",$M26=""),"",$K26*$M26)</f>
        <v/>
      </c>
      <c r="P26" s="13">
        <f>IF($O26="","",MAX(0,$O26-N($N26)))</f>
        <v/>
      </c>
      <c r="Q26" s="14">
        <f>IF($P26="","",$P26/EF_APLIC)</f>
        <v/>
      </c>
      <c r="R26" s="7" t="n"/>
      <c r="S26" s="15">
        <f>IF(OR($AA26="",$R26=""),"",IFERROR(INDEX(LAMINA_HORA!$C$5:$V$114,MATCH($AA26,LAMINA_HORA!$A$5:$A$114,0),MATCH($R26,LAMINA_HORA!$C$3:$V$3,0)),"?"))</f>
        <v/>
      </c>
      <c r="T26" s="15">
        <f>IF(OR($AA26="",$R26=""),"",IFERROR(INDEX(LAMINA_HORA!$W$5:$AP$114,MATCH($AA26,LAMINA_HORA!$A$5:$A$114,0),MATCH($R26,LAMINA_HORA!$W$3:$AP$3,0)),"?"))</f>
        <v/>
      </c>
      <c r="U26" s="16" t="n">
        <v>0.513</v>
      </c>
      <c r="V26" s="17">
        <f>IF(OR($S26="",$S26="?",$F26=""),"",$S26*$F26*10)</f>
        <v/>
      </c>
      <c r="W26" s="17">
        <f>IF(OR($V26="",$U26=""),"",$V26*$U26)</f>
        <v/>
      </c>
      <c r="X26" s="10">
        <f>IF($K26="PENDENTE","Definir Kc",IF($P26="","-",IF($P26&gt;=TURNO,"IRRIGAR",IF($P26&gt;=TURNO*FRAC_ACOMP,"Acompanhar","Aguardar"))))</f>
        <v/>
      </c>
      <c r="Y26" s="10">
        <f>IF(OR($P26="",$P26=0),"-",IF($P26&gt;=2*TURNO,"Alta",IF($P26&gt;=TURNO,"Media","Baixa")))</f>
        <v/>
      </c>
      <c r="Z26" s="5" t="inlineStr">
        <is>
          <t>SOJA_PRECOCE</t>
        </is>
      </c>
      <c r="AA26" s="7" t="inlineStr">
        <is>
          <t>P17</t>
        </is>
      </c>
    </row>
    <row r="27">
      <c r="A27" s="5" t="inlineStr">
        <is>
          <t>Pivô 19</t>
        </is>
      </c>
      <c r="B27" s="5" t="inlineStr">
        <is>
          <t>Modulo 1</t>
        </is>
      </c>
      <c r="C27" s="5" t="inlineStr">
        <is>
          <t>R3</t>
        </is>
      </c>
      <c r="D27" s="6" t="inlineStr">
        <is>
          <t>NEO 761 I2X</t>
        </is>
      </c>
      <c r="E27" s="7" t="inlineStr">
        <is>
          <t>PRECOCE</t>
        </is>
      </c>
      <c r="F27" s="8" t="n">
        <v>150</v>
      </c>
      <c r="G27" s="9" t="n">
        <v>46298</v>
      </c>
      <c r="H27" s="10">
        <f>IF(OR($G27="",$G27&gt;DATA_REF),"NAO","SIM")</f>
        <v/>
      </c>
      <c r="I27" s="11">
        <f>IF(OR($G27="",$G27&gt;DATA_REF),"",DATA_REF-$G27)</f>
        <v/>
      </c>
      <c r="J27" s="11">
        <f>IF($I27="","",MAX(0,$I27-5))</f>
        <v/>
      </c>
      <c r="K27" s="12">
        <f>IF($Z27="","PENDENTE",IF($I27="","",IFERROR(INDEX(CURVAS_KC!$B$5:$J$224,MATCH(MIN(MAX($J27,1),220),CURVAS_KC!$A$5:$A$224,0),MATCH($Z27,CURVAS_KC!$B$4:$J$4,0)),"PENDENTE")))</f>
        <v/>
      </c>
      <c r="L27" s="9">
        <f>IF($G27="","",$G27)</f>
        <v/>
      </c>
      <c r="M27" s="13">
        <f>IF($L27="","",SUMIFS(ETO_SEMANAL!$B$6:$B$65,ETO_SEMANAL!$A$6:$A$65,"&gt;"&amp;$L27,ETO_SEMANAL!$A$6:$A$65,"&lt;="&amp;DATA_REF))</f>
        <v/>
      </c>
      <c r="N27" s="13">
        <f>IF($L27="","",SUMIFS(ETO_SEMANAL!$C$6:$C$65,ETO_SEMANAL!$A$6:$A$65,"&gt;"&amp;$L27,ETO_SEMANAL!$A$6:$A$65,"&lt;="&amp;DATA_REF))</f>
        <v/>
      </c>
      <c r="O27" s="13">
        <f>IF(OR($K27="",$K27="PENDENTE",$M27=""),"",$K27*$M27)</f>
        <v/>
      </c>
      <c r="P27" s="13">
        <f>IF($O27="","",MAX(0,$O27-N($N27)))</f>
        <v/>
      </c>
      <c r="Q27" s="14">
        <f>IF($P27="","",$P27/EF_APLIC)</f>
        <v/>
      </c>
      <c r="R27" s="7" t="n"/>
      <c r="S27" s="15">
        <f>IF(OR($AA27="",$R27=""),"",IFERROR(INDEX(LAMINA_HORA!$C$5:$V$114,MATCH($AA27,LAMINA_HORA!$A$5:$A$114,0),MATCH($R27,LAMINA_HORA!$C$3:$V$3,0)),"?"))</f>
        <v/>
      </c>
      <c r="T27" s="15">
        <f>IF(OR($AA27="",$R27=""),"",IFERROR(INDEX(LAMINA_HORA!$W$5:$AP$114,MATCH($AA27,LAMINA_HORA!$A$5:$A$114,0),MATCH($R27,LAMINA_HORA!$W$3:$AP$3,0)),"?"))</f>
        <v/>
      </c>
      <c r="U27" s="16" t="n">
        <v>0.513</v>
      </c>
      <c r="V27" s="17">
        <f>IF(OR($S27="",$S27="?",$F27=""),"",$S27*$F27*10)</f>
        <v/>
      </c>
      <c r="W27" s="17">
        <f>IF(OR($V27="",$U27=""),"",$V27*$U27)</f>
        <v/>
      </c>
      <c r="X27" s="10">
        <f>IF($K27="PENDENTE","Definir Kc",IF($P27="","-",IF($P27&gt;=TURNO,"IRRIGAR",IF($P27&gt;=TURNO*FRAC_ACOMP,"Acompanhar","Aguardar"))))</f>
        <v/>
      </c>
      <c r="Y27" s="10">
        <f>IF(OR($P27="",$P27=0),"-",IF($P27&gt;=2*TURNO,"Alta",IF($P27&gt;=TURNO,"Media","Baixa")))</f>
        <v/>
      </c>
      <c r="Z27" s="5" t="inlineStr">
        <is>
          <t>SOJA_PRECOCE</t>
        </is>
      </c>
      <c r="AA27" s="7" t="inlineStr">
        <is>
          <t>P19</t>
        </is>
      </c>
    </row>
    <row r="28">
      <c r="A28" s="5" t="inlineStr">
        <is>
          <t>Pivô 20</t>
        </is>
      </c>
      <c r="B28" s="5" t="inlineStr">
        <is>
          <t>Modulo 1</t>
        </is>
      </c>
      <c r="C28" s="5" t="inlineStr">
        <is>
          <t>R3</t>
        </is>
      </c>
      <c r="D28" s="6" t="inlineStr">
        <is>
          <t>NEO 761 I2X</t>
        </is>
      </c>
      <c r="E28" s="7" t="inlineStr">
        <is>
          <t>PRECOCE</t>
        </is>
      </c>
      <c r="F28" s="8" t="n">
        <v>150</v>
      </c>
      <c r="G28" s="9" t="n">
        <v>46299</v>
      </c>
      <c r="H28" s="10">
        <f>IF(OR($G28="",$G28&gt;DATA_REF),"NAO","SIM")</f>
        <v/>
      </c>
      <c r="I28" s="11">
        <f>IF(OR($G28="",$G28&gt;DATA_REF),"",DATA_REF-$G28)</f>
        <v/>
      </c>
      <c r="J28" s="11">
        <f>IF($I28="","",MAX(0,$I28-5))</f>
        <v/>
      </c>
      <c r="K28" s="12">
        <f>IF($Z28="","PENDENTE",IF($I28="","",IFERROR(INDEX(CURVAS_KC!$B$5:$J$224,MATCH(MIN(MAX($J28,1),220),CURVAS_KC!$A$5:$A$224,0),MATCH($Z28,CURVAS_KC!$B$4:$J$4,0)),"PENDENTE")))</f>
        <v/>
      </c>
      <c r="L28" s="9">
        <f>IF($G28="","",$G28)</f>
        <v/>
      </c>
      <c r="M28" s="13">
        <f>IF($L28="","",SUMIFS(ETO_SEMANAL!$B$6:$B$65,ETO_SEMANAL!$A$6:$A$65,"&gt;"&amp;$L28,ETO_SEMANAL!$A$6:$A$65,"&lt;="&amp;DATA_REF))</f>
        <v/>
      </c>
      <c r="N28" s="13">
        <f>IF($L28="","",SUMIFS(ETO_SEMANAL!$C$6:$C$65,ETO_SEMANAL!$A$6:$A$65,"&gt;"&amp;$L28,ETO_SEMANAL!$A$6:$A$65,"&lt;="&amp;DATA_REF))</f>
        <v/>
      </c>
      <c r="O28" s="13">
        <f>IF(OR($K28="",$K28="PENDENTE",$M28=""),"",$K28*$M28)</f>
        <v/>
      </c>
      <c r="P28" s="13">
        <f>IF($O28="","",MAX(0,$O28-N($N28)))</f>
        <v/>
      </c>
      <c r="Q28" s="14">
        <f>IF($P28="","",$P28/EF_APLIC)</f>
        <v/>
      </c>
      <c r="R28" s="7" t="n"/>
      <c r="S28" s="15">
        <f>IF(OR($AA28="",$R28=""),"",IFERROR(INDEX(LAMINA_HORA!$C$5:$V$114,MATCH($AA28,LAMINA_HORA!$A$5:$A$114,0),MATCH($R28,LAMINA_HORA!$C$3:$V$3,0)),"?"))</f>
        <v/>
      </c>
      <c r="T28" s="15">
        <f>IF(OR($AA28="",$R28=""),"",IFERROR(INDEX(LAMINA_HORA!$W$5:$AP$114,MATCH($AA28,LAMINA_HORA!$A$5:$A$114,0),MATCH($R28,LAMINA_HORA!$W$3:$AP$3,0)),"?"))</f>
        <v/>
      </c>
      <c r="U28" s="16" t="n">
        <v>0.409</v>
      </c>
      <c r="V28" s="17">
        <f>IF(OR($S28="",$S28="?",$F28=""),"",$S28*$F28*10)</f>
        <v/>
      </c>
      <c r="W28" s="17">
        <f>IF(OR($V28="",$U28=""),"",$V28*$U28)</f>
        <v/>
      </c>
      <c r="X28" s="10">
        <f>IF($K28="PENDENTE","Definir Kc",IF($P28="","-",IF($P28&gt;=TURNO,"IRRIGAR",IF($P28&gt;=TURNO*FRAC_ACOMP,"Acompanhar","Aguardar"))))</f>
        <v/>
      </c>
      <c r="Y28" s="10">
        <f>IF(OR($P28="",$P28=0),"-",IF($P28&gt;=2*TURNO,"Alta",IF($P28&gt;=TURNO,"Media","Baixa")))</f>
        <v/>
      </c>
      <c r="Z28" s="5" t="inlineStr">
        <is>
          <t>SOJA_PRECOCE</t>
        </is>
      </c>
      <c r="AA28" s="7" t="inlineStr">
        <is>
          <t>P20</t>
        </is>
      </c>
    </row>
    <row r="29">
      <c r="A29" s="5" t="inlineStr">
        <is>
          <t>Pivô 21</t>
        </is>
      </c>
      <c r="B29" s="5" t="inlineStr">
        <is>
          <t>Modulo 1</t>
        </is>
      </c>
      <c r="C29" s="5" t="inlineStr">
        <is>
          <t>R4</t>
        </is>
      </c>
      <c r="D29" s="6" t="inlineStr">
        <is>
          <t>NEO 761 I2X</t>
        </is>
      </c>
      <c r="E29" s="7" t="inlineStr">
        <is>
          <t>PRECOCE</t>
        </is>
      </c>
      <c r="F29" s="8" t="n">
        <v>150</v>
      </c>
      <c r="G29" s="9" t="n">
        <v>46298</v>
      </c>
      <c r="H29" s="10">
        <f>IF(OR($G29="",$G29&gt;DATA_REF),"NAO","SIM")</f>
        <v/>
      </c>
      <c r="I29" s="11">
        <f>IF(OR($G29="",$G29&gt;DATA_REF),"",DATA_REF-$G29)</f>
        <v/>
      </c>
      <c r="J29" s="11">
        <f>IF($I29="","",MAX(0,$I29-5))</f>
        <v/>
      </c>
      <c r="K29" s="12">
        <f>IF($Z29="","PENDENTE",IF($I29="","",IFERROR(INDEX(CURVAS_KC!$B$5:$J$224,MATCH(MIN(MAX($J29,1),220),CURVAS_KC!$A$5:$A$224,0),MATCH($Z29,CURVAS_KC!$B$4:$J$4,0)),"PENDENTE")))</f>
        <v/>
      </c>
      <c r="L29" s="9">
        <f>IF($G29="","",$G29)</f>
        <v/>
      </c>
      <c r="M29" s="13">
        <f>IF($L29="","",SUMIFS(ETO_SEMANAL!$B$6:$B$65,ETO_SEMANAL!$A$6:$A$65,"&gt;"&amp;$L29,ETO_SEMANAL!$A$6:$A$65,"&lt;="&amp;DATA_REF))</f>
        <v/>
      </c>
      <c r="N29" s="13">
        <f>IF($L29="","",SUMIFS(ETO_SEMANAL!$C$6:$C$65,ETO_SEMANAL!$A$6:$A$65,"&gt;"&amp;$L29,ETO_SEMANAL!$A$6:$A$65,"&lt;="&amp;DATA_REF))</f>
        <v/>
      </c>
      <c r="O29" s="13">
        <f>IF(OR($K29="",$K29="PENDENTE",$M29=""),"",$K29*$M29)</f>
        <v/>
      </c>
      <c r="P29" s="13">
        <f>IF($O29="","",MAX(0,$O29-N($N29)))</f>
        <v/>
      </c>
      <c r="Q29" s="14">
        <f>IF($P29="","",$P29/EF_APLIC)</f>
        <v/>
      </c>
      <c r="R29" s="7" t="n"/>
      <c r="S29" s="15">
        <f>IF(OR($AA29="",$R29=""),"",IFERROR(INDEX(LAMINA_HORA!$C$5:$V$114,MATCH($AA29,LAMINA_HORA!$A$5:$A$114,0),MATCH($R29,LAMINA_HORA!$C$3:$V$3,0)),"?"))</f>
        <v/>
      </c>
      <c r="T29" s="15">
        <f>IF(OR($AA29="",$R29=""),"",IFERROR(INDEX(LAMINA_HORA!$W$5:$AP$114,MATCH($AA29,LAMINA_HORA!$A$5:$A$114,0),MATCH($R29,LAMINA_HORA!$W$3:$AP$3,0)),"?"))</f>
        <v/>
      </c>
      <c r="U29" s="16" t="n">
        <v>0.513</v>
      </c>
      <c r="V29" s="17">
        <f>IF(OR($S29="",$S29="?",$F29=""),"",$S29*$F29*10)</f>
        <v/>
      </c>
      <c r="W29" s="17">
        <f>IF(OR($V29="",$U29=""),"",$V29*$U29)</f>
        <v/>
      </c>
      <c r="X29" s="10">
        <f>IF($K29="PENDENTE","Definir Kc",IF($P29="","-",IF($P29&gt;=TURNO,"IRRIGAR",IF($P29&gt;=TURNO*FRAC_ACOMP,"Acompanhar","Aguardar"))))</f>
        <v/>
      </c>
      <c r="Y29" s="10">
        <f>IF(OR($P29="",$P29=0),"-",IF($P29&gt;=2*TURNO,"Alta",IF($P29&gt;=TURNO,"Media","Baixa")))</f>
        <v/>
      </c>
      <c r="Z29" s="5" t="inlineStr">
        <is>
          <t>SOJA_PRECOCE</t>
        </is>
      </c>
      <c r="AA29" s="7" t="inlineStr">
        <is>
          <t>P21</t>
        </is>
      </c>
    </row>
    <row r="30" hidden="1">
      <c r="A30" s="5" t="inlineStr">
        <is>
          <t>Pivô 21</t>
        </is>
      </c>
      <c r="B30" s="5" t="inlineStr">
        <is>
          <t>Modulo 1</t>
        </is>
      </c>
      <c r="C30" s="5" t="inlineStr">
        <is>
          <t>R4</t>
        </is>
      </c>
      <c r="D30" s="6" t="inlineStr">
        <is>
          <t>BMX DOMINIO IPRO</t>
        </is>
      </c>
      <c r="E30" s="7" t="inlineStr">
        <is>
          <t>MEDIA</t>
        </is>
      </c>
      <c r="F30" s="8" t="n">
        <v>213</v>
      </c>
      <c r="G30" s="9" t="n">
        <v>46329</v>
      </c>
      <c r="H30" s="10">
        <f>IF(OR($G30="",$G30&gt;DATA_REF),"NAO","SIM")</f>
        <v/>
      </c>
      <c r="I30" s="11">
        <f>IF(OR($G30="",$G30&gt;DATA_REF),"",DATA_REF-$G30)</f>
        <v/>
      </c>
      <c r="J30" s="11">
        <f>IF($I30="","",MAX(0,$I30-5))</f>
        <v/>
      </c>
      <c r="K30" s="12">
        <f>IF($Z30="","PENDENTE",IF($I30="","",IFERROR(INDEX(CURVAS_KC!$B$5:$J$224,MATCH(MIN(MAX($J30,1),220),CURVAS_KC!$A$5:$A$224,0),MATCH($Z30,CURVAS_KC!$B$4:$J$4,0)),"PENDENTE")))</f>
        <v/>
      </c>
      <c r="L30" s="9">
        <f>IF($G30="","",$G30)</f>
        <v/>
      </c>
      <c r="M30" s="13">
        <f>IF($L30="","",SUMIFS(ETO_SEMANAL!$B$6:$B$65,ETO_SEMANAL!$A$6:$A$65,"&gt;"&amp;$L30,ETO_SEMANAL!$A$6:$A$65,"&lt;="&amp;DATA_REF))</f>
        <v/>
      </c>
      <c r="N30" s="13">
        <f>IF($L30="","",SUMIFS(ETO_SEMANAL!$C$6:$C$65,ETO_SEMANAL!$A$6:$A$65,"&gt;"&amp;$L30,ETO_SEMANAL!$A$6:$A$65,"&lt;="&amp;DATA_REF))</f>
        <v/>
      </c>
      <c r="O30" s="13">
        <f>IF(OR($K30="",$K30="PENDENTE",$M30=""),"",$K30*$M30)</f>
        <v/>
      </c>
      <c r="P30" s="13">
        <f>IF($O30="","",MAX(0,$O30-N($N30)))</f>
        <v/>
      </c>
      <c r="Q30" s="14">
        <f>IF($P30="","",$P30/EF_APLIC)</f>
        <v/>
      </c>
      <c r="R30" s="7" t="n"/>
      <c r="S30" s="15">
        <f>IF(OR($AA30="",$R30=""),"",IFERROR(INDEX(LAMINA_HORA!$C$5:$V$114,MATCH($AA30,LAMINA_HORA!$A$5:$A$114,0),MATCH($R30,LAMINA_HORA!$C$3:$V$3,0)),"?"))</f>
        <v/>
      </c>
      <c r="T30" s="15">
        <f>IF(OR($AA30="",$R30=""),"",IFERROR(INDEX(LAMINA_HORA!$W$5:$AP$114,MATCH($AA30,LAMINA_HORA!$A$5:$A$114,0),MATCH($R30,LAMINA_HORA!$W$3:$AP$3,0)),"?"))</f>
        <v/>
      </c>
      <c r="U30" s="16" t="n">
        <v>0.513</v>
      </c>
      <c r="V30" s="17">
        <f>IF(OR($S30="",$S30="?",$F30=""),"",$S30*$F30*10)</f>
        <v/>
      </c>
      <c r="W30" s="17">
        <f>IF(OR($V30="",$U30=""),"",$V30*$U30)</f>
        <v/>
      </c>
      <c r="X30" s="10">
        <f>IF($K30="PENDENTE","Definir Kc",IF($P30="","-",IF($P30&gt;=TURNO,"IRRIGAR",IF($P30&gt;=TURNO*FRAC_ACOMP,"Acompanhar","Aguardar"))))</f>
        <v/>
      </c>
      <c r="Y30" s="10">
        <f>IF(OR($P30="",$P30=0),"-",IF($P30&gt;=2*TURNO,"Alta",IF($P30&gt;=TURNO,"Media","Baixa")))</f>
        <v/>
      </c>
      <c r="Z30" s="5" t="inlineStr">
        <is>
          <t>SOJA_MEDIA</t>
        </is>
      </c>
      <c r="AA30" s="7" t="inlineStr">
        <is>
          <t>P21</t>
        </is>
      </c>
    </row>
    <row r="31">
      <c r="A31" s="5" t="inlineStr">
        <is>
          <t>Pivô 22</t>
        </is>
      </c>
      <c r="B31" s="5" t="inlineStr">
        <is>
          <t>Modulo 1</t>
        </is>
      </c>
      <c r="C31" s="5" t="inlineStr">
        <is>
          <t>R4</t>
        </is>
      </c>
      <c r="D31" s="6" t="inlineStr">
        <is>
          <t>NEO 761 I2X</t>
        </is>
      </c>
      <c r="E31" s="7" t="inlineStr">
        <is>
          <t>PRECOCE</t>
        </is>
      </c>
      <c r="F31" s="8" t="n">
        <v>150</v>
      </c>
      <c r="G31" s="9" t="n">
        <v>46299</v>
      </c>
      <c r="H31" s="10">
        <f>IF(OR($G31="",$G31&gt;DATA_REF),"NAO","SIM")</f>
        <v/>
      </c>
      <c r="I31" s="11">
        <f>IF(OR($G31="",$G31&gt;DATA_REF),"",DATA_REF-$G31)</f>
        <v/>
      </c>
      <c r="J31" s="11">
        <f>IF($I31="","",MAX(0,$I31-5))</f>
        <v/>
      </c>
      <c r="K31" s="12">
        <f>IF($Z31="","PENDENTE",IF($I31="","",IFERROR(INDEX(CURVAS_KC!$B$5:$J$224,MATCH(MIN(MAX($J31,1),220),CURVAS_KC!$A$5:$A$224,0),MATCH($Z31,CURVAS_KC!$B$4:$J$4,0)),"PENDENTE")))</f>
        <v/>
      </c>
      <c r="L31" s="9">
        <f>IF($G31="","",$G31)</f>
        <v/>
      </c>
      <c r="M31" s="13">
        <f>IF($L31="","",SUMIFS(ETO_SEMANAL!$B$6:$B$65,ETO_SEMANAL!$A$6:$A$65,"&gt;"&amp;$L31,ETO_SEMANAL!$A$6:$A$65,"&lt;="&amp;DATA_REF))</f>
        <v/>
      </c>
      <c r="N31" s="13">
        <f>IF($L31="","",SUMIFS(ETO_SEMANAL!$C$6:$C$65,ETO_SEMANAL!$A$6:$A$65,"&gt;"&amp;$L31,ETO_SEMANAL!$A$6:$A$65,"&lt;="&amp;DATA_REF))</f>
        <v/>
      </c>
      <c r="O31" s="13">
        <f>IF(OR($K31="",$K31="PENDENTE",$M31=""),"",$K31*$M31)</f>
        <v/>
      </c>
      <c r="P31" s="13">
        <f>IF($O31="","",MAX(0,$O31-N($N31)))</f>
        <v/>
      </c>
      <c r="Q31" s="14">
        <f>IF($P31="","",$P31/EF_APLIC)</f>
        <v/>
      </c>
      <c r="R31" s="7" t="n"/>
      <c r="S31" s="15">
        <f>IF(OR($AA31="",$R31=""),"",IFERROR(INDEX(LAMINA_HORA!$C$5:$V$114,MATCH($AA31,LAMINA_HORA!$A$5:$A$114,0),MATCH($R31,LAMINA_HORA!$C$3:$V$3,0)),"?"))</f>
        <v/>
      </c>
      <c r="T31" s="15">
        <f>IF(OR($AA31="",$R31=""),"",IFERROR(INDEX(LAMINA_HORA!$W$5:$AP$114,MATCH($AA31,LAMINA_HORA!$A$5:$A$114,0),MATCH($R31,LAMINA_HORA!$W$3:$AP$3,0)),"?"))</f>
        <v/>
      </c>
      <c r="U31" s="16" t="n">
        <v>0.513</v>
      </c>
      <c r="V31" s="17">
        <f>IF(OR($S31="",$S31="?",$F31=""),"",$S31*$F31*10)</f>
        <v/>
      </c>
      <c r="W31" s="17">
        <f>IF(OR($V31="",$U31=""),"",$V31*$U31)</f>
        <v/>
      </c>
      <c r="X31" s="10">
        <f>IF($K31="PENDENTE","Definir Kc",IF($P31="","-",IF($P31&gt;=TURNO,"IRRIGAR",IF($P31&gt;=TURNO*FRAC_ACOMP,"Acompanhar","Aguardar"))))</f>
        <v/>
      </c>
      <c r="Y31" s="10">
        <f>IF(OR($P31="",$P31=0),"-",IF($P31&gt;=2*TURNO,"Alta",IF($P31&gt;=TURNO,"Media","Baixa")))</f>
        <v/>
      </c>
      <c r="Z31" s="5" t="inlineStr">
        <is>
          <t>SOJA_PRECOCE</t>
        </is>
      </c>
      <c r="AA31" s="7" t="inlineStr">
        <is>
          <t>P22</t>
        </is>
      </c>
    </row>
    <row r="32" hidden="1">
      <c r="A32" s="5" t="inlineStr">
        <is>
          <t>Pivô 22</t>
        </is>
      </c>
      <c r="B32" s="5" t="inlineStr">
        <is>
          <t>Modulo 1</t>
        </is>
      </c>
      <c r="C32" s="5" t="inlineStr">
        <is>
          <t>R4</t>
        </is>
      </c>
      <c r="D32" s="6" t="inlineStr">
        <is>
          <t>BMX DOMINIO IPRO</t>
        </is>
      </c>
      <c r="E32" s="7" t="inlineStr">
        <is>
          <t>MEDIA</t>
        </is>
      </c>
      <c r="F32" s="8" t="n">
        <v>110</v>
      </c>
      <c r="G32" s="9" t="n">
        <v>46329</v>
      </c>
      <c r="H32" s="10">
        <f>IF(OR($G32="",$G32&gt;DATA_REF),"NAO","SIM")</f>
        <v/>
      </c>
      <c r="I32" s="11">
        <f>IF(OR($G32="",$G32&gt;DATA_REF),"",DATA_REF-$G32)</f>
        <v/>
      </c>
      <c r="J32" s="11">
        <f>IF($I32="","",MAX(0,$I32-5))</f>
        <v/>
      </c>
      <c r="K32" s="12">
        <f>IF($Z32="","PENDENTE",IF($I32="","",IFERROR(INDEX(CURVAS_KC!$B$5:$J$224,MATCH(MIN(MAX($J32,1),220),CURVAS_KC!$A$5:$A$224,0),MATCH($Z32,CURVAS_KC!$B$4:$J$4,0)),"PENDENTE")))</f>
        <v/>
      </c>
      <c r="L32" s="9">
        <f>IF($G32="","",$G32)</f>
        <v/>
      </c>
      <c r="M32" s="13">
        <f>IF($L32="","",SUMIFS(ETO_SEMANAL!$B$6:$B$65,ETO_SEMANAL!$A$6:$A$65,"&gt;"&amp;$L32,ETO_SEMANAL!$A$6:$A$65,"&lt;="&amp;DATA_REF))</f>
        <v/>
      </c>
      <c r="N32" s="13">
        <f>IF($L32="","",SUMIFS(ETO_SEMANAL!$C$6:$C$65,ETO_SEMANAL!$A$6:$A$65,"&gt;"&amp;$L32,ETO_SEMANAL!$A$6:$A$65,"&lt;="&amp;DATA_REF))</f>
        <v/>
      </c>
      <c r="O32" s="13">
        <f>IF(OR($K32="",$K32="PENDENTE",$M32=""),"",$K32*$M32)</f>
        <v/>
      </c>
      <c r="P32" s="13">
        <f>IF($O32="","",MAX(0,$O32-N($N32)))</f>
        <v/>
      </c>
      <c r="Q32" s="14">
        <f>IF($P32="","",$P32/EF_APLIC)</f>
        <v/>
      </c>
      <c r="R32" s="7" t="n"/>
      <c r="S32" s="15">
        <f>IF(OR($AA32="",$R32=""),"",IFERROR(INDEX(LAMINA_HORA!$C$5:$V$114,MATCH($AA32,LAMINA_HORA!$A$5:$A$114,0),MATCH($R32,LAMINA_HORA!$C$3:$V$3,0)),"?"))</f>
        <v/>
      </c>
      <c r="T32" s="15">
        <f>IF(OR($AA32="",$R32=""),"",IFERROR(INDEX(LAMINA_HORA!$W$5:$AP$114,MATCH($AA32,LAMINA_HORA!$A$5:$A$114,0),MATCH($R32,LAMINA_HORA!$W$3:$AP$3,0)),"?"))</f>
        <v/>
      </c>
      <c r="U32" s="16" t="n">
        <v>0.513</v>
      </c>
      <c r="V32" s="17">
        <f>IF(OR($S32="",$S32="?",$F32=""),"",$S32*$F32*10)</f>
        <v/>
      </c>
      <c r="W32" s="17">
        <f>IF(OR($V32="",$U32=""),"",$V32*$U32)</f>
        <v/>
      </c>
      <c r="X32" s="10">
        <f>IF($K32="PENDENTE","Definir Kc",IF($P32="","-",IF($P32&gt;=TURNO,"IRRIGAR",IF($P32&gt;=TURNO*FRAC_ACOMP,"Acompanhar","Aguardar"))))</f>
        <v/>
      </c>
      <c r="Y32" s="10">
        <f>IF(OR($P32="",$P32=0),"-",IF($P32&gt;=2*TURNO,"Alta",IF($P32&gt;=TURNO,"Media","Baixa")))</f>
        <v/>
      </c>
      <c r="Z32" s="5" t="inlineStr">
        <is>
          <t>SOJA_MEDIA</t>
        </is>
      </c>
      <c r="AA32" s="7" t="inlineStr">
        <is>
          <t>P22</t>
        </is>
      </c>
    </row>
    <row r="33" hidden="1">
      <c r="A33" s="5" t="inlineStr">
        <is>
          <t>Pivô 23</t>
        </is>
      </c>
      <c r="B33" s="5" t="inlineStr">
        <is>
          <t>Modulo 1</t>
        </is>
      </c>
      <c r="C33" s="5" t="inlineStr">
        <is>
          <t>R6</t>
        </is>
      </c>
      <c r="D33" s="6" t="inlineStr">
        <is>
          <t>BMX DOMINIO IPRO</t>
        </is>
      </c>
      <c r="E33" s="7" t="inlineStr">
        <is>
          <t>MEDIA</t>
        </is>
      </c>
      <c r="F33" s="8" t="n">
        <v>40</v>
      </c>
      <c r="G33" s="9" t="n">
        <v>46329</v>
      </c>
      <c r="H33" s="10">
        <f>IF(OR($G33="",$G33&gt;DATA_REF),"NAO","SIM")</f>
        <v/>
      </c>
      <c r="I33" s="11">
        <f>IF(OR($G33="",$G33&gt;DATA_REF),"",DATA_REF-$G33)</f>
        <v/>
      </c>
      <c r="J33" s="11">
        <f>IF($I33="","",MAX(0,$I33-5))</f>
        <v/>
      </c>
      <c r="K33" s="12">
        <f>IF($Z33="","PENDENTE",IF($I33="","",IFERROR(INDEX(CURVAS_KC!$B$5:$J$224,MATCH(MIN(MAX($J33,1),220),CURVAS_KC!$A$5:$A$224,0),MATCH($Z33,CURVAS_KC!$B$4:$J$4,0)),"PENDENTE")))</f>
        <v/>
      </c>
      <c r="L33" s="9">
        <f>IF($G33="","",$G33)</f>
        <v/>
      </c>
      <c r="M33" s="13">
        <f>IF($L33="","",SUMIFS(ETO_SEMANAL!$B$6:$B$65,ETO_SEMANAL!$A$6:$A$65,"&gt;"&amp;$L33,ETO_SEMANAL!$A$6:$A$65,"&lt;="&amp;DATA_REF))</f>
        <v/>
      </c>
      <c r="N33" s="13">
        <f>IF($L33="","",SUMIFS(ETO_SEMANAL!$C$6:$C$65,ETO_SEMANAL!$A$6:$A$65,"&gt;"&amp;$L33,ETO_SEMANAL!$A$6:$A$65,"&lt;="&amp;DATA_REF))</f>
        <v/>
      </c>
      <c r="O33" s="13">
        <f>IF(OR($K33="",$K33="PENDENTE",$M33=""),"",$K33*$M33)</f>
        <v/>
      </c>
      <c r="P33" s="13">
        <f>IF($O33="","",MAX(0,$O33-N($N33)))</f>
        <v/>
      </c>
      <c r="Q33" s="14">
        <f>IF($P33="","",$P33/EF_APLIC)</f>
        <v/>
      </c>
      <c r="R33" s="7" t="n"/>
      <c r="S33" s="15">
        <f>IF(OR($AA33="",$R33=""),"",IFERROR(INDEX(LAMINA_HORA!$C$5:$V$114,MATCH($AA33,LAMINA_HORA!$A$5:$A$114,0),MATCH($R33,LAMINA_HORA!$C$3:$V$3,0)),"?"))</f>
        <v/>
      </c>
      <c r="T33" s="15">
        <f>IF(OR($AA33="",$R33=""),"",IFERROR(INDEX(LAMINA_HORA!$W$5:$AP$114,MATCH($AA33,LAMINA_HORA!$A$5:$A$114,0),MATCH($R33,LAMINA_HORA!$W$3:$AP$3,0)),"?"))</f>
        <v/>
      </c>
      <c r="U33" s="16" t="n">
        <v>0.552</v>
      </c>
      <c r="V33" s="17">
        <f>IF(OR($S33="",$S33="?",$F33=""),"",$S33*$F33*10)</f>
        <v/>
      </c>
      <c r="W33" s="17">
        <f>IF(OR($V33="",$U33=""),"",$V33*$U33)</f>
        <v/>
      </c>
      <c r="X33" s="10">
        <f>IF($K33="PENDENTE","Definir Kc",IF($P33="","-",IF($P33&gt;=TURNO,"IRRIGAR",IF($P33&gt;=TURNO*FRAC_ACOMP,"Acompanhar","Aguardar"))))</f>
        <v/>
      </c>
      <c r="Y33" s="10">
        <f>IF(OR($P33="",$P33=0),"-",IF($P33&gt;=2*TURNO,"Alta",IF($P33&gt;=TURNO,"Media","Baixa")))</f>
        <v/>
      </c>
      <c r="Z33" s="5" t="inlineStr">
        <is>
          <t>SOJA_MEDIA</t>
        </is>
      </c>
      <c r="AA33" s="7" t="inlineStr">
        <is>
          <t>P23</t>
        </is>
      </c>
    </row>
    <row r="34">
      <c r="A34" s="5" t="inlineStr">
        <is>
          <t>Pivô 24</t>
        </is>
      </c>
      <c r="B34" s="5" t="inlineStr">
        <is>
          <t>Modulo 1</t>
        </is>
      </c>
      <c r="C34" s="5" t="inlineStr">
        <is>
          <t>R6</t>
        </is>
      </c>
      <c r="D34" s="6" t="inlineStr">
        <is>
          <t>BMX Olimpo IPRO</t>
        </is>
      </c>
      <c r="E34" s="7" t="inlineStr">
        <is>
          <t>MEDIA</t>
        </is>
      </c>
      <c r="F34" s="8" t="n">
        <v>150</v>
      </c>
      <c r="G34" s="9" t="n">
        <v>46300</v>
      </c>
      <c r="H34" s="10">
        <f>IF(OR($G34="",$G34&gt;DATA_REF),"NAO","SIM")</f>
        <v/>
      </c>
      <c r="I34" s="11">
        <f>IF(OR($G34="",$G34&gt;DATA_REF),"",DATA_REF-$G34)</f>
        <v/>
      </c>
      <c r="J34" s="11">
        <f>IF($I34="","",MAX(0,$I34-5))</f>
        <v/>
      </c>
      <c r="K34" s="12">
        <f>IF($Z34="","PENDENTE",IF($I34="","",IFERROR(INDEX(CURVAS_KC!$B$5:$J$224,MATCH(MIN(MAX($J34,1),220),CURVAS_KC!$A$5:$A$224,0),MATCH($Z34,CURVAS_KC!$B$4:$J$4,0)),"PENDENTE")))</f>
        <v/>
      </c>
      <c r="L34" s="9">
        <f>IF($G34="","",$G34)</f>
        <v/>
      </c>
      <c r="M34" s="13">
        <f>IF($L34="","",SUMIFS(ETO_SEMANAL!$B$6:$B$65,ETO_SEMANAL!$A$6:$A$65,"&gt;"&amp;$L34,ETO_SEMANAL!$A$6:$A$65,"&lt;="&amp;DATA_REF))</f>
        <v/>
      </c>
      <c r="N34" s="13">
        <f>IF($L34="","",SUMIFS(ETO_SEMANAL!$C$6:$C$65,ETO_SEMANAL!$A$6:$A$65,"&gt;"&amp;$L34,ETO_SEMANAL!$A$6:$A$65,"&lt;="&amp;DATA_REF))</f>
        <v/>
      </c>
      <c r="O34" s="13">
        <f>IF(OR($K34="",$K34="PENDENTE",$M34=""),"",$K34*$M34)</f>
        <v/>
      </c>
      <c r="P34" s="13">
        <f>IF($O34="","",MAX(0,$O34-N($N34)))</f>
        <v/>
      </c>
      <c r="Q34" s="14">
        <f>IF($P34="","",$P34/EF_APLIC)</f>
        <v/>
      </c>
      <c r="R34" s="7" t="n"/>
      <c r="S34" s="15">
        <f>IF(OR($AA34="",$R34=""),"",IFERROR(INDEX(LAMINA_HORA!$C$5:$V$114,MATCH($AA34,LAMINA_HORA!$A$5:$A$114,0),MATCH($R34,LAMINA_HORA!$C$3:$V$3,0)),"?"))</f>
        <v/>
      </c>
      <c r="T34" s="15">
        <f>IF(OR($AA34="",$R34=""),"",IFERROR(INDEX(LAMINA_HORA!$W$5:$AP$114,MATCH($AA34,LAMINA_HORA!$A$5:$A$114,0),MATCH($R34,LAMINA_HORA!$W$3:$AP$3,0)),"?"))</f>
        <v/>
      </c>
      <c r="U34" s="16" t="n">
        <v>0.5659999999999999</v>
      </c>
      <c r="V34" s="17">
        <f>IF(OR($S34="",$S34="?",$F34=""),"",$S34*$F34*10)</f>
        <v/>
      </c>
      <c r="W34" s="17">
        <f>IF(OR($V34="",$U34=""),"",$V34*$U34)</f>
        <v/>
      </c>
      <c r="X34" s="10">
        <f>IF($K34="PENDENTE","Definir Kc",IF($P34="","-",IF($P34&gt;=TURNO,"IRRIGAR",IF($P34&gt;=TURNO*FRAC_ACOMP,"Acompanhar","Aguardar"))))</f>
        <v/>
      </c>
      <c r="Y34" s="10">
        <f>IF(OR($P34="",$P34=0),"-",IF($P34&gt;=2*TURNO,"Alta",IF($P34&gt;=TURNO,"Media","Baixa")))</f>
        <v/>
      </c>
      <c r="Z34" s="5" t="inlineStr">
        <is>
          <t>SOJA_MEDIA</t>
        </is>
      </c>
      <c r="AA34" s="7" t="inlineStr">
        <is>
          <t>P24</t>
        </is>
      </c>
    </row>
    <row r="35" hidden="1">
      <c r="A35" s="5" t="inlineStr">
        <is>
          <t>Pivô 24</t>
        </is>
      </c>
      <c r="B35" s="5" t="inlineStr">
        <is>
          <t>Modulo 1</t>
        </is>
      </c>
      <c r="C35" s="5" t="inlineStr">
        <is>
          <t>R6</t>
        </is>
      </c>
      <c r="D35" s="6" t="inlineStr">
        <is>
          <t>BMX DOMINIO IPRO</t>
        </is>
      </c>
      <c r="E35" s="7" t="inlineStr">
        <is>
          <t>MEDIA</t>
        </is>
      </c>
      <c r="F35" s="8" t="n">
        <v>59</v>
      </c>
      <c r="G35" s="9" t="n">
        <v>46330</v>
      </c>
      <c r="H35" s="10">
        <f>IF(OR($G35="",$G35&gt;DATA_REF),"NAO","SIM")</f>
        <v/>
      </c>
      <c r="I35" s="11">
        <f>IF(OR($G35="",$G35&gt;DATA_REF),"",DATA_REF-$G35)</f>
        <v/>
      </c>
      <c r="J35" s="11">
        <f>IF($I35="","",MAX(0,$I35-5))</f>
        <v/>
      </c>
      <c r="K35" s="12">
        <f>IF($Z35="","PENDENTE",IF($I35="","",IFERROR(INDEX(CURVAS_KC!$B$5:$J$224,MATCH(MIN(MAX($J35,1),220),CURVAS_KC!$A$5:$A$224,0),MATCH($Z35,CURVAS_KC!$B$4:$J$4,0)),"PENDENTE")))</f>
        <v/>
      </c>
      <c r="L35" s="9">
        <f>IF($G35="","",$G35)</f>
        <v/>
      </c>
      <c r="M35" s="13">
        <f>IF($L35="","",SUMIFS(ETO_SEMANAL!$B$6:$B$65,ETO_SEMANAL!$A$6:$A$65,"&gt;"&amp;$L35,ETO_SEMANAL!$A$6:$A$65,"&lt;="&amp;DATA_REF))</f>
        <v/>
      </c>
      <c r="N35" s="13">
        <f>IF($L35="","",SUMIFS(ETO_SEMANAL!$C$6:$C$65,ETO_SEMANAL!$A$6:$A$65,"&gt;"&amp;$L35,ETO_SEMANAL!$A$6:$A$65,"&lt;="&amp;DATA_REF))</f>
        <v/>
      </c>
      <c r="O35" s="13">
        <f>IF(OR($K35="",$K35="PENDENTE",$M35=""),"",$K35*$M35)</f>
        <v/>
      </c>
      <c r="P35" s="13">
        <f>IF($O35="","",MAX(0,$O35-N($N35)))</f>
        <v/>
      </c>
      <c r="Q35" s="14">
        <f>IF($P35="","",$P35/EF_APLIC)</f>
        <v/>
      </c>
      <c r="R35" s="7" t="n"/>
      <c r="S35" s="15">
        <f>IF(OR($AA35="",$R35=""),"",IFERROR(INDEX(LAMINA_HORA!$C$5:$V$114,MATCH($AA35,LAMINA_HORA!$A$5:$A$114,0),MATCH($R35,LAMINA_HORA!$C$3:$V$3,0)),"?"))</f>
        <v/>
      </c>
      <c r="T35" s="15">
        <f>IF(OR($AA35="",$R35=""),"",IFERROR(INDEX(LAMINA_HORA!$W$5:$AP$114,MATCH($AA35,LAMINA_HORA!$A$5:$A$114,0),MATCH($R35,LAMINA_HORA!$W$3:$AP$3,0)),"?"))</f>
        <v/>
      </c>
      <c r="U35" s="16" t="n">
        <v>0.5659999999999999</v>
      </c>
      <c r="V35" s="17">
        <f>IF(OR($S35="",$S35="?",$F35=""),"",$S35*$F35*10)</f>
        <v/>
      </c>
      <c r="W35" s="17">
        <f>IF(OR($V35="",$U35=""),"",$V35*$U35)</f>
        <v/>
      </c>
      <c r="X35" s="10">
        <f>IF($K35="PENDENTE","Definir Kc",IF($P35="","-",IF($P35&gt;=TURNO,"IRRIGAR",IF($P35&gt;=TURNO*FRAC_ACOMP,"Acompanhar","Aguardar"))))</f>
        <v/>
      </c>
      <c r="Y35" s="10">
        <f>IF(OR($P35="",$P35=0),"-",IF($P35&gt;=2*TURNO,"Alta",IF($P35&gt;=TURNO,"Media","Baixa")))</f>
        <v/>
      </c>
      <c r="Z35" s="5" t="inlineStr">
        <is>
          <t>SOJA_MEDIA</t>
        </is>
      </c>
      <c r="AA35" s="7" t="inlineStr">
        <is>
          <t>P24</t>
        </is>
      </c>
    </row>
    <row r="36" hidden="1">
      <c r="A36" s="5" t="inlineStr">
        <is>
          <t>Pivô 25</t>
        </is>
      </c>
      <c r="B36" s="5" t="inlineStr">
        <is>
          <t>Modulo 1</t>
        </is>
      </c>
      <c r="C36" s="5" t="inlineStr">
        <is>
          <t>R7</t>
        </is>
      </c>
      <c r="D36" s="6" t="inlineStr">
        <is>
          <t>BMX DOMINIO IPRO</t>
        </is>
      </c>
      <c r="E36" s="7" t="inlineStr">
        <is>
          <t>MEDIA</t>
        </is>
      </c>
      <c r="F36" s="8" t="n">
        <v>171</v>
      </c>
      <c r="G36" s="9" t="n">
        <v>46330</v>
      </c>
      <c r="H36" s="10">
        <f>IF(OR($G36="",$G36&gt;DATA_REF),"NAO","SIM")</f>
        <v/>
      </c>
      <c r="I36" s="11">
        <f>IF(OR($G36="",$G36&gt;DATA_REF),"",DATA_REF-$G36)</f>
        <v/>
      </c>
      <c r="J36" s="11">
        <f>IF($I36="","",MAX(0,$I36-5))</f>
        <v/>
      </c>
      <c r="K36" s="12">
        <f>IF($Z36="","PENDENTE",IF($I36="","",IFERROR(INDEX(CURVAS_KC!$B$5:$J$224,MATCH(MIN(MAX($J36,1),220),CURVAS_KC!$A$5:$A$224,0),MATCH($Z36,CURVAS_KC!$B$4:$J$4,0)),"PENDENTE")))</f>
        <v/>
      </c>
      <c r="L36" s="9">
        <f>IF($G36="","",$G36)</f>
        <v/>
      </c>
      <c r="M36" s="13">
        <f>IF($L36="","",SUMIFS(ETO_SEMANAL!$B$6:$B$65,ETO_SEMANAL!$A$6:$A$65,"&gt;"&amp;$L36,ETO_SEMANAL!$A$6:$A$65,"&lt;="&amp;DATA_REF))</f>
        <v/>
      </c>
      <c r="N36" s="13">
        <f>IF($L36="","",SUMIFS(ETO_SEMANAL!$C$6:$C$65,ETO_SEMANAL!$A$6:$A$65,"&gt;"&amp;$L36,ETO_SEMANAL!$A$6:$A$65,"&lt;="&amp;DATA_REF))</f>
        <v/>
      </c>
      <c r="O36" s="13">
        <f>IF(OR($K36="",$K36="PENDENTE",$M36=""),"",$K36*$M36)</f>
        <v/>
      </c>
      <c r="P36" s="13">
        <f>IF($O36="","",MAX(0,$O36-N($N36)))</f>
        <v/>
      </c>
      <c r="Q36" s="14">
        <f>IF($P36="","",$P36/EF_APLIC)</f>
        <v/>
      </c>
      <c r="R36" s="7" t="n"/>
      <c r="S36" s="15">
        <f>IF(OR($AA36="",$R36=""),"",IFERROR(INDEX(LAMINA_HORA!$C$5:$V$114,MATCH($AA36,LAMINA_HORA!$A$5:$A$114,0),MATCH($R36,LAMINA_HORA!$C$3:$V$3,0)),"?"))</f>
        <v/>
      </c>
      <c r="T36" s="15">
        <f>IF(OR($AA36="",$R36=""),"",IFERROR(INDEX(LAMINA_HORA!$W$5:$AP$114,MATCH($AA36,LAMINA_HORA!$A$5:$A$114,0),MATCH($R36,LAMINA_HORA!$W$3:$AP$3,0)),"?"))</f>
        <v/>
      </c>
      <c r="U36" s="16" t="n">
        <v>0.462</v>
      </c>
      <c r="V36" s="17">
        <f>IF(OR($S36="",$S36="?",$F36=""),"",$S36*$F36*10)</f>
        <v/>
      </c>
      <c r="W36" s="17">
        <f>IF(OR($V36="",$U36=""),"",$V36*$U36)</f>
        <v/>
      </c>
      <c r="X36" s="10">
        <f>IF($K36="PENDENTE","Definir Kc",IF($P36="","-",IF($P36&gt;=TURNO,"IRRIGAR",IF($P36&gt;=TURNO*FRAC_ACOMP,"Acompanhar","Aguardar"))))</f>
        <v/>
      </c>
      <c r="Y36" s="10">
        <f>IF(OR($P36="",$P36=0),"-",IF($P36&gt;=2*TURNO,"Alta",IF($P36&gt;=TURNO,"Media","Baixa")))</f>
        <v/>
      </c>
      <c r="Z36" s="5" t="inlineStr">
        <is>
          <t>SOJA_MEDIA</t>
        </is>
      </c>
      <c r="AA36" s="7" t="inlineStr">
        <is>
          <t>P25</t>
        </is>
      </c>
    </row>
    <row r="37" hidden="1">
      <c r="A37" s="5" t="inlineStr">
        <is>
          <t>Pivô 25</t>
        </is>
      </c>
      <c r="B37" s="5" t="inlineStr">
        <is>
          <t>Modulo 1</t>
        </is>
      </c>
      <c r="C37" s="5" t="inlineStr">
        <is>
          <t>R7</t>
        </is>
      </c>
      <c r="D37" s="6" t="inlineStr">
        <is>
          <t>BMX DOMINIO IPRO</t>
        </is>
      </c>
      <c r="E37" s="7" t="inlineStr">
        <is>
          <t>MEDIA</t>
        </is>
      </c>
      <c r="F37" s="8" t="n">
        <v>171</v>
      </c>
      <c r="G37" s="9" t="n">
        <v>46330</v>
      </c>
      <c r="H37" s="10">
        <f>IF(OR($G37="",$G37&gt;DATA_REF),"NAO","SIM")</f>
        <v/>
      </c>
      <c r="I37" s="11">
        <f>IF(OR($G37="",$G37&gt;DATA_REF),"",DATA_REF-$G37)</f>
        <v/>
      </c>
      <c r="J37" s="11">
        <f>IF($I37="","",MAX(0,$I37-5))</f>
        <v/>
      </c>
      <c r="K37" s="12">
        <f>IF($Z37="","PENDENTE",IF($I37="","",IFERROR(INDEX(CURVAS_KC!$B$5:$J$224,MATCH(MIN(MAX($J37,1),220),CURVAS_KC!$A$5:$A$224,0),MATCH($Z37,CURVAS_KC!$B$4:$J$4,0)),"PENDENTE")))</f>
        <v/>
      </c>
      <c r="L37" s="9">
        <f>IF($G37="","",$G37)</f>
        <v/>
      </c>
      <c r="M37" s="13">
        <f>IF($L37="","",SUMIFS(ETO_SEMANAL!$B$6:$B$65,ETO_SEMANAL!$A$6:$A$65,"&gt;"&amp;$L37,ETO_SEMANAL!$A$6:$A$65,"&lt;="&amp;DATA_REF))</f>
        <v/>
      </c>
      <c r="N37" s="13">
        <f>IF($L37="","",SUMIFS(ETO_SEMANAL!$C$6:$C$65,ETO_SEMANAL!$A$6:$A$65,"&gt;"&amp;$L37,ETO_SEMANAL!$A$6:$A$65,"&lt;="&amp;DATA_REF))</f>
        <v/>
      </c>
      <c r="O37" s="13">
        <f>IF(OR($K37="",$K37="PENDENTE",$M37=""),"",$K37*$M37)</f>
        <v/>
      </c>
      <c r="P37" s="13">
        <f>IF($O37="","",MAX(0,$O37-N($N37)))</f>
        <v/>
      </c>
      <c r="Q37" s="14">
        <f>IF($P37="","",$P37/EF_APLIC)</f>
        <v/>
      </c>
      <c r="R37" s="7" t="n"/>
      <c r="S37" s="15">
        <f>IF(OR($AA37="",$R37=""),"",IFERROR(INDEX(LAMINA_HORA!$C$5:$V$114,MATCH($AA37,LAMINA_HORA!$A$5:$A$114,0),MATCH($R37,LAMINA_HORA!$C$3:$V$3,0)),"?"))</f>
        <v/>
      </c>
      <c r="T37" s="15">
        <f>IF(OR($AA37="",$R37=""),"",IFERROR(INDEX(LAMINA_HORA!$W$5:$AP$114,MATCH($AA37,LAMINA_HORA!$A$5:$A$114,0),MATCH($R37,LAMINA_HORA!$W$3:$AP$3,0)),"?"))</f>
        <v/>
      </c>
      <c r="U37" s="16" t="n">
        <v>0.462</v>
      </c>
      <c r="V37" s="17">
        <f>IF(OR($S37="",$S37="?",$F37=""),"",$S37*$F37*10)</f>
        <v/>
      </c>
      <c r="W37" s="17">
        <f>IF(OR($V37="",$U37=""),"",$V37*$U37)</f>
        <v/>
      </c>
      <c r="X37" s="10">
        <f>IF($K37="PENDENTE","Definir Kc",IF($P37="","-",IF($P37&gt;=TURNO,"IRRIGAR",IF($P37&gt;=TURNO*FRAC_ACOMP,"Acompanhar","Aguardar"))))</f>
        <v/>
      </c>
      <c r="Y37" s="10">
        <f>IF(OR($P37="",$P37=0),"-",IF($P37&gt;=2*TURNO,"Alta",IF($P37&gt;=TURNO,"Media","Baixa")))</f>
        <v/>
      </c>
      <c r="Z37" s="5" t="inlineStr">
        <is>
          <t>SOJA_MEDIA</t>
        </is>
      </c>
      <c r="AA37" s="7" t="inlineStr">
        <is>
          <t>P25</t>
        </is>
      </c>
    </row>
    <row r="38" hidden="1">
      <c r="A38" s="5" t="inlineStr">
        <is>
          <t>Pivô 26</t>
        </is>
      </c>
      <c r="B38" s="5" t="inlineStr">
        <is>
          <t>Modulo 1</t>
        </is>
      </c>
      <c r="C38" s="5" t="inlineStr">
        <is>
          <t>R7</t>
        </is>
      </c>
      <c r="D38" s="6" t="inlineStr">
        <is>
          <t>ST 76KA72</t>
        </is>
      </c>
      <c r="E38" s="7" t="inlineStr">
        <is>
          <t>PRECOCE</t>
        </is>
      </c>
      <c r="F38" s="8" t="n">
        <v>150</v>
      </c>
      <c r="G38" s="9" t="n">
        <v>46302</v>
      </c>
      <c r="H38" s="10">
        <f>IF(OR($G38="",$G38&gt;DATA_REF),"NAO","SIM")</f>
        <v/>
      </c>
      <c r="I38" s="11">
        <f>IF(OR($G38="",$G38&gt;DATA_REF),"",DATA_REF-$G38)</f>
        <v/>
      </c>
      <c r="J38" s="11">
        <f>IF($I38="","",MAX(0,$I38-5))</f>
        <v/>
      </c>
      <c r="K38" s="12">
        <f>IF($Z38="","PENDENTE",IF($I38="","",IFERROR(INDEX(CURVAS_KC!$B$5:$J$224,MATCH(MIN(MAX($J38,1),220),CURVAS_KC!$A$5:$A$224,0),MATCH($Z38,CURVAS_KC!$B$4:$J$4,0)),"PENDENTE")))</f>
        <v/>
      </c>
      <c r="L38" s="9">
        <f>IF($G38="","",$G38)</f>
        <v/>
      </c>
      <c r="M38" s="13">
        <f>IF($L38="","",SUMIFS(ETO_SEMANAL!$B$6:$B$65,ETO_SEMANAL!$A$6:$A$65,"&gt;"&amp;$L38,ETO_SEMANAL!$A$6:$A$65,"&lt;="&amp;DATA_REF))</f>
        <v/>
      </c>
      <c r="N38" s="13">
        <f>IF($L38="","",SUMIFS(ETO_SEMANAL!$C$6:$C$65,ETO_SEMANAL!$A$6:$A$65,"&gt;"&amp;$L38,ETO_SEMANAL!$A$6:$A$65,"&lt;="&amp;DATA_REF))</f>
        <v/>
      </c>
      <c r="O38" s="13">
        <f>IF(OR($K38="",$K38="PENDENTE",$M38=""),"",$K38*$M38)</f>
        <v/>
      </c>
      <c r="P38" s="13">
        <f>IF($O38="","",MAX(0,$O38-N($N38)))</f>
        <v/>
      </c>
      <c r="Q38" s="14">
        <f>IF($P38="","",$P38/EF_APLIC)</f>
        <v/>
      </c>
      <c r="R38" s="7" t="n"/>
      <c r="S38" s="15">
        <f>IF(OR($AA38="",$R38=""),"",IFERROR(INDEX(LAMINA_HORA!$C$5:$V$114,MATCH($AA38,LAMINA_HORA!$A$5:$A$114,0),MATCH($R38,LAMINA_HORA!$C$3:$V$3,0)),"?"))</f>
        <v/>
      </c>
      <c r="T38" s="15">
        <f>IF(OR($AA38="",$R38=""),"",IFERROR(INDEX(LAMINA_HORA!$W$5:$AP$114,MATCH($AA38,LAMINA_HORA!$A$5:$A$114,0),MATCH($R38,LAMINA_HORA!$W$3:$AP$3,0)),"?"))</f>
        <v/>
      </c>
      <c r="U38" s="16" t="n">
        <v>0.591</v>
      </c>
      <c r="V38" s="17">
        <f>IF(OR($S38="",$S38="?",$F38=""),"",$S38*$F38*10)</f>
        <v/>
      </c>
      <c r="W38" s="17">
        <f>IF(OR($V38="",$U38=""),"",$V38*$U38)</f>
        <v/>
      </c>
      <c r="X38" s="10">
        <f>IF($K38="PENDENTE","Definir Kc",IF($P38="","-",IF($P38&gt;=TURNO,"IRRIGAR",IF($P38&gt;=TURNO*FRAC_ACOMP,"Acompanhar","Aguardar"))))</f>
        <v/>
      </c>
      <c r="Y38" s="10">
        <f>IF(OR($P38="",$P38=0),"-",IF($P38&gt;=2*TURNO,"Alta",IF($P38&gt;=TURNO,"Media","Baixa")))</f>
        <v/>
      </c>
      <c r="Z38" s="5" t="inlineStr">
        <is>
          <t>SOJA_PRECOCE</t>
        </is>
      </c>
      <c r="AA38" s="7" t="inlineStr">
        <is>
          <t>P26</t>
        </is>
      </c>
    </row>
    <row r="39" hidden="1">
      <c r="A39" s="5" t="inlineStr">
        <is>
          <t>Pivô 27</t>
        </is>
      </c>
      <c r="B39" s="5" t="inlineStr">
        <is>
          <t>Modulo 1</t>
        </is>
      </c>
      <c r="C39" s="5" t="inlineStr">
        <is>
          <t>R7</t>
        </is>
      </c>
      <c r="D39" s="6" t="inlineStr">
        <is>
          <t>BMX DOMINIO IPRO</t>
        </is>
      </c>
      <c r="E39" s="7" t="inlineStr">
        <is>
          <t>MEDIA</t>
        </is>
      </c>
      <c r="F39" s="8" t="n">
        <v>313</v>
      </c>
      <c r="G39" s="9" t="n">
        <v>46330</v>
      </c>
      <c r="H39" s="10">
        <f>IF(OR($G39="",$G39&gt;DATA_REF),"NAO","SIM")</f>
        <v/>
      </c>
      <c r="I39" s="11">
        <f>IF(OR($G39="",$G39&gt;DATA_REF),"",DATA_REF-$G39)</f>
        <v/>
      </c>
      <c r="J39" s="11">
        <f>IF($I39="","",MAX(0,$I39-5))</f>
        <v/>
      </c>
      <c r="K39" s="12">
        <f>IF($Z39="","PENDENTE",IF($I39="","",IFERROR(INDEX(CURVAS_KC!$B$5:$J$224,MATCH(MIN(MAX($J39,1),220),CURVAS_KC!$A$5:$A$224,0),MATCH($Z39,CURVAS_KC!$B$4:$J$4,0)),"PENDENTE")))</f>
        <v/>
      </c>
      <c r="L39" s="9">
        <f>IF($G39="","",$G39)</f>
        <v/>
      </c>
      <c r="M39" s="13">
        <f>IF($L39="","",SUMIFS(ETO_SEMANAL!$B$6:$B$65,ETO_SEMANAL!$A$6:$A$65,"&gt;"&amp;$L39,ETO_SEMANAL!$A$6:$A$65,"&lt;="&amp;DATA_REF))</f>
        <v/>
      </c>
      <c r="N39" s="13">
        <f>IF($L39="","",SUMIFS(ETO_SEMANAL!$C$6:$C$65,ETO_SEMANAL!$A$6:$A$65,"&gt;"&amp;$L39,ETO_SEMANAL!$A$6:$A$65,"&lt;="&amp;DATA_REF))</f>
        <v/>
      </c>
      <c r="O39" s="13">
        <f>IF(OR($K39="",$K39="PENDENTE",$M39=""),"",$K39*$M39)</f>
        <v/>
      </c>
      <c r="P39" s="13">
        <f>IF($O39="","",MAX(0,$O39-N($N39)))</f>
        <v/>
      </c>
      <c r="Q39" s="14">
        <f>IF($P39="","",$P39/EF_APLIC)</f>
        <v/>
      </c>
      <c r="R39" s="7" t="n"/>
      <c r="S39" s="15">
        <f>IF(OR($AA39="",$R39=""),"",IFERROR(INDEX(LAMINA_HORA!$C$5:$V$114,MATCH($AA39,LAMINA_HORA!$A$5:$A$114,0),MATCH($R39,LAMINA_HORA!$C$3:$V$3,0)),"?"))</f>
        <v/>
      </c>
      <c r="T39" s="15">
        <f>IF(OR($AA39="",$R39=""),"",IFERROR(INDEX(LAMINA_HORA!$W$5:$AP$114,MATCH($AA39,LAMINA_HORA!$A$5:$A$114,0),MATCH($R39,LAMINA_HORA!$W$3:$AP$3,0)),"?"))</f>
        <v/>
      </c>
      <c r="U39" s="16" t="n">
        <v>0.463</v>
      </c>
      <c r="V39" s="17">
        <f>IF(OR($S39="",$S39="?",$F39=""),"",$S39*$F39*10)</f>
        <v/>
      </c>
      <c r="W39" s="17">
        <f>IF(OR($V39="",$U39=""),"",$V39*$U39)</f>
        <v/>
      </c>
      <c r="X39" s="10">
        <f>IF($K39="PENDENTE","Definir Kc",IF($P39="","-",IF($P39&gt;=TURNO,"IRRIGAR",IF($P39&gt;=TURNO*FRAC_ACOMP,"Acompanhar","Aguardar"))))</f>
        <v/>
      </c>
      <c r="Y39" s="10">
        <f>IF(OR($P39="",$P39=0),"-",IF($P39&gt;=2*TURNO,"Alta",IF($P39&gt;=TURNO,"Media","Baixa")))</f>
        <v/>
      </c>
      <c r="Z39" s="5" t="inlineStr">
        <is>
          <t>SOJA_MEDIA</t>
        </is>
      </c>
      <c r="AA39" s="7" t="inlineStr">
        <is>
          <t>P27</t>
        </is>
      </c>
    </row>
    <row r="40" hidden="1">
      <c r="A40" s="5" t="inlineStr">
        <is>
          <t>Pivô 33</t>
        </is>
      </c>
      <c r="B40" s="5" t="inlineStr">
        <is>
          <t>Modulo 1</t>
        </is>
      </c>
      <c r="C40" s="5" t="inlineStr">
        <is>
          <t>C3Z3/R7</t>
        </is>
      </c>
      <c r="D40" s="6" t="inlineStr">
        <is>
          <t>ATAQUE I2X</t>
        </is>
      </c>
      <c r="E40" s="7" t="inlineStr">
        <is>
          <t>TARDIA</t>
        </is>
      </c>
      <c r="F40" s="8" t="n">
        <v>138</v>
      </c>
      <c r="G40" s="9" t="n">
        <v>46302</v>
      </c>
      <c r="H40" s="10">
        <f>IF(OR($G40="",$G40&gt;DATA_REF),"NAO","SIM")</f>
        <v/>
      </c>
      <c r="I40" s="11">
        <f>IF(OR($G40="",$G40&gt;DATA_REF),"",DATA_REF-$G40)</f>
        <v/>
      </c>
      <c r="J40" s="11">
        <f>IF($I40="","",MAX(0,$I40-5))</f>
        <v/>
      </c>
      <c r="K40" s="12">
        <f>IF($Z40="","PENDENTE",IF($I40="","",IFERROR(INDEX(CURVAS_KC!$B$5:$J$224,MATCH(MIN(MAX($J40,1),220),CURVAS_KC!$A$5:$A$224,0),MATCH($Z40,CURVAS_KC!$B$4:$J$4,0)),"PENDENTE")))</f>
        <v/>
      </c>
      <c r="L40" s="9">
        <f>IF($G40="","",$G40)</f>
        <v/>
      </c>
      <c r="M40" s="13">
        <f>IF($L40="","",SUMIFS(ETO_SEMANAL!$B$6:$B$65,ETO_SEMANAL!$A$6:$A$65,"&gt;"&amp;$L40,ETO_SEMANAL!$A$6:$A$65,"&lt;="&amp;DATA_REF))</f>
        <v/>
      </c>
      <c r="N40" s="13">
        <f>IF($L40="","",SUMIFS(ETO_SEMANAL!$C$6:$C$65,ETO_SEMANAL!$A$6:$A$65,"&gt;"&amp;$L40,ETO_SEMANAL!$A$6:$A$65,"&lt;="&amp;DATA_REF))</f>
        <v/>
      </c>
      <c r="O40" s="13">
        <f>IF(OR($K40="",$K40="PENDENTE",$M40=""),"",$K40*$M40)</f>
        <v/>
      </c>
      <c r="P40" s="13">
        <f>IF($O40="","",MAX(0,$O40-N($N40)))</f>
        <v/>
      </c>
      <c r="Q40" s="14">
        <f>IF($P40="","",$P40/EF_APLIC)</f>
        <v/>
      </c>
      <c r="R40" s="7" t="n"/>
      <c r="S40" s="15">
        <f>IF(OR($AA40="",$R40=""),"",IFERROR(INDEX(LAMINA_HORA!$C$5:$V$114,MATCH($AA40,LAMINA_HORA!$A$5:$A$114,0),MATCH($R40,LAMINA_HORA!$C$3:$V$3,0)),"?"))</f>
        <v/>
      </c>
      <c r="T40" s="15">
        <f>IF(OR($AA40="",$R40=""),"",IFERROR(INDEX(LAMINA_HORA!$W$5:$AP$114,MATCH($AA40,LAMINA_HORA!$A$5:$A$114,0),MATCH($R40,LAMINA_HORA!$W$3:$AP$3,0)),"?"))</f>
        <v/>
      </c>
      <c r="U40" s="16" t="n">
        <v>0.49</v>
      </c>
      <c r="V40" s="17">
        <f>IF(OR($S40="",$S40="?",$F40=""),"",$S40*$F40*10)</f>
        <v/>
      </c>
      <c r="W40" s="17">
        <f>IF(OR($V40="",$U40=""),"",$V40*$U40)</f>
        <v/>
      </c>
      <c r="X40" s="10">
        <f>IF($K40="PENDENTE","Definir Kc",IF($P40="","-",IF($P40&gt;=TURNO,"IRRIGAR",IF($P40&gt;=TURNO*FRAC_ACOMP,"Acompanhar","Aguardar"))))</f>
        <v/>
      </c>
      <c r="Y40" s="10">
        <f>IF(OR($P40="",$P40=0),"-",IF($P40&gt;=2*TURNO,"Alta",IF($P40&gt;=TURNO,"Media","Baixa")))</f>
        <v/>
      </c>
      <c r="Z40" s="5" t="inlineStr">
        <is>
          <t>SOJA_TARDIA</t>
        </is>
      </c>
      <c r="AA40" s="7" t="inlineStr">
        <is>
          <t>P33</t>
        </is>
      </c>
    </row>
    <row r="41" hidden="1">
      <c r="A41" s="5" t="inlineStr">
        <is>
          <t>Pivô 35</t>
        </is>
      </c>
      <c r="B41" s="5" t="inlineStr">
        <is>
          <t>Modulo 2</t>
        </is>
      </c>
      <c r="C41" s="5" t="inlineStr">
        <is>
          <t>R8</t>
        </is>
      </c>
      <c r="D41" s="6" t="inlineStr">
        <is>
          <t>COMPLETA IPRO</t>
        </is>
      </c>
      <c r="E41" s="7" t="inlineStr">
        <is>
          <t>MEDIA</t>
        </is>
      </c>
      <c r="F41" s="8" t="n">
        <v>150</v>
      </c>
      <c r="G41" s="9" t="n">
        <v>46303</v>
      </c>
      <c r="H41" s="10">
        <f>IF(OR($G41="",$G41&gt;DATA_REF),"NAO","SIM")</f>
        <v/>
      </c>
      <c r="I41" s="11">
        <f>IF(OR($G41="",$G41&gt;DATA_REF),"",DATA_REF-$G41)</f>
        <v/>
      </c>
      <c r="J41" s="11">
        <f>IF($I41="","",MAX(0,$I41-5))</f>
        <v/>
      </c>
      <c r="K41" s="12">
        <f>IF($Z41="","PENDENTE",IF($I41="","",IFERROR(INDEX(CURVAS_KC!$B$5:$J$224,MATCH(MIN(MAX($J41,1),220),CURVAS_KC!$A$5:$A$224,0),MATCH($Z41,CURVAS_KC!$B$4:$J$4,0)),"PENDENTE")))</f>
        <v/>
      </c>
      <c r="L41" s="9">
        <f>IF($G41="","",$G41)</f>
        <v/>
      </c>
      <c r="M41" s="13">
        <f>IF($L41="","",SUMIFS(ETO_SEMANAL!$B$6:$B$65,ETO_SEMANAL!$A$6:$A$65,"&gt;"&amp;$L41,ETO_SEMANAL!$A$6:$A$65,"&lt;="&amp;DATA_REF))</f>
        <v/>
      </c>
      <c r="N41" s="13">
        <f>IF($L41="","",SUMIFS(ETO_SEMANAL!$C$6:$C$65,ETO_SEMANAL!$A$6:$A$65,"&gt;"&amp;$L41,ETO_SEMANAL!$A$6:$A$65,"&lt;="&amp;DATA_REF))</f>
        <v/>
      </c>
      <c r="O41" s="13">
        <f>IF(OR($K41="",$K41="PENDENTE",$M41=""),"",$K41*$M41)</f>
        <v/>
      </c>
      <c r="P41" s="13">
        <f>IF($O41="","",MAX(0,$O41-N($N41)))</f>
        <v/>
      </c>
      <c r="Q41" s="14">
        <f>IF($P41="","",$P41/EF_APLIC)</f>
        <v/>
      </c>
      <c r="R41" s="7" t="n"/>
      <c r="S41" s="15">
        <f>IF(OR($AA41="",$R41=""),"",IFERROR(INDEX(LAMINA_HORA!$C$5:$V$114,MATCH($AA41,LAMINA_HORA!$A$5:$A$114,0),MATCH($R41,LAMINA_HORA!$C$3:$V$3,0)),"?"))</f>
        <v/>
      </c>
      <c r="T41" s="15">
        <f>IF(OR($AA41="",$R41=""),"",IFERROR(INDEX(LAMINA_HORA!$W$5:$AP$114,MATCH($AA41,LAMINA_HORA!$A$5:$A$114,0),MATCH($R41,LAMINA_HORA!$W$3:$AP$3,0)),"?"))</f>
        <v/>
      </c>
      <c r="U41" s="16" t="n">
        <v>0.5</v>
      </c>
      <c r="V41" s="17">
        <f>IF(OR($S41="",$S41="?",$F41=""),"",$S41*$F41*10)</f>
        <v/>
      </c>
      <c r="W41" s="17">
        <f>IF(OR($V41="",$U41=""),"",$V41*$U41)</f>
        <v/>
      </c>
      <c r="X41" s="10">
        <f>IF($K41="PENDENTE","Definir Kc",IF($P41="","-",IF($P41&gt;=TURNO,"IRRIGAR",IF($P41&gt;=TURNO*FRAC_ACOMP,"Acompanhar","Aguardar"))))</f>
        <v/>
      </c>
      <c r="Y41" s="10">
        <f>IF(OR($P41="",$P41=0),"-",IF($P41&gt;=2*TURNO,"Alta",IF($P41&gt;=TURNO,"Media","Baixa")))</f>
        <v/>
      </c>
      <c r="Z41" s="5" t="inlineStr">
        <is>
          <t>SOJA_MEDIA</t>
        </is>
      </c>
      <c r="AA41" s="7" t="inlineStr">
        <is>
          <t>P35</t>
        </is>
      </c>
    </row>
    <row r="42" hidden="1">
      <c r="A42" s="5" t="inlineStr">
        <is>
          <t>Pivô 36</t>
        </is>
      </c>
      <c r="B42" s="5" t="inlineStr">
        <is>
          <t>Modulo 2</t>
        </is>
      </c>
      <c r="C42" s="5" t="inlineStr">
        <is>
          <t>R8</t>
        </is>
      </c>
      <c r="D42" s="6" t="inlineStr">
        <is>
          <t>COMPLETA IPRO</t>
        </is>
      </c>
      <c r="E42" s="7" t="inlineStr">
        <is>
          <t>MEDIA</t>
        </is>
      </c>
      <c r="F42" s="8" t="n">
        <v>150</v>
      </c>
      <c r="G42" s="9" t="n">
        <v>46303</v>
      </c>
      <c r="H42" s="10">
        <f>IF(OR($G42="",$G42&gt;DATA_REF),"NAO","SIM")</f>
        <v/>
      </c>
      <c r="I42" s="11">
        <f>IF(OR($G42="",$G42&gt;DATA_REF),"",DATA_REF-$G42)</f>
        <v/>
      </c>
      <c r="J42" s="11">
        <f>IF($I42="","",MAX(0,$I42-5))</f>
        <v/>
      </c>
      <c r="K42" s="12">
        <f>IF($Z42="","PENDENTE",IF($I42="","",IFERROR(INDEX(CURVAS_KC!$B$5:$J$224,MATCH(MIN(MAX($J42,1),220),CURVAS_KC!$A$5:$A$224,0),MATCH($Z42,CURVAS_KC!$B$4:$J$4,0)),"PENDENTE")))</f>
        <v/>
      </c>
      <c r="L42" s="9">
        <f>IF($G42="","",$G42)</f>
        <v/>
      </c>
      <c r="M42" s="13">
        <f>IF($L42="","",SUMIFS(ETO_SEMANAL!$B$6:$B$65,ETO_SEMANAL!$A$6:$A$65,"&gt;"&amp;$L42,ETO_SEMANAL!$A$6:$A$65,"&lt;="&amp;DATA_REF))</f>
        <v/>
      </c>
      <c r="N42" s="13">
        <f>IF($L42="","",SUMIFS(ETO_SEMANAL!$C$6:$C$65,ETO_SEMANAL!$A$6:$A$65,"&gt;"&amp;$L42,ETO_SEMANAL!$A$6:$A$65,"&lt;="&amp;DATA_REF))</f>
        <v/>
      </c>
      <c r="O42" s="13">
        <f>IF(OR($K42="",$K42="PENDENTE",$M42=""),"",$K42*$M42)</f>
        <v/>
      </c>
      <c r="P42" s="13">
        <f>IF($O42="","",MAX(0,$O42-N($N42)))</f>
        <v/>
      </c>
      <c r="Q42" s="14">
        <f>IF($P42="","",$P42/EF_APLIC)</f>
        <v/>
      </c>
      <c r="R42" s="7" t="n"/>
      <c r="S42" s="15">
        <f>IF(OR($AA42="",$R42=""),"",IFERROR(INDEX(LAMINA_HORA!$C$5:$V$114,MATCH($AA42,LAMINA_HORA!$A$5:$A$114,0),MATCH($R42,LAMINA_HORA!$C$3:$V$3,0)),"?"))</f>
        <v/>
      </c>
      <c r="T42" s="15">
        <f>IF(OR($AA42="",$R42=""),"",IFERROR(INDEX(LAMINA_HORA!$W$5:$AP$114,MATCH($AA42,LAMINA_HORA!$A$5:$A$114,0),MATCH($R42,LAMINA_HORA!$W$3:$AP$3,0)),"?"))</f>
        <v/>
      </c>
      <c r="U42" s="16" t="n">
        <v>0.456</v>
      </c>
      <c r="V42" s="17">
        <f>IF(OR($S42="",$S42="?",$F42=""),"",$S42*$F42*10)</f>
        <v/>
      </c>
      <c r="W42" s="17">
        <f>IF(OR($V42="",$U42=""),"",$V42*$U42)</f>
        <v/>
      </c>
      <c r="X42" s="10">
        <f>IF($K42="PENDENTE","Definir Kc",IF($P42="","-",IF($P42&gt;=TURNO,"IRRIGAR",IF($P42&gt;=TURNO*FRAC_ACOMP,"Acompanhar","Aguardar"))))</f>
        <v/>
      </c>
      <c r="Y42" s="10">
        <f>IF(OR($P42="",$P42=0),"-",IF($P42&gt;=2*TURNO,"Alta",IF($P42&gt;=TURNO,"Media","Baixa")))</f>
        <v/>
      </c>
      <c r="Z42" s="5" t="inlineStr">
        <is>
          <t>SOJA_MEDIA</t>
        </is>
      </c>
      <c r="AA42" s="7" t="inlineStr">
        <is>
          <t>P36</t>
        </is>
      </c>
    </row>
    <row r="43" hidden="1">
      <c r="A43" s="5" t="inlineStr">
        <is>
          <t>Pivô 37</t>
        </is>
      </c>
      <c r="B43" s="5" t="inlineStr">
        <is>
          <t>Modulo 2</t>
        </is>
      </c>
      <c r="C43" s="5" t="inlineStr">
        <is>
          <t>R8</t>
        </is>
      </c>
      <c r="D43" s="6" t="inlineStr">
        <is>
          <t>COMPLETA IPRO</t>
        </is>
      </c>
      <c r="E43" s="7" t="inlineStr">
        <is>
          <t>MEDIA</t>
        </is>
      </c>
      <c r="F43" s="8" t="n">
        <v>72</v>
      </c>
      <c r="G43" s="9" t="n">
        <v>46304</v>
      </c>
      <c r="H43" s="10">
        <f>IF(OR($G43="",$G43&gt;DATA_REF),"NAO","SIM")</f>
        <v/>
      </c>
      <c r="I43" s="11">
        <f>IF(OR($G43="",$G43&gt;DATA_REF),"",DATA_REF-$G43)</f>
        <v/>
      </c>
      <c r="J43" s="11">
        <f>IF($I43="","",MAX(0,$I43-5))</f>
        <v/>
      </c>
      <c r="K43" s="12">
        <f>IF($Z43="","PENDENTE",IF($I43="","",IFERROR(INDEX(CURVAS_KC!$B$5:$J$224,MATCH(MIN(MAX($J43,1),220),CURVAS_KC!$A$5:$A$224,0),MATCH($Z43,CURVAS_KC!$B$4:$J$4,0)),"PENDENTE")))</f>
        <v/>
      </c>
      <c r="L43" s="9">
        <f>IF($G43="","",$G43)</f>
        <v/>
      </c>
      <c r="M43" s="13">
        <f>IF($L43="","",SUMIFS(ETO_SEMANAL!$B$6:$B$65,ETO_SEMANAL!$A$6:$A$65,"&gt;"&amp;$L43,ETO_SEMANAL!$A$6:$A$65,"&lt;="&amp;DATA_REF))</f>
        <v/>
      </c>
      <c r="N43" s="13">
        <f>IF($L43="","",SUMIFS(ETO_SEMANAL!$C$6:$C$65,ETO_SEMANAL!$A$6:$A$65,"&gt;"&amp;$L43,ETO_SEMANAL!$A$6:$A$65,"&lt;="&amp;DATA_REF))</f>
        <v/>
      </c>
      <c r="O43" s="13">
        <f>IF(OR($K43="",$K43="PENDENTE",$M43=""),"",$K43*$M43)</f>
        <v/>
      </c>
      <c r="P43" s="13">
        <f>IF($O43="","",MAX(0,$O43-N($N43)))</f>
        <v/>
      </c>
      <c r="Q43" s="14">
        <f>IF($P43="","",$P43/EF_APLIC)</f>
        <v/>
      </c>
      <c r="R43" s="7" t="n"/>
      <c r="S43" s="15">
        <f>IF(OR($AA43="",$R43=""),"",IFERROR(INDEX(LAMINA_HORA!$C$5:$V$114,MATCH($AA43,LAMINA_HORA!$A$5:$A$114,0),MATCH($R43,LAMINA_HORA!$C$3:$V$3,0)),"?"))</f>
        <v/>
      </c>
      <c r="T43" s="15">
        <f>IF(OR($AA43="",$R43=""),"",IFERROR(INDEX(LAMINA_HORA!$W$5:$AP$114,MATCH($AA43,LAMINA_HORA!$A$5:$A$114,0),MATCH($R43,LAMINA_HORA!$W$3:$AP$3,0)),"?"))</f>
        <v/>
      </c>
      <c r="U43" s="16" t="n">
        <v>0.443</v>
      </c>
      <c r="V43" s="17">
        <f>IF(OR($S43="",$S43="?",$F43=""),"",$S43*$F43*10)</f>
        <v/>
      </c>
      <c r="W43" s="17">
        <f>IF(OR($V43="",$U43=""),"",$V43*$U43)</f>
        <v/>
      </c>
      <c r="X43" s="10">
        <f>IF($K43="PENDENTE","Definir Kc",IF($P43="","-",IF($P43&gt;=TURNO,"IRRIGAR",IF($P43&gt;=TURNO*FRAC_ACOMP,"Acompanhar","Aguardar"))))</f>
        <v/>
      </c>
      <c r="Y43" s="10">
        <f>IF(OR($P43="",$P43=0),"-",IF($P43&gt;=2*TURNO,"Alta",IF($P43&gt;=TURNO,"Media","Baixa")))</f>
        <v/>
      </c>
      <c r="Z43" s="5" t="inlineStr">
        <is>
          <t>SOJA_MEDIA</t>
        </is>
      </c>
      <c r="AA43" s="7" t="inlineStr">
        <is>
          <t>P37</t>
        </is>
      </c>
    </row>
    <row r="44" hidden="1">
      <c r="A44" s="5" t="inlineStr">
        <is>
          <t>Pivô 38</t>
        </is>
      </c>
      <c r="B44" s="5" t="inlineStr">
        <is>
          <t>Modulo 2</t>
        </is>
      </c>
      <c r="C44" s="5" t="inlineStr">
        <is>
          <t>R8</t>
        </is>
      </c>
      <c r="D44" s="6" t="inlineStr">
        <is>
          <t>COMPLETA IPRO</t>
        </is>
      </c>
      <c r="E44" s="7" t="inlineStr">
        <is>
          <t>MEDIA</t>
        </is>
      </c>
      <c r="F44" s="8" t="n">
        <v>141</v>
      </c>
      <c r="G44" s="9" t="n">
        <v>46304</v>
      </c>
      <c r="H44" s="10">
        <f>IF(OR($G44="",$G44&gt;DATA_REF),"NAO","SIM")</f>
        <v/>
      </c>
      <c r="I44" s="11">
        <f>IF(OR($G44="",$G44&gt;DATA_REF),"",DATA_REF-$G44)</f>
        <v/>
      </c>
      <c r="J44" s="11">
        <f>IF($I44="","",MAX(0,$I44-5))</f>
        <v/>
      </c>
      <c r="K44" s="12">
        <f>IF($Z44="","PENDENTE",IF($I44="","",IFERROR(INDEX(CURVAS_KC!$B$5:$J$224,MATCH(MIN(MAX($J44,1),220),CURVAS_KC!$A$5:$A$224,0),MATCH($Z44,CURVAS_KC!$B$4:$J$4,0)),"PENDENTE")))</f>
        <v/>
      </c>
      <c r="L44" s="9">
        <f>IF($G44="","",$G44)</f>
        <v/>
      </c>
      <c r="M44" s="13">
        <f>IF($L44="","",SUMIFS(ETO_SEMANAL!$B$6:$B$65,ETO_SEMANAL!$A$6:$A$65,"&gt;"&amp;$L44,ETO_SEMANAL!$A$6:$A$65,"&lt;="&amp;DATA_REF))</f>
        <v/>
      </c>
      <c r="N44" s="13">
        <f>IF($L44="","",SUMIFS(ETO_SEMANAL!$C$6:$C$65,ETO_SEMANAL!$A$6:$A$65,"&gt;"&amp;$L44,ETO_SEMANAL!$A$6:$A$65,"&lt;="&amp;DATA_REF))</f>
        <v/>
      </c>
      <c r="O44" s="13">
        <f>IF(OR($K44="",$K44="PENDENTE",$M44=""),"",$K44*$M44)</f>
        <v/>
      </c>
      <c r="P44" s="13">
        <f>IF($O44="","",MAX(0,$O44-N($N44)))</f>
        <v/>
      </c>
      <c r="Q44" s="14">
        <f>IF($P44="","",$P44/EF_APLIC)</f>
        <v/>
      </c>
      <c r="R44" s="7" t="n"/>
      <c r="S44" s="15">
        <f>IF(OR($AA44="",$R44=""),"",IFERROR(INDEX(LAMINA_HORA!$C$5:$V$114,MATCH($AA44,LAMINA_HORA!$A$5:$A$114,0),MATCH($R44,LAMINA_HORA!$C$3:$V$3,0)),"?"))</f>
        <v/>
      </c>
      <c r="T44" s="15">
        <f>IF(OR($AA44="",$R44=""),"",IFERROR(INDEX(LAMINA_HORA!$W$5:$AP$114,MATCH($AA44,LAMINA_HORA!$A$5:$A$114,0),MATCH($R44,LAMINA_HORA!$W$3:$AP$3,0)),"?"))</f>
        <v/>
      </c>
      <c r="U44" s="16" t="n">
        <v>0.457</v>
      </c>
      <c r="V44" s="17">
        <f>IF(OR($S44="",$S44="?",$F44=""),"",$S44*$F44*10)</f>
        <v/>
      </c>
      <c r="W44" s="17">
        <f>IF(OR($V44="",$U44=""),"",$V44*$U44)</f>
        <v/>
      </c>
      <c r="X44" s="10">
        <f>IF($K44="PENDENTE","Definir Kc",IF($P44="","-",IF($P44&gt;=TURNO,"IRRIGAR",IF($P44&gt;=TURNO*FRAC_ACOMP,"Acompanhar","Aguardar"))))</f>
        <v/>
      </c>
      <c r="Y44" s="10">
        <f>IF(OR($P44="",$P44=0),"-",IF($P44&gt;=2*TURNO,"Alta",IF($P44&gt;=TURNO,"Media","Baixa")))</f>
        <v/>
      </c>
      <c r="Z44" s="5" t="inlineStr">
        <is>
          <t>SOJA_MEDIA</t>
        </is>
      </c>
      <c r="AA44" s="7" t="inlineStr">
        <is>
          <t>P38</t>
        </is>
      </c>
    </row>
    <row r="45" hidden="1">
      <c r="A45" s="5" t="inlineStr">
        <is>
          <t>Pivô 40</t>
        </is>
      </c>
      <c r="B45" s="5" t="inlineStr">
        <is>
          <t>Modulo 2</t>
        </is>
      </c>
      <c r="C45" s="5" t="inlineStr">
        <is>
          <t>R10</t>
        </is>
      </c>
      <c r="D45" s="6" t="inlineStr">
        <is>
          <t>BMX Olimpo IPRO</t>
        </is>
      </c>
      <c r="E45" s="7" t="inlineStr">
        <is>
          <t>MEDIA</t>
        </is>
      </c>
      <c r="F45" s="8" t="n">
        <v>150</v>
      </c>
      <c r="G45" s="9" t="n">
        <v>46305</v>
      </c>
      <c r="H45" s="10">
        <f>IF(OR($G45="",$G45&gt;DATA_REF),"NAO","SIM")</f>
        <v/>
      </c>
      <c r="I45" s="11">
        <f>IF(OR($G45="",$G45&gt;DATA_REF),"",DATA_REF-$G45)</f>
        <v/>
      </c>
      <c r="J45" s="11">
        <f>IF($I45="","",MAX(0,$I45-5))</f>
        <v/>
      </c>
      <c r="K45" s="12">
        <f>IF($Z45="","PENDENTE",IF($I45="","",IFERROR(INDEX(CURVAS_KC!$B$5:$J$224,MATCH(MIN(MAX($J45,1),220),CURVAS_KC!$A$5:$A$224,0),MATCH($Z45,CURVAS_KC!$B$4:$J$4,0)),"PENDENTE")))</f>
        <v/>
      </c>
      <c r="L45" s="9">
        <f>IF($G45="","",$G45)</f>
        <v/>
      </c>
      <c r="M45" s="13">
        <f>IF($L45="","",SUMIFS(ETO_SEMANAL!$B$6:$B$65,ETO_SEMANAL!$A$6:$A$65,"&gt;"&amp;$L45,ETO_SEMANAL!$A$6:$A$65,"&lt;="&amp;DATA_REF))</f>
        <v/>
      </c>
      <c r="N45" s="13">
        <f>IF($L45="","",SUMIFS(ETO_SEMANAL!$C$6:$C$65,ETO_SEMANAL!$A$6:$A$65,"&gt;"&amp;$L45,ETO_SEMANAL!$A$6:$A$65,"&lt;="&amp;DATA_REF))</f>
        <v/>
      </c>
      <c r="O45" s="13">
        <f>IF(OR($K45="",$K45="PENDENTE",$M45=""),"",$K45*$M45)</f>
        <v/>
      </c>
      <c r="P45" s="13">
        <f>IF($O45="","",MAX(0,$O45-N($N45)))</f>
        <v/>
      </c>
      <c r="Q45" s="14">
        <f>IF($P45="","",$P45/EF_APLIC)</f>
        <v/>
      </c>
      <c r="R45" s="7" t="n"/>
      <c r="S45" s="15">
        <f>IF(OR($AA45="",$R45=""),"",IFERROR(INDEX(LAMINA_HORA!$C$5:$V$114,MATCH($AA45,LAMINA_HORA!$A$5:$A$114,0),MATCH($R45,LAMINA_HORA!$C$3:$V$3,0)),"?"))</f>
        <v/>
      </c>
      <c r="T45" s="15">
        <f>IF(OR($AA45="",$R45=""),"",IFERROR(INDEX(LAMINA_HORA!$W$5:$AP$114,MATCH($AA45,LAMINA_HORA!$A$5:$A$114,0),MATCH($R45,LAMINA_HORA!$W$3:$AP$3,0)),"?"))</f>
        <v/>
      </c>
      <c r="U45" s="16" t="n">
        <v>0.451</v>
      </c>
      <c r="V45" s="17">
        <f>IF(OR($S45="",$S45="?",$F45=""),"",$S45*$F45*10)</f>
        <v/>
      </c>
      <c r="W45" s="17">
        <f>IF(OR($V45="",$U45=""),"",$V45*$U45)</f>
        <v/>
      </c>
      <c r="X45" s="10">
        <f>IF($K45="PENDENTE","Definir Kc",IF($P45="","-",IF($P45&gt;=TURNO,"IRRIGAR",IF($P45&gt;=TURNO*FRAC_ACOMP,"Acompanhar","Aguardar"))))</f>
        <v/>
      </c>
      <c r="Y45" s="10">
        <f>IF(OR($P45="",$P45=0),"-",IF($P45&gt;=2*TURNO,"Alta",IF($P45&gt;=TURNO,"Media","Baixa")))</f>
        <v/>
      </c>
      <c r="Z45" s="5" t="inlineStr">
        <is>
          <t>SOJA_MEDIA</t>
        </is>
      </c>
      <c r="AA45" s="7" t="inlineStr">
        <is>
          <t>P40</t>
        </is>
      </c>
    </row>
    <row r="46" hidden="1">
      <c r="A46" s="5" t="inlineStr">
        <is>
          <t>Pivô 41</t>
        </is>
      </c>
      <c r="B46" s="5" t="inlineStr">
        <is>
          <t>Modulo 2</t>
        </is>
      </c>
      <c r="C46" s="5" t="inlineStr">
        <is>
          <t>R9</t>
        </is>
      </c>
      <c r="D46" s="6" t="inlineStr">
        <is>
          <t>NEO 761 I2X</t>
        </is>
      </c>
      <c r="E46" s="7" t="inlineStr">
        <is>
          <t>PRECOCE</t>
        </is>
      </c>
      <c r="F46" s="8" t="n">
        <v>138</v>
      </c>
      <c r="G46" s="9" t="n">
        <v>46305</v>
      </c>
      <c r="H46" s="10">
        <f>IF(OR($G46="",$G46&gt;DATA_REF),"NAO","SIM")</f>
        <v/>
      </c>
      <c r="I46" s="11">
        <f>IF(OR($G46="",$G46&gt;DATA_REF),"",DATA_REF-$G46)</f>
        <v/>
      </c>
      <c r="J46" s="11">
        <f>IF($I46="","",MAX(0,$I46-5))</f>
        <v/>
      </c>
      <c r="K46" s="12">
        <f>IF($Z46="","PENDENTE",IF($I46="","",IFERROR(INDEX(CURVAS_KC!$B$5:$J$224,MATCH(MIN(MAX($J46,1),220),CURVAS_KC!$A$5:$A$224,0),MATCH($Z46,CURVAS_KC!$B$4:$J$4,0)),"PENDENTE")))</f>
        <v/>
      </c>
      <c r="L46" s="9">
        <f>IF($G46="","",$G46)</f>
        <v/>
      </c>
      <c r="M46" s="13">
        <f>IF($L46="","",SUMIFS(ETO_SEMANAL!$B$6:$B$65,ETO_SEMANAL!$A$6:$A$65,"&gt;"&amp;$L46,ETO_SEMANAL!$A$6:$A$65,"&lt;="&amp;DATA_REF))</f>
        <v/>
      </c>
      <c r="N46" s="13">
        <f>IF($L46="","",SUMIFS(ETO_SEMANAL!$C$6:$C$65,ETO_SEMANAL!$A$6:$A$65,"&gt;"&amp;$L46,ETO_SEMANAL!$A$6:$A$65,"&lt;="&amp;DATA_REF))</f>
        <v/>
      </c>
      <c r="O46" s="13">
        <f>IF(OR($K46="",$K46="PENDENTE",$M46=""),"",$K46*$M46)</f>
        <v/>
      </c>
      <c r="P46" s="13">
        <f>IF($O46="","",MAX(0,$O46-N($N46)))</f>
        <v/>
      </c>
      <c r="Q46" s="14">
        <f>IF($P46="","",$P46/EF_APLIC)</f>
        <v/>
      </c>
      <c r="R46" s="7" t="n"/>
      <c r="S46" s="15">
        <f>IF(OR($AA46="",$R46=""),"",IFERROR(INDEX(LAMINA_HORA!$C$5:$V$114,MATCH($AA46,LAMINA_HORA!$A$5:$A$114,0),MATCH($R46,LAMINA_HORA!$C$3:$V$3,0)),"?"))</f>
        <v/>
      </c>
      <c r="T46" s="15">
        <f>IF(OR($AA46="",$R46=""),"",IFERROR(INDEX(LAMINA_HORA!$W$5:$AP$114,MATCH($AA46,LAMINA_HORA!$A$5:$A$114,0),MATCH($R46,LAMINA_HORA!$W$3:$AP$3,0)),"?"))</f>
        <v/>
      </c>
      <c r="U46" s="16" t="n">
        <v>0.452</v>
      </c>
      <c r="V46" s="17">
        <f>IF(OR($S46="",$S46="?",$F46=""),"",$S46*$F46*10)</f>
        <v/>
      </c>
      <c r="W46" s="17">
        <f>IF(OR($V46="",$U46=""),"",$V46*$U46)</f>
        <v/>
      </c>
      <c r="X46" s="10">
        <f>IF($K46="PENDENTE","Definir Kc",IF($P46="","-",IF($P46&gt;=TURNO,"IRRIGAR",IF($P46&gt;=TURNO*FRAC_ACOMP,"Acompanhar","Aguardar"))))</f>
        <v/>
      </c>
      <c r="Y46" s="10">
        <f>IF(OR($P46="",$P46=0),"-",IF($P46&gt;=2*TURNO,"Alta",IF($P46&gt;=TURNO,"Media","Baixa")))</f>
        <v/>
      </c>
      <c r="Z46" s="5" t="inlineStr">
        <is>
          <t>SOJA_PRECOCE</t>
        </is>
      </c>
      <c r="AA46" s="7" t="inlineStr">
        <is>
          <t>P41</t>
        </is>
      </c>
    </row>
    <row r="47" hidden="1">
      <c r="A47" s="5" t="inlineStr">
        <is>
          <t>Pivô 42</t>
        </is>
      </c>
      <c r="B47" s="5" t="inlineStr">
        <is>
          <t>Modulo 2</t>
        </is>
      </c>
      <c r="C47" s="5" t="inlineStr">
        <is>
          <t>R9</t>
        </is>
      </c>
      <c r="D47" s="6" t="inlineStr">
        <is>
          <t>BMX Olimpo IPRO</t>
        </is>
      </c>
      <c r="E47" s="7" t="inlineStr">
        <is>
          <t>MEDIA</t>
        </is>
      </c>
      <c r="F47" s="8" t="n">
        <v>100</v>
      </c>
      <c r="G47" s="9" t="n">
        <v>46307</v>
      </c>
      <c r="H47" s="10">
        <f>IF(OR($G47="",$G47&gt;DATA_REF),"NAO","SIM")</f>
        <v/>
      </c>
      <c r="I47" s="11">
        <f>IF(OR($G47="",$G47&gt;DATA_REF),"",DATA_REF-$G47)</f>
        <v/>
      </c>
      <c r="J47" s="11">
        <f>IF($I47="","",MAX(0,$I47-5))</f>
        <v/>
      </c>
      <c r="K47" s="12">
        <f>IF($Z47="","PENDENTE",IF($I47="","",IFERROR(INDEX(CURVAS_KC!$B$5:$J$224,MATCH(MIN(MAX($J47,1),220),CURVAS_KC!$A$5:$A$224,0),MATCH($Z47,CURVAS_KC!$B$4:$J$4,0)),"PENDENTE")))</f>
        <v/>
      </c>
      <c r="L47" s="9">
        <f>IF($G47="","",$G47)</f>
        <v/>
      </c>
      <c r="M47" s="13">
        <f>IF($L47="","",SUMIFS(ETO_SEMANAL!$B$6:$B$65,ETO_SEMANAL!$A$6:$A$65,"&gt;"&amp;$L47,ETO_SEMANAL!$A$6:$A$65,"&lt;="&amp;DATA_REF))</f>
        <v/>
      </c>
      <c r="N47" s="13">
        <f>IF($L47="","",SUMIFS(ETO_SEMANAL!$C$6:$C$65,ETO_SEMANAL!$A$6:$A$65,"&gt;"&amp;$L47,ETO_SEMANAL!$A$6:$A$65,"&lt;="&amp;DATA_REF))</f>
        <v/>
      </c>
      <c r="O47" s="13">
        <f>IF(OR($K47="",$K47="PENDENTE",$M47=""),"",$K47*$M47)</f>
        <v/>
      </c>
      <c r="P47" s="13">
        <f>IF($O47="","",MAX(0,$O47-N($N47)))</f>
        <v/>
      </c>
      <c r="Q47" s="14">
        <f>IF($P47="","",$P47/EF_APLIC)</f>
        <v/>
      </c>
      <c r="R47" s="7" t="n"/>
      <c r="S47" s="15">
        <f>IF(OR($AA47="",$R47=""),"",IFERROR(INDEX(LAMINA_HORA!$C$5:$V$114,MATCH($AA47,LAMINA_HORA!$A$5:$A$114,0),MATCH($R47,LAMINA_HORA!$C$3:$V$3,0)),"?"))</f>
        <v/>
      </c>
      <c r="T47" s="15">
        <f>IF(OR($AA47="",$R47=""),"",IFERROR(INDEX(LAMINA_HORA!$W$5:$AP$114,MATCH($AA47,LAMINA_HORA!$A$5:$A$114,0),MATCH($R47,LAMINA_HORA!$W$3:$AP$3,0)),"?"))</f>
        <v/>
      </c>
      <c r="U47" s="16" t="n">
        <v>0.461</v>
      </c>
      <c r="V47" s="17">
        <f>IF(OR($S47="",$S47="?",$F47=""),"",$S47*$F47*10)</f>
        <v/>
      </c>
      <c r="W47" s="17">
        <f>IF(OR($V47="",$U47=""),"",$V47*$U47)</f>
        <v/>
      </c>
      <c r="X47" s="10">
        <f>IF($K47="PENDENTE","Definir Kc",IF($P47="","-",IF($P47&gt;=TURNO,"IRRIGAR",IF($P47&gt;=TURNO*FRAC_ACOMP,"Acompanhar","Aguardar"))))</f>
        <v/>
      </c>
      <c r="Y47" s="10">
        <f>IF(OR($P47="",$P47=0),"-",IF($P47&gt;=2*TURNO,"Alta",IF($P47&gt;=TURNO,"Media","Baixa")))</f>
        <v/>
      </c>
      <c r="Z47" s="5" t="inlineStr">
        <is>
          <t>SOJA_MEDIA</t>
        </is>
      </c>
      <c r="AA47" s="7" t="inlineStr">
        <is>
          <t>P42</t>
        </is>
      </c>
    </row>
    <row r="48" hidden="1">
      <c r="A48" s="5" t="inlineStr">
        <is>
          <t>Pivô 43</t>
        </is>
      </c>
      <c r="B48" s="5" t="inlineStr">
        <is>
          <t>Modulo 2</t>
        </is>
      </c>
      <c r="C48" s="5" t="inlineStr">
        <is>
          <t>R9</t>
        </is>
      </c>
      <c r="D48" s="6" t="inlineStr">
        <is>
          <t>NEO 761 I2X</t>
        </is>
      </c>
      <c r="E48" s="7" t="inlineStr">
        <is>
          <t>PRECOCE</t>
        </is>
      </c>
      <c r="F48" s="8" t="n">
        <v>138</v>
      </c>
      <c r="G48" s="9" t="n">
        <v>46307</v>
      </c>
      <c r="H48" s="10">
        <f>IF(OR($G48="",$G48&gt;DATA_REF),"NAO","SIM")</f>
        <v/>
      </c>
      <c r="I48" s="11">
        <f>IF(OR($G48="",$G48&gt;DATA_REF),"",DATA_REF-$G48)</f>
        <v/>
      </c>
      <c r="J48" s="11">
        <f>IF($I48="","",MAX(0,$I48-5))</f>
        <v/>
      </c>
      <c r="K48" s="12">
        <f>IF($Z48="","PENDENTE",IF($I48="","",IFERROR(INDEX(CURVAS_KC!$B$5:$J$224,MATCH(MIN(MAX($J48,1),220),CURVAS_KC!$A$5:$A$224,0),MATCH($Z48,CURVAS_KC!$B$4:$J$4,0)),"PENDENTE")))</f>
        <v/>
      </c>
      <c r="L48" s="9">
        <f>IF($G48="","",$G48)</f>
        <v/>
      </c>
      <c r="M48" s="13">
        <f>IF($L48="","",SUMIFS(ETO_SEMANAL!$B$6:$B$65,ETO_SEMANAL!$A$6:$A$65,"&gt;"&amp;$L48,ETO_SEMANAL!$A$6:$A$65,"&lt;="&amp;DATA_REF))</f>
        <v/>
      </c>
      <c r="N48" s="13">
        <f>IF($L48="","",SUMIFS(ETO_SEMANAL!$C$6:$C$65,ETO_SEMANAL!$A$6:$A$65,"&gt;"&amp;$L48,ETO_SEMANAL!$A$6:$A$65,"&lt;="&amp;DATA_REF))</f>
        <v/>
      </c>
      <c r="O48" s="13">
        <f>IF(OR($K48="",$K48="PENDENTE",$M48=""),"",$K48*$M48)</f>
        <v/>
      </c>
      <c r="P48" s="13">
        <f>IF($O48="","",MAX(0,$O48-N($N48)))</f>
        <v/>
      </c>
      <c r="Q48" s="14">
        <f>IF($P48="","",$P48/EF_APLIC)</f>
        <v/>
      </c>
      <c r="R48" s="7" t="n"/>
      <c r="S48" s="15">
        <f>IF(OR($AA48="",$R48=""),"",IFERROR(INDEX(LAMINA_HORA!$C$5:$V$114,MATCH($AA48,LAMINA_HORA!$A$5:$A$114,0),MATCH($R48,LAMINA_HORA!$C$3:$V$3,0)),"?"))</f>
        <v/>
      </c>
      <c r="T48" s="15">
        <f>IF(OR($AA48="",$R48=""),"",IFERROR(INDEX(LAMINA_HORA!$W$5:$AP$114,MATCH($AA48,LAMINA_HORA!$A$5:$A$114,0),MATCH($R48,LAMINA_HORA!$W$3:$AP$3,0)),"?"))</f>
        <v/>
      </c>
      <c r="U48" s="16" t="n">
        <v>0.452</v>
      </c>
      <c r="V48" s="17">
        <f>IF(OR($S48="",$S48="?",$F48=""),"",$S48*$F48*10)</f>
        <v/>
      </c>
      <c r="W48" s="17">
        <f>IF(OR($V48="",$U48=""),"",$V48*$U48)</f>
        <v/>
      </c>
      <c r="X48" s="10">
        <f>IF($K48="PENDENTE","Definir Kc",IF($P48="","-",IF($P48&gt;=TURNO,"IRRIGAR",IF($P48&gt;=TURNO*FRAC_ACOMP,"Acompanhar","Aguardar"))))</f>
        <v/>
      </c>
      <c r="Y48" s="10">
        <f>IF(OR($P48="",$P48=0),"-",IF($P48&gt;=2*TURNO,"Alta",IF($P48&gt;=TURNO,"Media","Baixa")))</f>
        <v/>
      </c>
      <c r="Z48" s="5" t="inlineStr">
        <is>
          <t>SOJA_PRECOCE</t>
        </is>
      </c>
      <c r="AA48" s="7" t="inlineStr">
        <is>
          <t>P43</t>
        </is>
      </c>
    </row>
    <row r="49" hidden="1">
      <c r="A49" s="5" t="inlineStr">
        <is>
          <t>Pivô 45</t>
        </is>
      </c>
      <c r="B49" s="5" t="inlineStr">
        <is>
          <t>Modulo 2</t>
        </is>
      </c>
      <c r="C49" s="5" t="inlineStr">
        <is>
          <t>R11</t>
        </is>
      </c>
      <c r="D49" s="6" t="inlineStr">
        <is>
          <t>CZ 58B10 I2X</t>
        </is>
      </c>
      <c r="E49" s="7" t="inlineStr">
        <is>
          <t>MEDIA</t>
        </is>
      </c>
      <c r="F49" s="8" t="n">
        <v>123</v>
      </c>
      <c r="G49" s="9" t="n">
        <v>46338</v>
      </c>
      <c r="H49" s="10">
        <f>IF(OR($G49="",$G49&gt;DATA_REF),"NAO","SIM")</f>
        <v/>
      </c>
      <c r="I49" s="11">
        <f>IF(OR($G49="",$G49&gt;DATA_REF),"",DATA_REF-$G49)</f>
        <v/>
      </c>
      <c r="J49" s="11">
        <f>IF($I49="","",MAX(0,$I49-5))</f>
        <v/>
      </c>
      <c r="K49" s="12">
        <f>IF($Z49="","PENDENTE",IF($I49="","",IFERROR(INDEX(CURVAS_KC!$B$5:$J$224,MATCH(MIN(MAX($J49,1),220),CURVAS_KC!$A$5:$A$224,0),MATCH($Z49,CURVAS_KC!$B$4:$J$4,0)),"PENDENTE")))</f>
        <v/>
      </c>
      <c r="L49" s="9">
        <f>IF($G49="","",$G49)</f>
        <v/>
      </c>
      <c r="M49" s="13">
        <f>IF($L49="","",SUMIFS(ETO_SEMANAL!$B$6:$B$65,ETO_SEMANAL!$A$6:$A$65,"&gt;"&amp;$L49,ETO_SEMANAL!$A$6:$A$65,"&lt;="&amp;DATA_REF))</f>
        <v/>
      </c>
      <c r="N49" s="13">
        <f>IF($L49="","",SUMIFS(ETO_SEMANAL!$C$6:$C$65,ETO_SEMANAL!$A$6:$A$65,"&gt;"&amp;$L49,ETO_SEMANAL!$A$6:$A$65,"&lt;="&amp;DATA_REF))</f>
        <v/>
      </c>
      <c r="O49" s="13">
        <f>IF(OR($K49="",$K49="PENDENTE",$M49=""),"",$K49*$M49)</f>
        <v/>
      </c>
      <c r="P49" s="13">
        <f>IF($O49="","",MAX(0,$O49-N($N49)))</f>
        <v/>
      </c>
      <c r="Q49" s="14">
        <f>IF($P49="","",$P49/EF_APLIC)</f>
        <v/>
      </c>
      <c r="R49" s="7" t="n"/>
      <c r="S49" s="15">
        <f>IF(OR($AA49="",$R49=""),"",IFERROR(INDEX(LAMINA_HORA!$C$5:$V$114,MATCH($AA49,LAMINA_HORA!$A$5:$A$114,0),MATCH($R49,LAMINA_HORA!$C$3:$V$3,0)),"?"))</f>
        <v/>
      </c>
      <c r="T49" s="15">
        <f>IF(OR($AA49="",$R49=""),"",IFERROR(INDEX(LAMINA_HORA!$W$5:$AP$114,MATCH($AA49,LAMINA_HORA!$A$5:$A$114,0),MATCH($R49,LAMINA_HORA!$W$3:$AP$3,0)),"?"))</f>
        <v/>
      </c>
      <c r="U49" s="16" t="n">
        <v>0.505</v>
      </c>
      <c r="V49" s="17">
        <f>IF(OR($S49="",$S49="?",$F49=""),"",$S49*$F49*10)</f>
        <v/>
      </c>
      <c r="W49" s="17">
        <f>IF(OR($V49="",$U49=""),"",$V49*$U49)</f>
        <v/>
      </c>
      <c r="X49" s="10">
        <f>IF($K49="PENDENTE","Definir Kc",IF($P49="","-",IF($P49&gt;=TURNO,"IRRIGAR",IF($P49&gt;=TURNO*FRAC_ACOMP,"Acompanhar","Aguardar"))))</f>
        <v/>
      </c>
      <c r="Y49" s="10">
        <f>IF(OR($P49="",$P49=0),"-",IF($P49&gt;=2*TURNO,"Alta",IF($P49&gt;=TURNO,"Media","Baixa")))</f>
        <v/>
      </c>
      <c r="Z49" s="5" t="inlineStr">
        <is>
          <t>SOJA_MEDIA</t>
        </is>
      </c>
      <c r="AA49" s="7" t="inlineStr">
        <is>
          <t>P45</t>
        </is>
      </c>
    </row>
    <row r="50" hidden="1">
      <c r="A50" s="5" t="inlineStr">
        <is>
          <t>Pivô 46</t>
        </is>
      </c>
      <c r="B50" s="5" t="inlineStr">
        <is>
          <t>Modulo 2</t>
        </is>
      </c>
      <c r="C50" s="5" t="inlineStr">
        <is>
          <t>R11</t>
        </is>
      </c>
      <c r="D50" s="6" t="inlineStr">
        <is>
          <t>M8434 12X</t>
        </is>
      </c>
      <c r="E50" s="7" t="inlineStr">
        <is>
          <t>MEDIA</t>
        </is>
      </c>
      <c r="F50" s="8" t="n">
        <v>160</v>
      </c>
      <c r="G50" s="9" t="n">
        <v>46331</v>
      </c>
      <c r="H50" s="10">
        <f>IF(OR($G50="",$G50&gt;DATA_REF),"NAO","SIM")</f>
        <v/>
      </c>
      <c r="I50" s="11">
        <f>IF(OR($G50="",$G50&gt;DATA_REF),"",DATA_REF-$G50)</f>
        <v/>
      </c>
      <c r="J50" s="11">
        <f>IF($I50="","",MAX(0,$I50-5))</f>
        <v/>
      </c>
      <c r="K50" s="12">
        <f>IF($Z50="","PENDENTE",IF($I50="","",IFERROR(INDEX(CURVAS_KC!$B$5:$J$224,MATCH(MIN(MAX($J50,1),220),CURVAS_KC!$A$5:$A$224,0),MATCH($Z50,CURVAS_KC!$B$4:$J$4,0)),"PENDENTE")))</f>
        <v/>
      </c>
      <c r="L50" s="9">
        <f>IF($G50="","",$G50)</f>
        <v/>
      </c>
      <c r="M50" s="13">
        <f>IF($L50="","",SUMIFS(ETO_SEMANAL!$B$6:$B$65,ETO_SEMANAL!$A$6:$A$65,"&gt;"&amp;$L50,ETO_SEMANAL!$A$6:$A$65,"&lt;="&amp;DATA_REF))</f>
        <v/>
      </c>
      <c r="N50" s="13">
        <f>IF($L50="","",SUMIFS(ETO_SEMANAL!$C$6:$C$65,ETO_SEMANAL!$A$6:$A$65,"&gt;"&amp;$L50,ETO_SEMANAL!$A$6:$A$65,"&lt;="&amp;DATA_REF))</f>
        <v/>
      </c>
      <c r="O50" s="13">
        <f>IF(OR($K50="",$K50="PENDENTE",$M50=""),"",$K50*$M50)</f>
        <v/>
      </c>
      <c r="P50" s="13">
        <f>IF($O50="","",MAX(0,$O50-N($N50)))</f>
        <v/>
      </c>
      <c r="Q50" s="14">
        <f>IF($P50="","",$P50/EF_APLIC)</f>
        <v/>
      </c>
      <c r="R50" s="7" t="n"/>
      <c r="S50" s="15">
        <f>IF(OR($AA50="",$R50=""),"",IFERROR(INDEX(LAMINA_HORA!$C$5:$V$114,MATCH($AA50,LAMINA_HORA!$A$5:$A$114,0),MATCH($R50,LAMINA_HORA!$C$3:$V$3,0)),"?"))</f>
        <v/>
      </c>
      <c r="T50" s="15">
        <f>IF(OR($AA50="",$R50=""),"",IFERROR(INDEX(LAMINA_HORA!$W$5:$AP$114,MATCH($AA50,LAMINA_HORA!$A$5:$A$114,0),MATCH($R50,LAMINA_HORA!$W$3:$AP$3,0)),"?"))</f>
        <v/>
      </c>
      <c r="U50" s="16" t="n">
        <v>0.465</v>
      </c>
      <c r="V50" s="17">
        <f>IF(OR($S50="",$S50="?",$F50=""),"",$S50*$F50*10)</f>
        <v/>
      </c>
      <c r="W50" s="17">
        <f>IF(OR($V50="",$U50=""),"",$V50*$U50)</f>
        <v/>
      </c>
      <c r="X50" s="10">
        <f>IF($K50="PENDENTE","Definir Kc",IF($P50="","-",IF($P50&gt;=TURNO,"IRRIGAR",IF($P50&gt;=TURNO*FRAC_ACOMP,"Acompanhar","Aguardar"))))</f>
        <v/>
      </c>
      <c r="Y50" s="10">
        <f>IF(OR($P50="",$P50=0),"-",IF($P50&gt;=2*TURNO,"Alta",IF($P50&gt;=TURNO,"Media","Baixa")))</f>
        <v/>
      </c>
      <c r="Z50" s="5" t="inlineStr">
        <is>
          <t>SOJA_MEDIA</t>
        </is>
      </c>
      <c r="AA50" s="7" t="inlineStr">
        <is>
          <t>P46</t>
        </is>
      </c>
    </row>
    <row r="51" hidden="1">
      <c r="A51" s="5" t="inlineStr">
        <is>
          <t>Pivô 47</t>
        </is>
      </c>
      <c r="B51" s="5" t="inlineStr">
        <is>
          <t>Modulo 2</t>
        </is>
      </c>
      <c r="C51" s="5" t="inlineStr">
        <is>
          <t>R11</t>
        </is>
      </c>
      <c r="D51" s="6" t="inlineStr">
        <is>
          <t>M8434 12X</t>
        </is>
      </c>
      <c r="E51" s="7" t="inlineStr">
        <is>
          <t>MEDIA</t>
        </is>
      </c>
      <c r="F51" s="8" t="n">
        <v>160</v>
      </c>
      <c r="G51" s="9" t="n">
        <v>46312</v>
      </c>
      <c r="H51" s="10">
        <f>IF(OR($G51="",$G51&gt;DATA_REF),"NAO","SIM")</f>
        <v/>
      </c>
      <c r="I51" s="11">
        <f>IF(OR($G51="",$G51&gt;DATA_REF),"",DATA_REF-$G51)</f>
        <v/>
      </c>
      <c r="J51" s="11">
        <f>IF($I51="","",MAX(0,$I51-5))</f>
        <v/>
      </c>
      <c r="K51" s="12">
        <f>IF($Z51="","PENDENTE",IF($I51="","",IFERROR(INDEX(CURVAS_KC!$B$5:$J$224,MATCH(MIN(MAX($J51,1),220),CURVAS_KC!$A$5:$A$224,0),MATCH($Z51,CURVAS_KC!$B$4:$J$4,0)),"PENDENTE")))</f>
        <v/>
      </c>
      <c r="L51" s="9">
        <f>IF($G51="","",$G51)</f>
        <v/>
      </c>
      <c r="M51" s="13">
        <f>IF($L51="","",SUMIFS(ETO_SEMANAL!$B$6:$B$65,ETO_SEMANAL!$A$6:$A$65,"&gt;"&amp;$L51,ETO_SEMANAL!$A$6:$A$65,"&lt;="&amp;DATA_REF))</f>
        <v/>
      </c>
      <c r="N51" s="13">
        <f>IF($L51="","",SUMIFS(ETO_SEMANAL!$C$6:$C$65,ETO_SEMANAL!$A$6:$A$65,"&gt;"&amp;$L51,ETO_SEMANAL!$A$6:$A$65,"&lt;="&amp;DATA_REF))</f>
        <v/>
      </c>
      <c r="O51" s="13">
        <f>IF(OR($K51="",$K51="PENDENTE",$M51=""),"",$K51*$M51)</f>
        <v/>
      </c>
      <c r="P51" s="13">
        <f>IF($O51="","",MAX(0,$O51-N($N51)))</f>
        <v/>
      </c>
      <c r="Q51" s="14">
        <f>IF($P51="","",$P51/EF_APLIC)</f>
        <v/>
      </c>
      <c r="R51" s="7" t="n"/>
      <c r="S51" s="15">
        <f>IF(OR($AA51="",$R51=""),"",IFERROR(INDEX(LAMINA_HORA!$C$5:$V$114,MATCH($AA51,LAMINA_HORA!$A$5:$A$114,0),MATCH($R51,LAMINA_HORA!$C$3:$V$3,0)),"?"))</f>
        <v/>
      </c>
      <c r="T51" s="15">
        <f>IF(OR($AA51="",$R51=""),"",IFERROR(INDEX(LAMINA_HORA!$W$5:$AP$114,MATCH($AA51,LAMINA_HORA!$A$5:$A$114,0),MATCH($R51,LAMINA_HORA!$W$3:$AP$3,0)),"?"))</f>
        <v/>
      </c>
      <c r="U51" s="16" t="n">
        <v>0.537</v>
      </c>
      <c r="V51" s="17">
        <f>IF(OR($S51="",$S51="?",$F51=""),"",$S51*$F51*10)</f>
        <v/>
      </c>
      <c r="W51" s="17">
        <f>IF(OR($V51="",$U51=""),"",$V51*$U51)</f>
        <v/>
      </c>
      <c r="X51" s="10">
        <f>IF($K51="PENDENTE","Definir Kc",IF($P51="","-",IF($P51&gt;=TURNO,"IRRIGAR",IF($P51&gt;=TURNO*FRAC_ACOMP,"Acompanhar","Aguardar"))))</f>
        <v/>
      </c>
      <c r="Y51" s="10">
        <f>IF(OR($P51="",$P51=0),"-",IF($P51&gt;=2*TURNO,"Alta",IF($P51&gt;=TURNO,"Media","Baixa")))</f>
        <v/>
      </c>
      <c r="Z51" s="5" t="inlineStr">
        <is>
          <t>SOJA_MEDIA</t>
        </is>
      </c>
      <c r="AA51" s="7" t="inlineStr">
        <is>
          <t>P47</t>
        </is>
      </c>
    </row>
    <row r="52" hidden="1">
      <c r="A52" s="5" t="inlineStr">
        <is>
          <t>Pivô 48</t>
        </is>
      </c>
      <c r="B52" s="5" t="inlineStr">
        <is>
          <t>Modulo 2</t>
        </is>
      </c>
      <c r="C52" s="5" t="inlineStr">
        <is>
          <t>R11</t>
        </is>
      </c>
      <c r="D52" s="6" t="inlineStr">
        <is>
          <t>M8434 12X</t>
        </is>
      </c>
      <c r="E52" s="7" t="inlineStr">
        <is>
          <t>MEDIA</t>
        </is>
      </c>
      <c r="F52" s="8" t="n">
        <v>160</v>
      </c>
      <c r="G52" s="9" t="n">
        <v>46314</v>
      </c>
      <c r="H52" s="10">
        <f>IF(OR($G52="",$G52&gt;DATA_REF),"NAO","SIM")</f>
        <v/>
      </c>
      <c r="I52" s="11">
        <f>IF(OR($G52="",$G52&gt;DATA_REF),"",DATA_REF-$G52)</f>
        <v/>
      </c>
      <c r="J52" s="11">
        <f>IF($I52="","",MAX(0,$I52-5))</f>
        <v/>
      </c>
      <c r="K52" s="12">
        <f>IF($Z52="","PENDENTE",IF($I52="","",IFERROR(INDEX(CURVAS_KC!$B$5:$J$224,MATCH(MIN(MAX($J52,1),220),CURVAS_KC!$A$5:$A$224,0),MATCH($Z52,CURVAS_KC!$B$4:$J$4,0)),"PENDENTE")))</f>
        <v/>
      </c>
      <c r="L52" s="9">
        <f>IF($G52="","",$G52)</f>
        <v/>
      </c>
      <c r="M52" s="13">
        <f>IF($L52="","",SUMIFS(ETO_SEMANAL!$B$6:$B$65,ETO_SEMANAL!$A$6:$A$65,"&gt;"&amp;$L52,ETO_SEMANAL!$A$6:$A$65,"&lt;="&amp;DATA_REF))</f>
        <v/>
      </c>
      <c r="N52" s="13">
        <f>IF($L52="","",SUMIFS(ETO_SEMANAL!$C$6:$C$65,ETO_SEMANAL!$A$6:$A$65,"&gt;"&amp;$L52,ETO_SEMANAL!$A$6:$A$65,"&lt;="&amp;DATA_REF))</f>
        <v/>
      </c>
      <c r="O52" s="13">
        <f>IF(OR($K52="",$K52="PENDENTE",$M52=""),"",$K52*$M52)</f>
        <v/>
      </c>
      <c r="P52" s="13">
        <f>IF($O52="","",MAX(0,$O52-N($N52)))</f>
        <v/>
      </c>
      <c r="Q52" s="14">
        <f>IF($P52="","",$P52/EF_APLIC)</f>
        <v/>
      </c>
      <c r="R52" s="7" t="n"/>
      <c r="S52" s="15">
        <f>IF(OR($AA52="",$R52=""),"",IFERROR(INDEX(LAMINA_HORA!$C$5:$V$114,MATCH($AA52,LAMINA_HORA!$A$5:$A$114,0),MATCH($R52,LAMINA_HORA!$C$3:$V$3,0)),"?"))</f>
        <v/>
      </c>
      <c r="T52" s="15">
        <f>IF(OR($AA52="",$R52=""),"",IFERROR(INDEX(LAMINA_HORA!$W$5:$AP$114,MATCH($AA52,LAMINA_HORA!$A$5:$A$114,0),MATCH($R52,LAMINA_HORA!$W$3:$AP$3,0)),"?"))</f>
        <v/>
      </c>
      <c r="U52" s="16" t="n">
        <v>0.434</v>
      </c>
      <c r="V52" s="17">
        <f>IF(OR($S52="",$S52="?",$F52=""),"",$S52*$F52*10)</f>
        <v/>
      </c>
      <c r="W52" s="17">
        <f>IF(OR($V52="",$U52=""),"",$V52*$U52)</f>
        <v/>
      </c>
      <c r="X52" s="10">
        <f>IF($K52="PENDENTE","Definir Kc",IF($P52="","-",IF($P52&gt;=TURNO,"IRRIGAR",IF($P52&gt;=TURNO*FRAC_ACOMP,"Acompanhar","Aguardar"))))</f>
        <v/>
      </c>
      <c r="Y52" s="10">
        <f>IF(OR($P52="",$P52=0),"-",IF($P52&gt;=2*TURNO,"Alta",IF($P52&gt;=TURNO,"Media","Baixa")))</f>
        <v/>
      </c>
      <c r="Z52" s="5" t="inlineStr">
        <is>
          <t>SOJA_MEDIA</t>
        </is>
      </c>
      <c r="AA52" s="7" t="inlineStr">
        <is>
          <t>P48</t>
        </is>
      </c>
    </row>
    <row r="53" hidden="1">
      <c r="A53" s="5" t="inlineStr">
        <is>
          <t>Pivô 49</t>
        </is>
      </c>
      <c r="B53" s="5" t="inlineStr">
        <is>
          <t>Modulo 2</t>
        </is>
      </c>
      <c r="C53" s="5" t="inlineStr">
        <is>
          <t>R11</t>
        </is>
      </c>
      <c r="D53" s="6" t="inlineStr">
        <is>
          <t>M8434 12X</t>
        </is>
      </c>
      <c r="E53" s="7" t="inlineStr">
        <is>
          <t>MEDIA</t>
        </is>
      </c>
      <c r="F53" s="8" t="n">
        <v>125</v>
      </c>
      <c r="G53" s="9" t="n">
        <v>46314</v>
      </c>
      <c r="H53" s="10">
        <f>IF(OR($G53="",$G53&gt;DATA_REF),"NAO","SIM")</f>
        <v/>
      </c>
      <c r="I53" s="11">
        <f>IF(OR($G53="",$G53&gt;DATA_REF),"",DATA_REF-$G53)</f>
        <v/>
      </c>
      <c r="J53" s="11">
        <f>IF($I53="","",MAX(0,$I53-5))</f>
        <v/>
      </c>
      <c r="K53" s="12">
        <f>IF($Z53="","PENDENTE",IF($I53="","",IFERROR(INDEX(CURVAS_KC!$B$5:$J$224,MATCH(MIN(MAX($J53,1),220),CURVAS_KC!$A$5:$A$224,0),MATCH($Z53,CURVAS_KC!$B$4:$J$4,0)),"PENDENTE")))</f>
        <v/>
      </c>
      <c r="L53" s="9">
        <f>IF($G53="","",$G53)</f>
        <v/>
      </c>
      <c r="M53" s="13">
        <f>IF($L53="","",SUMIFS(ETO_SEMANAL!$B$6:$B$65,ETO_SEMANAL!$A$6:$A$65,"&gt;"&amp;$L53,ETO_SEMANAL!$A$6:$A$65,"&lt;="&amp;DATA_REF))</f>
        <v/>
      </c>
      <c r="N53" s="13">
        <f>IF($L53="","",SUMIFS(ETO_SEMANAL!$C$6:$C$65,ETO_SEMANAL!$A$6:$A$65,"&gt;"&amp;$L53,ETO_SEMANAL!$A$6:$A$65,"&lt;="&amp;DATA_REF))</f>
        <v/>
      </c>
      <c r="O53" s="13">
        <f>IF(OR($K53="",$K53="PENDENTE",$M53=""),"",$K53*$M53)</f>
        <v/>
      </c>
      <c r="P53" s="13">
        <f>IF($O53="","",MAX(0,$O53-N($N53)))</f>
        <v/>
      </c>
      <c r="Q53" s="14">
        <f>IF($P53="","",$P53/EF_APLIC)</f>
        <v/>
      </c>
      <c r="R53" s="7" t="n"/>
      <c r="S53" s="15">
        <f>IF(OR($AA53="",$R53=""),"",IFERROR(INDEX(LAMINA_HORA!$C$5:$V$114,MATCH($AA53,LAMINA_HORA!$A$5:$A$114,0),MATCH($R53,LAMINA_HORA!$C$3:$V$3,0)),"?"))</f>
        <v/>
      </c>
      <c r="T53" s="15">
        <f>IF(OR($AA53="",$R53=""),"",IFERROR(INDEX(LAMINA_HORA!$W$5:$AP$114,MATCH($AA53,LAMINA_HORA!$A$5:$A$114,0),MATCH($R53,LAMINA_HORA!$W$3:$AP$3,0)),"?"))</f>
        <v/>
      </c>
      <c r="U53" s="16" t="n">
        <v>0.475</v>
      </c>
      <c r="V53" s="17">
        <f>IF(OR($S53="",$S53="?",$F53=""),"",$S53*$F53*10)</f>
        <v/>
      </c>
      <c r="W53" s="17">
        <f>IF(OR($V53="",$U53=""),"",$V53*$U53)</f>
        <v/>
      </c>
      <c r="X53" s="10">
        <f>IF($K53="PENDENTE","Definir Kc",IF($P53="","-",IF($P53&gt;=TURNO,"IRRIGAR",IF($P53&gt;=TURNO*FRAC_ACOMP,"Acompanhar","Aguardar"))))</f>
        <v/>
      </c>
      <c r="Y53" s="10">
        <f>IF(OR($P53="",$P53=0),"-",IF($P53&gt;=2*TURNO,"Alta",IF($P53&gt;=TURNO,"Media","Baixa")))</f>
        <v/>
      </c>
      <c r="Z53" s="5" t="inlineStr">
        <is>
          <t>SOJA_MEDIA</t>
        </is>
      </c>
      <c r="AA53" s="7" t="inlineStr">
        <is>
          <t>P49</t>
        </is>
      </c>
    </row>
    <row r="54" hidden="1">
      <c r="A54" s="5" t="inlineStr">
        <is>
          <t>Pivô 52</t>
        </is>
      </c>
      <c r="B54" s="5" t="inlineStr">
        <is>
          <t>Modulo 2</t>
        </is>
      </c>
      <c r="C54" s="5" t="inlineStr">
        <is>
          <t>R12</t>
        </is>
      </c>
      <c r="D54" s="6" t="inlineStr">
        <is>
          <t>M8434 12X</t>
        </is>
      </c>
      <c r="E54" s="7" t="inlineStr">
        <is>
          <t>MEDIA</t>
        </is>
      </c>
      <c r="F54" s="8" t="n">
        <v>160</v>
      </c>
      <c r="G54" s="9" t="n">
        <v>46331</v>
      </c>
      <c r="H54" s="10">
        <f>IF(OR($G54="",$G54&gt;DATA_REF),"NAO","SIM")</f>
        <v/>
      </c>
      <c r="I54" s="11">
        <f>IF(OR($G54="",$G54&gt;DATA_REF),"",DATA_REF-$G54)</f>
        <v/>
      </c>
      <c r="J54" s="11">
        <f>IF($I54="","",MAX(0,$I54-5))</f>
        <v/>
      </c>
      <c r="K54" s="12">
        <f>IF($Z54="","PENDENTE",IF($I54="","",IFERROR(INDEX(CURVAS_KC!$B$5:$J$224,MATCH(MIN(MAX($J54,1),220),CURVAS_KC!$A$5:$A$224,0),MATCH($Z54,CURVAS_KC!$B$4:$J$4,0)),"PENDENTE")))</f>
        <v/>
      </c>
      <c r="L54" s="9">
        <f>IF($G54="","",$G54)</f>
        <v/>
      </c>
      <c r="M54" s="13">
        <f>IF($L54="","",SUMIFS(ETO_SEMANAL!$B$6:$B$65,ETO_SEMANAL!$A$6:$A$65,"&gt;"&amp;$L54,ETO_SEMANAL!$A$6:$A$65,"&lt;="&amp;DATA_REF))</f>
        <v/>
      </c>
      <c r="N54" s="13">
        <f>IF($L54="","",SUMIFS(ETO_SEMANAL!$C$6:$C$65,ETO_SEMANAL!$A$6:$A$65,"&gt;"&amp;$L54,ETO_SEMANAL!$A$6:$A$65,"&lt;="&amp;DATA_REF))</f>
        <v/>
      </c>
      <c r="O54" s="13">
        <f>IF(OR($K54="",$K54="PENDENTE",$M54=""),"",$K54*$M54)</f>
        <v/>
      </c>
      <c r="P54" s="13">
        <f>IF($O54="","",MAX(0,$O54-N($N54)))</f>
        <v/>
      </c>
      <c r="Q54" s="14">
        <f>IF($P54="","",$P54/EF_APLIC)</f>
        <v/>
      </c>
      <c r="R54" s="7" t="n"/>
      <c r="S54" s="15">
        <f>IF(OR($AA54="",$R54=""),"",IFERROR(INDEX(LAMINA_HORA!$C$5:$V$114,MATCH($AA54,LAMINA_HORA!$A$5:$A$114,0),MATCH($R54,LAMINA_HORA!$C$3:$V$3,0)),"?"))</f>
        <v/>
      </c>
      <c r="T54" s="15">
        <f>IF(OR($AA54="",$R54=""),"",IFERROR(INDEX(LAMINA_HORA!$W$5:$AP$114,MATCH($AA54,LAMINA_HORA!$A$5:$A$114,0),MATCH($R54,LAMINA_HORA!$W$3:$AP$3,0)),"?"))</f>
        <v/>
      </c>
      <c r="U54" s="16" t="n">
        <v>0.475</v>
      </c>
      <c r="V54" s="17">
        <f>IF(OR($S54="",$S54="?",$F54=""),"",$S54*$F54*10)</f>
        <v/>
      </c>
      <c r="W54" s="17">
        <f>IF(OR($V54="",$U54=""),"",$V54*$U54)</f>
        <v/>
      </c>
      <c r="X54" s="10">
        <f>IF($K54="PENDENTE","Definir Kc",IF($P54="","-",IF($P54&gt;=TURNO,"IRRIGAR",IF($P54&gt;=TURNO*FRAC_ACOMP,"Acompanhar","Aguardar"))))</f>
        <v/>
      </c>
      <c r="Y54" s="10">
        <f>IF(OR($P54="",$P54=0),"-",IF($P54&gt;=2*TURNO,"Alta",IF($P54&gt;=TURNO,"Media","Baixa")))</f>
        <v/>
      </c>
      <c r="Z54" s="5" t="inlineStr">
        <is>
          <t>SOJA_MEDIA</t>
        </is>
      </c>
      <c r="AA54" s="7" t="inlineStr">
        <is>
          <t>P52</t>
        </is>
      </c>
    </row>
    <row r="55">
      <c r="A55" s="5" t="inlineStr">
        <is>
          <t>Pivô 73</t>
        </is>
      </c>
      <c r="B55" s="5" t="inlineStr">
        <is>
          <t>Modulo 2</t>
        </is>
      </c>
      <c r="C55" s="5" t="inlineStr">
        <is>
          <t>R12</t>
        </is>
      </c>
      <c r="D55" s="6" t="inlineStr">
        <is>
          <t>ATAQUE I2X</t>
        </is>
      </c>
      <c r="E55" s="7" t="inlineStr">
        <is>
          <t>TARDIA</t>
        </is>
      </c>
      <c r="F55" s="8" t="n">
        <v>160</v>
      </c>
      <c r="G55" s="9" t="n">
        <v>46296</v>
      </c>
      <c r="H55" s="10">
        <f>IF(OR($G55="",$G55&gt;DATA_REF),"NAO","SIM")</f>
        <v/>
      </c>
      <c r="I55" s="11">
        <f>IF(OR($G55="",$G55&gt;DATA_REF),"",DATA_REF-$G55)</f>
        <v/>
      </c>
      <c r="J55" s="11">
        <f>IF($I55="","",MAX(0,$I55-5))</f>
        <v/>
      </c>
      <c r="K55" s="12">
        <f>IF($Z55="","PENDENTE",IF($I55="","",IFERROR(INDEX(CURVAS_KC!$B$5:$J$224,MATCH(MIN(MAX($J55,1),220),CURVAS_KC!$A$5:$A$224,0),MATCH($Z55,CURVAS_KC!$B$4:$J$4,0)),"PENDENTE")))</f>
        <v/>
      </c>
      <c r="L55" s="9">
        <f>IF($G55="","",$G55)</f>
        <v/>
      </c>
      <c r="M55" s="13">
        <f>IF($L55="","",SUMIFS(ETO_SEMANAL!$B$6:$B$65,ETO_SEMANAL!$A$6:$A$65,"&gt;"&amp;$L55,ETO_SEMANAL!$A$6:$A$65,"&lt;="&amp;DATA_REF))</f>
        <v/>
      </c>
      <c r="N55" s="13">
        <f>IF($L55="","",SUMIFS(ETO_SEMANAL!$C$6:$C$65,ETO_SEMANAL!$A$6:$A$65,"&gt;"&amp;$L55,ETO_SEMANAL!$A$6:$A$65,"&lt;="&amp;DATA_REF))</f>
        <v/>
      </c>
      <c r="O55" s="13">
        <f>IF(OR($K55="",$K55="PENDENTE",$M55=""),"",$K55*$M55)</f>
        <v/>
      </c>
      <c r="P55" s="13">
        <f>IF($O55="","",MAX(0,$O55-N($N55)))</f>
        <v/>
      </c>
      <c r="Q55" s="14">
        <f>IF($P55="","",$P55/EF_APLIC)</f>
        <v/>
      </c>
      <c r="R55" s="7" t="n"/>
      <c r="S55" s="15">
        <f>IF(OR($AA55="",$R55=""),"",IFERROR(INDEX(LAMINA_HORA!$C$5:$V$114,MATCH($AA55,LAMINA_HORA!$A$5:$A$114,0),MATCH($R55,LAMINA_HORA!$C$3:$V$3,0)),"?"))</f>
        <v/>
      </c>
      <c r="T55" s="15">
        <f>IF(OR($AA55="",$R55=""),"",IFERROR(INDEX(LAMINA_HORA!$W$5:$AP$114,MATCH($AA55,LAMINA_HORA!$A$5:$A$114,0),MATCH($R55,LAMINA_HORA!$W$3:$AP$3,0)),"?"))</f>
        <v/>
      </c>
      <c r="U55" s="16" t="n">
        <v>0.554</v>
      </c>
      <c r="V55" s="17">
        <f>IF(OR($S55="",$S55="?",$F55=""),"",$S55*$F55*10)</f>
        <v/>
      </c>
      <c r="W55" s="17">
        <f>IF(OR($V55="",$U55=""),"",$V55*$U55)</f>
        <v/>
      </c>
      <c r="X55" s="10">
        <f>IF($K55="PENDENTE","Definir Kc",IF($P55="","-",IF($P55&gt;=TURNO,"IRRIGAR",IF($P55&gt;=TURNO*FRAC_ACOMP,"Acompanhar","Aguardar"))))</f>
        <v/>
      </c>
      <c r="Y55" s="10">
        <f>IF(OR($P55="",$P55=0),"-",IF($P55&gt;=2*TURNO,"Alta",IF($P55&gt;=TURNO,"Media","Baixa")))</f>
        <v/>
      </c>
      <c r="Z55" s="5" t="inlineStr">
        <is>
          <t>SOJA_TARDIA</t>
        </is>
      </c>
      <c r="AA55" s="7" t="inlineStr">
        <is>
          <t>P73</t>
        </is>
      </c>
    </row>
    <row r="56">
      <c r="A56" s="5" t="inlineStr">
        <is>
          <t>Pivô 44</t>
        </is>
      </c>
      <c r="B56" s="5" t="inlineStr">
        <is>
          <t>Modulo 3</t>
        </is>
      </c>
      <c r="C56" s="5" t="inlineStr">
        <is>
          <t>R13</t>
        </is>
      </c>
      <c r="D56" s="6" t="inlineStr">
        <is>
          <t>NEO 761 I2X</t>
        </is>
      </c>
      <c r="E56" s="7" t="inlineStr">
        <is>
          <t>PRECOCE</t>
        </is>
      </c>
      <c r="F56" s="8" t="n">
        <v>75</v>
      </c>
      <c r="G56" s="9" t="n">
        <v>46296</v>
      </c>
      <c r="H56" s="10">
        <f>IF(OR($G56="",$G56&gt;DATA_REF),"NAO","SIM")</f>
        <v/>
      </c>
      <c r="I56" s="11">
        <f>IF(OR($G56="",$G56&gt;DATA_REF),"",DATA_REF-$G56)</f>
        <v/>
      </c>
      <c r="J56" s="11">
        <f>IF($I56="","",MAX(0,$I56-5))</f>
        <v/>
      </c>
      <c r="K56" s="12">
        <f>IF($Z56="","PENDENTE",IF($I56="","",IFERROR(INDEX(CURVAS_KC!$B$5:$J$224,MATCH(MIN(MAX($J56,1),220),CURVAS_KC!$A$5:$A$224,0),MATCH($Z56,CURVAS_KC!$B$4:$J$4,0)),"PENDENTE")))</f>
        <v/>
      </c>
      <c r="L56" s="9">
        <f>IF($G56="","",$G56)</f>
        <v/>
      </c>
      <c r="M56" s="13">
        <f>IF($L56="","",SUMIFS(ETO_SEMANAL!$B$6:$B$65,ETO_SEMANAL!$A$6:$A$65,"&gt;"&amp;$L56,ETO_SEMANAL!$A$6:$A$65,"&lt;="&amp;DATA_REF))</f>
        <v/>
      </c>
      <c r="N56" s="13">
        <f>IF($L56="","",SUMIFS(ETO_SEMANAL!$C$6:$C$65,ETO_SEMANAL!$A$6:$A$65,"&gt;"&amp;$L56,ETO_SEMANAL!$A$6:$A$65,"&lt;="&amp;DATA_REF))</f>
        <v/>
      </c>
      <c r="O56" s="13">
        <f>IF(OR($K56="",$K56="PENDENTE",$M56=""),"",$K56*$M56)</f>
        <v/>
      </c>
      <c r="P56" s="13">
        <f>IF($O56="","",MAX(0,$O56-N($N56)))</f>
        <v/>
      </c>
      <c r="Q56" s="14">
        <f>IF($P56="","",$P56/EF_APLIC)</f>
        <v/>
      </c>
      <c r="R56" s="7" t="n"/>
      <c r="S56" s="15">
        <f>IF(OR($AA56="",$R56=""),"",IFERROR(INDEX(LAMINA_HORA!$C$5:$V$114,MATCH($AA56,LAMINA_HORA!$A$5:$A$114,0),MATCH($R56,LAMINA_HORA!$C$3:$V$3,0)),"?"))</f>
        <v/>
      </c>
      <c r="T56" s="15">
        <f>IF(OR($AA56="",$R56=""),"",IFERROR(INDEX(LAMINA_HORA!$W$5:$AP$114,MATCH($AA56,LAMINA_HORA!$A$5:$A$114,0),MATCH($R56,LAMINA_HORA!$W$3:$AP$3,0)),"?"))</f>
        <v/>
      </c>
      <c r="U56" s="16" t="n">
        <v>0.735</v>
      </c>
      <c r="V56" s="17">
        <f>IF(OR($S56="",$S56="?",$F56=""),"",$S56*$F56*10)</f>
        <v/>
      </c>
      <c r="W56" s="17">
        <f>IF(OR($V56="",$U56=""),"",$V56*$U56)</f>
        <v/>
      </c>
      <c r="X56" s="10">
        <f>IF($K56="PENDENTE","Definir Kc",IF($P56="","-",IF($P56&gt;=TURNO,"IRRIGAR",IF($P56&gt;=TURNO*FRAC_ACOMP,"Acompanhar","Aguardar"))))</f>
        <v/>
      </c>
      <c r="Y56" s="10">
        <f>IF(OR($P56="",$P56=0),"-",IF($P56&gt;=2*TURNO,"Alta",IF($P56&gt;=TURNO,"Media","Baixa")))</f>
        <v/>
      </c>
      <c r="Z56" s="5" t="inlineStr">
        <is>
          <t>SOJA_PRECOCE</t>
        </is>
      </c>
      <c r="AA56" s="7" t="inlineStr">
        <is>
          <t>P44</t>
        </is>
      </c>
    </row>
    <row r="57" hidden="1">
      <c r="A57" s="5" t="inlineStr">
        <is>
          <t>Pivô 50</t>
        </is>
      </c>
      <c r="B57" s="5" t="inlineStr">
        <is>
          <t>Modulo 3</t>
        </is>
      </c>
      <c r="C57" s="5" t="inlineStr">
        <is>
          <t>R14</t>
        </is>
      </c>
      <c r="D57" s="6" t="inlineStr">
        <is>
          <t>CZ 48B18 IPRO</t>
        </is>
      </c>
      <c r="E57" s="7" t="inlineStr">
        <is>
          <t>MEDIA</t>
        </is>
      </c>
      <c r="F57" s="8" t="n">
        <v>120</v>
      </c>
      <c r="G57" s="9" t="n">
        <v>46352</v>
      </c>
      <c r="H57" s="10">
        <f>IF(OR($G57="",$G57&gt;DATA_REF),"NAO","SIM")</f>
        <v/>
      </c>
      <c r="I57" s="11">
        <f>IF(OR($G57="",$G57&gt;DATA_REF),"",DATA_REF-$G57)</f>
        <v/>
      </c>
      <c r="J57" s="11">
        <f>IF($I57="","",MAX(0,$I57-5))</f>
        <v/>
      </c>
      <c r="K57" s="12">
        <f>IF($Z57="","PENDENTE",IF($I57="","",IFERROR(INDEX(CURVAS_KC!$B$5:$J$224,MATCH(MIN(MAX($J57,1),220),CURVAS_KC!$A$5:$A$224,0),MATCH($Z57,CURVAS_KC!$B$4:$J$4,0)),"PENDENTE")))</f>
        <v/>
      </c>
      <c r="L57" s="9">
        <f>IF($G57="","",$G57)</f>
        <v/>
      </c>
      <c r="M57" s="13">
        <f>IF($L57="","",SUMIFS(ETO_SEMANAL!$B$6:$B$65,ETO_SEMANAL!$A$6:$A$65,"&gt;"&amp;$L57,ETO_SEMANAL!$A$6:$A$65,"&lt;="&amp;DATA_REF))</f>
        <v/>
      </c>
      <c r="N57" s="13">
        <f>IF($L57="","",SUMIFS(ETO_SEMANAL!$C$6:$C$65,ETO_SEMANAL!$A$6:$A$65,"&gt;"&amp;$L57,ETO_SEMANAL!$A$6:$A$65,"&lt;="&amp;DATA_REF))</f>
        <v/>
      </c>
      <c r="O57" s="13">
        <f>IF(OR($K57="",$K57="PENDENTE",$M57=""),"",$K57*$M57)</f>
        <v/>
      </c>
      <c r="P57" s="13">
        <f>IF($O57="","",MAX(0,$O57-N($N57)))</f>
        <v/>
      </c>
      <c r="Q57" s="14">
        <f>IF($P57="","",$P57/EF_APLIC)</f>
        <v/>
      </c>
      <c r="R57" s="7" t="n"/>
      <c r="S57" s="15">
        <f>IF(OR($AA57="",$R57=""),"",IFERROR(INDEX(LAMINA_HORA!$C$5:$V$114,MATCH($AA57,LAMINA_HORA!$A$5:$A$114,0),MATCH($R57,LAMINA_HORA!$C$3:$V$3,0)),"?"))</f>
        <v/>
      </c>
      <c r="T57" s="15">
        <f>IF(OR($AA57="",$R57=""),"",IFERROR(INDEX(LAMINA_HORA!$W$5:$AP$114,MATCH($AA57,LAMINA_HORA!$A$5:$A$114,0),MATCH($R57,LAMINA_HORA!$W$3:$AP$3,0)),"?"))</f>
        <v/>
      </c>
      <c r="U57" s="16" t="n">
        <v>0.828</v>
      </c>
      <c r="V57" s="17">
        <f>IF(OR($S57="",$S57="?",$F57=""),"",$S57*$F57*10)</f>
        <v/>
      </c>
      <c r="W57" s="17">
        <f>IF(OR($V57="",$U57=""),"",$V57*$U57)</f>
        <v/>
      </c>
      <c r="X57" s="10">
        <f>IF($K57="PENDENTE","Definir Kc",IF($P57="","-",IF($P57&gt;=TURNO,"IRRIGAR",IF($P57&gt;=TURNO*FRAC_ACOMP,"Acompanhar","Aguardar"))))</f>
        <v/>
      </c>
      <c r="Y57" s="10">
        <f>IF(OR($P57="",$P57=0),"-",IF($P57&gt;=2*TURNO,"Alta",IF($P57&gt;=TURNO,"Media","Baixa")))</f>
        <v/>
      </c>
      <c r="Z57" s="5" t="inlineStr">
        <is>
          <t>SOJA_MEDIA</t>
        </is>
      </c>
      <c r="AA57" s="7" t="inlineStr">
        <is>
          <t>P50</t>
        </is>
      </c>
    </row>
    <row r="58" hidden="1">
      <c r="A58" s="5" t="inlineStr">
        <is>
          <t>Pivô 51</t>
        </is>
      </c>
      <c r="B58" s="5" t="inlineStr">
        <is>
          <t>Modulo 3</t>
        </is>
      </c>
      <c r="C58" s="5" t="inlineStr">
        <is>
          <t>R14</t>
        </is>
      </c>
      <c r="D58" s="6" t="inlineStr">
        <is>
          <t>CZ 48B18 IPRO</t>
        </is>
      </c>
      <c r="E58" s="7" t="inlineStr">
        <is>
          <t>MEDIA</t>
        </is>
      </c>
      <c r="F58" s="8" t="n">
        <v>120</v>
      </c>
      <c r="G58" s="9" t="n">
        <v>46316</v>
      </c>
      <c r="H58" s="10">
        <f>IF(OR($G58="",$G58&gt;DATA_REF),"NAO","SIM")</f>
        <v/>
      </c>
      <c r="I58" s="11">
        <f>IF(OR($G58="",$G58&gt;DATA_REF),"",DATA_REF-$G58)</f>
        <v/>
      </c>
      <c r="J58" s="11">
        <f>IF($I58="","",MAX(0,$I58-5))</f>
        <v/>
      </c>
      <c r="K58" s="12">
        <f>IF($Z58="","PENDENTE",IF($I58="","",IFERROR(INDEX(CURVAS_KC!$B$5:$J$224,MATCH(MIN(MAX($J58,1),220),CURVAS_KC!$A$5:$A$224,0),MATCH($Z58,CURVAS_KC!$B$4:$J$4,0)),"PENDENTE")))</f>
        <v/>
      </c>
      <c r="L58" s="9">
        <f>IF($G58="","",$G58)</f>
        <v/>
      </c>
      <c r="M58" s="13">
        <f>IF($L58="","",SUMIFS(ETO_SEMANAL!$B$6:$B$65,ETO_SEMANAL!$A$6:$A$65,"&gt;"&amp;$L58,ETO_SEMANAL!$A$6:$A$65,"&lt;="&amp;DATA_REF))</f>
        <v/>
      </c>
      <c r="N58" s="13">
        <f>IF($L58="","",SUMIFS(ETO_SEMANAL!$C$6:$C$65,ETO_SEMANAL!$A$6:$A$65,"&gt;"&amp;$L58,ETO_SEMANAL!$A$6:$A$65,"&lt;="&amp;DATA_REF))</f>
        <v/>
      </c>
      <c r="O58" s="13">
        <f>IF(OR($K58="",$K58="PENDENTE",$M58=""),"",$K58*$M58)</f>
        <v/>
      </c>
      <c r="P58" s="13">
        <f>IF($O58="","",MAX(0,$O58-N($N58)))</f>
        <v/>
      </c>
      <c r="Q58" s="14">
        <f>IF($P58="","",$P58/EF_APLIC)</f>
        <v/>
      </c>
      <c r="R58" s="7" t="n"/>
      <c r="S58" s="15">
        <f>IF(OR($AA58="",$R58=""),"",IFERROR(INDEX(LAMINA_HORA!$C$5:$V$114,MATCH($AA58,LAMINA_HORA!$A$5:$A$114,0),MATCH($R58,LAMINA_HORA!$C$3:$V$3,0)),"?"))</f>
        <v/>
      </c>
      <c r="T58" s="15">
        <f>IF(OR($AA58="",$R58=""),"",IFERROR(INDEX(LAMINA_HORA!$W$5:$AP$114,MATCH($AA58,LAMINA_HORA!$A$5:$A$114,0),MATCH($R58,LAMINA_HORA!$W$3:$AP$3,0)),"?"))</f>
        <v/>
      </c>
      <c r="U58" s="16" t="n">
        <v>0.836</v>
      </c>
      <c r="V58" s="17">
        <f>IF(OR($S58="",$S58="?",$F58=""),"",$S58*$F58*10)</f>
        <v/>
      </c>
      <c r="W58" s="17">
        <f>IF(OR($V58="",$U58=""),"",$V58*$U58)</f>
        <v/>
      </c>
      <c r="X58" s="10">
        <f>IF($K58="PENDENTE","Definir Kc",IF($P58="","-",IF($P58&gt;=TURNO,"IRRIGAR",IF($P58&gt;=TURNO*FRAC_ACOMP,"Acompanhar","Aguardar"))))</f>
        <v/>
      </c>
      <c r="Y58" s="10">
        <f>IF(OR($P58="",$P58=0),"-",IF($P58&gt;=2*TURNO,"Alta",IF($P58&gt;=TURNO,"Media","Baixa")))</f>
        <v/>
      </c>
      <c r="Z58" s="5" t="inlineStr">
        <is>
          <t>SOJA_MEDIA</t>
        </is>
      </c>
      <c r="AA58" s="7" t="inlineStr">
        <is>
          <t>P51</t>
        </is>
      </c>
    </row>
    <row r="59" hidden="1">
      <c r="A59" s="5" t="inlineStr">
        <is>
          <t>Pivô 53</t>
        </is>
      </c>
      <c r="B59" s="5" t="inlineStr">
        <is>
          <t>Modulo 3</t>
        </is>
      </c>
      <c r="C59" s="5" t="inlineStr">
        <is>
          <t>R13</t>
        </is>
      </c>
      <c r="D59" s="6" t="inlineStr">
        <is>
          <t>CZ 48B18 IPRO</t>
        </is>
      </c>
      <c r="E59" s="7" t="inlineStr">
        <is>
          <t>MEDIA</t>
        </is>
      </c>
      <c r="F59" s="8" t="n">
        <v>75</v>
      </c>
      <c r="G59" s="9" t="n">
        <v>46317</v>
      </c>
      <c r="H59" s="10">
        <f>IF(OR($G59="",$G59&gt;DATA_REF),"NAO","SIM")</f>
        <v/>
      </c>
      <c r="I59" s="11">
        <f>IF(OR($G59="",$G59&gt;DATA_REF),"",DATA_REF-$G59)</f>
        <v/>
      </c>
      <c r="J59" s="11">
        <f>IF($I59="","",MAX(0,$I59-5))</f>
        <v/>
      </c>
      <c r="K59" s="12">
        <f>IF($Z59="","PENDENTE",IF($I59="","",IFERROR(INDEX(CURVAS_KC!$B$5:$J$224,MATCH(MIN(MAX($J59,1),220),CURVAS_KC!$A$5:$A$224,0),MATCH($Z59,CURVAS_KC!$B$4:$J$4,0)),"PENDENTE")))</f>
        <v/>
      </c>
      <c r="L59" s="9">
        <f>IF($G59="","",$G59)</f>
        <v/>
      </c>
      <c r="M59" s="13">
        <f>IF($L59="","",SUMIFS(ETO_SEMANAL!$B$6:$B$65,ETO_SEMANAL!$A$6:$A$65,"&gt;"&amp;$L59,ETO_SEMANAL!$A$6:$A$65,"&lt;="&amp;DATA_REF))</f>
        <v/>
      </c>
      <c r="N59" s="13">
        <f>IF($L59="","",SUMIFS(ETO_SEMANAL!$C$6:$C$65,ETO_SEMANAL!$A$6:$A$65,"&gt;"&amp;$L59,ETO_SEMANAL!$A$6:$A$65,"&lt;="&amp;DATA_REF))</f>
        <v/>
      </c>
      <c r="O59" s="13">
        <f>IF(OR($K59="",$K59="PENDENTE",$M59=""),"",$K59*$M59)</f>
        <v/>
      </c>
      <c r="P59" s="13">
        <f>IF($O59="","",MAX(0,$O59-N($N59)))</f>
        <v/>
      </c>
      <c r="Q59" s="14">
        <f>IF($P59="","",$P59/EF_APLIC)</f>
        <v/>
      </c>
      <c r="R59" s="7" t="n"/>
      <c r="S59" s="15">
        <f>IF(OR($AA59="",$R59=""),"",IFERROR(INDEX(LAMINA_HORA!$C$5:$V$114,MATCH($AA59,LAMINA_HORA!$A$5:$A$114,0),MATCH($R59,LAMINA_HORA!$C$3:$V$3,0)),"?"))</f>
        <v/>
      </c>
      <c r="T59" s="15">
        <f>IF(OR($AA59="",$R59=""),"",IFERROR(INDEX(LAMINA_HORA!$W$5:$AP$114,MATCH($AA59,LAMINA_HORA!$A$5:$A$114,0),MATCH($R59,LAMINA_HORA!$W$3:$AP$3,0)),"?"))</f>
        <v/>
      </c>
      <c r="U59" s="16" t="n">
        <v>0.735</v>
      </c>
      <c r="V59" s="17">
        <f>IF(OR($S59="",$S59="?",$F59=""),"",$S59*$F59*10)</f>
        <v/>
      </c>
      <c r="W59" s="17">
        <f>IF(OR($V59="",$U59=""),"",$V59*$U59)</f>
        <v/>
      </c>
      <c r="X59" s="10">
        <f>IF($K59="PENDENTE","Definir Kc",IF($P59="","-",IF($P59&gt;=TURNO,"IRRIGAR",IF($P59&gt;=TURNO*FRAC_ACOMP,"Acompanhar","Aguardar"))))</f>
        <v/>
      </c>
      <c r="Y59" s="10">
        <f>IF(OR($P59="",$P59=0),"-",IF($P59&gt;=2*TURNO,"Alta",IF($P59&gt;=TURNO,"Media","Baixa")))</f>
        <v/>
      </c>
      <c r="Z59" s="5" t="inlineStr">
        <is>
          <t>SOJA_MEDIA</t>
        </is>
      </c>
      <c r="AA59" s="7" t="inlineStr">
        <is>
          <t>P53</t>
        </is>
      </c>
    </row>
    <row r="60" hidden="1">
      <c r="A60" s="5" t="inlineStr">
        <is>
          <t>Pivô 54</t>
        </is>
      </c>
      <c r="B60" s="5" t="inlineStr">
        <is>
          <t>Modulo 3</t>
        </is>
      </c>
      <c r="C60" s="5" t="inlineStr">
        <is>
          <t>R13</t>
        </is>
      </c>
      <c r="D60" s="6" t="inlineStr">
        <is>
          <t>CZ 48B18 IPRO</t>
        </is>
      </c>
      <c r="E60" s="7" t="inlineStr">
        <is>
          <t>MEDIA</t>
        </is>
      </c>
      <c r="F60" s="8" t="n">
        <v>120</v>
      </c>
      <c r="G60" s="9" t="n">
        <v>46316</v>
      </c>
      <c r="H60" s="10">
        <f>IF(OR($G60="",$G60&gt;DATA_REF),"NAO","SIM")</f>
        <v/>
      </c>
      <c r="I60" s="11">
        <f>IF(OR($G60="",$G60&gt;DATA_REF),"",DATA_REF-$G60)</f>
        <v/>
      </c>
      <c r="J60" s="11">
        <f>IF($I60="","",MAX(0,$I60-5))</f>
        <v/>
      </c>
      <c r="K60" s="12">
        <f>IF($Z60="","PENDENTE",IF($I60="","",IFERROR(INDEX(CURVAS_KC!$B$5:$J$224,MATCH(MIN(MAX($J60,1),220),CURVAS_KC!$A$5:$A$224,0),MATCH($Z60,CURVAS_KC!$B$4:$J$4,0)),"PENDENTE")))</f>
        <v/>
      </c>
      <c r="L60" s="9">
        <f>IF($G60="","",$G60)</f>
        <v/>
      </c>
      <c r="M60" s="13">
        <f>IF($L60="","",SUMIFS(ETO_SEMANAL!$B$6:$B$65,ETO_SEMANAL!$A$6:$A$65,"&gt;"&amp;$L60,ETO_SEMANAL!$A$6:$A$65,"&lt;="&amp;DATA_REF))</f>
        <v/>
      </c>
      <c r="N60" s="13">
        <f>IF($L60="","",SUMIFS(ETO_SEMANAL!$C$6:$C$65,ETO_SEMANAL!$A$6:$A$65,"&gt;"&amp;$L60,ETO_SEMANAL!$A$6:$A$65,"&lt;="&amp;DATA_REF))</f>
        <v/>
      </c>
      <c r="O60" s="13">
        <f>IF(OR($K60="",$K60="PENDENTE",$M60=""),"",$K60*$M60)</f>
        <v/>
      </c>
      <c r="P60" s="13">
        <f>IF($O60="","",MAX(0,$O60-N($N60)))</f>
        <v/>
      </c>
      <c r="Q60" s="14">
        <f>IF($P60="","",$P60/EF_APLIC)</f>
        <v/>
      </c>
      <c r="R60" s="7" t="n"/>
      <c r="S60" s="15">
        <f>IF(OR($AA60="",$R60=""),"",IFERROR(INDEX(LAMINA_HORA!$C$5:$V$114,MATCH($AA60,LAMINA_HORA!$A$5:$A$114,0),MATCH($R60,LAMINA_HORA!$C$3:$V$3,0)),"?"))</f>
        <v/>
      </c>
      <c r="T60" s="15">
        <f>IF(OR($AA60="",$R60=""),"",IFERROR(INDEX(LAMINA_HORA!$W$5:$AP$114,MATCH($AA60,LAMINA_HORA!$A$5:$A$114,0),MATCH($R60,LAMINA_HORA!$W$3:$AP$3,0)),"?"))</f>
        <v/>
      </c>
      <c r="U60" s="16" t="n">
        <v>0.827</v>
      </c>
      <c r="V60" s="17">
        <f>IF(OR($S60="",$S60="?",$F60=""),"",$S60*$F60*10)</f>
        <v/>
      </c>
      <c r="W60" s="17">
        <f>IF(OR($V60="",$U60=""),"",$V60*$U60)</f>
        <v/>
      </c>
      <c r="X60" s="10">
        <f>IF($K60="PENDENTE","Definir Kc",IF($P60="","-",IF($P60&gt;=TURNO,"IRRIGAR",IF($P60&gt;=TURNO*FRAC_ACOMP,"Acompanhar","Aguardar"))))</f>
        <v/>
      </c>
      <c r="Y60" s="10">
        <f>IF(OR($P60="",$P60=0),"-",IF($P60&gt;=2*TURNO,"Alta",IF($P60&gt;=TURNO,"Media","Baixa")))</f>
        <v/>
      </c>
      <c r="Z60" s="5" t="inlineStr">
        <is>
          <t>SOJA_MEDIA</t>
        </is>
      </c>
      <c r="AA60" s="7" t="inlineStr">
        <is>
          <t>P54</t>
        </is>
      </c>
    </row>
    <row r="61" hidden="1">
      <c r="A61" s="5" t="inlineStr">
        <is>
          <t>Pivô 55</t>
        </is>
      </c>
      <c r="B61" s="5" t="inlineStr">
        <is>
          <t>Modulo 3</t>
        </is>
      </c>
      <c r="C61" s="5" t="inlineStr">
        <is>
          <t>R13</t>
        </is>
      </c>
      <c r="D61" s="6" t="inlineStr">
        <is>
          <t>CZ 48B18 IPRO</t>
        </is>
      </c>
      <c r="E61" s="7" t="inlineStr">
        <is>
          <t>MEDIA</t>
        </is>
      </c>
      <c r="F61" s="8" t="n">
        <v>150</v>
      </c>
      <c r="G61" s="9" t="n">
        <v>46318</v>
      </c>
      <c r="H61" s="10">
        <f>IF(OR($G61="",$G61&gt;DATA_REF),"NAO","SIM")</f>
        <v/>
      </c>
      <c r="I61" s="11">
        <f>IF(OR($G61="",$G61&gt;DATA_REF),"",DATA_REF-$G61)</f>
        <v/>
      </c>
      <c r="J61" s="11">
        <f>IF($I61="","",MAX(0,$I61-5))</f>
        <v/>
      </c>
      <c r="K61" s="12">
        <f>IF($Z61="","PENDENTE",IF($I61="","",IFERROR(INDEX(CURVAS_KC!$B$5:$J$224,MATCH(MIN(MAX($J61,1),220),CURVAS_KC!$A$5:$A$224,0),MATCH($Z61,CURVAS_KC!$B$4:$J$4,0)),"PENDENTE")))</f>
        <v/>
      </c>
      <c r="L61" s="9">
        <f>IF($G61="","",$G61)</f>
        <v/>
      </c>
      <c r="M61" s="13">
        <f>IF($L61="","",SUMIFS(ETO_SEMANAL!$B$6:$B$65,ETO_SEMANAL!$A$6:$A$65,"&gt;"&amp;$L61,ETO_SEMANAL!$A$6:$A$65,"&lt;="&amp;DATA_REF))</f>
        <v/>
      </c>
      <c r="N61" s="13">
        <f>IF($L61="","",SUMIFS(ETO_SEMANAL!$C$6:$C$65,ETO_SEMANAL!$A$6:$A$65,"&gt;"&amp;$L61,ETO_SEMANAL!$A$6:$A$65,"&lt;="&amp;DATA_REF))</f>
        <v/>
      </c>
      <c r="O61" s="13">
        <f>IF(OR($K61="",$K61="PENDENTE",$M61=""),"",$K61*$M61)</f>
        <v/>
      </c>
      <c r="P61" s="13">
        <f>IF($O61="","",MAX(0,$O61-N($N61)))</f>
        <v/>
      </c>
      <c r="Q61" s="14">
        <f>IF($P61="","",$P61/EF_APLIC)</f>
        <v/>
      </c>
      <c r="R61" s="7" t="n"/>
      <c r="S61" s="15">
        <f>IF(OR($AA61="",$R61=""),"",IFERROR(INDEX(LAMINA_HORA!$C$5:$V$114,MATCH($AA61,LAMINA_HORA!$A$5:$A$114,0),MATCH($R61,LAMINA_HORA!$C$3:$V$3,0)),"?"))</f>
        <v/>
      </c>
      <c r="T61" s="15">
        <f>IF(OR($AA61="",$R61=""),"",IFERROR(INDEX(LAMINA_HORA!$W$5:$AP$114,MATCH($AA61,LAMINA_HORA!$A$5:$A$114,0),MATCH($R61,LAMINA_HORA!$W$3:$AP$3,0)),"?"))</f>
        <v/>
      </c>
      <c r="U61" s="16" t="n">
        <v>0.9429999999999999</v>
      </c>
      <c r="V61" s="17">
        <f>IF(OR($S61="",$S61="?",$F61=""),"",$S61*$F61*10)</f>
        <v/>
      </c>
      <c r="W61" s="17">
        <f>IF(OR($V61="",$U61=""),"",$V61*$U61)</f>
        <v/>
      </c>
      <c r="X61" s="10">
        <f>IF($K61="PENDENTE","Definir Kc",IF($P61="","-",IF($P61&gt;=TURNO,"IRRIGAR",IF($P61&gt;=TURNO*FRAC_ACOMP,"Acompanhar","Aguardar"))))</f>
        <v/>
      </c>
      <c r="Y61" s="10">
        <f>IF(OR($P61="",$P61=0),"-",IF($P61&gt;=2*TURNO,"Alta",IF($P61&gt;=TURNO,"Media","Baixa")))</f>
        <v/>
      </c>
      <c r="Z61" s="5" t="inlineStr">
        <is>
          <t>SOJA_MEDIA</t>
        </is>
      </c>
      <c r="AA61" s="7" t="inlineStr">
        <is>
          <t>P55</t>
        </is>
      </c>
    </row>
    <row r="62" hidden="1">
      <c r="A62" s="5" t="inlineStr">
        <is>
          <t>Pivô 56</t>
        </is>
      </c>
      <c r="B62" s="5" t="inlineStr">
        <is>
          <t>Modulo 3</t>
        </is>
      </c>
      <c r="C62" s="5" t="inlineStr">
        <is>
          <t>R14</t>
        </is>
      </c>
      <c r="D62" s="6" t="inlineStr">
        <is>
          <t>CZ 48B18 IPRO</t>
        </is>
      </c>
      <c r="E62" s="7" t="inlineStr">
        <is>
          <t>MEDIA</t>
        </is>
      </c>
      <c r="F62" s="8" t="n">
        <v>55</v>
      </c>
      <c r="G62" s="9" t="n">
        <v>46315</v>
      </c>
      <c r="H62" s="10">
        <f>IF(OR($G62="",$G62&gt;DATA_REF),"NAO","SIM")</f>
        <v/>
      </c>
      <c r="I62" s="11">
        <f>IF(OR($G62="",$G62&gt;DATA_REF),"",DATA_REF-$G62)</f>
        <v/>
      </c>
      <c r="J62" s="11">
        <f>IF($I62="","",MAX(0,$I62-5))</f>
        <v/>
      </c>
      <c r="K62" s="12">
        <f>IF($Z62="","PENDENTE",IF($I62="","",IFERROR(INDEX(CURVAS_KC!$B$5:$J$224,MATCH(MIN(MAX($J62,1),220),CURVAS_KC!$A$5:$A$224,0),MATCH($Z62,CURVAS_KC!$B$4:$J$4,0)),"PENDENTE")))</f>
        <v/>
      </c>
      <c r="L62" s="9">
        <f>IF($G62="","",$G62)</f>
        <v/>
      </c>
      <c r="M62" s="13">
        <f>IF($L62="","",SUMIFS(ETO_SEMANAL!$B$6:$B$65,ETO_SEMANAL!$A$6:$A$65,"&gt;"&amp;$L62,ETO_SEMANAL!$A$6:$A$65,"&lt;="&amp;DATA_REF))</f>
        <v/>
      </c>
      <c r="N62" s="13">
        <f>IF($L62="","",SUMIFS(ETO_SEMANAL!$C$6:$C$65,ETO_SEMANAL!$A$6:$A$65,"&gt;"&amp;$L62,ETO_SEMANAL!$A$6:$A$65,"&lt;="&amp;DATA_REF))</f>
        <v/>
      </c>
      <c r="O62" s="13">
        <f>IF(OR($K62="",$K62="PENDENTE",$M62=""),"",$K62*$M62)</f>
        <v/>
      </c>
      <c r="P62" s="13">
        <f>IF($O62="","",MAX(0,$O62-N($N62)))</f>
        <v/>
      </c>
      <c r="Q62" s="14">
        <f>IF($P62="","",$P62/EF_APLIC)</f>
        <v/>
      </c>
      <c r="R62" s="7" t="n"/>
      <c r="S62" s="15">
        <f>IF(OR($AA62="",$R62=""),"",IFERROR(INDEX(LAMINA_HORA!$C$5:$V$114,MATCH($AA62,LAMINA_HORA!$A$5:$A$114,0),MATCH($R62,LAMINA_HORA!$C$3:$V$3,0)),"?"))</f>
        <v/>
      </c>
      <c r="T62" s="15">
        <f>IF(OR($AA62="",$R62=""),"",IFERROR(INDEX(LAMINA_HORA!$W$5:$AP$114,MATCH($AA62,LAMINA_HORA!$A$5:$A$114,0),MATCH($R62,LAMINA_HORA!$W$3:$AP$3,0)),"?"))</f>
        <v/>
      </c>
      <c r="U62" s="16" t="n">
        <v>0.788</v>
      </c>
      <c r="V62" s="17">
        <f>IF(OR($S62="",$S62="?",$F62=""),"",$S62*$F62*10)</f>
        <v/>
      </c>
      <c r="W62" s="17">
        <f>IF(OR($V62="",$U62=""),"",$V62*$U62)</f>
        <v/>
      </c>
      <c r="X62" s="10">
        <f>IF($K62="PENDENTE","Definir Kc",IF($P62="","-",IF($P62&gt;=TURNO,"IRRIGAR",IF($P62&gt;=TURNO*FRAC_ACOMP,"Acompanhar","Aguardar"))))</f>
        <v/>
      </c>
      <c r="Y62" s="10">
        <f>IF(OR($P62="",$P62=0),"-",IF($P62&gt;=2*TURNO,"Alta",IF($P62&gt;=TURNO,"Media","Baixa")))</f>
        <v/>
      </c>
      <c r="Z62" s="5" t="inlineStr">
        <is>
          <t>SOJA_MEDIA</t>
        </is>
      </c>
      <c r="AA62" s="7" t="inlineStr">
        <is>
          <t>P56</t>
        </is>
      </c>
    </row>
    <row r="63" hidden="1">
      <c r="A63" s="5" t="inlineStr">
        <is>
          <t>Pivô 57</t>
        </is>
      </c>
      <c r="B63" s="5" t="inlineStr">
        <is>
          <t>Modulo 3</t>
        </is>
      </c>
      <c r="C63" s="5" t="inlineStr">
        <is>
          <t>R15</t>
        </is>
      </c>
      <c r="D63" s="6" t="inlineStr">
        <is>
          <t>BMX Olimpo IPRO</t>
        </is>
      </c>
      <c r="E63" s="7" t="inlineStr">
        <is>
          <t>MEDIA</t>
        </is>
      </c>
      <c r="F63" s="8" t="n">
        <v>150</v>
      </c>
      <c r="G63" s="9" t="n">
        <v>46354</v>
      </c>
      <c r="H63" s="10">
        <f>IF(OR($G63="",$G63&gt;DATA_REF),"NAO","SIM")</f>
        <v/>
      </c>
      <c r="I63" s="11">
        <f>IF(OR($G63="",$G63&gt;DATA_REF),"",DATA_REF-$G63)</f>
        <v/>
      </c>
      <c r="J63" s="11">
        <f>IF($I63="","",MAX(0,$I63-5))</f>
        <v/>
      </c>
      <c r="K63" s="12">
        <f>IF($Z63="","PENDENTE",IF($I63="","",IFERROR(INDEX(CURVAS_KC!$B$5:$J$224,MATCH(MIN(MAX($J63,1),220),CURVAS_KC!$A$5:$A$224,0),MATCH($Z63,CURVAS_KC!$B$4:$J$4,0)),"PENDENTE")))</f>
        <v/>
      </c>
      <c r="L63" s="9">
        <f>IF($G63="","",$G63)</f>
        <v/>
      </c>
      <c r="M63" s="13">
        <f>IF($L63="","",SUMIFS(ETO_SEMANAL!$B$6:$B$65,ETO_SEMANAL!$A$6:$A$65,"&gt;"&amp;$L63,ETO_SEMANAL!$A$6:$A$65,"&lt;="&amp;DATA_REF))</f>
        <v/>
      </c>
      <c r="N63" s="13">
        <f>IF($L63="","",SUMIFS(ETO_SEMANAL!$C$6:$C$65,ETO_SEMANAL!$A$6:$A$65,"&gt;"&amp;$L63,ETO_SEMANAL!$A$6:$A$65,"&lt;="&amp;DATA_REF))</f>
        <v/>
      </c>
      <c r="O63" s="13">
        <f>IF(OR($K63="",$K63="PENDENTE",$M63=""),"",$K63*$M63)</f>
        <v/>
      </c>
      <c r="P63" s="13">
        <f>IF($O63="","",MAX(0,$O63-N($N63)))</f>
        <v/>
      </c>
      <c r="Q63" s="14">
        <f>IF($P63="","",$P63/EF_APLIC)</f>
        <v/>
      </c>
      <c r="R63" s="7" t="n"/>
      <c r="S63" s="15">
        <f>IF(OR($AA63="",$R63=""),"",IFERROR(INDEX(LAMINA_HORA!$C$5:$V$114,MATCH($AA63,LAMINA_HORA!$A$5:$A$114,0),MATCH($R63,LAMINA_HORA!$C$3:$V$3,0)),"?"))</f>
        <v/>
      </c>
      <c r="T63" s="15">
        <f>IF(OR($AA63="",$R63=""),"",IFERROR(INDEX(LAMINA_HORA!$W$5:$AP$114,MATCH($AA63,LAMINA_HORA!$A$5:$A$114,0),MATCH($R63,LAMINA_HORA!$W$3:$AP$3,0)),"?"))</f>
        <v/>
      </c>
      <c r="U63" s="16" t="n">
        <v>0.841</v>
      </c>
      <c r="V63" s="17">
        <f>IF(OR($S63="",$S63="?",$F63=""),"",$S63*$F63*10)</f>
        <v/>
      </c>
      <c r="W63" s="17">
        <f>IF(OR($V63="",$U63=""),"",$V63*$U63)</f>
        <v/>
      </c>
      <c r="X63" s="10">
        <f>IF($K63="PENDENTE","Definir Kc",IF($P63="","-",IF($P63&gt;=TURNO,"IRRIGAR",IF($P63&gt;=TURNO*FRAC_ACOMP,"Acompanhar","Aguardar"))))</f>
        <v/>
      </c>
      <c r="Y63" s="10">
        <f>IF(OR($P63="",$P63=0),"-",IF($P63&gt;=2*TURNO,"Alta",IF($P63&gt;=TURNO,"Media","Baixa")))</f>
        <v/>
      </c>
      <c r="Z63" s="5" t="inlineStr">
        <is>
          <t>SOJA_MEDIA</t>
        </is>
      </c>
      <c r="AA63" s="7" t="inlineStr">
        <is>
          <t>P57</t>
        </is>
      </c>
    </row>
    <row r="64" hidden="1">
      <c r="A64" s="5" t="inlineStr">
        <is>
          <t>Pivô 58</t>
        </is>
      </c>
      <c r="B64" s="5" t="inlineStr">
        <is>
          <t>Modulo 3</t>
        </is>
      </c>
      <c r="C64" s="5" t="inlineStr">
        <is>
          <t>R15</t>
        </is>
      </c>
      <c r="D64" s="6" t="inlineStr">
        <is>
          <t>BMX Olimpo IPRO</t>
        </is>
      </c>
      <c r="E64" s="7" t="inlineStr">
        <is>
          <t>MEDIA</t>
        </is>
      </c>
      <c r="F64" s="8" t="n">
        <v>150</v>
      </c>
      <c r="G64" s="9" t="n">
        <v>46315</v>
      </c>
      <c r="H64" s="10">
        <f>IF(OR($G64="",$G64&gt;DATA_REF),"NAO","SIM")</f>
        <v/>
      </c>
      <c r="I64" s="11">
        <f>IF(OR($G64="",$G64&gt;DATA_REF),"",DATA_REF-$G64)</f>
        <v/>
      </c>
      <c r="J64" s="11">
        <f>IF($I64="","",MAX(0,$I64-5))</f>
        <v/>
      </c>
      <c r="K64" s="12">
        <f>IF($Z64="","PENDENTE",IF($I64="","",IFERROR(INDEX(CURVAS_KC!$B$5:$J$224,MATCH(MIN(MAX($J64,1),220),CURVAS_KC!$A$5:$A$224,0),MATCH($Z64,CURVAS_KC!$B$4:$J$4,0)),"PENDENTE")))</f>
        <v/>
      </c>
      <c r="L64" s="9">
        <f>IF($G64="","",$G64)</f>
        <v/>
      </c>
      <c r="M64" s="13">
        <f>IF($L64="","",SUMIFS(ETO_SEMANAL!$B$6:$B$65,ETO_SEMANAL!$A$6:$A$65,"&gt;"&amp;$L64,ETO_SEMANAL!$A$6:$A$65,"&lt;="&amp;DATA_REF))</f>
        <v/>
      </c>
      <c r="N64" s="13">
        <f>IF($L64="","",SUMIFS(ETO_SEMANAL!$C$6:$C$65,ETO_SEMANAL!$A$6:$A$65,"&gt;"&amp;$L64,ETO_SEMANAL!$A$6:$A$65,"&lt;="&amp;DATA_REF))</f>
        <v/>
      </c>
      <c r="O64" s="13">
        <f>IF(OR($K64="",$K64="PENDENTE",$M64=""),"",$K64*$M64)</f>
        <v/>
      </c>
      <c r="P64" s="13">
        <f>IF($O64="","",MAX(0,$O64-N($N64)))</f>
        <v/>
      </c>
      <c r="Q64" s="14">
        <f>IF($P64="","",$P64/EF_APLIC)</f>
        <v/>
      </c>
      <c r="R64" s="7" t="n"/>
      <c r="S64" s="15">
        <f>IF(OR($AA64="",$R64=""),"",IFERROR(INDEX(LAMINA_HORA!$C$5:$V$114,MATCH($AA64,LAMINA_HORA!$A$5:$A$114,0),MATCH($R64,LAMINA_HORA!$C$3:$V$3,0)),"?"))</f>
        <v/>
      </c>
      <c r="T64" s="15">
        <f>IF(OR($AA64="",$R64=""),"",IFERROR(INDEX(LAMINA_HORA!$W$5:$AP$114,MATCH($AA64,LAMINA_HORA!$A$5:$A$114,0),MATCH($R64,LAMINA_HORA!$W$3:$AP$3,0)),"?"))</f>
        <v/>
      </c>
      <c r="U64" s="16" t="n">
        <v>0.789</v>
      </c>
      <c r="V64" s="17">
        <f>IF(OR($S64="",$S64="?",$F64=""),"",$S64*$F64*10)</f>
        <v/>
      </c>
      <c r="W64" s="17">
        <f>IF(OR($V64="",$U64=""),"",$V64*$U64)</f>
        <v/>
      </c>
      <c r="X64" s="10">
        <f>IF($K64="PENDENTE","Definir Kc",IF($P64="","-",IF($P64&gt;=TURNO,"IRRIGAR",IF($P64&gt;=TURNO*FRAC_ACOMP,"Acompanhar","Aguardar"))))</f>
        <v/>
      </c>
      <c r="Y64" s="10">
        <f>IF(OR($P64="",$P64=0),"-",IF($P64&gt;=2*TURNO,"Alta",IF($P64&gt;=TURNO,"Media","Baixa")))</f>
        <v/>
      </c>
      <c r="Z64" s="5" t="inlineStr">
        <is>
          <t>SOJA_MEDIA</t>
        </is>
      </c>
      <c r="AA64" s="7" t="inlineStr">
        <is>
          <t>P58</t>
        </is>
      </c>
    </row>
    <row r="65" hidden="1">
      <c r="A65" s="5" t="inlineStr">
        <is>
          <t>Pivô 59</t>
        </is>
      </c>
      <c r="B65" s="5" t="inlineStr">
        <is>
          <t>Modulo 3</t>
        </is>
      </c>
      <c r="C65" s="5" t="inlineStr">
        <is>
          <t>R15</t>
        </is>
      </c>
      <c r="D65" s="6" t="inlineStr">
        <is>
          <t>BMX Olimpo IPRO</t>
        </is>
      </c>
      <c r="E65" s="7" t="inlineStr">
        <is>
          <t>MEDIA</t>
        </is>
      </c>
      <c r="F65" s="8" t="n">
        <v>143</v>
      </c>
      <c r="G65" s="9" t="n">
        <v>46354</v>
      </c>
      <c r="H65" s="10">
        <f>IF(OR($G65="",$G65&gt;DATA_REF),"NAO","SIM")</f>
        <v/>
      </c>
      <c r="I65" s="11">
        <f>IF(OR($G65="",$G65&gt;DATA_REF),"",DATA_REF-$G65)</f>
        <v/>
      </c>
      <c r="J65" s="11">
        <f>IF($I65="","",MAX(0,$I65-5))</f>
        <v/>
      </c>
      <c r="K65" s="12">
        <f>IF($Z65="","PENDENTE",IF($I65="","",IFERROR(INDEX(CURVAS_KC!$B$5:$J$224,MATCH(MIN(MAX($J65,1),220),CURVAS_KC!$A$5:$A$224,0),MATCH($Z65,CURVAS_KC!$B$4:$J$4,0)),"PENDENTE")))</f>
        <v/>
      </c>
      <c r="L65" s="9">
        <f>IF($G65="","",$G65)</f>
        <v/>
      </c>
      <c r="M65" s="13">
        <f>IF($L65="","",SUMIFS(ETO_SEMANAL!$B$6:$B$65,ETO_SEMANAL!$A$6:$A$65,"&gt;"&amp;$L65,ETO_SEMANAL!$A$6:$A$65,"&lt;="&amp;DATA_REF))</f>
        <v/>
      </c>
      <c r="N65" s="13">
        <f>IF($L65="","",SUMIFS(ETO_SEMANAL!$C$6:$C$65,ETO_SEMANAL!$A$6:$A$65,"&gt;"&amp;$L65,ETO_SEMANAL!$A$6:$A$65,"&lt;="&amp;DATA_REF))</f>
        <v/>
      </c>
      <c r="O65" s="13">
        <f>IF(OR($K65="",$K65="PENDENTE",$M65=""),"",$K65*$M65)</f>
        <v/>
      </c>
      <c r="P65" s="13">
        <f>IF($O65="","",MAX(0,$O65-N($N65)))</f>
        <v/>
      </c>
      <c r="Q65" s="14">
        <f>IF($P65="","",$P65/EF_APLIC)</f>
        <v/>
      </c>
      <c r="R65" s="7" t="n"/>
      <c r="S65" s="15">
        <f>IF(OR($AA65="",$R65=""),"",IFERROR(INDEX(LAMINA_HORA!$C$5:$V$114,MATCH($AA65,LAMINA_HORA!$A$5:$A$114,0),MATCH($R65,LAMINA_HORA!$C$3:$V$3,0)),"?"))</f>
        <v/>
      </c>
      <c r="T65" s="15">
        <f>IF(OR($AA65="",$R65=""),"",IFERROR(INDEX(LAMINA_HORA!$W$5:$AP$114,MATCH($AA65,LAMINA_HORA!$A$5:$A$114,0),MATCH($R65,LAMINA_HORA!$W$3:$AP$3,0)),"?"))</f>
        <v/>
      </c>
      <c r="U65" s="16" t="n">
        <v>0.823</v>
      </c>
      <c r="V65" s="17">
        <f>IF(OR($S65="",$S65="?",$F65=""),"",$S65*$F65*10)</f>
        <v/>
      </c>
      <c r="W65" s="17">
        <f>IF(OR($V65="",$U65=""),"",$V65*$U65)</f>
        <v/>
      </c>
      <c r="X65" s="10">
        <f>IF($K65="PENDENTE","Definir Kc",IF($P65="","-",IF($P65&gt;=TURNO,"IRRIGAR",IF($P65&gt;=TURNO*FRAC_ACOMP,"Acompanhar","Aguardar"))))</f>
        <v/>
      </c>
      <c r="Y65" s="10">
        <f>IF(OR($P65="",$P65=0),"-",IF($P65&gt;=2*TURNO,"Alta",IF($P65&gt;=TURNO,"Media","Baixa")))</f>
        <v/>
      </c>
      <c r="Z65" s="5" t="inlineStr">
        <is>
          <t>SOJA_MEDIA</t>
        </is>
      </c>
      <c r="AA65" s="7" t="inlineStr">
        <is>
          <t>P59</t>
        </is>
      </c>
    </row>
    <row r="66" hidden="1">
      <c r="A66" s="5" t="inlineStr">
        <is>
          <t>Pivô 60</t>
        </is>
      </c>
      <c r="B66" s="5" t="inlineStr">
        <is>
          <t>Modulo 3</t>
        </is>
      </c>
      <c r="C66" s="5" t="inlineStr">
        <is>
          <t>R15</t>
        </is>
      </c>
      <c r="D66" s="6" t="inlineStr">
        <is>
          <t>BMX Olimpo IPRO</t>
        </is>
      </c>
      <c r="E66" s="7" t="inlineStr">
        <is>
          <t>MEDIA</t>
        </is>
      </c>
      <c r="F66" s="8" t="n">
        <v>150</v>
      </c>
      <c r="G66" s="9" t="n">
        <v>46350</v>
      </c>
      <c r="H66" s="10">
        <f>IF(OR($G66="",$G66&gt;DATA_REF),"NAO","SIM")</f>
        <v/>
      </c>
      <c r="I66" s="11">
        <f>IF(OR($G66="",$G66&gt;DATA_REF),"",DATA_REF-$G66)</f>
        <v/>
      </c>
      <c r="J66" s="11">
        <f>IF($I66="","",MAX(0,$I66-5))</f>
        <v/>
      </c>
      <c r="K66" s="12">
        <f>IF($Z66="","PENDENTE",IF($I66="","",IFERROR(INDEX(CURVAS_KC!$B$5:$J$224,MATCH(MIN(MAX($J66,1),220),CURVAS_KC!$A$5:$A$224,0),MATCH($Z66,CURVAS_KC!$B$4:$J$4,0)),"PENDENTE")))</f>
        <v/>
      </c>
      <c r="L66" s="9">
        <f>IF($G66="","",$G66)</f>
        <v/>
      </c>
      <c r="M66" s="13">
        <f>IF($L66="","",SUMIFS(ETO_SEMANAL!$B$6:$B$65,ETO_SEMANAL!$A$6:$A$65,"&gt;"&amp;$L66,ETO_SEMANAL!$A$6:$A$65,"&lt;="&amp;DATA_REF))</f>
        <v/>
      </c>
      <c r="N66" s="13">
        <f>IF($L66="","",SUMIFS(ETO_SEMANAL!$C$6:$C$65,ETO_SEMANAL!$A$6:$A$65,"&gt;"&amp;$L66,ETO_SEMANAL!$A$6:$A$65,"&lt;="&amp;DATA_REF))</f>
        <v/>
      </c>
      <c r="O66" s="13">
        <f>IF(OR($K66="",$K66="PENDENTE",$M66=""),"",$K66*$M66)</f>
        <v/>
      </c>
      <c r="P66" s="13">
        <f>IF($O66="","",MAX(0,$O66-N($N66)))</f>
        <v/>
      </c>
      <c r="Q66" s="14">
        <f>IF($P66="","",$P66/EF_APLIC)</f>
        <v/>
      </c>
      <c r="R66" s="7" t="n"/>
      <c r="S66" s="15">
        <f>IF(OR($AA66="",$R66=""),"",IFERROR(INDEX(LAMINA_HORA!$C$5:$V$114,MATCH($AA66,LAMINA_HORA!$A$5:$A$114,0),MATCH($R66,LAMINA_HORA!$C$3:$V$3,0)),"?"))</f>
        <v/>
      </c>
      <c r="T66" s="15">
        <f>IF(OR($AA66="",$R66=""),"",IFERROR(INDEX(LAMINA_HORA!$W$5:$AP$114,MATCH($AA66,LAMINA_HORA!$A$5:$A$114,0),MATCH($R66,LAMINA_HORA!$W$3:$AP$3,0)),"?"))</f>
        <v/>
      </c>
      <c r="U66" s="16" t="n">
        <v>0.819</v>
      </c>
      <c r="V66" s="17">
        <f>IF(OR($S66="",$S66="?",$F66=""),"",$S66*$F66*10)</f>
        <v/>
      </c>
      <c r="W66" s="17">
        <f>IF(OR($V66="",$U66=""),"",$V66*$U66)</f>
        <v/>
      </c>
      <c r="X66" s="10">
        <f>IF($K66="PENDENTE","Definir Kc",IF($P66="","-",IF($P66&gt;=TURNO,"IRRIGAR",IF($P66&gt;=TURNO*FRAC_ACOMP,"Acompanhar","Aguardar"))))</f>
        <v/>
      </c>
      <c r="Y66" s="10">
        <f>IF(OR($P66="",$P66=0),"-",IF($P66&gt;=2*TURNO,"Alta",IF($P66&gt;=TURNO,"Media","Baixa")))</f>
        <v/>
      </c>
      <c r="Z66" s="5" t="inlineStr">
        <is>
          <t>SOJA_MEDIA</t>
        </is>
      </c>
      <c r="AA66" s="7" t="inlineStr">
        <is>
          <t>P60</t>
        </is>
      </c>
    </row>
    <row r="67" hidden="1">
      <c r="A67" s="5" t="inlineStr">
        <is>
          <t>Pivô 61</t>
        </is>
      </c>
      <c r="B67" s="5" t="inlineStr">
        <is>
          <t>Modulo 3</t>
        </is>
      </c>
      <c r="C67" s="5" t="inlineStr">
        <is>
          <t>R16</t>
        </is>
      </c>
      <c r="D67" s="6" t="inlineStr">
        <is>
          <t>BMX Olimpo IPRO</t>
        </is>
      </c>
      <c r="E67" s="7" t="inlineStr">
        <is>
          <t>MEDIA</t>
        </is>
      </c>
      <c r="F67" s="8" t="n">
        <v>145</v>
      </c>
      <c r="G67" s="9" t="n">
        <v>46368</v>
      </c>
      <c r="H67" s="10">
        <f>IF(OR($G67="",$G67&gt;DATA_REF),"NAO","SIM")</f>
        <v/>
      </c>
      <c r="I67" s="11">
        <f>IF(OR($G67="",$G67&gt;DATA_REF),"",DATA_REF-$G67)</f>
        <v/>
      </c>
      <c r="J67" s="11">
        <f>IF($I67="","",MAX(0,$I67-5))</f>
        <v/>
      </c>
      <c r="K67" s="12">
        <f>IF($Z67="","PENDENTE",IF($I67="","",IFERROR(INDEX(CURVAS_KC!$B$5:$J$224,MATCH(MIN(MAX($J67,1),220),CURVAS_KC!$A$5:$A$224,0),MATCH($Z67,CURVAS_KC!$B$4:$J$4,0)),"PENDENTE")))</f>
        <v/>
      </c>
      <c r="L67" s="9">
        <f>IF($G67="","",$G67)</f>
        <v/>
      </c>
      <c r="M67" s="13">
        <f>IF($L67="","",SUMIFS(ETO_SEMANAL!$B$6:$B$65,ETO_SEMANAL!$A$6:$A$65,"&gt;"&amp;$L67,ETO_SEMANAL!$A$6:$A$65,"&lt;="&amp;DATA_REF))</f>
        <v/>
      </c>
      <c r="N67" s="13">
        <f>IF($L67="","",SUMIFS(ETO_SEMANAL!$C$6:$C$65,ETO_SEMANAL!$A$6:$A$65,"&gt;"&amp;$L67,ETO_SEMANAL!$A$6:$A$65,"&lt;="&amp;DATA_REF))</f>
        <v/>
      </c>
      <c r="O67" s="13">
        <f>IF(OR($K67="",$K67="PENDENTE",$M67=""),"",$K67*$M67)</f>
        <v/>
      </c>
      <c r="P67" s="13">
        <f>IF($O67="","",MAX(0,$O67-N($N67)))</f>
        <v/>
      </c>
      <c r="Q67" s="14">
        <f>IF($P67="","",$P67/EF_APLIC)</f>
        <v/>
      </c>
      <c r="R67" s="7" t="n"/>
      <c r="S67" s="15">
        <f>IF(OR($AA67="",$R67=""),"",IFERROR(INDEX(LAMINA_HORA!$C$5:$V$114,MATCH($AA67,LAMINA_HORA!$A$5:$A$114,0),MATCH($R67,LAMINA_HORA!$C$3:$V$3,0)),"?"))</f>
        <v/>
      </c>
      <c r="T67" s="15">
        <f>IF(OR($AA67="",$R67=""),"",IFERROR(INDEX(LAMINA_HORA!$W$5:$AP$114,MATCH($AA67,LAMINA_HORA!$A$5:$A$114,0),MATCH($R67,LAMINA_HORA!$W$3:$AP$3,0)),"?"))</f>
        <v/>
      </c>
      <c r="U67" s="16" t="n">
        <v>0.821</v>
      </c>
      <c r="V67" s="17">
        <f>IF(OR($S67="",$S67="?",$F67=""),"",$S67*$F67*10)</f>
        <v/>
      </c>
      <c r="W67" s="17">
        <f>IF(OR($V67="",$U67=""),"",$V67*$U67)</f>
        <v/>
      </c>
      <c r="X67" s="10">
        <f>IF($K67="PENDENTE","Definir Kc",IF($P67="","-",IF($P67&gt;=TURNO,"IRRIGAR",IF($P67&gt;=TURNO*FRAC_ACOMP,"Acompanhar","Aguardar"))))</f>
        <v/>
      </c>
      <c r="Y67" s="10">
        <f>IF(OR($P67="",$P67=0),"-",IF($P67&gt;=2*TURNO,"Alta",IF($P67&gt;=TURNO,"Media","Baixa")))</f>
        <v/>
      </c>
      <c r="Z67" s="5" t="inlineStr">
        <is>
          <t>SOJA_MEDIA</t>
        </is>
      </c>
      <c r="AA67" s="7" t="inlineStr">
        <is>
          <t>P61</t>
        </is>
      </c>
    </row>
    <row r="68">
      <c r="A68" s="5" t="inlineStr">
        <is>
          <t>Pivô 63</t>
        </is>
      </c>
      <c r="B68" s="5" t="inlineStr">
        <is>
          <t>Modulo 3</t>
        </is>
      </c>
      <c r="C68" s="5" t="inlineStr">
        <is>
          <t>R18</t>
        </is>
      </c>
      <c r="D68" s="6" t="inlineStr">
        <is>
          <t>NEO 761 I2X</t>
        </is>
      </c>
      <c r="E68" s="7" t="inlineStr">
        <is>
          <t>PRECOCE</t>
        </is>
      </c>
      <c r="F68" s="8" t="n">
        <v>80</v>
      </c>
      <c r="G68" s="9" t="n">
        <v>46294</v>
      </c>
      <c r="H68" s="10">
        <f>IF(OR($G68="",$G68&gt;DATA_REF),"NAO","SIM")</f>
        <v/>
      </c>
      <c r="I68" s="11">
        <f>IF(OR($G68="",$G68&gt;DATA_REF),"",DATA_REF-$G68)</f>
        <v/>
      </c>
      <c r="J68" s="11">
        <f>IF($I68="","",MAX(0,$I68-5))</f>
        <v/>
      </c>
      <c r="K68" s="12">
        <f>IF($Z68="","PENDENTE",IF($I68="","",IFERROR(INDEX(CURVAS_KC!$B$5:$J$224,MATCH(MIN(MAX($J68,1),220),CURVAS_KC!$A$5:$A$224,0),MATCH($Z68,CURVAS_KC!$B$4:$J$4,0)),"PENDENTE")))</f>
        <v/>
      </c>
      <c r="L68" s="9">
        <f>IF($G68="","",$G68)</f>
        <v/>
      </c>
      <c r="M68" s="13">
        <f>IF($L68="","",SUMIFS(ETO_SEMANAL!$B$6:$B$65,ETO_SEMANAL!$A$6:$A$65,"&gt;"&amp;$L68,ETO_SEMANAL!$A$6:$A$65,"&lt;="&amp;DATA_REF))</f>
        <v/>
      </c>
      <c r="N68" s="13">
        <f>IF($L68="","",SUMIFS(ETO_SEMANAL!$C$6:$C$65,ETO_SEMANAL!$A$6:$A$65,"&gt;"&amp;$L68,ETO_SEMANAL!$A$6:$A$65,"&lt;="&amp;DATA_REF))</f>
        <v/>
      </c>
      <c r="O68" s="13">
        <f>IF(OR($K68="",$K68="PENDENTE",$M68=""),"",$K68*$M68)</f>
        <v/>
      </c>
      <c r="P68" s="13">
        <f>IF($O68="","",MAX(0,$O68-N($N68)))</f>
        <v/>
      </c>
      <c r="Q68" s="14">
        <f>IF($P68="","",$P68/EF_APLIC)</f>
        <v/>
      </c>
      <c r="R68" s="7" t="n"/>
      <c r="S68" s="15">
        <f>IF(OR($AA68="",$R68=""),"",IFERROR(INDEX(LAMINA_HORA!$C$5:$V$114,MATCH($AA68,LAMINA_HORA!$A$5:$A$114,0),MATCH($R68,LAMINA_HORA!$C$3:$V$3,0)),"?"))</f>
        <v/>
      </c>
      <c r="T68" s="15">
        <f>IF(OR($AA68="",$R68=""),"",IFERROR(INDEX(LAMINA_HORA!$W$5:$AP$114,MATCH($AA68,LAMINA_HORA!$A$5:$A$114,0),MATCH($R68,LAMINA_HORA!$W$3:$AP$3,0)),"?"))</f>
        <v/>
      </c>
      <c r="U68" s="16" t="n">
        <v>0.827</v>
      </c>
      <c r="V68" s="17">
        <f>IF(OR($S68="",$S68="?",$F68=""),"",$S68*$F68*10)</f>
        <v/>
      </c>
      <c r="W68" s="17">
        <f>IF(OR($V68="",$U68=""),"",$V68*$U68)</f>
        <v/>
      </c>
      <c r="X68" s="10">
        <f>IF($K68="PENDENTE","Definir Kc",IF($P68="","-",IF($P68&gt;=TURNO,"IRRIGAR",IF($P68&gt;=TURNO*FRAC_ACOMP,"Acompanhar","Aguardar"))))</f>
        <v/>
      </c>
      <c r="Y68" s="10">
        <f>IF(OR($P68="",$P68=0),"-",IF($P68&gt;=2*TURNO,"Alta",IF($P68&gt;=TURNO,"Media","Baixa")))</f>
        <v/>
      </c>
      <c r="Z68" s="5" t="inlineStr">
        <is>
          <t>SOJA_PRECOCE</t>
        </is>
      </c>
      <c r="AA68" s="7" t="inlineStr">
        <is>
          <t>P63</t>
        </is>
      </c>
    </row>
    <row r="69">
      <c r="A69" s="5" t="inlineStr">
        <is>
          <t>Pivô 64</t>
        </is>
      </c>
      <c r="B69" s="5" t="inlineStr">
        <is>
          <t>Modulo 3</t>
        </is>
      </c>
      <c r="C69" s="5" t="inlineStr">
        <is>
          <t>R18</t>
        </is>
      </c>
      <c r="D69" s="6" t="inlineStr">
        <is>
          <t>NEO 761 I2X</t>
        </is>
      </c>
      <c r="E69" s="7" t="inlineStr">
        <is>
          <t>PRECOCE</t>
        </is>
      </c>
      <c r="F69" s="8" t="n">
        <v>80</v>
      </c>
      <c r="G69" s="9" t="n">
        <v>46295</v>
      </c>
      <c r="H69" s="10">
        <f>IF(OR($G69="",$G69&gt;DATA_REF),"NAO","SIM")</f>
        <v/>
      </c>
      <c r="I69" s="11">
        <f>IF(OR($G69="",$G69&gt;DATA_REF),"",DATA_REF-$G69)</f>
        <v/>
      </c>
      <c r="J69" s="11">
        <f>IF($I69="","",MAX(0,$I69-5))</f>
        <v/>
      </c>
      <c r="K69" s="12">
        <f>IF($Z69="","PENDENTE",IF($I69="","",IFERROR(INDEX(CURVAS_KC!$B$5:$J$224,MATCH(MIN(MAX($J69,1),220),CURVAS_KC!$A$5:$A$224,0),MATCH($Z69,CURVAS_KC!$B$4:$J$4,0)),"PENDENTE")))</f>
        <v/>
      </c>
      <c r="L69" s="9">
        <f>IF($G69="","",$G69)</f>
        <v/>
      </c>
      <c r="M69" s="13">
        <f>IF($L69="","",SUMIFS(ETO_SEMANAL!$B$6:$B$65,ETO_SEMANAL!$A$6:$A$65,"&gt;"&amp;$L69,ETO_SEMANAL!$A$6:$A$65,"&lt;="&amp;DATA_REF))</f>
        <v/>
      </c>
      <c r="N69" s="13">
        <f>IF($L69="","",SUMIFS(ETO_SEMANAL!$C$6:$C$65,ETO_SEMANAL!$A$6:$A$65,"&gt;"&amp;$L69,ETO_SEMANAL!$A$6:$A$65,"&lt;="&amp;DATA_REF))</f>
        <v/>
      </c>
      <c r="O69" s="13">
        <f>IF(OR($K69="",$K69="PENDENTE",$M69=""),"",$K69*$M69)</f>
        <v/>
      </c>
      <c r="P69" s="13">
        <f>IF($O69="","",MAX(0,$O69-N($N69)))</f>
        <v/>
      </c>
      <c r="Q69" s="14">
        <f>IF($P69="","",$P69/EF_APLIC)</f>
        <v/>
      </c>
      <c r="R69" s="7" t="n"/>
      <c r="S69" s="15">
        <f>IF(OR($AA69="",$R69=""),"",IFERROR(INDEX(LAMINA_HORA!$C$5:$V$114,MATCH($AA69,LAMINA_HORA!$A$5:$A$114,0),MATCH($R69,LAMINA_HORA!$C$3:$V$3,0)),"?"))</f>
        <v/>
      </c>
      <c r="T69" s="15">
        <f>IF(OR($AA69="",$R69=""),"",IFERROR(INDEX(LAMINA_HORA!$W$5:$AP$114,MATCH($AA69,LAMINA_HORA!$A$5:$A$114,0),MATCH($R69,LAMINA_HORA!$W$3:$AP$3,0)),"?"))</f>
        <v/>
      </c>
      <c r="U69" s="16" t="n">
        <v>0.779</v>
      </c>
      <c r="V69" s="17">
        <f>IF(OR($S69="",$S69="?",$F69=""),"",$S69*$F69*10)</f>
        <v/>
      </c>
      <c r="W69" s="17">
        <f>IF(OR($V69="",$U69=""),"",$V69*$U69)</f>
        <v/>
      </c>
      <c r="X69" s="10">
        <f>IF($K69="PENDENTE","Definir Kc",IF($P69="","-",IF($P69&gt;=TURNO,"IRRIGAR",IF($P69&gt;=TURNO*FRAC_ACOMP,"Acompanhar","Aguardar"))))</f>
        <v/>
      </c>
      <c r="Y69" s="10">
        <f>IF(OR($P69="",$P69=0),"-",IF($P69&gt;=2*TURNO,"Alta",IF($P69&gt;=TURNO,"Media","Baixa")))</f>
        <v/>
      </c>
      <c r="Z69" s="5" t="inlineStr">
        <is>
          <t>SOJA_PRECOCE</t>
        </is>
      </c>
      <c r="AA69" s="7" t="inlineStr">
        <is>
          <t>P64</t>
        </is>
      </c>
    </row>
    <row r="70">
      <c r="A70" s="5" t="inlineStr">
        <is>
          <t>Pivô 65</t>
        </is>
      </c>
      <c r="B70" s="5" t="inlineStr">
        <is>
          <t>Modulo 3</t>
        </is>
      </c>
      <c r="C70" s="5" t="inlineStr">
        <is>
          <t>R18</t>
        </is>
      </c>
      <c r="D70" s="6" t="inlineStr">
        <is>
          <t>NEO 761 I2X</t>
        </is>
      </c>
      <c r="E70" s="7" t="inlineStr">
        <is>
          <t>PRECOCE</t>
        </is>
      </c>
      <c r="F70" s="8" t="n">
        <v>150</v>
      </c>
      <c r="G70" s="9" t="n">
        <v>46295</v>
      </c>
      <c r="H70" s="10">
        <f>IF(OR($G70="",$G70&gt;DATA_REF),"NAO","SIM")</f>
        <v/>
      </c>
      <c r="I70" s="11">
        <f>IF(OR($G70="",$G70&gt;DATA_REF),"",DATA_REF-$G70)</f>
        <v/>
      </c>
      <c r="J70" s="11">
        <f>IF($I70="","",MAX(0,$I70-5))</f>
        <v/>
      </c>
      <c r="K70" s="12">
        <f>IF($Z70="","PENDENTE",IF($I70="","",IFERROR(INDEX(CURVAS_KC!$B$5:$J$224,MATCH(MIN(MAX($J70,1),220),CURVAS_KC!$A$5:$A$224,0),MATCH($Z70,CURVAS_KC!$B$4:$J$4,0)),"PENDENTE")))</f>
        <v/>
      </c>
      <c r="L70" s="9">
        <f>IF($G70="","",$G70)</f>
        <v/>
      </c>
      <c r="M70" s="13">
        <f>IF($L70="","",SUMIFS(ETO_SEMANAL!$B$6:$B$65,ETO_SEMANAL!$A$6:$A$65,"&gt;"&amp;$L70,ETO_SEMANAL!$A$6:$A$65,"&lt;="&amp;DATA_REF))</f>
        <v/>
      </c>
      <c r="N70" s="13">
        <f>IF($L70="","",SUMIFS(ETO_SEMANAL!$C$6:$C$65,ETO_SEMANAL!$A$6:$A$65,"&gt;"&amp;$L70,ETO_SEMANAL!$A$6:$A$65,"&lt;="&amp;DATA_REF))</f>
        <v/>
      </c>
      <c r="O70" s="13">
        <f>IF(OR($K70="",$K70="PENDENTE",$M70=""),"",$K70*$M70)</f>
        <v/>
      </c>
      <c r="P70" s="13">
        <f>IF($O70="","",MAX(0,$O70-N($N70)))</f>
        <v/>
      </c>
      <c r="Q70" s="14">
        <f>IF($P70="","",$P70/EF_APLIC)</f>
        <v/>
      </c>
      <c r="R70" s="7" t="n"/>
      <c r="S70" s="15">
        <f>IF(OR($AA70="",$R70=""),"",IFERROR(INDEX(LAMINA_HORA!$C$5:$V$114,MATCH($AA70,LAMINA_HORA!$A$5:$A$114,0),MATCH($R70,LAMINA_HORA!$C$3:$V$3,0)),"?"))</f>
        <v/>
      </c>
      <c r="T70" s="15">
        <f>IF(OR($AA70="",$R70=""),"",IFERROR(INDEX(LAMINA_HORA!$W$5:$AP$114,MATCH($AA70,LAMINA_HORA!$A$5:$A$114,0),MATCH($R70,LAMINA_HORA!$W$3:$AP$3,0)),"?"))</f>
        <v/>
      </c>
      <c r="U70" s="16" t="n">
        <v>0.848</v>
      </c>
      <c r="V70" s="17">
        <f>IF(OR($S70="",$S70="?",$F70=""),"",$S70*$F70*10)</f>
        <v/>
      </c>
      <c r="W70" s="17">
        <f>IF(OR($V70="",$U70=""),"",$V70*$U70)</f>
        <v/>
      </c>
      <c r="X70" s="10">
        <f>IF($K70="PENDENTE","Definir Kc",IF($P70="","-",IF($P70&gt;=TURNO,"IRRIGAR",IF($P70&gt;=TURNO*FRAC_ACOMP,"Acompanhar","Aguardar"))))</f>
        <v/>
      </c>
      <c r="Y70" s="10">
        <f>IF(OR($P70="",$P70=0),"-",IF($P70&gt;=2*TURNO,"Alta",IF($P70&gt;=TURNO,"Media","Baixa")))</f>
        <v/>
      </c>
      <c r="Z70" s="5" t="inlineStr">
        <is>
          <t>SOJA_PRECOCE</t>
        </is>
      </c>
      <c r="AA70" s="7" t="inlineStr">
        <is>
          <t>P65</t>
        </is>
      </c>
    </row>
    <row r="71">
      <c r="A71" s="5" t="inlineStr">
        <is>
          <t>Pivô 66</t>
        </is>
      </c>
      <c r="B71" s="5" t="inlineStr">
        <is>
          <t>Modulo 3</t>
        </is>
      </c>
      <c r="C71" s="5" t="inlineStr">
        <is>
          <t>R15</t>
        </is>
      </c>
      <c r="D71" s="6" t="inlineStr">
        <is>
          <t>NEO 761 I2X</t>
        </is>
      </c>
      <c r="E71" s="7" t="inlineStr">
        <is>
          <t>PRECOCE</t>
        </is>
      </c>
      <c r="F71" s="8" t="n">
        <v>100</v>
      </c>
      <c r="G71" s="9" t="n">
        <v>46286</v>
      </c>
      <c r="H71" s="10">
        <f>IF(OR($G71="",$G71&gt;DATA_REF),"NAO","SIM")</f>
        <v/>
      </c>
      <c r="I71" s="11">
        <f>IF(OR($G71="",$G71&gt;DATA_REF),"",DATA_REF-$G71)</f>
        <v/>
      </c>
      <c r="J71" s="11">
        <f>IF($I71="","",MAX(0,$I71-5))</f>
        <v/>
      </c>
      <c r="K71" s="12">
        <f>IF($Z71="","PENDENTE",IF($I71="","",IFERROR(INDEX(CURVAS_KC!$B$5:$J$224,MATCH(MIN(MAX($J71,1),220),CURVAS_KC!$A$5:$A$224,0),MATCH($Z71,CURVAS_KC!$B$4:$J$4,0)),"PENDENTE")))</f>
        <v/>
      </c>
      <c r="L71" s="9">
        <f>IF($G71="","",$G71)</f>
        <v/>
      </c>
      <c r="M71" s="13">
        <f>IF($L71="","",SUMIFS(ETO_SEMANAL!$B$6:$B$65,ETO_SEMANAL!$A$6:$A$65,"&gt;"&amp;$L71,ETO_SEMANAL!$A$6:$A$65,"&lt;="&amp;DATA_REF))</f>
        <v/>
      </c>
      <c r="N71" s="13">
        <f>IF($L71="","",SUMIFS(ETO_SEMANAL!$C$6:$C$65,ETO_SEMANAL!$A$6:$A$65,"&gt;"&amp;$L71,ETO_SEMANAL!$A$6:$A$65,"&lt;="&amp;DATA_REF))</f>
        <v/>
      </c>
      <c r="O71" s="13">
        <f>IF(OR($K71="",$K71="PENDENTE",$M71=""),"",$K71*$M71)</f>
        <v/>
      </c>
      <c r="P71" s="13">
        <f>IF($O71="","",MAX(0,$O71-N($N71)))</f>
        <v/>
      </c>
      <c r="Q71" s="14">
        <f>IF($P71="","",$P71/EF_APLIC)</f>
        <v/>
      </c>
      <c r="R71" s="7" t="n"/>
      <c r="S71" s="15">
        <f>IF(OR($AA71="",$R71=""),"",IFERROR(INDEX(LAMINA_HORA!$C$5:$V$114,MATCH($AA71,LAMINA_HORA!$A$5:$A$114,0),MATCH($R71,LAMINA_HORA!$C$3:$V$3,0)),"?"))</f>
        <v/>
      </c>
      <c r="T71" s="15">
        <f>IF(OR($AA71="",$R71=""),"",IFERROR(INDEX(LAMINA_HORA!$W$5:$AP$114,MATCH($AA71,LAMINA_HORA!$A$5:$A$114,0),MATCH($R71,LAMINA_HORA!$W$3:$AP$3,0)),"?"))</f>
        <v/>
      </c>
      <c r="U71" s="16" t="n">
        <v>0.905</v>
      </c>
      <c r="V71" s="17">
        <f>IF(OR($S71="",$S71="?",$F71=""),"",$S71*$F71*10)</f>
        <v/>
      </c>
      <c r="W71" s="17">
        <f>IF(OR($V71="",$U71=""),"",$V71*$U71)</f>
        <v/>
      </c>
      <c r="X71" s="10">
        <f>IF($K71="PENDENTE","Definir Kc",IF($P71="","-",IF($P71&gt;=TURNO,"IRRIGAR",IF($P71&gt;=TURNO*FRAC_ACOMP,"Acompanhar","Aguardar"))))</f>
        <v/>
      </c>
      <c r="Y71" s="10">
        <f>IF(OR($P71="",$P71=0),"-",IF($P71&gt;=2*TURNO,"Alta",IF($P71&gt;=TURNO,"Media","Baixa")))</f>
        <v/>
      </c>
      <c r="Z71" s="5" t="inlineStr">
        <is>
          <t>SOJA_PRECOCE</t>
        </is>
      </c>
      <c r="AA71" s="7" t="inlineStr">
        <is>
          <t>P66</t>
        </is>
      </c>
    </row>
    <row r="72">
      <c r="A72" s="5" t="inlineStr">
        <is>
          <t>Pivô 67</t>
        </is>
      </c>
      <c r="B72" s="5" t="inlineStr">
        <is>
          <t>Modulo 3</t>
        </is>
      </c>
      <c r="C72" s="5" t="inlineStr">
        <is>
          <t>R16</t>
        </is>
      </c>
      <c r="D72" s="6" t="inlineStr">
        <is>
          <t>NEO 761 I2X</t>
        </is>
      </c>
      <c r="E72" s="7" t="inlineStr">
        <is>
          <t>PRECOCE</t>
        </is>
      </c>
      <c r="F72" s="8" t="n">
        <v>80</v>
      </c>
      <c r="G72" s="9" t="n">
        <v>46286</v>
      </c>
      <c r="H72" s="10">
        <f>IF(OR($G72="",$G72&gt;DATA_REF),"NAO","SIM")</f>
        <v/>
      </c>
      <c r="I72" s="11">
        <f>IF(OR($G72="",$G72&gt;DATA_REF),"",DATA_REF-$G72)</f>
        <v/>
      </c>
      <c r="J72" s="11">
        <f>IF($I72="","",MAX(0,$I72-5))</f>
        <v/>
      </c>
      <c r="K72" s="12">
        <f>IF($Z72="","PENDENTE",IF($I72="","",IFERROR(INDEX(CURVAS_KC!$B$5:$J$224,MATCH(MIN(MAX($J72,1),220),CURVAS_KC!$A$5:$A$224,0),MATCH($Z72,CURVAS_KC!$B$4:$J$4,0)),"PENDENTE")))</f>
        <v/>
      </c>
      <c r="L72" s="9">
        <f>IF($G72="","",$G72)</f>
        <v/>
      </c>
      <c r="M72" s="13">
        <f>IF($L72="","",SUMIFS(ETO_SEMANAL!$B$6:$B$65,ETO_SEMANAL!$A$6:$A$65,"&gt;"&amp;$L72,ETO_SEMANAL!$A$6:$A$65,"&lt;="&amp;DATA_REF))</f>
        <v/>
      </c>
      <c r="N72" s="13">
        <f>IF($L72="","",SUMIFS(ETO_SEMANAL!$C$6:$C$65,ETO_SEMANAL!$A$6:$A$65,"&gt;"&amp;$L72,ETO_SEMANAL!$A$6:$A$65,"&lt;="&amp;DATA_REF))</f>
        <v/>
      </c>
      <c r="O72" s="13">
        <f>IF(OR($K72="",$K72="PENDENTE",$M72=""),"",$K72*$M72)</f>
        <v/>
      </c>
      <c r="P72" s="13">
        <f>IF($O72="","",MAX(0,$O72-N($N72)))</f>
        <v/>
      </c>
      <c r="Q72" s="14">
        <f>IF($P72="","",$P72/EF_APLIC)</f>
        <v/>
      </c>
      <c r="R72" s="7" t="n"/>
      <c r="S72" s="15">
        <f>IF(OR($AA72="",$R72=""),"",IFERROR(INDEX(LAMINA_HORA!$C$5:$V$114,MATCH($AA72,LAMINA_HORA!$A$5:$A$114,0),MATCH($R72,LAMINA_HORA!$C$3:$V$3,0)),"?"))</f>
        <v/>
      </c>
      <c r="T72" s="15">
        <f>IF(OR($AA72="",$R72=""),"",IFERROR(INDEX(LAMINA_HORA!$W$5:$AP$114,MATCH($AA72,LAMINA_HORA!$A$5:$A$114,0),MATCH($R72,LAMINA_HORA!$W$3:$AP$3,0)),"?"))</f>
        <v/>
      </c>
      <c r="U72" s="16" t="n">
        <v>0.974</v>
      </c>
      <c r="V72" s="17">
        <f>IF(OR($S72="",$S72="?",$F72=""),"",$S72*$F72*10)</f>
        <v/>
      </c>
      <c r="W72" s="17">
        <f>IF(OR($V72="",$U72=""),"",$V72*$U72)</f>
        <v/>
      </c>
      <c r="X72" s="10">
        <f>IF($K72="PENDENTE","Definir Kc",IF($P72="","-",IF($P72&gt;=TURNO,"IRRIGAR",IF($P72&gt;=TURNO*FRAC_ACOMP,"Acompanhar","Aguardar"))))</f>
        <v/>
      </c>
      <c r="Y72" s="10">
        <f>IF(OR($P72="",$P72=0),"-",IF($P72&gt;=2*TURNO,"Alta",IF($P72&gt;=TURNO,"Media","Baixa")))</f>
        <v/>
      </c>
      <c r="Z72" s="5" t="inlineStr">
        <is>
          <t>SOJA_PRECOCE</t>
        </is>
      </c>
      <c r="AA72" s="7" t="inlineStr">
        <is>
          <t>P67</t>
        </is>
      </c>
    </row>
    <row r="73">
      <c r="A73" s="5" t="inlineStr">
        <is>
          <t>Pivô 68</t>
        </is>
      </c>
      <c r="B73" s="5" t="inlineStr">
        <is>
          <t>Modulo 3</t>
        </is>
      </c>
      <c r="C73" s="5" t="inlineStr">
        <is>
          <t>R16</t>
        </is>
      </c>
      <c r="D73" s="6" t="inlineStr">
        <is>
          <t>COMPLETA IPRO</t>
        </is>
      </c>
      <c r="E73" s="7" t="inlineStr">
        <is>
          <t>MEDIA</t>
        </is>
      </c>
      <c r="F73" s="8" t="n">
        <v>80</v>
      </c>
      <c r="G73" s="9" t="n">
        <v>46290</v>
      </c>
      <c r="H73" s="10">
        <f>IF(OR($G73="",$G73&gt;DATA_REF),"NAO","SIM")</f>
        <v/>
      </c>
      <c r="I73" s="11">
        <f>IF(OR($G73="",$G73&gt;DATA_REF),"",DATA_REF-$G73)</f>
        <v/>
      </c>
      <c r="J73" s="11">
        <f>IF($I73="","",MAX(0,$I73-5))</f>
        <v/>
      </c>
      <c r="K73" s="12">
        <f>IF($Z73="","PENDENTE",IF($I73="","",IFERROR(INDEX(CURVAS_KC!$B$5:$J$224,MATCH(MIN(MAX($J73,1),220),CURVAS_KC!$A$5:$A$224,0),MATCH($Z73,CURVAS_KC!$B$4:$J$4,0)),"PENDENTE")))</f>
        <v/>
      </c>
      <c r="L73" s="9">
        <f>IF($G73="","",$G73)</f>
        <v/>
      </c>
      <c r="M73" s="13">
        <f>IF($L73="","",SUMIFS(ETO_SEMANAL!$B$6:$B$65,ETO_SEMANAL!$A$6:$A$65,"&gt;"&amp;$L73,ETO_SEMANAL!$A$6:$A$65,"&lt;="&amp;DATA_REF))</f>
        <v/>
      </c>
      <c r="N73" s="13">
        <f>IF($L73="","",SUMIFS(ETO_SEMANAL!$C$6:$C$65,ETO_SEMANAL!$A$6:$A$65,"&gt;"&amp;$L73,ETO_SEMANAL!$A$6:$A$65,"&lt;="&amp;DATA_REF))</f>
        <v/>
      </c>
      <c r="O73" s="13">
        <f>IF(OR($K73="",$K73="PENDENTE",$M73=""),"",$K73*$M73)</f>
        <v/>
      </c>
      <c r="P73" s="13">
        <f>IF($O73="","",MAX(0,$O73-N($N73)))</f>
        <v/>
      </c>
      <c r="Q73" s="14">
        <f>IF($P73="","",$P73/EF_APLIC)</f>
        <v/>
      </c>
      <c r="R73" s="7" t="n"/>
      <c r="S73" s="15">
        <f>IF(OR($AA73="",$R73=""),"",IFERROR(INDEX(LAMINA_HORA!$C$5:$V$114,MATCH($AA73,LAMINA_HORA!$A$5:$A$114,0),MATCH($R73,LAMINA_HORA!$C$3:$V$3,0)),"?"))</f>
        <v/>
      </c>
      <c r="T73" s="15">
        <f>IF(OR($AA73="",$R73=""),"",IFERROR(INDEX(LAMINA_HORA!$W$5:$AP$114,MATCH($AA73,LAMINA_HORA!$A$5:$A$114,0),MATCH($R73,LAMINA_HORA!$W$3:$AP$3,0)),"?"))</f>
        <v/>
      </c>
      <c r="U73" s="16" t="n">
        <v>0.974</v>
      </c>
      <c r="V73" s="17">
        <f>IF(OR($S73="",$S73="?",$F73=""),"",$S73*$F73*10)</f>
        <v/>
      </c>
      <c r="W73" s="17">
        <f>IF(OR($V73="",$U73=""),"",$V73*$U73)</f>
        <v/>
      </c>
      <c r="X73" s="10">
        <f>IF($K73="PENDENTE","Definir Kc",IF($P73="","-",IF($P73&gt;=TURNO,"IRRIGAR",IF($P73&gt;=TURNO*FRAC_ACOMP,"Acompanhar","Aguardar"))))</f>
        <v/>
      </c>
      <c r="Y73" s="10">
        <f>IF(OR($P73="",$P73=0),"-",IF($P73&gt;=2*TURNO,"Alta",IF($P73&gt;=TURNO,"Media","Baixa")))</f>
        <v/>
      </c>
      <c r="Z73" s="5" t="inlineStr">
        <is>
          <t>SOJA_MEDIA</t>
        </is>
      </c>
      <c r="AA73" s="7" t="inlineStr">
        <is>
          <t>P68</t>
        </is>
      </c>
    </row>
    <row r="74">
      <c r="A74" s="5" t="inlineStr">
        <is>
          <t>Pivô 72</t>
        </is>
      </c>
      <c r="B74" s="5" t="inlineStr">
        <is>
          <t>Modulo 3</t>
        </is>
      </c>
      <c r="C74" s="5" t="inlineStr">
        <is>
          <t>R17</t>
        </is>
      </c>
      <c r="D74" s="6" t="inlineStr">
        <is>
          <t>COMBATE IPRO</t>
        </is>
      </c>
      <c r="E74" s="7" t="inlineStr">
        <is>
          <t>PRECOCE</t>
        </is>
      </c>
      <c r="F74" s="8" t="n">
        <v>125</v>
      </c>
      <c r="G74" s="9" t="n">
        <v>46294</v>
      </c>
      <c r="H74" s="10">
        <f>IF(OR($G74="",$G74&gt;DATA_REF),"NAO","SIM")</f>
        <v/>
      </c>
      <c r="I74" s="11">
        <f>IF(OR($G74="",$G74&gt;DATA_REF),"",DATA_REF-$G74)</f>
        <v/>
      </c>
      <c r="J74" s="11">
        <f>IF($I74="","",MAX(0,$I74-5))</f>
        <v/>
      </c>
      <c r="K74" s="12">
        <f>IF($Z74="","PENDENTE",IF($I74="","",IFERROR(INDEX(CURVAS_KC!$B$5:$J$224,MATCH(MIN(MAX($J74,1),220),CURVAS_KC!$A$5:$A$224,0),MATCH($Z74,CURVAS_KC!$B$4:$J$4,0)),"PENDENTE")))</f>
        <v/>
      </c>
      <c r="L74" s="9">
        <f>IF($G74="","",$G74)</f>
        <v/>
      </c>
      <c r="M74" s="13">
        <f>IF($L74="","",SUMIFS(ETO_SEMANAL!$B$6:$B$65,ETO_SEMANAL!$A$6:$A$65,"&gt;"&amp;$L74,ETO_SEMANAL!$A$6:$A$65,"&lt;="&amp;DATA_REF))</f>
        <v/>
      </c>
      <c r="N74" s="13">
        <f>IF($L74="","",SUMIFS(ETO_SEMANAL!$C$6:$C$65,ETO_SEMANAL!$A$6:$A$65,"&gt;"&amp;$L74,ETO_SEMANAL!$A$6:$A$65,"&lt;="&amp;DATA_REF))</f>
        <v/>
      </c>
      <c r="O74" s="13">
        <f>IF(OR($K74="",$K74="PENDENTE",$M74=""),"",$K74*$M74)</f>
        <v/>
      </c>
      <c r="P74" s="13">
        <f>IF($O74="","",MAX(0,$O74-N($N74)))</f>
        <v/>
      </c>
      <c r="Q74" s="14">
        <f>IF($P74="","",$P74/EF_APLIC)</f>
        <v/>
      </c>
      <c r="R74" s="7" t="n"/>
      <c r="S74" s="15">
        <f>IF(OR($AA74="",$R74=""),"",IFERROR(INDEX(LAMINA_HORA!$C$5:$V$114,MATCH($AA74,LAMINA_HORA!$A$5:$A$114,0),MATCH($R74,LAMINA_HORA!$C$3:$V$3,0)),"?"))</f>
        <v/>
      </c>
      <c r="T74" s="15">
        <f>IF(OR($AA74="",$R74=""),"",IFERROR(INDEX(LAMINA_HORA!$W$5:$AP$114,MATCH($AA74,LAMINA_HORA!$A$5:$A$114,0),MATCH($R74,LAMINA_HORA!$W$3:$AP$3,0)),"?"))</f>
        <v/>
      </c>
      <c r="U74" s="16" t="n">
        <v>0.851</v>
      </c>
      <c r="V74" s="17">
        <f>IF(OR($S74="",$S74="?",$F74=""),"",$S74*$F74*10)</f>
        <v/>
      </c>
      <c r="W74" s="17">
        <f>IF(OR($V74="",$U74=""),"",$V74*$U74)</f>
        <v/>
      </c>
      <c r="X74" s="10">
        <f>IF($K74="PENDENTE","Definir Kc",IF($P74="","-",IF($P74&gt;=TURNO,"IRRIGAR",IF($P74&gt;=TURNO*FRAC_ACOMP,"Acompanhar","Aguardar"))))</f>
        <v/>
      </c>
      <c r="Y74" s="10">
        <f>IF(OR($P74="",$P74=0),"-",IF($P74&gt;=2*TURNO,"Alta",IF($P74&gt;=TURNO,"Media","Baixa")))</f>
        <v/>
      </c>
      <c r="Z74" s="5" t="inlineStr">
        <is>
          <t>SOJA_PRECOCE</t>
        </is>
      </c>
      <c r="AA74" s="7" t="inlineStr">
        <is>
          <t>P72</t>
        </is>
      </c>
    </row>
    <row r="75">
      <c r="A75" s="5" t="inlineStr">
        <is>
          <t>Pivô 104</t>
        </is>
      </c>
      <c r="B75" s="5" t="inlineStr">
        <is>
          <t>RDM</t>
        </is>
      </c>
      <c r="C75" s="5" t="inlineStr">
        <is>
          <t>RM4</t>
        </is>
      </c>
      <c r="D75" s="6" t="inlineStr">
        <is>
          <t>COMBATE IPRO</t>
        </is>
      </c>
      <c r="E75" s="7" t="inlineStr">
        <is>
          <t>PRECOCE</t>
        </is>
      </c>
      <c r="F75" s="8" t="n">
        <v>100</v>
      </c>
      <c r="G75" s="9" t="n">
        <v>46291</v>
      </c>
      <c r="H75" s="10">
        <f>IF(OR($G75="",$G75&gt;DATA_REF),"NAO","SIM")</f>
        <v/>
      </c>
      <c r="I75" s="11">
        <f>IF(OR($G75="",$G75&gt;DATA_REF),"",DATA_REF-$G75)</f>
        <v/>
      </c>
      <c r="J75" s="11">
        <f>IF($I75="","",MAX(0,$I75-5))</f>
        <v/>
      </c>
      <c r="K75" s="12">
        <f>IF($Z75="","PENDENTE",IF($I75="","",IFERROR(INDEX(CURVAS_KC!$B$5:$J$224,MATCH(MIN(MAX($J75,1),220),CURVAS_KC!$A$5:$A$224,0),MATCH($Z75,CURVAS_KC!$B$4:$J$4,0)),"PENDENTE")))</f>
        <v/>
      </c>
      <c r="L75" s="9">
        <f>IF($G75="","",$G75)</f>
        <v/>
      </c>
      <c r="M75" s="13">
        <f>IF($L75="","",SUMIFS(ETO_SEMANAL!$B$6:$B$65,ETO_SEMANAL!$A$6:$A$65,"&gt;"&amp;$L75,ETO_SEMANAL!$A$6:$A$65,"&lt;="&amp;DATA_REF))</f>
        <v/>
      </c>
      <c r="N75" s="13">
        <f>IF($L75="","",SUMIFS(ETO_SEMANAL!$C$6:$C$65,ETO_SEMANAL!$A$6:$A$65,"&gt;"&amp;$L75,ETO_SEMANAL!$A$6:$A$65,"&lt;="&amp;DATA_REF))</f>
        <v/>
      </c>
      <c r="O75" s="13">
        <f>IF(OR($K75="",$K75="PENDENTE",$M75=""),"",$K75*$M75)</f>
        <v/>
      </c>
      <c r="P75" s="13">
        <f>IF($O75="","",MAX(0,$O75-N($N75)))</f>
        <v/>
      </c>
      <c r="Q75" s="14">
        <f>IF($P75="","",$P75/EF_APLIC)</f>
        <v/>
      </c>
      <c r="R75" s="7" t="n"/>
      <c r="S75" s="15">
        <f>IF(OR($AA75="",$R75=""),"",IFERROR(INDEX(LAMINA_HORA!$C$5:$V$114,MATCH($AA75,LAMINA_HORA!$A$5:$A$114,0),MATCH($R75,LAMINA_HORA!$C$3:$V$3,0)),"?"))</f>
        <v/>
      </c>
      <c r="T75" s="15">
        <f>IF(OR($AA75="",$R75=""),"",IFERROR(INDEX(LAMINA_HORA!$W$5:$AP$114,MATCH($AA75,LAMINA_HORA!$A$5:$A$114,0),MATCH($R75,LAMINA_HORA!$W$3:$AP$3,0)),"?"))</f>
        <v/>
      </c>
      <c r="U75" s="16" t="n">
        <v>0.583</v>
      </c>
      <c r="V75" s="17">
        <f>IF(OR($S75="",$S75="?",$F75=""),"",$S75*$F75*10)</f>
        <v/>
      </c>
      <c r="W75" s="17">
        <f>IF(OR($V75="",$U75=""),"",$V75*$U75)</f>
        <v/>
      </c>
      <c r="X75" s="10">
        <f>IF($K75="PENDENTE","Definir Kc",IF($P75="","-",IF($P75&gt;=TURNO,"IRRIGAR",IF($P75&gt;=TURNO*FRAC_ACOMP,"Acompanhar","Aguardar"))))</f>
        <v/>
      </c>
      <c r="Y75" s="10">
        <f>IF(OR($P75="",$P75=0),"-",IF($P75&gt;=2*TURNO,"Alta",IF($P75&gt;=TURNO,"Media","Baixa")))</f>
        <v/>
      </c>
      <c r="Z75" s="5" t="inlineStr">
        <is>
          <t>SOJA_PRECOCE</t>
        </is>
      </c>
      <c r="AA75" s="7" t="inlineStr">
        <is>
          <t>P104</t>
        </is>
      </c>
    </row>
    <row r="76">
      <c r="A76" s="5" t="inlineStr">
        <is>
          <t>Pivô 105</t>
        </is>
      </c>
      <c r="B76" s="5" t="inlineStr">
        <is>
          <t>RDM</t>
        </is>
      </c>
      <c r="C76" s="5" t="inlineStr">
        <is>
          <t>RM3</t>
        </is>
      </c>
      <c r="D76" s="6" t="inlineStr">
        <is>
          <t>COMBATE IPRO</t>
        </is>
      </c>
      <c r="E76" s="7" t="inlineStr">
        <is>
          <t>PRECOCE</t>
        </is>
      </c>
      <c r="F76" s="8" t="n">
        <v>100</v>
      </c>
      <c r="G76" s="9" t="n">
        <v>46293</v>
      </c>
      <c r="H76" s="10">
        <f>IF(OR($G76="",$G76&gt;DATA_REF),"NAO","SIM")</f>
        <v/>
      </c>
      <c r="I76" s="11">
        <f>IF(OR($G76="",$G76&gt;DATA_REF),"",DATA_REF-$G76)</f>
        <v/>
      </c>
      <c r="J76" s="11">
        <f>IF($I76="","",MAX(0,$I76-5))</f>
        <v/>
      </c>
      <c r="K76" s="12">
        <f>IF($Z76="","PENDENTE",IF($I76="","",IFERROR(INDEX(CURVAS_KC!$B$5:$J$224,MATCH(MIN(MAX($J76,1),220),CURVAS_KC!$A$5:$A$224,0),MATCH($Z76,CURVAS_KC!$B$4:$J$4,0)),"PENDENTE")))</f>
        <v/>
      </c>
      <c r="L76" s="9">
        <f>IF($G76="","",$G76)</f>
        <v/>
      </c>
      <c r="M76" s="13">
        <f>IF($L76="","",SUMIFS(ETO_SEMANAL!$B$6:$B$65,ETO_SEMANAL!$A$6:$A$65,"&gt;"&amp;$L76,ETO_SEMANAL!$A$6:$A$65,"&lt;="&amp;DATA_REF))</f>
        <v/>
      </c>
      <c r="N76" s="13">
        <f>IF($L76="","",SUMIFS(ETO_SEMANAL!$C$6:$C$65,ETO_SEMANAL!$A$6:$A$65,"&gt;"&amp;$L76,ETO_SEMANAL!$A$6:$A$65,"&lt;="&amp;DATA_REF))</f>
        <v/>
      </c>
      <c r="O76" s="13">
        <f>IF(OR($K76="",$K76="PENDENTE",$M76=""),"",$K76*$M76)</f>
        <v/>
      </c>
      <c r="P76" s="13">
        <f>IF($O76="","",MAX(0,$O76-N($N76)))</f>
        <v/>
      </c>
      <c r="Q76" s="14">
        <f>IF($P76="","",$P76/EF_APLIC)</f>
        <v/>
      </c>
      <c r="R76" s="7" t="n"/>
      <c r="S76" s="15">
        <f>IF(OR($AA76="",$R76=""),"",IFERROR(INDEX(LAMINA_HORA!$C$5:$V$114,MATCH($AA76,LAMINA_HORA!$A$5:$A$114,0),MATCH($R76,LAMINA_HORA!$C$3:$V$3,0)),"?"))</f>
        <v/>
      </c>
      <c r="T76" s="15">
        <f>IF(OR($AA76="",$R76=""),"",IFERROR(INDEX(LAMINA_HORA!$W$5:$AP$114,MATCH($AA76,LAMINA_HORA!$A$5:$A$114,0),MATCH($R76,LAMINA_HORA!$W$3:$AP$3,0)),"?"))</f>
        <v/>
      </c>
      <c r="U76" s="16" t="n">
        <v>0.583</v>
      </c>
      <c r="V76" s="17">
        <f>IF(OR($S76="",$S76="?",$F76=""),"",$S76*$F76*10)</f>
        <v/>
      </c>
      <c r="W76" s="17">
        <f>IF(OR($V76="",$U76=""),"",$V76*$U76)</f>
        <v/>
      </c>
      <c r="X76" s="10">
        <f>IF($K76="PENDENTE","Definir Kc",IF($P76="","-",IF($P76&gt;=TURNO,"IRRIGAR",IF($P76&gt;=TURNO*FRAC_ACOMP,"Acompanhar","Aguardar"))))</f>
        <v/>
      </c>
      <c r="Y76" s="10">
        <f>IF(OR($P76="",$P76=0),"-",IF($P76&gt;=2*TURNO,"Alta",IF($P76&gt;=TURNO,"Media","Baixa")))</f>
        <v/>
      </c>
      <c r="Z76" s="5" t="inlineStr">
        <is>
          <t>SOJA_PRECOCE</t>
        </is>
      </c>
      <c r="AA76" s="7" t="inlineStr">
        <is>
          <t>P105</t>
        </is>
      </c>
    </row>
    <row r="77">
      <c r="A77" s="5" t="inlineStr">
        <is>
          <t>Pivô 106</t>
        </is>
      </c>
      <c r="B77" s="5" t="inlineStr">
        <is>
          <t>RDM</t>
        </is>
      </c>
      <c r="C77" s="5" t="inlineStr">
        <is>
          <t>RM2</t>
        </is>
      </c>
      <c r="D77" s="6" t="inlineStr">
        <is>
          <t>NEO 761 I2X</t>
        </is>
      </c>
      <c r="E77" s="7" t="inlineStr">
        <is>
          <t>PRECOCE</t>
        </is>
      </c>
      <c r="F77" s="8" t="n">
        <v>100</v>
      </c>
      <c r="G77" s="9" t="n">
        <v>46291</v>
      </c>
      <c r="H77" s="10">
        <f>IF(OR($G77="",$G77&gt;DATA_REF),"NAO","SIM")</f>
        <v/>
      </c>
      <c r="I77" s="11">
        <f>IF(OR($G77="",$G77&gt;DATA_REF),"",DATA_REF-$G77)</f>
        <v/>
      </c>
      <c r="J77" s="11">
        <f>IF($I77="","",MAX(0,$I77-5))</f>
        <v/>
      </c>
      <c r="K77" s="12">
        <f>IF($Z77="","PENDENTE",IF($I77="","",IFERROR(INDEX(CURVAS_KC!$B$5:$J$224,MATCH(MIN(MAX($J77,1),220),CURVAS_KC!$A$5:$A$224,0),MATCH($Z77,CURVAS_KC!$B$4:$J$4,0)),"PENDENTE")))</f>
        <v/>
      </c>
      <c r="L77" s="9">
        <f>IF($G77="","",$G77)</f>
        <v/>
      </c>
      <c r="M77" s="13">
        <f>IF($L77="","",SUMIFS(ETO_SEMANAL!$B$6:$B$65,ETO_SEMANAL!$A$6:$A$65,"&gt;"&amp;$L77,ETO_SEMANAL!$A$6:$A$65,"&lt;="&amp;DATA_REF))</f>
        <v/>
      </c>
      <c r="N77" s="13">
        <f>IF($L77="","",SUMIFS(ETO_SEMANAL!$C$6:$C$65,ETO_SEMANAL!$A$6:$A$65,"&gt;"&amp;$L77,ETO_SEMANAL!$A$6:$A$65,"&lt;="&amp;DATA_REF))</f>
        <v/>
      </c>
      <c r="O77" s="13">
        <f>IF(OR($K77="",$K77="PENDENTE",$M77=""),"",$K77*$M77)</f>
        <v/>
      </c>
      <c r="P77" s="13">
        <f>IF($O77="","",MAX(0,$O77-N($N77)))</f>
        <v/>
      </c>
      <c r="Q77" s="14">
        <f>IF($P77="","",$P77/EF_APLIC)</f>
        <v/>
      </c>
      <c r="R77" s="7" t="n"/>
      <c r="S77" s="15">
        <f>IF(OR($AA77="",$R77=""),"",IFERROR(INDEX(LAMINA_HORA!$C$5:$V$114,MATCH($AA77,LAMINA_HORA!$A$5:$A$114,0),MATCH($R77,LAMINA_HORA!$C$3:$V$3,0)),"?"))</f>
        <v/>
      </c>
      <c r="T77" s="15">
        <f>IF(OR($AA77="",$R77=""),"",IFERROR(INDEX(LAMINA_HORA!$W$5:$AP$114,MATCH($AA77,LAMINA_HORA!$A$5:$A$114,0),MATCH($R77,LAMINA_HORA!$W$3:$AP$3,0)),"?"))</f>
        <v/>
      </c>
      <c r="U77" s="16" t="n">
        <v>0.583</v>
      </c>
      <c r="V77" s="17">
        <f>IF(OR($S77="",$S77="?",$F77=""),"",$S77*$F77*10)</f>
        <v/>
      </c>
      <c r="W77" s="17">
        <f>IF(OR($V77="",$U77=""),"",$V77*$U77)</f>
        <v/>
      </c>
      <c r="X77" s="10">
        <f>IF($K77="PENDENTE","Definir Kc",IF($P77="","-",IF($P77&gt;=TURNO,"IRRIGAR",IF($P77&gt;=TURNO*FRAC_ACOMP,"Acompanhar","Aguardar"))))</f>
        <v/>
      </c>
      <c r="Y77" s="10">
        <f>IF(OR($P77="",$P77=0),"-",IF($P77&gt;=2*TURNO,"Alta",IF($P77&gt;=TURNO,"Media","Baixa")))</f>
        <v/>
      </c>
      <c r="Z77" s="5" t="inlineStr">
        <is>
          <t>SOJA_PRECOCE</t>
        </is>
      </c>
      <c r="AA77" s="7" t="inlineStr">
        <is>
          <t>P106</t>
        </is>
      </c>
    </row>
    <row r="78">
      <c r="A78" s="5" t="inlineStr">
        <is>
          <t>Pivô 107</t>
        </is>
      </c>
      <c r="B78" s="5" t="inlineStr">
        <is>
          <t>RDM</t>
        </is>
      </c>
      <c r="C78" s="5" t="inlineStr">
        <is>
          <t>RM3</t>
        </is>
      </c>
      <c r="D78" s="6" t="inlineStr">
        <is>
          <t>NEO 761 I2X</t>
        </is>
      </c>
      <c r="E78" s="7" t="inlineStr">
        <is>
          <t>PRECOCE</t>
        </is>
      </c>
      <c r="F78" s="8" t="n">
        <v>100</v>
      </c>
      <c r="G78" s="9" t="n">
        <v>46293</v>
      </c>
      <c r="H78" s="10">
        <f>IF(OR($G78="",$G78&gt;DATA_REF),"NAO","SIM")</f>
        <v/>
      </c>
      <c r="I78" s="11">
        <f>IF(OR($G78="",$G78&gt;DATA_REF),"",DATA_REF-$G78)</f>
        <v/>
      </c>
      <c r="J78" s="11">
        <f>IF($I78="","",MAX(0,$I78-5))</f>
        <v/>
      </c>
      <c r="K78" s="12">
        <f>IF($Z78="","PENDENTE",IF($I78="","",IFERROR(INDEX(CURVAS_KC!$B$5:$J$224,MATCH(MIN(MAX($J78,1),220),CURVAS_KC!$A$5:$A$224,0),MATCH($Z78,CURVAS_KC!$B$4:$J$4,0)),"PENDENTE")))</f>
        <v/>
      </c>
      <c r="L78" s="9">
        <f>IF($G78="","",$G78)</f>
        <v/>
      </c>
      <c r="M78" s="13">
        <f>IF($L78="","",SUMIFS(ETO_SEMANAL!$B$6:$B$65,ETO_SEMANAL!$A$6:$A$65,"&gt;"&amp;$L78,ETO_SEMANAL!$A$6:$A$65,"&lt;="&amp;DATA_REF))</f>
        <v/>
      </c>
      <c r="N78" s="13">
        <f>IF($L78="","",SUMIFS(ETO_SEMANAL!$C$6:$C$65,ETO_SEMANAL!$A$6:$A$65,"&gt;"&amp;$L78,ETO_SEMANAL!$A$6:$A$65,"&lt;="&amp;DATA_REF))</f>
        <v/>
      </c>
      <c r="O78" s="13">
        <f>IF(OR($K78="",$K78="PENDENTE",$M78=""),"",$K78*$M78)</f>
        <v/>
      </c>
      <c r="P78" s="13">
        <f>IF($O78="","",MAX(0,$O78-N($N78)))</f>
        <v/>
      </c>
      <c r="Q78" s="14">
        <f>IF($P78="","",$P78/EF_APLIC)</f>
        <v/>
      </c>
      <c r="R78" s="7" t="n"/>
      <c r="S78" s="15">
        <f>IF(OR($AA78="",$R78=""),"",IFERROR(INDEX(LAMINA_HORA!$C$5:$V$114,MATCH($AA78,LAMINA_HORA!$A$5:$A$114,0),MATCH($R78,LAMINA_HORA!$C$3:$V$3,0)),"?"))</f>
        <v/>
      </c>
      <c r="T78" s="15">
        <f>IF(OR($AA78="",$R78=""),"",IFERROR(INDEX(LAMINA_HORA!$W$5:$AP$114,MATCH($AA78,LAMINA_HORA!$A$5:$A$114,0),MATCH($R78,LAMINA_HORA!$W$3:$AP$3,0)),"?"))</f>
        <v/>
      </c>
      <c r="U78" s="16" t="n">
        <v>0.621</v>
      </c>
      <c r="V78" s="17">
        <f>IF(OR($S78="",$S78="?",$F78=""),"",$S78*$F78*10)</f>
        <v/>
      </c>
      <c r="W78" s="17">
        <f>IF(OR($V78="",$U78=""),"",$V78*$U78)</f>
        <v/>
      </c>
      <c r="X78" s="10">
        <f>IF($K78="PENDENTE","Definir Kc",IF($P78="","-",IF($P78&gt;=TURNO,"IRRIGAR",IF($P78&gt;=TURNO*FRAC_ACOMP,"Acompanhar","Aguardar"))))</f>
        <v/>
      </c>
      <c r="Y78" s="10">
        <f>IF(OR($P78="",$P78=0),"-",IF($P78&gt;=2*TURNO,"Alta",IF($P78&gt;=TURNO,"Media","Baixa")))</f>
        <v/>
      </c>
      <c r="Z78" s="5" t="inlineStr">
        <is>
          <t>SOJA_PRECOCE</t>
        </is>
      </c>
      <c r="AA78" s="7" t="inlineStr">
        <is>
          <t>P107</t>
        </is>
      </c>
    </row>
    <row r="79">
      <c r="A79" s="5" t="inlineStr">
        <is>
          <t>Pivô 109</t>
        </is>
      </c>
      <c r="B79" s="5" t="inlineStr">
        <is>
          <t>RDM</t>
        </is>
      </c>
      <c r="C79" s="5" t="inlineStr">
        <is>
          <t>RM1</t>
        </is>
      </c>
      <c r="D79" s="6" t="inlineStr">
        <is>
          <t>NEO 690 I2X</t>
        </is>
      </c>
      <c r="E79" s="7" t="inlineStr">
        <is>
          <t>PRECOCE</t>
        </is>
      </c>
      <c r="F79" s="8" t="n">
        <v>100</v>
      </c>
      <c r="G79" s="9" t="n">
        <v>46290</v>
      </c>
      <c r="H79" s="10">
        <f>IF(OR($G79="",$G79&gt;DATA_REF),"NAO","SIM")</f>
        <v/>
      </c>
      <c r="I79" s="11">
        <f>IF(OR($G79="",$G79&gt;DATA_REF),"",DATA_REF-$G79)</f>
        <v/>
      </c>
      <c r="J79" s="11">
        <f>IF($I79="","",MAX(0,$I79-5))</f>
        <v/>
      </c>
      <c r="K79" s="12">
        <f>IF($Z79="","PENDENTE",IF($I79="","",IFERROR(INDEX(CURVAS_KC!$B$5:$J$224,MATCH(MIN(MAX($J79,1),220),CURVAS_KC!$A$5:$A$224,0),MATCH($Z79,CURVAS_KC!$B$4:$J$4,0)),"PENDENTE")))</f>
        <v/>
      </c>
      <c r="L79" s="9">
        <f>IF($G79="","",$G79)</f>
        <v/>
      </c>
      <c r="M79" s="13">
        <f>IF($L79="","",SUMIFS(ETO_SEMANAL!$B$6:$B$65,ETO_SEMANAL!$A$6:$A$65,"&gt;"&amp;$L79,ETO_SEMANAL!$A$6:$A$65,"&lt;="&amp;DATA_REF))</f>
        <v/>
      </c>
      <c r="N79" s="13">
        <f>IF($L79="","",SUMIFS(ETO_SEMANAL!$C$6:$C$65,ETO_SEMANAL!$A$6:$A$65,"&gt;"&amp;$L79,ETO_SEMANAL!$A$6:$A$65,"&lt;="&amp;DATA_REF))</f>
        <v/>
      </c>
      <c r="O79" s="13">
        <f>IF(OR($K79="",$K79="PENDENTE",$M79=""),"",$K79*$M79)</f>
        <v/>
      </c>
      <c r="P79" s="13">
        <f>IF($O79="","",MAX(0,$O79-N($N79)))</f>
        <v/>
      </c>
      <c r="Q79" s="14">
        <f>IF($P79="","",$P79/EF_APLIC)</f>
        <v/>
      </c>
      <c r="R79" s="7" t="n"/>
      <c r="S79" s="15">
        <f>IF(OR($AA79="",$R79=""),"",IFERROR(INDEX(LAMINA_HORA!$C$5:$V$114,MATCH($AA79,LAMINA_HORA!$A$5:$A$114,0),MATCH($R79,LAMINA_HORA!$C$3:$V$3,0)),"?"))</f>
        <v/>
      </c>
      <c r="T79" s="15">
        <f>IF(OR($AA79="",$R79=""),"",IFERROR(INDEX(LAMINA_HORA!$W$5:$AP$114,MATCH($AA79,LAMINA_HORA!$A$5:$A$114,0),MATCH($R79,LAMINA_HORA!$W$3:$AP$3,0)),"?"))</f>
        <v/>
      </c>
      <c r="U79" s="16" t="n">
        <v>0.621</v>
      </c>
      <c r="V79" s="17">
        <f>IF(OR($S79="",$S79="?",$F79=""),"",$S79*$F79*10)</f>
        <v/>
      </c>
      <c r="W79" s="17">
        <f>IF(OR($V79="",$U79=""),"",$V79*$U79)</f>
        <v/>
      </c>
      <c r="X79" s="10">
        <f>IF($K79="PENDENTE","Definir Kc",IF($P79="","-",IF($P79&gt;=TURNO,"IRRIGAR",IF($P79&gt;=TURNO*FRAC_ACOMP,"Acompanhar","Aguardar"))))</f>
        <v/>
      </c>
      <c r="Y79" s="10">
        <f>IF(OR($P79="",$P79=0),"-",IF($P79&gt;=2*TURNO,"Alta",IF($P79&gt;=TURNO,"Media","Baixa")))</f>
        <v/>
      </c>
      <c r="Z79" s="5" t="inlineStr">
        <is>
          <t>SOJA_PRECOCE</t>
        </is>
      </c>
      <c r="AA79" s="7" t="inlineStr">
        <is>
          <t>P109</t>
        </is>
      </c>
    </row>
    <row r="80">
      <c r="A80" s="5" t="inlineStr">
        <is>
          <t>Pivô 110</t>
        </is>
      </c>
      <c r="B80" s="5" t="inlineStr">
        <is>
          <t>RDM</t>
        </is>
      </c>
      <c r="C80" s="5" t="inlineStr">
        <is>
          <t>RM4</t>
        </is>
      </c>
      <c r="D80" s="6" t="inlineStr">
        <is>
          <t>NEO 690 I2X</t>
        </is>
      </c>
      <c r="E80" s="7" t="inlineStr">
        <is>
          <t>PRECOCE</t>
        </is>
      </c>
      <c r="F80" s="8" t="n">
        <v>100</v>
      </c>
      <c r="G80" s="9" t="n">
        <v>46290</v>
      </c>
      <c r="H80" s="10">
        <f>IF(OR($G80="",$G80&gt;DATA_REF),"NAO","SIM")</f>
        <v/>
      </c>
      <c r="I80" s="11">
        <f>IF(OR($G80="",$G80&gt;DATA_REF),"",DATA_REF-$G80)</f>
        <v/>
      </c>
      <c r="J80" s="11">
        <f>IF($I80="","",MAX(0,$I80-5))</f>
        <v/>
      </c>
      <c r="K80" s="12">
        <f>IF($Z80="","PENDENTE",IF($I80="","",IFERROR(INDEX(CURVAS_KC!$B$5:$J$224,MATCH(MIN(MAX($J80,1),220),CURVAS_KC!$A$5:$A$224,0),MATCH($Z80,CURVAS_KC!$B$4:$J$4,0)),"PENDENTE")))</f>
        <v/>
      </c>
      <c r="L80" s="9">
        <f>IF($G80="","",$G80)</f>
        <v/>
      </c>
      <c r="M80" s="13">
        <f>IF($L80="","",SUMIFS(ETO_SEMANAL!$B$6:$B$65,ETO_SEMANAL!$A$6:$A$65,"&gt;"&amp;$L80,ETO_SEMANAL!$A$6:$A$65,"&lt;="&amp;DATA_REF))</f>
        <v/>
      </c>
      <c r="N80" s="13">
        <f>IF($L80="","",SUMIFS(ETO_SEMANAL!$C$6:$C$65,ETO_SEMANAL!$A$6:$A$65,"&gt;"&amp;$L80,ETO_SEMANAL!$A$6:$A$65,"&lt;="&amp;DATA_REF))</f>
        <v/>
      </c>
      <c r="O80" s="13">
        <f>IF(OR($K80="",$K80="PENDENTE",$M80=""),"",$K80*$M80)</f>
        <v/>
      </c>
      <c r="P80" s="13">
        <f>IF($O80="","",MAX(0,$O80-N($N80)))</f>
        <v/>
      </c>
      <c r="Q80" s="14">
        <f>IF($P80="","",$P80/EF_APLIC)</f>
        <v/>
      </c>
      <c r="R80" s="7" t="n"/>
      <c r="S80" s="15">
        <f>IF(OR($AA80="",$R80=""),"",IFERROR(INDEX(LAMINA_HORA!$C$5:$V$114,MATCH($AA80,LAMINA_HORA!$A$5:$A$114,0),MATCH($R80,LAMINA_HORA!$C$3:$V$3,0)),"?"))</f>
        <v/>
      </c>
      <c r="T80" s="15">
        <f>IF(OR($AA80="",$R80=""),"",IFERROR(INDEX(LAMINA_HORA!$W$5:$AP$114,MATCH($AA80,LAMINA_HORA!$A$5:$A$114,0),MATCH($R80,LAMINA_HORA!$W$3:$AP$3,0)),"?"))</f>
        <v/>
      </c>
      <c r="U80" s="16" t="n">
        <v>0.622</v>
      </c>
      <c r="V80" s="17">
        <f>IF(OR($S80="",$S80="?",$F80=""),"",$S80*$F80*10)</f>
        <v/>
      </c>
      <c r="W80" s="17">
        <f>IF(OR($V80="",$U80=""),"",$V80*$U80)</f>
        <v/>
      </c>
      <c r="X80" s="10">
        <f>IF($K80="PENDENTE","Definir Kc",IF($P80="","-",IF($P80&gt;=TURNO,"IRRIGAR",IF($P80&gt;=TURNO*FRAC_ACOMP,"Acompanhar","Aguardar"))))</f>
        <v/>
      </c>
      <c r="Y80" s="10">
        <f>IF(OR($P80="",$P80=0),"-",IF($P80&gt;=2*TURNO,"Alta",IF($P80&gt;=TURNO,"Media","Baixa")))</f>
        <v/>
      </c>
      <c r="Z80" s="5" t="inlineStr">
        <is>
          <t>SOJA_PRECOCE</t>
        </is>
      </c>
      <c r="AA80" s="7" t="inlineStr">
        <is>
          <t>P110</t>
        </is>
      </c>
    </row>
    <row r="81" hidden="1">
      <c r="A81" s="5" t="inlineStr">
        <is>
          <t>Pivô 112</t>
        </is>
      </c>
      <c r="B81" s="5" t="inlineStr">
        <is>
          <t>RDM</t>
        </is>
      </c>
      <c r="C81" s="5" t="inlineStr">
        <is>
          <t>RM5</t>
        </is>
      </c>
      <c r="D81" s="6" t="inlineStr">
        <is>
          <t>NEO 761 I2X</t>
        </is>
      </c>
      <c r="E81" s="7" t="inlineStr">
        <is>
          <t>PRECOCE</t>
        </is>
      </c>
      <c r="F81" s="8" t="n">
        <v>150</v>
      </c>
      <c r="G81" s="9" t="n">
        <v>46307</v>
      </c>
      <c r="H81" s="10">
        <f>IF(OR($G81="",$G81&gt;DATA_REF),"NAO","SIM")</f>
        <v/>
      </c>
      <c r="I81" s="11">
        <f>IF(OR($G81="",$G81&gt;DATA_REF),"",DATA_REF-$G81)</f>
        <v/>
      </c>
      <c r="J81" s="11">
        <f>IF($I81="","",MAX(0,$I81-5))</f>
        <v/>
      </c>
      <c r="K81" s="12">
        <f>IF($Z81="","PENDENTE",IF($I81="","",IFERROR(INDEX(CURVAS_KC!$B$5:$J$224,MATCH(MIN(MAX($J81,1),220),CURVAS_KC!$A$5:$A$224,0),MATCH($Z81,CURVAS_KC!$B$4:$J$4,0)),"PENDENTE")))</f>
        <v/>
      </c>
      <c r="L81" s="9">
        <f>IF($G81="","",$G81)</f>
        <v/>
      </c>
      <c r="M81" s="13">
        <f>IF($L81="","",SUMIFS(ETO_SEMANAL!$B$6:$B$65,ETO_SEMANAL!$A$6:$A$65,"&gt;"&amp;$L81,ETO_SEMANAL!$A$6:$A$65,"&lt;="&amp;DATA_REF))</f>
        <v/>
      </c>
      <c r="N81" s="13">
        <f>IF($L81="","",SUMIFS(ETO_SEMANAL!$C$6:$C$65,ETO_SEMANAL!$A$6:$A$65,"&gt;"&amp;$L81,ETO_SEMANAL!$A$6:$A$65,"&lt;="&amp;DATA_REF))</f>
        <v/>
      </c>
      <c r="O81" s="13">
        <f>IF(OR($K81="",$K81="PENDENTE",$M81=""),"",$K81*$M81)</f>
        <v/>
      </c>
      <c r="P81" s="13">
        <f>IF($O81="","",MAX(0,$O81-N($N81)))</f>
        <v/>
      </c>
      <c r="Q81" s="14">
        <f>IF($P81="","",$P81/EF_APLIC)</f>
        <v/>
      </c>
      <c r="R81" s="7" t="n"/>
      <c r="S81" s="15">
        <f>IF(OR($AA81="",$R81=""),"",IFERROR(INDEX(LAMINA_HORA!$C$5:$V$114,MATCH($AA81,LAMINA_HORA!$A$5:$A$114,0),MATCH($R81,LAMINA_HORA!$C$3:$V$3,0)),"?"))</f>
        <v/>
      </c>
      <c r="T81" s="15">
        <f>IF(OR($AA81="",$R81=""),"",IFERROR(INDEX(LAMINA_HORA!$W$5:$AP$114,MATCH($AA81,LAMINA_HORA!$A$5:$A$114,0),MATCH($R81,LAMINA_HORA!$W$3:$AP$3,0)),"?"))</f>
        <v/>
      </c>
      <c r="U81" s="16" t="n">
        <v>0.698</v>
      </c>
      <c r="V81" s="17">
        <f>IF(OR($S81="",$S81="?",$F81=""),"",$S81*$F81*10)</f>
        <v/>
      </c>
      <c r="W81" s="17">
        <f>IF(OR($V81="",$U81=""),"",$V81*$U81)</f>
        <v/>
      </c>
      <c r="X81" s="10">
        <f>IF($K81="PENDENTE","Definir Kc",IF($P81="","-",IF($P81&gt;=TURNO,"IRRIGAR",IF($P81&gt;=TURNO*FRAC_ACOMP,"Acompanhar","Aguardar"))))</f>
        <v/>
      </c>
      <c r="Y81" s="10">
        <f>IF(OR($P81="",$P81=0),"-",IF($P81&gt;=2*TURNO,"Alta",IF($P81&gt;=TURNO,"Media","Baixa")))</f>
        <v/>
      </c>
      <c r="Z81" s="5" t="inlineStr">
        <is>
          <t>SOJA_PRECOCE</t>
        </is>
      </c>
      <c r="AA81" s="7" t="inlineStr">
        <is>
          <t>P112</t>
        </is>
      </c>
    </row>
    <row r="82" hidden="1">
      <c r="A82" s="5" t="inlineStr">
        <is>
          <t>Pivô 113</t>
        </is>
      </c>
      <c r="B82" s="5" t="inlineStr">
        <is>
          <t>RDM</t>
        </is>
      </c>
      <c r="C82" s="5" t="inlineStr">
        <is>
          <t>RM5</t>
        </is>
      </c>
      <c r="D82" s="6" t="inlineStr">
        <is>
          <t>NEO 761 I2X</t>
        </is>
      </c>
      <c r="E82" s="7" t="inlineStr">
        <is>
          <t>PRECOCE</t>
        </is>
      </c>
      <c r="F82" s="8" t="n">
        <v>150</v>
      </c>
      <c r="G82" s="9" t="n">
        <v>46307</v>
      </c>
      <c r="H82" s="10">
        <f>IF(OR($G82="",$G82&gt;DATA_REF),"NAO","SIM")</f>
        <v/>
      </c>
      <c r="I82" s="11">
        <f>IF(OR($G82="",$G82&gt;DATA_REF),"",DATA_REF-$G82)</f>
        <v/>
      </c>
      <c r="J82" s="11">
        <f>IF($I82="","",MAX(0,$I82-5))</f>
        <v/>
      </c>
      <c r="K82" s="12">
        <f>IF($Z82="","PENDENTE",IF($I82="","",IFERROR(INDEX(CURVAS_KC!$B$5:$J$224,MATCH(MIN(MAX($J82,1),220),CURVAS_KC!$A$5:$A$224,0),MATCH($Z82,CURVAS_KC!$B$4:$J$4,0)),"PENDENTE")))</f>
        <v/>
      </c>
      <c r="L82" s="9">
        <f>IF($G82="","",$G82)</f>
        <v/>
      </c>
      <c r="M82" s="13">
        <f>IF($L82="","",SUMIFS(ETO_SEMANAL!$B$6:$B$65,ETO_SEMANAL!$A$6:$A$65,"&gt;"&amp;$L82,ETO_SEMANAL!$A$6:$A$65,"&lt;="&amp;DATA_REF))</f>
        <v/>
      </c>
      <c r="N82" s="13">
        <f>IF($L82="","",SUMIFS(ETO_SEMANAL!$C$6:$C$65,ETO_SEMANAL!$A$6:$A$65,"&gt;"&amp;$L82,ETO_SEMANAL!$A$6:$A$65,"&lt;="&amp;DATA_REF))</f>
        <v/>
      </c>
      <c r="O82" s="13">
        <f>IF(OR($K82="",$K82="PENDENTE",$M82=""),"",$K82*$M82)</f>
        <v/>
      </c>
      <c r="P82" s="13">
        <f>IF($O82="","",MAX(0,$O82-N($N82)))</f>
        <v/>
      </c>
      <c r="Q82" s="14">
        <f>IF($P82="","",$P82/EF_APLIC)</f>
        <v/>
      </c>
      <c r="R82" s="7" t="n"/>
      <c r="S82" s="15">
        <f>IF(OR($AA82="",$R82=""),"",IFERROR(INDEX(LAMINA_HORA!$C$5:$V$114,MATCH($AA82,LAMINA_HORA!$A$5:$A$114,0),MATCH($R82,LAMINA_HORA!$C$3:$V$3,0)),"?"))</f>
        <v/>
      </c>
      <c r="T82" s="15">
        <f>IF(OR($AA82="",$R82=""),"",IFERROR(INDEX(LAMINA_HORA!$W$5:$AP$114,MATCH($AA82,LAMINA_HORA!$A$5:$A$114,0),MATCH($R82,LAMINA_HORA!$W$3:$AP$3,0)),"?"))</f>
        <v/>
      </c>
      <c r="U82" s="16" t="n">
        <v>0.698</v>
      </c>
      <c r="V82" s="17">
        <f>IF(OR($S82="",$S82="?",$F82=""),"",$S82*$F82*10)</f>
        <v/>
      </c>
      <c r="W82" s="17">
        <f>IF(OR($V82="",$U82=""),"",$V82*$U82)</f>
        <v/>
      </c>
      <c r="X82" s="10">
        <f>IF($K82="PENDENTE","Definir Kc",IF($P82="","-",IF($P82&gt;=TURNO,"IRRIGAR",IF($P82&gt;=TURNO*FRAC_ACOMP,"Acompanhar","Aguardar"))))</f>
        <v/>
      </c>
      <c r="Y82" s="10">
        <f>IF(OR($P82="",$P82=0),"-",IF($P82&gt;=2*TURNO,"Alta",IF($P82&gt;=TURNO,"Media","Baixa")))</f>
        <v/>
      </c>
      <c r="Z82" s="5" t="inlineStr">
        <is>
          <t>SOJA_PRECOCE</t>
        </is>
      </c>
      <c r="AA82" s="7" t="inlineStr">
        <is>
          <t>P113</t>
        </is>
      </c>
    </row>
    <row r="83" hidden="1">
      <c r="A83" s="5" t="inlineStr">
        <is>
          <t>Pivô 121</t>
        </is>
      </c>
      <c r="B83" s="5" t="inlineStr">
        <is>
          <t>RDM</t>
        </is>
      </c>
      <c r="C83" s="5" t="inlineStr">
        <is>
          <t>RM7</t>
        </is>
      </c>
      <c r="D83" s="6" t="inlineStr">
        <is>
          <t>BMX Olimpo IPRO</t>
        </is>
      </c>
      <c r="E83" s="7" t="inlineStr">
        <is>
          <t>MEDIA</t>
        </is>
      </c>
      <c r="F83" s="8" t="n">
        <v>145</v>
      </c>
      <c r="G83" s="9" t="n">
        <v>46309</v>
      </c>
      <c r="H83" s="10">
        <f>IF(OR($G83="",$G83&gt;DATA_REF),"NAO","SIM")</f>
        <v/>
      </c>
      <c r="I83" s="11">
        <f>IF(OR($G83="",$G83&gt;DATA_REF),"",DATA_REF-$G83)</f>
        <v/>
      </c>
      <c r="J83" s="11">
        <f>IF($I83="","",MAX(0,$I83-5))</f>
        <v/>
      </c>
      <c r="K83" s="12">
        <f>IF($Z83="","PENDENTE",IF($I83="","",IFERROR(INDEX(CURVAS_KC!$B$5:$J$224,MATCH(MIN(MAX($J83,1),220),CURVAS_KC!$A$5:$A$224,0),MATCH($Z83,CURVAS_KC!$B$4:$J$4,0)),"PENDENTE")))</f>
        <v/>
      </c>
      <c r="L83" s="9">
        <f>IF($G83="","",$G83)</f>
        <v/>
      </c>
      <c r="M83" s="13">
        <f>IF($L83="","",SUMIFS(ETO_SEMANAL!$B$6:$B$65,ETO_SEMANAL!$A$6:$A$65,"&gt;"&amp;$L83,ETO_SEMANAL!$A$6:$A$65,"&lt;="&amp;DATA_REF))</f>
        <v/>
      </c>
      <c r="N83" s="13">
        <f>IF($L83="","",SUMIFS(ETO_SEMANAL!$C$6:$C$65,ETO_SEMANAL!$A$6:$A$65,"&gt;"&amp;$L83,ETO_SEMANAL!$A$6:$A$65,"&lt;="&amp;DATA_REF))</f>
        <v/>
      </c>
      <c r="O83" s="13">
        <f>IF(OR($K83="",$K83="PENDENTE",$M83=""),"",$K83*$M83)</f>
        <v/>
      </c>
      <c r="P83" s="13">
        <f>IF($O83="","",MAX(0,$O83-N($N83)))</f>
        <v/>
      </c>
      <c r="Q83" s="14">
        <f>IF($P83="","",$P83/EF_APLIC)</f>
        <v/>
      </c>
      <c r="R83" s="7" t="n"/>
      <c r="S83" s="15">
        <f>IF(OR($AA83="",$R83=""),"",IFERROR(INDEX(LAMINA_HORA!$C$5:$V$114,MATCH($AA83,LAMINA_HORA!$A$5:$A$114,0),MATCH($R83,LAMINA_HORA!$C$3:$V$3,0)),"?"))</f>
        <v/>
      </c>
      <c r="T83" s="15">
        <f>IF(OR($AA83="",$R83=""),"",IFERROR(INDEX(LAMINA_HORA!$W$5:$AP$114,MATCH($AA83,LAMINA_HORA!$A$5:$A$114,0),MATCH($R83,LAMINA_HORA!$W$3:$AP$3,0)),"?"))</f>
        <v/>
      </c>
      <c r="U83" s="16" t="n">
        <v>0.698</v>
      </c>
      <c r="V83" s="17">
        <f>IF(OR($S83="",$S83="?",$F83=""),"",$S83*$F83*10)</f>
        <v/>
      </c>
      <c r="W83" s="17">
        <f>IF(OR($V83="",$U83=""),"",$V83*$U83)</f>
        <v/>
      </c>
      <c r="X83" s="10">
        <f>IF($K83="PENDENTE","Definir Kc",IF($P83="","-",IF($P83&gt;=TURNO,"IRRIGAR",IF($P83&gt;=TURNO*FRAC_ACOMP,"Acompanhar","Aguardar"))))</f>
        <v/>
      </c>
      <c r="Y83" s="10">
        <f>IF(OR($P83="",$P83=0),"-",IF($P83&gt;=2*TURNO,"Alta",IF($P83&gt;=TURNO,"Media","Baixa")))</f>
        <v/>
      </c>
      <c r="Z83" s="5" t="inlineStr">
        <is>
          <t>SOJA_MEDIA</t>
        </is>
      </c>
      <c r="AA83" s="7" t="inlineStr">
        <is>
          <t>P121</t>
        </is>
      </c>
    </row>
    <row r="84" hidden="1">
      <c r="A84" s="5" t="inlineStr">
        <is>
          <t>Pivô 122</t>
        </is>
      </c>
      <c r="B84" s="5" t="inlineStr">
        <is>
          <t>RDM</t>
        </is>
      </c>
      <c r="C84" s="5" t="inlineStr">
        <is>
          <t>RM7</t>
        </is>
      </c>
      <c r="D84" s="6" t="inlineStr">
        <is>
          <t>NEO 761 I2X</t>
        </is>
      </c>
      <c r="E84" s="7" t="inlineStr">
        <is>
          <t>PRECOCE</t>
        </is>
      </c>
      <c r="F84" s="8" t="n">
        <v>150</v>
      </c>
      <c r="G84" s="9" t="n">
        <v>46309</v>
      </c>
      <c r="H84" s="10">
        <f>IF(OR($G84="",$G84&gt;DATA_REF),"NAO","SIM")</f>
        <v/>
      </c>
      <c r="I84" s="11">
        <f>IF(OR($G84="",$G84&gt;DATA_REF),"",DATA_REF-$G84)</f>
        <v/>
      </c>
      <c r="J84" s="11">
        <f>IF($I84="","",MAX(0,$I84-5))</f>
        <v/>
      </c>
      <c r="K84" s="12">
        <f>IF($Z84="","PENDENTE",IF($I84="","",IFERROR(INDEX(CURVAS_KC!$B$5:$J$224,MATCH(MIN(MAX($J84,1),220),CURVAS_KC!$A$5:$A$224,0),MATCH($Z84,CURVAS_KC!$B$4:$J$4,0)),"PENDENTE")))</f>
        <v/>
      </c>
      <c r="L84" s="9">
        <f>IF($G84="","",$G84)</f>
        <v/>
      </c>
      <c r="M84" s="13">
        <f>IF($L84="","",SUMIFS(ETO_SEMANAL!$B$6:$B$65,ETO_SEMANAL!$A$6:$A$65,"&gt;"&amp;$L84,ETO_SEMANAL!$A$6:$A$65,"&lt;="&amp;DATA_REF))</f>
        <v/>
      </c>
      <c r="N84" s="13">
        <f>IF($L84="","",SUMIFS(ETO_SEMANAL!$C$6:$C$65,ETO_SEMANAL!$A$6:$A$65,"&gt;"&amp;$L84,ETO_SEMANAL!$A$6:$A$65,"&lt;="&amp;DATA_REF))</f>
        <v/>
      </c>
      <c r="O84" s="13">
        <f>IF(OR($K84="",$K84="PENDENTE",$M84=""),"",$K84*$M84)</f>
        <v/>
      </c>
      <c r="P84" s="13">
        <f>IF($O84="","",MAX(0,$O84-N($N84)))</f>
        <v/>
      </c>
      <c r="Q84" s="14">
        <f>IF($P84="","",$P84/EF_APLIC)</f>
        <v/>
      </c>
      <c r="R84" s="7" t="n"/>
      <c r="S84" s="15">
        <f>IF(OR($AA84="",$R84=""),"",IFERROR(INDEX(LAMINA_HORA!$C$5:$V$114,MATCH($AA84,LAMINA_HORA!$A$5:$A$114,0),MATCH($R84,LAMINA_HORA!$C$3:$V$3,0)),"?"))</f>
        <v/>
      </c>
      <c r="T84" s="15">
        <f>IF(OR($AA84="",$R84=""),"",IFERROR(INDEX(LAMINA_HORA!$W$5:$AP$114,MATCH($AA84,LAMINA_HORA!$A$5:$A$114,0),MATCH($R84,LAMINA_HORA!$W$3:$AP$3,0)),"?"))</f>
        <v/>
      </c>
      <c r="U84" s="16" t="n">
        <v>0.724</v>
      </c>
      <c r="V84" s="17">
        <f>IF(OR($S84="",$S84="?",$F84=""),"",$S84*$F84*10)</f>
        <v/>
      </c>
      <c r="W84" s="17">
        <f>IF(OR($V84="",$U84=""),"",$V84*$U84)</f>
        <v/>
      </c>
      <c r="X84" s="10">
        <f>IF($K84="PENDENTE","Definir Kc",IF($P84="","-",IF($P84&gt;=TURNO,"IRRIGAR",IF($P84&gt;=TURNO*FRAC_ACOMP,"Acompanhar","Aguardar"))))</f>
        <v/>
      </c>
      <c r="Y84" s="10">
        <f>IF(OR($P84="",$P84=0),"-",IF($P84&gt;=2*TURNO,"Alta",IF($P84&gt;=TURNO,"Media","Baixa")))</f>
        <v/>
      </c>
      <c r="Z84" s="5" t="inlineStr">
        <is>
          <t>SOJA_PRECOCE</t>
        </is>
      </c>
      <c r="AA84" s="7" t="inlineStr">
        <is>
          <t>P122</t>
        </is>
      </c>
    </row>
    <row r="85" hidden="1">
      <c r="A85" s="5" t="inlineStr">
        <is>
          <t>Pivô 123</t>
        </is>
      </c>
      <c r="B85" s="5" t="inlineStr">
        <is>
          <t>RDM</t>
        </is>
      </c>
      <c r="C85" s="5" t="inlineStr">
        <is>
          <t>RM7</t>
        </is>
      </c>
      <c r="D85" s="6" t="inlineStr">
        <is>
          <t>NEO 761 I2X</t>
        </is>
      </c>
      <c r="E85" s="7" t="inlineStr">
        <is>
          <t>PRECOCE</t>
        </is>
      </c>
      <c r="F85" s="8" t="n">
        <v>148</v>
      </c>
      <c r="G85" s="9" t="n">
        <v>46310</v>
      </c>
      <c r="H85" s="10">
        <f>IF(OR($G85="",$G85&gt;DATA_REF),"NAO","SIM")</f>
        <v/>
      </c>
      <c r="I85" s="11">
        <f>IF(OR($G85="",$G85&gt;DATA_REF),"",DATA_REF-$G85)</f>
        <v/>
      </c>
      <c r="J85" s="11">
        <f>IF($I85="","",MAX(0,$I85-5))</f>
        <v/>
      </c>
      <c r="K85" s="12">
        <f>IF($Z85="","PENDENTE",IF($I85="","",IFERROR(INDEX(CURVAS_KC!$B$5:$J$224,MATCH(MIN(MAX($J85,1),220),CURVAS_KC!$A$5:$A$224,0),MATCH($Z85,CURVAS_KC!$B$4:$J$4,0)),"PENDENTE")))</f>
        <v/>
      </c>
      <c r="L85" s="9">
        <f>IF($G85="","",$G85)</f>
        <v/>
      </c>
      <c r="M85" s="13">
        <f>IF($L85="","",SUMIFS(ETO_SEMANAL!$B$6:$B$65,ETO_SEMANAL!$A$6:$A$65,"&gt;"&amp;$L85,ETO_SEMANAL!$A$6:$A$65,"&lt;="&amp;DATA_REF))</f>
        <v/>
      </c>
      <c r="N85" s="13">
        <f>IF($L85="","",SUMIFS(ETO_SEMANAL!$C$6:$C$65,ETO_SEMANAL!$A$6:$A$65,"&gt;"&amp;$L85,ETO_SEMANAL!$A$6:$A$65,"&lt;="&amp;DATA_REF))</f>
        <v/>
      </c>
      <c r="O85" s="13">
        <f>IF(OR($K85="",$K85="PENDENTE",$M85=""),"",$K85*$M85)</f>
        <v/>
      </c>
      <c r="P85" s="13">
        <f>IF($O85="","",MAX(0,$O85-N($N85)))</f>
        <v/>
      </c>
      <c r="Q85" s="14">
        <f>IF($P85="","",$P85/EF_APLIC)</f>
        <v/>
      </c>
      <c r="R85" s="7" t="n"/>
      <c r="S85" s="15">
        <f>IF(OR($AA85="",$R85=""),"",IFERROR(INDEX(LAMINA_HORA!$C$5:$V$114,MATCH($AA85,LAMINA_HORA!$A$5:$A$114,0),MATCH($R85,LAMINA_HORA!$C$3:$V$3,0)),"?"))</f>
        <v/>
      </c>
      <c r="T85" s="15">
        <f>IF(OR($AA85="",$R85=""),"",IFERROR(INDEX(LAMINA_HORA!$W$5:$AP$114,MATCH($AA85,LAMINA_HORA!$A$5:$A$114,0),MATCH($R85,LAMINA_HORA!$W$3:$AP$3,0)),"?"))</f>
        <v/>
      </c>
      <c r="U85" s="16" t="n">
        <v>0.698</v>
      </c>
      <c r="V85" s="17">
        <f>IF(OR($S85="",$S85="?",$F85=""),"",$S85*$F85*10)</f>
        <v/>
      </c>
      <c r="W85" s="17">
        <f>IF(OR($V85="",$U85=""),"",$V85*$U85)</f>
        <v/>
      </c>
      <c r="X85" s="10">
        <f>IF($K85="PENDENTE","Definir Kc",IF($P85="","-",IF($P85&gt;=TURNO,"IRRIGAR",IF($P85&gt;=TURNO*FRAC_ACOMP,"Acompanhar","Aguardar"))))</f>
        <v/>
      </c>
      <c r="Y85" s="10">
        <f>IF(OR($P85="",$P85=0),"-",IF($P85&gt;=2*TURNO,"Alta",IF($P85&gt;=TURNO,"Media","Baixa")))</f>
        <v/>
      </c>
      <c r="Z85" s="5" t="inlineStr">
        <is>
          <t>SOJA_PRECOCE</t>
        </is>
      </c>
      <c r="AA85" s="7" t="inlineStr">
        <is>
          <t>P123</t>
        </is>
      </c>
    </row>
    <row r="86" hidden="1">
      <c r="A86" s="5" t="inlineStr">
        <is>
          <t>Pivô 124</t>
        </is>
      </c>
      <c r="B86" s="5" t="inlineStr">
        <is>
          <t>RDM</t>
        </is>
      </c>
      <c r="C86" s="5" t="inlineStr">
        <is>
          <t>RM7</t>
        </is>
      </c>
      <c r="D86" s="6" t="inlineStr">
        <is>
          <t>BMX Olimpo IPRO</t>
        </is>
      </c>
      <c r="E86" s="7" t="inlineStr">
        <is>
          <t>MEDIA</t>
        </is>
      </c>
      <c r="F86" s="8" t="n">
        <v>150</v>
      </c>
      <c r="G86" s="9" t="n">
        <v>46310</v>
      </c>
      <c r="H86" s="10">
        <f>IF(OR($G86="",$G86&gt;DATA_REF),"NAO","SIM")</f>
        <v/>
      </c>
      <c r="I86" s="11">
        <f>IF(OR($G86="",$G86&gt;DATA_REF),"",DATA_REF-$G86)</f>
        <v/>
      </c>
      <c r="J86" s="11">
        <f>IF($I86="","",MAX(0,$I86-5))</f>
        <v/>
      </c>
      <c r="K86" s="12">
        <f>IF($Z86="","PENDENTE",IF($I86="","",IFERROR(INDEX(CURVAS_KC!$B$5:$J$224,MATCH(MIN(MAX($J86,1),220),CURVAS_KC!$A$5:$A$224,0),MATCH($Z86,CURVAS_KC!$B$4:$J$4,0)),"PENDENTE")))</f>
        <v/>
      </c>
      <c r="L86" s="9">
        <f>IF($G86="","",$G86)</f>
        <v/>
      </c>
      <c r="M86" s="13">
        <f>IF($L86="","",SUMIFS(ETO_SEMANAL!$B$6:$B$65,ETO_SEMANAL!$A$6:$A$65,"&gt;"&amp;$L86,ETO_SEMANAL!$A$6:$A$65,"&lt;="&amp;DATA_REF))</f>
        <v/>
      </c>
      <c r="N86" s="13">
        <f>IF($L86="","",SUMIFS(ETO_SEMANAL!$C$6:$C$65,ETO_SEMANAL!$A$6:$A$65,"&gt;"&amp;$L86,ETO_SEMANAL!$A$6:$A$65,"&lt;="&amp;DATA_REF))</f>
        <v/>
      </c>
      <c r="O86" s="13">
        <f>IF(OR($K86="",$K86="PENDENTE",$M86=""),"",$K86*$M86)</f>
        <v/>
      </c>
      <c r="P86" s="13">
        <f>IF($O86="","",MAX(0,$O86-N($N86)))</f>
        <v/>
      </c>
      <c r="Q86" s="14">
        <f>IF($P86="","",$P86/EF_APLIC)</f>
        <v/>
      </c>
      <c r="R86" s="7" t="n"/>
      <c r="S86" s="15">
        <f>IF(OR($AA86="",$R86=""),"",IFERROR(INDEX(LAMINA_HORA!$C$5:$V$114,MATCH($AA86,LAMINA_HORA!$A$5:$A$114,0),MATCH($R86,LAMINA_HORA!$C$3:$V$3,0)),"?"))</f>
        <v/>
      </c>
      <c r="T86" s="15">
        <f>IF(OR($AA86="",$R86=""),"",IFERROR(INDEX(LAMINA_HORA!$W$5:$AP$114,MATCH($AA86,LAMINA_HORA!$A$5:$A$114,0),MATCH($R86,LAMINA_HORA!$W$3:$AP$3,0)),"?"))</f>
        <v/>
      </c>
      <c r="U86" s="16" t="n">
        <v>0.702</v>
      </c>
      <c r="V86" s="17">
        <f>IF(OR($S86="",$S86="?",$F86=""),"",$S86*$F86*10)</f>
        <v/>
      </c>
      <c r="W86" s="17">
        <f>IF(OR($V86="",$U86=""),"",$V86*$U86)</f>
        <v/>
      </c>
      <c r="X86" s="10">
        <f>IF($K86="PENDENTE","Definir Kc",IF($P86="","-",IF($P86&gt;=TURNO,"IRRIGAR",IF($P86&gt;=TURNO*FRAC_ACOMP,"Acompanhar","Aguardar"))))</f>
        <v/>
      </c>
      <c r="Y86" s="10">
        <f>IF(OR($P86="",$P86=0),"-",IF($P86&gt;=2*TURNO,"Alta",IF($P86&gt;=TURNO,"Media","Baixa")))</f>
        <v/>
      </c>
      <c r="Z86" s="5" t="inlineStr">
        <is>
          <t>SOJA_MEDIA</t>
        </is>
      </c>
      <c r="AA86" s="7" t="inlineStr">
        <is>
          <t>P124</t>
        </is>
      </c>
    </row>
    <row r="87" hidden="1">
      <c r="A87" s="5" t="inlineStr">
        <is>
          <t>Pivô 127</t>
        </is>
      </c>
      <c r="B87" s="5" t="inlineStr">
        <is>
          <t>RDM</t>
        </is>
      </c>
      <c r="C87" s="5" t="inlineStr">
        <is>
          <t>RM7</t>
        </is>
      </c>
      <c r="D87" s="6" t="inlineStr">
        <is>
          <t>NEO 761 I2X</t>
        </is>
      </c>
      <c r="E87" s="7" t="inlineStr">
        <is>
          <t>PRECOCE</t>
        </is>
      </c>
      <c r="F87" s="8" t="n">
        <v>100</v>
      </c>
      <c r="G87" s="9" t="n">
        <v>46308</v>
      </c>
      <c r="H87" s="10">
        <f>IF(OR($G87="",$G87&gt;DATA_REF),"NAO","SIM")</f>
        <v/>
      </c>
      <c r="I87" s="11">
        <f>IF(OR($G87="",$G87&gt;DATA_REF),"",DATA_REF-$G87)</f>
        <v/>
      </c>
      <c r="J87" s="11">
        <f>IF($I87="","",MAX(0,$I87-5))</f>
        <v/>
      </c>
      <c r="K87" s="12">
        <f>IF($Z87="","PENDENTE",IF($I87="","",IFERROR(INDEX(CURVAS_KC!$B$5:$J$224,MATCH(MIN(MAX($J87,1),220),CURVAS_KC!$A$5:$A$224,0),MATCH($Z87,CURVAS_KC!$B$4:$J$4,0)),"PENDENTE")))</f>
        <v/>
      </c>
      <c r="L87" s="9">
        <f>IF($G87="","",$G87)</f>
        <v/>
      </c>
      <c r="M87" s="13">
        <f>IF($L87="","",SUMIFS(ETO_SEMANAL!$B$6:$B$65,ETO_SEMANAL!$A$6:$A$65,"&gt;"&amp;$L87,ETO_SEMANAL!$A$6:$A$65,"&lt;="&amp;DATA_REF))</f>
        <v/>
      </c>
      <c r="N87" s="13">
        <f>IF($L87="","",SUMIFS(ETO_SEMANAL!$C$6:$C$65,ETO_SEMANAL!$A$6:$A$65,"&gt;"&amp;$L87,ETO_SEMANAL!$A$6:$A$65,"&lt;="&amp;DATA_REF))</f>
        <v/>
      </c>
      <c r="O87" s="13">
        <f>IF(OR($K87="",$K87="PENDENTE",$M87=""),"",$K87*$M87)</f>
        <v/>
      </c>
      <c r="P87" s="13">
        <f>IF($O87="","",MAX(0,$O87-N($N87)))</f>
        <v/>
      </c>
      <c r="Q87" s="14">
        <f>IF($P87="","",$P87/EF_APLIC)</f>
        <v/>
      </c>
      <c r="R87" s="7" t="n"/>
      <c r="S87" s="15">
        <f>IF(OR($AA87="",$R87=""),"",IFERROR(INDEX(LAMINA_HORA!$C$5:$V$114,MATCH($AA87,LAMINA_HORA!$A$5:$A$114,0),MATCH($R87,LAMINA_HORA!$C$3:$V$3,0)),"?"))</f>
        <v/>
      </c>
      <c r="T87" s="15">
        <f>IF(OR($AA87="",$R87=""),"",IFERROR(INDEX(LAMINA_HORA!$W$5:$AP$114,MATCH($AA87,LAMINA_HORA!$A$5:$A$114,0),MATCH($R87,LAMINA_HORA!$W$3:$AP$3,0)),"?"))</f>
        <v/>
      </c>
      <c r="U87" s="16" t="n">
        <v>0.821</v>
      </c>
      <c r="V87" s="17">
        <f>IF(OR($S87="",$S87="?",$F87=""),"",$S87*$F87*10)</f>
        <v/>
      </c>
      <c r="W87" s="17">
        <f>IF(OR($V87="",$U87=""),"",$V87*$U87)</f>
        <v/>
      </c>
      <c r="X87" s="10">
        <f>IF($K87="PENDENTE","Definir Kc",IF($P87="","-",IF($P87&gt;=TURNO,"IRRIGAR",IF($P87&gt;=TURNO*FRAC_ACOMP,"Acompanhar","Aguardar"))))</f>
        <v/>
      </c>
      <c r="Y87" s="10">
        <f>IF(OR($P87="",$P87=0),"-",IF($P87&gt;=2*TURNO,"Alta",IF($P87&gt;=TURNO,"Media","Baixa")))</f>
        <v/>
      </c>
      <c r="Z87" s="5" t="inlineStr">
        <is>
          <t>SOJA_PRECOCE</t>
        </is>
      </c>
      <c r="AA87" s="7" t="inlineStr">
        <is>
          <t>P127</t>
        </is>
      </c>
    </row>
    <row r="88" hidden="1">
      <c r="A88" s="5" t="inlineStr">
        <is>
          <t>Pivô 129</t>
        </is>
      </c>
      <c r="B88" s="5" t="inlineStr">
        <is>
          <t>RDM</t>
        </is>
      </c>
      <c r="C88" s="5" t="inlineStr">
        <is>
          <t>RM6</t>
        </is>
      </c>
      <c r="D88" s="6" t="inlineStr">
        <is>
          <t>NEO 761 I2X</t>
        </is>
      </c>
      <c r="E88" s="7" t="inlineStr">
        <is>
          <t>PRECOCE</t>
        </is>
      </c>
      <c r="F88" s="8" t="n">
        <v>100</v>
      </c>
      <c r="G88" s="9" t="n">
        <v>46308</v>
      </c>
      <c r="H88" s="10">
        <f>IF(OR($G88="",$G88&gt;DATA_REF),"NAO","SIM")</f>
        <v/>
      </c>
      <c r="I88" s="11">
        <f>IF(OR($G88="",$G88&gt;DATA_REF),"",DATA_REF-$G88)</f>
        <v/>
      </c>
      <c r="J88" s="11">
        <f>IF($I88="","",MAX(0,$I88-5))</f>
        <v/>
      </c>
      <c r="K88" s="12">
        <f>IF($Z88="","PENDENTE",IF($I88="","",IFERROR(INDEX(CURVAS_KC!$B$5:$J$224,MATCH(MIN(MAX($J88,1),220),CURVAS_KC!$A$5:$A$224,0),MATCH($Z88,CURVAS_KC!$B$4:$J$4,0)),"PENDENTE")))</f>
        <v/>
      </c>
      <c r="L88" s="9">
        <f>IF($G88="","",$G88)</f>
        <v/>
      </c>
      <c r="M88" s="13">
        <f>IF($L88="","",SUMIFS(ETO_SEMANAL!$B$6:$B$65,ETO_SEMANAL!$A$6:$A$65,"&gt;"&amp;$L88,ETO_SEMANAL!$A$6:$A$65,"&lt;="&amp;DATA_REF))</f>
        <v/>
      </c>
      <c r="N88" s="13">
        <f>IF($L88="","",SUMIFS(ETO_SEMANAL!$C$6:$C$65,ETO_SEMANAL!$A$6:$A$65,"&gt;"&amp;$L88,ETO_SEMANAL!$A$6:$A$65,"&lt;="&amp;DATA_REF))</f>
        <v/>
      </c>
      <c r="O88" s="13">
        <f>IF(OR($K88="",$K88="PENDENTE",$M88=""),"",$K88*$M88)</f>
        <v/>
      </c>
      <c r="P88" s="13">
        <f>IF($O88="","",MAX(0,$O88-N($N88)))</f>
        <v/>
      </c>
      <c r="Q88" s="14">
        <f>IF($P88="","",$P88/EF_APLIC)</f>
        <v/>
      </c>
      <c r="R88" s="7" t="n"/>
      <c r="S88" s="15">
        <f>IF(OR($AA88="",$R88=""),"",IFERROR(INDEX(LAMINA_HORA!$C$5:$V$114,MATCH($AA88,LAMINA_HORA!$A$5:$A$114,0),MATCH($R88,LAMINA_HORA!$C$3:$V$3,0)),"?"))</f>
        <v/>
      </c>
      <c r="T88" s="15">
        <f>IF(OR($AA88="",$R88=""),"",IFERROR(INDEX(LAMINA_HORA!$W$5:$AP$114,MATCH($AA88,LAMINA_HORA!$A$5:$A$114,0),MATCH($R88,LAMINA_HORA!$W$3:$AP$3,0)),"?"))</f>
        <v/>
      </c>
      <c r="U88" s="16" t="n">
        <v>0.821</v>
      </c>
      <c r="V88" s="17">
        <f>IF(OR($S88="",$S88="?",$F88=""),"",$S88*$F88*10)</f>
        <v/>
      </c>
      <c r="W88" s="17">
        <f>IF(OR($V88="",$U88=""),"",$V88*$U88)</f>
        <v/>
      </c>
      <c r="X88" s="10">
        <f>IF($K88="PENDENTE","Definir Kc",IF($P88="","-",IF($P88&gt;=TURNO,"IRRIGAR",IF($P88&gt;=TURNO*FRAC_ACOMP,"Acompanhar","Aguardar"))))</f>
        <v/>
      </c>
      <c r="Y88" s="10">
        <f>IF(OR($P88="",$P88=0),"-",IF($P88&gt;=2*TURNO,"Alta",IF($P88&gt;=TURNO,"Media","Baixa")))</f>
        <v/>
      </c>
      <c r="Z88" s="5" t="inlineStr">
        <is>
          <t>SOJA_PRECOCE</t>
        </is>
      </c>
      <c r="AA88" s="7" t="inlineStr">
        <is>
          <t>P129</t>
        </is>
      </c>
    </row>
    <row r="89">
      <c r="A89" s="18" t="inlineStr">
        <is>
          <t>Nec BRUTA (azul) = lamina bruta ACUMULADA desde a ultima irrigacao (soma das ETos semanais x Kc, menos chuva, /0,90). Ao irrigar, atualize 'Ult.irrig'. So aparecem pivos plantados; preencha a Data plantio para um novo pivo e use Dados&gt;Reaplicar.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20" t="n"/>
    </row>
  </sheetData>
  <autoFilter ref="A4:AA88">
    <filterColumn colId="7" hiddenButton="0" showButton="1">
      <filters blank="0">
        <filter val="SIM"/>
      </filters>
    </filterColumn>
  </autoFilter>
  <mergeCells count="1">
    <mergeCell ref="A89:AA8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A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14" customWidth="1" min="4" max="4"/>
    <col width="8" customWidth="1" min="5" max="5"/>
    <col width="7" customWidth="1" min="6" max="6"/>
    <col width="11" customWidth="1" min="7" max="7"/>
    <col width="9" customWidth="1" min="8" max="8"/>
    <col width="6" customWidth="1" min="9" max="9"/>
    <col width="6" customWidth="1" min="10" max="10"/>
    <col width="7" customWidth="1" min="11" max="11"/>
    <col width="11" customWidth="1" min="12" max="12"/>
    <col width="9" customWidth="1" min="13" max="13"/>
    <col width="9" customWidth="1" min="14" max="14"/>
    <col width="9" customWidth="1" min="15" max="15"/>
    <col width="8" customWidth="1" min="16" max="16"/>
    <col width="11" customWidth="1" min="17" max="17"/>
    <col width="6" customWidth="1" min="18" max="18"/>
    <col width="10" customWidth="1" min="19" max="19"/>
    <col width="7" customWidth="1" min="20" max="20"/>
    <col width="10" customWidth="1" min="21" max="21"/>
    <col width="11" customWidth="1" min="22" max="22"/>
    <col width="12" customWidth="1" min="23" max="23"/>
    <col width="10" customWidth="1" min="24" max="24"/>
    <col width="10" customWidth="1" min="25" max="25"/>
    <col width="11" customWidth="1" min="26" max="26"/>
    <col width="6" customWidth="1" min="27" max="27"/>
  </cols>
  <sheetData>
    <row r="1" ht="20" customHeight="1">
      <c r="A1" s="1" t="inlineStr">
        <is>
          <t>ALGODAO 26/27 - manejo</t>
        </is>
      </c>
    </row>
    <row r="2">
      <c r="A2" s="2" t="inlineStr">
        <is>
          <t>So pivos PLANTADOS (filtro Plantado=SIM). Avisar plantio = preencher Data plantio. Emergencia 5 dias. ETc=Kc(DAE)xETo semanal.</t>
        </is>
      </c>
    </row>
    <row r="4" ht="30" customHeight="1">
      <c r="A4" s="4" t="inlineStr">
        <is>
          <t>Pivo</t>
        </is>
      </c>
      <c r="B4" s="4" t="inlineStr">
        <is>
          <t>Modulo</t>
        </is>
      </c>
      <c r="C4" s="4" t="inlineStr">
        <is>
          <t>Casa b.</t>
        </is>
      </c>
      <c r="D4" s="4" t="inlineStr">
        <is>
          <t>Variedade</t>
        </is>
      </c>
      <c r="E4" s="4" t="inlineStr">
        <is>
          <t>Classe</t>
        </is>
      </c>
      <c r="F4" s="4" t="inlineStr">
        <is>
          <t>Area(ha)</t>
        </is>
      </c>
      <c r="G4" s="4" t="inlineStr">
        <is>
          <t>Data plantio</t>
        </is>
      </c>
      <c r="H4" s="4" t="inlineStr">
        <is>
          <t>Plantado?</t>
        </is>
      </c>
      <c r="I4" s="4" t="inlineStr">
        <is>
          <t>DAP</t>
        </is>
      </c>
      <c r="J4" s="4" t="inlineStr">
        <is>
          <t>DAE</t>
        </is>
      </c>
      <c r="K4" s="4" t="inlineStr">
        <is>
          <t>Kc</t>
        </is>
      </c>
      <c r="L4" s="4" t="inlineStr">
        <is>
          <t>Ult.irrig</t>
        </is>
      </c>
      <c r="M4" s="4" t="inlineStr">
        <is>
          <t>ETo acum</t>
        </is>
      </c>
      <c r="N4" s="4" t="inlineStr">
        <is>
          <t>Chuva acum</t>
        </is>
      </c>
      <c r="O4" s="4" t="inlineStr">
        <is>
          <t>ETc acum</t>
        </is>
      </c>
      <c r="P4" s="4" t="inlineStr">
        <is>
          <t>Nec liq (mm)</t>
        </is>
      </c>
      <c r="Q4" s="4" t="inlineStr">
        <is>
          <t>Nec BRUTA (mm)</t>
        </is>
      </c>
      <c r="R4" s="4" t="inlineStr">
        <is>
          <t>% aplic</t>
        </is>
      </c>
      <c r="S4" s="4" t="inlineStr">
        <is>
          <t>Lamina(mm)</t>
        </is>
      </c>
      <c r="T4" s="4" t="inlineStr">
        <is>
          <t>Horas</t>
        </is>
      </c>
      <c r="U4" s="4" t="inlineStr">
        <is>
          <t>CE(kWh/m3)</t>
        </is>
      </c>
      <c r="V4" s="4" t="inlineStr">
        <is>
          <t>Volume(m3)</t>
        </is>
      </c>
      <c r="W4" s="4" t="inlineStr">
        <is>
          <t>Energia(kWh)</t>
        </is>
      </c>
      <c r="X4" s="4" t="inlineStr">
        <is>
          <t>Decisao</t>
        </is>
      </c>
      <c r="Y4" s="4" t="inlineStr">
        <is>
          <t>Prioridade</t>
        </is>
      </c>
      <c r="Z4" s="4" t="inlineStr">
        <is>
          <t>Curva Kc</t>
        </is>
      </c>
      <c r="AA4" s="4" t="inlineStr">
        <is>
          <t>Cod</t>
        </is>
      </c>
    </row>
    <row r="5">
      <c r="A5" s="18" t="inlineStr">
        <is>
          <t>Nec BRUTA (azul) = lamina bruta ACUMULADA desde a ultima irrigacao (soma das ETos semanais x Kc, menos chuva, /0,90). Ao irrigar, atualize 'Ult.irrig'. So aparecem pivos plantados; preencha a Data plantio para um novo pivo e use Dados&gt;Reaplicar.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20" t="n"/>
    </row>
  </sheetData>
  <mergeCells count="1">
    <mergeCell ref="A5:A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AA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14" customWidth="1" min="4" max="4"/>
    <col width="8" customWidth="1" min="5" max="5"/>
    <col width="7" customWidth="1" min="6" max="6"/>
    <col width="11" customWidth="1" min="7" max="7"/>
    <col width="9" customWidth="1" min="8" max="8"/>
    <col width="6" customWidth="1" min="9" max="9"/>
    <col width="6" customWidth="1" min="10" max="10"/>
    <col width="7" customWidth="1" min="11" max="11"/>
    <col width="11" customWidth="1" min="12" max="12"/>
    <col width="9" customWidth="1" min="13" max="13"/>
    <col width="9" customWidth="1" min="14" max="14"/>
    <col width="9" customWidth="1" min="15" max="15"/>
    <col width="8" customWidth="1" min="16" max="16"/>
    <col width="11" customWidth="1" min="17" max="17"/>
    <col width="6" customWidth="1" min="18" max="18"/>
    <col width="10" customWidth="1" min="19" max="19"/>
    <col width="7" customWidth="1" min="20" max="20"/>
    <col width="10" customWidth="1" min="21" max="21"/>
    <col width="11" customWidth="1" min="22" max="22"/>
    <col width="12" customWidth="1" min="23" max="23"/>
    <col width="10" customWidth="1" min="24" max="24"/>
    <col width="10" customWidth="1" min="25" max="25"/>
    <col width="11" customWidth="1" min="26" max="26"/>
    <col width="6" customWidth="1" min="27" max="27"/>
  </cols>
  <sheetData>
    <row r="1" ht="20" customHeight="1">
      <c r="A1" s="1" t="inlineStr">
        <is>
          <t>TABACO 26/27 - manejo</t>
        </is>
      </c>
    </row>
    <row r="2">
      <c r="A2" s="2" t="inlineStr">
        <is>
          <t>So pivos PLANTADOS (filtro Plantado=SIM). Avisar plantio = preencher Data plantio. Emergencia 0 dias. ETc=Kc(DAE)xETo semanal.</t>
        </is>
      </c>
    </row>
    <row r="4" ht="30" customHeight="1">
      <c r="A4" s="4" t="inlineStr">
        <is>
          <t>Pivo</t>
        </is>
      </c>
      <c r="B4" s="4" t="inlineStr">
        <is>
          <t>Modulo</t>
        </is>
      </c>
      <c r="C4" s="4" t="inlineStr">
        <is>
          <t>Casa b.</t>
        </is>
      </c>
      <c r="D4" s="4" t="inlineStr">
        <is>
          <t>Variedade</t>
        </is>
      </c>
      <c r="E4" s="4" t="inlineStr">
        <is>
          <t>Classe</t>
        </is>
      </c>
      <c r="F4" s="4" t="inlineStr">
        <is>
          <t>Area(ha)</t>
        </is>
      </c>
      <c r="G4" s="4" t="inlineStr">
        <is>
          <t>Data plantio</t>
        </is>
      </c>
      <c r="H4" s="4" t="inlineStr">
        <is>
          <t>Plantado?</t>
        </is>
      </c>
      <c r="I4" s="4" t="inlineStr">
        <is>
          <t>DAP</t>
        </is>
      </c>
      <c r="J4" s="4" t="inlineStr">
        <is>
          <t>DAE</t>
        </is>
      </c>
      <c r="K4" s="4" t="inlineStr">
        <is>
          <t>Kc</t>
        </is>
      </c>
      <c r="L4" s="4" t="inlineStr">
        <is>
          <t>Ult.irrig</t>
        </is>
      </c>
      <c r="M4" s="4" t="inlineStr">
        <is>
          <t>ETo acum</t>
        </is>
      </c>
      <c r="N4" s="4" t="inlineStr">
        <is>
          <t>Chuva acum</t>
        </is>
      </c>
      <c r="O4" s="4" t="inlineStr">
        <is>
          <t>ETc acum</t>
        </is>
      </c>
      <c r="P4" s="4" t="inlineStr">
        <is>
          <t>Nec liq (mm)</t>
        </is>
      </c>
      <c r="Q4" s="4" t="inlineStr">
        <is>
          <t>Nec BRUTA (mm)</t>
        </is>
      </c>
      <c r="R4" s="4" t="inlineStr">
        <is>
          <t>% aplic</t>
        </is>
      </c>
      <c r="S4" s="4" t="inlineStr">
        <is>
          <t>Lamina(mm)</t>
        </is>
      </c>
      <c r="T4" s="4" t="inlineStr">
        <is>
          <t>Horas</t>
        </is>
      </c>
      <c r="U4" s="4" t="inlineStr">
        <is>
          <t>CE(kWh/m3)</t>
        </is>
      </c>
      <c r="V4" s="4" t="inlineStr">
        <is>
          <t>Volume(m3)</t>
        </is>
      </c>
      <c r="W4" s="4" t="inlineStr">
        <is>
          <t>Energia(kWh)</t>
        </is>
      </c>
      <c r="X4" s="4" t="inlineStr">
        <is>
          <t>Decisao</t>
        </is>
      </c>
      <c r="Y4" s="4" t="inlineStr">
        <is>
          <t>Prioridade</t>
        </is>
      </c>
      <c r="Z4" s="4" t="inlineStr">
        <is>
          <t>Curva Kc</t>
        </is>
      </c>
      <c r="AA4" s="4" t="inlineStr">
        <is>
          <t>Cod</t>
        </is>
      </c>
    </row>
    <row r="5" hidden="1">
      <c r="A5" s="5" t="inlineStr">
        <is>
          <t>Pivô 118</t>
        </is>
      </c>
      <c r="B5" s="5" t="inlineStr">
        <is>
          <t>RDM</t>
        </is>
      </c>
      <c r="C5" s="5" t="inlineStr">
        <is>
          <t>RM6</t>
        </is>
      </c>
      <c r="D5" s="6" t="inlineStr">
        <is>
          <t>PVH-2343</t>
        </is>
      </c>
      <c r="E5" s="7" t="inlineStr"/>
      <c r="F5" s="8" t="n">
        <v>147</v>
      </c>
      <c r="G5" s="9" t="n">
        <v>46389</v>
      </c>
      <c r="H5" s="10">
        <f>IF(OR($G5="",$G5&gt;DATA_REF),"NAO","SIM")</f>
        <v/>
      </c>
      <c r="I5" s="11">
        <f>IF(OR($G5="",$G5&gt;DATA_REF),"",DATA_REF-$G5)</f>
        <v/>
      </c>
      <c r="J5" s="11">
        <f>IF($I5="","",MAX(0,$I5-0))</f>
        <v/>
      </c>
      <c r="K5" s="12">
        <f>IF($Z5="","PENDENTE",IF($I5="","",IFERROR(INDEX(CURVAS_KC!$B$5:$J$224,MATCH(MIN(MAX($J5,1),220),CURVAS_KC!$A$5:$A$224,0),MATCH($Z5,CURVAS_KC!$B$4:$J$4,0)),"PENDENTE")))</f>
        <v/>
      </c>
      <c r="L5" s="9">
        <f>IF($G5="","",$G5)</f>
        <v/>
      </c>
      <c r="M5" s="13">
        <f>IF($L5="","",SUMIFS(ETO_SEMANAL!$B$6:$B$65,ETO_SEMANAL!$A$6:$A$65,"&gt;"&amp;$L5,ETO_SEMANAL!$A$6:$A$65,"&lt;="&amp;DATA_REF))</f>
        <v/>
      </c>
      <c r="N5" s="13">
        <f>IF($L5="","",SUMIFS(ETO_SEMANAL!$C$6:$C$65,ETO_SEMANAL!$A$6:$A$65,"&gt;"&amp;$L5,ETO_SEMANAL!$A$6:$A$65,"&lt;="&amp;DATA_REF))</f>
        <v/>
      </c>
      <c r="O5" s="13">
        <f>IF(OR($K5="",$K5="PENDENTE",$M5=""),"",$K5*$M5)</f>
        <v/>
      </c>
      <c r="P5" s="13">
        <f>IF($O5="","",MAX(0,$O5-N($N5)))</f>
        <v/>
      </c>
      <c r="Q5" s="14">
        <f>IF($P5="","",$P5/EF_APLIC)</f>
        <v/>
      </c>
      <c r="R5" s="7" t="n"/>
      <c r="S5" s="15">
        <f>IF(OR($AA5="",$R5=""),"",IFERROR(INDEX(LAMINA_HORA!$C$5:$V$114,MATCH($AA5,LAMINA_HORA!$A$5:$A$114,0),MATCH($R5,LAMINA_HORA!$C$3:$V$3,0)),"?"))</f>
        <v/>
      </c>
      <c r="T5" s="15">
        <f>IF(OR($AA5="",$R5=""),"",IFERROR(INDEX(LAMINA_HORA!$W$5:$AP$114,MATCH($AA5,LAMINA_HORA!$A$5:$A$114,0),MATCH($R5,LAMINA_HORA!$W$3:$AP$3,0)),"?"))</f>
        <v/>
      </c>
      <c r="U5" s="16" t="n">
        <v>0.703</v>
      </c>
      <c r="V5" s="17">
        <f>IF(OR($S5="",$S5="?",$F5=""),"",$S5*$F5*10)</f>
        <v/>
      </c>
      <c r="W5" s="17">
        <f>IF(OR($V5="",$U5=""),"",$V5*$U5)</f>
        <v/>
      </c>
      <c r="X5" s="10">
        <f>IF($K5="PENDENTE","Definir Kc",IF($P5="","-",IF($P5&gt;=TURNO,"IRRIGAR",IF($P5&gt;=TURNO*FRAC_ACOMP,"Acompanhar","Aguardar"))))</f>
        <v/>
      </c>
      <c r="Y5" s="10">
        <f>IF(OR($P5="",$P5=0),"-",IF($P5&gt;=2*TURNO,"Alta",IF($P5&gt;=TURNO,"Media","Baixa")))</f>
        <v/>
      </c>
      <c r="Z5" s="5" t="inlineStr">
        <is>
          <t>TABACO</t>
        </is>
      </c>
      <c r="AA5" s="7" t="inlineStr">
        <is>
          <t>P118</t>
        </is>
      </c>
    </row>
    <row r="6" hidden="1">
      <c r="A6" s="5" t="inlineStr">
        <is>
          <t>Pivô 119</t>
        </is>
      </c>
      <c r="B6" s="5" t="inlineStr">
        <is>
          <t>RDM</t>
        </is>
      </c>
      <c r="C6" s="5" t="inlineStr">
        <is>
          <t>RM6</t>
        </is>
      </c>
      <c r="D6" s="6" t="inlineStr">
        <is>
          <t>PVH-2343</t>
        </is>
      </c>
      <c r="E6" s="7" t="inlineStr"/>
      <c r="F6" s="8" t="n">
        <v>150</v>
      </c>
      <c r="G6" s="9" t="n">
        <v>46380</v>
      </c>
      <c r="H6" s="10">
        <f>IF(OR($G6="",$G6&gt;DATA_REF),"NAO","SIM")</f>
        <v/>
      </c>
      <c r="I6" s="11">
        <f>IF(OR($G6="",$G6&gt;DATA_REF),"",DATA_REF-$G6)</f>
        <v/>
      </c>
      <c r="J6" s="11">
        <f>IF($I6="","",MAX(0,$I6-0))</f>
        <v/>
      </c>
      <c r="K6" s="12">
        <f>IF($Z6="","PENDENTE",IF($I6="","",IFERROR(INDEX(CURVAS_KC!$B$5:$J$224,MATCH(MIN(MAX($J6,1),220),CURVAS_KC!$A$5:$A$224,0),MATCH($Z6,CURVAS_KC!$B$4:$J$4,0)),"PENDENTE")))</f>
        <v/>
      </c>
      <c r="L6" s="9">
        <f>IF($G6="","",$G6)</f>
        <v/>
      </c>
      <c r="M6" s="13">
        <f>IF($L6="","",SUMIFS(ETO_SEMANAL!$B$6:$B$65,ETO_SEMANAL!$A$6:$A$65,"&gt;"&amp;$L6,ETO_SEMANAL!$A$6:$A$65,"&lt;="&amp;DATA_REF))</f>
        <v/>
      </c>
      <c r="N6" s="13">
        <f>IF($L6="","",SUMIFS(ETO_SEMANAL!$C$6:$C$65,ETO_SEMANAL!$A$6:$A$65,"&gt;"&amp;$L6,ETO_SEMANAL!$A$6:$A$65,"&lt;="&amp;DATA_REF))</f>
        <v/>
      </c>
      <c r="O6" s="13">
        <f>IF(OR($K6="",$K6="PENDENTE",$M6=""),"",$K6*$M6)</f>
        <v/>
      </c>
      <c r="P6" s="13">
        <f>IF($O6="","",MAX(0,$O6-N($N6)))</f>
        <v/>
      </c>
      <c r="Q6" s="14">
        <f>IF($P6="","",$P6/EF_APLIC)</f>
        <v/>
      </c>
      <c r="R6" s="7" t="n"/>
      <c r="S6" s="15">
        <f>IF(OR($AA6="",$R6=""),"",IFERROR(INDEX(LAMINA_HORA!$C$5:$V$114,MATCH($AA6,LAMINA_HORA!$A$5:$A$114,0),MATCH($R6,LAMINA_HORA!$C$3:$V$3,0)),"?"))</f>
        <v/>
      </c>
      <c r="T6" s="15">
        <f>IF(OR($AA6="",$R6=""),"",IFERROR(INDEX(LAMINA_HORA!$W$5:$AP$114,MATCH($AA6,LAMINA_HORA!$A$5:$A$114,0),MATCH($R6,LAMINA_HORA!$W$3:$AP$3,0)),"?"))</f>
        <v/>
      </c>
      <c r="U6" s="16" t="n">
        <v>0.724</v>
      </c>
      <c r="V6" s="17">
        <f>IF(OR($S6="",$S6="?",$F6=""),"",$S6*$F6*10)</f>
        <v/>
      </c>
      <c r="W6" s="17">
        <f>IF(OR($V6="",$U6=""),"",$V6*$U6)</f>
        <v/>
      </c>
      <c r="X6" s="10">
        <f>IF($K6="PENDENTE","Definir Kc",IF($P6="","-",IF($P6&gt;=TURNO,"IRRIGAR",IF($P6&gt;=TURNO*FRAC_ACOMP,"Acompanhar","Aguardar"))))</f>
        <v/>
      </c>
      <c r="Y6" s="10">
        <f>IF(OR($P6="",$P6=0),"-",IF($P6&gt;=2*TURNO,"Alta",IF($P6&gt;=TURNO,"Media","Baixa")))</f>
        <v/>
      </c>
      <c r="Z6" s="5" t="inlineStr">
        <is>
          <t>TABACO</t>
        </is>
      </c>
      <c r="AA6" s="7" t="inlineStr">
        <is>
          <t>P119</t>
        </is>
      </c>
    </row>
    <row r="7" hidden="1">
      <c r="A7" s="5" t="inlineStr">
        <is>
          <t>Pivô 120</t>
        </is>
      </c>
      <c r="B7" s="5" t="inlineStr">
        <is>
          <t>RDM</t>
        </is>
      </c>
      <c r="C7" s="5" t="inlineStr">
        <is>
          <t>RM7</t>
        </is>
      </c>
      <c r="D7" s="6" t="inlineStr">
        <is>
          <t>PVH-2343</t>
        </is>
      </c>
      <c r="E7" s="7" t="inlineStr"/>
      <c r="F7" s="8" t="n">
        <v>147</v>
      </c>
      <c r="G7" s="9" t="n">
        <v>46399</v>
      </c>
      <c r="H7" s="10">
        <f>IF(OR($G7="",$G7&gt;DATA_REF),"NAO","SIM")</f>
        <v/>
      </c>
      <c r="I7" s="11">
        <f>IF(OR($G7="",$G7&gt;DATA_REF),"",DATA_REF-$G7)</f>
        <v/>
      </c>
      <c r="J7" s="11">
        <f>IF($I7="","",MAX(0,$I7-0))</f>
        <v/>
      </c>
      <c r="K7" s="12">
        <f>IF($Z7="","PENDENTE",IF($I7="","",IFERROR(INDEX(CURVAS_KC!$B$5:$J$224,MATCH(MIN(MAX($J7,1),220),CURVAS_KC!$A$5:$A$224,0),MATCH($Z7,CURVAS_KC!$B$4:$J$4,0)),"PENDENTE")))</f>
        <v/>
      </c>
      <c r="L7" s="9">
        <f>IF($G7="","",$G7)</f>
        <v/>
      </c>
      <c r="M7" s="13">
        <f>IF($L7="","",SUMIFS(ETO_SEMANAL!$B$6:$B$65,ETO_SEMANAL!$A$6:$A$65,"&gt;"&amp;$L7,ETO_SEMANAL!$A$6:$A$65,"&lt;="&amp;DATA_REF))</f>
        <v/>
      </c>
      <c r="N7" s="13">
        <f>IF($L7="","",SUMIFS(ETO_SEMANAL!$C$6:$C$65,ETO_SEMANAL!$A$6:$A$65,"&gt;"&amp;$L7,ETO_SEMANAL!$A$6:$A$65,"&lt;="&amp;DATA_REF))</f>
        <v/>
      </c>
      <c r="O7" s="13">
        <f>IF(OR($K7="",$K7="PENDENTE",$M7=""),"",$K7*$M7)</f>
        <v/>
      </c>
      <c r="P7" s="13">
        <f>IF($O7="","",MAX(0,$O7-N($N7)))</f>
        <v/>
      </c>
      <c r="Q7" s="14">
        <f>IF($P7="","",$P7/EF_APLIC)</f>
        <v/>
      </c>
      <c r="R7" s="7" t="n"/>
      <c r="S7" s="15">
        <f>IF(OR($AA7="",$R7=""),"",IFERROR(INDEX(LAMINA_HORA!$C$5:$V$114,MATCH($AA7,LAMINA_HORA!$A$5:$A$114,0),MATCH($R7,LAMINA_HORA!$C$3:$V$3,0)),"?"))</f>
        <v/>
      </c>
      <c r="T7" s="15">
        <f>IF(OR($AA7="",$R7=""),"",IFERROR(INDEX(LAMINA_HORA!$W$5:$AP$114,MATCH($AA7,LAMINA_HORA!$A$5:$A$114,0),MATCH($R7,LAMINA_HORA!$W$3:$AP$3,0)),"?"))</f>
        <v/>
      </c>
      <c r="U7" s="16" t="n">
        <v>0.724</v>
      </c>
      <c r="V7" s="17">
        <f>IF(OR($S7="",$S7="?",$F7=""),"",$S7*$F7*10)</f>
        <v/>
      </c>
      <c r="W7" s="17">
        <f>IF(OR($V7="",$U7=""),"",$V7*$U7)</f>
        <v/>
      </c>
      <c r="X7" s="10">
        <f>IF($K7="PENDENTE","Definir Kc",IF($P7="","-",IF($P7&gt;=TURNO,"IRRIGAR",IF($P7&gt;=TURNO*FRAC_ACOMP,"Acompanhar","Aguardar"))))</f>
        <v/>
      </c>
      <c r="Y7" s="10">
        <f>IF(OR($P7="",$P7=0),"-",IF($P7&gt;=2*TURNO,"Alta",IF($P7&gt;=TURNO,"Media","Baixa")))</f>
        <v/>
      </c>
      <c r="Z7" s="5" t="inlineStr">
        <is>
          <t>TABACO</t>
        </is>
      </c>
      <c r="AA7" s="7" t="inlineStr">
        <is>
          <t>P120</t>
        </is>
      </c>
    </row>
    <row r="8" hidden="1">
      <c r="A8" s="5" t="inlineStr">
        <is>
          <t>Pivô 126</t>
        </is>
      </c>
      <c r="B8" s="5" t="inlineStr">
        <is>
          <t>RDM</t>
        </is>
      </c>
      <c r="C8" s="5" t="inlineStr">
        <is>
          <t>RM7</t>
        </is>
      </c>
      <c r="D8" s="6" t="inlineStr">
        <is>
          <t>PVH-2343</t>
        </is>
      </c>
      <c r="E8" s="7" t="inlineStr"/>
      <c r="F8" s="8" t="n">
        <v>140</v>
      </c>
      <c r="G8" s="9" t="n">
        <v>46371</v>
      </c>
      <c r="H8" s="10">
        <f>IF(OR($G8="",$G8&gt;DATA_REF),"NAO","SIM")</f>
        <v/>
      </c>
      <c r="I8" s="11">
        <f>IF(OR($G8="",$G8&gt;DATA_REF),"",DATA_REF-$G8)</f>
        <v/>
      </c>
      <c r="J8" s="11">
        <f>IF($I8="","",MAX(0,$I8-0))</f>
        <v/>
      </c>
      <c r="K8" s="12">
        <f>IF($Z8="","PENDENTE",IF($I8="","",IFERROR(INDEX(CURVAS_KC!$B$5:$J$224,MATCH(MIN(MAX($J8,1),220),CURVAS_KC!$A$5:$A$224,0),MATCH($Z8,CURVAS_KC!$B$4:$J$4,0)),"PENDENTE")))</f>
        <v/>
      </c>
      <c r="L8" s="9">
        <f>IF($G8="","",$G8)</f>
        <v/>
      </c>
      <c r="M8" s="13">
        <f>IF($L8="","",SUMIFS(ETO_SEMANAL!$B$6:$B$65,ETO_SEMANAL!$A$6:$A$65,"&gt;"&amp;$L8,ETO_SEMANAL!$A$6:$A$65,"&lt;="&amp;DATA_REF))</f>
        <v/>
      </c>
      <c r="N8" s="13">
        <f>IF($L8="","",SUMIFS(ETO_SEMANAL!$C$6:$C$65,ETO_SEMANAL!$A$6:$A$65,"&gt;"&amp;$L8,ETO_SEMANAL!$A$6:$A$65,"&lt;="&amp;DATA_REF))</f>
        <v/>
      </c>
      <c r="O8" s="13">
        <f>IF(OR($K8="",$K8="PENDENTE",$M8=""),"",$K8*$M8)</f>
        <v/>
      </c>
      <c r="P8" s="13">
        <f>IF($O8="","",MAX(0,$O8-N($N8)))</f>
        <v/>
      </c>
      <c r="Q8" s="14">
        <f>IF($P8="","",$P8/EF_APLIC)</f>
        <v/>
      </c>
      <c r="R8" s="7" t="n"/>
      <c r="S8" s="15">
        <f>IF(OR($AA8="",$R8=""),"",IFERROR(INDEX(LAMINA_HORA!$C$5:$V$114,MATCH($AA8,LAMINA_HORA!$A$5:$A$114,0),MATCH($R8,LAMINA_HORA!$C$3:$V$3,0)),"?"))</f>
        <v/>
      </c>
      <c r="T8" s="15">
        <f>IF(OR($AA8="",$R8=""),"",IFERROR(INDEX(LAMINA_HORA!$W$5:$AP$114,MATCH($AA8,LAMINA_HORA!$A$5:$A$114,0),MATCH($R8,LAMINA_HORA!$W$3:$AP$3,0)),"?"))</f>
        <v/>
      </c>
      <c r="U8" s="16" t="n">
        <v>0.711</v>
      </c>
      <c r="V8" s="17">
        <f>IF(OR($S8="",$S8="?",$F8=""),"",$S8*$F8*10)</f>
        <v/>
      </c>
      <c r="W8" s="17">
        <f>IF(OR($V8="",$U8=""),"",$V8*$U8)</f>
        <v/>
      </c>
      <c r="X8" s="10">
        <f>IF($K8="PENDENTE","Definir Kc",IF($P8="","-",IF($P8&gt;=TURNO,"IRRIGAR",IF($P8&gt;=TURNO*FRAC_ACOMP,"Acompanhar","Aguardar"))))</f>
        <v/>
      </c>
      <c r="Y8" s="10">
        <f>IF(OR($P8="",$P8=0),"-",IF($P8&gt;=2*TURNO,"Alta",IF($P8&gt;=TURNO,"Media","Baixa")))</f>
        <v/>
      </c>
      <c r="Z8" s="5" t="inlineStr">
        <is>
          <t>TABACO</t>
        </is>
      </c>
      <c r="AA8" s="7" t="inlineStr">
        <is>
          <t>P126</t>
        </is>
      </c>
    </row>
    <row r="9" hidden="1">
      <c r="A9" s="5" t="inlineStr">
        <is>
          <t>Pivô 128</t>
        </is>
      </c>
      <c r="B9" s="5" t="inlineStr">
        <is>
          <t>RDM</t>
        </is>
      </c>
      <c r="C9" s="5" t="inlineStr">
        <is>
          <t>RM6</t>
        </is>
      </c>
      <c r="D9" s="6" t="inlineStr">
        <is>
          <t>PVH-2343</t>
        </is>
      </c>
      <c r="E9" s="7" t="inlineStr"/>
      <c r="F9" s="8" t="n">
        <v>140</v>
      </c>
      <c r="G9" s="9" t="n">
        <v>46345</v>
      </c>
      <c r="H9" s="10">
        <f>IF(OR($G9="",$G9&gt;DATA_REF),"NAO","SIM")</f>
        <v/>
      </c>
      <c r="I9" s="11">
        <f>IF(OR($G9="",$G9&gt;DATA_REF),"",DATA_REF-$G9)</f>
        <v/>
      </c>
      <c r="J9" s="11">
        <f>IF($I9="","",MAX(0,$I9-0))</f>
        <v/>
      </c>
      <c r="K9" s="12">
        <f>IF($Z9="","PENDENTE",IF($I9="","",IFERROR(INDEX(CURVAS_KC!$B$5:$J$224,MATCH(MIN(MAX($J9,1),220),CURVAS_KC!$A$5:$A$224,0),MATCH($Z9,CURVAS_KC!$B$4:$J$4,0)),"PENDENTE")))</f>
        <v/>
      </c>
      <c r="L9" s="9">
        <f>IF($G9="","",$G9)</f>
        <v/>
      </c>
      <c r="M9" s="13">
        <f>IF($L9="","",SUMIFS(ETO_SEMANAL!$B$6:$B$65,ETO_SEMANAL!$A$6:$A$65,"&gt;"&amp;$L9,ETO_SEMANAL!$A$6:$A$65,"&lt;="&amp;DATA_REF))</f>
        <v/>
      </c>
      <c r="N9" s="13">
        <f>IF($L9="","",SUMIFS(ETO_SEMANAL!$C$6:$C$65,ETO_SEMANAL!$A$6:$A$65,"&gt;"&amp;$L9,ETO_SEMANAL!$A$6:$A$65,"&lt;="&amp;DATA_REF))</f>
        <v/>
      </c>
      <c r="O9" s="13">
        <f>IF(OR($K9="",$K9="PENDENTE",$M9=""),"",$K9*$M9)</f>
        <v/>
      </c>
      <c r="P9" s="13">
        <f>IF($O9="","",MAX(0,$O9-N($N9)))</f>
        <v/>
      </c>
      <c r="Q9" s="14">
        <f>IF($P9="","",$P9/EF_APLIC)</f>
        <v/>
      </c>
      <c r="R9" s="7" t="n"/>
      <c r="S9" s="15">
        <f>IF(OR($AA9="",$R9=""),"",IFERROR(INDEX(LAMINA_HORA!$C$5:$V$114,MATCH($AA9,LAMINA_HORA!$A$5:$A$114,0),MATCH($R9,LAMINA_HORA!$C$3:$V$3,0)),"?"))</f>
        <v/>
      </c>
      <c r="T9" s="15">
        <f>IF(OR($AA9="",$R9=""),"",IFERROR(INDEX(LAMINA_HORA!$W$5:$AP$114,MATCH($AA9,LAMINA_HORA!$A$5:$A$114,0),MATCH($R9,LAMINA_HORA!$W$3:$AP$3,0)),"?"))</f>
        <v/>
      </c>
      <c r="U9" s="16" t="n">
        <v>0.711</v>
      </c>
      <c r="V9" s="17">
        <f>IF(OR($S9="",$S9="?",$F9=""),"",$S9*$F9*10)</f>
        <v/>
      </c>
      <c r="W9" s="17">
        <f>IF(OR($V9="",$U9=""),"",$V9*$U9)</f>
        <v/>
      </c>
      <c r="X9" s="10">
        <f>IF($K9="PENDENTE","Definir Kc",IF($P9="","-",IF($P9&gt;=TURNO,"IRRIGAR",IF($P9&gt;=TURNO*FRAC_ACOMP,"Acompanhar","Aguardar"))))</f>
        <v/>
      </c>
      <c r="Y9" s="10">
        <f>IF(OR($P9="",$P9=0),"-",IF($P9&gt;=2*TURNO,"Alta",IF($P9&gt;=TURNO,"Media","Baixa")))</f>
        <v/>
      </c>
      <c r="Z9" s="5" t="inlineStr">
        <is>
          <t>TABACO</t>
        </is>
      </c>
      <c r="AA9" s="7" t="inlineStr">
        <is>
          <t>P128</t>
        </is>
      </c>
    </row>
    <row r="10">
      <c r="A10" s="18" t="inlineStr">
        <is>
          <t>Nec BRUTA (azul) = lamina bruta ACUMULADA desde a ultima irrigacao (soma das ETos semanais x Kc, menos chuva, /0,90). Ao irrigar, atualize 'Ult.irrig'. So aparecem pivos plantados; preencha a Data plantio para um novo pivo e use Dados&gt;Reaplicar.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20" t="n"/>
    </row>
  </sheetData>
  <autoFilter ref="A4:AA9">
    <filterColumn colId="7" hiddenButton="0" showButton="1">
      <filters blank="0">
        <filter val="SIM"/>
      </filters>
    </filterColumn>
  </autoFilter>
  <mergeCells count="1">
    <mergeCell ref="A10:AA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43C0C"/>
    <outlinePr summaryBelow="1" summaryRight="1"/>
    <pageSetUpPr/>
  </sheetPr>
  <dimension ref="A1:AA1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14" customWidth="1" min="4" max="4"/>
    <col width="8" customWidth="1" min="5" max="5"/>
    <col width="7" customWidth="1" min="6" max="6"/>
    <col width="11" customWidth="1" min="7" max="7"/>
    <col width="9" customWidth="1" min="8" max="8"/>
    <col width="6" customWidth="1" min="9" max="9"/>
    <col width="6" customWidth="1" min="10" max="10"/>
    <col width="7" customWidth="1" min="11" max="11"/>
    <col width="11" customWidth="1" min="12" max="12"/>
    <col width="9" customWidth="1" min="13" max="13"/>
    <col width="9" customWidth="1" min="14" max="14"/>
    <col width="9" customWidth="1" min="15" max="15"/>
    <col width="8" customWidth="1" min="16" max="16"/>
    <col width="11" customWidth="1" min="17" max="17"/>
    <col width="6" customWidth="1" min="18" max="18"/>
    <col width="10" customWidth="1" min="19" max="19"/>
    <col width="7" customWidth="1" min="20" max="20"/>
    <col width="10" customWidth="1" min="21" max="21"/>
    <col width="11" customWidth="1" min="22" max="22"/>
    <col width="12" customWidth="1" min="23" max="23"/>
    <col width="10" customWidth="1" min="24" max="24"/>
    <col width="10" customWidth="1" min="25" max="25"/>
    <col width="11" customWidth="1" min="26" max="26"/>
    <col width="6" customWidth="1" min="27" max="27"/>
  </cols>
  <sheetData>
    <row r="1" ht="20" customHeight="1">
      <c r="A1" s="1" t="inlineStr">
        <is>
          <t>CACAU - manejo (perene)</t>
        </is>
      </c>
    </row>
    <row r="2">
      <c r="A2" s="2" t="inlineStr">
        <is>
          <t>So pivos PLANTADOS (filtro Plantado=SIM). Avisar plantio = preencher Data plantio. Emergencia 0 dias. ETc=Kc(DAE)xETo semanal.</t>
        </is>
      </c>
    </row>
    <row r="4" ht="30" customHeight="1">
      <c r="A4" s="4" t="inlineStr">
        <is>
          <t>Pivo</t>
        </is>
      </c>
      <c r="B4" s="4" t="inlineStr">
        <is>
          <t>Modulo</t>
        </is>
      </c>
      <c r="C4" s="4" t="inlineStr">
        <is>
          <t>Casa b.</t>
        </is>
      </c>
      <c r="D4" s="4" t="inlineStr">
        <is>
          <t>Variedade</t>
        </is>
      </c>
      <c r="E4" s="4" t="inlineStr">
        <is>
          <t>Classe</t>
        </is>
      </c>
      <c r="F4" s="4" t="inlineStr">
        <is>
          <t>Area(ha)</t>
        </is>
      </c>
      <c r="G4" s="4" t="inlineStr">
        <is>
          <t>Data plantio</t>
        </is>
      </c>
      <c r="H4" s="4" t="inlineStr">
        <is>
          <t>Plantado?</t>
        </is>
      </c>
      <c r="I4" s="4" t="inlineStr">
        <is>
          <t>DAP</t>
        </is>
      </c>
      <c r="J4" s="4" t="inlineStr">
        <is>
          <t>DAE</t>
        </is>
      </c>
      <c r="K4" s="4" t="inlineStr">
        <is>
          <t>Kc</t>
        </is>
      </c>
      <c r="L4" s="4" t="inlineStr">
        <is>
          <t>Ult.irrig</t>
        </is>
      </c>
      <c r="M4" s="4" t="inlineStr">
        <is>
          <t>ETo acum</t>
        </is>
      </c>
      <c r="N4" s="4" t="inlineStr">
        <is>
          <t>Chuva acum</t>
        </is>
      </c>
      <c r="O4" s="4" t="inlineStr">
        <is>
          <t>ETc acum</t>
        </is>
      </c>
      <c r="P4" s="4" t="inlineStr">
        <is>
          <t>Nec liq (mm)</t>
        </is>
      </c>
      <c r="Q4" s="4" t="inlineStr">
        <is>
          <t>Nec BRUTA (mm)</t>
        </is>
      </c>
      <c r="R4" s="4" t="inlineStr">
        <is>
          <t>% aplic</t>
        </is>
      </c>
      <c r="S4" s="4" t="inlineStr">
        <is>
          <t>Lamina(mm)</t>
        </is>
      </c>
      <c r="T4" s="4" t="inlineStr">
        <is>
          <t>Horas</t>
        </is>
      </c>
      <c r="U4" s="4" t="inlineStr">
        <is>
          <t>CE(kWh/m3)</t>
        </is>
      </c>
      <c r="V4" s="4" t="inlineStr">
        <is>
          <t>Volume(m3)</t>
        </is>
      </c>
      <c r="W4" s="4" t="inlineStr">
        <is>
          <t>Energia(kWh)</t>
        </is>
      </c>
      <c r="X4" s="4" t="inlineStr">
        <is>
          <t>Decisao</t>
        </is>
      </c>
      <c r="Y4" s="4" t="inlineStr">
        <is>
          <t>Prioridade</t>
        </is>
      </c>
      <c r="Z4" s="4" t="inlineStr">
        <is>
          <t>Curva Kc</t>
        </is>
      </c>
      <c r="AA4" s="4" t="inlineStr">
        <is>
          <t>Cod</t>
        </is>
      </c>
    </row>
    <row r="5">
      <c r="A5" s="5" t="inlineStr">
        <is>
          <t>Pivô 01</t>
        </is>
      </c>
      <c r="B5" s="5" t="inlineStr">
        <is>
          <t>Modulo 1</t>
        </is>
      </c>
      <c r="C5" s="5" t="inlineStr">
        <is>
          <t>R0</t>
        </is>
      </c>
      <c r="D5" s="6" t="inlineStr">
        <is>
          <t>PS1319/FA13/CCN51</t>
        </is>
      </c>
      <c r="E5" s="7" t="inlineStr"/>
      <c r="F5" s="8" t="n">
        <v>47.5</v>
      </c>
      <c r="G5" s="9" t="n">
        <v>45901</v>
      </c>
      <c r="H5" s="10">
        <f>IF(OR($G5="",$G5&gt;DATA_REF),"NAO","SIM")</f>
        <v/>
      </c>
      <c r="I5" s="11">
        <f>IF(OR($G5="",$G5&gt;DATA_REF),"",DATA_REF-$G5)</f>
        <v/>
      </c>
      <c r="J5" s="11">
        <f>IF($I5="","",MAX(0,$I5-0))</f>
        <v/>
      </c>
      <c r="K5" s="12">
        <f>IF($Z5="","PENDENTE",IF($I5="","",IFERROR(INDEX(CURVAS_KC!$B$5:$J$224,MATCH(MIN(MAX($J5,1),220),CURVAS_KC!$A$5:$A$224,0),MATCH($Z5,CURVAS_KC!$B$4:$J$4,0)),"PENDENTE")))</f>
        <v/>
      </c>
      <c r="L5" s="9">
        <f>IF($G5="","",$G5)</f>
        <v/>
      </c>
      <c r="M5" s="13">
        <f>IF($L5="","",SUMIFS(ETO_SEMANAL!$B$6:$B$65,ETO_SEMANAL!$A$6:$A$65,"&gt;"&amp;$L5,ETO_SEMANAL!$A$6:$A$65,"&lt;="&amp;DATA_REF))</f>
        <v/>
      </c>
      <c r="N5" s="13">
        <f>IF($L5="","",SUMIFS(ETO_SEMANAL!$C$6:$C$65,ETO_SEMANAL!$A$6:$A$65,"&gt;"&amp;$L5,ETO_SEMANAL!$A$6:$A$65,"&lt;="&amp;DATA_REF))</f>
        <v/>
      </c>
      <c r="O5" s="13">
        <f>IF(OR($K5="",$K5="PENDENTE",$M5=""),"",$K5*$M5)</f>
        <v/>
      </c>
      <c r="P5" s="13">
        <f>IF($O5="","",MAX(0,$O5-N($N5)))</f>
        <v/>
      </c>
      <c r="Q5" s="14">
        <f>IF($P5="","",$P5/EF_APLIC)</f>
        <v/>
      </c>
      <c r="R5" s="7" t="n"/>
      <c r="S5" s="15">
        <f>IF(OR($AA5="",$R5=""),"",IFERROR(INDEX(LAMINA_HORA!$C$5:$V$114,MATCH($AA5,LAMINA_HORA!$A$5:$A$114,0),MATCH($R5,LAMINA_HORA!$C$3:$V$3,0)),"?"))</f>
        <v/>
      </c>
      <c r="T5" s="15">
        <f>IF(OR($AA5="",$R5=""),"",IFERROR(INDEX(LAMINA_HORA!$W$5:$AP$114,MATCH($AA5,LAMINA_HORA!$A$5:$A$114,0),MATCH($R5,LAMINA_HORA!$W$3:$AP$3,0)),"?"))</f>
        <v/>
      </c>
      <c r="U5" s="16" t="n">
        <v>0.513</v>
      </c>
      <c r="V5" s="17">
        <f>IF(OR($S5="",$S5="?",$F5=""),"",$S5*$F5*10)</f>
        <v/>
      </c>
      <c r="W5" s="17">
        <f>IF(OR($V5="",$U5=""),"",$V5*$U5)</f>
        <v/>
      </c>
      <c r="X5" s="10">
        <f>IF($K5="PENDENTE","Definir Kc",IF($P5="","-",IF($P5&gt;=TURNO,"IRRIGAR",IF($P5&gt;=TURNO*FRAC_ACOMP,"Acompanhar","Aguardar"))))</f>
        <v/>
      </c>
      <c r="Y5" s="10">
        <f>IF(OR($P5="",$P5=0),"-",IF($P5&gt;=2*TURNO,"Alta",IF($P5&gt;=TURNO,"Media","Baixa")))</f>
        <v/>
      </c>
      <c r="Z5" s="5" t="inlineStr">
        <is>
          <t>CACAU</t>
        </is>
      </c>
      <c r="AA5" s="7" t="inlineStr">
        <is>
          <t>P1</t>
        </is>
      </c>
    </row>
    <row r="6">
      <c r="A6" s="5" t="inlineStr">
        <is>
          <t>Pivô 02</t>
        </is>
      </c>
      <c r="B6" s="5" t="inlineStr">
        <is>
          <t>Modulo 1</t>
        </is>
      </c>
      <c r="C6" s="5" t="inlineStr">
        <is>
          <t>R0</t>
        </is>
      </c>
      <c r="D6" s="6" t="inlineStr">
        <is>
          <t>PS1319/FA13/CCN51</t>
        </is>
      </c>
      <c r="E6" s="7" t="inlineStr"/>
      <c r="F6" s="8" t="n">
        <v>131.5</v>
      </c>
      <c r="G6" s="9" t="n">
        <v>45901</v>
      </c>
      <c r="H6" s="10">
        <f>IF(OR($G6="",$G6&gt;DATA_REF),"NAO","SIM")</f>
        <v/>
      </c>
      <c r="I6" s="11">
        <f>IF(OR($G6="",$G6&gt;DATA_REF),"",DATA_REF-$G6)</f>
        <v/>
      </c>
      <c r="J6" s="11">
        <f>IF($I6="","",MAX(0,$I6-0))</f>
        <v/>
      </c>
      <c r="K6" s="12">
        <f>IF($Z6="","PENDENTE",IF($I6="","",IFERROR(INDEX(CURVAS_KC!$B$5:$J$224,MATCH(MIN(MAX($J6,1),220),CURVAS_KC!$A$5:$A$224,0),MATCH($Z6,CURVAS_KC!$B$4:$J$4,0)),"PENDENTE")))</f>
        <v/>
      </c>
      <c r="L6" s="9">
        <f>IF($G6="","",$G6)</f>
        <v/>
      </c>
      <c r="M6" s="13">
        <f>IF($L6="","",SUMIFS(ETO_SEMANAL!$B$6:$B$65,ETO_SEMANAL!$A$6:$A$65,"&gt;"&amp;$L6,ETO_SEMANAL!$A$6:$A$65,"&lt;="&amp;DATA_REF))</f>
        <v/>
      </c>
      <c r="N6" s="13">
        <f>IF($L6="","",SUMIFS(ETO_SEMANAL!$C$6:$C$65,ETO_SEMANAL!$A$6:$A$65,"&gt;"&amp;$L6,ETO_SEMANAL!$A$6:$A$65,"&lt;="&amp;DATA_REF))</f>
        <v/>
      </c>
      <c r="O6" s="13">
        <f>IF(OR($K6="",$K6="PENDENTE",$M6=""),"",$K6*$M6)</f>
        <v/>
      </c>
      <c r="P6" s="13">
        <f>IF($O6="","",MAX(0,$O6-N($N6)))</f>
        <v/>
      </c>
      <c r="Q6" s="14">
        <f>IF($P6="","",$P6/EF_APLIC)</f>
        <v/>
      </c>
      <c r="R6" s="7" t="n"/>
      <c r="S6" s="15">
        <f>IF(OR($AA6="",$R6=""),"",IFERROR(INDEX(LAMINA_HORA!$C$5:$V$114,MATCH($AA6,LAMINA_HORA!$A$5:$A$114,0),MATCH($R6,LAMINA_HORA!$C$3:$V$3,0)),"?"))</f>
        <v/>
      </c>
      <c r="T6" s="15">
        <f>IF(OR($AA6="",$R6=""),"",IFERROR(INDEX(LAMINA_HORA!$W$5:$AP$114,MATCH($AA6,LAMINA_HORA!$A$5:$A$114,0),MATCH($R6,LAMINA_HORA!$W$3:$AP$3,0)),"?"))</f>
        <v/>
      </c>
      <c r="U6" s="16" t="n">
        <v>0.589</v>
      </c>
      <c r="V6" s="17">
        <f>IF(OR($S6="",$S6="?",$F6=""),"",$S6*$F6*10)</f>
        <v/>
      </c>
      <c r="W6" s="17">
        <f>IF(OR($V6="",$U6=""),"",$V6*$U6)</f>
        <v/>
      </c>
      <c r="X6" s="10">
        <f>IF($K6="PENDENTE","Definir Kc",IF($P6="","-",IF($P6&gt;=TURNO,"IRRIGAR",IF($P6&gt;=TURNO*FRAC_ACOMP,"Acompanhar","Aguardar"))))</f>
        <v/>
      </c>
      <c r="Y6" s="10">
        <f>IF(OR($P6="",$P6=0),"-",IF($P6&gt;=2*TURNO,"Alta",IF($P6&gt;=TURNO,"Media","Baixa")))</f>
        <v/>
      </c>
      <c r="Z6" s="5" t="inlineStr">
        <is>
          <t>CACAU</t>
        </is>
      </c>
      <c r="AA6" s="7" t="inlineStr">
        <is>
          <t>P2</t>
        </is>
      </c>
    </row>
    <row r="7">
      <c r="A7" s="5" t="inlineStr">
        <is>
          <t>Pivô 03</t>
        </is>
      </c>
      <c r="B7" s="5" t="inlineStr">
        <is>
          <t>Modulo 1</t>
        </is>
      </c>
      <c r="C7" s="5" t="inlineStr">
        <is>
          <t>R0</t>
        </is>
      </c>
      <c r="D7" s="6" t="inlineStr">
        <is>
          <t>PS1319/FA13/CCN51</t>
        </is>
      </c>
      <c r="E7" s="7" t="inlineStr"/>
      <c r="F7" s="8" t="n">
        <v>82.8</v>
      </c>
      <c r="G7" s="9" t="n">
        <v>45901</v>
      </c>
      <c r="H7" s="10">
        <f>IF(OR($G7="",$G7&gt;DATA_REF),"NAO","SIM")</f>
        <v/>
      </c>
      <c r="I7" s="11">
        <f>IF(OR($G7="",$G7&gt;DATA_REF),"",DATA_REF-$G7)</f>
        <v/>
      </c>
      <c r="J7" s="11">
        <f>IF($I7="","",MAX(0,$I7-0))</f>
        <v/>
      </c>
      <c r="K7" s="12">
        <f>IF($Z7="","PENDENTE",IF($I7="","",IFERROR(INDEX(CURVAS_KC!$B$5:$J$224,MATCH(MIN(MAX($J7,1),220),CURVAS_KC!$A$5:$A$224,0),MATCH($Z7,CURVAS_KC!$B$4:$J$4,0)),"PENDENTE")))</f>
        <v/>
      </c>
      <c r="L7" s="9">
        <f>IF($G7="","",$G7)</f>
        <v/>
      </c>
      <c r="M7" s="13">
        <f>IF($L7="","",SUMIFS(ETO_SEMANAL!$B$6:$B$65,ETO_SEMANAL!$A$6:$A$65,"&gt;"&amp;$L7,ETO_SEMANAL!$A$6:$A$65,"&lt;="&amp;DATA_REF))</f>
        <v/>
      </c>
      <c r="N7" s="13">
        <f>IF($L7="","",SUMIFS(ETO_SEMANAL!$C$6:$C$65,ETO_SEMANAL!$A$6:$A$65,"&gt;"&amp;$L7,ETO_SEMANAL!$A$6:$A$65,"&lt;="&amp;DATA_REF))</f>
        <v/>
      </c>
      <c r="O7" s="13">
        <f>IF(OR($K7="",$K7="PENDENTE",$M7=""),"",$K7*$M7)</f>
        <v/>
      </c>
      <c r="P7" s="13">
        <f>IF($O7="","",MAX(0,$O7-N($N7)))</f>
        <v/>
      </c>
      <c r="Q7" s="14">
        <f>IF($P7="","",$P7/EF_APLIC)</f>
        <v/>
      </c>
      <c r="R7" s="7" t="n"/>
      <c r="S7" s="15">
        <f>IF(OR($AA7="",$R7=""),"",IFERROR(INDEX(LAMINA_HORA!$C$5:$V$114,MATCH($AA7,LAMINA_HORA!$A$5:$A$114,0),MATCH($R7,LAMINA_HORA!$C$3:$V$3,0)),"?"))</f>
        <v/>
      </c>
      <c r="T7" s="15">
        <f>IF(OR($AA7="",$R7=""),"",IFERROR(INDEX(LAMINA_HORA!$W$5:$AP$114,MATCH($AA7,LAMINA_HORA!$A$5:$A$114,0),MATCH($R7,LAMINA_HORA!$W$3:$AP$3,0)),"?"))</f>
        <v/>
      </c>
      <c r="U7" s="16" t="n">
        <v>0.513</v>
      </c>
      <c r="V7" s="17">
        <f>IF(OR($S7="",$S7="?",$F7=""),"",$S7*$F7*10)</f>
        <v/>
      </c>
      <c r="W7" s="17">
        <f>IF(OR($V7="",$U7=""),"",$V7*$U7)</f>
        <v/>
      </c>
      <c r="X7" s="10">
        <f>IF($K7="PENDENTE","Definir Kc",IF($P7="","-",IF($P7&gt;=TURNO,"IRRIGAR",IF($P7&gt;=TURNO*FRAC_ACOMP,"Acompanhar","Aguardar"))))</f>
        <v/>
      </c>
      <c r="Y7" s="10">
        <f>IF(OR($P7="",$P7=0),"-",IF($P7&gt;=2*TURNO,"Alta",IF($P7&gt;=TURNO,"Media","Baixa")))</f>
        <v/>
      </c>
      <c r="Z7" s="5" t="inlineStr">
        <is>
          <t>CACAU</t>
        </is>
      </c>
      <c r="AA7" s="7" t="inlineStr">
        <is>
          <t>P3</t>
        </is>
      </c>
    </row>
    <row r="8">
      <c r="A8" s="5" t="inlineStr">
        <is>
          <t>Pivô 25</t>
        </is>
      </c>
      <c r="B8" s="5" t="inlineStr">
        <is>
          <t>Modulo 1</t>
        </is>
      </c>
      <c r="C8" s="5" t="inlineStr">
        <is>
          <t>R7</t>
        </is>
      </c>
      <c r="D8" s="6" t="inlineStr">
        <is>
          <t>PS1319/FA13/CCN51</t>
        </is>
      </c>
      <c r="E8" s="7" t="inlineStr"/>
      <c r="F8" s="8" t="n">
        <v>100</v>
      </c>
      <c r="G8" s="9" t="n">
        <v>45901</v>
      </c>
      <c r="H8" s="10">
        <f>IF(OR($G8="",$G8&gt;DATA_REF),"NAO","SIM")</f>
        <v/>
      </c>
      <c r="I8" s="11">
        <f>IF(OR($G8="",$G8&gt;DATA_REF),"",DATA_REF-$G8)</f>
        <v/>
      </c>
      <c r="J8" s="11">
        <f>IF($I8="","",MAX(0,$I8-0))</f>
        <v/>
      </c>
      <c r="K8" s="12">
        <f>IF($Z8="","PENDENTE",IF($I8="","",IFERROR(INDEX(CURVAS_KC!$B$5:$J$224,MATCH(MIN(MAX($J8,1),220),CURVAS_KC!$A$5:$A$224,0),MATCH($Z8,CURVAS_KC!$B$4:$J$4,0)),"PENDENTE")))</f>
        <v/>
      </c>
      <c r="L8" s="9">
        <f>IF($G8="","",$G8)</f>
        <v/>
      </c>
      <c r="M8" s="13">
        <f>IF($L8="","",SUMIFS(ETO_SEMANAL!$B$6:$B$65,ETO_SEMANAL!$A$6:$A$65,"&gt;"&amp;$L8,ETO_SEMANAL!$A$6:$A$65,"&lt;="&amp;DATA_REF))</f>
        <v/>
      </c>
      <c r="N8" s="13">
        <f>IF($L8="","",SUMIFS(ETO_SEMANAL!$C$6:$C$65,ETO_SEMANAL!$A$6:$A$65,"&gt;"&amp;$L8,ETO_SEMANAL!$A$6:$A$65,"&lt;="&amp;DATA_REF))</f>
        <v/>
      </c>
      <c r="O8" s="13">
        <f>IF(OR($K8="",$K8="PENDENTE",$M8=""),"",$K8*$M8)</f>
        <v/>
      </c>
      <c r="P8" s="13">
        <f>IF($O8="","",MAX(0,$O8-N($N8)))</f>
        <v/>
      </c>
      <c r="Q8" s="14">
        <f>IF($P8="","",$P8/EF_APLIC)</f>
        <v/>
      </c>
      <c r="R8" s="7" t="n"/>
      <c r="S8" s="15">
        <f>IF(OR($AA8="",$R8=""),"",IFERROR(INDEX(LAMINA_HORA!$C$5:$V$114,MATCH($AA8,LAMINA_HORA!$A$5:$A$114,0),MATCH($R8,LAMINA_HORA!$C$3:$V$3,0)),"?"))</f>
        <v/>
      </c>
      <c r="T8" s="15">
        <f>IF(OR($AA8="",$R8=""),"",IFERROR(INDEX(LAMINA_HORA!$W$5:$AP$114,MATCH($AA8,LAMINA_HORA!$A$5:$A$114,0),MATCH($R8,LAMINA_HORA!$W$3:$AP$3,0)),"?"))</f>
        <v/>
      </c>
      <c r="U8" s="16" t="n">
        <v>0.462</v>
      </c>
      <c r="V8" s="17">
        <f>IF(OR($S8="",$S8="?",$F8=""),"",$S8*$F8*10)</f>
        <v/>
      </c>
      <c r="W8" s="17">
        <f>IF(OR($V8="",$U8=""),"",$V8*$U8)</f>
        <v/>
      </c>
      <c r="X8" s="10">
        <f>IF($K8="PENDENTE","Definir Kc",IF($P8="","-",IF($P8&gt;=TURNO,"IRRIGAR",IF($P8&gt;=TURNO*FRAC_ACOMP,"Acompanhar","Aguardar"))))</f>
        <v/>
      </c>
      <c r="Y8" s="10">
        <f>IF(OR($P8="",$P8=0),"-",IF($P8&gt;=2*TURNO,"Alta",IF($P8&gt;=TURNO,"Media","Baixa")))</f>
        <v/>
      </c>
      <c r="Z8" s="5" t="inlineStr">
        <is>
          <t>CACAU</t>
        </is>
      </c>
      <c r="AA8" s="7" t="inlineStr">
        <is>
          <t>P25</t>
        </is>
      </c>
    </row>
    <row r="9">
      <c r="A9" s="5" t="inlineStr">
        <is>
          <t>Pivô 27</t>
        </is>
      </c>
      <c r="B9" s="5" t="inlineStr">
        <is>
          <t>Modulo 1</t>
        </is>
      </c>
      <c r="C9" s="5" t="inlineStr">
        <is>
          <t>R7</t>
        </is>
      </c>
      <c r="D9" s="6" t="inlineStr">
        <is>
          <t>PS1319/FA13/CCN51</t>
        </is>
      </c>
      <c r="E9" s="7" t="inlineStr"/>
      <c r="F9" s="8" t="n">
        <v>100</v>
      </c>
      <c r="G9" s="9" t="n">
        <v>45901</v>
      </c>
      <c r="H9" s="10">
        <f>IF(OR($G9="",$G9&gt;DATA_REF),"NAO","SIM")</f>
        <v/>
      </c>
      <c r="I9" s="11">
        <f>IF(OR($G9="",$G9&gt;DATA_REF),"",DATA_REF-$G9)</f>
        <v/>
      </c>
      <c r="J9" s="11">
        <f>IF($I9="","",MAX(0,$I9-0))</f>
        <v/>
      </c>
      <c r="K9" s="12">
        <f>IF($Z9="","PENDENTE",IF($I9="","",IFERROR(INDEX(CURVAS_KC!$B$5:$J$224,MATCH(MIN(MAX($J9,1),220),CURVAS_KC!$A$5:$A$224,0),MATCH($Z9,CURVAS_KC!$B$4:$J$4,0)),"PENDENTE")))</f>
        <v/>
      </c>
      <c r="L9" s="9">
        <f>IF($G9="","",$G9)</f>
        <v/>
      </c>
      <c r="M9" s="13">
        <f>IF($L9="","",SUMIFS(ETO_SEMANAL!$B$6:$B$65,ETO_SEMANAL!$A$6:$A$65,"&gt;"&amp;$L9,ETO_SEMANAL!$A$6:$A$65,"&lt;="&amp;DATA_REF))</f>
        <v/>
      </c>
      <c r="N9" s="13">
        <f>IF($L9="","",SUMIFS(ETO_SEMANAL!$C$6:$C$65,ETO_SEMANAL!$A$6:$A$65,"&gt;"&amp;$L9,ETO_SEMANAL!$A$6:$A$65,"&lt;="&amp;DATA_REF))</f>
        <v/>
      </c>
      <c r="O9" s="13">
        <f>IF(OR($K9="",$K9="PENDENTE",$M9=""),"",$K9*$M9)</f>
        <v/>
      </c>
      <c r="P9" s="13">
        <f>IF($O9="","",MAX(0,$O9-N($N9)))</f>
        <v/>
      </c>
      <c r="Q9" s="14">
        <f>IF($P9="","",$P9/EF_APLIC)</f>
        <v/>
      </c>
      <c r="R9" s="7" t="n"/>
      <c r="S9" s="15">
        <f>IF(OR($AA9="",$R9=""),"",IFERROR(INDEX(LAMINA_HORA!$C$5:$V$114,MATCH($AA9,LAMINA_HORA!$A$5:$A$114,0),MATCH($R9,LAMINA_HORA!$C$3:$V$3,0)),"?"))</f>
        <v/>
      </c>
      <c r="T9" s="15">
        <f>IF(OR($AA9="",$R9=""),"",IFERROR(INDEX(LAMINA_HORA!$W$5:$AP$114,MATCH($AA9,LAMINA_HORA!$A$5:$A$114,0),MATCH($R9,LAMINA_HORA!$W$3:$AP$3,0)),"?"))</f>
        <v/>
      </c>
      <c r="U9" s="16" t="n">
        <v>0.463</v>
      </c>
      <c r="V9" s="17">
        <f>IF(OR($S9="",$S9="?",$F9=""),"",$S9*$F9*10)</f>
        <v/>
      </c>
      <c r="W9" s="17">
        <f>IF(OR($V9="",$U9=""),"",$V9*$U9)</f>
        <v/>
      </c>
      <c r="X9" s="10">
        <f>IF($K9="PENDENTE","Definir Kc",IF($P9="","-",IF($P9&gt;=TURNO,"IRRIGAR",IF($P9&gt;=TURNO*FRAC_ACOMP,"Acompanhar","Aguardar"))))</f>
        <v/>
      </c>
      <c r="Y9" s="10">
        <f>IF(OR($P9="",$P9=0),"-",IF($P9&gt;=2*TURNO,"Alta",IF($P9&gt;=TURNO,"Media","Baixa")))</f>
        <v/>
      </c>
      <c r="Z9" s="5" t="inlineStr">
        <is>
          <t>CACAU</t>
        </is>
      </c>
      <c r="AA9" s="7" t="inlineStr">
        <is>
          <t>P27</t>
        </is>
      </c>
    </row>
    <row r="10">
      <c r="A10" s="5" t="inlineStr">
        <is>
          <t>Pivô 28</t>
        </is>
      </c>
      <c r="B10" s="5" t="inlineStr">
        <is>
          <t>Modulo 1</t>
        </is>
      </c>
      <c r="C10" s="5" t="inlineStr">
        <is>
          <t>R7</t>
        </is>
      </c>
      <c r="D10" s="6" t="inlineStr">
        <is>
          <t>PS1319/FA13/CCN51</t>
        </is>
      </c>
      <c r="E10" s="7" t="inlineStr"/>
      <c r="F10" s="8" t="n">
        <v>133</v>
      </c>
      <c r="G10" s="9" t="n">
        <v>46196</v>
      </c>
      <c r="H10" s="10">
        <f>IF(OR($G10="",$G10&gt;DATA_REF),"NAO","SIM")</f>
        <v/>
      </c>
      <c r="I10" s="11">
        <f>IF(OR($G10="",$G10&gt;DATA_REF),"",DATA_REF-$G10)</f>
        <v/>
      </c>
      <c r="J10" s="11">
        <f>IF($I10="","",MAX(0,$I10-0))</f>
        <v/>
      </c>
      <c r="K10" s="12">
        <f>IF($Z10="","PENDENTE",IF($I10="","",IFERROR(INDEX(CURVAS_KC!$B$5:$J$224,MATCH(MIN(MAX($J10,1),220),CURVAS_KC!$A$5:$A$224,0),MATCH($Z10,CURVAS_KC!$B$4:$J$4,0)),"PENDENTE")))</f>
        <v/>
      </c>
      <c r="L10" s="9">
        <f>IF($G10="","",$G10)</f>
        <v/>
      </c>
      <c r="M10" s="13">
        <f>IF($L10="","",SUMIFS(ETO_SEMANAL!$B$6:$B$65,ETO_SEMANAL!$A$6:$A$65,"&gt;"&amp;$L10,ETO_SEMANAL!$A$6:$A$65,"&lt;="&amp;DATA_REF))</f>
        <v/>
      </c>
      <c r="N10" s="13">
        <f>IF($L10="","",SUMIFS(ETO_SEMANAL!$C$6:$C$65,ETO_SEMANAL!$A$6:$A$65,"&gt;"&amp;$L10,ETO_SEMANAL!$A$6:$A$65,"&lt;="&amp;DATA_REF))</f>
        <v/>
      </c>
      <c r="O10" s="13">
        <f>IF(OR($K10="",$K10="PENDENTE",$M10=""),"",$K10*$M10)</f>
        <v/>
      </c>
      <c r="P10" s="13">
        <f>IF($O10="","",MAX(0,$O10-N($N10)))</f>
        <v/>
      </c>
      <c r="Q10" s="14">
        <f>IF($P10="","",$P10/EF_APLIC)</f>
        <v/>
      </c>
      <c r="R10" s="7" t="n"/>
      <c r="S10" s="15">
        <f>IF(OR($AA10="",$R10=""),"",IFERROR(INDEX(LAMINA_HORA!$C$5:$V$114,MATCH($AA10,LAMINA_HORA!$A$5:$A$114,0),MATCH($R10,LAMINA_HORA!$C$3:$V$3,0)),"?"))</f>
        <v/>
      </c>
      <c r="T10" s="15">
        <f>IF(OR($AA10="",$R10=""),"",IFERROR(INDEX(LAMINA_HORA!$W$5:$AP$114,MATCH($AA10,LAMINA_HORA!$A$5:$A$114,0),MATCH($R10,LAMINA_HORA!$W$3:$AP$3,0)),"?"))</f>
        <v/>
      </c>
      <c r="U10" s="16" t="n">
        <v>0.54</v>
      </c>
      <c r="V10" s="17">
        <f>IF(OR($S10="",$S10="?",$F10=""),"",$S10*$F10*10)</f>
        <v/>
      </c>
      <c r="W10" s="17">
        <f>IF(OR($V10="",$U10=""),"",$V10*$U10)</f>
        <v/>
      </c>
      <c r="X10" s="10">
        <f>IF($K10="PENDENTE","Definir Kc",IF($P10="","-",IF($P10&gt;=TURNO,"IRRIGAR",IF($P10&gt;=TURNO*FRAC_ACOMP,"Acompanhar","Aguardar"))))</f>
        <v/>
      </c>
      <c r="Y10" s="10">
        <f>IF(OR($P10="",$P10=0),"-",IF($P10&gt;=2*TURNO,"Alta",IF($P10&gt;=TURNO,"Media","Baixa")))</f>
        <v/>
      </c>
      <c r="Z10" s="5" t="inlineStr">
        <is>
          <t>CACAU</t>
        </is>
      </c>
      <c r="AA10" s="7" t="inlineStr">
        <is>
          <t>P28</t>
        </is>
      </c>
    </row>
    <row r="11">
      <c r="A11" s="5" t="inlineStr">
        <is>
          <t>Pivô 29</t>
        </is>
      </c>
      <c r="B11" s="5" t="inlineStr">
        <is>
          <t>Modulo 1</t>
        </is>
      </c>
      <c r="C11" s="5" t="inlineStr">
        <is>
          <t>R7</t>
        </is>
      </c>
      <c r="D11" s="6" t="inlineStr">
        <is>
          <t>PS1319/FA13/CCN51</t>
        </is>
      </c>
      <c r="E11" s="7" t="inlineStr"/>
      <c r="F11" s="8" t="n">
        <v>80</v>
      </c>
      <c r="G11" s="9" t="n">
        <v>45901</v>
      </c>
      <c r="H11" s="10">
        <f>IF(OR($G11="",$G11&gt;DATA_REF),"NAO","SIM")</f>
        <v/>
      </c>
      <c r="I11" s="11">
        <f>IF(OR($G11="",$G11&gt;DATA_REF),"",DATA_REF-$G11)</f>
        <v/>
      </c>
      <c r="J11" s="11">
        <f>IF($I11="","",MAX(0,$I11-0))</f>
        <v/>
      </c>
      <c r="K11" s="12">
        <f>IF($Z11="","PENDENTE",IF($I11="","",IFERROR(INDEX(CURVAS_KC!$B$5:$J$224,MATCH(MIN(MAX($J11,1),220),CURVAS_KC!$A$5:$A$224,0),MATCH($Z11,CURVAS_KC!$B$4:$J$4,0)),"PENDENTE")))</f>
        <v/>
      </c>
      <c r="L11" s="9">
        <f>IF($G11="","",$G11)</f>
        <v/>
      </c>
      <c r="M11" s="13">
        <f>IF($L11="","",SUMIFS(ETO_SEMANAL!$B$6:$B$65,ETO_SEMANAL!$A$6:$A$65,"&gt;"&amp;$L11,ETO_SEMANAL!$A$6:$A$65,"&lt;="&amp;DATA_REF))</f>
        <v/>
      </c>
      <c r="N11" s="13">
        <f>IF($L11="","",SUMIFS(ETO_SEMANAL!$C$6:$C$65,ETO_SEMANAL!$A$6:$A$65,"&gt;"&amp;$L11,ETO_SEMANAL!$A$6:$A$65,"&lt;="&amp;DATA_REF))</f>
        <v/>
      </c>
      <c r="O11" s="13">
        <f>IF(OR($K11="",$K11="PENDENTE",$M11=""),"",$K11*$M11)</f>
        <v/>
      </c>
      <c r="P11" s="13">
        <f>IF($O11="","",MAX(0,$O11-N($N11)))</f>
        <v/>
      </c>
      <c r="Q11" s="14">
        <f>IF($P11="","",$P11/EF_APLIC)</f>
        <v/>
      </c>
      <c r="R11" s="7" t="n"/>
      <c r="S11" s="15">
        <f>IF(OR($AA11="",$R11=""),"",IFERROR(INDEX(LAMINA_HORA!$C$5:$V$114,MATCH($AA11,LAMINA_HORA!$A$5:$A$114,0),MATCH($R11,LAMINA_HORA!$C$3:$V$3,0)),"?"))</f>
        <v/>
      </c>
      <c r="T11" s="15">
        <f>IF(OR($AA11="",$R11=""),"",IFERROR(INDEX(LAMINA_HORA!$W$5:$AP$114,MATCH($AA11,LAMINA_HORA!$A$5:$A$114,0),MATCH($R11,LAMINA_HORA!$W$3:$AP$3,0)),"?"))</f>
        <v/>
      </c>
      <c r="U11" s="16" t="n">
        <v>0.504</v>
      </c>
      <c r="V11" s="17">
        <f>IF(OR($S11="",$S11="?",$F11=""),"",$S11*$F11*10)</f>
        <v/>
      </c>
      <c r="W11" s="17">
        <f>IF(OR($V11="",$U11=""),"",$V11*$U11)</f>
        <v/>
      </c>
      <c r="X11" s="10">
        <f>IF($K11="PENDENTE","Definir Kc",IF($P11="","-",IF($P11&gt;=TURNO,"IRRIGAR",IF($P11&gt;=TURNO*FRAC_ACOMP,"Acompanhar","Aguardar"))))</f>
        <v/>
      </c>
      <c r="Y11" s="10">
        <f>IF(OR($P11="",$P11=0),"-",IF($P11&gt;=2*TURNO,"Alta",IF($P11&gt;=TURNO,"Media","Baixa")))</f>
        <v/>
      </c>
      <c r="Z11" s="5" t="inlineStr">
        <is>
          <t>CACAU</t>
        </is>
      </c>
      <c r="AA11" s="7" t="inlineStr">
        <is>
          <t>P29</t>
        </is>
      </c>
    </row>
    <row r="12" hidden="1">
      <c r="A12" s="5" t="inlineStr">
        <is>
          <t>Pivô 30</t>
        </is>
      </c>
      <c r="B12" s="5" t="inlineStr">
        <is>
          <t>Modulo 1</t>
        </is>
      </c>
      <c r="C12" s="5" t="inlineStr">
        <is>
          <t>C3Z3/R7</t>
        </is>
      </c>
      <c r="D12" s="6" t="inlineStr">
        <is>
          <t>PS1319/FA13/CCN51</t>
        </is>
      </c>
      <c r="E12" s="7" t="inlineStr"/>
      <c r="F12" s="8" t="n">
        <v>150</v>
      </c>
      <c r="G12" s="9" t="n">
        <v>46447</v>
      </c>
      <c r="H12" s="10">
        <f>IF(OR($G12="",$G12&gt;DATA_REF),"NAO","SIM")</f>
        <v/>
      </c>
      <c r="I12" s="11">
        <f>IF(OR($G12="",$G12&gt;DATA_REF),"",DATA_REF-$G12)</f>
        <v/>
      </c>
      <c r="J12" s="11">
        <f>IF($I12="","",MAX(0,$I12-0))</f>
        <v/>
      </c>
      <c r="K12" s="12">
        <f>IF($Z12="","PENDENTE",IF($I12="","",IFERROR(INDEX(CURVAS_KC!$B$5:$J$224,MATCH(MIN(MAX($J12,1),220),CURVAS_KC!$A$5:$A$224,0),MATCH($Z12,CURVAS_KC!$B$4:$J$4,0)),"PENDENTE")))</f>
        <v/>
      </c>
      <c r="L12" s="9">
        <f>IF($G12="","",$G12)</f>
        <v/>
      </c>
      <c r="M12" s="13">
        <f>IF($L12="","",SUMIFS(ETO_SEMANAL!$B$6:$B$65,ETO_SEMANAL!$A$6:$A$65,"&gt;"&amp;$L12,ETO_SEMANAL!$A$6:$A$65,"&lt;="&amp;DATA_REF))</f>
        <v/>
      </c>
      <c r="N12" s="13">
        <f>IF($L12="","",SUMIFS(ETO_SEMANAL!$C$6:$C$65,ETO_SEMANAL!$A$6:$A$65,"&gt;"&amp;$L12,ETO_SEMANAL!$A$6:$A$65,"&lt;="&amp;DATA_REF))</f>
        <v/>
      </c>
      <c r="O12" s="13">
        <f>IF(OR($K12="",$K12="PENDENTE",$M12=""),"",$K12*$M12)</f>
        <v/>
      </c>
      <c r="P12" s="13">
        <f>IF($O12="","",MAX(0,$O12-N($N12)))</f>
        <v/>
      </c>
      <c r="Q12" s="14">
        <f>IF($P12="","",$P12/EF_APLIC)</f>
        <v/>
      </c>
      <c r="R12" s="7" t="n"/>
      <c r="S12" s="15">
        <f>IF(OR($AA12="",$R12=""),"",IFERROR(INDEX(LAMINA_HORA!$C$5:$V$114,MATCH($AA12,LAMINA_HORA!$A$5:$A$114,0),MATCH($R12,LAMINA_HORA!$C$3:$V$3,0)),"?"))</f>
        <v/>
      </c>
      <c r="T12" s="15">
        <f>IF(OR($AA12="",$R12=""),"",IFERROR(INDEX(LAMINA_HORA!$W$5:$AP$114,MATCH($AA12,LAMINA_HORA!$A$5:$A$114,0),MATCH($R12,LAMINA_HORA!$W$3:$AP$3,0)),"?"))</f>
        <v/>
      </c>
      <c r="U12" s="16" t="n">
        <v>0.441</v>
      </c>
      <c r="V12" s="17">
        <f>IF(OR($S12="",$S12="?",$F12=""),"",$S12*$F12*10)</f>
        <v/>
      </c>
      <c r="W12" s="17">
        <f>IF(OR($V12="",$U12=""),"",$V12*$U12)</f>
        <v/>
      </c>
      <c r="X12" s="10">
        <f>IF($K12="PENDENTE","Definir Kc",IF($P12="","-",IF($P12&gt;=TURNO,"IRRIGAR",IF($P12&gt;=TURNO*FRAC_ACOMP,"Acompanhar","Aguardar"))))</f>
        <v/>
      </c>
      <c r="Y12" s="10">
        <f>IF(OR($P12="",$P12=0),"-",IF($P12&gt;=2*TURNO,"Alta",IF($P12&gt;=TURNO,"Media","Baixa")))</f>
        <v/>
      </c>
      <c r="Z12" s="5" t="inlineStr">
        <is>
          <t>CACAU</t>
        </is>
      </c>
      <c r="AA12" s="7" t="inlineStr">
        <is>
          <t>P30</t>
        </is>
      </c>
    </row>
    <row r="13" hidden="1">
      <c r="A13" s="5" t="inlineStr">
        <is>
          <t>Pivô 31</t>
        </is>
      </c>
      <c r="B13" s="5" t="inlineStr">
        <is>
          <t>Modulo 1</t>
        </is>
      </c>
      <c r="C13" s="5" t="inlineStr">
        <is>
          <t>C3Z3/R7</t>
        </is>
      </c>
      <c r="D13" s="6" t="inlineStr">
        <is>
          <t>PS1319/FA13/CCN51</t>
        </is>
      </c>
      <c r="E13" s="7" t="inlineStr"/>
      <c r="F13" s="8" t="n">
        <v>150</v>
      </c>
      <c r="G13" s="9" t="n">
        <v>46357</v>
      </c>
      <c r="H13" s="10">
        <f>IF(OR($G13="",$G13&gt;DATA_REF),"NAO","SIM")</f>
        <v/>
      </c>
      <c r="I13" s="11">
        <f>IF(OR($G13="",$G13&gt;DATA_REF),"",DATA_REF-$G13)</f>
        <v/>
      </c>
      <c r="J13" s="11">
        <f>IF($I13="","",MAX(0,$I13-0))</f>
        <v/>
      </c>
      <c r="K13" s="12">
        <f>IF($Z13="","PENDENTE",IF($I13="","",IFERROR(INDEX(CURVAS_KC!$B$5:$J$224,MATCH(MIN(MAX($J13,1),220),CURVAS_KC!$A$5:$A$224,0),MATCH($Z13,CURVAS_KC!$B$4:$J$4,0)),"PENDENTE")))</f>
        <v/>
      </c>
      <c r="L13" s="9">
        <f>IF($G13="","",$G13)</f>
        <v/>
      </c>
      <c r="M13" s="13">
        <f>IF($L13="","",SUMIFS(ETO_SEMANAL!$B$6:$B$65,ETO_SEMANAL!$A$6:$A$65,"&gt;"&amp;$L13,ETO_SEMANAL!$A$6:$A$65,"&lt;="&amp;DATA_REF))</f>
        <v/>
      </c>
      <c r="N13" s="13">
        <f>IF($L13="","",SUMIFS(ETO_SEMANAL!$C$6:$C$65,ETO_SEMANAL!$A$6:$A$65,"&gt;"&amp;$L13,ETO_SEMANAL!$A$6:$A$65,"&lt;="&amp;DATA_REF))</f>
        <v/>
      </c>
      <c r="O13" s="13">
        <f>IF(OR($K13="",$K13="PENDENTE",$M13=""),"",$K13*$M13)</f>
        <v/>
      </c>
      <c r="P13" s="13">
        <f>IF($O13="","",MAX(0,$O13-N($N13)))</f>
        <v/>
      </c>
      <c r="Q13" s="14">
        <f>IF($P13="","",$P13/EF_APLIC)</f>
        <v/>
      </c>
      <c r="R13" s="7" t="n"/>
      <c r="S13" s="15">
        <f>IF(OR($AA13="",$R13=""),"",IFERROR(INDEX(LAMINA_HORA!$C$5:$V$114,MATCH($AA13,LAMINA_HORA!$A$5:$A$114,0),MATCH($R13,LAMINA_HORA!$C$3:$V$3,0)),"?"))</f>
        <v/>
      </c>
      <c r="T13" s="15">
        <f>IF(OR($AA13="",$R13=""),"",IFERROR(INDEX(LAMINA_HORA!$W$5:$AP$114,MATCH($AA13,LAMINA_HORA!$A$5:$A$114,0),MATCH($R13,LAMINA_HORA!$W$3:$AP$3,0)),"?"))</f>
        <v/>
      </c>
      <c r="U13" s="16" t="n">
        <v>0.449</v>
      </c>
      <c r="V13" s="17">
        <f>IF(OR($S13="",$S13="?",$F13=""),"",$S13*$F13*10)</f>
        <v/>
      </c>
      <c r="W13" s="17">
        <f>IF(OR($V13="",$U13=""),"",$V13*$U13)</f>
        <v/>
      </c>
      <c r="X13" s="10">
        <f>IF($K13="PENDENTE","Definir Kc",IF($P13="","-",IF($P13&gt;=TURNO,"IRRIGAR",IF($P13&gt;=TURNO*FRAC_ACOMP,"Acompanhar","Aguardar"))))</f>
        <v/>
      </c>
      <c r="Y13" s="10">
        <f>IF(OR($P13="",$P13=0),"-",IF($P13&gt;=2*TURNO,"Alta",IF($P13&gt;=TURNO,"Media","Baixa")))</f>
        <v/>
      </c>
      <c r="Z13" s="5" t="inlineStr">
        <is>
          <t>CACAU</t>
        </is>
      </c>
      <c r="AA13" s="7" t="inlineStr">
        <is>
          <t>P31</t>
        </is>
      </c>
    </row>
    <row r="14">
      <c r="A14" s="5" t="inlineStr">
        <is>
          <t>Pivô 32</t>
        </is>
      </c>
      <c r="B14" s="5" t="inlineStr">
        <is>
          <t>Modulo 1</t>
        </is>
      </c>
      <c r="C14" s="5" t="inlineStr">
        <is>
          <t>C3Z3/R7</t>
        </is>
      </c>
      <c r="D14" s="6" t="inlineStr">
        <is>
          <t>PS1319/FA13/CCN51</t>
        </is>
      </c>
      <c r="E14" s="7" t="inlineStr"/>
      <c r="F14" s="8" t="n">
        <v>133</v>
      </c>
      <c r="G14" s="9" t="n">
        <v>45923</v>
      </c>
      <c r="H14" s="10">
        <f>IF(OR($G14="",$G14&gt;DATA_REF),"NAO","SIM")</f>
        <v/>
      </c>
      <c r="I14" s="11">
        <f>IF(OR($G14="",$G14&gt;DATA_REF),"",DATA_REF-$G14)</f>
        <v/>
      </c>
      <c r="J14" s="11">
        <f>IF($I14="","",MAX(0,$I14-0))</f>
        <v/>
      </c>
      <c r="K14" s="12">
        <f>IF($Z14="","PENDENTE",IF($I14="","",IFERROR(INDEX(CURVAS_KC!$B$5:$J$224,MATCH(MIN(MAX($J14,1),220),CURVAS_KC!$A$5:$A$224,0),MATCH($Z14,CURVAS_KC!$B$4:$J$4,0)),"PENDENTE")))</f>
        <v/>
      </c>
      <c r="L14" s="9">
        <f>IF($G14="","",$G14)</f>
        <v/>
      </c>
      <c r="M14" s="13">
        <f>IF($L14="","",SUMIFS(ETO_SEMANAL!$B$6:$B$65,ETO_SEMANAL!$A$6:$A$65,"&gt;"&amp;$L14,ETO_SEMANAL!$A$6:$A$65,"&lt;="&amp;DATA_REF))</f>
        <v/>
      </c>
      <c r="N14" s="13">
        <f>IF($L14="","",SUMIFS(ETO_SEMANAL!$C$6:$C$65,ETO_SEMANAL!$A$6:$A$65,"&gt;"&amp;$L14,ETO_SEMANAL!$A$6:$A$65,"&lt;="&amp;DATA_REF))</f>
        <v/>
      </c>
      <c r="O14" s="13">
        <f>IF(OR($K14="",$K14="PENDENTE",$M14=""),"",$K14*$M14)</f>
        <v/>
      </c>
      <c r="P14" s="13">
        <f>IF($O14="","",MAX(0,$O14-N($N14)))</f>
        <v/>
      </c>
      <c r="Q14" s="14">
        <f>IF($P14="","",$P14/EF_APLIC)</f>
        <v/>
      </c>
      <c r="R14" s="7" t="n"/>
      <c r="S14" s="15">
        <f>IF(OR($AA14="",$R14=""),"",IFERROR(INDEX(LAMINA_HORA!$C$5:$V$114,MATCH($AA14,LAMINA_HORA!$A$5:$A$114,0),MATCH($R14,LAMINA_HORA!$C$3:$V$3,0)),"?"))</f>
        <v/>
      </c>
      <c r="T14" s="15">
        <f>IF(OR($AA14="",$R14=""),"",IFERROR(INDEX(LAMINA_HORA!$W$5:$AP$114,MATCH($AA14,LAMINA_HORA!$A$5:$A$114,0),MATCH($R14,LAMINA_HORA!$W$3:$AP$3,0)),"?"))</f>
        <v/>
      </c>
      <c r="U14" s="16" t="n">
        <v>0.446</v>
      </c>
      <c r="V14" s="17">
        <f>IF(OR($S14="",$S14="?",$F14=""),"",$S14*$F14*10)</f>
        <v/>
      </c>
      <c r="W14" s="17">
        <f>IF(OR($V14="",$U14=""),"",$V14*$U14)</f>
        <v/>
      </c>
      <c r="X14" s="10">
        <f>IF($K14="PENDENTE","Definir Kc",IF($P14="","-",IF($P14&gt;=TURNO,"IRRIGAR",IF($P14&gt;=TURNO*FRAC_ACOMP,"Acompanhar","Aguardar"))))</f>
        <v/>
      </c>
      <c r="Y14" s="10">
        <f>IF(OR($P14="",$P14=0),"-",IF($P14&gt;=2*TURNO,"Alta",IF($P14&gt;=TURNO,"Media","Baixa")))</f>
        <v/>
      </c>
      <c r="Z14" s="5" t="inlineStr">
        <is>
          <t>CACAU</t>
        </is>
      </c>
      <c r="AA14" s="7" t="inlineStr">
        <is>
          <t>P32</t>
        </is>
      </c>
    </row>
    <row r="15" hidden="1">
      <c r="A15" s="5" t="inlineStr">
        <is>
          <t>Pivô 34</t>
        </is>
      </c>
      <c r="B15" s="5" t="inlineStr">
        <is>
          <t>Modulo 1</t>
        </is>
      </c>
      <c r="C15" s="5" t="inlineStr">
        <is>
          <t>C3Z3/R7</t>
        </is>
      </c>
      <c r="D15" s="6" t="inlineStr">
        <is>
          <t>PS1319/FA13/CCN51</t>
        </is>
      </c>
      <c r="E15" s="7" t="inlineStr"/>
      <c r="F15" s="8" t="n">
        <v>150</v>
      </c>
      <c r="G15" s="9" t="n">
        <v>46326</v>
      </c>
      <c r="H15" s="10">
        <f>IF(OR($G15="",$G15&gt;DATA_REF),"NAO","SIM")</f>
        <v/>
      </c>
      <c r="I15" s="11">
        <f>IF(OR($G15="",$G15&gt;DATA_REF),"",DATA_REF-$G15)</f>
        <v/>
      </c>
      <c r="J15" s="11">
        <f>IF($I15="","",MAX(0,$I15-0))</f>
        <v/>
      </c>
      <c r="K15" s="12">
        <f>IF($Z15="","PENDENTE",IF($I15="","",IFERROR(INDEX(CURVAS_KC!$B$5:$J$224,MATCH(MIN(MAX($J15,1),220),CURVAS_KC!$A$5:$A$224,0),MATCH($Z15,CURVAS_KC!$B$4:$J$4,0)),"PENDENTE")))</f>
        <v/>
      </c>
      <c r="L15" s="9">
        <f>IF($G15="","",$G15)</f>
        <v/>
      </c>
      <c r="M15" s="13">
        <f>IF($L15="","",SUMIFS(ETO_SEMANAL!$B$6:$B$65,ETO_SEMANAL!$A$6:$A$65,"&gt;"&amp;$L15,ETO_SEMANAL!$A$6:$A$65,"&lt;="&amp;DATA_REF))</f>
        <v/>
      </c>
      <c r="N15" s="13">
        <f>IF($L15="","",SUMIFS(ETO_SEMANAL!$C$6:$C$65,ETO_SEMANAL!$A$6:$A$65,"&gt;"&amp;$L15,ETO_SEMANAL!$A$6:$A$65,"&lt;="&amp;DATA_REF))</f>
        <v/>
      </c>
      <c r="O15" s="13">
        <f>IF(OR($K15="",$K15="PENDENTE",$M15=""),"",$K15*$M15)</f>
        <v/>
      </c>
      <c r="P15" s="13">
        <f>IF($O15="","",MAX(0,$O15-N($N15)))</f>
        <v/>
      </c>
      <c r="Q15" s="14">
        <f>IF($P15="","",$P15/EF_APLIC)</f>
        <v/>
      </c>
      <c r="R15" s="7" t="n"/>
      <c r="S15" s="15">
        <f>IF(OR($AA15="",$R15=""),"",IFERROR(INDEX(LAMINA_HORA!$C$5:$V$114,MATCH($AA15,LAMINA_HORA!$A$5:$A$114,0),MATCH($R15,LAMINA_HORA!$C$3:$V$3,0)),"?"))</f>
        <v/>
      </c>
      <c r="T15" s="15">
        <f>IF(OR($AA15="",$R15=""),"",IFERROR(INDEX(LAMINA_HORA!$W$5:$AP$114,MATCH($AA15,LAMINA_HORA!$A$5:$A$114,0),MATCH($R15,LAMINA_HORA!$W$3:$AP$3,0)),"?"))</f>
        <v/>
      </c>
      <c r="U15" s="16" t="n">
        <v>0.461</v>
      </c>
      <c r="V15" s="17">
        <f>IF(OR($S15="",$S15="?",$F15=""),"",$S15*$F15*10)</f>
        <v/>
      </c>
      <c r="W15" s="17">
        <f>IF(OR($V15="",$U15=""),"",$V15*$U15)</f>
        <v/>
      </c>
      <c r="X15" s="10">
        <f>IF($K15="PENDENTE","Definir Kc",IF($P15="","-",IF($P15&gt;=TURNO,"IRRIGAR",IF($P15&gt;=TURNO*FRAC_ACOMP,"Acompanhar","Aguardar"))))</f>
        <v/>
      </c>
      <c r="Y15" s="10">
        <f>IF(OR($P15="",$P15=0),"-",IF($P15&gt;=2*TURNO,"Alta",IF($P15&gt;=TURNO,"Media","Baixa")))</f>
        <v/>
      </c>
      <c r="Z15" s="5" t="inlineStr">
        <is>
          <t>CACAU</t>
        </is>
      </c>
      <c r="AA15" s="7" t="inlineStr">
        <is>
          <t>P34</t>
        </is>
      </c>
    </row>
    <row r="16">
      <c r="A16" s="5" t="inlineStr">
        <is>
          <t>Pivô 75</t>
        </is>
      </c>
      <c r="B16" s="5" t="inlineStr">
        <is>
          <t>Modulo 1</t>
        </is>
      </c>
      <c r="C16" s="5" t="inlineStr">
        <is>
          <t>C3Z3/R7</t>
        </is>
      </c>
      <c r="D16" s="6" t="inlineStr">
        <is>
          <t>PS1319/FA13/CCN51</t>
        </is>
      </c>
      <c r="E16" s="7" t="inlineStr"/>
      <c r="F16" s="8" t="n">
        <v>9</v>
      </c>
      <c r="G16" s="9" t="n">
        <v>45923</v>
      </c>
      <c r="H16" s="10">
        <f>IF(OR($G16="",$G16&gt;DATA_REF),"NAO","SIM")</f>
        <v/>
      </c>
      <c r="I16" s="11">
        <f>IF(OR($G16="",$G16&gt;DATA_REF),"",DATA_REF-$G16)</f>
        <v/>
      </c>
      <c r="J16" s="11">
        <f>IF($I16="","",MAX(0,$I16-0))</f>
        <v/>
      </c>
      <c r="K16" s="12">
        <f>IF($Z16="","PENDENTE",IF($I16="","",IFERROR(INDEX(CURVAS_KC!$B$5:$J$224,MATCH(MIN(MAX($J16,1),220),CURVAS_KC!$A$5:$A$224,0),MATCH($Z16,CURVAS_KC!$B$4:$J$4,0)),"PENDENTE")))</f>
        <v/>
      </c>
      <c r="L16" s="9">
        <f>IF($G16="","",$G16)</f>
        <v/>
      </c>
      <c r="M16" s="13">
        <f>IF($L16="","",SUMIFS(ETO_SEMANAL!$B$6:$B$65,ETO_SEMANAL!$A$6:$A$65,"&gt;"&amp;$L16,ETO_SEMANAL!$A$6:$A$65,"&lt;="&amp;DATA_REF))</f>
        <v/>
      </c>
      <c r="N16" s="13">
        <f>IF($L16="","",SUMIFS(ETO_SEMANAL!$C$6:$C$65,ETO_SEMANAL!$A$6:$A$65,"&gt;"&amp;$L16,ETO_SEMANAL!$A$6:$A$65,"&lt;="&amp;DATA_REF))</f>
        <v/>
      </c>
      <c r="O16" s="13">
        <f>IF(OR($K16="",$K16="PENDENTE",$M16=""),"",$K16*$M16)</f>
        <v/>
      </c>
      <c r="P16" s="13">
        <f>IF($O16="","",MAX(0,$O16-N($N16)))</f>
        <v/>
      </c>
      <c r="Q16" s="14">
        <f>IF($P16="","",$P16/EF_APLIC)</f>
        <v/>
      </c>
      <c r="R16" s="7" t="n"/>
      <c r="S16" s="15">
        <f>IF(OR($AA16="",$R16=""),"",IFERROR(INDEX(LAMINA_HORA!$C$5:$V$114,MATCH($AA16,LAMINA_HORA!$A$5:$A$114,0),MATCH($R16,LAMINA_HORA!$C$3:$V$3,0)),"?"))</f>
        <v/>
      </c>
      <c r="T16" s="15">
        <f>IF(OR($AA16="",$R16=""),"",IFERROR(INDEX(LAMINA_HORA!$W$5:$AP$114,MATCH($AA16,LAMINA_HORA!$A$5:$A$114,0),MATCH($R16,LAMINA_HORA!$W$3:$AP$3,0)),"?"))</f>
        <v/>
      </c>
      <c r="U16" s="16" t="n">
        <v>0.305</v>
      </c>
      <c r="V16" s="17">
        <f>IF(OR($S16="",$S16="?",$F16=""),"",$S16*$F16*10)</f>
        <v/>
      </c>
      <c r="W16" s="17">
        <f>IF(OR($V16="",$U16=""),"",$V16*$U16)</f>
        <v/>
      </c>
      <c r="X16" s="10">
        <f>IF($K16="PENDENTE","Definir Kc",IF($P16="","-",IF($P16&gt;=TURNO,"IRRIGAR",IF($P16&gt;=TURNO*FRAC_ACOMP,"Acompanhar","Aguardar"))))</f>
        <v/>
      </c>
      <c r="Y16" s="10">
        <f>IF(OR($P16="",$P16=0),"-",IF($P16&gt;=2*TURNO,"Alta",IF($P16&gt;=TURNO,"Media","Baixa")))</f>
        <v/>
      </c>
      <c r="Z16" s="5" t="inlineStr">
        <is>
          <t>CACAU</t>
        </is>
      </c>
      <c r="AA16" s="7" t="inlineStr">
        <is>
          <t>P75</t>
        </is>
      </c>
    </row>
    <row r="17">
      <c r="A17" s="5" t="inlineStr">
        <is>
          <t>Pivô 76</t>
        </is>
      </c>
      <c r="B17" s="5" t="inlineStr">
        <is>
          <t>Modulo 1</t>
        </is>
      </c>
      <c r="C17" s="5" t="inlineStr">
        <is>
          <t>C3Z3/R7</t>
        </is>
      </c>
      <c r="D17" s="6" t="inlineStr">
        <is>
          <t>PS1319/FA13/CCN51</t>
        </is>
      </c>
      <c r="E17" s="7" t="inlineStr"/>
      <c r="F17" s="8" t="n">
        <v>84</v>
      </c>
      <c r="G17" s="9" t="n">
        <v>45923</v>
      </c>
      <c r="H17" s="10">
        <f>IF(OR($G17="",$G17&gt;DATA_REF),"NAO","SIM")</f>
        <v/>
      </c>
      <c r="I17" s="11">
        <f>IF(OR($G17="",$G17&gt;DATA_REF),"",DATA_REF-$G17)</f>
        <v/>
      </c>
      <c r="J17" s="11">
        <f>IF($I17="","",MAX(0,$I17-0))</f>
        <v/>
      </c>
      <c r="K17" s="12">
        <f>IF($Z17="","PENDENTE",IF($I17="","",IFERROR(INDEX(CURVAS_KC!$B$5:$J$224,MATCH(MIN(MAX($J17,1),220),CURVAS_KC!$A$5:$A$224,0),MATCH($Z17,CURVAS_KC!$B$4:$J$4,0)),"PENDENTE")))</f>
        <v/>
      </c>
      <c r="L17" s="9">
        <f>IF($G17="","",$G17)</f>
        <v/>
      </c>
      <c r="M17" s="13">
        <f>IF($L17="","",SUMIFS(ETO_SEMANAL!$B$6:$B$65,ETO_SEMANAL!$A$6:$A$65,"&gt;"&amp;$L17,ETO_SEMANAL!$A$6:$A$65,"&lt;="&amp;DATA_REF))</f>
        <v/>
      </c>
      <c r="N17" s="13">
        <f>IF($L17="","",SUMIFS(ETO_SEMANAL!$C$6:$C$65,ETO_SEMANAL!$A$6:$A$65,"&gt;"&amp;$L17,ETO_SEMANAL!$A$6:$A$65,"&lt;="&amp;DATA_REF))</f>
        <v/>
      </c>
      <c r="O17" s="13">
        <f>IF(OR($K17="",$K17="PENDENTE",$M17=""),"",$K17*$M17)</f>
        <v/>
      </c>
      <c r="P17" s="13">
        <f>IF($O17="","",MAX(0,$O17-N($N17)))</f>
        <v/>
      </c>
      <c r="Q17" s="14">
        <f>IF($P17="","",$P17/EF_APLIC)</f>
        <v/>
      </c>
      <c r="R17" s="7" t="n"/>
      <c r="S17" s="15">
        <f>IF(OR($AA17="",$R17=""),"",IFERROR(INDEX(LAMINA_HORA!$C$5:$V$114,MATCH($AA17,LAMINA_HORA!$A$5:$A$114,0),MATCH($R17,LAMINA_HORA!$C$3:$V$3,0)),"?"))</f>
        <v/>
      </c>
      <c r="T17" s="15">
        <f>IF(OR($AA17="",$R17=""),"",IFERROR(INDEX(LAMINA_HORA!$W$5:$AP$114,MATCH($AA17,LAMINA_HORA!$A$5:$A$114,0),MATCH($R17,LAMINA_HORA!$W$3:$AP$3,0)),"?"))</f>
        <v/>
      </c>
      <c r="U17" s="16" t="n">
        <v>0.305</v>
      </c>
      <c r="V17" s="17">
        <f>IF(OR($S17="",$S17="?",$F17=""),"",$S17*$F17*10)</f>
        <v/>
      </c>
      <c r="W17" s="17">
        <f>IF(OR($V17="",$U17=""),"",$V17*$U17)</f>
        <v/>
      </c>
      <c r="X17" s="10">
        <f>IF($K17="PENDENTE","Definir Kc",IF($P17="","-",IF($P17&gt;=TURNO,"IRRIGAR",IF($P17&gt;=TURNO*FRAC_ACOMP,"Acompanhar","Aguardar"))))</f>
        <v/>
      </c>
      <c r="Y17" s="10">
        <f>IF(OR($P17="",$P17=0),"-",IF($P17&gt;=2*TURNO,"Alta",IF($P17&gt;=TURNO,"Media","Baixa")))</f>
        <v/>
      </c>
      <c r="Z17" s="5" t="inlineStr">
        <is>
          <t>CACAU</t>
        </is>
      </c>
      <c r="AA17" s="7" t="inlineStr">
        <is>
          <t>P76</t>
        </is>
      </c>
    </row>
    <row r="18">
      <c r="A18" s="18" t="inlineStr">
        <is>
          <t>Nec BRUTA (azul) = lamina bruta ACUMULADA desde a ultima irrigacao (soma das ETos semanais x Kc, menos chuva, /0,90). Ao irrigar, atualize 'Ult.irrig'. So aparecem pivos plantados; preencha a Data plantio para um novo pivo e use Dados&gt;Reaplicar.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20" t="n"/>
    </row>
  </sheetData>
  <autoFilter ref="A4:AA17">
    <filterColumn colId="7" hiddenButton="0" showButton="1">
      <filters blank="0">
        <filter val="SIM"/>
      </filters>
    </filterColumn>
  </autoFilter>
  <mergeCells count="1">
    <mergeCell ref="A18:AA1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FD966"/>
    <outlinePr summaryBelow="1" summaryRight="1"/>
    <pageSetUpPr/>
  </sheetPr>
  <dimension ref="A1:AA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14" customWidth="1" min="4" max="4"/>
    <col width="8" customWidth="1" min="5" max="5"/>
    <col width="7" customWidth="1" min="6" max="6"/>
    <col width="11" customWidth="1" min="7" max="7"/>
    <col width="9" customWidth="1" min="8" max="8"/>
    <col width="6" customWidth="1" min="9" max="9"/>
    <col width="6" customWidth="1" min="10" max="10"/>
    <col width="7" customWidth="1" min="11" max="11"/>
    <col width="11" customWidth="1" min="12" max="12"/>
    <col width="9" customWidth="1" min="13" max="13"/>
    <col width="9" customWidth="1" min="14" max="14"/>
    <col width="9" customWidth="1" min="15" max="15"/>
    <col width="8" customWidth="1" min="16" max="16"/>
    <col width="11" customWidth="1" min="17" max="17"/>
    <col width="6" customWidth="1" min="18" max="18"/>
    <col width="10" customWidth="1" min="19" max="19"/>
    <col width="7" customWidth="1" min="20" max="20"/>
    <col width="10" customWidth="1" min="21" max="21"/>
    <col width="11" customWidth="1" min="22" max="22"/>
    <col width="12" customWidth="1" min="23" max="23"/>
    <col width="10" customWidth="1" min="24" max="24"/>
    <col width="10" customWidth="1" min="25" max="25"/>
    <col width="11" customWidth="1" min="26" max="26"/>
    <col width="6" customWidth="1" min="27" max="27"/>
  </cols>
  <sheetData>
    <row r="1" ht="20" customHeight="1">
      <c r="A1" s="1" t="inlineStr">
        <is>
          <t>MILHO 26/27 - manejo</t>
        </is>
      </c>
    </row>
    <row r="2">
      <c r="A2" s="2" t="inlineStr">
        <is>
          <t>So pivos PLANTADOS (filtro Plantado=SIM). Avisar plantio = preencher Data plantio. Emergencia 0 dias. ETc=Kc(DAE)xETo semanal.</t>
        </is>
      </c>
    </row>
    <row r="4" ht="30" customHeight="1">
      <c r="A4" s="4" t="inlineStr">
        <is>
          <t>Pivo</t>
        </is>
      </c>
      <c r="B4" s="4" t="inlineStr">
        <is>
          <t>Modulo</t>
        </is>
      </c>
      <c r="C4" s="4" t="inlineStr">
        <is>
          <t>Casa b.</t>
        </is>
      </c>
      <c r="D4" s="4" t="inlineStr">
        <is>
          <t>Variedade</t>
        </is>
      </c>
      <c r="E4" s="4" t="inlineStr">
        <is>
          <t>Classe</t>
        </is>
      </c>
      <c r="F4" s="4" t="inlineStr">
        <is>
          <t>Area(ha)</t>
        </is>
      </c>
      <c r="G4" s="4" t="inlineStr">
        <is>
          <t>Data plantio</t>
        </is>
      </c>
      <c r="H4" s="4" t="inlineStr">
        <is>
          <t>Plantado?</t>
        </is>
      </c>
      <c r="I4" s="4" t="inlineStr">
        <is>
          <t>DAP</t>
        </is>
      </c>
      <c r="J4" s="4" t="inlineStr">
        <is>
          <t>DAE</t>
        </is>
      </c>
      <c r="K4" s="4" t="inlineStr">
        <is>
          <t>Kc</t>
        </is>
      </c>
      <c r="L4" s="4" t="inlineStr">
        <is>
          <t>Ult.irrig</t>
        </is>
      </c>
      <c r="M4" s="4" t="inlineStr">
        <is>
          <t>ETo acum</t>
        </is>
      </c>
      <c r="N4" s="4" t="inlineStr">
        <is>
          <t>Chuva acum</t>
        </is>
      </c>
      <c r="O4" s="4" t="inlineStr">
        <is>
          <t>ETc acum</t>
        </is>
      </c>
      <c r="P4" s="4" t="inlineStr">
        <is>
          <t>Nec liq (mm)</t>
        </is>
      </c>
      <c r="Q4" s="4" t="inlineStr">
        <is>
          <t>Nec BRUTA (mm)</t>
        </is>
      </c>
      <c r="R4" s="4" t="inlineStr">
        <is>
          <t>% aplic</t>
        </is>
      </c>
      <c r="S4" s="4" t="inlineStr">
        <is>
          <t>Lamina(mm)</t>
        </is>
      </c>
      <c r="T4" s="4" t="inlineStr">
        <is>
          <t>Horas</t>
        </is>
      </c>
      <c r="U4" s="4" t="inlineStr">
        <is>
          <t>CE(kWh/m3)</t>
        </is>
      </c>
      <c r="V4" s="4" t="inlineStr">
        <is>
          <t>Volume(m3)</t>
        </is>
      </c>
      <c r="W4" s="4" t="inlineStr">
        <is>
          <t>Energia(kWh)</t>
        </is>
      </c>
      <c r="X4" s="4" t="inlineStr">
        <is>
          <t>Decisao</t>
        </is>
      </c>
      <c r="Y4" s="4" t="inlineStr">
        <is>
          <t>Prioridade</t>
        </is>
      </c>
      <c r="Z4" s="4" t="inlineStr">
        <is>
          <t>Curva Kc</t>
        </is>
      </c>
      <c r="AA4" s="4" t="inlineStr">
        <is>
          <t>Cod</t>
        </is>
      </c>
    </row>
    <row r="5">
      <c r="A5" s="18" t="inlineStr">
        <is>
          <t>Nec BRUTA (azul) = lamina bruta ACUMULADA desde a ultima irrigacao (soma das ETos semanais x Kc, menos chuva, /0,90). Ao irrigar, atualize 'Ult.irrig'. So aparecem pivos plantados; preencha a Data plantio para um novo pivo e use Dados&gt;Reaplicar.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20" t="n"/>
    </row>
  </sheetData>
  <mergeCells count="1">
    <mergeCell ref="A5:AA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0" customHeight="1">
      <c r="A1" s="1" t="inlineStr">
        <is>
          <t>ENERGIA POR MODULO - conforme a quantidade de pivos irrigando</t>
        </is>
      </c>
    </row>
    <row r="2">
      <c r="A2" s="2" t="inlineStr">
        <is>
          <t>Soma automatica dos pivos que estao com % preenchido (irrigando) em todas as culturas. CE = captacao do modulo + pressurizacao.</t>
        </is>
      </c>
    </row>
    <row r="4" ht="30" customHeight="1">
      <c r="A4" s="4" t="inlineStr">
        <is>
          <t>Modulo</t>
        </is>
      </c>
      <c r="B4" s="4" t="inlineStr">
        <is>
          <t>Pivos irrigando</t>
        </is>
      </c>
      <c r="C4" s="4" t="inlineStr">
        <is>
          <t>Volume (m3)</t>
        </is>
      </c>
      <c r="D4" s="4" t="inlineStr">
        <is>
          <t>Energia (kWh)</t>
        </is>
      </c>
      <c r="E4" s="4" t="inlineStr">
        <is>
          <t>Observacao</t>
        </is>
      </c>
    </row>
    <row r="5">
      <c r="A5" s="10" t="inlineStr">
        <is>
          <t>Modulo 1</t>
        </is>
      </c>
      <c r="B5" s="21">
        <f>COUNTIFS(SOJA!$B$5:$B$300,$A5,SOJA!$R$5:$R$300,"&gt;0")+COUNTIFS(ALGODAO!$B$5:$B$300,$A5,ALGODAO!$R$5:$R$300,"&gt;0")+COUNTIFS(TABACO!$B$5:$B$300,$A5,TABACO!$R$5:$R$300,"&gt;0")+COUNTIFS(CACAU!$B$5:$B$300,$A5,CACAU!$R$5:$R$300,"&gt;0")+COUNTIFS(MILHO!$B$5:$B$300,$A5,MILHO!$R$5:$R$300,"&gt;0")</f>
        <v/>
      </c>
      <c r="C5" s="22">
        <f>SUMIFS(SOJA!$V$5:$V$300,SOJA!$B$5:$B$300,$A5)+SUMIFS(ALGODAO!$V$5:$V$300,ALGODAO!$B$5:$B$300,$A5)+SUMIFS(TABACO!$V$5:$V$300,TABACO!$B$5:$B$300,$A5)+SUMIFS(CACAU!$V$5:$V$300,CACAU!$B$5:$B$300,$A5)+SUMIFS(MILHO!$V$5:$V$300,MILHO!$B$5:$B$300,$A5)</f>
        <v/>
      </c>
      <c r="D5" s="23">
        <f>SUMIFS(SOJA!$W$5:$W$300,SOJA!$B$5:$B$300,$A5)+SUMIFS(ALGODAO!$W$5:$W$300,ALGODAO!$B$5:$B$300,$A5)+SUMIFS(TABACO!$W$5:$W$300,TABACO!$B$5:$B$300,$A5)+SUMIFS(CACAU!$W$5:$W$300,CACAU!$B$5:$B$300,$A5)+SUMIFS(MILHO!$W$5:$W$300,MILHO!$B$5:$B$300,$A5)</f>
        <v/>
      </c>
      <c r="E5" s="18" t="inlineStr"/>
    </row>
    <row r="6">
      <c r="A6" s="10" t="inlineStr">
        <is>
          <t>Modulo 2</t>
        </is>
      </c>
      <c r="B6" s="21">
        <f>COUNTIFS(SOJA!$B$5:$B$300,$A6,SOJA!$R$5:$R$300,"&gt;0")+COUNTIFS(ALGODAO!$B$5:$B$300,$A6,ALGODAO!$R$5:$R$300,"&gt;0")+COUNTIFS(TABACO!$B$5:$B$300,$A6,TABACO!$R$5:$R$300,"&gt;0")+COUNTIFS(CACAU!$B$5:$B$300,$A6,CACAU!$R$5:$R$300,"&gt;0")+COUNTIFS(MILHO!$B$5:$B$300,$A6,MILHO!$R$5:$R$300,"&gt;0")</f>
        <v/>
      </c>
      <c r="C6" s="22">
        <f>SUMIFS(SOJA!$V$5:$V$300,SOJA!$B$5:$B$300,$A6)+SUMIFS(ALGODAO!$V$5:$V$300,ALGODAO!$B$5:$B$300,$A6)+SUMIFS(TABACO!$V$5:$V$300,TABACO!$B$5:$B$300,$A6)+SUMIFS(CACAU!$V$5:$V$300,CACAU!$B$5:$B$300,$A6)+SUMIFS(MILHO!$V$5:$V$300,MILHO!$B$5:$B$300,$A6)</f>
        <v/>
      </c>
      <c r="D6" s="23">
        <f>SUMIFS(SOJA!$W$5:$W$300,SOJA!$B$5:$B$300,$A6)+SUMIFS(ALGODAO!$W$5:$W$300,ALGODAO!$B$5:$B$300,$A6)+SUMIFS(TABACO!$W$5:$W$300,TABACO!$B$5:$B$300,$A6)+SUMIFS(CACAU!$W$5:$W$300,CACAU!$B$5:$B$300,$A6)+SUMIFS(MILHO!$W$5:$W$300,MILHO!$B$5:$B$300,$A6)</f>
        <v/>
      </c>
      <c r="E6" s="18" t="inlineStr"/>
    </row>
    <row r="7">
      <c r="A7" s="10" t="inlineStr">
        <is>
          <t>Modulo 3</t>
        </is>
      </c>
      <c r="B7" s="21">
        <f>COUNTIFS(SOJA!$B$5:$B$300,$A7,SOJA!$R$5:$R$300,"&gt;0")+COUNTIFS(ALGODAO!$B$5:$B$300,$A7,ALGODAO!$R$5:$R$300,"&gt;0")+COUNTIFS(TABACO!$B$5:$B$300,$A7,TABACO!$R$5:$R$300,"&gt;0")+COUNTIFS(CACAU!$B$5:$B$300,$A7,CACAU!$R$5:$R$300,"&gt;0")+COUNTIFS(MILHO!$B$5:$B$300,$A7,MILHO!$R$5:$R$300,"&gt;0")</f>
        <v/>
      </c>
      <c r="C7" s="22">
        <f>SUMIFS(SOJA!$V$5:$V$300,SOJA!$B$5:$B$300,$A7)+SUMIFS(ALGODAO!$V$5:$V$300,ALGODAO!$B$5:$B$300,$A7)+SUMIFS(TABACO!$V$5:$V$300,TABACO!$B$5:$B$300,$A7)+SUMIFS(CACAU!$V$5:$V$300,CACAU!$B$5:$B$300,$A7)+SUMIFS(MILHO!$V$5:$V$300,MILHO!$B$5:$B$300,$A7)</f>
        <v/>
      </c>
      <c r="D7" s="23">
        <f>SUMIFS(SOJA!$W$5:$W$300,SOJA!$B$5:$B$300,$A7)+SUMIFS(ALGODAO!$W$5:$W$300,ALGODAO!$B$5:$B$300,$A7)+SUMIFS(TABACO!$W$5:$W$300,TABACO!$B$5:$B$300,$A7)+SUMIFS(CACAU!$W$5:$W$300,CACAU!$B$5:$B$300,$A7)+SUMIFS(MILHO!$W$5:$W$300,MILHO!$B$5:$B$300,$A7)</f>
        <v/>
      </c>
      <c r="E7" s="18" t="inlineStr"/>
    </row>
    <row r="8">
      <c r="A8" s="10" t="inlineStr">
        <is>
          <t>RDM</t>
        </is>
      </c>
      <c r="B8" s="21">
        <f>COUNTIFS(SOJA!$B$5:$B$300,$A8,SOJA!$R$5:$R$300,"&gt;0")+COUNTIFS(ALGODAO!$B$5:$B$300,$A8,ALGODAO!$R$5:$R$300,"&gt;0")+COUNTIFS(TABACO!$B$5:$B$300,$A8,TABACO!$R$5:$R$300,"&gt;0")+COUNTIFS(CACAU!$B$5:$B$300,$A8,CACAU!$R$5:$R$300,"&gt;0")+COUNTIFS(MILHO!$B$5:$B$300,$A8,MILHO!$R$5:$R$300,"&gt;0")</f>
        <v/>
      </c>
      <c r="C8" s="22">
        <f>SUMIFS(SOJA!$V$5:$V$300,SOJA!$B$5:$B$300,$A8)+SUMIFS(ALGODAO!$V$5:$V$300,ALGODAO!$B$5:$B$300,$A8)+SUMIFS(TABACO!$V$5:$V$300,TABACO!$B$5:$B$300,$A8)+SUMIFS(CACAU!$V$5:$V$300,CACAU!$B$5:$B$300,$A8)+SUMIFS(MILHO!$V$5:$V$300,MILHO!$B$5:$B$300,$A8)</f>
        <v/>
      </c>
      <c r="D8" s="23">
        <f>SUMIFS(SOJA!$W$5:$W$300,SOJA!$B$5:$B$300,$A8)+SUMIFS(ALGODAO!$W$5:$W$300,ALGODAO!$B$5:$B$300,$A8)+SUMIFS(TABACO!$W$5:$W$300,TABACO!$B$5:$B$300,$A8)+SUMIFS(CACAU!$W$5:$W$300,CACAU!$B$5:$B$300,$A8)+SUMIFS(MILHO!$W$5:$W$300,MILHO!$B$5:$B$300,$A8)</f>
        <v/>
      </c>
      <c r="E8" s="18" t="inlineStr"/>
    </row>
    <row r="9">
      <c r="A9" s="24" t="inlineStr">
        <is>
          <t>TOTAL</t>
        </is>
      </c>
      <c r="B9" s="25">
        <f>SUM($B$5:$B$8)</f>
        <v/>
      </c>
      <c r="C9" s="26">
        <f>SUM($C$5:$C$8)</f>
        <v/>
      </c>
      <c r="D9" s="23">
        <f>SUM($D$5:$D$8)</f>
        <v/>
      </c>
    </row>
    <row r="11">
      <c r="A11" s="18" t="inlineStr">
        <is>
          <t>Um pivo entra na conta quando voce preenche o % (percentimetro) na aba da cultura. Energia = Volume (lamina x area x 10) x CE do pivo (captacao do modulo + pressurizacao). CE em kWh/m3.</t>
        </is>
      </c>
      <c r="B11" s="19" t="n"/>
      <c r="C11" s="19" t="n"/>
      <c r="D11" s="19" t="n"/>
      <c r="E11" s="20" t="n"/>
    </row>
  </sheetData>
  <mergeCells count="1">
    <mergeCell ref="A11:E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4" customWidth="1" min="4" max="4"/>
  </cols>
  <sheetData>
    <row r="1" ht="20" customHeight="1">
      <c r="A1" s="1" t="inlineStr">
        <is>
          <t>ETO_SEMANAL - clima por semana (ATUALIZAR TODA SEMANA)</t>
        </is>
      </c>
    </row>
    <row r="2">
      <c r="A2" s="27" t="inlineStr">
        <is>
          <t>Chuva da semana atual (mm):</t>
        </is>
      </c>
      <c r="B2" s="28">
        <f>IFERROR(INDEX(ETO_SEMANAL!$C$6:$C$65,MATCH(DATA_REF,ETO_SEMANAL!$A$6:$A$65,1)),"")</f>
        <v/>
      </c>
    </row>
    <row r="3">
      <c r="A3" s="27" t="inlineStr">
        <is>
          <t>ETo da semana atual (mm):</t>
        </is>
      </c>
      <c r="B3" s="28">
        <f>IFERROR(INDEX(ETO_SEMANAL!$B$6:$B$65,MATCH(DATA_REF,ETO_SEMANAL!$A$6:$A$65,1)),"")</f>
        <v/>
      </c>
    </row>
    <row r="5" ht="30" customHeight="1">
      <c r="A5" s="4" t="inlineStr">
        <is>
          <t>Semana (inicio)</t>
        </is>
      </c>
      <c r="B5" s="4" t="inlineStr">
        <is>
          <t>ETo (mm/sem)</t>
        </is>
      </c>
      <c r="C5" s="4" t="inlineStr">
        <is>
          <t>Chuva (mm/sem)</t>
        </is>
      </c>
      <c r="D5" s="4" t="inlineStr">
        <is>
          <t>Obs</t>
        </is>
      </c>
    </row>
    <row r="6">
      <c r="A6" s="29" t="n">
        <v>46265</v>
      </c>
      <c r="B6" s="30" t="n"/>
      <c r="C6" s="30" t="n"/>
      <c r="D6" s="18" t="n"/>
    </row>
    <row r="7">
      <c r="A7" s="29" t="n">
        <v>46272</v>
      </c>
      <c r="B7" s="30" t="n"/>
      <c r="C7" s="30" t="n"/>
      <c r="D7" s="18" t="n"/>
    </row>
    <row r="8">
      <c r="A8" s="29" t="n">
        <v>46279</v>
      </c>
      <c r="B8" s="30" t="n"/>
      <c r="C8" s="30" t="n"/>
      <c r="D8" s="18" t="n"/>
    </row>
    <row r="9">
      <c r="A9" s="29" t="n">
        <v>46286</v>
      </c>
      <c r="B9" s="30" t="n"/>
      <c r="C9" s="30" t="n"/>
      <c r="D9" s="18" t="n"/>
    </row>
    <row r="10">
      <c r="A10" s="29" t="n">
        <v>46293</v>
      </c>
      <c r="B10" s="30" t="n"/>
      <c r="C10" s="30" t="n"/>
      <c r="D10" s="18" t="n"/>
    </row>
    <row r="11">
      <c r="A11" s="29" t="n">
        <v>46300</v>
      </c>
      <c r="B11" s="30" t="n"/>
      <c r="C11" s="30" t="n"/>
      <c r="D11" s="18" t="n"/>
    </row>
    <row r="12">
      <c r="A12" s="31" t="n">
        <v>46307</v>
      </c>
      <c r="B12" s="30" t="n"/>
      <c r="C12" s="30" t="n"/>
      <c r="D12" s="18" t="n"/>
    </row>
    <row r="13">
      <c r="A13" s="31" t="n">
        <v>46314</v>
      </c>
      <c r="B13" s="30" t="n"/>
      <c r="C13" s="30" t="n"/>
      <c r="D13" s="18" t="n"/>
    </row>
    <row r="14">
      <c r="A14" s="31" t="n">
        <v>46321</v>
      </c>
      <c r="B14" s="30" t="n"/>
      <c r="C14" s="30" t="n"/>
      <c r="D14" s="18" t="n"/>
    </row>
    <row r="15">
      <c r="A15" s="31" t="n">
        <v>46328</v>
      </c>
      <c r="B15" s="30" t="n"/>
      <c r="C15" s="30" t="n"/>
      <c r="D15" s="18" t="n"/>
    </row>
    <row r="16">
      <c r="A16" s="31" t="n">
        <v>46335</v>
      </c>
      <c r="B16" s="30" t="n"/>
      <c r="C16" s="30" t="n"/>
      <c r="D16" s="18" t="n"/>
    </row>
    <row r="17">
      <c r="A17" s="31" t="n">
        <v>46342</v>
      </c>
      <c r="B17" s="30" t="n"/>
      <c r="C17" s="30" t="n"/>
      <c r="D17" s="18" t="n"/>
    </row>
    <row r="18">
      <c r="A18" s="31" t="n">
        <v>46349</v>
      </c>
      <c r="B18" s="30" t="n"/>
      <c r="C18" s="30" t="n"/>
      <c r="D18" s="18" t="n"/>
    </row>
    <row r="19">
      <c r="A19" s="31" t="n">
        <v>46356</v>
      </c>
      <c r="B19" s="30" t="n"/>
      <c r="C19" s="30" t="n"/>
      <c r="D19" s="18" t="n"/>
    </row>
    <row r="20">
      <c r="A20" s="31" t="n">
        <v>46363</v>
      </c>
      <c r="B20" s="30" t="n"/>
      <c r="C20" s="30" t="n"/>
      <c r="D20" s="18" t="n"/>
    </row>
    <row r="21">
      <c r="A21" s="31" t="n">
        <v>46370</v>
      </c>
      <c r="B21" s="30" t="n"/>
      <c r="C21" s="30" t="n"/>
      <c r="D21" s="18" t="n"/>
    </row>
    <row r="22">
      <c r="A22" s="31" t="n">
        <v>46377</v>
      </c>
      <c r="B22" s="30" t="n"/>
      <c r="C22" s="30" t="n"/>
      <c r="D22" s="18" t="n"/>
    </row>
    <row r="23">
      <c r="A23" s="31" t="n">
        <v>46384</v>
      </c>
      <c r="B23" s="30" t="n"/>
      <c r="C23" s="30" t="n"/>
      <c r="D23" s="18" t="n"/>
    </row>
    <row r="24">
      <c r="A24" s="31" t="n">
        <v>46391</v>
      </c>
      <c r="B24" s="30" t="n"/>
      <c r="C24" s="30" t="n"/>
      <c r="D24" s="18" t="n"/>
    </row>
    <row r="25">
      <c r="A25" s="31" t="n">
        <v>46398</v>
      </c>
      <c r="B25" s="30" t="n"/>
      <c r="C25" s="30" t="n"/>
      <c r="D25" s="18" t="n"/>
    </row>
    <row r="26">
      <c r="A26" s="31" t="n">
        <v>46405</v>
      </c>
      <c r="B26" s="30" t="n"/>
      <c r="C26" s="30" t="n"/>
      <c r="D26" s="18" t="n"/>
    </row>
    <row r="27">
      <c r="A27" s="31" t="n">
        <v>46412</v>
      </c>
      <c r="B27" s="30" t="n"/>
      <c r="C27" s="30" t="n"/>
      <c r="D27" s="18" t="n"/>
    </row>
    <row r="28">
      <c r="A28" s="31" t="n">
        <v>46419</v>
      </c>
      <c r="B28" s="30" t="n"/>
      <c r="C28" s="30" t="n"/>
      <c r="D28" s="18" t="n"/>
    </row>
    <row r="29">
      <c r="A29" s="31" t="n">
        <v>46426</v>
      </c>
      <c r="B29" s="30" t="n"/>
      <c r="C29" s="30" t="n"/>
      <c r="D29" s="18" t="n"/>
    </row>
    <row r="30">
      <c r="A30" s="31" t="n">
        <v>46433</v>
      </c>
      <c r="B30" s="30" t="n"/>
      <c r="C30" s="30" t="n"/>
      <c r="D30" s="18" t="n"/>
    </row>
    <row r="31">
      <c r="A31" s="31" t="n">
        <v>46440</v>
      </c>
      <c r="B31" s="30" t="n"/>
      <c r="C31" s="30" t="n"/>
      <c r="D31" s="18" t="n"/>
    </row>
    <row r="32">
      <c r="A32" s="31" t="n">
        <v>46447</v>
      </c>
      <c r="B32" s="30" t="n"/>
      <c r="C32" s="30" t="n"/>
      <c r="D32" s="18" t="n"/>
    </row>
    <row r="33">
      <c r="A33" s="31" t="n">
        <v>46454</v>
      </c>
      <c r="B33" s="30" t="n"/>
      <c r="C33" s="30" t="n"/>
      <c r="D33" s="18" t="n"/>
    </row>
    <row r="34">
      <c r="A34" s="31" t="n">
        <v>46461</v>
      </c>
      <c r="B34" s="30" t="n"/>
      <c r="C34" s="30" t="n"/>
      <c r="D34" s="18" t="n"/>
    </row>
    <row r="35">
      <c r="A35" s="31" t="n">
        <v>46468</v>
      </c>
      <c r="B35" s="30" t="n"/>
      <c r="C35" s="30" t="n"/>
      <c r="D35" s="18" t="n"/>
    </row>
    <row r="36">
      <c r="A36" s="31" t="n">
        <v>46475</v>
      </c>
      <c r="B36" s="30" t="n"/>
      <c r="C36" s="30" t="n"/>
      <c r="D36" s="18" t="n"/>
    </row>
    <row r="37">
      <c r="A37" s="31" t="n">
        <v>46482</v>
      </c>
      <c r="B37" s="30" t="n"/>
      <c r="C37" s="30" t="n"/>
      <c r="D37" s="18" t="n"/>
    </row>
    <row r="38">
      <c r="A38" s="31" t="n">
        <v>46489</v>
      </c>
      <c r="B38" s="30" t="n"/>
      <c r="C38" s="30" t="n"/>
      <c r="D38" s="18" t="n"/>
    </row>
    <row r="39">
      <c r="A39" s="31" t="n">
        <v>46496</v>
      </c>
      <c r="B39" s="30" t="n"/>
      <c r="C39" s="30" t="n"/>
      <c r="D39" s="18" t="n"/>
    </row>
    <row r="40">
      <c r="A40" s="31" t="n">
        <v>46503</v>
      </c>
      <c r="B40" s="30" t="n"/>
      <c r="C40" s="30" t="n"/>
      <c r="D40" s="18" t="n"/>
    </row>
    <row r="41">
      <c r="A41" s="31" t="n">
        <v>46510</v>
      </c>
      <c r="B41" s="30" t="n"/>
      <c r="C41" s="30" t="n"/>
      <c r="D41" s="18" t="n"/>
    </row>
    <row r="42">
      <c r="A42" s="31" t="n">
        <v>46517</v>
      </c>
      <c r="B42" s="30" t="n"/>
      <c r="C42" s="30" t="n"/>
      <c r="D42" s="18" t="n"/>
    </row>
    <row r="43">
      <c r="A43" s="31" t="n">
        <v>46524</v>
      </c>
      <c r="B43" s="30" t="n"/>
      <c r="C43" s="30" t="n"/>
      <c r="D43" s="18" t="n"/>
    </row>
    <row r="44">
      <c r="A44" s="31" t="n">
        <v>46531</v>
      </c>
      <c r="B44" s="30" t="n"/>
      <c r="C44" s="30" t="n"/>
      <c r="D44" s="18" t="n"/>
    </row>
    <row r="45">
      <c r="A45" s="31" t="n">
        <v>46538</v>
      </c>
      <c r="B45" s="30" t="n"/>
      <c r="C45" s="30" t="n"/>
      <c r="D45" s="18" t="n"/>
    </row>
    <row r="46">
      <c r="A46" s="31" t="n">
        <v>46545</v>
      </c>
      <c r="B46" s="30" t="n"/>
      <c r="C46" s="30" t="n"/>
      <c r="D46" s="18" t="n"/>
    </row>
    <row r="47">
      <c r="A47" s="31" t="n">
        <v>46552</v>
      </c>
      <c r="B47" s="30" t="n"/>
      <c r="C47" s="30" t="n"/>
      <c r="D47" s="18" t="n"/>
    </row>
    <row r="48">
      <c r="A48" s="31" t="n">
        <v>46559</v>
      </c>
      <c r="B48" s="30" t="n"/>
      <c r="C48" s="30" t="n"/>
      <c r="D48" s="18" t="n"/>
    </row>
    <row r="49">
      <c r="A49" s="31" t="n">
        <v>46566</v>
      </c>
      <c r="B49" s="30" t="n"/>
      <c r="C49" s="30" t="n"/>
      <c r="D49" s="18" t="n"/>
    </row>
    <row r="50">
      <c r="A50" s="31" t="n">
        <v>46573</v>
      </c>
      <c r="B50" s="30" t="n"/>
      <c r="C50" s="30" t="n"/>
      <c r="D50" s="18" t="n"/>
    </row>
    <row r="51">
      <c r="A51" s="31" t="n">
        <v>46580</v>
      </c>
      <c r="B51" s="30" t="n"/>
      <c r="C51" s="30" t="n"/>
      <c r="D51" s="18" t="n"/>
    </row>
    <row r="52">
      <c r="A52" s="31" t="n">
        <v>46587</v>
      </c>
      <c r="B52" s="30" t="n"/>
      <c r="C52" s="30" t="n"/>
      <c r="D52" s="18" t="n"/>
    </row>
    <row r="53">
      <c r="A53" s="31" t="n">
        <v>46594</v>
      </c>
      <c r="B53" s="30" t="n"/>
      <c r="C53" s="30" t="n"/>
      <c r="D53" s="18" t="n"/>
    </row>
    <row r="54">
      <c r="A54" s="31" t="n">
        <v>46601</v>
      </c>
      <c r="B54" s="30" t="n"/>
      <c r="C54" s="30" t="n"/>
      <c r="D54" s="18" t="n"/>
    </row>
    <row r="55">
      <c r="A55" s="31" t="n">
        <v>46608</v>
      </c>
      <c r="B55" s="30" t="n"/>
      <c r="C55" s="30" t="n"/>
      <c r="D55" s="18" t="n"/>
    </row>
    <row r="56">
      <c r="A56" s="31" t="n">
        <v>46615</v>
      </c>
      <c r="B56" s="30" t="n"/>
      <c r="C56" s="30" t="n"/>
      <c r="D56" s="18" t="n"/>
    </row>
    <row r="57">
      <c r="A57" s="31" t="n">
        <v>46622</v>
      </c>
      <c r="B57" s="30" t="n"/>
      <c r="C57" s="30" t="n"/>
      <c r="D57" s="18" t="n"/>
    </row>
    <row r="58">
      <c r="A58" s="31" t="n">
        <v>46629</v>
      </c>
      <c r="B58" s="30" t="n"/>
      <c r="C58" s="30" t="n"/>
      <c r="D58" s="18" t="n"/>
    </row>
    <row r="59">
      <c r="A59" s="31" t="n">
        <v>46636</v>
      </c>
      <c r="B59" s="30" t="n"/>
      <c r="C59" s="30" t="n"/>
      <c r="D59" s="18" t="n"/>
    </row>
    <row r="60">
      <c r="A60" s="31" t="n">
        <v>46643</v>
      </c>
      <c r="B60" s="30" t="n"/>
      <c r="C60" s="30" t="n"/>
      <c r="D60" s="18" t="n"/>
    </row>
    <row r="61">
      <c r="A61" s="31" t="n">
        <v>46650</v>
      </c>
      <c r="B61" s="30" t="n"/>
      <c r="C61" s="30" t="n"/>
      <c r="D61" s="18" t="n"/>
    </row>
    <row r="62">
      <c r="A62" s="31" t="n">
        <v>46657</v>
      </c>
      <c r="B62" s="30" t="n"/>
      <c r="C62" s="30" t="n"/>
      <c r="D62" s="18" t="n"/>
    </row>
    <row r="63">
      <c r="A63" s="31" t="n">
        <v>46664</v>
      </c>
      <c r="B63" s="30" t="n"/>
      <c r="C63" s="30" t="n"/>
      <c r="D63" s="18" t="n"/>
    </row>
    <row r="64">
      <c r="A64" s="31" t="n">
        <v>46671</v>
      </c>
      <c r="B64" s="30" t="n"/>
      <c r="C64" s="30" t="n"/>
      <c r="D64" s="18" t="n"/>
    </row>
    <row r="65">
      <c r="A65" s="31" t="n">
        <v>46678</v>
      </c>
      <c r="B65" s="30" t="n"/>
      <c r="C65" s="30" t="n"/>
      <c r="D65" s="1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2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0" customHeight="1">
      <c r="A1" s="1" t="inlineStr">
        <is>
          <t>CURVAS_KC - Kc diario por cultura/classe (LINEAR, por DAE)</t>
        </is>
      </c>
    </row>
    <row r="2">
      <c r="A2" s="2" t="inlineStr">
        <is>
          <t>Algodao: arquivo. Soja/milho: por fase. Tabaco/cacau: literatura FAO-56.</t>
        </is>
      </c>
    </row>
    <row r="4" ht="30" customHeight="1">
      <c r="A4" s="4" t="inlineStr">
        <is>
          <t>DAE</t>
        </is>
      </c>
      <c r="B4" s="4" t="inlineStr">
        <is>
          <t>ALG_PRECOCE</t>
        </is>
      </c>
      <c r="C4" s="4" t="inlineStr">
        <is>
          <t>ALG_MEDIO</t>
        </is>
      </c>
      <c r="D4" s="4" t="inlineStr">
        <is>
          <t>ALG_TARDIO</t>
        </is>
      </c>
      <c r="E4" s="4" t="inlineStr">
        <is>
          <t>SOJA_PRECOCE</t>
        </is>
      </c>
      <c r="F4" s="4" t="inlineStr">
        <is>
          <t>SOJA_MEDIA</t>
        </is>
      </c>
      <c r="G4" s="4" t="inlineStr">
        <is>
          <t>SOJA_TARDIA</t>
        </is>
      </c>
      <c r="H4" s="4" t="inlineStr">
        <is>
          <t>MILHO</t>
        </is>
      </c>
      <c r="I4" s="4" t="inlineStr">
        <is>
          <t>TABACO</t>
        </is>
      </c>
      <c r="J4" s="4" t="inlineStr">
        <is>
          <t>CACAU</t>
        </is>
      </c>
    </row>
    <row r="5">
      <c r="A5" s="32" t="n">
        <v>1</v>
      </c>
      <c r="B5" s="33" t="n">
        <v>0.35</v>
      </c>
      <c r="C5" s="33" t="n">
        <v>0.35</v>
      </c>
      <c r="D5" s="33" t="n">
        <v>0.35</v>
      </c>
      <c r="E5" s="33" t="n">
        <v>0.4</v>
      </c>
      <c r="F5" s="33" t="n">
        <v>0.4</v>
      </c>
      <c r="G5" s="33" t="n">
        <v>0.4</v>
      </c>
      <c r="H5" s="33" t="n">
        <v>0.3</v>
      </c>
      <c r="I5" s="33" t="n">
        <v>0.35</v>
      </c>
      <c r="J5" s="33" t="n">
        <v>1</v>
      </c>
    </row>
    <row r="6">
      <c r="A6" s="32" t="n">
        <v>2</v>
      </c>
      <c r="B6" s="33" t="n">
        <v>0.35</v>
      </c>
      <c r="C6" s="33" t="n">
        <v>0.35</v>
      </c>
      <c r="D6" s="33" t="n">
        <v>0.35</v>
      </c>
      <c r="E6" s="33" t="n">
        <v>0.4</v>
      </c>
      <c r="F6" s="33" t="n">
        <v>0.4</v>
      </c>
      <c r="G6" s="33" t="n">
        <v>0.4</v>
      </c>
      <c r="H6" s="33" t="n">
        <v>0.3</v>
      </c>
      <c r="I6" s="33" t="n">
        <v>0.35</v>
      </c>
      <c r="J6" s="33" t="n">
        <v>1</v>
      </c>
    </row>
    <row r="7">
      <c r="A7" s="32" t="n">
        <v>3</v>
      </c>
      <c r="B7" s="33" t="n">
        <v>0.35</v>
      </c>
      <c r="C7" s="33" t="n">
        <v>0.35</v>
      </c>
      <c r="D7" s="33" t="n">
        <v>0.35</v>
      </c>
      <c r="E7" s="33" t="n">
        <v>0.4</v>
      </c>
      <c r="F7" s="33" t="n">
        <v>0.4</v>
      </c>
      <c r="G7" s="33" t="n">
        <v>0.4</v>
      </c>
      <c r="H7" s="33" t="n">
        <v>0.3</v>
      </c>
      <c r="I7" s="33" t="n">
        <v>0.35</v>
      </c>
      <c r="J7" s="33" t="n">
        <v>1</v>
      </c>
    </row>
    <row r="8">
      <c r="A8" s="32" t="n">
        <v>4</v>
      </c>
      <c r="B8" s="33" t="n">
        <v>0.35</v>
      </c>
      <c r="C8" s="33" t="n">
        <v>0.35</v>
      </c>
      <c r="D8" s="33" t="n">
        <v>0.35</v>
      </c>
      <c r="E8" s="33" t="n">
        <v>0.4</v>
      </c>
      <c r="F8" s="33" t="n">
        <v>0.4</v>
      </c>
      <c r="G8" s="33" t="n">
        <v>0.4</v>
      </c>
      <c r="H8" s="33" t="n">
        <v>0.3</v>
      </c>
      <c r="I8" s="33" t="n">
        <v>0.35</v>
      </c>
      <c r="J8" s="33" t="n">
        <v>1</v>
      </c>
    </row>
    <row r="9">
      <c r="A9" s="32" t="n">
        <v>5</v>
      </c>
      <c r="B9" s="33" t="n">
        <v>0.35</v>
      </c>
      <c r="C9" s="33" t="n">
        <v>0.35</v>
      </c>
      <c r="D9" s="33" t="n">
        <v>0.35</v>
      </c>
      <c r="E9" s="33" t="n">
        <v>0.4</v>
      </c>
      <c r="F9" s="33" t="n">
        <v>0.4</v>
      </c>
      <c r="G9" s="33" t="n">
        <v>0.4</v>
      </c>
      <c r="H9" s="33" t="n">
        <v>0.3</v>
      </c>
      <c r="I9" s="33" t="n">
        <v>0.35</v>
      </c>
      <c r="J9" s="33" t="n">
        <v>1</v>
      </c>
    </row>
    <row r="10">
      <c r="A10" s="32" t="n">
        <v>6</v>
      </c>
      <c r="B10" s="33" t="n">
        <v>0.35</v>
      </c>
      <c r="C10" s="33" t="n">
        <v>0.35</v>
      </c>
      <c r="D10" s="33" t="n">
        <v>0.35</v>
      </c>
      <c r="E10" s="33" t="n">
        <v>0.4</v>
      </c>
      <c r="F10" s="33" t="n">
        <v>0.4</v>
      </c>
      <c r="G10" s="33" t="n">
        <v>0.4</v>
      </c>
      <c r="H10" s="33" t="n">
        <v>0.3</v>
      </c>
      <c r="I10" s="33" t="n">
        <v>0.35</v>
      </c>
      <c r="J10" s="33" t="n">
        <v>1</v>
      </c>
    </row>
    <row r="11">
      <c r="A11" s="32" t="n">
        <v>7</v>
      </c>
      <c r="B11" s="33" t="n">
        <v>0.35</v>
      </c>
      <c r="C11" s="33" t="n">
        <v>0.35</v>
      </c>
      <c r="D11" s="33" t="n">
        <v>0.35</v>
      </c>
      <c r="E11" s="33" t="n">
        <v>0.4</v>
      </c>
      <c r="F11" s="33" t="n">
        <v>0.4</v>
      </c>
      <c r="G11" s="33" t="n">
        <v>0.4</v>
      </c>
      <c r="H11" s="33" t="n">
        <v>0.3</v>
      </c>
      <c r="I11" s="33" t="n">
        <v>0.35</v>
      </c>
      <c r="J11" s="33" t="n">
        <v>1</v>
      </c>
    </row>
    <row r="12">
      <c r="A12" s="32" t="n">
        <v>8</v>
      </c>
      <c r="B12" s="33" t="n">
        <v>0.35</v>
      </c>
      <c r="C12" s="33" t="n">
        <v>0.35</v>
      </c>
      <c r="D12" s="33" t="n">
        <v>0.35</v>
      </c>
      <c r="E12" s="33" t="n">
        <v>0.4</v>
      </c>
      <c r="F12" s="33" t="n">
        <v>0.4</v>
      </c>
      <c r="G12" s="33" t="n">
        <v>0.4</v>
      </c>
      <c r="H12" s="33" t="n">
        <v>0.3</v>
      </c>
      <c r="I12" s="33" t="n">
        <v>0.35</v>
      </c>
      <c r="J12" s="33" t="n">
        <v>1</v>
      </c>
    </row>
    <row r="13">
      <c r="A13" s="32" t="n">
        <v>9</v>
      </c>
      <c r="B13" s="33" t="n">
        <v>0.35</v>
      </c>
      <c r="C13" s="33" t="n">
        <v>0.35</v>
      </c>
      <c r="D13" s="33" t="n">
        <v>0.35</v>
      </c>
      <c r="E13" s="33" t="n">
        <v>0.4</v>
      </c>
      <c r="F13" s="33" t="n">
        <v>0.4</v>
      </c>
      <c r="G13" s="33" t="n">
        <v>0.4</v>
      </c>
      <c r="H13" s="33" t="n">
        <v>0.3</v>
      </c>
      <c r="I13" s="33" t="n">
        <v>0.35</v>
      </c>
      <c r="J13" s="33" t="n">
        <v>1</v>
      </c>
    </row>
    <row r="14">
      <c r="A14" s="32" t="n">
        <v>10</v>
      </c>
      <c r="B14" s="33" t="n">
        <v>0.35</v>
      </c>
      <c r="C14" s="33" t="n">
        <v>0.35</v>
      </c>
      <c r="D14" s="33" t="n">
        <v>0.35</v>
      </c>
      <c r="E14" s="33" t="n">
        <v>0.4</v>
      </c>
      <c r="F14" s="33" t="n">
        <v>0.4</v>
      </c>
      <c r="G14" s="33" t="n">
        <v>0.4</v>
      </c>
      <c r="H14" s="33" t="n">
        <v>0.3</v>
      </c>
      <c r="I14" s="33" t="n">
        <v>0.35</v>
      </c>
      <c r="J14" s="33" t="n">
        <v>1</v>
      </c>
    </row>
    <row r="15">
      <c r="A15" s="32" t="n">
        <v>11</v>
      </c>
      <c r="B15" s="33" t="n">
        <v>0.35</v>
      </c>
      <c r="C15" s="33" t="n">
        <v>0.35</v>
      </c>
      <c r="D15" s="33" t="n">
        <v>0.35</v>
      </c>
      <c r="E15" s="33" t="n">
        <v>0.4</v>
      </c>
      <c r="F15" s="33" t="n">
        <v>0.4</v>
      </c>
      <c r="G15" s="33" t="n">
        <v>0.4</v>
      </c>
      <c r="H15" s="33" t="n">
        <v>0.3</v>
      </c>
      <c r="I15" s="33" t="n">
        <v>0.35</v>
      </c>
      <c r="J15" s="33" t="n">
        <v>1</v>
      </c>
    </row>
    <row r="16">
      <c r="A16" s="32" t="n">
        <v>12</v>
      </c>
      <c r="B16" s="33" t="n">
        <v>0.35</v>
      </c>
      <c r="C16" s="33" t="n">
        <v>0.35</v>
      </c>
      <c r="D16" s="33" t="n">
        <v>0.35</v>
      </c>
      <c r="E16" s="33" t="n">
        <v>0.4</v>
      </c>
      <c r="F16" s="33" t="n">
        <v>0.4</v>
      </c>
      <c r="G16" s="33" t="n">
        <v>0.4</v>
      </c>
      <c r="H16" s="33" t="n">
        <v>0.3</v>
      </c>
      <c r="I16" s="33" t="n">
        <v>0.35</v>
      </c>
      <c r="J16" s="33" t="n">
        <v>1</v>
      </c>
    </row>
    <row r="17">
      <c r="A17" s="32" t="n">
        <v>13</v>
      </c>
      <c r="B17" s="33" t="n">
        <v>0.35</v>
      </c>
      <c r="C17" s="33" t="n">
        <v>0.35</v>
      </c>
      <c r="D17" s="33" t="n">
        <v>0.35</v>
      </c>
      <c r="E17" s="33" t="n">
        <v>0.4</v>
      </c>
      <c r="F17" s="33" t="n">
        <v>0.4</v>
      </c>
      <c r="G17" s="33" t="n">
        <v>0.4</v>
      </c>
      <c r="H17" s="33" t="n">
        <v>0.3</v>
      </c>
      <c r="I17" s="33" t="n">
        <v>0.35</v>
      </c>
      <c r="J17" s="33" t="n">
        <v>1</v>
      </c>
    </row>
    <row r="18">
      <c r="A18" s="32" t="n">
        <v>14</v>
      </c>
      <c r="B18" s="33" t="n">
        <v>0.35</v>
      </c>
      <c r="C18" s="33" t="n">
        <v>0.35</v>
      </c>
      <c r="D18" s="33" t="n">
        <v>0.35</v>
      </c>
      <c r="E18" s="33" t="n">
        <v>0.4</v>
      </c>
      <c r="F18" s="33" t="n">
        <v>0.4</v>
      </c>
      <c r="G18" s="33" t="n">
        <v>0.4</v>
      </c>
      <c r="H18" s="33" t="n">
        <v>0.3</v>
      </c>
      <c r="I18" s="33" t="n">
        <v>0.35</v>
      </c>
      <c r="J18" s="33" t="n">
        <v>1</v>
      </c>
    </row>
    <row r="19">
      <c r="A19" s="32" t="n">
        <v>15</v>
      </c>
      <c r="B19" s="33" t="n">
        <v>0.35</v>
      </c>
      <c r="C19" s="33" t="n">
        <v>0.35</v>
      </c>
      <c r="D19" s="33" t="n">
        <v>0.35</v>
      </c>
      <c r="E19" s="33" t="n">
        <v>0.4</v>
      </c>
      <c r="F19" s="33" t="n">
        <v>0.4</v>
      </c>
      <c r="G19" s="33" t="n">
        <v>0.4</v>
      </c>
      <c r="H19" s="33" t="n">
        <v>0.3</v>
      </c>
      <c r="I19" s="33" t="n">
        <v>0.35</v>
      </c>
      <c r="J19" s="33" t="n">
        <v>1</v>
      </c>
    </row>
    <row r="20">
      <c r="A20" s="32" t="n">
        <v>16</v>
      </c>
      <c r="B20" s="33" t="n">
        <v>0.35</v>
      </c>
      <c r="C20" s="33" t="n">
        <v>0.35</v>
      </c>
      <c r="D20" s="33" t="n">
        <v>0.35</v>
      </c>
      <c r="E20" s="33" t="n">
        <v>0.438</v>
      </c>
      <c r="F20" s="33" t="n">
        <v>0.4</v>
      </c>
      <c r="G20" s="33" t="n">
        <v>0.4</v>
      </c>
      <c r="H20" s="33" t="n">
        <v>0.3</v>
      </c>
      <c r="I20" s="33" t="n">
        <v>0.35</v>
      </c>
      <c r="J20" s="33" t="n">
        <v>1</v>
      </c>
    </row>
    <row r="21">
      <c r="A21" s="32" t="n">
        <v>17</v>
      </c>
      <c r="B21" s="33" t="n">
        <v>0.35</v>
      </c>
      <c r="C21" s="33" t="n">
        <v>0.35</v>
      </c>
      <c r="D21" s="33" t="n">
        <v>0.35</v>
      </c>
      <c r="E21" s="33" t="n">
        <v>0.475</v>
      </c>
      <c r="F21" s="33" t="n">
        <v>0.4</v>
      </c>
      <c r="G21" s="33" t="n">
        <v>0.4</v>
      </c>
      <c r="H21" s="33" t="n">
        <v>0.3</v>
      </c>
      <c r="I21" s="33" t="n">
        <v>0.35</v>
      </c>
      <c r="J21" s="33" t="n">
        <v>1</v>
      </c>
    </row>
    <row r="22">
      <c r="A22" s="32" t="n">
        <v>18</v>
      </c>
      <c r="B22" s="33" t="n">
        <v>0.35</v>
      </c>
      <c r="C22" s="33" t="n">
        <v>0.35</v>
      </c>
      <c r="D22" s="33" t="n">
        <v>0.35</v>
      </c>
      <c r="E22" s="33" t="n">
        <v>0.512</v>
      </c>
      <c r="F22" s="33" t="n">
        <v>0.4</v>
      </c>
      <c r="G22" s="33" t="n">
        <v>0.4</v>
      </c>
      <c r="H22" s="33" t="n">
        <v>0.3</v>
      </c>
      <c r="I22" s="33" t="n">
        <v>0.35</v>
      </c>
      <c r="J22" s="33" t="n">
        <v>1</v>
      </c>
    </row>
    <row r="23">
      <c r="A23" s="32" t="n">
        <v>19</v>
      </c>
      <c r="B23" s="33" t="n">
        <v>0.35</v>
      </c>
      <c r="C23" s="33" t="n">
        <v>0.35</v>
      </c>
      <c r="D23" s="33" t="n">
        <v>0.35</v>
      </c>
      <c r="E23" s="33" t="n">
        <v>0.55</v>
      </c>
      <c r="F23" s="33" t="n">
        <v>0.4</v>
      </c>
      <c r="G23" s="33" t="n">
        <v>0.4</v>
      </c>
      <c r="H23" s="33" t="n">
        <v>0.3</v>
      </c>
      <c r="I23" s="33" t="n">
        <v>0.35</v>
      </c>
      <c r="J23" s="33" t="n">
        <v>1</v>
      </c>
    </row>
    <row r="24">
      <c r="A24" s="32" t="n">
        <v>20</v>
      </c>
      <c r="B24" s="33" t="n">
        <v>0.35</v>
      </c>
      <c r="C24" s="33" t="n">
        <v>0.35</v>
      </c>
      <c r="D24" s="33" t="n">
        <v>0.35</v>
      </c>
      <c r="E24" s="33" t="n">
        <v>0.588</v>
      </c>
      <c r="F24" s="33" t="n">
        <v>0.4</v>
      </c>
      <c r="G24" s="33" t="n">
        <v>0.4</v>
      </c>
      <c r="H24" s="33" t="n">
        <v>0.3</v>
      </c>
      <c r="I24" s="33" t="n">
        <v>0.35</v>
      </c>
      <c r="J24" s="33" t="n">
        <v>1</v>
      </c>
    </row>
    <row r="25">
      <c r="A25" s="32" t="n">
        <v>21</v>
      </c>
      <c r="B25" s="33" t="n">
        <v>0.35</v>
      </c>
      <c r="C25" s="33" t="n">
        <v>0.35</v>
      </c>
      <c r="D25" s="33" t="n">
        <v>0.35</v>
      </c>
      <c r="E25" s="33" t="n">
        <v>0.625</v>
      </c>
      <c r="F25" s="33" t="n">
        <v>0.43</v>
      </c>
      <c r="G25" s="33" t="n">
        <v>0.425</v>
      </c>
      <c r="H25" s="33" t="n">
        <v>0.326</v>
      </c>
      <c r="I25" s="33" t="n">
        <v>0.377</v>
      </c>
      <c r="J25" s="33" t="n">
        <v>1</v>
      </c>
    </row>
    <row r="26">
      <c r="A26" s="32" t="n">
        <v>22</v>
      </c>
      <c r="B26" s="33" t="n">
        <v>0.35</v>
      </c>
      <c r="C26" s="33" t="n">
        <v>0.35</v>
      </c>
      <c r="D26" s="33" t="n">
        <v>0.35</v>
      </c>
      <c r="E26" s="33" t="n">
        <v>0.662</v>
      </c>
      <c r="F26" s="33" t="n">
        <v>0.46</v>
      </c>
      <c r="G26" s="33" t="n">
        <v>0.45</v>
      </c>
      <c r="H26" s="33" t="n">
        <v>0.351</v>
      </c>
      <c r="I26" s="33" t="n">
        <v>0.403</v>
      </c>
      <c r="J26" s="33" t="n">
        <v>1</v>
      </c>
    </row>
    <row r="27">
      <c r="A27" s="32" t="n">
        <v>23</v>
      </c>
      <c r="B27" s="33" t="n">
        <v>0.35</v>
      </c>
      <c r="C27" s="33" t="n">
        <v>0.35</v>
      </c>
      <c r="D27" s="33" t="n">
        <v>0.35</v>
      </c>
      <c r="E27" s="33" t="n">
        <v>0.7</v>
      </c>
      <c r="F27" s="33" t="n">
        <v>0.49</v>
      </c>
      <c r="G27" s="33" t="n">
        <v>0.475</v>
      </c>
      <c r="H27" s="33" t="n">
        <v>0.377</v>
      </c>
      <c r="I27" s="33" t="n">
        <v>0.43</v>
      </c>
      <c r="J27" s="33" t="n">
        <v>1</v>
      </c>
    </row>
    <row r="28">
      <c r="A28" s="32" t="n">
        <v>24</v>
      </c>
      <c r="B28" s="33" t="n">
        <v>0.35</v>
      </c>
      <c r="C28" s="33" t="n">
        <v>0.35</v>
      </c>
      <c r="D28" s="33" t="n">
        <v>0.35</v>
      </c>
      <c r="E28" s="33" t="n">
        <v>0.738</v>
      </c>
      <c r="F28" s="33" t="n">
        <v>0.52</v>
      </c>
      <c r="G28" s="33" t="n">
        <v>0.5</v>
      </c>
      <c r="H28" s="33" t="n">
        <v>0.403</v>
      </c>
      <c r="I28" s="33" t="n">
        <v>0.457</v>
      </c>
      <c r="J28" s="33" t="n">
        <v>1</v>
      </c>
    </row>
    <row r="29">
      <c r="A29" s="32" t="n">
        <v>25</v>
      </c>
      <c r="B29" s="33" t="n">
        <v>0.35</v>
      </c>
      <c r="C29" s="33" t="n">
        <v>0.35</v>
      </c>
      <c r="D29" s="33" t="n">
        <v>0.35</v>
      </c>
      <c r="E29" s="33" t="n">
        <v>0.775</v>
      </c>
      <c r="F29" s="33" t="n">
        <v>0.55</v>
      </c>
      <c r="G29" s="33" t="n">
        <v>0.525</v>
      </c>
      <c r="H29" s="33" t="n">
        <v>0.429</v>
      </c>
      <c r="I29" s="33" t="n">
        <v>0.483</v>
      </c>
      <c r="J29" s="33" t="n">
        <v>1</v>
      </c>
    </row>
    <row r="30">
      <c r="A30" s="32" t="n">
        <v>26</v>
      </c>
      <c r="B30" s="33" t="n">
        <v>0.35</v>
      </c>
      <c r="C30" s="33" t="n">
        <v>0.35</v>
      </c>
      <c r="D30" s="33" t="n">
        <v>0.35</v>
      </c>
      <c r="E30" s="33" t="n">
        <v>0.8120000000000001</v>
      </c>
      <c r="F30" s="33" t="n">
        <v>0.58</v>
      </c>
      <c r="G30" s="33" t="n">
        <v>0.55</v>
      </c>
      <c r="H30" s="33" t="n">
        <v>0.454</v>
      </c>
      <c r="I30" s="33" t="n">
        <v>0.51</v>
      </c>
      <c r="J30" s="33" t="n">
        <v>1</v>
      </c>
    </row>
    <row r="31">
      <c r="A31" s="32" t="n">
        <v>27</v>
      </c>
      <c r="B31" s="33" t="n">
        <v>0.35</v>
      </c>
      <c r="C31" s="33" t="n">
        <v>0.35</v>
      </c>
      <c r="D31" s="33" t="n">
        <v>0.35</v>
      </c>
      <c r="E31" s="33" t="n">
        <v>0.85</v>
      </c>
      <c r="F31" s="33" t="n">
        <v>0.61</v>
      </c>
      <c r="G31" s="33" t="n">
        <v>0.575</v>
      </c>
      <c r="H31" s="33" t="n">
        <v>0.48</v>
      </c>
      <c r="I31" s="33" t="n">
        <v>0.537</v>
      </c>
      <c r="J31" s="33" t="n">
        <v>1</v>
      </c>
    </row>
    <row r="32">
      <c r="A32" s="32" t="n">
        <v>28</v>
      </c>
      <c r="B32" s="33" t="n">
        <v>0.35</v>
      </c>
      <c r="C32" s="33" t="n">
        <v>0.35</v>
      </c>
      <c r="D32" s="33" t="n">
        <v>0.35</v>
      </c>
      <c r="E32" s="33" t="n">
        <v>0.887</v>
      </c>
      <c r="F32" s="33" t="n">
        <v>0.64</v>
      </c>
      <c r="G32" s="33" t="n">
        <v>0.6</v>
      </c>
      <c r="H32" s="33" t="n">
        <v>0.506</v>
      </c>
      <c r="I32" s="33" t="n">
        <v>0.5629999999999999</v>
      </c>
      <c r="J32" s="33" t="n">
        <v>1</v>
      </c>
    </row>
    <row r="33">
      <c r="A33" s="32" t="n">
        <v>29</v>
      </c>
      <c r="B33" s="33" t="n">
        <v>0.35</v>
      </c>
      <c r="C33" s="33" t="n">
        <v>0.35</v>
      </c>
      <c r="D33" s="33" t="n">
        <v>0.35</v>
      </c>
      <c r="E33" s="33" t="n">
        <v>0.925</v>
      </c>
      <c r="F33" s="33" t="n">
        <v>0.67</v>
      </c>
      <c r="G33" s="33" t="n">
        <v>0.625</v>
      </c>
      <c r="H33" s="33" t="n">
        <v>0.531</v>
      </c>
      <c r="I33" s="33" t="n">
        <v>0.59</v>
      </c>
      <c r="J33" s="33" t="n">
        <v>1</v>
      </c>
    </row>
    <row r="34">
      <c r="A34" s="32" t="n">
        <v>30</v>
      </c>
      <c r="B34" s="33" t="n">
        <v>0.35</v>
      </c>
      <c r="C34" s="33" t="n">
        <v>0.35</v>
      </c>
      <c r="D34" s="33" t="n">
        <v>0.35</v>
      </c>
      <c r="E34" s="33" t="n">
        <v>0.962</v>
      </c>
      <c r="F34" s="33" t="n">
        <v>0.7</v>
      </c>
      <c r="G34" s="33" t="n">
        <v>0.65</v>
      </c>
      <c r="H34" s="33" t="n">
        <v>0.5570000000000001</v>
      </c>
      <c r="I34" s="33" t="n">
        <v>0.617</v>
      </c>
      <c r="J34" s="33" t="n">
        <v>1</v>
      </c>
    </row>
    <row r="35">
      <c r="A35" s="32" t="n">
        <v>31</v>
      </c>
      <c r="B35" s="33" t="n">
        <v>0.371</v>
      </c>
      <c r="C35" s="33" t="n">
        <v>0.369</v>
      </c>
      <c r="D35" s="33" t="n">
        <v>0.367</v>
      </c>
      <c r="E35" s="33" t="n">
        <v>1</v>
      </c>
      <c r="F35" s="33" t="n">
        <v>0.73</v>
      </c>
      <c r="G35" s="33" t="n">
        <v>0.675</v>
      </c>
      <c r="H35" s="33" t="n">
        <v>0.583</v>
      </c>
      <c r="I35" s="33" t="n">
        <v>0.643</v>
      </c>
      <c r="J35" s="33" t="n">
        <v>1</v>
      </c>
    </row>
    <row r="36">
      <c r="A36" s="32" t="n">
        <v>32</v>
      </c>
      <c r="B36" s="33" t="n">
        <v>0.392</v>
      </c>
      <c r="C36" s="33" t="n">
        <v>0.388</v>
      </c>
      <c r="D36" s="33" t="n">
        <v>0.384</v>
      </c>
      <c r="E36" s="33" t="n">
        <v>1.038</v>
      </c>
      <c r="F36" s="33" t="n">
        <v>0.76</v>
      </c>
      <c r="G36" s="33" t="n">
        <v>0.7</v>
      </c>
      <c r="H36" s="33" t="n">
        <v>0.609</v>
      </c>
      <c r="I36" s="33" t="n">
        <v>0.67</v>
      </c>
      <c r="J36" s="33" t="n">
        <v>1</v>
      </c>
    </row>
    <row r="37">
      <c r="A37" s="32" t="n">
        <v>33</v>
      </c>
      <c r="B37" s="33" t="n">
        <v>0.414</v>
      </c>
      <c r="C37" s="33" t="n">
        <v>0.407</v>
      </c>
      <c r="D37" s="33" t="n">
        <v>0.401</v>
      </c>
      <c r="E37" s="33" t="n">
        <v>1.075</v>
      </c>
      <c r="F37" s="33" t="n">
        <v>0.79</v>
      </c>
      <c r="G37" s="33" t="n">
        <v>0.725</v>
      </c>
      <c r="H37" s="33" t="n">
        <v>0.634</v>
      </c>
      <c r="I37" s="33" t="n">
        <v>0.697</v>
      </c>
      <c r="J37" s="33" t="n">
        <v>1</v>
      </c>
    </row>
    <row r="38">
      <c r="A38" s="32" t="n">
        <v>34</v>
      </c>
      <c r="B38" s="33" t="n">
        <v>0.435</v>
      </c>
      <c r="C38" s="33" t="n">
        <v>0.426</v>
      </c>
      <c r="D38" s="33" t="n">
        <v>0.418</v>
      </c>
      <c r="E38" s="33" t="n">
        <v>1.112</v>
      </c>
      <c r="F38" s="33" t="n">
        <v>0.82</v>
      </c>
      <c r="G38" s="33" t="n">
        <v>0.75</v>
      </c>
      <c r="H38" s="33" t="n">
        <v>0.66</v>
      </c>
      <c r="I38" s="33" t="n">
        <v>0.723</v>
      </c>
      <c r="J38" s="33" t="n">
        <v>1</v>
      </c>
    </row>
    <row r="39">
      <c r="A39" s="32" t="n">
        <v>35</v>
      </c>
      <c r="B39" s="33" t="n">
        <v>0.456</v>
      </c>
      <c r="C39" s="33" t="n">
        <v>0.444</v>
      </c>
      <c r="D39" s="33" t="n">
        <v>0.435</v>
      </c>
      <c r="E39" s="33" t="n">
        <v>1.15</v>
      </c>
      <c r="F39" s="33" t="n">
        <v>0.85</v>
      </c>
      <c r="G39" s="33" t="n">
        <v>0.775</v>
      </c>
      <c r="H39" s="33" t="n">
        <v>0.6860000000000001</v>
      </c>
      <c r="I39" s="33" t="n">
        <v>0.75</v>
      </c>
      <c r="J39" s="33" t="n">
        <v>1</v>
      </c>
    </row>
    <row r="40">
      <c r="A40" s="32" t="n">
        <v>36</v>
      </c>
      <c r="B40" s="33" t="n">
        <v>0.477</v>
      </c>
      <c r="C40" s="33" t="n">
        <v>0.463</v>
      </c>
      <c r="D40" s="33" t="n">
        <v>0.452</v>
      </c>
      <c r="E40" s="33" t="n">
        <v>1.15</v>
      </c>
      <c r="F40" s="33" t="n">
        <v>0.88</v>
      </c>
      <c r="G40" s="33" t="n">
        <v>0.8</v>
      </c>
      <c r="H40" s="33" t="n">
        <v>0.711</v>
      </c>
      <c r="I40" s="33" t="n">
        <v>0.777</v>
      </c>
      <c r="J40" s="33" t="n">
        <v>1</v>
      </c>
    </row>
    <row r="41">
      <c r="A41" s="32" t="n">
        <v>37</v>
      </c>
      <c r="B41" s="33" t="n">
        <v>0.499</v>
      </c>
      <c r="C41" s="33" t="n">
        <v>0.482</v>
      </c>
      <c r="D41" s="33" t="n">
        <v>0.469</v>
      </c>
      <c r="E41" s="33" t="n">
        <v>1.15</v>
      </c>
      <c r="F41" s="33" t="n">
        <v>0.91</v>
      </c>
      <c r="G41" s="33" t="n">
        <v>0.825</v>
      </c>
      <c r="H41" s="33" t="n">
        <v>0.737</v>
      </c>
      <c r="I41" s="33" t="n">
        <v>0.803</v>
      </c>
      <c r="J41" s="33" t="n">
        <v>1</v>
      </c>
    </row>
    <row r="42">
      <c r="A42" s="32" t="n">
        <v>38</v>
      </c>
      <c r="B42" s="33" t="n">
        <v>0.52</v>
      </c>
      <c r="C42" s="33" t="n">
        <v>0.501</v>
      </c>
      <c r="D42" s="33" t="n">
        <v>0.486</v>
      </c>
      <c r="E42" s="33" t="n">
        <v>1.15</v>
      </c>
      <c r="F42" s="33" t="n">
        <v>0.9399999999999999</v>
      </c>
      <c r="G42" s="33" t="n">
        <v>0.85</v>
      </c>
      <c r="H42" s="33" t="n">
        <v>0.763</v>
      </c>
      <c r="I42" s="33" t="n">
        <v>0.83</v>
      </c>
      <c r="J42" s="33" t="n">
        <v>1</v>
      </c>
    </row>
    <row r="43">
      <c r="A43" s="32" t="n">
        <v>39</v>
      </c>
      <c r="B43" s="33" t="n">
        <v>0.541</v>
      </c>
      <c r="C43" s="33" t="n">
        <v>0.52</v>
      </c>
      <c r="D43" s="33" t="n">
        <v>0.503</v>
      </c>
      <c r="E43" s="33" t="n">
        <v>1.15</v>
      </c>
      <c r="F43" s="33" t="n">
        <v>0.97</v>
      </c>
      <c r="G43" s="33" t="n">
        <v>0.875</v>
      </c>
      <c r="H43" s="33" t="n">
        <v>0.789</v>
      </c>
      <c r="I43" s="33" t="n">
        <v>0.857</v>
      </c>
      <c r="J43" s="33" t="n">
        <v>1</v>
      </c>
    </row>
    <row r="44">
      <c r="A44" s="32" t="n">
        <v>40</v>
      </c>
      <c r="B44" s="33" t="n">
        <v>0.5620000000000001</v>
      </c>
      <c r="C44" s="33" t="n">
        <v>0.539</v>
      </c>
      <c r="D44" s="33" t="n">
        <v>0.52</v>
      </c>
      <c r="E44" s="33" t="n">
        <v>1.15</v>
      </c>
      <c r="F44" s="33" t="n">
        <v>1</v>
      </c>
      <c r="G44" s="33" t="n">
        <v>0.9</v>
      </c>
      <c r="H44" s="33" t="n">
        <v>0.8139999999999999</v>
      </c>
      <c r="I44" s="33" t="n">
        <v>0.883</v>
      </c>
      <c r="J44" s="33" t="n">
        <v>1</v>
      </c>
    </row>
    <row r="45">
      <c r="A45" s="32" t="n">
        <v>41</v>
      </c>
      <c r="B45" s="33" t="n">
        <v>0.584</v>
      </c>
      <c r="C45" s="33" t="n">
        <v>0.5580000000000001</v>
      </c>
      <c r="D45" s="33" t="n">
        <v>0.537</v>
      </c>
      <c r="E45" s="33" t="n">
        <v>1.15</v>
      </c>
      <c r="F45" s="33" t="n">
        <v>1.03</v>
      </c>
      <c r="G45" s="33" t="n">
        <v>0.925</v>
      </c>
      <c r="H45" s="33" t="n">
        <v>0.84</v>
      </c>
      <c r="I45" s="33" t="n">
        <v>0.91</v>
      </c>
      <c r="J45" s="33" t="n">
        <v>1</v>
      </c>
    </row>
    <row r="46">
      <c r="A46" s="32" t="n">
        <v>42</v>
      </c>
      <c r="B46" s="33" t="n">
        <v>0.605</v>
      </c>
      <c r="C46" s="33" t="n">
        <v>0.577</v>
      </c>
      <c r="D46" s="33" t="n">
        <v>0.554</v>
      </c>
      <c r="E46" s="33" t="n">
        <v>1.15</v>
      </c>
      <c r="F46" s="33" t="n">
        <v>1.06</v>
      </c>
      <c r="G46" s="33" t="n">
        <v>0.95</v>
      </c>
      <c r="H46" s="33" t="n">
        <v>0.866</v>
      </c>
      <c r="I46" s="33" t="n">
        <v>0.9370000000000001</v>
      </c>
      <c r="J46" s="33" t="n">
        <v>1</v>
      </c>
    </row>
    <row r="47">
      <c r="A47" s="32" t="n">
        <v>43</v>
      </c>
      <c r="B47" s="33" t="n">
        <v>0.626</v>
      </c>
      <c r="C47" s="33" t="n">
        <v>0.596</v>
      </c>
      <c r="D47" s="33" t="n">
        <v>0.571</v>
      </c>
      <c r="E47" s="33" t="n">
        <v>1.15</v>
      </c>
      <c r="F47" s="33" t="n">
        <v>1.09</v>
      </c>
      <c r="G47" s="33" t="n">
        <v>0.975</v>
      </c>
      <c r="H47" s="33" t="n">
        <v>0.891</v>
      </c>
      <c r="I47" s="33" t="n">
        <v>0.963</v>
      </c>
      <c r="J47" s="33" t="n">
        <v>1</v>
      </c>
    </row>
    <row r="48">
      <c r="A48" s="32" t="n">
        <v>44</v>
      </c>
      <c r="B48" s="33" t="n">
        <v>0.647</v>
      </c>
      <c r="C48" s="33" t="n">
        <v>0.614</v>
      </c>
      <c r="D48" s="33" t="n">
        <v>0.588</v>
      </c>
      <c r="E48" s="33" t="n">
        <v>1.15</v>
      </c>
      <c r="F48" s="33" t="n">
        <v>1.12</v>
      </c>
      <c r="G48" s="33" t="n">
        <v>1</v>
      </c>
      <c r="H48" s="33" t="n">
        <v>0.917</v>
      </c>
      <c r="I48" s="33" t="n">
        <v>0.99</v>
      </c>
      <c r="J48" s="33" t="n">
        <v>1</v>
      </c>
    </row>
    <row r="49">
      <c r="A49" s="32" t="n">
        <v>45</v>
      </c>
      <c r="B49" s="33" t="n">
        <v>0.669</v>
      </c>
      <c r="C49" s="33" t="n">
        <v>0.633</v>
      </c>
      <c r="D49" s="33" t="n">
        <v>0.605</v>
      </c>
      <c r="E49" s="33" t="n">
        <v>1.15</v>
      </c>
      <c r="F49" s="33" t="n">
        <v>1.15</v>
      </c>
      <c r="G49" s="33" t="n">
        <v>1.025</v>
      </c>
      <c r="H49" s="33" t="n">
        <v>0.9429999999999999</v>
      </c>
      <c r="I49" s="33" t="n">
        <v>1.017</v>
      </c>
      <c r="J49" s="33" t="n">
        <v>1</v>
      </c>
    </row>
    <row r="50">
      <c r="A50" s="32" t="n">
        <v>46</v>
      </c>
      <c r="B50" s="33" t="n">
        <v>0.6899999999999999</v>
      </c>
      <c r="C50" s="33" t="n">
        <v>0.652</v>
      </c>
      <c r="D50" s="33" t="n">
        <v>0.622</v>
      </c>
      <c r="E50" s="33" t="n">
        <v>1.15</v>
      </c>
      <c r="F50" s="33" t="n">
        <v>1.15</v>
      </c>
      <c r="G50" s="33" t="n">
        <v>1.05</v>
      </c>
      <c r="H50" s="33" t="n">
        <v>0.969</v>
      </c>
      <c r="I50" s="33" t="n">
        <v>1.043</v>
      </c>
      <c r="J50" s="33" t="n">
        <v>1</v>
      </c>
    </row>
    <row r="51">
      <c r="A51" s="32" t="n">
        <v>47</v>
      </c>
      <c r="B51" s="33" t="n">
        <v>0.711</v>
      </c>
      <c r="C51" s="33" t="n">
        <v>0.671</v>
      </c>
      <c r="D51" s="33" t="n">
        <v>0.639</v>
      </c>
      <c r="E51" s="33" t="n">
        <v>1.15</v>
      </c>
      <c r="F51" s="33" t="n">
        <v>1.15</v>
      </c>
      <c r="G51" s="33" t="n">
        <v>1.075</v>
      </c>
      <c r="H51" s="33" t="n">
        <v>0.994</v>
      </c>
      <c r="I51" s="33" t="n">
        <v>1.07</v>
      </c>
      <c r="J51" s="33" t="n">
        <v>1</v>
      </c>
    </row>
    <row r="52">
      <c r="A52" s="32" t="n">
        <v>48</v>
      </c>
      <c r="B52" s="33" t="n">
        <v>0.732</v>
      </c>
      <c r="C52" s="33" t="n">
        <v>0.6899999999999999</v>
      </c>
      <c r="D52" s="33" t="n">
        <v>0.656</v>
      </c>
      <c r="E52" s="33" t="n">
        <v>1.15</v>
      </c>
      <c r="F52" s="33" t="n">
        <v>1.15</v>
      </c>
      <c r="G52" s="33" t="n">
        <v>1.1</v>
      </c>
      <c r="H52" s="33" t="n">
        <v>1.02</v>
      </c>
      <c r="I52" s="33" t="n">
        <v>1.097</v>
      </c>
      <c r="J52" s="33" t="n">
        <v>1</v>
      </c>
    </row>
    <row r="53">
      <c r="A53" s="32" t="n">
        <v>49</v>
      </c>
      <c r="B53" s="33" t="n">
        <v>0.754</v>
      </c>
      <c r="C53" s="33" t="n">
        <v>0.709</v>
      </c>
      <c r="D53" s="33" t="n">
        <v>0.673</v>
      </c>
      <c r="E53" s="33" t="n">
        <v>1.15</v>
      </c>
      <c r="F53" s="33" t="n">
        <v>1.15</v>
      </c>
      <c r="G53" s="33" t="n">
        <v>1.125</v>
      </c>
      <c r="H53" s="33" t="n">
        <v>1.046</v>
      </c>
      <c r="I53" s="33" t="n">
        <v>1.123</v>
      </c>
      <c r="J53" s="33" t="n">
        <v>1</v>
      </c>
    </row>
    <row r="54">
      <c r="A54" s="32" t="n">
        <v>50</v>
      </c>
      <c r="B54" s="33" t="n">
        <v>0.775</v>
      </c>
      <c r="C54" s="33" t="n">
        <v>0.728</v>
      </c>
      <c r="D54" s="33" t="n">
        <v>0.6899999999999999</v>
      </c>
      <c r="E54" s="33" t="n">
        <v>1.15</v>
      </c>
      <c r="F54" s="33" t="n">
        <v>1.15</v>
      </c>
      <c r="G54" s="33" t="n">
        <v>1.15</v>
      </c>
      <c r="H54" s="33" t="n">
        <v>1.071</v>
      </c>
      <c r="I54" s="33" t="n">
        <v>1.15</v>
      </c>
      <c r="J54" s="33" t="n">
        <v>1</v>
      </c>
    </row>
    <row r="55">
      <c r="A55" s="32" t="n">
        <v>51</v>
      </c>
      <c r="B55" s="33" t="n">
        <v>0.796</v>
      </c>
      <c r="C55" s="33" t="n">
        <v>0.747</v>
      </c>
      <c r="D55" s="33" t="n">
        <v>0.707</v>
      </c>
      <c r="E55" s="33" t="n">
        <v>1.15</v>
      </c>
      <c r="F55" s="33" t="n">
        <v>1.15</v>
      </c>
      <c r="G55" s="33" t="n">
        <v>1.15</v>
      </c>
      <c r="H55" s="33" t="n">
        <v>1.097</v>
      </c>
      <c r="I55" s="33" t="n">
        <v>1.15</v>
      </c>
      <c r="J55" s="33" t="n">
        <v>1</v>
      </c>
    </row>
    <row r="56">
      <c r="A56" s="32" t="n">
        <v>52</v>
      </c>
      <c r="B56" s="33" t="n">
        <v>0.8169999999999999</v>
      </c>
      <c r="C56" s="33" t="n">
        <v>0.766</v>
      </c>
      <c r="D56" s="33" t="n">
        <v>0.724</v>
      </c>
      <c r="E56" s="33" t="n">
        <v>1.15</v>
      </c>
      <c r="F56" s="33" t="n">
        <v>1.15</v>
      </c>
      <c r="G56" s="33" t="n">
        <v>1.15</v>
      </c>
      <c r="H56" s="33" t="n">
        <v>1.123</v>
      </c>
      <c r="I56" s="33" t="n">
        <v>1.15</v>
      </c>
      <c r="J56" s="33" t="n">
        <v>1</v>
      </c>
    </row>
    <row r="57">
      <c r="A57" s="32" t="n">
        <v>53</v>
      </c>
      <c r="B57" s="33" t="n">
        <v>0.839</v>
      </c>
      <c r="C57" s="33" t="n">
        <v>0.784</v>
      </c>
      <c r="D57" s="33" t="n">
        <v>0.741</v>
      </c>
      <c r="E57" s="33" t="n">
        <v>1.15</v>
      </c>
      <c r="F57" s="33" t="n">
        <v>1.15</v>
      </c>
      <c r="G57" s="33" t="n">
        <v>1.15</v>
      </c>
      <c r="H57" s="33" t="n">
        <v>1.149</v>
      </c>
      <c r="I57" s="33" t="n">
        <v>1.15</v>
      </c>
      <c r="J57" s="33" t="n">
        <v>1</v>
      </c>
    </row>
    <row r="58">
      <c r="A58" s="32" t="n">
        <v>54</v>
      </c>
      <c r="B58" s="33" t="n">
        <v>0.86</v>
      </c>
      <c r="C58" s="33" t="n">
        <v>0.803</v>
      </c>
      <c r="D58" s="33" t="n">
        <v>0.758</v>
      </c>
      <c r="E58" s="33" t="n">
        <v>1.15</v>
      </c>
      <c r="F58" s="33" t="n">
        <v>1.15</v>
      </c>
      <c r="G58" s="33" t="n">
        <v>1.15</v>
      </c>
      <c r="H58" s="33" t="n">
        <v>1.174</v>
      </c>
      <c r="I58" s="33" t="n">
        <v>1.15</v>
      </c>
      <c r="J58" s="33" t="n">
        <v>1</v>
      </c>
    </row>
    <row r="59">
      <c r="A59" s="32" t="n">
        <v>55</v>
      </c>
      <c r="B59" s="33" t="n">
        <v>0.881</v>
      </c>
      <c r="C59" s="33" t="n">
        <v>0.822</v>
      </c>
      <c r="D59" s="33" t="n">
        <v>0.775</v>
      </c>
      <c r="E59" s="33" t="n">
        <v>1.15</v>
      </c>
      <c r="F59" s="33" t="n">
        <v>1.15</v>
      </c>
      <c r="G59" s="33" t="n">
        <v>1.15</v>
      </c>
      <c r="H59" s="33" t="n">
        <v>1.2</v>
      </c>
      <c r="I59" s="33" t="n">
        <v>1.15</v>
      </c>
      <c r="J59" s="33" t="n">
        <v>1</v>
      </c>
    </row>
    <row r="60">
      <c r="A60" s="32" t="n">
        <v>56</v>
      </c>
      <c r="B60" s="33" t="n">
        <v>0.902</v>
      </c>
      <c r="C60" s="33" t="n">
        <v>0.841</v>
      </c>
      <c r="D60" s="33" t="n">
        <v>0.792</v>
      </c>
      <c r="E60" s="33" t="n">
        <v>1.15</v>
      </c>
      <c r="F60" s="33" t="n">
        <v>1.15</v>
      </c>
      <c r="G60" s="33" t="n">
        <v>1.15</v>
      </c>
      <c r="H60" s="33" t="n">
        <v>1.2</v>
      </c>
      <c r="I60" s="33" t="n">
        <v>1.15</v>
      </c>
      <c r="J60" s="33" t="n">
        <v>1</v>
      </c>
    </row>
    <row r="61">
      <c r="A61" s="32" t="n">
        <v>57</v>
      </c>
      <c r="B61" s="33" t="n">
        <v>0.924</v>
      </c>
      <c r="C61" s="33" t="n">
        <v>0.86</v>
      </c>
      <c r="D61" s="33" t="n">
        <v>0.8090000000000001</v>
      </c>
      <c r="E61" s="33" t="n">
        <v>1.15</v>
      </c>
      <c r="F61" s="33" t="n">
        <v>1.15</v>
      </c>
      <c r="G61" s="33" t="n">
        <v>1.15</v>
      </c>
      <c r="H61" s="33" t="n">
        <v>1.2</v>
      </c>
      <c r="I61" s="33" t="n">
        <v>1.15</v>
      </c>
      <c r="J61" s="33" t="n">
        <v>1</v>
      </c>
    </row>
    <row r="62">
      <c r="A62" s="32" t="n">
        <v>58</v>
      </c>
      <c r="B62" s="33" t="n">
        <v>0.945</v>
      </c>
      <c r="C62" s="33" t="n">
        <v>0.879</v>
      </c>
      <c r="D62" s="33" t="n">
        <v>0.826</v>
      </c>
      <c r="E62" s="33" t="n">
        <v>1.15</v>
      </c>
      <c r="F62" s="33" t="n">
        <v>1.15</v>
      </c>
      <c r="G62" s="33" t="n">
        <v>1.15</v>
      </c>
      <c r="H62" s="33" t="n">
        <v>1.2</v>
      </c>
      <c r="I62" s="33" t="n">
        <v>1.15</v>
      </c>
      <c r="J62" s="33" t="n">
        <v>1</v>
      </c>
    </row>
    <row r="63">
      <c r="A63" s="32" t="n">
        <v>59</v>
      </c>
      <c r="B63" s="33" t="n">
        <v>0.966</v>
      </c>
      <c r="C63" s="33" t="n">
        <v>0.898</v>
      </c>
      <c r="D63" s="33" t="n">
        <v>0.843</v>
      </c>
      <c r="E63" s="33" t="n">
        <v>1.15</v>
      </c>
      <c r="F63" s="33" t="n">
        <v>1.15</v>
      </c>
      <c r="G63" s="33" t="n">
        <v>1.15</v>
      </c>
      <c r="H63" s="33" t="n">
        <v>1.2</v>
      </c>
      <c r="I63" s="33" t="n">
        <v>1.15</v>
      </c>
      <c r="J63" s="33" t="n">
        <v>1</v>
      </c>
    </row>
    <row r="64">
      <c r="A64" s="32" t="n">
        <v>60</v>
      </c>
      <c r="B64" s="33" t="n">
        <v>0.987</v>
      </c>
      <c r="C64" s="33" t="n">
        <v>0.917</v>
      </c>
      <c r="D64" s="33" t="n">
        <v>0.86</v>
      </c>
      <c r="E64" s="33" t="n">
        <v>1.15</v>
      </c>
      <c r="F64" s="33" t="n">
        <v>1.15</v>
      </c>
      <c r="G64" s="33" t="n">
        <v>1.15</v>
      </c>
      <c r="H64" s="33" t="n">
        <v>1.2</v>
      </c>
      <c r="I64" s="33" t="n">
        <v>1.15</v>
      </c>
      <c r="J64" s="33" t="n">
        <v>1</v>
      </c>
    </row>
    <row r="65">
      <c r="A65" s="32" t="n">
        <v>61</v>
      </c>
      <c r="B65" s="33" t="n">
        <v>1.009</v>
      </c>
      <c r="C65" s="33" t="n">
        <v>0.9360000000000001</v>
      </c>
      <c r="D65" s="33" t="n">
        <v>0.877</v>
      </c>
      <c r="E65" s="33" t="n">
        <v>1.15</v>
      </c>
      <c r="F65" s="33" t="n">
        <v>1.15</v>
      </c>
      <c r="G65" s="33" t="n">
        <v>1.15</v>
      </c>
      <c r="H65" s="33" t="n">
        <v>1.2</v>
      </c>
      <c r="I65" s="33" t="n">
        <v>1.15</v>
      </c>
      <c r="J65" s="33" t="n">
        <v>1</v>
      </c>
    </row>
    <row r="66">
      <c r="A66" s="32" t="n">
        <v>62</v>
      </c>
      <c r="B66" s="33" t="n">
        <v>1.03</v>
      </c>
      <c r="C66" s="33" t="n">
        <v>0.954</v>
      </c>
      <c r="D66" s="33" t="n">
        <v>0.894</v>
      </c>
      <c r="E66" s="33" t="n">
        <v>1.15</v>
      </c>
      <c r="F66" s="33" t="n">
        <v>1.15</v>
      </c>
      <c r="G66" s="33" t="n">
        <v>1.15</v>
      </c>
      <c r="H66" s="33" t="n">
        <v>1.2</v>
      </c>
      <c r="I66" s="33" t="n">
        <v>1.15</v>
      </c>
      <c r="J66" s="33" t="n">
        <v>1</v>
      </c>
    </row>
    <row r="67">
      <c r="A67" s="32" t="n">
        <v>63</v>
      </c>
      <c r="B67" s="33" t="n">
        <v>1.051</v>
      </c>
      <c r="C67" s="33" t="n">
        <v>0.973</v>
      </c>
      <c r="D67" s="33" t="n">
        <v>0.911</v>
      </c>
      <c r="E67" s="33" t="n">
        <v>1.15</v>
      </c>
      <c r="F67" s="33" t="n">
        <v>1.15</v>
      </c>
      <c r="G67" s="33" t="n">
        <v>1.15</v>
      </c>
      <c r="H67" s="33" t="n">
        <v>1.2</v>
      </c>
      <c r="I67" s="33" t="n">
        <v>1.15</v>
      </c>
      <c r="J67" s="33" t="n">
        <v>1</v>
      </c>
    </row>
    <row r="68">
      <c r="A68" s="32" t="n">
        <v>64</v>
      </c>
      <c r="B68" s="33" t="n">
        <v>1.072</v>
      </c>
      <c r="C68" s="33" t="n">
        <v>0.992</v>
      </c>
      <c r="D68" s="33" t="n">
        <v>0.928</v>
      </c>
      <c r="E68" s="33" t="n">
        <v>1.15</v>
      </c>
      <c r="F68" s="33" t="n">
        <v>1.15</v>
      </c>
      <c r="G68" s="33" t="n">
        <v>1.15</v>
      </c>
      <c r="H68" s="33" t="n">
        <v>1.2</v>
      </c>
      <c r="I68" s="33" t="n">
        <v>1.15</v>
      </c>
      <c r="J68" s="33" t="n">
        <v>1</v>
      </c>
    </row>
    <row r="69">
      <c r="A69" s="32" t="n">
        <v>65</v>
      </c>
      <c r="B69" s="33" t="n">
        <v>1.094</v>
      </c>
      <c r="C69" s="33" t="n">
        <v>1.011</v>
      </c>
      <c r="D69" s="33" t="n">
        <v>0.945</v>
      </c>
      <c r="E69" s="33" t="n">
        <v>1.15</v>
      </c>
      <c r="F69" s="33" t="n">
        <v>1.15</v>
      </c>
      <c r="G69" s="33" t="n">
        <v>1.15</v>
      </c>
      <c r="H69" s="33" t="n">
        <v>1.2</v>
      </c>
      <c r="I69" s="33" t="n">
        <v>1.15</v>
      </c>
      <c r="J69" s="33" t="n">
        <v>1</v>
      </c>
    </row>
    <row r="70">
      <c r="A70" s="32" t="n">
        <v>66</v>
      </c>
      <c r="B70" s="33" t="n">
        <v>1.115</v>
      </c>
      <c r="C70" s="33" t="n">
        <v>1.03</v>
      </c>
      <c r="D70" s="33" t="n">
        <v>0.962</v>
      </c>
      <c r="E70" s="33" t="n">
        <v>1.15</v>
      </c>
      <c r="F70" s="33" t="n">
        <v>1.15</v>
      </c>
      <c r="G70" s="33" t="n">
        <v>1.15</v>
      </c>
      <c r="H70" s="33" t="n">
        <v>1.2</v>
      </c>
      <c r="I70" s="33" t="n">
        <v>1.15</v>
      </c>
      <c r="J70" s="33" t="n">
        <v>1</v>
      </c>
    </row>
    <row r="71">
      <c r="A71" s="32" t="n">
        <v>67</v>
      </c>
      <c r="B71" s="33" t="n">
        <v>1.136</v>
      </c>
      <c r="C71" s="33" t="n">
        <v>1.049</v>
      </c>
      <c r="D71" s="33" t="n">
        <v>0.979</v>
      </c>
      <c r="E71" s="33" t="n">
        <v>1.15</v>
      </c>
      <c r="F71" s="33" t="n">
        <v>1.15</v>
      </c>
      <c r="G71" s="33" t="n">
        <v>1.15</v>
      </c>
      <c r="H71" s="33" t="n">
        <v>1.2</v>
      </c>
      <c r="I71" s="33" t="n">
        <v>1.15</v>
      </c>
      <c r="J71" s="33" t="n">
        <v>1</v>
      </c>
    </row>
    <row r="72">
      <c r="A72" s="32" t="n">
        <v>68</v>
      </c>
      <c r="B72" s="33" t="n">
        <v>1.157</v>
      </c>
      <c r="C72" s="33" t="n">
        <v>1.068</v>
      </c>
      <c r="D72" s="33" t="n">
        <v>0.996</v>
      </c>
      <c r="E72" s="33" t="n">
        <v>1.15</v>
      </c>
      <c r="F72" s="33" t="n">
        <v>1.15</v>
      </c>
      <c r="G72" s="33" t="n">
        <v>1.15</v>
      </c>
      <c r="H72" s="33" t="n">
        <v>1.2</v>
      </c>
      <c r="I72" s="33" t="n">
        <v>1.15</v>
      </c>
      <c r="J72" s="33" t="n">
        <v>1</v>
      </c>
    </row>
    <row r="73">
      <c r="A73" s="32" t="n">
        <v>69</v>
      </c>
      <c r="B73" s="33" t="n">
        <v>1.179</v>
      </c>
      <c r="C73" s="33" t="n">
        <v>1.087</v>
      </c>
      <c r="D73" s="33" t="n">
        <v>1.013</v>
      </c>
      <c r="E73" s="33" t="n">
        <v>1.15</v>
      </c>
      <c r="F73" s="33" t="n">
        <v>1.15</v>
      </c>
      <c r="G73" s="33" t="n">
        <v>1.15</v>
      </c>
      <c r="H73" s="33" t="n">
        <v>1.2</v>
      </c>
      <c r="I73" s="33" t="n">
        <v>1.15</v>
      </c>
      <c r="J73" s="33" t="n">
        <v>1</v>
      </c>
    </row>
    <row r="74">
      <c r="A74" s="32" t="n">
        <v>70</v>
      </c>
      <c r="B74" s="33" t="n">
        <v>1.2</v>
      </c>
      <c r="C74" s="33" t="n">
        <v>1.106</v>
      </c>
      <c r="D74" s="33" t="n">
        <v>1.03</v>
      </c>
      <c r="E74" s="33" t="n">
        <v>1.15</v>
      </c>
      <c r="F74" s="33" t="n">
        <v>1.15</v>
      </c>
      <c r="G74" s="33" t="n">
        <v>1.15</v>
      </c>
      <c r="H74" s="33" t="n">
        <v>1.2</v>
      </c>
      <c r="I74" s="33" t="n">
        <v>1.15</v>
      </c>
      <c r="J74" s="33" t="n">
        <v>1</v>
      </c>
    </row>
    <row r="75">
      <c r="A75" s="32" t="n">
        <v>71</v>
      </c>
      <c r="B75" s="33" t="n">
        <v>1.2</v>
      </c>
      <c r="C75" s="33" t="n">
        <v>1.124</v>
      </c>
      <c r="D75" s="33" t="n">
        <v>1.047</v>
      </c>
      <c r="E75" s="33" t="n">
        <v>1.15</v>
      </c>
      <c r="F75" s="33" t="n">
        <v>1.15</v>
      </c>
      <c r="G75" s="33" t="n">
        <v>1.15</v>
      </c>
      <c r="H75" s="33" t="n">
        <v>1.2</v>
      </c>
      <c r="I75" s="33" t="n">
        <v>1.15</v>
      </c>
      <c r="J75" s="33" t="n">
        <v>1</v>
      </c>
    </row>
    <row r="76">
      <c r="A76" s="32" t="n">
        <v>72</v>
      </c>
      <c r="B76" s="33" t="n">
        <v>1.2</v>
      </c>
      <c r="C76" s="33" t="n">
        <v>1.143</v>
      </c>
      <c r="D76" s="33" t="n">
        <v>1.064</v>
      </c>
      <c r="E76" s="33" t="n">
        <v>1.15</v>
      </c>
      <c r="F76" s="33" t="n">
        <v>1.15</v>
      </c>
      <c r="G76" s="33" t="n">
        <v>1.15</v>
      </c>
      <c r="H76" s="33" t="n">
        <v>1.2</v>
      </c>
      <c r="I76" s="33" t="n">
        <v>1.15</v>
      </c>
      <c r="J76" s="33" t="n">
        <v>1</v>
      </c>
    </row>
    <row r="77">
      <c r="A77" s="32" t="n">
        <v>73</v>
      </c>
      <c r="B77" s="33" t="n">
        <v>1.2</v>
      </c>
      <c r="C77" s="33" t="n">
        <v>1.162</v>
      </c>
      <c r="D77" s="33" t="n">
        <v>1.081</v>
      </c>
      <c r="E77" s="33" t="n">
        <v>1.15</v>
      </c>
      <c r="F77" s="33" t="n">
        <v>1.15</v>
      </c>
      <c r="G77" s="33" t="n">
        <v>1.15</v>
      </c>
      <c r="H77" s="33" t="n">
        <v>1.2</v>
      </c>
      <c r="I77" s="33" t="n">
        <v>1.15</v>
      </c>
      <c r="J77" s="33" t="n">
        <v>1</v>
      </c>
    </row>
    <row r="78">
      <c r="A78" s="32" t="n">
        <v>74</v>
      </c>
      <c r="B78" s="33" t="n">
        <v>1.2</v>
      </c>
      <c r="C78" s="33" t="n">
        <v>1.181</v>
      </c>
      <c r="D78" s="33" t="n">
        <v>1.098</v>
      </c>
      <c r="E78" s="33" t="n">
        <v>1.15</v>
      </c>
      <c r="F78" s="33" t="n">
        <v>1.15</v>
      </c>
      <c r="G78" s="33" t="n">
        <v>1.15</v>
      </c>
      <c r="H78" s="33" t="n">
        <v>1.2</v>
      </c>
      <c r="I78" s="33" t="n">
        <v>1.15</v>
      </c>
      <c r="J78" s="33" t="n">
        <v>1</v>
      </c>
    </row>
    <row r="79">
      <c r="A79" s="32" t="n">
        <v>75</v>
      </c>
      <c r="B79" s="33" t="n">
        <v>1.2</v>
      </c>
      <c r="C79" s="33" t="n">
        <v>1.2</v>
      </c>
      <c r="D79" s="33" t="n">
        <v>1.115</v>
      </c>
      <c r="E79" s="33" t="n">
        <v>1.15</v>
      </c>
      <c r="F79" s="33" t="n">
        <v>1.15</v>
      </c>
      <c r="G79" s="33" t="n">
        <v>1.15</v>
      </c>
      <c r="H79" s="33" t="n">
        <v>1.2</v>
      </c>
      <c r="I79" s="33" t="n">
        <v>1.15</v>
      </c>
      <c r="J79" s="33" t="n">
        <v>1</v>
      </c>
    </row>
    <row r="80">
      <c r="A80" s="32" t="n">
        <v>76</v>
      </c>
      <c r="B80" s="33" t="n">
        <v>1.2</v>
      </c>
      <c r="C80" s="33" t="n">
        <v>1.2</v>
      </c>
      <c r="D80" s="33" t="n">
        <v>1.132</v>
      </c>
      <c r="E80" s="33" t="n">
        <v>1.15</v>
      </c>
      <c r="F80" s="33" t="n">
        <v>1.15</v>
      </c>
      <c r="G80" s="33" t="n">
        <v>1.15</v>
      </c>
      <c r="H80" s="33" t="n">
        <v>1.2</v>
      </c>
      <c r="I80" s="33" t="n">
        <v>1.15</v>
      </c>
      <c r="J80" s="33" t="n">
        <v>1</v>
      </c>
    </row>
    <row r="81">
      <c r="A81" s="32" t="n">
        <v>77</v>
      </c>
      <c r="B81" s="33" t="n">
        <v>1.2</v>
      </c>
      <c r="C81" s="33" t="n">
        <v>1.2</v>
      </c>
      <c r="D81" s="33" t="n">
        <v>1.149</v>
      </c>
      <c r="E81" s="33" t="n">
        <v>1.15</v>
      </c>
      <c r="F81" s="33" t="n">
        <v>1.15</v>
      </c>
      <c r="G81" s="33" t="n">
        <v>1.15</v>
      </c>
      <c r="H81" s="33" t="n">
        <v>1.2</v>
      </c>
      <c r="I81" s="33" t="n">
        <v>1.15</v>
      </c>
      <c r="J81" s="33" t="n">
        <v>1</v>
      </c>
    </row>
    <row r="82">
      <c r="A82" s="32" t="n">
        <v>78</v>
      </c>
      <c r="B82" s="33" t="n">
        <v>1.2</v>
      </c>
      <c r="C82" s="33" t="n">
        <v>1.2</v>
      </c>
      <c r="D82" s="33" t="n">
        <v>1.166</v>
      </c>
      <c r="E82" s="33" t="n">
        <v>1.15</v>
      </c>
      <c r="F82" s="33" t="n">
        <v>1.15</v>
      </c>
      <c r="G82" s="33" t="n">
        <v>1.15</v>
      </c>
      <c r="H82" s="33" t="n">
        <v>1.2</v>
      </c>
      <c r="I82" s="33" t="n">
        <v>1.15</v>
      </c>
      <c r="J82" s="33" t="n">
        <v>1</v>
      </c>
    </row>
    <row r="83">
      <c r="A83" s="32" t="n">
        <v>79</v>
      </c>
      <c r="B83" s="33" t="n">
        <v>1.2</v>
      </c>
      <c r="C83" s="33" t="n">
        <v>1.2</v>
      </c>
      <c r="D83" s="33" t="n">
        <v>1.183</v>
      </c>
      <c r="E83" s="33" t="n">
        <v>1.15</v>
      </c>
      <c r="F83" s="33" t="n">
        <v>1.15</v>
      </c>
      <c r="G83" s="33" t="n">
        <v>1.15</v>
      </c>
      <c r="H83" s="33" t="n">
        <v>1.2</v>
      </c>
      <c r="I83" s="33" t="n">
        <v>1.15</v>
      </c>
      <c r="J83" s="33" t="n">
        <v>1</v>
      </c>
    </row>
    <row r="84">
      <c r="A84" s="32" t="n">
        <v>80</v>
      </c>
      <c r="B84" s="33" t="n">
        <v>1.2</v>
      </c>
      <c r="C84" s="33" t="n">
        <v>1.2</v>
      </c>
      <c r="D84" s="33" t="n">
        <v>1.2</v>
      </c>
      <c r="E84" s="33" t="n">
        <v>1.15</v>
      </c>
      <c r="F84" s="33" t="n">
        <v>1.15</v>
      </c>
      <c r="G84" s="33" t="n">
        <v>1.15</v>
      </c>
      <c r="H84" s="33" t="n">
        <v>1.2</v>
      </c>
      <c r="I84" s="33" t="n">
        <v>1.15</v>
      </c>
      <c r="J84" s="33" t="n">
        <v>1</v>
      </c>
    </row>
    <row r="85">
      <c r="A85" s="32" t="n">
        <v>81</v>
      </c>
      <c r="B85" s="33" t="n">
        <v>1.2</v>
      </c>
      <c r="C85" s="33" t="n">
        <v>1.2</v>
      </c>
      <c r="D85" s="33" t="n">
        <v>1.2</v>
      </c>
      <c r="E85" s="33" t="n">
        <v>1.117</v>
      </c>
      <c r="F85" s="33" t="n">
        <v>1.15</v>
      </c>
      <c r="G85" s="33" t="n">
        <v>1.15</v>
      </c>
      <c r="H85" s="33" t="n">
        <v>1.2</v>
      </c>
      <c r="I85" s="33" t="n">
        <v>1.142</v>
      </c>
      <c r="J85" s="33" t="n">
        <v>1</v>
      </c>
    </row>
    <row r="86">
      <c r="A86" s="32" t="n">
        <v>82</v>
      </c>
      <c r="B86" s="33" t="n">
        <v>1.2</v>
      </c>
      <c r="C86" s="33" t="n">
        <v>1.2</v>
      </c>
      <c r="D86" s="33" t="n">
        <v>1.2</v>
      </c>
      <c r="E86" s="33" t="n">
        <v>1.085</v>
      </c>
      <c r="F86" s="33" t="n">
        <v>1.15</v>
      </c>
      <c r="G86" s="33" t="n">
        <v>1.15</v>
      </c>
      <c r="H86" s="33" t="n">
        <v>1.2</v>
      </c>
      <c r="I86" s="33" t="n">
        <v>1.133</v>
      </c>
      <c r="J86" s="33" t="n">
        <v>1</v>
      </c>
    </row>
    <row r="87">
      <c r="A87" s="32" t="n">
        <v>83</v>
      </c>
      <c r="B87" s="33" t="n">
        <v>1.2</v>
      </c>
      <c r="C87" s="33" t="n">
        <v>1.2</v>
      </c>
      <c r="D87" s="33" t="n">
        <v>1.2</v>
      </c>
      <c r="E87" s="33" t="n">
        <v>1.052</v>
      </c>
      <c r="F87" s="33" t="n">
        <v>1.15</v>
      </c>
      <c r="G87" s="33" t="n">
        <v>1.15</v>
      </c>
      <c r="H87" s="33" t="n">
        <v>1.2</v>
      </c>
      <c r="I87" s="33" t="n">
        <v>1.125</v>
      </c>
      <c r="J87" s="33" t="n">
        <v>1</v>
      </c>
    </row>
    <row r="88">
      <c r="A88" s="32" t="n">
        <v>84</v>
      </c>
      <c r="B88" s="33" t="n">
        <v>1.2</v>
      </c>
      <c r="C88" s="33" t="n">
        <v>1.2</v>
      </c>
      <c r="D88" s="33" t="n">
        <v>1.2</v>
      </c>
      <c r="E88" s="33" t="n">
        <v>1.02</v>
      </c>
      <c r="F88" s="33" t="n">
        <v>1.15</v>
      </c>
      <c r="G88" s="33" t="n">
        <v>1.15</v>
      </c>
      <c r="H88" s="33" t="n">
        <v>1.2</v>
      </c>
      <c r="I88" s="33" t="n">
        <v>1.117</v>
      </c>
      <c r="J88" s="33" t="n">
        <v>1</v>
      </c>
    </row>
    <row r="89">
      <c r="A89" s="32" t="n">
        <v>85</v>
      </c>
      <c r="B89" s="33" t="n">
        <v>1.2</v>
      </c>
      <c r="C89" s="33" t="n">
        <v>1.2</v>
      </c>
      <c r="D89" s="33" t="n">
        <v>1.2</v>
      </c>
      <c r="E89" s="33" t="n">
        <v>0.987</v>
      </c>
      <c r="F89" s="33" t="n">
        <v>1.15</v>
      </c>
      <c r="G89" s="33" t="n">
        <v>1.15</v>
      </c>
      <c r="H89" s="33" t="n">
        <v>1.2</v>
      </c>
      <c r="I89" s="33" t="n">
        <v>1.108</v>
      </c>
      <c r="J89" s="33" t="n">
        <v>1</v>
      </c>
    </row>
    <row r="90">
      <c r="A90" s="32" t="n">
        <v>86</v>
      </c>
      <c r="B90" s="33" t="n">
        <v>1.2</v>
      </c>
      <c r="C90" s="33" t="n">
        <v>1.2</v>
      </c>
      <c r="D90" s="33" t="n">
        <v>1.2</v>
      </c>
      <c r="E90" s="33" t="n">
        <v>0.955</v>
      </c>
      <c r="F90" s="33" t="n">
        <v>1.15</v>
      </c>
      <c r="G90" s="33" t="n">
        <v>1.15</v>
      </c>
      <c r="H90" s="33" t="n">
        <v>1.2</v>
      </c>
      <c r="I90" s="33" t="n">
        <v>1.1</v>
      </c>
      <c r="J90" s="33" t="n">
        <v>1</v>
      </c>
    </row>
    <row r="91">
      <c r="A91" s="32" t="n">
        <v>87</v>
      </c>
      <c r="B91" s="33" t="n">
        <v>1.2</v>
      </c>
      <c r="C91" s="33" t="n">
        <v>1.2</v>
      </c>
      <c r="D91" s="33" t="n">
        <v>1.2</v>
      </c>
      <c r="E91" s="33" t="n">
        <v>0.922</v>
      </c>
      <c r="F91" s="33" t="n">
        <v>1.15</v>
      </c>
      <c r="G91" s="33" t="n">
        <v>1.15</v>
      </c>
      <c r="H91" s="33" t="n">
        <v>1.2</v>
      </c>
      <c r="I91" s="33" t="n">
        <v>1.092</v>
      </c>
      <c r="J91" s="33" t="n">
        <v>1</v>
      </c>
    </row>
    <row r="92">
      <c r="A92" s="32" t="n">
        <v>88</v>
      </c>
      <c r="B92" s="33" t="n">
        <v>1.2</v>
      </c>
      <c r="C92" s="33" t="n">
        <v>1.2</v>
      </c>
      <c r="D92" s="33" t="n">
        <v>1.2</v>
      </c>
      <c r="E92" s="33" t="n">
        <v>0.89</v>
      </c>
      <c r="F92" s="33" t="n">
        <v>1.15</v>
      </c>
      <c r="G92" s="33" t="n">
        <v>1.15</v>
      </c>
      <c r="H92" s="33" t="n">
        <v>1.2</v>
      </c>
      <c r="I92" s="33" t="n">
        <v>1.083</v>
      </c>
      <c r="J92" s="33" t="n">
        <v>1</v>
      </c>
    </row>
    <row r="93">
      <c r="A93" s="32" t="n">
        <v>89</v>
      </c>
      <c r="B93" s="33" t="n">
        <v>1.2</v>
      </c>
      <c r="C93" s="33" t="n">
        <v>1.2</v>
      </c>
      <c r="D93" s="33" t="n">
        <v>1.2</v>
      </c>
      <c r="E93" s="33" t="n">
        <v>0.857</v>
      </c>
      <c r="F93" s="33" t="n">
        <v>1.15</v>
      </c>
      <c r="G93" s="33" t="n">
        <v>1.15</v>
      </c>
      <c r="H93" s="33" t="n">
        <v>1.2</v>
      </c>
      <c r="I93" s="33" t="n">
        <v>1.075</v>
      </c>
      <c r="J93" s="33" t="n">
        <v>1</v>
      </c>
    </row>
    <row r="94">
      <c r="A94" s="32" t="n">
        <v>90</v>
      </c>
      <c r="B94" s="33" t="n">
        <v>1.2</v>
      </c>
      <c r="C94" s="33" t="n">
        <v>1.2</v>
      </c>
      <c r="D94" s="33" t="n">
        <v>1.2</v>
      </c>
      <c r="E94" s="33" t="n">
        <v>0.825</v>
      </c>
      <c r="F94" s="33" t="n">
        <v>1.15</v>
      </c>
      <c r="G94" s="33" t="n">
        <v>1.15</v>
      </c>
      <c r="H94" s="33" t="n">
        <v>1.2</v>
      </c>
      <c r="I94" s="33" t="n">
        <v>1.067</v>
      </c>
      <c r="J94" s="33" t="n">
        <v>1</v>
      </c>
    </row>
    <row r="95">
      <c r="A95" s="32" t="n">
        <v>91</v>
      </c>
      <c r="B95" s="33" t="n">
        <v>1.2</v>
      </c>
      <c r="C95" s="33" t="n">
        <v>1.2</v>
      </c>
      <c r="D95" s="33" t="n">
        <v>1.2</v>
      </c>
      <c r="E95" s="33" t="n">
        <v>0.792</v>
      </c>
      <c r="F95" s="33" t="n">
        <v>1.15</v>
      </c>
      <c r="G95" s="33" t="n">
        <v>1.15</v>
      </c>
      <c r="H95" s="33" t="n">
        <v>1.2</v>
      </c>
      <c r="I95" s="33" t="n">
        <v>1.058</v>
      </c>
      <c r="J95" s="33" t="n">
        <v>1</v>
      </c>
    </row>
    <row r="96">
      <c r="A96" s="32" t="n">
        <v>92</v>
      </c>
      <c r="B96" s="33" t="n">
        <v>1.2</v>
      </c>
      <c r="C96" s="33" t="n">
        <v>1.2</v>
      </c>
      <c r="D96" s="33" t="n">
        <v>1.2</v>
      </c>
      <c r="E96" s="33" t="n">
        <v>0.76</v>
      </c>
      <c r="F96" s="33" t="n">
        <v>1.15</v>
      </c>
      <c r="G96" s="33" t="n">
        <v>1.15</v>
      </c>
      <c r="H96" s="33" t="n">
        <v>1.2</v>
      </c>
      <c r="I96" s="33" t="n">
        <v>1.05</v>
      </c>
      <c r="J96" s="33" t="n">
        <v>1</v>
      </c>
    </row>
    <row r="97">
      <c r="A97" s="32" t="n">
        <v>93</v>
      </c>
      <c r="B97" s="33" t="n">
        <v>1.2</v>
      </c>
      <c r="C97" s="33" t="n">
        <v>1.2</v>
      </c>
      <c r="D97" s="33" t="n">
        <v>1.2</v>
      </c>
      <c r="E97" s="33" t="n">
        <v>0.727</v>
      </c>
      <c r="F97" s="33" t="n">
        <v>1.15</v>
      </c>
      <c r="G97" s="33" t="n">
        <v>1.15</v>
      </c>
      <c r="H97" s="33" t="n">
        <v>1.2</v>
      </c>
      <c r="I97" s="33" t="n">
        <v>1.042</v>
      </c>
      <c r="J97" s="33" t="n">
        <v>1</v>
      </c>
    </row>
    <row r="98">
      <c r="A98" s="32" t="n">
        <v>94</v>
      </c>
      <c r="B98" s="33" t="n">
        <v>1.2</v>
      </c>
      <c r="C98" s="33" t="n">
        <v>1.2</v>
      </c>
      <c r="D98" s="33" t="n">
        <v>1.2</v>
      </c>
      <c r="E98" s="33" t="n">
        <v>0.695</v>
      </c>
      <c r="F98" s="33" t="n">
        <v>1.15</v>
      </c>
      <c r="G98" s="33" t="n">
        <v>1.15</v>
      </c>
      <c r="H98" s="33" t="n">
        <v>1.2</v>
      </c>
      <c r="I98" s="33" t="n">
        <v>1.033</v>
      </c>
      <c r="J98" s="33" t="n">
        <v>1</v>
      </c>
    </row>
    <row r="99">
      <c r="A99" s="32" t="n">
        <v>95</v>
      </c>
      <c r="B99" s="33" t="n">
        <v>1.2</v>
      </c>
      <c r="C99" s="33" t="n">
        <v>1.2</v>
      </c>
      <c r="D99" s="33" t="n">
        <v>1.2</v>
      </c>
      <c r="E99" s="33" t="n">
        <v>0.662</v>
      </c>
      <c r="F99" s="33" t="n">
        <v>1.15</v>
      </c>
      <c r="G99" s="33" t="n">
        <v>1.15</v>
      </c>
      <c r="H99" s="33" t="n">
        <v>1.2</v>
      </c>
      <c r="I99" s="33" t="n">
        <v>1.025</v>
      </c>
      <c r="J99" s="33" t="n">
        <v>1</v>
      </c>
    </row>
    <row r="100">
      <c r="A100" s="32" t="n">
        <v>96</v>
      </c>
      <c r="B100" s="33" t="n">
        <v>1.2</v>
      </c>
      <c r="C100" s="33" t="n">
        <v>1.2</v>
      </c>
      <c r="D100" s="33" t="n">
        <v>1.2</v>
      </c>
      <c r="E100" s="33" t="n">
        <v>0.63</v>
      </c>
      <c r="F100" s="33" t="n">
        <v>1.124</v>
      </c>
      <c r="G100" s="33" t="n">
        <v>1.15</v>
      </c>
      <c r="H100" s="33" t="n">
        <v>1.18</v>
      </c>
      <c r="I100" s="33" t="n">
        <v>1.017</v>
      </c>
      <c r="J100" s="33" t="n">
        <v>1</v>
      </c>
    </row>
    <row r="101">
      <c r="A101" s="32" t="n">
        <v>97</v>
      </c>
      <c r="B101" s="33" t="n">
        <v>1.2</v>
      </c>
      <c r="C101" s="33" t="n">
        <v>1.2</v>
      </c>
      <c r="D101" s="33" t="n">
        <v>1.2</v>
      </c>
      <c r="E101" s="33" t="n">
        <v>0.597</v>
      </c>
      <c r="F101" s="33" t="n">
        <v>1.098</v>
      </c>
      <c r="G101" s="33" t="n">
        <v>1.15</v>
      </c>
      <c r="H101" s="33" t="n">
        <v>1.16</v>
      </c>
      <c r="I101" s="33" t="n">
        <v>1.008</v>
      </c>
      <c r="J101" s="33" t="n">
        <v>1</v>
      </c>
    </row>
    <row r="102">
      <c r="A102" s="32" t="n">
        <v>98</v>
      </c>
      <c r="B102" s="33" t="n">
        <v>1.2</v>
      </c>
      <c r="C102" s="33" t="n">
        <v>1.2</v>
      </c>
      <c r="D102" s="33" t="n">
        <v>1.2</v>
      </c>
      <c r="E102" s="33" t="n">
        <v>0.5649999999999999</v>
      </c>
      <c r="F102" s="33" t="n">
        <v>1.072</v>
      </c>
      <c r="G102" s="33" t="n">
        <v>1.15</v>
      </c>
      <c r="H102" s="33" t="n">
        <v>1.14</v>
      </c>
      <c r="I102" s="33" t="n">
        <v>1</v>
      </c>
      <c r="J102" s="33" t="n">
        <v>1</v>
      </c>
    </row>
    <row r="103">
      <c r="A103" s="32" t="n">
        <v>99</v>
      </c>
      <c r="B103" s="33" t="n">
        <v>1.2</v>
      </c>
      <c r="C103" s="33" t="n">
        <v>1.2</v>
      </c>
      <c r="D103" s="33" t="n">
        <v>1.2</v>
      </c>
      <c r="E103" s="33" t="n">
        <v>0.532</v>
      </c>
      <c r="F103" s="33" t="n">
        <v>1.046</v>
      </c>
      <c r="G103" s="33" t="n">
        <v>1.15</v>
      </c>
      <c r="H103" s="33" t="n">
        <v>1.12</v>
      </c>
      <c r="I103" s="33" t="n">
        <v>0.992</v>
      </c>
      <c r="J103" s="33" t="n">
        <v>1</v>
      </c>
    </row>
    <row r="104">
      <c r="A104" s="32" t="n">
        <v>100</v>
      </c>
      <c r="B104" s="33" t="n">
        <v>1.2</v>
      </c>
      <c r="C104" s="33" t="n">
        <v>1.2</v>
      </c>
      <c r="D104" s="33" t="n">
        <v>1.2</v>
      </c>
      <c r="E104" s="33" t="n">
        <v>0.5</v>
      </c>
      <c r="F104" s="33" t="n">
        <v>1.02</v>
      </c>
      <c r="G104" s="33" t="n">
        <v>1.15</v>
      </c>
      <c r="H104" s="33" t="n">
        <v>1.1</v>
      </c>
      <c r="I104" s="33" t="n">
        <v>0.983</v>
      </c>
      <c r="J104" s="33" t="n">
        <v>1</v>
      </c>
    </row>
    <row r="105">
      <c r="A105" s="32" t="n">
        <v>101</v>
      </c>
      <c r="B105" s="33" t="n">
        <v>1.2</v>
      </c>
      <c r="C105" s="33" t="n">
        <v>1.2</v>
      </c>
      <c r="D105" s="33" t="n">
        <v>1.2</v>
      </c>
      <c r="E105" s="33" t="n">
        <v>0.5</v>
      </c>
      <c r="F105" s="33" t="n">
        <v>0.994</v>
      </c>
      <c r="G105" s="33" t="n">
        <v>1.15</v>
      </c>
      <c r="H105" s="33" t="n">
        <v>1.08</v>
      </c>
      <c r="I105" s="33" t="n">
        <v>0.975</v>
      </c>
      <c r="J105" s="33" t="n">
        <v>1</v>
      </c>
    </row>
    <row r="106">
      <c r="A106" s="32" t="n">
        <v>102</v>
      </c>
      <c r="B106" s="33" t="n">
        <v>1.2</v>
      </c>
      <c r="C106" s="33" t="n">
        <v>1.2</v>
      </c>
      <c r="D106" s="33" t="n">
        <v>1.2</v>
      </c>
      <c r="E106" s="33" t="n">
        <v>0.5</v>
      </c>
      <c r="F106" s="33" t="n">
        <v>0.968</v>
      </c>
      <c r="G106" s="33" t="n">
        <v>1.15</v>
      </c>
      <c r="H106" s="33" t="n">
        <v>1.06</v>
      </c>
      <c r="I106" s="33" t="n">
        <v>0.967</v>
      </c>
      <c r="J106" s="33" t="n">
        <v>1</v>
      </c>
    </row>
    <row r="107">
      <c r="A107" s="32" t="n">
        <v>103</v>
      </c>
      <c r="B107" s="33" t="n">
        <v>1.2</v>
      </c>
      <c r="C107" s="33" t="n">
        <v>1.2</v>
      </c>
      <c r="D107" s="33" t="n">
        <v>1.2</v>
      </c>
      <c r="E107" s="33" t="n">
        <v>0.5</v>
      </c>
      <c r="F107" s="33" t="n">
        <v>0.9419999999999999</v>
      </c>
      <c r="G107" s="33" t="n">
        <v>1.15</v>
      </c>
      <c r="H107" s="33" t="n">
        <v>1.04</v>
      </c>
      <c r="I107" s="33" t="n">
        <v>0.958</v>
      </c>
      <c r="J107" s="33" t="n">
        <v>1</v>
      </c>
    </row>
    <row r="108">
      <c r="A108" s="32" t="n">
        <v>104</v>
      </c>
      <c r="B108" s="33" t="n">
        <v>1.2</v>
      </c>
      <c r="C108" s="33" t="n">
        <v>1.2</v>
      </c>
      <c r="D108" s="33" t="n">
        <v>1.2</v>
      </c>
      <c r="E108" s="33" t="n">
        <v>0.5</v>
      </c>
      <c r="F108" s="33" t="n">
        <v>0.916</v>
      </c>
      <c r="G108" s="33" t="n">
        <v>1.15</v>
      </c>
      <c r="H108" s="33" t="n">
        <v>1.02</v>
      </c>
      <c r="I108" s="33" t="n">
        <v>0.95</v>
      </c>
      <c r="J108" s="33" t="n">
        <v>1</v>
      </c>
    </row>
    <row r="109">
      <c r="A109" s="32" t="n">
        <v>105</v>
      </c>
      <c r="B109" s="33" t="n">
        <v>1.2</v>
      </c>
      <c r="C109" s="33" t="n">
        <v>1.2</v>
      </c>
      <c r="D109" s="33" t="n">
        <v>1.2</v>
      </c>
      <c r="E109" s="33" t="n">
        <v>0.5</v>
      </c>
      <c r="F109" s="33" t="n">
        <v>0.89</v>
      </c>
      <c r="G109" s="33" t="n">
        <v>1.15</v>
      </c>
      <c r="H109" s="33" t="n">
        <v>1</v>
      </c>
      <c r="I109" s="33" t="n">
        <v>0.9419999999999999</v>
      </c>
      <c r="J109" s="33" t="n">
        <v>1</v>
      </c>
    </row>
    <row r="110">
      <c r="A110" s="32" t="n">
        <v>106</v>
      </c>
      <c r="B110" s="33" t="n">
        <v>1.2</v>
      </c>
      <c r="C110" s="33" t="n">
        <v>1.2</v>
      </c>
      <c r="D110" s="33" t="n">
        <v>1.2</v>
      </c>
      <c r="E110" s="33" t="n">
        <v>0.5</v>
      </c>
      <c r="F110" s="33" t="n">
        <v>0.864</v>
      </c>
      <c r="G110" s="33" t="n">
        <v>1.128</v>
      </c>
      <c r="H110" s="33" t="n">
        <v>0.98</v>
      </c>
      <c r="I110" s="33" t="n">
        <v>0.9330000000000001</v>
      </c>
      <c r="J110" s="33" t="n">
        <v>1</v>
      </c>
    </row>
    <row r="111">
      <c r="A111" s="32" t="n">
        <v>107</v>
      </c>
      <c r="B111" s="33" t="n">
        <v>1.2</v>
      </c>
      <c r="C111" s="33" t="n">
        <v>1.2</v>
      </c>
      <c r="D111" s="33" t="n">
        <v>1.2</v>
      </c>
      <c r="E111" s="33" t="n">
        <v>0.5</v>
      </c>
      <c r="F111" s="33" t="n">
        <v>0.838</v>
      </c>
      <c r="G111" s="33" t="n">
        <v>1.107</v>
      </c>
      <c r="H111" s="33" t="n">
        <v>0.96</v>
      </c>
      <c r="I111" s="33" t="n">
        <v>0.925</v>
      </c>
      <c r="J111" s="33" t="n">
        <v>1</v>
      </c>
    </row>
    <row r="112">
      <c r="A112" s="32" t="n">
        <v>108</v>
      </c>
      <c r="B112" s="33" t="n">
        <v>1.2</v>
      </c>
      <c r="C112" s="33" t="n">
        <v>1.2</v>
      </c>
      <c r="D112" s="33" t="n">
        <v>1.2</v>
      </c>
      <c r="E112" s="33" t="n">
        <v>0.5</v>
      </c>
      <c r="F112" s="33" t="n">
        <v>0.8120000000000001</v>
      </c>
      <c r="G112" s="33" t="n">
        <v>1.085</v>
      </c>
      <c r="H112" s="33" t="n">
        <v>0.9399999999999999</v>
      </c>
      <c r="I112" s="33" t="n">
        <v>0.917</v>
      </c>
      <c r="J112" s="33" t="n">
        <v>1</v>
      </c>
    </row>
    <row r="113">
      <c r="A113" s="32" t="n">
        <v>109</v>
      </c>
      <c r="B113" s="33" t="n">
        <v>1.2</v>
      </c>
      <c r="C113" s="33" t="n">
        <v>1.2</v>
      </c>
      <c r="D113" s="33" t="n">
        <v>1.2</v>
      </c>
      <c r="E113" s="33" t="n">
        <v>0.5</v>
      </c>
      <c r="F113" s="33" t="n">
        <v>0.786</v>
      </c>
      <c r="G113" s="33" t="n">
        <v>1.063</v>
      </c>
      <c r="H113" s="33" t="n">
        <v>0.92</v>
      </c>
      <c r="I113" s="33" t="n">
        <v>0.908</v>
      </c>
      <c r="J113" s="33" t="n">
        <v>1</v>
      </c>
    </row>
    <row r="114">
      <c r="A114" s="32" t="n">
        <v>110</v>
      </c>
      <c r="B114" s="33" t="n">
        <v>1.2</v>
      </c>
      <c r="C114" s="33" t="n">
        <v>1.2</v>
      </c>
      <c r="D114" s="33" t="n">
        <v>1.2</v>
      </c>
      <c r="E114" s="33" t="n">
        <v>0.5</v>
      </c>
      <c r="F114" s="33" t="n">
        <v>0.76</v>
      </c>
      <c r="G114" s="33" t="n">
        <v>1.042</v>
      </c>
      <c r="H114" s="33" t="n">
        <v>0.9</v>
      </c>
      <c r="I114" s="33" t="n">
        <v>0.9</v>
      </c>
      <c r="J114" s="33" t="n">
        <v>1</v>
      </c>
    </row>
    <row r="115">
      <c r="A115" s="32" t="n">
        <v>111</v>
      </c>
      <c r="B115" s="33" t="n">
        <v>1.2</v>
      </c>
      <c r="C115" s="33" t="n">
        <v>1.2</v>
      </c>
      <c r="D115" s="33" t="n">
        <v>1.2</v>
      </c>
      <c r="E115" s="33" t="n">
        <v>0.5</v>
      </c>
      <c r="F115" s="33" t="n">
        <v>0.734</v>
      </c>
      <c r="G115" s="33" t="n">
        <v>1.02</v>
      </c>
      <c r="H115" s="33" t="n">
        <v>0.88</v>
      </c>
      <c r="I115" s="33" t="n">
        <v>0.9</v>
      </c>
      <c r="J115" s="33" t="n">
        <v>1</v>
      </c>
    </row>
    <row r="116">
      <c r="A116" s="32" t="n">
        <v>112</v>
      </c>
      <c r="B116" s="33" t="n">
        <v>1.2</v>
      </c>
      <c r="C116" s="33" t="n">
        <v>1.2</v>
      </c>
      <c r="D116" s="33" t="n">
        <v>1.2</v>
      </c>
      <c r="E116" s="33" t="n">
        <v>0.5</v>
      </c>
      <c r="F116" s="33" t="n">
        <v>0.708</v>
      </c>
      <c r="G116" s="33" t="n">
        <v>0.998</v>
      </c>
      <c r="H116" s="33" t="n">
        <v>0.86</v>
      </c>
      <c r="I116" s="33" t="n">
        <v>0.9</v>
      </c>
      <c r="J116" s="33" t="n">
        <v>1</v>
      </c>
    </row>
    <row r="117">
      <c r="A117" s="32" t="n">
        <v>113</v>
      </c>
      <c r="B117" s="33" t="n">
        <v>1.2</v>
      </c>
      <c r="C117" s="33" t="n">
        <v>1.2</v>
      </c>
      <c r="D117" s="33" t="n">
        <v>1.2</v>
      </c>
      <c r="E117" s="33" t="n">
        <v>0.5</v>
      </c>
      <c r="F117" s="33" t="n">
        <v>0.6820000000000001</v>
      </c>
      <c r="G117" s="33" t="n">
        <v>0.977</v>
      </c>
      <c r="H117" s="33" t="n">
        <v>0.84</v>
      </c>
      <c r="I117" s="33" t="n">
        <v>0.9</v>
      </c>
      <c r="J117" s="33" t="n">
        <v>1</v>
      </c>
    </row>
    <row r="118">
      <c r="A118" s="32" t="n">
        <v>114</v>
      </c>
      <c r="B118" s="33" t="n">
        <v>1.2</v>
      </c>
      <c r="C118" s="33" t="n">
        <v>1.2</v>
      </c>
      <c r="D118" s="33" t="n">
        <v>1.2</v>
      </c>
      <c r="E118" s="33" t="n">
        <v>0.5</v>
      </c>
      <c r="F118" s="33" t="n">
        <v>0.656</v>
      </c>
      <c r="G118" s="33" t="n">
        <v>0.955</v>
      </c>
      <c r="H118" s="33" t="n">
        <v>0.82</v>
      </c>
      <c r="I118" s="33" t="n">
        <v>0.9</v>
      </c>
      <c r="J118" s="33" t="n">
        <v>1</v>
      </c>
    </row>
    <row r="119">
      <c r="A119" s="32" t="n">
        <v>115</v>
      </c>
      <c r="B119" s="33" t="n">
        <v>1.2</v>
      </c>
      <c r="C119" s="33" t="n">
        <v>1.2</v>
      </c>
      <c r="D119" s="33" t="n">
        <v>1.2</v>
      </c>
      <c r="E119" s="33" t="n">
        <v>0.5</v>
      </c>
      <c r="F119" s="33" t="n">
        <v>0.63</v>
      </c>
      <c r="G119" s="33" t="n">
        <v>0.9330000000000001</v>
      </c>
      <c r="H119" s="33" t="n">
        <v>0.8</v>
      </c>
      <c r="I119" s="33" t="n">
        <v>0.9</v>
      </c>
      <c r="J119" s="33" t="n">
        <v>1</v>
      </c>
    </row>
    <row r="120">
      <c r="A120" s="32" t="n">
        <v>116</v>
      </c>
      <c r="B120" s="33" t="n">
        <v>1.2</v>
      </c>
      <c r="C120" s="33" t="n">
        <v>1.2</v>
      </c>
      <c r="D120" s="33" t="n">
        <v>1.2</v>
      </c>
      <c r="E120" s="33" t="n">
        <v>0.5</v>
      </c>
      <c r="F120" s="33" t="n">
        <v>0.604</v>
      </c>
      <c r="G120" s="33" t="n">
        <v>0.912</v>
      </c>
      <c r="H120" s="33" t="n">
        <v>0.78</v>
      </c>
      <c r="I120" s="33" t="n">
        <v>0.9</v>
      </c>
      <c r="J120" s="33" t="n">
        <v>1</v>
      </c>
    </row>
    <row r="121">
      <c r="A121" s="32" t="n">
        <v>117</v>
      </c>
      <c r="B121" s="33" t="n">
        <v>1.2</v>
      </c>
      <c r="C121" s="33" t="n">
        <v>1.2</v>
      </c>
      <c r="D121" s="33" t="n">
        <v>1.2</v>
      </c>
      <c r="E121" s="33" t="n">
        <v>0.5</v>
      </c>
      <c r="F121" s="33" t="n">
        <v>0.578</v>
      </c>
      <c r="G121" s="33" t="n">
        <v>0.89</v>
      </c>
      <c r="H121" s="33" t="n">
        <v>0.76</v>
      </c>
      <c r="I121" s="33" t="n">
        <v>0.9</v>
      </c>
      <c r="J121" s="33" t="n">
        <v>1</v>
      </c>
    </row>
    <row r="122">
      <c r="A122" s="32" t="n">
        <v>118</v>
      </c>
      <c r="B122" s="33" t="n">
        <v>1.2</v>
      </c>
      <c r="C122" s="33" t="n">
        <v>1.2</v>
      </c>
      <c r="D122" s="33" t="n">
        <v>1.2</v>
      </c>
      <c r="E122" s="33" t="n">
        <v>0.5</v>
      </c>
      <c r="F122" s="33" t="n">
        <v>0.552</v>
      </c>
      <c r="G122" s="33" t="n">
        <v>0.868</v>
      </c>
      <c r="H122" s="33" t="n">
        <v>0.74</v>
      </c>
      <c r="I122" s="33" t="n">
        <v>0.9</v>
      </c>
      <c r="J122" s="33" t="n">
        <v>1</v>
      </c>
    </row>
    <row r="123">
      <c r="A123" s="32" t="n">
        <v>119</v>
      </c>
      <c r="B123" s="33" t="n">
        <v>1.2</v>
      </c>
      <c r="C123" s="33" t="n">
        <v>1.2</v>
      </c>
      <c r="D123" s="33" t="n">
        <v>1.2</v>
      </c>
      <c r="E123" s="33" t="n">
        <v>0.5</v>
      </c>
      <c r="F123" s="33" t="n">
        <v>0.526</v>
      </c>
      <c r="G123" s="33" t="n">
        <v>0.847</v>
      </c>
      <c r="H123" s="33" t="n">
        <v>0.72</v>
      </c>
      <c r="I123" s="33" t="n">
        <v>0.9</v>
      </c>
      <c r="J123" s="33" t="n">
        <v>1</v>
      </c>
    </row>
    <row r="124">
      <c r="A124" s="32" t="n">
        <v>120</v>
      </c>
      <c r="B124" s="33" t="n">
        <v>1.2</v>
      </c>
      <c r="C124" s="33" t="n">
        <v>1.2</v>
      </c>
      <c r="D124" s="33" t="n">
        <v>1.2</v>
      </c>
      <c r="E124" s="33" t="n">
        <v>0.5</v>
      </c>
      <c r="F124" s="33" t="n">
        <v>0.5</v>
      </c>
      <c r="G124" s="33" t="n">
        <v>0.825</v>
      </c>
      <c r="H124" s="33" t="n">
        <v>0.7</v>
      </c>
      <c r="I124" s="33" t="n">
        <v>0.9</v>
      </c>
      <c r="J124" s="33" t="n">
        <v>1</v>
      </c>
    </row>
    <row r="125">
      <c r="A125" s="32" t="n">
        <v>121</v>
      </c>
      <c r="B125" s="33" t="n">
        <v>1.185</v>
      </c>
      <c r="C125" s="33" t="n">
        <v>1.2</v>
      </c>
      <c r="D125" s="33" t="n">
        <v>1.2</v>
      </c>
      <c r="E125" s="33" t="n">
        <v>0.5</v>
      </c>
      <c r="F125" s="33" t="n">
        <v>0.5</v>
      </c>
      <c r="G125" s="33" t="n">
        <v>0.803</v>
      </c>
      <c r="H125" s="33" t="n">
        <v>0.68</v>
      </c>
      <c r="I125" s="33" t="n">
        <v>0.9</v>
      </c>
      <c r="J125" s="33" t="n">
        <v>1</v>
      </c>
    </row>
    <row r="126">
      <c r="A126" s="32" t="n">
        <v>122</v>
      </c>
      <c r="B126" s="33" t="n">
        <v>1.17</v>
      </c>
      <c r="C126" s="33" t="n">
        <v>1.2</v>
      </c>
      <c r="D126" s="33" t="n">
        <v>1.2</v>
      </c>
      <c r="E126" s="33" t="n">
        <v>0.5</v>
      </c>
      <c r="F126" s="33" t="n">
        <v>0.5</v>
      </c>
      <c r="G126" s="33" t="n">
        <v>0.782</v>
      </c>
      <c r="H126" s="33" t="n">
        <v>0.66</v>
      </c>
      <c r="I126" s="33" t="n">
        <v>0.9</v>
      </c>
      <c r="J126" s="33" t="n">
        <v>1</v>
      </c>
    </row>
    <row r="127">
      <c r="A127" s="32" t="n">
        <v>123</v>
      </c>
      <c r="B127" s="33" t="n">
        <v>1.155</v>
      </c>
      <c r="C127" s="33" t="n">
        <v>1.2</v>
      </c>
      <c r="D127" s="33" t="n">
        <v>1.2</v>
      </c>
      <c r="E127" s="33" t="n">
        <v>0.5</v>
      </c>
      <c r="F127" s="33" t="n">
        <v>0.5</v>
      </c>
      <c r="G127" s="33" t="n">
        <v>0.76</v>
      </c>
      <c r="H127" s="33" t="n">
        <v>0.64</v>
      </c>
      <c r="I127" s="33" t="n">
        <v>0.9</v>
      </c>
      <c r="J127" s="33" t="n">
        <v>1</v>
      </c>
    </row>
    <row r="128">
      <c r="A128" s="32" t="n">
        <v>124</v>
      </c>
      <c r="B128" s="33" t="n">
        <v>1.14</v>
      </c>
      <c r="C128" s="33" t="n">
        <v>1.2</v>
      </c>
      <c r="D128" s="33" t="n">
        <v>1.2</v>
      </c>
      <c r="E128" s="33" t="n">
        <v>0.5</v>
      </c>
      <c r="F128" s="33" t="n">
        <v>0.5</v>
      </c>
      <c r="G128" s="33" t="n">
        <v>0.738</v>
      </c>
      <c r="H128" s="33" t="n">
        <v>0.62</v>
      </c>
      <c r="I128" s="33" t="n">
        <v>0.9</v>
      </c>
      <c r="J128" s="33" t="n">
        <v>1</v>
      </c>
    </row>
    <row r="129">
      <c r="A129" s="32" t="n">
        <v>125</v>
      </c>
      <c r="B129" s="33" t="n">
        <v>1.125</v>
      </c>
      <c r="C129" s="33" t="n">
        <v>1.2</v>
      </c>
      <c r="D129" s="33" t="n">
        <v>1.2</v>
      </c>
      <c r="E129" s="33" t="n">
        <v>0.5</v>
      </c>
      <c r="F129" s="33" t="n">
        <v>0.5</v>
      </c>
      <c r="G129" s="33" t="n">
        <v>0.717</v>
      </c>
      <c r="H129" s="33" t="n">
        <v>0.6</v>
      </c>
      <c r="I129" s="33" t="n">
        <v>0.9</v>
      </c>
      <c r="J129" s="33" t="n">
        <v>1</v>
      </c>
    </row>
    <row r="130">
      <c r="A130" s="32" t="n">
        <v>126</v>
      </c>
      <c r="B130" s="33" t="n">
        <v>1.11</v>
      </c>
      <c r="C130" s="33" t="n">
        <v>1.2</v>
      </c>
      <c r="D130" s="33" t="n">
        <v>1.2</v>
      </c>
      <c r="E130" s="33" t="n">
        <v>0.5</v>
      </c>
      <c r="F130" s="33" t="n">
        <v>0.5</v>
      </c>
      <c r="G130" s="33" t="n">
        <v>0.695</v>
      </c>
      <c r="H130" s="33" t="n">
        <v>0.6</v>
      </c>
      <c r="I130" s="33" t="n">
        <v>0.9</v>
      </c>
      <c r="J130" s="33" t="n">
        <v>1</v>
      </c>
    </row>
    <row r="131">
      <c r="A131" s="32" t="n">
        <v>127</v>
      </c>
      <c r="B131" s="33" t="n">
        <v>1.095</v>
      </c>
      <c r="C131" s="33" t="n">
        <v>1.2</v>
      </c>
      <c r="D131" s="33" t="n">
        <v>1.2</v>
      </c>
      <c r="E131" s="33" t="n">
        <v>0.5</v>
      </c>
      <c r="F131" s="33" t="n">
        <v>0.5</v>
      </c>
      <c r="G131" s="33" t="n">
        <v>0.673</v>
      </c>
      <c r="H131" s="33" t="n">
        <v>0.6</v>
      </c>
      <c r="I131" s="33" t="n">
        <v>0.9</v>
      </c>
      <c r="J131" s="33" t="n">
        <v>1</v>
      </c>
    </row>
    <row r="132">
      <c r="A132" s="32" t="n">
        <v>128</v>
      </c>
      <c r="B132" s="33" t="n">
        <v>1.08</v>
      </c>
      <c r="C132" s="33" t="n">
        <v>1.2</v>
      </c>
      <c r="D132" s="33" t="n">
        <v>1.2</v>
      </c>
      <c r="E132" s="33" t="n">
        <v>0.5</v>
      </c>
      <c r="F132" s="33" t="n">
        <v>0.5</v>
      </c>
      <c r="G132" s="33" t="n">
        <v>0.652</v>
      </c>
      <c r="H132" s="33" t="n">
        <v>0.6</v>
      </c>
      <c r="I132" s="33" t="n">
        <v>0.9</v>
      </c>
      <c r="J132" s="33" t="n">
        <v>1</v>
      </c>
    </row>
    <row r="133">
      <c r="A133" s="32" t="n">
        <v>129</v>
      </c>
      <c r="B133" s="33" t="n">
        <v>1.065</v>
      </c>
      <c r="C133" s="33" t="n">
        <v>1.2</v>
      </c>
      <c r="D133" s="33" t="n">
        <v>1.2</v>
      </c>
      <c r="E133" s="33" t="n">
        <v>0.5</v>
      </c>
      <c r="F133" s="33" t="n">
        <v>0.5</v>
      </c>
      <c r="G133" s="33" t="n">
        <v>0.63</v>
      </c>
      <c r="H133" s="33" t="n">
        <v>0.6</v>
      </c>
      <c r="I133" s="33" t="n">
        <v>0.9</v>
      </c>
      <c r="J133" s="33" t="n">
        <v>1</v>
      </c>
    </row>
    <row r="134">
      <c r="A134" s="32" t="n">
        <v>130</v>
      </c>
      <c r="B134" s="33" t="n">
        <v>1.05</v>
      </c>
      <c r="C134" s="33" t="n">
        <v>1.2</v>
      </c>
      <c r="D134" s="33" t="n">
        <v>1.2</v>
      </c>
      <c r="E134" s="33" t="n">
        <v>0.5</v>
      </c>
      <c r="F134" s="33" t="n">
        <v>0.5</v>
      </c>
      <c r="G134" s="33" t="n">
        <v>0.608</v>
      </c>
      <c r="H134" s="33" t="n">
        <v>0.6</v>
      </c>
      <c r="I134" s="33" t="n">
        <v>0.9</v>
      </c>
      <c r="J134" s="33" t="n">
        <v>1</v>
      </c>
    </row>
    <row r="135">
      <c r="A135" s="32" t="n">
        <v>131</v>
      </c>
      <c r="B135" s="33" t="n">
        <v>1.035</v>
      </c>
      <c r="C135" s="33" t="n">
        <v>1.187</v>
      </c>
      <c r="D135" s="33" t="n">
        <v>1.2</v>
      </c>
      <c r="E135" s="33" t="n">
        <v>0.5</v>
      </c>
      <c r="F135" s="33" t="n">
        <v>0.5</v>
      </c>
      <c r="G135" s="33" t="n">
        <v>0.587</v>
      </c>
      <c r="H135" s="33" t="n">
        <v>0.6</v>
      </c>
      <c r="I135" s="33" t="n">
        <v>0.9</v>
      </c>
      <c r="J135" s="33" t="n">
        <v>1</v>
      </c>
    </row>
    <row r="136">
      <c r="A136" s="32" t="n">
        <v>132</v>
      </c>
      <c r="B136" s="33" t="n">
        <v>1.02</v>
      </c>
      <c r="C136" s="33" t="n">
        <v>1.173</v>
      </c>
      <c r="D136" s="33" t="n">
        <v>1.2</v>
      </c>
      <c r="E136" s="33" t="n">
        <v>0.5</v>
      </c>
      <c r="F136" s="33" t="n">
        <v>0.5</v>
      </c>
      <c r="G136" s="33" t="n">
        <v>0.5649999999999999</v>
      </c>
      <c r="H136" s="33" t="n">
        <v>0.6</v>
      </c>
      <c r="I136" s="33" t="n">
        <v>0.9</v>
      </c>
      <c r="J136" s="33" t="n">
        <v>1</v>
      </c>
    </row>
    <row r="137">
      <c r="A137" s="32" t="n">
        <v>133</v>
      </c>
      <c r="B137" s="33" t="n">
        <v>1.005</v>
      </c>
      <c r="C137" s="33" t="n">
        <v>1.16</v>
      </c>
      <c r="D137" s="33" t="n">
        <v>1.2</v>
      </c>
      <c r="E137" s="33" t="n">
        <v>0.5</v>
      </c>
      <c r="F137" s="33" t="n">
        <v>0.5</v>
      </c>
      <c r="G137" s="33" t="n">
        <v>0.543</v>
      </c>
      <c r="H137" s="33" t="n">
        <v>0.6</v>
      </c>
      <c r="I137" s="33" t="n">
        <v>0.9</v>
      </c>
      <c r="J137" s="33" t="n">
        <v>1</v>
      </c>
    </row>
    <row r="138">
      <c r="A138" s="32" t="n">
        <v>134</v>
      </c>
      <c r="B138" s="33" t="n">
        <v>0.99</v>
      </c>
      <c r="C138" s="33" t="n">
        <v>1.147</v>
      </c>
      <c r="D138" s="33" t="n">
        <v>1.2</v>
      </c>
      <c r="E138" s="33" t="n">
        <v>0.5</v>
      </c>
      <c r="F138" s="33" t="n">
        <v>0.5</v>
      </c>
      <c r="G138" s="33" t="n">
        <v>0.522</v>
      </c>
      <c r="H138" s="33" t="n">
        <v>0.6</v>
      </c>
      <c r="I138" s="33" t="n">
        <v>0.9</v>
      </c>
      <c r="J138" s="33" t="n">
        <v>1</v>
      </c>
    </row>
    <row r="139">
      <c r="A139" s="32" t="n">
        <v>135</v>
      </c>
      <c r="B139" s="33" t="n">
        <v>0.975</v>
      </c>
      <c r="C139" s="33" t="n">
        <v>1.133</v>
      </c>
      <c r="D139" s="33" t="n">
        <v>1.2</v>
      </c>
      <c r="E139" s="33" t="n">
        <v>0.5</v>
      </c>
      <c r="F139" s="33" t="n">
        <v>0.5</v>
      </c>
      <c r="G139" s="33" t="n">
        <v>0.5</v>
      </c>
      <c r="H139" s="33" t="n">
        <v>0.6</v>
      </c>
      <c r="I139" s="33" t="n">
        <v>0.9</v>
      </c>
      <c r="J139" s="33" t="n">
        <v>1</v>
      </c>
    </row>
    <row r="140">
      <c r="A140" s="32" t="n">
        <v>136</v>
      </c>
      <c r="B140" s="33" t="n">
        <v>0.96</v>
      </c>
      <c r="C140" s="33" t="n">
        <v>1.12</v>
      </c>
      <c r="D140" s="33" t="n">
        <v>1.2</v>
      </c>
      <c r="E140" s="33" t="n">
        <v>0.5</v>
      </c>
      <c r="F140" s="33" t="n">
        <v>0.5</v>
      </c>
      <c r="G140" s="33" t="n">
        <v>0.5</v>
      </c>
      <c r="H140" s="33" t="n">
        <v>0.6</v>
      </c>
      <c r="I140" s="33" t="n">
        <v>0.9</v>
      </c>
      <c r="J140" s="33" t="n">
        <v>1</v>
      </c>
    </row>
    <row r="141">
      <c r="A141" s="32" t="n">
        <v>137</v>
      </c>
      <c r="B141" s="33" t="n">
        <v>0.945</v>
      </c>
      <c r="C141" s="33" t="n">
        <v>1.107</v>
      </c>
      <c r="D141" s="33" t="n">
        <v>1.2</v>
      </c>
      <c r="E141" s="33" t="n">
        <v>0.5</v>
      </c>
      <c r="F141" s="33" t="n">
        <v>0.5</v>
      </c>
      <c r="G141" s="33" t="n">
        <v>0.5</v>
      </c>
      <c r="H141" s="33" t="n">
        <v>0.6</v>
      </c>
      <c r="I141" s="33" t="n">
        <v>0.9</v>
      </c>
      <c r="J141" s="33" t="n">
        <v>1</v>
      </c>
    </row>
    <row r="142">
      <c r="A142" s="32" t="n">
        <v>138</v>
      </c>
      <c r="B142" s="33" t="n">
        <v>0.93</v>
      </c>
      <c r="C142" s="33" t="n">
        <v>1.093</v>
      </c>
      <c r="D142" s="33" t="n">
        <v>1.2</v>
      </c>
      <c r="E142" s="33" t="n">
        <v>0.5</v>
      </c>
      <c r="F142" s="33" t="n">
        <v>0.5</v>
      </c>
      <c r="G142" s="33" t="n">
        <v>0.5</v>
      </c>
      <c r="H142" s="33" t="n">
        <v>0.6</v>
      </c>
      <c r="I142" s="33" t="n">
        <v>0.9</v>
      </c>
      <c r="J142" s="33" t="n">
        <v>1</v>
      </c>
    </row>
    <row r="143">
      <c r="A143" s="32" t="n">
        <v>139</v>
      </c>
      <c r="B143" s="33" t="n">
        <v>0.915</v>
      </c>
      <c r="C143" s="33" t="n">
        <v>1.08</v>
      </c>
      <c r="D143" s="33" t="n">
        <v>1.2</v>
      </c>
      <c r="E143" s="33" t="n">
        <v>0.5</v>
      </c>
      <c r="F143" s="33" t="n">
        <v>0.5</v>
      </c>
      <c r="G143" s="33" t="n">
        <v>0.5</v>
      </c>
      <c r="H143" s="33" t="n">
        <v>0.6</v>
      </c>
      <c r="I143" s="33" t="n">
        <v>0.9</v>
      </c>
      <c r="J143" s="33" t="n">
        <v>1</v>
      </c>
    </row>
    <row r="144">
      <c r="A144" s="32" t="n">
        <v>140</v>
      </c>
      <c r="B144" s="33" t="n">
        <v>0.9</v>
      </c>
      <c r="C144" s="33" t="n">
        <v>1.067</v>
      </c>
      <c r="D144" s="33" t="n">
        <v>1.2</v>
      </c>
      <c r="E144" s="33" t="n">
        <v>0.5</v>
      </c>
      <c r="F144" s="33" t="n">
        <v>0.5</v>
      </c>
      <c r="G144" s="33" t="n">
        <v>0.5</v>
      </c>
      <c r="H144" s="33" t="n">
        <v>0.6</v>
      </c>
      <c r="I144" s="33" t="n">
        <v>0.9</v>
      </c>
      <c r="J144" s="33" t="n">
        <v>1</v>
      </c>
    </row>
    <row r="145">
      <c r="A145" s="32" t="n">
        <v>141</v>
      </c>
      <c r="B145" s="33" t="n">
        <v>0.885</v>
      </c>
      <c r="C145" s="33" t="n">
        <v>1.053</v>
      </c>
      <c r="D145" s="33" t="n">
        <v>1.187</v>
      </c>
      <c r="E145" s="33" t="n">
        <v>0.5</v>
      </c>
      <c r="F145" s="33" t="n">
        <v>0.5</v>
      </c>
      <c r="G145" s="33" t="n">
        <v>0.5</v>
      </c>
      <c r="H145" s="33" t="n">
        <v>0.6</v>
      </c>
      <c r="I145" s="33" t="n">
        <v>0.9</v>
      </c>
      <c r="J145" s="33" t="n">
        <v>1</v>
      </c>
    </row>
    <row r="146">
      <c r="A146" s="32" t="n">
        <v>142</v>
      </c>
      <c r="B146" s="33" t="n">
        <v>0.87</v>
      </c>
      <c r="C146" s="33" t="n">
        <v>1.04</v>
      </c>
      <c r="D146" s="33" t="n">
        <v>1.173</v>
      </c>
      <c r="E146" s="33" t="n">
        <v>0.5</v>
      </c>
      <c r="F146" s="33" t="n">
        <v>0.5</v>
      </c>
      <c r="G146" s="33" t="n">
        <v>0.5</v>
      </c>
      <c r="H146" s="33" t="n">
        <v>0.6</v>
      </c>
      <c r="I146" s="33" t="n">
        <v>0.9</v>
      </c>
      <c r="J146" s="33" t="n">
        <v>1</v>
      </c>
    </row>
    <row r="147">
      <c r="A147" s="32" t="n">
        <v>143</v>
      </c>
      <c r="B147" s="33" t="n">
        <v>0.855</v>
      </c>
      <c r="C147" s="33" t="n">
        <v>1.027</v>
      </c>
      <c r="D147" s="33" t="n">
        <v>1.16</v>
      </c>
      <c r="E147" s="33" t="n">
        <v>0.5</v>
      </c>
      <c r="F147" s="33" t="n">
        <v>0.5</v>
      </c>
      <c r="G147" s="33" t="n">
        <v>0.5</v>
      </c>
      <c r="H147" s="33" t="n">
        <v>0.6</v>
      </c>
      <c r="I147" s="33" t="n">
        <v>0.9</v>
      </c>
      <c r="J147" s="33" t="n">
        <v>1</v>
      </c>
    </row>
    <row r="148">
      <c r="A148" s="32" t="n">
        <v>144</v>
      </c>
      <c r="B148" s="33" t="n">
        <v>0.84</v>
      </c>
      <c r="C148" s="33" t="n">
        <v>1.013</v>
      </c>
      <c r="D148" s="33" t="n">
        <v>1.147</v>
      </c>
      <c r="E148" s="33" t="n">
        <v>0.5</v>
      </c>
      <c r="F148" s="33" t="n">
        <v>0.5</v>
      </c>
      <c r="G148" s="33" t="n">
        <v>0.5</v>
      </c>
      <c r="H148" s="33" t="n">
        <v>0.6</v>
      </c>
      <c r="I148" s="33" t="n">
        <v>0.9</v>
      </c>
      <c r="J148" s="33" t="n">
        <v>1</v>
      </c>
    </row>
    <row r="149">
      <c r="A149" s="32" t="n">
        <v>145</v>
      </c>
      <c r="B149" s="33" t="n">
        <v>0.825</v>
      </c>
      <c r="C149" s="33" t="n">
        <v>1</v>
      </c>
      <c r="D149" s="33" t="n">
        <v>1.133</v>
      </c>
      <c r="E149" s="33" t="n">
        <v>0.5</v>
      </c>
      <c r="F149" s="33" t="n">
        <v>0.5</v>
      </c>
      <c r="G149" s="33" t="n">
        <v>0.5</v>
      </c>
      <c r="H149" s="33" t="n">
        <v>0.6</v>
      </c>
      <c r="I149" s="33" t="n">
        <v>0.9</v>
      </c>
      <c r="J149" s="33" t="n">
        <v>1</v>
      </c>
    </row>
    <row r="150">
      <c r="A150" s="32" t="n">
        <v>146</v>
      </c>
      <c r="B150" s="33" t="n">
        <v>0.8100000000000001</v>
      </c>
      <c r="C150" s="33" t="n">
        <v>0.987</v>
      </c>
      <c r="D150" s="33" t="n">
        <v>1.12</v>
      </c>
      <c r="E150" s="33" t="n">
        <v>0.5</v>
      </c>
      <c r="F150" s="33" t="n">
        <v>0.5</v>
      </c>
      <c r="G150" s="33" t="n">
        <v>0.5</v>
      </c>
      <c r="H150" s="33" t="n">
        <v>0.6</v>
      </c>
      <c r="I150" s="33" t="n">
        <v>0.9</v>
      </c>
      <c r="J150" s="33" t="n">
        <v>1</v>
      </c>
    </row>
    <row r="151">
      <c r="A151" s="32" t="n">
        <v>147</v>
      </c>
      <c r="B151" s="33" t="n">
        <v>0.795</v>
      </c>
      <c r="C151" s="33" t="n">
        <v>0.973</v>
      </c>
      <c r="D151" s="33" t="n">
        <v>1.107</v>
      </c>
      <c r="E151" s="33" t="n">
        <v>0.5</v>
      </c>
      <c r="F151" s="33" t="n">
        <v>0.5</v>
      </c>
      <c r="G151" s="33" t="n">
        <v>0.5</v>
      </c>
      <c r="H151" s="33" t="n">
        <v>0.6</v>
      </c>
      <c r="I151" s="33" t="n">
        <v>0.9</v>
      </c>
      <c r="J151" s="33" t="n">
        <v>1</v>
      </c>
    </row>
    <row r="152">
      <c r="A152" s="32" t="n">
        <v>148</v>
      </c>
      <c r="B152" s="33" t="n">
        <v>0.78</v>
      </c>
      <c r="C152" s="33" t="n">
        <v>0.96</v>
      </c>
      <c r="D152" s="33" t="n">
        <v>1.093</v>
      </c>
      <c r="E152" s="33" t="n">
        <v>0.5</v>
      </c>
      <c r="F152" s="33" t="n">
        <v>0.5</v>
      </c>
      <c r="G152" s="33" t="n">
        <v>0.5</v>
      </c>
      <c r="H152" s="33" t="n">
        <v>0.6</v>
      </c>
      <c r="I152" s="33" t="n">
        <v>0.9</v>
      </c>
      <c r="J152" s="33" t="n">
        <v>1</v>
      </c>
    </row>
    <row r="153">
      <c r="A153" s="32" t="n">
        <v>149</v>
      </c>
      <c r="B153" s="33" t="n">
        <v>0.765</v>
      </c>
      <c r="C153" s="33" t="n">
        <v>0.947</v>
      </c>
      <c r="D153" s="33" t="n">
        <v>1.08</v>
      </c>
      <c r="E153" s="33" t="n">
        <v>0.5</v>
      </c>
      <c r="F153" s="33" t="n">
        <v>0.5</v>
      </c>
      <c r="G153" s="33" t="n">
        <v>0.5</v>
      </c>
      <c r="H153" s="33" t="n">
        <v>0.6</v>
      </c>
      <c r="I153" s="33" t="n">
        <v>0.9</v>
      </c>
      <c r="J153" s="33" t="n">
        <v>1</v>
      </c>
    </row>
    <row r="154">
      <c r="A154" s="32" t="n">
        <v>150</v>
      </c>
      <c r="B154" s="33" t="n">
        <v>0.75</v>
      </c>
      <c r="C154" s="33" t="n">
        <v>0.9330000000000001</v>
      </c>
      <c r="D154" s="33" t="n">
        <v>1.067</v>
      </c>
      <c r="E154" s="33" t="n">
        <v>0.5</v>
      </c>
      <c r="F154" s="33" t="n">
        <v>0.5</v>
      </c>
      <c r="G154" s="33" t="n">
        <v>0.5</v>
      </c>
      <c r="H154" s="33" t="n">
        <v>0.6</v>
      </c>
      <c r="I154" s="33" t="n">
        <v>0.9</v>
      </c>
      <c r="J154" s="33" t="n">
        <v>1</v>
      </c>
    </row>
    <row r="155">
      <c r="A155" s="32" t="n">
        <v>151</v>
      </c>
      <c r="B155" s="33" t="n">
        <v>0.735</v>
      </c>
      <c r="C155" s="33" t="n">
        <v>0.92</v>
      </c>
      <c r="D155" s="33" t="n">
        <v>1.053</v>
      </c>
      <c r="E155" s="33" t="n">
        <v>0.5</v>
      </c>
      <c r="F155" s="33" t="n">
        <v>0.5</v>
      </c>
      <c r="G155" s="33" t="n">
        <v>0.5</v>
      </c>
      <c r="H155" s="33" t="n">
        <v>0.6</v>
      </c>
      <c r="I155" s="33" t="n">
        <v>0.9</v>
      </c>
      <c r="J155" s="33" t="n">
        <v>1</v>
      </c>
    </row>
    <row r="156">
      <c r="A156" s="32" t="n">
        <v>152</v>
      </c>
      <c r="B156" s="33" t="n">
        <v>0.72</v>
      </c>
      <c r="C156" s="33" t="n">
        <v>0.907</v>
      </c>
      <c r="D156" s="33" t="n">
        <v>1.04</v>
      </c>
      <c r="E156" s="33" t="n">
        <v>0.5</v>
      </c>
      <c r="F156" s="33" t="n">
        <v>0.5</v>
      </c>
      <c r="G156" s="33" t="n">
        <v>0.5</v>
      </c>
      <c r="H156" s="33" t="n">
        <v>0.6</v>
      </c>
      <c r="I156" s="33" t="n">
        <v>0.9</v>
      </c>
      <c r="J156" s="33" t="n">
        <v>1</v>
      </c>
    </row>
    <row r="157">
      <c r="A157" s="32" t="n">
        <v>153</v>
      </c>
      <c r="B157" s="33" t="n">
        <v>0.705</v>
      </c>
      <c r="C157" s="33" t="n">
        <v>0.893</v>
      </c>
      <c r="D157" s="33" t="n">
        <v>1.027</v>
      </c>
      <c r="E157" s="33" t="n">
        <v>0.5</v>
      </c>
      <c r="F157" s="33" t="n">
        <v>0.5</v>
      </c>
      <c r="G157" s="33" t="n">
        <v>0.5</v>
      </c>
      <c r="H157" s="33" t="n">
        <v>0.6</v>
      </c>
      <c r="I157" s="33" t="n">
        <v>0.9</v>
      </c>
      <c r="J157" s="33" t="n">
        <v>1</v>
      </c>
    </row>
    <row r="158">
      <c r="A158" s="32" t="n">
        <v>154</v>
      </c>
      <c r="B158" s="33" t="n">
        <v>0.6899999999999999</v>
      </c>
      <c r="C158" s="33" t="n">
        <v>0.88</v>
      </c>
      <c r="D158" s="33" t="n">
        <v>1.013</v>
      </c>
      <c r="E158" s="33" t="n">
        <v>0.5</v>
      </c>
      <c r="F158" s="33" t="n">
        <v>0.5</v>
      </c>
      <c r="G158" s="33" t="n">
        <v>0.5</v>
      </c>
      <c r="H158" s="33" t="n">
        <v>0.6</v>
      </c>
      <c r="I158" s="33" t="n">
        <v>0.9</v>
      </c>
      <c r="J158" s="33" t="n">
        <v>1</v>
      </c>
    </row>
    <row r="159">
      <c r="A159" s="32" t="n">
        <v>155</v>
      </c>
      <c r="B159" s="33" t="n">
        <v>0.675</v>
      </c>
      <c r="C159" s="33" t="n">
        <v>0.867</v>
      </c>
      <c r="D159" s="33" t="n">
        <v>1</v>
      </c>
      <c r="E159" s="33" t="n">
        <v>0.5</v>
      </c>
      <c r="F159" s="33" t="n">
        <v>0.5</v>
      </c>
      <c r="G159" s="33" t="n">
        <v>0.5</v>
      </c>
      <c r="H159" s="33" t="n">
        <v>0.6</v>
      </c>
      <c r="I159" s="33" t="n">
        <v>0.9</v>
      </c>
      <c r="J159" s="33" t="n">
        <v>1</v>
      </c>
    </row>
    <row r="160">
      <c r="A160" s="32" t="n">
        <v>156</v>
      </c>
      <c r="B160" s="33" t="n">
        <v>0.66</v>
      </c>
      <c r="C160" s="33" t="n">
        <v>0.853</v>
      </c>
      <c r="D160" s="33" t="n">
        <v>0.987</v>
      </c>
      <c r="E160" s="33" t="n">
        <v>0.5</v>
      </c>
      <c r="F160" s="33" t="n">
        <v>0.5</v>
      </c>
      <c r="G160" s="33" t="n">
        <v>0.5</v>
      </c>
      <c r="H160" s="33" t="n">
        <v>0.6</v>
      </c>
      <c r="I160" s="33" t="n">
        <v>0.9</v>
      </c>
      <c r="J160" s="33" t="n">
        <v>1</v>
      </c>
    </row>
    <row r="161">
      <c r="A161" s="32" t="n">
        <v>157</v>
      </c>
      <c r="B161" s="33" t="n">
        <v>0.645</v>
      </c>
      <c r="C161" s="33" t="n">
        <v>0.84</v>
      </c>
      <c r="D161" s="33" t="n">
        <v>0.973</v>
      </c>
      <c r="E161" s="33" t="n">
        <v>0.5</v>
      </c>
      <c r="F161" s="33" t="n">
        <v>0.5</v>
      </c>
      <c r="G161" s="33" t="n">
        <v>0.5</v>
      </c>
      <c r="H161" s="33" t="n">
        <v>0.6</v>
      </c>
      <c r="I161" s="33" t="n">
        <v>0.9</v>
      </c>
      <c r="J161" s="33" t="n">
        <v>1</v>
      </c>
    </row>
    <row r="162">
      <c r="A162" s="32" t="n">
        <v>158</v>
      </c>
      <c r="B162" s="33" t="n">
        <v>0.63</v>
      </c>
      <c r="C162" s="33" t="n">
        <v>0.827</v>
      </c>
      <c r="D162" s="33" t="n">
        <v>0.96</v>
      </c>
      <c r="E162" s="33" t="n">
        <v>0.5</v>
      </c>
      <c r="F162" s="33" t="n">
        <v>0.5</v>
      </c>
      <c r="G162" s="33" t="n">
        <v>0.5</v>
      </c>
      <c r="H162" s="33" t="n">
        <v>0.6</v>
      </c>
      <c r="I162" s="33" t="n">
        <v>0.9</v>
      </c>
      <c r="J162" s="33" t="n">
        <v>1</v>
      </c>
    </row>
    <row r="163">
      <c r="A163" s="32" t="n">
        <v>159</v>
      </c>
      <c r="B163" s="33" t="n">
        <v>0.615</v>
      </c>
      <c r="C163" s="33" t="n">
        <v>0.8129999999999999</v>
      </c>
      <c r="D163" s="33" t="n">
        <v>0.947</v>
      </c>
      <c r="E163" s="33" t="n">
        <v>0.5</v>
      </c>
      <c r="F163" s="33" t="n">
        <v>0.5</v>
      </c>
      <c r="G163" s="33" t="n">
        <v>0.5</v>
      </c>
      <c r="H163" s="33" t="n">
        <v>0.6</v>
      </c>
      <c r="I163" s="33" t="n">
        <v>0.9</v>
      </c>
      <c r="J163" s="33" t="n">
        <v>1</v>
      </c>
    </row>
    <row r="164">
      <c r="A164" s="32" t="n">
        <v>160</v>
      </c>
      <c r="B164" s="33" t="n">
        <v>0.6</v>
      </c>
      <c r="C164" s="33" t="n">
        <v>0.8</v>
      </c>
      <c r="D164" s="33" t="n">
        <v>0.9330000000000001</v>
      </c>
      <c r="E164" s="33" t="n">
        <v>0.5</v>
      </c>
      <c r="F164" s="33" t="n">
        <v>0.5</v>
      </c>
      <c r="G164" s="33" t="n">
        <v>0.5</v>
      </c>
      <c r="H164" s="33" t="n">
        <v>0.6</v>
      </c>
      <c r="I164" s="33" t="n">
        <v>0.9</v>
      </c>
      <c r="J164" s="33" t="n">
        <v>1</v>
      </c>
    </row>
    <row r="165">
      <c r="A165" s="32" t="n">
        <v>161</v>
      </c>
      <c r="B165" s="33" t="n">
        <v>0.6</v>
      </c>
      <c r="C165" s="33" t="n">
        <v>0.787</v>
      </c>
      <c r="D165" s="33" t="n">
        <v>0.92</v>
      </c>
      <c r="E165" s="33" t="n">
        <v>0.5</v>
      </c>
      <c r="F165" s="33" t="n">
        <v>0.5</v>
      </c>
      <c r="G165" s="33" t="n">
        <v>0.5</v>
      </c>
      <c r="H165" s="33" t="n">
        <v>0.6</v>
      </c>
      <c r="I165" s="33" t="n">
        <v>0.9</v>
      </c>
      <c r="J165" s="33" t="n">
        <v>1</v>
      </c>
    </row>
    <row r="166">
      <c r="A166" s="32" t="n">
        <v>162</v>
      </c>
      <c r="B166" s="33" t="n">
        <v>0.6</v>
      </c>
      <c r="C166" s="33" t="n">
        <v>0.773</v>
      </c>
      <c r="D166" s="33" t="n">
        <v>0.907</v>
      </c>
      <c r="E166" s="33" t="n">
        <v>0.5</v>
      </c>
      <c r="F166" s="33" t="n">
        <v>0.5</v>
      </c>
      <c r="G166" s="33" t="n">
        <v>0.5</v>
      </c>
      <c r="H166" s="33" t="n">
        <v>0.6</v>
      </c>
      <c r="I166" s="33" t="n">
        <v>0.9</v>
      </c>
      <c r="J166" s="33" t="n">
        <v>1</v>
      </c>
    </row>
    <row r="167">
      <c r="A167" s="32" t="n">
        <v>163</v>
      </c>
      <c r="B167" s="33" t="n">
        <v>0.6</v>
      </c>
      <c r="C167" s="33" t="n">
        <v>0.76</v>
      </c>
      <c r="D167" s="33" t="n">
        <v>0.893</v>
      </c>
      <c r="E167" s="33" t="n">
        <v>0.5</v>
      </c>
      <c r="F167" s="33" t="n">
        <v>0.5</v>
      </c>
      <c r="G167" s="33" t="n">
        <v>0.5</v>
      </c>
      <c r="H167" s="33" t="n">
        <v>0.6</v>
      </c>
      <c r="I167" s="33" t="n">
        <v>0.9</v>
      </c>
      <c r="J167" s="33" t="n">
        <v>1</v>
      </c>
    </row>
    <row r="168">
      <c r="A168" s="32" t="n">
        <v>164</v>
      </c>
      <c r="B168" s="33" t="n">
        <v>0.6</v>
      </c>
      <c r="C168" s="33" t="n">
        <v>0.747</v>
      </c>
      <c r="D168" s="33" t="n">
        <v>0.88</v>
      </c>
      <c r="E168" s="33" t="n">
        <v>0.5</v>
      </c>
      <c r="F168" s="33" t="n">
        <v>0.5</v>
      </c>
      <c r="G168" s="33" t="n">
        <v>0.5</v>
      </c>
      <c r="H168" s="33" t="n">
        <v>0.6</v>
      </c>
      <c r="I168" s="33" t="n">
        <v>0.9</v>
      </c>
      <c r="J168" s="33" t="n">
        <v>1</v>
      </c>
    </row>
    <row r="169">
      <c r="A169" s="32" t="n">
        <v>165</v>
      </c>
      <c r="B169" s="33" t="n">
        <v>0.6</v>
      </c>
      <c r="C169" s="33" t="n">
        <v>0.733</v>
      </c>
      <c r="D169" s="33" t="n">
        <v>0.867</v>
      </c>
      <c r="E169" s="33" t="n">
        <v>0.5</v>
      </c>
      <c r="F169" s="33" t="n">
        <v>0.5</v>
      </c>
      <c r="G169" s="33" t="n">
        <v>0.5</v>
      </c>
      <c r="H169" s="33" t="n">
        <v>0.6</v>
      </c>
      <c r="I169" s="33" t="n">
        <v>0.9</v>
      </c>
      <c r="J169" s="33" t="n">
        <v>1</v>
      </c>
    </row>
    <row r="170">
      <c r="A170" s="32" t="n">
        <v>166</v>
      </c>
      <c r="B170" s="33" t="n">
        <v>0.6</v>
      </c>
      <c r="C170" s="33" t="n">
        <v>0.72</v>
      </c>
      <c r="D170" s="33" t="n">
        <v>0.853</v>
      </c>
      <c r="E170" s="33" t="n">
        <v>0.5</v>
      </c>
      <c r="F170" s="33" t="n">
        <v>0.5</v>
      </c>
      <c r="G170" s="33" t="n">
        <v>0.5</v>
      </c>
      <c r="H170" s="33" t="n">
        <v>0.6</v>
      </c>
      <c r="I170" s="33" t="n">
        <v>0.9</v>
      </c>
      <c r="J170" s="33" t="n">
        <v>1</v>
      </c>
    </row>
    <row r="171">
      <c r="A171" s="32" t="n">
        <v>167</v>
      </c>
      <c r="B171" s="33" t="n">
        <v>0.6</v>
      </c>
      <c r="C171" s="33" t="n">
        <v>0.707</v>
      </c>
      <c r="D171" s="33" t="n">
        <v>0.84</v>
      </c>
      <c r="E171" s="33" t="n">
        <v>0.5</v>
      </c>
      <c r="F171" s="33" t="n">
        <v>0.5</v>
      </c>
      <c r="G171" s="33" t="n">
        <v>0.5</v>
      </c>
      <c r="H171" s="33" t="n">
        <v>0.6</v>
      </c>
      <c r="I171" s="33" t="n">
        <v>0.9</v>
      </c>
      <c r="J171" s="33" t="n">
        <v>1</v>
      </c>
    </row>
    <row r="172">
      <c r="A172" s="32" t="n">
        <v>168</v>
      </c>
      <c r="B172" s="33" t="n">
        <v>0.6</v>
      </c>
      <c r="C172" s="33" t="n">
        <v>0.6929999999999999</v>
      </c>
      <c r="D172" s="33" t="n">
        <v>0.827</v>
      </c>
      <c r="E172" s="33" t="n">
        <v>0.5</v>
      </c>
      <c r="F172" s="33" t="n">
        <v>0.5</v>
      </c>
      <c r="G172" s="33" t="n">
        <v>0.5</v>
      </c>
      <c r="H172" s="33" t="n">
        <v>0.6</v>
      </c>
      <c r="I172" s="33" t="n">
        <v>0.9</v>
      </c>
      <c r="J172" s="33" t="n">
        <v>1</v>
      </c>
    </row>
    <row r="173">
      <c r="A173" s="32" t="n">
        <v>169</v>
      </c>
      <c r="B173" s="33" t="n">
        <v>0.6</v>
      </c>
      <c r="C173" s="33" t="n">
        <v>0.68</v>
      </c>
      <c r="D173" s="33" t="n">
        <v>0.8129999999999999</v>
      </c>
      <c r="E173" s="33" t="n">
        <v>0.5</v>
      </c>
      <c r="F173" s="33" t="n">
        <v>0.5</v>
      </c>
      <c r="G173" s="33" t="n">
        <v>0.5</v>
      </c>
      <c r="H173" s="33" t="n">
        <v>0.6</v>
      </c>
      <c r="I173" s="33" t="n">
        <v>0.9</v>
      </c>
      <c r="J173" s="33" t="n">
        <v>1</v>
      </c>
    </row>
    <row r="174">
      <c r="A174" s="32" t="n">
        <v>170</v>
      </c>
      <c r="B174" s="33" t="n">
        <v>0.6</v>
      </c>
      <c r="C174" s="33" t="n">
        <v>0.667</v>
      </c>
      <c r="D174" s="33" t="n">
        <v>0.8</v>
      </c>
      <c r="E174" s="33" t="n">
        <v>0.5</v>
      </c>
      <c r="F174" s="33" t="n">
        <v>0.5</v>
      </c>
      <c r="G174" s="33" t="n">
        <v>0.5</v>
      </c>
      <c r="H174" s="33" t="n">
        <v>0.6</v>
      </c>
      <c r="I174" s="33" t="n">
        <v>0.9</v>
      </c>
      <c r="J174" s="33" t="n">
        <v>1</v>
      </c>
    </row>
    <row r="175">
      <c r="A175" s="32" t="n">
        <v>171</v>
      </c>
      <c r="B175" s="33" t="n">
        <v>0.6</v>
      </c>
      <c r="C175" s="33" t="n">
        <v>0.653</v>
      </c>
      <c r="D175" s="33" t="n">
        <v>0.787</v>
      </c>
      <c r="E175" s="33" t="n">
        <v>0.5</v>
      </c>
      <c r="F175" s="33" t="n">
        <v>0.5</v>
      </c>
      <c r="G175" s="33" t="n">
        <v>0.5</v>
      </c>
      <c r="H175" s="33" t="n">
        <v>0.6</v>
      </c>
      <c r="I175" s="33" t="n">
        <v>0.9</v>
      </c>
      <c r="J175" s="33" t="n">
        <v>1</v>
      </c>
    </row>
    <row r="176">
      <c r="A176" s="32" t="n">
        <v>172</v>
      </c>
      <c r="B176" s="33" t="n">
        <v>0.6</v>
      </c>
      <c r="C176" s="33" t="n">
        <v>0.64</v>
      </c>
      <c r="D176" s="33" t="n">
        <v>0.773</v>
      </c>
      <c r="E176" s="33" t="n">
        <v>0.5</v>
      </c>
      <c r="F176" s="33" t="n">
        <v>0.5</v>
      </c>
      <c r="G176" s="33" t="n">
        <v>0.5</v>
      </c>
      <c r="H176" s="33" t="n">
        <v>0.6</v>
      </c>
      <c r="I176" s="33" t="n">
        <v>0.9</v>
      </c>
      <c r="J176" s="33" t="n">
        <v>1</v>
      </c>
    </row>
    <row r="177">
      <c r="A177" s="32" t="n">
        <v>173</v>
      </c>
      <c r="B177" s="33" t="n">
        <v>0.6</v>
      </c>
      <c r="C177" s="33" t="n">
        <v>0.627</v>
      </c>
      <c r="D177" s="33" t="n">
        <v>0.76</v>
      </c>
      <c r="E177" s="33" t="n">
        <v>0.5</v>
      </c>
      <c r="F177" s="33" t="n">
        <v>0.5</v>
      </c>
      <c r="G177" s="33" t="n">
        <v>0.5</v>
      </c>
      <c r="H177" s="33" t="n">
        <v>0.6</v>
      </c>
      <c r="I177" s="33" t="n">
        <v>0.9</v>
      </c>
      <c r="J177" s="33" t="n">
        <v>1</v>
      </c>
    </row>
    <row r="178">
      <c r="A178" s="32" t="n">
        <v>174</v>
      </c>
      <c r="B178" s="33" t="n">
        <v>0.6</v>
      </c>
      <c r="C178" s="33" t="n">
        <v>0.613</v>
      </c>
      <c r="D178" s="33" t="n">
        <v>0.747</v>
      </c>
      <c r="E178" s="33" t="n">
        <v>0.5</v>
      </c>
      <c r="F178" s="33" t="n">
        <v>0.5</v>
      </c>
      <c r="G178" s="33" t="n">
        <v>0.5</v>
      </c>
      <c r="H178" s="33" t="n">
        <v>0.6</v>
      </c>
      <c r="I178" s="33" t="n">
        <v>0.9</v>
      </c>
      <c r="J178" s="33" t="n">
        <v>1</v>
      </c>
    </row>
    <row r="179">
      <c r="A179" s="32" t="n">
        <v>175</v>
      </c>
      <c r="B179" s="33" t="n">
        <v>0.6</v>
      </c>
      <c r="C179" s="33" t="n">
        <v>0.6</v>
      </c>
      <c r="D179" s="33" t="n">
        <v>0.733</v>
      </c>
      <c r="E179" s="33" t="n">
        <v>0.5</v>
      </c>
      <c r="F179" s="33" t="n">
        <v>0.5</v>
      </c>
      <c r="G179" s="33" t="n">
        <v>0.5</v>
      </c>
      <c r="H179" s="33" t="n">
        <v>0.6</v>
      </c>
      <c r="I179" s="33" t="n">
        <v>0.9</v>
      </c>
      <c r="J179" s="33" t="n">
        <v>1</v>
      </c>
    </row>
    <row r="180">
      <c r="A180" s="32" t="n">
        <v>176</v>
      </c>
      <c r="B180" s="33" t="n">
        <v>0.6</v>
      </c>
      <c r="C180" s="33" t="n">
        <v>0.6</v>
      </c>
      <c r="D180" s="33" t="n">
        <v>0.72</v>
      </c>
      <c r="E180" s="33" t="n">
        <v>0.5</v>
      </c>
      <c r="F180" s="33" t="n">
        <v>0.5</v>
      </c>
      <c r="G180" s="33" t="n">
        <v>0.5</v>
      </c>
      <c r="H180" s="33" t="n">
        <v>0.6</v>
      </c>
      <c r="I180" s="33" t="n">
        <v>0.9</v>
      </c>
      <c r="J180" s="33" t="n">
        <v>1</v>
      </c>
    </row>
    <row r="181">
      <c r="A181" s="32" t="n">
        <v>177</v>
      </c>
      <c r="B181" s="33" t="n">
        <v>0.6</v>
      </c>
      <c r="C181" s="33" t="n">
        <v>0.6</v>
      </c>
      <c r="D181" s="33" t="n">
        <v>0.707</v>
      </c>
      <c r="E181" s="33" t="n">
        <v>0.5</v>
      </c>
      <c r="F181" s="33" t="n">
        <v>0.5</v>
      </c>
      <c r="G181" s="33" t="n">
        <v>0.5</v>
      </c>
      <c r="H181" s="33" t="n">
        <v>0.6</v>
      </c>
      <c r="I181" s="33" t="n">
        <v>0.9</v>
      </c>
      <c r="J181" s="33" t="n">
        <v>1</v>
      </c>
    </row>
    <row r="182">
      <c r="A182" s="32" t="n">
        <v>178</v>
      </c>
      <c r="B182" s="33" t="n">
        <v>0.6</v>
      </c>
      <c r="C182" s="33" t="n">
        <v>0.6</v>
      </c>
      <c r="D182" s="33" t="n">
        <v>0.6929999999999999</v>
      </c>
      <c r="E182" s="33" t="n">
        <v>0.5</v>
      </c>
      <c r="F182" s="33" t="n">
        <v>0.5</v>
      </c>
      <c r="G182" s="33" t="n">
        <v>0.5</v>
      </c>
      <c r="H182" s="33" t="n">
        <v>0.6</v>
      </c>
      <c r="I182" s="33" t="n">
        <v>0.9</v>
      </c>
      <c r="J182" s="33" t="n">
        <v>1</v>
      </c>
    </row>
    <row r="183">
      <c r="A183" s="32" t="n">
        <v>179</v>
      </c>
      <c r="B183" s="33" t="n">
        <v>0.6</v>
      </c>
      <c r="C183" s="33" t="n">
        <v>0.6</v>
      </c>
      <c r="D183" s="33" t="n">
        <v>0.68</v>
      </c>
      <c r="E183" s="33" t="n">
        <v>0.5</v>
      </c>
      <c r="F183" s="33" t="n">
        <v>0.5</v>
      </c>
      <c r="G183" s="33" t="n">
        <v>0.5</v>
      </c>
      <c r="H183" s="33" t="n">
        <v>0.6</v>
      </c>
      <c r="I183" s="33" t="n">
        <v>0.9</v>
      </c>
      <c r="J183" s="33" t="n">
        <v>1</v>
      </c>
    </row>
    <row r="184">
      <c r="A184" s="32" t="n">
        <v>180</v>
      </c>
      <c r="B184" s="33" t="n">
        <v>0.6</v>
      </c>
      <c r="C184" s="33" t="n">
        <v>0.6</v>
      </c>
      <c r="D184" s="33" t="n">
        <v>0.667</v>
      </c>
      <c r="E184" s="33" t="n">
        <v>0.5</v>
      </c>
      <c r="F184" s="33" t="n">
        <v>0.5</v>
      </c>
      <c r="G184" s="33" t="n">
        <v>0.5</v>
      </c>
      <c r="H184" s="33" t="n">
        <v>0.6</v>
      </c>
      <c r="I184" s="33" t="n">
        <v>0.9</v>
      </c>
      <c r="J184" s="33" t="n">
        <v>1</v>
      </c>
    </row>
    <row r="185">
      <c r="A185" s="32" t="n">
        <v>181</v>
      </c>
      <c r="B185" s="33" t="n">
        <v>0.6</v>
      </c>
      <c r="C185" s="33" t="n">
        <v>0.6</v>
      </c>
      <c r="D185" s="33" t="n">
        <v>0.653</v>
      </c>
      <c r="E185" s="33" t="n">
        <v>0.5</v>
      </c>
      <c r="F185" s="33" t="n">
        <v>0.5</v>
      </c>
      <c r="G185" s="33" t="n">
        <v>0.5</v>
      </c>
      <c r="H185" s="33" t="n">
        <v>0.6</v>
      </c>
      <c r="I185" s="33" t="n">
        <v>0.9</v>
      </c>
      <c r="J185" s="33" t="n">
        <v>1</v>
      </c>
    </row>
    <row r="186">
      <c r="A186" s="32" t="n">
        <v>182</v>
      </c>
      <c r="B186" s="33" t="n">
        <v>0.6</v>
      </c>
      <c r="C186" s="33" t="n">
        <v>0.6</v>
      </c>
      <c r="D186" s="33" t="n">
        <v>0.64</v>
      </c>
      <c r="E186" s="33" t="n">
        <v>0.5</v>
      </c>
      <c r="F186" s="33" t="n">
        <v>0.5</v>
      </c>
      <c r="G186" s="33" t="n">
        <v>0.5</v>
      </c>
      <c r="H186" s="33" t="n">
        <v>0.6</v>
      </c>
      <c r="I186" s="33" t="n">
        <v>0.9</v>
      </c>
      <c r="J186" s="33" t="n">
        <v>1</v>
      </c>
    </row>
    <row r="187">
      <c r="A187" s="32" t="n">
        <v>183</v>
      </c>
      <c r="B187" s="33" t="n">
        <v>0.6</v>
      </c>
      <c r="C187" s="33" t="n">
        <v>0.6</v>
      </c>
      <c r="D187" s="33" t="n">
        <v>0.627</v>
      </c>
      <c r="E187" s="33" t="n">
        <v>0.5</v>
      </c>
      <c r="F187" s="33" t="n">
        <v>0.5</v>
      </c>
      <c r="G187" s="33" t="n">
        <v>0.5</v>
      </c>
      <c r="H187" s="33" t="n">
        <v>0.6</v>
      </c>
      <c r="I187" s="33" t="n">
        <v>0.9</v>
      </c>
      <c r="J187" s="33" t="n">
        <v>1</v>
      </c>
    </row>
    <row r="188">
      <c r="A188" s="32" t="n">
        <v>184</v>
      </c>
      <c r="B188" s="33" t="n">
        <v>0.6</v>
      </c>
      <c r="C188" s="33" t="n">
        <v>0.6</v>
      </c>
      <c r="D188" s="33" t="n">
        <v>0.613</v>
      </c>
      <c r="E188" s="33" t="n">
        <v>0.5</v>
      </c>
      <c r="F188" s="33" t="n">
        <v>0.5</v>
      </c>
      <c r="G188" s="33" t="n">
        <v>0.5</v>
      </c>
      <c r="H188" s="33" t="n">
        <v>0.6</v>
      </c>
      <c r="I188" s="33" t="n">
        <v>0.9</v>
      </c>
      <c r="J188" s="33" t="n">
        <v>1</v>
      </c>
    </row>
    <row r="189">
      <c r="A189" s="32" t="n">
        <v>185</v>
      </c>
      <c r="B189" s="33" t="n">
        <v>0.6</v>
      </c>
      <c r="C189" s="33" t="n">
        <v>0.6</v>
      </c>
      <c r="D189" s="33" t="n">
        <v>0.6</v>
      </c>
      <c r="E189" s="33" t="n">
        <v>0.5</v>
      </c>
      <c r="F189" s="33" t="n">
        <v>0.5</v>
      </c>
      <c r="G189" s="33" t="n">
        <v>0.5</v>
      </c>
      <c r="H189" s="33" t="n">
        <v>0.6</v>
      </c>
      <c r="I189" s="33" t="n">
        <v>0.9</v>
      </c>
      <c r="J189" s="33" t="n">
        <v>1</v>
      </c>
    </row>
    <row r="190">
      <c r="A190" s="32" t="n">
        <v>186</v>
      </c>
      <c r="B190" s="33" t="n">
        <v>0.6</v>
      </c>
      <c r="C190" s="33" t="n">
        <v>0.6</v>
      </c>
      <c r="D190" s="33" t="n">
        <v>0.6</v>
      </c>
      <c r="E190" s="33" t="n">
        <v>0.5</v>
      </c>
      <c r="F190" s="33" t="n">
        <v>0.5</v>
      </c>
      <c r="G190" s="33" t="n">
        <v>0.5</v>
      </c>
      <c r="H190" s="33" t="n">
        <v>0.6</v>
      </c>
      <c r="I190" s="33" t="n">
        <v>0.9</v>
      </c>
      <c r="J190" s="33" t="n">
        <v>1</v>
      </c>
    </row>
    <row r="191">
      <c r="A191" s="32" t="n">
        <v>187</v>
      </c>
      <c r="B191" s="33" t="n">
        <v>0.6</v>
      </c>
      <c r="C191" s="33" t="n">
        <v>0.6</v>
      </c>
      <c r="D191" s="33" t="n">
        <v>0.6</v>
      </c>
      <c r="E191" s="33" t="n">
        <v>0.5</v>
      </c>
      <c r="F191" s="33" t="n">
        <v>0.5</v>
      </c>
      <c r="G191" s="33" t="n">
        <v>0.5</v>
      </c>
      <c r="H191" s="33" t="n">
        <v>0.6</v>
      </c>
      <c r="I191" s="33" t="n">
        <v>0.9</v>
      </c>
      <c r="J191" s="33" t="n">
        <v>1</v>
      </c>
    </row>
    <row r="192">
      <c r="A192" s="32" t="n">
        <v>188</v>
      </c>
      <c r="B192" s="33" t="n">
        <v>0.6</v>
      </c>
      <c r="C192" s="33" t="n">
        <v>0.6</v>
      </c>
      <c r="D192" s="33" t="n">
        <v>0.6</v>
      </c>
      <c r="E192" s="33" t="n">
        <v>0.5</v>
      </c>
      <c r="F192" s="33" t="n">
        <v>0.5</v>
      </c>
      <c r="G192" s="33" t="n">
        <v>0.5</v>
      </c>
      <c r="H192" s="33" t="n">
        <v>0.6</v>
      </c>
      <c r="I192" s="33" t="n">
        <v>0.9</v>
      </c>
      <c r="J192" s="33" t="n">
        <v>1</v>
      </c>
    </row>
    <row r="193">
      <c r="A193" s="32" t="n">
        <v>189</v>
      </c>
      <c r="B193" s="33" t="n">
        <v>0.6</v>
      </c>
      <c r="C193" s="33" t="n">
        <v>0.6</v>
      </c>
      <c r="D193" s="33" t="n">
        <v>0.6</v>
      </c>
      <c r="E193" s="33" t="n">
        <v>0.5</v>
      </c>
      <c r="F193" s="33" t="n">
        <v>0.5</v>
      </c>
      <c r="G193" s="33" t="n">
        <v>0.5</v>
      </c>
      <c r="H193" s="33" t="n">
        <v>0.6</v>
      </c>
      <c r="I193" s="33" t="n">
        <v>0.9</v>
      </c>
      <c r="J193" s="33" t="n">
        <v>1</v>
      </c>
    </row>
    <row r="194">
      <c r="A194" s="32" t="n">
        <v>190</v>
      </c>
      <c r="B194" s="33" t="n">
        <v>0.6</v>
      </c>
      <c r="C194" s="33" t="n">
        <v>0.6</v>
      </c>
      <c r="D194" s="33" t="n">
        <v>0.6</v>
      </c>
      <c r="E194" s="33" t="n">
        <v>0.5</v>
      </c>
      <c r="F194" s="33" t="n">
        <v>0.5</v>
      </c>
      <c r="G194" s="33" t="n">
        <v>0.5</v>
      </c>
      <c r="H194" s="33" t="n">
        <v>0.6</v>
      </c>
      <c r="I194" s="33" t="n">
        <v>0.9</v>
      </c>
      <c r="J194" s="33" t="n">
        <v>1</v>
      </c>
    </row>
    <row r="195">
      <c r="A195" s="32" t="n">
        <v>191</v>
      </c>
      <c r="B195" s="33" t="n">
        <v>0.6</v>
      </c>
      <c r="C195" s="33" t="n">
        <v>0.6</v>
      </c>
      <c r="D195" s="33" t="n">
        <v>0.6</v>
      </c>
      <c r="E195" s="33" t="n">
        <v>0.5</v>
      </c>
      <c r="F195" s="33" t="n">
        <v>0.5</v>
      </c>
      <c r="G195" s="33" t="n">
        <v>0.5</v>
      </c>
      <c r="H195" s="33" t="n">
        <v>0.6</v>
      </c>
      <c r="I195" s="33" t="n">
        <v>0.9</v>
      </c>
      <c r="J195" s="33" t="n">
        <v>1</v>
      </c>
    </row>
    <row r="196">
      <c r="A196" s="32" t="n">
        <v>192</v>
      </c>
      <c r="B196" s="33" t="n">
        <v>0.6</v>
      </c>
      <c r="C196" s="33" t="n">
        <v>0.6</v>
      </c>
      <c r="D196" s="33" t="n">
        <v>0.6</v>
      </c>
      <c r="E196" s="33" t="n">
        <v>0.5</v>
      </c>
      <c r="F196" s="33" t="n">
        <v>0.5</v>
      </c>
      <c r="G196" s="33" t="n">
        <v>0.5</v>
      </c>
      <c r="H196" s="33" t="n">
        <v>0.6</v>
      </c>
      <c r="I196" s="33" t="n">
        <v>0.9</v>
      </c>
      <c r="J196" s="33" t="n">
        <v>1</v>
      </c>
    </row>
    <row r="197">
      <c r="A197" s="32" t="n">
        <v>193</v>
      </c>
      <c r="B197" s="33" t="n">
        <v>0.6</v>
      </c>
      <c r="C197" s="33" t="n">
        <v>0.6</v>
      </c>
      <c r="D197" s="33" t="n">
        <v>0.6</v>
      </c>
      <c r="E197" s="33" t="n">
        <v>0.5</v>
      </c>
      <c r="F197" s="33" t="n">
        <v>0.5</v>
      </c>
      <c r="G197" s="33" t="n">
        <v>0.5</v>
      </c>
      <c r="H197" s="33" t="n">
        <v>0.6</v>
      </c>
      <c r="I197" s="33" t="n">
        <v>0.9</v>
      </c>
      <c r="J197" s="33" t="n">
        <v>1</v>
      </c>
    </row>
    <row r="198">
      <c r="A198" s="32" t="n">
        <v>194</v>
      </c>
      <c r="B198" s="33" t="n">
        <v>0.6</v>
      </c>
      <c r="C198" s="33" t="n">
        <v>0.6</v>
      </c>
      <c r="D198" s="33" t="n">
        <v>0.6</v>
      </c>
      <c r="E198" s="33" t="n">
        <v>0.5</v>
      </c>
      <c r="F198" s="33" t="n">
        <v>0.5</v>
      </c>
      <c r="G198" s="33" t="n">
        <v>0.5</v>
      </c>
      <c r="H198" s="33" t="n">
        <v>0.6</v>
      </c>
      <c r="I198" s="33" t="n">
        <v>0.9</v>
      </c>
      <c r="J198" s="33" t="n">
        <v>1</v>
      </c>
    </row>
    <row r="199">
      <c r="A199" s="32" t="n">
        <v>195</v>
      </c>
      <c r="B199" s="33" t="n">
        <v>0.6</v>
      </c>
      <c r="C199" s="33" t="n">
        <v>0.6</v>
      </c>
      <c r="D199" s="33" t="n">
        <v>0.6</v>
      </c>
      <c r="E199" s="33" t="n">
        <v>0.5</v>
      </c>
      <c r="F199" s="33" t="n">
        <v>0.5</v>
      </c>
      <c r="G199" s="33" t="n">
        <v>0.5</v>
      </c>
      <c r="H199" s="33" t="n">
        <v>0.6</v>
      </c>
      <c r="I199" s="33" t="n">
        <v>0.9</v>
      </c>
      <c r="J199" s="33" t="n">
        <v>1</v>
      </c>
    </row>
    <row r="200">
      <c r="A200" s="32" t="n">
        <v>196</v>
      </c>
      <c r="B200" s="33" t="n">
        <v>0.6</v>
      </c>
      <c r="C200" s="33" t="n">
        <v>0.6</v>
      </c>
      <c r="D200" s="33" t="n">
        <v>0.6</v>
      </c>
      <c r="E200" s="33" t="n">
        <v>0.5</v>
      </c>
      <c r="F200" s="33" t="n">
        <v>0.5</v>
      </c>
      <c r="G200" s="33" t="n">
        <v>0.5</v>
      </c>
      <c r="H200" s="33" t="n">
        <v>0.6</v>
      </c>
      <c r="I200" s="33" t="n">
        <v>0.9</v>
      </c>
      <c r="J200" s="33" t="n">
        <v>1</v>
      </c>
    </row>
    <row r="201">
      <c r="A201" s="32" t="n">
        <v>197</v>
      </c>
      <c r="B201" s="33" t="n">
        <v>0.6</v>
      </c>
      <c r="C201" s="33" t="n">
        <v>0.6</v>
      </c>
      <c r="D201" s="33" t="n">
        <v>0.6</v>
      </c>
      <c r="E201" s="33" t="n">
        <v>0.5</v>
      </c>
      <c r="F201" s="33" t="n">
        <v>0.5</v>
      </c>
      <c r="G201" s="33" t="n">
        <v>0.5</v>
      </c>
      <c r="H201" s="33" t="n">
        <v>0.6</v>
      </c>
      <c r="I201" s="33" t="n">
        <v>0.9</v>
      </c>
      <c r="J201" s="33" t="n">
        <v>1</v>
      </c>
    </row>
    <row r="202">
      <c r="A202" s="32" t="n">
        <v>198</v>
      </c>
      <c r="B202" s="33" t="n">
        <v>0.6</v>
      </c>
      <c r="C202" s="33" t="n">
        <v>0.6</v>
      </c>
      <c r="D202" s="33" t="n">
        <v>0.6</v>
      </c>
      <c r="E202" s="33" t="n">
        <v>0.5</v>
      </c>
      <c r="F202" s="33" t="n">
        <v>0.5</v>
      </c>
      <c r="G202" s="33" t="n">
        <v>0.5</v>
      </c>
      <c r="H202" s="33" t="n">
        <v>0.6</v>
      </c>
      <c r="I202" s="33" t="n">
        <v>0.9</v>
      </c>
      <c r="J202" s="33" t="n">
        <v>1</v>
      </c>
    </row>
    <row r="203">
      <c r="A203" s="32" t="n">
        <v>199</v>
      </c>
      <c r="B203" s="33" t="n">
        <v>0.6</v>
      </c>
      <c r="C203" s="33" t="n">
        <v>0.6</v>
      </c>
      <c r="D203" s="33" t="n">
        <v>0.6</v>
      </c>
      <c r="E203" s="33" t="n">
        <v>0.5</v>
      </c>
      <c r="F203" s="33" t="n">
        <v>0.5</v>
      </c>
      <c r="G203" s="33" t="n">
        <v>0.5</v>
      </c>
      <c r="H203" s="33" t="n">
        <v>0.6</v>
      </c>
      <c r="I203" s="33" t="n">
        <v>0.9</v>
      </c>
      <c r="J203" s="33" t="n">
        <v>1</v>
      </c>
    </row>
    <row r="204">
      <c r="A204" s="32" t="n">
        <v>200</v>
      </c>
      <c r="B204" s="33" t="n">
        <v>0.6</v>
      </c>
      <c r="C204" s="33" t="n">
        <v>0.6</v>
      </c>
      <c r="D204" s="33" t="n">
        <v>0.6</v>
      </c>
      <c r="E204" s="33" t="n">
        <v>0.5</v>
      </c>
      <c r="F204" s="33" t="n">
        <v>0.5</v>
      </c>
      <c r="G204" s="33" t="n">
        <v>0.5</v>
      </c>
      <c r="H204" s="33" t="n">
        <v>0.6</v>
      </c>
      <c r="I204" s="33" t="n">
        <v>0.9</v>
      </c>
      <c r="J204" s="33" t="n">
        <v>1</v>
      </c>
    </row>
    <row r="205">
      <c r="A205" s="32" t="n">
        <v>201</v>
      </c>
      <c r="B205" s="33" t="n">
        <v>0.6</v>
      </c>
      <c r="C205" s="33" t="n">
        <v>0.6</v>
      </c>
      <c r="D205" s="33" t="n">
        <v>0.6</v>
      </c>
      <c r="E205" s="33" t="n">
        <v>0.5</v>
      </c>
      <c r="F205" s="33" t="n">
        <v>0.5</v>
      </c>
      <c r="G205" s="33" t="n">
        <v>0.5</v>
      </c>
      <c r="H205" s="33" t="n">
        <v>0.6</v>
      </c>
      <c r="I205" s="33" t="n">
        <v>0.9</v>
      </c>
      <c r="J205" s="33" t="n">
        <v>1</v>
      </c>
    </row>
    <row r="206">
      <c r="A206" s="32" t="n">
        <v>202</v>
      </c>
      <c r="B206" s="33" t="n">
        <v>0.6</v>
      </c>
      <c r="C206" s="33" t="n">
        <v>0.6</v>
      </c>
      <c r="D206" s="33" t="n">
        <v>0.6</v>
      </c>
      <c r="E206" s="33" t="n">
        <v>0.5</v>
      </c>
      <c r="F206" s="33" t="n">
        <v>0.5</v>
      </c>
      <c r="G206" s="33" t="n">
        <v>0.5</v>
      </c>
      <c r="H206" s="33" t="n">
        <v>0.6</v>
      </c>
      <c r="I206" s="33" t="n">
        <v>0.9</v>
      </c>
      <c r="J206" s="33" t="n">
        <v>1</v>
      </c>
    </row>
    <row r="207">
      <c r="A207" s="32" t="n">
        <v>203</v>
      </c>
      <c r="B207" s="33" t="n">
        <v>0.6</v>
      </c>
      <c r="C207" s="33" t="n">
        <v>0.6</v>
      </c>
      <c r="D207" s="33" t="n">
        <v>0.6</v>
      </c>
      <c r="E207" s="33" t="n">
        <v>0.5</v>
      </c>
      <c r="F207" s="33" t="n">
        <v>0.5</v>
      </c>
      <c r="G207" s="33" t="n">
        <v>0.5</v>
      </c>
      <c r="H207" s="33" t="n">
        <v>0.6</v>
      </c>
      <c r="I207" s="33" t="n">
        <v>0.9</v>
      </c>
      <c r="J207" s="33" t="n">
        <v>1</v>
      </c>
    </row>
    <row r="208">
      <c r="A208" s="32" t="n">
        <v>204</v>
      </c>
      <c r="B208" s="33" t="n">
        <v>0.6</v>
      </c>
      <c r="C208" s="33" t="n">
        <v>0.6</v>
      </c>
      <c r="D208" s="33" t="n">
        <v>0.6</v>
      </c>
      <c r="E208" s="33" t="n">
        <v>0.5</v>
      </c>
      <c r="F208" s="33" t="n">
        <v>0.5</v>
      </c>
      <c r="G208" s="33" t="n">
        <v>0.5</v>
      </c>
      <c r="H208" s="33" t="n">
        <v>0.6</v>
      </c>
      <c r="I208" s="33" t="n">
        <v>0.9</v>
      </c>
      <c r="J208" s="33" t="n">
        <v>1</v>
      </c>
    </row>
    <row r="209">
      <c r="A209" s="32" t="n">
        <v>205</v>
      </c>
      <c r="B209" s="33" t="n">
        <v>0.6</v>
      </c>
      <c r="C209" s="33" t="n">
        <v>0.6</v>
      </c>
      <c r="D209" s="33" t="n">
        <v>0.6</v>
      </c>
      <c r="E209" s="33" t="n">
        <v>0.5</v>
      </c>
      <c r="F209" s="33" t="n">
        <v>0.5</v>
      </c>
      <c r="G209" s="33" t="n">
        <v>0.5</v>
      </c>
      <c r="H209" s="33" t="n">
        <v>0.6</v>
      </c>
      <c r="I209" s="33" t="n">
        <v>0.9</v>
      </c>
      <c r="J209" s="33" t="n">
        <v>1</v>
      </c>
    </row>
    <row r="210">
      <c r="A210" s="32" t="n">
        <v>206</v>
      </c>
      <c r="B210" s="33" t="n">
        <v>0.6</v>
      </c>
      <c r="C210" s="33" t="n">
        <v>0.6</v>
      </c>
      <c r="D210" s="33" t="n">
        <v>0.6</v>
      </c>
      <c r="E210" s="33" t="n">
        <v>0.5</v>
      </c>
      <c r="F210" s="33" t="n">
        <v>0.5</v>
      </c>
      <c r="G210" s="33" t="n">
        <v>0.5</v>
      </c>
      <c r="H210" s="33" t="n">
        <v>0.6</v>
      </c>
      <c r="I210" s="33" t="n">
        <v>0.9</v>
      </c>
      <c r="J210" s="33" t="n">
        <v>1</v>
      </c>
    </row>
    <row r="211">
      <c r="A211" s="32" t="n">
        <v>207</v>
      </c>
      <c r="B211" s="33" t="n">
        <v>0.6</v>
      </c>
      <c r="C211" s="33" t="n">
        <v>0.6</v>
      </c>
      <c r="D211" s="33" t="n">
        <v>0.6</v>
      </c>
      <c r="E211" s="33" t="n">
        <v>0.5</v>
      </c>
      <c r="F211" s="33" t="n">
        <v>0.5</v>
      </c>
      <c r="G211" s="33" t="n">
        <v>0.5</v>
      </c>
      <c r="H211" s="33" t="n">
        <v>0.6</v>
      </c>
      <c r="I211" s="33" t="n">
        <v>0.9</v>
      </c>
      <c r="J211" s="33" t="n">
        <v>1</v>
      </c>
    </row>
    <row r="212">
      <c r="A212" s="32" t="n">
        <v>208</v>
      </c>
      <c r="B212" s="33" t="n">
        <v>0.6</v>
      </c>
      <c r="C212" s="33" t="n">
        <v>0.6</v>
      </c>
      <c r="D212" s="33" t="n">
        <v>0.6</v>
      </c>
      <c r="E212" s="33" t="n">
        <v>0.5</v>
      </c>
      <c r="F212" s="33" t="n">
        <v>0.5</v>
      </c>
      <c r="G212" s="33" t="n">
        <v>0.5</v>
      </c>
      <c r="H212" s="33" t="n">
        <v>0.6</v>
      </c>
      <c r="I212" s="33" t="n">
        <v>0.9</v>
      </c>
      <c r="J212" s="33" t="n">
        <v>1</v>
      </c>
    </row>
    <row r="213">
      <c r="A213" s="32" t="n">
        <v>209</v>
      </c>
      <c r="B213" s="33" t="n">
        <v>0.6</v>
      </c>
      <c r="C213" s="33" t="n">
        <v>0.6</v>
      </c>
      <c r="D213" s="33" t="n">
        <v>0.6</v>
      </c>
      <c r="E213" s="33" t="n">
        <v>0.5</v>
      </c>
      <c r="F213" s="33" t="n">
        <v>0.5</v>
      </c>
      <c r="G213" s="33" t="n">
        <v>0.5</v>
      </c>
      <c r="H213" s="33" t="n">
        <v>0.6</v>
      </c>
      <c r="I213" s="33" t="n">
        <v>0.9</v>
      </c>
      <c r="J213" s="33" t="n">
        <v>1</v>
      </c>
    </row>
    <row r="214">
      <c r="A214" s="32" t="n">
        <v>210</v>
      </c>
      <c r="B214" s="33" t="n">
        <v>0.6</v>
      </c>
      <c r="C214" s="33" t="n">
        <v>0.6</v>
      </c>
      <c r="D214" s="33" t="n">
        <v>0.6</v>
      </c>
      <c r="E214" s="33" t="n">
        <v>0.5</v>
      </c>
      <c r="F214" s="33" t="n">
        <v>0.5</v>
      </c>
      <c r="G214" s="33" t="n">
        <v>0.5</v>
      </c>
      <c r="H214" s="33" t="n">
        <v>0.6</v>
      </c>
      <c r="I214" s="33" t="n">
        <v>0.9</v>
      </c>
      <c r="J214" s="33" t="n">
        <v>1</v>
      </c>
    </row>
    <row r="215">
      <c r="A215" s="32" t="n">
        <v>211</v>
      </c>
      <c r="B215" s="33" t="n">
        <v>0.6</v>
      </c>
      <c r="C215" s="33" t="n">
        <v>0.6</v>
      </c>
      <c r="D215" s="33" t="n">
        <v>0.6</v>
      </c>
      <c r="E215" s="33" t="n">
        <v>0.5</v>
      </c>
      <c r="F215" s="33" t="n">
        <v>0.5</v>
      </c>
      <c r="G215" s="33" t="n">
        <v>0.5</v>
      </c>
      <c r="H215" s="33" t="n">
        <v>0.6</v>
      </c>
      <c r="I215" s="33" t="n">
        <v>0.9</v>
      </c>
      <c r="J215" s="33" t="n">
        <v>1</v>
      </c>
    </row>
    <row r="216">
      <c r="A216" s="32" t="n">
        <v>212</v>
      </c>
      <c r="B216" s="33" t="n">
        <v>0.6</v>
      </c>
      <c r="C216" s="33" t="n">
        <v>0.6</v>
      </c>
      <c r="D216" s="33" t="n">
        <v>0.6</v>
      </c>
      <c r="E216" s="33" t="n">
        <v>0.5</v>
      </c>
      <c r="F216" s="33" t="n">
        <v>0.5</v>
      </c>
      <c r="G216" s="33" t="n">
        <v>0.5</v>
      </c>
      <c r="H216" s="33" t="n">
        <v>0.6</v>
      </c>
      <c r="I216" s="33" t="n">
        <v>0.9</v>
      </c>
      <c r="J216" s="33" t="n">
        <v>1</v>
      </c>
    </row>
    <row r="217">
      <c r="A217" s="32" t="n">
        <v>213</v>
      </c>
      <c r="B217" s="33" t="n">
        <v>0.6</v>
      </c>
      <c r="C217" s="33" t="n">
        <v>0.6</v>
      </c>
      <c r="D217" s="33" t="n">
        <v>0.6</v>
      </c>
      <c r="E217" s="33" t="n">
        <v>0.5</v>
      </c>
      <c r="F217" s="33" t="n">
        <v>0.5</v>
      </c>
      <c r="G217" s="33" t="n">
        <v>0.5</v>
      </c>
      <c r="H217" s="33" t="n">
        <v>0.6</v>
      </c>
      <c r="I217" s="33" t="n">
        <v>0.9</v>
      </c>
      <c r="J217" s="33" t="n">
        <v>1</v>
      </c>
    </row>
    <row r="218">
      <c r="A218" s="32" t="n">
        <v>214</v>
      </c>
      <c r="B218" s="33" t="n">
        <v>0.6</v>
      </c>
      <c r="C218" s="33" t="n">
        <v>0.6</v>
      </c>
      <c r="D218" s="33" t="n">
        <v>0.6</v>
      </c>
      <c r="E218" s="33" t="n">
        <v>0.5</v>
      </c>
      <c r="F218" s="33" t="n">
        <v>0.5</v>
      </c>
      <c r="G218" s="33" t="n">
        <v>0.5</v>
      </c>
      <c r="H218" s="33" t="n">
        <v>0.6</v>
      </c>
      <c r="I218" s="33" t="n">
        <v>0.9</v>
      </c>
      <c r="J218" s="33" t="n">
        <v>1</v>
      </c>
    </row>
    <row r="219">
      <c r="A219" s="32" t="n">
        <v>215</v>
      </c>
      <c r="B219" s="33" t="n">
        <v>0.6</v>
      </c>
      <c r="C219" s="33" t="n">
        <v>0.6</v>
      </c>
      <c r="D219" s="33" t="n">
        <v>0.6</v>
      </c>
      <c r="E219" s="33" t="n">
        <v>0.5</v>
      </c>
      <c r="F219" s="33" t="n">
        <v>0.5</v>
      </c>
      <c r="G219" s="33" t="n">
        <v>0.5</v>
      </c>
      <c r="H219" s="33" t="n">
        <v>0.6</v>
      </c>
      <c r="I219" s="33" t="n">
        <v>0.9</v>
      </c>
      <c r="J219" s="33" t="n">
        <v>1</v>
      </c>
    </row>
    <row r="220">
      <c r="A220" s="32" t="n">
        <v>216</v>
      </c>
      <c r="B220" s="33" t="n">
        <v>0.6</v>
      </c>
      <c r="C220" s="33" t="n">
        <v>0.6</v>
      </c>
      <c r="D220" s="33" t="n">
        <v>0.6</v>
      </c>
      <c r="E220" s="33" t="n">
        <v>0.5</v>
      </c>
      <c r="F220" s="33" t="n">
        <v>0.5</v>
      </c>
      <c r="G220" s="33" t="n">
        <v>0.5</v>
      </c>
      <c r="H220" s="33" t="n">
        <v>0.6</v>
      </c>
      <c r="I220" s="33" t="n">
        <v>0.9</v>
      </c>
      <c r="J220" s="33" t="n">
        <v>1</v>
      </c>
    </row>
    <row r="221">
      <c r="A221" s="32" t="n">
        <v>217</v>
      </c>
      <c r="B221" s="33" t="n">
        <v>0.6</v>
      </c>
      <c r="C221" s="33" t="n">
        <v>0.6</v>
      </c>
      <c r="D221" s="33" t="n">
        <v>0.6</v>
      </c>
      <c r="E221" s="33" t="n">
        <v>0.5</v>
      </c>
      <c r="F221" s="33" t="n">
        <v>0.5</v>
      </c>
      <c r="G221" s="33" t="n">
        <v>0.5</v>
      </c>
      <c r="H221" s="33" t="n">
        <v>0.6</v>
      </c>
      <c r="I221" s="33" t="n">
        <v>0.9</v>
      </c>
      <c r="J221" s="33" t="n">
        <v>1</v>
      </c>
    </row>
    <row r="222">
      <c r="A222" s="32" t="n">
        <v>218</v>
      </c>
      <c r="B222" s="33" t="n">
        <v>0.6</v>
      </c>
      <c r="C222" s="33" t="n">
        <v>0.6</v>
      </c>
      <c r="D222" s="33" t="n">
        <v>0.6</v>
      </c>
      <c r="E222" s="33" t="n">
        <v>0.5</v>
      </c>
      <c r="F222" s="33" t="n">
        <v>0.5</v>
      </c>
      <c r="G222" s="33" t="n">
        <v>0.5</v>
      </c>
      <c r="H222" s="33" t="n">
        <v>0.6</v>
      </c>
      <c r="I222" s="33" t="n">
        <v>0.9</v>
      </c>
      <c r="J222" s="33" t="n">
        <v>1</v>
      </c>
    </row>
    <row r="223">
      <c r="A223" s="32" t="n">
        <v>219</v>
      </c>
      <c r="B223" s="33" t="n">
        <v>0.6</v>
      </c>
      <c r="C223" s="33" t="n">
        <v>0.6</v>
      </c>
      <c r="D223" s="33" t="n">
        <v>0.6</v>
      </c>
      <c r="E223" s="33" t="n">
        <v>0.5</v>
      </c>
      <c r="F223" s="33" t="n">
        <v>0.5</v>
      </c>
      <c r="G223" s="33" t="n">
        <v>0.5</v>
      </c>
      <c r="H223" s="33" t="n">
        <v>0.6</v>
      </c>
      <c r="I223" s="33" t="n">
        <v>0.9</v>
      </c>
      <c r="J223" s="33" t="n">
        <v>1</v>
      </c>
    </row>
    <row r="224">
      <c r="A224" s="32" t="n">
        <v>220</v>
      </c>
      <c r="B224" s="33" t="n">
        <v>0.6</v>
      </c>
      <c r="C224" s="33" t="n">
        <v>0.6</v>
      </c>
      <c r="D224" s="33" t="n">
        <v>0.6</v>
      </c>
      <c r="E224" s="33" t="n">
        <v>0.5</v>
      </c>
      <c r="F224" s="33" t="n">
        <v>0.5</v>
      </c>
      <c r="G224" s="33" t="n">
        <v>0.5</v>
      </c>
      <c r="H224" s="33" t="n">
        <v>0.6</v>
      </c>
      <c r="I224" s="33" t="n">
        <v>0.9</v>
      </c>
      <c r="J224" s="3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AP1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</cols>
  <sheetData>
    <row r="1" ht="20" customHeight="1">
      <c r="A1" s="1" t="inlineStr">
        <is>
          <t>LAMINA_HORA - lamina (mm) e horas por percentimetro (importado)</t>
        </is>
      </c>
    </row>
    <row r="2">
      <c r="A2" s="2" t="inlineStr">
        <is>
          <t>Usado nas abas de cultura.</t>
        </is>
      </c>
    </row>
    <row r="3">
      <c r="C3" s="34" t="n">
        <v>100</v>
      </c>
      <c r="D3" s="34" t="n">
        <v>95</v>
      </c>
      <c r="E3" s="34" t="n">
        <v>90</v>
      </c>
      <c r="F3" s="34" t="n">
        <v>85</v>
      </c>
      <c r="G3" s="34" t="n">
        <v>80</v>
      </c>
      <c r="H3" s="34" t="n">
        <v>75</v>
      </c>
      <c r="I3" s="34" t="n">
        <v>70</v>
      </c>
      <c r="J3" s="34" t="n">
        <v>65</v>
      </c>
      <c r="K3" s="34" t="n">
        <v>60</v>
      </c>
      <c r="L3" s="34" t="n">
        <v>55</v>
      </c>
      <c r="M3" s="34" t="n">
        <v>50</v>
      </c>
      <c r="N3" s="34" t="n">
        <v>45</v>
      </c>
      <c r="O3" s="34" t="n">
        <v>40</v>
      </c>
      <c r="P3" s="34" t="n">
        <v>35</v>
      </c>
      <c r="Q3" s="34" t="n">
        <v>30</v>
      </c>
      <c r="R3" s="34" t="n">
        <v>25</v>
      </c>
      <c r="S3" s="34" t="n">
        <v>20</v>
      </c>
      <c r="T3" s="34" t="n">
        <v>15</v>
      </c>
      <c r="U3" s="34" t="n">
        <v>10</v>
      </c>
      <c r="V3" s="34" t="n">
        <v>5</v>
      </c>
      <c r="W3" s="34" t="n">
        <v>100</v>
      </c>
      <c r="X3" s="34" t="n">
        <v>95</v>
      </c>
      <c r="Y3" s="34" t="n">
        <v>90</v>
      </c>
      <c r="Z3" s="34" t="n">
        <v>85</v>
      </c>
      <c r="AA3" s="34" t="n">
        <v>80</v>
      </c>
      <c r="AB3" s="34" t="n">
        <v>75</v>
      </c>
      <c r="AC3" s="34" t="n">
        <v>70</v>
      </c>
      <c r="AD3" s="34" t="n">
        <v>65</v>
      </c>
      <c r="AE3" s="34" t="n">
        <v>60</v>
      </c>
      <c r="AF3" s="34" t="n">
        <v>55</v>
      </c>
      <c r="AG3" s="34" t="n">
        <v>50</v>
      </c>
      <c r="AH3" s="34" t="n">
        <v>45</v>
      </c>
      <c r="AI3" s="34" t="n">
        <v>40</v>
      </c>
      <c r="AJ3" s="34" t="n">
        <v>35</v>
      </c>
      <c r="AK3" s="34" t="n">
        <v>30</v>
      </c>
      <c r="AL3" s="34" t="n">
        <v>25</v>
      </c>
      <c r="AM3" s="34" t="n">
        <v>20</v>
      </c>
      <c r="AN3" s="34" t="n">
        <v>15</v>
      </c>
      <c r="AO3" s="34" t="n">
        <v>10</v>
      </c>
      <c r="AP3" s="34" t="n">
        <v>5</v>
      </c>
    </row>
    <row r="4" ht="30" customHeight="1">
      <c r="A4" s="4" t="inlineStr">
        <is>
          <t>Cod</t>
        </is>
      </c>
      <c r="B4" s="4" t="inlineStr">
        <is>
          <t>Faz</t>
        </is>
      </c>
      <c r="C4" s="4" t="inlineStr">
        <is>
          <t>L100</t>
        </is>
      </c>
      <c r="D4" s="4" t="inlineStr">
        <is>
          <t>L95</t>
        </is>
      </c>
      <c r="E4" s="4" t="inlineStr">
        <is>
          <t>L90</t>
        </is>
      </c>
      <c r="F4" s="4" t="inlineStr">
        <is>
          <t>L85</t>
        </is>
      </c>
      <c r="G4" s="4" t="inlineStr">
        <is>
          <t>L80</t>
        </is>
      </c>
      <c r="H4" s="4" t="inlineStr">
        <is>
          <t>L75</t>
        </is>
      </c>
      <c r="I4" s="4" t="inlineStr">
        <is>
          <t>L70</t>
        </is>
      </c>
      <c r="J4" s="4" t="inlineStr">
        <is>
          <t>L65</t>
        </is>
      </c>
      <c r="K4" s="4" t="inlineStr">
        <is>
          <t>L60</t>
        </is>
      </c>
      <c r="L4" s="4" t="inlineStr">
        <is>
          <t>L55</t>
        </is>
      </c>
      <c r="M4" s="4" t="inlineStr">
        <is>
          <t>L50</t>
        </is>
      </c>
      <c r="N4" s="4" t="inlineStr">
        <is>
          <t>L45</t>
        </is>
      </c>
      <c r="O4" s="4" t="inlineStr">
        <is>
          <t>L40</t>
        </is>
      </c>
      <c r="P4" s="4" t="inlineStr">
        <is>
          <t>L35</t>
        </is>
      </c>
      <c r="Q4" s="4" t="inlineStr">
        <is>
          <t>L30</t>
        </is>
      </c>
      <c r="R4" s="4" t="inlineStr">
        <is>
          <t>L25</t>
        </is>
      </c>
      <c r="S4" s="4" t="inlineStr">
        <is>
          <t>L20</t>
        </is>
      </c>
      <c r="T4" s="4" t="inlineStr">
        <is>
          <t>L15</t>
        </is>
      </c>
      <c r="U4" s="4" t="inlineStr">
        <is>
          <t>L10</t>
        </is>
      </c>
      <c r="V4" s="4" t="inlineStr">
        <is>
          <t>L5</t>
        </is>
      </c>
      <c r="W4" s="35" t="inlineStr">
        <is>
          <t>H100</t>
        </is>
      </c>
      <c r="X4" s="35" t="inlineStr">
        <is>
          <t>H95</t>
        </is>
      </c>
      <c r="Y4" s="35" t="inlineStr">
        <is>
          <t>H90</t>
        </is>
      </c>
      <c r="Z4" s="35" t="inlineStr">
        <is>
          <t>H85</t>
        </is>
      </c>
      <c r="AA4" s="35" t="inlineStr">
        <is>
          <t>H80</t>
        </is>
      </c>
      <c r="AB4" s="35" t="inlineStr">
        <is>
          <t>H75</t>
        </is>
      </c>
      <c r="AC4" s="35" t="inlineStr">
        <is>
          <t>H70</t>
        </is>
      </c>
      <c r="AD4" s="35" t="inlineStr">
        <is>
          <t>H65</t>
        </is>
      </c>
      <c r="AE4" s="35" t="inlineStr">
        <is>
          <t>H60</t>
        </is>
      </c>
      <c r="AF4" s="35" t="inlineStr">
        <is>
          <t>H55</t>
        </is>
      </c>
      <c r="AG4" s="35" t="inlineStr">
        <is>
          <t>H50</t>
        </is>
      </c>
      <c r="AH4" s="35" t="inlineStr">
        <is>
          <t>H45</t>
        </is>
      </c>
      <c r="AI4" s="35" t="inlineStr">
        <is>
          <t>H40</t>
        </is>
      </c>
      <c r="AJ4" s="35" t="inlineStr">
        <is>
          <t>H35</t>
        </is>
      </c>
      <c r="AK4" s="35" t="inlineStr">
        <is>
          <t>H30</t>
        </is>
      </c>
      <c r="AL4" s="35" t="inlineStr">
        <is>
          <t>H25</t>
        </is>
      </c>
      <c r="AM4" s="35" t="inlineStr">
        <is>
          <t>H20</t>
        </is>
      </c>
      <c r="AN4" s="35" t="inlineStr">
        <is>
          <t>H15</t>
        </is>
      </c>
      <c r="AO4" s="35" t="inlineStr">
        <is>
          <t>H10</t>
        </is>
      </c>
      <c r="AP4" s="35" t="inlineStr">
        <is>
          <t>H5</t>
        </is>
      </c>
    </row>
    <row r="5">
      <c r="A5" s="5" t="inlineStr">
        <is>
          <t>PA</t>
        </is>
      </c>
      <c r="B5" s="5" t="inlineStr">
        <is>
          <t>Karitel</t>
        </is>
      </c>
      <c r="C5" s="36" t="n">
        <v>6.06</v>
      </c>
      <c r="D5" s="36" t="n">
        <v>6.378947368421053</v>
      </c>
      <c r="E5" s="36" t="n">
        <v>6.733333333333333</v>
      </c>
      <c r="F5" s="36" t="n">
        <v>7.129411764705882</v>
      </c>
      <c r="G5" s="36" t="n">
        <v>7.574999999999999</v>
      </c>
      <c r="H5" s="36" t="n">
        <v>8.08</v>
      </c>
      <c r="I5" s="36" t="n">
        <v>8.657142857142857</v>
      </c>
      <c r="J5" s="36" t="n">
        <v>9.323076923076922</v>
      </c>
      <c r="K5" s="36" t="n">
        <v>10.1</v>
      </c>
      <c r="L5" s="36" t="n">
        <v>11.01818181818182</v>
      </c>
      <c r="M5" s="36" t="n">
        <v>12.12</v>
      </c>
      <c r="N5" s="36" t="n">
        <v>13.46666666666667</v>
      </c>
      <c r="O5" s="36" t="n">
        <v>15.15</v>
      </c>
      <c r="P5" s="36" t="n">
        <v>17.31428571428571</v>
      </c>
      <c r="Q5" s="36" t="n">
        <v>20.2</v>
      </c>
      <c r="R5" s="36" t="n">
        <v>24.24</v>
      </c>
      <c r="S5" s="36" t="n">
        <v>30.3</v>
      </c>
      <c r="T5" s="36" t="n">
        <v>40.4</v>
      </c>
      <c r="U5" s="36" t="n">
        <v>60.59999999999999</v>
      </c>
      <c r="V5" s="36" t="n">
        <v>121.2</v>
      </c>
      <c r="W5" s="36" t="n">
        <v>13.54</v>
      </c>
      <c r="X5" s="36" t="n">
        <v>14.25263157894737</v>
      </c>
      <c r="Y5" s="36" t="n">
        <v>15.04444444444444</v>
      </c>
      <c r="Z5" s="36" t="n">
        <v>15.92941176470588</v>
      </c>
      <c r="AA5" s="36" t="n">
        <v>16.925</v>
      </c>
      <c r="AB5" s="36" t="n">
        <v>18.05333333333333</v>
      </c>
      <c r="AC5" s="36" t="n">
        <v>19.34285714285714</v>
      </c>
      <c r="AD5" s="36" t="n">
        <v>20.83076923076923</v>
      </c>
      <c r="AE5" s="36" t="n">
        <v>22.56666666666667</v>
      </c>
      <c r="AF5" s="36" t="n">
        <v>24.61818181818181</v>
      </c>
      <c r="AG5" s="36" t="n">
        <v>27.08</v>
      </c>
      <c r="AH5" s="36" t="n">
        <v>30.08888888888889</v>
      </c>
      <c r="AI5" s="36" t="n">
        <v>33.84999999999999</v>
      </c>
      <c r="AJ5" s="36" t="n">
        <v>38.68571428571428</v>
      </c>
      <c r="AK5" s="36" t="n">
        <v>45.13333333333333</v>
      </c>
      <c r="AL5" s="36" t="n">
        <v>54.16</v>
      </c>
      <c r="AM5" s="36" t="n">
        <v>67.69999999999999</v>
      </c>
      <c r="AN5" s="36" t="n">
        <v>90.26666666666667</v>
      </c>
      <c r="AO5" s="36" t="n">
        <v>135.4</v>
      </c>
      <c r="AP5" s="36" t="n">
        <v>270.8</v>
      </c>
    </row>
    <row r="6">
      <c r="A6" s="5" t="inlineStr">
        <is>
          <t>PB</t>
        </is>
      </c>
      <c r="B6" s="5" t="inlineStr">
        <is>
          <t>Karitel</t>
        </is>
      </c>
      <c r="C6" s="36" t="n">
        <v>6.06</v>
      </c>
      <c r="D6" s="36" t="n">
        <v>6.378947368421053</v>
      </c>
      <c r="E6" s="36" t="n">
        <v>6.733333333333333</v>
      </c>
      <c r="F6" s="36" t="n">
        <v>7.129411764705882</v>
      </c>
      <c r="G6" s="36" t="n">
        <v>7.574999999999999</v>
      </c>
      <c r="H6" s="36" t="n">
        <v>8.08</v>
      </c>
      <c r="I6" s="36" t="n">
        <v>8.657142857142857</v>
      </c>
      <c r="J6" s="36" t="n">
        <v>9.323076923076922</v>
      </c>
      <c r="K6" s="36" t="n">
        <v>10.1</v>
      </c>
      <c r="L6" s="36" t="n">
        <v>11.01818181818182</v>
      </c>
      <c r="M6" s="36" t="n">
        <v>12.12</v>
      </c>
      <c r="N6" s="36" t="n">
        <v>13.46666666666667</v>
      </c>
      <c r="O6" s="36" t="n">
        <v>15.15</v>
      </c>
      <c r="P6" s="36" t="n">
        <v>17.31428571428571</v>
      </c>
      <c r="Q6" s="36" t="n">
        <v>20.2</v>
      </c>
      <c r="R6" s="36" t="n">
        <v>24.24</v>
      </c>
      <c r="S6" s="36" t="n">
        <v>30.3</v>
      </c>
      <c r="T6" s="36" t="n">
        <v>40.4</v>
      </c>
      <c r="U6" s="36" t="n">
        <v>60.59999999999999</v>
      </c>
      <c r="V6" s="36" t="n">
        <v>121.2</v>
      </c>
      <c r="W6" s="36" t="n">
        <v>13.54</v>
      </c>
      <c r="X6" s="36" t="n">
        <v>14.25263157894737</v>
      </c>
      <c r="Y6" s="36" t="n">
        <v>15.04444444444444</v>
      </c>
      <c r="Z6" s="36" t="n">
        <v>15.92941176470588</v>
      </c>
      <c r="AA6" s="36" t="n">
        <v>16.925</v>
      </c>
      <c r="AB6" s="36" t="n">
        <v>18.05333333333333</v>
      </c>
      <c r="AC6" s="36" t="n">
        <v>19.34285714285714</v>
      </c>
      <c r="AD6" s="36" t="n">
        <v>20.83076923076923</v>
      </c>
      <c r="AE6" s="36" t="n">
        <v>22.56666666666667</v>
      </c>
      <c r="AF6" s="36" t="n">
        <v>24.61818181818181</v>
      </c>
      <c r="AG6" s="36" t="n">
        <v>27.08</v>
      </c>
      <c r="AH6" s="36" t="n">
        <v>30.08888888888889</v>
      </c>
      <c r="AI6" s="36" t="n">
        <v>33.84999999999999</v>
      </c>
      <c r="AJ6" s="36" t="n">
        <v>38.68571428571428</v>
      </c>
      <c r="AK6" s="36" t="n">
        <v>45.13333333333333</v>
      </c>
      <c r="AL6" s="36" t="n">
        <v>54.16</v>
      </c>
      <c r="AM6" s="36" t="n">
        <v>67.69999999999999</v>
      </c>
      <c r="AN6" s="36" t="n">
        <v>90.26666666666667</v>
      </c>
      <c r="AO6" s="36" t="n">
        <v>135.4</v>
      </c>
      <c r="AP6" s="36" t="n">
        <v>270.8</v>
      </c>
    </row>
    <row r="7">
      <c r="A7" s="5" t="inlineStr">
        <is>
          <t>P1</t>
        </is>
      </c>
      <c r="B7" s="5" t="inlineStr">
        <is>
          <t>Karitel</t>
        </is>
      </c>
      <c r="C7" s="36" t="n">
        <v>5.61</v>
      </c>
      <c r="D7" s="36" t="n">
        <v>5.905263157894738</v>
      </c>
      <c r="E7" s="36" t="n">
        <v>6.233333333333333</v>
      </c>
      <c r="F7" s="36" t="n">
        <v>6.600000000000001</v>
      </c>
      <c r="G7" s="36" t="n">
        <v>7.0125</v>
      </c>
      <c r="H7" s="36" t="n">
        <v>7.48</v>
      </c>
      <c r="I7" s="36" t="n">
        <v>8.014285714285716</v>
      </c>
      <c r="J7" s="36" t="n">
        <v>8.63076923076923</v>
      </c>
      <c r="K7" s="36" t="n">
        <v>9.350000000000001</v>
      </c>
      <c r="L7" s="36" t="n">
        <v>10.2</v>
      </c>
      <c r="M7" s="36" t="n">
        <v>11.22</v>
      </c>
      <c r="N7" s="36" t="n">
        <v>12.46666666666667</v>
      </c>
      <c r="O7" s="36" t="n">
        <v>14.025</v>
      </c>
      <c r="P7" s="36" t="n">
        <v>16.02857142857143</v>
      </c>
      <c r="Q7" s="36" t="n">
        <v>18.7</v>
      </c>
      <c r="R7" s="36" t="n">
        <v>22.44</v>
      </c>
      <c r="S7" s="36" t="n">
        <v>28.05</v>
      </c>
      <c r="T7" s="36" t="n">
        <v>37.40000000000001</v>
      </c>
      <c r="U7" s="36" t="n">
        <v>56.1</v>
      </c>
      <c r="V7" s="36" t="n">
        <v>112.2</v>
      </c>
      <c r="W7" s="36" t="n">
        <v>15.11</v>
      </c>
      <c r="X7" s="36" t="n">
        <v>15.90526315789474</v>
      </c>
      <c r="Y7" s="36" t="n">
        <v>16.78888888888889</v>
      </c>
      <c r="Z7" s="36" t="n">
        <v>17.77647058823529</v>
      </c>
      <c r="AA7" s="36" t="n">
        <v>18.8875</v>
      </c>
      <c r="AB7" s="36" t="n">
        <v>20.14666666666666</v>
      </c>
      <c r="AC7" s="36" t="n">
        <v>21.58571428571429</v>
      </c>
      <c r="AD7" s="36" t="n">
        <v>23.24615384615385</v>
      </c>
      <c r="AE7" s="36" t="n">
        <v>25.18333333333333</v>
      </c>
      <c r="AF7" s="36" t="n">
        <v>27.47272727272727</v>
      </c>
      <c r="AG7" s="36" t="n">
        <v>30.22</v>
      </c>
      <c r="AH7" s="36" t="n">
        <v>33.57777777777778</v>
      </c>
      <c r="AI7" s="36" t="n">
        <v>37.775</v>
      </c>
      <c r="AJ7" s="36" t="n">
        <v>43.17142857142857</v>
      </c>
      <c r="AK7" s="36" t="n">
        <v>50.36666666666667</v>
      </c>
      <c r="AL7" s="36" t="n">
        <v>60.44</v>
      </c>
      <c r="AM7" s="36" t="n">
        <v>75.55</v>
      </c>
      <c r="AN7" s="36" t="n">
        <v>100.7333333333333</v>
      </c>
      <c r="AO7" s="36" t="n">
        <v>151.1</v>
      </c>
      <c r="AP7" s="36" t="n">
        <v>302.2</v>
      </c>
    </row>
    <row r="8">
      <c r="A8" s="5" t="inlineStr">
        <is>
          <t>P2</t>
        </is>
      </c>
      <c r="B8" s="5" t="inlineStr">
        <is>
          <t>Karitel</t>
        </is>
      </c>
      <c r="C8" s="36" t="n">
        <v>5.15</v>
      </c>
      <c r="D8" s="36" t="n">
        <v>5.421052631578948</v>
      </c>
      <c r="E8" s="36" t="n">
        <v>5.722222222222222</v>
      </c>
      <c r="F8" s="36" t="n">
        <v>6.058823529411765</v>
      </c>
      <c r="G8" s="36" t="n">
        <v>6.4375</v>
      </c>
      <c r="H8" s="36" t="n">
        <v>6.866666666666667</v>
      </c>
      <c r="I8" s="36" t="n">
        <v>7.357142857142859</v>
      </c>
      <c r="J8" s="36" t="n">
        <v>7.923076923076923</v>
      </c>
      <c r="K8" s="36" t="n">
        <v>8.583333333333334</v>
      </c>
      <c r="L8" s="36" t="n">
        <v>9.363636363636363</v>
      </c>
      <c r="M8" s="36" t="n">
        <v>10.3</v>
      </c>
      <c r="N8" s="36" t="n">
        <v>11.44444444444444</v>
      </c>
      <c r="O8" s="36" t="n">
        <v>12.875</v>
      </c>
      <c r="P8" s="36" t="n">
        <v>14.71428571428572</v>
      </c>
      <c r="Q8" s="36" t="n">
        <v>17.16666666666667</v>
      </c>
      <c r="R8" s="36" t="n">
        <v>20.6</v>
      </c>
      <c r="S8" s="36" t="n">
        <v>25.75</v>
      </c>
      <c r="T8" s="36" t="n">
        <v>34.33333333333334</v>
      </c>
      <c r="U8" s="36" t="n">
        <v>51.5</v>
      </c>
      <c r="V8" s="36" t="n">
        <v>103</v>
      </c>
      <c r="W8" s="36" t="n">
        <v>13.56</v>
      </c>
      <c r="X8" s="36" t="n">
        <v>14.27368421052632</v>
      </c>
      <c r="Y8" s="36" t="n">
        <v>15.06666666666667</v>
      </c>
      <c r="Z8" s="36" t="n">
        <v>15.95294117647059</v>
      </c>
      <c r="AA8" s="36" t="n">
        <v>16.95</v>
      </c>
      <c r="AB8" s="36" t="n">
        <v>18.08</v>
      </c>
      <c r="AC8" s="36" t="n">
        <v>19.37142857142857</v>
      </c>
      <c r="AD8" s="36" t="n">
        <v>20.86153846153846</v>
      </c>
      <c r="AE8" s="36" t="n">
        <v>22.6</v>
      </c>
      <c r="AF8" s="36" t="n">
        <v>24.65454545454545</v>
      </c>
      <c r="AG8" s="36" t="n">
        <v>27.12</v>
      </c>
      <c r="AH8" s="36" t="n">
        <v>30.13333333333333</v>
      </c>
      <c r="AI8" s="36" t="n">
        <v>33.9</v>
      </c>
      <c r="AJ8" s="36" t="n">
        <v>38.74285714285715</v>
      </c>
      <c r="AK8" s="36" t="n">
        <v>45.2</v>
      </c>
      <c r="AL8" s="36" t="n">
        <v>54.24</v>
      </c>
      <c r="AM8" s="36" t="n">
        <v>67.8</v>
      </c>
      <c r="AN8" s="36" t="n">
        <v>90.40000000000001</v>
      </c>
      <c r="AO8" s="36" t="n">
        <v>135.6</v>
      </c>
      <c r="AP8" s="36" t="n">
        <v>271.2</v>
      </c>
    </row>
    <row r="9">
      <c r="A9" s="5" t="inlineStr">
        <is>
          <t>P3</t>
        </is>
      </c>
      <c r="B9" s="5" t="inlineStr">
        <is>
          <t>Karitel</t>
        </is>
      </c>
      <c r="C9" s="36" t="n">
        <v>6.105</v>
      </c>
      <c r="D9" s="36" t="n">
        <v>6.426315789473685</v>
      </c>
      <c r="E9" s="36" t="n">
        <v>6.783333333333333</v>
      </c>
      <c r="F9" s="36" t="n">
        <v>7.182352941176472</v>
      </c>
      <c r="G9" s="36" t="n">
        <v>7.631250000000001</v>
      </c>
      <c r="H9" s="36" t="n">
        <v>8.140000000000001</v>
      </c>
      <c r="I9" s="36" t="n">
        <v>8.721428571428573</v>
      </c>
      <c r="J9" s="36" t="n">
        <v>9.392307692307693</v>
      </c>
      <c r="K9" s="36" t="n">
        <v>10.175</v>
      </c>
      <c r="L9" s="36" t="n">
        <v>11.1</v>
      </c>
      <c r="M9" s="36" t="n">
        <v>12.21</v>
      </c>
      <c r="N9" s="36" t="n">
        <v>13.56666666666667</v>
      </c>
      <c r="O9" s="36" t="n">
        <v>15.2625</v>
      </c>
      <c r="P9" s="36" t="n">
        <v>17.44285714285715</v>
      </c>
      <c r="Q9" s="36" t="n">
        <v>20.35</v>
      </c>
      <c r="R9" s="36" t="n">
        <v>24.42</v>
      </c>
      <c r="S9" s="36" t="n">
        <v>30.525</v>
      </c>
      <c r="T9" s="36" t="n">
        <v>40.7</v>
      </c>
      <c r="U9" s="36" t="n">
        <v>61.05</v>
      </c>
      <c r="V9" s="36" t="n">
        <v>122.1</v>
      </c>
      <c r="W9" s="36" t="n">
        <v>15.11</v>
      </c>
      <c r="X9" s="36" t="n">
        <v>15.90526315789474</v>
      </c>
      <c r="Y9" s="36" t="n">
        <v>16.78888888888889</v>
      </c>
      <c r="Z9" s="36" t="n">
        <v>17.77647058823529</v>
      </c>
      <c r="AA9" s="36" t="n">
        <v>18.8875</v>
      </c>
      <c r="AB9" s="36" t="n">
        <v>20.14666666666666</v>
      </c>
      <c r="AC9" s="36" t="n">
        <v>21.58571428571429</v>
      </c>
      <c r="AD9" s="36" t="n">
        <v>23.24615384615385</v>
      </c>
      <c r="AE9" s="36" t="n">
        <v>25.18333333333333</v>
      </c>
      <c r="AF9" s="36" t="n">
        <v>27.47272727272727</v>
      </c>
      <c r="AG9" s="36" t="n">
        <v>30.22</v>
      </c>
      <c r="AH9" s="36" t="n">
        <v>33.57777777777778</v>
      </c>
      <c r="AI9" s="36" t="n">
        <v>37.775</v>
      </c>
      <c r="AJ9" s="36" t="n">
        <v>43.17142857142857</v>
      </c>
      <c r="AK9" s="36" t="n">
        <v>50.36666666666667</v>
      </c>
      <c r="AL9" s="36" t="n">
        <v>60.44</v>
      </c>
      <c r="AM9" s="36" t="n">
        <v>75.55</v>
      </c>
      <c r="AN9" s="36" t="n">
        <v>100.7333333333333</v>
      </c>
      <c r="AO9" s="36" t="n">
        <v>151.1</v>
      </c>
      <c r="AP9" s="36" t="n">
        <v>302.2</v>
      </c>
    </row>
    <row r="10">
      <c r="A10" s="5" t="inlineStr">
        <is>
          <t>P4</t>
        </is>
      </c>
      <c r="B10" s="5" t="inlineStr">
        <is>
          <t>Karitel</t>
        </is>
      </c>
      <c r="C10" s="36" t="n">
        <v>3.78</v>
      </c>
      <c r="D10" s="36" t="n">
        <v>3.978947368421053</v>
      </c>
      <c r="E10" s="36" t="n">
        <v>4.199999999999999</v>
      </c>
      <c r="F10" s="36" t="n">
        <v>4.447058823529412</v>
      </c>
      <c r="G10" s="36" t="n">
        <v>4.725</v>
      </c>
      <c r="H10" s="36" t="n">
        <v>5.04</v>
      </c>
      <c r="I10" s="36" t="n">
        <v>5.4</v>
      </c>
      <c r="J10" s="36" t="n">
        <v>5.815384615384615</v>
      </c>
      <c r="K10" s="36" t="n">
        <v>6.3</v>
      </c>
      <c r="L10" s="36" t="n">
        <v>6.872727272727272</v>
      </c>
      <c r="M10" s="36" t="n">
        <v>7.56</v>
      </c>
      <c r="N10" s="36" t="n">
        <v>8.399999999999999</v>
      </c>
      <c r="O10" s="36" t="n">
        <v>9.449999999999999</v>
      </c>
      <c r="P10" s="36" t="n">
        <v>10.8</v>
      </c>
      <c r="Q10" s="36" t="n">
        <v>12.6</v>
      </c>
      <c r="R10" s="36" t="n">
        <v>15.12</v>
      </c>
      <c r="S10" s="36" t="n">
        <v>18.9</v>
      </c>
      <c r="T10" s="36" t="n">
        <v>25.2</v>
      </c>
      <c r="U10" s="36" t="n">
        <v>37.8</v>
      </c>
      <c r="V10" s="36" t="n">
        <v>75.59999999999999</v>
      </c>
      <c r="W10" s="36" t="n">
        <v>9.859999999999999</v>
      </c>
      <c r="X10" s="36" t="n">
        <v>10.37894736842105</v>
      </c>
      <c r="Y10" s="36" t="n">
        <v>10.95555555555555</v>
      </c>
      <c r="Z10" s="36" t="n">
        <v>11.6</v>
      </c>
      <c r="AA10" s="36" t="n">
        <v>12.325</v>
      </c>
      <c r="AB10" s="36" t="n">
        <v>13.14666666666667</v>
      </c>
      <c r="AC10" s="36" t="n">
        <v>14.08571428571429</v>
      </c>
      <c r="AD10" s="36" t="n">
        <v>15.16923076923077</v>
      </c>
      <c r="AE10" s="36" t="n">
        <v>16.43333333333333</v>
      </c>
      <c r="AF10" s="36" t="n">
        <v>17.92727272727273</v>
      </c>
      <c r="AG10" s="36" t="n">
        <v>19.72</v>
      </c>
      <c r="AH10" s="36" t="n">
        <v>21.91111111111111</v>
      </c>
      <c r="AI10" s="36" t="n">
        <v>24.65</v>
      </c>
      <c r="AJ10" s="36" t="n">
        <v>28.17142857142857</v>
      </c>
      <c r="AK10" s="36" t="n">
        <v>32.86666666666667</v>
      </c>
      <c r="AL10" s="36" t="n">
        <v>39.44</v>
      </c>
      <c r="AM10" s="36" t="n">
        <v>49.3</v>
      </c>
      <c r="AN10" s="36" t="n">
        <v>65.73333333333333</v>
      </c>
      <c r="AO10" s="36" t="n">
        <v>98.59999999999999</v>
      </c>
      <c r="AP10" s="36" t="n">
        <v>197.2</v>
      </c>
    </row>
    <row r="11">
      <c r="A11" s="5" t="inlineStr">
        <is>
          <t>P5</t>
        </is>
      </c>
      <c r="B11" s="5" t="inlineStr">
        <is>
          <t>Karitel</t>
        </is>
      </c>
      <c r="C11" s="36" t="n">
        <v>5.82</v>
      </c>
      <c r="D11" s="36" t="n">
        <v>6.126315789473685</v>
      </c>
      <c r="E11" s="36" t="n">
        <v>6.466666666666667</v>
      </c>
      <c r="F11" s="36" t="n">
        <v>6.847058823529412</v>
      </c>
      <c r="G11" s="36" t="n">
        <v>7.275</v>
      </c>
      <c r="H11" s="36" t="n">
        <v>7.760000000000001</v>
      </c>
      <c r="I11" s="36" t="n">
        <v>8.314285714285715</v>
      </c>
      <c r="J11" s="36" t="n">
        <v>8.953846153846154</v>
      </c>
      <c r="K11" s="36" t="n">
        <v>9.700000000000001</v>
      </c>
      <c r="L11" s="36" t="n">
        <v>10.58181818181818</v>
      </c>
      <c r="M11" s="36" t="n">
        <v>11.64</v>
      </c>
      <c r="N11" s="36" t="n">
        <v>12.93333333333333</v>
      </c>
      <c r="O11" s="36" t="n">
        <v>14.55</v>
      </c>
      <c r="P11" s="36" t="n">
        <v>16.62857142857143</v>
      </c>
      <c r="Q11" s="36" t="n">
        <v>19.4</v>
      </c>
      <c r="R11" s="36" t="n">
        <v>23.28</v>
      </c>
      <c r="S11" s="36" t="n">
        <v>29.1</v>
      </c>
      <c r="T11" s="36" t="n">
        <v>38.8</v>
      </c>
      <c r="U11" s="36" t="n">
        <v>58.2</v>
      </c>
      <c r="V11" s="36" t="n">
        <v>116.4</v>
      </c>
      <c r="W11" s="36" t="n">
        <v>15.11</v>
      </c>
      <c r="X11" s="36" t="n">
        <v>15.90526315789474</v>
      </c>
      <c r="Y11" s="36" t="n">
        <v>16.78888888888889</v>
      </c>
      <c r="Z11" s="36" t="n">
        <v>17.77647058823529</v>
      </c>
      <c r="AA11" s="36" t="n">
        <v>18.8875</v>
      </c>
      <c r="AB11" s="36" t="n">
        <v>20.14666666666666</v>
      </c>
      <c r="AC11" s="36" t="n">
        <v>21.58571428571429</v>
      </c>
      <c r="AD11" s="36" t="n">
        <v>23.24615384615385</v>
      </c>
      <c r="AE11" s="36" t="n">
        <v>25.18333333333333</v>
      </c>
      <c r="AF11" s="36" t="n">
        <v>27.47272727272727</v>
      </c>
      <c r="AG11" s="36" t="n">
        <v>30.22</v>
      </c>
      <c r="AH11" s="36" t="n">
        <v>33.57777777777778</v>
      </c>
      <c r="AI11" s="36" t="n">
        <v>37.775</v>
      </c>
      <c r="AJ11" s="36" t="n">
        <v>43.17142857142857</v>
      </c>
      <c r="AK11" s="36" t="n">
        <v>50.36666666666667</v>
      </c>
      <c r="AL11" s="36" t="n">
        <v>60.44</v>
      </c>
      <c r="AM11" s="36" t="n">
        <v>75.55</v>
      </c>
      <c r="AN11" s="36" t="n">
        <v>100.7333333333333</v>
      </c>
      <c r="AO11" s="36" t="n">
        <v>151.1</v>
      </c>
      <c r="AP11" s="36" t="n">
        <v>302.2</v>
      </c>
    </row>
    <row r="12">
      <c r="A12" s="5" t="inlineStr">
        <is>
          <t>P6</t>
        </is>
      </c>
      <c r="B12" s="5" t="inlineStr">
        <is>
          <t>Karitel</t>
        </is>
      </c>
      <c r="C12" s="36" t="n">
        <v>6.12</v>
      </c>
      <c r="D12" s="36" t="n">
        <v>6.442105263157895</v>
      </c>
      <c r="E12" s="36" t="n">
        <v>6.8</v>
      </c>
      <c r="F12" s="36" t="n">
        <v>7.2</v>
      </c>
      <c r="G12" s="36" t="n">
        <v>7.649999999999999</v>
      </c>
      <c r="H12" s="36" t="n">
        <v>8.16</v>
      </c>
      <c r="I12" s="36" t="n">
        <v>8.742857142857144</v>
      </c>
      <c r="J12" s="36" t="n">
        <v>9.415384615384616</v>
      </c>
      <c r="K12" s="36" t="n">
        <v>10.2</v>
      </c>
      <c r="L12" s="36" t="n">
        <v>11.12727272727273</v>
      </c>
      <c r="M12" s="36" t="n">
        <v>12.24</v>
      </c>
      <c r="N12" s="36" t="n">
        <v>13.6</v>
      </c>
      <c r="O12" s="36" t="n">
        <v>15.3</v>
      </c>
      <c r="P12" s="36" t="n">
        <v>17.48571428571429</v>
      </c>
      <c r="Q12" s="36" t="n">
        <v>20.4</v>
      </c>
      <c r="R12" s="36" t="n">
        <v>24.48</v>
      </c>
      <c r="S12" s="36" t="n">
        <v>30.6</v>
      </c>
      <c r="T12" s="36" t="n">
        <v>40.8</v>
      </c>
      <c r="U12" s="36" t="n">
        <v>61.2</v>
      </c>
      <c r="V12" s="36" t="n">
        <v>122.4</v>
      </c>
      <c r="W12" s="36" t="n">
        <v>15.11</v>
      </c>
      <c r="X12" s="36" t="n">
        <v>15.90526315789474</v>
      </c>
      <c r="Y12" s="36" t="n">
        <v>16.78888888888889</v>
      </c>
      <c r="Z12" s="36" t="n">
        <v>17.77647058823529</v>
      </c>
      <c r="AA12" s="36" t="n">
        <v>18.8875</v>
      </c>
      <c r="AB12" s="36" t="n">
        <v>20.14666666666666</v>
      </c>
      <c r="AC12" s="36" t="n">
        <v>21.58571428571429</v>
      </c>
      <c r="AD12" s="36" t="n">
        <v>23.24615384615385</v>
      </c>
      <c r="AE12" s="36" t="n">
        <v>25.18333333333333</v>
      </c>
      <c r="AF12" s="36" t="n">
        <v>27.47272727272727</v>
      </c>
      <c r="AG12" s="36" t="n">
        <v>30.22</v>
      </c>
      <c r="AH12" s="36" t="n">
        <v>33.57777777777778</v>
      </c>
      <c r="AI12" s="36" t="n">
        <v>37.775</v>
      </c>
      <c r="AJ12" s="36" t="n">
        <v>43.17142857142857</v>
      </c>
      <c r="AK12" s="36" t="n">
        <v>50.36666666666667</v>
      </c>
      <c r="AL12" s="36" t="n">
        <v>60.44</v>
      </c>
      <c r="AM12" s="36" t="n">
        <v>75.55</v>
      </c>
      <c r="AN12" s="36" t="n">
        <v>100.7333333333333</v>
      </c>
      <c r="AO12" s="36" t="n">
        <v>151.1</v>
      </c>
      <c r="AP12" s="36" t="n">
        <v>302.2</v>
      </c>
    </row>
    <row r="13">
      <c r="A13" s="5" t="inlineStr">
        <is>
          <t>P7</t>
        </is>
      </c>
      <c r="B13" s="5" t="inlineStr">
        <is>
          <t>Karitel</t>
        </is>
      </c>
      <c r="C13" s="36" t="n">
        <v>5.76</v>
      </c>
      <c r="D13" s="36" t="n">
        <v>6.063157894736842</v>
      </c>
      <c r="E13" s="36" t="n">
        <v>6.399999999999999</v>
      </c>
      <c r="F13" s="36" t="n">
        <v>6.776470588235294</v>
      </c>
      <c r="G13" s="36" t="n">
        <v>7.199999999999999</v>
      </c>
      <c r="H13" s="36" t="n">
        <v>7.68</v>
      </c>
      <c r="I13" s="36" t="n">
        <v>8.22857142857143</v>
      </c>
      <c r="J13" s="36" t="n">
        <v>8.86153846153846</v>
      </c>
      <c r="K13" s="36" t="n">
        <v>9.6</v>
      </c>
      <c r="L13" s="36" t="n">
        <v>10.47272727272727</v>
      </c>
      <c r="M13" s="36" t="n">
        <v>11.52</v>
      </c>
      <c r="N13" s="36" t="n">
        <v>12.8</v>
      </c>
      <c r="O13" s="36" t="n">
        <v>14.4</v>
      </c>
      <c r="P13" s="36" t="n">
        <v>16.45714285714286</v>
      </c>
      <c r="Q13" s="36" t="n">
        <v>19.2</v>
      </c>
      <c r="R13" s="36" t="n">
        <v>23.04</v>
      </c>
      <c r="S13" s="36" t="n">
        <v>28.8</v>
      </c>
      <c r="T13" s="36" t="n">
        <v>38.4</v>
      </c>
      <c r="U13" s="36" t="n">
        <v>57.59999999999999</v>
      </c>
      <c r="V13" s="36" t="n">
        <v>115.2</v>
      </c>
      <c r="W13" s="36" t="n">
        <v>13.26</v>
      </c>
      <c r="X13" s="36" t="n">
        <v>13.95789473684211</v>
      </c>
      <c r="Y13" s="36" t="n">
        <v>14.73333333333333</v>
      </c>
      <c r="Z13" s="36" t="n">
        <v>15.6</v>
      </c>
      <c r="AA13" s="36" t="n">
        <v>16.575</v>
      </c>
      <c r="AB13" s="36" t="n">
        <v>17.68</v>
      </c>
      <c r="AC13" s="36" t="n">
        <v>18.94285714285714</v>
      </c>
      <c r="AD13" s="36" t="n">
        <v>20.4</v>
      </c>
      <c r="AE13" s="36" t="n">
        <v>22.1</v>
      </c>
      <c r="AF13" s="36" t="n">
        <v>24.10909090909091</v>
      </c>
      <c r="AG13" s="36" t="n">
        <v>26.52</v>
      </c>
      <c r="AH13" s="36" t="n">
        <v>29.46666666666667</v>
      </c>
      <c r="AI13" s="36" t="n">
        <v>33.15</v>
      </c>
      <c r="AJ13" s="36" t="n">
        <v>37.88571428571429</v>
      </c>
      <c r="AK13" s="36" t="n">
        <v>44.2</v>
      </c>
      <c r="AL13" s="36" t="n">
        <v>53.04</v>
      </c>
      <c r="AM13" s="36" t="n">
        <v>66.3</v>
      </c>
      <c r="AN13" s="36" t="n">
        <v>88.40000000000001</v>
      </c>
      <c r="AO13" s="36" t="n">
        <v>132.6</v>
      </c>
      <c r="AP13" s="36" t="n">
        <v>265.2</v>
      </c>
    </row>
    <row r="14">
      <c r="A14" s="5" t="inlineStr">
        <is>
          <t>P8</t>
        </is>
      </c>
      <c r="B14" s="5" t="inlineStr">
        <is>
          <t>Karitel</t>
        </is>
      </c>
      <c r="C14" s="36" t="n">
        <v>6.58</v>
      </c>
      <c r="D14" s="36" t="n">
        <v>6.926315789473684</v>
      </c>
      <c r="E14" s="36" t="n">
        <v>7.311111111111111</v>
      </c>
      <c r="F14" s="36" t="n">
        <v>7.741176470588235</v>
      </c>
      <c r="G14" s="36" t="n">
        <v>8.225</v>
      </c>
      <c r="H14" s="36" t="n">
        <v>8.773333333333333</v>
      </c>
      <c r="I14" s="36" t="n">
        <v>9.4</v>
      </c>
      <c r="J14" s="36" t="n">
        <v>10.12307692307692</v>
      </c>
      <c r="K14" s="36" t="n">
        <v>10.96666666666667</v>
      </c>
      <c r="L14" s="36" t="n">
        <v>11.96363636363636</v>
      </c>
      <c r="M14" s="36" t="n">
        <v>13.16</v>
      </c>
      <c r="N14" s="36" t="n">
        <v>14.62222222222222</v>
      </c>
      <c r="O14" s="36" t="n">
        <v>16.45</v>
      </c>
      <c r="P14" s="36" t="n">
        <v>18.8</v>
      </c>
      <c r="Q14" s="36" t="n">
        <v>21.93333333333333</v>
      </c>
      <c r="R14" s="36" t="n">
        <v>26.32</v>
      </c>
      <c r="S14" s="36" t="n">
        <v>32.9</v>
      </c>
      <c r="T14" s="36" t="n">
        <v>43.86666666666667</v>
      </c>
      <c r="U14" s="36" t="n">
        <v>65.8</v>
      </c>
      <c r="V14" s="36" t="n">
        <v>131.6</v>
      </c>
      <c r="W14" s="36" t="n">
        <v>15.11</v>
      </c>
      <c r="X14" s="36" t="n">
        <v>15.90526315789474</v>
      </c>
      <c r="Y14" s="36" t="n">
        <v>16.78888888888889</v>
      </c>
      <c r="Z14" s="36" t="n">
        <v>17.77647058823529</v>
      </c>
      <c r="AA14" s="36" t="n">
        <v>18.8875</v>
      </c>
      <c r="AB14" s="36" t="n">
        <v>20.14666666666666</v>
      </c>
      <c r="AC14" s="36" t="n">
        <v>21.58571428571429</v>
      </c>
      <c r="AD14" s="36" t="n">
        <v>23.24615384615385</v>
      </c>
      <c r="AE14" s="36" t="n">
        <v>25.18333333333333</v>
      </c>
      <c r="AF14" s="36" t="n">
        <v>27.47272727272727</v>
      </c>
      <c r="AG14" s="36" t="n">
        <v>30.22</v>
      </c>
      <c r="AH14" s="36" t="n">
        <v>33.57777777777778</v>
      </c>
      <c r="AI14" s="36" t="n">
        <v>37.775</v>
      </c>
      <c r="AJ14" s="36" t="n">
        <v>43.17142857142857</v>
      </c>
      <c r="AK14" s="36" t="n">
        <v>50.36666666666667</v>
      </c>
      <c r="AL14" s="36" t="n">
        <v>60.44</v>
      </c>
      <c r="AM14" s="36" t="n">
        <v>75.55</v>
      </c>
      <c r="AN14" s="36" t="n">
        <v>100.7333333333333</v>
      </c>
      <c r="AO14" s="36" t="n">
        <v>151.1</v>
      </c>
      <c r="AP14" s="36" t="n">
        <v>302.2</v>
      </c>
    </row>
    <row r="15">
      <c r="A15" s="5" t="inlineStr">
        <is>
          <t>P9</t>
        </is>
      </c>
      <c r="B15" s="5" t="inlineStr">
        <is>
          <t>Karitel</t>
        </is>
      </c>
      <c r="C15" s="36" t="n">
        <v>5.82</v>
      </c>
      <c r="D15" s="36" t="n">
        <v>6.126315789473685</v>
      </c>
      <c r="E15" s="36" t="n">
        <v>6.466666666666667</v>
      </c>
      <c r="F15" s="36" t="n">
        <v>6.847058823529412</v>
      </c>
      <c r="G15" s="36" t="n">
        <v>7.275</v>
      </c>
      <c r="H15" s="36" t="n">
        <v>7.760000000000001</v>
      </c>
      <c r="I15" s="36" t="n">
        <v>8.314285714285715</v>
      </c>
      <c r="J15" s="36" t="n">
        <v>8.953846153846154</v>
      </c>
      <c r="K15" s="36" t="n">
        <v>9.700000000000001</v>
      </c>
      <c r="L15" s="36" t="n">
        <v>10.58181818181818</v>
      </c>
      <c r="M15" s="36" t="n">
        <v>11.64</v>
      </c>
      <c r="N15" s="36" t="n">
        <v>12.93333333333333</v>
      </c>
      <c r="O15" s="36" t="n">
        <v>14.55</v>
      </c>
      <c r="P15" s="36" t="n">
        <v>16.62857142857143</v>
      </c>
      <c r="Q15" s="36" t="n">
        <v>19.4</v>
      </c>
      <c r="R15" s="36" t="n">
        <v>23.28</v>
      </c>
      <c r="S15" s="36" t="n">
        <v>29.1</v>
      </c>
      <c r="T15" s="36" t="n">
        <v>38.8</v>
      </c>
      <c r="U15" s="36" t="n">
        <v>58.2</v>
      </c>
      <c r="V15" s="36" t="n">
        <v>116.4</v>
      </c>
      <c r="W15" s="36" t="n">
        <v>13.26</v>
      </c>
      <c r="X15" s="36" t="n">
        <v>13.95789473684211</v>
      </c>
      <c r="Y15" s="36" t="n">
        <v>14.73333333333333</v>
      </c>
      <c r="Z15" s="36" t="n">
        <v>15.6</v>
      </c>
      <c r="AA15" s="36" t="n">
        <v>16.575</v>
      </c>
      <c r="AB15" s="36" t="n">
        <v>17.68</v>
      </c>
      <c r="AC15" s="36" t="n">
        <v>18.94285714285714</v>
      </c>
      <c r="AD15" s="36" t="n">
        <v>20.4</v>
      </c>
      <c r="AE15" s="36" t="n">
        <v>22.1</v>
      </c>
      <c r="AF15" s="36" t="n">
        <v>24.10909090909091</v>
      </c>
      <c r="AG15" s="36" t="n">
        <v>26.52</v>
      </c>
      <c r="AH15" s="36" t="n">
        <v>29.46666666666667</v>
      </c>
      <c r="AI15" s="36" t="n">
        <v>33.15</v>
      </c>
      <c r="AJ15" s="36" t="n">
        <v>37.88571428571429</v>
      </c>
      <c r="AK15" s="36" t="n">
        <v>44.2</v>
      </c>
      <c r="AL15" s="36" t="n">
        <v>53.04</v>
      </c>
      <c r="AM15" s="36" t="n">
        <v>66.3</v>
      </c>
      <c r="AN15" s="36" t="n">
        <v>88.40000000000001</v>
      </c>
      <c r="AO15" s="36" t="n">
        <v>132.6</v>
      </c>
      <c r="AP15" s="36" t="n">
        <v>265.2</v>
      </c>
    </row>
    <row r="16">
      <c r="A16" s="5" t="inlineStr">
        <is>
          <t>P10</t>
        </is>
      </c>
      <c r="B16" s="5" t="inlineStr">
        <is>
          <t>Karitel</t>
        </is>
      </c>
      <c r="C16" s="36" t="n">
        <v>5.83</v>
      </c>
      <c r="D16" s="36" t="n">
        <v>6.136842105263158</v>
      </c>
      <c r="E16" s="36" t="n">
        <v>6.477777777777778</v>
      </c>
      <c r="F16" s="36" t="n">
        <v>6.858823529411765</v>
      </c>
      <c r="G16" s="36" t="n">
        <v>7.2875</v>
      </c>
      <c r="H16" s="36" t="n">
        <v>7.773333333333333</v>
      </c>
      <c r="I16" s="36" t="n">
        <v>8.328571428571429</v>
      </c>
      <c r="J16" s="36" t="n">
        <v>8.969230769230769</v>
      </c>
      <c r="K16" s="36" t="n">
        <v>9.716666666666667</v>
      </c>
      <c r="L16" s="36" t="n">
        <v>10.6</v>
      </c>
      <c r="M16" s="36" t="n">
        <v>11.66</v>
      </c>
      <c r="N16" s="36" t="n">
        <v>12.95555555555556</v>
      </c>
      <c r="O16" s="36" t="n">
        <v>14.575</v>
      </c>
      <c r="P16" s="36" t="n">
        <v>16.65714285714286</v>
      </c>
      <c r="Q16" s="36" t="n">
        <v>19.43333333333333</v>
      </c>
      <c r="R16" s="36" t="n">
        <v>23.32</v>
      </c>
      <c r="S16" s="36" t="n">
        <v>29.15</v>
      </c>
      <c r="T16" s="36" t="n">
        <v>38.86666666666667</v>
      </c>
      <c r="U16" s="36" t="n">
        <v>58.3</v>
      </c>
      <c r="V16" s="36" t="n">
        <v>116.6</v>
      </c>
      <c r="W16" s="36" t="n">
        <v>15.11</v>
      </c>
      <c r="X16" s="36" t="n">
        <v>15.90526315789474</v>
      </c>
      <c r="Y16" s="36" t="n">
        <v>16.78888888888889</v>
      </c>
      <c r="Z16" s="36" t="n">
        <v>17.77647058823529</v>
      </c>
      <c r="AA16" s="36" t="n">
        <v>18.8875</v>
      </c>
      <c r="AB16" s="36" t="n">
        <v>20.14666666666666</v>
      </c>
      <c r="AC16" s="36" t="n">
        <v>21.58571428571429</v>
      </c>
      <c r="AD16" s="36" t="n">
        <v>23.24615384615385</v>
      </c>
      <c r="AE16" s="36" t="n">
        <v>25.18333333333333</v>
      </c>
      <c r="AF16" s="36" t="n">
        <v>27.47272727272727</v>
      </c>
      <c r="AG16" s="36" t="n">
        <v>30.22</v>
      </c>
      <c r="AH16" s="36" t="n">
        <v>33.57777777777778</v>
      </c>
      <c r="AI16" s="36" t="n">
        <v>37.775</v>
      </c>
      <c r="AJ16" s="36" t="n">
        <v>43.17142857142857</v>
      </c>
      <c r="AK16" s="36" t="n">
        <v>50.36666666666667</v>
      </c>
      <c r="AL16" s="36" t="n">
        <v>60.44</v>
      </c>
      <c r="AM16" s="36" t="n">
        <v>75.55</v>
      </c>
      <c r="AN16" s="36" t="n">
        <v>100.7333333333333</v>
      </c>
      <c r="AO16" s="36" t="n">
        <v>151.1</v>
      </c>
      <c r="AP16" s="36" t="n">
        <v>302.2</v>
      </c>
    </row>
    <row r="17">
      <c r="A17" s="5" t="inlineStr">
        <is>
          <t>P11</t>
        </is>
      </c>
      <c r="B17" s="5" t="inlineStr">
        <is>
          <t>Karitel</t>
        </is>
      </c>
      <c r="C17" s="36" t="n">
        <v>5.82</v>
      </c>
      <c r="D17" s="36" t="n">
        <v>6.126315789473685</v>
      </c>
      <c r="E17" s="36" t="n">
        <v>6.466666666666667</v>
      </c>
      <c r="F17" s="36" t="n">
        <v>6.847058823529412</v>
      </c>
      <c r="G17" s="36" t="n">
        <v>7.275</v>
      </c>
      <c r="H17" s="36" t="n">
        <v>7.760000000000001</v>
      </c>
      <c r="I17" s="36" t="n">
        <v>8.314285714285715</v>
      </c>
      <c r="J17" s="36" t="n">
        <v>8.953846153846154</v>
      </c>
      <c r="K17" s="36" t="n">
        <v>9.700000000000001</v>
      </c>
      <c r="L17" s="36" t="n">
        <v>10.58181818181818</v>
      </c>
      <c r="M17" s="36" t="n">
        <v>11.64</v>
      </c>
      <c r="N17" s="36" t="n">
        <v>12.93333333333333</v>
      </c>
      <c r="O17" s="36" t="n">
        <v>14.55</v>
      </c>
      <c r="P17" s="36" t="n">
        <v>16.62857142857143</v>
      </c>
      <c r="Q17" s="36" t="n">
        <v>19.4</v>
      </c>
      <c r="R17" s="36" t="n">
        <v>23.28</v>
      </c>
      <c r="S17" s="36" t="n">
        <v>29.1</v>
      </c>
      <c r="T17" s="36" t="n">
        <v>38.8</v>
      </c>
      <c r="U17" s="36" t="n">
        <v>58.2</v>
      </c>
      <c r="V17" s="36" t="n">
        <v>116.4</v>
      </c>
      <c r="W17" s="36" t="n">
        <v>13.57</v>
      </c>
      <c r="X17" s="36" t="n">
        <v>14.28421052631579</v>
      </c>
      <c r="Y17" s="36" t="n">
        <v>15.07777777777778</v>
      </c>
      <c r="Z17" s="36" t="n">
        <v>15.96470588235294</v>
      </c>
      <c r="AA17" s="36" t="n">
        <v>16.9625</v>
      </c>
      <c r="AB17" s="36" t="n">
        <v>18.09333333333333</v>
      </c>
      <c r="AC17" s="36" t="n">
        <v>19.38571428571429</v>
      </c>
      <c r="AD17" s="36" t="n">
        <v>20.87692307692308</v>
      </c>
      <c r="AE17" s="36" t="n">
        <v>22.61666666666667</v>
      </c>
      <c r="AF17" s="36" t="n">
        <v>24.67272727272727</v>
      </c>
      <c r="AG17" s="36" t="n">
        <v>27.14</v>
      </c>
      <c r="AH17" s="36" t="n">
        <v>30.15555555555556</v>
      </c>
      <c r="AI17" s="36" t="n">
        <v>33.925</v>
      </c>
      <c r="AJ17" s="36" t="n">
        <v>38.77142857142857</v>
      </c>
      <c r="AK17" s="36" t="n">
        <v>45.23333333333333</v>
      </c>
      <c r="AL17" s="36" t="n">
        <v>54.28</v>
      </c>
      <c r="AM17" s="36" t="n">
        <v>67.84999999999999</v>
      </c>
      <c r="AN17" s="36" t="n">
        <v>90.46666666666667</v>
      </c>
      <c r="AO17" s="36" t="n">
        <v>135.7</v>
      </c>
      <c r="AP17" s="36" t="n">
        <v>271.4</v>
      </c>
    </row>
    <row r="18">
      <c r="A18" s="5" t="inlineStr">
        <is>
          <t>P12</t>
        </is>
      </c>
      <c r="B18" s="5" t="inlineStr">
        <is>
          <t>Karitel</t>
        </is>
      </c>
      <c r="C18" s="36" t="n">
        <v>6.54</v>
      </c>
      <c r="D18" s="36" t="n">
        <v>6.88421052631579</v>
      </c>
      <c r="E18" s="36" t="n">
        <v>7.266666666666667</v>
      </c>
      <c r="F18" s="36" t="n">
        <v>7.694117647058824</v>
      </c>
      <c r="G18" s="36" t="n">
        <v>8.174999999999999</v>
      </c>
      <c r="H18" s="36" t="n">
        <v>8.720000000000001</v>
      </c>
      <c r="I18" s="36" t="n">
        <v>9.342857142857143</v>
      </c>
      <c r="J18" s="36" t="n">
        <v>10.06153846153846</v>
      </c>
      <c r="K18" s="36" t="n">
        <v>10.9</v>
      </c>
      <c r="L18" s="36" t="n">
        <v>11.89090909090909</v>
      </c>
      <c r="M18" s="36" t="n">
        <v>13.08</v>
      </c>
      <c r="N18" s="36" t="n">
        <v>14.53333333333333</v>
      </c>
      <c r="O18" s="36" t="n">
        <v>16.35</v>
      </c>
      <c r="P18" s="36" t="n">
        <v>18.68571428571429</v>
      </c>
      <c r="Q18" s="36" t="n">
        <v>21.8</v>
      </c>
      <c r="R18" s="36" t="n">
        <v>26.16</v>
      </c>
      <c r="S18" s="36" t="n">
        <v>32.7</v>
      </c>
      <c r="T18" s="36" t="n">
        <v>43.6</v>
      </c>
      <c r="U18" s="36" t="n">
        <v>65.39999999999999</v>
      </c>
      <c r="V18" s="36" t="n">
        <v>130.8</v>
      </c>
      <c r="W18" s="36" t="n">
        <v>15.11</v>
      </c>
      <c r="X18" s="36" t="n">
        <v>15.90526315789474</v>
      </c>
      <c r="Y18" s="36" t="n">
        <v>16.78888888888889</v>
      </c>
      <c r="Z18" s="36" t="n">
        <v>17.77647058823529</v>
      </c>
      <c r="AA18" s="36" t="n">
        <v>18.8875</v>
      </c>
      <c r="AB18" s="36" t="n">
        <v>20.14666666666666</v>
      </c>
      <c r="AC18" s="36" t="n">
        <v>21.58571428571429</v>
      </c>
      <c r="AD18" s="36" t="n">
        <v>23.24615384615385</v>
      </c>
      <c r="AE18" s="36" t="n">
        <v>25.18333333333333</v>
      </c>
      <c r="AF18" s="36" t="n">
        <v>27.47272727272727</v>
      </c>
      <c r="AG18" s="36" t="n">
        <v>30.22</v>
      </c>
      <c r="AH18" s="36" t="n">
        <v>33.57777777777778</v>
      </c>
      <c r="AI18" s="36" t="n">
        <v>37.775</v>
      </c>
      <c r="AJ18" s="36" t="n">
        <v>43.17142857142857</v>
      </c>
      <c r="AK18" s="36" t="n">
        <v>50.36666666666667</v>
      </c>
      <c r="AL18" s="36" t="n">
        <v>60.44</v>
      </c>
      <c r="AM18" s="36" t="n">
        <v>75.55</v>
      </c>
      <c r="AN18" s="36" t="n">
        <v>100.7333333333333</v>
      </c>
      <c r="AO18" s="36" t="n">
        <v>151.1</v>
      </c>
      <c r="AP18" s="36" t="n">
        <v>302.2</v>
      </c>
    </row>
    <row r="19">
      <c r="A19" s="5" t="inlineStr">
        <is>
          <t>P13</t>
        </is>
      </c>
      <c r="B19" s="5" t="inlineStr">
        <is>
          <t>Karitel</t>
        </is>
      </c>
      <c r="C19" s="36" t="n">
        <v>4.62</v>
      </c>
      <c r="D19" s="36" t="n">
        <v>4.863157894736842</v>
      </c>
      <c r="E19" s="36" t="n">
        <v>5.133333333333334</v>
      </c>
      <c r="F19" s="36" t="n">
        <v>5.435294117647059</v>
      </c>
      <c r="G19" s="36" t="n">
        <v>5.774999999999999</v>
      </c>
      <c r="H19" s="36" t="n">
        <v>6.16</v>
      </c>
      <c r="I19" s="36" t="n">
        <v>6.600000000000001</v>
      </c>
      <c r="J19" s="36" t="n">
        <v>7.107692307692307</v>
      </c>
      <c r="K19" s="36" t="n">
        <v>7.7</v>
      </c>
      <c r="L19" s="36" t="n">
        <v>8.4</v>
      </c>
      <c r="M19" s="36" t="n">
        <v>9.24</v>
      </c>
      <c r="N19" s="36" t="n">
        <v>10.26666666666667</v>
      </c>
      <c r="O19" s="36" t="n">
        <v>11.55</v>
      </c>
      <c r="P19" s="36" t="n">
        <v>13.2</v>
      </c>
      <c r="Q19" s="36" t="n">
        <v>15.4</v>
      </c>
      <c r="R19" s="36" t="n">
        <v>18.48</v>
      </c>
      <c r="S19" s="36" t="n">
        <v>23.1</v>
      </c>
      <c r="T19" s="36" t="n">
        <v>30.8</v>
      </c>
      <c r="U19" s="36" t="n">
        <v>46.2</v>
      </c>
      <c r="V19" s="36" t="n">
        <v>92.39999999999999</v>
      </c>
      <c r="W19" s="36" t="n">
        <v>10.02</v>
      </c>
      <c r="X19" s="36" t="n">
        <v>10.54736842105263</v>
      </c>
      <c r="Y19" s="36" t="n">
        <v>11.13333333333333</v>
      </c>
      <c r="Z19" s="36" t="n">
        <v>11.78823529411765</v>
      </c>
      <c r="AA19" s="36" t="n">
        <v>12.525</v>
      </c>
      <c r="AB19" s="36" t="n">
        <v>13.36</v>
      </c>
      <c r="AC19" s="36" t="n">
        <v>14.31428571428571</v>
      </c>
      <c r="AD19" s="36" t="n">
        <v>15.41538461538461</v>
      </c>
      <c r="AE19" s="36" t="n">
        <v>16.7</v>
      </c>
      <c r="AF19" s="36" t="n">
        <v>18.21818181818182</v>
      </c>
      <c r="AG19" s="36" t="n">
        <v>20.04</v>
      </c>
      <c r="AH19" s="36" t="n">
        <v>22.26666666666667</v>
      </c>
      <c r="AI19" s="36" t="n">
        <v>25.05</v>
      </c>
      <c r="AJ19" s="36" t="n">
        <v>28.62857142857143</v>
      </c>
      <c r="AK19" s="36" t="n">
        <v>33.4</v>
      </c>
      <c r="AL19" s="36" t="n">
        <v>40.08</v>
      </c>
      <c r="AM19" s="36" t="n">
        <v>50.09999999999999</v>
      </c>
      <c r="AN19" s="36" t="n">
        <v>66.8</v>
      </c>
      <c r="AO19" s="36" t="n">
        <v>100.2</v>
      </c>
      <c r="AP19" s="36" t="n">
        <v>200.4</v>
      </c>
    </row>
    <row r="20">
      <c r="A20" s="5" t="inlineStr">
        <is>
          <t>P14</t>
        </is>
      </c>
      <c r="B20" s="5" t="inlineStr">
        <is>
          <t>Karitel</t>
        </is>
      </c>
      <c r="C20" s="36" t="n">
        <v>6.3</v>
      </c>
      <c r="D20" s="36" t="n">
        <v>6.631578947368421</v>
      </c>
      <c r="E20" s="36" t="n">
        <v>7</v>
      </c>
      <c r="F20" s="36" t="n">
        <v>7.411764705882353</v>
      </c>
      <c r="G20" s="36" t="n">
        <v>7.874999999999999</v>
      </c>
      <c r="H20" s="36" t="n">
        <v>8.4</v>
      </c>
      <c r="I20" s="36" t="n">
        <v>9</v>
      </c>
      <c r="J20" s="36" t="n">
        <v>9.692307692307692</v>
      </c>
      <c r="K20" s="36" t="n">
        <v>10.5</v>
      </c>
      <c r="L20" s="36" t="n">
        <v>11.45454545454545</v>
      </c>
      <c r="M20" s="36" t="n">
        <v>12.6</v>
      </c>
      <c r="N20" s="36" t="n">
        <v>14</v>
      </c>
      <c r="O20" s="36" t="n">
        <v>15.75</v>
      </c>
      <c r="P20" s="36" t="n">
        <v>18</v>
      </c>
      <c r="Q20" s="36" t="n">
        <v>21</v>
      </c>
      <c r="R20" s="36" t="n">
        <v>25.2</v>
      </c>
      <c r="S20" s="36" t="n">
        <v>31.5</v>
      </c>
      <c r="T20" s="36" t="n">
        <v>42</v>
      </c>
      <c r="U20" s="36" t="n">
        <v>62.99999999999999</v>
      </c>
      <c r="V20" s="36" t="n">
        <v>126</v>
      </c>
      <c r="W20" s="36" t="n">
        <v>15.11</v>
      </c>
      <c r="X20" s="36" t="n">
        <v>15.90526315789474</v>
      </c>
      <c r="Y20" s="36" t="n">
        <v>16.78888888888889</v>
      </c>
      <c r="Z20" s="36" t="n">
        <v>17.77647058823529</v>
      </c>
      <c r="AA20" s="36" t="n">
        <v>18.8875</v>
      </c>
      <c r="AB20" s="36" t="n">
        <v>20.14666666666666</v>
      </c>
      <c r="AC20" s="36" t="n">
        <v>21.58571428571429</v>
      </c>
      <c r="AD20" s="36" t="n">
        <v>23.24615384615385</v>
      </c>
      <c r="AE20" s="36" t="n">
        <v>25.18333333333333</v>
      </c>
      <c r="AF20" s="36" t="n">
        <v>27.47272727272727</v>
      </c>
      <c r="AG20" s="36" t="n">
        <v>30.22</v>
      </c>
      <c r="AH20" s="36" t="n">
        <v>33.57777777777778</v>
      </c>
      <c r="AI20" s="36" t="n">
        <v>37.775</v>
      </c>
      <c r="AJ20" s="36" t="n">
        <v>43.17142857142857</v>
      </c>
      <c r="AK20" s="36" t="n">
        <v>50.36666666666667</v>
      </c>
      <c r="AL20" s="36" t="n">
        <v>60.44</v>
      </c>
      <c r="AM20" s="36" t="n">
        <v>75.55</v>
      </c>
      <c r="AN20" s="36" t="n">
        <v>100.7333333333333</v>
      </c>
      <c r="AO20" s="36" t="n">
        <v>151.1</v>
      </c>
      <c r="AP20" s="36" t="n">
        <v>302.2</v>
      </c>
    </row>
    <row r="21">
      <c r="A21" s="5" t="inlineStr">
        <is>
          <t>P15</t>
        </is>
      </c>
      <c r="B21" s="5" t="inlineStr">
        <is>
          <t>Karitel</t>
        </is>
      </c>
      <c r="C21" s="36" t="n">
        <v>7.205</v>
      </c>
      <c r="D21" s="36" t="n">
        <v>7.58421052631579</v>
      </c>
      <c r="E21" s="36" t="n">
        <v>8.005555555555555</v>
      </c>
      <c r="F21" s="36" t="n">
        <v>8.476470588235294</v>
      </c>
      <c r="G21" s="36" t="n">
        <v>9.00625</v>
      </c>
      <c r="H21" s="36" t="n">
        <v>9.606666666666667</v>
      </c>
      <c r="I21" s="36" t="n">
        <v>10.29285714285714</v>
      </c>
      <c r="J21" s="36" t="n">
        <v>11.08461538461538</v>
      </c>
      <c r="K21" s="36" t="n">
        <v>12.00833333333333</v>
      </c>
      <c r="L21" s="36" t="n">
        <v>13.1</v>
      </c>
      <c r="M21" s="36" t="n">
        <v>14.41</v>
      </c>
      <c r="N21" s="36" t="n">
        <v>16.01111111111111</v>
      </c>
      <c r="O21" s="36" t="n">
        <v>18.0125</v>
      </c>
      <c r="P21" s="36" t="n">
        <v>20.58571428571429</v>
      </c>
      <c r="Q21" s="36" t="n">
        <v>24.01666666666667</v>
      </c>
      <c r="R21" s="36" t="n">
        <v>28.82</v>
      </c>
      <c r="S21" s="36" t="n">
        <v>36.025</v>
      </c>
      <c r="T21" s="36" t="n">
        <v>48.03333333333334</v>
      </c>
      <c r="U21" s="36" t="n">
        <v>72.05</v>
      </c>
      <c r="V21" s="36" t="n">
        <v>144.1</v>
      </c>
      <c r="W21" s="36" t="n">
        <v>15.11</v>
      </c>
      <c r="X21" s="36" t="n">
        <v>15.90526315789474</v>
      </c>
      <c r="Y21" s="36" t="n">
        <v>16.78888888888889</v>
      </c>
      <c r="Z21" s="36" t="n">
        <v>17.77647058823529</v>
      </c>
      <c r="AA21" s="36" t="n">
        <v>18.8875</v>
      </c>
      <c r="AB21" s="36" t="n">
        <v>20.14666666666666</v>
      </c>
      <c r="AC21" s="36" t="n">
        <v>21.58571428571429</v>
      </c>
      <c r="AD21" s="36" t="n">
        <v>23.24615384615385</v>
      </c>
      <c r="AE21" s="36" t="n">
        <v>25.18333333333333</v>
      </c>
      <c r="AF21" s="36" t="n">
        <v>27.47272727272727</v>
      </c>
      <c r="AG21" s="36" t="n">
        <v>30.22</v>
      </c>
      <c r="AH21" s="36" t="n">
        <v>33.57777777777778</v>
      </c>
      <c r="AI21" s="36" t="n">
        <v>37.775</v>
      </c>
      <c r="AJ21" s="36" t="n">
        <v>43.17142857142857</v>
      </c>
      <c r="AK21" s="36" t="n">
        <v>50.36666666666667</v>
      </c>
      <c r="AL21" s="36" t="n">
        <v>60.44</v>
      </c>
      <c r="AM21" s="36" t="n">
        <v>75.55</v>
      </c>
      <c r="AN21" s="36" t="n">
        <v>100.7333333333333</v>
      </c>
      <c r="AO21" s="36" t="n">
        <v>151.1</v>
      </c>
      <c r="AP21" s="36" t="n">
        <v>302.2</v>
      </c>
    </row>
    <row r="22">
      <c r="A22" s="5" t="inlineStr">
        <is>
          <t>P16</t>
        </is>
      </c>
      <c r="B22" s="5" t="inlineStr">
        <is>
          <t>Karitel</t>
        </is>
      </c>
      <c r="C22" s="36" t="n">
        <v>7.19</v>
      </c>
      <c r="D22" s="36" t="n">
        <v>7.56842105263158</v>
      </c>
      <c r="E22" s="36" t="n">
        <v>7.988888888888889</v>
      </c>
      <c r="F22" s="36" t="n">
        <v>8.458823529411765</v>
      </c>
      <c r="G22" s="36" t="n">
        <v>8.987500000000001</v>
      </c>
      <c r="H22" s="36" t="n">
        <v>9.586666666666668</v>
      </c>
      <c r="I22" s="36" t="n">
        <v>10.27142857142857</v>
      </c>
      <c r="J22" s="36" t="n">
        <v>11.06153846153846</v>
      </c>
      <c r="K22" s="36" t="n">
        <v>11.98333333333333</v>
      </c>
      <c r="L22" s="36" t="n">
        <v>13.07272727272727</v>
      </c>
      <c r="M22" s="36" t="n">
        <v>14.38</v>
      </c>
      <c r="N22" s="36" t="n">
        <v>15.97777777777778</v>
      </c>
      <c r="O22" s="36" t="n">
        <v>17.975</v>
      </c>
      <c r="P22" s="36" t="n">
        <v>20.54285714285714</v>
      </c>
      <c r="Q22" s="36" t="n">
        <v>23.96666666666667</v>
      </c>
      <c r="R22" s="36" t="n">
        <v>28.76</v>
      </c>
      <c r="S22" s="36" t="n">
        <v>35.95</v>
      </c>
      <c r="T22" s="36" t="n">
        <v>47.93333333333334</v>
      </c>
      <c r="U22" s="36" t="n">
        <v>71.90000000000001</v>
      </c>
      <c r="V22" s="36" t="n">
        <v>143.8</v>
      </c>
      <c r="W22" s="36" t="n">
        <v>15.11</v>
      </c>
      <c r="X22" s="36" t="n">
        <v>15.90526315789474</v>
      </c>
      <c r="Y22" s="36" t="n">
        <v>16.78888888888889</v>
      </c>
      <c r="Z22" s="36" t="n">
        <v>17.77647058823529</v>
      </c>
      <c r="AA22" s="36" t="n">
        <v>18.8875</v>
      </c>
      <c r="AB22" s="36" t="n">
        <v>20.14666666666666</v>
      </c>
      <c r="AC22" s="36" t="n">
        <v>21.58571428571429</v>
      </c>
      <c r="AD22" s="36" t="n">
        <v>23.24615384615385</v>
      </c>
      <c r="AE22" s="36" t="n">
        <v>25.18333333333333</v>
      </c>
      <c r="AF22" s="36" t="n">
        <v>27.47272727272727</v>
      </c>
      <c r="AG22" s="36" t="n">
        <v>30.22</v>
      </c>
      <c r="AH22" s="36" t="n">
        <v>33.57777777777778</v>
      </c>
      <c r="AI22" s="36" t="n">
        <v>37.775</v>
      </c>
      <c r="AJ22" s="36" t="n">
        <v>43.17142857142857</v>
      </c>
      <c r="AK22" s="36" t="n">
        <v>50.36666666666667</v>
      </c>
      <c r="AL22" s="36" t="n">
        <v>60.44</v>
      </c>
      <c r="AM22" s="36" t="n">
        <v>75.55</v>
      </c>
      <c r="AN22" s="36" t="n">
        <v>100.7333333333333</v>
      </c>
      <c r="AO22" s="36" t="n">
        <v>151.1</v>
      </c>
      <c r="AP22" s="36" t="n">
        <v>302.2</v>
      </c>
    </row>
    <row r="23">
      <c r="A23" s="5" t="inlineStr">
        <is>
          <t>P17</t>
        </is>
      </c>
      <c r="B23" s="5" t="inlineStr">
        <is>
          <t>Karitel</t>
        </is>
      </c>
      <c r="C23" s="36" t="n">
        <v>5.94</v>
      </c>
      <c r="D23" s="36" t="n">
        <v>6.252631578947369</v>
      </c>
      <c r="E23" s="36" t="n">
        <v>6.600000000000001</v>
      </c>
      <c r="F23" s="36" t="n">
        <v>6.988235294117648</v>
      </c>
      <c r="G23" s="36" t="n">
        <v>7.425</v>
      </c>
      <c r="H23" s="36" t="n">
        <v>7.920000000000001</v>
      </c>
      <c r="I23" s="36" t="n">
        <v>8.485714285714288</v>
      </c>
      <c r="J23" s="36" t="n">
        <v>9.138461538461538</v>
      </c>
      <c r="K23" s="36" t="n">
        <v>9.9</v>
      </c>
      <c r="L23" s="36" t="n">
        <v>10.8</v>
      </c>
      <c r="M23" s="36" t="n">
        <v>11.88</v>
      </c>
      <c r="N23" s="36" t="n">
        <v>13.2</v>
      </c>
      <c r="O23" s="36" t="n">
        <v>14.85</v>
      </c>
      <c r="P23" s="36" t="n">
        <v>16.97142857142858</v>
      </c>
      <c r="Q23" s="36" t="n">
        <v>19.8</v>
      </c>
      <c r="R23" s="36" t="n">
        <v>23.76</v>
      </c>
      <c r="S23" s="36" t="n">
        <v>29.7</v>
      </c>
      <c r="T23" s="36" t="n">
        <v>39.6</v>
      </c>
      <c r="U23" s="36" t="n">
        <v>59.4</v>
      </c>
      <c r="V23" s="36" t="n">
        <v>118.8</v>
      </c>
      <c r="W23" s="36" t="n">
        <v>15.11</v>
      </c>
      <c r="X23" s="36" t="n">
        <v>15.90526315789474</v>
      </c>
      <c r="Y23" s="36" t="n">
        <v>16.78888888888889</v>
      </c>
      <c r="Z23" s="36" t="n">
        <v>17.77647058823529</v>
      </c>
      <c r="AA23" s="36" t="n">
        <v>18.8875</v>
      </c>
      <c r="AB23" s="36" t="n">
        <v>20.14666666666666</v>
      </c>
      <c r="AC23" s="36" t="n">
        <v>21.58571428571429</v>
      </c>
      <c r="AD23" s="36" t="n">
        <v>23.24615384615385</v>
      </c>
      <c r="AE23" s="36" t="n">
        <v>25.18333333333333</v>
      </c>
      <c r="AF23" s="36" t="n">
        <v>27.47272727272727</v>
      </c>
      <c r="AG23" s="36" t="n">
        <v>30.22</v>
      </c>
      <c r="AH23" s="36" t="n">
        <v>33.57777777777778</v>
      </c>
      <c r="AI23" s="36" t="n">
        <v>37.775</v>
      </c>
      <c r="AJ23" s="36" t="n">
        <v>43.17142857142857</v>
      </c>
      <c r="AK23" s="36" t="n">
        <v>50.36666666666667</v>
      </c>
      <c r="AL23" s="36" t="n">
        <v>60.44</v>
      </c>
      <c r="AM23" s="36" t="n">
        <v>75.55</v>
      </c>
      <c r="AN23" s="36" t="n">
        <v>100.7333333333333</v>
      </c>
      <c r="AO23" s="36" t="n">
        <v>151.1</v>
      </c>
      <c r="AP23" s="36" t="n">
        <v>302.2</v>
      </c>
    </row>
    <row r="24">
      <c r="A24" s="5" t="inlineStr">
        <is>
          <t>P18</t>
        </is>
      </c>
      <c r="B24" s="5" t="inlineStr">
        <is>
          <t>Karitel</t>
        </is>
      </c>
      <c r="C24" s="36" t="n">
        <v>6.58</v>
      </c>
      <c r="D24" s="36" t="n">
        <v>6.926315789473684</v>
      </c>
      <c r="E24" s="36" t="n">
        <v>7.311111111111111</v>
      </c>
      <c r="F24" s="36" t="n">
        <v>7.741176470588235</v>
      </c>
      <c r="G24" s="36" t="n">
        <v>8.225</v>
      </c>
      <c r="H24" s="36" t="n">
        <v>8.773333333333333</v>
      </c>
      <c r="I24" s="36" t="n">
        <v>9.4</v>
      </c>
      <c r="J24" s="36" t="n">
        <v>10.12307692307692</v>
      </c>
      <c r="K24" s="36" t="n">
        <v>10.96666666666667</v>
      </c>
      <c r="L24" s="36" t="n">
        <v>11.96363636363636</v>
      </c>
      <c r="M24" s="36" t="n">
        <v>13.16</v>
      </c>
      <c r="N24" s="36" t="n">
        <v>14.62222222222222</v>
      </c>
      <c r="O24" s="36" t="n">
        <v>16.45</v>
      </c>
      <c r="P24" s="36" t="n">
        <v>18.8</v>
      </c>
      <c r="Q24" s="36" t="n">
        <v>21.93333333333333</v>
      </c>
      <c r="R24" s="36" t="n">
        <v>26.32</v>
      </c>
      <c r="S24" s="36" t="n">
        <v>32.9</v>
      </c>
      <c r="T24" s="36" t="n">
        <v>43.86666666666667</v>
      </c>
      <c r="U24" s="36" t="n">
        <v>65.8</v>
      </c>
      <c r="V24" s="36" t="n">
        <v>131.6</v>
      </c>
      <c r="W24" s="36" t="n">
        <v>15.11</v>
      </c>
      <c r="X24" s="36" t="n">
        <v>15.90526315789474</v>
      </c>
      <c r="Y24" s="36" t="n">
        <v>16.78888888888889</v>
      </c>
      <c r="Z24" s="36" t="n">
        <v>17.77647058823529</v>
      </c>
      <c r="AA24" s="36" t="n">
        <v>18.8875</v>
      </c>
      <c r="AB24" s="36" t="n">
        <v>20.14666666666666</v>
      </c>
      <c r="AC24" s="36" t="n">
        <v>21.58571428571429</v>
      </c>
      <c r="AD24" s="36" t="n">
        <v>23.24615384615385</v>
      </c>
      <c r="AE24" s="36" t="n">
        <v>25.18333333333333</v>
      </c>
      <c r="AF24" s="36" t="n">
        <v>27.47272727272727</v>
      </c>
      <c r="AG24" s="36" t="n">
        <v>30.22</v>
      </c>
      <c r="AH24" s="36" t="n">
        <v>33.57777777777778</v>
      </c>
      <c r="AI24" s="36" t="n">
        <v>37.775</v>
      </c>
      <c r="AJ24" s="36" t="n">
        <v>43.17142857142857</v>
      </c>
      <c r="AK24" s="36" t="n">
        <v>50.36666666666667</v>
      </c>
      <c r="AL24" s="36" t="n">
        <v>60.44</v>
      </c>
      <c r="AM24" s="36" t="n">
        <v>75.55</v>
      </c>
      <c r="AN24" s="36" t="n">
        <v>100.7333333333333</v>
      </c>
      <c r="AO24" s="36" t="n">
        <v>151.1</v>
      </c>
      <c r="AP24" s="36" t="n">
        <v>302.2</v>
      </c>
    </row>
    <row r="25">
      <c r="A25" s="5" t="inlineStr">
        <is>
          <t>P19</t>
        </is>
      </c>
      <c r="B25" s="5" t="inlineStr">
        <is>
          <t>Karitel</t>
        </is>
      </c>
      <c r="C25" s="36" t="n">
        <v>6.3</v>
      </c>
      <c r="D25" s="36" t="n">
        <v>6.631578947368421</v>
      </c>
      <c r="E25" s="36" t="n">
        <v>7</v>
      </c>
      <c r="F25" s="36" t="n">
        <v>7.411764705882353</v>
      </c>
      <c r="G25" s="36" t="n">
        <v>7.874999999999999</v>
      </c>
      <c r="H25" s="36" t="n">
        <v>8.4</v>
      </c>
      <c r="I25" s="36" t="n">
        <v>9</v>
      </c>
      <c r="J25" s="36" t="n">
        <v>9.692307692307692</v>
      </c>
      <c r="K25" s="36" t="n">
        <v>10.5</v>
      </c>
      <c r="L25" s="36" t="n">
        <v>11.45454545454545</v>
      </c>
      <c r="M25" s="36" t="n">
        <v>12.6</v>
      </c>
      <c r="N25" s="36" t="n">
        <v>14</v>
      </c>
      <c r="O25" s="36" t="n">
        <v>15.75</v>
      </c>
      <c r="P25" s="36" t="n">
        <v>18</v>
      </c>
      <c r="Q25" s="36" t="n">
        <v>21</v>
      </c>
      <c r="R25" s="36" t="n">
        <v>25.2</v>
      </c>
      <c r="S25" s="36" t="n">
        <v>31.5</v>
      </c>
      <c r="T25" s="36" t="n">
        <v>42</v>
      </c>
      <c r="U25" s="36" t="n">
        <v>62.99999999999999</v>
      </c>
      <c r="V25" s="36" t="n">
        <v>126</v>
      </c>
      <c r="W25" s="36" t="n">
        <v>15.11</v>
      </c>
      <c r="X25" s="36" t="n">
        <v>15.90526315789474</v>
      </c>
      <c r="Y25" s="36" t="n">
        <v>16.78888888888889</v>
      </c>
      <c r="Z25" s="36" t="n">
        <v>17.77647058823529</v>
      </c>
      <c r="AA25" s="36" t="n">
        <v>18.8875</v>
      </c>
      <c r="AB25" s="36" t="n">
        <v>20.14666666666666</v>
      </c>
      <c r="AC25" s="36" t="n">
        <v>21.58571428571429</v>
      </c>
      <c r="AD25" s="36" t="n">
        <v>23.24615384615385</v>
      </c>
      <c r="AE25" s="36" t="n">
        <v>25.18333333333333</v>
      </c>
      <c r="AF25" s="36" t="n">
        <v>27.47272727272727</v>
      </c>
      <c r="AG25" s="36" t="n">
        <v>30.22</v>
      </c>
      <c r="AH25" s="36" t="n">
        <v>33.57777777777778</v>
      </c>
      <c r="AI25" s="36" t="n">
        <v>37.775</v>
      </c>
      <c r="AJ25" s="36" t="n">
        <v>43.17142857142857</v>
      </c>
      <c r="AK25" s="36" t="n">
        <v>50.36666666666667</v>
      </c>
      <c r="AL25" s="36" t="n">
        <v>60.44</v>
      </c>
      <c r="AM25" s="36" t="n">
        <v>75.55</v>
      </c>
      <c r="AN25" s="36" t="n">
        <v>100.7333333333333</v>
      </c>
      <c r="AO25" s="36" t="n">
        <v>151.1</v>
      </c>
      <c r="AP25" s="36" t="n">
        <v>302.2</v>
      </c>
    </row>
    <row r="26">
      <c r="A26" s="5" t="inlineStr">
        <is>
          <t>P20</t>
        </is>
      </c>
      <c r="B26" s="5" t="inlineStr">
        <is>
          <t>Karitel</t>
        </is>
      </c>
      <c r="C26" s="36" t="n">
        <v>7.21</v>
      </c>
      <c r="D26" s="36" t="n">
        <v>7.589473684210526</v>
      </c>
      <c r="E26" s="36" t="n">
        <v>8.011111111111111</v>
      </c>
      <c r="F26" s="36" t="n">
        <v>8.482352941176471</v>
      </c>
      <c r="G26" s="36" t="n">
        <v>9.012499999999999</v>
      </c>
      <c r="H26" s="36" t="n">
        <v>9.613333333333333</v>
      </c>
      <c r="I26" s="36" t="n">
        <v>10.3</v>
      </c>
      <c r="J26" s="36" t="n">
        <v>11.09230769230769</v>
      </c>
      <c r="K26" s="36" t="n">
        <v>12.01666666666667</v>
      </c>
      <c r="L26" s="36" t="n">
        <v>13.10909090909091</v>
      </c>
      <c r="M26" s="36" t="n">
        <v>14.42</v>
      </c>
      <c r="N26" s="36" t="n">
        <v>16.02222222222222</v>
      </c>
      <c r="O26" s="36" t="n">
        <v>18.025</v>
      </c>
      <c r="P26" s="36" t="n">
        <v>20.6</v>
      </c>
      <c r="Q26" s="36" t="n">
        <v>24.03333333333333</v>
      </c>
      <c r="R26" s="36" t="n">
        <v>28.84</v>
      </c>
      <c r="S26" s="36" t="n">
        <v>36.05</v>
      </c>
      <c r="T26" s="36" t="n">
        <v>48.06666666666667</v>
      </c>
      <c r="U26" s="36" t="n">
        <v>72.09999999999999</v>
      </c>
      <c r="V26" s="36" t="n">
        <v>144.2</v>
      </c>
      <c r="W26" s="36" t="n">
        <v>15.11</v>
      </c>
      <c r="X26" s="36" t="n">
        <v>15.90526315789474</v>
      </c>
      <c r="Y26" s="36" t="n">
        <v>16.78888888888889</v>
      </c>
      <c r="Z26" s="36" t="n">
        <v>17.77647058823529</v>
      </c>
      <c r="AA26" s="36" t="n">
        <v>18.8875</v>
      </c>
      <c r="AB26" s="36" t="n">
        <v>20.14666666666666</v>
      </c>
      <c r="AC26" s="36" t="n">
        <v>21.58571428571429</v>
      </c>
      <c r="AD26" s="36" t="n">
        <v>23.24615384615385</v>
      </c>
      <c r="AE26" s="36" t="n">
        <v>25.18333333333333</v>
      </c>
      <c r="AF26" s="36" t="n">
        <v>27.47272727272727</v>
      </c>
      <c r="AG26" s="36" t="n">
        <v>30.22</v>
      </c>
      <c r="AH26" s="36" t="n">
        <v>33.57777777777778</v>
      </c>
      <c r="AI26" s="36" t="n">
        <v>37.775</v>
      </c>
      <c r="AJ26" s="36" t="n">
        <v>43.17142857142857</v>
      </c>
      <c r="AK26" s="36" t="n">
        <v>50.36666666666667</v>
      </c>
      <c r="AL26" s="36" t="n">
        <v>60.44</v>
      </c>
      <c r="AM26" s="36" t="n">
        <v>75.55</v>
      </c>
      <c r="AN26" s="36" t="n">
        <v>100.7333333333333</v>
      </c>
      <c r="AO26" s="36" t="n">
        <v>151.1</v>
      </c>
      <c r="AP26" s="36" t="n">
        <v>302.2</v>
      </c>
    </row>
    <row r="27">
      <c r="A27" s="5" t="inlineStr">
        <is>
          <t>P21</t>
        </is>
      </c>
      <c r="B27" s="5" t="inlineStr">
        <is>
          <t>Karitel</t>
        </is>
      </c>
      <c r="C27" s="36" t="n">
        <v>6.93</v>
      </c>
      <c r="D27" s="36" t="n">
        <v>7.294736842105263</v>
      </c>
      <c r="E27" s="36" t="n">
        <v>7.699999999999999</v>
      </c>
      <c r="F27" s="36" t="n">
        <v>8.152941176470588</v>
      </c>
      <c r="G27" s="36" t="n">
        <v>8.6625</v>
      </c>
      <c r="H27" s="36" t="n">
        <v>9.24</v>
      </c>
      <c r="I27" s="36" t="n">
        <v>9.9</v>
      </c>
      <c r="J27" s="36" t="n">
        <v>10.66153846153846</v>
      </c>
      <c r="K27" s="36" t="n">
        <v>11.55</v>
      </c>
      <c r="L27" s="36" t="n">
        <v>12.6</v>
      </c>
      <c r="M27" s="36" t="n">
        <v>13.86</v>
      </c>
      <c r="N27" s="36" t="n">
        <v>15.4</v>
      </c>
      <c r="O27" s="36" t="n">
        <v>17.325</v>
      </c>
      <c r="P27" s="36" t="n">
        <v>19.8</v>
      </c>
      <c r="Q27" s="36" t="n">
        <v>23.1</v>
      </c>
      <c r="R27" s="36" t="n">
        <v>27.72</v>
      </c>
      <c r="S27" s="36" t="n">
        <v>34.65</v>
      </c>
      <c r="T27" s="36" t="n">
        <v>46.2</v>
      </c>
      <c r="U27" s="36" t="n">
        <v>69.3</v>
      </c>
      <c r="V27" s="36" t="n">
        <v>138.6</v>
      </c>
      <c r="W27" s="36" t="n">
        <v>15.11</v>
      </c>
      <c r="X27" s="36" t="n">
        <v>15.90526315789474</v>
      </c>
      <c r="Y27" s="36" t="n">
        <v>16.78888888888889</v>
      </c>
      <c r="Z27" s="36" t="n">
        <v>17.77647058823529</v>
      </c>
      <c r="AA27" s="36" t="n">
        <v>18.8875</v>
      </c>
      <c r="AB27" s="36" t="n">
        <v>20.14666666666666</v>
      </c>
      <c r="AC27" s="36" t="n">
        <v>21.58571428571429</v>
      </c>
      <c r="AD27" s="36" t="n">
        <v>23.24615384615385</v>
      </c>
      <c r="AE27" s="36" t="n">
        <v>25.18333333333333</v>
      </c>
      <c r="AF27" s="36" t="n">
        <v>27.47272727272727</v>
      </c>
      <c r="AG27" s="36" t="n">
        <v>30.22</v>
      </c>
      <c r="AH27" s="36" t="n">
        <v>33.57777777777778</v>
      </c>
      <c r="AI27" s="36" t="n">
        <v>37.775</v>
      </c>
      <c r="AJ27" s="36" t="n">
        <v>43.17142857142857</v>
      </c>
      <c r="AK27" s="36" t="n">
        <v>50.36666666666667</v>
      </c>
      <c r="AL27" s="36" t="n">
        <v>60.44</v>
      </c>
      <c r="AM27" s="36" t="n">
        <v>75.55</v>
      </c>
      <c r="AN27" s="36" t="n">
        <v>100.7333333333333</v>
      </c>
      <c r="AO27" s="36" t="n">
        <v>151.1</v>
      </c>
      <c r="AP27" s="36" t="n">
        <v>302.2</v>
      </c>
    </row>
    <row r="28">
      <c r="A28" s="5" t="inlineStr">
        <is>
          <t>P22</t>
        </is>
      </c>
      <c r="B28" s="5" t="inlineStr">
        <is>
          <t>Karitel</t>
        </is>
      </c>
      <c r="C28" s="36" t="n">
        <v>4.62</v>
      </c>
      <c r="D28" s="36" t="n">
        <v>4.863157894736842</v>
      </c>
      <c r="E28" s="36" t="n">
        <v>5.133333333333334</v>
      </c>
      <c r="F28" s="36" t="n">
        <v>5.435294117647059</v>
      </c>
      <c r="G28" s="36" t="n">
        <v>5.774999999999999</v>
      </c>
      <c r="H28" s="36" t="n">
        <v>6.16</v>
      </c>
      <c r="I28" s="36" t="n">
        <v>6.600000000000001</v>
      </c>
      <c r="J28" s="36" t="n">
        <v>7.107692307692307</v>
      </c>
      <c r="K28" s="36" t="n">
        <v>7.7</v>
      </c>
      <c r="L28" s="36" t="n">
        <v>8.4</v>
      </c>
      <c r="M28" s="36" t="n">
        <v>9.24</v>
      </c>
      <c r="N28" s="36" t="n">
        <v>10.26666666666667</v>
      </c>
      <c r="O28" s="36" t="n">
        <v>11.55</v>
      </c>
      <c r="P28" s="36" t="n">
        <v>13.2</v>
      </c>
      <c r="Q28" s="36" t="n">
        <v>15.4</v>
      </c>
      <c r="R28" s="36" t="n">
        <v>18.48</v>
      </c>
      <c r="S28" s="36" t="n">
        <v>23.1</v>
      </c>
      <c r="T28" s="36" t="n">
        <v>30.8</v>
      </c>
      <c r="U28" s="36" t="n">
        <v>46.2</v>
      </c>
      <c r="V28" s="36" t="n">
        <v>92.39999999999999</v>
      </c>
      <c r="W28" s="36" t="n">
        <v>15.11</v>
      </c>
      <c r="X28" s="36" t="n">
        <v>15.90526315789474</v>
      </c>
      <c r="Y28" s="36" t="n">
        <v>16.78888888888889</v>
      </c>
      <c r="Z28" s="36" t="n">
        <v>17.77647058823529</v>
      </c>
      <c r="AA28" s="36" t="n">
        <v>18.8875</v>
      </c>
      <c r="AB28" s="36" t="n">
        <v>20.14666666666666</v>
      </c>
      <c r="AC28" s="36" t="n">
        <v>21.58571428571429</v>
      </c>
      <c r="AD28" s="36" t="n">
        <v>23.24615384615385</v>
      </c>
      <c r="AE28" s="36" t="n">
        <v>25.18333333333333</v>
      </c>
      <c r="AF28" s="36" t="n">
        <v>27.47272727272727</v>
      </c>
      <c r="AG28" s="36" t="n">
        <v>30.22</v>
      </c>
      <c r="AH28" s="36" t="n">
        <v>33.57777777777778</v>
      </c>
      <c r="AI28" s="36" t="n">
        <v>37.775</v>
      </c>
      <c r="AJ28" s="36" t="n">
        <v>43.17142857142857</v>
      </c>
      <c r="AK28" s="36" t="n">
        <v>50.36666666666667</v>
      </c>
      <c r="AL28" s="36" t="n">
        <v>60.44</v>
      </c>
      <c r="AM28" s="36" t="n">
        <v>75.55</v>
      </c>
      <c r="AN28" s="36" t="n">
        <v>100.7333333333333</v>
      </c>
      <c r="AO28" s="36" t="n">
        <v>151.1</v>
      </c>
      <c r="AP28" s="36" t="n">
        <v>302.2</v>
      </c>
    </row>
    <row r="29">
      <c r="A29" s="5" t="inlineStr">
        <is>
          <t>P23</t>
        </is>
      </c>
      <c r="B29" s="5" t="inlineStr">
        <is>
          <t>Karitel</t>
        </is>
      </c>
      <c r="C29" s="36" t="n">
        <v>5.7</v>
      </c>
      <c r="D29" s="36" t="n">
        <v>6.000000000000001</v>
      </c>
      <c r="E29" s="36" t="n">
        <v>6.333333333333333</v>
      </c>
      <c r="F29" s="36" t="n">
        <v>6.705882352941177</v>
      </c>
      <c r="G29" s="36" t="n">
        <v>7.125</v>
      </c>
      <c r="H29" s="36" t="n">
        <v>7.600000000000001</v>
      </c>
      <c r="I29" s="36" t="n">
        <v>8.142857142857144</v>
      </c>
      <c r="J29" s="36" t="n">
        <v>8.76923076923077</v>
      </c>
      <c r="K29" s="36" t="n">
        <v>9.5</v>
      </c>
      <c r="L29" s="36" t="n">
        <v>10.36363636363636</v>
      </c>
      <c r="M29" s="36" t="n">
        <v>11.4</v>
      </c>
      <c r="N29" s="36" t="n">
        <v>12.66666666666667</v>
      </c>
      <c r="O29" s="36" t="n">
        <v>14.25</v>
      </c>
      <c r="P29" s="36" t="n">
        <v>16.28571428571429</v>
      </c>
      <c r="Q29" s="36" t="n">
        <v>19</v>
      </c>
      <c r="R29" s="36" t="n">
        <v>22.8</v>
      </c>
      <c r="S29" s="36" t="n">
        <v>28.5</v>
      </c>
      <c r="T29" s="36" t="n">
        <v>38</v>
      </c>
      <c r="U29" s="36" t="n">
        <v>57</v>
      </c>
      <c r="V29" s="36" t="n">
        <v>114</v>
      </c>
      <c r="W29" s="36" t="n">
        <v>15.11</v>
      </c>
      <c r="X29" s="36" t="n">
        <v>15.90526315789474</v>
      </c>
      <c r="Y29" s="36" t="n">
        <v>16.78888888888889</v>
      </c>
      <c r="Z29" s="36" t="n">
        <v>17.77647058823529</v>
      </c>
      <c r="AA29" s="36" t="n">
        <v>18.8875</v>
      </c>
      <c r="AB29" s="36" t="n">
        <v>20.14666666666666</v>
      </c>
      <c r="AC29" s="36" t="n">
        <v>21.58571428571429</v>
      </c>
      <c r="AD29" s="36" t="n">
        <v>23.24615384615385</v>
      </c>
      <c r="AE29" s="36" t="n">
        <v>25.18333333333333</v>
      </c>
      <c r="AF29" s="36" t="n">
        <v>27.47272727272727</v>
      </c>
      <c r="AG29" s="36" t="n">
        <v>30.22</v>
      </c>
      <c r="AH29" s="36" t="n">
        <v>33.57777777777778</v>
      </c>
      <c r="AI29" s="36" t="n">
        <v>37.775</v>
      </c>
      <c r="AJ29" s="36" t="n">
        <v>43.17142857142857</v>
      </c>
      <c r="AK29" s="36" t="n">
        <v>50.36666666666667</v>
      </c>
      <c r="AL29" s="36" t="n">
        <v>60.44</v>
      </c>
      <c r="AM29" s="36" t="n">
        <v>75.55</v>
      </c>
      <c r="AN29" s="36" t="n">
        <v>100.7333333333333</v>
      </c>
      <c r="AO29" s="36" t="n">
        <v>151.1</v>
      </c>
      <c r="AP29" s="36" t="n">
        <v>302.2</v>
      </c>
    </row>
    <row r="30">
      <c r="A30" s="5" t="inlineStr">
        <is>
          <t>P24</t>
        </is>
      </c>
      <c r="B30" s="5" t="inlineStr">
        <is>
          <t>Karitel</t>
        </is>
      </c>
      <c r="C30" s="36" t="n">
        <v>6.79</v>
      </c>
      <c r="D30" s="36" t="n">
        <v>7.147368421052632</v>
      </c>
      <c r="E30" s="36" t="n">
        <v>7.544444444444444</v>
      </c>
      <c r="F30" s="36" t="n">
        <v>7.988235294117647</v>
      </c>
      <c r="G30" s="36" t="n">
        <v>8.487499999999999</v>
      </c>
      <c r="H30" s="36" t="n">
        <v>9.053333333333333</v>
      </c>
      <c r="I30" s="36" t="n">
        <v>9.700000000000001</v>
      </c>
      <c r="J30" s="36" t="n">
        <v>10.44615384615385</v>
      </c>
      <c r="K30" s="36" t="n">
        <v>11.31666666666667</v>
      </c>
      <c r="L30" s="36" t="n">
        <v>12.34545454545454</v>
      </c>
      <c r="M30" s="36" t="n">
        <v>13.58</v>
      </c>
      <c r="N30" s="36" t="n">
        <v>15.08888888888889</v>
      </c>
      <c r="O30" s="36" t="n">
        <v>16.975</v>
      </c>
      <c r="P30" s="36" t="n">
        <v>19.4</v>
      </c>
      <c r="Q30" s="36" t="n">
        <v>22.63333333333333</v>
      </c>
      <c r="R30" s="36" t="n">
        <v>27.16</v>
      </c>
      <c r="S30" s="36" t="n">
        <v>33.95</v>
      </c>
      <c r="T30" s="36" t="n">
        <v>45.26666666666667</v>
      </c>
      <c r="U30" s="36" t="n">
        <v>67.89999999999999</v>
      </c>
      <c r="V30" s="36" t="n">
        <v>135.8</v>
      </c>
      <c r="W30" s="36" t="n">
        <v>15.11</v>
      </c>
      <c r="X30" s="36" t="n">
        <v>15.90526315789474</v>
      </c>
      <c r="Y30" s="36" t="n">
        <v>16.78888888888889</v>
      </c>
      <c r="Z30" s="36" t="n">
        <v>17.77647058823529</v>
      </c>
      <c r="AA30" s="36" t="n">
        <v>18.8875</v>
      </c>
      <c r="AB30" s="36" t="n">
        <v>20.14666666666666</v>
      </c>
      <c r="AC30" s="36" t="n">
        <v>21.58571428571429</v>
      </c>
      <c r="AD30" s="36" t="n">
        <v>23.24615384615385</v>
      </c>
      <c r="AE30" s="36" t="n">
        <v>25.18333333333333</v>
      </c>
      <c r="AF30" s="36" t="n">
        <v>27.47272727272727</v>
      </c>
      <c r="AG30" s="36" t="n">
        <v>30.22</v>
      </c>
      <c r="AH30" s="36" t="n">
        <v>33.57777777777778</v>
      </c>
      <c r="AI30" s="36" t="n">
        <v>37.775</v>
      </c>
      <c r="AJ30" s="36" t="n">
        <v>43.17142857142857</v>
      </c>
      <c r="AK30" s="36" t="n">
        <v>50.36666666666667</v>
      </c>
      <c r="AL30" s="36" t="n">
        <v>60.44</v>
      </c>
      <c r="AM30" s="36" t="n">
        <v>75.55</v>
      </c>
      <c r="AN30" s="36" t="n">
        <v>100.7333333333333</v>
      </c>
      <c r="AO30" s="36" t="n">
        <v>151.1</v>
      </c>
      <c r="AP30" s="36" t="n">
        <v>302.2</v>
      </c>
    </row>
    <row r="31">
      <c r="A31" s="5" t="inlineStr">
        <is>
          <t>P25</t>
        </is>
      </c>
      <c r="B31" s="5" t="inlineStr">
        <is>
          <t>Karitel</t>
        </is>
      </c>
      <c r="C31" s="36" t="n">
        <v>5.8</v>
      </c>
      <c r="D31" s="36" t="n">
        <v>6.105263157894737</v>
      </c>
      <c r="E31" s="36" t="n">
        <v>6.444444444444444</v>
      </c>
      <c r="F31" s="36" t="n">
        <v>6.823529411764706</v>
      </c>
      <c r="G31" s="36" t="n">
        <v>7.249999999999999</v>
      </c>
      <c r="H31" s="36" t="n">
        <v>7.733333333333333</v>
      </c>
      <c r="I31" s="36" t="n">
        <v>8.285714285714286</v>
      </c>
      <c r="J31" s="36" t="n">
        <v>8.923076923076923</v>
      </c>
      <c r="K31" s="36" t="n">
        <v>9.666666666666666</v>
      </c>
      <c r="L31" s="36" t="n">
        <v>10.54545454545454</v>
      </c>
      <c r="M31" s="36" t="n">
        <v>11.6</v>
      </c>
      <c r="N31" s="36" t="n">
        <v>12.88888888888889</v>
      </c>
      <c r="O31" s="36" t="n">
        <v>14.5</v>
      </c>
      <c r="P31" s="36" t="n">
        <v>16.57142857142857</v>
      </c>
      <c r="Q31" s="36" t="n">
        <v>19.33333333333333</v>
      </c>
      <c r="R31" s="36" t="n">
        <v>23.2</v>
      </c>
      <c r="S31" s="36" t="n">
        <v>29</v>
      </c>
      <c r="T31" s="36" t="n">
        <v>38.66666666666666</v>
      </c>
      <c r="U31" s="36" t="n">
        <v>57.99999999999999</v>
      </c>
      <c r="V31" s="36" t="n">
        <v>116</v>
      </c>
      <c r="W31" s="36" t="n">
        <v>12.17</v>
      </c>
      <c r="X31" s="36" t="n">
        <v>12.81052631578947</v>
      </c>
      <c r="Y31" s="36" t="n">
        <v>13.52222222222222</v>
      </c>
      <c r="Z31" s="36" t="n">
        <v>14.31764705882353</v>
      </c>
      <c r="AA31" s="36" t="n">
        <v>15.2125</v>
      </c>
      <c r="AB31" s="36" t="n">
        <v>16.22666666666667</v>
      </c>
      <c r="AC31" s="36" t="n">
        <v>17.38571428571429</v>
      </c>
      <c r="AD31" s="36" t="n">
        <v>18.72307692307692</v>
      </c>
      <c r="AE31" s="36" t="n">
        <v>20.28333333333333</v>
      </c>
      <c r="AF31" s="36" t="n">
        <v>22.12727272727273</v>
      </c>
      <c r="AG31" s="36" t="n">
        <v>24.34</v>
      </c>
      <c r="AH31" s="36" t="n">
        <v>27.04444444444444</v>
      </c>
      <c r="AI31" s="36" t="n">
        <v>30.425</v>
      </c>
      <c r="AJ31" s="36" t="n">
        <v>34.77142857142857</v>
      </c>
      <c r="AK31" s="36" t="n">
        <v>40.56666666666667</v>
      </c>
      <c r="AL31" s="36" t="n">
        <v>48.68</v>
      </c>
      <c r="AM31" s="36" t="n">
        <v>60.84999999999999</v>
      </c>
      <c r="AN31" s="36" t="n">
        <v>81.13333333333334</v>
      </c>
      <c r="AO31" s="36" t="n">
        <v>121.7</v>
      </c>
      <c r="AP31" s="36" t="n">
        <v>243.4</v>
      </c>
    </row>
    <row r="32">
      <c r="A32" s="5" t="inlineStr">
        <is>
          <t>P26</t>
        </is>
      </c>
      <c r="B32" s="5" t="inlineStr">
        <is>
          <t>Karitel</t>
        </is>
      </c>
      <c r="C32" s="36" t="n">
        <v>5.46</v>
      </c>
      <c r="D32" s="36" t="n">
        <v>5.747368421052632</v>
      </c>
      <c r="E32" s="36" t="n">
        <v>6.066666666666666</v>
      </c>
      <c r="F32" s="36" t="n">
        <v>6.423529411764706</v>
      </c>
      <c r="G32" s="36" t="n">
        <v>6.824999999999999</v>
      </c>
      <c r="H32" s="36" t="n">
        <v>7.28</v>
      </c>
      <c r="I32" s="36" t="n">
        <v>7.800000000000001</v>
      </c>
      <c r="J32" s="36" t="n">
        <v>8.4</v>
      </c>
      <c r="K32" s="36" t="n">
        <v>9.1</v>
      </c>
      <c r="L32" s="36" t="n">
        <v>9.927272727272726</v>
      </c>
      <c r="M32" s="36" t="n">
        <v>10.92</v>
      </c>
      <c r="N32" s="36" t="n">
        <v>12.13333333333333</v>
      </c>
      <c r="O32" s="36" t="n">
        <v>13.65</v>
      </c>
      <c r="P32" s="36" t="n">
        <v>15.6</v>
      </c>
      <c r="Q32" s="36" t="n">
        <v>18.2</v>
      </c>
      <c r="R32" s="36" t="n">
        <v>21.84</v>
      </c>
      <c r="S32" s="36" t="n">
        <v>27.3</v>
      </c>
      <c r="T32" s="36" t="n">
        <v>36.4</v>
      </c>
      <c r="U32" s="36" t="n">
        <v>54.59999999999999</v>
      </c>
      <c r="V32" s="36" t="n">
        <v>109.2</v>
      </c>
      <c r="W32" s="36" t="n">
        <v>15.11</v>
      </c>
      <c r="X32" s="36" t="n">
        <v>15.90526315789474</v>
      </c>
      <c r="Y32" s="36" t="n">
        <v>16.78888888888889</v>
      </c>
      <c r="Z32" s="36" t="n">
        <v>17.77647058823529</v>
      </c>
      <c r="AA32" s="36" t="n">
        <v>18.8875</v>
      </c>
      <c r="AB32" s="36" t="n">
        <v>20.14666666666666</v>
      </c>
      <c r="AC32" s="36" t="n">
        <v>21.58571428571429</v>
      </c>
      <c r="AD32" s="36" t="n">
        <v>23.24615384615385</v>
      </c>
      <c r="AE32" s="36" t="n">
        <v>25.18333333333333</v>
      </c>
      <c r="AF32" s="36" t="n">
        <v>27.47272727272727</v>
      </c>
      <c r="AG32" s="36" t="n">
        <v>30.22</v>
      </c>
      <c r="AH32" s="36" t="n">
        <v>33.57777777777778</v>
      </c>
      <c r="AI32" s="36" t="n">
        <v>37.775</v>
      </c>
      <c r="AJ32" s="36" t="n">
        <v>43.17142857142857</v>
      </c>
      <c r="AK32" s="36" t="n">
        <v>50.36666666666667</v>
      </c>
      <c r="AL32" s="36" t="n">
        <v>60.44</v>
      </c>
      <c r="AM32" s="36" t="n">
        <v>75.55</v>
      </c>
      <c r="AN32" s="36" t="n">
        <v>100.7333333333333</v>
      </c>
      <c r="AO32" s="36" t="n">
        <v>151.1</v>
      </c>
      <c r="AP32" s="36" t="n">
        <v>302.2</v>
      </c>
    </row>
    <row r="33">
      <c r="A33" s="5" t="inlineStr">
        <is>
          <t>P27</t>
        </is>
      </c>
      <c r="B33" s="5" t="inlineStr">
        <is>
          <t>Karitel</t>
        </is>
      </c>
      <c r="C33" s="36" t="n">
        <v>4.4</v>
      </c>
      <c r="D33" s="36" t="n">
        <v>4.631578947368421</v>
      </c>
      <c r="E33" s="36" t="n">
        <v>4.888888888888889</v>
      </c>
      <c r="F33" s="36" t="n">
        <v>5.176470588235294</v>
      </c>
      <c r="G33" s="36" t="n">
        <v>5.5</v>
      </c>
      <c r="H33" s="36" t="n">
        <v>5.866666666666667</v>
      </c>
      <c r="I33" s="36" t="n">
        <v>6.285714285714286</v>
      </c>
      <c r="J33" s="36" t="n">
        <v>6.769230769230769</v>
      </c>
      <c r="K33" s="36" t="n">
        <v>7.333333333333334</v>
      </c>
      <c r="L33" s="36" t="n">
        <v>8</v>
      </c>
      <c r="M33" s="36" t="n">
        <v>8.800000000000001</v>
      </c>
      <c r="N33" s="36" t="n">
        <v>9.777777777777779</v>
      </c>
      <c r="O33" s="36" t="n">
        <v>11</v>
      </c>
      <c r="P33" s="36" t="n">
        <v>12.57142857142857</v>
      </c>
      <c r="Q33" s="36" t="n">
        <v>14.66666666666667</v>
      </c>
      <c r="R33" s="36" t="n">
        <v>17.6</v>
      </c>
      <c r="S33" s="36" t="n">
        <v>22</v>
      </c>
      <c r="T33" s="36" t="n">
        <v>29.33333333333334</v>
      </c>
      <c r="U33" s="36" t="n">
        <v>44</v>
      </c>
      <c r="V33" s="36" t="n">
        <v>88</v>
      </c>
      <c r="W33" s="36" t="n">
        <v>12.17</v>
      </c>
      <c r="X33" s="36" t="n">
        <v>12.81052631578947</v>
      </c>
      <c r="Y33" s="36" t="n">
        <v>13.52222222222222</v>
      </c>
      <c r="Z33" s="36" t="n">
        <v>14.31764705882353</v>
      </c>
      <c r="AA33" s="36" t="n">
        <v>15.2125</v>
      </c>
      <c r="AB33" s="36" t="n">
        <v>16.22666666666667</v>
      </c>
      <c r="AC33" s="36" t="n">
        <v>17.38571428571429</v>
      </c>
      <c r="AD33" s="36" t="n">
        <v>18.72307692307692</v>
      </c>
      <c r="AE33" s="36" t="n">
        <v>20.28333333333333</v>
      </c>
      <c r="AF33" s="36" t="n">
        <v>22.12727272727273</v>
      </c>
      <c r="AG33" s="36" t="n">
        <v>24.34</v>
      </c>
      <c r="AH33" s="36" t="n">
        <v>27.04444444444444</v>
      </c>
      <c r="AI33" s="36" t="n">
        <v>30.425</v>
      </c>
      <c r="AJ33" s="36" t="n">
        <v>34.77142857142857</v>
      </c>
      <c r="AK33" s="36" t="n">
        <v>40.56666666666667</v>
      </c>
      <c r="AL33" s="36" t="n">
        <v>48.68</v>
      </c>
      <c r="AM33" s="36" t="n">
        <v>60.84999999999999</v>
      </c>
      <c r="AN33" s="36" t="n">
        <v>81.13333333333334</v>
      </c>
      <c r="AO33" s="36" t="n">
        <v>121.7</v>
      </c>
      <c r="AP33" s="36" t="n">
        <v>243.4</v>
      </c>
    </row>
    <row r="34">
      <c r="A34" s="5" t="inlineStr">
        <is>
          <t>P28</t>
        </is>
      </c>
      <c r="B34" s="5" t="inlineStr">
        <is>
          <t>Karitel</t>
        </is>
      </c>
      <c r="C34" s="36" t="n">
        <v>6.435</v>
      </c>
      <c r="D34" s="36" t="n">
        <v>6.773684210526316</v>
      </c>
      <c r="E34" s="36" t="n">
        <v>7.149999999999999</v>
      </c>
      <c r="F34" s="36" t="n">
        <v>7.570588235294117</v>
      </c>
      <c r="G34" s="36" t="n">
        <v>8.043749999999999</v>
      </c>
      <c r="H34" s="36" t="n">
        <v>8.58</v>
      </c>
      <c r="I34" s="36" t="n">
        <v>9.192857142857143</v>
      </c>
      <c r="J34" s="36" t="n">
        <v>9.899999999999999</v>
      </c>
      <c r="K34" s="36" t="n">
        <v>10.725</v>
      </c>
      <c r="L34" s="36" t="n">
        <v>11.7</v>
      </c>
      <c r="M34" s="36" t="n">
        <v>12.87</v>
      </c>
      <c r="N34" s="36" t="n">
        <v>14.3</v>
      </c>
      <c r="O34" s="36" t="n">
        <v>16.0875</v>
      </c>
      <c r="P34" s="36" t="n">
        <v>18.38571428571429</v>
      </c>
      <c r="Q34" s="36" t="n">
        <v>21.45</v>
      </c>
      <c r="R34" s="36" t="n">
        <v>25.74</v>
      </c>
      <c r="S34" s="36" t="n">
        <v>32.175</v>
      </c>
      <c r="T34" s="36" t="n">
        <v>42.9</v>
      </c>
      <c r="U34" s="36" t="n">
        <v>64.34999999999999</v>
      </c>
      <c r="V34" s="36" t="n">
        <v>128.7</v>
      </c>
      <c r="W34" s="36" t="n">
        <v>14.13</v>
      </c>
      <c r="X34" s="36" t="n">
        <v>14.87368421052632</v>
      </c>
      <c r="Y34" s="36" t="n">
        <v>15.7</v>
      </c>
      <c r="Z34" s="36" t="n">
        <v>16.62352941176471</v>
      </c>
      <c r="AA34" s="36" t="n">
        <v>17.6625</v>
      </c>
      <c r="AB34" s="36" t="n">
        <v>18.84</v>
      </c>
      <c r="AC34" s="36" t="n">
        <v>20.18571428571429</v>
      </c>
      <c r="AD34" s="36" t="n">
        <v>21.73846153846154</v>
      </c>
      <c r="AE34" s="36" t="n">
        <v>23.55</v>
      </c>
      <c r="AF34" s="36" t="n">
        <v>25.69090909090909</v>
      </c>
      <c r="AG34" s="36" t="n">
        <v>28.26</v>
      </c>
      <c r="AH34" s="36" t="n">
        <v>31.4</v>
      </c>
      <c r="AI34" s="36" t="n">
        <v>35.325</v>
      </c>
      <c r="AJ34" s="36" t="n">
        <v>40.37142857142857</v>
      </c>
      <c r="AK34" s="36" t="n">
        <v>47.1</v>
      </c>
      <c r="AL34" s="36" t="n">
        <v>56.52</v>
      </c>
      <c r="AM34" s="36" t="n">
        <v>70.65000000000001</v>
      </c>
      <c r="AN34" s="36" t="n">
        <v>94.2</v>
      </c>
      <c r="AO34" s="36" t="n">
        <v>141.3</v>
      </c>
      <c r="AP34" s="36" t="n">
        <v>282.6</v>
      </c>
    </row>
    <row r="35">
      <c r="A35" s="5" t="inlineStr">
        <is>
          <t>P29</t>
        </is>
      </c>
      <c r="B35" s="5" t="inlineStr">
        <is>
          <t>Karitel</t>
        </is>
      </c>
      <c r="C35" s="36" t="n">
        <v>5.14</v>
      </c>
      <c r="D35" s="36" t="n">
        <v>5.410526315789474</v>
      </c>
      <c r="E35" s="36" t="n">
        <v>5.71111111111111</v>
      </c>
      <c r="F35" s="36" t="n">
        <v>6.047058823529412</v>
      </c>
      <c r="G35" s="36" t="n">
        <v>6.424999999999999</v>
      </c>
      <c r="H35" s="36" t="n">
        <v>6.853333333333333</v>
      </c>
      <c r="I35" s="36" t="n">
        <v>7.342857142857143</v>
      </c>
      <c r="J35" s="36" t="n">
        <v>7.907692307692307</v>
      </c>
      <c r="K35" s="36" t="n">
        <v>8.566666666666666</v>
      </c>
      <c r="L35" s="36" t="n">
        <v>9.345454545454544</v>
      </c>
      <c r="M35" s="36" t="n">
        <v>10.28</v>
      </c>
      <c r="N35" s="36" t="n">
        <v>11.42222222222222</v>
      </c>
      <c r="O35" s="36" t="n">
        <v>12.85</v>
      </c>
      <c r="P35" s="36" t="n">
        <v>14.68571428571429</v>
      </c>
      <c r="Q35" s="36" t="n">
        <v>17.13333333333333</v>
      </c>
      <c r="R35" s="36" t="n">
        <v>20.56</v>
      </c>
      <c r="S35" s="36" t="n">
        <v>25.7</v>
      </c>
      <c r="T35" s="36" t="n">
        <v>34.26666666666667</v>
      </c>
      <c r="U35" s="36" t="n">
        <v>51.39999999999999</v>
      </c>
      <c r="V35" s="36" t="n">
        <v>102.8</v>
      </c>
      <c r="W35" s="36" t="n">
        <v>10.79</v>
      </c>
      <c r="X35" s="36" t="n">
        <v>11.35789473684211</v>
      </c>
      <c r="Y35" s="36" t="n">
        <v>11.98888888888889</v>
      </c>
      <c r="Z35" s="36" t="n">
        <v>12.69411764705882</v>
      </c>
      <c r="AA35" s="36" t="n">
        <v>13.4875</v>
      </c>
      <c r="AB35" s="36" t="n">
        <v>14.38666666666666</v>
      </c>
      <c r="AC35" s="36" t="n">
        <v>15.41428571428571</v>
      </c>
      <c r="AD35" s="36" t="n">
        <v>16.6</v>
      </c>
      <c r="AE35" s="36" t="n">
        <v>17.98333333333333</v>
      </c>
      <c r="AF35" s="36" t="n">
        <v>19.61818181818181</v>
      </c>
      <c r="AG35" s="36" t="n">
        <v>21.58</v>
      </c>
      <c r="AH35" s="36" t="n">
        <v>23.97777777777777</v>
      </c>
      <c r="AI35" s="36" t="n">
        <v>26.975</v>
      </c>
      <c r="AJ35" s="36" t="n">
        <v>30.82857142857143</v>
      </c>
      <c r="AK35" s="36" t="n">
        <v>35.96666666666667</v>
      </c>
      <c r="AL35" s="36" t="n">
        <v>43.16</v>
      </c>
      <c r="AM35" s="36" t="n">
        <v>53.95</v>
      </c>
      <c r="AN35" s="36" t="n">
        <v>71.93333333333334</v>
      </c>
      <c r="AO35" s="36" t="n">
        <v>107.9</v>
      </c>
      <c r="AP35" s="36" t="n">
        <v>215.8</v>
      </c>
    </row>
    <row r="36">
      <c r="A36" s="5" t="inlineStr">
        <is>
          <t>P30</t>
        </is>
      </c>
      <c r="B36" s="5" t="inlineStr">
        <is>
          <t>Karitel</t>
        </is>
      </c>
      <c r="C36" s="36" t="n">
        <v>6.36</v>
      </c>
      <c r="D36" s="36" t="n">
        <v>6.694736842105264</v>
      </c>
      <c r="E36" s="36" t="n">
        <v>7.066666666666666</v>
      </c>
      <c r="F36" s="36" t="n">
        <v>7.482352941176472</v>
      </c>
      <c r="G36" s="36" t="n">
        <v>7.95</v>
      </c>
      <c r="H36" s="36" t="n">
        <v>8.48</v>
      </c>
      <c r="I36" s="36" t="n">
        <v>9.085714285714287</v>
      </c>
      <c r="J36" s="36" t="n">
        <v>9.784615384615385</v>
      </c>
      <c r="K36" s="36" t="n">
        <v>10.6</v>
      </c>
      <c r="L36" s="36" t="n">
        <v>11.56363636363636</v>
      </c>
      <c r="M36" s="36" t="n">
        <v>12.72</v>
      </c>
      <c r="N36" s="36" t="n">
        <v>14.13333333333333</v>
      </c>
      <c r="O36" s="36" t="n">
        <v>15.9</v>
      </c>
      <c r="P36" s="36" t="n">
        <v>18.17142857142857</v>
      </c>
      <c r="Q36" s="36" t="n">
        <v>21.2</v>
      </c>
      <c r="R36" s="36" t="n">
        <v>25.44</v>
      </c>
      <c r="S36" s="36" t="n">
        <v>31.8</v>
      </c>
      <c r="T36" s="36" t="n">
        <v>42.40000000000001</v>
      </c>
      <c r="U36" s="36" t="n">
        <v>63.6</v>
      </c>
      <c r="V36" s="36" t="n">
        <v>127.2</v>
      </c>
      <c r="W36" s="36" t="n">
        <v>15.11</v>
      </c>
      <c r="X36" s="36" t="n">
        <v>15.90526315789474</v>
      </c>
      <c r="Y36" s="36" t="n">
        <v>16.78888888888889</v>
      </c>
      <c r="Z36" s="36" t="n">
        <v>17.77647058823529</v>
      </c>
      <c r="AA36" s="36" t="n">
        <v>18.8875</v>
      </c>
      <c r="AB36" s="36" t="n">
        <v>20.14666666666666</v>
      </c>
      <c r="AC36" s="36" t="n">
        <v>21.58571428571429</v>
      </c>
      <c r="AD36" s="36" t="n">
        <v>23.24615384615385</v>
      </c>
      <c r="AE36" s="36" t="n">
        <v>25.18333333333333</v>
      </c>
      <c r="AF36" s="36" t="n">
        <v>27.47272727272727</v>
      </c>
      <c r="AG36" s="36" t="n">
        <v>30.22</v>
      </c>
      <c r="AH36" s="36" t="n">
        <v>33.57777777777778</v>
      </c>
      <c r="AI36" s="36" t="n">
        <v>37.775</v>
      </c>
      <c r="AJ36" s="36" t="n">
        <v>43.17142857142857</v>
      </c>
      <c r="AK36" s="36" t="n">
        <v>50.36666666666667</v>
      </c>
      <c r="AL36" s="36" t="n">
        <v>60.44</v>
      </c>
      <c r="AM36" s="36" t="n">
        <v>75.55</v>
      </c>
      <c r="AN36" s="36" t="n">
        <v>100.7333333333333</v>
      </c>
      <c r="AO36" s="36" t="n">
        <v>151.1</v>
      </c>
      <c r="AP36" s="36" t="n">
        <v>302.2</v>
      </c>
    </row>
    <row r="37">
      <c r="A37" s="5" t="inlineStr">
        <is>
          <t>P31</t>
        </is>
      </c>
      <c r="B37" s="5" t="inlineStr">
        <is>
          <t>Karitel</t>
        </is>
      </c>
      <c r="C37" s="36" t="n">
        <v>6.42</v>
      </c>
      <c r="D37" s="36" t="n">
        <v>6.757894736842106</v>
      </c>
      <c r="E37" s="36" t="n">
        <v>7.133333333333333</v>
      </c>
      <c r="F37" s="36" t="n">
        <v>7.552941176470588</v>
      </c>
      <c r="G37" s="36" t="n">
        <v>8.024999999999999</v>
      </c>
      <c r="H37" s="36" t="n">
        <v>8.56</v>
      </c>
      <c r="I37" s="36" t="n">
        <v>9.171428571428573</v>
      </c>
      <c r="J37" s="36" t="n">
        <v>9.876923076923077</v>
      </c>
      <c r="K37" s="36" t="n">
        <v>10.7</v>
      </c>
      <c r="L37" s="36" t="n">
        <v>11.67272727272727</v>
      </c>
      <c r="M37" s="36" t="n">
        <v>12.84</v>
      </c>
      <c r="N37" s="36" t="n">
        <v>14.26666666666667</v>
      </c>
      <c r="O37" s="36" t="n">
        <v>16.05</v>
      </c>
      <c r="P37" s="36" t="n">
        <v>18.34285714285715</v>
      </c>
      <c r="Q37" s="36" t="n">
        <v>21.4</v>
      </c>
      <c r="R37" s="36" t="n">
        <v>25.68</v>
      </c>
      <c r="S37" s="36" t="n">
        <v>32.09999999999999</v>
      </c>
      <c r="T37" s="36" t="n">
        <v>42.8</v>
      </c>
      <c r="U37" s="36" t="n">
        <v>64.19999999999999</v>
      </c>
      <c r="V37" s="36" t="n">
        <v>128.4</v>
      </c>
      <c r="W37" s="36" t="n">
        <v>15.11</v>
      </c>
      <c r="X37" s="36" t="n">
        <v>15.90526315789474</v>
      </c>
      <c r="Y37" s="36" t="n">
        <v>16.78888888888889</v>
      </c>
      <c r="Z37" s="36" t="n">
        <v>17.77647058823529</v>
      </c>
      <c r="AA37" s="36" t="n">
        <v>18.8875</v>
      </c>
      <c r="AB37" s="36" t="n">
        <v>20.14666666666666</v>
      </c>
      <c r="AC37" s="36" t="n">
        <v>21.58571428571429</v>
      </c>
      <c r="AD37" s="36" t="n">
        <v>23.24615384615385</v>
      </c>
      <c r="AE37" s="36" t="n">
        <v>25.18333333333333</v>
      </c>
      <c r="AF37" s="36" t="n">
        <v>27.47272727272727</v>
      </c>
      <c r="AG37" s="36" t="n">
        <v>30.22</v>
      </c>
      <c r="AH37" s="36" t="n">
        <v>33.57777777777778</v>
      </c>
      <c r="AI37" s="36" t="n">
        <v>37.775</v>
      </c>
      <c r="AJ37" s="36" t="n">
        <v>43.17142857142857</v>
      </c>
      <c r="AK37" s="36" t="n">
        <v>50.36666666666667</v>
      </c>
      <c r="AL37" s="36" t="n">
        <v>60.44</v>
      </c>
      <c r="AM37" s="36" t="n">
        <v>75.55</v>
      </c>
      <c r="AN37" s="36" t="n">
        <v>100.7333333333333</v>
      </c>
      <c r="AO37" s="36" t="n">
        <v>151.1</v>
      </c>
      <c r="AP37" s="36" t="n">
        <v>302.2</v>
      </c>
    </row>
    <row r="38">
      <c r="A38" s="5" t="inlineStr">
        <is>
          <t>P32</t>
        </is>
      </c>
      <c r="B38" s="5" t="inlineStr">
        <is>
          <t>Karitel</t>
        </is>
      </c>
      <c r="C38" s="36" t="n">
        <v>6.695</v>
      </c>
      <c r="D38" s="36" t="n">
        <v>7.047368421052632</v>
      </c>
      <c r="E38" s="36" t="n">
        <v>7.438888888888889</v>
      </c>
      <c r="F38" s="36" t="n">
        <v>7.876470588235295</v>
      </c>
      <c r="G38" s="36" t="n">
        <v>8.36875</v>
      </c>
      <c r="H38" s="36" t="n">
        <v>8.926666666666668</v>
      </c>
      <c r="I38" s="36" t="n">
        <v>9.564285714285715</v>
      </c>
      <c r="J38" s="36" t="n">
        <v>10.3</v>
      </c>
      <c r="K38" s="36" t="n">
        <v>11.15833333333333</v>
      </c>
      <c r="L38" s="36" t="n">
        <v>12.17272727272727</v>
      </c>
      <c r="M38" s="36" t="n">
        <v>13.39</v>
      </c>
      <c r="N38" s="36" t="n">
        <v>14.87777777777778</v>
      </c>
      <c r="O38" s="36" t="n">
        <v>16.7375</v>
      </c>
      <c r="P38" s="36" t="n">
        <v>19.12857142857143</v>
      </c>
      <c r="Q38" s="36" t="n">
        <v>22.31666666666667</v>
      </c>
      <c r="R38" s="36" t="n">
        <v>26.78</v>
      </c>
      <c r="S38" s="36" t="n">
        <v>33.475</v>
      </c>
      <c r="T38" s="36" t="n">
        <v>44.63333333333334</v>
      </c>
      <c r="U38" s="36" t="n">
        <v>66.95</v>
      </c>
      <c r="V38" s="36" t="n">
        <v>133.9</v>
      </c>
      <c r="W38" s="36" t="n">
        <v>14.5</v>
      </c>
      <c r="X38" s="36" t="n">
        <v>15.26315789473684</v>
      </c>
      <c r="Y38" s="36" t="n">
        <v>16.11111111111111</v>
      </c>
      <c r="Z38" s="36" t="n">
        <v>17.05882352941176</v>
      </c>
      <c r="AA38" s="36" t="n">
        <v>18.125</v>
      </c>
      <c r="AB38" s="36" t="n">
        <v>19.33333333333333</v>
      </c>
      <c r="AC38" s="36" t="n">
        <v>20.71428571428572</v>
      </c>
      <c r="AD38" s="36" t="n">
        <v>22.30769230769231</v>
      </c>
      <c r="AE38" s="36" t="n">
        <v>24.16666666666667</v>
      </c>
      <c r="AF38" s="36" t="n">
        <v>26.36363636363636</v>
      </c>
      <c r="AG38" s="36" t="n">
        <v>29</v>
      </c>
      <c r="AH38" s="36" t="n">
        <v>32.22222222222221</v>
      </c>
      <c r="AI38" s="36" t="n">
        <v>36.25</v>
      </c>
      <c r="AJ38" s="36" t="n">
        <v>41.42857142857142</v>
      </c>
      <c r="AK38" s="36" t="n">
        <v>48.33333333333334</v>
      </c>
      <c r="AL38" s="36" t="n">
        <v>57.99999999999999</v>
      </c>
      <c r="AM38" s="36" t="n">
        <v>72.5</v>
      </c>
      <c r="AN38" s="36" t="n">
        <v>96.66666666666664</v>
      </c>
      <c r="AO38" s="36" t="n">
        <v>145</v>
      </c>
      <c r="AP38" s="36" t="n">
        <v>289.9999999999999</v>
      </c>
    </row>
    <row r="39">
      <c r="A39" s="5" t="inlineStr">
        <is>
          <t>P33</t>
        </is>
      </c>
      <c r="B39" s="5" t="inlineStr">
        <is>
          <t>Karitel</t>
        </is>
      </c>
      <c r="C39" s="36" t="n">
        <v>6</v>
      </c>
      <c r="D39" s="36" t="n">
        <v>6.315789473684211</v>
      </c>
      <c r="E39" s="36" t="n">
        <v>6.666666666666666</v>
      </c>
      <c r="F39" s="36" t="n">
        <v>7.058823529411764</v>
      </c>
      <c r="G39" s="36" t="n">
        <v>7.5</v>
      </c>
      <c r="H39" s="36" t="n">
        <v>8</v>
      </c>
      <c r="I39" s="36" t="n">
        <v>8.571428571428571</v>
      </c>
      <c r="J39" s="36" t="n">
        <v>9.23076923076923</v>
      </c>
      <c r="K39" s="36" t="n">
        <v>10</v>
      </c>
      <c r="L39" s="36" t="n">
        <v>10.90909090909091</v>
      </c>
      <c r="M39" s="36" t="n">
        <v>12</v>
      </c>
      <c r="N39" s="36" t="n">
        <v>13.33333333333333</v>
      </c>
      <c r="O39" s="36" t="n">
        <v>15</v>
      </c>
      <c r="P39" s="36" t="n">
        <v>17.14285714285714</v>
      </c>
      <c r="Q39" s="36" t="n">
        <v>20</v>
      </c>
      <c r="R39" s="36" t="n">
        <v>24</v>
      </c>
      <c r="S39" s="36" t="n">
        <v>30</v>
      </c>
      <c r="T39" s="36" t="n">
        <v>40</v>
      </c>
      <c r="U39" s="36" t="n">
        <v>60</v>
      </c>
      <c r="V39" s="36" t="n">
        <v>120</v>
      </c>
      <c r="W39" s="36" t="n">
        <v>14.18</v>
      </c>
      <c r="X39" s="36" t="n">
        <v>14.92631578947369</v>
      </c>
      <c r="Y39" s="36" t="n">
        <v>15.75555555555555</v>
      </c>
      <c r="Z39" s="36" t="n">
        <v>16.68235294117647</v>
      </c>
      <c r="AA39" s="36" t="n">
        <v>17.725</v>
      </c>
      <c r="AB39" s="36" t="n">
        <v>18.90666666666667</v>
      </c>
      <c r="AC39" s="36" t="n">
        <v>20.25714285714286</v>
      </c>
      <c r="AD39" s="36" t="n">
        <v>21.81538461538461</v>
      </c>
      <c r="AE39" s="36" t="n">
        <v>23.63333333333333</v>
      </c>
      <c r="AF39" s="36" t="n">
        <v>25.78181818181818</v>
      </c>
      <c r="AG39" s="36" t="n">
        <v>28.36</v>
      </c>
      <c r="AH39" s="36" t="n">
        <v>31.51111111111111</v>
      </c>
      <c r="AI39" s="36" t="n">
        <v>35.45</v>
      </c>
      <c r="AJ39" s="36" t="n">
        <v>40.51428571428572</v>
      </c>
      <c r="AK39" s="36" t="n">
        <v>47.26666666666667</v>
      </c>
      <c r="AL39" s="36" t="n">
        <v>56.72000000000001</v>
      </c>
      <c r="AM39" s="36" t="n">
        <v>70.89999999999999</v>
      </c>
      <c r="AN39" s="36" t="n">
        <v>94.53333333333335</v>
      </c>
      <c r="AO39" s="36" t="n">
        <v>141.8</v>
      </c>
      <c r="AP39" s="36" t="n">
        <v>283.6</v>
      </c>
    </row>
    <row r="40">
      <c r="A40" s="5" t="inlineStr">
        <is>
          <t>P34</t>
        </is>
      </c>
      <c r="B40" s="5" t="inlineStr">
        <is>
          <t>Karitel</t>
        </is>
      </c>
      <c r="C40" s="36" t="n">
        <v>6.72</v>
      </c>
      <c r="D40" s="36" t="n">
        <v>7.073684210526316</v>
      </c>
      <c r="E40" s="36" t="n">
        <v>7.466666666666666</v>
      </c>
      <c r="F40" s="36" t="n">
        <v>7.905882352941177</v>
      </c>
      <c r="G40" s="36" t="n">
        <v>8.399999999999999</v>
      </c>
      <c r="H40" s="36" t="n">
        <v>8.959999999999999</v>
      </c>
      <c r="I40" s="36" t="n">
        <v>9.6</v>
      </c>
      <c r="J40" s="36" t="n">
        <v>10.33846153846154</v>
      </c>
      <c r="K40" s="36" t="n">
        <v>11.2</v>
      </c>
      <c r="L40" s="36" t="n">
        <v>12.21818181818182</v>
      </c>
      <c r="M40" s="36" t="n">
        <v>13.44</v>
      </c>
      <c r="N40" s="36" t="n">
        <v>14.93333333333333</v>
      </c>
      <c r="O40" s="36" t="n">
        <v>16.8</v>
      </c>
      <c r="P40" s="36" t="n">
        <v>19.2</v>
      </c>
      <c r="Q40" s="36" t="n">
        <v>22.4</v>
      </c>
      <c r="R40" s="36" t="n">
        <v>26.88</v>
      </c>
      <c r="S40" s="36" t="n">
        <v>33.59999999999999</v>
      </c>
      <c r="T40" s="36" t="n">
        <v>44.8</v>
      </c>
      <c r="U40" s="36" t="n">
        <v>67.19999999999999</v>
      </c>
      <c r="V40" s="36" t="n">
        <v>134.4</v>
      </c>
      <c r="W40" s="36" t="n">
        <v>15.11</v>
      </c>
      <c r="X40" s="36" t="n">
        <v>15.90526315789474</v>
      </c>
      <c r="Y40" s="36" t="n">
        <v>16.78888888888889</v>
      </c>
      <c r="Z40" s="36" t="n">
        <v>17.77647058823529</v>
      </c>
      <c r="AA40" s="36" t="n">
        <v>18.8875</v>
      </c>
      <c r="AB40" s="36" t="n">
        <v>20.14666666666666</v>
      </c>
      <c r="AC40" s="36" t="n">
        <v>21.58571428571429</v>
      </c>
      <c r="AD40" s="36" t="n">
        <v>23.24615384615385</v>
      </c>
      <c r="AE40" s="36" t="n">
        <v>25.18333333333333</v>
      </c>
      <c r="AF40" s="36" t="n">
        <v>27.47272727272727</v>
      </c>
      <c r="AG40" s="36" t="n">
        <v>30.22</v>
      </c>
      <c r="AH40" s="36" t="n">
        <v>33.57777777777778</v>
      </c>
      <c r="AI40" s="36" t="n">
        <v>37.775</v>
      </c>
      <c r="AJ40" s="36" t="n">
        <v>43.17142857142857</v>
      </c>
      <c r="AK40" s="36" t="n">
        <v>50.36666666666667</v>
      </c>
      <c r="AL40" s="36" t="n">
        <v>60.44</v>
      </c>
      <c r="AM40" s="36" t="n">
        <v>75.55</v>
      </c>
      <c r="AN40" s="36" t="n">
        <v>100.7333333333333</v>
      </c>
      <c r="AO40" s="36" t="n">
        <v>151.1</v>
      </c>
      <c r="AP40" s="36" t="n">
        <v>302.2</v>
      </c>
    </row>
    <row r="41">
      <c r="A41" s="5" t="inlineStr">
        <is>
          <t>P35</t>
        </is>
      </c>
      <c r="B41" s="5" t="inlineStr">
        <is>
          <t>Karitel</t>
        </is>
      </c>
      <c r="C41" s="36" t="n">
        <v>7.08</v>
      </c>
      <c r="D41" s="36" t="n">
        <v>7.452631578947368</v>
      </c>
      <c r="E41" s="36" t="n">
        <v>7.866666666666666</v>
      </c>
      <c r="F41" s="36" t="n">
        <v>8.329411764705883</v>
      </c>
      <c r="G41" s="36" t="n">
        <v>8.85</v>
      </c>
      <c r="H41" s="36" t="n">
        <v>9.44</v>
      </c>
      <c r="I41" s="36" t="n">
        <v>10.11428571428572</v>
      </c>
      <c r="J41" s="36" t="n">
        <v>10.89230769230769</v>
      </c>
      <c r="K41" s="36" t="n">
        <v>11.8</v>
      </c>
      <c r="L41" s="36" t="n">
        <v>12.87272727272727</v>
      </c>
      <c r="M41" s="36" t="n">
        <v>14.16</v>
      </c>
      <c r="N41" s="36" t="n">
        <v>15.73333333333333</v>
      </c>
      <c r="O41" s="36" t="n">
        <v>17.7</v>
      </c>
      <c r="P41" s="36" t="n">
        <v>20.22857142857143</v>
      </c>
      <c r="Q41" s="36" t="n">
        <v>23.6</v>
      </c>
      <c r="R41" s="36" t="n">
        <v>28.32</v>
      </c>
      <c r="S41" s="36" t="n">
        <v>35.4</v>
      </c>
      <c r="T41" s="36" t="n">
        <v>47.2</v>
      </c>
      <c r="U41" s="36" t="n">
        <v>70.8</v>
      </c>
      <c r="V41" s="36" t="n">
        <v>141.6</v>
      </c>
      <c r="W41" s="36" t="n">
        <v>15.58</v>
      </c>
      <c r="X41" s="36" t="n">
        <v>16.4</v>
      </c>
      <c r="Y41" s="36" t="n">
        <v>17.31111111111111</v>
      </c>
      <c r="Z41" s="36" t="n">
        <v>18.32941176470588</v>
      </c>
      <c r="AA41" s="36" t="n">
        <v>19.475</v>
      </c>
      <c r="AB41" s="36" t="n">
        <v>20.77333333333333</v>
      </c>
      <c r="AC41" s="36" t="n">
        <v>22.25714285714286</v>
      </c>
      <c r="AD41" s="36" t="n">
        <v>23.96923076923077</v>
      </c>
      <c r="AE41" s="36" t="n">
        <v>25.96666666666667</v>
      </c>
      <c r="AF41" s="36" t="n">
        <v>28.32727272727272</v>
      </c>
      <c r="AG41" s="36" t="n">
        <v>31.16</v>
      </c>
      <c r="AH41" s="36" t="n">
        <v>34.62222222222222</v>
      </c>
      <c r="AI41" s="36" t="n">
        <v>38.95</v>
      </c>
      <c r="AJ41" s="36" t="n">
        <v>44.51428571428572</v>
      </c>
      <c r="AK41" s="36" t="n">
        <v>51.93333333333334</v>
      </c>
      <c r="AL41" s="36" t="n">
        <v>62.32</v>
      </c>
      <c r="AM41" s="36" t="n">
        <v>77.89999999999999</v>
      </c>
      <c r="AN41" s="36" t="n">
        <v>103.8666666666667</v>
      </c>
      <c r="AO41" s="36" t="n">
        <v>155.8</v>
      </c>
      <c r="AP41" s="36" t="n">
        <v>311.6</v>
      </c>
    </row>
    <row r="42">
      <c r="A42" s="5" t="inlineStr">
        <is>
          <t>P36</t>
        </is>
      </c>
      <c r="B42" s="5" t="inlineStr">
        <is>
          <t>Karitel</t>
        </is>
      </c>
      <c r="C42" s="36" t="n">
        <v>7.14</v>
      </c>
      <c r="D42" s="36" t="n">
        <v>7.515789473684211</v>
      </c>
      <c r="E42" s="36" t="n">
        <v>7.933333333333333</v>
      </c>
      <c r="F42" s="36" t="n">
        <v>8.4</v>
      </c>
      <c r="G42" s="36" t="n">
        <v>8.924999999999999</v>
      </c>
      <c r="H42" s="36" t="n">
        <v>9.52</v>
      </c>
      <c r="I42" s="36" t="n">
        <v>10.2</v>
      </c>
      <c r="J42" s="36" t="n">
        <v>10.98461538461538</v>
      </c>
      <c r="K42" s="36" t="n">
        <v>11.9</v>
      </c>
      <c r="L42" s="36" t="n">
        <v>12.98181818181818</v>
      </c>
      <c r="M42" s="36" t="n">
        <v>14.28</v>
      </c>
      <c r="N42" s="36" t="n">
        <v>15.86666666666667</v>
      </c>
      <c r="O42" s="36" t="n">
        <v>17.85</v>
      </c>
      <c r="P42" s="36" t="n">
        <v>20.4</v>
      </c>
      <c r="Q42" s="36" t="n">
        <v>23.8</v>
      </c>
      <c r="R42" s="36" t="n">
        <v>28.56</v>
      </c>
      <c r="S42" s="36" t="n">
        <v>35.7</v>
      </c>
      <c r="T42" s="36" t="n">
        <v>47.6</v>
      </c>
      <c r="U42" s="36" t="n">
        <v>71.39999999999999</v>
      </c>
      <c r="V42" s="36" t="n">
        <v>142.8</v>
      </c>
      <c r="W42" s="36" t="n">
        <v>15.58</v>
      </c>
      <c r="X42" s="36" t="n">
        <v>16.4</v>
      </c>
      <c r="Y42" s="36" t="n">
        <v>17.31111111111111</v>
      </c>
      <c r="Z42" s="36" t="n">
        <v>18.32941176470588</v>
      </c>
      <c r="AA42" s="36" t="n">
        <v>19.475</v>
      </c>
      <c r="AB42" s="36" t="n">
        <v>20.77333333333333</v>
      </c>
      <c r="AC42" s="36" t="n">
        <v>22.25714285714286</v>
      </c>
      <c r="AD42" s="36" t="n">
        <v>23.96923076923077</v>
      </c>
      <c r="AE42" s="36" t="n">
        <v>25.96666666666667</v>
      </c>
      <c r="AF42" s="36" t="n">
        <v>28.32727272727272</v>
      </c>
      <c r="AG42" s="36" t="n">
        <v>31.16</v>
      </c>
      <c r="AH42" s="36" t="n">
        <v>34.62222222222222</v>
      </c>
      <c r="AI42" s="36" t="n">
        <v>38.95</v>
      </c>
      <c r="AJ42" s="36" t="n">
        <v>44.51428571428572</v>
      </c>
      <c r="AK42" s="36" t="n">
        <v>51.93333333333334</v>
      </c>
      <c r="AL42" s="36" t="n">
        <v>62.32</v>
      </c>
      <c r="AM42" s="36" t="n">
        <v>77.89999999999999</v>
      </c>
      <c r="AN42" s="36" t="n">
        <v>103.8666666666667</v>
      </c>
      <c r="AO42" s="36" t="n">
        <v>155.8</v>
      </c>
      <c r="AP42" s="36" t="n">
        <v>311.6</v>
      </c>
    </row>
    <row r="43">
      <c r="A43" s="5" t="inlineStr">
        <is>
          <t>P37</t>
        </is>
      </c>
      <c r="B43" s="5" t="inlineStr">
        <is>
          <t>Karitel</t>
        </is>
      </c>
      <c r="C43" s="36" t="n">
        <v>8.640000000000001</v>
      </c>
      <c r="D43" s="36" t="n">
        <v>9.094736842105265</v>
      </c>
      <c r="E43" s="36" t="n">
        <v>9.6</v>
      </c>
      <c r="F43" s="36" t="n">
        <v>10.16470588235294</v>
      </c>
      <c r="G43" s="36" t="n">
        <v>10.8</v>
      </c>
      <c r="H43" s="36" t="n">
        <v>12.12631578947369</v>
      </c>
      <c r="I43" s="36" t="n">
        <v>12.34285714285715</v>
      </c>
      <c r="J43" s="36" t="n">
        <v>13.29230769230769</v>
      </c>
      <c r="K43" s="36" t="n">
        <v>14.4</v>
      </c>
      <c r="L43" s="36" t="n">
        <v>15.70909090909091</v>
      </c>
      <c r="M43" s="36" t="n">
        <v>17.28</v>
      </c>
      <c r="N43" s="36" t="n">
        <v>19.2</v>
      </c>
      <c r="O43" s="36" t="n">
        <v>21.6</v>
      </c>
      <c r="P43" s="36" t="n">
        <v>24.68571428571429</v>
      </c>
      <c r="Q43" s="36" t="n">
        <v>28.8</v>
      </c>
      <c r="R43" s="36" t="n">
        <v>34.56</v>
      </c>
      <c r="S43" s="36" t="n">
        <v>43.2</v>
      </c>
      <c r="T43" s="36" t="n">
        <v>57.60000000000001</v>
      </c>
      <c r="U43" s="36" t="n">
        <v>86.40000000000001</v>
      </c>
      <c r="V43" s="36" t="n">
        <v>172.8</v>
      </c>
      <c r="W43" s="36" t="n">
        <v>10.61</v>
      </c>
      <c r="X43" s="36" t="n">
        <v>11.16842105263158</v>
      </c>
      <c r="Y43" s="36" t="n">
        <v>11.78888888888889</v>
      </c>
      <c r="Z43" s="36" t="n">
        <v>12.48235294117647</v>
      </c>
      <c r="AA43" s="36" t="n">
        <v>13.2625</v>
      </c>
      <c r="AB43" s="36" t="n">
        <v>14.14666666666667</v>
      </c>
      <c r="AC43" s="36" t="n">
        <v>15.15714285714286</v>
      </c>
      <c r="AD43" s="36" t="n">
        <v>16.32307692307692</v>
      </c>
      <c r="AE43" s="36" t="n">
        <v>17.68333333333333</v>
      </c>
      <c r="AF43" s="36" t="n">
        <v>19.29090909090909</v>
      </c>
      <c r="AG43" s="36" t="n">
        <v>21.22</v>
      </c>
      <c r="AH43" s="36" t="n">
        <v>23.57777777777778</v>
      </c>
      <c r="AI43" s="36" t="n">
        <v>26.525</v>
      </c>
      <c r="AJ43" s="36" t="n">
        <v>30.31428571428571</v>
      </c>
      <c r="AK43" s="36" t="n">
        <v>35.36666666666667</v>
      </c>
      <c r="AL43" s="36" t="n">
        <v>42.44</v>
      </c>
      <c r="AM43" s="36" t="n">
        <v>53.05</v>
      </c>
      <c r="AN43" s="36" t="n">
        <v>70.73333333333333</v>
      </c>
      <c r="AO43" s="36" t="n">
        <v>106.1</v>
      </c>
      <c r="AP43" s="36" t="n">
        <v>212.2</v>
      </c>
    </row>
    <row r="44">
      <c r="A44" s="5" t="inlineStr">
        <is>
          <t>P38</t>
        </is>
      </c>
      <c r="B44" s="5" t="inlineStr">
        <is>
          <t>Karitel</t>
        </is>
      </c>
      <c r="C44" s="36" t="n">
        <v>7.91</v>
      </c>
      <c r="D44" s="36" t="n">
        <v>8.326315789473684</v>
      </c>
      <c r="E44" s="36" t="n">
        <v>8.78888888888889</v>
      </c>
      <c r="F44" s="36" t="n">
        <v>9.305882352941177</v>
      </c>
      <c r="G44" s="36" t="n">
        <v>9.887499999999999</v>
      </c>
      <c r="H44" s="36" t="n">
        <v>10.54666666666667</v>
      </c>
      <c r="I44" s="36" t="n">
        <v>11.3</v>
      </c>
      <c r="J44" s="36" t="n">
        <v>12.16923076923077</v>
      </c>
      <c r="K44" s="36" t="n">
        <v>13.18333333333333</v>
      </c>
      <c r="L44" s="36" t="n">
        <v>14.38181818181818</v>
      </c>
      <c r="M44" s="36" t="n">
        <v>15.82</v>
      </c>
      <c r="N44" s="36" t="n">
        <v>17.57777777777778</v>
      </c>
      <c r="O44" s="36" t="n">
        <v>19.775</v>
      </c>
      <c r="P44" s="36" t="n">
        <v>22.6</v>
      </c>
      <c r="Q44" s="36" t="n">
        <v>26.36666666666667</v>
      </c>
      <c r="R44" s="36" t="n">
        <v>31.64</v>
      </c>
      <c r="S44" s="36" t="n">
        <v>39.55</v>
      </c>
      <c r="T44" s="36" t="n">
        <v>52.73333333333333</v>
      </c>
      <c r="U44" s="36" t="n">
        <v>79.09999999999999</v>
      </c>
      <c r="V44" s="36" t="n">
        <v>158.2</v>
      </c>
      <c r="W44" s="36" t="n">
        <v>14.5</v>
      </c>
      <c r="X44" s="36" t="n">
        <v>15.26315789473684</v>
      </c>
      <c r="Y44" s="36" t="n">
        <v>16.11111111111111</v>
      </c>
      <c r="Z44" s="36" t="n">
        <v>17.05882352941176</v>
      </c>
      <c r="AA44" s="36" t="n">
        <v>18.125</v>
      </c>
      <c r="AB44" s="36" t="n">
        <v>19.33333333333333</v>
      </c>
      <c r="AC44" s="36" t="n">
        <v>20.71428571428572</v>
      </c>
      <c r="AD44" s="36" t="n">
        <v>22.30769230769231</v>
      </c>
      <c r="AE44" s="36" t="n">
        <v>24.16666666666667</v>
      </c>
      <c r="AF44" s="36" t="n">
        <v>26.36363636363636</v>
      </c>
      <c r="AG44" s="36" t="n">
        <v>29</v>
      </c>
      <c r="AH44" s="36" t="n">
        <v>32.22222222222221</v>
      </c>
      <c r="AI44" s="36" t="n">
        <v>36.25</v>
      </c>
      <c r="AJ44" s="36" t="n">
        <v>41.42857142857142</v>
      </c>
      <c r="AK44" s="36" t="n">
        <v>48.33333333333334</v>
      </c>
      <c r="AL44" s="36" t="n">
        <v>57.99999999999999</v>
      </c>
      <c r="AM44" s="36" t="n">
        <v>72.5</v>
      </c>
      <c r="AN44" s="36" t="n">
        <v>96.66666666666664</v>
      </c>
      <c r="AO44" s="36" t="n">
        <v>145</v>
      </c>
      <c r="AP44" s="36" t="n">
        <v>289.9999999999999</v>
      </c>
    </row>
    <row r="45">
      <c r="A45" s="5" t="inlineStr">
        <is>
          <t>P39</t>
        </is>
      </c>
      <c r="B45" s="5" t="inlineStr">
        <is>
          <t>Karitel</t>
        </is>
      </c>
      <c r="C45" s="36" t="n">
        <v>5.76</v>
      </c>
      <c r="D45" s="36" t="n">
        <v>6.063157894736842</v>
      </c>
      <c r="E45" s="36" t="n">
        <v>6.399999999999999</v>
      </c>
      <c r="F45" s="36" t="n">
        <v>6.776470588235294</v>
      </c>
      <c r="G45" s="36" t="n">
        <v>7.199999999999999</v>
      </c>
      <c r="H45" s="36" t="n">
        <v>7.68</v>
      </c>
      <c r="I45" s="36" t="n">
        <v>8.22857142857143</v>
      </c>
      <c r="J45" s="36" t="n">
        <v>8.86153846153846</v>
      </c>
      <c r="K45" s="36" t="n">
        <v>9.6</v>
      </c>
      <c r="L45" s="36" t="n">
        <v>10.47272727272727</v>
      </c>
      <c r="M45" s="36" t="n">
        <v>11.52</v>
      </c>
      <c r="N45" s="36" t="n">
        <v>12.8</v>
      </c>
      <c r="O45" s="36" t="n">
        <v>14.4</v>
      </c>
      <c r="P45" s="36" t="n">
        <v>16.45714285714286</v>
      </c>
      <c r="Q45" s="36" t="n">
        <v>19.2</v>
      </c>
      <c r="R45" s="36" t="n">
        <v>23.04</v>
      </c>
      <c r="S45" s="36" t="n">
        <v>28.8</v>
      </c>
      <c r="T45" s="36" t="n">
        <v>38.4</v>
      </c>
      <c r="U45" s="36" t="n">
        <v>57.59999999999999</v>
      </c>
      <c r="V45" s="36" t="n">
        <v>115.2</v>
      </c>
      <c r="W45" s="36" t="n">
        <v>12.62</v>
      </c>
      <c r="X45" s="36" t="n">
        <v>13.28421052631579</v>
      </c>
      <c r="Y45" s="36" t="n">
        <v>14.02222222222222</v>
      </c>
      <c r="Z45" s="36" t="n">
        <v>14.84705882352941</v>
      </c>
      <c r="AA45" s="36" t="n">
        <v>15.775</v>
      </c>
      <c r="AB45" s="36" t="n">
        <v>16.82666666666666</v>
      </c>
      <c r="AC45" s="36" t="n">
        <v>18.02857142857143</v>
      </c>
      <c r="AD45" s="36" t="n">
        <v>19.41538461538461</v>
      </c>
      <c r="AE45" s="36" t="n">
        <v>21.03333333333333</v>
      </c>
      <c r="AF45" s="36" t="n">
        <v>22.94545454545454</v>
      </c>
      <c r="AG45" s="36" t="n">
        <v>25.24</v>
      </c>
      <c r="AH45" s="36" t="n">
        <v>28.04444444444444</v>
      </c>
      <c r="AI45" s="36" t="n">
        <v>31.55</v>
      </c>
      <c r="AJ45" s="36" t="n">
        <v>36.05714285714286</v>
      </c>
      <c r="AK45" s="36" t="n">
        <v>42.06666666666666</v>
      </c>
      <c r="AL45" s="36" t="n">
        <v>50.48</v>
      </c>
      <c r="AM45" s="36" t="n">
        <v>63.09999999999999</v>
      </c>
      <c r="AN45" s="36" t="n">
        <v>84.13333333333333</v>
      </c>
      <c r="AO45" s="36" t="n">
        <v>126.2</v>
      </c>
      <c r="AP45" s="36" t="n">
        <v>252.4</v>
      </c>
    </row>
    <row r="46">
      <c r="A46" s="5" t="inlineStr">
        <is>
          <t>P40</t>
        </is>
      </c>
      <c r="B46" s="5" t="inlineStr">
        <is>
          <t>Karitel</t>
        </is>
      </c>
      <c r="C46" s="36" t="n">
        <v>7</v>
      </c>
      <c r="D46" s="36" t="n">
        <v>7.36842105263158</v>
      </c>
      <c r="E46" s="36" t="n">
        <v>7.777777777777778</v>
      </c>
      <c r="F46" s="36" t="n">
        <v>8.23529411764706</v>
      </c>
      <c r="G46" s="36" t="n">
        <v>8.75</v>
      </c>
      <c r="H46" s="36" t="n">
        <v>9.333333333333334</v>
      </c>
      <c r="I46" s="36" t="n">
        <v>10</v>
      </c>
      <c r="J46" s="36" t="n">
        <v>10.76923076923077</v>
      </c>
      <c r="K46" s="36" t="n">
        <v>11.66666666666667</v>
      </c>
      <c r="L46" s="36" t="n">
        <v>12.72727272727273</v>
      </c>
      <c r="M46" s="36" t="n">
        <v>14</v>
      </c>
      <c r="N46" s="36" t="n">
        <v>15.55555555555556</v>
      </c>
      <c r="O46" s="36" t="n">
        <v>17.5</v>
      </c>
      <c r="P46" s="36" t="n">
        <v>20</v>
      </c>
      <c r="Q46" s="36" t="n">
        <v>23.33333333333334</v>
      </c>
      <c r="R46" s="36" t="n">
        <v>28</v>
      </c>
      <c r="S46" s="36" t="n">
        <v>35</v>
      </c>
      <c r="T46" s="36" t="n">
        <v>46.66666666666667</v>
      </c>
      <c r="U46" s="36" t="n">
        <v>70</v>
      </c>
      <c r="V46" s="36" t="n">
        <v>140</v>
      </c>
      <c r="W46" s="36" t="n">
        <v>15.58</v>
      </c>
      <c r="X46" s="36" t="n">
        <v>16.4</v>
      </c>
      <c r="Y46" s="36" t="n">
        <v>17.31111111111111</v>
      </c>
      <c r="Z46" s="36" t="n">
        <v>18.32941176470588</v>
      </c>
      <c r="AA46" s="36" t="n">
        <v>19.475</v>
      </c>
      <c r="AB46" s="36" t="n">
        <v>20.77333333333333</v>
      </c>
      <c r="AC46" s="36" t="n">
        <v>22.25714285714286</v>
      </c>
      <c r="AD46" s="36" t="n">
        <v>23.96923076923077</v>
      </c>
      <c r="AE46" s="36" t="n">
        <v>25.96666666666667</v>
      </c>
      <c r="AF46" s="36" t="n">
        <v>28.32727272727272</v>
      </c>
      <c r="AG46" s="36" t="n">
        <v>31.16</v>
      </c>
      <c r="AH46" s="36" t="n">
        <v>34.62222222222222</v>
      </c>
      <c r="AI46" s="36" t="n">
        <v>38.95</v>
      </c>
      <c r="AJ46" s="36" t="n">
        <v>44.51428571428572</v>
      </c>
      <c r="AK46" s="36" t="n">
        <v>51.93333333333334</v>
      </c>
      <c r="AL46" s="36" t="n">
        <v>62.32</v>
      </c>
      <c r="AM46" s="36" t="n">
        <v>77.89999999999999</v>
      </c>
      <c r="AN46" s="36" t="n">
        <v>103.8666666666667</v>
      </c>
      <c r="AO46" s="36" t="n">
        <v>155.8</v>
      </c>
      <c r="AP46" s="36" t="n">
        <v>311.6</v>
      </c>
    </row>
    <row r="47">
      <c r="A47" s="5" t="inlineStr">
        <is>
          <t>P41</t>
        </is>
      </c>
      <c r="B47" s="5" t="inlineStr">
        <is>
          <t>Karitel</t>
        </is>
      </c>
      <c r="C47" s="36" t="n">
        <v>6.51</v>
      </c>
      <c r="D47" s="36" t="n">
        <v>6.852631578947369</v>
      </c>
      <c r="E47" s="36" t="n">
        <v>7.233333333333333</v>
      </c>
      <c r="F47" s="36" t="n">
        <v>7.658823529411765</v>
      </c>
      <c r="G47" s="36" t="n">
        <v>8.137499999999999</v>
      </c>
      <c r="H47" s="36" t="n">
        <v>8.68</v>
      </c>
      <c r="I47" s="36" t="n">
        <v>9.300000000000001</v>
      </c>
      <c r="J47" s="36" t="n">
        <v>10.01538461538462</v>
      </c>
      <c r="K47" s="36" t="n">
        <v>10.85</v>
      </c>
      <c r="L47" s="36" t="n">
        <v>11.83636363636363</v>
      </c>
      <c r="M47" s="36" t="n">
        <v>13.02</v>
      </c>
      <c r="N47" s="36" t="n">
        <v>14.46666666666667</v>
      </c>
      <c r="O47" s="36" t="n">
        <v>16.275</v>
      </c>
      <c r="P47" s="36" t="n">
        <v>18.6</v>
      </c>
      <c r="Q47" s="36" t="n">
        <v>21.7</v>
      </c>
      <c r="R47" s="36" t="n">
        <v>26.04</v>
      </c>
      <c r="S47" s="36" t="n">
        <v>32.55</v>
      </c>
      <c r="T47" s="36" t="n">
        <v>43.4</v>
      </c>
      <c r="U47" s="36" t="n">
        <v>65.09999999999999</v>
      </c>
      <c r="V47" s="36" t="n">
        <v>130.2</v>
      </c>
      <c r="W47" s="36" t="n">
        <v>14.92</v>
      </c>
      <c r="X47" s="36" t="n">
        <v>15.70526315789474</v>
      </c>
      <c r="Y47" s="36" t="n">
        <v>16.57777777777778</v>
      </c>
      <c r="Z47" s="36" t="n">
        <v>17.55294117647059</v>
      </c>
      <c r="AA47" s="36" t="n">
        <v>18.65</v>
      </c>
      <c r="AB47" s="36" t="n">
        <v>19.89333333333333</v>
      </c>
      <c r="AC47" s="36" t="n">
        <v>21.31428571428572</v>
      </c>
      <c r="AD47" s="36" t="n">
        <v>22.95384615384615</v>
      </c>
      <c r="AE47" s="36" t="n">
        <v>24.86666666666667</v>
      </c>
      <c r="AF47" s="36" t="n">
        <v>27.12727272727273</v>
      </c>
      <c r="AG47" s="36" t="n">
        <v>29.84</v>
      </c>
      <c r="AH47" s="36" t="n">
        <v>33.15555555555555</v>
      </c>
      <c r="AI47" s="36" t="n">
        <v>37.3</v>
      </c>
      <c r="AJ47" s="36" t="n">
        <v>42.62857142857143</v>
      </c>
      <c r="AK47" s="36" t="n">
        <v>49.73333333333333</v>
      </c>
      <c r="AL47" s="36" t="n">
        <v>59.67999999999999</v>
      </c>
      <c r="AM47" s="36" t="n">
        <v>74.59999999999999</v>
      </c>
      <c r="AN47" s="36" t="n">
        <v>99.46666666666665</v>
      </c>
      <c r="AO47" s="36" t="n">
        <v>149.2</v>
      </c>
      <c r="AP47" s="36" t="n">
        <v>298.3999999999999</v>
      </c>
    </row>
    <row r="48">
      <c r="A48" s="5" t="inlineStr">
        <is>
          <t>P42</t>
        </is>
      </c>
      <c r="B48" s="5" t="inlineStr">
        <is>
          <t>Karitel</t>
        </is>
      </c>
      <c r="C48" s="36" t="n">
        <v>6</v>
      </c>
      <c r="D48" s="36" t="n">
        <v>6.315789473684211</v>
      </c>
      <c r="E48" s="36" t="n">
        <v>6.666666666666666</v>
      </c>
      <c r="F48" s="36" t="n">
        <v>7.058823529411764</v>
      </c>
      <c r="G48" s="36" t="n">
        <v>7.5</v>
      </c>
      <c r="H48" s="36" t="n">
        <v>8</v>
      </c>
      <c r="I48" s="36" t="n">
        <v>8.571428571428571</v>
      </c>
      <c r="J48" s="36" t="n">
        <v>9.23076923076923</v>
      </c>
      <c r="K48" s="36" t="n">
        <v>10</v>
      </c>
      <c r="L48" s="36" t="n">
        <v>10.90909090909091</v>
      </c>
      <c r="M48" s="36" t="n">
        <v>12</v>
      </c>
      <c r="N48" s="36" t="n">
        <v>13.33333333333333</v>
      </c>
      <c r="O48" s="36" t="n">
        <v>15</v>
      </c>
      <c r="P48" s="36" t="n">
        <v>17.14285714285714</v>
      </c>
      <c r="Q48" s="36" t="n">
        <v>20</v>
      </c>
      <c r="R48" s="36" t="n">
        <v>24</v>
      </c>
      <c r="S48" s="36" t="n">
        <v>30</v>
      </c>
      <c r="T48" s="36" t="n">
        <v>40</v>
      </c>
      <c r="U48" s="36" t="n">
        <v>60</v>
      </c>
      <c r="V48" s="36" t="n">
        <v>120</v>
      </c>
      <c r="W48" s="36" t="n">
        <v>12.62</v>
      </c>
      <c r="X48" s="36" t="n">
        <v>13.28421052631579</v>
      </c>
      <c r="Y48" s="36" t="n">
        <v>14.02222222222222</v>
      </c>
      <c r="Z48" s="36" t="n">
        <v>14.84705882352941</v>
      </c>
      <c r="AA48" s="36" t="n">
        <v>15.775</v>
      </c>
      <c r="AB48" s="36" t="n">
        <v>16.82666666666666</v>
      </c>
      <c r="AC48" s="36" t="n">
        <v>18.02857142857143</v>
      </c>
      <c r="AD48" s="36" t="n">
        <v>19.41538461538461</v>
      </c>
      <c r="AE48" s="36" t="n">
        <v>21.03333333333333</v>
      </c>
      <c r="AF48" s="36" t="n">
        <v>22.94545454545454</v>
      </c>
      <c r="AG48" s="36" t="n">
        <v>25.24</v>
      </c>
      <c r="AH48" s="36" t="n">
        <v>28.04444444444444</v>
      </c>
      <c r="AI48" s="36" t="n">
        <v>31.55</v>
      </c>
      <c r="AJ48" s="36" t="n">
        <v>36.05714285714286</v>
      </c>
      <c r="AK48" s="36" t="n">
        <v>42.06666666666666</v>
      </c>
      <c r="AL48" s="36" t="n">
        <v>50.48</v>
      </c>
      <c r="AM48" s="36" t="n">
        <v>63.09999999999999</v>
      </c>
      <c r="AN48" s="36" t="n">
        <v>84.13333333333333</v>
      </c>
      <c r="AO48" s="36" t="n">
        <v>126.2</v>
      </c>
      <c r="AP48" s="36" t="n">
        <v>252.4</v>
      </c>
    </row>
    <row r="49">
      <c r="A49" s="5" t="inlineStr">
        <is>
          <t>P43</t>
        </is>
      </c>
      <c r="B49" s="5" t="inlineStr">
        <is>
          <t>Karitel</t>
        </is>
      </c>
      <c r="C49" s="36" t="n">
        <v>6.58</v>
      </c>
      <c r="D49" s="36" t="n">
        <v>6.926315789473684</v>
      </c>
      <c r="E49" s="36" t="n">
        <v>7.311111111111111</v>
      </c>
      <c r="F49" s="36" t="n">
        <v>7.741176470588235</v>
      </c>
      <c r="G49" s="36" t="n">
        <v>8.225</v>
      </c>
      <c r="H49" s="36" t="n">
        <v>8.773333333333333</v>
      </c>
      <c r="I49" s="36" t="n">
        <v>9.4</v>
      </c>
      <c r="J49" s="36" t="n">
        <v>10.12307692307692</v>
      </c>
      <c r="K49" s="36" t="n">
        <v>10.96666666666667</v>
      </c>
      <c r="L49" s="36" t="n">
        <v>11.96363636363636</v>
      </c>
      <c r="M49" s="36" t="n">
        <v>13.16</v>
      </c>
      <c r="N49" s="36" t="n">
        <v>14.62222222222222</v>
      </c>
      <c r="O49" s="36" t="n">
        <v>16.45</v>
      </c>
      <c r="P49" s="36" t="n">
        <v>18.8</v>
      </c>
      <c r="Q49" s="36" t="n">
        <v>21.93333333333333</v>
      </c>
      <c r="R49" s="36" t="n">
        <v>26.32</v>
      </c>
      <c r="S49" s="36" t="n">
        <v>32.9</v>
      </c>
      <c r="T49" s="36" t="n">
        <v>43.86666666666667</v>
      </c>
      <c r="U49" s="36" t="n">
        <v>65.8</v>
      </c>
      <c r="V49" s="36" t="n">
        <v>131.6</v>
      </c>
      <c r="W49" s="36" t="n">
        <v>14.92</v>
      </c>
      <c r="X49" s="36" t="n">
        <v>15.70526315789474</v>
      </c>
      <c r="Y49" s="36" t="n">
        <v>16.57777777777778</v>
      </c>
      <c r="Z49" s="36" t="n">
        <v>17.55294117647059</v>
      </c>
      <c r="AA49" s="36" t="n">
        <v>18.65</v>
      </c>
      <c r="AB49" s="36" t="n">
        <v>19.89333333333333</v>
      </c>
      <c r="AC49" s="36" t="n">
        <v>21.31428571428572</v>
      </c>
      <c r="AD49" s="36" t="n">
        <v>22.95384615384615</v>
      </c>
      <c r="AE49" s="36" t="n">
        <v>24.86666666666667</v>
      </c>
      <c r="AF49" s="36" t="n">
        <v>27.12727272727273</v>
      </c>
      <c r="AG49" s="36" t="n">
        <v>29.84</v>
      </c>
      <c r="AH49" s="36" t="n">
        <v>33.15555555555555</v>
      </c>
      <c r="AI49" s="36" t="n">
        <v>37.3</v>
      </c>
      <c r="AJ49" s="36" t="n">
        <v>42.62857142857143</v>
      </c>
      <c r="AK49" s="36" t="n">
        <v>49.73333333333333</v>
      </c>
      <c r="AL49" s="36" t="n">
        <v>59.67999999999999</v>
      </c>
      <c r="AM49" s="36" t="n">
        <v>74.59999999999999</v>
      </c>
      <c r="AN49" s="36" t="n">
        <v>99.46666666666665</v>
      </c>
      <c r="AO49" s="36" t="n">
        <v>149.2</v>
      </c>
      <c r="AP49" s="36" t="n">
        <v>298.3999999999999</v>
      </c>
    </row>
    <row r="50">
      <c r="A50" s="5" t="inlineStr">
        <is>
          <t>P44</t>
        </is>
      </c>
      <c r="B50" s="5" t="inlineStr">
        <is>
          <t>Karitel</t>
        </is>
      </c>
      <c r="C50" s="36" t="n">
        <v>5.8</v>
      </c>
      <c r="D50" s="36" t="n">
        <v>6.105263157894737</v>
      </c>
      <c r="E50" s="36" t="n">
        <v>6.444444444444444</v>
      </c>
      <c r="F50" s="36" t="n">
        <v>6.823529411764706</v>
      </c>
      <c r="G50" s="36" t="n">
        <v>7.249999999999999</v>
      </c>
      <c r="H50" s="36" t="n">
        <v>7.733333333333333</v>
      </c>
      <c r="I50" s="36" t="n">
        <v>8.285714285714286</v>
      </c>
      <c r="J50" s="36" t="n">
        <v>8.923076923076923</v>
      </c>
      <c r="K50" s="36" t="n">
        <v>9.666666666666666</v>
      </c>
      <c r="L50" s="36" t="n">
        <v>10.54545454545454</v>
      </c>
      <c r="M50" s="36" t="n">
        <v>11.6</v>
      </c>
      <c r="N50" s="36" t="n">
        <v>12.88888888888889</v>
      </c>
      <c r="O50" s="36" t="n">
        <v>14.5</v>
      </c>
      <c r="P50" s="36" t="n">
        <v>16.57142857142857</v>
      </c>
      <c r="Q50" s="36" t="n">
        <v>19.33333333333333</v>
      </c>
      <c r="R50" s="36" t="n">
        <v>23.2</v>
      </c>
      <c r="S50" s="36" t="n">
        <v>29</v>
      </c>
      <c r="T50" s="36" t="n">
        <v>38.66666666666666</v>
      </c>
      <c r="U50" s="36" t="n">
        <v>57.99999999999999</v>
      </c>
      <c r="V50" s="36" t="n">
        <v>116</v>
      </c>
      <c r="W50" s="36" t="n">
        <v>11.06</v>
      </c>
      <c r="X50" s="36" t="n">
        <v>11.6421052631579</v>
      </c>
      <c r="Y50" s="36" t="n">
        <v>12.28888888888889</v>
      </c>
      <c r="Z50" s="36" t="n">
        <v>13.01176470588235</v>
      </c>
      <c r="AA50" s="36" t="n">
        <v>13.825</v>
      </c>
      <c r="AB50" s="36" t="n">
        <v>14.74666666666667</v>
      </c>
      <c r="AC50" s="36" t="n">
        <v>15.8</v>
      </c>
      <c r="AD50" s="36" t="n">
        <v>17.01538461538462</v>
      </c>
      <c r="AE50" s="36" t="n">
        <v>18.43333333333333</v>
      </c>
      <c r="AF50" s="36" t="n">
        <v>20.10909090909091</v>
      </c>
      <c r="AG50" s="36" t="n">
        <v>22.12</v>
      </c>
      <c r="AH50" s="36" t="n">
        <v>24.57777777777778</v>
      </c>
      <c r="AI50" s="36" t="n">
        <v>27.65</v>
      </c>
      <c r="AJ50" s="36" t="n">
        <v>31.6</v>
      </c>
      <c r="AK50" s="36" t="n">
        <v>36.86666666666667</v>
      </c>
      <c r="AL50" s="36" t="n">
        <v>44.24</v>
      </c>
      <c r="AM50" s="36" t="n">
        <v>55.3</v>
      </c>
      <c r="AN50" s="36" t="n">
        <v>73.73333333333333</v>
      </c>
      <c r="AO50" s="36" t="n">
        <v>110.6</v>
      </c>
      <c r="AP50" s="36" t="n">
        <v>221.2</v>
      </c>
    </row>
    <row r="51">
      <c r="A51" s="5" t="inlineStr">
        <is>
          <t>P45</t>
        </is>
      </c>
      <c r="B51" s="5" t="inlineStr">
        <is>
          <t>Karitel</t>
        </is>
      </c>
      <c r="C51" s="36" t="n">
        <v>6.49</v>
      </c>
      <c r="D51" s="36" t="n">
        <v>6.831578947368421</v>
      </c>
      <c r="E51" s="36" t="n">
        <v>7.211111111111111</v>
      </c>
      <c r="F51" s="36" t="n">
        <v>7.635294117647059</v>
      </c>
      <c r="G51" s="36" t="n">
        <v>8.112499999999999</v>
      </c>
      <c r="H51" s="36" t="n">
        <v>8.653333333333334</v>
      </c>
      <c r="I51" s="36" t="n">
        <v>9.271428571428572</v>
      </c>
      <c r="J51" s="36" t="n">
        <v>9.984615384615385</v>
      </c>
      <c r="K51" s="36" t="n">
        <v>10.81666666666667</v>
      </c>
      <c r="L51" s="36" t="n">
        <v>11.8</v>
      </c>
      <c r="M51" s="36" t="n">
        <v>12.98</v>
      </c>
      <c r="N51" s="36" t="n">
        <v>14.42222222222222</v>
      </c>
      <c r="O51" s="36" t="n">
        <v>16.225</v>
      </c>
      <c r="P51" s="36" t="n">
        <v>18.54285714285714</v>
      </c>
      <c r="Q51" s="36" t="n">
        <v>21.63333333333334</v>
      </c>
      <c r="R51" s="36" t="n">
        <v>25.96</v>
      </c>
      <c r="S51" s="36" t="n">
        <v>32.45</v>
      </c>
      <c r="T51" s="36" t="n">
        <v>43.26666666666667</v>
      </c>
      <c r="U51" s="36" t="n">
        <v>64.89999999999999</v>
      </c>
      <c r="V51" s="36" t="n">
        <v>129.8</v>
      </c>
      <c r="W51" s="36" t="n">
        <v>14.05</v>
      </c>
      <c r="X51" s="36" t="n">
        <v>14.78947368421053</v>
      </c>
      <c r="Y51" s="36" t="n">
        <v>15.61111111111111</v>
      </c>
      <c r="Z51" s="36" t="n">
        <v>16.52941176470588</v>
      </c>
      <c r="AA51" s="36" t="n">
        <v>17.5625</v>
      </c>
      <c r="AB51" s="36" t="n">
        <v>18.73333333333333</v>
      </c>
      <c r="AC51" s="36" t="n">
        <v>20.07142857142857</v>
      </c>
      <c r="AD51" s="36" t="n">
        <v>21.61538461538462</v>
      </c>
      <c r="AE51" s="36" t="n">
        <v>23.41666666666667</v>
      </c>
      <c r="AF51" s="36" t="n">
        <v>25.54545454545454</v>
      </c>
      <c r="AG51" s="36" t="n">
        <v>28.1</v>
      </c>
      <c r="AH51" s="36" t="n">
        <v>31.22222222222222</v>
      </c>
      <c r="AI51" s="36" t="n">
        <v>35.125</v>
      </c>
      <c r="AJ51" s="36" t="n">
        <v>40.14285714285715</v>
      </c>
      <c r="AK51" s="36" t="n">
        <v>46.83333333333334</v>
      </c>
      <c r="AL51" s="36" t="n">
        <v>56.2</v>
      </c>
      <c r="AM51" s="36" t="n">
        <v>70.25</v>
      </c>
      <c r="AN51" s="36" t="n">
        <v>93.66666666666667</v>
      </c>
      <c r="AO51" s="36" t="n">
        <v>140.5</v>
      </c>
      <c r="AP51" s="36" t="n">
        <v>281</v>
      </c>
    </row>
    <row r="52">
      <c r="A52" s="5" t="inlineStr">
        <is>
          <t>P46</t>
        </is>
      </c>
      <c r="B52" s="5" t="inlineStr">
        <is>
          <t>Karitel</t>
        </is>
      </c>
      <c r="C52" s="36" t="n">
        <v>6.37</v>
      </c>
      <c r="D52" s="36" t="n">
        <v>6.705263157894738</v>
      </c>
      <c r="E52" s="36" t="n">
        <v>7.077777777777778</v>
      </c>
      <c r="F52" s="36" t="n">
        <v>7.494117647058824</v>
      </c>
      <c r="G52" s="36" t="n">
        <v>7.962499999999999</v>
      </c>
      <c r="H52" s="36" t="n">
        <v>8.493333333333334</v>
      </c>
      <c r="I52" s="36" t="n">
        <v>9.100000000000001</v>
      </c>
      <c r="J52" s="36" t="n">
        <v>9.800000000000001</v>
      </c>
      <c r="K52" s="36" t="n">
        <v>10.61666666666667</v>
      </c>
      <c r="L52" s="36" t="n">
        <v>11.58181818181818</v>
      </c>
      <c r="M52" s="36" t="n">
        <v>12.74</v>
      </c>
      <c r="N52" s="36" t="n">
        <v>14.15555555555556</v>
      </c>
      <c r="O52" s="36" t="n">
        <v>15.925</v>
      </c>
      <c r="P52" s="36" t="n">
        <v>18.2</v>
      </c>
      <c r="Q52" s="36" t="n">
        <v>21.23333333333333</v>
      </c>
      <c r="R52" s="36" t="n">
        <v>25.48</v>
      </c>
      <c r="S52" s="36" t="n">
        <v>31.85</v>
      </c>
      <c r="T52" s="36" t="n">
        <v>42.46666666666667</v>
      </c>
      <c r="U52" s="36" t="n">
        <v>63.7</v>
      </c>
      <c r="V52" s="36" t="n">
        <v>127.4</v>
      </c>
      <c r="W52" s="36" t="n">
        <v>16.05</v>
      </c>
      <c r="X52" s="36" t="n">
        <v>16.89473684210526</v>
      </c>
      <c r="Y52" s="36" t="n">
        <v>17.83333333333333</v>
      </c>
      <c r="Z52" s="36" t="n">
        <v>18.88235294117647</v>
      </c>
      <c r="AA52" s="36" t="n">
        <v>20.0625</v>
      </c>
      <c r="AB52" s="36" t="n">
        <v>21.4</v>
      </c>
      <c r="AC52" s="36" t="n">
        <v>22.92857142857143</v>
      </c>
      <c r="AD52" s="36" t="n">
        <v>24.69230769230769</v>
      </c>
      <c r="AE52" s="36" t="n">
        <v>26.75</v>
      </c>
      <c r="AF52" s="36" t="n">
        <v>29.18181818181818</v>
      </c>
      <c r="AG52" s="36" t="n">
        <v>32.1</v>
      </c>
      <c r="AH52" s="36" t="n">
        <v>35.66666666666666</v>
      </c>
      <c r="AI52" s="36" t="n">
        <v>40.125</v>
      </c>
      <c r="AJ52" s="36" t="n">
        <v>45.85714285714286</v>
      </c>
      <c r="AK52" s="36" t="n">
        <v>53.50000000000001</v>
      </c>
      <c r="AL52" s="36" t="n">
        <v>64.2</v>
      </c>
      <c r="AM52" s="36" t="n">
        <v>80.25</v>
      </c>
      <c r="AN52" s="36" t="n">
        <v>107</v>
      </c>
      <c r="AO52" s="36" t="n">
        <v>160.5</v>
      </c>
      <c r="AP52" s="36" t="n">
        <v>321</v>
      </c>
    </row>
    <row r="53">
      <c r="A53" s="5" t="inlineStr">
        <is>
          <t>P47</t>
        </is>
      </c>
      <c r="B53" s="5" t="inlineStr">
        <is>
          <t>Karitel</t>
        </is>
      </c>
      <c r="C53" s="36" t="n">
        <v>7.07</v>
      </c>
      <c r="D53" s="36" t="n">
        <v>7.442105263157895</v>
      </c>
      <c r="E53" s="36" t="n">
        <v>7.855555555555556</v>
      </c>
      <c r="F53" s="36" t="n">
        <v>8.31764705882353</v>
      </c>
      <c r="G53" s="36" t="n">
        <v>8.8375</v>
      </c>
      <c r="H53" s="36" t="n">
        <v>9.426666666666668</v>
      </c>
      <c r="I53" s="36" t="n">
        <v>10.1</v>
      </c>
      <c r="J53" s="36" t="n">
        <v>10.87692307692308</v>
      </c>
      <c r="K53" s="36" t="n">
        <v>11.78333333333333</v>
      </c>
      <c r="L53" s="36" t="n">
        <v>12.85454545454545</v>
      </c>
      <c r="M53" s="36" t="n">
        <v>14.14</v>
      </c>
      <c r="N53" s="36" t="n">
        <v>15.71111111111111</v>
      </c>
      <c r="O53" s="36" t="n">
        <v>17.675</v>
      </c>
      <c r="P53" s="36" t="n">
        <v>20.2</v>
      </c>
      <c r="Q53" s="36" t="n">
        <v>23.56666666666667</v>
      </c>
      <c r="R53" s="36" t="n">
        <v>28.28</v>
      </c>
      <c r="S53" s="36" t="n">
        <v>35.35</v>
      </c>
      <c r="T53" s="36" t="n">
        <v>47.13333333333334</v>
      </c>
      <c r="U53" s="36" t="n">
        <v>70.7</v>
      </c>
      <c r="V53" s="36" t="n">
        <v>141.4</v>
      </c>
      <c r="W53" s="36" t="n">
        <v>16.05</v>
      </c>
      <c r="X53" s="36" t="n">
        <v>16.89473684210526</v>
      </c>
      <c r="Y53" s="36" t="n">
        <v>17.83333333333333</v>
      </c>
      <c r="Z53" s="36" t="n">
        <v>18.88235294117647</v>
      </c>
      <c r="AA53" s="36" t="n">
        <v>20.0625</v>
      </c>
      <c r="AB53" s="36" t="n">
        <v>21.4</v>
      </c>
      <c r="AC53" s="36" t="n">
        <v>22.92857142857143</v>
      </c>
      <c r="AD53" s="36" t="n">
        <v>24.69230769230769</v>
      </c>
      <c r="AE53" s="36" t="n">
        <v>26.75</v>
      </c>
      <c r="AF53" s="36" t="n">
        <v>29.18181818181818</v>
      </c>
      <c r="AG53" s="36" t="n">
        <v>32.1</v>
      </c>
      <c r="AH53" s="36" t="n">
        <v>35.66666666666666</v>
      </c>
      <c r="AI53" s="36" t="n">
        <v>40.125</v>
      </c>
      <c r="AJ53" s="36" t="n">
        <v>45.85714285714286</v>
      </c>
      <c r="AK53" s="36" t="n">
        <v>53.50000000000001</v>
      </c>
      <c r="AL53" s="36" t="n">
        <v>64.2</v>
      </c>
      <c r="AM53" s="36" t="n">
        <v>80.25</v>
      </c>
      <c r="AN53" s="36" t="n">
        <v>107</v>
      </c>
      <c r="AO53" s="36" t="n">
        <v>160.5</v>
      </c>
      <c r="AP53" s="36" t="n">
        <v>321</v>
      </c>
    </row>
    <row r="54">
      <c r="A54" s="5" t="inlineStr">
        <is>
          <t>P48</t>
        </is>
      </c>
      <c r="B54" s="5" t="inlineStr">
        <is>
          <t>Karitel</t>
        </is>
      </c>
      <c r="C54" s="36" t="n">
        <v>6.8</v>
      </c>
      <c r="D54" s="36" t="n">
        <v>7.157894736842105</v>
      </c>
      <c r="E54" s="36" t="n">
        <v>7.555555555555555</v>
      </c>
      <c r="F54" s="36" t="n">
        <v>8</v>
      </c>
      <c r="G54" s="36" t="n">
        <v>8.5</v>
      </c>
      <c r="H54" s="36" t="n">
        <v>9.066666666666666</v>
      </c>
      <c r="I54" s="36" t="n">
        <v>9.714285714285715</v>
      </c>
      <c r="J54" s="36" t="n">
        <v>10.46153846153846</v>
      </c>
      <c r="K54" s="36" t="n">
        <v>11.33333333333333</v>
      </c>
      <c r="L54" s="36" t="n">
        <v>12.36363636363636</v>
      </c>
      <c r="M54" s="36" t="n">
        <v>13.6</v>
      </c>
      <c r="N54" s="36" t="n">
        <v>15.11111111111111</v>
      </c>
      <c r="O54" s="36" t="n">
        <v>17</v>
      </c>
      <c r="P54" s="36" t="n">
        <v>19.42857142857143</v>
      </c>
      <c r="Q54" s="36" t="n">
        <v>22.66666666666667</v>
      </c>
      <c r="R54" s="36" t="n">
        <v>27.2</v>
      </c>
      <c r="S54" s="36" t="n">
        <v>34</v>
      </c>
      <c r="T54" s="36" t="n">
        <v>45.33333333333334</v>
      </c>
      <c r="U54" s="36" t="n">
        <v>68</v>
      </c>
      <c r="V54" s="36" t="n">
        <v>136</v>
      </c>
      <c r="W54" s="36" t="n">
        <v>16.05</v>
      </c>
      <c r="X54" s="36" t="n">
        <v>16.89473684210526</v>
      </c>
      <c r="Y54" s="36" t="n">
        <v>17.83333333333333</v>
      </c>
      <c r="Z54" s="36" t="n">
        <v>18.88235294117647</v>
      </c>
      <c r="AA54" s="36" t="n">
        <v>20.0625</v>
      </c>
      <c r="AB54" s="36" t="n">
        <v>21.4</v>
      </c>
      <c r="AC54" s="36" t="n">
        <v>22.92857142857143</v>
      </c>
      <c r="AD54" s="36" t="n">
        <v>24.69230769230769</v>
      </c>
      <c r="AE54" s="36" t="n">
        <v>26.75</v>
      </c>
      <c r="AF54" s="36" t="n">
        <v>29.18181818181818</v>
      </c>
      <c r="AG54" s="36" t="n">
        <v>32.1</v>
      </c>
      <c r="AH54" s="36" t="n">
        <v>35.66666666666666</v>
      </c>
      <c r="AI54" s="36" t="n">
        <v>40.125</v>
      </c>
      <c r="AJ54" s="36" t="n">
        <v>45.85714285714286</v>
      </c>
      <c r="AK54" s="36" t="n">
        <v>53.50000000000001</v>
      </c>
      <c r="AL54" s="36" t="n">
        <v>64.2</v>
      </c>
      <c r="AM54" s="36" t="n">
        <v>80.25</v>
      </c>
      <c r="AN54" s="36" t="n">
        <v>107</v>
      </c>
      <c r="AO54" s="36" t="n">
        <v>160.5</v>
      </c>
      <c r="AP54" s="36" t="n">
        <v>321</v>
      </c>
    </row>
    <row r="55">
      <c r="A55" s="5" t="inlineStr">
        <is>
          <t>P49</t>
        </is>
      </c>
      <c r="B55" s="5" t="inlineStr">
        <is>
          <t>Karitel</t>
        </is>
      </c>
      <c r="C55" s="36" t="n">
        <v>6.72</v>
      </c>
      <c r="D55" s="36" t="n">
        <v>7.073684210526316</v>
      </c>
      <c r="E55" s="36" t="n">
        <v>7.466666666666666</v>
      </c>
      <c r="F55" s="36" t="n">
        <v>7.905882352941177</v>
      </c>
      <c r="G55" s="36" t="n">
        <v>8.399999999999999</v>
      </c>
      <c r="H55" s="36" t="n">
        <v>8.959999999999999</v>
      </c>
      <c r="I55" s="36" t="n">
        <v>9.6</v>
      </c>
      <c r="J55" s="36" t="n">
        <v>10.33846153846154</v>
      </c>
      <c r="K55" s="36" t="n">
        <v>11.2</v>
      </c>
      <c r="L55" s="36" t="n">
        <v>12.21818181818182</v>
      </c>
      <c r="M55" s="36" t="n">
        <v>13.44</v>
      </c>
      <c r="N55" s="36" t="n">
        <v>14.93333333333333</v>
      </c>
      <c r="O55" s="36" t="n">
        <v>16.8</v>
      </c>
      <c r="P55" s="36" t="n">
        <v>19.2</v>
      </c>
      <c r="Q55" s="36" t="n">
        <v>22.4</v>
      </c>
      <c r="R55" s="36" t="n">
        <v>26.88</v>
      </c>
      <c r="S55" s="36" t="n">
        <v>33.59999999999999</v>
      </c>
      <c r="T55" s="36" t="n">
        <v>44.8</v>
      </c>
      <c r="U55" s="36" t="n">
        <v>67.19999999999999</v>
      </c>
      <c r="V55" s="36" t="n">
        <v>134.4</v>
      </c>
      <c r="W55" s="36" t="n">
        <v>14.1</v>
      </c>
      <c r="X55" s="36" t="n">
        <v>14.8421052631579</v>
      </c>
      <c r="Y55" s="36" t="n">
        <v>15.66666666666667</v>
      </c>
      <c r="Z55" s="36" t="n">
        <v>16.58823529411765</v>
      </c>
      <c r="AA55" s="36" t="n">
        <v>17.625</v>
      </c>
      <c r="AB55" s="36" t="n">
        <v>18.8</v>
      </c>
      <c r="AC55" s="36" t="n">
        <v>20.14285714285714</v>
      </c>
      <c r="AD55" s="36" t="n">
        <v>21.69230769230769</v>
      </c>
      <c r="AE55" s="36" t="n">
        <v>23.5</v>
      </c>
      <c r="AF55" s="36" t="n">
        <v>25.63636363636363</v>
      </c>
      <c r="AG55" s="36" t="n">
        <v>28.2</v>
      </c>
      <c r="AH55" s="36" t="n">
        <v>31.33333333333333</v>
      </c>
      <c r="AI55" s="36" t="n">
        <v>35.25</v>
      </c>
      <c r="AJ55" s="36" t="n">
        <v>40.28571428571428</v>
      </c>
      <c r="AK55" s="36" t="n">
        <v>47</v>
      </c>
      <c r="AL55" s="36" t="n">
        <v>56.39999999999999</v>
      </c>
      <c r="AM55" s="36" t="n">
        <v>70.5</v>
      </c>
      <c r="AN55" s="36" t="n">
        <v>93.99999999999999</v>
      </c>
      <c r="AO55" s="36" t="n">
        <v>141</v>
      </c>
      <c r="AP55" s="36" t="n">
        <v>281.9999999999999</v>
      </c>
    </row>
    <row r="56">
      <c r="A56" s="5" t="inlineStr">
        <is>
          <t>P50</t>
        </is>
      </c>
      <c r="B56" s="5" t="inlineStr">
        <is>
          <t>Karitel</t>
        </is>
      </c>
      <c r="C56" s="36" t="n">
        <v>6.18</v>
      </c>
      <c r="D56" s="36" t="n">
        <v>6.505263157894737</v>
      </c>
      <c r="E56" s="36" t="n">
        <v>6.866666666666666</v>
      </c>
      <c r="F56" s="36" t="n">
        <v>7.270588235294118</v>
      </c>
      <c r="G56" s="36" t="n">
        <v>7.725</v>
      </c>
      <c r="H56" s="36" t="n">
        <v>8.24</v>
      </c>
      <c r="I56" s="36" t="n">
        <v>8.828571428571429</v>
      </c>
      <c r="J56" s="36" t="n">
        <v>9.507692307692308</v>
      </c>
      <c r="K56" s="36" t="n">
        <v>10.3</v>
      </c>
      <c r="L56" s="36" t="n">
        <v>11.23636363636363</v>
      </c>
      <c r="M56" s="36" t="n">
        <v>12.36</v>
      </c>
      <c r="N56" s="36" t="n">
        <v>13.73333333333333</v>
      </c>
      <c r="O56" s="36" t="n">
        <v>15.45</v>
      </c>
      <c r="P56" s="36" t="n">
        <v>17.65714285714286</v>
      </c>
      <c r="Q56" s="36" t="n">
        <v>20.6</v>
      </c>
      <c r="R56" s="36" t="n">
        <v>24.72</v>
      </c>
      <c r="S56" s="36" t="n">
        <v>30.9</v>
      </c>
      <c r="T56" s="36" t="n">
        <v>41.2</v>
      </c>
      <c r="U56" s="36" t="n">
        <v>61.8</v>
      </c>
      <c r="V56" s="36" t="n">
        <v>123.6</v>
      </c>
      <c r="W56" s="36" t="n">
        <v>13.26</v>
      </c>
      <c r="X56" s="36" t="n">
        <v>13.95789473684211</v>
      </c>
      <c r="Y56" s="36" t="n">
        <v>14.73333333333333</v>
      </c>
      <c r="Z56" s="36" t="n">
        <v>15.6</v>
      </c>
      <c r="AA56" s="36" t="n">
        <v>16.575</v>
      </c>
      <c r="AB56" s="36" t="n">
        <v>17.68</v>
      </c>
      <c r="AC56" s="36" t="n">
        <v>18.94285714285714</v>
      </c>
      <c r="AD56" s="36" t="n">
        <v>20.4</v>
      </c>
      <c r="AE56" s="36" t="n">
        <v>22.1</v>
      </c>
      <c r="AF56" s="36" t="n">
        <v>24.10909090909091</v>
      </c>
      <c r="AG56" s="36" t="n">
        <v>26.52</v>
      </c>
      <c r="AH56" s="36" t="n">
        <v>29.46666666666667</v>
      </c>
      <c r="AI56" s="36" t="n">
        <v>33.15</v>
      </c>
      <c r="AJ56" s="36" t="n">
        <v>37.88571428571429</v>
      </c>
      <c r="AK56" s="36" t="n">
        <v>44.2</v>
      </c>
      <c r="AL56" s="36" t="n">
        <v>53.04</v>
      </c>
      <c r="AM56" s="36" t="n">
        <v>66.3</v>
      </c>
      <c r="AN56" s="36" t="n">
        <v>88.40000000000001</v>
      </c>
      <c r="AO56" s="36" t="n">
        <v>132.6</v>
      </c>
      <c r="AP56" s="36" t="n">
        <v>265.2</v>
      </c>
    </row>
    <row r="57">
      <c r="A57" s="5" t="inlineStr">
        <is>
          <t>P51</t>
        </is>
      </c>
      <c r="B57" s="5" t="inlineStr">
        <is>
          <t>Karitel</t>
        </is>
      </c>
      <c r="C57" s="36" t="n">
        <v>5.995</v>
      </c>
      <c r="D57" s="36" t="n">
        <v>6.310526315789474</v>
      </c>
      <c r="E57" s="36" t="n">
        <v>6.661111111111111</v>
      </c>
      <c r="F57" s="36" t="n">
        <v>7.052941176470589</v>
      </c>
      <c r="G57" s="36" t="n">
        <v>7.493749999999999</v>
      </c>
      <c r="H57" s="36" t="n">
        <v>7.993333333333333</v>
      </c>
      <c r="I57" s="36" t="n">
        <v>8.564285714285715</v>
      </c>
      <c r="J57" s="36" t="n">
        <v>9.223076923076922</v>
      </c>
      <c r="K57" s="36" t="n">
        <v>9.991666666666667</v>
      </c>
      <c r="L57" s="36" t="n">
        <v>10.9</v>
      </c>
      <c r="M57" s="36" t="n">
        <v>11.99</v>
      </c>
      <c r="N57" s="36" t="n">
        <v>13.32222222222222</v>
      </c>
      <c r="O57" s="36" t="n">
        <v>14.9875</v>
      </c>
      <c r="P57" s="36" t="n">
        <v>17.12857142857143</v>
      </c>
      <c r="Q57" s="36" t="n">
        <v>19.98333333333333</v>
      </c>
      <c r="R57" s="36" t="n">
        <v>23.98</v>
      </c>
      <c r="S57" s="36" t="n">
        <v>29.975</v>
      </c>
      <c r="T57" s="36" t="n">
        <v>39.96666666666667</v>
      </c>
      <c r="U57" s="36" t="n">
        <v>59.95</v>
      </c>
      <c r="V57" s="36" t="n">
        <v>119.9</v>
      </c>
      <c r="W57" s="36" t="n">
        <v>13.26</v>
      </c>
      <c r="X57" s="36" t="n">
        <v>13.95789473684211</v>
      </c>
      <c r="Y57" s="36" t="n">
        <v>14.73333333333333</v>
      </c>
      <c r="Z57" s="36" t="n">
        <v>15.6</v>
      </c>
      <c r="AA57" s="36" t="n">
        <v>16.575</v>
      </c>
      <c r="AB57" s="36" t="n">
        <v>17.68</v>
      </c>
      <c r="AC57" s="36" t="n">
        <v>18.94285714285714</v>
      </c>
      <c r="AD57" s="36" t="n">
        <v>20.4</v>
      </c>
      <c r="AE57" s="36" t="n">
        <v>22.1</v>
      </c>
      <c r="AF57" s="36" t="n">
        <v>24.10909090909091</v>
      </c>
      <c r="AG57" s="36" t="n">
        <v>26.52</v>
      </c>
      <c r="AH57" s="36" t="n">
        <v>29.46666666666667</v>
      </c>
      <c r="AI57" s="36" t="n">
        <v>33.15</v>
      </c>
      <c r="AJ57" s="36" t="n">
        <v>37.88571428571429</v>
      </c>
      <c r="AK57" s="36" t="n">
        <v>44.2</v>
      </c>
      <c r="AL57" s="36" t="n">
        <v>53.04</v>
      </c>
      <c r="AM57" s="36" t="n">
        <v>66.3</v>
      </c>
      <c r="AN57" s="36" t="n">
        <v>88.40000000000001</v>
      </c>
      <c r="AO57" s="36" t="n">
        <v>132.6</v>
      </c>
      <c r="AP57" s="36" t="n">
        <v>265.2</v>
      </c>
    </row>
    <row r="58">
      <c r="A58" s="5" t="inlineStr">
        <is>
          <t>P52</t>
        </is>
      </c>
      <c r="B58" s="5" t="inlineStr">
        <is>
          <t>Karitel</t>
        </is>
      </c>
      <c r="C58" s="36" t="n">
        <v>6.435</v>
      </c>
      <c r="D58" s="36" t="n">
        <v>6.773684210526316</v>
      </c>
      <c r="E58" s="36" t="n">
        <v>7.149999999999999</v>
      </c>
      <c r="F58" s="36" t="n">
        <v>7.570588235294117</v>
      </c>
      <c r="G58" s="36" t="n">
        <v>8.043749999999999</v>
      </c>
      <c r="H58" s="36" t="n">
        <v>8.58</v>
      </c>
      <c r="I58" s="36" t="n">
        <v>9.192857142857143</v>
      </c>
      <c r="J58" s="36" t="n">
        <v>9.899999999999999</v>
      </c>
      <c r="K58" s="36" t="n">
        <v>10.725</v>
      </c>
      <c r="L58" s="36" t="n">
        <v>11.7</v>
      </c>
      <c r="M58" s="36" t="n">
        <v>12.87</v>
      </c>
      <c r="N58" s="36" t="n">
        <v>14.3</v>
      </c>
      <c r="O58" s="36" t="n">
        <v>16.0875</v>
      </c>
      <c r="P58" s="36" t="n">
        <v>18.38571428571429</v>
      </c>
      <c r="Q58" s="36" t="n">
        <v>21.45</v>
      </c>
      <c r="R58" s="36" t="n">
        <v>25.74</v>
      </c>
      <c r="S58" s="36" t="n">
        <v>32.175</v>
      </c>
      <c r="T58" s="36" t="n">
        <v>42.9</v>
      </c>
      <c r="U58" s="36" t="n">
        <v>64.34999999999999</v>
      </c>
      <c r="V58" s="36" t="n">
        <v>128.7</v>
      </c>
      <c r="W58" s="36" t="n">
        <v>16.05</v>
      </c>
      <c r="X58" s="36" t="n">
        <v>16.89473684210526</v>
      </c>
      <c r="Y58" s="36" t="n">
        <v>17.83333333333333</v>
      </c>
      <c r="Z58" s="36" t="n">
        <v>18.88235294117647</v>
      </c>
      <c r="AA58" s="36" t="n">
        <v>20.0625</v>
      </c>
      <c r="AB58" s="36" t="n">
        <v>21.4</v>
      </c>
      <c r="AC58" s="36" t="n">
        <v>22.92857142857143</v>
      </c>
      <c r="AD58" s="36" t="n">
        <v>24.69230769230769</v>
      </c>
      <c r="AE58" s="36" t="n">
        <v>26.75</v>
      </c>
      <c r="AF58" s="36" t="n">
        <v>29.18181818181818</v>
      </c>
      <c r="AG58" s="36" t="n">
        <v>32.1</v>
      </c>
      <c r="AH58" s="36" t="n">
        <v>35.66666666666666</v>
      </c>
      <c r="AI58" s="36" t="n">
        <v>40.125</v>
      </c>
      <c r="AJ58" s="36" t="n">
        <v>45.85714285714286</v>
      </c>
      <c r="AK58" s="36" t="n">
        <v>53.50000000000001</v>
      </c>
      <c r="AL58" s="36" t="n">
        <v>64.2</v>
      </c>
      <c r="AM58" s="36" t="n">
        <v>80.25</v>
      </c>
      <c r="AN58" s="36" t="n">
        <v>107</v>
      </c>
      <c r="AO58" s="36" t="n">
        <v>160.5</v>
      </c>
      <c r="AP58" s="36" t="n">
        <v>321</v>
      </c>
    </row>
    <row r="59">
      <c r="A59" s="5" t="inlineStr">
        <is>
          <t>P53</t>
        </is>
      </c>
      <c r="B59" s="5" t="inlineStr">
        <is>
          <t>Karitel</t>
        </is>
      </c>
      <c r="C59" s="36" t="n">
        <v>5.04</v>
      </c>
      <c r="D59" s="36" t="n">
        <v>5.305263157894737</v>
      </c>
      <c r="E59" s="36" t="n">
        <v>5.6</v>
      </c>
      <c r="F59" s="36" t="n">
        <v>5.929411764705883</v>
      </c>
      <c r="G59" s="36" t="n">
        <v>6.3</v>
      </c>
      <c r="H59" s="36" t="n">
        <v>6.72</v>
      </c>
      <c r="I59" s="36" t="n">
        <v>7.2</v>
      </c>
      <c r="J59" s="36" t="n">
        <v>7.753846153846154</v>
      </c>
      <c r="K59" s="36" t="n">
        <v>8.4</v>
      </c>
      <c r="L59" s="36" t="n">
        <v>9.163636363636362</v>
      </c>
      <c r="M59" s="36" t="n">
        <v>10.08</v>
      </c>
      <c r="N59" s="36" t="n">
        <v>11.2</v>
      </c>
      <c r="O59" s="36" t="n">
        <v>12.6</v>
      </c>
      <c r="P59" s="36" t="n">
        <v>14.4</v>
      </c>
      <c r="Q59" s="36" t="n">
        <v>16.8</v>
      </c>
      <c r="R59" s="36" t="n">
        <v>20.16</v>
      </c>
      <c r="S59" s="36" t="n">
        <v>25.2</v>
      </c>
      <c r="T59" s="36" t="n">
        <v>33.6</v>
      </c>
      <c r="U59" s="36" t="n">
        <v>50.4</v>
      </c>
      <c r="V59" s="36" t="n">
        <v>100.8</v>
      </c>
      <c r="W59" s="36" t="n">
        <v>10.94</v>
      </c>
      <c r="X59" s="36" t="n">
        <v>11.51578947368421</v>
      </c>
      <c r="Y59" s="36" t="n">
        <v>12.15555555555556</v>
      </c>
      <c r="Z59" s="36" t="n">
        <v>12.87058823529412</v>
      </c>
      <c r="AA59" s="36" t="n">
        <v>13.675</v>
      </c>
      <c r="AB59" s="36" t="n">
        <v>14.58666666666667</v>
      </c>
      <c r="AC59" s="36" t="n">
        <v>15.62857142857143</v>
      </c>
      <c r="AD59" s="36" t="n">
        <v>16.83076923076923</v>
      </c>
      <c r="AE59" s="36" t="n">
        <v>18.23333333333333</v>
      </c>
      <c r="AF59" s="36" t="n">
        <v>19.89090909090909</v>
      </c>
      <c r="AG59" s="36" t="n">
        <v>21.88</v>
      </c>
      <c r="AH59" s="36" t="n">
        <v>24.31111111111111</v>
      </c>
      <c r="AI59" s="36" t="n">
        <v>27.35</v>
      </c>
      <c r="AJ59" s="36" t="n">
        <v>31.25714285714286</v>
      </c>
      <c r="AK59" s="36" t="n">
        <v>36.46666666666667</v>
      </c>
      <c r="AL59" s="36" t="n">
        <v>43.76</v>
      </c>
      <c r="AM59" s="36" t="n">
        <v>54.7</v>
      </c>
      <c r="AN59" s="36" t="n">
        <v>72.93333333333334</v>
      </c>
      <c r="AO59" s="36" t="n">
        <v>109.4</v>
      </c>
      <c r="AP59" s="36" t="n">
        <v>218.8</v>
      </c>
    </row>
    <row r="60">
      <c r="A60" s="5" t="inlineStr">
        <is>
          <t>P54</t>
        </is>
      </c>
      <c r="B60" s="5" t="inlineStr">
        <is>
          <t>Karitel</t>
        </is>
      </c>
      <c r="C60" s="36" t="n">
        <v>5.9</v>
      </c>
      <c r="D60" s="36" t="n">
        <v>6.210526315789474</v>
      </c>
      <c r="E60" s="36" t="n">
        <v>6.555555555555555</v>
      </c>
      <c r="F60" s="36" t="n">
        <v>6.941176470588236</v>
      </c>
      <c r="G60" s="36" t="n">
        <v>7.375</v>
      </c>
      <c r="H60" s="36" t="n">
        <v>7.866666666666667</v>
      </c>
      <c r="I60" s="36" t="n">
        <v>8.428571428571429</v>
      </c>
      <c r="J60" s="36" t="n">
        <v>9.076923076923077</v>
      </c>
      <c r="K60" s="36" t="n">
        <v>9.833333333333334</v>
      </c>
      <c r="L60" s="36" t="n">
        <v>10.72727272727273</v>
      </c>
      <c r="M60" s="36" t="n">
        <v>11.8</v>
      </c>
      <c r="N60" s="36" t="n">
        <v>13.11111111111111</v>
      </c>
      <c r="O60" s="36" t="n">
        <v>14.75</v>
      </c>
      <c r="P60" s="36" t="n">
        <v>16.85714285714286</v>
      </c>
      <c r="Q60" s="36" t="n">
        <v>19.66666666666667</v>
      </c>
      <c r="R60" s="36" t="n">
        <v>23.6</v>
      </c>
      <c r="S60" s="36" t="n">
        <v>29.5</v>
      </c>
      <c r="T60" s="36" t="n">
        <v>39.33333333333334</v>
      </c>
      <c r="U60" s="36" t="n">
        <v>59</v>
      </c>
      <c r="V60" s="36" t="n">
        <v>118</v>
      </c>
      <c r="W60" s="36" t="n">
        <v>13.57</v>
      </c>
      <c r="X60" s="36" t="n">
        <v>14.28421052631579</v>
      </c>
      <c r="Y60" s="36" t="n">
        <v>15.07777777777778</v>
      </c>
      <c r="Z60" s="36" t="n">
        <v>15.96470588235294</v>
      </c>
      <c r="AA60" s="36" t="n">
        <v>16.9625</v>
      </c>
      <c r="AB60" s="36" t="n">
        <v>18.09333333333333</v>
      </c>
      <c r="AC60" s="36" t="n">
        <v>19.38571428571429</v>
      </c>
      <c r="AD60" s="36" t="n">
        <v>20.87692307692308</v>
      </c>
      <c r="AE60" s="36" t="n">
        <v>22.61666666666667</v>
      </c>
      <c r="AF60" s="36" t="n">
        <v>24.67272727272727</v>
      </c>
      <c r="AG60" s="36" t="n">
        <v>27.14</v>
      </c>
      <c r="AH60" s="36" t="n">
        <v>30.15555555555556</v>
      </c>
      <c r="AI60" s="36" t="n">
        <v>33.925</v>
      </c>
      <c r="AJ60" s="36" t="n">
        <v>38.77142857142857</v>
      </c>
      <c r="AK60" s="36" t="n">
        <v>45.23333333333333</v>
      </c>
      <c r="AL60" s="36" t="n">
        <v>54.28</v>
      </c>
      <c r="AM60" s="36" t="n">
        <v>67.84999999999999</v>
      </c>
      <c r="AN60" s="36" t="n">
        <v>90.46666666666667</v>
      </c>
      <c r="AO60" s="36" t="n">
        <v>135.7</v>
      </c>
      <c r="AP60" s="36" t="n">
        <v>271.4</v>
      </c>
    </row>
    <row r="61">
      <c r="A61" s="5" t="inlineStr">
        <is>
          <t>P55</t>
        </is>
      </c>
      <c r="B61" s="5" t="inlineStr">
        <is>
          <t>Karitel</t>
        </is>
      </c>
      <c r="C61" s="36" t="n">
        <v>6.42</v>
      </c>
      <c r="D61" s="36" t="n">
        <v>6.757894736842106</v>
      </c>
      <c r="E61" s="36" t="n">
        <v>7.133333333333333</v>
      </c>
      <c r="F61" s="36" t="n">
        <v>7.552941176470588</v>
      </c>
      <c r="G61" s="36" t="n">
        <v>8.024999999999999</v>
      </c>
      <c r="H61" s="36" t="n">
        <v>8.56</v>
      </c>
      <c r="I61" s="36" t="n">
        <v>9.171428571428573</v>
      </c>
      <c r="J61" s="36" t="n">
        <v>9.876923076923077</v>
      </c>
      <c r="K61" s="36" t="n">
        <v>10.7</v>
      </c>
      <c r="L61" s="36" t="n">
        <v>11.67272727272727</v>
      </c>
      <c r="M61" s="36" t="n">
        <v>12.84</v>
      </c>
      <c r="N61" s="36" t="n">
        <v>14.26666666666667</v>
      </c>
      <c r="O61" s="36" t="n">
        <v>16.05</v>
      </c>
      <c r="P61" s="36" t="n">
        <v>18.34285714285715</v>
      </c>
      <c r="Q61" s="36" t="n">
        <v>21.4</v>
      </c>
      <c r="R61" s="36" t="n">
        <v>25.68</v>
      </c>
      <c r="S61" s="36" t="n">
        <v>32.09999999999999</v>
      </c>
      <c r="T61" s="36" t="n">
        <v>42.8</v>
      </c>
      <c r="U61" s="36" t="n">
        <v>64.19999999999999</v>
      </c>
      <c r="V61" s="36" t="n">
        <v>128.4</v>
      </c>
      <c r="W61" s="36" t="n">
        <v>15.11</v>
      </c>
      <c r="X61" s="36" t="n">
        <v>15.90526315789474</v>
      </c>
      <c r="Y61" s="36" t="n">
        <v>16.78888888888889</v>
      </c>
      <c r="Z61" s="36" t="n">
        <v>17.77647058823529</v>
      </c>
      <c r="AA61" s="36" t="n">
        <v>18.8875</v>
      </c>
      <c r="AB61" s="36" t="n">
        <v>20.14666666666666</v>
      </c>
      <c r="AC61" s="36" t="n">
        <v>21.58571428571429</v>
      </c>
      <c r="AD61" s="36" t="n">
        <v>23.24615384615385</v>
      </c>
      <c r="AE61" s="36" t="n">
        <v>25.18333333333333</v>
      </c>
      <c r="AF61" s="36" t="n">
        <v>27.47272727272727</v>
      </c>
      <c r="AG61" s="36" t="n">
        <v>30.22</v>
      </c>
      <c r="AH61" s="36" t="n">
        <v>33.57777777777778</v>
      </c>
      <c r="AI61" s="36" t="n">
        <v>37.775</v>
      </c>
      <c r="AJ61" s="36" t="n">
        <v>43.17142857142857</v>
      </c>
      <c r="AK61" s="36" t="n">
        <v>50.36666666666667</v>
      </c>
      <c r="AL61" s="36" t="n">
        <v>60.44</v>
      </c>
      <c r="AM61" s="36" t="n">
        <v>75.55</v>
      </c>
      <c r="AN61" s="36" t="n">
        <v>100.7333333333333</v>
      </c>
      <c r="AO61" s="36" t="n">
        <v>151.1</v>
      </c>
      <c r="AP61" s="36" t="n">
        <v>302.2</v>
      </c>
    </row>
    <row r="62">
      <c r="A62" s="5" t="inlineStr">
        <is>
          <t>P56</t>
        </is>
      </c>
      <c r="B62" s="5" t="inlineStr">
        <is>
          <t>Karitel</t>
        </is>
      </c>
      <c r="C62" s="36" t="n">
        <v>5.775</v>
      </c>
      <c r="D62" s="36" t="n">
        <v>6.078947368421053</v>
      </c>
      <c r="E62" s="36" t="n">
        <v>6.416666666666667</v>
      </c>
      <c r="F62" s="36" t="n">
        <v>6.794117647058824</v>
      </c>
      <c r="G62" s="36" t="n">
        <v>7.21875</v>
      </c>
      <c r="H62" s="36" t="n">
        <v>7.7</v>
      </c>
      <c r="I62" s="36" t="n">
        <v>8.250000000000002</v>
      </c>
      <c r="J62" s="36" t="n">
        <v>8.884615384615385</v>
      </c>
      <c r="K62" s="36" t="n">
        <v>9.625000000000002</v>
      </c>
      <c r="L62" s="36" t="n">
        <v>10.5</v>
      </c>
      <c r="M62" s="36" t="n">
        <v>11.55</v>
      </c>
      <c r="N62" s="36" t="n">
        <v>12.83333333333333</v>
      </c>
      <c r="O62" s="36" t="n">
        <v>14.4375</v>
      </c>
      <c r="P62" s="36" t="n">
        <v>16.5</v>
      </c>
      <c r="Q62" s="36" t="n">
        <v>19.25</v>
      </c>
      <c r="R62" s="36" t="n">
        <v>23.1</v>
      </c>
      <c r="S62" s="36" t="n">
        <v>28.875</v>
      </c>
      <c r="T62" s="36" t="n">
        <v>38.50000000000001</v>
      </c>
      <c r="U62" s="36" t="n">
        <v>57.75</v>
      </c>
      <c r="V62" s="36" t="n">
        <v>115.5</v>
      </c>
      <c r="W62" s="36" t="n">
        <v>15.57</v>
      </c>
      <c r="X62" s="36" t="n">
        <v>16.38947368421053</v>
      </c>
      <c r="Y62" s="36" t="n">
        <v>17.3</v>
      </c>
      <c r="Z62" s="36" t="n">
        <v>18.31764705882353</v>
      </c>
      <c r="AA62" s="36" t="n">
        <v>19.4625</v>
      </c>
      <c r="AB62" s="36" t="n">
        <v>20.76</v>
      </c>
      <c r="AC62" s="36" t="n">
        <v>22.24285714285714</v>
      </c>
      <c r="AD62" s="36" t="n">
        <v>23.95384615384615</v>
      </c>
      <c r="AE62" s="36" t="n">
        <v>25.95</v>
      </c>
      <c r="AF62" s="36" t="n">
        <v>28.30909090909091</v>
      </c>
      <c r="AG62" s="36" t="n">
        <v>31.14</v>
      </c>
      <c r="AH62" s="36" t="n">
        <v>34.6</v>
      </c>
      <c r="AI62" s="36" t="n">
        <v>38.925</v>
      </c>
      <c r="AJ62" s="36" t="n">
        <v>44.48571428571429</v>
      </c>
      <c r="AK62" s="36" t="n">
        <v>51.90000000000001</v>
      </c>
      <c r="AL62" s="36" t="n">
        <v>62.28</v>
      </c>
      <c r="AM62" s="36" t="n">
        <v>77.84999999999999</v>
      </c>
      <c r="AN62" s="36" t="n">
        <v>103.8</v>
      </c>
      <c r="AO62" s="36" t="n">
        <v>155.7</v>
      </c>
      <c r="AP62" s="36" t="n">
        <v>311.4</v>
      </c>
    </row>
    <row r="63">
      <c r="A63" s="5" t="inlineStr">
        <is>
          <t>P57</t>
        </is>
      </c>
      <c r="B63" s="5" t="inlineStr">
        <is>
          <t>Karitel</t>
        </is>
      </c>
      <c r="C63" s="36" t="n">
        <v>6.65</v>
      </c>
      <c r="D63" s="36" t="n">
        <v>7.000000000000001</v>
      </c>
      <c r="E63" s="36" t="n">
        <v>7.388888888888889</v>
      </c>
      <c r="F63" s="36" t="n">
        <v>7.823529411764707</v>
      </c>
      <c r="G63" s="36" t="n">
        <v>8.3125</v>
      </c>
      <c r="H63" s="36" t="n">
        <v>8.866666666666667</v>
      </c>
      <c r="I63" s="36" t="n">
        <v>9.500000000000002</v>
      </c>
      <c r="J63" s="36" t="n">
        <v>10.23076923076923</v>
      </c>
      <c r="K63" s="36" t="n">
        <v>11.08333333333333</v>
      </c>
      <c r="L63" s="36" t="n">
        <v>12.09090909090909</v>
      </c>
      <c r="M63" s="36" t="n">
        <v>13.3</v>
      </c>
      <c r="N63" s="36" t="n">
        <v>14.77777777777778</v>
      </c>
      <c r="O63" s="36" t="n">
        <v>16.625</v>
      </c>
      <c r="P63" s="36" t="n">
        <v>19</v>
      </c>
      <c r="Q63" s="36" t="n">
        <v>22.16666666666667</v>
      </c>
      <c r="R63" s="36" t="n">
        <v>26.6</v>
      </c>
      <c r="S63" s="36" t="n">
        <v>33.25</v>
      </c>
      <c r="T63" s="36" t="n">
        <v>44.33333333333334</v>
      </c>
      <c r="U63" s="36" t="n">
        <v>66.5</v>
      </c>
      <c r="V63" s="36" t="n">
        <v>133</v>
      </c>
      <c r="W63" s="36" t="n">
        <v>15.11</v>
      </c>
      <c r="X63" s="36" t="n">
        <v>15.90526315789474</v>
      </c>
      <c r="Y63" s="36" t="n">
        <v>16.78888888888889</v>
      </c>
      <c r="Z63" s="36" t="n">
        <v>17.77647058823529</v>
      </c>
      <c r="AA63" s="36" t="n">
        <v>18.8875</v>
      </c>
      <c r="AB63" s="36" t="n">
        <v>20.14666666666666</v>
      </c>
      <c r="AC63" s="36" t="n">
        <v>21.58571428571429</v>
      </c>
      <c r="AD63" s="36" t="n">
        <v>23.24615384615385</v>
      </c>
      <c r="AE63" s="36" t="n">
        <v>25.18333333333333</v>
      </c>
      <c r="AF63" s="36" t="n">
        <v>27.47272727272727</v>
      </c>
      <c r="AG63" s="36" t="n">
        <v>30.22</v>
      </c>
      <c r="AH63" s="36" t="n">
        <v>33.57777777777778</v>
      </c>
      <c r="AI63" s="36" t="n">
        <v>37.775</v>
      </c>
      <c r="AJ63" s="36" t="n">
        <v>43.17142857142857</v>
      </c>
      <c r="AK63" s="36" t="n">
        <v>50.36666666666667</v>
      </c>
      <c r="AL63" s="36" t="n">
        <v>60.44</v>
      </c>
      <c r="AM63" s="36" t="n">
        <v>75.55</v>
      </c>
      <c r="AN63" s="36" t="n">
        <v>100.7333333333333</v>
      </c>
      <c r="AO63" s="36" t="n">
        <v>151.1</v>
      </c>
      <c r="AP63" s="36" t="n">
        <v>302.2</v>
      </c>
    </row>
    <row r="64">
      <c r="A64" s="5" t="inlineStr">
        <is>
          <t>P58</t>
        </is>
      </c>
      <c r="B64" s="5" t="inlineStr">
        <is>
          <t>Karitel</t>
        </is>
      </c>
      <c r="C64" s="36" t="n">
        <v>6.65</v>
      </c>
      <c r="D64" s="36" t="n">
        <v>7.000000000000001</v>
      </c>
      <c r="E64" s="36" t="n">
        <v>7.388888888888889</v>
      </c>
      <c r="F64" s="36" t="n">
        <v>7.823529411764707</v>
      </c>
      <c r="G64" s="36" t="n">
        <v>8.3125</v>
      </c>
      <c r="H64" s="36" t="n">
        <v>8.866666666666667</v>
      </c>
      <c r="I64" s="36" t="n">
        <v>9.500000000000002</v>
      </c>
      <c r="J64" s="36" t="n">
        <v>10.23076923076923</v>
      </c>
      <c r="K64" s="36" t="n">
        <v>11.08333333333333</v>
      </c>
      <c r="L64" s="36" t="n">
        <v>12.09090909090909</v>
      </c>
      <c r="M64" s="36" t="n">
        <v>13.3</v>
      </c>
      <c r="N64" s="36" t="n">
        <v>14.77777777777778</v>
      </c>
      <c r="O64" s="36" t="n">
        <v>16.625</v>
      </c>
      <c r="P64" s="36" t="n">
        <v>19</v>
      </c>
      <c r="Q64" s="36" t="n">
        <v>22.16666666666667</v>
      </c>
      <c r="R64" s="36" t="n">
        <v>26.6</v>
      </c>
      <c r="S64" s="36" t="n">
        <v>33.25</v>
      </c>
      <c r="T64" s="36" t="n">
        <v>44.33333333333334</v>
      </c>
      <c r="U64" s="36" t="n">
        <v>66.5</v>
      </c>
      <c r="V64" s="36" t="n">
        <v>133</v>
      </c>
      <c r="W64" s="36" t="n">
        <v>15.11</v>
      </c>
      <c r="X64" s="36" t="n">
        <v>15.90526315789474</v>
      </c>
      <c r="Y64" s="36" t="n">
        <v>16.78888888888889</v>
      </c>
      <c r="Z64" s="36" t="n">
        <v>17.77647058823529</v>
      </c>
      <c r="AA64" s="36" t="n">
        <v>18.8875</v>
      </c>
      <c r="AB64" s="36" t="n">
        <v>20.14666666666666</v>
      </c>
      <c r="AC64" s="36" t="n">
        <v>21.58571428571429</v>
      </c>
      <c r="AD64" s="36" t="n">
        <v>23.24615384615385</v>
      </c>
      <c r="AE64" s="36" t="n">
        <v>25.18333333333333</v>
      </c>
      <c r="AF64" s="36" t="n">
        <v>27.47272727272727</v>
      </c>
      <c r="AG64" s="36" t="n">
        <v>30.22</v>
      </c>
      <c r="AH64" s="36" t="n">
        <v>33.57777777777778</v>
      </c>
      <c r="AI64" s="36" t="n">
        <v>37.775</v>
      </c>
      <c r="AJ64" s="36" t="n">
        <v>43.17142857142857</v>
      </c>
      <c r="AK64" s="36" t="n">
        <v>50.36666666666667</v>
      </c>
      <c r="AL64" s="36" t="n">
        <v>60.44</v>
      </c>
      <c r="AM64" s="36" t="n">
        <v>75.55</v>
      </c>
      <c r="AN64" s="36" t="n">
        <v>100.7333333333333</v>
      </c>
      <c r="AO64" s="36" t="n">
        <v>151.1</v>
      </c>
      <c r="AP64" s="36" t="n">
        <v>302.2</v>
      </c>
    </row>
    <row r="65">
      <c r="A65" s="5" t="inlineStr">
        <is>
          <t>P59</t>
        </is>
      </c>
      <c r="B65" s="5" t="inlineStr">
        <is>
          <t>Karitel</t>
        </is>
      </c>
      <c r="C65" s="36" t="n">
        <v>6.16</v>
      </c>
      <c r="D65" s="36" t="n">
        <v>6.48421052631579</v>
      </c>
      <c r="E65" s="36" t="n">
        <v>6.844444444444444</v>
      </c>
      <c r="F65" s="36" t="n">
        <v>7.247058823529412</v>
      </c>
      <c r="G65" s="36" t="n">
        <v>7.7</v>
      </c>
      <c r="H65" s="36" t="n">
        <v>8.213333333333333</v>
      </c>
      <c r="I65" s="36" t="n">
        <v>8.800000000000001</v>
      </c>
      <c r="J65" s="36" t="n">
        <v>9.476923076923077</v>
      </c>
      <c r="K65" s="36" t="n">
        <v>10.26666666666667</v>
      </c>
      <c r="L65" s="36" t="n">
        <v>11.2</v>
      </c>
      <c r="M65" s="36" t="n">
        <v>12.32</v>
      </c>
      <c r="N65" s="36" t="n">
        <v>13.68888888888889</v>
      </c>
      <c r="O65" s="36" t="n">
        <v>15.4</v>
      </c>
      <c r="P65" s="36" t="n">
        <v>17.6</v>
      </c>
      <c r="Q65" s="36" t="n">
        <v>20.53333333333333</v>
      </c>
      <c r="R65" s="36" t="n">
        <v>24.64</v>
      </c>
      <c r="S65" s="36" t="n">
        <v>30.8</v>
      </c>
      <c r="T65" s="36" t="n">
        <v>41.06666666666667</v>
      </c>
      <c r="U65" s="36" t="n">
        <v>61.6</v>
      </c>
      <c r="V65" s="36" t="n">
        <v>123.2</v>
      </c>
      <c r="W65" s="36" t="n">
        <v>14.8</v>
      </c>
      <c r="X65" s="36" t="n">
        <v>15.57894736842105</v>
      </c>
      <c r="Y65" s="36" t="n">
        <v>16.44444444444445</v>
      </c>
      <c r="Z65" s="36" t="n">
        <v>17.41176470588236</v>
      </c>
      <c r="AA65" s="36" t="n">
        <v>18.5</v>
      </c>
      <c r="AB65" s="36" t="n">
        <v>19.73333333333333</v>
      </c>
      <c r="AC65" s="36" t="n">
        <v>21.14285714285715</v>
      </c>
      <c r="AD65" s="36" t="n">
        <v>22.76923076923077</v>
      </c>
      <c r="AE65" s="36" t="n">
        <v>24.66666666666667</v>
      </c>
      <c r="AF65" s="36" t="n">
        <v>26.90909090909091</v>
      </c>
      <c r="AG65" s="36" t="n">
        <v>29.6</v>
      </c>
      <c r="AH65" s="36" t="n">
        <v>32.88888888888889</v>
      </c>
      <c r="AI65" s="36" t="n">
        <v>37</v>
      </c>
      <c r="AJ65" s="36" t="n">
        <v>42.28571428571428</v>
      </c>
      <c r="AK65" s="36" t="n">
        <v>49.33333333333334</v>
      </c>
      <c r="AL65" s="36" t="n">
        <v>59.2</v>
      </c>
      <c r="AM65" s="36" t="n">
        <v>74</v>
      </c>
      <c r="AN65" s="36" t="n">
        <v>98.66666666666666</v>
      </c>
      <c r="AO65" s="36" t="n">
        <v>148</v>
      </c>
      <c r="AP65" s="36" t="n">
        <v>295.9999999999999</v>
      </c>
    </row>
    <row r="66">
      <c r="A66" s="5" t="inlineStr">
        <is>
          <t>P60</t>
        </is>
      </c>
      <c r="B66" s="5" t="inlineStr">
        <is>
          <t>Karitel</t>
        </is>
      </c>
      <c r="C66" s="36" t="n">
        <v>6.37</v>
      </c>
      <c r="D66" s="36" t="n">
        <v>6.705263157894738</v>
      </c>
      <c r="E66" s="36" t="n">
        <v>7.077777777777778</v>
      </c>
      <c r="F66" s="36" t="n">
        <v>7.494117647058824</v>
      </c>
      <c r="G66" s="36" t="n">
        <v>7.962499999999999</v>
      </c>
      <c r="H66" s="36" t="n">
        <v>8.493333333333334</v>
      </c>
      <c r="I66" s="36" t="n">
        <v>9.100000000000001</v>
      </c>
      <c r="J66" s="36" t="n">
        <v>9.800000000000001</v>
      </c>
      <c r="K66" s="36" t="n">
        <v>10.61666666666667</v>
      </c>
      <c r="L66" s="36" t="n">
        <v>11.58181818181818</v>
      </c>
      <c r="M66" s="36" t="n">
        <v>12.74</v>
      </c>
      <c r="N66" s="36" t="n">
        <v>14.15555555555556</v>
      </c>
      <c r="O66" s="36" t="n">
        <v>15.925</v>
      </c>
      <c r="P66" s="36" t="n">
        <v>18.2</v>
      </c>
      <c r="Q66" s="36" t="n">
        <v>21.23333333333333</v>
      </c>
      <c r="R66" s="36" t="n">
        <v>25.48</v>
      </c>
      <c r="S66" s="36" t="n">
        <v>31.85</v>
      </c>
      <c r="T66" s="36" t="n">
        <v>42.46666666666667</v>
      </c>
      <c r="U66" s="36" t="n">
        <v>63.7</v>
      </c>
      <c r="V66" s="36" t="n">
        <v>127.4</v>
      </c>
      <c r="W66" s="36" t="n">
        <v>15.11</v>
      </c>
      <c r="X66" s="36" t="n">
        <v>15.90526315789474</v>
      </c>
      <c r="Y66" s="36" t="n">
        <v>16.78888888888889</v>
      </c>
      <c r="Z66" s="36" t="n">
        <v>17.77647058823529</v>
      </c>
      <c r="AA66" s="36" t="n">
        <v>18.8875</v>
      </c>
      <c r="AB66" s="36" t="n">
        <v>20.14666666666666</v>
      </c>
      <c r="AC66" s="36" t="n">
        <v>21.58571428571429</v>
      </c>
      <c r="AD66" s="36" t="n">
        <v>23.24615384615385</v>
      </c>
      <c r="AE66" s="36" t="n">
        <v>25.18333333333333</v>
      </c>
      <c r="AF66" s="36" t="n">
        <v>27.47272727272727</v>
      </c>
      <c r="AG66" s="36" t="n">
        <v>30.22</v>
      </c>
      <c r="AH66" s="36" t="n">
        <v>33.57777777777778</v>
      </c>
      <c r="AI66" s="36" t="n">
        <v>37.775</v>
      </c>
      <c r="AJ66" s="36" t="n">
        <v>43.17142857142857</v>
      </c>
      <c r="AK66" s="36" t="n">
        <v>50.36666666666667</v>
      </c>
      <c r="AL66" s="36" t="n">
        <v>60.44</v>
      </c>
      <c r="AM66" s="36" t="n">
        <v>75.55</v>
      </c>
      <c r="AN66" s="36" t="n">
        <v>100.7333333333333</v>
      </c>
      <c r="AO66" s="36" t="n">
        <v>151.1</v>
      </c>
      <c r="AP66" s="36" t="n">
        <v>302.2</v>
      </c>
    </row>
    <row r="67">
      <c r="A67" s="5" t="inlineStr">
        <is>
          <t>P61</t>
        </is>
      </c>
      <c r="B67" s="5" t="inlineStr">
        <is>
          <t>Karitel</t>
        </is>
      </c>
      <c r="C67" s="36" t="n">
        <v>6.23</v>
      </c>
      <c r="D67" s="36" t="n">
        <v>6.557894736842106</v>
      </c>
      <c r="E67" s="36" t="n">
        <v>6.922222222222222</v>
      </c>
      <c r="F67" s="36" t="n">
        <v>7.329411764705883</v>
      </c>
      <c r="G67" s="36" t="n">
        <v>7.787500000000001</v>
      </c>
      <c r="H67" s="36" t="n">
        <v>8.306666666666667</v>
      </c>
      <c r="I67" s="36" t="n">
        <v>8.9</v>
      </c>
      <c r="J67" s="36" t="n">
        <v>9.584615384615384</v>
      </c>
      <c r="K67" s="36" t="n">
        <v>10.38333333333333</v>
      </c>
      <c r="L67" s="36" t="n">
        <v>11.32727272727273</v>
      </c>
      <c r="M67" s="36" t="n">
        <v>12.46</v>
      </c>
      <c r="N67" s="36" t="n">
        <v>13.84444444444444</v>
      </c>
      <c r="O67" s="36" t="n">
        <v>15.575</v>
      </c>
      <c r="P67" s="36" t="n">
        <v>17.8</v>
      </c>
      <c r="Q67" s="36" t="n">
        <v>20.76666666666667</v>
      </c>
      <c r="R67" s="36" t="n">
        <v>24.92</v>
      </c>
      <c r="S67" s="36" t="n">
        <v>31.15</v>
      </c>
      <c r="T67" s="36" t="n">
        <v>41.53333333333334</v>
      </c>
      <c r="U67" s="36" t="n">
        <v>62.3</v>
      </c>
      <c r="V67" s="36" t="n">
        <v>124.6</v>
      </c>
      <c r="W67" s="36" t="n">
        <v>14.8</v>
      </c>
      <c r="X67" s="36" t="n">
        <v>15.57894736842105</v>
      </c>
      <c r="Y67" s="36" t="n">
        <v>16.44444444444445</v>
      </c>
      <c r="Z67" s="36" t="n">
        <v>17.41176470588236</v>
      </c>
      <c r="AA67" s="36" t="n">
        <v>18.5</v>
      </c>
      <c r="AB67" s="36" t="n">
        <v>19.73333333333333</v>
      </c>
      <c r="AC67" s="36" t="n">
        <v>21.14285714285715</v>
      </c>
      <c r="AD67" s="36" t="n">
        <v>22.76923076923077</v>
      </c>
      <c r="AE67" s="36" t="n">
        <v>24.66666666666667</v>
      </c>
      <c r="AF67" s="36" t="n">
        <v>26.90909090909091</v>
      </c>
      <c r="AG67" s="36" t="n">
        <v>29.6</v>
      </c>
      <c r="AH67" s="36" t="n">
        <v>32.88888888888889</v>
      </c>
      <c r="AI67" s="36" t="n">
        <v>37</v>
      </c>
      <c r="AJ67" s="36" t="n">
        <v>42.28571428571428</v>
      </c>
      <c r="AK67" s="36" t="n">
        <v>49.33333333333334</v>
      </c>
      <c r="AL67" s="36" t="n">
        <v>59.2</v>
      </c>
      <c r="AM67" s="36" t="n">
        <v>74</v>
      </c>
      <c r="AN67" s="36" t="n">
        <v>98.66666666666666</v>
      </c>
      <c r="AO67" s="36" t="n">
        <v>148</v>
      </c>
      <c r="AP67" s="36" t="n">
        <v>295.9999999999999</v>
      </c>
    </row>
    <row r="68">
      <c r="A68" s="5" t="inlineStr">
        <is>
          <t>P62</t>
        </is>
      </c>
      <c r="B68" s="5" t="inlineStr">
        <is>
          <t>Karitel</t>
        </is>
      </c>
      <c r="C68" s="36" t="n">
        <v>6.435</v>
      </c>
      <c r="D68" s="36" t="n">
        <v>6.773684210526316</v>
      </c>
      <c r="E68" s="36" t="n">
        <v>7.149999999999999</v>
      </c>
      <c r="F68" s="36" t="n">
        <v>7.570588235294117</v>
      </c>
      <c r="G68" s="36" t="n">
        <v>8.043749999999999</v>
      </c>
      <c r="H68" s="36" t="n">
        <v>8.58</v>
      </c>
      <c r="I68" s="36" t="n">
        <v>9.192857142857143</v>
      </c>
      <c r="J68" s="36" t="n">
        <v>9.899999999999999</v>
      </c>
      <c r="K68" s="36" t="n">
        <v>10.725</v>
      </c>
      <c r="L68" s="36" t="n">
        <v>11.7</v>
      </c>
      <c r="M68" s="36" t="n">
        <v>12.87</v>
      </c>
      <c r="N68" s="36" t="n">
        <v>14.3</v>
      </c>
      <c r="O68" s="36" t="n">
        <v>16.0875</v>
      </c>
      <c r="P68" s="36" t="n">
        <v>18.38571428571429</v>
      </c>
      <c r="Q68" s="36" t="n">
        <v>21.45</v>
      </c>
      <c r="R68" s="36" t="n">
        <v>25.74</v>
      </c>
      <c r="S68" s="36" t="n">
        <v>32.175</v>
      </c>
      <c r="T68" s="36" t="n">
        <v>42.9</v>
      </c>
      <c r="U68" s="36" t="n">
        <v>64.34999999999999</v>
      </c>
      <c r="V68" s="36" t="n">
        <v>128.7</v>
      </c>
      <c r="W68" s="36" t="n">
        <v>14.65</v>
      </c>
      <c r="X68" s="36" t="n">
        <v>15.42105263157895</v>
      </c>
      <c r="Y68" s="36" t="n">
        <v>16.27777777777778</v>
      </c>
      <c r="Z68" s="36" t="n">
        <v>17.23529411764706</v>
      </c>
      <c r="AA68" s="36" t="n">
        <v>18.3125</v>
      </c>
      <c r="AB68" s="36" t="n">
        <v>19.53333333333333</v>
      </c>
      <c r="AC68" s="36" t="n">
        <v>20.92857142857143</v>
      </c>
      <c r="AD68" s="36" t="n">
        <v>22.53846153846154</v>
      </c>
      <c r="AE68" s="36" t="n">
        <v>24.41666666666667</v>
      </c>
      <c r="AF68" s="36" t="n">
        <v>26.63636363636363</v>
      </c>
      <c r="AG68" s="36" t="n">
        <v>29.3</v>
      </c>
      <c r="AH68" s="36" t="n">
        <v>32.55555555555555</v>
      </c>
      <c r="AI68" s="36" t="n">
        <v>36.625</v>
      </c>
      <c r="AJ68" s="36" t="n">
        <v>41.85714285714285</v>
      </c>
      <c r="AK68" s="36" t="n">
        <v>48.83333333333334</v>
      </c>
      <c r="AL68" s="36" t="n">
        <v>58.59999999999999</v>
      </c>
      <c r="AM68" s="36" t="n">
        <v>73.25</v>
      </c>
      <c r="AN68" s="36" t="n">
        <v>97.66666666666666</v>
      </c>
      <c r="AO68" s="36" t="n">
        <v>146.5</v>
      </c>
      <c r="AP68" s="36" t="n">
        <v>292.9999999999999</v>
      </c>
    </row>
    <row r="69">
      <c r="A69" s="5" t="inlineStr">
        <is>
          <t>P63</t>
        </is>
      </c>
      <c r="B69" s="5" t="inlineStr">
        <is>
          <t>Karitel</t>
        </is>
      </c>
      <c r="C69" s="36" t="n">
        <v>3.535</v>
      </c>
      <c r="D69" s="36" t="n">
        <v>3.721052631578948</v>
      </c>
      <c r="E69" s="36" t="n">
        <v>3.927777777777778</v>
      </c>
      <c r="F69" s="36" t="n">
        <v>4.158823529411765</v>
      </c>
      <c r="G69" s="36" t="n">
        <v>4.41875</v>
      </c>
      <c r="H69" s="36" t="n">
        <v>4.713333333333334</v>
      </c>
      <c r="I69" s="36" t="n">
        <v>5.050000000000001</v>
      </c>
      <c r="J69" s="36" t="n">
        <v>5.438461538461539</v>
      </c>
      <c r="K69" s="36" t="n">
        <v>5.891666666666667</v>
      </c>
      <c r="L69" s="36" t="n">
        <v>6.427272727272727</v>
      </c>
      <c r="M69" s="36" t="n">
        <v>7.07</v>
      </c>
      <c r="N69" s="36" t="n">
        <v>7.855555555555556</v>
      </c>
      <c r="O69" s="36" t="n">
        <v>8.8375</v>
      </c>
      <c r="P69" s="36" t="n">
        <v>10.1</v>
      </c>
      <c r="Q69" s="36" t="n">
        <v>11.78333333333333</v>
      </c>
      <c r="R69" s="36" t="n">
        <v>14.14</v>
      </c>
      <c r="S69" s="36" t="n">
        <v>17.675</v>
      </c>
      <c r="T69" s="36" t="n">
        <v>23.56666666666667</v>
      </c>
      <c r="U69" s="36" t="n">
        <v>35.35</v>
      </c>
      <c r="V69" s="36" t="n">
        <v>70.7</v>
      </c>
      <c r="W69" s="36" t="n">
        <v>7.33</v>
      </c>
      <c r="X69" s="36" t="n">
        <v>7.715789473684211</v>
      </c>
      <c r="Y69" s="36" t="n">
        <v>8.144444444444444</v>
      </c>
      <c r="Z69" s="36" t="n">
        <v>8.623529411764705</v>
      </c>
      <c r="AA69" s="36" t="n">
        <v>9.1625</v>
      </c>
      <c r="AB69" s="36" t="n">
        <v>9.773333333333333</v>
      </c>
      <c r="AC69" s="36" t="n">
        <v>10.47142857142857</v>
      </c>
      <c r="AD69" s="36" t="n">
        <v>11.27692307692308</v>
      </c>
      <c r="AE69" s="36" t="n">
        <v>12.21666666666667</v>
      </c>
      <c r="AF69" s="36" t="n">
        <v>13.32727272727273</v>
      </c>
      <c r="AG69" s="36" t="n">
        <v>14.66</v>
      </c>
      <c r="AH69" s="36" t="n">
        <v>16.28888888888889</v>
      </c>
      <c r="AI69" s="36" t="n">
        <v>18.325</v>
      </c>
      <c r="AJ69" s="36" t="n">
        <v>20.94285714285714</v>
      </c>
      <c r="AK69" s="36" t="n">
        <v>24.43333333333333</v>
      </c>
      <c r="AL69" s="36" t="n">
        <v>29.32</v>
      </c>
      <c r="AM69" s="36" t="n">
        <v>36.65</v>
      </c>
      <c r="AN69" s="36" t="n">
        <v>48.86666666666666</v>
      </c>
      <c r="AO69" s="36" t="n">
        <v>73.3</v>
      </c>
      <c r="AP69" s="36" t="n">
        <v>146.6</v>
      </c>
    </row>
    <row r="70">
      <c r="A70" s="5" t="inlineStr">
        <is>
          <t>P64</t>
        </is>
      </c>
      <c r="B70" s="5" t="inlineStr">
        <is>
          <t>Karitel</t>
        </is>
      </c>
      <c r="C70" s="36" t="n">
        <v>5.25</v>
      </c>
      <c r="D70" s="36" t="n">
        <v>5.526315789473684</v>
      </c>
      <c r="E70" s="36" t="n">
        <v>5.833333333333333</v>
      </c>
      <c r="F70" s="36" t="n">
        <v>6.176470588235294</v>
      </c>
      <c r="G70" s="36" t="n">
        <v>6.5625</v>
      </c>
      <c r="H70" s="36" t="n">
        <v>7</v>
      </c>
      <c r="I70" s="36" t="n">
        <v>7.500000000000001</v>
      </c>
      <c r="J70" s="36" t="n">
        <v>8.076923076923077</v>
      </c>
      <c r="K70" s="36" t="n">
        <v>8.75</v>
      </c>
      <c r="L70" s="36" t="n">
        <v>9.545454545454545</v>
      </c>
      <c r="M70" s="36" t="n">
        <v>10.5</v>
      </c>
      <c r="N70" s="36" t="n">
        <v>11.66666666666667</v>
      </c>
      <c r="O70" s="36" t="n">
        <v>13.125</v>
      </c>
      <c r="P70" s="36" t="n">
        <v>15</v>
      </c>
      <c r="Q70" s="36" t="n">
        <v>17.5</v>
      </c>
      <c r="R70" s="36" t="n">
        <v>21</v>
      </c>
      <c r="S70" s="36" t="n">
        <v>26.25</v>
      </c>
      <c r="T70" s="36" t="n">
        <v>35</v>
      </c>
      <c r="U70" s="36" t="n">
        <v>52.5</v>
      </c>
      <c r="V70" s="36" t="n">
        <v>105</v>
      </c>
      <c r="W70" s="36" t="n">
        <v>11.22</v>
      </c>
      <c r="X70" s="36" t="n">
        <v>11.81052631578948</v>
      </c>
      <c r="Y70" s="36" t="n">
        <v>12.46666666666667</v>
      </c>
      <c r="Z70" s="36" t="n">
        <v>13.2</v>
      </c>
      <c r="AA70" s="36" t="n">
        <v>14.025</v>
      </c>
      <c r="AB70" s="36" t="n">
        <v>14.96</v>
      </c>
      <c r="AC70" s="36" t="n">
        <v>16.02857142857143</v>
      </c>
      <c r="AD70" s="36" t="n">
        <v>17.26153846153846</v>
      </c>
      <c r="AE70" s="36" t="n">
        <v>18.7</v>
      </c>
      <c r="AF70" s="36" t="n">
        <v>20.4</v>
      </c>
      <c r="AG70" s="36" t="n">
        <v>22.44</v>
      </c>
      <c r="AH70" s="36" t="n">
        <v>24.93333333333333</v>
      </c>
      <c r="AI70" s="36" t="n">
        <v>28.05</v>
      </c>
      <c r="AJ70" s="36" t="n">
        <v>32.05714285714286</v>
      </c>
      <c r="AK70" s="36" t="n">
        <v>37.40000000000001</v>
      </c>
      <c r="AL70" s="36" t="n">
        <v>44.88000000000001</v>
      </c>
      <c r="AM70" s="36" t="n">
        <v>56.1</v>
      </c>
      <c r="AN70" s="36" t="n">
        <v>74.80000000000003</v>
      </c>
      <c r="AO70" s="36" t="n">
        <v>112.2</v>
      </c>
      <c r="AP70" s="36" t="n">
        <v>224.4000000000001</v>
      </c>
    </row>
    <row r="71">
      <c r="A71" s="5" t="inlineStr">
        <is>
          <t>P65</t>
        </is>
      </c>
      <c r="B71" s="5" t="inlineStr">
        <is>
          <t>Karitel</t>
        </is>
      </c>
      <c r="C71" s="36" t="n">
        <v>7.14</v>
      </c>
      <c r="D71" s="36" t="n">
        <v>7.515789473684211</v>
      </c>
      <c r="E71" s="36" t="n">
        <v>7.933333333333333</v>
      </c>
      <c r="F71" s="36" t="n">
        <v>8.4</v>
      </c>
      <c r="G71" s="36" t="n">
        <v>8.924999999999999</v>
      </c>
      <c r="H71" s="36" t="n">
        <v>9.52</v>
      </c>
      <c r="I71" s="36" t="n">
        <v>10.2</v>
      </c>
      <c r="J71" s="36" t="n">
        <v>10.98461538461538</v>
      </c>
      <c r="K71" s="36" t="n">
        <v>11.9</v>
      </c>
      <c r="L71" s="36" t="n">
        <v>12.98181818181818</v>
      </c>
      <c r="M71" s="36" t="n">
        <v>14.28</v>
      </c>
      <c r="N71" s="36" t="n">
        <v>15.86666666666667</v>
      </c>
      <c r="O71" s="36" t="n">
        <v>17.85</v>
      </c>
      <c r="P71" s="36" t="n">
        <v>20.4</v>
      </c>
      <c r="Q71" s="36" t="n">
        <v>23.8</v>
      </c>
      <c r="R71" s="36" t="n">
        <v>28.56</v>
      </c>
      <c r="S71" s="36" t="n">
        <v>35.7</v>
      </c>
      <c r="T71" s="36" t="n">
        <v>47.6</v>
      </c>
      <c r="U71" s="36" t="n">
        <v>71.39999999999999</v>
      </c>
      <c r="V71" s="36" t="n">
        <v>142.8</v>
      </c>
      <c r="W71" s="36" t="n">
        <v>15.47</v>
      </c>
      <c r="X71" s="36" t="n">
        <v>16.28421052631579</v>
      </c>
      <c r="Y71" s="36" t="n">
        <v>17.18888888888889</v>
      </c>
      <c r="Z71" s="36" t="n">
        <v>18.2</v>
      </c>
      <c r="AA71" s="36" t="n">
        <v>19.3375</v>
      </c>
      <c r="AB71" s="36" t="n">
        <v>20.62666666666667</v>
      </c>
      <c r="AC71" s="36" t="n">
        <v>22.1</v>
      </c>
      <c r="AD71" s="36" t="n">
        <v>23.8</v>
      </c>
      <c r="AE71" s="36" t="n">
        <v>25.78333333333333</v>
      </c>
      <c r="AF71" s="36" t="n">
        <v>28.12727272727273</v>
      </c>
      <c r="AG71" s="36" t="n">
        <v>30.94</v>
      </c>
      <c r="AH71" s="36" t="n">
        <v>34.37777777777778</v>
      </c>
      <c r="AI71" s="36" t="n">
        <v>38.675</v>
      </c>
      <c r="AJ71" s="36" t="n">
        <v>44.2</v>
      </c>
      <c r="AK71" s="36" t="n">
        <v>51.56666666666667</v>
      </c>
      <c r="AL71" s="36" t="n">
        <v>61.88</v>
      </c>
      <c r="AM71" s="36" t="n">
        <v>77.34999999999999</v>
      </c>
      <c r="AN71" s="36" t="n">
        <v>103.1333333333333</v>
      </c>
      <c r="AO71" s="36" t="n">
        <v>154.7</v>
      </c>
      <c r="AP71" s="36" t="n">
        <v>309.4</v>
      </c>
    </row>
    <row r="72">
      <c r="A72" s="5" t="inlineStr">
        <is>
          <t>P66</t>
        </is>
      </c>
      <c r="B72" s="5" t="inlineStr">
        <is>
          <t>Karitel</t>
        </is>
      </c>
      <c r="C72" s="36" t="n">
        <v>5.665</v>
      </c>
      <c r="D72" s="36" t="n">
        <v>5.963157894736843</v>
      </c>
      <c r="E72" s="36" t="n">
        <v>6.294444444444444</v>
      </c>
      <c r="F72" s="36" t="n">
        <v>6.664705882352941</v>
      </c>
      <c r="G72" s="36" t="n">
        <v>7.08125</v>
      </c>
      <c r="H72" s="36" t="n">
        <v>7.553333333333334</v>
      </c>
      <c r="I72" s="36" t="n">
        <v>8.092857142857143</v>
      </c>
      <c r="J72" s="36" t="n">
        <v>8.715384615384615</v>
      </c>
      <c r="K72" s="36" t="n">
        <v>9.441666666666666</v>
      </c>
      <c r="L72" s="36" t="n">
        <v>10.3</v>
      </c>
      <c r="M72" s="36" t="n">
        <v>11.33</v>
      </c>
      <c r="N72" s="36" t="n">
        <v>12.58888888888889</v>
      </c>
      <c r="O72" s="36" t="n">
        <v>14.1625</v>
      </c>
      <c r="P72" s="36" t="n">
        <v>16.18571428571429</v>
      </c>
      <c r="Q72" s="36" t="n">
        <v>18.88333333333333</v>
      </c>
      <c r="R72" s="36" t="n">
        <v>22.66</v>
      </c>
      <c r="S72" s="36" t="n">
        <v>28.325</v>
      </c>
      <c r="T72" s="36" t="n">
        <v>37.76666666666667</v>
      </c>
      <c r="U72" s="36" t="n">
        <v>56.65</v>
      </c>
      <c r="V72" s="36" t="n">
        <v>113.3</v>
      </c>
      <c r="W72" s="36" t="n">
        <v>12.33</v>
      </c>
      <c r="X72" s="36" t="n">
        <v>12.97894736842105</v>
      </c>
      <c r="Y72" s="36" t="n">
        <v>13.7</v>
      </c>
      <c r="Z72" s="36" t="n">
        <v>14.50588235294118</v>
      </c>
      <c r="AA72" s="36" t="n">
        <v>15.4125</v>
      </c>
      <c r="AB72" s="36" t="n">
        <v>16.44</v>
      </c>
      <c r="AC72" s="36" t="n">
        <v>17.61428571428571</v>
      </c>
      <c r="AD72" s="36" t="n">
        <v>18.96923076923077</v>
      </c>
      <c r="AE72" s="36" t="n">
        <v>20.55</v>
      </c>
      <c r="AF72" s="36" t="n">
        <v>22.41818181818182</v>
      </c>
      <c r="AG72" s="36" t="n">
        <v>24.66</v>
      </c>
      <c r="AH72" s="36" t="n">
        <v>27.4</v>
      </c>
      <c r="AI72" s="36" t="n">
        <v>30.825</v>
      </c>
      <c r="AJ72" s="36" t="n">
        <v>35.22857142857143</v>
      </c>
      <c r="AK72" s="36" t="n">
        <v>41.1</v>
      </c>
      <c r="AL72" s="36" t="n">
        <v>49.31999999999999</v>
      </c>
      <c r="AM72" s="36" t="n">
        <v>61.65</v>
      </c>
      <c r="AN72" s="36" t="n">
        <v>82.19999999999999</v>
      </c>
      <c r="AO72" s="36" t="n">
        <v>123.3</v>
      </c>
      <c r="AP72" s="36" t="n">
        <v>246.6</v>
      </c>
    </row>
    <row r="73">
      <c r="A73" s="5" t="inlineStr">
        <is>
          <t>P67</t>
        </is>
      </c>
      <c r="B73" s="5" t="inlineStr">
        <is>
          <t>Karitel</t>
        </is>
      </c>
      <c r="C73" s="36" t="n">
        <v>4.85</v>
      </c>
      <c r="D73" s="36" t="n">
        <v>5.105263157894736</v>
      </c>
      <c r="E73" s="36" t="n">
        <v>5.388888888888888</v>
      </c>
      <c r="F73" s="36" t="n">
        <v>5.705882352941177</v>
      </c>
      <c r="G73" s="36" t="n">
        <v>6.062499999999999</v>
      </c>
      <c r="H73" s="36" t="n">
        <v>6.466666666666666</v>
      </c>
      <c r="I73" s="36" t="n">
        <v>6.928571428571429</v>
      </c>
      <c r="J73" s="36" t="n">
        <v>7.461538461538461</v>
      </c>
      <c r="K73" s="36" t="n">
        <v>8.083333333333334</v>
      </c>
      <c r="L73" s="36" t="n">
        <v>8.818181818181817</v>
      </c>
      <c r="M73" s="36" t="n">
        <v>9.699999999999999</v>
      </c>
      <c r="N73" s="36" t="n">
        <v>10.77777777777778</v>
      </c>
      <c r="O73" s="36" t="n">
        <v>12.125</v>
      </c>
      <c r="P73" s="36" t="n">
        <v>13.85714285714286</v>
      </c>
      <c r="Q73" s="36" t="n">
        <v>16.16666666666667</v>
      </c>
      <c r="R73" s="36" t="n">
        <v>19.4</v>
      </c>
      <c r="S73" s="36" t="n">
        <v>24.25</v>
      </c>
      <c r="T73" s="36" t="n">
        <v>32.33333333333334</v>
      </c>
      <c r="U73" s="36" t="n">
        <v>48.49999999999999</v>
      </c>
      <c r="V73" s="36" t="n">
        <v>96.99999999999999</v>
      </c>
      <c r="W73" s="36" t="n">
        <v>10.94</v>
      </c>
      <c r="X73" s="36" t="n">
        <v>11.51578947368421</v>
      </c>
      <c r="Y73" s="36" t="n">
        <v>12.15555555555556</v>
      </c>
      <c r="Z73" s="36" t="n">
        <v>12.87058823529412</v>
      </c>
      <c r="AA73" s="36" t="n">
        <v>13.675</v>
      </c>
      <c r="AB73" s="36" t="n">
        <v>14.58666666666667</v>
      </c>
      <c r="AC73" s="36" t="n">
        <v>15.62857142857143</v>
      </c>
      <c r="AD73" s="36" t="n">
        <v>16.83076923076923</v>
      </c>
      <c r="AE73" s="36" t="n">
        <v>18.23333333333333</v>
      </c>
      <c r="AF73" s="36" t="n">
        <v>19.89090909090909</v>
      </c>
      <c r="AG73" s="36" t="n">
        <v>21.88</v>
      </c>
      <c r="AH73" s="36" t="n">
        <v>24.31111111111111</v>
      </c>
      <c r="AI73" s="36" t="n">
        <v>27.35</v>
      </c>
      <c r="AJ73" s="36" t="n">
        <v>31.25714285714286</v>
      </c>
      <c r="AK73" s="36" t="n">
        <v>36.46666666666667</v>
      </c>
      <c r="AL73" s="36" t="n">
        <v>43.76</v>
      </c>
      <c r="AM73" s="36" t="n">
        <v>54.7</v>
      </c>
      <c r="AN73" s="36" t="n">
        <v>72.93333333333334</v>
      </c>
      <c r="AO73" s="36" t="n">
        <v>109.4</v>
      </c>
      <c r="AP73" s="36" t="n">
        <v>218.8</v>
      </c>
    </row>
    <row r="74">
      <c r="A74" s="5" t="inlineStr">
        <is>
          <t>P68</t>
        </is>
      </c>
      <c r="B74" s="5" t="inlineStr">
        <is>
          <t>Karitel</t>
        </is>
      </c>
      <c r="C74" s="36" t="n">
        <v>5</v>
      </c>
      <c r="D74" s="36" t="n">
        <v>5.263157894736842</v>
      </c>
      <c r="E74" s="36" t="n">
        <v>5.555555555555555</v>
      </c>
      <c r="F74" s="36" t="n">
        <v>5.882352941176471</v>
      </c>
      <c r="G74" s="36" t="n">
        <v>6.25</v>
      </c>
      <c r="H74" s="36" t="n">
        <v>6.666666666666667</v>
      </c>
      <c r="I74" s="36" t="n">
        <v>7.142857142857143</v>
      </c>
      <c r="J74" s="36" t="n">
        <v>7.692307692307692</v>
      </c>
      <c r="K74" s="36" t="n">
        <v>8.333333333333334</v>
      </c>
      <c r="L74" s="36" t="n">
        <v>9.09090909090909</v>
      </c>
      <c r="M74" s="36" t="n">
        <v>10</v>
      </c>
      <c r="N74" s="36" t="n">
        <v>11.11111111111111</v>
      </c>
      <c r="O74" s="36" t="n">
        <v>12.5</v>
      </c>
      <c r="P74" s="36" t="n">
        <v>14.28571428571429</v>
      </c>
      <c r="Q74" s="36" t="n">
        <v>16.66666666666667</v>
      </c>
      <c r="R74" s="36" t="n">
        <v>20</v>
      </c>
      <c r="S74" s="36" t="n">
        <v>25</v>
      </c>
      <c r="T74" s="36" t="n">
        <v>33.33333333333334</v>
      </c>
      <c r="U74" s="36" t="n">
        <v>50</v>
      </c>
      <c r="V74" s="36" t="n">
        <v>100</v>
      </c>
      <c r="W74" s="36" t="n">
        <v>10.94</v>
      </c>
      <c r="X74" s="36" t="n">
        <v>11.51578947368421</v>
      </c>
      <c r="Y74" s="36" t="n">
        <v>12.15555555555556</v>
      </c>
      <c r="Z74" s="36" t="n">
        <v>12.87058823529412</v>
      </c>
      <c r="AA74" s="36" t="n">
        <v>13.675</v>
      </c>
      <c r="AB74" s="36" t="n">
        <v>14.58666666666667</v>
      </c>
      <c r="AC74" s="36" t="n">
        <v>15.62857142857143</v>
      </c>
      <c r="AD74" s="36" t="n">
        <v>16.83076923076923</v>
      </c>
      <c r="AE74" s="36" t="n">
        <v>18.23333333333333</v>
      </c>
      <c r="AF74" s="36" t="n">
        <v>19.89090909090909</v>
      </c>
      <c r="AG74" s="36" t="n">
        <v>21.88</v>
      </c>
      <c r="AH74" s="36" t="n">
        <v>24.31111111111111</v>
      </c>
      <c r="AI74" s="36" t="n">
        <v>27.35</v>
      </c>
      <c r="AJ74" s="36" t="n">
        <v>31.25714285714286</v>
      </c>
      <c r="AK74" s="36" t="n">
        <v>36.46666666666667</v>
      </c>
      <c r="AL74" s="36" t="n">
        <v>43.76</v>
      </c>
      <c r="AM74" s="36" t="n">
        <v>54.7</v>
      </c>
      <c r="AN74" s="36" t="n">
        <v>72.93333333333334</v>
      </c>
      <c r="AO74" s="36" t="n">
        <v>109.4</v>
      </c>
      <c r="AP74" s="36" t="n">
        <v>218.8</v>
      </c>
    </row>
    <row r="75">
      <c r="A75" s="5" t="inlineStr">
        <is>
          <t>P69</t>
        </is>
      </c>
      <c r="B75" s="5" t="inlineStr">
        <is>
          <t>Karitel</t>
        </is>
      </c>
      <c r="C75" s="36" t="n">
        <v>4.45</v>
      </c>
      <c r="D75" s="36" t="n">
        <v>4.68421052631579</v>
      </c>
      <c r="E75" s="36" t="n">
        <v>4.944444444444445</v>
      </c>
      <c r="F75" s="36" t="n">
        <v>5.235294117647059</v>
      </c>
      <c r="G75" s="36" t="n">
        <v>5.5625</v>
      </c>
      <c r="H75" s="36" t="n">
        <v>5.933333333333334</v>
      </c>
      <c r="I75" s="36" t="n">
        <v>6.357142857142858</v>
      </c>
      <c r="J75" s="36" t="n">
        <v>6.846153846153846</v>
      </c>
      <c r="K75" s="36" t="n">
        <v>7.416666666666667</v>
      </c>
      <c r="L75" s="36" t="n">
        <v>8.09090909090909</v>
      </c>
      <c r="M75" s="36" t="n">
        <v>8.9</v>
      </c>
      <c r="N75" s="36" t="n">
        <v>9.888888888888889</v>
      </c>
      <c r="O75" s="36" t="n">
        <v>11.125</v>
      </c>
      <c r="P75" s="36" t="n">
        <v>12.71428571428572</v>
      </c>
      <c r="Q75" s="36" t="n">
        <v>14.83333333333333</v>
      </c>
      <c r="R75" s="36" t="n">
        <v>17.8</v>
      </c>
      <c r="S75" s="36" t="n">
        <v>22.25</v>
      </c>
      <c r="T75" s="36" t="n">
        <v>29.66666666666667</v>
      </c>
      <c r="U75" s="36" t="n">
        <v>44.5</v>
      </c>
      <c r="V75" s="36" t="n">
        <v>89</v>
      </c>
      <c r="W75" s="36" t="n">
        <v>10.94</v>
      </c>
      <c r="X75" s="36" t="n">
        <v>11.51578947368421</v>
      </c>
      <c r="Y75" s="36" t="n">
        <v>12.15555555555556</v>
      </c>
      <c r="Z75" s="36" t="n">
        <v>12.87058823529412</v>
      </c>
      <c r="AA75" s="36" t="n">
        <v>13.675</v>
      </c>
      <c r="AB75" s="36" t="n">
        <v>14.58666666666667</v>
      </c>
      <c r="AC75" s="36" t="n">
        <v>15.62857142857143</v>
      </c>
      <c r="AD75" s="36" t="n">
        <v>16.83076923076923</v>
      </c>
      <c r="AE75" s="36" t="n">
        <v>18.23333333333333</v>
      </c>
      <c r="AF75" s="36" t="n">
        <v>19.89090909090909</v>
      </c>
      <c r="AG75" s="36" t="n">
        <v>21.88</v>
      </c>
      <c r="AH75" s="36" t="n">
        <v>24.31111111111111</v>
      </c>
      <c r="AI75" s="36" t="n">
        <v>27.35</v>
      </c>
      <c r="AJ75" s="36" t="n">
        <v>31.25714285714286</v>
      </c>
      <c r="AK75" s="36" t="n">
        <v>36.46666666666667</v>
      </c>
      <c r="AL75" s="36" t="n">
        <v>43.76</v>
      </c>
      <c r="AM75" s="36" t="n">
        <v>54.7</v>
      </c>
      <c r="AN75" s="36" t="n">
        <v>72.93333333333334</v>
      </c>
      <c r="AO75" s="36" t="n">
        <v>109.4</v>
      </c>
      <c r="AP75" s="36" t="n">
        <v>218.8</v>
      </c>
    </row>
    <row r="76">
      <c r="A76" s="5" t="inlineStr">
        <is>
          <t>P70</t>
        </is>
      </c>
      <c r="B76" s="5" t="inlineStr">
        <is>
          <t>Karitel</t>
        </is>
      </c>
      <c r="C76" s="36" t="n">
        <v>6.93</v>
      </c>
      <c r="D76" s="36" t="n">
        <v>7.294736842105263</v>
      </c>
      <c r="E76" s="36" t="n">
        <v>7.699999999999999</v>
      </c>
      <c r="F76" s="36" t="n">
        <v>8.152941176470588</v>
      </c>
      <c r="G76" s="36" t="n">
        <v>8.6625</v>
      </c>
      <c r="H76" s="36" t="n">
        <v>9.24</v>
      </c>
      <c r="I76" s="36" t="n">
        <v>9.9</v>
      </c>
      <c r="J76" s="36" t="n">
        <v>10.66153846153846</v>
      </c>
      <c r="K76" s="36" t="n">
        <v>11.55</v>
      </c>
      <c r="L76" s="36" t="n">
        <v>12.6</v>
      </c>
      <c r="M76" s="36" t="n">
        <v>13.86</v>
      </c>
      <c r="N76" s="36" t="n">
        <v>15.4</v>
      </c>
      <c r="O76" s="36" t="n">
        <v>17.325</v>
      </c>
      <c r="P76" s="36" t="n">
        <v>19.8</v>
      </c>
      <c r="Q76" s="36" t="n">
        <v>23.1</v>
      </c>
      <c r="R76" s="36" t="n">
        <v>27.72</v>
      </c>
      <c r="S76" s="36" t="n">
        <v>34.65</v>
      </c>
      <c r="T76" s="36" t="n">
        <v>46.2</v>
      </c>
      <c r="U76" s="36" t="n">
        <v>69.3</v>
      </c>
      <c r="V76" s="36" t="n">
        <v>138.6</v>
      </c>
      <c r="W76" s="36" t="n">
        <v>15.11</v>
      </c>
      <c r="X76" s="36" t="n">
        <v>15.90526315789474</v>
      </c>
      <c r="Y76" s="36" t="n">
        <v>16.78888888888889</v>
      </c>
      <c r="Z76" s="36" t="n">
        <v>17.77647058823529</v>
      </c>
      <c r="AA76" s="36" t="n">
        <v>18.8875</v>
      </c>
      <c r="AB76" s="36" t="n">
        <v>20.14666666666666</v>
      </c>
      <c r="AC76" s="36" t="n">
        <v>21.58571428571429</v>
      </c>
      <c r="AD76" s="36" t="n">
        <v>23.24615384615385</v>
      </c>
      <c r="AE76" s="36" t="n">
        <v>25.18333333333333</v>
      </c>
      <c r="AF76" s="36" t="n">
        <v>27.47272727272727</v>
      </c>
      <c r="AG76" s="36" t="n">
        <v>30.22</v>
      </c>
      <c r="AH76" s="36" t="n">
        <v>33.57777777777778</v>
      </c>
      <c r="AI76" s="36" t="n">
        <v>37.775</v>
      </c>
      <c r="AJ76" s="36" t="n">
        <v>43.17142857142857</v>
      </c>
      <c r="AK76" s="36" t="n">
        <v>50.36666666666667</v>
      </c>
      <c r="AL76" s="36" t="n">
        <v>60.44</v>
      </c>
      <c r="AM76" s="36" t="n">
        <v>75.55</v>
      </c>
      <c r="AN76" s="36" t="n">
        <v>100.7333333333333</v>
      </c>
      <c r="AO76" s="36" t="n">
        <v>151.1</v>
      </c>
      <c r="AP76" s="36" t="n">
        <v>302.2</v>
      </c>
    </row>
    <row r="77">
      <c r="A77" s="5" t="inlineStr">
        <is>
          <t>P71</t>
        </is>
      </c>
      <c r="B77" s="5" t="inlineStr">
        <is>
          <t>Karitel</t>
        </is>
      </c>
      <c r="C77" s="36" t="n">
        <v>4.85</v>
      </c>
      <c r="D77" s="36" t="n">
        <v>5.105263157894736</v>
      </c>
      <c r="E77" s="36" t="n">
        <v>5.388888888888888</v>
      </c>
      <c r="F77" s="36" t="n">
        <v>5.705882352941177</v>
      </c>
      <c r="G77" s="36" t="n">
        <v>6.062499999999999</v>
      </c>
      <c r="H77" s="36" t="n">
        <v>6.466666666666666</v>
      </c>
      <c r="I77" s="36" t="n">
        <v>6.928571428571429</v>
      </c>
      <c r="J77" s="36" t="n">
        <v>7.461538461538461</v>
      </c>
      <c r="K77" s="36" t="n">
        <v>8.083333333333334</v>
      </c>
      <c r="L77" s="36" t="n">
        <v>8.818181818181817</v>
      </c>
      <c r="M77" s="36" t="n">
        <v>9.699999999999999</v>
      </c>
      <c r="N77" s="36" t="n">
        <v>10.77777777777778</v>
      </c>
      <c r="O77" s="36" t="n">
        <v>12.125</v>
      </c>
      <c r="P77" s="36" t="n">
        <v>13.85714285714286</v>
      </c>
      <c r="Q77" s="36" t="n">
        <v>16.16666666666667</v>
      </c>
      <c r="R77" s="36" t="n">
        <v>19.4</v>
      </c>
      <c r="S77" s="36" t="n">
        <v>24.25</v>
      </c>
      <c r="T77" s="36" t="n">
        <v>32.33333333333334</v>
      </c>
      <c r="U77" s="36" t="n">
        <v>48.49999999999999</v>
      </c>
      <c r="V77" s="36" t="n">
        <v>96.99999999999999</v>
      </c>
      <c r="W77" s="36" t="n">
        <v>7.39</v>
      </c>
      <c r="X77" s="36" t="n">
        <v>7.778947368421052</v>
      </c>
      <c r="Y77" s="36" t="n">
        <v>8.21111111111111</v>
      </c>
      <c r="Z77" s="36" t="n">
        <v>8.694117647058823</v>
      </c>
      <c r="AA77" s="36" t="n">
        <v>9.237499999999999</v>
      </c>
      <c r="AB77" s="36" t="n">
        <v>9.853333333333333</v>
      </c>
      <c r="AC77" s="36" t="n">
        <v>10.55714285714286</v>
      </c>
      <c r="AD77" s="36" t="n">
        <v>11.36923076923077</v>
      </c>
      <c r="AE77" s="36" t="n">
        <v>12.31666666666667</v>
      </c>
      <c r="AF77" s="36" t="n">
        <v>13.43636363636363</v>
      </c>
      <c r="AG77" s="36" t="n">
        <v>14.78</v>
      </c>
      <c r="AH77" s="36" t="n">
        <v>16.42222222222222</v>
      </c>
      <c r="AI77" s="36" t="n">
        <v>18.475</v>
      </c>
      <c r="AJ77" s="36" t="n">
        <v>21.11428571428571</v>
      </c>
      <c r="AK77" s="36" t="n">
        <v>24.63333333333333</v>
      </c>
      <c r="AL77" s="36" t="n">
        <v>29.56</v>
      </c>
      <c r="AM77" s="36" t="n">
        <v>36.95</v>
      </c>
      <c r="AN77" s="36" t="n">
        <v>49.26666666666667</v>
      </c>
      <c r="AO77" s="36" t="n">
        <v>73.89999999999999</v>
      </c>
      <c r="AP77" s="36" t="n">
        <v>147.8</v>
      </c>
    </row>
    <row r="78">
      <c r="A78" s="5" t="inlineStr">
        <is>
          <t>P72</t>
        </is>
      </c>
      <c r="B78" s="5" t="inlineStr">
        <is>
          <t>Karitel</t>
        </is>
      </c>
      <c r="C78" s="36" t="n">
        <v>6.12</v>
      </c>
      <c r="D78" s="36" t="n">
        <v>6.442105263157895</v>
      </c>
      <c r="E78" s="36" t="n">
        <v>6.8</v>
      </c>
      <c r="F78" s="36" t="n">
        <v>7.2</v>
      </c>
      <c r="G78" s="36" t="n">
        <v>7.649999999999999</v>
      </c>
      <c r="H78" s="36" t="n">
        <v>8.16</v>
      </c>
      <c r="I78" s="36" t="n">
        <v>8.742857142857144</v>
      </c>
      <c r="J78" s="36" t="n">
        <v>9.415384615384616</v>
      </c>
      <c r="K78" s="36" t="n">
        <v>10.2</v>
      </c>
      <c r="L78" s="36" t="n">
        <v>11.12727272727273</v>
      </c>
      <c r="M78" s="36" t="n">
        <v>12.24</v>
      </c>
      <c r="N78" s="36" t="n">
        <v>13.6</v>
      </c>
      <c r="O78" s="36" t="n">
        <v>15.3</v>
      </c>
      <c r="P78" s="36" t="n">
        <v>17.48571428571429</v>
      </c>
      <c r="Q78" s="36" t="n">
        <v>20.4</v>
      </c>
      <c r="R78" s="36" t="n">
        <v>24.48</v>
      </c>
      <c r="S78" s="36" t="n">
        <v>30.6</v>
      </c>
      <c r="T78" s="36" t="n">
        <v>40.8</v>
      </c>
      <c r="U78" s="36" t="n">
        <v>61.2</v>
      </c>
      <c r="V78" s="36" t="n">
        <v>122.4</v>
      </c>
      <c r="W78" s="36" t="n">
        <v>13.88</v>
      </c>
      <c r="X78" s="36" t="n">
        <v>14.61052631578947</v>
      </c>
      <c r="Y78" s="36" t="n">
        <v>15.42222222222222</v>
      </c>
      <c r="Z78" s="36" t="n">
        <v>16.32941176470588</v>
      </c>
      <c r="AA78" s="36" t="n">
        <v>17.35</v>
      </c>
      <c r="AB78" s="36" t="n">
        <v>18.50666666666667</v>
      </c>
      <c r="AC78" s="36" t="n">
        <v>19.82857142857143</v>
      </c>
      <c r="AD78" s="36" t="n">
        <v>21.35384615384615</v>
      </c>
      <c r="AE78" s="36" t="n">
        <v>23.13333333333334</v>
      </c>
      <c r="AF78" s="36" t="n">
        <v>25.23636363636363</v>
      </c>
      <c r="AG78" s="36" t="n">
        <v>27.76</v>
      </c>
      <c r="AH78" s="36" t="n">
        <v>30.84444444444444</v>
      </c>
      <c r="AI78" s="36" t="n">
        <v>34.7</v>
      </c>
      <c r="AJ78" s="36" t="n">
        <v>39.65714285714286</v>
      </c>
      <c r="AK78" s="36" t="n">
        <v>46.26666666666667</v>
      </c>
      <c r="AL78" s="36" t="n">
        <v>55.52</v>
      </c>
      <c r="AM78" s="36" t="n">
        <v>69.40000000000001</v>
      </c>
      <c r="AN78" s="36" t="n">
        <v>92.53333333333333</v>
      </c>
      <c r="AO78" s="36" t="n">
        <v>138.8</v>
      </c>
      <c r="AP78" s="36" t="n">
        <v>277.6</v>
      </c>
    </row>
    <row r="79">
      <c r="A79" s="5" t="inlineStr">
        <is>
          <t>P73</t>
        </is>
      </c>
      <c r="B79" s="5" t="inlineStr">
        <is>
          <t>Karitel</t>
        </is>
      </c>
      <c r="C79" s="36" t="n">
        <v>6.76</v>
      </c>
      <c r="D79" s="36" t="n">
        <v>7.11578947368421</v>
      </c>
      <c r="E79" s="36" t="n">
        <v>7.511111111111111</v>
      </c>
      <c r="F79" s="36" t="n">
        <v>7.952941176470588</v>
      </c>
      <c r="G79" s="36" t="n">
        <v>8.449999999999999</v>
      </c>
      <c r="H79" s="36" t="n">
        <v>9.013333333333334</v>
      </c>
      <c r="I79" s="36" t="n">
        <v>9.657142857142857</v>
      </c>
      <c r="J79" s="36" t="n">
        <v>10.4</v>
      </c>
      <c r="K79" s="36" t="n">
        <v>11.26666666666667</v>
      </c>
      <c r="L79" s="36" t="n">
        <v>12.29090909090909</v>
      </c>
      <c r="M79" s="36" t="n">
        <v>13.52</v>
      </c>
      <c r="N79" s="36" t="n">
        <v>15.02222222222222</v>
      </c>
      <c r="O79" s="36" t="n">
        <v>16.9</v>
      </c>
      <c r="P79" s="36" t="n">
        <v>19.31428571428571</v>
      </c>
      <c r="Q79" s="36" t="n">
        <v>22.53333333333333</v>
      </c>
      <c r="R79" s="36" t="n">
        <v>27.04</v>
      </c>
      <c r="S79" s="36" t="n">
        <v>33.8</v>
      </c>
      <c r="T79" s="36" t="n">
        <v>45.06666666666667</v>
      </c>
      <c r="U79" s="36" t="n">
        <v>67.59999999999999</v>
      </c>
      <c r="V79" s="36" t="n">
        <v>135.2</v>
      </c>
      <c r="W79" s="36" t="n">
        <v>16.05</v>
      </c>
      <c r="X79" s="36" t="n">
        <v>16.89473684210526</v>
      </c>
      <c r="Y79" s="36" t="n">
        <v>17.83333333333333</v>
      </c>
      <c r="Z79" s="36" t="n">
        <v>18.88235294117647</v>
      </c>
      <c r="AA79" s="36" t="n">
        <v>20.0625</v>
      </c>
      <c r="AB79" s="36" t="n">
        <v>21.4</v>
      </c>
      <c r="AC79" s="36" t="n">
        <v>22.92857142857143</v>
      </c>
      <c r="AD79" s="36" t="n">
        <v>24.69230769230769</v>
      </c>
      <c r="AE79" s="36" t="n">
        <v>26.75</v>
      </c>
      <c r="AF79" s="36" t="n">
        <v>29.18181818181818</v>
      </c>
      <c r="AG79" s="36" t="n">
        <v>32.1</v>
      </c>
      <c r="AH79" s="36" t="n">
        <v>35.66666666666666</v>
      </c>
      <c r="AI79" s="36" t="n">
        <v>40.125</v>
      </c>
      <c r="AJ79" s="36" t="n">
        <v>45.85714285714286</v>
      </c>
      <c r="AK79" s="36" t="n">
        <v>53.50000000000001</v>
      </c>
      <c r="AL79" s="36" t="n">
        <v>64.2</v>
      </c>
      <c r="AM79" s="36" t="n">
        <v>80.25</v>
      </c>
      <c r="AN79" s="36" t="n">
        <v>107</v>
      </c>
      <c r="AO79" s="36" t="n">
        <v>160.5</v>
      </c>
      <c r="AP79" s="36" t="n">
        <v>321</v>
      </c>
    </row>
    <row r="80">
      <c r="A80" s="5" t="inlineStr">
        <is>
          <t>P74</t>
        </is>
      </c>
      <c r="B80" s="5" t="inlineStr">
        <is>
          <t>Karitel</t>
        </is>
      </c>
      <c r="C80" s="36" t="n">
        <v>6.76</v>
      </c>
      <c r="D80" s="36" t="n">
        <v>7.11578947368421</v>
      </c>
      <c r="E80" s="36" t="n">
        <v>7.511111111111111</v>
      </c>
      <c r="F80" s="36" t="n">
        <v>7.952941176470588</v>
      </c>
      <c r="G80" s="36" t="n">
        <v>8.449999999999999</v>
      </c>
      <c r="H80" s="36" t="n">
        <v>9.013333333333334</v>
      </c>
      <c r="I80" s="36" t="n">
        <v>9.657142857142857</v>
      </c>
      <c r="J80" s="36" t="n">
        <v>10.4</v>
      </c>
      <c r="K80" s="36" t="n">
        <v>11.26666666666667</v>
      </c>
      <c r="L80" s="36" t="n">
        <v>12.29090909090909</v>
      </c>
      <c r="M80" s="36" t="n">
        <v>13.52</v>
      </c>
      <c r="N80" s="36" t="n">
        <v>15.02222222222222</v>
      </c>
      <c r="O80" s="36" t="n">
        <v>16.9</v>
      </c>
      <c r="P80" s="36" t="n">
        <v>19.31428571428571</v>
      </c>
      <c r="Q80" s="36" t="n">
        <v>22.53333333333333</v>
      </c>
      <c r="R80" s="36" t="n">
        <v>27.04</v>
      </c>
      <c r="S80" s="36" t="n">
        <v>33.8</v>
      </c>
      <c r="T80" s="36" t="n">
        <v>45.06666666666667</v>
      </c>
      <c r="U80" s="36" t="n">
        <v>67.59999999999999</v>
      </c>
      <c r="V80" s="36" t="n">
        <v>135.2</v>
      </c>
      <c r="W80" s="36" t="n">
        <v>16.05</v>
      </c>
      <c r="X80" s="36" t="n">
        <v>16.89473684210526</v>
      </c>
      <c r="Y80" s="36" t="n">
        <v>17.83333333333333</v>
      </c>
      <c r="Z80" s="36" t="n">
        <v>18.88235294117647</v>
      </c>
      <c r="AA80" s="36" t="n">
        <v>20.0625</v>
      </c>
      <c r="AB80" s="36" t="n">
        <v>21.4</v>
      </c>
      <c r="AC80" s="36" t="n">
        <v>22.92857142857143</v>
      </c>
      <c r="AD80" s="36" t="n">
        <v>24.69230769230769</v>
      </c>
      <c r="AE80" s="36" t="n">
        <v>26.75</v>
      </c>
      <c r="AF80" s="36" t="n">
        <v>29.18181818181818</v>
      </c>
      <c r="AG80" s="36" t="n">
        <v>32.1</v>
      </c>
      <c r="AH80" s="36" t="n">
        <v>35.66666666666666</v>
      </c>
      <c r="AI80" s="36" t="n">
        <v>40.125</v>
      </c>
      <c r="AJ80" s="36" t="n">
        <v>45.85714285714286</v>
      </c>
      <c r="AK80" s="36" t="n">
        <v>53.50000000000001</v>
      </c>
      <c r="AL80" s="36" t="n">
        <v>64.2</v>
      </c>
      <c r="AM80" s="36" t="n">
        <v>80.25</v>
      </c>
      <c r="AN80" s="36" t="n">
        <v>107</v>
      </c>
      <c r="AO80" s="36" t="n">
        <v>160.5</v>
      </c>
      <c r="AP80" s="36" t="n">
        <v>321</v>
      </c>
    </row>
    <row r="81">
      <c r="A81" s="5" t="inlineStr">
        <is>
          <t>P75</t>
        </is>
      </c>
      <c r="B81" s="5" t="inlineStr">
        <is>
          <t>Karitel</t>
        </is>
      </c>
      <c r="C81" s="36" t="n">
        <v>5.75</v>
      </c>
      <c r="D81" s="36" t="n">
        <v>6.052631578947369</v>
      </c>
      <c r="E81" s="36" t="n">
        <v>6.388888888888888</v>
      </c>
      <c r="F81" s="36" t="n">
        <v>6.764705882352941</v>
      </c>
      <c r="G81" s="36" t="n">
        <v>7.1875</v>
      </c>
      <c r="H81" s="36" t="n">
        <v>7.666666666666667</v>
      </c>
      <c r="I81" s="36" t="n">
        <v>8.214285714285715</v>
      </c>
      <c r="J81" s="36" t="n">
        <v>8.846153846153847</v>
      </c>
      <c r="K81" s="36" t="n">
        <v>9.583333333333334</v>
      </c>
      <c r="L81" s="36" t="n">
        <v>10.45454545454545</v>
      </c>
      <c r="M81" s="36" t="n">
        <v>11.5</v>
      </c>
      <c r="N81" s="36" t="n">
        <v>12.77777777777778</v>
      </c>
      <c r="O81" s="36" t="n">
        <v>14.375</v>
      </c>
      <c r="P81" s="36" t="n">
        <v>16.42857142857143</v>
      </c>
      <c r="Q81" s="36" t="n">
        <v>19.16666666666667</v>
      </c>
      <c r="R81" s="36" t="n">
        <v>23</v>
      </c>
      <c r="S81" s="36" t="n">
        <v>28.75</v>
      </c>
      <c r="T81" s="36" t="n">
        <v>38.33333333333334</v>
      </c>
      <c r="U81" s="36" t="n">
        <v>57.5</v>
      </c>
      <c r="V81" s="36" t="n">
        <v>115</v>
      </c>
      <c r="W81" s="36" t="n">
        <v>11.2</v>
      </c>
      <c r="X81" s="36" t="n">
        <v>11.78947368421053</v>
      </c>
      <c r="Y81" s="36" t="n">
        <v>12.44444444444444</v>
      </c>
      <c r="Z81" s="36" t="n">
        <v>13.17647058823529</v>
      </c>
      <c r="AA81" s="36" t="n">
        <v>14</v>
      </c>
      <c r="AB81" s="36" t="n">
        <v>14.93333333333333</v>
      </c>
      <c r="AC81" s="36" t="n">
        <v>16</v>
      </c>
      <c r="AD81" s="36" t="n">
        <v>17.23076923076923</v>
      </c>
      <c r="AE81" s="36" t="n">
        <v>18.66666666666667</v>
      </c>
      <c r="AF81" s="36" t="n">
        <v>20.36363636363636</v>
      </c>
      <c r="AG81" s="36" t="n">
        <v>22.4</v>
      </c>
      <c r="AH81" s="36" t="n">
        <v>24.88888888888889</v>
      </c>
      <c r="AI81" s="36" t="n">
        <v>28</v>
      </c>
      <c r="AJ81" s="36" t="n">
        <v>32</v>
      </c>
      <c r="AK81" s="36" t="n">
        <v>37.33333333333334</v>
      </c>
      <c r="AL81" s="36" t="n">
        <v>44.8</v>
      </c>
      <c r="AM81" s="36" t="n">
        <v>55.99999999999999</v>
      </c>
      <c r="AN81" s="36" t="n">
        <v>74.66666666666667</v>
      </c>
      <c r="AO81" s="36" t="n">
        <v>112</v>
      </c>
      <c r="AP81" s="36" t="n">
        <v>224</v>
      </c>
    </row>
    <row r="82">
      <c r="A82" s="5" t="inlineStr">
        <is>
          <t>P76</t>
        </is>
      </c>
      <c r="B82" s="5" t="inlineStr">
        <is>
          <t>Karitel</t>
        </is>
      </c>
      <c r="C82" s="36" t="n">
        <v>3.8</v>
      </c>
      <c r="D82" s="36" t="n">
        <v>4</v>
      </c>
      <c r="E82" s="36" t="n">
        <v>4.222222222222222</v>
      </c>
      <c r="F82" s="36" t="n">
        <v>4.470588235294118</v>
      </c>
      <c r="G82" s="36" t="n">
        <v>4.749999999999999</v>
      </c>
      <c r="H82" s="36" t="n">
        <v>5.066666666666666</v>
      </c>
      <c r="I82" s="36" t="n">
        <v>5.428571428571429</v>
      </c>
      <c r="J82" s="36" t="n">
        <v>5.846153846153846</v>
      </c>
      <c r="K82" s="36" t="n">
        <v>6.333333333333333</v>
      </c>
      <c r="L82" s="36" t="n">
        <v>6.909090909090908</v>
      </c>
      <c r="M82" s="36" t="n">
        <v>7.6</v>
      </c>
      <c r="N82" s="36" t="n">
        <v>8.444444444444445</v>
      </c>
      <c r="O82" s="36" t="n">
        <v>9.499999999999998</v>
      </c>
      <c r="P82" s="36" t="n">
        <v>10.85714285714286</v>
      </c>
      <c r="Q82" s="36" t="n">
        <v>12.66666666666667</v>
      </c>
      <c r="R82" s="36" t="n">
        <v>15.2</v>
      </c>
      <c r="S82" s="36" t="n">
        <v>19</v>
      </c>
      <c r="T82" s="36" t="n">
        <v>25.33333333333333</v>
      </c>
      <c r="U82" s="36" t="n">
        <v>37.99999999999999</v>
      </c>
      <c r="V82" s="36" t="n">
        <v>75.99999999999999</v>
      </c>
      <c r="W82" s="36" t="n">
        <v>7.9</v>
      </c>
      <c r="X82" s="36" t="n">
        <v>8.315789473684211</v>
      </c>
      <c r="Y82" s="36" t="n">
        <v>8.777777777777779</v>
      </c>
      <c r="Z82" s="36" t="n">
        <v>9.294117647058824</v>
      </c>
      <c r="AA82" s="36" t="n">
        <v>9.875</v>
      </c>
      <c r="AB82" s="36" t="n">
        <v>10.53333333333333</v>
      </c>
      <c r="AC82" s="36" t="n">
        <v>11.28571428571429</v>
      </c>
      <c r="AD82" s="36" t="n">
        <v>12.15384615384615</v>
      </c>
      <c r="AE82" s="36" t="n">
        <v>13.16666666666667</v>
      </c>
      <c r="AF82" s="36" t="n">
        <v>14.36363636363636</v>
      </c>
      <c r="AG82" s="36" t="n">
        <v>15.8</v>
      </c>
      <c r="AH82" s="36" t="n">
        <v>17.55555555555556</v>
      </c>
      <c r="AI82" s="36" t="n">
        <v>19.75</v>
      </c>
      <c r="AJ82" s="36" t="n">
        <v>22.57142857142858</v>
      </c>
      <c r="AK82" s="36" t="n">
        <v>26.33333333333334</v>
      </c>
      <c r="AL82" s="36" t="n">
        <v>31.6</v>
      </c>
      <c r="AM82" s="36" t="n">
        <v>39.5</v>
      </c>
      <c r="AN82" s="36" t="n">
        <v>52.66666666666668</v>
      </c>
      <c r="AO82" s="36" t="n">
        <v>79</v>
      </c>
      <c r="AP82" s="36" t="n">
        <v>158</v>
      </c>
    </row>
    <row r="83">
      <c r="A83" s="5" t="inlineStr">
        <is>
          <t>P101</t>
        </is>
      </c>
      <c r="B83" s="5" t="inlineStr">
        <is>
          <t>RDM</t>
        </is>
      </c>
      <c r="C83" s="36" t="n">
        <v>5.28</v>
      </c>
      <c r="D83" s="36" t="n">
        <v>5.557894736842106</v>
      </c>
      <c r="E83" s="36" t="n">
        <v>5.866666666666667</v>
      </c>
      <c r="F83" s="36" t="n">
        <v>6.211764705882353</v>
      </c>
      <c r="G83" s="36" t="n">
        <v>6.6</v>
      </c>
      <c r="H83" s="36" t="n">
        <v>7.04</v>
      </c>
      <c r="I83" s="36" t="n">
        <v>7.542857142857144</v>
      </c>
      <c r="J83" s="36" t="n">
        <v>8.123076923076923</v>
      </c>
      <c r="K83" s="36" t="n">
        <v>8.800000000000001</v>
      </c>
      <c r="L83" s="36" t="n">
        <v>9.6</v>
      </c>
      <c r="M83" s="36" t="n">
        <v>10.56</v>
      </c>
      <c r="N83" s="36" t="n">
        <v>11.73333333333333</v>
      </c>
      <c r="O83" s="36" t="n">
        <v>13.2</v>
      </c>
      <c r="P83" s="36" t="n">
        <v>15.08571428571429</v>
      </c>
      <c r="Q83" s="36" t="n">
        <v>17.6</v>
      </c>
      <c r="R83" s="36" t="n">
        <v>21.12</v>
      </c>
      <c r="S83" s="36" t="n">
        <v>26.4</v>
      </c>
      <c r="T83" s="36" t="n">
        <v>35.2</v>
      </c>
      <c r="U83" s="36" t="n">
        <v>52.8</v>
      </c>
      <c r="V83" s="36" t="n">
        <v>105.6</v>
      </c>
      <c r="W83" s="36" t="n">
        <v>13.26</v>
      </c>
      <c r="X83" s="36" t="n">
        <v>13.95789473684211</v>
      </c>
      <c r="Y83" s="36" t="n">
        <v>14.73333333333333</v>
      </c>
      <c r="Z83" s="36" t="n">
        <v>15.6</v>
      </c>
      <c r="AA83" s="36" t="n">
        <v>16.575</v>
      </c>
      <c r="AB83" s="36" t="n">
        <v>17.68</v>
      </c>
      <c r="AC83" s="36" t="n">
        <v>18.94285714285714</v>
      </c>
      <c r="AD83" s="36" t="n">
        <v>20.4</v>
      </c>
      <c r="AE83" s="36" t="n">
        <v>22.1</v>
      </c>
      <c r="AF83" s="36" t="n">
        <v>24.10909090909091</v>
      </c>
      <c r="AG83" s="36" t="n">
        <v>26.52</v>
      </c>
      <c r="AH83" s="36" t="n">
        <v>29.46666666666667</v>
      </c>
      <c r="AI83" s="36" t="n">
        <v>33.15</v>
      </c>
      <c r="AJ83" s="36" t="n">
        <v>37.88571428571429</v>
      </c>
      <c r="AK83" s="36" t="n">
        <v>44.2</v>
      </c>
      <c r="AL83" s="36" t="n">
        <v>53.04</v>
      </c>
      <c r="AM83" s="36" t="n">
        <v>66.3</v>
      </c>
      <c r="AN83" s="36" t="n">
        <v>88.40000000000001</v>
      </c>
      <c r="AO83" s="36" t="n">
        <v>132.6</v>
      </c>
      <c r="AP83" s="36" t="n">
        <v>265.2</v>
      </c>
    </row>
    <row r="84">
      <c r="A84" s="5" t="inlineStr">
        <is>
          <t>P102</t>
        </is>
      </c>
      <c r="B84" s="5" t="inlineStr">
        <is>
          <t>RDM</t>
        </is>
      </c>
      <c r="C84" s="36" t="n">
        <v>5.445</v>
      </c>
      <c r="D84" s="36" t="n">
        <v>5.731578947368422</v>
      </c>
      <c r="E84" s="36" t="n">
        <v>6.05</v>
      </c>
      <c r="F84" s="36" t="n">
        <v>6.405882352941177</v>
      </c>
      <c r="G84" s="36" t="n">
        <v>6.80625</v>
      </c>
      <c r="H84" s="36" t="n">
        <v>7.260000000000001</v>
      </c>
      <c r="I84" s="36" t="n">
        <v>7.778571428571429</v>
      </c>
      <c r="J84" s="36" t="n">
        <v>8.376923076923077</v>
      </c>
      <c r="K84" s="36" t="n">
        <v>9.075000000000001</v>
      </c>
      <c r="L84" s="36" t="n">
        <v>9.9</v>
      </c>
      <c r="M84" s="36" t="n">
        <v>10.89</v>
      </c>
      <c r="N84" s="36" t="n">
        <v>12.1</v>
      </c>
      <c r="O84" s="36" t="n">
        <v>13.6125</v>
      </c>
      <c r="P84" s="36" t="n">
        <v>15.55714285714286</v>
      </c>
      <c r="Q84" s="36" t="n">
        <v>18.15</v>
      </c>
      <c r="R84" s="36" t="n">
        <v>21.78</v>
      </c>
      <c r="S84" s="36" t="n">
        <v>27.225</v>
      </c>
      <c r="T84" s="36" t="n">
        <v>36.3</v>
      </c>
      <c r="U84" s="36" t="n">
        <v>54.45</v>
      </c>
      <c r="V84" s="36" t="n">
        <v>108.9</v>
      </c>
      <c r="W84" s="36" t="n">
        <v>12.18</v>
      </c>
      <c r="X84" s="36" t="n">
        <v>12.82105263157895</v>
      </c>
      <c r="Y84" s="36" t="n">
        <v>13.53333333333333</v>
      </c>
      <c r="Z84" s="36" t="n">
        <v>14.32941176470588</v>
      </c>
      <c r="AA84" s="36" t="n">
        <v>15.225</v>
      </c>
      <c r="AB84" s="36" t="n">
        <v>16.24</v>
      </c>
      <c r="AC84" s="36" t="n">
        <v>17.4</v>
      </c>
      <c r="AD84" s="36" t="n">
        <v>18.73846153846154</v>
      </c>
      <c r="AE84" s="36" t="n">
        <v>20.3</v>
      </c>
      <c r="AF84" s="36" t="n">
        <v>22.14545454545454</v>
      </c>
      <c r="AG84" s="36" t="n">
        <v>24.36</v>
      </c>
      <c r="AH84" s="36" t="n">
        <v>27.06666666666667</v>
      </c>
      <c r="AI84" s="36" t="n">
        <v>30.45</v>
      </c>
      <c r="AJ84" s="36" t="n">
        <v>34.8</v>
      </c>
      <c r="AK84" s="36" t="n">
        <v>40.6</v>
      </c>
      <c r="AL84" s="36" t="n">
        <v>48.72</v>
      </c>
      <c r="AM84" s="36" t="n">
        <v>60.9</v>
      </c>
      <c r="AN84" s="36" t="n">
        <v>81.2</v>
      </c>
      <c r="AO84" s="36" t="n">
        <v>121.8</v>
      </c>
      <c r="AP84" s="36" t="n">
        <v>243.6</v>
      </c>
    </row>
    <row r="85">
      <c r="A85" s="5" t="inlineStr">
        <is>
          <t>P103</t>
        </is>
      </c>
      <c r="B85" s="5" t="inlineStr">
        <is>
          <t>RDM</t>
        </is>
      </c>
      <c r="C85" s="36" t="n">
        <v>5.06</v>
      </c>
      <c r="D85" s="36" t="n">
        <v>5.326315789473684</v>
      </c>
      <c r="E85" s="36" t="n">
        <v>5.622222222222222</v>
      </c>
      <c r="F85" s="36" t="n">
        <v>5.952941176470588</v>
      </c>
      <c r="G85" s="36" t="n">
        <v>6.324999999999999</v>
      </c>
      <c r="H85" s="36" t="n">
        <v>6.746666666666666</v>
      </c>
      <c r="I85" s="36" t="n">
        <v>7.228571428571429</v>
      </c>
      <c r="J85" s="36" t="n">
        <v>7.784615384615384</v>
      </c>
      <c r="K85" s="36" t="n">
        <v>8.433333333333334</v>
      </c>
      <c r="L85" s="36" t="n">
        <v>9.199999999999999</v>
      </c>
      <c r="M85" s="36" t="n">
        <v>10.12</v>
      </c>
      <c r="N85" s="36" t="n">
        <v>11.24444444444444</v>
      </c>
      <c r="O85" s="36" t="n">
        <v>12.65</v>
      </c>
      <c r="P85" s="36" t="n">
        <v>14.45714285714286</v>
      </c>
      <c r="Q85" s="36" t="n">
        <v>16.86666666666667</v>
      </c>
      <c r="R85" s="36" t="n">
        <v>20.24</v>
      </c>
      <c r="S85" s="36" t="n">
        <v>25.3</v>
      </c>
      <c r="T85" s="36" t="n">
        <v>33.73333333333333</v>
      </c>
      <c r="U85" s="36" t="n">
        <v>50.59999999999999</v>
      </c>
      <c r="V85" s="36" t="n">
        <v>101.2</v>
      </c>
      <c r="W85" s="36" t="n">
        <v>12.18</v>
      </c>
      <c r="X85" s="36" t="n">
        <v>12.82105263157895</v>
      </c>
      <c r="Y85" s="36" t="n">
        <v>13.53333333333333</v>
      </c>
      <c r="Z85" s="36" t="n">
        <v>14.32941176470588</v>
      </c>
      <c r="AA85" s="36" t="n">
        <v>15.225</v>
      </c>
      <c r="AB85" s="36" t="n">
        <v>16.24</v>
      </c>
      <c r="AC85" s="36" t="n">
        <v>17.4</v>
      </c>
      <c r="AD85" s="36" t="n">
        <v>18.73846153846154</v>
      </c>
      <c r="AE85" s="36" t="n">
        <v>20.3</v>
      </c>
      <c r="AF85" s="36" t="n">
        <v>22.14545454545454</v>
      </c>
      <c r="AG85" s="36" t="n">
        <v>24.36</v>
      </c>
      <c r="AH85" s="36" t="n">
        <v>27.06666666666667</v>
      </c>
      <c r="AI85" s="36" t="n">
        <v>30.45</v>
      </c>
      <c r="AJ85" s="36" t="n">
        <v>34.8</v>
      </c>
      <c r="AK85" s="36" t="n">
        <v>40.6</v>
      </c>
      <c r="AL85" s="36" t="n">
        <v>48.72</v>
      </c>
      <c r="AM85" s="36" t="n">
        <v>60.9</v>
      </c>
      <c r="AN85" s="36" t="n">
        <v>81.2</v>
      </c>
      <c r="AO85" s="36" t="n">
        <v>121.8</v>
      </c>
      <c r="AP85" s="36" t="n">
        <v>243.6</v>
      </c>
    </row>
    <row r="86">
      <c r="A86" s="5" t="inlineStr">
        <is>
          <t>P104</t>
        </is>
      </c>
      <c r="B86" s="5" t="inlineStr">
        <is>
          <t>RDM</t>
        </is>
      </c>
      <c r="C86" s="36" t="n">
        <v>5.005</v>
      </c>
      <c r="D86" s="36" t="n">
        <v>5.268421052631579</v>
      </c>
      <c r="E86" s="36" t="n">
        <v>5.561111111111111</v>
      </c>
      <c r="F86" s="36" t="n">
        <v>5.888235294117647</v>
      </c>
      <c r="G86" s="36" t="n">
        <v>6.25625</v>
      </c>
      <c r="H86" s="36" t="n">
        <v>6.673333333333333</v>
      </c>
      <c r="I86" s="36" t="n">
        <v>7.15</v>
      </c>
      <c r="J86" s="36" t="n">
        <v>7.699999999999999</v>
      </c>
      <c r="K86" s="36" t="n">
        <v>8.341666666666667</v>
      </c>
      <c r="L86" s="36" t="n">
        <v>9.1</v>
      </c>
      <c r="M86" s="36" t="n">
        <v>10.01</v>
      </c>
      <c r="N86" s="36" t="n">
        <v>11.12222222222222</v>
      </c>
      <c r="O86" s="36" t="n">
        <v>12.5125</v>
      </c>
      <c r="P86" s="36" t="n">
        <v>14.3</v>
      </c>
      <c r="Q86" s="36" t="n">
        <v>16.68333333333333</v>
      </c>
      <c r="R86" s="36" t="n">
        <v>20.02</v>
      </c>
      <c r="S86" s="36" t="n">
        <v>25.025</v>
      </c>
      <c r="T86" s="36" t="n">
        <v>33.36666666666667</v>
      </c>
      <c r="U86" s="36" t="n">
        <v>50.05</v>
      </c>
      <c r="V86" s="36" t="n">
        <v>100.1</v>
      </c>
      <c r="W86" s="36" t="n">
        <v>12.18</v>
      </c>
      <c r="X86" s="36" t="n">
        <v>12.82105263157895</v>
      </c>
      <c r="Y86" s="36" t="n">
        <v>13.53333333333333</v>
      </c>
      <c r="Z86" s="36" t="n">
        <v>14.3294117647059</v>
      </c>
      <c r="AA86" s="36" t="n">
        <v>15.225</v>
      </c>
      <c r="AB86" s="36" t="n">
        <v>16.24</v>
      </c>
      <c r="AC86" s="36" t="n">
        <v>17.4</v>
      </c>
      <c r="AD86" s="36" t="n">
        <v>18.73846153846154</v>
      </c>
      <c r="AE86" s="36" t="n">
        <v>20.3</v>
      </c>
      <c r="AF86" s="36" t="n">
        <v>22.14545454545454</v>
      </c>
      <c r="AG86" s="36" t="n">
        <v>24.36</v>
      </c>
      <c r="AH86" s="36" t="n">
        <v>27.06666666666667</v>
      </c>
      <c r="AI86" s="36" t="n">
        <v>30.45</v>
      </c>
      <c r="AJ86" s="36" t="n">
        <v>34.8</v>
      </c>
      <c r="AK86" s="36" t="n">
        <v>40.6</v>
      </c>
      <c r="AL86" s="36" t="n">
        <v>48.72</v>
      </c>
      <c r="AM86" s="36" t="n">
        <v>60.9</v>
      </c>
      <c r="AN86" s="36" t="n">
        <v>81.2</v>
      </c>
      <c r="AO86" s="36" t="n">
        <v>121.8</v>
      </c>
      <c r="AP86" s="36" t="n">
        <v>243.6</v>
      </c>
    </row>
    <row r="87">
      <c r="A87" s="5" t="inlineStr">
        <is>
          <t>P105</t>
        </is>
      </c>
      <c r="B87" s="5" t="inlineStr">
        <is>
          <t>RDM</t>
        </is>
      </c>
      <c r="C87" s="36" t="n">
        <v>5.225</v>
      </c>
      <c r="D87" s="36" t="n">
        <v>5.5</v>
      </c>
      <c r="E87" s="36" t="n">
        <v>5.805555555555555</v>
      </c>
      <c r="F87" s="36" t="n">
        <v>6.147058823529411</v>
      </c>
      <c r="G87" s="36" t="n">
        <v>6.531249999999999</v>
      </c>
      <c r="H87" s="36" t="n">
        <v>6.966666666666666</v>
      </c>
      <c r="I87" s="36" t="n">
        <v>7.464285714285714</v>
      </c>
      <c r="J87" s="36" t="n">
        <v>8.038461538461538</v>
      </c>
      <c r="K87" s="36" t="n">
        <v>8.708333333333334</v>
      </c>
      <c r="L87" s="36" t="n">
        <v>9.499999999999998</v>
      </c>
      <c r="M87" s="36" t="n">
        <v>10.45</v>
      </c>
      <c r="N87" s="36" t="n">
        <v>11.61111111111111</v>
      </c>
      <c r="O87" s="36" t="n">
        <v>13.0625</v>
      </c>
      <c r="P87" s="36" t="n">
        <v>14.92857142857143</v>
      </c>
      <c r="Q87" s="36" t="n">
        <v>17.41666666666667</v>
      </c>
      <c r="R87" s="36" t="n">
        <v>20.9</v>
      </c>
      <c r="S87" s="36" t="n">
        <v>26.125</v>
      </c>
      <c r="T87" s="36" t="n">
        <v>34.83333333333334</v>
      </c>
      <c r="U87" s="36" t="n">
        <v>52.24999999999999</v>
      </c>
      <c r="V87" s="36" t="n">
        <v>104.5</v>
      </c>
      <c r="W87" s="36" t="n">
        <v>12.18</v>
      </c>
      <c r="X87" s="36" t="n">
        <v>12.82105263157895</v>
      </c>
      <c r="Y87" s="36" t="n">
        <v>13.53333333333333</v>
      </c>
      <c r="Z87" s="36" t="n">
        <v>14.32941176470588</v>
      </c>
      <c r="AA87" s="36" t="n">
        <v>15.225</v>
      </c>
      <c r="AB87" s="36" t="n">
        <v>16.24</v>
      </c>
      <c r="AC87" s="36" t="n">
        <v>17.4</v>
      </c>
      <c r="AD87" s="36" t="n">
        <v>18.73846153846154</v>
      </c>
      <c r="AE87" s="36" t="n">
        <v>20.3</v>
      </c>
      <c r="AF87" s="36" t="n">
        <v>22.14545454545454</v>
      </c>
      <c r="AG87" s="36" t="n">
        <v>24.36</v>
      </c>
      <c r="AH87" s="36" t="n">
        <v>27.06666666666667</v>
      </c>
      <c r="AI87" s="36" t="n">
        <v>30.45</v>
      </c>
      <c r="AJ87" s="36" t="n">
        <v>34.8</v>
      </c>
      <c r="AK87" s="36" t="n">
        <v>40.6</v>
      </c>
      <c r="AL87" s="36" t="n">
        <v>48.72</v>
      </c>
      <c r="AM87" s="36" t="n">
        <v>60.9</v>
      </c>
      <c r="AN87" s="36" t="n">
        <v>81.2</v>
      </c>
      <c r="AO87" s="36" t="n">
        <v>121.8</v>
      </c>
      <c r="AP87" s="36" t="n">
        <v>243.6</v>
      </c>
    </row>
    <row r="88">
      <c r="A88" s="5" t="inlineStr">
        <is>
          <t>P106</t>
        </is>
      </c>
      <c r="B88" s="5" t="inlineStr">
        <is>
          <t>RDM</t>
        </is>
      </c>
      <c r="C88" s="36" t="n">
        <v>5.34</v>
      </c>
      <c r="D88" s="36" t="n">
        <v>5.621052631578947</v>
      </c>
      <c r="E88" s="36" t="n">
        <v>5.933333333333333</v>
      </c>
      <c r="F88" s="36" t="n">
        <v>6.28235294117647</v>
      </c>
      <c r="G88" s="36" t="n">
        <v>6.675</v>
      </c>
      <c r="H88" s="36" t="n">
        <v>7.12</v>
      </c>
      <c r="I88" s="36" t="n">
        <v>7.628571428571429</v>
      </c>
      <c r="J88" s="36" t="n">
        <v>8.215384615384615</v>
      </c>
      <c r="K88" s="36" t="n">
        <v>8.9</v>
      </c>
      <c r="L88" s="36" t="n">
        <v>9.709090909090907</v>
      </c>
      <c r="M88" s="36" t="n">
        <v>10.68</v>
      </c>
      <c r="N88" s="36" t="n">
        <v>11.86666666666667</v>
      </c>
      <c r="O88" s="36" t="n">
        <v>13.35</v>
      </c>
      <c r="P88" s="36" t="n">
        <v>15.25714285714286</v>
      </c>
      <c r="Q88" s="36" t="n">
        <v>17.8</v>
      </c>
      <c r="R88" s="36" t="n">
        <v>21.36</v>
      </c>
      <c r="S88" s="36" t="n">
        <v>26.7</v>
      </c>
      <c r="T88" s="36" t="n">
        <v>35.6</v>
      </c>
      <c r="U88" s="36" t="n">
        <v>53.4</v>
      </c>
      <c r="V88" s="36" t="n">
        <v>106.8</v>
      </c>
      <c r="W88" s="36" t="n">
        <v>12.18</v>
      </c>
      <c r="X88" s="36" t="n">
        <v>12.82105263157895</v>
      </c>
      <c r="Y88" s="36" t="n">
        <v>13.53333333333333</v>
      </c>
      <c r="Z88" s="36" t="n">
        <v>14.32941176470588</v>
      </c>
      <c r="AA88" s="36" t="n">
        <v>15.225</v>
      </c>
      <c r="AB88" s="36" t="n">
        <v>16.24</v>
      </c>
      <c r="AC88" s="36" t="n">
        <v>17.4</v>
      </c>
      <c r="AD88" s="36" t="n">
        <v>18.73846153846154</v>
      </c>
      <c r="AE88" s="36" t="n">
        <v>20.3</v>
      </c>
      <c r="AF88" s="36" t="n">
        <v>22.14545454545454</v>
      </c>
      <c r="AG88" s="36" t="n">
        <v>24.36</v>
      </c>
      <c r="AH88" s="36" t="n">
        <v>27.06666666666667</v>
      </c>
      <c r="AI88" s="36" t="n">
        <v>30.45</v>
      </c>
      <c r="AJ88" s="36" t="n">
        <v>34.8</v>
      </c>
      <c r="AK88" s="36" t="n">
        <v>40.6</v>
      </c>
      <c r="AL88" s="36" t="n">
        <v>48.72</v>
      </c>
      <c r="AM88" s="36" t="n">
        <v>60.9</v>
      </c>
      <c r="AN88" s="36" t="n">
        <v>81.2</v>
      </c>
      <c r="AO88" s="36" t="n">
        <v>121.8</v>
      </c>
      <c r="AP88" s="36" t="n">
        <v>243.6</v>
      </c>
    </row>
    <row r="89">
      <c r="A89" s="5" t="inlineStr">
        <is>
          <t>P107</t>
        </is>
      </c>
      <c r="B89" s="5" t="inlineStr">
        <is>
          <t>RDM</t>
        </is>
      </c>
      <c r="C89" s="36" t="n">
        <v>5.225</v>
      </c>
      <c r="D89" s="36" t="n">
        <v>5.5</v>
      </c>
      <c r="E89" s="36" t="n">
        <v>5.805555555555555</v>
      </c>
      <c r="F89" s="36" t="n">
        <v>6.147058823529411</v>
      </c>
      <c r="G89" s="36" t="n">
        <v>6.531249999999999</v>
      </c>
      <c r="H89" s="36" t="n">
        <v>6.966666666666666</v>
      </c>
      <c r="I89" s="36" t="n">
        <v>7.464285714285714</v>
      </c>
      <c r="J89" s="36" t="n">
        <v>8.038461538461538</v>
      </c>
      <c r="K89" s="36" t="n">
        <v>8.708333333333334</v>
      </c>
      <c r="L89" s="36" t="n">
        <v>9.499999999999998</v>
      </c>
      <c r="M89" s="36" t="n">
        <v>10.45</v>
      </c>
      <c r="N89" s="36" t="n">
        <v>11.61111111111111</v>
      </c>
      <c r="O89" s="36" t="n">
        <v>13.0625</v>
      </c>
      <c r="P89" s="36" t="n">
        <v>14.92857142857143</v>
      </c>
      <c r="Q89" s="36" t="n">
        <v>17.41666666666667</v>
      </c>
      <c r="R89" s="36" t="n">
        <v>20.9</v>
      </c>
      <c r="S89" s="36" t="n">
        <v>26.125</v>
      </c>
      <c r="T89" s="36" t="n">
        <v>34.83333333333334</v>
      </c>
      <c r="U89" s="36" t="n">
        <v>52.24999999999999</v>
      </c>
      <c r="V89" s="36" t="n">
        <v>104.5</v>
      </c>
      <c r="W89" s="36" t="n">
        <v>12.18</v>
      </c>
      <c r="X89" s="36" t="n">
        <v>12.82105263157895</v>
      </c>
      <c r="Y89" s="36" t="n">
        <v>13.53333333333333</v>
      </c>
      <c r="Z89" s="36" t="n">
        <v>14.32941176470588</v>
      </c>
      <c r="AA89" s="36" t="n">
        <v>15.225</v>
      </c>
      <c r="AB89" s="36" t="n">
        <v>16.24</v>
      </c>
      <c r="AC89" s="36" t="n">
        <v>17.4</v>
      </c>
      <c r="AD89" s="36" t="n">
        <v>18.73846153846154</v>
      </c>
      <c r="AE89" s="36" t="n">
        <v>20.3</v>
      </c>
      <c r="AF89" s="36" t="n">
        <v>22.14545454545454</v>
      </c>
      <c r="AG89" s="36" t="n">
        <v>24.36</v>
      </c>
      <c r="AH89" s="36" t="n">
        <v>27.06666666666667</v>
      </c>
      <c r="AI89" s="36" t="n">
        <v>30.45</v>
      </c>
      <c r="AJ89" s="36" t="n">
        <v>34.8</v>
      </c>
      <c r="AK89" s="36" t="n">
        <v>40.6</v>
      </c>
      <c r="AL89" s="36" t="n">
        <v>48.72</v>
      </c>
      <c r="AM89" s="36" t="n">
        <v>60.9</v>
      </c>
      <c r="AN89" s="36" t="n">
        <v>81.2</v>
      </c>
      <c r="AO89" s="36" t="n">
        <v>121.8</v>
      </c>
      <c r="AP89" s="36" t="n">
        <v>243.6</v>
      </c>
    </row>
    <row r="90">
      <c r="A90" s="5" t="inlineStr">
        <is>
          <t>P108</t>
        </is>
      </c>
      <c r="B90" s="5" t="inlineStr">
        <is>
          <t>RDM</t>
        </is>
      </c>
      <c r="C90" s="36" t="n">
        <v>5.5</v>
      </c>
      <c r="D90" s="36" t="n">
        <v>5.789473684210527</v>
      </c>
      <c r="E90" s="36" t="n">
        <v>6.111111111111111</v>
      </c>
      <c r="F90" s="36" t="n">
        <v>6.470588235294118</v>
      </c>
      <c r="G90" s="36" t="n">
        <v>6.875</v>
      </c>
      <c r="H90" s="36" t="n">
        <v>7.333333333333333</v>
      </c>
      <c r="I90" s="36" t="n">
        <v>7.857142857142858</v>
      </c>
      <c r="J90" s="36" t="n">
        <v>8.461538461538462</v>
      </c>
      <c r="K90" s="36" t="n">
        <v>9.166666666666668</v>
      </c>
      <c r="L90" s="36" t="n">
        <v>10</v>
      </c>
      <c r="M90" s="36" t="n">
        <v>11</v>
      </c>
      <c r="N90" s="36" t="n">
        <v>12.22222222222222</v>
      </c>
      <c r="O90" s="36" t="n">
        <v>13.75</v>
      </c>
      <c r="P90" s="36" t="n">
        <v>15.71428571428572</v>
      </c>
      <c r="Q90" s="36" t="n">
        <v>18.33333333333334</v>
      </c>
      <c r="R90" s="36" t="n">
        <v>22</v>
      </c>
      <c r="S90" s="36" t="n">
        <v>27.5</v>
      </c>
      <c r="T90" s="36" t="n">
        <v>36.66666666666667</v>
      </c>
      <c r="U90" s="36" t="n">
        <v>55</v>
      </c>
      <c r="V90" s="36" t="n">
        <v>110</v>
      </c>
      <c r="W90" s="36" t="n">
        <v>12.18</v>
      </c>
      <c r="X90" s="36" t="n">
        <v>12.82105263157895</v>
      </c>
      <c r="Y90" s="36" t="n">
        <v>13.53333333333333</v>
      </c>
      <c r="Z90" s="36" t="n">
        <v>14.32941176470588</v>
      </c>
      <c r="AA90" s="36" t="n">
        <v>15.225</v>
      </c>
      <c r="AB90" s="36" t="n">
        <v>16.24</v>
      </c>
      <c r="AC90" s="36" t="n">
        <v>17.4</v>
      </c>
      <c r="AD90" s="36" t="n">
        <v>18.73846153846154</v>
      </c>
      <c r="AE90" s="36" t="n">
        <v>20.3</v>
      </c>
      <c r="AF90" s="36" t="n">
        <v>22.14545454545454</v>
      </c>
      <c r="AG90" s="36" t="n">
        <v>24.36</v>
      </c>
      <c r="AH90" s="36" t="n">
        <v>27.06666666666667</v>
      </c>
      <c r="AI90" s="36" t="n">
        <v>30.45</v>
      </c>
      <c r="AJ90" s="36" t="n">
        <v>34.8</v>
      </c>
      <c r="AK90" s="36" t="n">
        <v>40.6</v>
      </c>
      <c r="AL90" s="36" t="n">
        <v>48.72</v>
      </c>
      <c r="AM90" s="36" t="n">
        <v>60.9</v>
      </c>
      <c r="AN90" s="36" t="n">
        <v>81.2</v>
      </c>
      <c r="AO90" s="36" t="n">
        <v>121.8</v>
      </c>
      <c r="AP90" s="36" t="n">
        <v>243.6</v>
      </c>
    </row>
    <row r="91">
      <c r="A91" s="5" t="inlineStr">
        <is>
          <t>P109</t>
        </is>
      </c>
      <c r="B91" s="5" t="inlineStr">
        <is>
          <t>RDM</t>
        </is>
      </c>
      <c r="C91" s="36" t="n">
        <v>5.83</v>
      </c>
      <c r="D91" s="36" t="n">
        <v>6.136842105263158</v>
      </c>
      <c r="E91" s="36" t="n">
        <v>6.477777777777778</v>
      </c>
      <c r="F91" s="36" t="n">
        <v>6.858823529411765</v>
      </c>
      <c r="G91" s="36" t="n">
        <v>7.2875</v>
      </c>
      <c r="H91" s="36" t="n">
        <v>7.773333333333333</v>
      </c>
      <c r="I91" s="36" t="n">
        <v>8.328571428571429</v>
      </c>
      <c r="J91" s="36" t="n">
        <v>8.969230769230769</v>
      </c>
      <c r="K91" s="36" t="n">
        <v>9.716666666666667</v>
      </c>
      <c r="L91" s="36" t="n">
        <v>10.6</v>
      </c>
      <c r="M91" s="36" t="n">
        <v>11.66</v>
      </c>
      <c r="N91" s="36" t="n">
        <v>12.95555555555556</v>
      </c>
      <c r="O91" s="36" t="n">
        <v>14.575</v>
      </c>
      <c r="P91" s="36" t="n">
        <v>16.65714285714286</v>
      </c>
      <c r="Q91" s="36" t="n">
        <v>19.43333333333333</v>
      </c>
      <c r="R91" s="36" t="n">
        <v>23.32</v>
      </c>
      <c r="S91" s="36" t="n">
        <v>29.15</v>
      </c>
      <c r="T91" s="36" t="n">
        <v>38.86666666666667</v>
      </c>
      <c r="U91" s="36" t="n">
        <v>58.3</v>
      </c>
      <c r="V91" s="36" t="n">
        <v>116.6</v>
      </c>
      <c r="W91" s="36" t="n">
        <v>12.18</v>
      </c>
      <c r="X91" s="36" t="n">
        <v>12.82105263157895</v>
      </c>
      <c r="Y91" s="36" t="n">
        <v>13.5333333333333</v>
      </c>
      <c r="Z91" s="36" t="n">
        <v>14.32941176470588</v>
      </c>
      <c r="AA91" s="36" t="n">
        <v>15.225</v>
      </c>
      <c r="AB91" s="36" t="n">
        <v>16.24</v>
      </c>
      <c r="AC91" s="36" t="n">
        <v>17.4</v>
      </c>
      <c r="AD91" s="36" t="n">
        <v>18.73846153846154</v>
      </c>
      <c r="AE91" s="36" t="n">
        <v>20.3</v>
      </c>
      <c r="AF91" s="36" t="n">
        <v>22.14545454545454</v>
      </c>
      <c r="AG91" s="36" t="n">
        <v>24.36</v>
      </c>
      <c r="AH91" s="36" t="n">
        <v>27.06666666666667</v>
      </c>
      <c r="AI91" s="36" t="n">
        <v>30.45</v>
      </c>
      <c r="AJ91" s="36" t="n">
        <v>34.8</v>
      </c>
      <c r="AK91" s="36" t="n">
        <v>40.6</v>
      </c>
      <c r="AL91" s="36" t="n">
        <v>48.72</v>
      </c>
      <c r="AM91" s="36" t="n">
        <v>60.9</v>
      </c>
      <c r="AN91" s="36" t="n">
        <v>81.2</v>
      </c>
      <c r="AO91" s="36" t="n">
        <v>121.8</v>
      </c>
      <c r="AP91" s="36" t="n">
        <v>243.6</v>
      </c>
    </row>
    <row r="92">
      <c r="A92" s="5" t="inlineStr">
        <is>
          <t>P110</t>
        </is>
      </c>
      <c r="B92" s="5" t="inlineStr">
        <is>
          <t>RDM</t>
        </is>
      </c>
      <c r="C92" s="36" t="n">
        <v>5.4</v>
      </c>
      <c r="D92" s="36" t="n">
        <v>5.68421052631579</v>
      </c>
      <c r="E92" s="36" t="n">
        <v>6</v>
      </c>
      <c r="F92" s="36" t="n">
        <v>6.352941176470589</v>
      </c>
      <c r="G92" s="36" t="n">
        <v>6.75</v>
      </c>
      <c r="H92" s="36" t="n">
        <v>7.2</v>
      </c>
      <c r="I92" s="36" t="n">
        <v>7.714285714285715</v>
      </c>
      <c r="J92" s="36" t="n">
        <v>8.307692307692308</v>
      </c>
      <c r="K92" s="36" t="n">
        <v>9.000000000000002</v>
      </c>
      <c r="L92" s="36" t="n">
        <v>9.818181818181818</v>
      </c>
      <c r="M92" s="36" t="n">
        <v>10.8</v>
      </c>
      <c r="N92" s="36" t="n">
        <v>12</v>
      </c>
      <c r="O92" s="36" t="n">
        <v>13.5</v>
      </c>
      <c r="P92" s="36" t="n">
        <v>15.42857142857143</v>
      </c>
      <c r="Q92" s="36" t="n">
        <v>18</v>
      </c>
      <c r="R92" s="36" t="n">
        <v>21.6</v>
      </c>
      <c r="S92" s="36" t="n">
        <v>27</v>
      </c>
      <c r="T92" s="36" t="n">
        <v>36.00000000000001</v>
      </c>
      <c r="U92" s="36" t="n">
        <v>54</v>
      </c>
      <c r="V92" s="36" t="n">
        <v>108</v>
      </c>
      <c r="W92" s="36" t="n">
        <v>12.18</v>
      </c>
      <c r="X92" s="36" t="n">
        <v>12.82105263157895</v>
      </c>
      <c r="Y92" s="36" t="n">
        <v>13.53333333333333</v>
      </c>
      <c r="Z92" s="36" t="n">
        <v>14.32941176470588</v>
      </c>
      <c r="AA92" s="36" t="n">
        <v>15.225</v>
      </c>
      <c r="AB92" s="36" t="n">
        <v>16.24</v>
      </c>
      <c r="AC92" s="36" t="n">
        <v>17.4</v>
      </c>
      <c r="AD92" s="36" t="n">
        <v>18.73846153846154</v>
      </c>
      <c r="AE92" s="36" t="n">
        <v>20.3</v>
      </c>
      <c r="AF92" s="36" t="n">
        <v>22.14545454545454</v>
      </c>
      <c r="AG92" s="36" t="n">
        <v>24.36</v>
      </c>
      <c r="AH92" s="36" t="n">
        <v>27.0666666666667</v>
      </c>
      <c r="AI92" s="36" t="n">
        <v>30.45</v>
      </c>
      <c r="AJ92" s="36" t="n">
        <v>34.8</v>
      </c>
      <c r="AK92" s="36" t="n">
        <v>40.6</v>
      </c>
      <c r="AL92" s="36" t="n">
        <v>48.72</v>
      </c>
      <c r="AM92" s="36" t="n">
        <v>60.9</v>
      </c>
      <c r="AN92" s="36" t="n">
        <v>81.2</v>
      </c>
      <c r="AO92" s="36" t="n">
        <v>121.8</v>
      </c>
      <c r="AP92" s="36" t="n">
        <v>243.6</v>
      </c>
    </row>
    <row r="93">
      <c r="A93" s="5" t="inlineStr">
        <is>
          <t>P112</t>
        </is>
      </c>
      <c r="B93" s="5" t="inlineStr">
        <is>
          <t>RDM</t>
        </is>
      </c>
      <c r="C93" s="36" t="n">
        <v>6.16</v>
      </c>
      <c r="D93" s="36" t="n">
        <v>6.48421052631579</v>
      </c>
      <c r="E93" s="36" t="n">
        <v>6.844444444444444</v>
      </c>
      <c r="F93" s="36" t="n">
        <v>7.247058823529412</v>
      </c>
      <c r="G93" s="36" t="n">
        <v>7.7</v>
      </c>
      <c r="H93" s="36" t="n">
        <v>8.213333333333333</v>
      </c>
      <c r="I93" s="36" t="n">
        <v>8.800000000000001</v>
      </c>
      <c r="J93" s="36" t="n">
        <v>9.476923076923077</v>
      </c>
      <c r="K93" s="36" t="n">
        <v>10.26666666666667</v>
      </c>
      <c r="L93" s="36" t="n">
        <v>11.2</v>
      </c>
      <c r="M93" s="36" t="n">
        <v>12.32</v>
      </c>
      <c r="N93" s="36" t="n">
        <v>13.68888888888889</v>
      </c>
      <c r="O93" s="36" t="n">
        <v>15.4</v>
      </c>
      <c r="P93" s="36" t="n">
        <v>17.6</v>
      </c>
      <c r="Q93" s="36" t="n">
        <v>20.53333333333333</v>
      </c>
      <c r="R93" s="36" t="n">
        <v>24.64</v>
      </c>
      <c r="S93" s="36" t="n">
        <v>30.8</v>
      </c>
      <c r="T93" s="36" t="n">
        <v>41.06666666666667</v>
      </c>
      <c r="U93" s="36" t="n">
        <v>61.6</v>
      </c>
      <c r="V93" s="36" t="n">
        <v>123.2</v>
      </c>
      <c r="W93" s="36" t="n">
        <v>15.26</v>
      </c>
      <c r="X93" s="36" t="n">
        <v>16.06315789473684</v>
      </c>
      <c r="Y93" s="36" t="n">
        <v>16.95555555555556</v>
      </c>
      <c r="Z93" s="36" t="n">
        <v>17.95294117647059</v>
      </c>
      <c r="AA93" s="36" t="n">
        <v>19.075</v>
      </c>
      <c r="AB93" s="36" t="n">
        <v>20.34666666666667</v>
      </c>
      <c r="AC93" s="36" t="n">
        <v>21.8</v>
      </c>
      <c r="AD93" s="36" t="n">
        <v>23.47692307692308</v>
      </c>
      <c r="AE93" s="36" t="n">
        <v>25.43333333333333</v>
      </c>
      <c r="AF93" s="36" t="n">
        <v>27.74545454545454</v>
      </c>
      <c r="AG93" s="36" t="n">
        <v>30.52</v>
      </c>
      <c r="AH93" s="36" t="n">
        <v>33.91111111111111</v>
      </c>
      <c r="AI93" s="36" t="n">
        <v>38.15</v>
      </c>
      <c r="AJ93" s="36" t="n">
        <v>43.6</v>
      </c>
      <c r="AK93" s="36" t="n">
        <v>50.86666666666667</v>
      </c>
      <c r="AL93" s="36" t="n">
        <v>61.04</v>
      </c>
      <c r="AM93" s="36" t="n">
        <v>76.3</v>
      </c>
      <c r="AN93" s="36" t="n">
        <v>101.7333333333333</v>
      </c>
      <c r="AO93" s="36" t="n">
        <v>152.6</v>
      </c>
      <c r="AP93" s="36" t="n">
        <v>305.2</v>
      </c>
    </row>
    <row r="94">
      <c r="A94" s="5" t="inlineStr">
        <is>
          <t>P113</t>
        </is>
      </c>
      <c r="B94" s="5" t="inlineStr">
        <is>
          <t>RDM</t>
        </is>
      </c>
      <c r="C94" s="36" t="n">
        <v>6.23</v>
      </c>
      <c r="D94" s="36" t="n">
        <v>6.557894736842106</v>
      </c>
      <c r="E94" s="36" t="n">
        <v>6.922222222222222</v>
      </c>
      <c r="F94" s="36" t="n">
        <v>7.329411764705883</v>
      </c>
      <c r="G94" s="36" t="n">
        <v>7.787500000000001</v>
      </c>
      <c r="H94" s="36" t="n">
        <v>8.306666666666667</v>
      </c>
      <c r="I94" s="36" t="n">
        <v>8.9</v>
      </c>
      <c r="J94" s="36" t="n">
        <v>9.584615384615384</v>
      </c>
      <c r="K94" s="36" t="n">
        <v>10.38333333333333</v>
      </c>
      <c r="L94" s="36" t="n">
        <v>11.32727272727273</v>
      </c>
      <c r="M94" s="36" t="n">
        <v>12.46</v>
      </c>
      <c r="N94" s="36" t="n">
        <v>13.84444444444444</v>
      </c>
      <c r="O94" s="36" t="n">
        <v>15.575</v>
      </c>
      <c r="P94" s="36" t="n">
        <v>17.8</v>
      </c>
      <c r="Q94" s="36" t="n">
        <v>20.76666666666667</v>
      </c>
      <c r="R94" s="36" t="n">
        <v>24.92</v>
      </c>
      <c r="S94" s="36" t="n">
        <v>31.15</v>
      </c>
      <c r="T94" s="36" t="n">
        <v>41.53333333333334</v>
      </c>
      <c r="U94" s="36" t="n">
        <v>62.3</v>
      </c>
      <c r="V94" s="36" t="n">
        <v>124.6</v>
      </c>
      <c r="W94" s="36" t="n">
        <v>15.25</v>
      </c>
      <c r="X94" s="36" t="n">
        <v>16.05263157894737</v>
      </c>
      <c r="Y94" s="36" t="n">
        <v>16.94444444444444</v>
      </c>
      <c r="Z94" s="36" t="n">
        <v>17.94117647058824</v>
      </c>
      <c r="AA94" s="36" t="n">
        <v>19.0625</v>
      </c>
      <c r="AB94" s="36" t="n">
        <v>20.33333333333333</v>
      </c>
      <c r="AC94" s="36" t="n">
        <v>21.78571428571429</v>
      </c>
      <c r="AD94" s="36" t="n">
        <v>23.46153846153846</v>
      </c>
      <c r="AE94" s="36" t="n">
        <v>25.41666666666667</v>
      </c>
      <c r="AF94" s="36" t="n">
        <v>27.72727272727273</v>
      </c>
      <c r="AG94" s="36" t="n">
        <v>30.5</v>
      </c>
      <c r="AH94" s="36" t="n">
        <v>33.88888888888889</v>
      </c>
      <c r="AI94" s="36" t="n">
        <v>38.125</v>
      </c>
      <c r="AJ94" s="36" t="n">
        <v>43.57142857142858</v>
      </c>
      <c r="AK94" s="36" t="n">
        <v>50.83333333333334</v>
      </c>
      <c r="AL94" s="36" t="n">
        <v>61</v>
      </c>
      <c r="AM94" s="36" t="n">
        <v>76.25</v>
      </c>
      <c r="AN94" s="36" t="n">
        <v>101.6666666666667</v>
      </c>
      <c r="AO94" s="36" t="n">
        <v>152.5</v>
      </c>
      <c r="AP94" s="36" t="n">
        <v>305</v>
      </c>
    </row>
    <row r="95">
      <c r="A95" s="5" t="inlineStr">
        <is>
          <t>P114</t>
        </is>
      </c>
      <c r="B95" s="5" t="inlineStr">
        <is>
          <t>RDM</t>
        </is>
      </c>
      <c r="C95" s="36" t="n">
        <v>5.76</v>
      </c>
      <c r="D95" s="36" t="n">
        <v>6.063157894736842</v>
      </c>
      <c r="E95" s="36" t="n">
        <v>6.399999999999999</v>
      </c>
      <c r="F95" s="36" t="n">
        <v>6.776470588235294</v>
      </c>
      <c r="G95" s="36" t="n">
        <v>7.199999999999999</v>
      </c>
      <c r="H95" s="36" t="n">
        <v>7.68</v>
      </c>
      <c r="I95" s="36" t="n">
        <v>8.22857142857143</v>
      </c>
      <c r="J95" s="36" t="n">
        <v>8.86153846153846</v>
      </c>
      <c r="K95" s="36" t="n">
        <v>9.6</v>
      </c>
      <c r="L95" s="36" t="n">
        <v>10.47272727272727</v>
      </c>
      <c r="M95" s="36" t="n">
        <v>11.52</v>
      </c>
      <c r="N95" s="36" t="n">
        <v>12.8</v>
      </c>
      <c r="O95" s="36" t="n">
        <v>14.4</v>
      </c>
      <c r="P95" s="36" t="n">
        <v>16.45714285714286</v>
      </c>
      <c r="Q95" s="36" t="n">
        <v>19.2</v>
      </c>
      <c r="R95" s="36" t="n">
        <v>23.04</v>
      </c>
      <c r="S95" s="36" t="n">
        <v>28.8</v>
      </c>
      <c r="T95" s="36" t="n">
        <v>38.4</v>
      </c>
      <c r="U95" s="36" t="n">
        <v>57.59999999999999</v>
      </c>
      <c r="V95" s="36" t="n">
        <v>115.2</v>
      </c>
      <c r="W95" s="36" t="n">
        <v>13.26</v>
      </c>
      <c r="X95" s="36" t="n">
        <v>13.95789473684211</v>
      </c>
      <c r="Y95" s="36" t="n">
        <v>14.73333333333333</v>
      </c>
      <c r="Z95" s="36" t="n">
        <v>15.6</v>
      </c>
      <c r="AA95" s="36" t="n">
        <v>16.575</v>
      </c>
      <c r="AB95" s="36" t="n">
        <v>17.68</v>
      </c>
      <c r="AC95" s="36" t="n">
        <v>18.94285714285714</v>
      </c>
      <c r="AD95" s="36" t="n">
        <v>20.4</v>
      </c>
      <c r="AE95" s="36" t="n">
        <v>22.1</v>
      </c>
      <c r="AF95" s="36" t="n">
        <v>24.10909090909091</v>
      </c>
      <c r="AG95" s="36" t="n">
        <v>26.52</v>
      </c>
      <c r="AH95" s="36" t="n">
        <v>29.46666666666667</v>
      </c>
      <c r="AI95" s="36" t="n">
        <v>33.15</v>
      </c>
      <c r="AJ95" s="36" t="n">
        <v>37.88571428571429</v>
      </c>
      <c r="AK95" s="36" t="n">
        <v>44.2</v>
      </c>
      <c r="AL95" s="36" t="n">
        <v>53.04</v>
      </c>
      <c r="AM95" s="36" t="n">
        <v>66.3</v>
      </c>
      <c r="AN95" s="36" t="n">
        <v>88.40000000000001</v>
      </c>
      <c r="AO95" s="36" t="n">
        <v>132.6</v>
      </c>
      <c r="AP95" s="36" t="n">
        <v>265.2</v>
      </c>
    </row>
    <row r="96">
      <c r="A96" s="5" t="inlineStr">
        <is>
          <t>P115</t>
        </is>
      </c>
      <c r="B96" s="5" t="inlineStr">
        <is>
          <t>RDM</t>
        </is>
      </c>
      <c r="C96" s="36" t="n">
        <v>6.65</v>
      </c>
      <c r="D96" s="36" t="n">
        <v>7.000000000000001</v>
      </c>
      <c r="E96" s="36" t="n">
        <v>7.388888888888889</v>
      </c>
      <c r="F96" s="36" t="n">
        <v>7.823529411764707</v>
      </c>
      <c r="G96" s="36" t="n">
        <v>8.3125</v>
      </c>
      <c r="H96" s="36" t="n">
        <v>8.866666666666667</v>
      </c>
      <c r="I96" s="36" t="n">
        <v>9.500000000000002</v>
      </c>
      <c r="J96" s="36" t="n">
        <v>10.23076923076923</v>
      </c>
      <c r="K96" s="36" t="n">
        <v>11.08333333333333</v>
      </c>
      <c r="L96" s="36" t="n">
        <v>12.09090909090909</v>
      </c>
      <c r="M96" s="36" t="n">
        <v>13.3</v>
      </c>
      <c r="N96" s="36" t="n">
        <v>14.77777777777778</v>
      </c>
      <c r="O96" s="36" t="n">
        <v>16.625</v>
      </c>
      <c r="P96" s="36" t="n">
        <v>19</v>
      </c>
      <c r="Q96" s="36" t="n">
        <v>22.16666666666667</v>
      </c>
      <c r="R96" s="36" t="n">
        <v>26.6</v>
      </c>
      <c r="S96" s="36" t="n">
        <v>33.25</v>
      </c>
      <c r="T96" s="36" t="n">
        <v>44.33333333333334</v>
      </c>
      <c r="U96" s="36" t="n">
        <v>66.5</v>
      </c>
      <c r="V96" s="36" t="n">
        <v>133</v>
      </c>
      <c r="W96" s="36" t="n">
        <v>15.26</v>
      </c>
      <c r="X96" s="36" t="n">
        <v>16.06315789473684</v>
      </c>
      <c r="Y96" s="36" t="n">
        <v>16.95555555555556</v>
      </c>
      <c r="Z96" s="36" t="n">
        <v>17.95294117647059</v>
      </c>
      <c r="AA96" s="36" t="n">
        <v>19.075</v>
      </c>
      <c r="AB96" s="36" t="n">
        <v>20.34666666666667</v>
      </c>
      <c r="AC96" s="36" t="n">
        <v>21.8</v>
      </c>
      <c r="AD96" s="36" t="n">
        <v>23.47692307692308</v>
      </c>
      <c r="AE96" s="36" t="n">
        <v>25.43333333333333</v>
      </c>
      <c r="AF96" s="36" t="n">
        <v>27.74545454545454</v>
      </c>
      <c r="AG96" s="36" t="n">
        <v>30.52</v>
      </c>
      <c r="AH96" s="36" t="n">
        <v>33.91111111111111</v>
      </c>
      <c r="AI96" s="36" t="n">
        <v>38.15</v>
      </c>
      <c r="AJ96" s="36" t="n">
        <v>43.6</v>
      </c>
      <c r="AK96" s="36" t="n">
        <v>50.86666666666667</v>
      </c>
      <c r="AL96" s="36" t="n">
        <v>61.04</v>
      </c>
      <c r="AM96" s="36" t="n">
        <v>76.3</v>
      </c>
      <c r="AN96" s="36" t="n">
        <v>101.7333333333333</v>
      </c>
      <c r="AO96" s="36" t="n">
        <v>152.6</v>
      </c>
      <c r="AP96" s="36" t="n">
        <v>305.2</v>
      </c>
    </row>
    <row r="97">
      <c r="A97" s="5" t="inlineStr">
        <is>
          <t>P116</t>
        </is>
      </c>
      <c r="B97" s="5" t="inlineStr">
        <is>
          <t>RDM</t>
        </is>
      </c>
      <c r="C97" s="36" t="n">
        <v>6.93</v>
      </c>
      <c r="D97" s="36" t="n">
        <v>7.294736842105263</v>
      </c>
      <c r="E97" s="36" t="n">
        <v>7.699999999999999</v>
      </c>
      <c r="F97" s="36" t="n">
        <v>8.152941176470588</v>
      </c>
      <c r="G97" s="36" t="n">
        <v>8.6625</v>
      </c>
      <c r="H97" s="36" t="n">
        <v>9.24</v>
      </c>
      <c r="I97" s="36" t="n">
        <v>9.9</v>
      </c>
      <c r="J97" s="36" t="n">
        <v>10.66153846153846</v>
      </c>
      <c r="K97" s="36" t="n">
        <v>11.55</v>
      </c>
      <c r="L97" s="36" t="n">
        <v>12.6</v>
      </c>
      <c r="M97" s="36" t="n">
        <v>13.86</v>
      </c>
      <c r="N97" s="36" t="n">
        <v>15.4</v>
      </c>
      <c r="O97" s="36" t="n">
        <v>17.325</v>
      </c>
      <c r="P97" s="36" t="n">
        <v>19.8</v>
      </c>
      <c r="Q97" s="36" t="n">
        <v>23.1</v>
      </c>
      <c r="R97" s="36" t="n">
        <v>27.72</v>
      </c>
      <c r="S97" s="36" t="n">
        <v>34.65</v>
      </c>
      <c r="T97" s="36" t="n">
        <v>46.2</v>
      </c>
      <c r="U97" s="36" t="n">
        <v>69.3</v>
      </c>
      <c r="V97" s="36" t="n">
        <v>138.6</v>
      </c>
      <c r="W97" s="36" t="n">
        <v>15.26</v>
      </c>
      <c r="X97" s="36" t="n">
        <v>16.06315789473684</v>
      </c>
      <c r="Y97" s="36" t="n">
        <v>16.95555555555556</v>
      </c>
      <c r="Z97" s="36" t="n">
        <v>17.95294117647059</v>
      </c>
      <c r="AA97" s="36" t="n">
        <v>19.075</v>
      </c>
      <c r="AB97" s="36" t="n">
        <v>20.34666666666667</v>
      </c>
      <c r="AC97" s="36" t="n">
        <v>21.8</v>
      </c>
      <c r="AD97" s="36" t="n">
        <v>23.47692307692308</v>
      </c>
      <c r="AE97" s="36" t="n">
        <v>25.43333333333333</v>
      </c>
      <c r="AF97" s="36" t="n">
        <v>27.74545454545454</v>
      </c>
      <c r="AG97" s="36" t="n">
        <v>30.52</v>
      </c>
      <c r="AH97" s="36" t="n">
        <v>33.91111111111111</v>
      </c>
      <c r="AI97" s="36" t="n">
        <v>38.15</v>
      </c>
      <c r="AJ97" s="36" t="n">
        <v>43.6</v>
      </c>
      <c r="AK97" s="36" t="n">
        <v>50.86666666666667</v>
      </c>
      <c r="AL97" s="36" t="n">
        <v>61.04</v>
      </c>
      <c r="AM97" s="36" t="n">
        <v>76.3</v>
      </c>
      <c r="AN97" s="36" t="n">
        <v>101.7333333333333</v>
      </c>
      <c r="AO97" s="36" t="n">
        <v>152.6</v>
      </c>
      <c r="AP97" s="36" t="n">
        <v>305.2</v>
      </c>
    </row>
    <row r="98">
      <c r="A98" s="5" t="inlineStr">
        <is>
          <t>P117</t>
        </is>
      </c>
      <c r="B98" s="5" t="inlineStr">
        <is>
          <t>RDM</t>
        </is>
      </c>
      <c r="C98" s="36" t="n">
        <v>6.44</v>
      </c>
      <c r="D98" s="36" t="n">
        <v>6.778947368421053</v>
      </c>
      <c r="E98" s="36" t="n">
        <v>7.155555555555556</v>
      </c>
      <c r="F98" s="36" t="n">
        <v>7.576470588235295</v>
      </c>
      <c r="G98" s="36" t="n">
        <v>8.050000000000001</v>
      </c>
      <c r="H98" s="36" t="n">
        <v>8.586666666666668</v>
      </c>
      <c r="I98" s="36" t="n">
        <v>9.200000000000001</v>
      </c>
      <c r="J98" s="36" t="n">
        <v>9.907692307692308</v>
      </c>
      <c r="K98" s="36" t="n">
        <v>10.73333333333333</v>
      </c>
      <c r="L98" s="36" t="n">
        <v>11.70909090909091</v>
      </c>
      <c r="M98" s="36" t="n">
        <v>12.88</v>
      </c>
      <c r="N98" s="36" t="n">
        <v>14.31111111111111</v>
      </c>
      <c r="O98" s="36" t="n">
        <v>16.1</v>
      </c>
      <c r="P98" s="36" t="n">
        <v>18.4</v>
      </c>
      <c r="Q98" s="36" t="n">
        <v>21.46666666666667</v>
      </c>
      <c r="R98" s="36" t="n">
        <v>25.76</v>
      </c>
      <c r="S98" s="36" t="n">
        <v>32.2</v>
      </c>
      <c r="T98" s="36" t="n">
        <v>42.93333333333334</v>
      </c>
      <c r="U98" s="36" t="n">
        <v>64.40000000000001</v>
      </c>
      <c r="V98" s="36" t="n">
        <v>128.8</v>
      </c>
      <c r="W98" s="36" t="n">
        <v>15.26</v>
      </c>
      <c r="X98" s="36" t="n">
        <v>16.06315789473684</v>
      </c>
      <c r="Y98" s="36" t="n">
        <v>16.95555555555556</v>
      </c>
      <c r="Z98" s="36" t="n">
        <v>17.95294117647059</v>
      </c>
      <c r="AA98" s="36" t="n">
        <v>19.075</v>
      </c>
      <c r="AB98" s="36" t="n">
        <v>20.34666666666667</v>
      </c>
      <c r="AC98" s="36" t="n">
        <v>21.8</v>
      </c>
      <c r="AD98" s="36" t="n">
        <v>23.47692307692308</v>
      </c>
      <c r="AE98" s="36" t="n">
        <v>25.43333333333333</v>
      </c>
      <c r="AF98" s="36" t="n">
        <v>27.74545454545454</v>
      </c>
      <c r="AG98" s="36" t="n">
        <v>30.52</v>
      </c>
      <c r="AH98" s="36" t="n">
        <v>33.91111111111111</v>
      </c>
      <c r="AI98" s="36" t="n">
        <v>38.15</v>
      </c>
      <c r="AJ98" s="36" t="n">
        <v>43.6</v>
      </c>
      <c r="AK98" s="36" t="n">
        <v>50.86666666666667</v>
      </c>
      <c r="AL98" s="36" t="n">
        <v>61.04</v>
      </c>
      <c r="AM98" s="36" t="n">
        <v>76.3</v>
      </c>
      <c r="AN98" s="36" t="n">
        <v>101.7333333333333</v>
      </c>
      <c r="AO98" s="36" t="n">
        <v>152.6</v>
      </c>
      <c r="AP98" s="36" t="n">
        <v>305.2</v>
      </c>
    </row>
    <row r="99">
      <c r="A99" s="5" t="inlineStr">
        <is>
          <t>P118</t>
        </is>
      </c>
      <c r="B99" s="5" t="inlineStr">
        <is>
          <t>RDM</t>
        </is>
      </c>
      <c r="C99" s="36" t="n">
        <v>6.93</v>
      </c>
      <c r="D99" s="36" t="n">
        <v>7.294736842105263</v>
      </c>
      <c r="E99" s="36" t="n">
        <v>7.699999999999999</v>
      </c>
      <c r="F99" s="36" t="n">
        <v>8.152941176470588</v>
      </c>
      <c r="G99" s="36" t="n">
        <v>8.6625</v>
      </c>
      <c r="H99" s="36" t="n">
        <v>9.24</v>
      </c>
      <c r="I99" s="36" t="n">
        <v>9.9</v>
      </c>
      <c r="J99" s="36" t="n">
        <v>10.66153846153846</v>
      </c>
      <c r="K99" s="36" t="n">
        <v>11.55</v>
      </c>
      <c r="L99" s="36" t="n">
        <v>12.6</v>
      </c>
      <c r="M99" s="36" t="n">
        <v>13.86</v>
      </c>
      <c r="N99" s="36" t="n">
        <v>15.4</v>
      </c>
      <c r="O99" s="36" t="n">
        <v>17.325</v>
      </c>
      <c r="P99" s="36" t="n">
        <v>19.8</v>
      </c>
      <c r="Q99" s="36" t="n">
        <v>23.1</v>
      </c>
      <c r="R99" s="36" t="n">
        <v>27.72</v>
      </c>
      <c r="S99" s="36" t="n">
        <v>34.65</v>
      </c>
      <c r="T99" s="36" t="n">
        <v>46.2</v>
      </c>
      <c r="U99" s="36" t="n">
        <v>69.3</v>
      </c>
      <c r="V99" s="36" t="n">
        <v>138.6</v>
      </c>
      <c r="W99" s="36" t="n">
        <v>15.25</v>
      </c>
      <c r="X99" s="36" t="n">
        <v>16.05263157894737</v>
      </c>
      <c r="Y99" s="36" t="n">
        <v>16.94444444444444</v>
      </c>
      <c r="Z99" s="36" t="n">
        <v>17.94117647058824</v>
      </c>
      <c r="AA99" s="36" t="n">
        <v>19.0625</v>
      </c>
      <c r="AB99" s="36" t="n">
        <v>20.33333333333333</v>
      </c>
      <c r="AC99" s="36" t="n">
        <v>21.78571428571429</v>
      </c>
      <c r="AD99" s="36" t="n">
        <v>23.46153846153846</v>
      </c>
      <c r="AE99" s="36" t="n">
        <v>25.41666666666667</v>
      </c>
      <c r="AF99" s="36" t="n">
        <v>27.72727272727273</v>
      </c>
      <c r="AG99" s="36" t="n">
        <v>30.5</v>
      </c>
      <c r="AH99" s="36" t="n">
        <v>33.88888888888889</v>
      </c>
      <c r="AI99" s="36" t="n">
        <v>38.125</v>
      </c>
      <c r="AJ99" s="36" t="n">
        <v>43.57142857142858</v>
      </c>
      <c r="AK99" s="36" t="n">
        <v>50.83333333333334</v>
      </c>
      <c r="AL99" s="36" t="n">
        <v>61</v>
      </c>
      <c r="AM99" s="36" t="n">
        <v>76.25</v>
      </c>
      <c r="AN99" s="36" t="n">
        <v>101.6666666666667</v>
      </c>
      <c r="AO99" s="36" t="n">
        <v>152.5</v>
      </c>
      <c r="AP99" s="36" t="n">
        <v>305</v>
      </c>
    </row>
    <row r="100">
      <c r="A100" s="5" t="inlineStr">
        <is>
          <t>P119</t>
        </is>
      </c>
      <c r="B100" s="5" t="inlineStr">
        <is>
          <t>RDM</t>
        </is>
      </c>
      <c r="C100" s="36" t="n">
        <v>6.79</v>
      </c>
      <c r="D100" s="36" t="n">
        <v>7.147368421052632</v>
      </c>
      <c r="E100" s="36" t="n">
        <v>7.544444444444444</v>
      </c>
      <c r="F100" s="36" t="n">
        <v>7.988235294117647</v>
      </c>
      <c r="G100" s="36" t="n">
        <v>8.487499999999999</v>
      </c>
      <c r="H100" s="36" t="n">
        <v>9.053333333333333</v>
      </c>
      <c r="I100" s="36" t="n">
        <v>9.700000000000001</v>
      </c>
      <c r="J100" s="36" t="n">
        <v>10.44615384615385</v>
      </c>
      <c r="K100" s="36" t="n">
        <v>11.31666666666667</v>
      </c>
      <c r="L100" s="36" t="n">
        <v>12.34545454545454</v>
      </c>
      <c r="M100" s="36" t="n">
        <v>13.58</v>
      </c>
      <c r="N100" s="36" t="n">
        <v>15.08888888888889</v>
      </c>
      <c r="O100" s="36" t="n">
        <v>16.975</v>
      </c>
      <c r="P100" s="36" t="n">
        <v>19.4</v>
      </c>
      <c r="Q100" s="36" t="n">
        <v>22.63333333333333</v>
      </c>
      <c r="R100" s="36" t="n">
        <v>27.16</v>
      </c>
      <c r="S100" s="36" t="n">
        <v>33.95</v>
      </c>
      <c r="T100" s="36" t="n">
        <v>45.26666666666667</v>
      </c>
      <c r="U100" s="36" t="n">
        <v>67.89999999999999</v>
      </c>
      <c r="V100" s="36" t="n">
        <v>135.8</v>
      </c>
      <c r="W100" s="36" t="n">
        <v>15.26</v>
      </c>
      <c r="X100" s="36" t="n">
        <v>16.06315789473684</v>
      </c>
      <c r="Y100" s="36" t="n">
        <v>16.95555555555556</v>
      </c>
      <c r="Z100" s="36" t="n">
        <v>17.95294117647059</v>
      </c>
      <c r="AA100" s="36" t="n">
        <v>19.075</v>
      </c>
      <c r="AB100" s="36" t="n">
        <v>20.34666666666667</v>
      </c>
      <c r="AC100" s="36" t="n">
        <v>21.8</v>
      </c>
      <c r="AD100" s="36" t="n">
        <v>23.47692307692308</v>
      </c>
      <c r="AE100" s="36" t="n">
        <v>25.43333333333333</v>
      </c>
      <c r="AF100" s="36" t="n">
        <v>27.74545454545454</v>
      </c>
      <c r="AG100" s="36" t="n">
        <v>30.52</v>
      </c>
      <c r="AH100" s="36" t="n">
        <v>33.91111111111111</v>
      </c>
      <c r="AI100" s="36" t="n">
        <v>38.15</v>
      </c>
      <c r="AJ100" s="36" t="n">
        <v>43.6</v>
      </c>
      <c r="AK100" s="36" t="n">
        <v>50.86666666666667</v>
      </c>
      <c r="AL100" s="36" t="n">
        <v>61.04</v>
      </c>
      <c r="AM100" s="36" t="n">
        <v>76.3</v>
      </c>
      <c r="AN100" s="36" t="n">
        <v>101.7333333333333</v>
      </c>
      <c r="AO100" s="36" t="n">
        <v>152.6</v>
      </c>
      <c r="AP100" s="36" t="n">
        <v>305.2</v>
      </c>
    </row>
    <row r="101">
      <c r="A101" s="5" t="inlineStr">
        <is>
          <t>P120</t>
        </is>
      </c>
      <c r="B101" s="5" t="inlineStr">
        <is>
          <t>RDM</t>
        </is>
      </c>
      <c r="C101" s="36" t="n">
        <v>6.79</v>
      </c>
      <c r="D101" s="36" t="n">
        <v>7.147368421052632</v>
      </c>
      <c r="E101" s="36" t="n">
        <v>7.544444444444444</v>
      </c>
      <c r="F101" s="36" t="n">
        <v>7.988235294117647</v>
      </c>
      <c r="G101" s="36" t="n">
        <v>8.487499999999999</v>
      </c>
      <c r="H101" s="36" t="n">
        <v>9.053333333333333</v>
      </c>
      <c r="I101" s="36" t="n">
        <v>9.700000000000001</v>
      </c>
      <c r="J101" s="36" t="n">
        <v>10.44615384615385</v>
      </c>
      <c r="K101" s="36" t="n">
        <v>11.31666666666667</v>
      </c>
      <c r="L101" s="36" t="n">
        <v>12.34545454545454</v>
      </c>
      <c r="M101" s="36" t="n">
        <v>13.58</v>
      </c>
      <c r="N101" s="36" t="n">
        <v>15.08888888888889</v>
      </c>
      <c r="O101" s="36" t="n">
        <v>16.975</v>
      </c>
      <c r="P101" s="36" t="n">
        <v>19.4</v>
      </c>
      <c r="Q101" s="36" t="n">
        <v>22.63333333333333</v>
      </c>
      <c r="R101" s="36" t="n">
        <v>27.16</v>
      </c>
      <c r="S101" s="36" t="n">
        <v>33.95</v>
      </c>
      <c r="T101" s="36" t="n">
        <v>45.26666666666667</v>
      </c>
      <c r="U101" s="36" t="n">
        <v>67.89999999999999</v>
      </c>
      <c r="V101" s="36" t="n">
        <v>135.8</v>
      </c>
      <c r="W101" s="36" t="n">
        <v>15.26</v>
      </c>
      <c r="X101" s="36" t="n">
        <v>16.06315789473684</v>
      </c>
      <c r="Y101" s="36" t="n">
        <v>16.95555555555556</v>
      </c>
      <c r="Z101" s="36" t="n">
        <v>17.95294117647059</v>
      </c>
      <c r="AA101" s="36" t="n">
        <v>19.075</v>
      </c>
      <c r="AB101" s="36" t="n">
        <v>20.34666666666667</v>
      </c>
      <c r="AC101" s="36" t="n">
        <v>21.8</v>
      </c>
      <c r="AD101" s="36" t="n">
        <v>23.47692307692308</v>
      </c>
      <c r="AE101" s="36" t="n">
        <v>25.43333333333333</v>
      </c>
      <c r="AF101" s="36" t="n">
        <v>27.74545454545454</v>
      </c>
      <c r="AG101" s="36" t="n">
        <v>30.52</v>
      </c>
      <c r="AH101" s="36" t="n">
        <v>33.91111111111111</v>
      </c>
      <c r="AI101" s="36" t="n">
        <v>38.15</v>
      </c>
      <c r="AJ101" s="36" t="n">
        <v>43.6</v>
      </c>
      <c r="AK101" s="36" t="n">
        <v>50.86666666666667</v>
      </c>
      <c r="AL101" s="36" t="n">
        <v>61.04</v>
      </c>
      <c r="AM101" s="36" t="n">
        <v>76.3</v>
      </c>
      <c r="AN101" s="36" t="n">
        <v>101.7333333333333</v>
      </c>
      <c r="AO101" s="36" t="n">
        <v>152.6</v>
      </c>
      <c r="AP101" s="36" t="n">
        <v>305.2</v>
      </c>
    </row>
    <row r="102">
      <c r="A102" s="5" t="inlineStr">
        <is>
          <t>P121</t>
        </is>
      </c>
      <c r="B102" s="5" t="inlineStr">
        <is>
          <t>RDM</t>
        </is>
      </c>
      <c r="C102" s="36" t="n">
        <v>6.65</v>
      </c>
      <c r="D102" s="36" t="n">
        <v>7.000000000000001</v>
      </c>
      <c r="E102" s="36" t="n">
        <v>7.388888888888889</v>
      </c>
      <c r="F102" s="36" t="n">
        <v>7.823529411764707</v>
      </c>
      <c r="G102" s="36" t="n">
        <v>8.3125</v>
      </c>
      <c r="H102" s="36" t="n">
        <v>8.866666666666667</v>
      </c>
      <c r="I102" s="36" t="n">
        <v>9.500000000000002</v>
      </c>
      <c r="J102" s="36" t="n">
        <v>10.23076923076923</v>
      </c>
      <c r="K102" s="36" t="n">
        <v>11.08333333333333</v>
      </c>
      <c r="L102" s="36" t="n">
        <v>12.09090909090909</v>
      </c>
      <c r="M102" s="36" t="n">
        <v>13.3</v>
      </c>
      <c r="N102" s="36" t="n">
        <v>14.77777777777778</v>
      </c>
      <c r="O102" s="36" t="n">
        <v>16.625</v>
      </c>
      <c r="P102" s="36" t="n">
        <v>19</v>
      </c>
      <c r="Q102" s="36" t="n">
        <v>22.16666666666667</v>
      </c>
      <c r="R102" s="36" t="n">
        <v>26.6</v>
      </c>
      <c r="S102" s="36" t="n">
        <v>33.25</v>
      </c>
      <c r="T102" s="36" t="n">
        <v>44.33333333333334</v>
      </c>
      <c r="U102" s="36" t="n">
        <v>66.5</v>
      </c>
      <c r="V102" s="36" t="n">
        <v>133</v>
      </c>
      <c r="W102" s="36" t="n">
        <v>15.26</v>
      </c>
      <c r="X102" s="36" t="n">
        <v>16.06315789473684</v>
      </c>
      <c r="Y102" s="36" t="n">
        <v>16.95555555555556</v>
      </c>
      <c r="Z102" s="36" t="n">
        <v>17.95294117647059</v>
      </c>
      <c r="AA102" s="36" t="n">
        <v>19.075</v>
      </c>
      <c r="AB102" s="36" t="n">
        <v>20.34666666666667</v>
      </c>
      <c r="AC102" s="36" t="n">
        <v>21.8</v>
      </c>
      <c r="AD102" s="36" t="n">
        <v>23.47692307692308</v>
      </c>
      <c r="AE102" s="36" t="n">
        <v>25.43333333333333</v>
      </c>
      <c r="AF102" s="36" t="n">
        <v>27.74545454545454</v>
      </c>
      <c r="AG102" s="36" t="n">
        <v>30.52</v>
      </c>
      <c r="AH102" s="36" t="n">
        <v>33.91111111111111</v>
      </c>
      <c r="AI102" s="36" t="n">
        <v>38.15</v>
      </c>
      <c r="AJ102" s="36" t="n">
        <v>43.6</v>
      </c>
      <c r="AK102" s="36" t="n">
        <v>50.86666666666667</v>
      </c>
      <c r="AL102" s="36" t="n">
        <v>61.04</v>
      </c>
      <c r="AM102" s="36" t="n">
        <v>76.3</v>
      </c>
      <c r="AN102" s="36" t="n">
        <v>101.7333333333333</v>
      </c>
      <c r="AO102" s="36" t="n">
        <v>152.6</v>
      </c>
      <c r="AP102" s="36" t="n">
        <v>305.2</v>
      </c>
    </row>
    <row r="103">
      <c r="A103" s="5" t="inlineStr">
        <is>
          <t>P122</t>
        </is>
      </c>
      <c r="B103" s="5" t="inlineStr">
        <is>
          <t>RDM</t>
        </is>
      </c>
      <c r="C103" s="36" t="n">
        <v>6.37</v>
      </c>
      <c r="D103" s="36" t="n">
        <v>6.705263157894738</v>
      </c>
      <c r="E103" s="36" t="n">
        <v>7.077777777777778</v>
      </c>
      <c r="F103" s="36" t="n">
        <v>7.494117647058824</v>
      </c>
      <c r="G103" s="36" t="n">
        <v>7.962499999999999</v>
      </c>
      <c r="H103" s="36" t="n">
        <v>8.493333333333334</v>
      </c>
      <c r="I103" s="36" t="n">
        <v>9.100000000000001</v>
      </c>
      <c r="J103" s="36" t="n">
        <v>9.800000000000001</v>
      </c>
      <c r="K103" s="36" t="n">
        <v>10.61666666666667</v>
      </c>
      <c r="L103" s="36" t="n">
        <v>11.58181818181818</v>
      </c>
      <c r="M103" s="36" t="n">
        <v>12.74</v>
      </c>
      <c r="N103" s="36" t="n">
        <v>14.15555555555556</v>
      </c>
      <c r="O103" s="36" t="n">
        <v>15.925</v>
      </c>
      <c r="P103" s="36" t="n">
        <v>18.2</v>
      </c>
      <c r="Q103" s="36" t="n">
        <v>21.23333333333333</v>
      </c>
      <c r="R103" s="36" t="n">
        <v>25.48</v>
      </c>
      <c r="S103" s="36" t="n">
        <v>31.85</v>
      </c>
      <c r="T103" s="36" t="n">
        <v>42.46666666666667</v>
      </c>
      <c r="U103" s="36" t="n">
        <v>63.7</v>
      </c>
      <c r="V103" s="36" t="n">
        <v>127.4</v>
      </c>
      <c r="W103" s="36" t="n">
        <v>15.25</v>
      </c>
      <c r="X103" s="36" t="n">
        <v>16.05263157894737</v>
      </c>
      <c r="Y103" s="36" t="n">
        <v>16.94444444444444</v>
      </c>
      <c r="Z103" s="36" t="n">
        <v>17.94117647058824</v>
      </c>
      <c r="AA103" s="36" t="n">
        <v>19.0625</v>
      </c>
      <c r="AB103" s="36" t="n">
        <v>20.33333333333333</v>
      </c>
      <c r="AC103" s="36" t="n">
        <v>21.78571428571429</v>
      </c>
      <c r="AD103" s="36" t="n">
        <v>23.46153846153846</v>
      </c>
      <c r="AE103" s="36" t="n">
        <v>25.41666666666667</v>
      </c>
      <c r="AF103" s="36" t="n">
        <v>27.72727272727273</v>
      </c>
      <c r="AG103" s="36" t="n">
        <v>30.5</v>
      </c>
      <c r="AH103" s="36" t="n">
        <v>33.88888888888889</v>
      </c>
      <c r="AI103" s="36" t="n">
        <v>38.125</v>
      </c>
      <c r="AJ103" s="36" t="n">
        <v>43.57142857142858</v>
      </c>
      <c r="AK103" s="36" t="n">
        <v>50.83333333333334</v>
      </c>
      <c r="AL103" s="36" t="n">
        <v>61</v>
      </c>
      <c r="AM103" s="36" t="n">
        <v>76.25</v>
      </c>
      <c r="AN103" s="36" t="n">
        <v>101.6666666666667</v>
      </c>
      <c r="AO103" s="36" t="n">
        <v>152.5</v>
      </c>
      <c r="AP103" s="36" t="n">
        <v>305</v>
      </c>
    </row>
    <row r="104">
      <c r="A104" s="5" t="inlineStr">
        <is>
          <t>P123</t>
        </is>
      </c>
      <c r="B104" s="5" t="inlineStr">
        <is>
          <t>RDM</t>
        </is>
      </c>
      <c r="C104" s="36" t="n">
        <v>6.65</v>
      </c>
      <c r="D104" s="36" t="n">
        <v>7.000000000000001</v>
      </c>
      <c r="E104" s="36" t="n">
        <v>7.388888888888889</v>
      </c>
      <c r="F104" s="36" t="n">
        <v>7.823529411764707</v>
      </c>
      <c r="G104" s="36" t="n">
        <v>8.3125</v>
      </c>
      <c r="H104" s="36" t="n">
        <v>8.866666666666667</v>
      </c>
      <c r="I104" s="36" t="n">
        <v>9.500000000000002</v>
      </c>
      <c r="J104" s="36" t="n">
        <v>10.23076923076923</v>
      </c>
      <c r="K104" s="36" t="n">
        <v>11.08333333333333</v>
      </c>
      <c r="L104" s="36" t="n">
        <v>12.09090909090909</v>
      </c>
      <c r="M104" s="36" t="n">
        <v>13.3</v>
      </c>
      <c r="N104" s="36" t="n">
        <v>14.77777777777778</v>
      </c>
      <c r="O104" s="36" t="n">
        <v>16.625</v>
      </c>
      <c r="P104" s="36" t="n">
        <v>19</v>
      </c>
      <c r="Q104" s="36" t="n">
        <v>22.16666666666667</v>
      </c>
      <c r="R104" s="36" t="n">
        <v>26.6</v>
      </c>
      <c r="S104" s="36" t="n">
        <v>33.25</v>
      </c>
      <c r="T104" s="36" t="n">
        <v>44.33333333333334</v>
      </c>
      <c r="U104" s="36" t="n">
        <v>66.5</v>
      </c>
      <c r="V104" s="36" t="n">
        <v>133</v>
      </c>
      <c r="W104" s="36" t="n">
        <v>15.26</v>
      </c>
      <c r="X104" s="36" t="n">
        <v>16.06315789473684</v>
      </c>
      <c r="Y104" s="36" t="n">
        <v>16.95555555555556</v>
      </c>
      <c r="Z104" s="36" t="n">
        <v>17.95294117647059</v>
      </c>
      <c r="AA104" s="36" t="n">
        <v>19.075</v>
      </c>
      <c r="AB104" s="36" t="n">
        <v>20.34666666666667</v>
      </c>
      <c r="AC104" s="36" t="n">
        <v>21.8</v>
      </c>
      <c r="AD104" s="36" t="n">
        <v>23.47692307692308</v>
      </c>
      <c r="AE104" s="36" t="n">
        <v>25.43333333333333</v>
      </c>
      <c r="AF104" s="36" t="n">
        <v>27.74545454545454</v>
      </c>
      <c r="AG104" s="36" t="n">
        <v>30.52</v>
      </c>
      <c r="AH104" s="36" t="n">
        <v>33.91111111111111</v>
      </c>
      <c r="AI104" s="36" t="n">
        <v>38.15</v>
      </c>
      <c r="AJ104" s="36" t="n">
        <v>43.6</v>
      </c>
      <c r="AK104" s="36" t="n">
        <v>50.86666666666667</v>
      </c>
      <c r="AL104" s="36" t="n">
        <v>61.04</v>
      </c>
      <c r="AM104" s="36" t="n">
        <v>76.3</v>
      </c>
      <c r="AN104" s="36" t="n">
        <v>101.7333333333333</v>
      </c>
      <c r="AO104" s="36" t="n">
        <v>152.6</v>
      </c>
      <c r="AP104" s="36" t="n">
        <v>305.2</v>
      </c>
    </row>
    <row r="105">
      <c r="A105" s="5" t="inlineStr">
        <is>
          <t>P124</t>
        </is>
      </c>
      <c r="B105" s="5" t="inlineStr">
        <is>
          <t>RDM</t>
        </is>
      </c>
      <c r="C105" s="36" t="n">
        <v>6.3</v>
      </c>
      <c r="D105" s="36" t="n">
        <v>6.631578947368421</v>
      </c>
      <c r="E105" s="36" t="n">
        <v>7</v>
      </c>
      <c r="F105" s="36" t="n">
        <v>7.411764705882353</v>
      </c>
      <c r="G105" s="36" t="n">
        <v>7.874999999999999</v>
      </c>
      <c r="H105" s="36" t="n">
        <v>8.4</v>
      </c>
      <c r="I105" s="36" t="n">
        <v>9</v>
      </c>
      <c r="J105" s="36" t="n">
        <v>9.692307692307692</v>
      </c>
      <c r="K105" s="36" t="n">
        <v>10.5</v>
      </c>
      <c r="L105" s="36" t="n">
        <v>11.45454545454545</v>
      </c>
      <c r="M105" s="36" t="n">
        <v>12.6</v>
      </c>
      <c r="N105" s="36" t="n">
        <v>14</v>
      </c>
      <c r="O105" s="36" t="n">
        <v>15.75</v>
      </c>
      <c r="P105" s="36" t="n">
        <v>18</v>
      </c>
      <c r="Q105" s="36" t="n">
        <v>21</v>
      </c>
      <c r="R105" s="36" t="n">
        <v>25.2</v>
      </c>
      <c r="S105" s="36" t="n">
        <v>31.5</v>
      </c>
      <c r="T105" s="36" t="n">
        <v>42</v>
      </c>
      <c r="U105" s="36" t="n">
        <v>62.99999999999999</v>
      </c>
      <c r="V105" s="36" t="n">
        <v>126</v>
      </c>
      <c r="W105" s="36" t="n">
        <v>15.25</v>
      </c>
      <c r="X105" s="36" t="n">
        <v>16.05263157894737</v>
      </c>
      <c r="Y105" s="36" t="n">
        <v>16.94444444444444</v>
      </c>
      <c r="Z105" s="36" t="n">
        <v>17.94117647058824</v>
      </c>
      <c r="AA105" s="36" t="n">
        <v>19.0625</v>
      </c>
      <c r="AB105" s="36" t="n">
        <v>20.33333333333333</v>
      </c>
      <c r="AC105" s="36" t="n">
        <v>21.78571428571429</v>
      </c>
      <c r="AD105" s="36" t="n">
        <v>23.46153846153846</v>
      </c>
      <c r="AE105" s="36" t="n">
        <v>25.41666666666667</v>
      </c>
      <c r="AF105" s="36" t="n">
        <v>27.72727272727273</v>
      </c>
      <c r="AG105" s="36" t="n">
        <v>30.5</v>
      </c>
      <c r="AH105" s="36" t="n">
        <v>33.88888888888889</v>
      </c>
      <c r="AI105" s="36" t="n">
        <v>38.125</v>
      </c>
      <c r="AJ105" s="36" t="n">
        <v>43.57142857142858</v>
      </c>
      <c r="AK105" s="36" t="n">
        <v>50.83333333333334</v>
      </c>
      <c r="AL105" s="36" t="n">
        <v>61</v>
      </c>
      <c r="AM105" s="36" t="n">
        <v>76.25</v>
      </c>
      <c r="AN105" s="36" t="n">
        <v>101.6666666666667</v>
      </c>
      <c r="AO105" s="36" t="n">
        <v>152.5</v>
      </c>
      <c r="AP105" s="36" t="n">
        <v>305</v>
      </c>
    </row>
    <row r="106">
      <c r="A106" s="5" t="inlineStr">
        <is>
          <t>P125</t>
        </is>
      </c>
      <c r="B106" s="5" t="inlineStr">
        <is>
          <t>RDM</t>
        </is>
      </c>
      <c r="C106" s="36" t="n">
        <v>5.39</v>
      </c>
      <c r="D106" s="36" t="n">
        <v>5.673684210526316</v>
      </c>
      <c r="E106" s="36" t="n">
        <v>5.988888888888888</v>
      </c>
      <c r="F106" s="36" t="n">
        <v>6.341176470588235</v>
      </c>
      <c r="G106" s="36" t="n">
        <v>6.737499999999999</v>
      </c>
      <c r="H106" s="36" t="n">
        <v>7.186666666666667</v>
      </c>
      <c r="I106" s="36" t="n">
        <v>7.7</v>
      </c>
      <c r="J106" s="36" t="n">
        <v>8.292307692307691</v>
      </c>
      <c r="K106" s="36" t="n">
        <v>8.983333333333333</v>
      </c>
      <c r="L106" s="36" t="n">
        <v>9.799999999999999</v>
      </c>
      <c r="M106" s="36" t="n">
        <v>10.78</v>
      </c>
      <c r="N106" s="36" t="n">
        <v>11.97777777777778</v>
      </c>
      <c r="O106" s="36" t="n">
        <v>13.475</v>
      </c>
      <c r="P106" s="36" t="n">
        <v>15.4</v>
      </c>
      <c r="Q106" s="36" t="n">
        <v>17.96666666666667</v>
      </c>
      <c r="R106" s="36" t="n">
        <v>21.56</v>
      </c>
      <c r="S106" s="36" t="n">
        <v>26.95</v>
      </c>
      <c r="T106" s="36" t="n">
        <v>35.93333333333333</v>
      </c>
      <c r="U106" s="36" t="n">
        <v>53.89999999999999</v>
      </c>
      <c r="V106" s="36" t="n">
        <v>107.8</v>
      </c>
      <c r="W106" s="36" t="n">
        <v>12.33</v>
      </c>
      <c r="X106" s="36" t="n">
        <v>12.97894736842105</v>
      </c>
      <c r="Y106" s="36" t="n">
        <v>13.7</v>
      </c>
      <c r="Z106" s="36" t="n">
        <v>14.50588235294118</v>
      </c>
      <c r="AA106" s="36" t="n">
        <v>15.4125</v>
      </c>
      <c r="AB106" s="36" t="n">
        <v>16.44</v>
      </c>
      <c r="AC106" s="36" t="n">
        <v>17.61428571428571</v>
      </c>
      <c r="AD106" s="36" t="n">
        <v>18.96923076923077</v>
      </c>
      <c r="AE106" s="36" t="n">
        <v>20.55</v>
      </c>
      <c r="AF106" s="36" t="n">
        <v>22.41818181818182</v>
      </c>
      <c r="AG106" s="36" t="n">
        <v>24.66</v>
      </c>
      <c r="AH106" s="36" t="n">
        <v>27.4</v>
      </c>
      <c r="AI106" s="36" t="n">
        <v>30.825</v>
      </c>
      <c r="AJ106" s="36" t="n">
        <v>35.22857142857143</v>
      </c>
      <c r="AK106" s="36" t="n">
        <v>41.1</v>
      </c>
      <c r="AL106" s="36" t="n">
        <v>49.32</v>
      </c>
      <c r="AM106" s="36" t="n">
        <v>61.65</v>
      </c>
      <c r="AN106" s="36" t="n">
        <v>82.2</v>
      </c>
      <c r="AO106" s="36" t="n">
        <v>123.3</v>
      </c>
      <c r="AP106" s="36" t="n">
        <v>246.6</v>
      </c>
    </row>
    <row r="107">
      <c r="A107" s="5" t="inlineStr">
        <is>
          <t>P126</t>
        </is>
      </c>
      <c r="B107" s="5" t="inlineStr">
        <is>
          <t>RDM</t>
        </is>
      </c>
      <c r="C107" s="36" t="n">
        <v>6.11</v>
      </c>
      <c r="D107" s="36" t="n">
        <v>6.431578947368422</v>
      </c>
      <c r="E107" s="36" t="n">
        <v>6.788888888888889</v>
      </c>
      <c r="F107" s="36" t="n">
        <v>7.188235294117647</v>
      </c>
      <c r="G107" s="36" t="n">
        <v>7.6375</v>
      </c>
      <c r="H107" s="36" t="n">
        <v>8.146666666666667</v>
      </c>
      <c r="I107" s="36" t="n">
        <v>8.72857142857143</v>
      </c>
      <c r="J107" s="36" t="n">
        <v>9.4</v>
      </c>
      <c r="K107" s="36" t="n">
        <v>10.18333333333333</v>
      </c>
      <c r="L107" s="36" t="n">
        <v>11.10909090909091</v>
      </c>
      <c r="M107" s="36" t="n">
        <v>12.22</v>
      </c>
      <c r="N107" s="36" t="n">
        <v>13.57777777777778</v>
      </c>
      <c r="O107" s="36" t="n">
        <v>15.275</v>
      </c>
      <c r="P107" s="36" t="n">
        <v>17.45714285714286</v>
      </c>
      <c r="Q107" s="36" t="n">
        <v>20.36666666666667</v>
      </c>
      <c r="R107" s="36" t="n">
        <v>24.44</v>
      </c>
      <c r="S107" s="36" t="n">
        <v>30.55</v>
      </c>
      <c r="T107" s="36" t="n">
        <v>40.73333333333333</v>
      </c>
      <c r="U107" s="36" t="n">
        <v>61.1</v>
      </c>
      <c r="V107" s="36" t="n">
        <v>122.2</v>
      </c>
      <c r="W107" s="36" t="n">
        <v>14.64</v>
      </c>
      <c r="X107" s="36" t="n">
        <v>15.41052631578948</v>
      </c>
      <c r="Y107" s="36" t="n">
        <v>16.26666666666667</v>
      </c>
      <c r="Z107" s="36" t="n">
        <v>17.22352941176471</v>
      </c>
      <c r="AA107" s="36" t="n">
        <v>18.3</v>
      </c>
      <c r="AB107" s="36" t="n">
        <v>19.52</v>
      </c>
      <c r="AC107" s="36" t="n">
        <v>20.91428571428572</v>
      </c>
      <c r="AD107" s="36" t="n">
        <v>22.52307692307692</v>
      </c>
      <c r="AE107" s="36" t="n">
        <v>24.4</v>
      </c>
      <c r="AF107" s="36" t="n">
        <v>26.61818181818182</v>
      </c>
      <c r="AG107" s="36" t="n">
        <v>29.28</v>
      </c>
      <c r="AH107" s="36" t="n">
        <v>32.53333333333333</v>
      </c>
      <c r="AI107" s="36" t="n">
        <v>36.6</v>
      </c>
      <c r="AJ107" s="36" t="n">
        <v>41.82857142857144</v>
      </c>
      <c r="AK107" s="36" t="n">
        <v>48.8</v>
      </c>
      <c r="AL107" s="36" t="n">
        <v>58.56</v>
      </c>
      <c r="AM107" s="36" t="n">
        <v>73.2</v>
      </c>
      <c r="AN107" s="36" t="n">
        <v>97.60000000000001</v>
      </c>
      <c r="AO107" s="36" t="n">
        <v>146.4</v>
      </c>
      <c r="AP107" s="36" t="n">
        <v>292.8</v>
      </c>
    </row>
    <row r="108">
      <c r="A108" s="5" t="inlineStr">
        <is>
          <t>P127</t>
        </is>
      </c>
      <c r="B108" s="5" t="inlineStr">
        <is>
          <t>RDM</t>
        </is>
      </c>
      <c r="C108" s="36" t="n">
        <v>5.3</v>
      </c>
      <c r="D108" s="36" t="n">
        <v>5.578947368421053</v>
      </c>
      <c r="E108" s="36" t="n">
        <v>5.888888888888888</v>
      </c>
      <c r="F108" s="36" t="n">
        <v>6.235294117647059</v>
      </c>
      <c r="G108" s="36" t="n">
        <v>6.624999999999999</v>
      </c>
      <c r="H108" s="36" t="n">
        <v>7.066666666666666</v>
      </c>
      <c r="I108" s="36" t="n">
        <v>7.571428571428572</v>
      </c>
      <c r="J108" s="36" t="n">
        <v>8.153846153846153</v>
      </c>
      <c r="K108" s="36" t="n">
        <v>8.833333333333334</v>
      </c>
      <c r="L108" s="36" t="n">
        <v>9.636363636363635</v>
      </c>
      <c r="M108" s="36" t="n">
        <v>10.6</v>
      </c>
      <c r="N108" s="36" t="n">
        <v>11.77777777777778</v>
      </c>
      <c r="O108" s="36" t="n">
        <v>13.25</v>
      </c>
      <c r="P108" s="36" t="n">
        <v>15.14285714285714</v>
      </c>
      <c r="Q108" s="36" t="n">
        <v>17.66666666666667</v>
      </c>
      <c r="R108" s="36" t="n">
        <v>21.2</v>
      </c>
      <c r="S108" s="36" t="n">
        <v>26.5</v>
      </c>
      <c r="T108" s="36" t="n">
        <v>35.33333333333334</v>
      </c>
      <c r="U108" s="36" t="n">
        <v>52.99999999999999</v>
      </c>
      <c r="V108" s="36" t="n">
        <v>106</v>
      </c>
      <c r="W108" s="36" t="n">
        <v>12.33</v>
      </c>
      <c r="X108" s="36" t="n">
        <v>12.97894736842105</v>
      </c>
      <c r="Y108" s="36" t="n">
        <v>13.7</v>
      </c>
      <c r="Z108" s="36" t="n">
        <v>14.50588235294118</v>
      </c>
      <c r="AA108" s="36" t="n">
        <v>15.4125</v>
      </c>
      <c r="AB108" s="36" t="n">
        <v>16.44</v>
      </c>
      <c r="AC108" s="36" t="n">
        <v>17.61428571428571</v>
      </c>
      <c r="AD108" s="36" t="n">
        <v>18.96923076923077</v>
      </c>
      <c r="AE108" s="36" t="n">
        <v>20.55</v>
      </c>
      <c r="AF108" s="36" t="n">
        <v>22.41818181818182</v>
      </c>
      <c r="AG108" s="36" t="n">
        <v>24.66</v>
      </c>
      <c r="AH108" s="36" t="n">
        <v>27.4</v>
      </c>
      <c r="AI108" s="36" t="n">
        <v>30.825</v>
      </c>
      <c r="AJ108" s="36" t="n">
        <v>35.22857142857143</v>
      </c>
      <c r="AK108" s="36" t="n">
        <v>41.1</v>
      </c>
      <c r="AL108" s="36" t="n">
        <v>49.32</v>
      </c>
      <c r="AM108" s="36" t="n">
        <v>61.65</v>
      </c>
      <c r="AN108" s="36" t="n">
        <v>82.2</v>
      </c>
      <c r="AO108" s="36" t="n">
        <v>123.3</v>
      </c>
      <c r="AP108" s="36" t="n">
        <v>246.6</v>
      </c>
    </row>
    <row r="109">
      <c r="A109" s="5" t="inlineStr">
        <is>
          <t>P128</t>
        </is>
      </c>
      <c r="B109" s="5" t="inlineStr">
        <is>
          <t>RDM</t>
        </is>
      </c>
      <c r="C109" s="36" t="n">
        <v>5.72</v>
      </c>
      <c r="D109" s="36" t="n">
        <v>6.021052631578947</v>
      </c>
      <c r="E109" s="36" t="n">
        <v>6.355555555555555</v>
      </c>
      <c r="F109" s="36" t="n">
        <v>6.729411764705882</v>
      </c>
      <c r="G109" s="36" t="n">
        <v>7.149999999999999</v>
      </c>
      <c r="H109" s="36" t="n">
        <v>7.626666666666666</v>
      </c>
      <c r="I109" s="36" t="n">
        <v>8.171428571428571</v>
      </c>
      <c r="J109" s="36" t="n">
        <v>8.799999999999999</v>
      </c>
      <c r="K109" s="36" t="n">
        <v>9.533333333333333</v>
      </c>
      <c r="L109" s="36" t="n">
        <v>10.4</v>
      </c>
      <c r="M109" s="36" t="n">
        <v>11.44</v>
      </c>
      <c r="N109" s="36" t="n">
        <v>12.71111111111111</v>
      </c>
      <c r="O109" s="36" t="n">
        <v>14.3</v>
      </c>
      <c r="P109" s="36" t="n">
        <v>16.34285714285714</v>
      </c>
      <c r="Q109" s="36" t="n">
        <v>19.06666666666667</v>
      </c>
      <c r="R109" s="36" t="n">
        <v>22.88</v>
      </c>
      <c r="S109" s="36" t="n">
        <v>28.6</v>
      </c>
      <c r="T109" s="36" t="n">
        <v>38.13333333333333</v>
      </c>
      <c r="U109" s="36" t="n">
        <v>57.2</v>
      </c>
      <c r="V109" s="36" t="n">
        <v>114.4</v>
      </c>
      <c r="W109" s="36" t="n">
        <v>14.64</v>
      </c>
      <c r="X109" s="36" t="n">
        <v>15.41052631578948</v>
      </c>
      <c r="Y109" s="36" t="n">
        <v>16.26666666666667</v>
      </c>
      <c r="Z109" s="36" t="n">
        <v>17.22352941176471</v>
      </c>
      <c r="AA109" s="36" t="n">
        <v>18.3</v>
      </c>
      <c r="AB109" s="36" t="n">
        <v>19.52</v>
      </c>
      <c r="AC109" s="36" t="n">
        <v>20.91428571428572</v>
      </c>
      <c r="AD109" s="36" t="n">
        <v>22.52307692307692</v>
      </c>
      <c r="AE109" s="36" t="n">
        <v>24.4</v>
      </c>
      <c r="AF109" s="36" t="n">
        <v>26.61818181818182</v>
      </c>
      <c r="AG109" s="36" t="n">
        <v>29.28</v>
      </c>
      <c r="AH109" s="36" t="n">
        <v>32.53333333333333</v>
      </c>
      <c r="AI109" s="36" t="n">
        <v>36.6</v>
      </c>
      <c r="AJ109" s="36" t="n">
        <v>41.82857142857144</v>
      </c>
      <c r="AK109" s="36" t="n">
        <v>48.8</v>
      </c>
      <c r="AL109" s="36" t="n">
        <v>58.56</v>
      </c>
      <c r="AM109" s="36" t="n">
        <v>73.2</v>
      </c>
      <c r="AN109" s="36" t="n">
        <v>97.60000000000001</v>
      </c>
      <c r="AO109" s="36" t="n">
        <v>146.4</v>
      </c>
      <c r="AP109" s="36" t="n">
        <v>292.8</v>
      </c>
    </row>
    <row r="110">
      <c r="A110" s="5" t="inlineStr">
        <is>
          <t>P129</t>
        </is>
      </c>
      <c r="B110" s="5" t="inlineStr">
        <is>
          <t>RDM</t>
        </is>
      </c>
      <c r="C110" s="36" t="n">
        <v>5.55</v>
      </c>
      <c r="D110" s="36" t="n">
        <v>5.842105263157895</v>
      </c>
      <c r="E110" s="36" t="n">
        <v>6.166666666666666</v>
      </c>
      <c r="F110" s="36" t="n">
        <v>6.529411764705882</v>
      </c>
      <c r="G110" s="36" t="n">
        <v>6.937499999999999</v>
      </c>
      <c r="H110" s="36" t="n">
        <v>7.399999999999999</v>
      </c>
      <c r="I110" s="36" t="n">
        <v>7.928571428571429</v>
      </c>
      <c r="J110" s="36" t="n">
        <v>8.538461538461538</v>
      </c>
      <c r="K110" s="36" t="n">
        <v>9.25</v>
      </c>
      <c r="L110" s="36" t="n">
        <v>10.09090909090909</v>
      </c>
      <c r="M110" s="36" t="n">
        <v>11.1</v>
      </c>
      <c r="N110" s="36" t="n">
        <v>12.33333333333333</v>
      </c>
      <c r="O110" s="36" t="n">
        <v>13.875</v>
      </c>
      <c r="P110" s="36" t="n">
        <v>15.85714285714286</v>
      </c>
      <c r="Q110" s="36" t="n">
        <v>18.5</v>
      </c>
      <c r="R110" s="36" t="n">
        <v>22.2</v>
      </c>
      <c r="S110" s="36" t="n">
        <v>27.75</v>
      </c>
      <c r="T110" s="36" t="n">
        <v>37</v>
      </c>
      <c r="U110" s="36" t="n">
        <v>55.49999999999999</v>
      </c>
      <c r="V110" s="36" t="n">
        <v>111</v>
      </c>
      <c r="W110" s="36" t="n">
        <v>12.33</v>
      </c>
      <c r="X110" s="36" t="n">
        <v>12.97894736842105</v>
      </c>
      <c r="Y110" s="36" t="n">
        <v>13.7</v>
      </c>
      <c r="Z110" s="36" t="n">
        <v>14.50588235294118</v>
      </c>
      <c r="AA110" s="36" t="n">
        <v>15.4125</v>
      </c>
      <c r="AB110" s="36" t="n">
        <v>16.44</v>
      </c>
      <c r="AC110" s="36" t="n">
        <v>17.61428571428571</v>
      </c>
      <c r="AD110" s="36" t="n">
        <v>18.96923076923077</v>
      </c>
      <c r="AE110" s="36" t="n">
        <v>20.55</v>
      </c>
      <c r="AF110" s="36" t="n">
        <v>22.41818181818182</v>
      </c>
      <c r="AG110" s="36" t="n">
        <v>24.66</v>
      </c>
      <c r="AH110" s="36" t="n">
        <v>27.4</v>
      </c>
      <c r="AI110" s="36" t="n">
        <v>30.825</v>
      </c>
      <c r="AJ110" s="36" t="n">
        <v>35.22857142857143</v>
      </c>
      <c r="AK110" s="36" t="n">
        <v>41.1</v>
      </c>
      <c r="AL110" s="36" t="n">
        <v>49.32</v>
      </c>
      <c r="AM110" s="36" t="n">
        <v>61.65</v>
      </c>
      <c r="AN110" s="36" t="n">
        <v>82.2</v>
      </c>
      <c r="AO110" s="36" t="n">
        <v>123.3</v>
      </c>
      <c r="AP110" s="36" t="n">
        <v>246.6</v>
      </c>
    </row>
    <row r="111">
      <c r="A111" s="5" t="inlineStr">
        <is>
          <t>P130</t>
        </is>
      </c>
      <c r="B111" s="5" t="inlineStr">
        <is>
          <t>RDM</t>
        </is>
      </c>
      <c r="C111" s="36" t="n">
        <v>6.44</v>
      </c>
      <c r="D111" s="36" t="n">
        <v>6.778947368421053</v>
      </c>
      <c r="E111" s="36" t="n">
        <v>7.155555555555556</v>
      </c>
      <c r="F111" s="36" t="n">
        <v>7.576470588235295</v>
      </c>
      <c r="G111" s="36" t="n">
        <v>8.050000000000001</v>
      </c>
      <c r="H111" s="36" t="n">
        <v>8.586666666666668</v>
      </c>
      <c r="I111" s="36" t="n">
        <v>9.200000000000001</v>
      </c>
      <c r="J111" s="36" t="n">
        <v>9.907692307692308</v>
      </c>
      <c r="K111" s="36" t="n">
        <v>10.73333333333333</v>
      </c>
      <c r="L111" s="36" t="n">
        <v>11.70909090909091</v>
      </c>
      <c r="M111" s="36" t="n">
        <v>12.88</v>
      </c>
      <c r="N111" s="36" t="n">
        <v>14.31111111111111</v>
      </c>
      <c r="O111" s="36" t="n">
        <v>16.1</v>
      </c>
      <c r="P111" s="36" t="n">
        <v>18.4</v>
      </c>
      <c r="Q111" s="36" t="n">
        <v>21.46666666666667</v>
      </c>
      <c r="R111" s="36" t="n">
        <v>25.76</v>
      </c>
      <c r="S111" s="36" t="n">
        <v>32.2</v>
      </c>
      <c r="T111" s="36" t="n">
        <v>42.93333333333334</v>
      </c>
      <c r="U111" s="36" t="n">
        <v>64.40000000000001</v>
      </c>
      <c r="V111" s="36" t="n">
        <v>128.8</v>
      </c>
      <c r="W111" s="36" t="n">
        <v>15.25</v>
      </c>
      <c r="X111" s="36" t="n">
        <v>16.05263157894737</v>
      </c>
      <c r="Y111" s="36" t="n">
        <v>16.94444444444444</v>
      </c>
      <c r="Z111" s="36" t="n">
        <v>17.94117647058824</v>
      </c>
      <c r="AA111" s="36" t="n">
        <v>19.0625</v>
      </c>
      <c r="AB111" s="36" t="n">
        <v>20.33333333333333</v>
      </c>
      <c r="AC111" s="36" t="n">
        <v>21.78571428571429</v>
      </c>
      <c r="AD111" s="36" t="n">
        <v>23.46153846153846</v>
      </c>
      <c r="AE111" s="36" t="n">
        <v>25.41666666666667</v>
      </c>
      <c r="AF111" s="36" t="n">
        <v>27.72727272727273</v>
      </c>
      <c r="AG111" s="36" t="n">
        <v>30.5</v>
      </c>
      <c r="AH111" s="36" t="n">
        <v>33.88888888888889</v>
      </c>
      <c r="AI111" s="36" t="n">
        <v>38.125</v>
      </c>
      <c r="AJ111" s="36" t="n">
        <v>43.57142857142858</v>
      </c>
      <c r="AK111" s="36" t="n">
        <v>50.83333333333334</v>
      </c>
      <c r="AL111" s="36" t="n">
        <v>61</v>
      </c>
      <c r="AM111" s="36" t="n">
        <v>76.25</v>
      </c>
      <c r="AN111" s="36" t="n">
        <v>101.6666666666667</v>
      </c>
      <c r="AO111" s="36" t="n">
        <v>152.5</v>
      </c>
      <c r="AP111" s="36" t="n">
        <v>305</v>
      </c>
    </row>
    <row r="112">
      <c r="A112" s="5" t="inlineStr">
        <is>
          <t>P131</t>
        </is>
      </c>
      <c r="B112" s="5" t="inlineStr">
        <is>
          <t>RDM</t>
        </is>
      </c>
      <c r="C112" s="36" t="n">
        <v>8.16</v>
      </c>
      <c r="D112" s="36" t="n">
        <v>8.589473684210526</v>
      </c>
      <c r="E112" s="36" t="n">
        <v>9.066666666666666</v>
      </c>
      <c r="F112" s="36" t="n">
        <v>9.6</v>
      </c>
      <c r="G112" s="36" t="n">
        <v>10.2</v>
      </c>
      <c r="H112" s="36" t="n">
        <v>10.88</v>
      </c>
      <c r="I112" s="36" t="n">
        <v>11.65714285714286</v>
      </c>
      <c r="J112" s="36" t="n">
        <v>12.55384615384615</v>
      </c>
      <c r="K112" s="36" t="n">
        <v>13.6</v>
      </c>
      <c r="L112" s="36" t="n">
        <v>14.83636363636364</v>
      </c>
      <c r="M112" s="36" t="n">
        <v>16.32</v>
      </c>
      <c r="N112" s="36" t="n">
        <v>18.13333333333333</v>
      </c>
      <c r="O112" s="36" t="n">
        <v>20.4</v>
      </c>
      <c r="P112" s="36" t="n">
        <v>23.31428571428572</v>
      </c>
      <c r="Q112" s="36" t="n">
        <v>27.2</v>
      </c>
      <c r="R112" s="36" t="n">
        <v>32.64</v>
      </c>
      <c r="S112" s="36" t="n">
        <v>40.8</v>
      </c>
      <c r="T112" s="36" t="n">
        <v>54.40000000000001</v>
      </c>
      <c r="U112" s="36" t="n">
        <v>81.59999999999999</v>
      </c>
      <c r="V112" s="36" t="n">
        <v>163.2</v>
      </c>
      <c r="W112" s="36" t="n">
        <v>10.52</v>
      </c>
      <c r="X112" s="36" t="n">
        <v>11.07368421052632</v>
      </c>
      <c r="Y112" s="36" t="n">
        <v>11.68888888888889</v>
      </c>
      <c r="Z112" s="36" t="n">
        <v>12.37647058823529</v>
      </c>
      <c r="AA112" s="36" t="n">
        <v>13.15</v>
      </c>
      <c r="AB112" s="36" t="n">
        <v>14.02666666666667</v>
      </c>
      <c r="AC112" s="36" t="n">
        <v>15.02857142857143</v>
      </c>
      <c r="AD112" s="36" t="n">
        <v>16.18461538461538</v>
      </c>
      <c r="AE112" s="36" t="n">
        <v>17.53333333333333</v>
      </c>
      <c r="AF112" s="36" t="n">
        <v>19.12727272727273</v>
      </c>
      <c r="AG112" s="36" t="n">
        <v>21.04</v>
      </c>
      <c r="AH112" s="36" t="n">
        <v>23.37777777777778</v>
      </c>
      <c r="AI112" s="36" t="n">
        <v>26.3</v>
      </c>
      <c r="AJ112" s="36" t="n">
        <v>30.05714285714286</v>
      </c>
      <c r="AK112" s="36" t="n">
        <v>35.06666666666667</v>
      </c>
      <c r="AL112" s="36" t="n">
        <v>42.08</v>
      </c>
      <c r="AM112" s="36" t="n">
        <v>52.59999999999999</v>
      </c>
      <c r="AN112" s="36" t="n">
        <v>70.13333333333334</v>
      </c>
      <c r="AO112" s="36" t="n">
        <v>105.2</v>
      </c>
      <c r="AP112" s="36" t="n">
        <v>210.4</v>
      </c>
    </row>
    <row r="113">
      <c r="A113" s="5" t="inlineStr">
        <is>
          <t>P132</t>
        </is>
      </c>
      <c r="B113" s="5" t="inlineStr">
        <is>
          <t>RDM</t>
        </is>
      </c>
      <c r="C113" s="36" t="n">
        <v>7.68</v>
      </c>
      <c r="D113" s="36" t="n">
        <v>8.08421052631579</v>
      </c>
      <c r="E113" s="36" t="n">
        <v>8.533333333333333</v>
      </c>
      <c r="F113" s="36" t="n">
        <v>9.035294117647059</v>
      </c>
      <c r="G113" s="36" t="n">
        <v>9.6</v>
      </c>
      <c r="H113" s="36" t="n">
        <v>10.24</v>
      </c>
      <c r="I113" s="36" t="n">
        <v>10.97142857142857</v>
      </c>
      <c r="J113" s="36" t="n">
        <v>11.81538461538461</v>
      </c>
      <c r="K113" s="36" t="n">
        <v>12.8</v>
      </c>
      <c r="L113" s="36" t="n">
        <v>13.96363636363636</v>
      </c>
      <c r="M113" s="36" t="n">
        <v>15.36</v>
      </c>
      <c r="N113" s="36" t="n">
        <v>17.06666666666667</v>
      </c>
      <c r="O113" s="36" t="n">
        <v>19.2</v>
      </c>
      <c r="P113" s="36" t="n">
        <v>21.94285714285714</v>
      </c>
      <c r="Q113" s="36" t="n">
        <v>25.6</v>
      </c>
      <c r="R113" s="36" t="n">
        <v>30.72</v>
      </c>
      <c r="S113" s="36" t="n">
        <v>38.4</v>
      </c>
      <c r="T113" s="36" t="n">
        <v>51.2</v>
      </c>
      <c r="U113" s="36" t="n">
        <v>76.8</v>
      </c>
      <c r="V113" s="36" t="n">
        <v>153.6</v>
      </c>
      <c r="W113" s="36" t="n">
        <v>10.52</v>
      </c>
      <c r="X113" s="36" t="n">
        <v>11.07368421052632</v>
      </c>
      <c r="Y113" s="36" t="n">
        <v>11.68888888888889</v>
      </c>
      <c r="Z113" s="36" t="n">
        <v>12.37647058823529</v>
      </c>
      <c r="AA113" s="36" t="n">
        <v>13.15</v>
      </c>
      <c r="AB113" s="36" t="n">
        <v>14.02666666666667</v>
      </c>
      <c r="AC113" s="36" t="n">
        <v>15.02857142857143</v>
      </c>
      <c r="AD113" s="36" t="n">
        <v>16.18461538461538</v>
      </c>
      <c r="AE113" s="36" t="n">
        <v>17.53333333333333</v>
      </c>
      <c r="AF113" s="36" t="n">
        <v>19.12727272727273</v>
      </c>
      <c r="AG113" s="36" t="n">
        <v>21.04</v>
      </c>
      <c r="AH113" s="36" t="n">
        <v>23.37777777777778</v>
      </c>
      <c r="AI113" s="36" t="n">
        <v>26.3</v>
      </c>
      <c r="AJ113" s="36" t="n">
        <v>30.05714285714286</v>
      </c>
      <c r="AK113" s="36" t="n">
        <v>35.06666666666667</v>
      </c>
      <c r="AL113" s="36" t="n">
        <v>42.08</v>
      </c>
      <c r="AM113" s="36" t="n">
        <v>52.59999999999999</v>
      </c>
      <c r="AN113" s="36" t="n">
        <v>70.13333333333334</v>
      </c>
      <c r="AO113" s="36" t="n">
        <v>105.2</v>
      </c>
      <c r="AP113" s="36" t="n">
        <v>210.4</v>
      </c>
    </row>
    <row r="114">
      <c r="A114" s="5" t="inlineStr">
        <is>
          <t>P133</t>
        </is>
      </c>
      <c r="B114" s="5" t="inlineStr">
        <is>
          <t>RDM</t>
        </is>
      </c>
      <c r="C114" s="36" t="n">
        <v>5.445</v>
      </c>
      <c r="D114" s="36" t="n">
        <v>5.731578947368422</v>
      </c>
      <c r="E114" s="36" t="n">
        <v>6.05</v>
      </c>
      <c r="F114" s="36" t="n">
        <v>6.405882352941177</v>
      </c>
      <c r="G114" s="36" t="n">
        <v>6.80625</v>
      </c>
      <c r="H114" s="36" t="n">
        <v>7.260000000000001</v>
      </c>
      <c r="I114" s="36" t="n">
        <v>7.778571428571429</v>
      </c>
      <c r="J114" s="36" t="n">
        <v>8.376923076923077</v>
      </c>
      <c r="K114" s="36" t="n">
        <v>9.075000000000001</v>
      </c>
      <c r="L114" s="36" t="n">
        <v>9.9</v>
      </c>
      <c r="M114" s="36" t="n">
        <v>10.89</v>
      </c>
      <c r="N114" s="36" t="n">
        <v>12.1</v>
      </c>
      <c r="O114" s="36" t="n">
        <v>13.6125</v>
      </c>
      <c r="P114" s="36" t="n">
        <v>15.55714285714286</v>
      </c>
      <c r="Q114" s="36" t="n">
        <v>18.15</v>
      </c>
      <c r="R114" s="36" t="n">
        <v>21.78</v>
      </c>
      <c r="S114" s="36" t="n">
        <v>27.225</v>
      </c>
      <c r="T114" s="36" t="n">
        <v>36.3</v>
      </c>
      <c r="U114" s="36" t="n">
        <v>54.45</v>
      </c>
      <c r="V114" s="36" t="n">
        <v>108.9</v>
      </c>
      <c r="W114" s="36" t="n">
        <v>12.17</v>
      </c>
      <c r="X114" s="36" t="n">
        <v>12.81052631578947</v>
      </c>
      <c r="Y114" s="36" t="n">
        <v>13.52222222222222</v>
      </c>
      <c r="Z114" s="36" t="n">
        <v>14.31764705882353</v>
      </c>
      <c r="AA114" s="36" t="n">
        <v>15.2125</v>
      </c>
      <c r="AB114" s="36" t="n">
        <v>16.22666666666667</v>
      </c>
      <c r="AC114" s="36" t="n">
        <v>17.38571428571429</v>
      </c>
      <c r="AD114" s="36" t="n">
        <v>18.72307692307692</v>
      </c>
      <c r="AE114" s="36" t="n">
        <v>20.28333333333333</v>
      </c>
      <c r="AF114" s="36" t="n">
        <v>22.12727272727273</v>
      </c>
      <c r="AG114" s="36" t="n">
        <v>24.34</v>
      </c>
      <c r="AH114" s="36" t="n">
        <v>27.04444444444444</v>
      </c>
      <c r="AI114" s="36" t="n">
        <v>30.425</v>
      </c>
      <c r="AJ114" s="36" t="n">
        <v>34.77142857142857</v>
      </c>
      <c r="AK114" s="36" t="n">
        <v>40.56666666666667</v>
      </c>
      <c r="AL114" s="36" t="n">
        <v>48.68</v>
      </c>
      <c r="AM114" s="36" t="n">
        <v>60.84999999999999</v>
      </c>
      <c r="AN114" s="36" t="n">
        <v>81.13333333333334</v>
      </c>
      <c r="AO114" s="36" t="n">
        <v>121.7</v>
      </c>
      <c r="AP114" s="36" t="n">
        <v>243.4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1" customWidth="1" min="3" max="3"/>
    <col width="52" customWidth="1" min="4" max="4"/>
  </cols>
  <sheetData>
    <row r="1" ht="20" customHeight="1">
      <c r="A1" s="1" t="inlineStr">
        <is>
          <t>PARAMETROS</t>
        </is>
      </c>
    </row>
    <row r="2">
      <c r="A2" s="2" t="inlineStr">
        <is>
          <t>Manejo via clima (ETo semanal) + Kc por DAE.</t>
        </is>
      </c>
    </row>
    <row r="4" ht="30" customHeight="1">
      <c r="A4" s="4" t="inlineStr">
        <is>
          <t>Parametro</t>
        </is>
      </c>
      <c r="B4" s="4" t="inlineStr">
        <is>
          <t>Valor</t>
        </is>
      </c>
      <c r="C4" s="4" t="inlineStr">
        <is>
          <t>Unidade</t>
        </is>
      </c>
      <c r="D4" s="4" t="inlineStr">
        <is>
          <t>Observacao</t>
        </is>
      </c>
    </row>
    <row r="5">
      <c r="A5" s="37" t="inlineStr">
        <is>
          <t>Eficiencia de aplicacao</t>
        </is>
      </c>
      <c r="B5" s="38" t="n">
        <v>0.9</v>
      </c>
      <c r="C5" s="39" t="inlineStr">
        <is>
          <t>fracao</t>
        </is>
      </c>
      <c r="D5" s="18" t="inlineStr">
        <is>
          <t>Lamina bruta = liquida / eficiencia.</t>
        </is>
      </c>
    </row>
    <row r="6">
      <c r="A6" s="37" t="inlineStr">
        <is>
          <t>Lamina alvo / turno (mm liq)</t>
        </is>
      </c>
      <c r="B6" s="40" t="n">
        <v>10</v>
      </c>
      <c r="C6" s="39" t="inlineStr">
        <is>
          <t>mm</t>
        </is>
      </c>
      <c r="D6" s="18" t="inlineStr">
        <is>
          <t>Irriga quando a necessidade liquida da semana atinge este valor.</t>
        </is>
      </c>
    </row>
    <row r="7">
      <c r="A7" s="37" t="inlineStr">
        <is>
          <t>Gatilho de acompanhamento</t>
        </is>
      </c>
      <c r="B7" s="38" t="n">
        <v>0.8</v>
      </c>
      <c r="C7" s="39" t="inlineStr">
        <is>
          <t>fracao</t>
        </is>
      </c>
      <c r="D7" s="18" t="inlineStr">
        <is>
          <t>Fracao do alvo para 'Acompanhar'.</t>
        </is>
      </c>
    </row>
    <row r="8">
      <c r="A8" s="37" t="inlineStr">
        <is>
          <t>Data de referencia (HOJE)</t>
        </is>
      </c>
      <c r="B8" s="41" t="n">
        <v>46300</v>
      </c>
      <c r="C8" s="39" t="inlineStr">
        <is>
          <t>data</t>
        </is>
      </c>
      <c r="D8" s="18" t="inlineStr">
        <is>
          <t>Base do DAP/DAE e da semana atual.</t>
        </is>
      </c>
    </row>
    <row r="9">
      <c r="A9" s="37" t="inlineStr">
        <is>
          <t>Dias p/ emergencia (soja/algodao)</t>
        </is>
      </c>
      <c r="B9" s="40" t="n">
        <v>5</v>
      </c>
      <c r="C9" s="39" t="inlineStr">
        <is>
          <t>dias</t>
        </is>
      </c>
      <c r="D9" s="18" t="inlineStr">
        <is>
          <t>DAE = DAP - este valor, so para soja e algodao.</t>
        </is>
      </c>
    </row>
    <row r="11">
      <c r="A11" s="18" t="inlineStr">
        <is>
          <t>AVISAR PLANTIO: nas abas de cultura, preencha a DATA DE PLANTIO real do pivo. Ele vira 'Plantado=SIM' e aparece. Para atualizar a lista, use Dados &gt; Reaplicar (o filtro mostra so os plantados).</t>
        </is>
      </c>
      <c r="B11" s="19" t="n"/>
      <c r="C11" s="19" t="n"/>
      <c r="D11" s="20" t="n"/>
    </row>
  </sheetData>
  <mergeCells count="1"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2026-10-05T19:09:34Z</dcterms:created>
  <dcterms:modified xsi:type="dcterms:W3CDTF">2026-10-05T19:09:34Z</dcterms:modified>
</cp:coreProperties>
</file>